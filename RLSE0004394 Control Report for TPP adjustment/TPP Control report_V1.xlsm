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codeName="ThisWorkbook" defaultThemeVersion="124226"/>
  <bookViews>
    <workbookView xWindow="240" yWindow="75" windowWidth="21075" windowHeight="10005"/>
  </bookViews>
  <sheets>
    <sheet name="General" sheetId="1" r:id="rId1"/>
    <sheet name="On-hand statement" sheetId="6" r:id="rId2"/>
    <sheet name="Adjustment suggestion" sheetId="9" r:id="rId3"/>
    <sheet name="TPP Adjustment Journal" sheetId="77" r:id="rId4"/>
    <sheet name="InventTrans" sheetId="2" r:id="rId5"/>
    <sheet name="TPPTrans" sheetId="3" r:id="rId6"/>
    <sheet name="InventSum" sheetId="4" r:id="rId7"/>
    <sheet name="TPPSum" sheetId="5" r:id="rId8"/>
    <sheet name="InventTable" sheetId="8" r:id="rId9"/>
    <sheet name="Parameter" sheetId="7" r:id="rId10"/>
  </sheets>
  <functionGroups builtInGroupCount="17"/>
  <definedNames>
    <definedName name="AtlasReport_1" localSheetId="4">InventTrans!$A$1:$N$867</definedName>
    <definedName name="AtlasReport_2" localSheetId="5">TPPTrans!$A$1:$Q$516</definedName>
    <definedName name="AtlasReport_3" localSheetId="6">InventSum!$A$1:$H$836</definedName>
    <definedName name="AtlasReport_4" localSheetId="7">TPPSum!$A$1:$M$377</definedName>
    <definedName name="AtlasReport_5" localSheetId="8">InventTable!$A$1:$E$510</definedName>
    <definedName name="DataAreaId">General!$C$1</definedName>
    <definedName name="DateFormat">General!$F$1</definedName>
    <definedName name="DatePeriod">General!$C$4</definedName>
    <definedName name="DateRegion">General!$H$1</definedName>
    <definedName name="FromDate">General!$C$2</definedName>
    <definedName name="ItemNumber">General!$C$7</definedName>
    <definedName name="ItemType">General!$C$8</definedName>
    <definedName name="PeriodBeginning">General!$G$4</definedName>
    <definedName name="PeriodEnding">General!$G$5</definedName>
    <definedName name="Region">Table9[Region]</definedName>
    <definedName name="ToDate">General!$C$3</definedName>
  </definedNames>
  <calcPr calcId="145621"/>
</workbook>
</file>

<file path=xl/calcChain.xml><?xml version="1.0" encoding="utf-8"?>
<calcChain xmlns="http://schemas.openxmlformats.org/spreadsheetml/2006/main">
  <c r="E376" i="5" l="1"/>
  <c r="D376" i="5"/>
  <c r="D835" i="4"/>
  <c r="M515" i="3"/>
  <c r="K515" i="3"/>
  <c r="J515" i="3"/>
  <c r="H515" i="3"/>
  <c r="Q515" i="3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I866" i="2"/>
  <c r="F1" i="1"/>
  <c r="L313" i="2"/>
  <c r="L317" i="2"/>
  <c r="L321" i="2"/>
  <c r="L325" i="2"/>
  <c r="L329" i="2"/>
  <c r="L333" i="2"/>
  <c r="L337" i="2"/>
  <c r="L341" i="2"/>
  <c r="L345" i="2"/>
  <c r="L349" i="2"/>
  <c r="L353" i="2"/>
  <c r="L357" i="2"/>
  <c r="L361" i="2"/>
  <c r="L365" i="2"/>
  <c r="M313" i="2"/>
  <c r="M317" i="2"/>
  <c r="M321" i="2"/>
  <c r="M325" i="2"/>
  <c r="M329" i="2"/>
  <c r="M333" i="2"/>
  <c r="M337" i="2"/>
  <c r="M341" i="2"/>
  <c r="M345" i="2"/>
  <c r="M349" i="2"/>
  <c r="M353" i="2"/>
  <c r="M357" i="2"/>
  <c r="M361" i="2"/>
  <c r="M365" i="2"/>
  <c r="L310" i="2"/>
  <c r="L314" i="2"/>
  <c r="L318" i="2"/>
  <c r="L322" i="2"/>
  <c r="L326" i="2"/>
  <c r="L330" i="2"/>
  <c r="L334" i="2"/>
  <c r="L338" i="2"/>
  <c r="L342" i="2"/>
  <c r="L346" i="2"/>
  <c r="L350" i="2"/>
  <c r="L354" i="2"/>
  <c r="L358" i="2"/>
  <c r="L362" i="2"/>
  <c r="L366" i="2"/>
  <c r="N313" i="2"/>
  <c r="N317" i="2"/>
  <c r="N321" i="2"/>
  <c r="N325" i="2"/>
  <c r="N329" i="2"/>
  <c r="N333" i="2"/>
  <c r="N337" i="2"/>
  <c r="N341" i="2"/>
  <c r="N345" i="2"/>
  <c r="N349" i="2"/>
  <c r="N353" i="2"/>
  <c r="N357" i="2"/>
  <c r="N361" i="2"/>
  <c r="N365" i="2"/>
  <c r="M310" i="2"/>
  <c r="M314" i="2"/>
  <c r="M318" i="2"/>
  <c r="M322" i="2"/>
  <c r="M326" i="2"/>
  <c r="M330" i="2"/>
  <c r="M334" i="2"/>
  <c r="M338" i="2"/>
  <c r="M342" i="2"/>
  <c r="M346" i="2"/>
  <c r="M350" i="2"/>
  <c r="M354" i="2"/>
  <c r="M358" i="2"/>
  <c r="M362" i="2"/>
  <c r="M366" i="2"/>
  <c r="L311" i="2"/>
  <c r="N311" i="2" s="1"/>
  <c r="L315" i="2"/>
  <c r="N315" i="2" s="1"/>
  <c r="L319" i="2"/>
  <c r="N319" i="2" s="1"/>
  <c r="L323" i="2"/>
  <c r="N323" i="2" s="1"/>
  <c r="L327" i="2"/>
  <c r="N327" i="2" s="1"/>
  <c r="L331" i="2"/>
  <c r="N331" i="2" s="1"/>
  <c r="L335" i="2"/>
  <c r="N335" i="2" s="1"/>
  <c r="L339" i="2"/>
  <c r="N339" i="2" s="1"/>
  <c r="L343" i="2"/>
  <c r="N343" i="2" s="1"/>
  <c r="L347" i="2"/>
  <c r="N347" i="2" s="1"/>
  <c r="L351" i="2"/>
  <c r="N351" i="2" s="1"/>
  <c r="L355" i="2"/>
  <c r="N355" i="2" s="1"/>
  <c r="L359" i="2"/>
  <c r="N359" i="2" s="1"/>
  <c r="L363" i="2"/>
  <c r="N363" i="2" s="1"/>
  <c r="L367" i="2"/>
  <c r="N367" i="2" s="1"/>
  <c r="N310" i="2"/>
  <c r="N314" i="2"/>
  <c r="N318" i="2"/>
  <c r="N322" i="2"/>
  <c r="N326" i="2"/>
  <c r="N330" i="2"/>
  <c r="N334" i="2"/>
  <c r="N338" i="2"/>
  <c r="N342" i="2"/>
  <c r="N346" i="2"/>
  <c r="N350" i="2"/>
  <c r="N354" i="2"/>
  <c r="N358" i="2"/>
  <c r="N362" i="2"/>
  <c r="N366" i="2"/>
  <c r="M311" i="2"/>
  <c r="M315" i="2"/>
  <c r="M319" i="2"/>
  <c r="M323" i="2"/>
  <c r="M327" i="2"/>
  <c r="M331" i="2"/>
  <c r="M335" i="2"/>
  <c r="M339" i="2"/>
  <c r="M343" i="2"/>
  <c r="M347" i="2"/>
  <c r="M351" i="2"/>
  <c r="M355" i="2"/>
  <c r="M359" i="2"/>
  <c r="M363" i="2"/>
  <c r="M367" i="2"/>
  <c r="L312" i="2"/>
  <c r="L316" i="2"/>
  <c r="L320" i="2"/>
  <c r="L324" i="2"/>
  <c r="L328" i="2"/>
  <c r="L332" i="2"/>
  <c r="L336" i="2"/>
  <c r="L340" i="2"/>
  <c r="L344" i="2"/>
  <c r="L348" i="2"/>
  <c r="L352" i="2"/>
  <c r="L356" i="2"/>
  <c r="L360" i="2"/>
  <c r="L364" i="2"/>
  <c r="L368" i="2"/>
  <c r="N312" i="2"/>
  <c r="M312" i="2"/>
  <c r="N316" i="2"/>
  <c r="M316" i="2"/>
  <c r="N320" i="2"/>
  <c r="M320" i="2"/>
  <c r="N324" i="2"/>
  <c r="M324" i="2"/>
  <c r="N328" i="2"/>
  <c r="M328" i="2"/>
  <c r="N332" i="2"/>
  <c r="M332" i="2"/>
  <c r="N336" i="2"/>
  <c r="M336" i="2"/>
  <c r="N340" i="2"/>
  <c r="M340" i="2"/>
  <c r="N344" i="2"/>
  <c r="M344" i="2"/>
  <c r="N348" i="2"/>
  <c r="M348" i="2"/>
  <c r="N352" i="2"/>
  <c r="M352" i="2"/>
  <c r="N356" i="2"/>
  <c r="M356" i="2"/>
  <c r="N360" i="2"/>
  <c r="M360" i="2"/>
  <c r="N364" i="2"/>
  <c r="M364" i="2"/>
  <c r="N368" i="2"/>
  <c r="M368" i="2"/>
  <c r="G5" i="1" l="1"/>
  <c r="G4" i="1"/>
  <c r="F832" i="4"/>
  <c r="F828" i="4"/>
  <c r="F824" i="4"/>
  <c r="F820" i="4"/>
  <c r="F816" i="4"/>
  <c r="F812" i="4"/>
  <c r="F808" i="4"/>
  <c r="F804" i="4"/>
  <c r="F800" i="4"/>
  <c r="F796" i="4"/>
  <c r="F792" i="4"/>
  <c r="F788" i="4"/>
  <c r="F784" i="4"/>
  <c r="F780" i="4"/>
  <c r="F776" i="4"/>
  <c r="F772" i="4"/>
  <c r="F768" i="4"/>
  <c r="F764" i="4"/>
  <c r="F760" i="4"/>
  <c r="F756" i="4"/>
  <c r="F752" i="4"/>
  <c r="F748" i="4"/>
  <c r="F744" i="4"/>
  <c r="F740" i="4"/>
  <c r="F736" i="4"/>
  <c r="F732" i="4"/>
  <c r="F728" i="4"/>
  <c r="F724" i="4"/>
  <c r="F720" i="4"/>
  <c r="F716" i="4"/>
  <c r="F712" i="4"/>
  <c r="F708" i="4"/>
  <c r="F704" i="4"/>
  <c r="F700" i="4"/>
  <c r="F696" i="4"/>
  <c r="F692" i="4"/>
  <c r="F688" i="4"/>
  <c r="F684" i="4"/>
  <c r="F680" i="4"/>
  <c r="F676" i="4"/>
  <c r="F672" i="4"/>
  <c r="F668" i="4"/>
  <c r="F664" i="4"/>
  <c r="F660" i="4"/>
  <c r="F656" i="4"/>
  <c r="F652" i="4"/>
  <c r="F648" i="4"/>
  <c r="F644" i="4"/>
  <c r="F640" i="4"/>
  <c r="F636" i="4"/>
  <c r="F632" i="4"/>
  <c r="F628" i="4"/>
  <c r="F624" i="4"/>
  <c r="F620" i="4"/>
  <c r="F616" i="4"/>
  <c r="F612" i="4"/>
  <c r="F608" i="4"/>
  <c r="F604" i="4"/>
  <c r="F600" i="4"/>
  <c r="F596" i="4"/>
  <c r="F592" i="4"/>
  <c r="F588" i="4"/>
  <c r="F584" i="4"/>
  <c r="F580" i="4"/>
  <c r="F576" i="4"/>
  <c r="F572" i="4"/>
  <c r="F568" i="4"/>
  <c r="F564" i="4"/>
  <c r="F560" i="4"/>
  <c r="F556" i="4"/>
  <c r="F552" i="4"/>
  <c r="F548" i="4"/>
  <c r="F544" i="4"/>
  <c r="F540" i="4"/>
  <c r="F536" i="4"/>
  <c r="F532" i="4"/>
  <c r="F528" i="4"/>
  <c r="F524" i="4"/>
  <c r="F520" i="4"/>
  <c r="F516" i="4"/>
  <c r="F510" i="4"/>
  <c r="F505" i="4"/>
  <c r="F500" i="4"/>
  <c r="F494" i="4"/>
  <c r="F489" i="4"/>
  <c r="F484" i="4"/>
  <c r="F478" i="4"/>
  <c r="F473" i="4"/>
  <c r="F468" i="4"/>
  <c r="F462" i="4"/>
  <c r="F454" i="4"/>
  <c r="F446" i="4"/>
  <c r="F438" i="4"/>
  <c r="F429" i="4"/>
  <c r="F413" i="4"/>
  <c r="F397" i="4"/>
  <c r="F381" i="4"/>
  <c r="F365" i="4"/>
  <c r="F831" i="4"/>
  <c r="F827" i="4"/>
  <c r="F823" i="4"/>
  <c r="F819" i="4"/>
  <c r="F815" i="4"/>
  <c r="F811" i="4"/>
  <c r="F807" i="4"/>
  <c r="F803" i="4"/>
  <c r="F799" i="4"/>
  <c r="F795" i="4"/>
  <c r="F791" i="4"/>
  <c r="F787" i="4"/>
  <c r="F783" i="4"/>
  <c r="F779" i="4"/>
  <c r="F775" i="4"/>
  <c r="F771" i="4"/>
  <c r="F767" i="4"/>
  <c r="F763" i="4"/>
  <c r="F759" i="4"/>
  <c r="F755" i="4"/>
  <c r="F751" i="4"/>
  <c r="F747" i="4"/>
  <c r="F743" i="4"/>
  <c r="F739" i="4"/>
  <c r="F735" i="4"/>
  <c r="F731" i="4"/>
  <c r="F727" i="4"/>
  <c r="F723" i="4"/>
  <c r="F719" i="4"/>
  <c r="F715" i="4"/>
  <c r="F711" i="4"/>
  <c r="F707" i="4"/>
  <c r="F703" i="4"/>
  <c r="F699" i="4"/>
  <c r="F695" i="4"/>
  <c r="F691" i="4"/>
  <c r="F687" i="4"/>
  <c r="F683" i="4"/>
  <c r="F679" i="4"/>
  <c r="F675" i="4"/>
  <c r="F671" i="4"/>
  <c r="F667" i="4"/>
  <c r="F663" i="4"/>
  <c r="F659" i="4"/>
  <c r="F655" i="4"/>
  <c r="F651" i="4"/>
  <c r="F647" i="4"/>
  <c r="F643" i="4"/>
  <c r="F639" i="4"/>
  <c r="F635" i="4"/>
  <c r="F631" i="4"/>
  <c r="F627" i="4"/>
  <c r="F623" i="4"/>
  <c r="F619" i="4"/>
  <c r="F615" i="4"/>
  <c r="F611" i="4"/>
  <c r="F607" i="4"/>
  <c r="F603" i="4"/>
  <c r="F599" i="4"/>
  <c r="F595" i="4"/>
  <c r="F591" i="4"/>
  <c r="F587" i="4"/>
  <c r="F583" i="4"/>
  <c r="F579" i="4"/>
  <c r="F575" i="4"/>
  <c r="F571" i="4"/>
  <c r="F567" i="4"/>
  <c r="F563" i="4"/>
  <c r="F559" i="4"/>
  <c r="F555" i="4"/>
  <c r="F551" i="4"/>
  <c r="F547" i="4"/>
  <c r="F543" i="4"/>
  <c r="F539" i="4"/>
  <c r="F535" i="4"/>
  <c r="F531" i="4"/>
  <c r="F527" i="4"/>
  <c r="F523" i="4"/>
  <c r="F519" i="4"/>
  <c r="F514" i="4"/>
  <c r="F509" i="4"/>
  <c r="F504" i="4"/>
  <c r="F498" i="4"/>
  <c r="F493" i="4"/>
  <c r="F488" i="4"/>
  <c r="F482" i="4"/>
  <c r="F477" i="4"/>
  <c r="F472" i="4"/>
  <c r="F466" i="4"/>
  <c r="F461" i="4"/>
  <c r="F453" i="4"/>
  <c r="F445" i="4"/>
  <c r="F437" i="4"/>
  <c r="F425" i="4"/>
  <c r="F409" i="4"/>
  <c r="F393" i="4"/>
  <c r="F377" i="4"/>
  <c r="F361" i="4"/>
  <c r="F834" i="4"/>
  <c r="F830" i="4"/>
  <c r="F826" i="4"/>
  <c r="F822" i="4"/>
  <c r="F818" i="4"/>
  <c r="F814" i="4"/>
  <c r="F810" i="4"/>
  <c r="F806" i="4"/>
  <c r="F802" i="4"/>
  <c r="F798" i="4"/>
  <c r="F794" i="4"/>
  <c r="F790" i="4"/>
  <c r="F786" i="4"/>
  <c r="F782" i="4"/>
  <c r="F778" i="4"/>
  <c r="F774" i="4"/>
  <c r="F770" i="4"/>
  <c r="F766" i="4"/>
  <c r="F762" i="4"/>
  <c r="F758" i="4"/>
  <c r="F754" i="4"/>
  <c r="F750" i="4"/>
  <c r="F746" i="4"/>
  <c r="F742" i="4"/>
  <c r="F738" i="4"/>
  <c r="F734" i="4"/>
  <c r="F730" i="4"/>
  <c r="F726" i="4"/>
  <c r="F722" i="4"/>
  <c r="F718" i="4"/>
  <c r="F714" i="4"/>
  <c r="F710" i="4"/>
  <c r="F706" i="4"/>
  <c r="F702" i="4"/>
  <c r="F698" i="4"/>
  <c r="F694" i="4"/>
  <c r="F690" i="4"/>
  <c r="F686" i="4"/>
  <c r="F682" i="4"/>
  <c r="F678" i="4"/>
  <c r="F674" i="4"/>
  <c r="F670" i="4"/>
  <c r="F666" i="4"/>
  <c r="F662" i="4"/>
  <c r="F658" i="4"/>
  <c r="F654" i="4"/>
  <c r="F650" i="4"/>
  <c r="F646" i="4"/>
  <c r="F642" i="4"/>
  <c r="F638" i="4"/>
  <c r="F634" i="4"/>
  <c r="F630" i="4"/>
  <c r="F626" i="4"/>
  <c r="F622" i="4"/>
  <c r="F618" i="4"/>
  <c r="F614" i="4"/>
  <c r="F610" i="4"/>
  <c r="F606" i="4"/>
  <c r="F602" i="4"/>
  <c r="F598" i="4"/>
  <c r="F594" i="4"/>
  <c r="F590" i="4"/>
  <c r="F586" i="4"/>
  <c r="F582" i="4"/>
  <c r="F578" i="4"/>
  <c r="F574" i="4"/>
  <c r="F570" i="4"/>
  <c r="F566" i="4"/>
  <c r="F562" i="4"/>
  <c r="F558" i="4"/>
  <c r="F554" i="4"/>
  <c r="F550" i="4"/>
  <c r="F546" i="4"/>
  <c r="F542" i="4"/>
  <c r="F538" i="4"/>
  <c r="F534" i="4"/>
  <c r="F530" i="4"/>
  <c r="F526" i="4"/>
  <c r="F522" i="4"/>
  <c r="F518" i="4"/>
  <c r="F513" i="4"/>
  <c r="F508" i="4"/>
  <c r="F502" i="4"/>
  <c r="F497" i="4"/>
  <c r="F492" i="4"/>
  <c r="F486" i="4"/>
  <c r="F481" i="4"/>
  <c r="F476" i="4"/>
  <c r="F470" i="4"/>
  <c r="F465" i="4"/>
  <c r="F458" i="4"/>
  <c r="F450" i="4"/>
  <c r="F442" i="4"/>
  <c r="F434" i="4"/>
  <c r="F421" i="4"/>
  <c r="F405" i="4"/>
  <c r="F389" i="4"/>
  <c r="F373" i="4"/>
  <c r="F357" i="4"/>
  <c r="F833" i="4"/>
  <c r="F829" i="4"/>
  <c r="F825" i="4"/>
  <c r="F821" i="4"/>
  <c r="F817" i="4"/>
  <c r="F813" i="4"/>
  <c r="F809" i="4"/>
  <c r="F805" i="4"/>
  <c r="F801" i="4"/>
  <c r="F797" i="4"/>
  <c r="F793" i="4"/>
  <c r="F789" i="4"/>
  <c r="F785" i="4"/>
  <c r="F781" i="4"/>
  <c r="F777" i="4"/>
  <c r="F773" i="4"/>
  <c r="F769" i="4"/>
  <c r="F765" i="4"/>
  <c r="F761" i="4"/>
  <c r="F757" i="4"/>
  <c r="F753" i="4"/>
  <c r="F749" i="4"/>
  <c r="F745" i="4"/>
  <c r="F741" i="4"/>
  <c r="F737" i="4"/>
  <c r="F733" i="4"/>
  <c r="F729" i="4"/>
  <c r="F725" i="4"/>
  <c r="F721" i="4"/>
  <c r="F717" i="4"/>
  <c r="F713" i="4"/>
  <c r="F709" i="4"/>
  <c r="F705" i="4"/>
  <c r="F701" i="4"/>
  <c r="F697" i="4"/>
  <c r="F693" i="4"/>
  <c r="F689" i="4"/>
  <c r="F685" i="4"/>
  <c r="F681" i="4"/>
  <c r="F677" i="4"/>
  <c r="F673" i="4"/>
  <c r="F669" i="4"/>
  <c r="F665" i="4"/>
  <c r="F661" i="4"/>
  <c r="F657" i="4"/>
  <c r="F653" i="4"/>
  <c r="F649" i="4"/>
  <c r="F645" i="4"/>
  <c r="F641" i="4"/>
  <c r="F637" i="4"/>
  <c r="F633" i="4"/>
  <c r="F629" i="4"/>
  <c r="F625" i="4"/>
  <c r="F621" i="4"/>
  <c r="F617" i="4"/>
  <c r="F613" i="4"/>
  <c r="F609" i="4"/>
  <c r="F605" i="4"/>
  <c r="F601" i="4"/>
  <c r="F597" i="4"/>
  <c r="F593" i="4"/>
  <c r="F589" i="4"/>
  <c r="F585" i="4"/>
  <c r="F581" i="4"/>
  <c r="F577" i="4"/>
  <c r="F573" i="4"/>
  <c r="F569" i="4"/>
  <c r="F565" i="4"/>
  <c r="F561" i="4"/>
  <c r="F557" i="4"/>
  <c r="F553" i="4"/>
  <c r="F549" i="4"/>
  <c r="F545" i="4"/>
  <c r="F541" i="4"/>
  <c r="F537" i="4"/>
  <c r="F533" i="4"/>
  <c r="F529" i="4"/>
  <c r="F525" i="4"/>
  <c r="F521" i="4"/>
  <c r="F517" i="4"/>
  <c r="F512" i="4"/>
  <c r="F506" i="4"/>
  <c r="F501" i="4"/>
  <c r="F496" i="4"/>
  <c r="F490" i="4"/>
  <c r="F485" i="4"/>
  <c r="F480" i="4"/>
  <c r="F474" i="4"/>
  <c r="F469" i="4"/>
  <c r="F464" i="4"/>
  <c r="F457" i="4"/>
  <c r="F449" i="4"/>
  <c r="F441" i="4"/>
  <c r="F433" i="4"/>
  <c r="F417" i="4"/>
  <c r="F401" i="4"/>
  <c r="F385" i="4"/>
  <c r="F369" i="4"/>
  <c r="F353" i="4"/>
  <c r="F430" i="4"/>
  <c r="F426" i="4"/>
  <c r="F422" i="4"/>
  <c r="F418" i="4"/>
  <c r="F414" i="4"/>
  <c r="F410" i="4"/>
  <c r="F406" i="4"/>
  <c r="F402" i="4"/>
  <c r="F398" i="4"/>
  <c r="F394" i="4"/>
  <c r="F390" i="4"/>
  <c r="F386" i="4"/>
  <c r="F382" i="4"/>
  <c r="F378" i="4"/>
  <c r="F374" i="4"/>
  <c r="F370" i="4"/>
  <c r="F366" i="4"/>
  <c r="F362" i="4"/>
  <c r="F358" i="4"/>
  <c r="F354" i="4"/>
  <c r="F350" i="4"/>
  <c r="F346" i="4"/>
  <c r="F342" i="4"/>
  <c r="F338" i="4"/>
  <c r="F334" i="4"/>
  <c r="F330" i="4"/>
  <c r="F326" i="4"/>
  <c r="F322" i="4"/>
  <c r="F318" i="4"/>
  <c r="F314" i="4"/>
  <c r="F310" i="4"/>
  <c r="F306" i="4"/>
  <c r="F302" i="4"/>
  <c r="F298" i="4"/>
  <c r="F294" i="4"/>
  <c r="F290" i="4"/>
  <c r="F286" i="4"/>
  <c r="F282" i="4"/>
  <c r="F278" i="4"/>
  <c r="F274" i="4"/>
  <c r="F270" i="4"/>
  <c r="F266" i="4"/>
  <c r="F262" i="4"/>
  <c r="F258" i="4"/>
  <c r="F254" i="4"/>
  <c r="F250" i="4"/>
  <c r="F246" i="4"/>
  <c r="F242" i="4"/>
  <c r="F238" i="4"/>
  <c r="F234" i="4"/>
  <c r="F230" i="4"/>
  <c r="F226" i="4"/>
  <c r="F222" i="4"/>
  <c r="F218" i="4"/>
  <c r="F214" i="4"/>
  <c r="F210" i="4"/>
  <c r="F206" i="4"/>
  <c r="F202" i="4"/>
  <c r="F198" i="4"/>
  <c r="F194" i="4"/>
  <c r="F190" i="4"/>
  <c r="F186" i="4"/>
  <c r="F182" i="4"/>
  <c r="F178" i="4"/>
  <c r="F174" i="4"/>
  <c r="F170" i="4"/>
  <c r="F166" i="4"/>
  <c r="F162" i="4"/>
  <c r="F158" i="4"/>
  <c r="F154" i="4"/>
  <c r="F150" i="4"/>
  <c r="F146" i="4"/>
  <c r="F142" i="4"/>
  <c r="F138" i="4"/>
  <c r="F134" i="4"/>
  <c r="F130" i="4"/>
  <c r="F126" i="4"/>
  <c r="F122" i="4"/>
  <c r="F118" i="4"/>
  <c r="F114" i="4"/>
  <c r="F110" i="4"/>
  <c r="F106" i="4"/>
  <c r="F102" i="4"/>
  <c r="F98" i="4"/>
  <c r="F94" i="4"/>
  <c r="F90" i="4"/>
  <c r="F86" i="4"/>
  <c r="F82" i="4"/>
  <c r="F78" i="4"/>
  <c r="F74" i="4"/>
  <c r="F70" i="4"/>
  <c r="F66" i="4"/>
  <c r="F62" i="4"/>
  <c r="F58" i="4"/>
  <c r="F54" i="4"/>
  <c r="F50" i="4"/>
  <c r="F46" i="4"/>
  <c r="F42" i="4"/>
  <c r="F38" i="4"/>
  <c r="F34" i="4"/>
  <c r="F30" i="4"/>
  <c r="F26" i="4"/>
  <c r="F22" i="4"/>
  <c r="F18" i="4"/>
  <c r="F14" i="4"/>
  <c r="F10" i="4"/>
  <c r="F6" i="4"/>
  <c r="F349" i="4"/>
  <c r="F345" i="4"/>
  <c r="F341" i="4"/>
  <c r="F337" i="4"/>
  <c r="F333" i="4"/>
  <c r="F329" i="4"/>
  <c r="F325" i="4"/>
  <c r="F321" i="4"/>
  <c r="F317" i="4"/>
  <c r="F313" i="4"/>
  <c r="F309" i="4"/>
  <c r="F305" i="4"/>
  <c r="F301" i="4"/>
  <c r="F297" i="4"/>
  <c r="F293" i="4"/>
  <c r="F289" i="4"/>
  <c r="F285" i="4"/>
  <c r="F281" i="4"/>
  <c r="F277" i="4"/>
  <c r="F273" i="4"/>
  <c r="F269" i="4"/>
  <c r="F265" i="4"/>
  <c r="F261" i="4"/>
  <c r="F257" i="4"/>
  <c r="F253" i="4"/>
  <c r="F249" i="4"/>
  <c r="F245" i="4"/>
  <c r="F241" i="4"/>
  <c r="F237" i="4"/>
  <c r="F233" i="4"/>
  <c r="F229" i="4"/>
  <c r="F225" i="4"/>
  <c r="F221" i="4"/>
  <c r="F217" i="4"/>
  <c r="F213" i="4"/>
  <c r="F209" i="4"/>
  <c r="F205" i="4"/>
  <c r="F201" i="4"/>
  <c r="F197" i="4"/>
  <c r="F193" i="4"/>
  <c r="F189" i="4"/>
  <c r="F185" i="4"/>
  <c r="F181" i="4"/>
  <c r="F177" i="4"/>
  <c r="F173" i="4"/>
  <c r="F169" i="4"/>
  <c r="F165" i="4"/>
  <c r="F161" i="4"/>
  <c r="F157" i="4"/>
  <c r="F153" i="4"/>
  <c r="F149" i="4"/>
  <c r="F145" i="4"/>
  <c r="F141" i="4"/>
  <c r="F137" i="4"/>
  <c r="F133" i="4"/>
  <c r="F129" i="4"/>
  <c r="F125" i="4"/>
  <c r="F121" i="4"/>
  <c r="F117" i="4"/>
  <c r="F113" i="4"/>
  <c r="F109" i="4"/>
  <c r="F105" i="4"/>
  <c r="F101" i="4"/>
  <c r="F97" i="4"/>
  <c r="F93" i="4"/>
  <c r="F89" i="4"/>
  <c r="F85" i="4"/>
  <c r="F81" i="4"/>
  <c r="F77" i="4"/>
  <c r="F73" i="4"/>
  <c r="F69" i="4"/>
  <c r="F65" i="4"/>
  <c r="F61" i="4"/>
  <c r="F57" i="4"/>
  <c r="F53" i="4"/>
  <c r="F49" i="4"/>
  <c r="F45" i="4"/>
  <c r="F41" i="4"/>
  <c r="F37" i="4"/>
  <c r="F33" i="4"/>
  <c r="F29" i="4"/>
  <c r="F25" i="4"/>
  <c r="F21" i="4"/>
  <c r="F17" i="4"/>
  <c r="F13" i="4"/>
  <c r="F9" i="4"/>
  <c r="F5" i="4"/>
  <c r="F460" i="4"/>
  <c r="F456" i="4"/>
  <c r="F452" i="4"/>
  <c r="F448" i="4"/>
  <c r="F444" i="4"/>
  <c r="F440" i="4"/>
  <c r="F436" i="4"/>
  <c r="F432" i="4"/>
  <c r="F428" i="4"/>
  <c r="F424" i="4"/>
  <c r="F420" i="4"/>
  <c r="F416" i="4"/>
  <c r="F412" i="4"/>
  <c r="F408" i="4"/>
  <c r="F404" i="4"/>
  <c r="F400" i="4"/>
  <c r="F396" i="4"/>
  <c r="F392" i="4"/>
  <c r="F388" i="4"/>
  <c r="F384" i="4"/>
  <c r="F380" i="4"/>
  <c r="F376" i="4"/>
  <c r="F372" i="4"/>
  <c r="F368" i="4"/>
  <c r="F364" i="4"/>
  <c r="F360" i="4"/>
  <c r="F356" i="4"/>
  <c r="F352" i="4"/>
  <c r="F348" i="4"/>
  <c r="F344" i="4"/>
  <c r="F340" i="4"/>
  <c r="F336" i="4"/>
  <c r="F332" i="4"/>
  <c r="F328" i="4"/>
  <c r="F324" i="4"/>
  <c r="F320" i="4"/>
  <c r="F316" i="4"/>
  <c r="F312" i="4"/>
  <c r="F308" i="4"/>
  <c r="F304" i="4"/>
  <c r="F300" i="4"/>
  <c r="F296" i="4"/>
  <c r="F292" i="4"/>
  <c r="F288" i="4"/>
  <c r="F284" i="4"/>
  <c r="F280" i="4"/>
  <c r="F276" i="4"/>
  <c r="F272" i="4"/>
  <c r="F268" i="4"/>
  <c r="F264" i="4"/>
  <c r="F260" i="4"/>
  <c r="F256" i="4"/>
  <c r="F252" i="4"/>
  <c r="F248" i="4"/>
  <c r="F244" i="4"/>
  <c r="F240" i="4"/>
  <c r="F236" i="4"/>
  <c r="F232" i="4"/>
  <c r="F228" i="4"/>
  <c r="F224" i="4"/>
  <c r="F220" i="4"/>
  <c r="F216" i="4"/>
  <c r="F212" i="4"/>
  <c r="F208" i="4"/>
  <c r="F204" i="4"/>
  <c r="F200" i="4"/>
  <c r="F196" i="4"/>
  <c r="F192" i="4"/>
  <c r="F188" i="4"/>
  <c r="F184" i="4"/>
  <c r="F180" i="4"/>
  <c r="F176" i="4"/>
  <c r="F172" i="4"/>
  <c r="F168" i="4"/>
  <c r="F164" i="4"/>
  <c r="F160" i="4"/>
  <c r="F156" i="4"/>
  <c r="F152" i="4"/>
  <c r="F148" i="4"/>
  <c r="F144" i="4"/>
  <c r="F140" i="4"/>
  <c r="E832" i="4"/>
  <c r="E827" i="4"/>
  <c r="E822" i="4"/>
  <c r="E816" i="4"/>
  <c r="E811" i="4"/>
  <c r="E806" i="4"/>
  <c r="E800" i="4"/>
  <c r="E795" i="4"/>
  <c r="E790" i="4"/>
  <c r="E784" i="4"/>
  <c r="E779" i="4"/>
  <c r="E774" i="4"/>
  <c r="E768" i="4"/>
  <c r="E763" i="4"/>
  <c r="E758" i="4"/>
  <c r="E752" i="4"/>
  <c r="E747" i="4"/>
  <c r="E742" i="4"/>
  <c r="E736" i="4"/>
  <c r="E731" i="4"/>
  <c r="E726" i="4"/>
  <c r="E720" i="4"/>
  <c r="E715" i="4"/>
  <c r="E710" i="4"/>
  <c r="E704" i="4"/>
  <c r="E699" i="4"/>
  <c r="E694" i="4"/>
  <c r="E688" i="4"/>
  <c r="E683" i="4"/>
  <c r="E678" i="4"/>
  <c r="E672" i="4"/>
  <c r="E667" i="4"/>
  <c r="E662" i="4"/>
  <c r="E656" i="4"/>
  <c r="E651" i="4"/>
  <c r="E646" i="4"/>
  <c r="E640" i="4"/>
  <c r="E635" i="4"/>
  <c r="E630" i="4"/>
  <c r="E623" i="4"/>
  <c r="E615" i="4"/>
  <c r="E607" i="4"/>
  <c r="E599" i="4"/>
  <c r="E591" i="4"/>
  <c r="E583" i="4"/>
  <c r="E575" i="4"/>
  <c r="E567" i="4"/>
  <c r="E559" i="4"/>
  <c r="E543" i="4"/>
  <c r="E831" i="4"/>
  <c r="E826" i="4"/>
  <c r="E820" i="4"/>
  <c r="E815" i="4"/>
  <c r="E810" i="4"/>
  <c r="E804" i="4"/>
  <c r="E799" i="4"/>
  <c r="E794" i="4"/>
  <c r="E788" i="4"/>
  <c r="E783" i="4"/>
  <c r="E778" i="4"/>
  <c r="E772" i="4"/>
  <c r="E767" i="4"/>
  <c r="E762" i="4"/>
  <c r="E756" i="4"/>
  <c r="E751" i="4"/>
  <c r="E746" i="4"/>
  <c r="E740" i="4"/>
  <c r="E735" i="4"/>
  <c r="E730" i="4"/>
  <c r="E724" i="4"/>
  <c r="E719" i="4"/>
  <c r="E714" i="4"/>
  <c r="E708" i="4"/>
  <c r="E703" i="4"/>
  <c r="E698" i="4"/>
  <c r="E692" i="4"/>
  <c r="E687" i="4"/>
  <c r="E682" i="4"/>
  <c r="E676" i="4"/>
  <c r="E671" i="4"/>
  <c r="E666" i="4"/>
  <c r="E660" i="4"/>
  <c r="E655" i="4"/>
  <c r="E650" i="4"/>
  <c r="E644" i="4"/>
  <c r="E639" i="4"/>
  <c r="E634" i="4"/>
  <c r="E628" i="4"/>
  <c r="E620" i="4"/>
  <c r="E612" i="4"/>
  <c r="E604" i="4"/>
  <c r="E596" i="4"/>
  <c r="E588" i="4"/>
  <c r="E580" i="4"/>
  <c r="E572" i="4"/>
  <c r="E564" i="4"/>
  <c r="E555" i="4"/>
  <c r="E539" i="4"/>
  <c r="E830" i="4"/>
  <c r="E824" i="4"/>
  <c r="E819" i="4"/>
  <c r="E814" i="4"/>
  <c r="E808" i="4"/>
  <c r="E803" i="4"/>
  <c r="E798" i="4"/>
  <c r="E792" i="4"/>
  <c r="E787" i="4"/>
  <c r="E782" i="4"/>
  <c r="E776" i="4"/>
  <c r="E771" i="4"/>
  <c r="E766" i="4"/>
  <c r="E760" i="4"/>
  <c r="E755" i="4"/>
  <c r="E750" i="4"/>
  <c r="E744" i="4"/>
  <c r="E739" i="4"/>
  <c r="E734" i="4"/>
  <c r="E728" i="4"/>
  <c r="E723" i="4"/>
  <c r="E718" i="4"/>
  <c r="E712" i="4"/>
  <c r="E707" i="4"/>
  <c r="E702" i="4"/>
  <c r="E696" i="4"/>
  <c r="E691" i="4"/>
  <c r="E686" i="4"/>
  <c r="E680" i="4"/>
  <c r="E675" i="4"/>
  <c r="E670" i="4"/>
  <c r="E664" i="4"/>
  <c r="E659" i="4"/>
  <c r="E654" i="4"/>
  <c r="E648" i="4"/>
  <c r="E643" i="4"/>
  <c r="E638" i="4"/>
  <c r="E632" i="4"/>
  <c r="E627" i="4"/>
  <c r="E619" i="4"/>
  <c r="E611" i="4"/>
  <c r="E603" i="4"/>
  <c r="E595" i="4"/>
  <c r="E587" i="4"/>
  <c r="E579" i="4"/>
  <c r="E571" i="4"/>
  <c r="E563" i="4"/>
  <c r="E551" i="4"/>
  <c r="E535" i="4"/>
  <c r="E834" i="4"/>
  <c r="E828" i="4"/>
  <c r="E823" i="4"/>
  <c r="E818" i="4"/>
  <c r="E812" i="4"/>
  <c r="E807" i="4"/>
  <c r="E802" i="4"/>
  <c r="E796" i="4"/>
  <c r="E791" i="4"/>
  <c r="E786" i="4"/>
  <c r="E780" i="4"/>
  <c r="E775" i="4"/>
  <c r="E770" i="4"/>
  <c r="E764" i="4"/>
  <c r="E759" i="4"/>
  <c r="E754" i="4"/>
  <c r="E748" i="4"/>
  <c r="E743" i="4"/>
  <c r="E738" i="4"/>
  <c r="E732" i="4"/>
  <c r="E727" i="4"/>
  <c r="E722" i="4"/>
  <c r="E716" i="4"/>
  <c r="E711" i="4"/>
  <c r="E706" i="4"/>
  <c r="E700" i="4"/>
  <c r="E695" i="4"/>
  <c r="E690" i="4"/>
  <c r="E684" i="4"/>
  <c r="E679" i="4"/>
  <c r="E674" i="4"/>
  <c r="E668" i="4"/>
  <c r="E663" i="4"/>
  <c r="E658" i="4"/>
  <c r="E652" i="4"/>
  <c r="E647" i="4"/>
  <c r="E642" i="4"/>
  <c r="E636" i="4"/>
  <c r="E631" i="4"/>
  <c r="E624" i="4"/>
  <c r="E616" i="4"/>
  <c r="E608" i="4"/>
  <c r="E600" i="4"/>
  <c r="E592" i="4"/>
  <c r="E584" i="4"/>
  <c r="E576" i="4"/>
  <c r="E568" i="4"/>
  <c r="E560" i="4"/>
  <c r="E547" i="4"/>
  <c r="E531" i="4"/>
  <c r="E556" i="4"/>
  <c r="E552" i="4"/>
  <c r="E548" i="4"/>
  <c r="E544" i="4"/>
  <c r="E540" i="4"/>
  <c r="E536" i="4"/>
  <c r="E532" i="4"/>
  <c r="E528" i="4"/>
  <c r="E524" i="4"/>
  <c r="E520" i="4"/>
  <c r="E516" i="4"/>
  <c r="E512" i="4"/>
  <c r="E508" i="4"/>
  <c r="E504" i="4"/>
  <c r="E500" i="4"/>
  <c r="E496" i="4"/>
  <c r="E492" i="4"/>
  <c r="E488" i="4"/>
  <c r="E484" i="4"/>
  <c r="E480" i="4"/>
  <c r="E476" i="4"/>
  <c r="E472" i="4"/>
  <c r="E468" i="4"/>
  <c r="E464" i="4"/>
  <c r="E460" i="4"/>
  <c r="E456" i="4"/>
  <c r="E452" i="4"/>
  <c r="E448" i="4"/>
  <c r="E444" i="4"/>
  <c r="E440" i="4"/>
  <c r="E436" i="4"/>
  <c r="E432" i="4"/>
  <c r="E428" i="4"/>
  <c r="E424" i="4"/>
  <c r="E420" i="4"/>
  <c r="E416" i="4"/>
  <c r="E412" i="4"/>
  <c r="E408" i="4"/>
  <c r="E404" i="4"/>
  <c r="E400" i="4"/>
  <c r="E396" i="4"/>
  <c r="E392" i="4"/>
  <c r="E388" i="4"/>
  <c r="E384" i="4"/>
  <c r="E380" i="4"/>
  <c r="E376" i="4"/>
  <c r="E372" i="4"/>
  <c r="E368" i="4"/>
  <c r="E364" i="4"/>
  <c r="E360" i="4"/>
  <c r="E356" i="4"/>
  <c r="E352" i="4"/>
  <c r="E348" i="4"/>
  <c r="E344" i="4"/>
  <c r="E340" i="4"/>
  <c r="E336" i="4"/>
  <c r="E332" i="4"/>
  <c r="E328" i="4"/>
  <c r="E324" i="4"/>
  <c r="E320" i="4"/>
  <c r="E316" i="4"/>
  <c r="E312" i="4"/>
  <c r="E308" i="4"/>
  <c r="E304" i="4"/>
  <c r="E300" i="4"/>
  <c r="E296" i="4"/>
  <c r="E292" i="4"/>
  <c r="E288" i="4"/>
  <c r="E284" i="4"/>
  <c r="E280" i="4"/>
  <c r="E276" i="4"/>
  <c r="E272" i="4"/>
  <c r="E268" i="4"/>
  <c r="E264" i="4"/>
  <c r="E260" i="4"/>
  <c r="E256" i="4"/>
  <c r="E252" i="4"/>
  <c r="E248" i="4"/>
  <c r="E244" i="4"/>
  <c r="E240" i="4"/>
  <c r="E236" i="4"/>
  <c r="E232" i="4"/>
  <c r="E228" i="4"/>
  <c r="E224" i="4"/>
  <c r="E220" i="4"/>
  <c r="E216" i="4"/>
  <c r="E212" i="4"/>
  <c r="E208" i="4"/>
  <c r="E204" i="4"/>
  <c r="E200" i="4"/>
  <c r="E196" i="4"/>
  <c r="E192" i="4"/>
  <c r="E188" i="4"/>
  <c r="E184" i="4"/>
  <c r="E180" i="4"/>
  <c r="E176" i="4"/>
  <c r="E172" i="4"/>
  <c r="E168" i="4"/>
  <c r="E164" i="4"/>
  <c r="E160" i="4"/>
  <c r="E156" i="4"/>
  <c r="E152" i="4"/>
  <c r="E148" i="4"/>
  <c r="E144" i="4"/>
  <c r="E140" i="4"/>
  <c r="E136" i="4"/>
  <c r="E132" i="4"/>
  <c r="E128" i="4"/>
  <c r="E124" i="4"/>
  <c r="E120" i="4"/>
  <c r="E116" i="4"/>
  <c r="E112" i="4"/>
  <c r="E108" i="4"/>
  <c r="E104" i="4"/>
  <c r="E100" i="4"/>
  <c r="E96" i="4"/>
  <c r="E92" i="4"/>
  <c r="E88" i="4"/>
  <c r="E84" i="4"/>
  <c r="E80" i="4"/>
  <c r="E76" i="4"/>
  <c r="E72" i="4"/>
  <c r="E68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12" i="4"/>
  <c r="E8" i="4"/>
  <c r="E4" i="4"/>
  <c r="E527" i="4"/>
  <c r="E523" i="4"/>
  <c r="E519" i="4"/>
  <c r="E515" i="4"/>
  <c r="E511" i="4"/>
  <c r="E507" i="4"/>
  <c r="E503" i="4"/>
  <c r="E499" i="4"/>
  <c r="E495" i="4"/>
  <c r="E491" i="4"/>
  <c r="E487" i="4"/>
  <c r="E483" i="4"/>
  <c r="E479" i="4"/>
  <c r="E475" i="4"/>
  <c r="E471" i="4"/>
  <c r="E467" i="4"/>
  <c r="E463" i="4"/>
  <c r="E459" i="4"/>
  <c r="E455" i="4"/>
  <c r="E451" i="4"/>
  <c r="E447" i="4"/>
  <c r="E443" i="4"/>
  <c r="E439" i="4"/>
  <c r="E435" i="4"/>
  <c r="E431" i="4"/>
  <c r="E427" i="4"/>
  <c r="E423" i="4"/>
  <c r="E419" i="4"/>
  <c r="E415" i="4"/>
  <c r="E411" i="4"/>
  <c r="E407" i="4"/>
  <c r="E403" i="4"/>
  <c r="E399" i="4"/>
  <c r="E395" i="4"/>
  <c r="E391" i="4"/>
  <c r="E387" i="4"/>
  <c r="E383" i="4"/>
  <c r="E379" i="4"/>
  <c r="E375" i="4"/>
  <c r="E371" i="4"/>
  <c r="E367" i="4"/>
  <c r="E363" i="4"/>
  <c r="E359" i="4"/>
  <c r="E355" i="4"/>
  <c r="E351" i="4"/>
  <c r="E347" i="4"/>
  <c r="E343" i="4"/>
  <c r="E339" i="4"/>
  <c r="E335" i="4"/>
  <c r="E331" i="4"/>
  <c r="E327" i="4"/>
  <c r="E323" i="4"/>
  <c r="E319" i="4"/>
  <c r="E315" i="4"/>
  <c r="E311" i="4"/>
  <c r="E307" i="4"/>
  <c r="E303" i="4"/>
  <c r="E299" i="4"/>
  <c r="E295" i="4"/>
  <c r="E291" i="4"/>
  <c r="E287" i="4"/>
  <c r="E283" i="4"/>
  <c r="E279" i="4"/>
  <c r="E275" i="4"/>
  <c r="E271" i="4"/>
  <c r="E267" i="4"/>
  <c r="E263" i="4"/>
  <c r="E259" i="4"/>
  <c r="E255" i="4"/>
  <c r="E251" i="4"/>
  <c r="E247" i="4"/>
  <c r="E243" i="4"/>
  <c r="E239" i="4"/>
  <c r="E235" i="4"/>
  <c r="E231" i="4"/>
  <c r="E227" i="4"/>
  <c r="E223" i="4"/>
  <c r="E219" i="4"/>
  <c r="E215" i="4"/>
  <c r="E211" i="4"/>
  <c r="E207" i="4"/>
  <c r="E203" i="4"/>
  <c r="E199" i="4"/>
  <c r="E195" i="4"/>
  <c r="E191" i="4"/>
  <c r="E187" i="4"/>
  <c r="E183" i="4"/>
  <c r="E179" i="4"/>
  <c r="E175" i="4"/>
  <c r="E171" i="4"/>
  <c r="E167" i="4"/>
  <c r="E163" i="4"/>
  <c r="E159" i="4"/>
  <c r="E155" i="4"/>
  <c r="E151" i="4"/>
  <c r="E147" i="4"/>
  <c r="E143" i="4"/>
  <c r="E139" i="4"/>
  <c r="E135" i="4"/>
  <c r="E131" i="4"/>
  <c r="E127" i="4"/>
  <c r="E123" i="4"/>
  <c r="E119" i="4"/>
  <c r="E115" i="4"/>
  <c r="E111" i="4"/>
  <c r="E107" i="4"/>
  <c r="E103" i="4"/>
  <c r="E99" i="4"/>
  <c r="E95" i="4"/>
  <c r="E91" i="4"/>
  <c r="E87" i="4"/>
  <c r="E83" i="4"/>
  <c r="E79" i="4"/>
  <c r="E75" i="4"/>
  <c r="E71" i="4"/>
  <c r="E67" i="4"/>
  <c r="E63" i="4"/>
  <c r="E59" i="4"/>
  <c r="E55" i="4"/>
  <c r="E51" i="4"/>
  <c r="E47" i="4"/>
  <c r="E43" i="4"/>
  <c r="E39" i="4"/>
  <c r="E35" i="4"/>
  <c r="E31" i="4"/>
  <c r="E27" i="4"/>
  <c r="E23" i="4"/>
  <c r="E19" i="4"/>
  <c r="E15" i="4"/>
  <c r="E11" i="4"/>
  <c r="E7" i="4"/>
  <c r="E3" i="4"/>
  <c r="E626" i="4"/>
  <c r="E622" i="4"/>
  <c r="E618" i="4"/>
  <c r="E614" i="4"/>
  <c r="E610" i="4"/>
  <c r="E606" i="4"/>
  <c r="E602" i="4"/>
  <c r="E598" i="4"/>
  <c r="E594" i="4"/>
  <c r="E590" i="4"/>
  <c r="E586" i="4"/>
  <c r="E582" i="4"/>
  <c r="E578" i="4"/>
  <c r="E574" i="4"/>
  <c r="E570" i="4"/>
  <c r="E566" i="4"/>
  <c r="E562" i="4"/>
  <c r="E558" i="4"/>
  <c r="E554" i="4"/>
  <c r="E550" i="4"/>
  <c r="E546" i="4"/>
  <c r="E542" i="4"/>
  <c r="E538" i="4"/>
  <c r="E534" i="4"/>
  <c r="E530" i="4"/>
  <c r="E526" i="4"/>
  <c r="E522" i="4"/>
  <c r="E518" i="4"/>
  <c r="E514" i="4"/>
  <c r="E510" i="4"/>
  <c r="E506" i="4"/>
  <c r="E502" i="4"/>
  <c r="E498" i="4"/>
  <c r="E494" i="4"/>
  <c r="E490" i="4"/>
  <c r="E486" i="4"/>
  <c r="E482" i="4"/>
  <c r="E478" i="4"/>
  <c r="E474" i="4"/>
  <c r="E470" i="4"/>
  <c r="E466" i="4"/>
  <c r="E462" i="4"/>
  <c r="E458" i="4"/>
  <c r="E454" i="4"/>
  <c r="E450" i="4"/>
  <c r="E446" i="4"/>
  <c r="E442" i="4"/>
  <c r="E438" i="4"/>
  <c r="E434" i="4"/>
  <c r="E430" i="4"/>
  <c r="E426" i="4"/>
  <c r="E422" i="4"/>
  <c r="E418" i="4"/>
  <c r="E414" i="4"/>
  <c r="E410" i="4"/>
  <c r="E406" i="4"/>
  <c r="E402" i="4"/>
  <c r="E398" i="4"/>
  <c r="E394" i="4"/>
  <c r="E390" i="4"/>
  <c r="E386" i="4"/>
  <c r="E382" i="4"/>
  <c r="E378" i="4"/>
  <c r="E374" i="4"/>
  <c r="E370" i="4"/>
  <c r="E366" i="4"/>
  <c r="E362" i="4"/>
  <c r="E358" i="4"/>
  <c r="E354" i="4"/>
  <c r="E350" i="4"/>
  <c r="E346" i="4"/>
  <c r="E342" i="4"/>
  <c r="E338" i="4"/>
  <c r="E334" i="4"/>
  <c r="E330" i="4"/>
  <c r="E326" i="4"/>
  <c r="E322" i="4"/>
  <c r="E318" i="4"/>
  <c r="E314" i="4"/>
  <c r="E310" i="4"/>
  <c r="E306" i="4"/>
  <c r="E302" i="4"/>
  <c r="E298" i="4"/>
  <c r="E294" i="4"/>
  <c r="E290" i="4"/>
  <c r="E286" i="4"/>
  <c r="E282" i="4"/>
  <c r="E278" i="4"/>
  <c r="E274" i="4"/>
  <c r="E270" i="4"/>
  <c r="E266" i="4"/>
  <c r="E262" i="4"/>
  <c r="E258" i="4"/>
  <c r="E254" i="4"/>
  <c r="E250" i="4"/>
  <c r="E246" i="4"/>
  <c r="E242" i="4"/>
  <c r="E238" i="4"/>
  <c r="E234" i="4"/>
  <c r="E230" i="4"/>
  <c r="E226" i="4"/>
  <c r="E222" i="4"/>
  <c r="E218" i="4"/>
  <c r="E214" i="4"/>
  <c r="E210" i="4"/>
  <c r="E206" i="4"/>
  <c r="E202" i="4"/>
  <c r="E198" i="4"/>
  <c r="E194" i="4"/>
  <c r="E190" i="4"/>
  <c r="E186" i="4"/>
  <c r="E182" i="4"/>
  <c r="E178" i="4"/>
  <c r="E174" i="4"/>
  <c r="E170" i="4"/>
  <c r="E166" i="4"/>
  <c r="E162" i="4"/>
  <c r="E158" i="4"/>
  <c r="E154" i="4"/>
  <c r="E150" i="4"/>
  <c r="E146" i="4"/>
  <c r="E142" i="4"/>
  <c r="E138" i="4"/>
  <c r="E134" i="4"/>
  <c r="E130" i="4"/>
  <c r="E126" i="4"/>
  <c r="E122" i="4"/>
  <c r="E118" i="4"/>
  <c r="E114" i="4"/>
  <c r="E110" i="4"/>
  <c r="E106" i="4"/>
  <c r="E102" i="4"/>
  <c r="E98" i="4"/>
  <c r="E94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E833" i="4"/>
  <c r="E829" i="4"/>
  <c r="E825" i="4"/>
  <c r="E821" i="4"/>
  <c r="E817" i="4"/>
  <c r="E813" i="4"/>
  <c r="E809" i="4"/>
  <c r="E805" i="4"/>
  <c r="E801" i="4"/>
  <c r="E797" i="4"/>
  <c r="E793" i="4"/>
  <c r="E789" i="4"/>
  <c r="E785" i="4"/>
  <c r="E781" i="4"/>
  <c r="E777" i="4"/>
  <c r="E773" i="4"/>
  <c r="E769" i="4"/>
  <c r="E765" i="4"/>
  <c r="E761" i="4"/>
  <c r="E757" i="4"/>
  <c r="E753" i="4"/>
  <c r="E749" i="4"/>
  <c r="E745" i="4"/>
  <c r="E741" i="4"/>
  <c r="E737" i="4"/>
  <c r="E733" i="4"/>
  <c r="E729" i="4"/>
  <c r="E725" i="4"/>
  <c r="E721" i="4"/>
  <c r="E717" i="4"/>
  <c r="E713" i="4"/>
  <c r="E709" i="4"/>
  <c r="E705" i="4"/>
  <c r="E701" i="4"/>
  <c r="E697" i="4"/>
  <c r="E693" i="4"/>
  <c r="E689" i="4"/>
  <c r="E685" i="4"/>
  <c r="E681" i="4"/>
  <c r="E677" i="4"/>
  <c r="E673" i="4"/>
  <c r="E669" i="4"/>
  <c r="E665" i="4"/>
  <c r="E661" i="4"/>
  <c r="E657" i="4"/>
  <c r="E653" i="4"/>
  <c r="E649" i="4"/>
  <c r="E645" i="4"/>
  <c r="E641" i="4"/>
  <c r="E637" i="4"/>
  <c r="E633" i="4"/>
  <c r="E629" i="4"/>
  <c r="E625" i="4"/>
  <c r="E621" i="4"/>
  <c r="E617" i="4"/>
  <c r="E613" i="4"/>
  <c r="E609" i="4"/>
  <c r="E605" i="4"/>
  <c r="E601" i="4"/>
  <c r="E597" i="4"/>
  <c r="E593" i="4"/>
  <c r="E589" i="4"/>
  <c r="E585" i="4"/>
  <c r="E581" i="4"/>
  <c r="E577" i="4"/>
  <c r="E573" i="4"/>
  <c r="E569" i="4"/>
  <c r="E565" i="4"/>
  <c r="E561" i="4"/>
  <c r="E557" i="4"/>
  <c r="E553" i="4"/>
  <c r="E549" i="4"/>
  <c r="E545" i="4"/>
  <c r="E541" i="4"/>
  <c r="E537" i="4"/>
  <c r="E533" i="4"/>
  <c r="E529" i="4"/>
  <c r="E525" i="4"/>
  <c r="E521" i="4"/>
  <c r="E517" i="4"/>
  <c r="E513" i="4"/>
  <c r="E509" i="4"/>
  <c r="E505" i="4"/>
  <c r="E501" i="4"/>
  <c r="E497" i="4"/>
  <c r="E493" i="4"/>
  <c r="E489" i="4"/>
  <c r="E485" i="4"/>
  <c r="E481" i="4"/>
  <c r="E477" i="4"/>
  <c r="E473" i="4"/>
  <c r="E469" i="4"/>
  <c r="E465" i="4"/>
  <c r="E461" i="4"/>
  <c r="E457" i="4"/>
  <c r="E453" i="4"/>
  <c r="E449" i="4"/>
  <c r="E445" i="4"/>
  <c r="E441" i="4"/>
  <c r="E437" i="4"/>
  <c r="E433" i="4"/>
  <c r="E429" i="4"/>
  <c r="E425" i="4"/>
  <c r="E421" i="4"/>
  <c r="E417" i="4"/>
  <c r="E413" i="4"/>
  <c r="E409" i="4"/>
  <c r="E405" i="4"/>
  <c r="E401" i="4"/>
  <c r="E397" i="4"/>
  <c r="E393" i="4"/>
  <c r="E389" i="4"/>
  <c r="E385" i="4"/>
  <c r="E381" i="4"/>
  <c r="E377" i="4"/>
  <c r="E373" i="4"/>
  <c r="E369" i="4"/>
  <c r="E365" i="4"/>
  <c r="E361" i="4"/>
  <c r="E357" i="4"/>
  <c r="E353" i="4"/>
  <c r="E349" i="4"/>
  <c r="E345" i="4"/>
  <c r="E341" i="4"/>
  <c r="E337" i="4"/>
  <c r="E333" i="4"/>
  <c r="E329" i="4"/>
  <c r="E325" i="4"/>
  <c r="E321" i="4"/>
  <c r="E317" i="4"/>
  <c r="E313" i="4"/>
  <c r="E309" i="4"/>
  <c r="E305" i="4"/>
  <c r="E301" i="4"/>
  <c r="E297" i="4"/>
  <c r="E293" i="4"/>
  <c r="E289" i="4"/>
  <c r="E285" i="4"/>
  <c r="E281" i="4"/>
  <c r="E277" i="4"/>
  <c r="E273" i="4"/>
  <c r="E269" i="4"/>
  <c r="E265" i="4"/>
  <c r="E261" i="4"/>
  <c r="E257" i="4"/>
  <c r="E253" i="4"/>
  <c r="E249" i="4"/>
  <c r="E245" i="4"/>
  <c r="E241" i="4"/>
  <c r="E237" i="4"/>
  <c r="E233" i="4"/>
  <c r="E229" i="4"/>
  <c r="E225" i="4"/>
  <c r="E221" i="4"/>
  <c r="E217" i="4"/>
  <c r="E213" i="4"/>
  <c r="E209" i="4"/>
  <c r="E205" i="4"/>
  <c r="E201" i="4"/>
  <c r="E197" i="4"/>
  <c r="E193" i="4"/>
  <c r="E189" i="4"/>
  <c r="E185" i="4"/>
  <c r="E181" i="4"/>
  <c r="E177" i="4"/>
  <c r="E173" i="4"/>
  <c r="E169" i="4"/>
  <c r="E165" i="4"/>
  <c r="E161" i="4"/>
  <c r="E157" i="4"/>
  <c r="E153" i="4"/>
  <c r="E149" i="4"/>
  <c r="E145" i="4"/>
  <c r="E141" i="4"/>
  <c r="E137" i="4"/>
  <c r="E133" i="4"/>
  <c r="E129" i="4"/>
  <c r="E125" i="4"/>
  <c r="E121" i="4"/>
  <c r="E117" i="4"/>
  <c r="E113" i="4"/>
  <c r="E109" i="4"/>
  <c r="E105" i="4"/>
  <c r="E101" i="4"/>
  <c r="E97" i="4"/>
  <c r="E93" i="4"/>
  <c r="E89" i="4"/>
  <c r="E85" i="4"/>
  <c r="E81" i="4"/>
  <c r="E77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K365" i="5"/>
  <c r="K349" i="5"/>
  <c r="K333" i="5"/>
  <c r="K317" i="5"/>
  <c r="K301" i="5"/>
  <c r="K285" i="5"/>
  <c r="K269" i="5"/>
  <c r="K253" i="5"/>
  <c r="K237" i="5"/>
  <c r="K221" i="5"/>
  <c r="K205" i="5"/>
  <c r="K189" i="5"/>
  <c r="K169" i="5"/>
  <c r="K137" i="5"/>
  <c r="K105" i="5"/>
  <c r="K41" i="5"/>
  <c r="K372" i="5"/>
  <c r="K368" i="5"/>
  <c r="K364" i="5"/>
  <c r="K360" i="5"/>
  <c r="K356" i="5"/>
  <c r="K352" i="5"/>
  <c r="K348" i="5"/>
  <c r="K344" i="5"/>
  <c r="K340" i="5"/>
  <c r="K336" i="5"/>
  <c r="K332" i="5"/>
  <c r="K328" i="5"/>
  <c r="K324" i="5"/>
  <c r="K320" i="5"/>
  <c r="K316" i="5"/>
  <c r="K312" i="5"/>
  <c r="K308" i="5"/>
  <c r="K304" i="5"/>
  <c r="K300" i="5"/>
  <c r="K296" i="5"/>
  <c r="K292" i="5"/>
  <c r="K288" i="5"/>
  <c r="K284" i="5"/>
  <c r="K280" i="5"/>
  <c r="K276" i="5"/>
  <c r="K272" i="5"/>
  <c r="K268" i="5"/>
  <c r="K264" i="5"/>
  <c r="K260" i="5"/>
  <c r="K256" i="5"/>
  <c r="K252" i="5"/>
  <c r="K248" i="5"/>
  <c r="K244" i="5"/>
  <c r="K240" i="5"/>
  <c r="K236" i="5"/>
  <c r="K232" i="5"/>
  <c r="K228" i="5"/>
  <c r="K224" i="5"/>
  <c r="K220" i="5"/>
  <c r="K216" i="5"/>
  <c r="K212" i="5"/>
  <c r="K208" i="5"/>
  <c r="K204" i="5"/>
  <c r="K200" i="5"/>
  <c r="K196" i="5"/>
  <c r="K192" i="5"/>
  <c r="K188" i="5"/>
  <c r="K183" i="5"/>
  <c r="K178" i="5"/>
  <c r="K173" i="5"/>
  <c r="K166" i="5"/>
  <c r="K158" i="5"/>
  <c r="K150" i="5"/>
  <c r="K142" i="5"/>
  <c r="K134" i="5"/>
  <c r="K126" i="5"/>
  <c r="K118" i="5"/>
  <c r="K110" i="5"/>
  <c r="K101" i="5"/>
  <c r="K85" i="5"/>
  <c r="K69" i="5"/>
  <c r="K53" i="5"/>
  <c r="K37" i="5"/>
  <c r="K21" i="5"/>
  <c r="K5" i="5"/>
  <c r="K375" i="5"/>
  <c r="K371" i="5"/>
  <c r="K367" i="5"/>
  <c r="K363" i="5"/>
  <c r="K359" i="5"/>
  <c r="K355" i="5"/>
  <c r="K351" i="5"/>
  <c r="K347" i="5"/>
  <c r="K343" i="5"/>
  <c r="K339" i="5"/>
  <c r="K335" i="5"/>
  <c r="K331" i="5"/>
  <c r="K327" i="5"/>
  <c r="K323" i="5"/>
  <c r="K319" i="5"/>
  <c r="K315" i="5"/>
  <c r="K311" i="5"/>
  <c r="K307" i="5"/>
  <c r="K303" i="5"/>
  <c r="K299" i="5"/>
  <c r="K295" i="5"/>
  <c r="K291" i="5"/>
  <c r="K287" i="5"/>
  <c r="K283" i="5"/>
  <c r="K279" i="5"/>
  <c r="K275" i="5"/>
  <c r="K271" i="5"/>
  <c r="K267" i="5"/>
  <c r="K263" i="5"/>
  <c r="K259" i="5"/>
  <c r="K255" i="5"/>
  <c r="K251" i="5"/>
  <c r="K247" i="5"/>
  <c r="K243" i="5"/>
  <c r="K239" i="5"/>
  <c r="K235" i="5"/>
  <c r="K231" i="5"/>
  <c r="K227" i="5"/>
  <c r="K223" i="5"/>
  <c r="K219" i="5"/>
  <c r="K215" i="5"/>
  <c r="K211" i="5"/>
  <c r="K207" i="5"/>
  <c r="K203" i="5"/>
  <c r="K199" i="5"/>
  <c r="K195" i="5"/>
  <c r="K191" i="5"/>
  <c r="K187" i="5"/>
  <c r="K182" i="5"/>
  <c r="K177" i="5"/>
  <c r="K171" i="5"/>
  <c r="K165" i="5"/>
  <c r="K157" i="5"/>
  <c r="K149" i="5"/>
  <c r="K141" i="5"/>
  <c r="K133" i="5"/>
  <c r="K125" i="5"/>
  <c r="K117" i="5"/>
  <c r="K109" i="5"/>
  <c r="K97" i="5"/>
  <c r="K81" i="5"/>
  <c r="K65" i="5"/>
  <c r="K49" i="5"/>
  <c r="K33" i="5"/>
  <c r="K17" i="5"/>
  <c r="K374" i="5"/>
  <c r="K370" i="5"/>
  <c r="K366" i="5"/>
  <c r="K362" i="5"/>
  <c r="K358" i="5"/>
  <c r="K354" i="5"/>
  <c r="K350" i="5"/>
  <c r="K346" i="5"/>
  <c r="K342" i="5"/>
  <c r="K338" i="5"/>
  <c r="K334" i="5"/>
  <c r="K330" i="5"/>
  <c r="K326" i="5"/>
  <c r="K322" i="5"/>
  <c r="K318" i="5"/>
  <c r="K314" i="5"/>
  <c r="K310" i="5"/>
  <c r="K306" i="5"/>
  <c r="K302" i="5"/>
  <c r="K298" i="5"/>
  <c r="K294" i="5"/>
  <c r="K290" i="5"/>
  <c r="K286" i="5"/>
  <c r="K282" i="5"/>
  <c r="K278" i="5"/>
  <c r="K274" i="5"/>
  <c r="K270" i="5"/>
  <c r="K266" i="5"/>
  <c r="K262" i="5"/>
  <c r="K258" i="5"/>
  <c r="K254" i="5"/>
  <c r="K250" i="5"/>
  <c r="K246" i="5"/>
  <c r="K242" i="5"/>
  <c r="K238" i="5"/>
  <c r="K234" i="5"/>
  <c r="K230" i="5"/>
  <c r="K226" i="5"/>
  <c r="K222" i="5"/>
  <c r="K218" i="5"/>
  <c r="K214" i="5"/>
  <c r="K210" i="5"/>
  <c r="K206" i="5"/>
  <c r="K202" i="5"/>
  <c r="K198" i="5"/>
  <c r="K194" i="5"/>
  <c r="K190" i="5"/>
  <c r="K186" i="5"/>
  <c r="K181" i="5"/>
  <c r="K175" i="5"/>
  <c r="K170" i="5"/>
  <c r="K162" i="5"/>
  <c r="K154" i="5"/>
  <c r="K146" i="5"/>
  <c r="K138" i="5"/>
  <c r="K130" i="5"/>
  <c r="K122" i="5"/>
  <c r="K114" i="5"/>
  <c r="K106" i="5"/>
  <c r="K93" i="5"/>
  <c r="K77" i="5"/>
  <c r="K61" i="5"/>
  <c r="K45" i="5"/>
  <c r="K29" i="5"/>
  <c r="K13" i="5"/>
  <c r="K167" i="5"/>
  <c r="K163" i="5"/>
  <c r="K159" i="5"/>
  <c r="K155" i="5"/>
  <c r="K151" i="5"/>
  <c r="K147" i="5"/>
  <c r="K143" i="5"/>
  <c r="K139" i="5"/>
  <c r="K135" i="5"/>
  <c r="K131" i="5"/>
  <c r="K127" i="5"/>
  <c r="K123" i="5"/>
  <c r="K119" i="5"/>
  <c r="K115" i="5"/>
  <c r="K111" i="5"/>
  <c r="K107" i="5"/>
  <c r="K103" i="5"/>
  <c r="K99" i="5"/>
  <c r="K95" i="5"/>
  <c r="K91" i="5"/>
  <c r="K87" i="5"/>
  <c r="K83" i="5"/>
  <c r="K79" i="5"/>
  <c r="K75" i="5"/>
  <c r="K71" i="5"/>
  <c r="K67" i="5"/>
  <c r="K63" i="5"/>
  <c r="K59" i="5"/>
  <c r="K55" i="5"/>
  <c r="K51" i="5"/>
  <c r="K47" i="5"/>
  <c r="K43" i="5"/>
  <c r="K39" i="5"/>
  <c r="K35" i="5"/>
  <c r="K31" i="5"/>
  <c r="K27" i="5"/>
  <c r="K23" i="5"/>
  <c r="K19" i="5"/>
  <c r="K15" i="5"/>
  <c r="K11" i="5"/>
  <c r="K7" i="5"/>
  <c r="K3" i="5"/>
  <c r="K102" i="5"/>
  <c r="K98" i="5"/>
  <c r="K94" i="5"/>
  <c r="K90" i="5"/>
  <c r="K86" i="5"/>
  <c r="K82" i="5"/>
  <c r="K78" i="5"/>
  <c r="K74" i="5"/>
  <c r="K70" i="5"/>
  <c r="K66" i="5"/>
  <c r="K62" i="5"/>
  <c r="K58" i="5"/>
  <c r="K54" i="5"/>
  <c r="K50" i="5"/>
  <c r="K46" i="5"/>
  <c r="K42" i="5"/>
  <c r="K38" i="5"/>
  <c r="K34" i="5"/>
  <c r="K30" i="5"/>
  <c r="K26" i="5"/>
  <c r="K22" i="5"/>
  <c r="K18" i="5"/>
  <c r="K14" i="5"/>
  <c r="K10" i="5"/>
  <c r="K6" i="5"/>
  <c r="K184" i="5"/>
  <c r="K180" i="5"/>
  <c r="K176" i="5"/>
  <c r="K172" i="5"/>
  <c r="K168" i="5"/>
  <c r="K164" i="5"/>
  <c r="K160" i="5"/>
  <c r="K156" i="5"/>
  <c r="K152" i="5"/>
  <c r="K148" i="5"/>
  <c r="K144" i="5"/>
  <c r="K140" i="5"/>
  <c r="K136" i="5"/>
  <c r="K132" i="5"/>
  <c r="K128" i="5"/>
  <c r="K124" i="5"/>
  <c r="K120" i="5"/>
  <c r="K116" i="5"/>
  <c r="K112" i="5"/>
  <c r="K108" i="5"/>
  <c r="K104" i="5"/>
  <c r="K100" i="5"/>
  <c r="K96" i="5"/>
  <c r="K92" i="5"/>
  <c r="K88" i="5"/>
  <c r="K84" i="5"/>
  <c r="K80" i="5"/>
  <c r="K76" i="5"/>
  <c r="K72" i="5"/>
  <c r="K68" i="5"/>
  <c r="K64" i="5"/>
  <c r="K60" i="5"/>
  <c r="K56" i="5"/>
  <c r="K52" i="5"/>
  <c r="K48" i="5"/>
  <c r="K44" i="5"/>
  <c r="K40" i="5"/>
  <c r="K36" i="5"/>
  <c r="K32" i="5"/>
  <c r="K28" i="5"/>
  <c r="K24" i="5"/>
  <c r="K20" i="5"/>
  <c r="K16" i="5"/>
  <c r="K12" i="5"/>
  <c r="K8" i="5"/>
  <c r="K4" i="5"/>
  <c r="J361" i="5"/>
  <c r="J357" i="5"/>
  <c r="J353" i="5"/>
  <c r="J349" i="5"/>
  <c r="J345" i="5"/>
  <c r="J341" i="5"/>
  <c r="J337" i="5"/>
  <c r="J333" i="5"/>
  <c r="J329" i="5"/>
  <c r="J325" i="5"/>
  <c r="J321" i="5"/>
  <c r="J317" i="5"/>
  <c r="J313" i="5"/>
  <c r="J309" i="5"/>
  <c r="J305" i="5"/>
  <c r="J301" i="5"/>
  <c r="J297" i="5"/>
  <c r="J293" i="5"/>
  <c r="J289" i="5"/>
  <c r="J285" i="5"/>
  <c r="J281" i="5"/>
  <c r="J277" i="5"/>
  <c r="J273" i="5"/>
  <c r="J269" i="5"/>
  <c r="J265" i="5"/>
  <c r="J261" i="5"/>
  <c r="J257" i="5"/>
  <c r="J253" i="5"/>
  <c r="J249" i="5"/>
  <c r="J245" i="5"/>
  <c r="J241" i="5"/>
  <c r="J237" i="5"/>
  <c r="J233" i="5"/>
  <c r="J229" i="5"/>
  <c r="J225" i="5"/>
  <c r="J221" i="5"/>
  <c r="J217" i="5"/>
  <c r="J213" i="5"/>
  <c r="J209" i="5"/>
  <c r="J205" i="5"/>
  <c r="J200" i="5"/>
  <c r="J195" i="5"/>
  <c r="J190" i="5"/>
  <c r="J184" i="5"/>
  <c r="J179" i="5"/>
  <c r="J174" i="5"/>
  <c r="J168" i="5"/>
  <c r="J163" i="5"/>
  <c r="J152" i="5"/>
  <c r="J136" i="5"/>
  <c r="J120" i="5"/>
  <c r="J104" i="5"/>
  <c r="J88" i="5"/>
  <c r="J72" i="5"/>
  <c r="J56" i="5"/>
  <c r="J40" i="5"/>
  <c r="J24" i="5"/>
  <c r="J8" i="5"/>
  <c r="J155" i="5"/>
  <c r="J151" i="5"/>
  <c r="J147" i="5"/>
  <c r="J143" i="5"/>
  <c r="J139" i="5"/>
  <c r="J135" i="5"/>
  <c r="J131" i="5"/>
  <c r="J127" i="5"/>
  <c r="J123" i="5"/>
  <c r="J119" i="5"/>
  <c r="J115" i="5"/>
  <c r="J111" i="5"/>
  <c r="J107" i="5"/>
  <c r="J103" i="5"/>
  <c r="J99" i="5"/>
  <c r="J95" i="5"/>
  <c r="J91" i="5"/>
  <c r="J87" i="5"/>
  <c r="J83" i="5"/>
  <c r="J79" i="5"/>
  <c r="J75" i="5"/>
  <c r="J71" i="5"/>
  <c r="J67" i="5"/>
  <c r="J63" i="5"/>
  <c r="J59" i="5"/>
  <c r="J55" i="5"/>
  <c r="J51" i="5"/>
  <c r="J47" i="5"/>
  <c r="J43" i="5"/>
  <c r="J39" i="5"/>
  <c r="J35" i="5"/>
  <c r="J31" i="5"/>
  <c r="J27" i="5"/>
  <c r="J23" i="5"/>
  <c r="J19" i="5"/>
  <c r="J15" i="5"/>
  <c r="J11" i="5"/>
  <c r="J7" i="5"/>
  <c r="J3" i="5"/>
  <c r="J162" i="5"/>
  <c r="J158" i="5"/>
  <c r="J154" i="5"/>
  <c r="J150" i="5"/>
  <c r="J146" i="5"/>
  <c r="J142" i="5"/>
  <c r="J138" i="5"/>
  <c r="J134" i="5"/>
  <c r="J130" i="5"/>
  <c r="J126" i="5"/>
  <c r="J122" i="5"/>
  <c r="J118" i="5"/>
  <c r="J114" i="5"/>
  <c r="J110" i="5"/>
  <c r="J106" i="5"/>
  <c r="J102" i="5"/>
  <c r="J98" i="5"/>
  <c r="J94" i="5"/>
  <c r="J90" i="5"/>
  <c r="J86" i="5"/>
  <c r="J82" i="5"/>
  <c r="J78" i="5"/>
  <c r="J74" i="5"/>
  <c r="J70" i="5"/>
  <c r="J66" i="5"/>
  <c r="J62" i="5"/>
  <c r="J58" i="5"/>
  <c r="J54" i="5"/>
  <c r="J50" i="5"/>
  <c r="J46" i="5"/>
  <c r="J42" i="5"/>
  <c r="J38" i="5"/>
  <c r="J34" i="5"/>
  <c r="J30" i="5"/>
  <c r="J26" i="5"/>
  <c r="J22" i="5"/>
  <c r="J18" i="5"/>
  <c r="J14" i="5"/>
  <c r="J10" i="5"/>
  <c r="J6" i="5"/>
  <c r="J201" i="5"/>
  <c r="J197" i="5"/>
  <c r="J193" i="5"/>
  <c r="J189" i="5"/>
  <c r="J185" i="5"/>
  <c r="J181" i="5"/>
  <c r="J177" i="5"/>
  <c r="J173" i="5"/>
  <c r="J169" i="5"/>
  <c r="J165" i="5"/>
  <c r="J161" i="5"/>
  <c r="J157" i="5"/>
  <c r="J153" i="5"/>
  <c r="J149" i="5"/>
  <c r="J145" i="5"/>
  <c r="J141" i="5"/>
  <c r="J137" i="5"/>
  <c r="J133" i="5"/>
  <c r="J129" i="5"/>
  <c r="J125" i="5"/>
  <c r="J121" i="5"/>
  <c r="J117" i="5"/>
  <c r="J113" i="5"/>
  <c r="J109" i="5"/>
  <c r="J105" i="5"/>
  <c r="J101" i="5"/>
  <c r="J97" i="5"/>
  <c r="J93" i="5"/>
  <c r="J89" i="5"/>
  <c r="J85" i="5"/>
  <c r="J81" i="5"/>
  <c r="J77" i="5"/>
  <c r="J73" i="5"/>
  <c r="J69" i="5"/>
  <c r="J65" i="5"/>
  <c r="J61" i="5"/>
  <c r="J57" i="5"/>
  <c r="J53" i="5"/>
  <c r="J49" i="5"/>
  <c r="J45" i="5"/>
  <c r="J41" i="5"/>
  <c r="J37" i="5"/>
  <c r="J33" i="5"/>
  <c r="J29" i="5"/>
  <c r="J25" i="5"/>
  <c r="J21" i="5"/>
  <c r="J17" i="5"/>
  <c r="J13" i="5"/>
  <c r="J9" i="5"/>
  <c r="J5" i="5"/>
  <c r="K369" i="5"/>
  <c r="K353" i="5"/>
  <c r="K337" i="5"/>
  <c r="K321" i="5"/>
  <c r="K305" i="5"/>
  <c r="K289" i="5"/>
  <c r="K273" i="5"/>
  <c r="K257" i="5"/>
  <c r="K241" i="5"/>
  <c r="K225" i="5"/>
  <c r="K209" i="5"/>
  <c r="K193" i="5"/>
  <c r="K174" i="5"/>
  <c r="K145" i="5"/>
  <c r="K113" i="5"/>
  <c r="K57" i="5"/>
  <c r="J170" i="5"/>
  <c r="J164" i="5"/>
  <c r="J156" i="5"/>
  <c r="J140" i="5"/>
  <c r="J124" i="5"/>
  <c r="J108" i="5"/>
  <c r="J92" i="5"/>
  <c r="J76" i="5"/>
  <c r="J60" i="5"/>
  <c r="J44" i="5"/>
  <c r="J28" i="5"/>
  <c r="J12" i="5"/>
  <c r="J373" i="5"/>
  <c r="J369" i="5"/>
  <c r="J365" i="5"/>
  <c r="J302" i="5"/>
  <c r="J298" i="5"/>
  <c r="J294" i="5"/>
  <c r="J290" i="5"/>
  <c r="J286" i="5"/>
  <c r="J282" i="5"/>
  <c r="J278" i="5"/>
  <c r="J274" i="5"/>
  <c r="J270" i="5"/>
  <c r="J266" i="5"/>
  <c r="J262" i="5"/>
  <c r="J258" i="5"/>
  <c r="J254" i="5"/>
  <c r="J250" i="5"/>
  <c r="J246" i="5"/>
  <c r="J242" i="5"/>
  <c r="J238" i="5"/>
  <c r="J234" i="5"/>
  <c r="J230" i="5"/>
  <c r="J226" i="5"/>
  <c r="J222" i="5"/>
  <c r="J218" i="5"/>
  <c r="J214" i="5"/>
  <c r="J210" i="5"/>
  <c r="J206" i="5"/>
  <c r="J202" i="5"/>
  <c r="J196" i="5"/>
  <c r="J191" i="5"/>
  <c r="J186" i="5"/>
  <c r="J180" i="5"/>
  <c r="J175" i="5"/>
  <c r="K309" i="5"/>
  <c r="K293" i="5"/>
  <c r="K277" i="5"/>
  <c r="K261" i="5"/>
  <c r="K245" i="5"/>
  <c r="K229" i="5"/>
  <c r="K213" i="5"/>
  <c r="K197" i="5"/>
  <c r="K179" i="5"/>
  <c r="K153" i="5"/>
  <c r="K121" i="5"/>
  <c r="K73" i="5"/>
  <c r="K9" i="5"/>
  <c r="J374" i="5"/>
  <c r="J370" i="5"/>
  <c r="J366" i="5"/>
  <c r="J362" i="5"/>
  <c r="J358" i="5"/>
  <c r="J354" i="5"/>
  <c r="J350" i="5"/>
  <c r="J346" i="5"/>
  <c r="J342" i="5"/>
  <c r="J338" i="5"/>
  <c r="J334" i="5"/>
  <c r="J330" i="5"/>
  <c r="J326" i="5"/>
  <c r="J322" i="5"/>
  <c r="J318" i="5"/>
  <c r="J314" i="5"/>
  <c r="J310" i="5"/>
  <c r="J306" i="5"/>
  <c r="G373" i="5"/>
  <c r="G369" i="5"/>
  <c r="G365" i="5"/>
  <c r="G361" i="5"/>
  <c r="G357" i="5"/>
  <c r="G353" i="5"/>
  <c r="G349" i="5"/>
  <c r="G345" i="5"/>
  <c r="G341" i="5"/>
  <c r="G337" i="5"/>
  <c r="G333" i="5"/>
  <c r="G329" i="5"/>
  <c r="G325" i="5"/>
  <c r="G321" i="5"/>
  <c r="G317" i="5"/>
  <c r="G313" i="5"/>
  <c r="G309" i="5"/>
  <c r="G305" i="5"/>
  <c r="G301" i="5"/>
  <c r="G297" i="5"/>
  <c r="G293" i="5"/>
  <c r="G289" i="5"/>
  <c r="G285" i="5"/>
  <c r="G281" i="5"/>
  <c r="G277" i="5"/>
  <c r="G273" i="5"/>
  <c r="G267" i="5"/>
  <c r="G262" i="5"/>
  <c r="G257" i="5"/>
  <c r="G251" i="5"/>
  <c r="G246" i="5"/>
  <c r="G241" i="5"/>
  <c r="G227" i="5"/>
  <c r="G211" i="5"/>
  <c r="G195" i="5"/>
  <c r="G179" i="5"/>
  <c r="G163" i="5"/>
  <c r="G147" i="5"/>
  <c r="G131" i="5"/>
  <c r="G115" i="5"/>
  <c r="G99" i="5"/>
  <c r="G83" i="5"/>
  <c r="G67" i="5"/>
  <c r="G51" i="5"/>
  <c r="G35" i="5"/>
  <c r="G19" i="5"/>
  <c r="G3" i="5"/>
  <c r="K25" i="5"/>
  <c r="G238" i="5"/>
  <c r="G234" i="5"/>
  <c r="G230" i="5"/>
  <c r="G226" i="5"/>
  <c r="G222" i="5"/>
  <c r="G218" i="5"/>
  <c r="G214" i="5"/>
  <c r="G210" i="5"/>
  <c r="G206" i="5"/>
  <c r="G202" i="5"/>
  <c r="G198" i="5"/>
  <c r="G194" i="5"/>
  <c r="G190" i="5"/>
  <c r="G186" i="5"/>
  <c r="G182" i="5"/>
  <c r="G178" i="5"/>
  <c r="G174" i="5"/>
  <c r="G170" i="5"/>
  <c r="G166" i="5"/>
  <c r="G162" i="5"/>
  <c r="G158" i="5"/>
  <c r="G154" i="5"/>
  <c r="G150" i="5"/>
  <c r="G146" i="5"/>
  <c r="G142" i="5"/>
  <c r="G138" i="5"/>
  <c r="G134" i="5"/>
  <c r="G130" i="5"/>
  <c r="G126" i="5"/>
  <c r="G122" i="5"/>
  <c r="G118" i="5"/>
  <c r="G114" i="5"/>
  <c r="G110" i="5"/>
  <c r="G106" i="5"/>
  <c r="G102" i="5"/>
  <c r="G98" i="5"/>
  <c r="G94" i="5"/>
  <c r="G90" i="5"/>
  <c r="G86" i="5"/>
  <c r="G82" i="5"/>
  <c r="G78" i="5"/>
  <c r="G74" i="5"/>
  <c r="G70" i="5"/>
  <c r="G66" i="5"/>
  <c r="G62" i="5"/>
  <c r="G58" i="5"/>
  <c r="G54" i="5"/>
  <c r="G50" i="5"/>
  <c r="G46" i="5"/>
  <c r="G42" i="5"/>
  <c r="G38" i="5"/>
  <c r="G34" i="5"/>
  <c r="G30" i="5"/>
  <c r="G26" i="5"/>
  <c r="G22" i="5"/>
  <c r="G18" i="5"/>
  <c r="G14" i="5"/>
  <c r="G10" i="5"/>
  <c r="G6" i="5"/>
  <c r="K361" i="5"/>
  <c r="K297" i="5"/>
  <c r="K233" i="5"/>
  <c r="K161" i="5"/>
  <c r="G237" i="5"/>
  <c r="G233" i="5"/>
  <c r="G229" i="5"/>
  <c r="G225" i="5"/>
  <c r="G221" i="5"/>
  <c r="G217" i="5"/>
  <c r="G213" i="5"/>
  <c r="G209" i="5"/>
  <c r="G205" i="5"/>
  <c r="G201" i="5"/>
  <c r="G197" i="5"/>
  <c r="G193" i="5"/>
  <c r="G189" i="5"/>
  <c r="G185" i="5"/>
  <c r="G181" i="5"/>
  <c r="G177" i="5"/>
  <c r="G173" i="5"/>
  <c r="G169" i="5"/>
  <c r="G165" i="5"/>
  <c r="G161" i="5"/>
  <c r="G157" i="5"/>
  <c r="G153" i="5"/>
  <c r="G149" i="5"/>
  <c r="G145" i="5"/>
  <c r="G141" i="5"/>
  <c r="G137" i="5"/>
  <c r="G133" i="5"/>
  <c r="G129" i="5"/>
  <c r="G125" i="5"/>
  <c r="G121" i="5"/>
  <c r="G117" i="5"/>
  <c r="G113" i="5"/>
  <c r="G109" i="5"/>
  <c r="G105" i="5"/>
  <c r="G101" i="5"/>
  <c r="G97" i="5"/>
  <c r="G93" i="5"/>
  <c r="G89" i="5"/>
  <c r="G85" i="5"/>
  <c r="G81" i="5"/>
  <c r="G77" i="5"/>
  <c r="G73" i="5"/>
  <c r="G69" i="5"/>
  <c r="G65" i="5"/>
  <c r="G61" i="5"/>
  <c r="G57" i="5"/>
  <c r="G53" i="5"/>
  <c r="G49" i="5"/>
  <c r="G45" i="5"/>
  <c r="G41" i="5"/>
  <c r="G37" i="5"/>
  <c r="G33" i="5"/>
  <c r="G29" i="5"/>
  <c r="G25" i="5"/>
  <c r="G21" i="5"/>
  <c r="G17" i="5"/>
  <c r="G13" i="5"/>
  <c r="G9" i="5"/>
  <c r="G5" i="5"/>
  <c r="K345" i="5"/>
  <c r="K281" i="5"/>
  <c r="K217" i="5"/>
  <c r="K129" i="5"/>
  <c r="G272" i="5"/>
  <c r="G268" i="5"/>
  <c r="G264" i="5"/>
  <c r="G260" i="5"/>
  <c r="G256" i="5"/>
  <c r="G252" i="5"/>
  <c r="G248" i="5"/>
  <c r="G244" i="5"/>
  <c r="G240" i="5"/>
  <c r="G236" i="5"/>
  <c r="G232" i="5"/>
  <c r="G228" i="5"/>
  <c r="G224" i="5"/>
  <c r="G220" i="5"/>
  <c r="G216" i="5"/>
  <c r="G212" i="5"/>
  <c r="G208" i="5"/>
  <c r="G204" i="5"/>
  <c r="G200" i="5"/>
  <c r="G196" i="5"/>
  <c r="G192" i="5"/>
  <c r="G188" i="5"/>
  <c r="G184" i="5"/>
  <c r="G180" i="5"/>
  <c r="G176" i="5"/>
  <c r="G172" i="5"/>
  <c r="G168" i="5"/>
  <c r="G164" i="5"/>
  <c r="G160" i="5"/>
  <c r="G156" i="5"/>
  <c r="G152" i="5"/>
  <c r="G148" i="5"/>
  <c r="G144" i="5"/>
  <c r="G140" i="5"/>
  <c r="G136" i="5"/>
  <c r="G132" i="5"/>
  <c r="G128" i="5"/>
  <c r="G124" i="5"/>
  <c r="G120" i="5"/>
  <c r="G116" i="5"/>
  <c r="G112" i="5"/>
  <c r="G108" i="5"/>
  <c r="G104" i="5"/>
  <c r="G100" i="5"/>
  <c r="G96" i="5"/>
  <c r="G92" i="5"/>
  <c r="G88" i="5"/>
  <c r="G84" i="5"/>
  <c r="G80" i="5"/>
  <c r="G76" i="5"/>
  <c r="G72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4" i="5"/>
  <c r="K329" i="5"/>
  <c r="K265" i="5"/>
  <c r="K201" i="5"/>
  <c r="K89" i="5"/>
  <c r="K373" i="5"/>
  <c r="K357" i="5"/>
  <c r="K341" i="5"/>
  <c r="K325" i="5"/>
  <c r="F348" i="5"/>
  <c r="F344" i="5"/>
  <c r="F340" i="5"/>
  <c r="F336" i="5"/>
  <c r="F332" i="5"/>
  <c r="F328" i="5"/>
  <c r="F324" i="5"/>
  <c r="F320" i="5"/>
  <c r="F316" i="5"/>
  <c r="F312" i="5"/>
  <c r="F308" i="5"/>
  <c r="F304" i="5"/>
  <c r="F300" i="5"/>
  <c r="F296" i="5"/>
  <c r="F292" i="5"/>
  <c r="F288" i="5"/>
  <c r="F284" i="5"/>
  <c r="F280" i="5"/>
  <c r="F276" i="5"/>
  <c r="F272" i="5"/>
  <c r="F268" i="5"/>
  <c r="F264" i="5"/>
  <c r="F260" i="5"/>
  <c r="F256" i="5"/>
  <c r="F252" i="5"/>
  <c r="F248" i="5"/>
  <c r="F244" i="5"/>
  <c r="F240" i="5"/>
  <c r="F236" i="5"/>
  <c r="F232" i="5"/>
  <c r="F228" i="5"/>
  <c r="F224" i="5"/>
  <c r="F220" i="5"/>
  <c r="F216" i="5"/>
  <c r="F212" i="5"/>
  <c r="F208" i="5"/>
  <c r="F204" i="5"/>
  <c r="F200" i="5"/>
  <c r="F196" i="5"/>
  <c r="F192" i="5"/>
  <c r="F188" i="5"/>
  <c r="F184" i="5"/>
  <c r="F180" i="5"/>
  <c r="F176" i="5"/>
  <c r="F172" i="5"/>
  <c r="F168" i="5"/>
  <c r="F164" i="5"/>
  <c r="F160" i="5"/>
  <c r="F156" i="5"/>
  <c r="F152" i="5"/>
  <c r="F148" i="5"/>
  <c r="F144" i="5"/>
  <c r="F140" i="5"/>
  <c r="F136" i="5"/>
  <c r="F132" i="5"/>
  <c r="F128" i="5"/>
  <c r="F124" i="5"/>
  <c r="F120" i="5"/>
  <c r="F116" i="5"/>
  <c r="F112" i="5"/>
  <c r="F108" i="5"/>
  <c r="F104" i="5"/>
  <c r="F100" i="5"/>
  <c r="F96" i="5"/>
  <c r="F92" i="5"/>
  <c r="F88" i="5"/>
  <c r="F84" i="5"/>
  <c r="F80" i="5"/>
  <c r="F76" i="5"/>
  <c r="F72" i="5"/>
  <c r="F68" i="5"/>
  <c r="F64" i="5"/>
  <c r="F60" i="5"/>
  <c r="F56" i="5"/>
  <c r="F52" i="5"/>
  <c r="F48" i="5"/>
  <c r="F44" i="5"/>
  <c r="F40" i="5"/>
  <c r="F36" i="5"/>
  <c r="F32" i="5"/>
  <c r="F28" i="5"/>
  <c r="F24" i="5"/>
  <c r="F20" i="5"/>
  <c r="F16" i="5"/>
  <c r="F12" i="5"/>
  <c r="F8" i="5"/>
  <c r="F4" i="5"/>
  <c r="J324" i="5"/>
  <c r="J260" i="5"/>
  <c r="J194" i="5"/>
  <c r="J4" i="5"/>
  <c r="J368" i="5"/>
  <c r="J352" i="5"/>
  <c r="J336" i="5"/>
  <c r="J320" i="5"/>
  <c r="J304" i="5"/>
  <c r="J288" i="5"/>
  <c r="J272" i="5"/>
  <c r="J256" i="5"/>
  <c r="J240" i="5"/>
  <c r="J224" i="5"/>
  <c r="J208" i="5"/>
  <c r="J188" i="5"/>
  <c r="J167" i="5"/>
  <c r="J116" i="5"/>
  <c r="J52" i="5"/>
  <c r="J364" i="5"/>
  <c r="J348" i="5"/>
  <c r="J332" i="5"/>
  <c r="J316" i="5"/>
  <c r="J300" i="5"/>
  <c r="J284" i="5"/>
  <c r="J268" i="5"/>
  <c r="J252" i="5"/>
  <c r="J236" i="5"/>
  <c r="J220" i="5"/>
  <c r="J204" i="5"/>
  <c r="J183" i="5"/>
  <c r="J160" i="5"/>
  <c r="J100" i="5"/>
  <c r="J36" i="5"/>
  <c r="J360" i="5"/>
  <c r="J344" i="5"/>
  <c r="J328" i="5"/>
  <c r="J312" i="5"/>
  <c r="J296" i="5"/>
  <c r="J280" i="5"/>
  <c r="J264" i="5"/>
  <c r="J248" i="5"/>
  <c r="J232" i="5"/>
  <c r="J216" i="5"/>
  <c r="J199" i="5"/>
  <c r="J178" i="5"/>
  <c r="J148" i="5"/>
  <c r="J84" i="5"/>
  <c r="J20" i="5"/>
  <c r="J375" i="5"/>
  <c r="J371" i="5"/>
  <c r="J367" i="5"/>
  <c r="J363" i="5"/>
  <c r="J359" i="5"/>
  <c r="J355" i="5"/>
  <c r="J351" i="5"/>
  <c r="J347" i="5"/>
  <c r="J343" i="5"/>
  <c r="J339" i="5"/>
  <c r="J335" i="5"/>
  <c r="J331" i="5"/>
  <c r="J327" i="5"/>
  <c r="J323" i="5"/>
  <c r="J319" i="5"/>
  <c r="J315" i="5"/>
  <c r="J311" i="5"/>
  <c r="J307" i="5"/>
  <c r="J303" i="5"/>
  <c r="J299" i="5"/>
  <c r="J295" i="5"/>
  <c r="J291" i="5"/>
  <c r="J287" i="5"/>
  <c r="J283" i="5"/>
  <c r="J279" i="5"/>
  <c r="J275" i="5"/>
  <c r="J271" i="5"/>
  <c r="J267" i="5"/>
  <c r="J263" i="5"/>
  <c r="J259" i="5"/>
  <c r="J255" i="5"/>
  <c r="J251" i="5"/>
  <c r="J247" i="5"/>
  <c r="J243" i="5"/>
  <c r="J239" i="5"/>
  <c r="J235" i="5"/>
  <c r="J231" i="5"/>
  <c r="J227" i="5"/>
  <c r="J223" i="5"/>
  <c r="J219" i="5"/>
  <c r="J215" i="5"/>
  <c r="J211" i="5"/>
  <c r="J207" i="5"/>
  <c r="J203" i="5"/>
  <c r="J198" i="5"/>
  <c r="J192" i="5"/>
  <c r="J187" i="5"/>
  <c r="J182" i="5"/>
  <c r="J176" i="5"/>
  <c r="J171" i="5"/>
  <c r="J166" i="5"/>
  <c r="J159" i="5"/>
  <c r="J144" i="5"/>
  <c r="J128" i="5"/>
  <c r="J112" i="5"/>
  <c r="J96" i="5"/>
  <c r="J80" i="5"/>
  <c r="J64" i="5"/>
  <c r="J48" i="5"/>
  <c r="J32" i="5"/>
  <c r="J16" i="5"/>
  <c r="F87" i="4"/>
  <c r="F83" i="4"/>
  <c r="F79" i="4"/>
  <c r="F75" i="4"/>
  <c r="F71" i="4"/>
  <c r="F67" i="4"/>
  <c r="F63" i="4"/>
  <c r="F59" i="4"/>
  <c r="F55" i="4"/>
  <c r="F51" i="4"/>
  <c r="F47" i="4"/>
  <c r="F43" i="4"/>
  <c r="F39" i="4"/>
  <c r="F35" i="4"/>
  <c r="F31" i="4"/>
  <c r="F27" i="4"/>
  <c r="F23" i="4"/>
  <c r="F19" i="4"/>
  <c r="F15" i="4"/>
  <c r="F11" i="4"/>
  <c r="F7" i="4"/>
  <c r="F3" i="4"/>
  <c r="G368" i="5"/>
  <c r="G356" i="5"/>
  <c r="G344" i="5"/>
  <c r="G332" i="5"/>
  <c r="G320" i="5"/>
  <c r="G300" i="5"/>
  <c r="G288" i="5"/>
  <c r="G276" i="5"/>
  <c r="G261" i="5"/>
  <c r="G250" i="5"/>
  <c r="G223" i="5"/>
  <c r="G159" i="5"/>
  <c r="G111" i="5"/>
  <c r="G63" i="5"/>
  <c r="G31" i="5"/>
  <c r="K313" i="5"/>
  <c r="G375" i="5"/>
  <c r="G371" i="5"/>
  <c r="G367" i="5"/>
  <c r="G363" i="5"/>
  <c r="G359" i="5"/>
  <c r="G355" i="5"/>
  <c r="G351" i="5"/>
  <c r="G347" i="5"/>
  <c r="G343" i="5"/>
  <c r="G339" i="5"/>
  <c r="G335" i="5"/>
  <c r="G331" i="5"/>
  <c r="G327" i="5"/>
  <c r="G323" i="5"/>
  <c r="G319" i="5"/>
  <c r="G315" i="5"/>
  <c r="G311" i="5"/>
  <c r="G307" i="5"/>
  <c r="G303" i="5"/>
  <c r="G299" i="5"/>
  <c r="G295" i="5"/>
  <c r="G291" i="5"/>
  <c r="G287" i="5"/>
  <c r="G283" i="5"/>
  <c r="G279" i="5"/>
  <c r="G275" i="5"/>
  <c r="G270" i="5"/>
  <c r="G265" i="5"/>
  <c r="G259" i="5"/>
  <c r="G254" i="5"/>
  <c r="G249" i="5"/>
  <c r="G243" i="5"/>
  <c r="G235" i="5"/>
  <c r="G219" i="5"/>
  <c r="G203" i="5"/>
  <c r="G187" i="5"/>
  <c r="G171" i="5"/>
  <c r="G155" i="5"/>
  <c r="G139" i="5"/>
  <c r="G123" i="5"/>
  <c r="G107" i="5"/>
  <c r="G91" i="5"/>
  <c r="G75" i="5"/>
  <c r="G59" i="5"/>
  <c r="G43" i="5"/>
  <c r="G27" i="5"/>
  <c r="G11" i="5"/>
  <c r="K249" i="5"/>
  <c r="G364" i="5"/>
  <c r="G352" i="5"/>
  <c r="G336" i="5"/>
  <c r="G328" i="5"/>
  <c r="G316" i="5"/>
  <c r="G304" i="5"/>
  <c r="G292" i="5"/>
  <c r="G280" i="5"/>
  <c r="G266" i="5"/>
  <c r="G245" i="5"/>
  <c r="G191" i="5"/>
  <c r="G143" i="5"/>
  <c r="G95" i="5"/>
  <c r="G47" i="5"/>
  <c r="G374" i="5"/>
  <c r="G370" i="5"/>
  <c r="G366" i="5"/>
  <c r="G362" i="5"/>
  <c r="G358" i="5"/>
  <c r="G354" i="5"/>
  <c r="G350" i="5"/>
  <c r="G346" i="5"/>
  <c r="G342" i="5"/>
  <c r="G338" i="5"/>
  <c r="G334" i="5"/>
  <c r="G330" i="5"/>
  <c r="G326" i="5"/>
  <c r="G322" i="5"/>
  <c r="G318" i="5"/>
  <c r="G314" i="5"/>
  <c r="G310" i="5"/>
  <c r="G306" i="5"/>
  <c r="G302" i="5"/>
  <c r="G298" i="5"/>
  <c r="G294" i="5"/>
  <c r="G290" i="5"/>
  <c r="G286" i="5"/>
  <c r="G282" i="5"/>
  <c r="G278" i="5"/>
  <c r="G274" i="5"/>
  <c r="G269" i="5"/>
  <c r="G263" i="5"/>
  <c r="G258" i="5"/>
  <c r="G253" i="5"/>
  <c r="G247" i="5"/>
  <c r="G242" i="5"/>
  <c r="G231" i="5"/>
  <c r="G215" i="5"/>
  <c r="G199" i="5"/>
  <c r="G183" i="5"/>
  <c r="G167" i="5"/>
  <c r="G151" i="5"/>
  <c r="G135" i="5"/>
  <c r="G119" i="5"/>
  <c r="G103" i="5"/>
  <c r="G87" i="5"/>
  <c r="G71" i="5"/>
  <c r="G55" i="5"/>
  <c r="G39" i="5"/>
  <c r="G23" i="5"/>
  <c r="G7" i="5"/>
  <c r="K185" i="5"/>
  <c r="G372" i="5"/>
  <c r="G360" i="5"/>
  <c r="G348" i="5"/>
  <c r="G340" i="5"/>
  <c r="G324" i="5"/>
  <c r="G312" i="5"/>
  <c r="G308" i="5"/>
  <c r="G296" i="5"/>
  <c r="G284" i="5"/>
  <c r="G271" i="5"/>
  <c r="G255" i="5"/>
  <c r="G239" i="5"/>
  <c r="G207" i="5"/>
  <c r="G175" i="5"/>
  <c r="G127" i="5"/>
  <c r="G79" i="5"/>
  <c r="G15" i="5"/>
  <c r="F351" i="5"/>
  <c r="F303" i="5"/>
  <c r="F255" i="5"/>
  <c r="F239" i="5"/>
  <c r="F191" i="5"/>
  <c r="F363" i="5"/>
  <c r="F347" i="5"/>
  <c r="F331" i="5"/>
  <c r="F315" i="5"/>
  <c r="F299" i="5"/>
  <c r="F283" i="5"/>
  <c r="F267" i="5"/>
  <c r="F251" i="5"/>
  <c r="F235" i="5"/>
  <c r="F219" i="5"/>
  <c r="F203" i="5"/>
  <c r="F187" i="5"/>
  <c r="F335" i="5"/>
  <c r="F287" i="5"/>
  <c r="F223" i="5"/>
  <c r="F375" i="5"/>
  <c r="F359" i="5"/>
  <c r="F343" i="5"/>
  <c r="F327" i="5"/>
  <c r="F311" i="5"/>
  <c r="F295" i="5"/>
  <c r="F279" i="5"/>
  <c r="F263" i="5"/>
  <c r="F247" i="5"/>
  <c r="F231" i="5"/>
  <c r="F215" i="5"/>
  <c r="F199" i="5"/>
  <c r="F183" i="5"/>
  <c r="F367" i="5"/>
  <c r="F319" i="5"/>
  <c r="F271" i="5"/>
  <c r="F207" i="5"/>
  <c r="F371" i="5"/>
  <c r="F355" i="5"/>
  <c r="F339" i="5"/>
  <c r="F323" i="5"/>
  <c r="F307" i="5"/>
  <c r="F291" i="5"/>
  <c r="F275" i="5"/>
  <c r="F259" i="5"/>
  <c r="F243" i="5"/>
  <c r="F227" i="5"/>
  <c r="F211" i="5"/>
  <c r="F195" i="5"/>
  <c r="F179" i="5"/>
  <c r="F167" i="5"/>
  <c r="F155" i="5"/>
  <c r="F139" i="5"/>
  <c r="F123" i="5"/>
  <c r="F111" i="5"/>
  <c r="F99" i="5"/>
  <c r="F91" i="5"/>
  <c r="F79" i="5"/>
  <c r="F67" i="5"/>
  <c r="F55" i="5"/>
  <c r="F43" i="5"/>
  <c r="F31" i="5"/>
  <c r="F19" i="5"/>
  <c r="F7" i="5"/>
  <c r="J372" i="5"/>
  <c r="J308" i="5"/>
  <c r="J244" i="5"/>
  <c r="J172" i="5"/>
  <c r="F374" i="5"/>
  <c r="F370" i="5"/>
  <c r="F366" i="5"/>
  <c r="F362" i="5"/>
  <c r="F358" i="5"/>
  <c r="F354" i="5"/>
  <c r="F350" i="5"/>
  <c r="F346" i="5"/>
  <c r="F342" i="5"/>
  <c r="F338" i="5"/>
  <c r="F334" i="5"/>
  <c r="F330" i="5"/>
  <c r="F326" i="5"/>
  <c r="F322" i="5"/>
  <c r="F318" i="5"/>
  <c r="F314" i="5"/>
  <c r="F310" i="5"/>
  <c r="F306" i="5"/>
  <c r="F302" i="5"/>
  <c r="F298" i="5"/>
  <c r="F294" i="5"/>
  <c r="F290" i="5"/>
  <c r="F286" i="5"/>
  <c r="F282" i="5"/>
  <c r="F278" i="5"/>
  <c r="F274" i="5"/>
  <c r="F270" i="5"/>
  <c r="F266" i="5"/>
  <c r="F262" i="5"/>
  <c r="F258" i="5"/>
  <c r="F254" i="5"/>
  <c r="F250" i="5"/>
  <c r="F246" i="5"/>
  <c r="F242" i="5"/>
  <c r="F238" i="5"/>
  <c r="F234" i="5"/>
  <c r="F230" i="5"/>
  <c r="F226" i="5"/>
  <c r="F222" i="5"/>
  <c r="F218" i="5"/>
  <c r="F214" i="5"/>
  <c r="F210" i="5"/>
  <c r="F206" i="5"/>
  <c r="F202" i="5"/>
  <c r="F198" i="5"/>
  <c r="F194" i="5"/>
  <c r="F190" i="5"/>
  <c r="F186" i="5"/>
  <c r="F182" i="5"/>
  <c r="F178" i="5"/>
  <c r="F174" i="5"/>
  <c r="F170" i="5"/>
  <c r="F166" i="5"/>
  <c r="F162" i="5"/>
  <c r="F158" i="5"/>
  <c r="F154" i="5"/>
  <c r="F150" i="5"/>
  <c r="F146" i="5"/>
  <c r="F142" i="5"/>
  <c r="F138" i="5"/>
  <c r="F134" i="5"/>
  <c r="F130" i="5"/>
  <c r="F126" i="5"/>
  <c r="F122" i="5"/>
  <c r="F118" i="5"/>
  <c r="F114" i="5"/>
  <c r="F110" i="5"/>
  <c r="F106" i="5"/>
  <c r="F102" i="5"/>
  <c r="F98" i="5"/>
  <c r="F94" i="5"/>
  <c r="F90" i="5"/>
  <c r="F86" i="5"/>
  <c r="F82" i="5"/>
  <c r="F78" i="5"/>
  <c r="F74" i="5"/>
  <c r="F70" i="5"/>
  <c r="F66" i="5"/>
  <c r="F62" i="5"/>
  <c r="F58" i="5"/>
  <c r="F54" i="5"/>
  <c r="F50" i="5"/>
  <c r="F46" i="5"/>
  <c r="F42" i="5"/>
  <c r="F38" i="5"/>
  <c r="F34" i="5"/>
  <c r="F30" i="5"/>
  <c r="F26" i="5"/>
  <c r="F22" i="5"/>
  <c r="F18" i="5"/>
  <c r="F14" i="5"/>
  <c r="F10" i="5"/>
  <c r="F6" i="5"/>
  <c r="J356" i="5"/>
  <c r="J292" i="5"/>
  <c r="J228" i="5"/>
  <c r="J132" i="5"/>
  <c r="F175" i="5"/>
  <c r="F163" i="5"/>
  <c r="F151" i="5"/>
  <c r="F143" i="5"/>
  <c r="F131" i="5"/>
  <c r="F119" i="5"/>
  <c r="F107" i="5"/>
  <c r="F87" i="5"/>
  <c r="F75" i="5"/>
  <c r="F63" i="5"/>
  <c r="F51" i="5"/>
  <c r="F39" i="5"/>
  <c r="F27" i="5"/>
  <c r="F15" i="5"/>
  <c r="F3" i="5"/>
  <c r="F373" i="5"/>
  <c r="F369" i="5"/>
  <c r="F365" i="5"/>
  <c r="F361" i="5"/>
  <c r="F357" i="5"/>
  <c r="F353" i="5"/>
  <c r="F349" i="5"/>
  <c r="F345" i="5"/>
  <c r="F341" i="5"/>
  <c r="F337" i="5"/>
  <c r="F333" i="5"/>
  <c r="F329" i="5"/>
  <c r="F325" i="5"/>
  <c r="F321" i="5"/>
  <c r="F317" i="5"/>
  <c r="F313" i="5"/>
  <c r="F309" i="5"/>
  <c r="F305" i="5"/>
  <c r="F301" i="5"/>
  <c r="F297" i="5"/>
  <c r="F293" i="5"/>
  <c r="F289" i="5"/>
  <c r="F285" i="5"/>
  <c r="F281" i="5"/>
  <c r="F277" i="5"/>
  <c r="F273" i="5"/>
  <c r="F269" i="5"/>
  <c r="F265" i="5"/>
  <c r="F261" i="5"/>
  <c r="F257" i="5"/>
  <c r="F253" i="5"/>
  <c r="F249" i="5"/>
  <c r="F245" i="5"/>
  <c r="F241" i="5"/>
  <c r="F237" i="5"/>
  <c r="F233" i="5"/>
  <c r="F229" i="5"/>
  <c r="F225" i="5"/>
  <c r="F221" i="5"/>
  <c r="F217" i="5"/>
  <c r="F213" i="5"/>
  <c r="F209" i="5"/>
  <c r="F205" i="5"/>
  <c r="F201" i="5"/>
  <c r="F197" i="5"/>
  <c r="F193" i="5"/>
  <c r="F189" i="5"/>
  <c r="F185" i="5"/>
  <c r="F181" i="5"/>
  <c r="F177" i="5"/>
  <c r="F173" i="5"/>
  <c r="F169" i="5"/>
  <c r="F165" i="5"/>
  <c r="F161" i="5"/>
  <c r="F157" i="5"/>
  <c r="F153" i="5"/>
  <c r="F149" i="5"/>
  <c r="F145" i="5"/>
  <c r="F141" i="5"/>
  <c r="F137" i="5"/>
  <c r="F133" i="5"/>
  <c r="F129" i="5"/>
  <c r="F125" i="5"/>
  <c r="F121" i="5"/>
  <c r="F117" i="5"/>
  <c r="F113" i="5"/>
  <c r="F109" i="5"/>
  <c r="F105" i="5"/>
  <c r="F101" i="5"/>
  <c r="F97" i="5"/>
  <c r="F93" i="5"/>
  <c r="F89" i="5"/>
  <c r="F85" i="5"/>
  <c r="F81" i="5"/>
  <c r="F77" i="5"/>
  <c r="F73" i="5"/>
  <c r="F69" i="5"/>
  <c r="F65" i="5"/>
  <c r="F61" i="5"/>
  <c r="F57" i="5"/>
  <c r="F53" i="5"/>
  <c r="F49" i="5"/>
  <c r="F45" i="5"/>
  <c r="F41" i="5"/>
  <c r="F37" i="5"/>
  <c r="F33" i="5"/>
  <c r="F29" i="5"/>
  <c r="F25" i="5"/>
  <c r="F21" i="5"/>
  <c r="F17" i="5"/>
  <c r="F13" i="5"/>
  <c r="F9" i="5"/>
  <c r="F5" i="5"/>
  <c r="J340" i="5"/>
  <c r="J276" i="5"/>
  <c r="J212" i="5"/>
  <c r="J68" i="5"/>
  <c r="F171" i="5"/>
  <c r="F159" i="5"/>
  <c r="F147" i="5"/>
  <c r="F135" i="5"/>
  <c r="F127" i="5"/>
  <c r="F115" i="5"/>
  <c r="F103" i="5"/>
  <c r="F95" i="5"/>
  <c r="F83" i="5"/>
  <c r="F71" i="5"/>
  <c r="F59" i="5"/>
  <c r="F47" i="5"/>
  <c r="F35" i="5"/>
  <c r="F23" i="5"/>
  <c r="F11" i="5"/>
  <c r="F372" i="5"/>
  <c r="F368" i="5"/>
  <c r="F364" i="5"/>
  <c r="F360" i="5"/>
  <c r="F356" i="5"/>
  <c r="F352" i="5"/>
  <c r="F211" i="4"/>
  <c r="F207" i="4"/>
  <c r="F203" i="4"/>
  <c r="F199" i="4"/>
  <c r="F195" i="4"/>
  <c r="F191" i="4"/>
  <c r="F187" i="4"/>
  <c r="F183" i="4"/>
  <c r="F179" i="4"/>
  <c r="F175" i="4"/>
  <c r="F171" i="4"/>
  <c r="F167" i="4"/>
  <c r="F163" i="4"/>
  <c r="F159" i="4"/>
  <c r="F155" i="4"/>
  <c r="F151" i="4"/>
  <c r="F147" i="4"/>
  <c r="F143" i="4"/>
  <c r="F139" i="4"/>
  <c r="F135" i="4"/>
  <c r="F131" i="4"/>
  <c r="F127" i="4"/>
  <c r="F123" i="4"/>
  <c r="F119" i="4"/>
  <c r="F115" i="4"/>
  <c r="F111" i="4"/>
  <c r="F107" i="4"/>
  <c r="F103" i="4"/>
  <c r="F99" i="4"/>
  <c r="F95" i="4"/>
  <c r="F91" i="4"/>
  <c r="F271" i="4"/>
  <c r="F267" i="4"/>
  <c r="F263" i="4"/>
  <c r="F259" i="4"/>
  <c r="F255" i="4"/>
  <c r="F251" i="4"/>
  <c r="F247" i="4"/>
  <c r="F243" i="4"/>
  <c r="F239" i="4"/>
  <c r="F235" i="4"/>
  <c r="F231" i="4"/>
  <c r="F227" i="4"/>
  <c r="F223" i="4"/>
  <c r="F219" i="4"/>
  <c r="F215" i="4"/>
  <c r="F136" i="4"/>
  <c r="F132" i="4"/>
  <c r="F128" i="4"/>
  <c r="F124" i="4"/>
  <c r="F120" i="4"/>
  <c r="F116" i="4"/>
  <c r="F112" i="4"/>
  <c r="F108" i="4"/>
  <c r="F104" i="4"/>
  <c r="F100" i="4"/>
  <c r="F96" i="4"/>
  <c r="F92" i="4"/>
  <c r="F88" i="4"/>
  <c r="F84" i="4"/>
  <c r="F80" i="4"/>
  <c r="F76" i="4"/>
  <c r="F72" i="4"/>
  <c r="F68" i="4"/>
  <c r="F64" i="4"/>
  <c r="F60" i="4"/>
  <c r="F56" i="4"/>
  <c r="F52" i="4"/>
  <c r="F48" i="4"/>
  <c r="F44" i="4"/>
  <c r="F40" i="4"/>
  <c r="F36" i="4"/>
  <c r="F32" i="4"/>
  <c r="F28" i="4"/>
  <c r="F24" i="4"/>
  <c r="F20" i="4"/>
  <c r="F16" i="4"/>
  <c r="F12" i="4"/>
  <c r="F8" i="4"/>
  <c r="F4" i="4"/>
  <c r="F515" i="4"/>
  <c r="F511" i="4"/>
  <c r="F507" i="4"/>
  <c r="F503" i="4"/>
  <c r="F499" i="4"/>
  <c r="F495" i="4"/>
  <c r="F491" i="4"/>
  <c r="F487" i="4"/>
  <c r="F483" i="4"/>
  <c r="F479" i="4"/>
  <c r="F475" i="4"/>
  <c r="F471" i="4"/>
  <c r="F467" i="4"/>
  <c r="F463" i="4"/>
  <c r="F459" i="4"/>
  <c r="F455" i="4"/>
  <c r="F451" i="4"/>
  <c r="F447" i="4"/>
  <c r="F443" i="4"/>
  <c r="F439" i="4"/>
  <c r="F435" i="4"/>
  <c r="F431" i="4"/>
  <c r="F427" i="4"/>
  <c r="F423" i="4"/>
  <c r="F419" i="4"/>
  <c r="F415" i="4"/>
  <c r="F411" i="4"/>
  <c r="F407" i="4"/>
  <c r="F403" i="4"/>
  <c r="F399" i="4"/>
  <c r="F395" i="4"/>
  <c r="F391" i="4"/>
  <c r="F387" i="4"/>
  <c r="F383" i="4"/>
  <c r="F379" i="4"/>
  <c r="F375" i="4"/>
  <c r="F371" i="4"/>
  <c r="F367" i="4"/>
  <c r="F363" i="4"/>
  <c r="F359" i="4"/>
  <c r="F355" i="4"/>
  <c r="F351" i="4"/>
  <c r="F347" i="4"/>
  <c r="F343" i="4"/>
  <c r="F339" i="4"/>
  <c r="F335" i="4"/>
  <c r="F331" i="4"/>
  <c r="F327" i="4"/>
  <c r="F323" i="4"/>
  <c r="F319" i="4"/>
  <c r="F315" i="4"/>
  <c r="F311" i="4"/>
  <c r="F307" i="4"/>
  <c r="F303" i="4"/>
  <c r="F299" i="4"/>
  <c r="F295" i="4"/>
  <c r="F291" i="4"/>
  <c r="F287" i="4"/>
  <c r="F283" i="4"/>
  <c r="F279" i="4"/>
  <c r="F275" i="4"/>
  <c r="H275" i="4" l="1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511" i="4"/>
  <c r="H515" i="4"/>
  <c r="H4" i="4"/>
  <c r="H8" i="4"/>
  <c r="H12" i="4"/>
  <c r="H16" i="4"/>
  <c r="H20" i="4"/>
  <c r="H24" i="4"/>
  <c r="H28" i="4"/>
  <c r="H32" i="4"/>
  <c r="H36" i="4"/>
  <c r="H40" i="4"/>
  <c r="H44" i="4"/>
  <c r="H48" i="4"/>
  <c r="H52" i="4"/>
  <c r="H56" i="4"/>
  <c r="H60" i="4"/>
  <c r="H64" i="4"/>
  <c r="H68" i="4"/>
  <c r="H72" i="4"/>
  <c r="H76" i="4"/>
  <c r="H80" i="4"/>
  <c r="H84" i="4"/>
  <c r="H88" i="4"/>
  <c r="H92" i="4"/>
  <c r="H96" i="4"/>
  <c r="H100" i="4"/>
  <c r="H104" i="4"/>
  <c r="H108" i="4"/>
  <c r="H112" i="4"/>
  <c r="H116" i="4"/>
  <c r="H120" i="4"/>
  <c r="H124" i="4"/>
  <c r="H128" i="4"/>
  <c r="H132" i="4"/>
  <c r="H136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207" i="4"/>
  <c r="H211" i="4"/>
  <c r="H352" i="5"/>
  <c r="H356" i="5"/>
  <c r="H360" i="5"/>
  <c r="H364" i="5"/>
  <c r="H368" i="5"/>
  <c r="H372" i="5"/>
  <c r="H11" i="5"/>
  <c r="H23" i="5"/>
  <c r="H35" i="5"/>
  <c r="H47" i="5"/>
  <c r="H59" i="5"/>
  <c r="H71" i="5"/>
  <c r="H83" i="5"/>
  <c r="H95" i="5"/>
  <c r="H103" i="5"/>
  <c r="H115" i="5"/>
  <c r="H127" i="5"/>
  <c r="H135" i="5"/>
  <c r="H147" i="5"/>
  <c r="H159" i="5"/>
  <c r="H171" i="5"/>
  <c r="L68" i="5"/>
  <c r="M68" i="5" s="1"/>
  <c r="L212" i="5"/>
  <c r="M212" i="5" s="1"/>
  <c r="L276" i="5"/>
  <c r="M276" i="5" s="1"/>
  <c r="L340" i="5"/>
  <c r="M340" i="5" s="1"/>
  <c r="H5" i="5"/>
  <c r="H9" i="5"/>
  <c r="H13" i="5"/>
  <c r="H17" i="5"/>
  <c r="H21" i="5"/>
  <c r="H25" i="5"/>
  <c r="H29" i="5"/>
  <c r="H33" i="5"/>
  <c r="H37" i="5"/>
  <c r="H41" i="5"/>
  <c r="H45" i="5"/>
  <c r="H49" i="5"/>
  <c r="H53" i="5"/>
  <c r="H57" i="5"/>
  <c r="H61" i="5"/>
  <c r="H65" i="5"/>
  <c r="H69" i="5"/>
  <c r="H73" i="5"/>
  <c r="H77" i="5"/>
  <c r="H81" i="5"/>
  <c r="H85" i="5"/>
  <c r="H89" i="5"/>
  <c r="H93" i="5"/>
  <c r="H97" i="5"/>
  <c r="H101" i="5"/>
  <c r="H105" i="5"/>
  <c r="H109" i="5"/>
  <c r="H113" i="5"/>
  <c r="H117" i="5"/>
  <c r="H121" i="5"/>
  <c r="H125" i="5"/>
  <c r="H129" i="5"/>
  <c r="H133" i="5"/>
  <c r="H137" i="5"/>
  <c r="H141" i="5"/>
  <c r="H145" i="5"/>
  <c r="H149" i="5"/>
  <c r="H153" i="5"/>
  <c r="H157" i="5"/>
  <c r="H161" i="5"/>
  <c r="H165" i="5"/>
  <c r="H169" i="5"/>
  <c r="H173" i="5"/>
  <c r="H177" i="5"/>
  <c r="H181" i="5"/>
  <c r="H185" i="5"/>
  <c r="H189" i="5"/>
  <c r="H193" i="5"/>
  <c r="H197" i="5"/>
  <c r="H201" i="5"/>
  <c r="H205" i="5"/>
  <c r="H209" i="5"/>
  <c r="H213" i="5"/>
  <c r="H217" i="5"/>
  <c r="H221" i="5"/>
  <c r="H225" i="5"/>
  <c r="H229" i="5"/>
  <c r="H233" i="5"/>
  <c r="H237" i="5"/>
  <c r="H241" i="5"/>
  <c r="H245" i="5"/>
  <c r="H249" i="5"/>
  <c r="H253" i="5"/>
  <c r="H257" i="5"/>
  <c r="H261" i="5"/>
  <c r="H265" i="5"/>
  <c r="H269" i="5"/>
  <c r="H273" i="5"/>
  <c r="H277" i="5"/>
  <c r="H281" i="5"/>
  <c r="H285" i="5"/>
  <c r="H289" i="5"/>
  <c r="H293" i="5"/>
  <c r="H297" i="5"/>
  <c r="H301" i="5"/>
  <c r="H305" i="5"/>
  <c r="H309" i="5"/>
  <c r="H313" i="5"/>
  <c r="H317" i="5"/>
  <c r="H321" i="5"/>
  <c r="H325" i="5"/>
  <c r="H329" i="5"/>
  <c r="H333" i="5"/>
  <c r="H337" i="5"/>
  <c r="H341" i="5"/>
  <c r="H345" i="5"/>
  <c r="H349" i="5"/>
  <c r="H353" i="5"/>
  <c r="H357" i="5"/>
  <c r="H361" i="5"/>
  <c r="H365" i="5"/>
  <c r="H369" i="5"/>
  <c r="H373" i="5"/>
  <c r="H3" i="5"/>
  <c r="H15" i="5"/>
  <c r="H27" i="5"/>
  <c r="H39" i="5"/>
  <c r="H51" i="5"/>
  <c r="H63" i="5"/>
  <c r="H75" i="5"/>
  <c r="H87" i="5"/>
  <c r="H107" i="5"/>
  <c r="H119" i="5"/>
  <c r="H131" i="5"/>
  <c r="H143" i="5"/>
  <c r="H151" i="5"/>
  <c r="H163" i="5"/>
  <c r="H175" i="5"/>
  <c r="L132" i="5"/>
  <c r="M132" i="5" s="1"/>
  <c r="L228" i="5"/>
  <c r="M228" i="5" s="1"/>
  <c r="L292" i="5"/>
  <c r="M292" i="5" s="1"/>
  <c r="L356" i="5"/>
  <c r="M356" i="5" s="1"/>
  <c r="H6" i="5"/>
  <c r="H10" i="5"/>
  <c r="H14" i="5"/>
  <c r="H18" i="5"/>
  <c r="H22" i="5"/>
  <c r="H26" i="5"/>
  <c r="H30" i="5"/>
  <c r="H34" i="5"/>
  <c r="H38" i="5"/>
  <c r="H42" i="5"/>
  <c r="H46" i="5"/>
  <c r="H50" i="5"/>
  <c r="H54" i="5"/>
  <c r="H58" i="5"/>
  <c r="H62" i="5"/>
  <c r="H66" i="5"/>
  <c r="H70" i="5"/>
  <c r="H74" i="5"/>
  <c r="H78" i="5"/>
  <c r="H82" i="5"/>
  <c r="H86" i="5"/>
  <c r="H90" i="5"/>
  <c r="H94" i="5"/>
  <c r="H98" i="5"/>
  <c r="H102" i="5"/>
  <c r="H106" i="5"/>
  <c r="H110" i="5"/>
  <c r="H114" i="5"/>
  <c r="H118" i="5"/>
  <c r="H122" i="5"/>
  <c r="H126" i="5"/>
  <c r="H130" i="5"/>
  <c r="H134" i="5"/>
  <c r="H138" i="5"/>
  <c r="H142" i="5"/>
  <c r="H146" i="5"/>
  <c r="H150" i="5"/>
  <c r="H154" i="5"/>
  <c r="H158" i="5"/>
  <c r="H162" i="5"/>
  <c r="H166" i="5"/>
  <c r="H170" i="5"/>
  <c r="H174" i="5"/>
  <c r="H178" i="5"/>
  <c r="H182" i="5"/>
  <c r="H186" i="5"/>
  <c r="H190" i="5"/>
  <c r="H194" i="5"/>
  <c r="H198" i="5"/>
  <c r="H202" i="5"/>
  <c r="H206" i="5"/>
  <c r="H210" i="5"/>
  <c r="H214" i="5"/>
  <c r="H218" i="5"/>
  <c r="H222" i="5"/>
  <c r="H226" i="5"/>
  <c r="H230" i="5"/>
  <c r="H234" i="5"/>
  <c r="H238" i="5"/>
  <c r="H242" i="5"/>
  <c r="H246" i="5"/>
  <c r="H250" i="5"/>
  <c r="H254" i="5"/>
  <c r="H258" i="5"/>
  <c r="H262" i="5"/>
  <c r="H266" i="5"/>
  <c r="H270" i="5"/>
  <c r="H274" i="5"/>
  <c r="H278" i="5"/>
  <c r="H282" i="5"/>
  <c r="H286" i="5"/>
  <c r="H290" i="5"/>
  <c r="H294" i="5"/>
  <c r="H298" i="5"/>
  <c r="H302" i="5"/>
  <c r="H306" i="5"/>
  <c r="H310" i="5"/>
  <c r="H314" i="5"/>
  <c r="H318" i="5"/>
  <c r="H322" i="5"/>
  <c r="H326" i="5"/>
  <c r="H330" i="5"/>
  <c r="H334" i="5"/>
  <c r="H338" i="5"/>
  <c r="H342" i="5"/>
  <c r="H346" i="5"/>
  <c r="H350" i="5"/>
  <c r="H354" i="5"/>
  <c r="H358" i="5"/>
  <c r="H362" i="5"/>
  <c r="H366" i="5"/>
  <c r="H370" i="5"/>
  <c r="H374" i="5"/>
  <c r="L172" i="5"/>
  <c r="M172" i="5" s="1"/>
  <c r="L244" i="5"/>
  <c r="M244" i="5" s="1"/>
  <c r="L308" i="5"/>
  <c r="M308" i="5" s="1"/>
  <c r="L372" i="5"/>
  <c r="M372" i="5" s="1"/>
  <c r="H7" i="5"/>
  <c r="H19" i="5"/>
  <c r="H31" i="5"/>
  <c r="H43" i="5"/>
  <c r="H55" i="5"/>
  <c r="H67" i="5"/>
  <c r="H79" i="5"/>
  <c r="H91" i="5"/>
  <c r="H99" i="5"/>
  <c r="H111" i="5"/>
  <c r="H123" i="5"/>
  <c r="H139" i="5"/>
  <c r="H155" i="5"/>
  <c r="H167" i="5"/>
  <c r="H179" i="5"/>
  <c r="H195" i="5"/>
  <c r="H211" i="5"/>
  <c r="H227" i="5"/>
  <c r="H243" i="5"/>
  <c r="H259" i="5"/>
  <c r="H275" i="5"/>
  <c r="H291" i="5"/>
  <c r="H307" i="5"/>
  <c r="H323" i="5"/>
  <c r="H339" i="5"/>
  <c r="H355" i="5"/>
  <c r="H371" i="5"/>
  <c r="H207" i="5"/>
  <c r="H271" i="5"/>
  <c r="H319" i="5"/>
  <c r="H367" i="5"/>
  <c r="H183" i="5"/>
  <c r="H199" i="5"/>
  <c r="H215" i="5"/>
  <c r="H231" i="5"/>
  <c r="H247" i="5"/>
  <c r="H263" i="5"/>
  <c r="H279" i="5"/>
  <c r="H295" i="5"/>
  <c r="H311" i="5"/>
  <c r="H327" i="5"/>
  <c r="H343" i="5"/>
  <c r="H359" i="5"/>
  <c r="H375" i="5"/>
  <c r="H223" i="5"/>
  <c r="H287" i="5"/>
  <c r="H335" i="5"/>
  <c r="H187" i="5"/>
  <c r="H203" i="5"/>
  <c r="H219" i="5"/>
  <c r="H235" i="5"/>
  <c r="H251" i="5"/>
  <c r="H267" i="5"/>
  <c r="H283" i="5"/>
  <c r="H299" i="5"/>
  <c r="H315" i="5"/>
  <c r="H331" i="5"/>
  <c r="H347" i="5"/>
  <c r="H363" i="5"/>
  <c r="H191" i="5"/>
  <c r="H239" i="5"/>
  <c r="H255" i="5"/>
  <c r="H303" i="5"/>
  <c r="H351" i="5"/>
  <c r="I15" i="5"/>
  <c r="I79" i="5"/>
  <c r="I127" i="5"/>
  <c r="I175" i="5"/>
  <c r="I207" i="5"/>
  <c r="I239" i="5"/>
  <c r="I255" i="5"/>
  <c r="I271" i="5"/>
  <c r="I284" i="5"/>
  <c r="I296" i="5"/>
  <c r="I308" i="5"/>
  <c r="I312" i="5"/>
  <c r="I324" i="5"/>
  <c r="I340" i="5"/>
  <c r="I348" i="5"/>
  <c r="I360" i="5"/>
  <c r="I372" i="5"/>
  <c r="I7" i="5"/>
  <c r="I23" i="5"/>
  <c r="I39" i="5"/>
  <c r="I55" i="5"/>
  <c r="I71" i="5"/>
  <c r="I87" i="5"/>
  <c r="I103" i="5"/>
  <c r="I119" i="5"/>
  <c r="I135" i="5"/>
  <c r="I151" i="5"/>
  <c r="I167" i="5"/>
  <c r="I183" i="5"/>
  <c r="I199" i="5"/>
  <c r="I215" i="5"/>
  <c r="I231" i="5"/>
  <c r="I242" i="5"/>
  <c r="I247" i="5"/>
  <c r="I253" i="5"/>
  <c r="I258" i="5"/>
  <c r="I263" i="5"/>
  <c r="I269" i="5"/>
  <c r="I274" i="5"/>
  <c r="I278" i="5"/>
  <c r="I282" i="5"/>
  <c r="I286" i="5"/>
  <c r="I290" i="5"/>
  <c r="I294" i="5"/>
  <c r="I298" i="5"/>
  <c r="I302" i="5"/>
  <c r="I306" i="5"/>
  <c r="I310" i="5"/>
  <c r="I314" i="5"/>
  <c r="I318" i="5"/>
  <c r="I322" i="5"/>
  <c r="I326" i="5"/>
  <c r="I330" i="5"/>
  <c r="I334" i="5"/>
  <c r="I338" i="5"/>
  <c r="I342" i="5"/>
  <c r="I346" i="5"/>
  <c r="I350" i="5"/>
  <c r="I354" i="5"/>
  <c r="I358" i="5"/>
  <c r="I362" i="5"/>
  <c r="I366" i="5"/>
  <c r="I370" i="5"/>
  <c r="I374" i="5"/>
  <c r="I47" i="5"/>
  <c r="I95" i="5"/>
  <c r="I143" i="5"/>
  <c r="I191" i="5"/>
  <c r="I245" i="5"/>
  <c r="I266" i="5"/>
  <c r="I280" i="5"/>
  <c r="I292" i="5"/>
  <c r="I304" i="5"/>
  <c r="I316" i="5"/>
  <c r="I328" i="5"/>
  <c r="I336" i="5"/>
  <c r="I352" i="5"/>
  <c r="I364" i="5"/>
  <c r="I11" i="5"/>
  <c r="I27" i="5"/>
  <c r="I43" i="5"/>
  <c r="I59" i="5"/>
  <c r="I75" i="5"/>
  <c r="I91" i="5"/>
  <c r="I107" i="5"/>
  <c r="I123" i="5"/>
  <c r="I139" i="5"/>
  <c r="I155" i="5"/>
  <c r="I171" i="5"/>
  <c r="I187" i="5"/>
  <c r="I203" i="5"/>
  <c r="I219" i="5"/>
  <c r="I235" i="5"/>
  <c r="I243" i="5"/>
  <c r="I249" i="5"/>
  <c r="I254" i="5"/>
  <c r="I259" i="5"/>
  <c r="I265" i="5"/>
  <c r="I270" i="5"/>
  <c r="I275" i="5"/>
  <c r="I279" i="5"/>
  <c r="I283" i="5"/>
  <c r="I287" i="5"/>
  <c r="I291" i="5"/>
  <c r="I295" i="5"/>
  <c r="I299" i="5"/>
  <c r="I303" i="5"/>
  <c r="I307" i="5"/>
  <c r="I311" i="5"/>
  <c r="I315" i="5"/>
  <c r="I319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I375" i="5"/>
  <c r="I31" i="5"/>
  <c r="I63" i="5"/>
  <c r="I111" i="5"/>
  <c r="I159" i="5"/>
  <c r="I223" i="5"/>
  <c r="I250" i="5"/>
  <c r="I261" i="5"/>
  <c r="I276" i="5"/>
  <c r="I288" i="5"/>
  <c r="I300" i="5"/>
  <c r="I320" i="5"/>
  <c r="I332" i="5"/>
  <c r="I344" i="5"/>
  <c r="I356" i="5"/>
  <c r="I368" i="5"/>
  <c r="H3" i="4"/>
  <c r="F835" i="4"/>
  <c r="H7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L16" i="5"/>
  <c r="M16" i="5" s="1"/>
  <c r="L32" i="5"/>
  <c r="M32" i="5" s="1"/>
  <c r="L48" i="5"/>
  <c r="M48" i="5" s="1"/>
  <c r="L64" i="5"/>
  <c r="M64" i="5" s="1"/>
  <c r="L80" i="5"/>
  <c r="M80" i="5" s="1"/>
  <c r="L96" i="5"/>
  <c r="M96" i="5" s="1"/>
  <c r="L112" i="5"/>
  <c r="M112" i="5" s="1"/>
  <c r="L128" i="5"/>
  <c r="M128" i="5" s="1"/>
  <c r="L144" i="5"/>
  <c r="M144" i="5" s="1"/>
  <c r="L159" i="5"/>
  <c r="M159" i="5" s="1"/>
  <c r="L166" i="5"/>
  <c r="M166" i="5" s="1"/>
  <c r="L171" i="5"/>
  <c r="M171" i="5" s="1"/>
  <c r="L176" i="5"/>
  <c r="M176" i="5" s="1"/>
  <c r="L182" i="5"/>
  <c r="M182" i="5" s="1"/>
  <c r="L187" i="5"/>
  <c r="M187" i="5" s="1"/>
  <c r="L192" i="5"/>
  <c r="M192" i="5" s="1"/>
  <c r="L198" i="5"/>
  <c r="M198" i="5" s="1"/>
  <c r="L203" i="5"/>
  <c r="M203" i="5" s="1"/>
  <c r="L207" i="5"/>
  <c r="M207" i="5" s="1"/>
  <c r="L211" i="5"/>
  <c r="M211" i="5" s="1"/>
  <c r="L215" i="5"/>
  <c r="M215" i="5" s="1"/>
  <c r="L219" i="5"/>
  <c r="M219" i="5" s="1"/>
  <c r="L223" i="5"/>
  <c r="M223" i="5" s="1"/>
  <c r="L227" i="5"/>
  <c r="M227" i="5" s="1"/>
  <c r="L231" i="5"/>
  <c r="M231" i="5" s="1"/>
  <c r="L235" i="5"/>
  <c r="M235" i="5" s="1"/>
  <c r="L239" i="5"/>
  <c r="M239" i="5" s="1"/>
  <c r="L243" i="5"/>
  <c r="M243" i="5" s="1"/>
  <c r="L247" i="5"/>
  <c r="M247" i="5" s="1"/>
  <c r="L251" i="5"/>
  <c r="M251" i="5" s="1"/>
  <c r="L255" i="5"/>
  <c r="M255" i="5" s="1"/>
  <c r="L259" i="5"/>
  <c r="M259" i="5" s="1"/>
  <c r="L263" i="5"/>
  <c r="M263" i="5" s="1"/>
  <c r="L267" i="5"/>
  <c r="M267" i="5" s="1"/>
  <c r="L271" i="5"/>
  <c r="M271" i="5" s="1"/>
  <c r="L275" i="5"/>
  <c r="M275" i="5" s="1"/>
  <c r="L279" i="5"/>
  <c r="M279" i="5" s="1"/>
  <c r="L283" i="5"/>
  <c r="M283" i="5" s="1"/>
  <c r="L287" i="5"/>
  <c r="M287" i="5" s="1"/>
  <c r="L291" i="5"/>
  <c r="M291" i="5" s="1"/>
  <c r="L295" i="5"/>
  <c r="M295" i="5" s="1"/>
  <c r="L299" i="5"/>
  <c r="M299" i="5" s="1"/>
  <c r="L303" i="5"/>
  <c r="M303" i="5" s="1"/>
  <c r="L307" i="5"/>
  <c r="M307" i="5" s="1"/>
  <c r="L311" i="5"/>
  <c r="M311" i="5" s="1"/>
  <c r="L315" i="5"/>
  <c r="M315" i="5" s="1"/>
  <c r="L319" i="5"/>
  <c r="M319" i="5" s="1"/>
  <c r="L323" i="5"/>
  <c r="M323" i="5" s="1"/>
  <c r="L327" i="5"/>
  <c r="M327" i="5" s="1"/>
  <c r="L331" i="5"/>
  <c r="M331" i="5" s="1"/>
  <c r="L335" i="5"/>
  <c r="M335" i="5" s="1"/>
  <c r="L339" i="5"/>
  <c r="M339" i="5" s="1"/>
  <c r="L343" i="5"/>
  <c r="M343" i="5" s="1"/>
  <c r="L347" i="5"/>
  <c r="M347" i="5" s="1"/>
  <c r="L351" i="5"/>
  <c r="M351" i="5" s="1"/>
  <c r="L355" i="5"/>
  <c r="M355" i="5" s="1"/>
  <c r="L359" i="5"/>
  <c r="M359" i="5" s="1"/>
  <c r="L363" i="5"/>
  <c r="M363" i="5" s="1"/>
  <c r="L367" i="5"/>
  <c r="M367" i="5" s="1"/>
  <c r="L371" i="5"/>
  <c r="M371" i="5" s="1"/>
  <c r="L375" i="5"/>
  <c r="M375" i="5" s="1"/>
  <c r="L20" i="5"/>
  <c r="M20" i="5" s="1"/>
  <c r="L84" i="5"/>
  <c r="M84" i="5" s="1"/>
  <c r="L148" i="5"/>
  <c r="M148" i="5" s="1"/>
  <c r="L178" i="5"/>
  <c r="M178" i="5" s="1"/>
  <c r="L199" i="5"/>
  <c r="M199" i="5" s="1"/>
  <c r="L216" i="5"/>
  <c r="M216" i="5" s="1"/>
  <c r="L232" i="5"/>
  <c r="M232" i="5" s="1"/>
  <c r="L248" i="5"/>
  <c r="M248" i="5" s="1"/>
  <c r="L264" i="5"/>
  <c r="M264" i="5" s="1"/>
  <c r="L280" i="5"/>
  <c r="M280" i="5" s="1"/>
  <c r="L296" i="5"/>
  <c r="M296" i="5" s="1"/>
  <c r="L312" i="5"/>
  <c r="M312" i="5" s="1"/>
  <c r="L328" i="5"/>
  <c r="M328" i="5" s="1"/>
  <c r="L344" i="5"/>
  <c r="M344" i="5" s="1"/>
  <c r="L360" i="5"/>
  <c r="M360" i="5" s="1"/>
  <c r="L36" i="5"/>
  <c r="M36" i="5" s="1"/>
  <c r="L100" i="5"/>
  <c r="M100" i="5" s="1"/>
  <c r="L160" i="5"/>
  <c r="M160" i="5" s="1"/>
  <c r="L183" i="5"/>
  <c r="M183" i="5" s="1"/>
  <c r="L204" i="5"/>
  <c r="M204" i="5" s="1"/>
  <c r="L220" i="5"/>
  <c r="M220" i="5" s="1"/>
  <c r="L236" i="5"/>
  <c r="M236" i="5" s="1"/>
  <c r="L252" i="5"/>
  <c r="M252" i="5" s="1"/>
  <c r="L268" i="5"/>
  <c r="M268" i="5" s="1"/>
  <c r="L284" i="5"/>
  <c r="M284" i="5" s="1"/>
  <c r="L300" i="5"/>
  <c r="M300" i="5" s="1"/>
  <c r="L316" i="5"/>
  <c r="M316" i="5" s="1"/>
  <c r="L332" i="5"/>
  <c r="M332" i="5" s="1"/>
  <c r="L348" i="5"/>
  <c r="M348" i="5" s="1"/>
  <c r="L364" i="5"/>
  <c r="M364" i="5" s="1"/>
  <c r="L52" i="5"/>
  <c r="M52" i="5" s="1"/>
  <c r="L116" i="5"/>
  <c r="M116" i="5" s="1"/>
  <c r="L167" i="5"/>
  <c r="M167" i="5" s="1"/>
  <c r="L188" i="5"/>
  <c r="M188" i="5" s="1"/>
  <c r="L208" i="5"/>
  <c r="M208" i="5" s="1"/>
  <c r="L224" i="5"/>
  <c r="M224" i="5" s="1"/>
  <c r="L240" i="5"/>
  <c r="M240" i="5" s="1"/>
  <c r="L256" i="5"/>
  <c r="M256" i="5" s="1"/>
  <c r="L272" i="5"/>
  <c r="M272" i="5" s="1"/>
  <c r="L288" i="5"/>
  <c r="M288" i="5" s="1"/>
  <c r="L304" i="5"/>
  <c r="M304" i="5" s="1"/>
  <c r="L320" i="5"/>
  <c r="M320" i="5" s="1"/>
  <c r="L336" i="5"/>
  <c r="M336" i="5" s="1"/>
  <c r="L352" i="5"/>
  <c r="M352" i="5" s="1"/>
  <c r="L368" i="5"/>
  <c r="M368" i="5" s="1"/>
  <c r="L4" i="5"/>
  <c r="M4" i="5" s="1"/>
  <c r="L194" i="5"/>
  <c r="M194" i="5" s="1"/>
  <c r="L260" i="5"/>
  <c r="M260" i="5" s="1"/>
  <c r="L324" i="5"/>
  <c r="M324" i="5" s="1"/>
  <c r="H4" i="5"/>
  <c r="H8" i="5"/>
  <c r="H12" i="5"/>
  <c r="H16" i="5"/>
  <c r="H20" i="5"/>
  <c r="H24" i="5"/>
  <c r="H28" i="5"/>
  <c r="H32" i="5"/>
  <c r="H36" i="5"/>
  <c r="H40" i="5"/>
  <c r="H44" i="5"/>
  <c r="H48" i="5"/>
  <c r="H52" i="5"/>
  <c r="H56" i="5"/>
  <c r="H60" i="5"/>
  <c r="H64" i="5"/>
  <c r="H68" i="5"/>
  <c r="H72" i="5"/>
  <c r="H76" i="5"/>
  <c r="H80" i="5"/>
  <c r="H84" i="5"/>
  <c r="H88" i="5"/>
  <c r="H92" i="5"/>
  <c r="H96" i="5"/>
  <c r="H100" i="5"/>
  <c r="H104" i="5"/>
  <c r="H108" i="5"/>
  <c r="H112" i="5"/>
  <c r="H116" i="5"/>
  <c r="H120" i="5"/>
  <c r="H124" i="5"/>
  <c r="H128" i="5"/>
  <c r="H132" i="5"/>
  <c r="H136" i="5"/>
  <c r="H140" i="5"/>
  <c r="H144" i="5"/>
  <c r="H148" i="5"/>
  <c r="H152" i="5"/>
  <c r="H156" i="5"/>
  <c r="H160" i="5"/>
  <c r="H164" i="5"/>
  <c r="H168" i="5"/>
  <c r="H172" i="5"/>
  <c r="H176" i="5"/>
  <c r="H180" i="5"/>
  <c r="H184" i="5"/>
  <c r="H188" i="5"/>
  <c r="H192" i="5"/>
  <c r="H196" i="5"/>
  <c r="H200" i="5"/>
  <c r="H204" i="5"/>
  <c r="H208" i="5"/>
  <c r="H212" i="5"/>
  <c r="H216" i="5"/>
  <c r="H220" i="5"/>
  <c r="H224" i="5"/>
  <c r="H228" i="5"/>
  <c r="H232" i="5"/>
  <c r="H236" i="5"/>
  <c r="H240" i="5"/>
  <c r="H244" i="5"/>
  <c r="H248" i="5"/>
  <c r="H252" i="5"/>
  <c r="H256" i="5"/>
  <c r="H260" i="5"/>
  <c r="H264" i="5"/>
  <c r="H268" i="5"/>
  <c r="H272" i="5"/>
  <c r="H276" i="5"/>
  <c r="H280" i="5"/>
  <c r="H284" i="5"/>
  <c r="H288" i="5"/>
  <c r="H292" i="5"/>
  <c r="H296" i="5"/>
  <c r="H300" i="5"/>
  <c r="H304" i="5"/>
  <c r="H308" i="5"/>
  <c r="H312" i="5"/>
  <c r="H316" i="5"/>
  <c r="H320" i="5"/>
  <c r="H324" i="5"/>
  <c r="H328" i="5"/>
  <c r="H332" i="5"/>
  <c r="H336" i="5"/>
  <c r="H340" i="5"/>
  <c r="H344" i="5"/>
  <c r="H348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I100" i="5"/>
  <c r="I104" i="5"/>
  <c r="I108" i="5"/>
  <c r="I112" i="5"/>
  <c r="I116" i="5"/>
  <c r="I120" i="5"/>
  <c r="I124" i="5"/>
  <c r="I128" i="5"/>
  <c r="I132" i="5"/>
  <c r="I136" i="5"/>
  <c r="I140" i="5"/>
  <c r="I144" i="5"/>
  <c r="I148" i="5"/>
  <c r="I152" i="5"/>
  <c r="I156" i="5"/>
  <c r="I160" i="5"/>
  <c r="I164" i="5"/>
  <c r="I168" i="5"/>
  <c r="I172" i="5"/>
  <c r="I176" i="5"/>
  <c r="I180" i="5"/>
  <c r="I184" i="5"/>
  <c r="I188" i="5"/>
  <c r="I192" i="5"/>
  <c r="I196" i="5"/>
  <c r="I200" i="5"/>
  <c r="I204" i="5"/>
  <c r="I208" i="5"/>
  <c r="I212" i="5"/>
  <c r="I216" i="5"/>
  <c r="I220" i="5"/>
  <c r="I224" i="5"/>
  <c r="I228" i="5"/>
  <c r="I232" i="5"/>
  <c r="I236" i="5"/>
  <c r="I240" i="5"/>
  <c r="I244" i="5"/>
  <c r="I248" i="5"/>
  <c r="I252" i="5"/>
  <c r="I256" i="5"/>
  <c r="I260" i="5"/>
  <c r="I264" i="5"/>
  <c r="I268" i="5"/>
  <c r="I272" i="5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113" i="5"/>
  <c r="I117" i="5"/>
  <c r="I121" i="5"/>
  <c r="I125" i="5"/>
  <c r="I129" i="5"/>
  <c r="I133" i="5"/>
  <c r="I137" i="5"/>
  <c r="I141" i="5"/>
  <c r="I145" i="5"/>
  <c r="I149" i="5"/>
  <c r="I153" i="5"/>
  <c r="I157" i="5"/>
  <c r="I161" i="5"/>
  <c r="I165" i="5"/>
  <c r="I169" i="5"/>
  <c r="I173" i="5"/>
  <c r="I177" i="5"/>
  <c r="I181" i="5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6" i="5"/>
  <c r="I10" i="5"/>
  <c r="I14" i="5"/>
  <c r="I18" i="5"/>
  <c r="I22" i="5"/>
  <c r="I26" i="5"/>
  <c r="I30" i="5"/>
  <c r="I34" i="5"/>
  <c r="I38" i="5"/>
  <c r="I42" i="5"/>
  <c r="I46" i="5"/>
  <c r="I50" i="5"/>
  <c r="I54" i="5"/>
  <c r="I58" i="5"/>
  <c r="I62" i="5"/>
  <c r="I66" i="5"/>
  <c r="I70" i="5"/>
  <c r="I74" i="5"/>
  <c r="I78" i="5"/>
  <c r="I82" i="5"/>
  <c r="I86" i="5"/>
  <c r="I90" i="5"/>
  <c r="I94" i="5"/>
  <c r="I98" i="5"/>
  <c r="I102" i="5"/>
  <c r="I106" i="5"/>
  <c r="I110" i="5"/>
  <c r="I114" i="5"/>
  <c r="I118" i="5"/>
  <c r="I122" i="5"/>
  <c r="I126" i="5"/>
  <c r="I130" i="5"/>
  <c r="I134" i="5"/>
  <c r="I138" i="5"/>
  <c r="I142" i="5"/>
  <c r="I146" i="5"/>
  <c r="I150" i="5"/>
  <c r="I154" i="5"/>
  <c r="I158" i="5"/>
  <c r="I162" i="5"/>
  <c r="I166" i="5"/>
  <c r="I170" i="5"/>
  <c r="I174" i="5"/>
  <c r="I178" i="5"/>
  <c r="I182" i="5"/>
  <c r="I186" i="5"/>
  <c r="I190" i="5"/>
  <c r="I194" i="5"/>
  <c r="I198" i="5"/>
  <c r="I202" i="5"/>
  <c r="I206" i="5"/>
  <c r="I210" i="5"/>
  <c r="I214" i="5"/>
  <c r="I218" i="5"/>
  <c r="I222" i="5"/>
  <c r="I226" i="5"/>
  <c r="I230" i="5"/>
  <c r="I234" i="5"/>
  <c r="I238" i="5"/>
  <c r="I3" i="5"/>
  <c r="I19" i="5"/>
  <c r="I35" i="5"/>
  <c r="I51" i="5"/>
  <c r="I67" i="5"/>
  <c r="I83" i="5"/>
  <c r="I99" i="5"/>
  <c r="I115" i="5"/>
  <c r="I131" i="5"/>
  <c r="I147" i="5"/>
  <c r="I163" i="5"/>
  <c r="I179" i="5"/>
  <c r="I195" i="5"/>
  <c r="I211" i="5"/>
  <c r="I227" i="5"/>
  <c r="I241" i="5"/>
  <c r="I246" i="5"/>
  <c r="I251" i="5"/>
  <c r="I257" i="5"/>
  <c r="I262" i="5"/>
  <c r="I267" i="5"/>
  <c r="I273" i="5"/>
  <c r="I277" i="5"/>
  <c r="I281" i="5"/>
  <c r="I285" i="5"/>
  <c r="I289" i="5"/>
  <c r="I293" i="5"/>
  <c r="I297" i="5"/>
  <c r="I301" i="5"/>
  <c r="I305" i="5"/>
  <c r="I309" i="5"/>
  <c r="I313" i="5"/>
  <c r="I317" i="5"/>
  <c r="I321" i="5"/>
  <c r="I325" i="5"/>
  <c r="I329" i="5"/>
  <c r="I333" i="5"/>
  <c r="I337" i="5"/>
  <c r="I341" i="5"/>
  <c r="I345" i="5"/>
  <c r="I349" i="5"/>
  <c r="I353" i="5"/>
  <c r="I357" i="5"/>
  <c r="I361" i="5"/>
  <c r="I365" i="5"/>
  <c r="I369" i="5"/>
  <c r="I373" i="5"/>
  <c r="L306" i="5"/>
  <c r="M306" i="5" s="1"/>
  <c r="L310" i="5"/>
  <c r="M310" i="5" s="1"/>
  <c r="L314" i="5"/>
  <c r="M314" i="5" s="1"/>
  <c r="L318" i="5"/>
  <c r="M318" i="5" s="1"/>
  <c r="L322" i="5"/>
  <c r="M322" i="5" s="1"/>
  <c r="L326" i="5"/>
  <c r="M326" i="5" s="1"/>
  <c r="L330" i="5"/>
  <c r="M330" i="5" s="1"/>
  <c r="L334" i="5"/>
  <c r="M334" i="5" s="1"/>
  <c r="L338" i="5"/>
  <c r="M338" i="5" s="1"/>
  <c r="L342" i="5"/>
  <c r="M342" i="5" s="1"/>
  <c r="L346" i="5"/>
  <c r="M346" i="5" s="1"/>
  <c r="L350" i="5"/>
  <c r="M350" i="5" s="1"/>
  <c r="L354" i="5"/>
  <c r="M354" i="5" s="1"/>
  <c r="L358" i="5"/>
  <c r="M358" i="5" s="1"/>
  <c r="L362" i="5"/>
  <c r="M362" i="5" s="1"/>
  <c r="L366" i="5"/>
  <c r="M366" i="5" s="1"/>
  <c r="L370" i="5"/>
  <c r="M370" i="5" s="1"/>
  <c r="L374" i="5"/>
  <c r="M374" i="5" s="1"/>
  <c r="L175" i="5"/>
  <c r="M175" i="5" s="1"/>
  <c r="L180" i="5"/>
  <c r="M180" i="5" s="1"/>
  <c r="L186" i="5"/>
  <c r="M186" i="5" s="1"/>
  <c r="L191" i="5"/>
  <c r="M191" i="5" s="1"/>
  <c r="L196" i="5"/>
  <c r="M196" i="5" s="1"/>
  <c r="L202" i="5"/>
  <c r="M202" i="5" s="1"/>
  <c r="L206" i="5"/>
  <c r="M206" i="5" s="1"/>
  <c r="L210" i="5"/>
  <c r="M210" i="5" s="1"/>
  <c r="L214" i="5"/>
  <c r="M214" i="5" s="1"/>
  <c r="L218" i="5"/>
  <c r="M218" i="5" s="1"/>
  <c r="L222" i="5"/>
  <c r="M222" i="5" s="1"/>
  <c r="L226" i="5"/>
  <c r="M226" i="5" s="1"/>
  <c r="L230" i="5"/>
  <c r="M230" i="5" s="1"/>
  <c r="L234" i="5"/>
  <c r="M234" i="5" s="1"/>
  <c r="L238" i="5"/>
  <c r="M238" i="5" s="1"/>
  <c r="L242" i="5"/>
  <c r="M242" i="5" s="1"/>
  <c r="L246" i="5"/>
  <c r="M246" i="5" s="1"/>
  <c r="L250" i="5"/>
  <c r="M250" i="5" s="1"/>
  <c r="L254" i="5"/>
  <c r="M254" i="5" s="1"/>
  <c r="L258" i="5"/>
  <c r="M258" i="5" s="1"/>
  <c r="L262" i="5"/>
  <c r="M262" i="5" s="1"/>
  <c r="L266" i="5"/>
  <c r="M266" i="5" s="1"/>
  <c r="L270" i="5"/>
  <c r="M270" i="5" s="1"/>
  <c r="L274" i="5"/>
  <c r="M274" i="5" s="1"/>
  <c r="L278" i="5"/>
  <c r="M278" i="5" s="1"/>
  <c r="L282" i="5"/>
  <c r="M282" i="5" s="1"/>
  <c r="L286" i="5"/>
  <c r="M286" i="5" s="1"/>
  <c r="L290" i="5"/>
  <c r="M290" i="5" s="1"/>
  <c r="L294" i="5"/>
  <c r="M294" i="5" s="1"/>
  <c r="L298" i="5"/>
  <c r="M298" i="5" s="1"/>
  <c r="L302" i="5"/>
  <c r="M302" i="5" s="1"/>
  <c r="L365" i="5"/>
  <c r="M365" i="5" s="1"/>
  <c r="L369" i="5"/>
  <c r="M369" i="5" s="1"/>
  <c r="L373" i="5"/>
  <c r="M373" i="5" s="1"/>
  <c r="L12" i="5"/>
  <c r="M12" i="5" s="1"/>
  <c r="L28" i="5"/>
  <c r="M28" i="5" s="1"/>
  <c r="L44" i="5"/>
  <c r="M44" i="5" s="1"/>
  <c r="L60" i="5"/>
  <c r="M60" i="5" s="1"/>
  <c r="L76" i="5"/>
  <c r="M76" i="5" s="1"/>
  <c r="L92" i="5"/>
  <c r="M92" i="5" s="1"/>
  <c r="L108" i="5"/>
  <c r="M108" i="5" s="1"/>
  <c r="L124" i="5"/>
  <c r="M124" i="5" s="1"/>
  <c r="L140" i="5"/>
  <c r="M140" i="5" s="1"/>
  <c r="L156" i="5"/>
  <c r="M156" i="5" s="1"/>
  <c r="L164" i="5"/>
  <c r="M164" i="5" s="1"/>
  <c r="L170" i="5"/>
  <c r="M170" i="5" s="1"/>
  <c r="L5" i="5"/>
  <c r="M5" i="5" s="1"/>
  <c r="L9" i="5"/>
  <c r="M9" i="5" s="1"/>
  <c r="L13" i="5"/>
  <c r="M13" i="5" s="1"/>
  <c r="L17" i="5"/>
  <c r="M17" i="5" s="1"/>
  <c r="L21" i="5"/>
  <c r="M21" i="5" s="1"/>
  <c r="L25" i="5"/>
  <c r="M25" i="5" s="1"/>
  <c r="L29" i="5"/>
  <c r="M29" i="5" s="1"/>
  <c r="L33" i="5"/>
  <c r="M33" i="5" s="1"/>
  <c r="L37" i="5"/>
  <c r="M37" i="5" s="1"/>
  <c r="L41" i="5"/>
  <c r="M41" i="5" s="1"/>
  <c r="L45" i="5"/>
  <c r="M45" i="5" s="1"/>
  <c r="L49" i="5"/>
  <c r="M49" i="5" s="1"/>
  <c r="L53" i="5"/>
  <c r="M53" i="5" s="1"/>
  <c r="L57" i="5"/>
  <c r="M57" i="5" s="1"/>
  <c r="L61" i="5"/>
  <c r="M61" i="5" s="1"/>
  <c r="L65" i="5"/>
  <c r="M65" i="5" s="1"/>
  <c r="L69" i="5"/>
  <c r="M69" i="5" s="1"/>
  <c r="L73" i="5"/>
  <c r="M73" i="5" s="1"/>
  <c r="L77" i="5"/>
  <c r="M77" i="5" s="1"/>
  <c r="L81" i="5"/>
  <c r="M81" i="5" s="1"/>
  <c r="L85" i="5"/>
  <c r="M85" i="5" s="1"/>
  <c r="L89" i="5"/>
  <c r="M89" i="5" s="1"/>
  <c r="L93" i="5"/>
  <c r="M93" i="5" s="1"/>
  <c r="L97" i="5"/>
  <c r="M97" i="5" s="1"/>
  <c r="L101" i="5"/>
  <c r="M101" i="5" s="1"/>
  <c r="L105" i="5"/>
  <c r="M105" i="5" s="1"/>
  <c r="L109" i="5"/>
  <c r="M109" i="5" s="1"/>
  <c r="L113" i="5"/>
  <c r="M113" i="5" s="1"/>
  <c r="L117" i="5"/>
  <c r="M117" i="5" s="1"/>
  <c r="L121" i="5"/>
  <c r="M121" i="5" s="1"/>
  <c r="L125" i="5"/>
  <c r="M125" i="5" s="1"/>
  <c r="L129" i="5"/>
  <c r="M129" i="5" s="1"/>
  <c r="L133" i="5"/>
  <c r="M133" i="5" s="1"/>
  <c r="L137" i="5"/>
  <c r="M137" i="5" s="1"/>
  <c r="L141" i="5"/>
  <c r="M141" i="5" s="1"/>
  <c r="L145" i="5"/>
  <c r="M145" i="5" s="1"/>
  <c r="L149" i="5"/>
  <c r="M149" i="5" s="1"/>
  <c r="L153" i="5"/>
  <c r="M153" i="5" s="1"/>
  <c r="L157" i="5"/>
  <c r="M157" i="5" s="1"/>
  <c r="L161" i="5"/>
  <c r="M161" i="5" s="1"/>
  <c r="L165" i="5"/>
  <c r="M165" i="5" s="1"/>
  <c r="L169" i="5"/>
  <c r="M169" i="5" s="1"/>
  <c r="L173" i="5"/>
  <c r="M173" i="5" s="1"/>
  <c r="L177" i="5"/>
  <c r="M177" i="5" s="1"/>
  <c r="L181" i="5"/>
  <c r="M181" i="5" s="1"/>
  <c r="L185" i="5"/>
  <c r="M185" i="5" s="1"/>
  <c r="L189" i="5"/>
  <c r="M189" i="5" s="1"/>
  <c r="L193" i="5"/>
  <c r="M193" i="5" s="1"/>
  <c r="L197" i="5"/>
  <c r="M197" i="5" s="1"/>
  <c r="L201" i="5"/>
  <c r="M201" i="5" s="1"/>
  <c r="L6" i="5"/>
  <c r="M6" i="5" s="1"/>
  <c r="L10" i="5"/>
  <c r="M10" i="5" s="1"/>
  <c r="L14" i="5"/>
  <c r="M14" i="5" s="1"/>
  <c r="L18" i="5"/>
  <c r="M18" i="5" s="1"/>
  <c r="L22" i="5"/>
  <c r="M22" i="5" s="1"/>
  <c r="L26" i="5"/>
  <c r="M26" i="5" s="1"/>
  <c r="L30" i="5"/>
  <c r="M30" i="5" s="1"/>
  <c r="L34" i="5"/>
  <c r="M34" i="5" s="1"/>
  <c r="L38" i="5"/>
  <c r="M38" i="5" s="1"/>
  <c r="L42" i="5"/>
  <c r="M42" i="5" s="1"/>
  <c r="L46" i="5"/>
  <c r="M46" i="5" s="1"/>
  <c r="L50" i="5"/>
  <c r="M50" i="5" s="1"/>
  <c r="L54" i="5"/>
  <c r="M54" i="5" s="1"/>
  <c r="L58" i="5"/>
  <c r="M58" i="5" s="1"/>
  <c r="L62" i="5"/>
  <c r="M62" i="5" s="1"/>
  <c r="L66" i="5"/>
  <c r="M66" i="5" s="1"/>
  <c r="L70" i="5"/>
  <c r="M70" i="5" s="1"/>
  <c r="L74" i="5"/>
  <c r="M74" i="5" s="1"/>
  <c r="L78" i="5"/>
  <c r="M78" i="5" s="1"/>
  <c r="L82" i="5"/>
  <c r="M82" i="5" s="1"/>
  <c r="L86" i="5"/>
  <c r="M86" i="5" s="1"/>
  <c r="L90" i="5"/>
  <c r="M90" i="5" s="1"/>
  <c r="L94" i="5"/>
  <c r="M94" i="5" s="1"/>
  <c r="L98" i="5"/>
  <c r="M98" i="5" s="1"/>
  <c r="L102" i="5"/>
  <c r="M102" i="5" s="1"/>
  <c r="L106" i="5"/>
  <c r="M106" i="5" s="1"/>
  <c r="L110" i="5"/>
  <c r="M110" i="5" s="1"/>
  <c r="L114" i="5"/>
  <c r="M114" i="5" s="1"/>
  <c r="L118" i="5"/>
  <c r="M118" i="5" s="1"/>
  <c r="L122" i="5"/>
  <c r="M122" i="5" s="1"/>
  <c r="L126" i="5"/>
  <c r="M126" i="5" s="1"/>
  <c r="L130" i="5"/>
  <c r="M130" i="5" s="1"/>
  <c r="L134" i="5"/>
  <c r="M134" i="5" s="1"/>
  <c r="L138" i="5"/>
  <c r="M138" i="5" s="1"/>
  <c r="L142" i="5"/>
  <c r="M142" i="5" s="1"/>
  <c r="L146" i="5"/>
  <c r="M146" i="5" s="1"/>
  <c r="L150" i="5"/>
  <c r="M150" i="5" s="1"/>
  <c r="L154" i="5"/>
  <c r="M154" i="5" s="1"/>
  <c r="L158" i="5"/>
  <c r="M158" i="5" s="1"/>
  <c r="L162" i="5"/>
  <c r="M162" i="5" s="1"/>
  <c r="L3" i="5"/>
  <c r="M3" i="5" s="1"/>
  <c r="L7" i="5"/>
  <c r="M7" i="5" s="1"/>
  <c r="L11" i="5"/>
  <c r="M11" i="5" s="1"/>
  <c r="L15" i="5"/>
  <c r="M15" i="5" s="1"/>
  <c r="L19" i="5"/>
  <c r="M19" i="5" s="1"/>
  <c r="L23" i="5"/>
  <c r="M23" i="5" s="1"/>
  <c r="L27" i="5"/>
  <c r="M27" i="5" s="1"/>
  <c r="L31" i="5"/>
  <c r="M31" i="5" s="1"/>
  <c r="L35" i="5"/>
  <c r="M35" i="5" s="1"/>
  <c r="L39" i="5"/>
  <c r="M39" i="5" s="1"/>
  <c r="L43" i="5"/>
  <c r="M43" i="5" s="1"/>
  <c r="L47" i="5"/>
  <c r="M47" i="5" s="1"/>
  <c r="L51" i="5"/>
  <c r="M51" i="5" s="1"/>
  <c r="L55" i="5"/>
  <c r="M55" i="5" s="1"/>
  <c r="L59" i="5"/>
  <c r="M59" i="5" s="1"/>
  <c r="L63" i="5"/>
  <c r="M63" i="5" s="1"/>
  <c r="L67" i="5"/>
  <c r="M67" i="5" s="1"/>
  <c r="L71" i="5"/>
  <c r="M71" i="5" s="1"/>
  <c r="L75" i="5"/>
  <c r="M75" i="5" s="1"/>
  <c r="L79" i="5"/>
  <c r="M79" i="5" s="1"/>
  <c r="L83" i="5"/>
  <c r="M83" i="5" s="1"/>
  <c r="L87" i="5"/>
  <c r="M87" i="5" s="1"/>
  <c r="L91" i="5"/>
  <c r="M91" i="5" s="1"/>
  <c r="L95" i="5"/>
  <c r="M95" i="5" s="1"/>
  <c r="L99" i="5"/>
  <c r="M99" i="5" s="1"/>
  <c r="L103" i="5"/>
  <c r="M103" i="5" s="1"/>
  <c r="L107" i="5"/>
  <c r="M107" i="5" s="1"/>
  <c r="L111" i="5"/>
  <c r="M111" i="5" s="1"/>
  <c r="L115" i="5"/>
  <c r="M115" i="5" s="1"/>
  <c r="L119" i="5"/>
  <c r="M119" i="5" s="1"/>
  <c r="L123" i="5"/>
  <c r="M123" i="5" s="1"/>
  <c r="L127" i="5"/>
  <c r="M127" i="5" s="1"/>
  <c r="L131" i="5"/>
  <c r="M131" i="5" s="1"/>
  <c r="L135" i="5"/>
  <c r="M135" i="5" s="1"/>
  <c r="L139" i="5"/>
  <c r="M139" i="5" s="1"/>
  <c r="L143" i="5"/>
  <c r="M143" i="5" s="1"/>
  <c r="L147" i="5"/>
  <c r="M147" i="5" s="1"/>
  <c r="L151" i="5"/>
  <c r="M151" i="5" s="1"/>
  <c r="L155" i="5"/>
  <c r="M155" i="5" s="1"/>
  <c r="L8" i="5"/>
  <c r="M8" i="5" s="1"/>
  <c r="L24" i="5"/>
  <c r="M24" i="5" s="1"/>
  <c r="L40" i="5"/>
  <c r="M40" i="5" s="1"/>
  <c r="L56" i="5"/>
  <c r="M56" i="5" s="1"/>
  <c r="L72" i="5"/>
  <c r="M72" i="5" s="1"/>
  <c r="L88" i="5"/>
  <c r="M88" i="5" s="1"/>
  <c r="L104" i="5"/>
  <c r="M104" i="5" s="1"/>
  <c r="L120" i="5"/>
  <c r="M120" i="5" s="1"/>
  <c r="L136" i="5"/>
  <c r="M136" i="5" s="1"/>
  <c r="L152" i="5"/>
  <c r="M152" i="5" s="1"/>
  <c r="L163" i="5"/>
  <c r="M163" i="5" s="1"/>
  <c r="L168" i="5"/>
  <c r="M168" i="5" s="1"/>
  <c r="L174" i="5"/>
  <c r="M174" i="5" s="1"/>
  <c r="L179" i="5"/>
  <c r="M179" i="5" s="1"/>
  <c r="L184" i="5"/>
  <c r="M184" i="5" s="1"/>
  <c r="L190" i="5"/>
  <c r="M190" i="5" s="1"/>
  <c r="L195" i="5"/>
  <c r="M195" i="5" s="1"/>
  <c r="L200" i="5"/>
  <c r="M200" i="5" s="1"/>
  <c r="L205" i="5"/>
  <c r="M205" i="5" s="1"/>
  <c r="L209" i="5"/>
  <c r="M209" i="5" s="1"/>
  <c r="L213" i="5"/>
  <c r="M213" i="5" s="1"/>
  <c r="L217" i="5"/>
  <c r="M217" i="5" s="1"/>
  <c r="L221" i="5"/>
  <c r="M221" i="5" s="1"/>
  <c r="L225" i="5"/>
  <c r="M225" i="5" s="1"/>
  <c r="L229" i="5"/>
  <c r="M229" i="5" s="1"/>
  <c r="L233" i="5"/>
  <c r="M233" i="5" s="1"/>
  <c r="L237" i="5"/>
  <c r="M237" i="5" s="1"/>
  <c r="L241" i="5"/>
  <c r="M241" i="5" s="1"/>
  <c r="L245" i="5"/>
  <c r="M245" i="5" s="1"/>
  <c r="L249" i="5"/>
  <c r="M249" i="5" s="1"/>
  <c r="L253" i="5"/>
  <c r="M253" i="5" s="1"/>
  <c r="L257" i="5"/>
  <c r="M257" i="5" s="1"/>
  <c r="L261" i="5"/>
  <c r="M261" i="5" s="1"/>
  <c r="L265" i="5"/>
  <c r="M265" i="5" s="1"/>
  <c r="L269" i="5"/>
  <c r="M269" i="5" s="1"/>
  <c r="L273" i="5"/>
  <c r="M273" i="5" s="1"/>
  <c r="L277" i="5"/>
  <c r="M277" i="5" s="1"/>
  <c r="L281" i="5"/>
  <c r="M281" i="5" s="1"/>
  <c r="L285" i="5"/>
  <c r="M285" i="5" s="1"/>
  <c r="L289" i="5"/>
  <c r="M289" i="5" s="1"/>
  <c r="L293" i="5"/>
  <c r="M293" i="5" s="1"/>
  <c r="L297" i="5"/>
  <c r="M297" i="5" s="1"/>
  <c r="L301" i="5"/>
  <c r="M301" i="5" s="1"/>
  <c r="L305" i="5"/>
  <c r="M305" i="5" s="1"/>
  <c r="L309" i="5"/>
  <c r="M309" i="5" s="1"/>
  <c r="L313" i="5"/>
  <c r="M313" i="5" s="1"/>
  <c r="L317" i="5"/>
  <c r="M317" i="5" s="1"/>
  <c r="L321" i="5"/>
  <c r="M321" i="5" s="1"/>
  <c r="L325" i="5"/>
  <c r="M325" i="5" s="1"/>
  <c r="L329" i="5"/>
  <c r="M329" i="5" s="1"/>
  <c r="L333" i="5"/>
  <c r="M333" i="5" s="1"/>
  <c r="L337" i="5"/>
  <c r="M337" i="5" s="1"/>
  <c r="L341" i="5"/>
  <c r="M341" i="5" s="1"/>
  <c r="L345" i="5"/>
  <c r="M345" i="5" s="1"/>
  <c r="L349" i="5"/>
  <c r="M349" i="5" s="1"/>
  <c r="L353" i="5"/>
  <c r="M353" i="5" s="1"/>
  <c r="L357" i="5"/>
  <c r="M357" i="5" s="1"/>
  <c r="L361" i="5"/>
  <c r="M361" i="5" s="1"/>
  <c r="G5" i="4"/>
  <c r="G9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89" i="4"/>
  <c r="G93" i="4"/>
  <c r="G97" i="4"/>
  <c r="G101" i="4"/>
  <c r="G105" i="4"/>
  <c r="G109" i="4"/>
  <c r="G113" i="4"/>
  <c r="G117" i="4"/>
  <c r="G121" i="4"/>
  <c r="G125" i="4"/>
  <c r="G129" i="4"/>
  <c r="G133" i="4"/>
  <c r="G137" i="4"/>
  <c r="G141" i="4"/>
  <c r="G145" i="4"/>
  <c r="G149" i="4"/>
  <c r="G153" i="4"/>
  <c r="G157" i="4"/>
  <c r="G161" i="4"/>
  <c r="G165" i="4"/>
  <c r="G169" i="4"/>
  <c r="G173" i="4"/>
  <c r="G177" i="4"/>
  <c r="G181" i="4"/>
  <c r="G185" i="4"/>
  <c r="G189" i="4"/>
  <c r="G193" i="4"/>
  <c r="G197" i="4"/>
  <c r="G201" i="4"/>
  <c r="G205" i="4"/>
  <c r="G209" i="4"/>
  <c r="G213" i="4"/>
  <c r="G217" i="4"/>
  <c r="G221" i="4"/>
  <c r="G225" i="4"/>
  <c r="G229" i="4"/>
  <c r="G233" i="4"/>
  <c r="G237" i="4"/>
  <c r="G241" i="4"/>
  <c r="G245" i="4"/>
  <c r="G249" i="4"/>
  <c r="G253" i="4"/>
  <c r="G257" i="4"/>
  <c r="G261" i="4"/>
  <c r="G265" i="4"/>
  <c r="G269" i="4"/>
  <c r="G273" i="4"/>
  <c r="G277" i="4"/>
  <c r="G281" i="4"/>
  <c r="G285" i="4"/>
  <c r="G289" i="4"/>
  <c r="G293" i="4"/>
  <c r="G297" i="4"/>
  <c r="G301" i="4"/>
  <c r="G305" i="4"/>
  <c r="G309" i="4"/>
  <c r="G313" i="4"/>
  <c r="G317" i="4"/>
  <c r="G321" i="4"/>
  <c r="G325" i="4"/>
  <c r="G329" i="4"/>
  <c r="G333" i="4"/>
  <c r="G337" i="4"/>
  <c r="G341" i="4"/>
  <c r="G345" i="4"/>
  <c r="G349" i="4"/>
  <c r="G353" i="4"/>
  <c r="G357" i="4"/>
  <c r="G361" i="4"/>
  <c r="G365" i="4"/>
  <c r="G369" i="4"/>
  <c r="G373" i="4"/>
  <c r="G377" i="4"/>
  <c r="G381" i="4"/>
  <c r="G385" i="4"/>
  <c r="G389" i="4"/>
  <c r="G393" i="4"/>
  <c r="G397" i="4"/>
  <c r="G401" i="4"/>
  <c r="G405" i="4"/>
  <c r="G409" i="4"/>
  <c r="G413" i="4"/>
  <c r="G417" i="4"/>
  <c r="G421" i="4"/>
  <c r="G425" i="4"/>
  <c r="G429" i="4"/>
  <c r="G433" i="4"/>
  <c r="G437" i="4"/>
  <c r="G441" i="4"/>
  <c r="G445" i="4"/>
  <c r="G449" i="4"/>
  <c r="G453" i="4"/>
  <c r="G457" i="4"/>
  <c r="G461" i="4"/>
  <c r="G465" i="4"/>
  <c r="G469" i="4"/>
  <c r="G473" i="4"/>
  <c r="G477" i="4"/>
  <c r="G481" i="4"/>
  <c r="G485" i="4"/>
  <c r="G489" i="4"/>
  <c r="G493" i="4"/>
  <c r="G497" i="4"/>
  <c r="G501" i="4"/>
  <c r="G505" i="4"/>
  <c r="G509" i="4"/>
  <c r="G513" i="4"/>
  <c r="G517" i="4"/>
  <c r="G521" i="4"/>
  <c r="G525" i="4"/>
  <c r="G529" i="4"/>
  <c r="G533" i="4"/>
  <c r="G537" i="4"/>
  <c r="G541" i="4"/>
  <c r="G545" i="4"/>
  <c r="G549" i="4"/>
  <c r="G553" i="4"/>
  <c r="G557" i="4"/>
  <c r="G561" i="4"/>
  <c r="G565" i="4"/>
  <c r="G569" i="4"/>
  <c r="G573" i="4"/>
  <c r="G577" i="4"/>
  <c r="G581" i="4"/>
  <c r="G585" i="4"/>
  <c r="G589" i="4"/>
  <c r="G593" i="4"/>
  <c r="G597" i="4"/>
  <c r="G601" i="4"/>
  <c r="G605" i="4"/>
  <c r="G609" i="4"/>
  <c r="G613" i="4"/>
  <c r="G617" i="4"/>
  <c r="G621" i="4"/>
  <c r="G625" i="4"/>
  <c r="G629" i="4"/>
  <c r="G633" i="4"/>
  <c r="G637" i="4"/>
  <c r="G641" i="4"/>
  <c r="G645" i="4"/>
  <c r="G649" i="4"/>
  <c r="G653" i="4"/>
  <c r="G657" i="4"/>
  <c r="G661" i="4"/>
  <c r="G665" i="4"/>
  <c r="G669" i="4"/>
  <c r="G673" i="4"/>
  <c r="G677" i="4"/>
  <c r="G681" i="4"/>
  <c r="G685" i="4"/>
  <c r="G689" i="4"/>
  <c r="G693" i="4"/>
  <c r="G697" i="4"/>
  <c r="G701" i="4"/>
  <c r="G705" i="4"/>
  <c r="G709" i="4"/>
  <c r="G713" i="4"/>
  <c r="G717" i="4"/>
  <c r="G721" i="4"/>
  <c r="G725" i="4"/>
  <c r="G729" i="4"/>
  <c r="G733" i="4"/>
  <c r="G737" i="4"/>
  <c r="G741" i="4"/>
  <c r="G745" i="4"/>
  <c r="G749" i="4"/>
  <c r="G753" i="4"/>
  <c r="G757" i="4"/>
  <c r="G761" i="4"/>
  <c r="G765" i="4"/>
  <c r="G769" i="4"/>
  <c r="G773" i="4"/>
  <c r="G777" i="4"/>
  <c r="G781" i="4"/>
  <c r="G785" i="4"/>
  <c r="G789" i="4"/>
  <c r="G793" i="4"/>
  <c r="G797" i="4"/>
  <c r="G801" i="4"/>
  <c r="G805" i="4"/>
  <c r="G809" i="4"/>
  <c r="G813" i="4"/>
  <c r="G817" i="4"/>
  <c r="G821" i="4"/>
  <c r="G825" i="4"/>
  <c r="G829" i="4"/>
  <c r="G833" i="4"/>
  <c r="G6" i="4"/>
  <c r="G10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0" i="4"/>
  <c r="G94" i="4"/>
  <c r="G98" i="4"/>
  <c r="G102" i="4"/>
  <c r="G106" i="4"/>
  <c r="G110" i="4"/>
  <c r="G114" i="4"/>
  <c r="G118" i="4"/>
  <c r="G122" i="4"/>
  <c r="G126" i="4"/>
  <c r="G130" i="4"/>
  <c r="G134" i="4"/>
  <c r="G138" i="4"/>
  <c r="G142" i="4"/>
  <c r="G146" i="4"/>
  <c r="G150" i="4"/>
  <c r="G154" i="4"/>
  <c r="G158" i="4"/>
  <c r="G162" i="4"/>
  <c r="G166" i="4"/>
  <c r="G170" i="4"/>
  <c r="G174" i="4"/>
  <c r="G178" i="4"/>
  <c r="G182" i="4"/>
  <c r="G186" i="4"/>
  <c r="G190" i="4"/>
  <c r="G194" i="4"/>
  <c r="G198" i="4"/>
  <c r="G202" i="4"/>
  <c r="G206" i="4"/>
  <c r="G210" i="4"/>
  <c r="G214" i="4"/>
  <c r="G218" i="4"/>
  <c r="G222" i="4"/>
  <c r="G226" i="4"/>
  <c r="G230" i="4"/>
  <c r="G234" i="4"/>
  <c r="G238" i="4"/>
  <c r="G242" i="4"/>
  <c r="G246" i="4"/>
  <c r="G250" i="4"/>
  <c r="G254" i="4"/>
  <c r="G258" i="4"/>
  <c r="G262" i="4"/>
  <c r="G266" i="4"/>
  <c r="G270" i="4"/>
  <c r="G274" i="4"/>
  <c r="G278" i="4"/>
  <c r="G282" i="4"/>
  <c r="G286" i="4"/>
  <c r="G290" i="4"/>
  <c r="G294" i="4"/>
  <c r="G298" i="4"/>
  <c r="G302" i="4"/>
  <c r="G306" i="4"/>
  <c r="G310" i="4"/>
  <c r="G314" i="4"/>
  <c r="G318" i="4"/>
  <c r="G322" i="4"/>
  <c r="G326" i="4"/>
  <c r="G330" i="4"/>
  <c r="G334" i="4"/>
  <c r="G338" i="4"/>
  <c r="G342" i="4"/>
  <c r="G346" i="4"/>
  <c r="G350" i="4"/>
  <c r="G354" i="4"/>
  <c r="G358" i="4"/>
  <c r="G362" i="4"/>
  <c r="G366" i="4"/>
  <c r="G370" i="4"/>
  <c r="G374" i="4"/>
  <c r="G378" i="4"/>
  <c r="G382" i="4"/>
  <c r="G386" i="4"/>
  <c r="G390" i="4"/>
  <c r="G394" i="4"/>
  <c r="G398" i="4"/>
  <c r="G402" i="4"/>
  <c r="G406" i="4"/>
  <c r="G410" i="4"/>
  <c r="G414" i="4"/>
  <c r="G418" i="4"/>
  <c r="G422" i="4"/>
  <c r="G426" i="4"/>
  <c r="G430" i="4"/>
  <c r="G434" i="4"/>
  <c r="G438" i="4"/>
  <c r="G442" i="4"/>
  <c r="G446" i="4"/>
  <c r="G450" i="4"/>
  <c r="G454" i="4"/>
  <c r="G458" i="4"/>
  <c r="G462" i="4"/>
  <c r="G466" i="4"/>
  <c r="G470" i="4"/>
  <c r="G474" i="4"/>
  <c r="G478" i="4"/>
  <c r="G482" i="4"/>
  <c r="G486" i="4"/>
  <c r="G490" i="4"/>
  <c r="G494" i="4"/>
  <c r="G498" i="4"/>
  <c r="G502" i="4"/>
  <c r="G506" i="4"/>
  <c r="G510" i="4"/>
  <c r="G514" i="4"/>
  <c r="G518" i="4"/>
  <c r="G522" i="4"/>
  <c r="G526" i="4"/>
  <c r="G530" i="4"/>
  <c r="G534" i="4"/>
  <c r="G538" i="4"/>
  <c r="G542" i="4"/>
  <c r="G546" i="4"/>
  <c r="G550" i="4"/>
  <c r="G554" i="4"/>
  <c r="G558" i="4"/>
  <c r="G562" i="4"/>
  <c r="G566" i="4"/>
  <c r="G570" i="4"/>
  <c r="G574" i="4"/>
  <c r="G578" i="4"/>
  <c r="G582" i="4"/>
  <c r="G586" i="4"/>
  <c r="G590" i="4"/>
  <c r="G594" i="4"/>
  <c r="G598" i="4"/>
  <c r="G602" i="4"/>
  <c r="G606" i="4"/>
  <c r="G610" i="4"/>
  <c r="G614" i="4"/>
  <c r="G618" i="4"/>
  <c r="G622" i="4"/>
  <c r="G626" i="4"/>
  <c r="G3" i="4"/>
  <c r="E835" i="4"/>
  <c r="G7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3" i="4"/>
  <c r="G87" i="4"/>
  <c r="G91" i="4"/>
  <c r="G95" i="4"/>
  <c r="G99" i="4"/>
  <c r="G103" i="4"/>
  <c r="G107" i="4"/>
  <c r="G111" i="4"/>
  <c r="G115" i="4"/>
  <c r="G119" i="4"/>
  <c r="G123" i="4"/>
  <c r="G127" i="4"/>
  <c r="G131" i="4"/>
  <c r="G135" i="4"/>
  <c r="G139" i="4"/>
  <c r="G143" i="4"/>
  <c r="G147" i="4"/>
  <c r="G151" i="4"/>
  <c r="G155" i="4"/>
  <c r="G159" i="4"/>
  <c r="G163" i="4"/>
  <c r="G167" i="4"/>
  <c r="G171" i="4"/>
  <c r="G175" i="4"/>
  <c r="G179" i="4"/>
  <c r="G183" i="4"/>
  <c r="G187" i="4"/>
  <c r="G191" i="4"/>
  <c r="G195" i="4"/>
  <c r="G199" i="4"/>
  <c r="G203" i="4"/>
  <c r="G207" i="4"/>
  <c r="G211" i="4"/>
  <c r="G215" i="4"/>
  <c r="G219" i="4"/>
  <c r="G223" i="4"/>
  <c r="G227" i="4"/>
  <c r="G231" i="4"/>
  <c r="G235" i="4"/>
  <c r="G239" i="4"/>
  <c r="G243" i="4"/>
  <c r="G247" i="4"/>
  <c r="G251" i="4"/>
  <c r="G255" i="4"/>
  <c r="G259" i="4"/>
  <c r="G263" i="4"/>
  <c r="G267" i="4"/>
  <c r="G271" i="4"/>
  <c r="G275" i="4"/>
  <c r="G279" i="4"/>
  <c r="G283" i="4"/>
  <c r="G287" i="4"/>
  <c r="G291" i="4"/>
  <c r="G295" i="4"/>
  <c r="G299" i="4"/>
  <c r="G303" i="4"/>
  <c r="G307" i="4"/>
  <c r="G311" i="4"/>
  <c r="G315" i="4"/>
  <c r="G319" i="4"/>
  <c r="G323" i="4"/>
  <c r="G327" i="4"/>
  <c r="G331" i="4"/>
  <c r="G335" i="4"/>
  <c r="G339" i="4"/>
  <c r="G343" i="4"/>
  <c r="G347" i="4"/>
  <c r="G351" i="4"/>
  <c r="G355" i="4"/>
  <c r="G359" i="4"/>
  <c r="G363" i="4"/>
  <c r="G367" i="4"/>
  <c r="G371" i="4"/>
  <c r="G375" i="4"/>
  <c r="G379" i="4"/>
  <c r="G383" i="4"/>
  <c r="G387" i="4"/>
  <c r="G391" i="4"/>
  <c r="G395" i="4"/>
  <c r="G399" i="4"/>
  <c r="G403" i="4"/>
  <c r="G407" i="4"/>
  <c r="G411" i="4"/>
  <c r="G415" i="4"/>
  <c r="G419" i="4"/>
  <c r="G423" i="4"/>
  <c r="G427" i="4"/>
  <c r="G431" i="4"/>
  <c r="G435" i="4"/>
  <c r="G439" i="4"/>
  <c r="G443" i="4"/>
  <c r="G447" i="4"/>
  <c r="G451" i="4"/>
  <c r="G455" i="4"/>
  <c r="G459" i="4"/>
  <c r="G463" i="4"/>
  <c r="G467" i="4"/>
  <c r="G471" i="4"/>
  <c r="G475" i="4"/>
  <c r="G479" i="4"/>
  <c r="G483" i="4"/>
  <c r="G487" i="4"/>
  <c r="G491" i="4"/>
  <c r="G495" i="4"/>
  <c r="G499" i="4"/>
  <c r="G503" i="4"/>
  <c r="G507" i="4"/>
  <c r="G511" i="4"/>
  <c r="G515" i="4"/>
  <c r="G519" i="4"/>
  <c r="G523" i="4"/>
  <c r="G527" i="4"/>
  <c r="G4" i="4"/>
  <c r="G8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04" i="4"/>
  <c r="G108" i="4"/>
  <c r="G112" i="4"/>
  <c r="G116" i="4"/>
  <c r="G120" i="4"/>
  <c r="G124" i="4"/>
  <c r="G128" i="4"/>
  <c r="G132" i="4"/>
  <c r="G136" i="4"/>
  <c r="G140" i="4"/>
  <c r="G144" i="4"/>
  <c r="G148" i="4"/>
  <c r="G152" i="4"/>
  <c r="G156" i="4"/>
  <c r="G160" i="4"/>
  <c r="G164" i="4"/>
  <c r="G168" i="4"/>
  <c r="G172" i="4"/>
  <c r="G176" i="4"/>
  <c r="G180" i="4"/>
  <c r="G184" i="4"/>
  <c r="G188" i="4"/>
  <c r="G192" i="4"/>
  <c r="G196" i="4"/>
  <c r="G200" i="4"/>
  <c r="G204" i="4"/>
  <c r="G208" i="4"/>
  <c r="G212" i="4"/>
  <c r="G216" i="4"/>
  <c r="G220" i="4"/>
  <c r="G224" i="4"/>
  <c r="G228" i="4"/>
  <c r="G232" i="4"/>
  <c r="G236" i="4"/>
  <c r="G240" i="4"/>
  <c r="G244" i="4"/>
  <c r="G248" i="4"/>
  <c r="G252" i="4"/>
  <c r="G256" i="4"/>
  <c r="G260" i="4"/>
  <c r="G264" i="4"/>
  <c r="G268" i="4"/>
  <c r="G272" i="4"/>
  <c r="G276" i="4"/>
  <c r="G280" i="4"/>
  <c r="G284" i="4"/>
  <c r="G288" i="4"/>
  <c r="G292" i="4"/>
  <c r="G296" i="4"/>
  <c r="G300" i="4"/>
  <c r="G304" i="4"/>
  <c r="G308" i="4"/>
  <c r="G312" i="4"/>
  <c r="G316" i="4"/>
  <c r="G320" i="4"/>
  <c r="G324" i="4"/>
  <c r="G328" i="4"/>
  <c r="G332" i="4"/>
  <c r="G336" i="4"/>
  <c r="G340" i="4"/>
  <c r="G344" i="4"/>
  <c r="G348" i="4"/>
  <c r="G352" i="4"/>
  <c r="G356" i="4"/>
  <c r="G360" i="4"/>
  <c r="G364" i="4"/>
  <c r="G368" i="4"/>
  <c r="G372" i="4"/>
  <c r="G376" i="4"/>
  <c r="G380" i="4"/>
  <c r="G384" i="4"/>
  <c r="G388" i="4"/>
  <c r="G392" i="4"/>
  <c r="G396" i="4"/>
  <c r="G400" i="4"/>
  <c r="G404" i="4"/>
  <c r="G408" i="4"/>
  <c r="G412" i="4"/>
  <c r="G416" i="4"/>
  <c r="G420" i="4"/>
  <c r="G424" i="4"/>
  <c r="G428" i="4"/>
  <c r="G432" i="4"/>
  <c r="G436" i="4"/>
  <c r="G440" i="4"/>
  <c r="G444" i="4"/>
  <c r="G448" i="4"/>
  <c r="G452" i="4"/>
  <c r="G456" i="4"/>
  <c r="G460" i="4"/>
  <c r="G464" i="4"/>
  <c r="G468" i="4"/>
  <c r="G472" i="4"/>
  <c r="G476" i="4"/>
  <c r="G480" i="4"/>
  <c r="G484" i="4"/>
  <c r="G488" i="4"/>
  <c r="G492" i="4"/>
  <c r="G496" i="4"/>
  <c r="G500" i="4"/>
  <c r="G504" i="4"/>
  <c r="G508" i="4"/>
  <c r="G512" i="4"/>
  <c r="G516" i="4"/>
  <c r="G520" i="4"/>
  <c r="G524" i="4"/>
  <c r="G528" i="4"/>
  <c r="G532" i="4"/>
  <c r="G536" i="4"/>
  <c r="G540" i="4"/>
  <c r="G544" i="4"/>
  <c r="G548" i="4"/>
  <c r="G552" i="4"/>
  <c r="G556" i="4"/>
  <c r="G531" i="4"/>
  <c r="G547" i="4"/>
  <c r="G560" i="4"/>
  <c r="G568" i="4"/>
  <c r="G576" i="4"/>
  <c r="G584" i="4"/>
  <c r="G592" i="4"/>
  <c r="G600" i="4"/>
  <c r="G608" i="4"/>
  <c r="G616" i="4"/>
  <c r="G624" i="4"/>
  <c r="G631" i="4"/>
  <c r="G636" i="4"/>
  <c r="G642" i="4"/>
  <c r="G647" i="4"/>
  <c r="G652" i="4"/>
  <c r="G658" i="4"/>
  <c r="G663" i="4"/>
  <c r="G668" i="4"/>
  <c r="G674" i="4"/>
  <c r="G679" i="4"/>
  <c r="G684" i="4"/>
  <c r="G690" i="4"/>
  <c r="G695" i="4"/>
  <c r="G700" i="4"/>
  <c r="G706" i="4"/>
  <c r="G711" i="4"/>
  <c r="G716" i="4"/>
  <c r="G722" i="4"/>
  <c r="G727" i="4"/>
  <c r="G732" i="4"/>
  <c r="G738" i="4"/>
  <c r="G743" i="4"/>
  <c r="G748" i="4"/>
  <c r="G754" i="4"/>
  <c r="G759" i="4"/>
  <c r="G764" i="4"/>
  <c r="G770" i="4"/>
  <c r="G775" i="4"/>
  <c r="G780" i="4"/>
  <c r="G786" i="4"/>
  <c r="G791" i="4"/>
  <c r="G796" i="4"/>
  <c r="G802" i="4"/>
  <c r="G807" i="4"/>
  <c r="G812" i="4"/>
  <c r="G818" i="4"/>
  <c r="G823" i="4"/>
  <c r="G828" i="4"/>
  <c r="G834" i="4"/>
  <c r="G535" i="4"/>
  <c r="G551" i="4"/>
  <c r="G563" i="4"/>
  <c r="G571" i="4"/>
  <c r="G579" i="4"/>
  <c r="G587" i="4"/>
  <c r="G595" i="4"/>
  <c r="G603" i="4"/>
  <c r="G611" i="4"/>
  <c r="G619" i="4"/>
  <c r="G627" i="4"/>
  <c r="G632" i="4"/>
  <c r="G638" i="4"/>
  <c r="G643" i="4"/>
  <c r="G648" i="4"/>
  <c r="G654" i="4"/>
  <c r="G659" i="4"/>
  <c r="G664" i="4"/>
  <c r="G670" i="4"/>
  <c r="G675" i="4"/>
  <c r="G680" i="4"/>
  <c r="G686" i="4"/>
  <c r="G691" i="4"/>
  <c r="G696" i="4"/>
  <c r="G702" i="4"/>
  <c r="G707" i="4"/>
  <c r="G712" i="4"/>
  <c r="G718" i="4"/>
  <c r="G723" i="4"/>
  <c r="G728" i="4"/>
  <c r="G734" i="4"/>
  <c r="G739" i="4"/>
  <c r="G744" i="4"/>
  <c r="G750" i="4"/>
  <c r="G755" i="4"/>
  <c r="G760" i="4"/>
  <c r="G766" i="4"/>
  <c r="G771" i="4"/>
  <c r="G776" i="4"/>
  <c r="G782" i="4"/>
  <c r="G787" i="4"/>
  <c r="G792" i="4"/>
  <c r="G798" i="4"/>
  <c r="G803" i="4"/>
  <c r="G808" i="4"/>
  <c r="G814" i="4"/>
  <c r="G819" i="4"/>
  <c r="G824" i="4"/>
  <c r="G830" i="4"/>
  <c r="G539" i="4"/>
  <c r="G555" i="4"/>
  <c r="G564" i="4"/>
  <c r="G572" i="4"/>
  <c r="G580" i="4"/>
  <c r="G588" i="4"/>
  <c r="G596" i="4"/>
  <c r="G604" i="4"/>
  <c r="G612" i="4"/>
  <c r="G620" i="4"/>
  <c r="G628" i="4"/>
  <c r="G634" i="4"/>
  <c r="G639" i="4"/>
  <c r="G644" i="4"/>
  <c r="G650" i="4"/>
  <c r="G655" i="4"/>
  <c r="G660" i="4"/>
  <c r="G666" i="4"/>
  <c r="G671" i="4"/>
  <c r="G676" i="4"/>
  <c r="G682" i="4"/>
  <c r="G687" i="4"/>
  <c r="G692" i="4"/>
  <c r="G698" i="4"/>
  <c r="G703" i="4"/>
  <c r="G708" i="4"/>
  <c r="G714" i="4"/>
  <c r="G719" i="4"/>
  <c r="G724" i="4"/>
  <c r="G730" i="4"/>
  <c r="G735" i="4"/>
  <c r="G740" i="4"/>
  <c r="G746" i="4"/>
  <c r="G751" i="4"/>
  <c r="G756" i="4"/>
  <c r="G762" i="4"/>
  <c r="G767" i="4"/>
  <c r="G772" i="4"/>
  <c r="G778" i="4"/>
  <c r="G783" i="4"/>
  <c r="G788" i="4"/>
  <c r="G794" i="4"/>
  <c r="G799" i="4"/>
  <c r="G804" i="4"/>
  <c r="G810" i="4"/>
  <c r="G815" i="4"/>
  <c r="G820" i="4"/>
  <c r="G826" i="4"/>
  <c r="G831" i="4"/>
  <c r="G543" i="4"/>
  <c r="G559" i="4"/>
  <c r="G567" i="4"/>
  <c r="G575" i="4"/>
  <c r="G583" i="4"/>
  <c r="G591" i="4"/>
  <c r="G599" i="4"/>
  <c r="G607" i="4"/>
  <c r="G615" i="4"/>
  <c r="G623" i="4"/>
  <c r="G630" i="4"/>
  <c r="G635" i="4"/>
  <c r="G640" i="4"/>
  <c r="G646" i="4"/>
  <c r="G651" i="4"/>
  <c r="G656" i="4"/>
  <c r="G662" i="4"/>
  <c r="G667" i="4"/>
  <c r="G672" i="4"/>
  <c r="G678" i="4"/>
  <c r="G683" i="4"/>
  <c r="G688" i="4"/>
  <c r="G694" i="4"/>
  <c r="G699" i="4"/>
  <c r="G704" i="4"/>
  <c r="G710" i="4"/>
  <c r="G715" i="4"/>
  <c r="G720" i="4"/>
  <c r="G726" i="4"/>
  <c r="G731" i="4"/>
  <c r="G736" i="4"/>
  <c r="G742" i="4"/>
  <c r="G747" i="4"/>
  <c r="G752" i="4"/>
  <c r="G758" i="4"/>
  <c r="G763" i="4"/>
  <c r="G768" i="4"/>
  <c r="G774" i="4"/>
  <c r="G779" i="4"/>
  <c r="G784" i="4"/>
  <c r="G790" i="4"/>
  <c r="G795" i="4"/>
  <c r="G800" i="4"/>
  <c r="G806" i="4"/>
  <c r="G811" i="4"/>
  <c r="G816" i="4"/>
  <c r="G822" i="4"/>
  <c r="G827" i="4"/>
  <c r="G832" i="4"/>
  <c r="H140" i="4"/>
  <c r="H144" i="4"/>
  <c r="H148" i="4"/>
  <c r="H152" i="4"/>
  <c r="H156" i="4"/>
  <c r="H160" i="4"/>
  <c r="H164" i="4"/>
  <c r="H168" i="4"/>
  <c r="H172" i="4"/>
  <c r="H176" i="4"/>
  <c r="H180" i="4"/>
  <c r="H184" i="4"/>
  <c r="H188" i="4"/>
  <c r="H192" i="4"/>
  <c r="H196" i="4"/>
  <c r="H200" i="4"/>
  <c r="H204" i="4"/>
  <c r="H208" i="4"/>
  <c r="H212" i="4"/>
  <c r="H216" i="4"/>
  <c r="H220" i="4"/>
  <c r="H224" i="4"/>
  <c r="H228" i="4"/>
  <c r="H232" i="4"/>
  <c r="H236" i="4"/>
  <c r="H240" i="4"/>
  <c r="H244" i="4"/>
  <c r="H248" i="4"/>
  <c r="H252" i="4"/>
  <c r="H256" i="4"/>
  <c r="H260" i="4"/>
  <c r="H264" i="4"/>
  <c r="H268" i="4"/>
  <c r="H272" i="4"/>
  <c r="H276" i="4"/>
  <c r="H280" i="4"/>
  <c r="H284" i="4"/>
  <c r="H288" i="4"/>
  <c r="H292" i="4"/>
  <c r="H296" i="4"/>
  <c r="H300" i="4"/>
  <c r="H304" i="4"/>
  <c r="H308" i="4"/>
  <c r="H312" i="4"/>
  <c r="H316" i="4"/>
  <c r="H320" i="4"/>
  <c r="H324" i="4"/>
  <c r="H328" i="4"/>
  <c r="H332" i="4"/>
  <c r="H336" i="4"/>
  <c r="H340" i="4"/>
  <c r="H344" i="4"/>
  <c r="H348" i="4"/>
  <c r="H352" i="4"/>
  <c r="H356" i="4"/>
  <c r="H360" i="4"/>
  <c r="H364" i="4"/>
  <c r="H368" i="4"/>
  <c r="H372" i="4"/>
  <c r="H376" i="4"/>
  <c r="H380" i="4"/>
  <c r="H384" i="4"/>
  <c r="H388" i="4"/>
  <c r="H392" i="4"/>
  <c r="H396" i="4"/>
  <c r="H400" i="4"/>
  <c r="H404" i="4"/>
  <c r="H408" i="4"/>
  <c r="H412" i="4"/>
  <c r="H416" i="4"/>
  <c r="H420" i="4"/>
  <c r="H424" i="4"/>
  <c r="H428" i="4"/>
  <c r="H432" i="4"/>
  <c r="H436" i="4"/>
  <c r="H440" i="4"/>
  <c r="H444" i="4"/>
  <c r="H448" i="4"/>
  <c r="H452" i="4"/>
  <c r="H456" i="4"/>
  <c r="H460" i="4"/>
  <c r="H5" i="4"/>
  <c r="H9" i="4"/>
  <c r="H13" i="4"/>
  <c r="H17" i="4"/>
  <c r="H21" i="4"/>
  <c r="H25" i="4"/>
  <c r="H29" i="4"/>
  <c r="H33" i="4"/>
  <c r="H37" i="4"/>
  <c r="H41" i="4"/>
  <c r="H45" i="4"/>
  <c r="H49" i="4"/>
  <c r="H53" i="4"/>
  <c r="H57" i="4"/>
  <c r="H61" i="4"/>
  <c r="H65" i="4"/>
  <c r="H69" i="4"/>
  <c r="H73" i="4"/>
  <c r="H77" i="4"/>
  <c r="H81" i="4"/>
  <c r="H85" i="4"/>
  <c r="H89" i="4"/>
  <c r="H93" i="4"/>
  <c r="H97" i="4"/>
  <c r="H101" i="4"/>
  <c r="H105" i="4"/>
  <c r="H109" i="4"/>
  <c r="H113" i="4"/>
  <c r="H117" i="4"/>
  <c r="H121" i="4"/>
  <c r="H125" i="4"/>
  <c r="H129" i="4"/>
  <c r="H133" i="4"/>
  <c r="H137" i="4"/>
  <c r="H141" i="4"/>
  <c r="H145" i="4"/>
  <c r="H149" i="4"/>
  <c r="H153" i="4"/>
  <c r="H157" i="4"/>
  <c r="H161" i="4"/>
  <c r="H165" i="4"/>
  <c r="H169" i="4"/>
  <c r="H173" i="4"/>
  <c r="H177" i="4"/>
  <c r="H181" i="4"/>
  <c r="H185" i="4"/>
  <c r="H189" i="4"/>
  <c r="H193" i="4"/>
  <c r="H197" i="4"/>
  <c r="H201" i="4"/>
  <c r="H205" i="4"/>
  <c r="H209" i="4"/>
  <c r="H213" i="4"/>
  <c r="H217" i="4"/>
  <c r="H221" i="4"/>
  <c r="H225" i="4"/>
  <c r="H229" i="4"/>
  <c r="H233" i="4"/>
  <c r="H237" i="4"/>
  <c r="H241" i="4"/>
  <c r="H245" i="4"/>
  <c r="H249" i="4"/>
  <c r="H253" i="4"/>
  <c r="H257" i="4"/>
  <c r="H261" i="4"/>
  <c r="H265" i="4"/>
  <c r="H269" i="4"/>
  <c r="H273" i="4"/>
  <c r="H277" i="4"/>
  <c r="H281" i="4"/>
  <c r="H285" i="4"/>
  <c r="H289" i="4"/>
  <c r="H293" i="4"/>
  <c r="H297" i="4"/>
  <c r="H301" i="4"/>
  <c r="H305" i="4"/>
  <c r="H309" i="4"/>
  <c r="H313" i="4"/>
  <c r="H317" i="4"/>
  <c r="H321" i="4"/>
  <c r="H325" i="4"/>
  <c r="H329" i="4"/>
  <c r="H333" i="4"/>
  <c r="H337" i="4"/>
  <c r="H341" i="4"/>
  <c r="H345" i="4"/>
  <c r="H349" i="4"/>
  <c r="H6" i="4"/>
  <c r="H10" i="4"/>
  <c r="H14" i="4"/>
  <c r="H18" i="4"/>
  <c r="H22" i="4"/>
  <c r="H26" i="4"/>
  <c r="H30" i="4"/>
  <c r="H34" i="4"/>
  <c r="H38" i="4"/>
  <c r="H42" i="4"/>
  <c r="H46" i="4"/>
  <c r="H50" i="4"/>
  <c r="H54" i="4"/>
  <c r="H58" i="4"/>
  <c r="H62" i="4"/>
  <c r="H66" i="4"/>
  <c r="H70" i="4"/>
  <c r="H74" i="4"/>
  <c r="H78" i="4"/>
  <c r="H82" i="4"/>
  <c r="H86" i="4"/>
  <c r="H90" i="4"/>
  <c r="H94" i="4"/>
  <c r="H98" i="4"/>
  <c r="H102" i="4"/>
  <c r="H106" i="4"/>
  <c r="H110" i="4"/>
  <c r="H114" i="4"/>
  <c r="H118" i="4"/>
  <c r="H122" i="4"/>
  <c r="H126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86" i="4"/>
  <c r="H190" i="4"/>
  <c r="H194" i="4"/>
  <c r="H198" i="4"/>
  <c r="H202" i="4"/>
  <c r="H206" i="4"/>
  <c r="H210" i="4"/>
  <c r="H214" i="4"/>
  <c r="H218" i="4"/>
  <c r="H222" i="4"/>
  <c r="H226" i="4"/>
  <c r="H230" i="4"/>
  <c r="H234" i="4"/>
  <c r="H238" i="4"/>
  <c r="H242" i="4"/>
  <c r="H246" i="4"/>
  <c r="H250" i="4"/>
  <c r="H254" i="4"/>
  <c r="H258" i="4"/>
  <c r="H262" i="4"/>
  <c r="H266" i="4"/>
  <c r="H270" i="4"/>
  <c r="H274" i="4"/>
  <c r="H278" i="4"/>
  <c r="H282" i="4"/>
  <c r="H286" i="4"/>
  <c r="H290" i="4"/>
  <c r="H294" i="4"/>
  <c r="H298" i="4"/>
  <c r="H302" i="4"/>
  <c r="H306" i="4"/>
  <c r="H310" i="4"/>
  <c r="H314" i="4"/>
  <c r="H318" i="4"/>
  <c r="H322" i="4"/>
  <c r="H326" i="4"/>
  <c r="H330" i="4"/>
  <c r="H334" i="4"/>
  <c r="H338" i="4"/>
  <c r="H342" i="4"/>
  <c r="H346" i="4"/>
  <c r="H350" i="4"/>
  <c r="H354" i="4"/>
  <c r="H358" i="4"/>
  <c r="H362" i="4"/>
  <c r="H366" i="4"/>
  <c r="H370" i="4"/>
  <c r="H374" i="4"/>
  <c r="H378" i="4"/>
  <c r="H382" i="4"/>
  <c r="H386" i="4"/>
  <c r="H390" i="4"/>
  <c r="H394" i="4"/>
  <c r="H398" i="4"/>
  <c r="H402" i="4"/>
  <c r="H406" i="4"/>
  <c r="H410" i="4"/>
  <c r="H414" i="4"/>
  <c r="H418" i="4"/>
  <c r="H422" i="4"/>
  <c r="H426" i="4"/>
  <c r="H430" i="4"/>
  <c r="H353" i="4"/>
  <c r="H369" i="4"/>
  <c r="H385" i="4"/>
  <c r="H401" i="4"/>
  <c r="H417" i="4"/>
  <c r="H433" i="4"/>
  <c r="H441" i="4"/>
  <c r="H449" i="4"/>
  <c r="H457" i="4"/>
  <c r="H464" i="4"/>
  <c r="H469" i="4"/>
  <c r="H474" i="4"/>
  <c r="H480" i="4"/>
  <c r="H485" i="4"/>
  <c r="H490" i="4"/>
  <c r="H496" i="4"/>
  <c r="H501" i="4"/>
  <c r="H506" i="4"/>
  <c r="H512" i="4"/>
  <c r="H517" i="4"/>
  <c r="H521" i="4"/>
  <c r="H525" i="4"/>
  <c r="H529" i="4"/>
  <c r="H533" i="4"/>
  <c r="H537" i="4"/>
  <c r="H541" i="4"/>
  <c r="H545" i="4"/>
  <c r="H549" i="4"/>
  <c r="H553" i="4"/>
  <c r="H557" i="4"/>
  <c r="H561" i="4"/>
  <c r="H565" i="4"/>
  <c r="H569" i="4"/>
  <c r="H573" i="4"/>
  <c r="H577" i="4"/>
  <c r="H581" i="4"/>
  <c r="H585" i="4"/>
  <c r="H589" i="4"/>
  <c r="H593" i="4"/>
  <c r="H597" i="4"/>
  <c r="H601" i="4"/>
  <c r="H605" i="4"/>
  <c r="H609" i="4"/>
  <c r="H613" i="4"/>
  <c r="H617" i="4"/>
  <c r="H621" i="4"/>
  <c r="H625" i="4"/>
  <c r="H629" i="4"/>
  <c r="H633" i="4"/>
  <c r="H637" i="4"/>
  <c r="H641" i="4"/>
  <c r="H645" i="4"/>
  <c r="H649" i="4"/>
  <c r="H653" i="4"/>
  <c r="H657" i="4"/>
  <c r="H661" i="4"/>
  <c r="H665" i="4"/>
  <c r="H669" i="4"/>
  <c r="H673" i="4"/>
  <c r="H677" i="4"/>
  <c r="H681" i="4"/>
  <c r="H685" i="4"/>
  <c r="H689" i="4"/>
  <c r="H693" i="4"/>
  <c r="H697" i="4"/>
  <c r="H701" i="4"/>
  <c r="H705" i="4"/>
  <c r="H709" i="4"/>
  <c r="H713" i="4"/>
  <c r="H717" i="4"/>
  <c r="H721" i="4"/>
  <c r="H725" i="4"/>
  <c r="H729" i="4"/>
  <c r="H733" i="4"/>
  <c r="H737" i="4"/>
  <c r="H741" i="4"/>
  <c r="H745" i="4"/>
  <c r="H749" i="4"/>
  <c r="H753" i="4"/>
  <c r="H757" i="4"/>
  <c r="H761" i="4"/>
  <c r="H765" i="4"/>
  <c r="H769" i="4"/>
  <c r="H773" i="4"/>
  <c r="H777" i="4"/>
  <c r="H781" i="4"/>
  <c r="H785" i="4"/>
  <c r="H789" i="4"/>
  <c r="H793" i="4"/>
  <c r="H797" i="4"/>
  <c r="H801" i="4"/>
  <c r="H805" i="4"/>
  <c r="H809" i="4"/>
  <c r="H813" i="4"/>
  <c r="H817" i="4"/>
  <c r="H821" i="4"/>
  <c r="H825" i="4"/>
  <c r="H829" i="4"/>
  <c r="H833" i="4"/>
  <c r="H357" i="4"/>
  <c r="H373" i="4"/>
  <c r="H389" i="4"/>
  <c r="H405" i="4"/>
  <c r="H421" i="4"/>
  <c r="H434" i="4"/>
  <c r="H442" i="4"/>
  <c r="H450" i="4"/>
  <c r="H458" i="4"/>
  <c r="H465" i="4"/>
  <c r="H470" i="4"/>
  <c r="H476" i="4"/>
  <c r="H481" i="4"/>
  <c r="H486" i="4"/>
  <c r="H492" i="4"/>
  <c r="H497" i="4"/>
  <c r="H502" i="4"/>
  <c r="H508" i="4"/>
  <c r="H513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361" i="4"/>
  <c r="H377" i="4"/>
  <c r="H393" i="4"/>
  <c r="H409" i="4"/>
  <c r="H425" i="4"/>
  <c r="H437" i="4"/>
  <c r="H445" i="4"/>
  <c r="H453" i="4"/>
  <c r="H461" i="4"/>
  <c r="H466" i="4"/>
  <c r="H472" i="4"/>
  <c r="H477" i="4"/>
  <c r="H482" i="4"/>
  <c r="H488" i="4"/>
  <c r="H493" i="4"/>
  <c r="H498" i="4"/>
  <c r="H504" i="4"/>
  <c r="H509" i="4"/>
  <c r="H514" i="4"/>
  <c r="H519" i="4"/>
  <c r="H523" i="4"/>
  <c r="H527" i="4"/>
  <c r="H531" i="4"/>
  <c r="H535" i="4"/>
  <c r="H539" i="4"/>
  <c r="H543" i="4"/>
  <c r="H547" i="4"/>
  <c r="H551" i="4"/>
  <c r="H555" i="4"/>
  <c r="H559" i="4"/>
  <c r="H563" i="4"/>
  <c r="H567" i="4"/>
  <c r="H571" i="4"/>
  <c r="H575" i="4"/>
  <c r="H579" i="4"/>
  <c r="H583" i="4"/>
  <c r="H587" i="4"/>
  <c r="H591" i="4"/>
  <c r="H595" i="4"/>
  <c r="H599" i="4"/>
  <c r="H603" i="4"/>
  <c r="H607" i="4"/>
  <c r="H611" i="4"/>
  <c r="H615" i="4"/>
  <c r="H619" i="4"/>
  <c r="H623" i="4"/>
  <c r="H627" i="4"/>
  <c r="H631" i="4"/>
  <c r="H635" i="4"/>
  <c r="H639" i="4"/>
  <c r="H643" i="4"/>
  <c r="H647" i="4"/>
  <c r="H651" i="4"/>
  <c r="H655" i="4"/>
  <c r="H659" i="4"/>
  <c r="H663" i="4"/>
  <c r="H667" i="4"/>
  <c r="H671" i="4"/>
  <c r="H675" i="4"/>
  <c r="H679" i="4"/>
  <c r="H683" i="4"/>
  <c r="H687" i="4"/>
  <c r="H691" i="4"/>
  <c r="H695" i="4"/>
  <c r="H699" i="4"/>
  <c r="H703" i="4"/>
  <c r="H707" i="4"/>
  <c r="H711" i="4"/>
  <c r="H715" i="4"/>
  <c r="H719" i="4"/>
  <c r="H723" i="4"/>
  <c r="H727" i="4"/>
  <c r="H731" i="4"/>
  <c r="H735" i="4"/>
  <c r="H739" i="4"/>
  <c r="H743" i="4"/>
  <c r="H747" i="4"/>
  <c r="H751" i="4"/>
  <c r="H755" i="4"/>
  <c r="H759" i="4"/>
  <c r="H763" i="4"/>
  <c r="H767" i="4"/>
  <c r="H771" i="4"/>
  <c r="H775" i="4"/>
  <c r="H779" i="4"/>
  <c r="H783" i="4"/>
  <c r="H787" i="4"/>
  <c r="H791" i="4"/>
  <c r="H795" i="4"/>
  <c r="H799" i="4"/>
  <c r="H803" i="4"/>
  <c r="H807" i="4"/>
  <c r="H811" i="4"/>
  <c r="H815" i="4"/>
  <c r="H819" i="4"/>
  <c r="H823" i="4"/>
  <c r="H827" i="4"/>
  <c r="H831" i="4"/>
  <c r="H365" i="4"/>
  <c r="H381" i="4"/>
  <c r="H397" i="4"/>
  <c r="H413" i="4"/>
  <c r="H429" i="4"/>
  <c r="H438" i="4"/>
  <c r="H446" i="4"/>
  <c r="H454" i="4"/>
  <c r="H462" i="4"/>
  <c r="H468" i="4"/>
  <c r="H473" i="4"/>
  <c r="H478" i="4"/>
  <c r="H484" i="4"/>
  <c r="H489" i="4"/>
  <c r="H494" i="4"/>
  <c r="H500" i="4"/>
  <c r="H505" i="4"/>
  <c r="H510" i="4"/>
  <c r="H516" i="4"/>
  <c r="H520" i="4"/>
  <c r="H524" i="4"/>
  <c r="H528" i="4"/>
  <c r="H532" i="4"/>
  <c r="H536" i="4"/>
  <c r="H540" i="4"/>
  <c r="H544" i="4"/>
  <c r="H548" i="4"/>
  <c r="H552" i="4"/>
  <c r="H556" i="4"/>
  <c r="H560" i="4"/>
  <c r="H564" i="4"/>
  <c r="H568" i="4"/>
  <c r="H572" i="4"/>
  <c r="H576" i="4"/>
  <c r="H580" i="4"/>
  <c r="H584" i="4"/>
  <c r="H588" i="4"/>
  <c r="H592" i="4"/>
  <c r="H596" i="4"/>
  <c r="H600" i="4"/>
  <c r="H604" i="4"/>
  <c r="H608" i="4"/>
  <c r="H612" i="4"/>
  <c r="H616" i="4"/>
  <c r="H620" i="4"/>
  <c r="H624" i="4"/>
  <c r="H628" i="4"/>
  <c r="H632" i="4"/>
  <c r="H636" i="4"/>
  <c r="H640" i="4"/>
  <c r="H644" i="4"/>
  <c r="H648" i="4"/>
  <c r="H652" i="4"/>
  <c r="H656" i="4"/>
  <c r="H660" i="4"/>
  <c r="H664" i="4"/>
  <c r="H668" i="4"/>
  <c r="H672" i="4"/>
  <c r="H676" i="4"/>
  <c r="H680" i="4"/>
  <c r="H684" i="4"/>
  <c r="H688" i="4"/>
  <c r="H692" i="4"/>
  <c r="H696" i="4"/>
  <c r="H700" i="4"/>
  <c r="H704" i="4"/>
  <c r="H708" i="4"/>
  <c r="H712" i="4"/>
  <c r="H716" i="4"/>
  <c r="H720" i="4"/>
  <c r="H724" i="4"/>
  <c r="H728" i="4"/>
  <c r="H732" i="4"/>
  <c r="H736" i="4"/>
  <c r="H740" i="4"/>
  <c r="H744" i="4"/>
  <c r="H748" i="4"/>
  <c r="H752" i="4"/>
  <c r="H756" i="4"/>
  <c r="H760" i="4"/>
  <c r="H764" i="4"/>
  <c r="H768" i="4"/>
  <c r="H772" i="4"/>
  <c r="H776" i="4"/>
  <c r="H780" i="4"/>
  <c r="H784" i="4"/>
  <c r="H788" i="4"/>
  <c r="H792" i="4"/>
  <c r="H796" i="4"/>
  <c r="H800" i="4"/>
  <c r="H804" i="4"/>
  <c r="H808" i="4"/>
  <c r="H812" i="4"/>
  <c r="H816" i="4"/>
  <c r="H820" i="4"/>
  <c r="H824" i="4"/>
  <c r="H828" i="4"/>
  <c r="H832" i="4"/>
  <c r="C4" i="1"/>
  <c r="G835" i="4" l="1"/>
  <c r="H835" i="4"/>
</calcChain>
</file>

<file path=xl/sharedStrings.xml><?xml version="1.0" encoding="utf-8"?>
<sst xmlns="http://schemas.openxmlformats.org/spreadsheetml/2006/main" count="35454" uniqueCount="2445">
  <si>
    <t>Company:</t>
  </si>
  <si>
    <t>From Date:</t>
  </si>
  <si>
    <t>To Date:</t>
  </si>
  <si>
    <t>Date format:</t>
  </si>
  <si>
    <t>MM.DD.YYYY</t>
  </si>
  <si>
    <t>Date Period:</t>
  </si>
  <si>
    <t>Item number</t>
  </si>
  <si>
    <t>Lot ID</t>
  </si>
  <si>
    <t>Reference</t>
  </si>
  <si>
    <t>Number</t>
  </si>
  <si>
    <t>Physical date</t>
  </si>
  <si>
    <t>Financial date</t>
  </si>
  <si>
    <t>Quantity</t>
  </si>
  <si>
    <t>Total</t>
  </si>
  <si>
    <t>Inventory transactions</t>
  </si>
  <si>
    <t>GLG0097120</t>
  </si>
  <si>
    <t>GLG0195120</t>
  </si>
  <si>
    <t>Purchase order</t>
  </si>
  <si>
    <t>CAG0195200</t>
  </si>
  <si>
    <t>TRSPEDI001</t>
  </si>
  <si>
    <t>CAG0097200</t>
  </si>
  <si>
    <t>Counting</t>
  </si>
  <si>
    <t>ASMIETG990</t>
  </si>
  <si>
    <t>LARESI22005</t>
  </si>
  <si>
    <t>LA20006014</t>
  </si>
  <si>
    <t>CS240300300</t>
  </si>
  <si>
    <t>CS640400300</t>
  </si>
  <si>
    <t>GLG0150120</t>
  </si>
  <si>
    <t>LARESI230AB</t>
  </si>
  <si>
    <t>LA15008014</t>
  </si>
  <si>
    <t>Item name</t>
  </si>
  <si>
    <t>S&amp;P C-Sheet 240 300 g/m2</t>
  </si>
  <si>
    <t>S&amp;P Glasphalt G (120/120kN)</t>
  </si>
  <si>
    <t>S&amp;P C-Laminate SM (150/2000) 80/1.4</t>
  </si>
  <si>
    <t>S&amp;P C-Laminate HM (200/2000) 60/1.4</t>
  </si>
  <si>
    <t>Transportkosten (Spedition)</t>
  </si>
  <si>
    <t>Unit</t>
  </si>
  <si>
    <t>PCS</t>
  </si>
  <si>
    <t>M²</t>
  </si>
  <si>
    <t>M</t>
  </si>
  <si>
    <t>TPP transactions</t>
  </si>
  <si>
    <t>TPP cost price</t>
  </si>
  <si>
    <t>TPP cost amount</t>
  </si>
  <si>
    <t>TPP cost amount currency</t>
  </si>
  <si>
    <t>Financial voucher</t>
  </si>
  <si>
    <t>Currency</t>
  </si>
  <si>
    <t>Status</t>
  </si>
  <si>
    <t>Date</t>
  </si>
  <si>
    <t>InventTransRecId</t>
  </si>
  <si>
    <t>Site</t>
  </si>
  <si>
    <t>Warehouse</t>
  </si>
  <si>
    <t>On-hand inventory</t>
  </si>
  <si>
    <t>AM20020019550</t>
  </si>
  <si>
    <t>ARAPTOOL001</t>
  </si>
  <si>
    <t>CS240200300</t>
  </si>
  <si>
    <t>LA15002014</t>
  </si>
  <si>
    <t>LA15005014</t>
  </si>
  <si>
    <t>LA15006014</t>
  </si>
  <si>
    <t>LA15010014</t>
  </si>
  <si>
    <t>LA15012014</t>
  </si>
  <si>
    <t>LA20002014</t>
  </si>
  <si>
    <t>LA20005014</t>
  </si>
  <si>
    <t>LA20010014</t>
  </si>
  <si>
    <t>LA20012014</t>
  </si>
  <si>
    <t>LAENACS050</t>
  </si>
  <si>
    <t>LAFRPTO001</t>
  </si>
  <si>
    <t>LAFRPTO002</t>
  </si>
  <si>
    <t>LARESI22015</t>
  </si>
  <si>
    <t>SHRESEPO55</t>
  </si>
  <si>
    <t>Supplies - other</t>
  </si>
  <si>
    <t>ARAPTOOL002</t>
  </si>
  <si>
    <t>CAG0150200</t>
  </si>
  <si>
    <t>CS240300600</t>
  </si>
  <si>
    <t>CS240400300</t>
  </si>
  <si>
    <t>LA15001014</t>
  </si>
  <si>
    <t>LA15001525</t>
  </si>
  <si>
    <t>LA15015014</t>
  </si>
  <si>
    <t>LA20008014</t>
  </si>
  <si>
    <t>LA20009014</t>
  </si>
  <si>
    <t>LACLEAN002</t>
  </si>
  <si>
    <t>LAENACS100</t>
  </si>
  <si>
    <t/>
  </si>
  <si>
    <t>Current On-hand</t>
  </si>
  <si>
    <t>Beginning On-hand</t>
  </si>
  <si>
    <t>Ending On-hand</t>
  </si>
  <si>
    <t>Date for Beginning balance:</t>
  </si>
  <si>
    <t>Date for Ending balance:</t>
  </si>
  <si>
    <t>Trans backwords (Beginning)</t>
  </si>
  <si>
    <t>Trans backwords (Ending)</t>
  </si>
  <si>
    <t>TPP summary</t>
  </si>
  <si>
    <t>TPP On-hand (Beginning)</t>
  </si>
  <si>
    <t>TPP On-hand (Ending)</t>
  </si>
  <si>
    <t>TPP (Purchase invoice trans)</t>
  </si>
  <si>
    <t>S&amp;P C-Laminate SM (150/2000) 120/1.4</t>
  </si>
  <si>
    <t>S&amp;P C-Laminate HM (200/2000) 100/1.4</t>
  </si>
  <si>
    <t>S&amp;P C-Laminate HM (200/2000) 120/1.4</t>
  </si>
  <si>
    <t>S&amp;P ARMO-mesh 200/200</t>
  </si>
  <si>
    <t>LA15008012</t>
  </si>
  <si>
    <t>S&amp;P C-Laminate SM (150/2000) 80/1.2</t>
  </si>
  <si>
    <t>LA15012012</t>
  </si>
  <si>
    <t>S&amp;P C-Laminate SM (150/2000) 120/1.2</t>
  </si>
  <si>
    <t>LA15001028</t>
  </si>
  <si>
    <t>S&amp;P C-Laminate SM (150/2000) 10/2.8</t>
  </si>
  <si>
    <t>LAANCSTB001</t>
  </si>
  <si>
    <t>S&amp;P Stahlbauteile</t>
  </si>
  <si>
    <t>SHTEFROL13030</t>
  </si>
  <si>
    <t>LA15010012</t>
  </si>
  <si>
    <t>S&amp;P C-Laminate SM (150/2000) 100/1.2</t>
  </si>
  <si>
    <t>LACLEAN010</t>
  </si>
  <si>
    <t>S&amp;P Cleaner 10 lt</t>
  </si>
  <si>
    <t>S&amp;P C-Laminate SM (150/2000) 150/1.4</t>
  </si>
  <si>
    <t>LA15005012</t>
  </si>
  <si>
    <t>S&amp;P C-Laminate SM (150/2000) 50/1.2</t>
  </si>
  <si>
    <t>S&amp;P C-Laminate SM (150/2000) 60/1.4</t>
  </si>
  <si>
    <t>LAQUARZ015</t>
  </si>
  <si>
    <t>S&amp;P Resin 230 Komp. F</t>
  </si>
  <si>
    <t>S&amp;P Aufziehgerät Kleber Lamellen</t>
  </si>
  <si>
    <t>SHRESICE010</t>
  </si>
  <si>
    <t>S&amp;P Resicem Impregnierharz (wasserdampfoffen), Set à 10 kg</t>
  </si>
  <si>
    <t>BOAXII16085020A4</t>
  </si>
  <si>
    <t>KG</t>
  </si>
  <si>
    <t>LA15009014</t>
  </si>
  <si>
    <t>S&amp;P C-Laminate SM (150/2000) 90/1.4</t>
  </si>
  <si>
    <t>LA15015012</t>
  </si>
  <si>
    <t>S&amp;P C-Laminate SM (150/2000) 150/1.2</t>
  </si>
  <si>
    <t>S&amp;P C-Sheet 240 400 g/m2</t>
  </si>
  <si>
    <t>S&amp;P C-Laminate SM (150/2000) 50/1.4</t>
  </si>
  <si>
    <t>S&amp;P C-Laminate SM (150/2000) 100/1.4</t>
  </si>
  <si>
    <t>LAENACS080</t>
  </si>
  <si>
    <t>LAANCSTM001</t>
  </si>
  <si>
    <t>S&amp;P Stahlteile</t>
  </si>
  <si>
    <t>LACAN02PET</t>
  </si>
  <si>
    <t>Plastikkanister weiss 2 lt</t>
  </si>
  <si>
    <t>L</t>
  </si>
  <si>
    <t>LACAN10PET</t>
  </si>
  <si>
    <t>Plastikkanister weiss 10 lt</t>
  </si>
  <si>
    <t>AM50050019550</t>
  </si>
  <si>
    <t>AML500195050</t>
  </si>
  <si>
    <t>ARMOMUR025</t>
  </si>
  <si>
    <t>ARMOWET025RQ</t>
  </si>
  <si>
    <t>BOAXII12070065</t>
  </si>
  <si>
    <t>CS240200600</t>
  </si>
  <si>
    <t>CS240600300</t>
  </si>
  <si>
    <t>GSAR0505067</t>
  </si>
  <si>
    <t>GSE0505067</t>
  </si>
  <si>
    <t>GSE09010B67</t>
  </si>
  <si>
    <t>LAENACS060</t>
  </si>
  <si>
    <t>LAENACS090</t>
  </si>
  <si>
    <t>LAENACS120</t>
  </si>
  <si>
    <t>LAPSTKO100</t>
  </si>
  <si>
    <t>SHEPO1000A</t>
  </si>
  <si>
    <t>SHEPO1000B</t>
  </si>
  <si>
    <t>VendInvoiceTransId</t>
  </si>
  <si>
    <t>TPP Balance (Beginning)</t>
  </si>
  <si>
    <t>TPP Balance (Ending)</t>
  </si>
  <si>
    <t>TPP trans backwards (Beginning)</t>
  </si>
  <si>
    <t>TPP trans backwards (Ending)</t>
  </si>
  <si>
    <t>TPP trans backwards balance (Beginning)</t>
  </si>
  <si>
    <t>TPP trans backwards balance (Ending)</t>
  </si>
  <si>
    <t>S&amp;P C-Sheet 240 200 g/m2</t>
  </si>
  <si>
    <t>S&amp;P Asphalt Abrollgerät maschinell</t>
  </si>
  <si>
    <t>S&amp;PARMO-mesh 500/500
roll 1.95 x 50 m</t>
  </si>
  <si>
    <t>BOM</t>
  </si>
  <si>
    <t>S&amp;P C-Laminate HM (200/2000) 90/1.4</t>
  </si>
  <si>
    <t>S&amp;P C-Laminate SM (150/2000) 20/1.4</t>
  </si>
  <si>
    <t>S&amp;P C-Sheet 240 600 g/m2</t>
  </si>
  <si>
    <t>S&amp;P G-Sheet E 50/50</t>
  </si>
  <si>
    <t>Tables</t>
  </si>
  <si>
    <t>InventSum</t>
  </si>
  <si>
    <t>TPPSum</t>
  </si>
  <si>
    <t>InventTrans</t>
  </si>
  <si>
    <t>TPPTrans</t>
  </si>
  <si>
    <t>Fields</t>
  </si>
  <si>
    <t>TableId</t>
  </si>
  <si>
    <t>SheetName</t>
  </si>
  <si>
    <t>FieldId</t>
  </si>
  <si>
    <t>ColumnName</t>
  </si>
  <si>
    <t>Items</t>
  </si>
  <si>
    <t>Item group</t>
  </si>
  <si>
    <t>Item type</t>
  </si>
  <si>
    <t>Product</t>
  </si>
  <si>
    <t>Item</t>
  </si>
  <si>
    <t>S&amp;P ARMO-mesh L500</t>
  </si>
  <si>
    <t>Supplies</t>
  </si>
  <si>
    <t>S&amp;P ARMO-mur , bag of 25kg</t>
  </si>
  <si>
    <t>ARMOWET025RS</t>
  </si>
  <si>
    <t>ASPDIEN002</t>
  </si>
  <si>
    <t>Asphalt application work</t>
  </si>
  <si>
    <t>ASPINST001</t>
  </si>
  <si>
    <t>Asphalt Verlegearbeit Installation</t>
  </si>
  <si>
    <t>H</t>
  </si>
  <si>
    <t>S&amp;P Carbophalt G (120/200kN)</t>
  </si>
  <si>
    <t>CAG0150200GV</t>
  </si>
  <si>
    <t>S&amp;P Carbophalt GV (120/200kN)</t>
  </si>
  <si>
    <t>CS240400600</t>
  </si>
  <si>
    <t>S&amp;P C-Sheet 640 400 g/m2</t>
  </si>
  <si>
    <t>GLG0150120GV</t>
  </si>
  <si>
    <t>S&amp;P Glasphalt GV (120/120kN)</t>
  </si>
  <si>
    <t>S&amp;P G-Sheet AR 50/50</t>
  </si>
  <si>
    <t>S&amp;P G-Sheet E 90/10 Typ B</t>
  </si>
  <si>
    <t>S&amp;P C-Laminate SM (150/2000) 10/1.4</t>
  </si>
  <si>
    <t>S&amp;P C-Laminate SM (150/2000) 15/2.5</t>
  </si>
  <si>
    <t>S&amp;P C-Laminate HM (200/2000) 20/1.4</t>
  </si>
  <si>
    <t>S&amp;P C-Laminate HM (200/2000) 50/1.4</t>
  </si>
  <si>
    <t>S&amp;P C-Laminate HM (200/2000) 80/1.4</t>
  </si>
  <si>
    <t>Component</t>
  </si>
  <si>
    <t>S&amp;P Cleaner 2 lt</t>
  </si>
  <si>
    <t>LAPSTKO001</t>
  </si>
  <si>
    <t>S&amp;P Vorspann-Set CFK (Standard)</t>
  </si>
  <si>
    <t>S&amp;P Anchor plate prestressed</t>
  </si>
  <si>
    <t>Resin 50/55, Resicem (Komp. A)</t>
  </si>
  <si>
    <t>Resin 50/55, Resicem (Komp. B)</t>
  </si>
  <si>
    <t>S&amp;P Laminierroller 130 x 30mm</t>
  </si>
  <si>
    <t>Stretch wrap</t>
  </si>
  <si>
    <t>Supplies - clean</t>
  </si>
  <si>
    <t>Supplies - cons.</t>
  </si>
  <si>
    <t>Supplies - health</t>
  </si>
  <si>
    <t>Supplies - jigs/fix</t>
  </si>
  <si>
    <t>Supplies - lube</t>
  </si>
  <si>
    <t>Supplies - maint</t>
  </si>
  <si>
    <t>Supplies - office</t>
  </si>
  <si>
    <t>Supplies - tooling</t>
  </si>
  <si>
    <t>VEDI670001</t>
  </si>
  <si>
    <t>Interest on I/C loan</t>
  </si>
  <si>
    <t>VERDIE0631</t>
  </si>
  <si>
    <t>Group Charges – Tpp</t>
  </si>
  <si>
    <t>InventTable</t>
  </si>
  <si>
    <t>Invent on-hand beginning</t>
  </si>
  <si>
    <t>TPP on-hand beginning</t>
  </si>
  <si>
    <t>Beginning balance reconcile</t>
  </si>
  <si>
    <t>Invent Transaction</t>
  </si>
  <si>
    <t>TPP Transaction</t>
  </si>
  <si>
    <t>Invent ending balance</t>
  </si>
  <si>
    <t>TPP on-hand ending balance</t>
  </si>
  <si>
    <t>Ending ON-hand reconcile</t>
  </si>
  <si>
    <t>TPP Balance Beginning</t>
  </si>
  <si>
    <t>TPP Balance Ending</t>
  </si>
  <si>
    <t>TPP Cost price Beginning</t>
  </si>
  <si>
    <t>TPP Cost price Ending</t>
  </si>
  <si>
    <t>Item number:</t>
  </si>
  <si>
    <t>SHRESEPO55HP</t>
  </si>
  <si>
    <t>S&amp;P Resin 55 HP
(Set à 13kg)</t>
  </si>
  <si>
    <t>SHRESEPO55HP6KG</t>
  </si>
  <si>
    <t>S&amp;P Resin 55 HP
(Set à 6kg)</t>
  </si>
  <si>
    <t>SHRESICEHP010</t>
  </si>
  <si>
    <t>S&amp;P Resicem HP, Set 10 kg</t>
  </si>
  <si>
    <t>EUR</t>
  </si>
  <si>
    <t>Posted</t>
  </si>
  <si>
    <t>Check Trans</t>
  </si>
  <si>
    <t>Yes</t>
  </si>
  <si>
    <t>Transaction text</t>
  </si>
  <si>
    <t>*</t>
  </si>
  <si>
    <t>Sales order</t>
  </si>
  <si>
    <t>Transaction</t>
  </si>
  <si>
    <t>No</t>
  </si>
  <si>
    <t>TPPTransAdjustment</t>
  </si>
  <si>
    <t>TransOrigin</t>
  </si>
  <si>
    <t>Lot Id</t>
  </si>
  <si>
    <t>Adjustment?</t>
  </si>
  <si>
    <t>Group by</t>
  </si>
  <si>
    <t>ACMOPPRC019</t>
  </si>
  <si>
    <t>160</t>
  </si>
  <si>
    <t>IC-Transit</t>
  </si>
  <si>
    <t>RF</t>
  </si>
  <si>
    <t>SW</t>
  </si>
  <si>
    <t>TR</t>
  </si>
  <si>
    <t>ACMOPPRC019_old</t>
  </si>
  <si>
    <t>ACMORC025P</t>
  </si>
  <si>
    <t>ACPRPBAG001</t>
  </si>
  <si>
    <t>ACPRRCPP001</t>
  </si>
  <si>
    <t>ACPRRCPP002</t>
  </si>
  <si>
    <t>ACPRRCPP003</t>
  </si>
  <si>
    <t>ACPRRCPP004</t>
  </si>
  <si>
    <t>ACPRRCPP005</t>
  </si>
  <si>
    <t>ACPRRCPP006</t>
  </si>
  <si>
    <t>ACPRRCPP007</t>
  </si>
  <si>
    <t>ACPRRCPP009</t>
  </si>
  <si>
    <t>ACPRRCPP010</t>
  </si>
  <si>
    <t>AMANC600ALU</t>
  </si>
  <si>
    <t>AMANC600ALU_OLD</t>
  </si>
  <si>
    <t>AMANCKLA001</t>
  </si>
  <si>
    <t>AMANCTOO001</t>
  </si>
  <si>
    <t>AMANCUNI101</t>
  </si>
  <si>
    <t>AMC200097050</t>
  </si>
  <si>
    <t>AML200195050</t>
  </si>
  <si>
    <t>AML600195050</t>
  </si>
  <si>
    <t>AMN19Q</t>
  </si>
  <si>
    <t>ANGF150070AR</t>
  </si>
  <si>
    <t>ANGF220100AR</t>
  </si>
  <si>
    <t>FR</t>
  </si>
  <si>
    <t>MC2</t>
  </si>
  <si>
    <t>ARAPTOOL003</t>
  </si>
  <si>
    <t>ARMOWETSILRQ</t>
  </si>
  <si>
    <t>AS120290300</t>
  </si>
  <si>
    <t>AS120420300</t>
  </si>
  <si>
    <t>AS120650300</t>
  </si>
  <si>
    <t>ASBITREL0025</t>
  </si>
  <si>
    <t>ASBITREL0200</t>
  </si>
  <si>
    <t>ASPRFRP001</t>
  </si>
  <si>
    <t>ASPRSFIX040</t>
  </si>
  <si>
    <t>ASPRSTOOL01</t>
  </si>
  <si>
    <t>ASPRSVAR040</t>
  </si>
  <si>
    <t>ASST2220T40</t>
  </si>
  <si>
    <t>AT-XP10</t>
  </si>
  <si>
    <t>BBGPSK100</t>
  </si>
  <si>
    <t>HOD</t>
  </si>
  <si>
    <t>BBGPSKS20</t>
  </si>
  <si>
    <t>BOAXII12070020A4</t>
  </si>
  <si>
    <t>CAG0097200200</t>
  </si>
  <si>
    <t>CAG0097200GV</t>
  </si>
  <si>
    <t>CAG0195200GV</t>
  </si>
  <si>
    <t>CAG150200200</t>
  </si>
  <si>
    <t>CAG195200200</t>
  </si>
  <si>
    <t>Catalog</t>
  </si>
  <si>
    <t>CDT10S</t>
  </si>
  <si>
    <t>CS240300200</t>
  </si>
  <si>
    <t>CS240350300</t>
  </si>
  <si>
    <t>CS240400200</t>
  </si>
  <si>
    <t>CSPRFRP090</t>
  </si>
  <si>
    <t>DIOFFI0001</t>
  </si>
  <si>
    <t>EDT22S</t>
  </si>
  <si>
    <t>ENGFRP0005</t>
  </si>
  <si>
    <t>ENGFRP0010</t>
  </si>
  <si>
    <t>FX Spacer 2.0</t>
  </si>
  <si>
    <t>FX225</t>
  </si>
  <si>
    <t>FX225_rb</t>
  </si>
  <si>
    <t>FX225BB</t>
  </si>
  <si>
    <t>FX494CSPEC-5B</t>
  </si>
  <si>
    <t>FX494CSPECKT15</t>
  </si>
  <si>
    <t>FX494PGREEN-5B</t>
  </si>
  <si>
    <t>FX494PGREENKT15</t>
  </si>
  <si>
    <t>FX523KT2</t>
  </si>
  <si>
    <t>FX523KT2QT</t>
  </si>
  <si>
    <t>FX701-60</t>
  </si>
  <si>
    <t>FX70-6MP-5A</t>
  </si>
  <si>
    <t>FX70-6MP-C</t>
  </si>
  <si>
    <t>FX70-6MPKT3-2</t>
  </si>
  <si>
    <t>FX70-6MPKT3-3</t>
  </si>
  <si>
    <t>FX70-6PMKT15-15</t>
  </si>
  <si>
    <t>FX70-JKT-A3MM</t>
  </si>
  <si>
    <t>FX70-JKT-A5MM</t>
  </si>
  <si>
    <t>FX763CTG</t>
  </si>
  <si>
    <t>FX763KT3</t>
  </si>
  <si>
    <t>FX764KT2</t>
  </si>
  <si>
    <t>FXBR300-LF</t>
  </si>
  <si>
    <t>FX-Pump Port</t>
  </si>
  <si>
    <t>FXSSST141</t>
  </si>
  <si>
    <t>GEANCERD0025</t>
  </si>
  <si>
    <t>GEANCERD0050</t>
  </si>
  <si>
    <t>GEANCERD0101</t>
  </si>
  <si>
    <t>GEANCERD0102</t>
  </si>
  <si>
    <t>GEANCERD0103</t>
  </si>
  <si>
    <t>GEANCES10KN</t>
  </si>
  <si>
    <t>GEANCES22KN</t>
  </si>
  <si>
    <t>GEANCMP10KN</t>
  </si>
  <si>
    <t>GEANCMP22KN</t>
  </si>
  <si>
    <t>GEANCSCH0025</t>
  </si>
  <si>
    <t>GEANCSCH0050</t>
  </si>
  <si>
    <t>GEJUT50012068</t>
  </si>
  <si>
    <t>GEMACERD001</t>
  </si>
  <si>
    <t>GEMACERD002</t>
  </si>
  <si>
    <t>GEMACERD003</t>
  </si>
  <si>
    <t>GEMACERD004</t>
  </si>
  <si>
    <t>GEMACERD005</t>
  </si>
  <si>
    <t>GENET5050250</t>
  </si>
  <si>
    <t>GENET5050500</t>
  </si>
  <si>
    <t>GEPROANC0001</t>
  </si>
  <si>
    <t>GEPROANC0002</t>
  </si>
  <si>
    <t>GEPROANC0003</t>
  </si>
  <si>
    <t>GEPROANC0004</t>
  </si>
  <si>
    <t>GEPROANC0005</t>
  </si>
  <si>
    <t>GEPROANC0006</t>
  </si>
  <si>
    <t>GEPROANC0007</t>
  </si>
  <si>
    <t>GEPROANC0008</t>
  </si>
  <si>
    <t>GEPROANC0009</t>
  </si>
  <si>
    <t>GEPROANC0010</t>
  </si>
  <si>
    <t>GEPROANC0011</t>
  </si>
  <si>
    <t>GESTECABGA08</t>
  </si>
  <si>
    <t>GLG0050120</t>
  </si>
  <si>
    <t>GLG005020BIT</t>
  </si>
  <si>
    <t>GLG005020GBM</t>
  </si>
  <si>
    <t>GLG0065120</t>
  </si>
  <si>
    <t>GLG0087120</t>
  </si>
  <si>
    <t>FillIn</t>
  </si>
  <si>
    <t>GLG0097120GV</t>
  </si>
  <si>
    <t>GLG0097200GV</t>
  </si>
  <si>
    <t>GLG010020BIT</t>
  </si>
  <si>
    <t>GLG0150200GV</t>
  </si>
  <si>
    <t>GLG0195120GV</t>
  </si>
  <si>
    <t>GLG0195200GV</t>
  </si>
  <si>
    <t>GLG0195200GV40</t>
  </si>
  <si>
    <t>GLG0195SBR</t>
  </si>
  <si>
    <t>GLG10020GBM</t>
  </si>
  <si>
    <t>GLGBMTAPE1015</t>
  </si>
  <si>
    <t>GSAR0505067_OLD</t>
  </si>
  <si>
    <t>GSAR9010A67</t>
  </si>
  <si>
    <t>GSAR9010B67</t>
  </si>
  <si>
    <t>GSE09010A67</t>
  </si>
  <si>
    <t>Hand tools - small</t>
  </si>
  <si>
    <t>LA15002017</t>
  </si>
  <si>
    <t>LA15010012U</t>
  </si>
  <si>
    <t>LA15010014G</t>
  </si>
  <si>
    <t>LA15010014U</t>
  </si>
  <si>
    <t>LA20001014</t>
  </si>
  <si>
    <t>LAANACB600</t>
  </si>
  <si>
    <t>LAANACT600</t>
  </si>
  <si>
    <t>LAANCST996</t>
  </si>
  <si>
    <t>LAANCST998</t>
  </si>
  <si>
    <t>LAANCST999</t>
  </si>
  <si>
    <t>LACAN25PET</t>
  </si>
  <si>
    <t>LACLEAN025</t>
  </si>
  <si>
    <t>LACLEAN200</t>
  </si>
  <si>
    <t>LAENACB050</t>
  </si>
  <si>
    <t>LAENACB060</t>
  </si>
  <si>
    <t>LAENACB080</t>
  </si>
  <si>
    <t>LAENACB090</t>
  </si>
  <si>
    <t>LAENACB100</t>
  </si>
  <si>
    <t>LAENACB120</t>
  </si>
  <si>
    <t>LAENACB150</t>
  </si>
  <si>
    <t>LAENACS150</t>
  </si>
  <si>
    <t>LAENACSP01</t>
  </si>
  <si>
    <t>LAENACT050</t>
  </si>
  <si>
    <t>LAENACT060</t>
  </si>
  <si>
    <t>LAENACT080</t>
  </si>
  <si>
    <t>LAENACT090</t>
  </si>
  <si>
    <t>LAENACT100</t>
  </si>
  <si>
    <t>LAENACT120</t>
  </si>
  <si>
    <t>LAENACT150</t>
  </si>
  <si>
    <t>LAFRPTO001F1</t>
  </si>
  <si>
    <t>LAFRPTO003</t>
  </si>
  <si>
    <t>LAFRPTO020</t>
  </si>
  <si>
    <t>LAFRPTO021</t>
  </si>
  <si>
    <t>LAFRPTO022</t>
  </si>
  <si>
    <t>LAFRPTO030</t>
  </si>
  <si>
    <t>LAFRPTO050</t>
  </si>
  <si>
    <t>LAM1213373A2</t>
  </si>
  <si>
    <t>LAM12L0035A2</t>
  </si>
  <si>
    <t>LAM12TYP01A2</t>
  </si>
  <si>
    <t>LAMACH0900</t>
  </si>
  <si>
    <t>LAPREST100</t>
  </si>
  <si>
    <t>LAPREST101</t>
  </si>
  <si>
    <t>LAPREST110</t>
  </si>
  <si>
    <t>LAPSANCM12</t>
  </si>
  <si>
    <t>LAPSANCM16</t>
  </si>
  <si>
    <t>LAPSTGR010</t>
  </si>
  <si>
    <t>LAPSTGRM01</t>
  </si>
  <si>
    <t>LAPSTKO020</t>
  </si>
  <si>
    <t>LAPSTKO021</t>
  </si>
  <si>
    <t>LAPSTKO023</t>
  </si>
  <si>
    <t>LAPSTKO024</t>
  </si>
  <si>
    <t>LAPSTKO110</t>
  </si>
  <si>
    <t>LAPSTKO501</t>
  </si>
  <si>
    <t>LAPSTKO503</t>
  </si>
  <si>
    <t>LAQUARZ025CG</t>
  </si>
  <si>
    <t>LAQUARZ025MG</t>
  </si>
  <si>
    <t>LAREPCEM15</t>
  </si>
  <si>
    <t>LAREPCEM25</t>
  </si>
  <si>
    <t>LARES23030</t>
  </si>
  <si>
    <t>MABINA4001</t>
  </si>
  <si>
    <t>MABINA4002</t>
  </si>
  <si>
    <t>MABMGA4005</t>
  </si>
  <si>
    <t>MABMGA4006</t>
  </si>
  <si>
    <t>MABMGA4007</t>
  </si>
  <si>
    <t>MABMGA4009</t>
  </si>
  <si>
    <t>MABMGA4010</t>
  </si>
  <si>
    <t>MABMGA4011</t>
  </si>
  <si>
    <t>MABMGA4013</t>
  </si>
  <si>
    <t>MABMGA4014</t>
  </si>
  <si>
    <t>MACDPRN001</t>
  </si>
  <si>
    <t>MACDPRN010</t>
  </si>
  <si>
    <t>MACDPRN011</t>
  </si>
  <si>
    <t>MACDPRN012</t>
  </si>
  <si>
    <t>MACDPRN013</t>
  </si>
  <si>
    <t>MACDPRN014</t>
  </si>
  <si>
    <t>MACDPRN015</t>
  </si>
  <si>
    <t>MACDPRN020</t>
  </si>
  <si>
    <t>MACDPRN021</t>
  </si>
  <si>
    <t>MADIVA4001</t>
  </si>
  <si>
    <t>MAEXPO0001</t>
  </si>
  <si>
    <t>MAEXPO0002</t>
  </si>
  <si>
    <t>MAEXPO0003</t>
  </si>
  <si>
    <t>MAFLYA4001</t>
  </si>
  <si>
    <t>MAFLYA4002</t>
  </si>
  <si>
    <t>MAFLYA4003</t>
  </si>
  <si>
    <t>MAFLYA4005</t>
  </si>
  <si>
    <t>MAFLYA4006</t>
  </si>
  <si>
    <t>MAFLYA4007</t>
  </si>
  <si>
    <t>MAFLYA4009</t>
  </si>
  <si>
    <t>MAFLYA4010</t>
  </si>
  <si>
    <t>MAFLYA4011</t>
  </si>
  <si>
    <t>MAFLYA4013</t>
  </si>
  <si>
    <t>MAFLYA4014</t>
  </si>
  <si>
    <t>MAFLYA4015</t>
  </si>
  <si>
    <t>MAKLEID001</t>
  </si>
  <si>
    <t>MAKLEID002</t>
  </si>
  <si>
    <t>MAKLEID003</t>
  </si>
  <si>
    <t>MAKLEID004</t>
  </si>
  <si>
    <t>MAREGA4001</t>
  </si>
  <si>
    <t>MAREGA4002</t>
  </si>
  <si>
    <t>MAREGA4003</t>
  </si>
  <si>
    <t>MAsamples</t>
  </si>
  <si>
    <t>ROANCNBP001</t>
  </si>
  <si>
    <t>ROANCST016MM</t>
  </si>
  <si>
    <t>ROANLP100100</t>
  </si>
  <si>
    <t>ROANMUT16MM</t>
  </si>
  <si>
    <t>ROGFKANC20MM</t>
  </si>
  <si>
    <t>ROGFKMUT20MM</t>
  </si>
  <si>
    <t>ROMOP28300MM</t>
  </si>
  <si>
    <t>RONEPES250050</t>
  </si>
  <si>
    <t>RONEPES500100</t>
  </si>
  <si>
    <t>RONET30KN180</t>
  </si>
  <si>
    <t>RONET30KN250</t>
  </si>
  <si>
    <t>RONET30KN500</t>
  </si>
  <si>
    <t>RONET50KN180</t>
  </si>
  <si>
    <t>RONET50KN200</t>
  </si>
  <si>
    <t>ROVBB10KN050</t>
  </si>
  <si>
    <t>ROVBS22KN100</t>
  </si>
  <si>
    <t>SHADDPOS001</t>
  </si>
  <si>
    <t>SHBAC07STE</t>
  </si>
  <si>
    <t>SHBAC10STE</t>
  </si>
  <si>
    <t>SHEPO0002B</t>
  </si>
  <si>
    <t>SHH200GUMMI</t>
  </si>
  <si>
    <t>SHHIGER0001</t>
  </si>
  <si>
    <t>SHPET300500</t>
  </si>
  <si>
    <t>SHPRBAFA022</t>
  </si>
  <si>
    <t>SHPRBAFA032</t>
  </si>
  <si>
    <t>SHPRBAFA062</t>
  </si>
  <si>
    <t>SHPRFILM</t>
  </si>
  <si>
    <t>SHPRFLAF022</t>
  </si>
  <si>
    <t>SHPRFLAF032</t>
  </si>
  <si>
    <t>SHPRFLAF064</t>
  </si>
  <si>
    <t>SHPRFRP001</t>
  </si>
  <si>
    <t>SHPRFRP002</t>
  </si>
  <si>
    <t>SHPRFRP003</t>
  </si>
  <si>
    <t>SHPRFRP004</t>
  </si>
  <si>
    <t>SHPRFRP005</t>
  </si>
  <si>
    <t>SHPRFRP006</t>
  </si>
  <si>
    <t>SHPRFRP010</t>
  </si>
  <si>
    <t>SHPRFRP020</t>
  </si>
  <si>
    <t>SHPRKAHU022</t>
  </si>
  <si>
    <t>SHPRKAHU032</t>
  </si>
  <si>
    <t>SHPRKAHU064</t>
  </si>
  <si>
    <t>SHPRPE940T</t>
  </si>
  <si>
    <t>SHRESEPO50</t>
  </si>
  <si>
    <t>SHRESICA004</t>
  </si>
  <si>
    <t>SHRESICB002_old</t>
  </si>
  <si>
    <t>SHRESICEMF</t>
  </si>
  <si>
    <t>SHRESICEMF_old</t>
  </si>
  <si>
    <t>SHRESIN50A</t>
  </si>
  <si>
    <t>SHRESIN55A</t>
  </si>
  <si>
    <t>SHTEFROL06030</t>
  </si>
  <si>
    <t>SHTEFROL09030</t>
  </si>
  <si>
    <t>SHWECEI425R</t>
  </si>
  <si>
    <t>SHWETLAYMANU</t>
  </si>
  <si>
    <t>SHWETLAYMANUF1</t>
  </si>
  <si>
    <t>SLNET7030200</t>
  </si>
  <si>
    <t>SLNET7030250</t>
  </si>
  <si>
    <t>SLNET7030500</t>
  </si>
  <si>
    <t>SLNET7540250_OLD</t>
  </si>
  <si>
    <t>SLNET7540500_OLD</t>
  </si>
  <si>
    <t>SLVPS50005060</t>
  </si>
  <si>
    <t>SLVPS60010060</t>
  </si>
  <si>
    <t>SLVPS60010065</t>
  </si>
  <si>
    <t>SLVPS60010070</t>
  </si>
  <si>
    <t>TRBOND0001</t>
  </si>
  <si>
    <t>TRBOND0002</t>
  </si>
  <si>
    <t>TRBOND0003</t>
  </si>
  <si>
    <t>TRBOND0004</t>
  </si>
  <si>
    <t>TRBOND0005</t>
  </si>
  <si>
    <t>TRBOND0006</t>
  </si>
  <si>
    <t>TRBOND0007</t>
  </si>
  <si>
    <t>TRBOND0009</t>
  </si>
  <si>
    <t>TRBOND0010</t>
  </si>
  <si>
    <t>TRCARTO001</t>
  </si>
  <si>
    <t>TRCARTO002</t>
  </si>
  <si>
    <t>TRCARTO003</t>
  </si>
  <si>
    <t>TRCARTO004</t>
  </si>
  <si>
    <t>TRCARTO005</t>
  </si>
  <si>
    <t>TRCARTO006</t>
  </si>
  <si>
    <t>TRCARTO007</t>
  </si>
  <si>
    <t>TRETIK0001</t>
  </si>
  <si>
    <t>TRETIK0002</t>
  </si>
  <si>
    <t>TRETIK0003</t>
  </si>
  <si>
    <t>TRETIK0004</t>
  </si>
  <si>
    <t>TRETIK0005</t>
  </si>
  <si>
    <t>TRETIK0007</t>
  </si>
  <si>
    <t>TRPALET001</t>
  </si>
  <si>
    <t>TRPALET002</t>
  </si>
  <si>
    <t>TRPALET003</t>
  </si>
  <si>
    <t>TRPALET005</t>
  </si>
  <si>
    <t>TRPALET006</t>
  </si>
  <si>
    <t>TRPALET007</t>
  </si>
  <si>
    <t>TRPALET008</t>
  </si>
  <si>
    <t>TRPALET009</t>
  </si>
  <si>
    <t>TRPALET010</t>
  </si>
  <si>
    <t>TRPOLST002</t>
  </si>
  <si>
    <t>TRPOLST003</t>
  </si>
  <si>
    <t>TRPOLST004</t>
  </si>
  <si>
    <t>TRTAPE0001</t>
  </si>
  <si>
    <t>TRTAPE0002</t>
  </si>
  <si>
    <t>TRTAPE0003</t>
  </si>
  <si>
    <t>TRTAPE0004</t>
  </si>
  <si>
    <t>TRTAPE0005</t>
  </si>
  <si>
    <t>TRTAPE0006</t>
  </si>
  <si>
    <t>TRTAPE0007</t>
  </si>
  <si>
    <t>TRTAPE0008</t>
  </si>
  <si>
    <t>TRTAPE0009</t>
  </si>
  <si>
    <t>TPP adjustment</t>
  </si>
  <si>
    <t>Mixing Nozzle for AT-XP</t>
  </si>
  <si>
    <t>CHF</t>
  </si>
  <si>
    <t>IJV0000577</t>
  </si>
  <si>
    <t>Lot 066333</t>
  </si>
  <si>
    <t>AT-XP10 9.6 OZ W/Nozzle</t>
  </si>
  <si>
    <t>Lot 066334</t>
  </si>
  <si>
    <t>SO0005836</t>
  </si>
  <si>
    <t>111005818</t>
  </si>
  <si>
    <t>Lot 066285</t>
  </si>
  <si>
    <t>SO0005837</t>
  </si>
  <si>
    <t>111005819</t>
  </si>
  <si>
    <t>Lot 066293</t>
  </si>
  <si>
    <t>Lot 066335</t>
  </si>
  <si>
    <t>Lot 066336</t>
  </si>
  <si>
    <t>Lot 066337</t>
  </si>
  <si>
    <t>Lot 066338</t>
  </si>
  <si>
    <t>Lot 066339</t>
  </si>
  <si>
    <t>S&amp;P Carbophalt G (200/200kN)</t>
  </si>
  <si>
    <t>Lot 066340</t>
  </si>
  <si>
    <t>SO0005804</t>
  </si>
  <si>
    <t>2222000387</t>
  </si>
  <si>
    <t>Lot 065317</t>
  </si>
  <si>
    <t>SO0005620</t>
  </si>
  <si>
    <t>111005789</t>
  </si>
  <si>
    <t>Lot 062989</t>
  </si>
  <si>
    <t>ApP0002452</t>
  </si>
  <si>
    <t>PoI0002048</t>
  </si>
  <si>
    <t>Lot 062988</t>
  </si>
  <si>
    <t>SO0005805</t>
  </si>
  <si>
    <t>111005791</t>
  </si>
  <si>
    <t>Lot 065321</t>
  </si>
  <si>
    <t>SO0005833</t>
  </si>
  <si>
    <t>2222000396</t>
  </si>
  <si>
    <t>Lot 066267</t>
  </si>
  <si>
    <t>SO0005834</t>
  </si>
  <si>
    <t>111005809</t>
  </si>
  <si>
    <t>Lot 066270</t>
  </si>
  <si>
    <t>Lot 066341</t>
  </si>
  <si>
    <t>Lot 066342</t>
  </si>
  <si>
    <t>Lot 066343</t>
  </si>
  <si>
    <t>SO0005762</t>
  </si>
  <si>
    <t>111005748</t>
  </si>
  <si>
    <t>Lot 064925</t>
  </si>
  <si>
    <t>SO0005802</t>
  </si>
  <si>
    <t>2222000386</t>
  </si>
  <si>
    <t>Lot 065309</t>
  </si>
  <si>
    <t>SO0005803</t>
  </si>
  <si>
    <t>111005790</t>
  </si>
  <si>
    <t>Lot 065313</t>
  </si>
  <si>
    <t>Lot 066344</t>
  </si>
  <si>
    <t>Lot 066345</t>
  </si>
  <si>
    <t>SO0005747</t>
  </si>
  <si>
    <t>111005751</t>
  </si>
  <si>
    <t>Lot 063370</t>
  </si>
  <si>
    <t>SO0005753</t>
  </si>
  <si>
    <t>111005745</t>
  </si>
  <si>
    <t>Lot 064822</t>
  </si>
  <si>
    <t>Lot 066346</t>
  </si>
  <si>
    <t>SO0005735</t>
  </si>
  <si>
    <t>111005808</t>
  </si>
  <si>
    <t>Lot 063262</t>
  </si>
  <si>
    <t>Lot 066347</t>
  </si>
  <si>
    <t>22 oz Epoxy Dispensing Tool - Metal</t>
  </si>
  <si>
    <t>Lot 066348</t>
  </si>
  <si>
    <t>FX Spacer 2.0 for FX-70 Jacket</t>
  </si>
  <si>
    <t>Lot 066349</t>
  </si>
  <si>
    <t>ApP0002520</t>
  </si>
  <si>
    <t>FX523 Flex-E-Pox, 2 Gallon Set</t>
  </si>
  <si>
    <t>USD</t>
  </si>
  <si>
    <t>PoI0002064</t>
  </si>
  <si>
    <t>Lot 065266</t>
  </si>
  <si>
    <t>Lot 066350</t>
  </si>
  <si>
    <t>523 Flexible Epoxy 2 QT Kit Gray 1:1</t>
  </si>
  <si>
    <t>Lot 066351</t>
  </si>
  <si>
    <t>701 Graded Epoxy Filler 27KG</t>
  </si>
  <si>
    <t>Lot 066352</t>
  </si>
  <si>
    <t>FX JACKET, THICKNESS 3MM</t>
  </si>
  <si>
    <t>Lot 066353</t>
  </si>
  <si>
    <t>Hydro-Ester Trowel Grade 444 ml Jkt Epoxy (Dual Cart Set)</t>
  </si>
  <si>
    <t>Lot 066354</t>
  </si>
  <si>
    <t>Hydro-Ester Trowel Grade Epoxy (3 Gal Set)</t>
  </si>
  <si>
    <t>Lot 066355</t>
  </si>
  <si>
    <t>Pumping Ports</t>
  </si>
  <si>
    <t>Lot 066356</t>
  </si>
  <si>
    <t>Lot 066357</t>
  </si>
  <si>
    <t>SO0005835</t>
  </si>
  <si>
    <t>111005817</t>
  </si>
  <si>
    <t>Lot 066274</t>
  </si>
  <si>
    <t>Lot 066275</t>
  </si>
  <si>
    <t>Lot 066359</t>
  </si>
  <si>
    <t>Lot 066358</t>
  </si>
  <si>
    <t>Lot 066360</t>
  </si>
  <si>
    <t>Lot 066273</t>
  </si>
  <si>
    <t>Lot 066362</t>
  </si>
  <si>
    <t>Lot 066361</t>
  </si>
  <si>
    <t>S&amp;P Glasphalt GBM (120/120 kN)</t>
  </si>
  <si>
    <t>Lot 066363</t>
  </si>
  <si>
    <t>ApP0002491</t>
  </si>
  <si>
    <t>PoI0002043</t>
  </si>
  <si>
    <t>Lot 064805</t>
  </si>
  <si>
    <t>Lot 066364</t>
  </si>
  <si>
    <t>Lot 066365</t>
  </si>
  <si>
    <t>Lot 066366</t>
  </si>
  <si>
    <t>SO0005831</t>
  </si>
  <si>
    <t>111005814</t>
  </si>
  <si>
    <t>Lot 067738</t>
  </si>
  <si>
    <t>Lot 066367</t>
  </si>
  <si>
    <t>Lot 066368</t>
  </si>
  <si>
    <t>ApP0002493</t>
  </si>
  <si>
    <t>PoI0002044</t>
  </si>
  <si>
    <t>Lot 064824</t>
  </si>
  <si>
    <t>SO0005752</t>
  </si>
  <si>
    <t>111005746</t>
  </si>
  <si>
    <t>Lot 064819</t>
  </si>
  <si>
    <t>ApP0002402</t>
  </si>
  <si>
    <t>PoI0002049</t>
  </si>
  <si>
    <t>Lot 062096</t>
  </si>
  <si>
    <t>Lot 062086</t>
  </si>
  <si>
    <t>SO0005816</t>
  </si>
  <si>
    <t>111005804</t>
  </si>
  <si>
    <t>Lot 065376</t>
  </si>
  <si>
    <t>SO0005832</t>
  </si>
  <si>
    <t>111005816</t>
  </si>
  <si>
    <t>Lot 066265</t>
  </si>
  <si>
    <t>Lot 066369</t>
  </si>
  <si>
    <t>SO0005814</t>
  </si>
  <si>
    <t>2222000392</t>
  </si>
  <si>
    <t>Lot 065359</t>
  </si>
  <si>
    <t>SO0005815</t>
  </si>
  <si>
    <t>111005796</t>
  </si>
  <si>
    <t>Lot 065368</t>
  </si>
  <si>
    <t>Lot 066370</t>
  </si>
  <si>
    <t>SO0005781</t>
  </si>
  <si>
    <t>111005788</t>
  </si>
  <si>
    <t>Lot 065212</t>
  </si>
  <si>
    <t>Lot 066371</t>
  </si>
  <si>
    <t>Lot 065007</t>
  </si>
  <si>
    <t>SO0005751</t>
  </si>
  <si>
    <t>111005756</t>
  </si>
  <si>
    <t>Lot 064814</t>
  </si>
  <si>
    <t>Lot 064818</t>
  </si>
  <si>
    <t>SO0005779</t>
  </si>
  <si>
    <t>111005767</t>
  </si>
  <si>
    <t>Lot 065204</t>
  </si>
  <si>
    <t>Lot 063235</t>
  </si>
  <si>
    <t>Lot 063234</t>
  </si>
  <si>
    <t>SO0005821</t>
  </si>
  <si>
    <t>111005805</t>
  </si>
  <si>
    <t>Lot 065438</t>
  </si>
  <si>
    <t>SO0005829</t>
  </si>
  <si>
    <t>111005807</t>
  </si>
  <si>
    <t>Lot 066539</t>
  </si>
  <si>
    <t>Lot 066541</t>
  </si>
  <si>
    <t>SO0005828</t>
  </si>
  <si>
    <t>2222000395</t>
  </si>
  <si>
    <t>Lot 066534</t>
  </si>
  <si>
    <t>Lot 066535</t>
  </si>
  <si>
    <t>SO0005841</t>
  </si>
  <si>
    <t>111005820</t>
  </si>
  <si>
    <t>Lot 066305</t>
  </si>
  <si>
    <t>Lot 066372</t>
  </si>
  <si>
    <t>Lot 065358</t>
  </si>
  <si>
    <t>Lot 065367</t>
  </si>
  <si>
    <t>Lot 066373</t>
  </si>
  <si>
    <t>SO0005772</t>
  </si>
  <si>
    <t>111005763</t>
  </si>
  <si>
    <t>Lot 065149</t>
  </si>
  <si>
    <t>Lot 066374</t>
  </si>
  <si>
    <t>SO0005767</t>
  </si>
  <si>
    <t>111005764</t>
  </si>
  <si>
    <t>Lot 065146</t>
  </si>
  <si>
    <t>SO0005775</t>
  </si>
  <si>
    <t>111005769</t>
  </si>
  <si>
    <t>Lot 065174</t>
  </si>
  <si>
    <t>Lot 062097</t>
  </si>
  <si>
    <t>Lot 062087</t>
  </si>
  <si>
    <t>Lot 066375</t>
  </si>
  <si>
    <t>SO0005774</t>
  </si>
  <si>
    <t>111005760</t>
  </si>
  <si>
    <t>Lot 065160</t>
  </si>
  <si>
    <t>SO0005778</t>
  </si>
  <si>
    <t>111005768</t>
  </si>
  <si>
    <t>Lot 065189</t>
  </si>
  <si>
    <t>SO0005776</t>
  </si>
  <si>
    <t>111005766</t>
  </si>
  <si>
    <t>Lot 065176</t>
  </si>
  <si>
    <t>SO0005777</t>
  </si>
  <si>
    <t>111005770</t>
  </si>
  <si>
    <t>Lot 065178</t>
  </si>
  <si>
    <t>SO0005780</t>
  </si>
  <si>
    <t>111005771</t>
  </si>
  <si>
    <t>Lot 065207</t>
  </si>
  <si>
    <t>SO0005782</t>
  </si>
  <si>
    <t>111005787</t>
  </si>
  <si>
    <t>Lot 065235</t>
  </si>
  <si>
    <t>Lot 065357</t>
  </si>
  <si>
    <t>Lot 065366</t>
  </si>
  <si>
    <t>SO0005823</t>
  </si>
  <si>
    <t>2222000393</t>
  </si>
  <si>
    <t>Lot 065452</t>
  </si>
  <si>
    <t>SO0005824</t>
  </si>
  <si>
    <t>111005801</t>
  </si>
  <si>
    <t>Lot 065457</t>
  </si>
  <si>
    <t>SO0005820</t>
  </si>
  <si>
    <t>111005803</t>
  </si>
  <si>
    <t>Lot 065421</t>
  </si>
  <si>
    <t>SO0005822</t>
  </si>
  <si>
    <t>111005806</t>
  </si>
  <si>
    <t>Lot 065443</t>
  </si>
  <si>
    <t>Lot 066376</t>
  </si>
  <si>
    <t>S&amp;P C-Laminate SM (150/2000)
100/1.4 UTS Fiber</t>
  </si>
  <si>
    <t>Lot 066377</t>
  </si>
  <si>
    <t>Lot 062088</t>
  </si>
  <si>
    <t>Lot 062098</t>
  </si>
  <si>
    <t>SO0005801</t>
  </si>
  <si>
    <t>111005797</t>
  </si>
  <si>
    <t>Lot 065289</t>
  </si>
  <si>
    <t>Lot 066378</t>
  </si>
  <si>
    <t>SO0005755</t>
  </si>
  <si>
    <t>111005755</t>
  </si>
  <si>
    <t>Lot 064831</t>
  </si>
  <si>
    <t>Lot 065145</t>
  </si>
  <si>
    <t>SO0005768</t>
  </si>
  <si>
    <t>111005761</t>
  </si>
  <si>
    <t>Lot 065073</t>
  </si>
  <si>
    <t>Lot 065188</t>
  </si>
  <si>
    <t>Lot 065356</t>
  </si>
  <si>
    <t>Lot 065365</t>
  </si>
  <si>
    <t>Lot 065451</t>
  </si>
  <si>
    <t>Lot 065456</t>
  </si>
  <si>
    <t>Lot 066379</t>
  </si>
  <si>
    <t>SO0005748</t>
  </si>
  <si>
    <t>111005734</t>
  </si>
  <si>
    <t>Lot 063405</t>
  </si>
  <si>
    <t>ApP0002474</t>
  </si>
  <si>
    <t>PoI0002051</t>
  </si>
  <si>
    <t>Lot 063143</t>
  </si>
  <si>
    <t>Lot 066380</t>
  </si>
  <si>
    <t>Lot 064821</t>
  </si>
  <si>
    <t>SO0005750</t>
  </si>
  <si>
    <t>111005765</t>
  </si>
  <si>
    <t>Lot 064808</t>
  </si>
  <si>
    <t>Lot 066381</t>
  </si>
  <si>
    <t>SO0005749</t>
  </si>
  <si>
    <t>111005749</t>
  </si>
  <si>
    <t>Lot 063390</t>
  </si>
  <si>
    <t>Lot 065355</t>
  </si>
  <si>
    <t>SO0005810</t>
  </si>
  <si>
    <t>2222000390</t>
  </si>
  <si>
    <t>Lot 065344</t>
  </si>
  <si>
    <t>SO0005811</t>
  </si>
  <si>
    <t>111005794</t>
  </si>
  <si>
    <t>Lot 065348</t>
  </si>
  <si>
    <t>Lot 065364</t>
  </si>
  <si>
    <t>Lot 066382</t>
  </si>
  <si>
    <t>Lot 065343</t>
  </si>
  <si>
    <t>Lot 065347</t>
  </si>
  <si>
    <t>Lot 063261</t>
  </si>
  <si>
    <t>Lot 066383</t>
  </si>
  <si>
    <t>Lot 066384</t>
  </si>
  <si>
    <t>SO0005789</t>
  </si>
  <si>
    <t>111005785</t>
  </si>
  <si>
    <t>Lot 065261</t>
  </si>
  <si>
    <t>Lot 066385</t>
  </si>
  <si>
    <t>ApP0002455</t>
  </si>
  <si>
    <t>PoI0002058</t>
  </si>
  <si>
    <t>Lot 062993</t>
  </si>
  <si>
    <t>Lot 062994</t>
  </si>
  <si>
    <t>SO0005769</t>
  </si>
  <si>
    <t>111005754</t>
  </si>
  <si>
    <t>Lot 065089</t>
  </si>
  <si>
    <t>SO0005773</t>
  </si>
  <si>
    <t>111005762</t>
  </si>
  <si>
    <t>Lot 065153</t>
  </si>
  <si>
    <t>Lot 066386</t>
  </si>
  <si>
    <t>S&amp;P Resin 220 (Set of 5 kg)</t>
  </si>
  <si>
    <t>Lot 063391</t>
  </si>
  <si>
    <t>SO0005715</t>
  </si>
  <si>
    <t>111005750</t>
  </si>
  <si>
    <t>Lot 063116</t>
  </si>
  <si>
    <t>Lot 065090</t>
  </si>
  <si>
    <t>Lot 065147</t>
  </si>
  <si>
    <t>Lot 065150</t>
  </si>
  <si>
    <t>Lot 065154</t>
  </si>
  <si>
    <t>Lot 065161</t>
  </si>
  <si>
    <t>Lot 065071</t>
  </si>
  <si>
    <t>Lot 065177</t>
  </si>
  <si>
    <t>Lot 065179</t>
  </si>
  <si>
    <t>Lot 064810</t>
  </si>
  <si>
    <t>Lot 065205</t>
  </si>
  <si>
    <t>Lot 065236</t>
  </si>
  <si>
    <t>Lot 065263</t>
  </si>
  <si>
    <t>Lot 065422</t>
  </si>
  <si>
    <t>Lot 065440</t>
  </si>
  <si>
    <t>Lot 065444</t>
  </si>
  <si>
    <t>Lot 063263</t>
  </si>
  <si>
    <t>Lot 067737</t>
  </si>
  <si>
    <t>Lot 066306</t>
  </si>
  <si>
    <t>Lot 066387</t>
  </si>
  <si>
    <t>S&amp;P Resin 220 (Set of 15 kg)</t>
  </si>
  <si>
    <t>Lot 064815</t>
  </si>
  <si>
    <t>Lot 064832</t>
  </si>
  <si>
    <t>Lot 065190</t>
  </si>
  <si>
    <t>Lot 064809</t>
  </si>
  <si>
    <t>ApP0002519</t>
  </si>
  <si>
    <t>PoI0002053</t>
  </si>
  <si>
    <t>Lot 065211</t>
  </si>
  <si>
    <t>Lot 065262</t>
  </si>
  <si>
    <t>Lot 065290</t>
  </si>
  <si>
    <t>Lot 065453</t>
  </si>
  <si>
    <t>Lot 065458</t>
  </si>
  <si>
    <t>Lot 066536</t>
  </si>
  <si>
    <t>Lot 066542</t>
  </si>
  <si>
    <t>Lot 065439</t>
  </si>
  <si>
    <t>SO0005825</t>
  </si>
  <si>
    <t>111005813</t>
  </si>
  <si>
    <t>Lot 065475</t>
  </si>
  <si>
    <t>Lot 066389</t>
  </si>
  <si>
    <t>Lot 066388</t>
  </si>
  <si>
    <t>Production line</t>
  </si>
  <si>
    <t>S&amp;P Resin 230 Comp. A + B</t>
  </si>
  <si>
    <t>00001324_067</t>
  </si>
  <si>
    <t>15280_064</t>
  </si>
  <si>
    <t>Lot 065412</t>
  </si>
  <si>
    <t>00001328_067</t>
  </si>
  <si>
    <t>15282_064</t>
  </si>
  <si>
    <t>Lot 065542</t>
  </si>
  <si>
    <t>Lot 066390</t>
  </si>
  <si>
    <t>Lot 063371</t>
  </si>
  <si>
    <t>Lot 065292</t>
  </si>
  <si>
    <t>Lot 063265</t>
  </si>
  <si>
    <t>Lot 066391</t>
  </si>
  <si>
    <t>Lot 066392</t>
  </si>
  <si>
    <t>Lot 064926</t>
  </si>
  <si>
    <t>Lot 065361</t>
  </si>
  <si>
    <t>SO0005806</t>
  </si>
  <si>
    <t>2222000388</t>
  </si>
  <si>
    <t>Lot 065326</t>
  </si>
  <si>
    <t>SO0005808</t>
  </si>
  <si>
    <t>2222000389</t>
  </si>
  <si>
    <t>Lot 065334</t>
  </si>
  <si>
    <t>Lot 065346</t>
  </si>
  <si>
    <t>SO0005812</t>
  </si>
  <si>
    <t>2222000391</t>
  </si>
  <si>
    <t>Lot 065352</t>
  </si>
  <si>
    <t>Lot 065310</t>
  </si>
  <si>
    <t>Lot 065323</t>
  </si>
  <si>
    <t>SO0005813</t>
  </si>
  <si>
    <t>111005795</t>
  </si>
  <si>
    <t>Lot 065354</t>
  </si>
  <si>
    <t>Lot 065350</t>
  </si>
  <si>
    <t>SO0005809</t>
  </si>
  <si>
    <t>111005793</t>
  </si>
  <si>
    <t>Lot 065340</t>
  </si>
  <si>
    <t>Lot 065314</t>
  </si>
  <si>
    <t>SO0005807</t>
  </si>
  <si>
    <t>111005792</t>
  </si>
  <si>
    <t>Lot 065329</t>
  </si>
  <si>
    <t>Lot 065370</t>
  </si>
  <si>
    <t>Lot 066271</t>
  </si>
  <si>
    <t>Lot 066268</t>
  </si>
  <si>
    <t>Lot 066393</t>
  </si>
  <si>
    <t>S&amp;P RC Power Pack,bag of 19 kg.</t>
  </si>
  <si>
    <t>OLD_ S&amp;P RC Power Pack,Sack a 19 kg.</t>
  </si>
  <si>
    <t>ACMOPPSCMIXWSR</t>
  </si>
  <si>
    <t>Mixing ARMO-crete W silo Röfix</t>
  </si>
  <si>
    <t>S&amp;P ARMO-crete RC, bag of 25kg Reactive component for mortar</t>
  </si>
  <si>
    <t>Papiersäcke mit Daumenloch</t>
  </si>
  <si>
    <t>DENKA CSA Type S</t>
  </si>
  <si>
    <t>Material</t>
  </si>
  <si>
    <t>Neopentyl Glycol Flakes</t>
  </si>
  <si>
    <t>Melcret 500F</t>
  </si>
  <si>
    <t>Magnesia 7236</t>
  </si>
  <si>
    <t>AGITAN P (841)</t>
  </si>
  <si>
    <t>PP BKG 6mm</t>
  </si>
  <si>
    <t>SILRES Pulver D</t>
  </si>
  <si>
    <t>DENKA CSA 20</t>
  </si>
  <si>
    <t>Melcret 530F</t>
  </si>
  <si>
    <t>S&amp;P ARMO Anchoring element Alu</t>
  </si>
  <si>
    <t>OLD_ S&amp;P ARMO Verankerungselement Alu</t>
  </si>
  <si>
    <t>S&amp;P Haftklammern K80, 10mm</t>
  </si>
  <si>
    <t>S&amp;P Heftpistole (Bostitch)</t>
  </si>
  <si>
    <t>S&amp;P Universalnagel mit Rondelle</t>
  </si>
  <si>
    <t>S&amp;P ARMO-mesh C200</t>
  </si>
  <si>
    <t>S&amp;P ARMO-mesh L200</t>
  </si>
  <si>
    <t>S&amp;P ARMO-mesh L600</t>
  </si>
  <si>
    <t>AMMIETG980</t>
  </si>
  <si>
    <t>S&amp;P ARMO Power Pump System</t>
  </si>
  <si>
    <t>S&amp;P Glasfaserbewehrung AR</t>
  </si>
  <si>
    <t>S&amp;P Asphalt Manual Application equip.</t>
  </si>
  <si>
    <t>S&amp;P Asphalt Application equipment</t>
  </si>
  <si>
    <t>ARMODRY030</t>
  </si>
  <si>
    <t>S&amp;P ARMO-crete d , bag of 30kg</t>
  </si>
  <si>
    <t>ARMODRY040</t>
  </si>
  <si>
    <t>S&amp;P ARMO-crete d , bag of 40kg</t>
  </si>
  <si>
    <t>ARMODRYSIL</t>
  </si>
  <si>
    <t>S&amp;P ARMO-crete d , Siloware</t>
  </si>
  <si>
    <t>S&amp;P ARMO-crete w ,bag of 25kg</t>
  </si>
  <si>
    <t>S&amp;P ARMO-crete w , bag of 25 kg</t>
  </si>
  <si>
    <t>ARMOWET030WB</t>
  </si>
  <si>
    <t>S&amp;P ARMO-crete w , bag of 30kg</t>
  </si>
  <si>
    <t>S&amp;P ARMO-crete w , Siloware</t>
  </si>
  <si>
    <t>S&amp;P A-Sheet 120 290 g/m²</t>
  </si>
  <si>
    <t>S&amp;P A-Sheet 120 420 g/m²</t>
  </si>
  <si>
    <t>S&amp;P A-Sheet 120 650 g/m²</t>
  </si>
  <si>
    <t>ASBITREL0010</t>
  </si>
  <si>
    <t>S&amp;P Asphalt Bitumen
Release Agent 10lt</t>
  </si>
  <si>
    <t>S&amp;P Asphalt Bitumen
Release Agent 2.5lt</t>
  </si>
  <si>
    <t>Asphalt Bitumen Release Agent
200 lt barrel</t>
  </si>
  <si>
    <t>S&amp;P Asphalt equipment rental</t>
  </si>
  <si>
    <t>Aramid 8050 DTEX</t>
  </si>
  <si>
    <t>Anker A-Strap fix 40mm</t>
  </si>
  <si>
    <t>Spannwerkzeug A-Strap 40mm</t>
  </si>
  <si>
    <t>Anker A-Strap variable 40mm</t>
  </si>
  <si>
    <t>Kevlarband 40mm</t>
  </si>
  <si>
    <t>BB Glasfaserverbundstoff 1.0m x 15 m</t>
  </si>
  <si>
    <t>BB Glasfaserverbundstoff 1.0m x 20m</t>
  </si>
  <si>
    <t>S&amp;P Anchor M12 (Endverankerung)</t>
  </si>
  <si>
    <t>S&amp;P Anchor M12 (Vorspannung)</t>
  </si>
  <si>
    <t>S&amp;P Anchor M16 (Vorspannung)</t>
  </si>
  <si>
    <t>Manual dispensing tool 10oz single</t>
  </si>
  <si>
    <t>S&amp;P C-Sheet 240 350 g/m2</t>
  </si>
  <si>
    <t>ALFAST 654</t>
  </si>
  <si>
    <t>DIBET00001</t>
  </si>
  <si>
    <t>Putztuch UNIVERSAL</t>
  </si>
  <si>
    <t>RO</t>
  </si>
  <si>
    <t>DIETIK0001</t>
  </si>
  <si>
    <t>Produkte Etiketten 230 x 100mm , diverse</t>
  </si>
  <si>
    <t>DIETIK0002</t>
  </si>
  <si>
    <t>Etiketten 100 x 50mm , unbedruckt , für UN Etiketten</t>
  </si>
  <si>
    <t>Kopier-, Laser-, Inkjetpapier</t>
  </si>
  <si>
    <t>DIOFFI0002</t>
  </si>
  <si>
    <t>ORDNERPAC A4-Ordner</t>
  </si>
  <si>
    <t>S&amp;P Haftzüge - Installation</t>
  </si>
  <si>
    <t>S&amp;P Haftzüge</t>
  </si>
  <si>
    <t>ENGSOFT001</t>
  </si>
  <si>
    <t>S&amp;P Software "FRP Lamella"</t>
  </si>
  <si>
    <t>ENGSOFT002</t>
  </si>
  <si>
    <t>S&amp;P Software "FRP Colonna"</t>
  </si>
  <si>
    <t>ENGSOFT003</t>
  </si>
  <si>
    <t>S&amp;P Software "ARMO-axial"</t>
  </si>
  <si>
    <t>ENGSOFT004</t>
  </si>
  <si>
    <t>S&amp;P Software "ARMO-flexion"</t>
  </si>
  <si>
    <t>25 KG, UNDERWATER GROUT</t>
  </si>
  <si>
    <t>FX225 Repair Mortar Underwater 25KG bag</t>
  </si>
  <si>
    <t>FX225 Concentrate BB Black Bag</t>
  </si>
  <si>
    <t>FX494 Coating Comp B 5 G Part of Kit SPEC</t>
  </si>
  <si>
    <t>FX494 Corrosion Resist Epoxy Spec 15 GAL Kit</t>
  </si>
  <si>
    <t>FX494 Primer 5 Gal B Comp Green</t>
  </si>
  <si>
    <t>FX494 Primer 15 Gal KIT Green</t>
  </si>
  <si>
    <t>FX70-6 MP MARINE EPOXY COMP A 5 GAL</t>
  </si>
  <si>
    <t>FX70-6MP-5A-GF</t>
  </si>
  <si>
    <t>FX70-6MP Epoxy Comp A 5 GAL (GER/FRA)</t>
  </si>
  <si>
    <t>FX70-6MP-5A-PS</t>
  </si>
  <si>
    <t>FX70-6MP Epoxy Comp A 5 GAL (POR/ESP)</t>
  </si>
  <si>
    <t>FX70-6MP-5B-GF</t>
  </si>
  <si>
    <t>FX70-6MP Epoxy Comp B 5 GAL (GER/FRA)</t>
  </si>
  <si>
    <t>FX70-6MP-5B-PS</t>
  </si>
  <si>
    <t>FX70-6MP Epoxy Comp B 5 GAL (POR/ESP)</t>
  </si>
  <si>
    <t>FX70-6 MP COMP C FILLER 50LB BAG</t>
  </si>
  <si>
    <t>SA</t>
  </si>
  <si>
    <t>FX70-6MP-C-GF</t>
  </si>
  <si>
    <t>FX70-6MP FILLER 50 LB Bag (GER/FRA)</t>
  </si>
  <si>
    <t>FX70-6MP-C-PS</t>
  </si>
  <si>
    <t>FX70-6MP FILLER 50 LB Bag (POR/ESP)</t>
  </si>
  <si>
    <t>FX70-6 MP Marine Epoxy Kit 3GAL + 2 Bags</t>
  </si>
  <si>
    <t>FX70-6MPKT3-3 W/ 18 BAGS 70-6 C COMP</t>
  </si>
  <si>
    <t>FX70-6 MP Marine Epoxy Kit 15G + 15 bags</t>
  </si>
  <si>
    <t>FX JACKET, THICKNESS 5MM</t>
  </si>
  <si>
    <t>FX764 Underwater epoxy paste 2 gal kit</t>
  </si>
  <si>
    <t>FX764KT2QT</t>
  </si>
  <si>
    <t>Fx764 Underwater Epoxy Paste 2 QT kit</t>
  </si>
  <si>
    <t>BACKER ROD 3 INCH SOLD BY METER</t>
  </si>
  <si>
    <t>Screws</t>
  </si>
  <si>
    <t>S&amp;P Erdnagel 25 cm</t>
  </si>
  <si>
    <t>S&amp;P Erdnagel 50 cm</t>
  </si>
  <si>
    <t>S&amp;P Spreizanker</t>
  </si>
  <si>
    <t>S&amp;P Kugelkopfmutter</t>
  </si>
  <si>
    <t>S&amp;P Einschlitzplatte zu Erdanker</t>
  </si>
  <si>
    <t>S&amp;P Erdanker 10 kN S</t>
  </si>
  <si>
    <t>S&amp;P Erdanker 22 kN S</t>
  </si>
  <si>
    <t>S&amp;P Erdanker 10 kN</t>
  </si>
  <si>
    <t>S&amp;P Erdanker 22 kN</t>
  </si>
  <si>
    <t>S&amp;P Erdschraube 25 cm</t>
  </si>
  <si>
    <t>S&amp;P Erdschraube 50 cm</t>
  </si>
  <si>
    <t>S&amp;P Jutegewebe (500g/m²)</t>
  </si>
  <si>
    <t>STACO Bohr und Schlaghammer</t>
  </si>
  <si>
    <t>Schlagstange zu STACO</t>
  </si>
  <si>
    <t>Bohrstange zu STACO</t>
  </si>
  <si>
    <t>S&amp;P Vorspannwinde</t>
  </si>
  <si>
    <t>S&amp;P Presszange mechanisch</t>
  </si>
  <si>
    <t>S&amp;P Hochleistungsnetz 50/50 kN, 2.5m</t>
  </si>
  <si>
    <t>S&amp;P Hochleistungsnetz 50/50 kN, 5.0m</t>
  </si>
  <si>
    <t>GENETERO0120</t>
  </si>
  <si>
    <t>S&amp;P Erosionsnetz 120 kN</t>
  </si>
  <si>
    <t>Erdankerkopf</t>
  </si>
  <si>
    <t>Drahtseil 4mm</t>
  </si>
  <si>
    <t>Drahtseil 6mm</t>
  </si>
  <si>
    <t>Presshülsen 10 kN</t>
  </si>
  <si>
    <t>Presshülsen 22 kN</t>
  </si>
  <si>
    <t>Pressröhrli kurz 10 kN</t>
  </si>
  <si>
    <t>Pressröhrli kurz 22 kN</t>
  </si>
  <si>
    <t>Pressröhrli lang 10 kN</t>
  </si>
  <si>
    <t>Pressröhrli lang 22 kN</t>
  </si>
  <si>
    <t>Unterlegscheiben Anker 10 kN</t>
  </si>
  <si>
    <t>Unterlegscheiben Anker 22 kN</t>
  </si>
  <si>
    <t>Galvanized Steel Cable 8mm</t>
  </si>
  <si>
    <t>S&amp;P Glasphalt bit (120/120 kN)</t>
  </si>
  <si>
    <t>S&amp;P Glasphalt GV (120/200kN)</t>
  </si>
  <si>
    <t>GLG0195120SN</t>
  </si>
  <si>
    <t>S&amp;P Glasphalt G (120/120kN) SN</t>
  </si>
  <si>
    <t>S&amp;P Glasphalt GV (120/200kN), afm 40x1.95m breed, 40 mtr</t>
  </si>
  <si>
    <t>S&amp;P Glasphalt G</t>
  </si>
  <si>
    <t>GLGBMTAPE0515</t>
  </si>
  <si>
    <t>S&amp;P Glasphalt GBM Tape, width 0.5 m, length 15 m</t>
  </si>
  <si>
    <t>S&amp;P Glasphalt GBM Tape, width 1.0 m, length 15 m</t>
  </si>
  <si>
    <t>OLD_ S&amp;P G-Sheet AR 50/50</t>
  </si>
  <si>
    <t>S&amp;P G-Sheet AR 90/10 Typ A</t>
  </si>
  <si>
    <t>S&amp;P G-Sheet AR 90/10 Typ B</t>
  </si>
  <si>
    <t>S&amp;P G-Sheet E 90/10 Typ A</t>
  </si>
  <si>
    <t>Hand tools - large</t>
  </si>
  <si>
    <t>S&amp;P C-Laminate SM (150/2000) 20/1.7</t>
  </si>
  <si>
    <t>S&amp;P C-Laminate SM (150/2000)
100/1.2 UTS Fiber</t>
  </si>
  <si>
    <t>S&amp;P C-Laminate SM (150/2000)
100/1.4 grinded single side</t>
  </si>
  <si>
    <t>S&amp;P C-Laminate HM (200/2000) 10/1.4</t>
  </si>
  <si>
    <t>LA20005012</t>
  </si>
  <si>
    <t>S&amp;P C-Laminate HM (200/2000) 
50/1.2</t>
  </si>
  <si>
    <t>LA20012028</t>
  </si>
  <si>
    <t>S&amp;P C-Laminate HM (200/2000) 120/2.8</t>
  </si>
  <si>
    <t>Aluminiumprofil (Boden)</t>
  </si>
  <si>
    <t>Aluminiumprofil (Deckel)</t>
  </si>
  <si>
    <t>S&amp;P Stahl-Bauteile FeE235</t>
  </si>
  <si>
    <t>LAANCST997</t>
  </si>
  <si>
    <t>S&amp;P Stahl-Lamellen FeE235</t>
  </si>
  <si>
    <t>S&amp;P Stahl-Spezialverankerung FeE235</t>
  </si>
  <si>
    <t>LAANCSTS001</t>
  </si>
  <si>
    <t>S&amp;P Stahlbehandlung</t>
  </si>
  <si>
    <t>LAB/OH-Other</t>
  </si>
  <si>
    <t>LAB/OH-Other production</t>
  </si>
  <si>
    <t>Plastikkanister weiss 25 lt</t>
  </si>
  <si>
    <t>S&amp;P Cleaner 25 lt</t>
  </si>
  <si>
    <t>Epoxy Cleaner 200 lt</t>
  </si>
  <si>
    <t>S&amp;P Endverankerung (Boden) Typ 50</t>
  </si>
  <si>
    <t>S&amp;P Endverankerung (Boden) Typ 60</t>
  </si>
  <si>
    <t>S&amp;P Endverankerung (Boden) Typ 80</t>
  </si>
  <si>
    <t>S&amp;P Endverankerung (Boden) Typ 90</t>
  </si>
  <si>
    <t>S&amp;P Endverankerung (Boden) Typ 100</t>
  </si>
  <si>
    <t>S&amp;P Endverankerung (Boden) Typ 120</t>
  </si>
  <si>
    <t>S&amp;P Endverankerung (Boden) Typ 150</t>
  </si>
  <si>
    <t>S&amp;P End Anchor Typ 50</t>
  </si>
  <si>
    <t>S&amp;P End Anchor Typ 60</t>
  </si>
  <si>
    <t>S&amp;P End Anchor Typ 80</t>
  </si>
  <si>
    <t>S&amp;P End Anchor Typ 90</t>
  </si>
  <si>
    <t>S&amp;P End Anchor Typ 100</t>
  </si>
  <si>
    <t>S&amp;P End Anchor Typ 120</t>
  </si>
  <si>
    <t>S&amp;P End Anchor Typ 150</t>
  </si>
  <si>
    <t>S&amp;P Endanchor Typ variable</t>
  </si>
  <si>
    <t>S&amp;P Endverankerung (Deckel) Typ 50</t>
  </si>
  <si>
    <t>S&amp;P Endverankerung (Deckel) Typ 60</t>
  </si>
  <si>
    <t>S&amp;P Endverankerung (Deckel) Typ 80</t>
  </si>
  <si>
    <t>S&amp;P Endverankerung (Deckel) Typ 90</t>
  </si>
  <si>
    <t>S&amp;P Endverankerung (Deckel) Typ 100</t>
  </si>
  <si>
    <t>S&amp;P Endverankerung (Deckel) Typ 120</t>
  </si>
  <si>
    <t>S&amp;P Endverankerung (Deckel) Typ 150</t>
  </si>
  <si>
    <t>S&amp;P Unrolling set</t>
  </si>
  <si>
    <t>S&amp;P Unrolling set - F</t>
  </si>
  <si>
    <t>Dispensing plate for Gluing Set</t>
  </si>
  <si>
    <t>S&amp;P Verpackungsrahmen Lamellen</t>
  </si>
  <si>
    <t>S&amp;P Holzrahmen Einschlitzlamellen</t>
  </si>
  <si>
    <t>S&amp;P Alurahmen Einschlitzlamellen</t>
  </si>
  <si>
    <t>S&amp;P Halterung zu Betonschleifgerät</t>
  </si>
  <si>
    <t>LAFRPTO031</t>
  </si>
  <si>
    <t>S&amp;P Betonbohrkrone 50mm (Haftzugbohrungen)</t>
  </si>
  <si>
    <t>S&amp;P Warnklebband FRP</t>
  </si>
  <si>
    <t>S&amp;P Unterlegscheiben M12 (Endverankerung)</t>
  </si>
  <si>
    <t>S&amp;P Sechskantschraube M12 (Endverankerung)</t>
  </si>
  <si>
    <t>S&amp;P Sechskantmutter M12 (Endverankerung)</t>
  </si>
  <si>
    <t>FRP Geräteverkauf allgemein</t>
  </si>
  <si>
    <t>S&amp;P Hydraulik-Handpumpe</t>
  </si>
  <si>
    <t>S&amp;P Hydraulik-Elektropumpe</t>
  </si>
  <si>
    <t>S&amp;P Hydraulikzylinder kompl.</t>
  </si>
  <si>
    <t>LAPREST115</t>
  </si>
  <si>
    <t>S&amp;P Sicherungsbügel (Hydraulikzylinder)</t>
  </si>
  <si>
    <t>LAPREST120</t>
  </si>
  <si>
    <t>S&amp;P Hydraulik-Schlauch 3.1 m</t>
  </si>
  <si>
    <t>LAPREST121</t>
  </si>
  <si>
    <t>S&amp;P Hydraulik-Schlauch 6.1 m</t>
  </si>
  <si>
    <t>LAPREST130</t>
  </si>
  <si>
    <t>S&amp;P Kupplungstück (Hydraulikschlauch)</t>
  </si>
  <si>
    <t>LAPREST131</t>
  </si>
  <si>
    <t>S&amp;P Y-Verteilerstück (Hydraulikschlauch)</t>
  </si>
  <si>
    <t>S&amp;P Segmentanker M12 (Vorspannung)</t>
  </si>
  <si>
    <t>S&amp;P Segmentanker M16 (Vorspannung)</t>
  </si>
  <si>
    <t>LAPSTGR001</t>
  </si>
  <si>
    <t>S&amp;P Gradientenvorspannung</t>
  </si>
  <si>
    <t>LAPSTGR005</t>
  </si>
  <si>
    <t>S&amp;P Rahmen Alu zu Gradientensystem</t>
  </si>
  <si>
    <t>Teflonfolie Heizkissen Gradientenvorsp.,
0.3x160x900mm</t>
  </si>
  <si>
    <t>PTFE Folie geschält weiss, 
Breite 600mm</t>
  </si>
  <si>
    <t>LAPSTKO005</t>
  </si>
  <si>
    <t>S&amp;P Spannkopf Alu zu Vorspannsystem A</t>
  </si>
  <si>
    <t>LAPSTKO006</t>
  </si>
  <si>
    <t>S&amp;P Spannkopf Alu zu Vorspannsystem</t>
  </si>
  <si>
    <t>LAPSTKO007</t>
  </si>
  <si>
    <t>S&amp;P Rahmen Alu zu Vorspannsystem</t>
  </si>
  <si>
    <t>LAPSTKO008</t>
  </si>
  <si>
    <t>S&amp;P Rastbolzen zu Vorspannsystem</t>
  </si>
  <si>
    <t>LAPSTKO010</t>
  </si>
  <si>
    <t>S&amp;P Distanzstück (links) zu Vorspannsystem</t>
  </si>
  <si>
    <t>LAPSTKO011</t>
  </si>
  <si>
    <t>S&amp;P Distanzstück (rechts) zu Vorspannsystem</t>
  </si>
  <si>
    <t>LAPSTKO012</t>
  </si>
  <si>
    <t>S&amp;P Distanzhalter (kurz) zu Vorspannsystem</t>
  </si>
  <si>
    <t>LAPSTKO013</t>
  </si>
  <si>
    <t>S&amp;P Distanzhalter (mittel) zu Vorspannsystem</t>
  </si>
  <si>
    <t>LAPSTKO014</t>
  </si>
  <si>
    <t>S&amp;P Distanzhalter (lang) zu Vorspannsystem</t>
  </si>
  <si>
    <t>LAPSTKO015</t>
  </si>
  <si>
    <t>S&amp;P Stahlwinkel (kurz) zu Vorspannsystem</t>
  </si>
  <si>
    <t>LAPSTKO016</t>
  </si>
  <si>
    <t>S&amp;P Stahlwinkel (lang) zu Vorspannsystem</t>
  </si>
  <si>
    <t>S&amp;P Aluplättchen (rund) zu Vorspannsystem A</t>
  </si>
  <si>
    <t>S&amp;P Aluplättchen (eckig) zu Vorspannsystem A</t>
  </si>
  <si>
    <t>LAPSTKO022</t>
  </si>
  <si>
    <t>S&amp;P Aluplättchen (rund) zu Vorspannsystem</t>
  </si>
  <si>
    <t>S&amp;P Aluplättchen (eckig) zu Vorspannsystem</t>
  </si>
  <si>
    <t>S&amp;P Aluplättchen (rund) zu Vorspannsystem A 3mm</t>
  </si>
  <si>
    <t>S&amp;P Verankerungsplatte Vorspannung Set</t>
  </si>
  <si>
    <t>Sechskantschrauben zu Vorspannsystem</t>
  </si>
  <si>
    <t>LAPSTKO502</t>
  </si>
  <si>
    <t>Unterlegscheiben zu Vorspannsystem</t>
  </si>
  <si>
    <t>Innensechskantschrauben zu Vorspannsystem</t>
  </si>
  <si>
    <t>S&amp;P Quarzsand A 1.5 - 2.2 mm coarse-grained; 25kg bag</t>
  </si>
  <si>
    <t>S&amp;P Quarzsand A 0.7 - 1.2 mm medium-grained; 25kg bag</t>
  </si>
  <si>
    <t>Reprofilierungsmortel bag of 25 kg</t>
  </si>
  <si>
    <t>S&amp;P Repcem</t>
  </si>
  <si>
    <t>S&amp;P Resin 230 (Set of 30 kg)</t>
  </si>
  <si>
    <t>MAAPPA4001</t>
  </si>
  <si>
    <t>S&amp;P FRP Applikationshandbuch (deutsch)</t>
  </si>
  <si>
    <t>S&amp;P Ordner weiss (inkl register)</t>
  </si>
  <si>
    <t>S&amp;P Ordner bedruckt (reinforcing)</t>
  </si>
  <si>
    <t>S&amp;P Asphalt Bemessungsgrundlagen (deutsch)</t>
  </si>
  <si>
    <t>S&amp;P Asphalt Bemessungsgrundlagen (englisch)</t>
  </si>
  <si>
    <t>S&amp;P Asphalt Bemessungsgrundlagen (französisch)</t>
  </si>
  <si>
    <t>MABMGA4008</t>
  </si>
  <si>
    <t>S&amp;P Asphalt Bemessungsgrundlagen (italienisch)</t>
  </si>
  <si>
    <t>S&amp;P Erd-Felsbau Bemessungsgrundlagen (deutsch)</t>
  </si>
  <si>
    <t>S&amp;P Erd-Felsbau Bemessungsgrundlagen (englisch)</t>
  </si>
  <si>
    <t>S&amp;P Erd-Felsbau Bemessungsgrundlagen (französisch)</t>
  </si>
  <si>
    <t>MABMGA4012</t>
  </si>
  <si>
    <t>S&amp;P Erd-Felsbau Bemessungsgrundlagen (italienisch)</t>
  </si>
  <si>
    <t>S&amp;P FRP Bemessungsgrundlagen (deutsch)</t>
  </si>
  <si>
    <t>S&amp;P FRP Bemessungsgrundlagen (englisch)</t>
  </si>
  <si>
    <t>MABMGA4015</t>
  </si>
  <si>
    <t>S&amp;P FRP Bemessungsgrundlagen (französisch)</t>
  </si>
  <si>
    <t>MABMGA4016</t>
  </si>
  <si>
    <t>S&amp;P FRP Bemessungsgrundlagen (italienisch)</t>
  </si>
  <si>
    <t>CD-Rohlinge bedruckbar (Software CD)</t>
  </si>
  <si>
    <t>Discproducer Epson Tinte cyan</t>
  </si>
  <si>
    <t>Discproducer Epson Tinte magenta</t>
  </si>
  <si>
    <t>Discproducer Epson Tinte gelb</t>
  </si>
  <si>
    <t>Discproducer Epson Tinte light cyan</t>
  </si>
  <si>
    <t>Discproducer Epson Tinte light magenta</t>
  </si>
  <si>
    <t>Discproducer Epson Tinte schwarz</t>
  </si>
  <si>
    <t>CD - Hülle PP transparent Lochung für Ordner</t>
  </si>
  <si>
    <t>CD - Hülle PP transparent Klappe , Klebestreifen</t>
  </si>
  <si>
    <t>S&amp;P div. Sonderdrucke</t>
  </si>
  <si>
    <t>S&amp;P EXPO Wand</t>
  </si>
  <si>
    <t>Panelen zu S&amp;P EXPO Wand</t>
  </si>
  <si>
    <t>S&amp;P Roll-Up Wände</t>
  </si>
  <si>
    <t>MAEXPO0004</t>
  </si>
  <si>
    <t>S&amp;P Prospektständer</t>
  </si>
  <si>
    <t>S&amp;P ARMO Flyer (deutsch)</t>
  </si>
  <si>
    <t>S&amp;P ARMO Flyer (englisch)</t>
  </si>
  <si>
    <t>S&amp;P ARMO Flyer (französisch)</t>
  </si>
  <si>
    <t>MAFLYA4004</t>
  </si>
  <si>
    <t>S&amp;P ARMO Flyer (italienisch)</t>
  </si>
  <si>
    <t>S&amp;P Asphalt Flyer (deutsch)</t>
  </si>
  <si>
    <t>S&amp;P Asphalt Flyer (englisch)</t>
  </si>
  <si>
    <t>S&amp;P Asphalt Flyer (französisch)</t>
  </si>
  <si>
    <t>MAFLYA4008</t>
  </si>
  <si>
    <t>S&amp;P Asphalt Flyer (italienisch)</t>
  </si>
  <si>
    <t>S&amp;P Erd-Felsbau Flyer (deutsch)</t>
  </si>
  <si>
    <t>S&amp;P Erd-Felsbau Flyer (englisch)</t>
  </si>
  <si>
    <t>S&amp;P Erd-Felsbau Flyer (französisch)</t>
  </si>
  <si>
    <t>MAFLYA4012</t>
  </si>
  <si>
    <t>S&amp;P Erd-Felsbau Flyer (italienisch)</t>
  </si>
  <si>
    <t>S&amp;P FRP Flyer (deutsch)</t>
  </si>
  <si>
    <t>S&amp;P FRP Flyer (englisch)</t>
  </si>
  <si>
    <t>S&amp;P FRP Flyer (französisch)</t>
  </si>
  <si>
    <t>MAFLYA4016</t>
  </si>
  <si>
    <t>S&amp;P FRP Flyer (italienisch)</t>
  </si>
  <si>
    <t>MAFLYA4800</t>
  </si>
  <si>
    <t>S&amp;P Flyer "Wir denken an morgen" ,mehr sprachig</t>
  </si>
  <si>
    <t>S&amp;P Warnweste rot / orange</t>
  </si>
  <si>
    <t>S&amp;P Mützen blau / grau</t>
  </si>
  <si>
    <t>S&amp;P Poloshirts helblau / rot</t>
  </si>
  <si>
    <t>S&amp;P T-Shirts grau</t>
  </si>
  <si>
    <t>MAMAPA4010</t>
  </si>
  <si>
    <t>S&amp;P Mappe "Wir denken an morgen" ,mehr sprachig</t>
  </si>
  <si>
    <t>Register zu Ordner S&amp;P Gesamtdokumentation</t>
  </si>
  <si>
    <t>Register zu Ordner S&amp;P Verarbeiter</t>
  </si>
  <si>
    <t>Register zu Ordner S&amp;P Asphalt Erd-Felsbau</t>
  </si>
  <si>
    <t>MC2-Services</t>
  </si>
  <si>
    <t>ResAC16-380SP-FR</t>
  </si>
  <si>
    <t>ResAC-16 380 ml</t>
  </si>
  <si>
    <t>ResEP16-1500SP-FR</t>
  </si>
  <si>
    <t>ResEP-16 1500 ml</t>
  </si>
  <si>
    <t>S&amp;P Netzbefestigungsplatte</t>
  </si>
  <si>
    <t>S&amp;P Felsanker (Stahl)</t>
  </si>
  <si>
    <t>S&amp;P Lochplatte zu Stahlanker</t>
  </si>
  <si>
    <t>S&amp;P Mutter zu Felsanker</t>
  </si>
  <si>
    <t>GFK Gewindestange M20</t>
  </si>
  <si>
    <t>GFK Bundmutter M20
mit Bund Ø 45mm</t>
  </si>
  <si>
    <t>S&amp;P Mörtelpatrone</t>
  </si>
  <si>
    <t>S&amp;P Hochleistungsnetz PES 2.5 x  50m schwarz</t>
  </si>
  <si>
    <t>S&amp;P Hochleistungsnetz PES 5.0 x 100m schwarz</t>
  </si>
  <si>
    <t>S&amp;P Hochleistungsnetz 30 kN
(PES), schwarz</t>
  </si>
  <si>
    <t>S&amp;P Hochleistungsnetz 50/30 kN, schwarz 2.5 m</t>
  </si>
  <si>
    <t>S&amp;P Hochleistungsnetz 50/30 kN, schwarz 5.0 m</t>
  </si>
  <si>
    <t>S&amp;P Hochleistungsnetz 50 kN (PES), schwarz</t>
  </si>
  <si>
    <t>S&amp;P Hochleistungsnetz 50 kN (grau)</t>
  </si>
  <si>
    <t>RONET50KN360</t>
  </si>
  <si>
    <t>S&amp;P Verbindungsband 10 kN</t>
  </si>
  <si>
    <t>S&amp;P Verbindungsseil 22 kN</t>
  </si>
  <si>
    <t>Positionszuschlag per m1</t>
  </si>
  <si>
    <t>Weissblechkessel 7 lt</t>
  </si>
  <si>
    <t>Weissblechkessel 10 lt</t>
  </si>
  <si>
    <t>S&amp;P Resin 50/55 Resicem Komp. B 2kg</t>
  </si>
  <si>
    <t>S&amp;P Fugengummi</t>
  </si>
  <si>
    <t>S&amp;P Aramid - Schere</t>
  </si>
  <si>
    <t>Flachbeutel (Plastiktüte) 150u
300mm x 500mm
100 pcs</t>
  </si>
  <si>
    <t>Bafa Fadengelege Breite 22cm</t>
  </si>
  <si>
    <t>Bafa Fadengelege Breite 32cm</t>
  </si>
  <si>
    <t>Bafa Fadengelege Breite 62cm</t>
  </si>
  <si>
    <t>CRYOVAC Film</t>
  </si>
  <si>
    <t>PE - Flachfolie Breite 22cm</t>
  </si>
  <si>
    <t>PE - Flachfolie Breite 32cm</t>
  </si>
  <si>
    <t>PE - Flachfolie Breite 64cm</t>
  </si>
  <si>
    <t>Tenax (R) E - Carbon HTA40 E13 12K 800tex</t>
  </si>
  <si>
    <t>Tenax (R) E - Carbon HTS40 F13 12K 800tex</t>
  </si>
  <si>
    <t>Tenax (R) E - Carbon STS40 F13 24K 1600tex</t>
  </si>
  <si>
    <t>Tenax (R) E - Carbon UTS50 F24 24K 1600tex DCP</t>
  </si>
  <si>
    <t>Tenax (R) E - Carbon HTS40 F13 24K 1600tex</t>
  </si>
  <si>
    <t>Tenax (R) E - Carbon STS40 F13 48K 3200tex CP</t>
  </si>
  <si>
    <t>Soficar Carbon T700SC 12000 50C P1 BB</t>
  </si>
  <si>
    <t>Sumitomo Carbon Fiber Dialead K63712</t>
  </si>
  <si>
    <t>Kartonhülsen Breite 22 cm</t>
  </si>
  <si>
    <t>Kartonhülsen Breite 32 cm</t>
  </si>
  <si>
    <t>Kartonhülsen Breite 64 cm</t>
  </si>
  <si>
    <t>Polyethylen Faserfüllstoff</t>
  </si>
  <si>
    <t>S&amp;P Resin Epoxy 50 , Primer (Set à 6 kg)</t>
  </si>
  <si>
    <t>S&amp;P Resin Epoxy 55 , Laminierharz (Set à 6 kg)</t>
  </si>
  <si>
    <t>S&amp;P Resicem Komp. A 4 kg</t>
  </si>
  <si>
    <t>OLD_ S&amp;P Resicem Komp. B 2 kg</t>
  </si>
  <si>
    <t>S&amp;P Resicem Komp. F 4 kg</t>
  </si>
  <si>
    <t>OLD_ S&amp;P Resicem Komp. F 4 kg</t>
  </si>
  <si>
    <t>S&amp;P Resin 50 Komp. A 4 kg</t>
  </si>
  <si>
    <t>S&amp;P Resin 55 Komp. A 4 kg</t>
  </si>
  <si>
    <t>S&amp;P Laminierroller 60 x 30mm</t>
  </si>
  <si>
    <t>S&amp;P Laminierroller 90 x 30mm</t>
  </si>
  <si>
    <t>Dyckerhoff Weiss FACE, CEM I 42,5 R - 25kg bag</t>
  </si>
  <si>
    <t>SHWETLAY060M</t>
  </si>
  <si>
    <t>S&amp;P Wet-Lay-Up Machine 60cm</t>
  </si>
  <si>
    <t>SHWETLAY220V</t>
  </si>
  <si>
    <t>S&amp;P Wet-Lay-up Maschiene</t>
  </si>
  <si>
    <t>Sheet gluing machine or 
wet-lay-up machine</t>
  </si>
  <si>
    <t>SLNET5030390</t>
  </si>
  <si>
    <t>S&amp;P Hochleistungsnetz 50/30 kN, 3.90m</t>
  </si>
  <si>
    <t>S&amp;P Hochleistungsnetz 70/30 kN
schwarz, 2.0m breit 50m lang</t>
  </si>
  <si>
    <t>S&amp;P Hochleistungsnetz 70/30 kN schwarz, 2.50m</t>
  </si>
  <si>
    <t>S&amp;P Hochleistungsnetz 70/30 kN schwarz, 5.0m</t>
  </si>
  <si>
    <t>OLD_ S&amp;P Hochleistungsnetz 75/40 kN, 2.5m</t>
  </si>
  <si>
    <t>OLD_ S&amp;P Hochleistungsnetz 75/40 kN, 5.0m</t>
  </si>
  <si>
    <t>S&amp;P Verbaupaket 60°</t>
  </si>
  <si>
    <t>SLVPS50005065</t>
  </si>
  <si>
    <t>S&amp;P Verbaupaket 65°</t>
  </si>
  <si>
    <t>SLVPS50005070</t>
  </si>
  <si>
    <t>S&amp;P Verbaupaket 70°</t>
  </si>
  <si>
    <t>SLVPV50005060</t>
  </si>
  <si>
    <t>S&amp;P Verbaupaket 60°, verzinkt</t>
  </si>
  <si>
    <t>SLVPV50005065</t>
  </si>
  <si>
    <t>S&amp;P Verbaupaket 65°, verzinkt</t>
  </si>
  <si>
    <t>SLVPV50005070</t>
  </si>
  <si>
    <t>S&amp;P Verbaupaket 70°, verzinkt</t>
  </si>
  <si>
    <t>SLVPV60010060</t>
  </si>
  <si>
    <t>SLVPV60010065</t>
  </si>
  <si>
    <t>SLVPV60010070</t>
  </si>
  <si>
    <t>SLVPV60010080</t>
  </si>
  <si>
    <t>S&amp;P Verbaupaket 80°, verzinkt inkl. Filtermatte</t>
  </si>
  <si>
    <t>PP - Umreifband</t>
  </si>
  <si>
    <t>Verschlusshülse für Einhebel-Kombigerät</t>
  </si>
  <si>
    <t>Verschlusshülse für Verschliesszange</t>
  </si>
  <si>
    <t>CARTONEC Kantenschutzwinkel 2000mm</t>
  </si>
  <si>
    <t>MECA-CREPP 10cm</t>
  </si>
  <si>
    <t>MECASTRETCH 50cm</t>
  </si>
  <si>
    <t>Bündelstretch 10cm</t>
  </si>
  <si>
    <t>TRBOND0008</t>
  </si>
  <si>
    <t>Kantenschutz leicht mit Dorn, PP schwarz</t>
  </si>
  <si>
    <t>Bauplastik grün</t>
  </si>
  <si>
    <t>Palettenabdeckung 160x120 cm</t>
  </si>
  <si>
    <t>Faltschachtel 1175x775x1070 mm</t>
  </si>
  <si>
    <t>Palettenauflage Wellkarton 5.0mm</t>
  </si>
  <si>
    <t>Palettenauflage Graukarton 0.3mm</t>
  </si>
  <si>
    <t>Faltkarton 27cm</t>
  </si>
  <si>
    <t>Palettenabdeckung 160 x 120 cm</t>
  </si>
  <si>
    <t>Wellkarton ca 350 g/m2, 100 cm x 60 lfm</t>
  </si>
  <si>
    <t>Faltschachtel 585x385x385 mm
doppelwellig, braun</t>
  </si>
  <si>
    <t>Signal-Etikette "THIS END UP"</t>
  </si>
  <si>
    <t>Gefahrgut-Etikette , Entzündbare Flüssigkeit , Gefahrgutklas</t>
  </si>
  <si>
    <t>Gefahrgut-Etikette , Ätzend , Gefahrgutklasse 8</t>
  </si>
  <si>
    <t>Gefahrgut-Etikette , Gefährlich , Gefahrgutklasse 9</t>
  </si>
  <si>
    <t>Gefahrgut-Etikette , Umweltgefährdender Stoff</t>
  </si>
  <si>
    <t>Warnhinweis-Etiketten ( Lamellenrollen )</t>
  </si>
  <si>
    <t>TRETIK0010</t>
  </si>
  <si>
    <t>Tokarmabit Etiketten</t>
  </si>
  <si>
    <t>TRPAKET001</t>
  </si>
  <si>
    <t>Transportkosten (Paketversand)</t>
  </si>
  <si>
    <t>EUR - Palette</t>
  </si>
  <si>
    <t>EUR - Palettenrahmen</t>
  </si>
  <si>
    <t>EUR - Deckel zu Palettenrahmen</t>
  </si>
  <si>
    <t>TRPALET004</t>
  </si>
  <si>
    <t>EUR - Palette ISPM 15</t>
  </si>
  <si>
    <t>EUR - Palette ISPM 15 inkl. Kartoffelpaloxen</t>
  </si>
  <si>
    <t>INKA Palette Typ F 64</t>
  </si>
  <si>
    <t>Kunststoffpaletten Nestbar</t>
  </si>
  <si>
    <t>Paletten mit Holzrahmen ISPM15</t>
  </si>
  <si>
    <t>Kunststoffpaletten mit Metallrahmen</t>
  </si>
  <si>
    <t>INKA Palette Typ F 46</t>
  </si>
  <si>
    <t>TRPOLST001</t>
  </si>
  <si>
    <t>FILLIX Füll- und Polstermaterial</t>
  </si>
  <si>
    <t>Luftpolsterfolie Breite 100cm</t>
  </si>
  <si>
    <t>Luftpolsterfolie Breite 33cm</t>
  </si>
  <si>
    <t>Luftpolsterfolie Breite 20cm</t>
  </si>
  <si>
    <t>TRPRODAWET001</t>
  </si>
  <si>
    <t>Transport cost Armo-crete Prod</t>
  </si>
  <si>
    <t>Beton Gewebeband gelb</t>
  </si>
  <si>
    <t>Selbstklebeband PVC 50mm braun</t>
  </si>
  <si>
    <t>Selbstklebeband PVC 38mm transparent</t>
  </si>
  <si>
    <t>Selbstklebeband PP glasfaserverstärkt , transparent</t>
  </si>
  <si>
    <t>Doppelkseitiges Klebeband fadenverstärkt</t>
  </si>
  <si>
    <t>tesaband FLUORESZ.-PINK</t>
  </si>
  <si>
    <t>tesaband FLUORESZ.-GELB</t>
  </si>
  <si>
    <t>tesaband Glasfaser-Gewebeband FARBLOS</t>
  </si>
  <si>
    <t>tesaband Klebeband S&amp;P bedruckt</t>
  </si>
  <si>
    <t>VERDIE0623</t>
  </si>
  <si>
    <t>Misc. Charges - Selling</t>
  </si>
  <si>
    <t>VERDIE0627</t>
  </si>
  <si>
    <t>Group Charges - Admin</t>
  </si>
  <si>
    <t>VERDIE0629</t>
  </si>
  <si>
    <t>Group &amp; misc. charges Below - Selling</t>
  </si>
  <si>
    <t>VERDIE0639</t>
  </si>
  <si>
    <t>S&amp;P Manufacturing Fee - own used products</t>
  </si>
  <si>
    <t>VERMIE0010</t>
  </si>
  <si>
    <t>Mietzins Wintersried</t>
  </si>
  <si>
    <t>VERMIE0100</t>
  </si>
  <si>
    <t>Miete Liegenschaft Elvas</t>
  </si>
  <si>
    <t>365ApP0000333</t>
  </si>
  <si>
    <t>Lot 065157</t>
  </si>
  <si>
    <t>365ApP0000335</t>
  </si>
  <si>
    <t>Lot 065210</t>
  </si>
  <si>
    <t>365ApP0000336</t>
  </si>
  <si>
    <t>Lot 065372</t>
  </si>
  <si>
    <t>368ApP0000202</t>
  </si>
  <si>
    <t>Lot 063442</t>
  </si>
  <si>
    <t>368ApP0000203</t>
  </si>
  <si>
    <t>Lot 063441</t>
  </si>
  <si>
    <t>Lot 062094</t>
  </si>
  <si>
    <t>Lot 063364</t>
  </si>
  <si>
    <t>Lot 063115</t>
  </si>
  <si>
    <t>Lot 063117</t>
  </si>
  <si>
    <t>Lot 063363</t>
  </si>
  <si>
    <t>Lot 063264</t>
  </si>
  <si>
    <t>Lot 065437</t>
  </si>
  <si>
    <t>SO0005738</t>
  </si>
  <si>
    <t>Lot 063373</t>
  </si>
  <si>
    <t>Lot 063304</t>
  </si>
  <si>
    <t>Lot 063303</t>
  </si>
  <si>
    <t>SO0005740</t>
  </si>
  <si>
    <t>Lot 063367</t>
  </si>
  <si>
    <t>Lot 063327</t>
  </si>
  <si>
    <t>Lot 063328</t>
  </si>
  <si>
    <t>Lot 063329</t>
  </si>
  <si>
    <t>Lot 063330</t>
  </si>
  <si>
    <t>Lot 063331</t>
  </si>
  <si>
    <t>Lot 063332</t>
  </si>
  <si>
    <t>Lot 063333</t>
  </si>
  <si>
    <t>Lot 063334</t>
  </si>
  <si>
    <t>Lot 063372</t>
  </si>
  <si>
    <t>Lot 063406</t>
  </si>
  <si>
    <t>Lot 063392</t>
  </si>
  <si>
    <t>Lot 063393</t>
  </si>
  <si>
    <t>Lot 064811</t>
  </si>
  <si>
    <t>Lot 064816</t>
  </si>
  <si>
    <t>Lot 064817</t>
  </si>
  <si>
    <t>Lot 064820</t>
  </si>
  <si>
    <t>Lot 064823</t>
  </si>
  <si>
    <t>SO0005754</t>
  </si>
  <si>
    <t>Lot 064829</t>
  </si>
  <si>
    <t>Lot 064828</t>
  </si>
  <si>
    <t>Lot 064830</t>
  </si>
  <si>
    <t>Lot 064833</t>
  </si>
  <si>
    <t>Lot 064834</t>
  </si>
  <si>
    <t>Lot 064933</t>
  </si>
  <si>
    <t>Lot 064927</t>
  </si>
  <si>
    <t>Lot 065074</t>
  </si>
  <si>
    <t>Lot 065091</t>
  </si>
  <si>
    <t>Lot 065092</t>
  </si>
  <si>
    <t>SO0005770</t>
  </si>
  <si>
    <t>Lot 065139</t>
  </si>
  <si>
    <t>SO0005771</t>
  </si>
  <si>
    <t>Lot 065148</t>
  </si>
  <si>
    <t>Lot 065151</t>
  </si>
  <si>
    <t>Lot 065155</t>
  </si>
  <si>
    <t>Lot 065162</t>
  </si>
  <si>
    <t>Lot 065175</t>
  </si>
  <si>
    <t>Lot 065180</t>
  </si>
  <si>
    <t>Lot 065181</t>
  </si>
  <si>
    <t>Lot 065191</t>
  </si>
  <si>
    <t>Lot 065192</t>
  </si>
  <si>
    <t>Lot 065206</t>
  </si>
  <si>
    <t>Lot 065208</t>
  </si>
  <si>
    <t>Lot 065213</t>
  </si>
  <si>
    <t>Lot 065214</t>
  </si>
  <si>
    <t>Lot 065237</t>
  </si>
  <si>
    <t>SO0005785</t>
  </si>
  <si>
    <t>Lot 065253</t>
  </si>
  <si>
    <t>SO0005786</t>
  </si>
  <si>
    <t>Lot 065254</t>
  </si>
  <si>
    <t>Lot 066284</t>
  </si>
  <si>
    <t>SO0005787</t>
  </si>
  <si>
    <t>Lot 065256</t>
  </si>
  <si>
    <t>SO0005788</t>
  </si>
  <si>
    <t>Lot 065257</t>
  </si>
  <si>
    <t>Lot 065258</t>
  </si>
  <si>
    <t>Lot 065264</t>
  </si>
  <si>
    <t>SO0005790</t>
  </si>
  <si>
    <t>Lot 065259</t>
  </si>
  <si>
    <t>Lot 065260</t>
  </si>
  <si>
    <t>SO0005791</t>
  </si>
  <si>
    <t>Lot 065265</t>
  </si>
  <si>
    <t>SO0005792</t>
  </si>
  <si>
    <t>Lot 065267</t>
  </si>
  <si>
    <t>SO0005794</t>
  </si>
  <si>
    <t>Lot 065268</t>
  </si>
  <si>
    <t>SO0005795</t>
  </si>
  <si>
    <t>Lot 065269</t>
  </si>
  <si>
    <t>SO0005796</t>
  </si>
  <si>
    <t>Lot 065274</t>
  </si>
  <si>
    <t>SO0005797</t>
  </si>
  <si>
    <t>Lot 065282</t>
  </si>
  <si>
    <t>SO0005798</t>
  </si>
  <si>
    <t>Lot 065283</t>
  </si>
  <si>
    <t>SO0005799</t>
  </si>
  <si>
    <t>Lot 065284</t>
  </si>
  <si>
    <t>SO0005800</t>
  </si>
  <si>
    <t>Lot 065285</t>
  </si>
  <si>
    <t>Lot 065291</t>
  </si>
  <si>
    <t>Lot 065294</t>
  </si>
  <si>
    <t>Lot 065297</t>
  </si>
  <si>
    <t>Lot 065295</t>
  </si>
  <si>
    <t>Lot 065296</t>
  </si>
  <si>
    <t>Lot 065311</t>
  </si>
  <si>
    <t>Lot 065312</t>
  </si>
  <si>
    <t>Lot 065315</t>
  </si>
  <si>
    <t>Lot 065316</t>
  </si>
  <si>
    <t>Lot 065318</t>
  </si>
  <si>
    <t>Lot 065319</t>
  </si>
  <si>
    <t>Lot 065320</t>
  </si>
  <si>
    <t>Lot 065322</t>
  </si>
  <si>
    <t>Lot 065324</t>
  </si>
  <si>
    <t>Lot 065325</t>
  </si>
  <si>
    <t>Lot 065327</t>
  </si>
  <si>
    <t>Lot 065328</t>
  </si>
  <si>
    <t>Lot 065330</t>
  </si>
  <si>
    <t>Lot 065333</t>
  </si>
  <si>
    <t>Lot 065335</t>
  </si>
  <si>
    <t>Lot 065332</t>
  </si>
  <si>
    <t>Lot 065331</t>
  </si>
  <si>
    <t>Lot 065336</t>
  </si>
  <si>
    <t>Lot 065339</t>
  </si>
  <si>
    <t>Lot 065341</t>
  </si>
  <si>
    <t>Lot 065338</t>
  </si>
  <si>
    <t>Lot 065337</t>
  </si>
  <si>
    <t>Lot 065342</t>
  </si>
  <si>
    <t>Lot 065345</t>
  </si>
  <si>
    <t>Lot 065349</t>
  </si>
  <si>
    <t>Lot 065351</t>
  </si>
  <si>
    <t>Lot 065353</t>
  </si>
  <si>
    <t>Lot 065360</t>
  </si>
  <si>
    <t>Lot 065362</t>
  </si>
  <si>
    <t>Lot 065369</t>
  </si>
  <si>
    <t>Lot 065371</t>
  </si>
  <si>
    <t>Lot 065377</t>
  </si>
  <si>
    <t>SO0005817</t>
  </si>
  <si>
    <t>Lot 065380</t>
  </si>
  <si>
    <t>Lot 065379</t>
  </si>
  <si>
    <t>SO0005818</t>
  </si>
  <si>
    <t>Lot 065393</t>
  </si>
  <si>
    <t>Lot 065394</t>
  </si>
  <si>
    <t>SO0005819</t>
  </si>
  <si>
    <t>Lot 065396</t>
  </si>
  <si>
    <t>Lot 065395</t>
  </si>
  <si>
    <t>Lot 065397</t>
  </si>
  <si>
    <t>Lot 065398</t>
  </si>
  <si>
    <t>Lot 065423</t>
  </si>
  <si>
    <t>Lot 065435</t>
  </si>
  <si>
    <t>Lot 065441</t>
  </si>
  <si>
    <t>Lot 065445</t>
  </si>
  <si>
    <t>Lot 065454</t>
  </si>
  <si>
    <t>Lot 065455</t>
  </si>
  <si>
    <t>Lot 065459</t>
  </si>
  <si>
    <t>Lot 065460</t>
  </si>
  <si>
    <t>Lot 065476</t>
  </si>
  <si>
    <t>SO0005826</t>
  </si>
  <si>
    <t>Lot 065477</t>
  </si>
  <si>
    <t>Lot 066537</t>
  </si>
  <si>
    <t>Lot 066538</t>
  </si>
  <si>
    <t>Lot 066543</t>
  </si>
  <si>
    <t>Lot 066544</t>
  </si>
  <si>
    <t>Lot 067739</t>
  </si>
  <si>
    <t>Lot 066266</t>
  </si>
  <si>
    <t>Lot 066269</t>
  </si>
  <si>
    <t>Lot 066272</t>
  </si>
  <si>
    <t>Lot 066276</t>
  </si>
  <si>
    <t>Lot 066277</t>
  </si>
  <si>
    <t>Lot 066286</t>
  </si>
  <si>
    <t>Lot 066294</t>
  </si>
  <si>
    <t>Lot 066295</t>
  </si>
  <si>
    <t>SO0005838</t>
  </si>
  <si>
    <t>Lot 066299</t>
  </si>
  <si>
    <t>Lot 066300</t>
  </si>
  <si>
    <t>Lot 066301</t>
  </si>
  <si>
    <t>SO0005839</t>
  </si>
  <si>
    <t>Lot 066302</t>
  </si>
  <si>
    <t>Lot 066303</t>
  </si>
  <si>
    <t>Lot 066304</t>
  </si>
  <si>
    <t>SO0005840</t>
  </si>
  <si>
    <t>Lot 066332</t>
  </si>
  <si>
    <t>Lot 066307</t>
  </si>
  <si>
    <t>Production</t>
  </si>
  <si>
    <t>00001295_067</t>
  </si>
  <si>
    <t>Lot 063119</t>
  </si>
  <si>
    <t>00001304_067</t>
  </si>
  <si>
    <t>Lot 063379</t>
  </si>
  <si>
    <t>00001305_067</t>
  </si>
  <si>
    <t>Lot 063394</t>
  </si>
  <si>
    <t>00001306_067</t>
  </si>
  <si>
    <t>Lot 064835</t>
  </si>
  <si>
    <t>00001307_067</t>
  </si>
  <si>
    <t>Lot 064971</t>
  </si>
  <si>
    <t>00001308_067</t>
  </si>
  <si>
    <t>Lot 064976</t>
  </si>
  <si>
    <t>00001309_067</t>
  </si>
  <si>
    <t>Lot 064981</t>
  </si>
  <si>
    <t>00001310_067</t>
  </si>
  <si>
    <t>Lot 064986</t>
  </si>
  <si>
    <t>00001311_067</t>
  </si>
  <si>
    <t>Lot 064991</t>
  </si>
  <si>
    <t>00001312_067</t>
  </si>
  <si>
    <t>Lot 064996</t>
  </si>
  <si>
    <t>00001313_067</t>
  </si>
  <si>
    <t>Lot 065001</t>
  </si>
  <si>
    <t>00001314_067</t>
  </si>
  <si>
    <t>Lot 065075</t>
  </si>
  <si>
    <t>00001315_067</t>
  </si>
  <si>
    <t>Lot 065093</t>
  </si>
  <si>
    <t>00001316_067</t>
  </si>
  <si>
    <t>Lot 065163</t>
  </si>
  <si>
    <t>00001317_067</t>
  </si>
  <si>
    <t>Lot 065193</t>
  </si>
  <si>
    <t>00001318_067</t>
  </si>
  <si>
    <t>Lot 065215</t>
  </si>
  <si>
    <t>00001319_067</t>
  </si>
  <si>
    <t>Lot 065238</t>
  </si>
  <si>
    <t>00001320_067</t>
  </si>
  <si>
    <t>Lot 065270</t>
  </si>
  <si>
    <t>00001321_067</t>
  </si>
  <si>
    <t>Lot 065298</t>
  </si>
  <si>
    <t>00001322_067</t>
  </si>
  <si>
    <t>Lot 065381</t>
  </si>
  <si>
    <t>00001323_067</t>
  </si>
  <si>
    <t>Lot 065399</t>
  </si>
  <si>
    <t>Lot 065411</t>
  </si>
  <si>
    <t>00001325_067</t>
  </si>
  <si>
    <t>Lot 065424</t>
  </si>
  <si>
    <t>00001327_067</t>
  </si>
  <si>
    <t>Lot 066549</t>
  </si>
  <si>
    <t>Lot 065541</t>
  </si>
  <si>
    <t>00001329_067</t>
  </si>
  <si>
    <t>Lot 066312</t>
  </si>
  <si>
    <t>ApP0002411</t>
  </si>
  <si>
    <t>Lot 062386</t>
  </si>
  <si>
    <t>ApP0002432</t>
  </si>
  <si>
    <t>Lot 062564</t>
  </si>
  <si>
    <t>ApP0002434</t>
  </si>
  <si>
    <t>Lot 062569</t>
  </si>
  <si>
    <t>ApP0002436</t>
  </si>
  <si>
    <t>Lot 062574</t>
  </si>
  <si>
    <t>ApP0002439</t>
  </si>
  <si>
    <t>Lot 062649</t>
  </si>
  <si>
    <t>Lot 063365</t>
  </si>
  <si>
    <t>ApP0002448</t>
  </si>
  <si>
    <t>Lot 062801</t>
  </si>
  <si>
    <t>ApP0002456</t>
  </si>
  <si>
    <t>Lot 062995</t>
  </si>
  <si>
    <t>ApP0002469</t>
  </si>
  <si>
    <t>Lot 063123</t>
  </si>
  <si>
    <t>ApP0002475</t>
  </si>
  <si>
    <t>Lot 063144</t>
  </si>
  <si>
    <t>ApP0002476</t>
  </si>
  <si>
    <t>Lot 063146</t>
  </si>
  <si>
    <t>ApP0002477</t>
  </si>
  <si>
    <t>Lot 063147</t>
  </si>
  <si>
    <t>ApP0002484</t>
  </si>
  <si>
    <t>Lot 063317</t>
  </si>
  <si>
    <t>ApP0002487</t>
  </si>
  <si>
    <t>Lot 063319</t>
  </si>
  <si>
    <t>ApP0002492</t>
  </si>
  <si>
    <t>Lot 064807</t>
  </si>
  <si>
    <t>ApP0002495</t>
  </si>
  <si>
    <t>Lot 064826</t>
  </si>
  <si>
    <t>ApP0002497</t>
  </si>
  <si>
    <t>Lot 064974</t>
  </si>
  <si>
    <t>ApP0002498</t>
  </si>
  <si>
    <t>Lot 064975</t>
  </si>
  <si>
    <t>ApP0002499</t>
  </si>
  <si>
    <t>Lot 064979</t>
  </si>
  <si>
    <t>ApP0002500</t>
  </si>
  <si>
    <t>Lot 064980</t>
  </si>
  <si>
    <t>ApP0002501</t>
  </si>
  <si>
    <t>Lot 064984</t>
  </si>
  <si>
    <t>ApP0002502</t>
  </si>
  <si>
    <t>Lot 064985</t>
  </si>
  <si>
    <t>ApP0002503</t>
  </si>
  <si>
    <t>Lot 064989</t>
  </si>
  <si>
    <t>ApP0002504</t>
  </si>
  <si>
    <t>Lot 064990</t>
  </si>
  <si>
    <t>ApP0002505</t>
  </si>
  <si>
    <t>Lot 064994</t>
  </si>
  <si>
    <t>ApP0002506</t>
  </si>
  <si>
    <t>Lot 064995</t>
  </si>
  <si>
    <t>ApP0002507</t>
  </si>
  <si>
    <t>Lot 064999</t>
  </si>
  <si>
    <t>ApP0002508</t>
  </si>
  <si>
    <t>Lot 065000</t>
  </si>
  <si>
    <t>ApP0002509</t>
  </si>
  <si>
    <t>Lot 065004</t>
  </si>
  <si>
    <t>ApP0002510</t>
  </si>
  <si>
    <t>Lot 065005</t>
  </si>
  <si>
    <t>ApP0002514</t>
  </si>
  <si>
    <t>Lot 065159</t>
  </si>
  <si>
    <t>ApP0002515</t>
  </si>
  <si>
    <t>Lot 065182</t>
  </si>
  <si>
    <t>Lot 065183</t>
  </si>
  <si>
    <t>ApP0002516</t>
  </si>
  <si>
    <t>Lot 065184</t>
  </si>
  <si>
    <t>ApP0002517</t>
  </si>
  <si>
    <t>Lot 065185</t>
  </si>
  <si>
    <t>Lot 065186</t>
  </si>
  <si>
    <t>ApP0002518</t>
  </si>
  <si>
    <t>Lot 065187</t>
  </si>
  <si>
    <t>ApP0002523</t>
  </si>
  <si>
    <t>Lot 065288</t>
  </si>
  <si>
    <t>ApP0002525</t>
  </si>
  <si>
    <t>Lot 065374</t>
  </si>
  <si>
    <t>ApP0002526</t>
  </si>
  <si>
    <t>Lot 065375</t>
  </si>
  <si>
    <t>ApP0002528</t>
  </si>
  <si>
    <t>Lot 065385</t>
  </si>
  <si>
    <t>ApP0002529</t>
  </si>
  <si>
    <t>Lot 065403</t>
  </si>
  <si>
    <t>ApP0002532</t>
  </si>
  <si>
    <t>Lot 065442</t>
  </si>
  <si>
    <t>ApP0002544</t>
  </si>
  <si>
    <t>Lot 066283</t>
  </si>
  <si>
    <t>ApP0002545</t>
  </si>
  <si>
    <t>Lot 066291</t>
  </si>
  <si>
    <t>ApP0002546</t>
  </si>
  <si>
    <t>Lot 066298</t>
  </si>
  <si>
    <t>InvJ000608</t>
  </si>
  <si>
    <t>Lot 064812</t>
  </si>
  <si>
    <t>InvJ000609</t>
  </si>
  <si>
    <t>Lot 064813</t>
  </si>
  <si>
    <t>InvJ000611</t>
  </si>
  <si>
    <t>Lot 065143</t>
  </si>
  <si>
    <t>Lot 063120</t>
  </si>
  <si>
    <t>Lot 063121</t>
  </si>
  <si>
    <t>Lot 063381</t>
  </si>
  <si>
    <t>Lot 063382</t>
  </si>
  <si>
    <t>Lot 063380</t>
  </si>
  <si>
    <t>Lot 063396</t>
  </si>
  <si>
    <t>Lot 063397</t>
  </si>
  <si>
    <t>Lot 063395</t>
  </si>
  <si>
    <t>Lot 064837</t>
  </si>
  <si>
    <t>Lot 064838</t>
  </si>
  <si>
    <t>Lot 064836</t>
  </si>
  <si>
    <t>Lot 064972</t>
  </si>
  <si>
    <t>Lot 064973</t>
  </si>
  <si>
    <t>Lot 064977</t>
  </si>
  <si>
    <t>Lot 064978</t>
  </si>
  <si>
    <t>Lot 064982</t>
  </si>
  <si>
    <t>Lot 064983</t>
  </si>
  <si>
    <t>Lot 064987</t>
  </si>
  <si>
    <t>Lot 064988</t>
  </si>
  <si>
    <t>Lot 064992</t>
  </si>
  <si>
    <t>Lot 064993</t>
  </si>
  <si>
    <t>Lot 064997</t>
  </si>
  <si>
    <t>Lot 064998</t>
  </si>
  <si>
    <t>Lot 065002</t>
  </si>
  <si>
    <t>Lot 065003</t>
  </si>
  <si>
    <t>Lot 065077</t>
  </si>
  <si>
    <t>Lot 065078</t>
  </si>
  <si>
    <t>Lot 065076</t>
  </si>
  <si>
    <t>Lot 065095</t>
  </si>
  <si>
    <t>Lot 065096</t>
  </si>
  <si>
    <t>Lot 065094</t>
  </si>
  <si>
    <t>Lot 065165</t>
  </si>
  <si>
    <t>Lot 065166</t>
  </si>
  <si>
    <t>Lot 065164</t>
  </si>
  <si>
    <t>Lot 065195</t>
  </si>
  <si>
    <t>Lot 065196</t>
  </si>
  <si>
    <t>Lot 065194</t>
  </si>
  <si>
    <t>Lot 065218</t>
  </si>
  <si>
    <t>Lot 065217</t>
  </si>
  <si>
    <t>Lot 065216</t>
  </si>
  <si>
    <t>Lot 065220</t>
  </si>
  <si>
    <t>Lot 065219</t>
  </si>
  <si>
    <t>Lot 065221</t>
  </si>
  <si>
    <t>Lot 065240</t>
  </si>
  <si>
    <t>Lot 065241</t>
  </si>
  <si>
    <t>Lot 065239</t>
  </si>
  <si>
    <t>Lot 065272</t>
  </si>
  <si>
    <t>Lot 065273</t>
  </si>
  <si>
    <t>Lot 065271</t>
  </si>
  <si>
    <t>Lot 065300</t>
  </si>
  <si>
    <t>Lot 065301</t>
  </si>
  <si>
    <t>Lot 065299</t>
  </si>
  <si>
    <t>Lot 065382</t>
  </si>
  <si>
    <t>Lot 065383</t>
  </si>
  <si>
    <t>Lot 065384</t>
  </si>
  <si>
    <t>Lot 065400</t>
  </si>
  <si>
    <t>Lot 065401</t>
  </si>
  <si>
    <t>Lot 065402</t>
  </si>
  <si>
    <t>Lot 065413</t>
  </si>
  <si>
    <t>Lot 065426</t>
  </si>
  <si>
    <t>Lot 065427</t>
  </si>
  <si>
    <t>Lot 065425</t>
  </si>
  <si>
    <t>Lot 066551</t>
  </si>
  <si>
    <t>Lot 066552</t>
  </si>
  <si>
    <t>Lot 066550</t>
  </si>
  <si>
    <t>Lot 065543</t>
  </si>
  <si>
    <t>Lot 066314</t>
  </si>
  <si>
    <t>Lot 066315</t>
  </si>
  <si>
    <t>Lot 066313</t>
  </si>
  <si>
    <t>InvJ000610</t>
  </si>
  <si>
    <t>Lot 065072</t>
  </si>
  <si>
    <t>InvJ000612</t>
  </si>
  <si>
    <t>Lot 065144</t>
  </si>
  <si>
    <t>InvJ000613</t>
  </si>
  <si>
    <t>Lot 065152</t>
  </si>
  <si>
    <t>InvJ000614</t>
  </si>
  <si>
    <t>Lot 065420</t>
  </si>
  <si>
    <t>InvJ000615</t>
  </si>
  <si>
    <t>Lot 065436</t>
  </si>
  <si>
    <t>InvJ000616</t>
  </si>
  <si>
    <t>Lot 065446</t>
  </si>
  <si>
    <t>InvJ000619</t>
  </si>
  <si>
    <t>Lot 066427</t>
  </si>
  <si>
    <t>InvJ000620</t>
  </si>
  <si>
    <t>Lot 066431</t>
  </si>
  <si>
    <t>InvJ000622</t>
  </si>
  <si>
    <t>Lot 066484</t>
  </si>
  <si>
    <t>Lot 066487</t>
  </si>
  <si>
    <t>Lot 066488</t>
  </si>
  <si>
    <t>Lot 066489</t>
  </si>
  <si>
    <t>Lot 066490</t>
  </si>
  <si>
    <t>Lot 066492</t>
  </si>
  <si>
    <t>Lot 066493</t>
  </si>
  <si>
    <t>Lot 066494</t>
  </si>
  <si>
    <t>Lot 066495</t>
  </si>
  <si>
    <t>InvJ000623</t>
  </si>
  <si>
    <t>Lot 066497</t>
  </si>
  <si>
    <t>Lot 066498</t>
  </si>
  <si>
    <t>Lot 066499</t>
  </si>
  <si>
    <t>Lot 066500</t>
  </si>
  <si>
    <t>Lot 066501</t>
  </si>
  <si>
    <t>Lot 066502</t>
  </si>
  <si>
    <t>Lot 066503</t>
  </si>
  <si>
    <t>Lot 066504</t>
  </si>
  <si>
    <t>Lot 066510</t>
  </si>
  <si>
    <t>Lot 066512</t>
  </si>
  <si>
    <t>Lot 066513</t>
  </si>
  <si>
    <t>Lot 066514</t>
  </si>
  <si>
    <t>Lot 066515</t>
  </si>
  <si>
    <t>Lot 066516</t>
  </si>
  <si>
    <t>Lot 066517</t>
  </si>
  <si>
    <t>Lot 066518</t>
  </si>
  <si>
    <t>Lot 066520</t>
  </si>
  <si>
    <t>Lot 066521</t>
  </si>
  <si>
    <t>Lot 066523</t>
  </si>
  <si>
    <t>Lot 066527</t>
  </si>
  <si>
    <t>Lot 066529</t>
  </si>
  <si>
    <t>InvJ000626</t>
  </si>
  <si>
    <t>Lot 067990</t>
  </si>
  <si>
    <t>Lot 067991</t>
  </si>
  <si>
    <t>InvJ000627</t>
  </si>
  <si>
    <t>Lot 065523</t>
  </si>
  <si>
    <t>Lot 068803</t>
  </si>
  <si>
    <t>Lot 068865</t>
  </si>
  <si>
    <t>Lot 068866</t>
  </si>
  <si>
    <t>Lot 065550</t>
  </si>
  <si>
    <t>Lot 065551</t>
  </si>
  <si>
    <t>Lot 065552</t>
  </si>
  <si>
    <t>Lot 068906</t>
  </si>
  <si>
    <t>Lot 068907</t>
  </si>
  <si>
    <t>Lot 068910</t>
  </si>
  <si>
    <t>Lot 068913</t>
  </si>
  <si>
    <t>Lot 068914</t>
  </si>
  <si>
    <t>Lot 068915</t>
  </si>
  <si>
    <t>Lot 068919</t>
  </si>
  <si>
    <t>Lot 068920</t>
  </si>
  <si>
    <t>Lot 068921</t>
  </si>
  <si>
    <t>Lot 068922</t>
  </si>
  <si>
    <t>Lot 068926</t>
  </si>
  <si>
    <t>Lot 068937</t>
  </si>
  <si>
    <t>Lot 068938</t>
  </si>
  <si>
    <t>Lot 068939</t>
  </si>
  <si>
    <t>Lot 068942</t>
  </si>
  <si>
    <t>Lot 068944</t>
  </si>
  <si>
    <t>Lot 068967</t>
  </si>
  <si>
    <t>Lot 068968</t>
  </si>
  <si>
    <t>Lot 068969</t>
  </si>
  <si>
    <t>Lot 068999</t>
  </si>
  <si>
    <t>Lot 069000</t>
  </si>
  <si>
    <t>Lot 069015</t>
  </si>
  <si>
    <t>Lot 069034</t>
  </si>
  <si>
    <t>Lot 069124</t>
  </si>
  <si>
    <t>Lot 069125</t>
  </si>
  <si>
    <t>Lot 069126</t>
  </si>
  <si>
    <t>Lot 069128</t>
  </si>
  <si>
    <t>Lot 069130</t>
  </si>
  <si>
    <t>Lot 069135</t>
  </si>
  <si>
    <t>Lot 069157</t>
  </si>
  <si>
    <t>Lot 069158</t>
  </si>
  <si>
    <t>Lot 069160</t>
  </si>
  <si>
    <t>Lot 069161</t>
  </si>
  <si>
    <t>Lot 069191</t>
  </si>
  <si>
    <t>Lot 069231</t>
  </si>
  <si>
    <t>Lot 069310</t>
  </si>
  <si>
    <t>InvJ000628</t>
  </si>
  <si>
    <t>Lot 065504</t>
  </si>
  <si>
    <t>Lot 069959</t>
  </si>
  <si>
    <t>Lot 065497</t>
  </si>
  <si>
    <t>Lot 065498</t>
  </si>
  <si>
    <t>Lot 065500</t>
  </si>
  <si>
    <t>Lot 065532</t>
  </si>
  <si>
    <t>Lot 065501</t>
  </si>
  <si>
    <t>Lot 065502</t>
  </si>
  <si>
    <t>InvJ000629</t>
  </si>
  <si>
    <t>Lot 065763</t>
  </si>
  <si>
    <t>Lot 065530</t>
  </si>
  <si>
    <t>Lot 065765</t>
  </si>
  <si>
    <t>Lot 065769</t>
  </si>
  <si>
    <t>Lot 065771</t>
  </si>
  <si>
    <t>Lot 065531</t>
  </si>
  <si>
    <t>Lot 065768</t>
  </si>
  <si>
    <t>Lot 065518</t>
  </si>
  <si>
    <t>Lot 065505</t>
  </si>
  <si>
    <t>Lot 065526</t>
  </si>
  <si>
    <t>Lot 065527</t>
  </si>
  <si>
    <t>Lot 065524</t>
  </si>
  <si>
    <t>Lot 065772</t>
  </si>
  <si>
    <t>Lot 065506</t>
  </si>
  <si>
    <t>Lot 065517</t>
  </si>
  <si>
    <t>Lot 065519</t>
  </si>
  <si>
    <t>Lot 065766</t>
  </si>
  <si>
    <t>Lot 065767</t>
  </si>
  <si>
    <t>Lot 065510</t>
  </si>
  <si>
    <t>Lot 065509</t>
  </si>
  <si>
    <t>Lot 065507</t>
  </si>
  <si>
    <t>Lot 065508</t>
  </si>
  <si>
    <t>Lot 065515</t>
  </si>
  <si>
    <t>Lot 065516</t>
  </si>
  <si>
    <t>Lot 065514</t>
  </si>
  <si>
    <t>InvJ000630</t>
  </si>
  <si>
    <t>Lot 065534</t>
  </si>
  <si>
    <t>Lot 065535</t>
  </si>
  <si>
    <t>Lot 065537</t>
  </si>
  <si>
    <t>Lot 065536</t>
  </si>
  <si>
    <t>Lot 065538</t>
  </si>
  <si>
    <t>Lot 065539</t>
  </si>
  <si>
    <t>Lot 065540</t>
  </si>
  <si>
    <t>Lot 065570</t>
  </si>
  <si>
    <t>Lot 065533</t>
  </si>
  <si>
    <t>Lot 065556</t>
  </si>
  <si>
    <t>Lot 065554</t>
  </si>
  <si>
    <t>Lot 065557</t>
  </si>
  <si>
    <t>Lot 065572</t>
  </si>
  <si>
    <t>Lot 065563</t>
  </si>
  <si>
    <t>Lot 065555</t>
  </si>
  <si>
    <t>Lot 065565</t>
  </si>
  <si>
    <t>Lot 065562</t>
  </si>
  <si>
    <t>Lot 065564</t>
  </si>
  <si>
    <t>Lot 065569</t>
  </si>
  <si>
    <t>Lot 065553</t>
  </si>
  <si>
    <t>Lot 065561</t>
  </si>
  <si>
    <t>Lot 065571</t>
  </si>
  <si>
    <t>Lot 065559</t>
  </si>
  <si>
    <t>Lot 065558</t>
  </si>
  <si>
    <t>InvJ000631</t>
  </si>
  <si>
    <t>Lot 065807</t>
  </si>
  <si>
    <t>Lot 065808</t>
  </si>
  <si>
    <t>Lot 065816</t>
  </si>
  <si>
    <t>Lot 065609</t>
  </si>
  <si>
    <t>Lot 065576</t>
  </si>
  <si>
    <t>Lot 065610</t>
  </si>
  <si>
    <t>Lot 065612</t>
  </si>
  <si>
    <t>Lot 065613</t>
  </si>
  <si>
    <t>Lot 065608</t>
  </si>
  <si>
    <t>Lot 065607</t>
  </si>
  <si>
    <t>Lot 065606</t>
  </si>
  <si>
    <t>Lot 065605</t>
  </si>
  <si>
    <t>Lot 065592</t>
  </si>
  <si>
    <t>Lot 065593</t>
  </si>
  <si>
    <t>Lot 065594</t>
  </si>
  <si>
    <t>Lot 065595</t>
  </si>
  <si>
    <t>Lot 065591</t>
  </si>
  <si>
    <t>Lot 065586</t>
  </si>
  <si>
    <t>Lot 065587</t>
  </si>
  <si>
    <t>Lot 065585</t>
  </si>
  <si>
    <t>Lot 065590</t>
  </si>
  <si>
    <t>Lot 065588</t>
  </si>
  <si>
    <t>Lot 065589</t>
  </si>
  <si>
    <t>Lot 065598</t>
  </si>
  <si>
    <t>Lot 065600</t>
  </si>
  <si>
    <t>Lot 065599</t>
  </si>
  <si>
    <t>Lot 065601</t>
  </si>
  <si>
    <t>Lot 065596</t>
  </si>
  <si>
    <t>Lot 065604</t>
  </si>
  <si>
    <t>Lot 065602</t>
  </si>
  <si>
    <t>Lot 065603</t>
  </si>
  <si>
    <t>Lot 065597</t>
  </si>
  <si>
    <t>Lot 065584</t>
  </si>
  <si>
    <t>Lot 065583</t>
  </si>
  <si>
    <t>Lot 065582</t>
  </si>
  <si>
    <t>Lot 065577</t>
  </si>
  <si>
    <t>Lot 065578</t>
  </si>
  <si>
    <t>Lot 065579</t>
  </si>
  <si>
    <t>Lot 065573</t>
  </si>
  <si>
    <t>Lot 065580</t>
  </si>
  <si>
    <t>Lot 065581</t>
  </si>
  <si>
    <t>Lot 065574</t>
  </si>
  <si>
    <t>InvJ000632</t>
  </si>
  <si>
    <t>Lot 065614</t>
  </si>
  <si>
    <t>Lot 065615</t>
  </si>
  <si>
    <t>Lot 065616</t>
  </si>
  <si>
    <t>Lot 065622</t>
  </si>
  <si>
    <t>Lot 065623</t>
  </si>
  <si>
    <t>Lot 065624</t>
  </si>
  <si>
    <t>Lot 065625</t>
  </si>
  <si>
    <t>Lot 065626</t>
  </si>
  <si>
    <t>Lot 065627</t>
  </si>
  <si>
    <t>Lot 065628</t>
  </si>
  <si>
    <t>Lot 065629</t>
  </si>
  <si>
    <t>InvJ000633</t>
  </si>
  <si>
    <t>Lot 065642</t>
  </si>
  <si>
    <t>Lot 065646</t>
  </si>
  <si>
    <t>Lot 065647</t>
  </si>
  <si>
    <t>Lot 065689</t>
  </si>
  <si>
    <t>Lot 065846</t>
  </si>
  <si>
    <t>InvJ000634</t>
  </si>
  <si>
    <t>Lot 065735</t>
  </si>
  <si>
    <t>Lot 065736</t>
  </si>
  <si>
    <t>Lot 065737</t>
  </si>
  <si>
    <t>Lot 065739</t>
  </si>
  <si>
    <t>Lot 065742</t>
  </si>
  <si>
    <t>Lot 065743</t>
  </si>
  <si>
    <t>Lot 065744</t>
  </si>
  <si>
    <t>InvJ000635</t>
  </si>
  <si>
    <t>Lot 065776</t>
  </si>
  <si>
    <t>Lot 065773</t>
  </si>
  <si>
    <t>Lot 065780</t>
  </si>
  <si>
    <t>Lot 065796</t>
  </si>
  <si>
    <t>Lot 065779</t>
  </si>
  <si>
    <t>Lot 065778</t>
  </si>
  <si>
    <t>Lot 065774</t>
  </si>
  <si>
    <t>Lot 065792</t>
  </si>
  <si>
    <t>Lot 065794</t>
  </si>
  <si>
    <t>Lot 065791</t>
  </si>
  <si>
    <t>Lot 065793</t>
  </si>
  <si>
    <t>Lot 065777</t>
  </si>
  <si>
    <t>Lot 065795</t>
  </si>
  <si>
    <t>InvJ000636</t>
  </si>
  <si>
    <t>Lot 065781</t>
  </si>
  <si>
    <t>Lot 065782</t>
  </si>
  <si>
    <t>Lot 065783</t>
  </si>
  <si>
    <t>Lot 065786</t>
  </si>
  <si>
    <t>Lot 065787</t>
  </si>
  <si>
    <t>Lot 065788</t>
  </si>
  <si>
    <t>Lot 065790</t>
  </si>
  <si>
    <t>InvJ000637</t>
  </si>
  <si>
    <t>Lot 065799</t>
  </si>
  <si>
    <t>Lot 065800</t>
  </si>
  <si>
    <t>InvJ000638</t>
  </si>
  <si>
    <t>Lot 065812</t>
  </si>
  <si>
    <t>Lot 065817</t>
  </si>
  <si>
    <t>InvJ000639</t>
  </si>
  <si>
    <t>Lot 065830</t>
  </si>
  <si>
    <t>Lot 065834</t>
  </si>
  <si>
    <t>Lot 065837</t>
  </si>
  <si>
    <t>InvJ000640</t>
  </si>
  <si>
    <t>Lot 065828</t>
  </si>
  <si>
    <t>Lot 065829</t>
  </si>
  <si>
    <t>Lot 065824</t>
  </si>
  <si>
    <t>Lot 065825</t>
  </si>
  <si>
    <t>Lot 065841</t>
  </si>
  <si>
    <t>Lot 065821</t>
  </si>
  <si>
    <t>Lot 065838</t>
  </si>
  <si>
    <t>Lot 065839</t>
  </si>
  <si>
    <t>Lot 065823</t>
  </si>
  <si>
    <t>InvJ000641</t>
  </si>
  <si>
    <t>Lot 065844</t>
  </si>
  <si>
    <t>InvJ000642</t>
  </si>
  <si>
    <t>Lot 065849</t>
  </si>
  <si>
    <t>Lot 065850</t>
  </si>
  <si>
    <t>Lot 065859</t>
  </si>
  <si>
    <t>Lot 065865</t>
  </si>
  <si>
    <t>Lot 065871</t>
  </si>
  <si>
    <t>Lot 065872</t>
  </si>
  <si>
    <t>Lot 065873</t>
  </si>
  <si>
    <t>Lot 065874</t>
  </si>
  <si>
    <t>Lot 065875</t>
  </si>
  <si>
    <t>Lot 065876</t>
  </si>
  <si>
    <t>Lot 065889</t>
  </si>
  <si>
    <t>Lot 065905</t>
  </si>
  <si>
    <t>Lot 065909</t>
  </si>
  <si>
    <t>Lot 065923</t>
  </si>
  <si>
    <t>InvJ000643</t>
  </si>
  <si>
    <t>Lot 065954</t>
  </si>
  <si>
    <t>Lot 065974</t>
  </si>
  <si>
    <t>Lot 065975</t>
  </si>
  <si>
    <t>Lot 065957</t>
  </si>
  <si>
    <t>Lot 065967</t>
  </si>
  <si>
    <t>Lot 065971</t>
  </si>
  <si>
    <t>Lot 065972</t>
  </si>
  <si>
    <t>Lot 065947</t>
  </si>
  <si>
    <t>Lot 065949</t>
  </si>
  <si>
    <t>Lot 065951</t>
  </si>
  <si>
    <t>Lot 065956</t>
  </si>
  <si>
    <t>Lot 065977</t>
  </si>
  <si>
    <t>Lot 065970</t>
  </si>
  <si>
    <t>Lot 065973</t>
  </si>
  <si>
    <t>Lot 065944</t>
  </si>
  <si>
    <t>Lot 065946</t>
  </si>
  <si>
    <t>Lot 065948</t>
  </si>
  <si>
    <t>Lot 065950</t>
  </si>
  <si>
    <t>Lot 065952</t>
  </si>
  <si>
    <t>Lot 065953</t>
  </si>
  <si>
    <t>Lot 065955</t>
  </si>
  <si>
    <t>Lot 065978</t>
  </si>
  <si>
    <t>Lot 065982</t>
  </si>
  <si>
    <t>Lot 065981</t>
  </si>
  <si>
    <t>Lot 065980</t>
  </si>
  <si>
    <t>InvJ000644</t>
  </si>
  <si>
    <t>Lot 065943</t>
  </si>
  <si>
    <t>InvJ000645</t>
  </si>
  <si>
    <t>Lot 065962</t>
  </si>
  <si>
    <t>Lot 065969</t>
  </si>
  <si>
    <t>InvJ000646</t>
  </si>
  <si>
    <t>Lot 065988</t>
  </si>
  <si>
    <t>Lot 065990</t>
  </si>
  <si>
    <t>Lot 065991</t>
  </si>
  <si>
    <t>Lot 066006</t>
  </si>
  <si>
    <t>InvJ000647</t>
  </si>
  <si>
    <t>Lot 066007</t>
  </si>
  <si>
    <t>Lot 066008</t>
  </si>
  <si>
    <t>Lot 066009</t>
  </si>
  <si>
    <t>Lot 066010</t>
  </si>
  <si>
    <t>Lot 066028</t>
  </si>
  <si>
    <t>Lot 066037</t>
  </si>
  <si>
    <t>InvJ000648</t>
  </si>
  <si>
    <t>Lot 066039</t>
  </si>
  <si>
    <t>InvJ000649</t>
  </si>
  <si>
    <t>Lot 066040</t>
  </si>
  <si>
    <t>Lot 066046</t>
  </si>
  <si>
    <t>Lot 066049</t>
  </si>
  <si>
    <t>InvJ000650</t>
  </si>
  <si>
    <t>Lot 066062</t>
  </si>
  <si>
    <t>Lot 066068</t>
  </si>
  <si>
    <t>Lot 066069</t>
  </si>
  <si>
    <t>Lot 066070</t>
  </si>
  <si>
    <t>Lot 066071</t>
  </si>
  <si>
    <t>Lot 066072</t>
  </si>
  <si>
    <t>Lot 066073</t>
  </si>
  <si>
    <t>Lot 066074</t>
  </si>
  <si>
    <t>Lot 066075</t>
  </si>
  <si>
    <t>Lot 066076</t>
  </si>
  <si>
    <t>Lot 066077</t>
  </si>
  <si>
    <t>InvJ000651</t>
  </si>
  <si>
    <t>Lot 066078</t>
  </si>
  <si>
    <t>Lot 066079</t>
  </si>
  <si>
    <t>Lot 066083</t>
  </si>
  <si>
    <t>InvJ000652</t>
  </si>
  <si>
    <t>Lot 066096</t>
  </si>
  <si>
    <t>Lot 066099</t>
  </si>
  <si>
    <t>InvJ000653</t>
  </si>
  <si>
    <t>Lot 066101</t>
  </si>
  <si>
    <t>Lot 066104</t>
  </si>
  <si>
    <t>Lot 066105</t>
  </si>
  <si>
    <t>Lot 066106</t>
  </si>
  <si>
    <t>Lot 066107</t>
  </si>
  <si>
    <t>Lot 066108</t>
  </si>
  <si>
    <t>Lot 066109</t>
  </si>
  <si>
    <t>Lot 066110</t>
  </si>
  <si>
    <t>Lot 066111</t>
  </si>
  <si>
    <t>Lot 066112</t>
  </si>
  <si>
    <t>Lot 066113</t>
  </si>
  <si>
    <t>Lot 066114</t>
  </si>
  <si>
    <t>Lot 066115</t>
  </si>
  <si>
    <t>Lot 066116</t>
  </si>
  <si>
    <t>Lot 066117</t>
  </si>
  <si>
    <t>Lot 066118</t>
  </si>
  <si>
    <t>Lot 066121</t>
  </si>
  <si>
    <t>Lot 066122</t>
  </si>
  <si>
    <t>Lot 066123</t>
  </si>
  <si>
    <t>Lot 066124</t>
  </si>
  <si>
    <t>Lot 066130</t>
  </si>
  <si>
    <t>Lot 066131</t>
  </si>
  <si>
    <t>Lot 066135</t>
  </si>
  <si>
    <t>Lot 066137</t>
  </si>
  <si>
    <t>Lot 066167</t>
  </si>
  <si>
    <t>InvJ000654</t>
  </si>
  <si>
    <t>Lot 066138</t>
  </si>
  <si>
    <t>Lot 066139</t>
  </si>
  <si>
    <t>Lot 066143</t>
  </si>
  <si>
    <t>Lot 066144</t>
  </si>
  <si>
    <t>Lot 066145</t>
  </si>
  <si>
    <t>InvJ000655</t>
  </si>
  <si>
    <t>Lot 066148</t>
  </si>
  <si>
    <t>Lot 066149</t>
  </si>
  <si>
    <t>Lot 066151</t>
  </si>
  <si>
    <t>Lot 066154</t>
  </si>
  <si>
    <t>Lot 066156</t>
  </si>
  <si>
    <t>Lot 066157</t>
  </si>
  <si>
    <t>Lot 066163</t>
  </si>
  <si>
    <t>Lot 066164</t>
  </si>
  <si>
    <t>Lot 066165</t>
  </si>
  <si>
    <t>Lot 066166</t>
  </si>
  <si>
    <t>Lot 066188</t>
  </si>
  <si>
    <t>InvJ000656</t>
  </si>
  <si>
    <t>Lot 066171</t>
  </si>
  <si>
    <t>Lot 066177</t>
  </si>
  <si>
    <t>Lot 066178</t>
  </si>
  <si>
    <t>Lot 066179</t>
  </si>
  <si>
    <t>Lot 066180</t>
  </si>
  <si>
    <t>Lot 066181</t>
  </si>
  <si>
    <t>Lot 066183</t>
  </si>
  <si>
    <t>Lot 066186</t>
  </si>
  <si>
    <t>InvJ000657</t>
  </si>
  <si>
    <t>Lot 066189</t>
  </si>
  <si>
    <t>Lot 066190</t>
  </si>
  <si>
    <t>Lot 066191</t>
  </si>
  <si>
    <t>Lot 066192</t>
  </si>
  <si>
    <t>Lot 066193</t>
  </si>
  <si>
    <t>Lot 066194</t>
  </si>
  <si>
    <t>Lot 066195</t>
  </si>
  <si>
    <t>Lot 066198</t>
  </si>
  <si>
    <t>Lot 066199</t>
  </si>
  <si>
    <t>InvJ000658</t>
  </si>
  <si>
    <t>Lot 066201</t>
  </si>
  <si>
    <t>Lot 066202</t>
  </si>
  <si>
    <t>Lot 066203</t>
  </si>
  <si>
    <t>Lot 066204</t>
  </si>
  <si>
    <t>Lot 066205</t>
  </si>
  <si>
    <t>Lot 066206</t>
  </si>
  <si>
    <t>Lot 066207</t>
  </si>
  <si>
    <t>Lot 066208</t>
  </si>
  <si>
    <t>Lot 066209</t>
  </si>
  <si>
    <t>Lot 066210</t>
  </si>
  <si>
    <t>Lot 066211</t>
  </si>
  <si>
    <t>Lot 066212</t>
  </si>
  <si>
    <t>Lot 066213</t>
  </si>
  <si>
    <t>Lot 066224</t>
  </si>
  <si>
    <t>Lot 066225</t>
  </si>
  <si>
    <t>Lot 066226</t>
  </si>
  <si>
    <t>Lot 066227</t>
  </si>
  <si>
    <t>InvJ000659</t>
  </si>
  <si>
    <t>Lot 066229</t>
  </si>
  <si>
    <t>Lot 066230</t>
  </si>
  <si>
    <t>InvJ000660</t>
  </si>
  <si>
    <t>Lot 066234</t>
  </si>
  <si>
    <t>Lot 066235</t>
  </si>
  <si>
    <t>Lot 066236</t>
  </si>
  <si>
    <t>InvJ000662</t>
  </si>
  <si>
    <t>Lot 066238</t>
  </si>
  <si>
    <t>Lot 066239</t>
  </si>
  <si>
    <t>Lot 066240</t>
  </si>
  <si>
    <t>Lot 066241</t>
  </si>
  <si>
    <t>Lot 066242</t>
  </si>
  <si>
    <t>Lot 066243</t>
  </si>
  <si>
    <t>Lot 066244</t>
  </si>
  <si>
    <t>Lot 066245</t>
  </si>
  <si>
    <t>Lot 066246</t>
  </si>
  <si>
    <t>Lot 066247</t>
  </si>
  <si>
    <t>Lot 066248</t>
  </si>
  <si>
    <t>Lot 066249</t>
  </si>
  <si>
    <t>Lot 066250</t>
  </si>
  <si>
    <t>Lot 066251</t>
  </si>
  <si>
    <t>Lot 066252</t>
  </si>
  <si>
    <t>Lot 066253</t>
  </si>
  <si>
    <t>Lot 066263</t>
  </si>
  <si>
    <t>Lot 066264</t>
  </si>
  <si>
    <t>InvJ000666</t>
  </si>
  <si>
    <t>Lot 066287</t>
  </si>
  <si>
    <t>Lot 066290</t>
  </si>
  <si>
    <t>Lot 066292</t>
  </si>
  <si>
    <t>InvJ000669</t>
  </si>
  <si>
    <t>Lot 066325</t>
  </si>
  <si>
    <t>Lot 066324</t>
  </si>
  <si>
    <t>Lot 066323</t>
  </si>
  <si>
    <t>InvJ000670</t>
  </si>
  <si>
    <t>Lot 066326</t>
  </si>
  <si>
    <t>InvJ000671</t>
  </si>
  <si>
    <t>Lot 066327</t>
  </si>
  <si>
    <t>InvJ000672</t>
  </si>
  <si>
    <t>Lot 066329</t>
  </si>
  <si>
    <t>InvJ000673</t>
  </si>
  <si>
    <t>Lot 066331</t>
  </si>
  <si>
    <t>Lot 066330</t>
  </si>
  <si>
    <t>Transaction type</t>
  </si>
  <si>
    <t>TPP Cost Price(Trans)</t>
  </si>
  <si>
    <t>TPP Cost Amount(Trans)</t>
  </si>
  <si>
    <t>TPP Cost Price(Accu)</t>
  </si>
  <si>
    <t>TPP Cost Amount(Accu)</t>
  </si>
  <si>
    <t>Transaction Type</t>
  </si>
  <si>
    <t>DD.MM.YYYY</t>
  </si>
  <si>
    <t>Region</t>
  </si>
  <si>
    <t>Date format</t>
  </si>
  <si>
    <t xml:space="preserve">0. European </t>
  </si>
  <si>
    <t>1. Germany</t>
  </si>
  <si>
    <t>TT.MM.JJJJ</t>
  </si>
  <si>
    <t>2. Netherland</t>
  </si>
  <si>
    <t>DD.MM.JJJJ</t>
  </si>
  <si>
    <t>3. America</t>
  </si>
  <si>
    <t>!Service</t>
  </si>
  <si>
    <t>Steps:</t>
  </si>
  <si>
    <t>V1</t>
  </si>
  <si>
    <t>Initial version</t>
  </si>
  <si>
    <t>Prepare</t>
  </si>
  <si>
    <t>Generate statement</t>
  </si>
  <si>
    <t>Complete</t>
  </si>
  <si>
    <t>Preparing Adjustment suggestion</t>
  </si>
  <si>
    <t>Generate suggestion</t>
  </si>
  <si>
    <t>Prepare Adjustment journal</t>
  </si>
  <si>
    <t>Generate journal</t>
  </si>
  <si>
    <t>TPP Cost price</t>
  </si>
  <si>
    <t>TPP Cost Amount</t>
  </si>
  <si>
    <t>Production line,Counting</t>
  </si>
  <si>
    <t>00001322_067,00001323_067,InvJ000619</t>
  </si>
  <si>
    <t>Purchase order,Counting</t>
  </si>
  <si>
    <t>ApP0002487,InvJ000631</t>
  </si>
  <si>
    <t>InvJ000635,InvJ000670</t>
  </si>
  <si>
    <t>00001318_067,InvJ000643</t>
  </si>
  <si>
    <t>Sales order,Counting</t>
  </si>
  <si>
    <t>SO0005715,SO0005740,SO0005808,SO0005809,InvJ000629</t>
  </si>
  <si>
    <t>Purchase order,Counting,TPP adjustment</t>
  </si>
  <si>
    <t>ApP0002476,InvJ000627</t>
  </si>
  <si>
    <t>Counting,TPP adjustment</t>
  </si>
  <si>
    <t>Transaction,Counting</t>
  </si>
  <si>
    <t>InvJ000611,InvJ000623</t>
  </si>
  <si>
    <t>Purchase order,Sales order,TPP adjustment</t>
  </si>
  <si>
    <t>ApP0002491,368ApP0000202</t>
  </si>
  <si>
    <t>InvJ000614,InvJ000657</t>
  </si>
  <si>
    <t>InvJ000610,InvJ000613,InvJ000653</t>
  </si>
  <si>
    <t>InvJ000612,InvJ000634</t>
  </si>
  <si>
    <t>Production,Sales order,Counting</t>
  </si>
  <si>
    <t>00001295_067,SO0005715,00001307_067,00001308_067,00001309_067,00001310_067,00001311_067,00001312_067,00001313_067,SO0005740,SO0005808,SO0005809,InvJ000643</t>
  </si>
  <si>
    <t>Production line,Purchase order</t>
  </si>
  <si>
    <t>00001295_067,00001307_067,00001308_067,00001309_067,00001310_067,00001311_067,00001312_067,00001313_067,ApP0002497,ApP0002499,ApP0002501,ApP0002503,ApP0002505,ApP0002507,ApP0002509</t>
  </si>
  <si>
    <t>00001304_067,00001305_067,00001306_067,00001314_067,00001315_067,00001316_067,00001319_067,00001320_067,00001325_067,00001327_067,InvJ000630,00001329_067</t>
  </si>
  <si>
    <t>00001317_067,00001321_067,InvJ000630</t>
  </si>
  <si>
    <t>Production,Sales order</t>
  </si>
  <si>
    <t>00001304_067,00001305_067,00001306_067,SO0005715,SO0005749,00001314_067,00001315_067,SO0005751,SO0005755,SO0005769,00001316_067,SO0005777,00001319_067,00001320_067,SO0005782,SO0005795,00001325_067,SO0005820,SO0005828,SO0005829,00001327_067,SO0005841,00001329_067</t>
  </si>
  <si>
    <t>00001317_067,SO0005778,00001321_067,SO0005801,SO0005823,SO0005824,InvJ000630</t>
  </si>
  <si>
    <t>00001304_067,00001305_067,00001306_067,00001314_067,00001315_067,00001316_067,00001317_067,00001319_067,00001320_067,00001321_067,00001325_067,00001327_067,InvJ000653,00001329_067</t>
  </si>
  <si>
    <t>00001318_067,SO0005781,InvJ000643</t>
  </si>
  <si>
    <t>ApP0002439,InvJ000629</t>
  </si>
  <si>
    <t>SO0005788,SO0005801,InvJ000629</t>
  </si>
  <si>
    <t>InvJ000629,InvJ000671</t>
  </si>
  <si>
    <t>Sales order,Production line,Counting</t>
  </si>
  <si>
    <t>SO0005801,00001324_067,00001328_067,InvJ000630</t>
  </si>
  <si>
    <t>SO0005808,SO0005809,InvJ000630</t>
  </si>
  <si>
    <t>Sales order,Production</t>
  </si>
  <si>
    <t>SO0005818,00001324_067,SO0005735,00001328_067</t>
  </si>
  <si>
    <t>InvJ000630,InvJ000666</t>
  </si>
  <si>
    <t>Sales order,TPP adjustment</t>
  </si>
  <si>
    <t>SO0005754,SO0005762,SO0005802,SO0005803</t>
  </si>
  <si>
    <t>SO0005738,SO0005754,SO0005801,InvJ000643</t>
  </si>
  <si>
    <t>SO0005738,InvJ000643</t>
  </si>
  <si>
    <t>ApP0002484,InvJ000631</t>
  </si>
  <si>
    <t>Sales order,Purchase order</t>
  </si>
  <si>
    <t>SO0005748,ApP0002456,ApP0002477,SO0005715,SO0005747,SO0005749,SO0005752,SO0005753,SO0005762,SO0005740,SO0005751,SO0005755,SO0005769,ApP0002475,ApP0002495,SO0005772,SO0005773,SO0005775,SO0005777,SO0005778,SO0005779,SO0005620,SO0005789,SO0005802,SO0005804,SO0005806,SO0005808,SO0005814,ApP0002411,SO0005801,SO0005803,SO0005805,SO0005807,SO0005809,SO0005815,SO0005819,SO0005818,SO0005820,SO0005823,SO0005824,SO0005821,SO0005822,SO0005828,SO0005829,SO0005735,SO0005787,SO0005825,SO0005833,SO0005834</t>
  </si>
  <si>
    <t>SO0005754,SO0005768,SO0005780,SO0005781,SO0005788,SO0005816,SO0005831,SO0005832</t>
  </si>
  <si>
    <t>SO0005790,SO0005838,SO0005839</t>
  </si>
  <si>
    <t>SO0005791,SO0005792,SO0005794,SO0005796,SO0005797,SO0005798,SO0005799,SO0005800,SO0005840</t>
  </si>
  <si>
    <t>SO0005817,SO0005819</t>
  </si>
  <si>
    <t>SO0005835,SO0005837</t>
  </si>
  <si>
    <t>SO0005838,SO0005839</t>
  </si>
  <si>
    <t>00001295_067,00001307_067,00001308_067,00001309_067,00001310_067,00001311_067,00001312_067,00001313_067,ApP0002448,ApP0002469,ApP0002432,ApP0002434,ApP0002436,ApP0002498,ApP0002500,ApP0002502,ApP0002504,ApP0002506,ApP0002508,ApP0002510</t>
  </si>
  <si>
    <t>ApP0002544,ApP0002545,ApP0002546</t>
  </si>
  <si>
    <t>00001304_067,00001305_067,00001306_067,00001314_067,00001315_067,00001316_067,00001317_067,00001319_067,00001320_067,00001321_067,00001325_067,00001327_067,00001329_067</t>
  </si>
  <si>
    <t>00001322_067,00001323_067</t>
  </si>
  <si>
    <t>Fill in the criterions in this report, from C1 to C8</t>
  </si>
  <si>
    <t>in H1, specify the region according to your system, this setting affects the date format in F1</t>
  </si>
  <si>
    <t>You might have to try different options to find out the one works for your Atlas</t>
  </si>
  <si>
    <t>Click button "Generate report"</t>
  </si>
  <si>
    <t>This function will generate the list in "On-hand statement"</t>
  </si>
  <si>
    <t>If the ending balance between inventory on-hand (column K) is different to TPP on-hand(column L)</t>
  </si>
  <si>
    <t>then the option "Check" (in column P) is set to Yes</t>
  </si>
  <si>
    <t>Please review and update the check mark in column P.</t>
  </si>
  <si>
    <t>Only the records marked as Yes will be included in TPP adjustment suggestion.</t>
  </si>
  <si>
    <t>Click button "Generate adjustment suggestion"</t>
  </si>
  <si>
    <t>This function will generate list in "Adjustment suggestion", based on the items you marked in "On-hand statement"</t>
  </si>
  <si>
    <t>An option "Adjustment" (column Q) indicates if we should generate a TPP journal line</t>
  </si>
  <si>
    <t>Please review and update the check mark in column Q.</t>
  </si>
  <si>
    <t>Only the records marked as Yes will be included in TPP adjustment journal generation.</t>
  </si>
  <si>
    <t>Review group by settings in range L22:M28</t>
  </si>
  <si>
    <t>The settings in this table will indicate how should the TPP adjustment journal be generated.</t>
  </si>
  <si>
    <t>Item number and warehouse are mandatory to be grouped by;</t>
  </si>
  <si>
    <t>Please review and update the check mark for the transaction type, reference number and date;</t>
  </si>
  <si>
    <t>The fewer fields you choose to be grouped by, the smaller number of lines will be generated.</t>
  </si>
  <si>
    <t>Click button "Generate TPP Adjustment journal proposal" to create TPP adjustment journal lines in "TPP Adjustment journal"</t>
  </si>
  <si>
    <t>The output is based on the TPP adjustment suggestions you marked as Yes (in step 3) and the group by settings (in step 4).</t>
  </si>
  <si>
    <t>The Output will be used as a suggestion for you to prepare and post the TPP adjustment journal, you still have to manually key in the TPP adjustment journal lines.</t>
  </si>
  <si>
    <t>Versions:</t>
  </si>
  <si>
    <t>Click "Refresh" button in tab "Atlas 5.1" to get the entire report refreshed.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</si>
</sst>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43" fontId="0" fillId="0" borderId="0" xfId="0" applyNumberFormat="1" applyAlignment="1"/>
    <xf numFmtId="43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0" fontId="0" fillId="0" borderId="1" xfId="0" applyFont="1" applyBorder="1"/>
    <xf numFmtId="0" fontId="0" fillId="0" borderId="2" xfId="0" applyFont="1" applyFill="1" applyBorder="1"/>
    <xf numFmtId="164" fontId="0" fillId="0" borderId="0" xfId="2" applyFont="1"/>
    <xf numFmtId="0" fontId="0" fillId="0" borderId="0" xfId="0" applyAlignment="1">
      <alignment wrapText="1"/>
    </xf>
    <xf numFmtId="1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5" fillId="0" borderId="0" xfId="0" applyFont="1"/>
    <xf numFmtId="0" fontId="0" fillId="0" borderId="0" xfId="0" applyFont="1"/>
  </cellXfs>
  <cellStyles count="3">
    <cellStyle name="Comma" xfId="2" builtinId="3"/>
    <cellStyle name="Normal" xfId="0" builtinId="0"/>
    <cellStyle name="Title" xfId="1" builtinId="15"/>
  </cellStyles>
  <dxfs count="125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600075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0</xdr:rowOff>
        </xdr:from>
        <xdr:to>
          <xdr:col>13</xdr:col>
          <xdr:colOff>600075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adjustment suggestion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15</xdr:row>
          <xdr:rowOff>0</xdr:rowOff>
        </xdr:from>
        <xdr:to>
          <xdr:col>14</xdr:col>
          <xdr:colOff>9525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TPP Adjustment journal proposal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L23:M28" totalsRowShown="0">
  <autoFilter ref="L23:M28"/>
  <tableColumns count="2">
    <tableColumn id="1" name="Fields"/>
    <tableColumn id="2" name="Group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6" name="OnHandStatement" displayName="OnHandStatement" ref="A1:P396" totalsRowShown="0" dataDxfId="111" dataCellStyle="Comma">
  <autoFilter ref="A1:P396"/>
  <tableColumns count="16">
    <tableColumn id="1" name="Item"/>
    <tableColumn id="2" name="Site"/>
    <tableColumn id="3" name="Warehouse"/>
    <tableColumn id="4" name="Invent on-hand beginning" dataDxfId="123" dataCellStyle="Comma"/>
    <tableColumn id="5" name="TPP on-hand beginning" dataDxfId="122" dataCellStyle="Comma"/>
    <tableColumn id="6" name="Beginning balance reconcile" dataDxfId="121" dataCellStyle="Comma"/>
    <tableColumn id="7" name="TPP Balance Beginning" dataDxfId="120" dataCellStyle="Comma"/>
    <tableColumn id="8" name="TPP Cost price Beginning" dataDxfId="119" dataCellStyle="Comma"/>
    <tableColumn id="9" name="Invent Transaction" dataDxfId="118" dataCellStyle="Comma"/>
    <tableColumn id="10" name="TPP Transaction" dataDxfId="117" dataCellStyle="Comma"/>
    <tableColumn id="11" name="Invent ending balance" dataDxfId="116" dataCellStyle="Comma"/>
    <tableColumn id="12" name="TPP on-hand ending balance" dataDxfId="115" dataCellStyle="Comma"/>
    <tableColumn id="13" name="Ending ON-hand reconcile" dataDxfId="114" dataCellStyle="Comma"/>
    <tableColumn id="14" name="TPP Balance Ending" dataDxfId="113" dataCellStyle="Comma"/>
    <tableColumn id="15" name="TPP Cost price Ending" dataDxfId="112" dataCellStyle="Comma"/>
    <tableColumn id="16" name="Check Tra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7" name="TPPAdjustmentProposal" displayName="TPPAdjustmentProposal" ref="A1:Q1604" totalsRowShown="0">
  <autoFilter ref="A1:Q1604"/>
  <tableColumns count="17">
    <tableColumn id="1" name="Item number"/>
    <tableColumn id="2" name="Item name"/>
    <tableColumn id="3" name="Site"/>
    <tableColumn id="4" name="Warehouse"/>
    <tableColumn id="5" name="Date" dataDxfId="110"/>
    <tableColumn id="6" name="Transaction type"/>
    <tableColumn id="7" name="Reference"/>
    <tableColumn id="8" name="Quantity"/>
    <tableColumn id="9" name="Unit"/>
    <tableColumn id="10" name="TPP Cost Price(Trans)"/>
    <tableColumn id="11" name="TPP Cost Amount(Trans)"/>
    <tableColumn id="12" name="Currency"/>
    <tableColumn id="13" name="TransOrigin"/>
    <tableColumn id="14" name="Lot Id"/>
    <tableColumn id="15" name="TPP Cost Price(Accu)"/>
    <tableColumn id="16" name="TPP Cost Amount(Accu)"/>
    <tableColumn id="17" name="Adjustment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8" name="TPPAdjustmentJournal" displayName="TPPAdjustmentJournal" ref="A1:I202" totalsRowShown="0">
  <autoFilter ref="A1:I202"/>
  <tableColumns count="9">
    <tableColumn id="1" name="Date" dataDxfId="109"/>
    <tableColumn id="2" name="Item number"/>
    <tableColumn id="3" name="Item name"/>
    <tableColumn id="4" name="Warehouse"/>
    <tableColumn id="5" name="Transaction text"/>
    <tableColumn id="6" name="Reference"/>
    <tableColumn id="7" name="Quantity"/>
    <tableColumn id="8" name="TPP Cost price"/>
    <tableColumn id="9" name="TPP Cost Am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2" name="AtlasReport_1_Table_1" displayName="AtlasReport_1_Table_1" ref="A2:N866" totalsRowCount="1">
  <autoFilter ref="A2:N865"/>
  <tableColumns count="14">
    <tableColumn id="1" name="Reference" totalsRowLabel="Total" dataDxfId="108" totalsRowDxfId="95"/>
    <tableColumn id="2" name="Number" dataDxfId="107" totalsRowDxfId="94"/>
    <tableColumn id="3" name="Item number" totalsRowLabel="Total" dataDxfId="106" totalsRowDxfId="93"/>
    <tableColumn id="4" name="Item name" dataDxfId="105" totalsRowDxfId="92"/>
    <tableColumn id="5" name="Site" dataDxfId="104" totalsRowDxfId="91"/>
    <tableColumn id="6" name="Warehouse" dataDxfId="103" totalsRowDxfId="90"/>
    <tableColumn id="7" name="Physical date" dataDxfId="102" totalsRowDxfId="89"/>
    <tableColumn id="8" name="Financial date" dataDxfId="101" totalsRowDxfId="88"/>
    <tableColumn id="9" name="Quantity" totalsRowFunction="sum" dataDxfId="100" totalsRowDxfId="87"/>
    <tableColumn id="10" name="Unit" dataDxfId="99" totalsRowDxfId="86"/>
    <tableColumn id="11" name="Lot ID" dataDxfId="98" totalsRowDxfId="85"/>
    <tableColumn id="12" name="VendInvoiceTransId" dataDxfId="97" totalsRowDxfId="84">
      <calculatedColumnFormula>IF(AtlasReport_1_Table_1[[#This Row],[Reference]]="Purchase order",_xll.AtlasFormulas.AtlasFunctions.AtlasTable("UAT",DataAreaId,"T.VendInvoiceTrans","%RecId","","","","","","","ItemId|PurchID|InventTransId",$C3,$B3,$K3),"")</calculatedColumnFormula>
    </tableColumn>
    <tableColumn id="13" name="Currency" dataDxfId="96" totalsRowDxfId="83">
      <calculatedColumnFormula>IF(AtlasReport_1_Table_1[[#This Row],[Reference]]="Purchase order",_xll.AtlasFormulas.AtlasFunctions.AtlasTable("UAT",DataAreaId,"T.MarkupTrans","%CurrencyCode","","","","","","","MarkupCode|TransRecId|TransTableId","TPP",$L3,"492"),"")</calculatedColumnFormula>
    </tableColumn>
    <tableColumn id="14" name="TPP (Purchase invoice trans)" dataDxfId="81" totalsRowDxfId="82">
      <calculatedColumnFormula>IF(AtlasReport_1_Table_1[[#This Row],[Reference]]="Purchase order",_xll.AtlasFormulas.AtlasFunctions.AtlasBalance("UAT",DataAreaId,"T.MarkupTrans","Sum|Posted|0","","","","","","","MarkupCode|TransTableId|TransRecId","TPP","492",$L3),"")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AtlasReport_2_Table_1" displayName="AtlasReport_2_Table_1" ref="A2:Q515" totalsRowCount="1">
  <autoFilter ref="A2:Q514"/>
  <tableColumns count="17">
    <tableColumn id="1" name="Reference" totalsRowLabel="Total" dataDxfId="78" totalsRowDxfId="80"/>
    <tableColumn id="2" name="Number" dataDxfId="76" totalsRowDxfId="79"/>
    <tableColumn id="3" name="Item number" dataDxfId="74" totalsRowDxfId="77"/>
    <tableColumn id="4" name="Item name" dataDxfId="72" totalsRowDxfId="75"/>
    <tableColumn id="5" name="Date" dataDxfId="70" totalsRowDxfId="73"/>
    <tableColumn id="6" name="Site" dataDxfId="68" totalsRowDxfId="71"/>
    <tableColumn id="7" name="Warehouse" dataDxfId="66" totalsRowDxfId="69"/>
    <tableColumn id="8" name="Quantity" totalsRowFunction="sum" dataDxfId="64" totalsRowDxfId="67"/>
    <tableColumn id="9" name="Unit" dataDxfId="62" totalsRowDxfId="65"/>
    <tableColumn id="10" name="TPP cost price" totalsRowFunction="sum" dataDxfId="60" totalsRowDxfId="63"/>
    <tableColumn id="11" name="TPP cost amount" totalsRowFunction="sum" dataDxfId="58" totalsRowDxfId="61"/>
    <tableColumn id="12" name="Currency" dataDxfId="56" totalsRowDxfId="59"/>
    <tableColumn id="13" name="TPP cost amount currency" totalsRowFunction="sum" dataDxfId="54" totalsRowDxfId="57"/>
    <tableColumn id="14" name="Financial voucher" dataDxfId="52" totalsRowDxfId="55"/>
    <tableColumn id="15" name="Lot ID" dataDxfId="50" totalsRowDxfId="53"/>
    <tableColumn id="16" name="Status" dataDxfId="48" totalsRowDxfId="51"/>
    <tableColumn id="17" name="InventTransRecId" totalsRowFunction="sum" dataDxfId="47" totalsRowDxfId="4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AtlasReport_3_Table_1" displayName="AtlasReport_3_Table_1" ref="A2:H835" totalsRowCount="1">
  <autoFilter ref="A2:H834"/>
  <tableColumns count="8">
    <tableColumn id="1" name="Item number" totalsRowLabel="Total" dataDxfId="46" totalsRowDxfId="39"/>
    <tableColumn id="2" name="Site" dataDxfId="45" totalsRowDxfId="38"/>
    <tableColumn id="3" name="Warehouse" dataDxfId="44" totalsRowDxfId="37"/>
    <tableColumn id="4" name="Current On-hand" totalsRowFunction="sum" dataDxfId="43" totalsRowDxfId="36"/>
    <tableColumn id="5" name="Trans backwords (Beginning)" totalsRowFunction="sum" dataDxfId="42" totalsRowDxfId="35">
      <calculatedColumnFormula>_xll.AtlasFormulas.AtlasFunctions.AtlasBalance("PROD",DataAreaId,"T.InventTrans|inventDimId~inventDimId@T.InventDim","Sum|Qty|0","","","","","","","DateFinancial|ItemId|T2.InventSiteId|T2.InventLocationId",PeriodBeginning,$A3,$B3,$C3)</calculatedColumnFormula>
    </tableColumn>
    <tableColumn id="6" name="Trans backwords (Ending)" totalsRowFunction="sum" dataDxfId="41" totalsRowDxfId="34">
      <calculatedColumnFormula>_xll.AtlasFormulas.AtlasFunctions.AtlasBalance("PROD",DataAreaId,"T.InventTrans|inventDimId~inventDimId@T.InventDim","Sum|Qty|0","","","","","","","DateFinancial|ItemId|T2.InventSiteId|T2.InventLocationId",PeriodEnding,$A3,$B3,$C3)</calculatedColumnFormula>
    </tableColumn>
    <tableColumn id="7" name="Beginning On-hand" totalsRowFunction="sum" dataDxfId="40" totalsRowDxfId="33">
      <calculatedColumnFormula>AtlasReport_3_Table_1[[#This Row],[Current On-hand]]-AtlasReport_3_Table_1[[#This Row],[Trans backwords (Beginning)]]</calculatedColumnFormula>
    </tableColumn>
    <tableColumn id="8" name="Ending On-hand" totalsRowFunction="sum" dataDxfId="31" totalsRowDxfId="32">
      <calculatedColumnFormula>AtlasReport_3_Table_1[[#This Row],[Current On-hand]]-AtlasReport_3_Table_1[[#This Row],[Trans backwords (Ending)]]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5" name="AtlasReport_4_Table_1" displayName="AtlasReport_4_Table_1" ref="A2:M376" totalsRowCount="1">
  <autoFilter ref="A2:M375"/>
  <tableColumns count="13">
    <tableColumn id="1" name="Item number" totalsRowLabel="Total" dataDxfId="30" totalsRowDxfId="18"/>
    <tableColumn id="2" name="Site" dataDxfId="29" totalsRowDxfId="17"/>
    <tableColumn id="3" name="Warehouse" dataDxfId="28" totalsRowDxfId="16"/>
    <tableColumn id="4" name="Quantity" totalsRowFunction="sum" dataDxfId="27" totalsRowDxfId="15"/>
    <tableColumn id="5" name="TPP cost amount" totalsRowFunction="sum" dataDxfId="26" totalsRowDxfId="14"/>
    <tableColumn id="6" name="TPP trans backwards (Beginning)" dataDxfId="25" totalsRowDxfId="13">
      <calculatedColumnFormula>_xll.AtlasFormulas.AtlasFunctions.AtlasBalance("PROD",DataAreaId,"T.TPPTrans_sst|InventDimId~inventDimId@T.InventDim","Sum|Qty|0","","","","","","","ItemId|TransDate|T2.InventSiteId|T2.InventLocationId",$A3,PeriodBeginning,$B3,$C3)</calculatedColumnFormula>
    </tableColumn>
    <tableColumn id="7" name="TPP trans backwards (Ending)" dataDxfId="24" totalsRowDxfId="12">
      <calculatedColumnFormula>_xll.AtlasFormulas.AtlasFunctions.AtlasBalance("PROD",DataAreaId,"T.TPPTrans_sst|InventDimId~inventDimId@T.InventDim","Sum|Qty|0","","","","","","","ItemId|TransDate|T2.InventSiteId|T2.InventLocationId",$A3,PeriodEnding,$B3,$C3)</calculatedColumnFormula>
    </tableColumn>
    <tableColumn id="8" name="TPP On-hand (Beginning)" dataDxfId="23" totalsRowDxfId="11">
      <calculatedColumnFormula>AtlasReport_4_Table_1[[#This Row],[Quantity]]-AtlasReport_4_Table_1[[#This Row],[TPP trans backwards (Beginning)]]</calculatedColumnFormula>
    </tableColumn>
    <tableColumn id="9" name="TPP On-hand (Ending)" dataDxfId="22" totalsRowDxfId="10">
      <calculatedColumnFormula>AtlasReport_4_Table_1[[#This Row],[Quantity]]-AtlasReport_4_Table_1[[#This Row],[TPP trans backwards (Ending)]]</calculatedColumnFormula>
    </tableColumn>
    <tableColumn id="10" name="TPP trans backwards balance (Beginning)" dataDxfId="21" totalsRowDxfId="9">
      <calculatedColumnFormula>_xll.AtlasFormulas.AtlasFunctions.AtlasBalance("PROD",DataAreaId,"T.TPPTrans_sst|InventDimId~inventDimId@T.InventDim","Sum|CostAmount|0","","","","","","","ItemId|TransDate|T2.InventSiteId|T2.InventLocationId",$A3,PeriodBeginning,$B3,$C3)</calculatedColumnFormula>
    </tableColumn>
    <tableColumn id="11" name="TPP trans backwards balance (Ending)" dataDxfId="20" totalsRowDxfId="8">
      <calculatedColumnFormula>_xll.AtlasFormulas.AtlasFunctions.AtlasBalance("PROD",DataAreaId,"T.TPPTrans_sst|InventDimId~inventDimId@T.InventDim","Sum|CostAmount|0","","","","","","","ItemId|TransDate|T2.InventSiteId|T2.InventLocationId",$A3,PeriodEnding,$B3,$C3)</calculatedColumnFormula>
    </tableColumn>
    <tableColumn id="12" name="TPP Balance (Beginning)" dataDxfId="19" totalsRowDxfId="7">
      <calculatedColumnFormula>AtlasReport_4_Table_1[[#This Row],[TPP cost amount]]-AtlasReport_4_Table_1[[#This Row],[TPP trans backwards balance (Beginning)]]</calculatedColumnFormula>
    </tableColumn>
    <tableColumn id="13" name="TPP Balance (Ending)" dataDxfId="5" totalsRowDxfId="6">
      <calculatedColumnFormula>AtlasReport_4_Table_1[[#This Row],[TPP cost amount]]-AtlasReport_4_Table_1[[#This Row],[TPP Balance (Beginning)]]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6" name="AtlasReport_5_Table_1" displayName="AtlasReport_5_Table_1" ref="A2:E510" totalsRowShown="0">
  <autoFilter ref="A2:E510"/>
  <tableColumns count="5">
    <tableColumn id="1" name="Item number" dataDxfId="4"/>
    <tableColumn id="2" name="Item name" dataDxfId="3"/>
    <tableColumn id="3" name="Item group" dataDxfId="2"/>
    <tableColumn id="4" name="Item type" dataDxfId="1"/>
    <tableColumn id="5" name="Unit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" name="TableMapping" displayName="TableMapping" ref="A2:B7" totalsRowShown="0">
  <autoFilter ref="A2:B7"/>
  <tableColumns count="2">
    <tableColumn id="1" name="TableId"/>
    <tableColumn id="2" name="Sheet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" name="FieldMapping" displayName="FieldMapping" ref="A10:C67" totalsRowShown="0">
  <autoFilter ref="A10:C67"/>
  <tableColumns count="3">
    <tableColumn id="1" name="TableId" dataDxfId="124"/>
    <tableColumn id="2" name="FieldId"/>
    <tableColumn id="3" name="Column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A72:B76" totalsRowShown="0">
  <autoFilter ref="A72:B76"/>
  <tableColumns count="2">
    <tableColumn id="1" name="Region"/>
    <tableColumn id="2" name="Date form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37"/>
  <sheetViews>
    <sheetView tabSelected="1" workbookViewId="0">
      <selection activeCell="C6" sqref="C6"/>
    </sheetView>
  </sheetViews>
  <sheetFormatPr defaultRowHeight="15" x14ac:dyDescent="0.25"/>
  <cols>
    <col min="2" max="2" width="14.140625" customWidth="1"/>
    <col min="3" max="3" width="10.7109375" bestFit="1" customWidth="1"/>
    <col min="6" max="6" width="21.28515625" customWidth="1"/>
    <col min="7" max="7" width="14" customWidth="1"/>
    <col min="8" max="8" width="13.140625" customWidth="1"/>
    <col min="12" max="12" width="14.140625" customWidth="1"/>
    <col min="16" max="16" width="31.140625" customWidth="1"/>
    <col min="17" max="17" width="15.28515625" bestFit="1" customWidth="1"/>
    <col min="18" max="18" width="11.28515625" customWidth="1"/>
  </cols>
  <sheetData>
    <row r="1" spans="2:17" x14ac:dyDescent="0.25">
      <c r="B1" t="s">
        <v>0</v>
      </c>
      <c r="C1">
        <v>360</v>
      </c>
      <c r="F1" t="str">
        <f>VLOOKUP(DateRegion,Table9[#All],2,0)</f>
        <v>MM.DD.YYYY</v>
      </c>
      <c r="G1" t="s">
        <v>3</v>
      </c>
      <c r="H1" t="s">
        <v>2352</v>
      </c>
    </row>
    <row r="2" spans="2:17" x14ac:dyDescent="0.25">
      <c r="B2" t="s">
        <v>1</v>
      </c>
      <c r="C2" s="1">
        <v>43070</v>
      </c>
      <c r="P2" t="s">
        <v>2357</v>
      </c>
      <c r="Q2" s="16">
        <v>2.3148148148148147E-5</v>
      </c>
    </row>
    <row r="3" spans="2:17" x14ac:dyDescent="0.25">
      <c r="B3" t="s">
        <v>2</v>
      </c>
      <c r="C3" s="1">
        <v>43100</v>
      </c>
      <c r="P3" t="s">
        <v>2358</v>
      </c>
      <c r="Q3" s="16">
        <v>3.4722222222222222E-5</v>
      </c>
    </row>
    <row r="4" spans="2:17" x14ac:dyDescent="0.25">
      <c r="B4" t="s">
        <v>5</v>
      </c>
      <c r="C4" t="str">
        <f>TEXT(FromDate,DateFormat) &amp; " .. " &amp; TEXT(ToDate,DateFormat)</f>
        <v>12.01.2017 .. 12.31.2017</v>
      </c>
      <c r="F4" t="s">
        <v>85</v>
      </c>
      <c r="G4" t="str">
        <f>TEXT(FromDate,DateFormat)&amp;" .. "&amp;TEXT(DATE(2099,12,31),DateFormat)</f>
        <v>12.01.2017 .. 12.31.2099</v>
      </c>
      <c r="P4" s="17" t="s">
        <v>2359</v>
      </c>
      <c r="Q4" s="16">
        <v>9.2592592592592588E-5</v>
      </c>
    </row>
    <row r="5" spans="2:17" x14ac:dyDescent="0.25">
      <c r="F5" t="s">
        <v>86</v>
      </c>
      <c r="G5" t="str">
        <f>TEXT(ToDate+1,DateFormat)&amp;" .. "&amp;TEXT(DATE(2099,12,31),DateFormat)</f>
        <v>01.01.2018 .. 12.31.2099</v>
      </c>
    </row>
    <row r="7" spans="2:17" x14ac:dyDescent="0.25">
      <c r="B7" t="s">
        <v>239</v>
      </c>
      <c r="C7" t="s">
        <v>251</v>
      </c>
    </row>
    <row r="8" spans="2:17" x14ac:dyDescent="0.25">
      <c r="B8" t="s">
        <v>179</v>
      </c>
      <c r="C8" t="s">
        <v>2353</v>
      </c>
    </row>
    <row r="9" spans="2:17" x14ac:dyDescent="0.25">
      <c r="P9" t="s">
        <v>2360</v>
      </c>
      <c r="Q9" s="16">
        <v>1.1574074074074073E-4</v>
      </c>
    </row>
    <row r="10" spans="2:17" x14ac:dyDescent="0.25">
      <c r="P10" t="s">
        <v>2361</v>
      </c>
      <c r="Q10" s="16">
        <v>1.273148148148148E-4</v>
      </c>
    </row>
    <row r="11" spans="2:17" x14ac:dyDescent="0.25">
      <c r="B11" t="s">
        <v>2354</v>
      </c>
      <c r="P11" s="18" t="s">
        <v>2359</v>
      </c>
      <c r="Q11" s="16">
        <v>7.175925925925927E-4</v>
      </c>
    </row>
    <row r="12" spans="2:17" x14ac:dyDescent="0.25">
      <c r="B12">
        <v>1</v>
      </c>
      <c r="C12" t="s">
        <v>2421</v>
      </c>
    </row>
    <row r="13" spans="2:17" x14ac:dyDescent="0.25">
      <c r="C13" t="s">
        <v>2422</v>
      </c>
    </row>
    <row r="14" spans="2:17" x14ac:dyDescent="0.25">
      <c r="C14" t="s">
        <v>2423</v>
      </c>
    </row>
    <row r="15" spans="2:17" x14ac:dyDescent="0.25">
      <c r="C15" s="20" t="s">
        <v>2444</v>
      </c>
    </row>
    <row r="16" spans="2:17" x14ac:dyDescent="0.25">
      <c r="B16">
        <v>2</v>
      </c>
      <c r="C16" t="s">
        <v>2424</v>
      </c>
      <c r="P16" t="s">
        <v>2362</v>
      </c>
      <c r="Q16" s="16">
        <v>9.2592592592592585E-4</v>
      </c>
    </row>
    <row r="17" spans="2:17" x14ac:dyDescent="0.25">
      <c r="C17" t="s">
        <v>2425</v>
      </c>
      <c r="P17" s="18" t="s">
        <v>2363</v>
      </c>
      <c r="Q17" s="16">
        <v>1.1805555555555556E-3</v>
      </c>
    </row>
    <row r="18" spans="2:17" x14ac:dyDescent="0.25">
      <c r="C18" t="s">
        <v>2426</v>
      </c>
      <c r="P18" s="17" t="s">
        <v>2359</v>
      </c>
      <c r="Q18" s="16">
        <v>1.4351851851851854E-3</v>
      </c>
    </row>
    <row r="19" spans="2:17" x14ac:dyDescent="0.25">
      <c r="C19" s="19" t="s">
        <v>2427</v>
      </c>
    </row>
    <row r="20" spans="2:17" x14ac:dyDescent="0.25">
      <c r="C20" s="20" t="s">
        <v>2428</v>
      </c>
    </row>
    <row r="21" spans="2:17" x14ac:dyDescent="0.25">
      <c r="C21" s="20" t="s">
        <v>2429</v>
      </c>
    </row>
    <row r="22" spans="2:17" x14ac:dyDescent="0.25">
      <c r="B22">
        <v>3</v>
      </c>
      <c r="C22" t="s">
        <v>2430</v>
      </c>
    </row>
    <row r="23" spans="2:17" x14ac:dyDescent="0.25">
      <c r="C23" t="s">
        <v>2431</v>
      </c>
      <c r="L23" t="s">
        <v>172</v>
      </c>
      <c r="M23" t="s">
        <v>259</v>
      </c>
    </row>
    <row r="24" spans="2:17" x14ac:dyDescent="0.25">
      <c r="C24" t="s">
        <v>2432</v>
      </c>
      <c r="L24" t="s">
        <v>6</v>
      </c>
      <c r="M24" t="s">
        <v>249</v>
      </c>
    </row>
    <row r="25" spans="2:17" x14ac:dyDescent="0.25">
      <c r="C25" s="20" t="s">
        <v>2433</v>
      </c>
      <c r="L25" t="s">
        <v>50</v>
      </c>
      <c r="M25" t="s">
        <v>249</v>
      </c>
    </row>
    <row r="26" spans="2:17" x14ac:dyDescent="0.25">
      <c r="C26" s="20" t="s">
        <v>2434</v>
      </c>
      <c r="L26" t="s">
        <v>2343</v>
      </c>
      <c r="M26" t="s">
        <v>254</v>
      </c>
    </row>
    <row r="27" spans="2:17" x14ac:dyDescent="0.25">
      <c r="B27">
        <v>4</v>
      </c>
      <c r="C27" t="s">
        <v>2435</v>
      </c>
      <c r="L27" t="s">
        <v>8</v>
      </c>
      <c r="M27" t="s">
        <v>254</v>
      </c>
    </row>
    <row r="28" spans="2:17" x14ac:dyDescent="0.25">
      <c r="C28" t="s">
        <v>2436</v>
      </c>
      <c r="L28" t="s">
        <v>47</v>
      </c>
      <c r="M28" t="s">
        <v>254</v>
      </c>
    </row>
    <row r="29" spans="2:17" x14ac:dyDescent="0.25">
      <c r="C29" s="20" t="s">
        <v>2437</v>
      </c>
    </row>
    <row r="30" spans="2:17" x14ac:dyDescent="0.25">
      <c r="C30" s="20" t="s">
        <v>2438</v>
      </c>
    </row>
    <row r="31" spans="2:17" x14ac:dyDescent="0.25">
      <c r="C31" s="20" t="s">
        <v>2439</v>
      </c>
    </row>
    <row r="32" spans="2:17" x14ac:dyDescent="0.25">
      <c r="B32">
        <v>5</v>
      </c>
      <c r="C32" s="21" t="s">
        <v>2440</v>
      </c>
    </row>
    <row r="33" spans="2:4" x14ac:dyDescent="0.25">
      <c r="C33" s="20" t="s">
        <v>2441</v>
      </c>
    </row>
    <row r="34" spans="2:4" x14ac:dyDescent="0.25">
      <c r="C34" s="20" t="s">
        <v>2442</v>
      </c>
    </row>
    <row r="36" spans="2:4" x14ac:dyDescent="0.25">
      <c r="B36" t="s">
        <v>2443</v>
      </c>
    </row>
    <row r="37" spans="2:4" x14ac:dyDescent="0.25">
      <c r="B37" t="s">
        <v>2355</v>
      </c>
      <c r="C37" s="1">
        <v>43100</v>
      </c>
      <c r="D37" t="s">
        <v>2356</v>
      </c>
    </row>
  </sheetData>
  <dataValidations disablePrompts="1" count="3">
    <dataValidation type="list" allowBlank="1" showInputMessage="1" showErrorMessage="1" sqref="F1">
      <formula1>"MM.DD.YYYY, DD.MM.YYYY"</formula1>
    </dataValidation>
    <dataValidation type="list" allowBlank="1" showInputMessage="1" showErrorMessage="1" sqref="M24:M28">
      <formula1>"Yes,No"</formula1>
    </dataValidation>
    <dataValidation type="list" allowBlank="1" showInputMessage="1" showErrorMessage="1" sqref="H1">
      <formula1>Region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OnHandStatement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djustmentList">
                <anchor moveWithCells="1" sizeWithCells="1">
                  <from>
                    <xdr:col>11</xdr:col>
                    <xdr:colOff>9525</xdr:colOff>
                    <xdr:row>8</xdr:row>
                    <xdr:rowOff>0</xdr:rowOff>
                  </from>
                  <to>
                    <xdr:col>13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TPPAdjJournal">
                <anchor moveWithCells="1" sizeWithCells="1">
                  <from>
                    <xdr:col>10</xdr:col>
                    <xdr:colOff>600075</xdr:colOff>
                    <xdr:row>15</xdr:row>
                    <xdr:rowOff>0</xdr:rowOff>
                  </from>
                  <to>
                    <xdr:col>14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97"/>
  <sheetViews>
    <sheetView workbookViewId="0">
      <pane xSplit="3" ySplit="1" topLeftCell="I230" activePane="bottomRight" state="frozen"/>
      <selection pane="topRight" activeCell="D1" sqref="D1"/>
      <selection pane="bottomLeft" activeCell="A2" sqref="A2"/>
      <selection pane="bottomRight" activeCell="P230" sqref="P230"/>
    </sheetView>
  </sheetViews>
  <sheetFormatPr defaultRowHeight="15" x14ac:dyDescent="0.25"/>
  <cols>
    <col min="1" max="1" width="11.140625" customWidth="1"/>
    <col min="2" max="2" width="6.7109375" customWidth="1"/>
    <col min="3" max="3" width="13.42578125" customWidth="1"/>
    <col min="4" max="4" width="26" customWidth="1"/>
    <col min="5" max="5" width="23.5703125" customWidth="1"/>
    <col min="6" max="6" width="27.85546875" customWidth="1"/>
    <col min="7" max="7" width="23" customWidth="1"/>
    <col min="8" max="8" width="24.85546875" customWidth="1"/>
    <col min="9" max="9" width="19.42578125" customWidth="1"/>
    <col min="10" max="10" width="17" customWidth="1"/>
    <col min="11" max="11" width="22.7109375" customWidth="1"/>
    <col min="12" max="12" width="28.140625" customWidth="1"/>
    <col min="13" max="13" width="26.140625" customWidth="1"/>
    <col min="14" max="14" width="20.140625" customWidth="1"/>
    <col min="15" max="15" width="22" customWidth="1"/>
    <col min="16" max="16" width="13.5703125" customWidth="1"/>
  </cols>
  <sheetData>
    <row r="1" spans="1:16" x14ac:dyDescent="0.25">
      <c r="A1" t="s">
        <v>181</v>
      </c>
      <c r="B1" t="s">
        <v>49</v>
      </c>
      <c r="C1" t="s">
        <v>50</v>
      </c>
      <c r="D1" t="s">
        <v>227</v>
      </c>
      <c r="E1" t="s">
        <v>228</v>
      </c>
      <c r="F1" t="s">
        <v>229</v>
      </c>
      <c r="G1" t="s">
        <v>235</v>
      </c>
      <c r="H1" t="s">
        <v>237</v>
      </c>
      <c r="I1" t="s">
        <v>230</v>
      </c>
      <c r="J1" t="s">
        <v>231</v>
      </c>
      <c r="K1" t="s">
        <v>232</v>
      </c>
      <c r="L1" t="s">
        <v>233</v>
      </c>
      <c r="M1" t="s">
        <v>234</v>
      </c>
      <c r="N1" t="s">
        <v>236</v>
      </c>
      <c r="O1" t="s">
        <v>238</v>
      </c>
      <c r="P1" t="s">
        <v>248</v>
      </c>
    </row>
    <row r="2" spans="1:16" x14ac:dyDescent="0.25">
      <c r="A2" t="s">
        <v>260</v>
      </c>
      <c r="B2">
        <v>160</v>
      </c>
      <c r="C2" t="s">
        <v>263</v>
      </c>
      <c r="D2" s="14">
        <v>181</v>
      </c>
      <c r="E2" s="14">
        <v>51</v>
      </c>
      <c r="F2" s="14">
        <v>130</v>
      </c>
      <c r="G2" s="14">
        <v>0</v>
      </c>
      <c r="H2" s="14">
        <v>0</v>
      </c>
      <c r="I2" s="14">
        <v>-28</v>
      </c>
      <c r="J2" s="14">
        <v>0</v>
      </c>
      <c r="K2" s="14">
        <v>153</v>
      </c>
      <c r="L2" s="14">
        <v>51</v>
      </c>
      <c r="M2" s="14">
        <v>102</v>
      </c>
      <c r="N2" s="14">
        <v>0</v>
      </c>
      <c r="O2" s="14">
        <v>0</v>
      </c>
      <c r="P2" t="s">
        <v>249</v>
      </c>
    </row>
    <row r="3" spans="1:16" x14ac:dyDescent="0.25">
      <c r="A3" t="s">
        <v>260</v>
      </c>
      <c r="B3">
        <v>160</v>
      </c>
      <c r="C3" t="s">
        <v>264</v>
      </c>
      <c r="D3" s="14">
        <v>250</v>
      </c>
      <c r="E3" s="14">
        <v>80</v>
      </c>
      <c r="F3" s="14">
        <v>170</v>
      </c>
      <c r="G3" s="14">
        <v>0</v>
      </c>
      <c r="H3" s="14">
        <v>0</v>
      </c>
      <c r="I3" s="14">
        <v>-1</v>
      </c>
      <c r="J3" s="14">
        <v>0</v>
      </c>
      <c r="K3" s="14">
        <v>249</v>
      </c>
      <c r="L3" s="14">
        <v>80</v>
      </c>
      <c r="M3" s="14">
        <v>169</v>
      </c>
      <c r="N3" s="14">
        <v>0</v>
      </c>
      <c r="O3" s="14">
        <v>0</v>
      </c>
      <c r="P3" t="s">
        <v>249</v>
      </c>
    </row>
    <row r="4" spans="1:16" x14ac:dyDescent="0.25">
      <c r="A4" t="s">
        <v>267</v>
      </c>
      <c r="B4">
        <v>160</v>
      </c>
      <c r="C4" t="s">
        <v>264</v>
      </c>
      <c r="D4" s="14">
        <v>67</v>
      </c>
      <c r="E4" s="14">
        <v>70</v>
      </c>
      <c r="F4" s="14">
        <v>-3</v>
      </c>
      <c r="G4" s="14">
        <v>0</v>
      </c>
      <c r="H4" s="14">
        <v>0</v>
      </c>
      <c r="I4" s="14">
        <v>15</v>
      </c>
      <c r="J4" s="14">
        <v>0</v>
      </c>
      <c r="K4" s="14">
        <v>82</v>
      </c>
      <c r="L4" s="14">
        <v>70</v>
      </c>
      <c r="M4" s="14">
        <v>12</v>
      </c>
      <c r="N4" s="14">
        <v>0</v>
      </c>
      <c r="O4" s="14">
        <v>0</v>
      </c>
      <c r="P4" t="s">
        <v>249</v>
      </c>
    </row>
    <row r="5" spans="1:16" x14ac:dyDescent="0.25">
      <c r="A5" t="s">
        <v>268</v>
      </c>
      <c r="B5">
        <v>160</v>
      </c>
      <c r="C5" t="s">
        <v>264</v>
      </c>
      <c r="D5" s="14">
        <v>4458</v>
      </c>
      <c r="E5" s="14">
        <v>5564</v>
      </c>
      <c r="F5" s="14">
        <v>-1106</v>
      </c>
      <c r="G5" s="14">
        <v>0</v>
      </c>
      <c r="H5" s="14">
        <v>0</v>
      </c>
      <c r="I5" s="14">
        <v>-1</v>
      </c>
      <c r="J5" s="14">
        <v>0</v>
      </c>
      <c r="K5" s="14">
        <v>4457</v>
      </c>
      <c r="L5" s="14">
        <v>5564</v>
      </c>
      <c r="M5" s="14">
        <v>-1107</v>
      </c>
      <c r="N5" s="14">
        <v>0</v>
      </c>
      <c r="O5" s="14">
        <v>0</v>
      </c>
      <c r="P5" t="s">
        <v>249</v>
      </c>
    </row>
    <row r="6" spans="1:16" x14ac:dyDescent="0.25">
      <c r="A6" t="s">
        <v>270</v>
      </c>
      <c r="B6">
        <v>160</v>
      </c>
      <c r="C6" t="s">
        <v>264</v>
      </c>
      <c r="D6" s="14">
        <v>1978</v>
      </c>
      <c r="E6" s="14">
        <v>1005</v>
      </c>
      <c r="F6" s="14">
        <v>973</v>
      </c>
      <c r="G6" s="14">
        <v>0</v>
      </c>
      <c r="H6" s="14">
        <v>0</v>
      </c>
      <c r="I6" s="14">
        <v>-53</v>
      </c>
      <c r="J6" s="14">
        <v>0</v>
      </c>
      <c r="K6" s="14">
        <v>1925</v>
      </c>
      <c r="L6" s="14">
        <v>1005</v>
      </c>
      <c r="M6" s="14">
        <v>920</v>
      </c>
      <c r="N6" s="14">
        <v>0</v>
      </c>
      <c r="O6" s="14">
        <v>0</v>
      </c>
      <c r="P6" t="s">
        <v>249</v>
      </c>
    </row>
    <row r="7" spans="1:16" x14ac:dyDescent="0.25">
      <c r="A7" t="s">
        <v>272</v>
      </c>
      <c r="B7">
        <v>160</v>
      </c>
      <c r="C7" t="s">
        <v>264</v>
      </c>
      <c r="D7" s="14">
        <v>587</v>
      </c>
      <c r="E7" s="14">
        <v>1140</v>
      </c>
      <c r="F7" s="14">
        <v>-553</v>
      </c>
      <c r="G7" s="14">
        <v>0</v>
      </c>
      <c r="H7" s="14">
        <v>0</v>
      </c>
      <c r="I7" s="14">
        <v>-87</v>
      </c>
      <c r="J7" s="14">
        <v>0</v>
      </c>
      <c r="K7" s="14">
        <v>500</v>
      </c>
      <c r="L7" s="14">
        <v>1140</v>
      </c>
      <c r="M7" s="14">
        <v>-640</v>
      </c>
      <c r="N7" s="14">
        <v>0</v>
      </c>
      <c r="O7" s="14">
        <v>0</v>
      </c>
      <c r="P7" t="s">
        <v>249</v>
      </c>
    </row>
    <row r="8" spans="1:16" x14ac:dyDescent="0.25">
      <c r="A8" t="s">
        <v>273</v>
      </c>
      <c r="B8">
        <v>160</v>
      </c>
      <c r="C8" t="s">
        <v>264</v>
      </c>
      <c r="D8" s="14">
        <v>769.2</v>
      </c>
      <c r="E8" s="14">
        <v>179</v>
      </c>
      <c r="F8" s="14">
        <v>590.20000000000005</v>
      </c>
      <c r="G8" s="14">
        <v>0</v>
      </c>
      <c r="H8" s="14">
        <v>0</v>
      </c>
      <c r="I8" s="14">
        <v>-44.2</v>
      </c>
      <c r="J8" s="14">
        <v>0</v>
      </c>
      <c r="K8" s="14">
        <v>725</v>
      </c>
      <c r="L8" s="14">
        <v>179</v>
      </c>
      <c r="M8" s="14">
        <v>546</v>
      </c>
      <c r="N8" s="14">
        <v>0</v>
      </c>
      <c r="O8" s="14">
        <v>0</v>
      </c>
      <c r="P8" t="s">
        <v>249</v>
      </c>
    </row>
    <row r="9" spans="1:16" x14ac:dyDescent="0.25">
      <c r="A9" t="s">
        <v>274</v>
      </c>
      <c r="B9">
        <v>160</v>
      </c>
      <c r="C9" t="s">
        <v>264</v>
      </c>
      <c r="D9" s="14">
        <v>96.5</v>
      </c>
      <c r="E9" s="14">
        <v>390.7</v>
      </c>
      <c r="F9" s="14">
        <v>-294.2</v>
      </c>
      <c r="G9" s="14">
        <v>0</v>
      </c>
      <c r="H9" s="14">
        <v>0</v>
      </c>
      <c r="I9" s="14">
        <v>477.5</v>
      </c>
      <c r="J9" s="14">
        <v>0</v>
      </c>
      <c r="K9" s="14">
        <v>574</v>
      </c>
      <c r="L9" s="14">
        <v>390.7</v>
      </c>
      <c r="M9" s="14">
        <v>183.3</v>
      </c>
      <c r="N9" s="14">
        <v>0</v>
      </c>
      <c r="O9" s="14">
        <v>0</v>
      </c>
      <c r="P9" t="s">
        <v>249</v>
      </c>
    </row>
    <row r="10" spans="1:16" x14ac:dyDescent="0.25">
      <c r="A10" t="s">
        <v>275</v>
      </c>
      <c r="B10">
        <v>160</v>
      </c>
      <c r="C10" t="s">
        <v>264</v>
      </c>
      <c r="D10" s="14">
        <v>1316</v>
      </c>
      <c r="E10" s="14">
        <v>290</v>
      </c>
      <c r="F10" s="14">
        <v>1026</v>
      </c>
      <c r="G10" s="14">
        <v>0</v>
      </c>
      <c r="H10" s="14">
        <v>0</v>
      </c>
      <c r="I10" s="14">
        <v>-71</v>
      </c>
      <c r="J10" s="14">
        <v>0</v>
      </c>
      <c r="K10" s="14">
        <v>1245</v>
      </c>
      <c r="L10" s="14">
        <v>290</v>
      </c>
      <c r="M10" s="14">
        <v>955</v>
      </c>
      <c r="N10" s="14">
        <v>0</v>
      </c>
      <c r="O10" s="14">
        <v>0</v>
      </c>
      <c r="P10" t="s">
        <v>249</v>
      </c>
    </row>
    <row r="11" spans="1:16" x14ac:dyDescent="0.25">
      <c r="A11" t="s">
        <v>276</v>
      </c>
      <c r="B11">
        <v>160</v>
      </c>
      <c r="C11" t="s">
        <v>264</v>
      </c>
      <c r="D11" s="14">
        <v>8845.7999999999993</v>
      </c>
      <c r="E11" s="14">
        <v>11021</v>
      </c>
      <c r="F11" s="14">
        <v>-2175.2000000000007</v>
      </c>
      <c r="G11" s="14">
        <v>0</v>
      </c>
      <c r="H11" s="14">
        <v>0</v>
      </c>
      <c r="I11" s="14">
        <v>-20.8</v>
      </c>
      <c r="J11" s="14">
        <v>0</v>
      </c>
      <c r="K11" s="14">
        <v>8825</v>
      </c>
      <c r="L11" s="14">
        <v>11021</v>
      </c>
      <c r="M11" s="14">
        <v>-2196</v>
      </c>
      <c r="N11" s="14">
        <v>0</v>
      </c>
      <c r="O11" s="14">
        <v>0</v>
      </c>
      <c r="P11" t="s">
        <v>249</v>
      </c>
    </row>
    <row r="12" spans="1:16" x14ac:dyDescent="0.25">
      <c r="A12" t="s">
        <v>277</v>
      </c>
      <c r="B12">
        <v>160</v>
      </c>
      <c r="C12" t="s">
        <v>264</v>
      </c>
      <c r="D12" s="14">
        <v>718.2</v>
      </c>
      <c r="E12" s="14">
        <v>2734</v>
      </c>
      <c r="F12" s="14">
        <v>-2015.8</v>
      </c>
      <c r="G12" s="14">
        <v>0</v>
      </c>
      <c r="H12" s="14">
        <v>0</v>
      </c>
      <c r="I12" s="14">
        <v>-43.2</v>
      </c>
      <c r="J12" s="14">
        <v>0</v>
      </c>
      <c r="K12" s="14">
        <v>675</v>
      </c>
      <c r="L12" s="14">
        <v>2734</v>
      </c>
      <c r="M12" s="14">
        <v>-2059</v>
      </c>
      <c r="N12" s="14">
        <v>0</v>
      </c>
      <c r="O12" s="14">
        <v>0</v>
      </c>
      <c r="P12" t="s">
        <v>249</v>
      </c>
    </row>
    <row r="13" spans="1:16" x14ac:dyDescent="0.25">
      <c r="A13" t="s">
        <v>52</v>
      </c>
      <c r="B13">
        <v>160</v>
      </c>
      <c r="C13" t="s">
        <v>264</v>
      </c>
      <c r="D13" s="14">
        <v>40442.700000000004</v>
      </c>
      <c r="E13" s="14">
        <v>52543.7</v>
      </c>
      <c r="F13" s="14">
        <v>-12100.999999999993</v>
      </c>
      <c r="G13" s="14">
        <v>0</v>
      </c>
      <c r="H13" s="14">
        <v>0</v>
      </c>
      <c r="I13" s="14">
        <v>-1210.6500000000001</v>
      </c>
      <c r="J13" s="14">
        <v>0</v>
      </c>
      <c r="K13" s="14">
        <v>39232.050000000003</v>
      </c>
      <c r="L13" s="14">
        <v>52543.7</v>
      </c>
      <c r="M13" s="14">
        <v>-13311.649999999994</v>
      </c>
      <c r="N13" s="14">
        <v>0</v>
      </c>
      <c r="O13" s="14">
        <v>0</v>
      </c>
      <c r="P13" t="s">
        <v>249</v>
      </c>
    </row>
    <row r="14" spans="1:16" x14ac:dyDescent="0.25">
      <c r="A14" t="s">
        <v>136</v>
      </c>
      <c r="B14">
        <v>160</v>
      </c>
      <c r="C14" t="s">
        <v>264</v>
      </c>
      <c r="D14" s="14">
        <v>8419.1</v>
      </c>
      <c r="E14" s="14">
        <v>13781.6</v>
      </c>
      <c r="F14" s="14">
        <v>-5362.5</v>
      </c>
      <c r="G14" s="14">
        <v>0</v>
      </c>
      <c r="H14" s="14">
        <v>0</v>
      </c>
      <c r="I14" s="14">
        <v>-14.6</v>
      </c>
      <c r="J14" s="14">
        <v>0</v>
      </c>
      <c r="K14" s="14">
        <v>8404.5</v>
      </c>
      <c r="L14" s="14">
        <v>13781.6</v>
      </c>
      <c r="M14" s="14">
        <v>-5377.1</v>
      </c>
      <c r="N14" s="14">
        <v>0</v>
      </c>
      <c r="O14" s="14">
        <v>0</v>
      </c>
      <c r="P14" t="s">
        <v>249</v>
      </c>
    </row>
    <row r="15" spans="1:16" x14ac:dyDescent="0.25">
      <c r="A15" t="s">
        <v>278</v>
      </c>
      <c r="B15">
        <v>160</v>
      </c>
      <c r="C15" t="s">
        <v>264</v>
      </c>
      <c r="D15" s="14">
        <v>417.50000000000006</v>
      </c>
      <c r="E15" s="14">
        <v>417.5</v>
      </c>
      <c r="F15" s="14">
        <v>5.6843418860808015E-14</v>
      </c>
      <c r="G15" s="14">
        <v>0</v>
      </c>
      <c r="H15" s="14">
        <v>0</v>
      </c>
      <c r="I15" s="14">
        <v>11.81</v>
      </c>
      <c r="J15" s="14">
        <v>0</v>
      </c>
      <c r="K15" s="14">
        <v>429.31000000000006</v>
      </c>
      <c r="L15" s="14">
        <v>417.5</v>
      </c>
      <c r="M15" s="14">
        <v>11.810000000000059</v>
      </c>
      <c r="N15" s="14">
        <v>0</v>
      </c>
      <c r="O15" s="14">
        <v>0</v>
      </c>
      <c r="P15" t="s">
        <v>249</v>
      </c>
    </row>
    <row r="16" spans="1:16" x14ac:dyDescent="0.25">
      <c r="A16" t="s">
        <v>280</v>
      </c>
      <c r="B16">
        <v>160</v>
      </c>
      <c r="C16" t="s">
        <v>264</v>
      </c>
      <c r="D16" s="14">
        <v>10</v>
      </c>
      <c r="E16" s="14">
        <v>10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10</v>
      </c>
      <c r="L16" s="14">
        <v>10</v>
      </c>
      <c r="M16" s="14">
        <v>0</v>
      </c>
      <c r="N16" s="14">
        <v>0</v>
      </c>
      <c r="O16" s="14">
        <v>0</v>
      </c>
      <c r="P16" t="s">
        <v>254</v>
      </c>
    </row>
    <row r="17" spans="1:16" x14ac:dyDescent="0.25">
      <c r="A17" t="s">
        <v>281</v>
      </c>
      <c r="B17">
        <v>160</v>
      </c>
      <c r="C17" t="s">
        <v>264</v>
      </c>
      <c r="D17" s="14">
        <v>4</v>
      </c>
      <c r="E17" s="14">
        <v>0</v>
      </c>
      <c r="F17" s="14">
        <v>4</v>
      </c>
      <c r="G17" s="14">
        <v>0</v>
      </c>
      <c r="H17" s="14">
        <v>0</v>
      </c>
      <c r="I17" s="14">
        <v>0</v>
      </c>
      <c r="J17" s="14">
        <v>0</v>
      </c>
      <c r="K17" s="14">
        <v>4</v>
      </c>
      <c r="L17" s="14">
        <v>0</v>
      </c>
      <c r="M17" s="14">
        <v>4</v>
      </c>
      <c r="N17" s="14">
        <v>0</v>
      </c>
      <c r="O17" s="14">
        <v>0</v>
      </c>
      <c r="P17" t="s">
        <v>254</v>
      </c>
    </row>
    <row r="18" spans="1:16" x14ac:dyDescent="0.25">
      <c r="A18" t="s">
        <v>282</v>
      </c>
      <c r="B18">
        <v>160</v>
      </c>
      <c r="C18" t="s">
        <v>264</v>
      </c>
      <c r="D18" s="14">
        <v>435</v>
      </c>
      <c r="E18" s="14">
        <v>435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435</v>
      </c>
      <c r="L18" s="14">
        <v>435</v>
      </c>
      <c r="M18" s="14">
        <v>0</v>
      </c>
      <c r="N18" s="14">
        <v>0</v>
      </c>
      <c r="O18" s="14">
        <v>0</v>
      </c>
      <c r="P18" t="s">
        <v>254</v>
      </c>
    </row>
    <row r="19" spans="1:16" x14ac:dyDescent="0.25">
      <c r="A19" t="s">
        <v>283</v>
      </c>
      <c r="B19">
        <v>160</v>
      </c>
      <c r="C19" t="s">
        <v>264</v>
      </c>
      <c r="D19" s="14">
        <v>10896</v>
      </c>
      <c r="E19" s="14">
        <v>10896</v>
      </c>
      <c r="F19" s="14">
        <v>0</v>
      </c>
      <c r="G19" s="14">
        <v>0</v>
      </c>
      <c r="H19" s="14">
        <v>0</v>
      </c>
      <c r="I19" s="14">
        <v>-32</v>
      </c>
      <c r="J19" s="14">
        <v>0</v>
      </c>
      <c r="K19" s="14">
        <v>10864</v>
      </c>
      <c r="L19" s="14">
        <v>10896</v>
      </c>
      <c r="M19" s="14">
        <v>-32</v>
      </c>
      <c r="N19" s="14">
        <v>0</v>
      </c>
      <c r="O19" s="14">
        <v>0</v>
      </c>
      <c r="P19" t="s">
        <v>249</v>
      </c>
    </row>
    <row r="20" spans="1:16" x14ac:dyDescent="0.25">
      <c r="A20" t="s">
        <v>284</v>
      </c>
      <c r="B20">
        <v>160</v>
      </c>
      <c r="C20" t="s">
        <v>264</v>
      </c>
      <c r="D20" s="14">
        <v>9092.85</v>
      </c>
      <c r="E20" s="14">
        <v>9385.35</v>
      </c>
      <c r="F20" s="14">
        <v>-292.5</v>
      </c>
      <c r="G20" s="14">
        <v>0</v>
      </c>
      <c r="H20" s="14">
        <v>0</v>
      </c>
      <c r="I20" s="14">
        <v>-15.6</v>
      </c>
      <c r="J20" s="14">
        <v>0</v>
      </c>
      <c r="K20" s="14">
        <v>9077.25</v>
      </c>
      <c r="L20" s="14">
        <v>9385.35</v>
      </c>
      <c r="M20" s="14">
        <v>-308.10000000000036</v>
      </c>
      <c r="N20" s="14">
        <v>0</v>
      </c>
      <c r="O20" s="14">
        <v>0</v>
      </c>
      <c r="P20" t="s">
        <v>249</v>
      </c>
    </row>
    <row r="21" spans="1:16" x14ac:dyDescent="0.25">
      <c r="A21" t="s">
        <v>137</v>
      </c>
      <c r="B21">
        <v>160</v>
      </c>
      <c r="C21" t="s">
        <v>264</v>
      </c>
      <c r="D21" s="14">
        <v>12793.95</v>
      </c>
      <c r="E21" s="14">
        <v>7452.9</v>
      </c>
      <c r="F21" s="14">
        <v>5341.0500000000011</v>
      </c>
      <c r="G21" s="14">
        <v>0</v>
      </c>
      <c r="H21" s="14">
        <v>0</v>
      </c>
      <c r="I21" s="14">
        <v>29.05</v>
      </c>
      <c r="J21" s="14">
        <v>0</v>
      </c>
      <c r="K21" s="14">
        <v>12823</v>
      </c>
      <c r="L21" s="14">
        <v>7452.9</v>
      </c>
      <c r="M21" s="14">
        <v>5370.1</v>
      </c>
      <c r="N21" s="14">
        <v>0</v>
      </c>
      <c r="O21" s="14">
        <v>0</v>
      </c>
      <c r="P21" t="s">
        <v>249</v>
      </c>
    </row>
    <row r="22" spans="1:16" x14ac:dyDescent="0.25">
      <c r="A22" t="s">
        <v>285</v>
      </c>
      <c r="B22">
        <v>160</v>
      </c>
      <c r="C22" t="s">
        <v>264</v>
      </c>
      <c r="D22" s="14">
        <v>9268.35</v>
      </c>
      <c r="E22" s="14">
        <v>14728.35</v>
      </c>
      <c r="F22" s="14">
        <v>-5460</v>
      </c>
      <c r="G22" s="14">
        <v>0</v>
      </c>
      <c r="H22" s="14">
        <v>0</v>
      </c>
      <c r="I22" s="14">
        <v>97.5</v>
      </c>
      <c r="J22" s="14">
        <v>0</v>
      </c>
      <c r="K22" s="14">
        <v>9365.85</v>
      </c>
      <c r="L22" s="14">
        <v>14728.35</v>
      </c>
      <c r="M22" s="14">
        <v>-5362.5</v>
      </c>
      <c r="N22" s="14">
        <v>0</v>
      </c>
      <c r="O22" s="14">
        <v>0</v>
      </c>
      <c r="P22" t="s">
        <v>249</v>
      </c>
    </row>
    <row r="23" spans="1:16" x14ac:dyDescent="0.25">
      <c r="A23" t="s">
        <v>286</v>
      </c>
      <c r="B23">
        <v>160</v>
      </c>
      <c r="C23" t="s">
        <v>264</v>
      </c>
      <c r="D23" s="14">
        <v>1</v>
      </c>
      <c r="E23" s="14">
        <v>1</v>
      </c>
      <c r="F23" s="14">
        <v>0</v>
      </c>
      <c r="G23" s="14">
        <v>0.46266126655900003</v>
      </c>
      <c r="H23" s="14">
        <v>0.46266126655900003</v>
      </c>
      <c r="I23" s="14">
        <v>-1</v>
      </c>
      <c r="J23" s="14">
        <v>-1</v>
      </c>
      <c r="K23" s="14">
        <v>0</v>
      </c>
      <c r="L23" s="14">
        <v>0</v>
      </c>
      <c r="M23" s="14">
        <v>0</v>
      </c>
      <c r="N23" s="14">
        <v>-0.46</v>
      </c>
      <c r="O23" s="14">
        <v>0</v>
      </c>
      <c r="P23" t="s">
        <v>254</v>
      </c>
    </row>
    <row r="24" spans="1:16" x14ac:dyDescent="0.25">
      <c r="A24" t="s">
        <v>287</v>
      </c>
      <c r="B24">
        <v>160</v>
      </c>
      <c r="C24" t="s">
        <v>264</v>
      </c>
      <c r="D24" s="14">
        <v>2385</v>
      </c>
      <c r="E24" s="14">
        <v>2385</v>
      </c>
      <c r="F24" s="14">
        <v>0</v>
      </c>
      <c r="G24" s="14">
        <v>0</v>
      </c>
      <c r="H24" s="14">
        <v>0</v>
      </c>
      <c r="I24" s="14">
        <v>2</v>
      </c>
      <c r="J24" s="14">
        <v>0</v>
      </c>
      <c r="K24" s="14">
        <v>2387</v>
      </c>
      <c r="L24" s="14">
        <v>2385</v>
      </c>
      <c r="M24" s="14">
        <v>2</v>
      </c>
      <c r="N24" s="14">
        <v>0</v>
      </c>
      <c r="O24" s="14">
        <v>0</v>
      </c>
      <c r="P24" t="s">
        <v>249</v>
      </c>
    </row>
    <row r="25" spans="1:16" x14ac:dyDescent="0.25">
      <c r="A25" t="s">
        <v>288</v>
      </c>
      <c r="B25">
        <v>160</v>
      </c>
      <c r="C25" t="s">
        <v>264</v>
      </c>
      <c r="D25" s="14">
        <v>0</v>
      </c>
      <c r="E25" s="14">
        <v>2420</v>
      </c>
      <c r="F25" s="14">
        <v>-2420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2420</v>
      </c>
      <c r="M25" s="14">
        <v>-2420</v>
      </c>
      <c r="N25" s="14">
        <v>0</v>
      </c>
      <c r="O25" s="14">
        <v>0</v>
      </c>
      <c r="P25" t="s">
        <v>254</v>
      </c>
    </row>
    <row r="26" spans="1:16" x14ac:dyDescent="0.25">
      <c r="A26" t="s">
        <v>53</v>
      </c>
      <c r="B26">
        <v>160</v>
      </c>
      <c r="C26" t="s">
        <v>290</v>
      </c>
      <c r="D26" s="14">
        <v>1</v>
      </c>
      <c r="E26" s="14"/>
      <c r="F26" s="14">
        <v>1</v>
      </c>
      <c r="G26" s="14">
        <v>0</v>
      </c>
      <c r="H26" s="14">
        <v>0</v>
      </c>
      <c r="I26" s="14">
        <v>1</v>
      </c>
      <c r="J26" s="14">
        <v>0</v>
      </c>
      <c r="K26" s="14">
        <v>2</v>
      </c>
      <c r="L26" s="14"/>
      <c r="M26" s="14">
        <v>2</v>
      </c>
      <c r="N26" s="14">
        <v>0</v>
      </c>
      <c r="O26" s="14">
        <v>0</v>
      </c>
      <c r="P26" t="s">
        <v>249</v>
      </c>
    </row>
    <row r="27" spans="1:16" x14ac:dyDescent="0.25">
      <c r="A27" t="s">
        <v>53</v>
      </c>
      <c r="B27">
        <v>160</v>
      </c>
      <c r="C27" t="s">
        <v>264</v>
      </c>
      <c r="D27" s="14">
        <v>-3</v>
      </c>
      <c r="E27" s="14"/>
      <c r="F27" s="14">
        <v>-3</v>
      </c>
      <c r="G27" s="14">
        <v>0</v>
      </c>
      <c r="H27" s="14">
        <v>0</v>
      </c>
      <c r="I27" s="14">
        <v>14</v>
      </c>
      <c r="J27" s="14">
        <v>0</v>
      </c>
      <c r="K27" s="14">
        <v>11</v>
      </c>
      <c r="L27" s="14"/>
      <c r="M27" s="14">
        <v>11</v>
      </c>
      <c r="N27" s="14">
        <v>0</v>
      </c>
      <c r="O27" s="14">
        <v>0</v>
      </c>
      <c r="P27" t="s">
        <v>249</v>
      </c>
    </row>
    <row r="28" spans="1:16" x14ac:dyDescent="0.25">
      <c r="A28" t="s">
        <v>291</v>
      </c>
      <c r="B28">
        <v>160</v>
      </c>
      <c r="C28" t="s">
        <v>290</v>
      </c>
      <c r="D28" s="14">
        <v>1</v>
      </c>
      <c r="E28" s="14">
        <v>0</v>
      </c>
      <c r="F28" s="14">
        <v>1</v>
      </c>
      <c r="G28" s="14">
        <v>0</v>
      </c>
      <c r="H28" s="14">
        <v>0</v>
      </c>
      <c r="I28" s="14">
        <v>0</v>
      </c>
      <c r="J28" s="14">
        <v>0</v>
      </c>
      <c r="K28" s="14">
        <v>1</v>
      </c>
      <c r="L28" s="14">
        <v>0</v>
      </c>
      <c r="M28" s="14">
        <v>1</v>
      </c>
      <c r="N28" s="14">
        <v>0</v>
      </c>
      <c r="O28" s="14">
        <v>0</v>
      </c>
      <c r="P28" t="s">
        <v>254</v>
      </c>
    </row>
    <row r="29" spans="1:16" x14ac:dyDescent="0.25">
      <c r="A29" t="s">
        <v>291</v>
      </c>
      <c r="B29">
        <v>160</v>
      </c>
      <c r="C29" t="s">
        <v>264</v>
      </c>
      <c r="D29" s="14">
        <v>2</v>
      </c>
      <c r="E29" s="14">
        <v>0</v>
      </c>
      <c r="F29" s="14">
        <v>2</v>
      </c>
      <c r="G29" s="14">
        <v>0</v>
      </c>
      <c r="H29" s="14">
        <v>0</v>
      </c>
      <c r="I29" s="14">
        <v>0</v>
      </c>
      <c r="J29" s="14">
        <v>0</v>
      </c>
      <c r="K29" s="14">
        <v>2</v>
      </c>
      <c r="L29" s="14">
        <v>0</v>
      </c>
      <c r="M29" s="14">
        <v>2</v>
      </c>
      <c r="N29" s="14">
        <v>0</v>
      </c>
      <c r="O29" s="14">
        <v>0</v>
      </c>
      <c r="P29" t="s">
        <v>254</v>
      </c>
    </row>
    <row r="30" spans="1:16" x14ac:dyDescent="0.25">
      <c r="A30" t="s">
        <v>138</v>
      </c>
      <c r="B30">
        <v>160</v>
      </c>
      <c r="C30" t="s">
        <v>264</v>
      </c>
      <c r="D30" s="14">
        <v>750</v>
      </c>
      <c r="E30" s="14">
        <v>750</v>
      </c>
      <c r="F30" s="14">
        <v>0</v>
      </c>
      <c r="G30" s="14">
        <v>0</v>
      </c>
      <c r="H30" s="14">
        <v>0</v>
      </c>
      <c r="I30" s="14">
        <v>-750</v>
      </c>
      <c r="J30" s="14">
        <v>0</v>
      </c>
      <c r="K30" s="14">
        <v>0</v>
      </c>
      <c r="L30" s="14">
        <v>750</v>
      </c>
      <c r="M30" s="14">
        <v>-750</v>
      </c>
      <c r="N30" s="14">
        <v>0</v>
      </c>
      <c r="O30" s="14">
        <v>0</v>
      </c>
      <c r="P30" t="s">
        <v>249</v>
      </c>
    </row>
    <row r="31" spans="1:16" x14ac:dyDescent="0.25">
      <c r="A31" t="s">
        <v>139</v>
      </c>
      <c r="B31">
        <v>160</v>
      </c>
      <c r="C31" t="s">
        <v>264</v>
      </c>
      <c r="D31" s="14">
        <v>265</v>
      </c>
      <c r="E31" s="14">
        <v>271</v>
      </c>
      <c r="F31" s="14">
        <v>-6</v>
      </c>
      <c r="G31" s="14">
        <v>0</v>
      </c>
      <c r="H31" s="14">
        <v>0</v>
      </c>
      <c r="I31" s="14">
        <v>35</v>
      </c>
      <c r="J31" s="14">
        <v>0</v>
      </c>
      <c r="K31" s="14">
        <v>300</v>
      </c>
      <c r="L31" s="14">
        <v>271</v>
      </c>
      <c r="M31" s="14">
        <v>29</v>
      </c>
      <c r="N31" s="14">
        <v>0</v>
      </c>
      <c r="O31" s="14">
        <v>0</v>
      </c>
      <c r="P31" t="s">
        <v>249</v>
      </c>
    </row>
    <row r="32" spans="1:16" x14ac:dyDescent="0.25">
      <c r="A32" t="s">
        <v>185</v>
      </c>
      <c r="B32">
        <v>160</v>
      </c>
      <c r="C32" t="s">
        <v>264</v>
      </c>
      <c r="D32" s="14">
        <v>14</v>
      </c>
      <c r="E32" s="14">
        <v>14</v>
      </c>
      <c r="F32" s="14">
        <v>0</v>
      </c>
      <c r="G32" s="14">
        <v>0</v>
      </c>
      <c r="H32" s="14">
        <v>0</v>
      </c>
      <c r="I32" s="14">
        <v>36</v>
      </c>
      <c r="J32" s="14">
        <v>0</v>
      </c>
      <c r="K32" s="14">
        <v>50</v>
      </c>
      <c r="L32" s="14">
        <v>14</v>
      </c>
      <c r="M32" s="14">
        <v>36</v>
      </c>
      <c r="N32" s="14">
        <v>0</v>
      </c>
      <c r="O32" s="14">
        <v>0</v>
      </c>
      <c r="P32" t="s">
        <v>249</v>
      </c>
    </row>
    <row r="33" spans="1:16" x14ac:dyDescent="0.25">
      <c r="A33" t="s">
        <v>293</v>
      </c>
      <c r="B33">
        <v>160</v>
      </c>
      <c r="C33" t="s">
        <v>264</v>
      </c>
      <c r="D33" s="14">
        <v>30</v>
      </c>
      <c r="E33" s="14">
        <v>60</v>
      </c>
      <c r="F33" s="14">
        <v>-30</v>
      </c>
      <c r="G33" s="14">
        <v>0</v>
      </c>
      <c r="H33" s="14">
        <v>0</v>
      </c>
      <c r="I33" s="14">
        <v>0</v>
      </c>
      <c r="J33" s="14">
        <v>0</v>
      </c>
      <c r="K33" s="14">
        <v>30</v>
      </c>
      <c r="L33" s="14">
        <v>60</v>
      </c>
      <c r="M33" s="14">
        <v>-30</v>
      </c>
      <c r="N33" s="14">
        <v>0</v>
      </c>
      <c r="O33" s="14">
        <v>0</v>
      </c>
      <c r="P33" t="s">
        <v>254</v>
      </c>
    </row>
    <row r="34" spans="1:16" x14ac:dyDescent="0.25">
      <c r="A34" t="s">
        <v>294</v>
      </c>
      <c r="B34">
        <v>160</v>
      </c>
      <c r="C34" t="s">
        <v>264</v>
      </c>
      <c r="D34" s="14">
        <v>0</v>
      </c>
      <c r="E34" s="14">
        <v>300</v>
      </c>
      <c r="F34" s="14">
        <v>-300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300</v>
      </c>
      <c r="M34" s="14">
        <v>-300</v>
      </c>
      <c r="N34" s="14">
        <v>0</v>
      </c>
      <c r="O34" s="14">
        <v>0</v>
      </c>
      <c r="P34" t="s">
        <v>254</v>
      </c>
    </row>
    <row r="35" spans="1:16" x14ac:dyDescent="0.25">
      <c r="A35" t="s">
        <v>295</v>
      </c>
      <c r="B35">
        <v>160</v>
      </c>
      <c r="C35" t="s">
        <v>264</v>
      </c>
      <c r="D35" s="14">
        <v>90</v>
      </c>
      <c r="E35" s="14">
        <v>300</v>
      </c>
      <c r="F35" s="14">
        <v>-210</v>
      </c>
      <c r="G35" s="14">
        <v>0</v>
      </c>
      <c r="H35" s="14">
        <v>0</v>
      </c>
      <c r="I35" s="14">
        <v>0</v>
      </c>
      <c r="J35" s="14">
        <v>0</v>
      </c>
      <c r="K35" s="14">
        <v>90</v>
      </c>
      <c r="L35" s="14">
        <v>300</v>
      </c>
      <c r="M35" s="14">
        <v>-210</v>
      </c>
      <c r="N35" s="14">
        <v>0</v>
      </c>
      <c r="O35" s="14">
        <v>0</v>
      </c>
      <c r="P35" t="s">
        <v>254</v>
      </c>
    </row>
    <row r="36" spans="1:16" x14ac:dyDescent="0.25">
      <c r="A36" t="s">
        <v>297</v>
      </c>
      <c r="B36">
        <v>160</v>
      </c>
      <c r="C36" t="s">
        <v>264</v>
      </c>
      <c r="D36" s="14">
        <v>81</v>
      </c>
      <c r="E36" s="14">
        <v>175</v>
      </c>
      <c r="F36" s="14">
        <v>-94</v>
      </c>
      <c r="G36" s="14">
        <v>0</v>
      </c>
      <c r="H36" s="14">
        <v>0</v>
      </c>
      <c r="I36" s="14">
        <v>-60.45</v>
      </c>
      <c r="J36" s="14">
        <v>0</v>
      </c>
      <c r="K36" s="14">
        <v>20.55</v>
      </c>
      <c r="L36" s="14">
        <v>175</v>
      </c>
      <c r="M36" s="14">
        <v>-154.44999999999999</v>
      </c>
      <c r="N36" s="14">
        <v>0</v>
      </c>
      <c r="O36" s="14">
        <v>0</v>
      </c>
      <c r="P36" t="s">
        <v>249</v>
      </c>
    </row>
    <row r="37" spans="1:16" x14ac:dyDescent="0.25">
      <c r="A37" t="s">
        <v>22</v>
      </c>
      <c r="B37">
        <v>160</v>
      </c>
      <c r="C37" t="s">
        <v>290</v>
      </c>
      <c r="D37" s="14">
        <v>-3</v>
      </c>
      <c r="E37" s="14"/>
      <c r="F37" s="14">
        <v>-3</v>
      </c>
      <c r="G37" s="14">
        <v>0</v>
      </c>
      <c r="H37" s="14">
        <v>0</v>
      </c>
      <c r="I37" s="14">
        <v>0</v>
      </c>
      <c r="J37" s="14">
        <v>0</v>
      </c>
      <c r="K37" s="14">
        <v>-3</v>
      </c>
      <c r="L37" s="14"/>
      <c r="M37" s="14">
        <v>-3</v>
      </c>
      <c r="N37" s="14">
        <v>0</v>
      </c>
      <c r="O37" s="14">
        <v>0</v>
      </c>
      <c r="P37" t="s">
        <v>254</v>
      </c>
    </row>
    <row r="38" spans="1:16" x14ac:dyDescent="0.25">
      <c r="A38" t="s">
        <v>22</v>
      </c>
      <c r="B38">
        <v>160</v>
      </c>
      <c r="C38" t="s">
        <v>264</v>
      </c>
      <c r="D38" s="14">
        <v>-1</v>
      </c>
      <c r="E38" s="14"/>
      <c r="F38" s="14">
        <v>-1</v>
      </c>
      <c r="G38" s="14">
        <v>0</v>
      </c>
      <c r="H38" s="14">
        <v>0</v>
      </c>
      <c r="I38" s="14">
        <v>0</v>
      </c>
      <c r="J38" s="14">
        <v>0</v>
      </c>
      <c r="K38" s="14">
        <v>-1</v>
      </c>
      <c r="L38" s="14"/>
      <c r="M38" s="14">
        <v>-1</v>
      </c>
      <c r="N38" s="14">
        <v>0</v>
      </c>
      <c r="O38" s="14">
        <v>0</v>
      </c>
      <c r="P38" t="s">
        <v>254</v>
      </c>
    </row>
    <row r="39" spans="1:16" x14ac:dyDescent="0.25">
      <c r="A39" t="s">
        <v>298</v>
      </c>
      <c r="B39">
        <v>160</v>
      </c>
      <c r="C39" t="s">
        <v>264</v>
      </c>
      <c r="D39" s="14">
        <v>131.1</v>
      </c>
      <c r="E39" s="14">
        <v>131.1</v>
      </c>
      <c r="F39" s="14">
        <v>0</v>
      </c>
      <c r="G39" s="14">
        <v>0</v>
      </c>
      <c r="H39" s="14">
        <v>0</v>
      </c>
      <c r="I39" s="14">
        <v>39.9</v>
      </c>
      <c r="J39" s="14">
        <v>0</v>
      </c>
      <c r="K39" s="14">
        <v>171</v>
      </c>
      <c r="L39" s="14">
        <v>131.1</v>
      </c>
      <c r="M39" s="14">
        <v>39.900000000000006</v>
      </c>
      <c r="N39" s="14">
        <v>0</v>
      </c>
      <c r="O39" s="14">
        <v>0</v>
      </c>
      <c r="P39" t="s">
        <v>249</v>
      </c>
    </row>
    <row r="40" spans="1:16" x14ac:dyDescent="0.25">
      <c r="A40" t="s">
        <v>299</v>
      </c>
      <c r="B40">
        <v>160</v>
      </c>
      <c r="C40" t="s">
        <v>264</v>
      </c>
      <c r="D40" s="14">
        <v>1</v>
      </c>
      <c r="E40" s="14">
        <v>1</v>
      </c>
      <c r="F40" s="14">
        <v>0</v>
      </c>
      <c r="G40" s="14">
        <v>0</v>
      </c>
      <c r="H40" s="14">
        <v>0</v>
      </c>
      <c r="I40" s="14">
        <v>-1</v>
      </c>
      <c r="J40" s="14">
        <v>0</v>
      </c>
      <c r="K40" s="14">
        <v>0</v>
      </c>
      <c r="L40" s="14">
        <v>1</v>
      </c>
      <c r="M40" s="14">
        <v>-1</v>
      </c>
      <c r="N40" s="14">
        <v>0</v>
      </c>
      <c r="O40" s="14">
        <v>0</v>
      </c>
      <c r="P40" t="s">
        <v>249</v>
      </c>
    </row>
    <row r="41" spans="1:16" x14ac:dyDescent="0.25">
      <c r="A41" t="s">
        <v>301</v>
      </c>
      <c r="B41">
        <v>160</v>
      </c>
      <c r="C41" t="s">
        <v>264</v>
      </c>
      <c r="D41" s="14">
        <v>1</v>
      </c>
      <c r="E41" s="14">
        <v>1</v>
      </c>
      <c r="F41" s="14">
        <v>0</v>
      </c>
      <c r="G41" s="14">
        <v>0</v>
      </c>
      <c r="H41" s="14">
        <v>0</v>
      </c>
      <c r="I41" s="14">
        <v>-1</v>
      </c>
      <c r="J41" s="14">
        <v>0</v>
      </c>
      <c r="K41" s="14">
        <v>0</v>
      </c>
      <c r="L41" s="14">
        <v>1</v>
      </c>
      <c r="M41" s="14">
        <v>-1</v>
      </c>
      <c r="N41" s="14">
        <v>0</v>
      </c>
      <c r="O41" s="14">
        <v>0</v>
      </c>
      <c r="P41" t="s">
        <v>249</v>
      </c>
    </row>
    <row r="42" spans="1:16" x14ac:dyDescent="0.25">
      <c r="A42" t="s">
        <v>302</v>
      </c>
      <c r="B42">
        <v>160</v>
      </c>
      <c r="C42" t="s">
        <v>264</v>
      </c>
      <c r="D42" s="14">
        <v>159</v>
      </c>
      <c r="E42" s="14">
        <v>159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159</v>
      </c>
      <c r="L42" s="14">
        <v>159</v>
      </c>
      <c r="M42" s="14">
        <v>0</v>
      </c>
      <c r="N42" s="14">
        <v>0</v>
      </c>
      <c r="O42" s="14">
        <v>0</v>
      </c>
      <c r="P42" t="s">
        <v>254</v>
      </c>
    </row>
    <row r="43" spans="1:16" x14ac:dyDescent="0.25">
      <c r="A43" t="s">
        <v>303</v>
      </c>
      <c r="B43">
        <v>160</v>
      </c>
      <c r="C43" t="s">
        <v>264</v>
      </c>
      <c r="D43" s="14">
        <v>1</v>
      </c>
      <c r="E43" s="14">
        <v>1</v>
      </c>
      <c r="F43" s="14">
        <v>0</v>
      </c>
      <c r="G43" s="14">
        <v>1.6088404188830001</v>
      </c>
      <c r="H43" s="14">
        <v>1.6088404188830001</v>
      </c>
      <c r="I43" s="14">
        <v>-1</v>
      </c>
      <c r="J43" s="14">
        <v>-1</v>
      </c>
      <c r="K43" s="14">
        <v>0</v>
      </c>
      <c r="L43" s="14">
        <v>0</v>
      </c>
      <c r="M43" s="14">
        <v>0</v>
      </c>
      <c r="N43" s="14">
        <v>-1.61</v>
      </c>
      <c r="O43" s="14">
        <v>0</v>
      </c>
      <c r="P43" t="s">
        <v>254</v>
      </c>
    </row>
    <row r="44" spans="1:16" x14ac:dyDescent="0.25">
      <c r="A44" t="s">
        <v>307</v>
      </c>
      <c r="B44">
        <v>160</v>
      </c>
      <c r="C44" t="s">
        <v>264</v>
      </c>
      <c r="D44" s="14">
        <v>3646</v>
      </c>
      <c r="E44" s="14">
        <v>3873</v>
      </c>
      <c r="F44" s="14">
        <v>-227</v>
      </c>
      <c r="G44" s="14">
        <v>0</v>
      </c>
      <c r="H44" s="14">
        <v>0</v>
      </c>
      <c r="I44" s="14">
        <v>-115</v>
      </c>
      <c r="J44" s="14">
        <v>0</v>
      </c>
      <c r="K44" s="14">
        <v>3531</v>
      </c>
      <c r="L44" s="14">
        <v>3873</v>
      </c>
      <c r="M44" s="14">
        <v>-342</v>
      </c>
      <c r="N44" s="14">
        <v>0</v>
      </c>
      <c r="O44" s="14">
        <v>0</v>
      </c>
      <c r="P44" t="s">
        <v>249</v>
      </c>
    </row>
    <row r="45" spans="1:16" x14ac:dyDescent="0.25">
      <c r="A45" t="s">
        <v>140</v>
      </c>
      <c r="B45">
        <v>160</v>
      </c>
      <c r="C45" t="s">
        <v>289</v>
      </c>
      <c r="D45" s="14">
        <v>20</v>
      </c>
      <c r="E45" s="14">
        <v>20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20</v>
      </c>
      <c r="L45" s="14">
        <v>20</v>
      </c>
      <c r="M45" s="14">
        <v>0</v>
      </c>
      <c r="N45" s="14">
        <v>0</v>
      </c>
      <c r="O45" s="14">
        <v>0</v>
      </c>
      <c r="P45" t="s">
        <v>254</v>
      </c>
    </row>
    <row r="46" spans="1:16" x14ac:dyDescent="0.25">
      <c r="A46" t="s">
        <v>140</v>
      </c>
      <c r="B46">
        <v>160</v>
      </c>
      <c r="C46" t="s">
        <v>264</v>
      </c>
      <c r="D46" s="14">
        <v>3140</v>
      </c>
      <c r="E46" s="14">
        <v>3268</v>
      </c>
      <c r="F46" s="14">
        <v>-128</v>
      </c>
      <c r="G46" s="14">
        <v>0</v>
      </c>
      <c r="H46" s="14">
        <v>0</v>
      </c>
      <c r="I46" s="14">
        <v>24</v>
      </c>
      <c r="J46" s="14">
        <v>0</v>
      </c>
      <c r="K46" s="14">
        <v>3164</v>
      </c>
      <c r="L46" s="14">
        <v>3268</v>
      </c>
      <c r="M46" s="14">
        <v>-104</v>
      </c>
      <c r="N46" s="14">
        <v>0</v>
      </c>
      <c r="O46" s="14">
        <v>0</v>
      </c>
      <c r="P46" t="s">
        <v>249</v>
      </c>
    </row>
    <row r="47" spans="1:16" x14ac:dyDescent="0.25">
      <c r="A47" t="s">
        <v>119</v>
      </c>
      <c r="B47">
        <v>160</v>
      </c>
      <c r="C47" t="s">
        <v>289</v>
      </c>
      <c r="D47" s="14">
        <v>10</v>
      </c>
      <c r="E47" s="14">
        <v>10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10</v>
      </c>
      <c r="L47" s="14">
        <v>10</v>
      </c>
      <c r="M47" s="14">
        <v>0</v>
      </c>
      <c r="N47" s="14">
        <v>0</v>
      </c>
      <c r="O47" s="14">
        <v>0</v>
      </c>
      <c r="P47" t="s">
        <v>254</v>
      </c>
    </row>
    <row r="48" spans="1:16" x14ac:dyDescent="0.25">
      <c r="A48" t="s">
        <v>119</v>
      </c>
      <c r="B48">
        <v>160</v>
      </c>
      <c r="C48" t="s">
        <v>264</v>
      </c>
      <c r="D48" s="14">
        <v>1575</v>
      </c>
      <c r="E48" s="14">
        <v>2140</v>
      </c>
      <c r="F48" s="14">
        <v>-565</v>
      </c>
      <c r="G48" s="14">
        <v>0</v>
      </c>
      <c r="H48" s="14">
        <v>0</v>
      </c>
      <c r="I48" s="14">
        <v>-113</v>
      </c>
      <c r="J48" s="14">
        <v>0</v>
      </c>
      <c r="K48" s="14">
        <v>1462</v>
      </c>
      <c r="L48" s="14">
        <v>2140</v>
      </c>
      <c r="M48" s="14">
        <v>-678</v>
      </c>
      <c r="N48" s="14">
        <v>0</v>
      </c>
      <c r="O48" s="14">
        <v>0</v>
      </c>
      <c r="P48" t="s">
        <v>249</v>
      </c>
    </row>
    <row r="49" spans="1:16" x14ac:dyDescent="0.25">
      <c r="A49" t="s">
        <v>20</v>
      </c>
      <c r="B49">
        <v>160</v>
      </c>
      <c r="C49" t="s">
        <v>305</v>
      </c>
      <c r="D49" s="14">
        <v>145.5</v>
      </c>
      <c r="E49" s="14">
        <v>145.5</v>
      </c>
      <c r="F49" s="14">
        <v>0</v>
      </c>
      <c r="G49" s="14">
        <v>-3.8514512750000003E-3</v>
      </c>
      <c r="H49" s="14">
        <v>-2.6470455498281789E-5</v>
      </c>
      <c r="I49" s="14">
        <v>0</v>
      </c>
      <c r="J49" s="14">
        <v>0</v>
      </c>
      <c r="K49" s="14">
        <v>145.5</v>
      </c>
      <c r="L49" s="14">
        <v>145.5</v>
      </c>
      <c r="M49" s="14">
        <v>0</v>
      </c>
      <c r="N49" s="14">
        <v>0</v>
      </c>
      <c r="O49" s="14">
        <v>0</v>
      </c>
      <c r="P49" t="s">
        <v>254</v>
      </c>
    </row>
    <row r="50" spans="1:16" x14ac:dyDescent="0.25">
      <c r="A50" t="s">
        <v>20</v>
      </c>
      <c r="B50">
        <v>160</v>
      </c>
      <c r="C50" t="s">
        <v>262</v>
      </c>
      <c r="D50" s="14">
        <v>0</v>
      </c>
      <c r="E50" s="14">
        <v>-8245</v>
      </c>
      <c r="F50" s="14">
        <v>8245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-8245</v>
      </c>
      <c r="M50" s="14">
        <v>8245</v>
      </c>
      <c r="N50" s="14">
        <v>0</v>
      </c>
      <c r="O50" s="14">
        <v>0</v>
      </c>
      <c r="P50" t="s">
        <v>254</v>
      </c>
    </row>
    <row r="51" spans="1:16" x14ac:dyDescent="0.25">
      <c r="A51" t="s">
        <v>20</v>
      </c>
      <c r="B51">
        <v>160</v>
      </c>
      <c r="C51" t="s">
        <v>290</v>
      </c>
      <c r="D51" s="14">
        <v>1891.8</v>
      </c>
      <c r="E51" s="14">
        <v>1891.8</v>
      </c>
      <c r="F51" s="14">
        <v>0</v>
      </c>
      <c r="G51" s="14">
        <v>1670.15146253172</v>
      </c>
      <c r="H51" s="14">
        <v>0.88283722514627339</v>
      </c>
      <c r="I51" s="14">
        <v>-0.25</v>
      </c>
      <c r="J51" s="14">
        <v>-0.25</v>
      </c>
      <c r="K51" s="14">
        <v>1891.55</v>
      </c>
      <c r="L51" s="14">
        <v>1891.55</v>
      </c>
      <c r="M51" s="14">
        <v>0</v>
      </c>
      <c r="N51" s="14">
        <v>-0.21000000000003638</v>
      </c>
      <c r="O51" s="14">
        <v>-1.1102006291138822E-4</v>
      </c>
      <c r="P51" t="s">
        <v>254</v>
      </c>
    </row>
    <row r="52" spans="1:16" x14ac:dyDescent="0.25">
      <c r="A52" t="s">
        <v>20</v>
      </c>
      <c r="B52">
        <v>160</v>
      </c>
      <c r="C52" t="s">
        <v>264</v>
      </c>
      <c r="D52" s="14">
        <v>6280.75</v>
      </c>
      <c r="E52" s="14">
        <v>6280.75</v>
      </c>
      <c r="F52" s="14">
        <v>0</v>
      </c>
      <c r="G52" s="14">
        <v>3639.6950844277403</v>
      </c>
      <c r="H52" s="14">
        <v>0.57950007314854757</v>
      </c>
      <c r="I52" s="14">
        <v>-509.25</v>
      </c>
      <c r="J52" s="14">
        <v>-509.25</v>
      </c>
      <c r="K52" s="14">
        <v>5771.5</v>
      </c>
      <c r="L52" s="14">
        <v>5771.5</v>
      </c>
      <c r="M52" s="14">
        <v>0</v>
      </c>
      <c r="N52" s="14">
        <v>-295.11000000000013</v>
      </c>
      <c r="O52" s="14">
        <v>-5.1132287966733109E-2</v>
      </c>
      <c r="P52" t="s">
        <v>254</v>
      </c>
    </row>
    <row r="53" spans="1:16" x14ac:dyDescent="0.25">
      <c r="A53" t="s">
        <v>308</v>
      </c>
      <c r="B53">
        <v>160</v>
      </c>
      <c r="C53" t="s">
        <v>262</v>
      </c>
      <c r="D53" s="14">
        <v>0</v>
      </c>
      <c r="E53" s="14">
        <v>5820</v>
      </c>
      <c r="F53" s="14">
        <v>-5820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5820</v>
      </c>
      <c r="M53" s="14">
        <v>-5820</v>
      </c>
      <c r="N53" s="14">
        <v>0</v>
      </c>
      <c r="O53" s="14">
        <v>0</v>
      </c>
      <c r="P53" t="s">
        <v>254</v>
      </c>
    </row>
    <row r="54" spans="1:16" x14ac:dyDescent="0.25">
      <c r="A54" t="s">
        <v>71</v>
      </c>
      <c r="B54">
        <v>160</v>
      </c>
      <c r="C54" t="s">
        <v>262</v>
      </c>
      <c r="D54" s="14">
        <v>0</v>
      </c>
      <c r="E54" s="14">
        <v>7500</v>
      </c>
      <c r="F54" s="14">
        <v>-7500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7500</v>
      </c>
      <c r="M54" s="14">
        <v>-7500</v>
      </c>
      <c r="N54" s="14">
        <v>0</v>
      </c>
      <c r="O54" s="14">
        <v>0</v>
      </c>
      <c r="P54" t="s">
        <v>254</v>
      </c>
    </row>
    <row r="55" spans="1:16" x14ac:dyDescent="0.25">
      <c r="A55" t="s">
        <v>71</v>
      </c>
      <c r="B55">
        <v>160</v>
      </c>
      <c r="C55" t="s">
        <v>290</v>
      </c>
      <c r="D55" s="14">
        <v>2025</v>
      </c>
      <c r="E55" s="14">
        <v>2025</v>
      </c>
      <c r="F55" s="14">
        <v>0</v>
      </c>
      <c r="G55" s="14">
        <v>2131.6334592742305</v>
      </c>
      <c r="H55" s="14">
        <v>1.0526584984070275</v>
      </c>
      <c r="I55" s="14">
        <v>118.5</v>
      </c>
      <c r="J55" s="14">
        <v>118.5</v>
      </c>
      <c r="K55" s="14">
        <v>2143.5</v>
      </c>
      <c r="L55" s="14">
        <v>2143.5</v>
      </c>
      <c r="M55" s="14">
        <v>0</v>
      </c>
      <c r="N55" s="14">
        <v>124.73999999999978</v>
      </c>
      <c r="O55" s="14">
        <v>5.8194541637508646E-2</v>
      </c>
      <c r="P55" t="s">
        <v>254</v>
      </c>
    </row>
    <row r="56" spans="1:16" x14ac:dyDescent="0.25">
      <c r="A56" t="s">
        <v>71</v>
      </c>
      <c r="B56">
        <v>160</v>
      </c>
      <c r="C56" t="s">
        <v>264</v>
      </c>
      <c r="D56" s="14">
        <v>6075</v>
      </c>
      <c r="E56" s="14">
        <v>6075</v>
      </c>
      <c r="F56" s="14">
        <v>0</v>
      </c>
      <c r="G56" s="14">
        <v>2952.01081023197</v>
      </c>
      <c r="H56" s="14">
        <v>0.48592770538797858</v>
      </c>
      <c r="I56" s="14">
        <v>0</v>
      </c>
      <c r="J56" s="14">
        <v>0</v>
      </c>
      <c r="K56" s="14">
        <v>6075</v>
      </c>
      <c r="L56" s="14">
        <v>6075</v>
      </c>
      <c r="M56" s="14">
        <v>0</v>
      </c>
      <c r="N56" s="14">
        <v>0</v>
      </c>
      <c r="O56" s="14">
        <v>0</v>
      </c>
      <c r="P56" t="s">
        <v>254</v>
      </c>
    </row>
    <row r="57" spans="1:16" x14ac:dyDescent="0.25">
      <c r="A57" t="s">
        <v>18</v>
      </c>
      <c r="B57">
        <v>160</v>
      </c>
      <c r="C57" t="s">
        <v>262</v>
      </c>
      <c r="D57" s="14">
        <v>0</v>
      </c>
      <c r="E57" s="14">
        <v>31590</v>
      </c>
      <c r="F57" s="14">
        <v>-31590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31590</v>
      </c>
      <c r="M57" s="14">
        <v>-31590</v>
      </c>
      <c r="N57" s="14">
        <v>0</v>
      </c>
      <c r="O57" s="14">
        <v>0</v>
      </c>
      <c r="P57" t="s">
        <v>254</v>
      </c>
    </row>
    <row r="58" spans="1:16" x14ac:dyDescent="0.25">
      <c r="A58" t="s">
        <v>18</v>
      </c>
      <c r="B58">
        <v>160</v>
      </c>
      <c r="C58" t="s">
        <v>290</v>
      </c>
      <c r="D58" s="14">
        <v>2145</v>
      </c>
      <c r="E58" s="14">
        <v>2145</v>
      </c>
      <c r="F58" s="14">
        <v>0</v>
      </c>
      <c r="G58" s="14">
        <v>1699.5920978522877</v>
      </c>
      <c r="H58" s="14">
        <v>0.79235062836936487</v>
      </c>
      <c r="I58" s="14">
        <v>48.75</v>
      </c>
      <c r="J58" s="14">
        <v>48.75</v>
      </c>
      <c r="K58" s="14">
        <v>2193.75</v>
      </c>
      <c r="L58" s="14">
        <v>2193.75</v>
      </c>
      <c r="M58" s="14">
        <v>0</v>
      </c>
      <c r="N58" s="14">
        <v>38.630000000000109</v>
      </c>
      <c r="O58" s="14">
        <v>1.7609116809116858E-2</v>
      </c>
      <c r="P58" t="s">
        <v>254</v>
      </c>
    </row>
    <row r="59" spans="1:16" x14ac:dyDescent="0.25">
      <c r="A59" t="s">
        <v>18</v>
      </c>
      <c r="B59">
        <v>160</v>
      </c>
      <c r="C59" t="s">
        <v>264</v>
      </c>
      <c r="D59" s="14">
        <v>6619</v>
      </c>
      <c r="E59" s="14">
        <v>6619</v>
      </c>
      <c r="F59" s="14">
        <v>0</v>
      </c>
      <c r="G59" s="14">
        <v>2496.4819320921001</v>
      </c>
      <c r="H59" s="14">
        <v>0.37716904851066629</v>
      </c>
      <c r="I59" s="14">
        <v>1083.5</v>
      </c>
      <c r="J59" s="14">
        <v>1083.5</v>
      </c>
      <c r="K59" s="14">
        <v>7702.5</v>
      </c>
      <c r="L59" s="14">
        <v>7702.5</v>
      </c>
      <c r="M59" s="14">
        <v>0</v>
      </c>
      <c r="N59" s="14">
        <v>408.65999999999985</v>
      </c>
      <c r="O59" s="14">
        <v>5.305550146056473E-2</v>
      </c>
      <c r="P59" t="s">
        <v>254</v>
      </c>
    </row>
    <row r="60" spans="1:16" x14ac:dyDescent="0.25">
      <c r="A60" t="s">
        <v>310</v>
      </c>
      <c r="B60">
        <v>160</v>
      </c>
      <c r="C60" t="s">
        <v>262</v>
      </c>
      <c r="D60" s="14">
        <v>0</v>
      </c>
      <c r="E60" s="14">
        <v>31492.5</v>
      </c>
      <c r="F60" s="14">
        <v>-31492.5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31492.5</v>
      </c>
      <c r="M60" s="14">
        <v>-31492.5</v>
      </c>
      <c r="N60" s="14">
        <v>0</v>
      </c>
      <c r="O60" s="14">
        <v>0</v>
      </c>
      <c r="P60" t="s">
        <v>254</v>
      </c>
    </row>
    <row r="61" spans="1:16" x14ac:dyDescent="0.25">
      <c r="A61" t="s">
        <v>312</v>
      </c>
      <c r="B61">
        <v>160</v>
      </c>
      <c r="C61" t="s">
        <v>262</v>
      </c>
      <c r="D61" s="14">
        <v>0</v>
      </c>
      <c r="E61" s="14">
        <v>70200</v>
      </c>
      <c r="F61" s="14">
        <v>-70200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70200</v>
      </c>
      <c r="M61" s="14">
        <v>-70200</v>
      </c>
      <c r="N61" s="14">
        <v>0</v>
      </c>
      <c r="O61" s="14">
        <v>0</v>
      </c>
      <c r="P61" t="s">
        <v>254</v>
      </c>
    </row>
    <row r="62" spans="1:16" x14ac:dyDescent="0.25">
      <c r="A62" t="s">
        <v>312</v>
      </c>
      <c r="B62">
        <v>160</v>
      </c>
      <c r="C62" t="s">
        <v>264</v>
      </c>
      <c r="D62" s="14">
        <v>385</v>
      </c>
      <c r="E62" s="14">
        <v>385</v>
      </c>
      <c r="F62" s="14">
        <v>0</v>
      </c>
      <c r="G62" s="14">
        <v>672.93067302686995</v>
      </c>
      <c r="H62" s="14">
        <v>1.74787187799187</v>
      </c>
      <c r="I62" s="14">
        <v>-190</v>
      </c>
      <c r="J62" s="14">
        <v>-190</v>
      </c>
      <c r="K62" s="14">
        <v>195</v>
      </c>
      <c r="L62" s="14">
        <v>195</v>
      </c>
      <c r="M62" s="14">
        <v>0</v>
      </c>
      <c r="N62" s="14">
        <v>-332.1</v>
      </c>
      <c r="O62" s="14">
        <v>-1.7030769230769232</v>
      </c>
      <c r="P62" t="s">
        <v>254</v>
      </c>
    </row>
    <row r="63" spans="1:16" x14ac:dyDescent="0.25">
      <c r="A63" t="s">
        <v>314</v>
      </c>
      <c r="B63">
        <v>160</v>
      </c>
      <c r="C63" t="s">
        <v>264</v>
      </c>
      <c r="D63" s="14">
        <v>1</v>
      </c>
      <c r="E63" s="14">
        <v>1</v>
      </c>
      <c r="F63" s="14">
        <v>0</v>
      </c>
      <c r="G63" s="14">
        <v>2.2147740794820003</v>
      </c>
      <c r="H63" s="14">
        <v>2.2147740794820003</v>
      </c>
      <c r="I63" s="14">
        <v>0</v>
      </c>
      <c r="J63" s="14">
        <v>0</v>
      </c>
      <c r="K63" s="14">
        <v>1</v>
      </c>
      <c r="L63" s="14">
        <v>1</v>
      </c>
      <c r="M63" s="14">
        <v>0</v>
      </c>
      <c r="N63" s="14">
        <v>0</v>
      </c>
      <c r="O63" s="14">
        <v>0</v>
      </c>
      <c r="P63" t="s">
        <v>254</v>
      </c>
    </row>
    <row r="64" spans="1:16" x14ac:dyDescent="0.25">
      <c r="A64" t="s">
        <v>54</v>
      </c>
      <c r="B64">
        <v>160</v>
      </c>
      <c r="C64" t="s">
        <v>264</v>
      </c>
      <c r="D64" s="14">
        <v>2889.8</v>
      </c>
      <c r="E64" s="14">
        <v>3092.22</v>
      </c>
      <c r="F64" s="14">
        <v>-202.41999999999962</v>
      </c>
      <c r="G64" s="14">
        <v>0</v>
      </c>
      <c r="H64" s="14">
        <v>0</v>
      </c>
      <c r="I64" s="14">
        <v>-0.30000000000000004</v>
      </c>
      <c r="J64" s="14">
        <v>0</v>
      </c>
      <c r="K64" s="14">
        <v>2889.5</v>
      </c>
      <c r="L64" s="14">
        <v>3092.22</v>
      </c>
      <c r="M64" s="14">
        <v>-202.7199999999998</v>
      </c>
      <c r="N64" s="14">
        <v>0</v>
      </c>
      <c r="O64" s="14">
        <v>0</v>
      </c>
      <c r="P64" t="s">
        <v>249</v>
      </c>
    </row>
    <row r="65" spans="1:16" x14ac:dyDescent="0.25">
      <c r="A65" t="s">
        <v>141</v>
      </c>
      <c r="B65">
        <v>160</v>
      </c>
      <c r="C65" t="s">
        <v>264</v>
      </c>
      <c r="D65" s="14">
        <v>632.4</v>
      </c>
      <c r="E65" s="14">
        <v>752.4</v>
      </c>
      <c r="F65" s="14">
        <v>-120</v>
      </c>
      <c r="G65" s="14">
        <v>0</v>
      </c>
      <c r="H65" s="14">
        <v>0</v>
      </c>
      <c r="I65" s="14">
        <v>0</v>
      </c>
      <c r="J65" s="14">
        <v>0</v>
      </c>
      <c r="K65" s="14">
        <v>632.4</v>
      </c>
      <c r="L65" s="14">
        <v>752.4</v>
      </c>
      <c r="M65" s="14">
        <v>-120</v>
      </c>
      <c r="N65" s="14">
        <v>0</v>
      </c>
      <c r="O65" s="14">
        <v>0</v>
      </c>
      <c r="P65" t="s">
        <v>254</v>
      </c>
    </row>
    <row r="66" spans="1:16" x14ac:dyDescent="0.25">
      <c r="A66" t="s">
        <v>315</v>
      </c>
      <c r="B66">
        <v>160</v>
      </c>
      <c r="C66" t="s">
        <v>264</v>
      </c>
      <c r="D66" s="14">
        <v>18</v>
      </c>
      <c r="E66" s="14">
        <v>18</v>
      </c>
      <c r="F66" s="14">
        <v>0</v>
      </c>
      <c r="G66" s="14">
        <v>0</v>
      </c>
      <c r="H66" s="14">
        <v>0</v>
      </c>
      <c r="I66" s="14">
        <v>9</v>
      </c>
      <c r="J66" s="14">
        <v>0</v>
      </c>
      <c r="K66" s="14">
        <v>27</v>
      </c>
      <c r="L66" s="14">
        <v>18</v>
      </c>
      <c r="M66" s="14">
        <v>9</v>
      </c>
      <c r="N66" s="14">
        <v>0</v>
      </c>
      <c r="O66" s="14">
        <v>0</v>
      </c>
      <c r="P66" t="s">
        <v>249</v>
      </c>
    </row>
    <row r="67" spans="1:16" x14ac:dyDescent="0.25">
      <c r="A67" t="s">
        <v>25</v>
      </c>
      <c r="B67">
        <v>160</v>
      </c>
      <c r="C67" t="s">
        <v>262</v>
      </c>
      <c r="D67" s="14">
        <v>0</v>
      </c>
      <c r="E67" s="14">
        <v>1050</v>
      </c>
      <c r="F67" s="14">
        <v>-1050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1050</v>
      </c>
      <c r="M67" s="14">
        <v>-1050</v>
      </c>
      <c r="N67" s="14">
        <v>0</v>
      </c>
      <c r="O67" s="14">
        <v>0</v>
      </c>
      <c r="P67" t="s">
        <v>254</v>
      </c>
    </row>
    <row r="68" spans="1:16" x14ac:dyDescent="0.25">
      <c r="A68" t="s">
        <v>25</v>
      </c>
      <c r="B68">
        <v>160</v>
      </c>
      <c r="C68" t="s">
        <v>264</v>
      </c>
      <c r="D68" s="14">
        <v>303.11000000000013</v>
      </c>
      <c r="E68" s="14">
        <v>-296.88999999999987</v>
      </c>
      <c r="F68" s="14">
        <v>600</v>
      </c>
      <c r="G68" s="14">
        <v>2.1785787420000001E-3</v>
      </c>
      <c r="H68" s="14">
        <v>-7.3379997372764361E-6</v>
      </c>
      <c r="I68" s="14">
        <v>1077.54</v>
      </c>
      <c r="J68" s="14">
        <v>1677.54</v>
      </c>
      <c r="K68" s="14">
        <v>1380.65</v>
      </c>
      <c r="L68" s="14">
        <v>1380.65</v>
      </c>
      <c r="M68" s="14">
        <v>0</v>
      </c>
      <c r="N68" s="14">
        <v>0</v>
      </c>
      <c r="O68" s="14">
        <v>0</v>
      </c>
      <c r="P68" t="s">
        <v>249</v>
      </c>
    </row>
    <row r="69" spans="1:16" x14ac:dyDescent="0.25">
      <c r="A69" t="s">
        <v>72</v>
      </c>
      <c r="B69">
        <v>160</v>
      </c>
      <c r="C69" t="s">
        <v>264</v>
      </c>
      <c r="D69" s="14">
        <v>1243.3799999999999</v>
      </c>
      <c r="E69" s="14">
        <v>1243.3799999999999</v>
      </c>
      <c r="F69" s="14">
        <v>0</v>
      </c>
      <c r="G69" s="14">
        <v>3407.5553614820801</v>
      </c>
      <c r="H69" s="14">
        <v>2.7405582858676194</v>
      </c>
      <c r="I69" s="14">
        <v>4.92</v>
      </c>
      <c r="J69" s="14">
        <v>4.92</v>
      </c>
      <c r="K69" s="14">
        <v>1248.3</v>
      </c>
      <c r="L69" s="14">
        <v>1248.3</v>
      </c>
      <c r="M69" s="14">
        <v>0</v>
      </c>
      <c r="N69" s="14">
        <v>13.480000000000018</v>
      </c>
      <c r="O69" s="14">
        <v>1.0798686213250036E-2</v>
      </c>
      <c r="P69" t="s">
        <v>254</v>
      </c>
    </row>
    <row r="70" spans="1:16" x14ac:dyDescent="0.25">
      <c r="A70" t="s">
        <v>316</v>
      </c>
      <c r="B70">
        <v>160</v>
      </c>
      <c r="C70" t="s">
        <v>264</v>
      </c>
      <c r="D70" s="14">
        <v>340.2</v>
      </c>
      <c r="E70" s="14">
        <v>340.2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>
        <v>340.2</v>
      </c>
      <c r="L70" s="14">
        <v>340.2</v>
      </c>
      <c r="M70" s="14">
        <v>0</v>
      </c>
      <c r="N70" s="14">
        <v>0</v>
      </c>
      <c r="O70" s="14">
        <v>0</v>
      </c>
      <c r="P70" t="s">
        <v>254</v>
      </c>
    </row>
    <row r="71" spans="1:16" x14ac:dyDescent="0.25">
      <c r="A71" t="s">
        <v>317</v>
      </c>
      <c r="B71">
        <v>160</v>
      </c>
      <c r="C71" t="s">
        <v>264</v>
      </c>
      <c r="D71" s="14">
        <v>884.80000000000007</v>
      </c>
      <c r="E71" s="14">
        <v>884.8</v>
      </c>
      <c r="F71" s="14">
        <v>1.1368683772161603E-13</v>
      </c>
      <c r="G71" s="14">
        <v>0</v>
      </c>
      <c r="H71" s="14">
        <v>0</v>
      </c>
      <c r="I71" s="14">
        <v>22.400000000000002</v>
      </c>
      <c r="J71" s="14">
        <v>0</v>
      </c>
      <c r="K71" s="14">
        <v>907.2</v>
      </c>
      <c r="L71" s="14">
        <v>884.8</v>
      </c>
      <c r="M71" s="14">
        <v>22.400000000000091</v>
      </c>
      <c r="N71" s="14">
        <v>0</v>
      </c>
      <c r="O71" s="14">
        <v>0</v>
      </c>
      <c r="P71" t="s">
        <v>249</v>
      </c>
    </row>
    <row r="72" spans="1:16" x14ac:dyDescent="0.25">
      <c r="A72" t="s">
        <v>73</v>
      </c>
      <c r="B72">
        <v>160</v>
      </c>
      <c r="C72" t="s">
        <v>262</v>
      </c>
      <c r="D72" s="14">
        <v>0</v>
      </c>
      <c r="E72" s="14">
        <v>690</v>
      </c>
      <c r="F72" s="14">
        <v>-690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690</v>
      </c>
      <c r="M72" s="14">
        <v>-690</v>
      </c>
      <c r="N72" s="14">
        <v>0</v>
      </c>
      <c r="O72" s="14">
        <v>0</v>
      </c>
      <c r="P72" t="s">
        <v>254</v>
      </c>
    </row>
    <row r="73" spans="1:16" x14ac:dyDescent="0.25">
      <c r="A73" t="s">
        <v>73</v>
      </c>
      <c r="B73">
        <v>160</v>
      </c>
      <c r="C73" t="s">
        <v>264</v>
      </c>
      <c r="D73" s="14">
        <v>3554.0800000000004</v>
      </c>
      <c r="E73" s="14">
        <v>3554.0800000000004</v>
      </c>
      <c r="F73" s="14">
        <v>0</v>
      </c>
      <c r="G73" s="14">
        <v>6203.6400079145897</v>
      </c>
      <c r="H73" s="14">
        <v>1.7454981339515681</v>
      </c>
      <c r="I73" s="14">
        <v>-82.78</v>
      </c>
      <c r="J73" s="14">
        <v>-82.78</v>
      </c>
      <c r="K73" s="14">
        <v>3471.3</v>
      </c>
      <c r="L73" s="14">
        <v>3471.3</v>
      </c>
      <c r="M73" s="14">
        <v>0</v>
      </c>
      <c r="N73" s="14">
        <v>-144.48999999999978</v>
      </c>
      <c r="O73" s="14">
        <v>-4.1624175380981121E-2</v>
      </c>
      <c r="P73" t="s">
        <v>254</v>
      </c>
    </row>
    <row r="74" spans="1:16" x14ac:dyDescent="0.25">
      <c r="A74" t="s">
        <v>194</v>
      </c>
      <c r="B74">
        <v>160</v>
      </c>
      <c r="C74" t="s">
        <v>264</v>
      </c>
      <c r="D74" s="14">
        <v>1280.76</v>
      </c>
      <c r="E74" s="14">
        <v>1280.76</v>
      </c>
      <c r="F74" s="14">
        <v>0</v>
      </c>
      <c r="G74" s="14">
        <v>2989.1424536347299</v>
      </c>
      <c r="H74" s="14">
        <v>2.3338817995836298</v>
      </c>
      <c r="I74" s="14">
        <v>-4.26</v>
      </c>
      <c r="J74" s="14">
        <v>-4.26</v>
      </c>
      <c r="K74" s="14">
        <v>1276.5</v>
      </c>
      <c r="L74" s="14">
        <v>1276.5</v>
      </c>
      <c r="M74" s="14">
        <v>0</v>
      </c>
      <c r="N74" s="14">
        <v>-9.9400000000000546</v>
      </c>
      <c r="O74" s="14">
        <v>-7.7869173521347866E-3</v>
      </c>
      <c r="P74" t="s">
        <v>254</v>
      </c>
    </row>
    <row r="75" spans="1:16" x14ac:dyDescent="0.25">
      <c r="A75" t="s">
        <v>142</v>
      </c>
      <c r="B75">
        <v>160</v>
      </c>
      <c r="C75" t="s">
        <v>262</v>
      </c>
      <c r="D75" s="14">
        <v>0</v>
      </c>
      <c r="E75" s="14">
        <v>1730.1</v>
      </c>
      <c r="F75" s="14">
        <v>-1730.1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1730.1</v>
      </c>
      <c r="M75" s="14">
        <v>-1730.1</v>
      </c>
      <c r="N75" s="14">
        <v>0</v>
      </c>
      <c r="O75" s="14">
        <v>0</v>
      </c>
      <c r="P75" t="s">
        <v>254</v>
      </c>
    </row>
    <row r="76" spans="1:16" x14ac:dyDescent="0.25">
      <c r="A76" t="s">
        <v>142</v>
      </c>
      <c r="B76">
        <v>160</v>
      </c>
      <c r="C76" t="s">
        <v>264</v>
      </c>
      <c r="D76" s="14">
        <v>5956.2</v>
      </c>
      <c r="E76" s="14">
        <v>5956.2</v>
      </c>
      <c r="F76" s="14">
        <v>0</v>
      </c>
      <c r="G76" s="14">
        <v>34727.423032349601</v>
      </c>
      <c r="H76" s="14">
        <v>5.8304662422936779</v>
      </c>
      <c r="I76" s="14">
        <v>-162</v>
      </c>
      <c r="J76" s="14">
        <v>-162</v>
      </c>
      <c r="K76" s="14">
        <v>5794.2</v>
      </c>
      <c r="L76" s="14">
        <v>5794.2</v>
      </c>
      <c r="M76" s="14">
        <v>0</v>
      </c>
      <c r="N76" s="14">
        <v>-944.52999999999884</v>
      </c>
      <c r="O76" s="14">
        <v>-0.16301301301301283</v>
      </c>
      <c r="P76" t="s">
        <v>254</v>
      </c>
    </row>
    <row r="77" spans="1:16" x14ac:dyDescent="0.25">
      <c r="A77" t="s">
        <v>26</v>
      </c>
      <c r="B77">
        <v>160</v>
      </c>
      <c r="C77" t="s">
        <v>262</v>
      </c>
      <c r="D77" s="14">
        <v>0</v>
      </c>
      <c r="E77" s="14">
        <v>225</v>
      </c>
      <c r="F77" s="14">
        <v>-225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225</v>
      </c>
      <c r="M77" s="14">
        <v>-225</v>
      </c>
      <c r="N77" s="14">
        <v>0</v>
      </c>
      <c r="O77" s="14">
        <v>0</v>
      </c>
      <c r="P77" t="s">
        <v>254</v>
      </c>
    </row>
    <row r="78" spans="1:16" x14ac:dyDescent="0.25">
      <c r="A78" t="s">
        <v>26</v>
      </c>
      <c r="B78">
        <v>160</v>
      </c>
      <c r="C78" t="s">
        <v>264</v>
      </c>
      <c r="D78" s="14">
        <v>854.5100000000001</v>
      </c>
      <c r="E78" s="14">
        <v>839.5100000000001</v>
      </c>
      <c r="F78" s="14">
        <v>15</v>
      </c>
      <c r="G78" s="14">
        <v>5830.2742902543996</v>
      </c>
      <c r="H78" s="14">
        <v>6.9448538912632358</v>
      </c>
      <c r="I78" s="14">
        <v>-0.59999999999999964</v>
      </c>
      <c r="J78" s="14">
        <v>14.399999999999999</v>
      </c>
      <c r="K78" s="14">
        <v>853.91000000000008</v>
      </c>
      <c r="L78" s="14">
        <v>853.91000000000008</v>
      </c>
      <c r="M78" s="14">
        <v>0</v>
      </c>
      <c r="N78" s="14">
        <v>100.01000000000022</v>
      </c>
      <c r="O78" s="14">
        <v>0.11712007120188335</v>
      </c>
      <c r="P78" t="s">
        <v>249</v>
      </c>
    </row>
    <row r="79" spans="1:16" x14ac:dyDescent="0.25">
      <c r="A79" t="s">
        <v>319</v>
      </c>
      <c r="B79">
        <v>160</v>
      </c>
      <c r="C79" t="s">
        <v>264</v>
      </c>
      <c r="D79" s="14">
        <v>660</v>
      </c>
      <c r="E79" s="14">
        <v>0</v>
      </c>
      <c r="F79" s="14">
        <v>660</v>
      </c>
      <c r="G79" s="14">
        <v>0</v>
      </c>
      <c r="H79" s="14">
        <v>0</v>
      </c>
      <c r="I79" s="14">
        <v>0</v>
      </c>
      <c r="J79" s="14">
        <v>0</v>
      </c>
      <c r="K79" s="14">
        <v>660</v>
      </c>
      <c r="L79" s="14">
        <v>0</v>
      </c>
      <c r="M79" s="14">
        <v>660</v>
      </c>
      <c r="N79" s="14">
        <v>0</v>
      </c>
      <c r="O79" s="14">
        <v>0</v>
      </c>
      <c r="P79" t="s">
        <v>254</v>
      </c>
    </row>
    <row r="80" spans="1:16" x14ac:dyDescent="0.25">
      <c r="A80" t="s">
        <v>320</v>
      </c>
      <c r="B80">
        <v>160</v>
      </c>
      <c r="C80" t="s">
        <v>264</v>
      </c>
      <c r="D80" s="14">
        <v>6</v>
      </c>
      <c r="E80" s="14">
        <v>6</v>
      </c>
      <c r="F80" s="14">
        <v>0</v>
      </c>
      <c r="G80" s="14">
        <v>18.752995450429001</v>
      </c>
      <c r="H80" s="14">
        <v>3.1254992417381668</v>
      </c>
      <c r="I80" s="14">
        <v>-5</v>
      </c>
      <c r="J80" s="14">
        <v>-5</v>
      </c>
      <c r="K80" s="14">
        <v>1</v>
      </c>
      <c r="L80" s="14">
        <v>1</v>
      </c>
      <c r="M80" s="14">
        <v>0</v>
      </c>
      <c r="N80" s="14">
        <v>-15.63</v>
      </c>
      <c r="O80" s="14">
        <v>-15.63</v>
      </c>
      <c r="P80" t="s">
        <v>254</v>
      </c>
    </row>
    <row r="81" spans="1:16" x14ac:dyDescent="0.25">
      <c r="A81" t="s">
        <v>321</v>
      </c>
      <c r="B81">
        <v>160</v>
      </c>
      <c r="C81" t="s">
        <v>264</v>
      </c>
      <c r="D81" s="14">
        <v>-47</v>
      </c>
      <c r="E81" s="14"/>
      <c r="F81" s="14">
        <v>-47</v>
      </c>
      <c r="G81" s="14">
        <v>0</v>
      </c>
      <c r="H81" s="14">
        <v>0</v>
      </c>
      <c r="I81" s="14">
        <v>-1</v>
      </c>
      <c r="J81" s="14">
        <v>0</v>
      </c>
      <c r="K81" s="14">
        <v>-48</v>
      </c>
      <c r="L81" s="14"/>
      <c r="M81" s="14">
        <v>-48</v>
      </c>
      <c r="N81" s="14">
        <v>0</v>
      </c>
      <c r="O81" s="14">
        <v>0</v>
      </c>
      <c r="P81" t="s">
        <v>249</v>
      </c>
    </row>
    <row r="82" spans="1:16" x14ac:dyDescent="0.25">
      <c r="A82" t="s">
        <v>322</v>
      </c>
      <c r="B82">
        <v>160</v>
      </c>
      <c r="C82" t="s">
        <v>264</v>
      </c>
      <c r="D82" s="14">
        <v>-1</v>
      </c>
      <c r="E82" s="14"/>
      <c r="F82" s="14">
        <v>-1</v>
      </c>
      <c r="G82" s="14">
        <v>0</v>
      </c>
      <c r="H82" s="14">
        <v>0</v>
      </c>
      <c r="I82" s="14">
        <v>0</v>
      </c>
      <c r="J82" s="14">
        <v>0</v>
      </c>
      <c r="K82" s="14">
        <v>-1</v>
      </c>
      <c r="L82" s="14"/>
      <c r="M82" s="14">
        <v>-1</v>
      </c>
      <c r="N82" s="14">
        <v>0</v>
      </c>
      <c r="O82" s="14">
        <v>0</v>
      </c>
      <c r="P82" t="s">
        <v>254</v>
      </c>
    </row>
    <row r="83" spans="1:16" x14ac:dyDescent="0.25">
      <c r="A83" t="s">
        <v>323</v>
      </c>
      <c r="B83">
        <v>160</v>
      </c>
      <c r="C83" t="s">
        <v>264</v>
      </c>
      <c r="D83" s="14">
        <v>36</v>
      </c>
      <c r="E83" s="14">
        <v>36</v>
      </c>
      <c r="F83" s="14">
        <v>0</v>
      </c>
      <c r="G83" s="14">
        <v>8.8253042053440005</v>
      </c>
      <c r="H83" s="14">
        <v>0.24514733903733335</v>
      </c>
      <c r="I83" s="14">
        <v>-36</v>
      </c>
      <c r="J83" s="14">
        <v>-36</v>
      </c>
      <c r="K83" s="14">
        <v>0</v>
      </c>
      <c r="L83" s="14">
        <v>0</v>
      </c>
      <c r="M83" s="14">
        <v>0</v>
      </c>
      <c r="N83" s="14">
        <v>-8.83</v>
      </c>
      <c r="O83" s="14">
        <v>0</v>
      </c>
      <c r="P83" t="s">
        <v>254</v>
      </c>
    </row>
    <row r="84" spans="1:16" x14ac:dyDescent="0.25">
      <c r="A84" t="s">
        <v>326</v>
      </c>
      <c r="B84">
        <v>160</v>
      </c>
      <c r="C84" t="s">
        <v>264</v>
      </c>
      <c r="D84" s="14">
        <v>178</v>
      </c>
      <c r="E84" s="14">
        <v>178</v>
      </c>
      <c r="F84" s="14">
        <v>0</v>
      </c>
      <c r="G84" s="14">
        <v>0</v>
      </c>
      <c r="H84" s="14">
        <v>0</v>
      </c>
      <c r="I84" s="14">
        <v>-170</v>
      </c>
      <c r="J84" s="14">
        <v>0</v>
      </c>
      <c r="K84" s="14">
        <v>8</v>
      </c>
      <c r="L84" s="14">
        <v>178</v>
      </c>
      <c r="M84" s="14">
        <v>-170</v>
      </c>
      <c r="N84" s="14">
        <v>0</v>
      </c>
      <c r="O84" s="14">
        <v>0</v>
      </c>
      <c r="P84" t="s">
        <v>249</v>
      </c>
    </row>
    <row r="85" spans="1:16" x14ac:dyDescent="0.25">
      <c r="A85" t="s">
        <v>332</v>
      </c>
      <c r="B85">
        <v>160</v>
      </c>
      <c r="C85" t="s">
        <v>264</v>
      </c>
      <c r="D85" s="14">
        <v>6</v>
      </c>
      <c r="E85" s="14">
        <v>6</v>
      </c>
      <c r="F85" s="14">
        <v>0</v>
      </c>
      <c r="G85" s="14">
        <v>29.879709932274999</v>
      </c>
      <c r="H85" s="14">
        <v>4.9799516553791667</v>
      </c>
      <c r="I85" s="14">
        <v>-6</v>
      </c>
      <c r="J85" s="14">
        <v>-6</v>
      </c>
      <c r="K85" s="14">
        <v>0</v>
      </c>
      <c r="L85" s="14">
        <v>0</v>
      </c>
      <c r="M85" s="14">
        <v>0</v>
      </c>
      <c r="N85" s="14">
        <v>-29.88</v>
      </c>
      <c r="O85" s="14">
        <v>0</v>
      </c>
      <c r="P85" t="s">
        <v>254</v>
      </c>
    </row>
    <row r="86" spans="1:16" x14ac:dyDescent="0.25">
      <c r="A86" t="s">
        <v>333</v>
      </c>
      <c r="B86">
        <v>160</v>
      </c>
      <c r="C86" t="s">
        <v>264</v>
      </c>
      <c r="D86" s="14">
        <v>1</v>
      </c>
      <c r="E86" s="14">
        <v>1</v>
      </c>
      <c r="F86" s="14">
        <v>0</v>
      </c>
      <c r="G86" s="14">
        <v>1.9610733758379999</v>
      </c>
      <c r="H86" s="14">
        <v>1.9610733758379999</v>
      </c>
      <c r="I86" s="14">
        <v>-1</v>
      </c>
      <c r="J86" s="14">
        <v>-1</v>
      </c>
      <c r="K86" s="14">
        <v>0</v>
      </c>
      <c r="L86" s="14">
        <v>0</v>
      </c>
      <c r="M86" s="14">
        <v>0</v>
      </c>
      <c r="N86" s="14">
        <v>-1.96</v>
      </c>
      <c r="O86" s="14">
        <v>0</v>
      </c>
      <c r="P86" t="s">
        <v>254</v>
      </c>
    </row>
    <row r="87" spans="1:16" x14ac:dyDescent="0.25">
      <c r="A87" t="s">
        <v>336</v>
      </c>
      <c r="B87">
        <v>160</v>
      </c>
      <c r="C87" t="s">
        <v>264</v>
      </c>
      <c r="D87" s="14">
        <v>12</v>
      </c>
      <c r="E87" s="14">
        <v>12</v>
      </c>
      <c r="F87" s="14">
        <v>0</v>
      </c>
      <c r="G87" s="14">
        <v>246.99619338373699</v>
      </c>
      <c r="H87" s="14">
        <v>20.583016115311416</v>
      </c>
      <c r="I87" s="14">
        <v>0</v>
      </c>
      <c r="J87" s="14">
        <v>0</v>
      </c>
      <c r="K87" s="14">
        <v>12</v>
      </c>
      <c r="L87" s="14">
        <v>12</v>
      </c>
      <c r="M87" s="14">
        <v>0</v>
      </c>
      <c r="N87" s="14">
        <v>0</v>
      </c>
      <c r="O87" s="14">
        <v>0</v>
      </c>
      <c r="P87" t="s">
        <v>254</v>
      </c>
    </row>
    <row r="88" spans="1:16" x14ac:dyDescent="0.25">
      <c r="A88" t="s">
        <v>339</v>
      </c>
      <c r="B88">
        <v>160</v>
      </c>
      <c r="C88" t="s">
        <v>264</v>
      </c>
      <c r="D88" s="14">
        <v>1</v>
      </c>
      <c r="E88" s="14">
        <v>1</v>
      </c>
      <c r="F88" s="14">
        <v>0</v>
      </c>
      <c r="G88" s="14">
        <v>120.72</v>
      </c>
      <c r="H88" s="14">
        <v>120.72</v>
      </c>
      <c r="I88" s="14">
        <v>-1</v>
      </c>
      <c r="J88" s="14">
        <v>-1</v>
      </c>
      <c r="K88" s="14">
        <v>0</v>
      </c>
      <c r="L88" s="14">
        <v>0</v>
      </c>
      <c r="M88" s="14">
        <v>0</v>
      </c>
      <c r="N88" s="14">
        <v>-120.72</v>
      </c>
      <c r="O88" s="14">
        <v>0</v>
      </c>
      <c r="P88" t="s">
        <v>254</v>
      </c>
    </row>
    <row r="89" spans="1:16" x14ac:dyDescent="0.25">
      <c r="A89" t="s">
        <v>341</v>
      </c>
      <c r="B89">
        <v>160</v>
      </c>
      <c r="C89" t="s">
        <v>264</v>
      </c>
      <c r="D89" s="14">
        <v>6</v>
      </c>
      <c r="E89" s="14">
        <v>6</v>
      </c>
      <c r="F89" s="14">
        <v>0</v>
      </c>
      <c r="G89" s="14">
        <v>11.183350678865999</v>
      </c>
      <c r="H89" s="14">
        <v>1.8638917798109997</v>
      </c>
      <c r="I89" s="14">
        <v>-6</v>
      </c>
      <c r="J89" s="14">
        <v>-6</v>
      </c>
      <c r="K89" s="14">
        <v>0</v>
      </c>
      <c r="L89" s="14">
        <v>0</v>
      </c>
      <c r="M89" s="14">
        <v>0</v>
      </c>
      <c r="N89" s="14">
        <v>-11.18</v>
      </c>
      <c r="O89" s="14">
        <v>0</v>
      </c>
      <c r="P89" t="s">
        <v>254</v>
      </c>
    </row>
    <row r="90" spans="1:16" x14ac:dyDescent="0.25">
      <c r="A90" t="s">
        <v>342</v>
      </c>
      <c r="B90">
        <v>160</v>
      </c>
      <c r="C90" t="s">
        <v>264</v>
      </c>
      <c r="D90" s="14">
        <v>6</v>
      </c>
      <c r="E90" s="14">
        <v>6</v>
      </c>
      <c r="F90" s="14">
        <v>0</v>
      </c>
      <c r="G90" s="14">
        <v>129.337998720873</v>
      </c>
      <c r="H90" s="14">
        <v>21.556333120145499</v>
      </c>
      <c r="I90" s="14">
        <v>-6</v>
      </c>
      <c r="J90" s="14">
        <v>-6</v>
      </c>
      <c r="K90" s="14">
        <v>0</v>
      </c>
      <c r="L90" s="14">
        <v>0</v>
      </c>
      <c r="M90" s="14">
        <v>0</v>
      </c>
      <c r="N90" s="14">
        <v>-129.34</v>
      </c>
      <c r="O90" s="14">
        <v>0</v>
      </c>
      <c r="P90" t="s">
        <v>254</v>
      </c>
    </row>
    <row r="91" spans="1:16" x14ac:dyDescent="0.25">
      <c r="A91" t="s">
        <v>345</v>
      </c>
      <c r="B91">
        <v>160</v>
      </c>
      <c r="C91" t="s">
        <v>264</v>
      </c>
      <c r="D91" s="14">
        <v>6</v>
      </c>
      <c r="E91" s="14">
        <v>6</v>
      </c>
      <c r="F91" s="14">
        <v>0</v>
      </c>
      <c r="G91" s="14">
        <v>5.266338438769</v>
      </c>
      <c r="H91" s="14">
        <v>0.87772307312816666</v>
      </c>
      <c r="I91" s="14">
        <v>-6</v>
      </c>
      <c r="J91" s="14">
        <v>-6</v>
      </c>
      <c r="K91" s="14">
        <v>0</v>
      </c>
      <c r="L91" s="14">
        <v>0</v>
      </c>
      <c r="M91" s="14">
        <v>0</v>
      </c>
      <c r="N91" s="14">
        <v>-5.27</v>
      </c>
      <c r="O91" s="14">
        <v>0</v>
      </c>
      <c r="P91" t="s">
        <v>254</v>
      </c>
    </row>
    <row r="92" spans="1:16" x14ac:dyDescent="0.25">
      <c r="A92" t="s">
        <v>346</v>
      </c>
      <c r="B92">
        <v>160</v>
      </c>
      <c r="C92" t="s">
        <v>264</v>
      </c>
      <c r="D92" s="14">
        <v>36</v>
      </c>
      <c r="E92" s="14">
        <v>36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K92" s="14">
        <v>36</v>
      </c>
      <c r="L92" s="14">
        <v>36</v>
      </c>
      <c r="M92" s="14">
        <v>0</v>
      </c>
      <c r="N92" s="14">
        <v>0</v>
      </c>
      <c r="O92" s="14">
        <v>0</v>
      </c>
      <c r="P92" t="s">
        <v>254</v>
      </c>
    </row>
    <row r="93" spans="1:16" x14ac:dyDescent="0.25">
      <c r="A93" t="s">
        <v>347</v>
      </c>
      <c r="B93">
        <v>160</v>
      </c>
      <c r="C93" t="s">
        <v>264</v>
      </c>
      <c r="D93" s="14">
        <v>4368</v>
      </c>
      <c r="E93" s="14">
        <v>4438</v>
      </c>
      <c r="F93" s="14">
        <v>-70</v>
      </c>
      <c r="G93" s="14">
        <v>0</v>
      </c>
      <c r="H93" s="14">
        <v>0</v>
      </c>
      <c r="I93" s="14">
        <v>-41</v>
      </c>
      <c r="J93" s="14">
        <v>0</v>
      </c>
      <c r="K93" s="14">
        <v>4327</v>
      </c>
      <c r="L93" s="14">
        <v>4438</v>
      </c>
      <c r="M93" s="14">
        <v>-111</v>
      </c>
      <c r="N93" s="14">
        <v>0</v>
      </c>
      <c r="O93" s="14">
        <v>0</v>
      </c>
      <c r="P93" t="s">
        <v>249</v>
      </c>
    </row>
    <row r="94" spans="1:16" x14ac:dyDescent="0.25">
      <c r="A94" t="s">
        <v>348</v>
      </c>
      <c r="B94">
        <v>160</v>
      </c>
      <c r="C94" t="s">
        <v>264</v>
      </c>
      <c r="D94" s="14">
        <v>721</v>
      </c>
      <c r="E94" s="14">
        <v>932</v>
      </c>
      <c r="F94" s="14">
        <v>-211</v>
      </c>
      <c r="G94" s="14">
        <v>0</v>
      </c>
      <c r="H94" s="14">
        <v>0</v>
      </c>
      <c r="I94" s="14">
        <v>-101</v>
      </c>
      <c r="J94" s="14">
        <v>0</v>
      </c>
      <c r="K94" s="14">
        <v>620</v>
      </c>
      <c r="L94" s="14">
        <v>932</v>
      </c>
      <c r="M94" s="14">
        <v>-312</v>
      </c>
      <c r="N94" s="14">
        <v>0</v>
      </c>
      <c r="O94" s="14">
        <v>0</v>
      </c>
      <c r="P94" t="s">
        <v>249</v>
      </c>
    </row>
    <row r="95" spans="1:16" x14ac:dyDescent="0.25">
      <c r="A95" t="s">
        <v>349</v>
      </c>
      <c r="B95">
        <v>160</v>
      </c>
      <c r="C95" t="s">
        <v>264</v>
      </c>
      <c r="D95" s="14">
        <v>440</v>
      </c>
      <c r="E95" s="14">
        <v>940</v>
      </c>
      <c r="F95" s="14">
        <v>-500</v>
      </c>
      <c r="G95" s="14">
        <v>0</v>
      </c>
      <c r="H95" s="14">
        <v>0</v>
      </c>
      <c r="I95" s="14">
        <v>-1</v>
      </c>
      <c r="J95" s="14">
        <v>0</v>
      </c>
      <c r="K95" s="14">
        <v>439</v>
      </c>
      <c r="L95" s="14">
        <v>940</v>
      </c>
      <c r="M95" s="14">
        <v>-501</v>
      </c>
      <c r="N95" s="14">
        <v>0</v>
      </c>
      <c r="O95" s="14">
        <v>0</v>
      </c>
      <c r="P95" t="s">
        <v>249</v>
      </c>
    </row>
    <row r="96" spans="1:16" x14ac:dyDescent="0.25">
      <c r="A96" t="s">
        <v>350</v>
      </c>
      <c r="B96">
        <v>160</v>
      </c>
      <c r="C96" t="s">
        <v>264</v>
      </c>
      <c r="D96" s="14">
        <v>72</v>
      </c>
      <c r="E96" s="14">
        <v>92</v>
      </c>
      <c r="F96" s="14">
        <v>-20</v>
      </c>
      <c r="G96" s="14">
        <v>0</v>
      </c>
      <c r="H96" s="14">
        <v>0</v>
      </c>
      <c r="I96" s="14">
        <v>-2</v>
      </c>
      <c r="J96" s="14">
        <v>0</v>
      </c>
      <c r="K96" s="14">
        <v>70</v>
      </c>
      <c r="L96" s="14">
        <v>92</v>
      </c>
      <c r="M96" s="14">
        <v>-22</v>
      </c>
      <c r="N96" s="14">
        <v>0</v>
      </c>
      <c r="O96" s="14">
        <v>0</v>
      </c>
      <c r="P96" t="s">
        <v>249</v>
      </c>
    </row>
    <row r="97" spans="1:16" x14ac:dyDescent="0.25">
      <c r="A97" t="s">
        <v>351</v>
      </c>
      <c r="B97">
        <v>160</v>
      </c>
      <c r="C97" t="s">
        <v>264</v>
      </c>
      <c r="D97" s="14">
        <v>1982</v>
      </c>
      <c r="E97" s="14">
        <v>2300</v>
      </c>
      <c r="F97" s="14">
        <v>-318</v>
      </c>
      <c r="G97" s="14">
        <v>0</v>
      </c>
      <c r="H97" s="14">
        <v>0</v>
      </c>
      <c r="I97" s="14">
        <v>32</v>
      </c>
      <c r="J97" s="14">
        <v>0</v>
      </c>
      <c r="K97" s="14">
        <v>2014</v>
      </c>
      <c r="L97" s="14">
        <v>2300</v>
      </c>
      <c r="M97" s="14">
        <v>-286</v>
      </c>
      <c r="N97" s="14">
        <v>0</v>
      </c>
      <c r="O97" s="14">
        <v>0</v>
      </c>
      <c r="P97" t="s">
        <v>249</v>
      </c>
    </row>
    <row r="98" spans="1:16" x14ac:dyDescent="0.25">
      <c r="A98" t="s">
        <v>353</v>
      </c>
      <c r="B98">
        <v>160</v>
      </c>
      <c r="C98" t="s">
        <v>264</v>
      </c>
      <c r="D98" s="14">
        <v>192</v>
      </c>
      <c r="E98" s="14">
        <v>220</v>
      </c>
      <c r="F98" s="14">
        <v>-28</v>
      </c>
      <c r="G98" s="14">
        <v>0</v>
      </c>
      <c r="H98" s="14">
        <v>0</v>
      </c>
      <c r="I98" s="14">
        <v>-12</v>
      </c>
      <c r="J98" s="14">
        <v>0</v>
      </c>
      <c r="K98" s="14">
        <v>180</v>
      </c>
      <c r="L98" s="14">
        <v>220</v>
      </c>
      <c r="M98" s="14">
        <v>-40</v>
      </c>
      <c r="N98" s="14">
        <v>0</v>
      </c>
      <c r="O98" s="14">
        <v>0</v>
      </c>
      <c r="P98" t="s">
        <v>249</v>
      </c>
    </row>
    <row r="99" spans="1:16" x14ac:dyDescent="0.25">
      <c r="A99" t="s">
        <v>354</v>
      </c>
      <c r="B99">
        <v>160</v>
      </c>
      <c r="C99" t="s">
        <v>264</v>
      </c>
      <c r="D99" s="14">
        <v>103</v>
      </c>
      <c r="E99" s="14">
        <v>140</v>
      </c>
      <c r="F99" s="14">
        <v>-37</v>
      </c>
      <c r="G99" s="14">
        <v>0</v>
      </c>
      <c r="H99" s="14">
        <v>0</v>
      </c>
      <c r="I99" s="14">
        <v>1</v>
      </c>
      <c r="J99" s="14">
        <v>0</v>
      </c>
      <c r="K99" s="14">
        <v>104</v>
      </c>
      <c r="L99" s="14">
        <v>140</v>
      </c>
      <c r="M99" s="14">
        <v>-36</v>
      </c>
      <c r="N99" s="14">
        <v>0</v>
      </c>
      <c r="O99" s="14">
        <v>0</v>
      </c>
      <c r="P99" t="s">
        <v>249</v>
      </c>
    </row>
    <row r="100" spans="1:16" x14ac:dyDescent="0.25">
      <c r="A100" t="s">
        <v>355</v>
      </c>
      <c r="B100">
        <v>160</v>
      </c>
      <c r="C100" t="s">
        <v>264</v>
      </c>
      <c r="D100" s="14">
        <v>44</v>
      </c>
      <c r="E100" s="14">
        <v>50</v>
      </c>
      <c r="F100" s="14">
        <v>-6</v>
      </c>
      <c r="G100" s="14">
        <v>0</v>
      </c>
      <c r="H100" s="14">
        <v>0</v>
      </c>
      <c r="I100" s="14">
        <v>-43</v>
      </c>
      <c r="J100" s="14">
        <v>0</v>
      </c>
      <c r="K100" s="14">
        <v>1</v>
      </c>
      <c r="L100" s="14">
        <v>50</v>
      </c>
      <c r="M100" s="14">
        <v>-49</v>
      </c>
      <c r="N100" s="14">
        <v>0</v>
      </c>
      <c r="O100" s="14">
        <v>0</v>
      </c>
      <c r="P100" t="s">
        <v>249</v>
      </c>
    </row>
    <row r="101" spans="1:16" x14ac:dyDescent="0.25">
      <c r="A101" t="s">
        <v>358</v>
      </c>
      <c r="B101">
        <v>160</v>
      </c>
      <c r="C101" t="s">
        <v>264</v>
      </c>
      <c r="D101" s="14">
        <v>29333.979999999996</v>
      </c>
      <c r="E101" s="14">
        <v>31071.599999999999</v>
      </c>
      <c r="F101" s="14">
        <v>-1737.6200000000026</v>
      </c>
      <c r="G101" s="14">
        <v>0</v>
      </c>
      <c r="H101" s="14">
        <v>0</v>
      </c>
      <c r="I101" s="14">
        <v>688.43000000000006</v>
      </c>
      <c r="J101" s="14">
        <v>0</v>
      </c>
      <c r="K101" s="14">
        <v>30022.409999999996</v>
      </c>
      <c r="L101" s="14">
        <v>31071.599999999999</v>
      </c>
      <c r="M101" s="14">
        <v>-1049.1900000000023</v>
      </c>
      <c r="N101" s="14">
        <v>0</v>
      </c>
      <c r="O101" s="14">
        <v>0</v>
      </c>
      <c r="P101" t="s">
        <v>249</v>
      </c>
    </row>
    <row r="102" spans="1:16" x14ac:dyDescent="0.25">
      <c r="A102" t="s">
        <v>359</v>
      </c>
      <c r="B102">
        <v>160</v>
      </c>
      <c r="C102" t="s">
        <v>264</v>
      </c>
      <c r="D102" s="14">
        <v>1</v>
      </c>
      <c r="E102" s="14">
        <v>0</v>
      </c>
      <c r="F102" s="14">
        <v>1</v>
      </c>
      <c r="G102" s="14">
        <v>0</v>
      </c>
      <c r="H102" s="14">
        <v>0</v>
      </c>
      <c r="I102" s="14">
        <v>2</v>
      </c>
      <c r="J102" s="14">
        <v>0</v>
      </c>
      <c r="K102" s="14">
        <v>3</v>
      </c>
      <c r="L102" s="14">
        <v>0</v>
      </c>
      <c r="M102" s="14">
        <v>3</v>
      </c>
      <c r="N102" s="14">
        <v>0</v>
      </c>
      <c r="O102" s="14">
        <v>0</v>
      </c>
      <c r="P102" t="s">
        <v>249</v>
      </c>
    </row>
    <row r="103" spans="1:16" x14ac:dyDescent="0.25">
      <c r="A103" t="s">
        <v>360</v>
      </c>
      <c r="B103">
        <v>160</v>
      </c>
      <c r="C103" t="s">
        <v>264</v>
      </c>
      <c r="D103" s="14">
        <v>6</v>
      </c>
      <c r="E103" s="14">
        <v>0</v>
      </c>
      <c r="F103" s="14">
        <v>6</v>
      </c>
      <c r="G103" s="14">
        <v>0</v>
      </c>
      <c r="H103" s="14">
        <v>0</v>
      </c>
      <c r="I103" s="14">
        <v>0</v>
      </c>
      <c r="J103" s="14">
        <v>0</v>
      </c>
      <c r="K103" s="14">
        <v>6</v>
      </c>
      <c r="L103" s="14">
        <v>0</v>
      </c>
      <c r="M103" s="14">
        <v>6</v>
      </c>
      <c r="N103" s="14">
        <v>0</v>
      </c>
      <c r="O103" s="14">
        <v>0</v>
      </c>
      <c r="P103" t="s">
        <v>254</v>
      </c>
    </row>
    <row r="104" spans="1:16" x14ac:dyDescent="0.25">
      <c r="A104" t="s">
        <v>361</v>
      </c>
      <c r="B104">
        <v>160</v>
      </c>
      <c r="C104" t="s">
        <v>264</v>
      </c>
      <c r="D104" s="14">
        <v>2</v>
      </c>
      <c r="E104" s="14">
        <v>0</v>
      </c>
      <c r="F104" s="14">
        <v>2</v>
      </c>
      <c r="G104" s="14">
        <v>0</v>
      </c>
      <c r="H104" s="14">
        <v>0</v>
      </c>
      <c r="I104" s="14">
        <v>0</v>
      </c>
      <c r="J104" s="14">
        <v>0</v>
      </c>
      <c r="K104" s="14">
        <v>2</v>
      </c>
      <c r="L104" s="14">
        <v>0</v>
      </c>
      <c r="M104" s="14">
        <v>2</v>
      </c>
      <c r="N104" s="14">
        <v>0</v>
      </c>
      <c r="O104" s="14">
        <v>0</v>
      </c>
      <c r="P104" t="s">
        <v>254</v>
      </c>
    </row>
    <row r="105" spans="1:16" x14ac:dyDescent="0.25">
      <c r="A105" t="s">
        <v>362</v>
      </c>
      <c r="B105">
        <v>160</v>
      </c>
      <c r="C105" t="s">
        <v>264</v>
      </c>
      <c r="D105" s="14">
        <v>-2</v>
      </c>
      <c r="E105" s="14">
        <v>0</v>
      </c>
      <c r="F105" s="14">
        <v>-2</v>
      </c>
      <c r="G105" s="14">
        <v>0</v>
      </c>
      <c r="H105" s="14">
        <v>0</v>
      </c>
      <c r="I105" s="14">
        <v>3</v>
      </c>
      <c r="J105" s="14">
        <v>0</v>
      </c>
      <c r="K105" s="14">
        <v>1</v>
      </c>
      <c r="L105" s="14">
        <v>0</v>
      </c>
      <c r="M105" s="14">
        <v>1</v>
      </c>
      <c r="N105" s="14">
        <v>0</v>
      </c>
      <c r="O105" s="14">
        <v>0</v>
      </c>
      <c r="P105" t="s">
        <v>249</v>
      </c>
    </row>
    <row r="106" spans="1:16" x14ac:dyDescent="0.25">
      <c r="A106" t="s">
        <v>366</v>
      </c>
      <c r="B106">
        <v>160</v>
      </c>
      <c r="C106" t="s">
        <v>264</v>
      </c>
      <c r="D106" s="14">
        <v>5700</v>
      </c>
      <c r="E106" s="14">
        <v>5871</v>
      </c>
      <c r="F106" s="14">
        <v>-171</v>
      </c>
      <c r="G106" s="14">
        <v>0</v>
      </c>
      <c r="H106" s="14">
        <v>0</v>
      </c>
      <c r="I106" s="14">
        <v>51</v>
      </c>
      <c r="J106" s="14">
        <v>0</v>
      </c>
      <c r="K106" s="14">
        <v>5751</v>
      </c>
      <c r="L106" s="14">
        <v>5871</v>
      </c>
      <c r="M106" s="14">
        <v>-120</v>
      </c>
      <c r="N106" s="14">
        <v>0</v>
      </c>
      <c r="O106" s="14">
        <v>0</v>
      </c>
      <c r="P106" t="s">
        <v>249</v>
      </c>
    </row>
    <row r="107" spans="1:16" x14ac:dyDescent="0.25">
      <c r="A107" t="s">
        <v>367</v>
      </c>
      <c r="B107">
        <v>160</v>
      </c>
      <c r="C107" t="s">
        <v>264</v>
      </c>
      <c r="D107" s="14">
        <v>6096</v>
      </c>
      <c r="E107" s="14">
        <v>6096</v>
      </c>
      <c r="F107" s="14">
        <v>0</v>
      </c>
      <c r="G107" s="14">
        <v>0</v>
      </c>
      <c r="H107" s="14">
        <v>0</v>
      </c>
      <c r="I107" s="14">
        <v>0</v>
      </c>
      <c r="J107" s="14">
        <v>0</v>
      </c>
      <c r="K107" s="14">
        <v>6096</v>
      </c>
      <c r="L107" s="14">
        <v>6096</v>
      </c>
      <c r="M107" s="14">
        <v>0</v>
      </c>
      <c r="N107" s="14">
        <v>0</v>
      </c>
      <c r="O107" s="14">
        <v>0</v>
      </c>
      <c r="P107" t="s">
        <v>254</v>
      </c>
    </row>
    <row r="108" spans="1:16" x14ac:dyDescent="0.25">
      <c r="A108" t="s">
        <v>368</v>
      </c>
      <c r="B108">
        <v>160</v>
      </c>
      <c r="C108" t="s">
        <v>264</v>
      </c>
      <c r="D108" s="14">
        <v>3587.85</v>
      </c>
      <c r="E108" s="14">
        <v>3870</v>
      </c>
      <c r="F108" s="14">
        <v>-282.15000000000009</v>
      </c>
      <c r="G108" s="14">
        <v>0</v>
      </c>
      <c r="H108" s="14">
        <v>0</v>
      </c>
      <c r="I108" s="14">
        <v>-0.85</v>
      </c>
      <c r="J108" s="14">
        <v>0</v>
      </c>
      <c r="K108" s="14">
        <v>3587</v>
      </c>
      <c r="L108" s="14">
        <v>3870</v>
      </c>
      <c r="M108" s="14">
        <v>-283</v>
      </c>
      <c r="N108" s="14">
        <v>0</v>
      </c>
      <c r="O108" s="14">
        <v>0</v>
      </c>
      <c r="P108" t="s">
        <v>249</v>
      </c>
    </row>
    <row r="109" spans="1:16" x14ac:dyDescent="0.25">
      <c r="A109" t="s">
        <v>369</v>
      </c>
      <c r="B109">
        <v>160</v>
      </c>
      <c r="C109" t="s">
        <v>264</v>
      </c>
      <c r="D109" s="14">
        <v>5135</v>
      </c>
      <c r="E109" s="14">
        <v>5135</v>
      </c>
      <c r="F109" s="14">
        <v>0</v>
      </c>
      <c r="G109" s="14">
        <v>0</v>
      </c>
      <c r="H109" s="14">
        <v>0</v>
      </c>
      <c r="I109" s="14">
        <v>-130</v>
      </c>
      <c r="J109" s="14">
        <v>0</v>
      </c>
      <c r="K109" s="14">
        <v>5005</v>
      </c>
      <c r="L109" s="14">
        <v>5135</v>
      </c>
      <c r="M109" s="14">
        <v>-130</v>
      </c>
      <c r="N109" s="14">
        <v>0</v>
      </c>
      <c r="O109" s="14">
        <v>0</v>
      </c>
      <c r="P109" t="s">
        <v>249</v>
      </c>
    </row>
    <row r="110" spans="1:16" x14ac:dyDescent="0.25">
      <c r="A110" t="s">
        <v>370</v>
      </c>
      <c r="B110">
        <v>160</v>
      </c>
      <c r="C110" t="s">
        <v>264</v>
      </c>
      <c r="D110" s="14">
        <v>4388</v>
      </c>
      <c r="E110" s="14">
        <v>4561</v>
      </c>
      <c r="F110" s="14">
        <v>-173</v>
      </c>
      <c r="G110" s="14">
        <v>0</v>
      </c>
      <c r="H110" s="14">
        <v>0</v>
      </c>
      <c r="I110" s="14">
        <v>-20</v>
      </c>
      <c r="J110" s="14">
        <v>0</v>
      </c>
      <c r="K110" s="14">
        <v>4368</v>
      </c>
      <c r="L110" s="14">
        <v>4561</v>
      </c>
      <c r="M110" s="14">
        <v>-193</v>
      </c>
      <c r="N110" s="14">
        <v>0</v>
      </c>
      <c r="O110" s="14">
        <v>0</v>
      </c>
      <c r="P110" t="s">
        <v>249</v>
      </c>
    </row>
    <row r="111" spans="1:16" x14ac:dyDescent="0.25">
      <c r="A111" t="s">
        <v>371</v>
      </c>
      <c r="B111">
        <v>160</v>
      </c>
      <c r="C111" t="s">
        <v>264</v>
      </c>
      <c r="D111" s="14">
        <v>7677</v>
      </c>
      <c r="E111" s="14">
        <v>7677</v>
      </c>
      <c r="F111" s="14">
        <v>0</v>
      </c>
      <c r="G111" s="14">
        <v>0</v>
      </c>
      <c r="H111" s="14">
        <v>0</v>
      </c>
      <c r="I111" s="14">
        <v>-7</v>
      </c>
      <c r="J111" s="14">
        <v>0</v>
      </c>
      <c r="K111" s="14">
        <v>7670</v>
      </c>
      <c r="L111" s="14">
        <v>7677</v>
      </c>
      <c r="M111" s="14">
        <v>-7</v>
      </c>
      <c r="N111" s="14">
        <v>0</v>
      </c>
      <c r="O111" s="14">
        <v>0</v>
      </c>
      <c r="P111" t="s">
        <v>249</v>
      </c>
    </row>
    <row r="112" spans="1:16" x14ac:dyDescent="0.25">
      <c r="A112" t="s">
        <v>372</v>
      </c>
      <c r="B112">
        <v>160</v>
      </c>
      <c r="C112" t="s">
        <v>264</v>
      </c>
      <c r="D112" s="14">
        <v>4323</v>
      </c>
      <c r="E112" s="14">
        <v>4494</v>
      </c>
      <c r="F112" s="14">
        <v>-171</v>
      </c>
      <c r="G112" s="14">
        <v>0</v>
      </c>
      <c r="H112" s="14">
        <v>0</v>
      </c>
      <c r="I112" s="14">
        <v>-85</v>
      </c>
      <c r="J112" s="14">
        <v>0</v>
      </c>
      <c r="K112" s="14">
        <v>4238</v>
      </c>
      <c r="L112" s="14">
        <v>4494</v>
      </c>
      <c r="M112" s="14">
        <v>-256</v>
      </c>
      <c r="N112" s="14">
        <v>0</v>
      </c>
      <c r="O112" s="14">
        <v>0</v>
      </c>
      <c r="P112" t="s">
        <v>249</v>
      </c>
    </row>
    <row r="113" spans="1:16" x14ac:dyDescent="0.25">
      <c r="A113" t="s">
        <v>373</v>
      </c>
      <c r="B113">
        <v>160</v>
      </c>
      <c r="C113" t="s">
        <v>264</v>
      </c>
      <c r="D113" s="14">
        <v>4459</v>
      </c>
      <c r="E113" s="14">
        <v>4459</v>
      </c>
      <c r="F113" s="14">
        <v>0</v>
      </c>
      <c r="G113" s="14">
        <v>0</v>
      </c>
      <c r="H113" s="14">
        <v>0</v>
      </c>
      <c r="I113" s="14">
        <v>-3</v>
      </c>
      <c r="J113" s="14">
        <v>0</v>
      </c>
      <c r="K113" s="14">
        <v>4456</v>
      </c>
      <c r="L113" s="14">
        <v>4459</v>
      </c>
      <c r="M113" s="14">
        <v>-3</v>
      </c>
      <c r="N113" s="14">
        <v>0</v>
      </c>
      <c r="O113" s="14">
        <v>0</v>
      </c>
      <c r="P113" t="s">
        <v>249</v>
      </c>
    </row>
    <row r="114" spans="1:16" x14ac:dyDescent="0.25">
      <c r="A114" t="s">
        <v>374</v>
      </c>
      <c r="B114">
        <v>160</v>
      </c>
      <c r="C114" t="s">
        <v>264</v>
      </c>
      <c r="D114" s="14">
        <v>2603</v>
      </c>
      <c r="E114" s="14">
        <v>2774</v>
      </c>
      <c r="F114" s="14">
        <v>-171</v>
      </c>
      <c r="G114" s="14">
        <v>0</v>
      </c>
      <c r="H114" s="14">
        <v>0</v>
      </c>
      <c r="I114" s="14">
        <v>-36</v>
      </c>
      <c r="J114" s="14">
        <v>0</v>
      </c>
      <c r="K114" s="14">
        <v>2567</v>
      </c>
      <c r="L114" s="14">
        <v>2774</v>
      </c>
      <c r="M114" s="14">
        <v>-207</v>
      </c>
      <c r="N114" s="14">
        <v>0</v>
      </c>
      <c r="O114" s="14">
        <v>0</v>
      </c>
      <c r="P114" t="s">
        <v>249</v>
      </c>
    </row>
    <row r="115" spans="1:16" x14ac:dyDescent="0.25">
      <c r="A115" t="s">
        <v>375</v>
      </c>
      <c r="B115">
        <v>160</v>
      </c>
      <c r="C115" t="s">
        <v>264</v>
      </c>
      <c r="D115" s="14">
        <v>1390</v>
      </c>
      <c r="E115" s="14">
        <v>1390</v>
      </c>
      <c r="F115" s="14">
        <v>0</v>
      </c>
      <c r="G115" s="14">
        <v>0</v>
      </c>
      <c r="H115" s="14">
        <v>0</v>
      </c>
      <c r="I115" s="14">
        <v>0</v>
      </c>
      <c r="J115" s="14">
        <v>0</v>
      </c>
      <c r="K115" s="14">
        <v>1390</v>
      </c>
      <c r="L115" s="14">
        <v>1390</v>
      </c>
      <c r="M115" s="14">
        <v>0</v>
      </c>
      <c r="N115" s="14">
        <v>0</v>
      </c>
      <c r="O115" s="14">
        <v>0</v>
      </c>
      <c r="P115" t="s">
        <v>254</v>
      </c>
    </row>
    <row r="116" spans="1:16" x14ac:dyDescent="0.25">
      <c r="A116" t="s">
        <v>376</v>
      </c>
      <c r="B116">
        <v>160</v>
      </c>
      <c r="C116" t="s">
        <v>264</v>
      </c>
      <c r="D116" s="14">
        <v>70</v>
      </c>
      <c r="E116" s="14">
        <v>412</v>
      </c>
      <c r="F116" s="14">
        <v>-342</v>
      </c>
      <c r="G116" s="14">
        <v>0</v>
      </c>
      <c r="H116" s="14">
        <v>0</v>
      </c>
      <c r="I116" s="14">
        <v>212</v>
      </c>
      <c r="J116" s="14">
        <v>0</v>
      </c>
      <c r="K116" s="14">
        <v>282</v>
      </c>
      <c r="L116" s="14">
        <v>412</v>
      </c>
      <c r="M116" s="14">
        <v>-130</v>
      </c>
      <c r="N116" s="14">
        <v>0</v>
      </c>
      <c r="O116" s="14">
        <v>0</v>
      </c>
      <c r="P116" t="s">
        <v>249</v>
      </c>
    </row>
    <row r="117" spans="1:16" x14ac:dyDescent="0.25">
      <c r="A117" t="s">
        <v>378</v>
      </c>
      <c r="B117">
        <v>160</v>
      </c>
      <c r="C117" t="s">
        <v>290</v>
      </c>
      <c r="D117" s="14">
        <v>100</v>
      </c>
      <c r="E117" s="14">
        <v>100</v>
      </c>
      <c r="F117" s="14">
        <v>0</v>
      </c>
      <c r="G117" s="14">
        <v>0</v>
      </c>
      <c r="H117" s="14">
        <v>0</v>
      </c>
      <c r="I117" s="14">
        <v>12.5</v>
      </c>
      <c r="J117" s="14">
        <v>0</v>
      </c>
      <c r="K117" s="14">
        <v>112.5</v>
      </c>
      <c r="L117" s="14">
        <v>100</v>
      </c>
      <c r="M117" s="14">
        <v>12.5</v>
      </c>
      <c r="N117" s="14">
        <v>0</v>
      </c>
      <c r="O117" s="14">
        <v>0</v>
      </c>
      <c r="P117" t="s">
        <v>249</v>
      </c>
    </row>
    <row r="118" spans="1:16" x14ac:dyDescent="0.25">
      <c r="A118" t="s">
        <v>379</v>
      </c>
      <c r="B118">
        <v>160</v>
      </c>
      <c r="C118" t="s">
        <v>290</v>
      </c>
      <c r="D118" s="14">
        <v>20</v>
      </c>
      <c r="E118" s="14">
        <v>20</v>
      </c>
      <c r="F118" s="14">
        <v>0</v>
      </c>
      <c r="G118" s="14">
        <v>0</v>
      </c>
      <c r="H118" s="14">
        <v>0</v>
      </c>
      <c r="I118" s="14">
        <v>0</v>
      </c>
      <c r="J118" s="14">
        <v>0</v>
      </c>
      <c r="K118" s="14">
        <v>20</v>
      </c>
      <c r="L118" s="14">
        <v>20</v>
      </c>
      <c r="M118" s="14">
        <v>0</v>
      </c>
      <c r="N118" s="14">
        <v>0</v>
      </c>
      <c r="O118" s="14">
        <v>0</v>
      </c>
      <c r="P118" t="s">
        <v>254</v>
      </c>
    </row>
    <row r="119" spans="1:16" x14ac:dyDescent="0.25">
      <c r="A119" t="s">
        <v>379</v>
      </c>
      <c r="B119">
        <v>160</v>
      </c>
      <c r="C119" t="s">
        <v>264</v>
      </c>
      <c r="D119" s="14">
        <v>380</v>
      </c>
      <c r="E119" s="14">
        <v>380</v>
      </c>
      <c r="F119" s="14">
        <v>0</v>
      </c>
      <c r="G119" s="14">
        <v>0</v>
      </c>
      <c r="H119" s="14">
        <v>0</v>
      </c>
      <c r="I119" s="14">
        <v>0</v>
      </c>
      <c r="J119" s="14">
        <v>0</v>
      </c>
      <c r="K119" s="14">
        <v>380</v>
      </c>
      <c r="L119" s="14">
        <v>380</v>
      </c>
      <c r="M119" s="14">
        <v>0</v>
      </c>
      <c r="N119" s="14">
        <v>0</v>
      </c>
      <c r="O119" s="14">
        <v>0</v>
      </c>
      <c r="P119" t="s">
        <v>254</v>
      </c>
    </row>
    <row r="120" spans="1:16" x14ac:dyDescent="0.25">
      <c r="A120" t="s">
        <v>380</v>
      </c>
      <c r="B120">
        <v>160</v>
      </c>
      <c r="C120" t="s">
        <v>264</v>
      </c>
      <c r="D120" s="14">
        <v>100</v>
      </c>
      <c r="E120" s="14">
        <v>100</v>
      </c>
      <c r="F120" s="14">
        <v>0</v>
      </c>
      <c r="G120" s="14">
        <v>0</v>
      </c>
      <c r="H120" s="14">
        <v>0</v>
      </c>
      <c r="I120" s="14">
        <v>0</v>
      </c>
      <c r="J120" s="14">
        <v>0</v>
      </c>
      <c r="K120" s="14">
        <v>100</v>
      </c>
      <c r="L120" s="14">
        <v>100</v>
      </c>
      <c r="M120" s="14">
        <v>0</v>
      </c>
      <c r="N120" s="14">
        <v>0</v>
      </c>
      <c r="O120" s="14">
        <v>0</v>
      </c>
      <c r="P120" t="s">
        <v>254</v>
      </c>
    </row>
    <row r="121" spans="1:16" x14ac:dyDescent="0.25">
      <c r="A121" t="s">
        <v>381</v>
      </c>
      <c r="B121">
        <v>160</v>
      </c>
      <c r="C121" t="s">
        <v>264</v>
      </c>
      <c r="D121" s="14">
        <v>1625</v>
      </c>
      <c r="E121" s="14">
        <v>1625</v>
      </c>
      <c r="F121" s="14">
        <v>0</v>
      </c>
      <c r="G121" s="14">
        <v>406.012143992544</v>
      </c>
      <c r="H121" s="14">
        <v>0.24985362707233477</v>
      </c>
      <c r="I121" s="14">
        <v>292.5</v>
      </c>
      <c r="J121" s="14">
        <v>292.5</v>
      </c>
      <c r="K121" s="14">
        <v>1917.5</v>
      </c>
      <c r="L121" s="14">
        <v>1917.5</v>
      </c>
      <c r="M121" s="14">
        <v>0</v>
      </c>
      <c r="N121" s="14">
        <v>73.079999999999984</v>
      </c>
      <c r="O121" s="14">
        <v>3.8112125162972611E-2</v>
      </c>
      <c r="P121" t="s">
        <v>254</v>
      </c>
    </row>
    <row r="122" spans="1:16" x14ac:dyDescent="0.25">
      <c r="A122" t="s">
        <v>382</v>
      </c>
      <c r="B122">
        <v>160</v>
      </c>
      <c r="C122" t="s">
        <v>290</v>
      </c>
      <c r="D122" s="14">
        <v>435</v>
      </c>
      <c r="E122" s="14"/>
      <c r="F122" s="14">
        <v>435</v>
      </c>
      <c r="G122" s="14">
        <v>0</v>
      </c>
      <c r="H122" s="14">
        <v>0</v>
      </c>
      <c r="I122" s="14">
        <v>-435</v>
      </c>
      <c r="J122" s="14">
        <v>0</v>
      </c>
      <c r="K122" s="14">
        <v>0</v>
      </c>
      <c r="L122" s="14"/>
      <c r="M122" s="14">
        <v>0</v>
      </c>
      <c r="N122" s="14">
        <v>0</v>
      </c>
      <c r="O122" s="14">
        <v>0</v>
      </c>
      <c r="P122" t="s">
        <v>249</v>
      </c>
    </row>
    <row r="123" spans="1:16" x14ac:dyDescent="0.25">
      <c r="A123" t="s">
        <v>382</v>
      </c>
      <c r="B123">
        <v>160</v>
      </c>
      <c r="C123" t="s">
        <v>264</v>
      </c>
      <c r="D123" s="14">
        <v>1522.5</v>
      </c>
      <c r="E123" s="14">
        <v>5742</v>
      </c>
      <c r="F123" s="14">
        <v>-4219.5</v>
      </c>
      <c r="G123" s="14">
        <v>0</v>
      </c>
      <c r="H123" s="14">
        <v>0</v>
      </c>
      <c r="I123" s="14">
        <v>0</v>
      </c>
      <c r="J123" s="14">
        <v>0</v>
      </c>
      <c r="K123" s="14">
        <v>1522.5</v>
      </c>
      <c r="L123" s="14">
        <v>5742</v>
      </c>
      <c r="M123" s="14">
        <v>-4219.5</v>
      </c>
      <c r="N123" s="14">
        <v>0</v>
      </c>
      <c r="O123" s="14">
        <v>0</v>
      </c>
      <c r="P123" t="s">
        <v>254</v>
      </c>
    </row>
    <row r="124" spans="1:16" x14ac:dyDescent="0.25">
      <c r="A124" t="s">
        <v>15</v>
      </c>
      <c r="B124">
        <v>160</v>
      </c>
      <c r="C124" t="s">
        <v>305</v>
      </c>
      <c r="D124" s="14">
        <v>145.5</v>
      </c>
      <c r="E124" s="14">
        <v>0</v>
      </c>
      <c r="F124" s="14">
        <v>145.5</v>
      </c>
      <c r="G124" s="14">
        <v>1.7347726040000001E-3</v>
      </c>
      <c r="H124" s="14">
        <v>0</v>
      </c>
      <c r="I124" s="14">
        <v>0</v>
      </c>
      <c r="J124" s="14">
        <v>0</v>
      </c>
      <c r="K124" s="14">
        <v>145.5</v>
      </c>
      <c r="L124" s="14">
        <v>0</v>
      </c>
      <c r="M124" s="14">
        <v>145.5</v>
      </c>
      <c r="N124" s="14">
        <v>0</v>
      </c>
      <c r="O124" s="14">
        <v>0</v>
      </c>
      <c r="P124" t="s">
        <v>254</v>
      </c>
    </row>
    <row r="125" spans="1:16" x14ac:dyDescent="0.25">
      <c r="A125" t="s">
        <v>15</v>
      </c>
      <c r="B125">
        <v>160</v>
      </c>
      <c r="C125" t="s">
        <v>262</v>
      </c>
      <c r="D125" s="14">
        <v>0</v>
      </c>
      <c r="E125" s="14">
        <v>47740</v>
      </c>
      <c r="F125" s="14">
        <v>-47740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47740</v>
      </c>
      <c r="M125" s="14">
        <v>-47740</v>
      </c>
      <c r="N125" s="14">
        <v>0</v>
      </c>
      <c r="O125" s="14">
        <v>0</v>
      </c>
      <c r="P125" t="s">
        <v>254</v>
      </c>
    </row>
    <row r="126" spans="1:16" x14ac:dyDescent="0.25">
      <c r="A126" t="s">
        <v>15</v>
      </c>
      <c r="B126">
        <v>160</v>
      </c>
      <c r="C126" t="s">
        <v>290</v>
      </c>
      <c r="D126" s="14">
        <v>533.5</v>
      </c>
      <c r="E126" s="14">
        <v>533.5</v>
      </c>
      <c r="F126" s="14">
        <v>0</v>
      </c>
      <c r="G126" s="14">
        <v>117.535782575347</v>
      </c>
      <c r="H126" s="14">
        <v>0.22031074522089408</v>
      </c>
      <c r="I126" s="14">
        <v>205.65000000000009</v>
      </c>
      <c r="J126" s="14">
        <v>205.65000000000009</v>
      </c>
      <c r="K126" s="14">
        <v>739.15</v>
      </c>
      <c r="L126" s="14">
        <v>739.15</v>
      </c>
      <c r="M126" s="14">
        <v>0</v>
      </c>
      <c r="N126" s="14">
        <v>45.3</v>
      </c>
      <c r="O126" s="14">
        <v>6.1286613001420548E-2</v>
      </c>
      <c r="P126" t="s">
        <v>254</v>
      </c>
    </row>
    <row r="127" spans="1:16" x14ac:dyDescent="0.25">
      <c r="A127" t="s">
        <v>15</v>
      </c>
      <c r="B127">
        <v>160</v>
      </c>
      <c r="C127" t="s">
        <v>264</v>
      </c>
      <c r="D127" s="14">
        <v>1164</v>
      </c>
      <c r="E127" s="14">
        <v>1164</v>
      </c>
      <c r="F127" s="14">
        <v>0</v>
      </c>
      <c r="G127" s="14">
        <v>95.966669238399987</v>
      </c>
      <c r="H127" s="14">
        <v>8.2445592129209613E-2</v>
      </c>
      <c r="I127" s="14">
        <v>-145.5</v>
      </c>
      <c r="J127" s="14">
        <v>-145.5</v>
      </c>
      <c r="K127" s="14">
        <v>1018.5</v>
      </c>
      <c r="L127" s="14">
        <v>1018.5</v>
      </c>
      <c r="M127" s="14">
        <v>0</v>
      </c>
      <c r="N127" s="14">
        <v>-12</v>
      </c>
      <c r="O127" s="14">
        <v>-1.1782032400589101E-2</v>
      </c>
      <c r="P127" t="s">
        <v>254</v>
      </c>
    </row>
    <row r="128" spans="1:16" x14ac:dyDescent="0.25">
      <c r="A128" t="s">
        <v>386</v>
      </c>
      <c r="B128">
        <v>160</v>
      </c>
      <c r="C128" t="s">
        <v>264</v>
      </c>
      <c r="D128" s="14">
        <v>70</v>
      </c>
      <c r="E128" s="14">
        <v>70</v>
      </c>
      <c r="F128" s="14">
        <v>0</v>
      </c>
      <c r="G128" s="14">
        <v>0</v>
      </c>
      <c r="H128" s="14">
        <v>0</v>
      </c>
      <c r="I128" s="14">
        <v>-2</v>
      </c>
      <c r="J128" s="14">
        <v>0</v>
      </c>
      <c r="K128" s="14">
        <v>68</v>
      </c>
      <c r="L128" s="14">
        <v>70</v>
      </c>
      <c r="M128" s="14">
        <v>-2</v>
      </c>
      <c r="N128" s="14">
        <v>0</v>
      </c>
      <c r="O128" s="14">
        <v>0</v>
      </c>
      <c r="P128" t="s">
        <v>249</v>
      </c>
    </row>
    <row r="129" spans="1:16" x14ac:dyDescent="0.25">
      <c r="A129" t="s">
        <v>27</v>
      </c>
      <c r="B129">
        <v>160</v>
      </c>
      <c r="C129" t="s">
        <v>262</v>
      </c>
      <c r="D129" s="14">
        <v>0</v>
      </c>
      <c r="E129" s="14">
        <v>7500</v>
      </c>
      <c r="F129" s="14">
        <v>-7500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7500</v>
      </c>
      <c r="M129" s="14">
        <v>-7500</v>
      </c>
      <c r="N129" s="14">
        <v>0</v>
      </c>
      <c r="O129" s="14">
        <v>0</v>
      </c>
      <c r="P129" t="s">
        <v>254</v>
      </c>
    </row>
    <row r="130" spans="1:16" x14ac:dyDescent="0.25">
      <c r="A130" t="s">
        <v>27</v>
      </c>
      <c r="B130">
        <v>160</v>
      </c>
      <c r="C130" t="s">
        <v>290</v>
      </c>
      <c r="D130" s="14">
        <v>1725</v>
      </c>
      <c r="E130" s="14">
        <v>1725</v>
      </c>
      <c r="F130" s="14">
        <v>0</v>
      </c>
      <c r="G130" s="14">
        <v>523.628749425519</v>
      </c>
      <c r="H130" s="14">
        <v>0.30355289821769216</v>
      </c>
      <c r="I130" s="14">
        <v>9</v>
      </c>
      <c r="J130" s="14">
        <v>9</v>
      </c>
      <c r="K130" s="14">
        <v>1734</v>
      </c>
      <c r="L130" s="14">
        <v>1734</v>
      </c>
      <c r="M130" s="14">
        <v>0</v>
      </c>
      <c r="N130" s="14">
        <v>2.7300000000000182</v>
      </c>
      <c r="O130" s="14">
        <v>1.5743944636678305E-3</v>
      </c>
      <c r="P130" t="s">
        <v>254</v>
      </c>
    </row>
    <row r="131" spans="1:16" x14ac:dyDescent="0.25">
      <c r="A131" t="s">
        <v>27</v>
      </c>
      <c r="B131">
        <v>160</v>
      </c>
      <c r="C131" t="s">
        <v>264</v>
      </c>
      <c r="D131" s="14">
        <v>6825</v>
      </c>
      <c r="E131" s="14">
        <v>6825</v>
      </c>
      <c r="F131" s="14">
        <v>0</v>
      </c>
      <c r="G131" s="14">
        <v>1488.73885609238</v>
      </c>
      <c r="H131" s="14">
        <v>0.21813023532489084</v>
      </c>
      <c r="I131" s="14">
        <v>0</v>
      </c>
      <c r="J131" s="14">
        <v>0</v>
      </c>
      <c r="K131" s="14">
        <v>6825</v>
      </c>
      <c r="L131" s="14">
        <v>6825</v>
      </c>
      <c r="M131" s="14">
        <v>0</v>
      </c>
      <c r="N131" s="14">
        <v>0</v>
      </c>
      <c r="O131" s="14">
        <v>0</v>
      </c>
      <c r="P131" t="s">
        <v>254</v>
      </c>
    </row>
    <row r="132" spans="1:16" x14ac:dyDescent="0.25">
      <c r="A132" t="s">
        <v>196</v>
      </c>
      <c r="B132">
        <v>160</v>
      </c>
      <c r="C132" t="s">
        <v>262</v>
      </c>
      <c r="D132" s="14">
        <v>0</v>
      </c>
      <c r="E132" s="14">
        <v>5400</v>
      </c>
      <c r="F132" s="14">
        <v>-5400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5400</v>
      </c>
      <c r="M132" s="14">
        <v>-5400</v>
      </c>
      <c r="N132" s="14">
        <v>0</v>
      </c>
      <c r="O132" s="14">
        <v>0</v>
      </c>
      <c r="P132" t="s">
        <v>254</v>
      </c>
    </row>
    <row r="133" spans="1:16" x14ac:dyDescent="0.25">
      <c r="A133" t="s">
        <v>387</v>
      </c>
      <c r="B133">
        <v>160</v>
      </c>
      <c r="C133" t="s">
        <v>262</v>
      </c>
      <c r="D133" s="14">
        <v>0</v>
      </c>
      <c r="E133" s="14">
        <v>15300</v>
      </c>
      <c r="F133" s="14">
        <v>-15300</v>
      </c>
      <c r="G133" s="14">
        <v>0</v>
      </c>
      <c r="H133" s="14">
        <v>0</v>
      </c>
      <c r="I133" s="14">
        <v>0</v>
      </c>
      <c r="J133" s="14">
        <v>0</v>
      </c>
      <c r="K133" s="14">
        <v>0</v>
      </c>
      <c r="L133" s="14">
        <v>15300</v>
      </c>
      <c r="M133" s="14">
        <v>-15300</v>
      </c>
      <c r="N133" s="14">
        <v>0</v>
      </c>
      <c r="O133" s="14">
        <v>0</v>
      </c>
      <c r="P133" t="s">
        <v>254</v>
      </c>
    </row>
    <row r="134" spans="1:16" x14ac:dyDescent="0.25">
      <c r="A134" t="s">
        <v>16</v>
      </c>
      <c r="B134">
        <v>160</v>
      </c>
      <c r="C134" t="s">
        <v>262</v>
      </c>
      <c r="D134" s="14">
        <v>0</v>
      </c>
      <c r="E134" s="14">
        <v>119730</v>
      </c>
      <c r="F134" s="14">
        <v>-119730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119730</v>
      </c>
      <c r="M134" s="14">
        <v>-119730</v>
      </c>
      <c r="N134" s="14">
        <v>0</v>
      </c>
      <c r="O134" s="14">
        <v>0</v>
      </c>
      <c r="P134" t="s">
        <v>254</v>
      </c>
    </row>
    <row r="135" spans="1:16" x14ac:dyDescent="0.25">
      <c r="A135" t="s">
        <v>16</v>
      </c>
      <c r="B135">
        <v>160</v>
      </c>
      <c r="C135" t="s">
        <v>290</v>
      </c>
      <c r="D135" s="14">
        <v>4680</v>
      </c>
      <c r="E135" s="14">
        <v>4680</v>
      </c>
      <c r="F135" s="14">
        <v>0</v>
      </c>
      <c r="G135" s="14">
        <v>669.15174934646802</v>
      </c>
      <c r="H135" s="14">
        <v>0.14298114302274958</v>
      </c>
      <c r="I135" s="14">
        <v>-1140.75</v>
      </c>
      <c r="J135" s="14">
        <v>-1140.75</v>
      </c>
      <c r="K135" s="14">
        <v>3539.25</v>
      </c>
      <c r="L135" s="14">
        <v>3539.25</v>
      </c>
      <c r="M135" s="14">
        <v>0</v>
      </c>
      <c r="N135" s="14">
        <v>-163.11000000000001</v>
      </c>
      <c r="O135" s="14">
        <v>-4.6086035176944269E-2</v>
      </c>
      <c r="P135" t="s">
        <v>254</v>
      </c>
    </row>
    <row r="136" spans="1:16" x14ac:dyDescent="0.25">
      <c r="A136" t="s">
        <v>16</v>
      </c>
      <c r="B136">
        <v>160</v>
      </c>
      <c r="C136" t="s">
        <v>264</v>
      </c>
      <c r="D136" s="14">
        <v>10335</v>
      </c>
      <c r="E136" s="14">
        <v>10335</v>
      </c>
      <c r="F136" s="14">
        <v>0</v>
      </c>
      <c r="G136" s="14">
        <v>941.0658804656</v>
      </c>
      <c r="H136" s="14">
        <v>9.1056205173255925E-2</v>
      </c>
      <c r="I136" s="14">
        <v>-1365</v>
      </c>
      <c r="J136" s="14">
        <v>-1365</v>
      </c>
      <c r="K136" s="14">
        <v>8970</v>
      </c>
      <c r="L136" s="14">
        <v>8970</v>
      </c>
      <c r="M136" s="14">
        <v>0</v>
      </c>
      <c r="N136" s="14">
        <v>-124.29999999999995</v>
      </c>
      <c r="O136" s="14">
        <v>-1.3857302118171677E-2</v>
      </c>
      <c r="P136" t="s">
        <v>254</v>
      </c>
    </row>
    <row r="137" spans="1:16" x14ac:dyDescent="0.25">
      <c r="A137" t="s">
        <v>388</v>
      </c>
      <c r="B137">
        <v>160</v>
      </c>
      <c r="C137" t="s">
        <v>262</v>
      </c>
      <c r="D137" s="14">
        <v>0</v>
      </c>
      <c r="E137" s="14">
        <v>44947.5</v>
      </c>
      <c r="F137" s="14">
        <v>-44947.5</v>
      </c>
      <c r="G137" s="14">
        <v>0</v>
      </c>
      <c r="H137" s="14">
        <v>0</v>
      </c>
      <c r="I137" s="14">
        <v>0</v>
      </c>
      <c r="J137" s="14">
        <v>0</v>
      </c>
      <c r="K137" s="14">
        <v>0</v>
      </c>
      <c r="L137" s="14">
        <v>44947.5</v>
      </c>
      <c r="M137" s="14">
        <v>-44947.5</v>
      </c>
      <c r="N137" s="14">
        <v>0</v>
      </c>
      <c r="O137" s="14">
        <v>0</v>
      </c>
      <c r="P137" t="s">
        <v>254</v>
      </c>
    </row>
    <row r="138" spans="1:16" x14ac:dyDescent="0.25">
      <c r="A138" t="s">
        <v>388</v>
      </c>
      <c r="B138">
        <v>160</v>
      </c>
      <c r="C138" t="s">
        <v>264</v>
      </c>
      <c r="D138" s="14">
        <v>1755</v>
      </c>
      <c r="E138" s="14">
        <v>1755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  <c r="K138" s="14">
        <v>1755</v>
      </c>
      <c r="L138" s="14">
        <v>1755</v>
      </c>
      <c r="M138" s="14">
        <v>0</v>
      </c>
      <c r="N138" s="14">
        <v>0</v>
      </c>
      <c r="O138" s="14">
        <v>0</v>
      </c>
      <c r="P138" t="s">
        <v>254</v>
      </c>
    </row>
    <row r="139" spans="1:16" x14ac:dyDescent="0.25">
      <c r="A139" t="s">
        <v>390</v>
      </c>
      <c r="B139">
        <v>160</v>
      </c>
      <c r="C139" t="s">
        <v>262</v>
      </c>
      <c r="D139" s="14">
        <v>0</v>
      </c>
      <c r="E139" s="14">
        <v>15210</v>
      </c>
      <c r="F139" s="14">
        <v>-15210</v>
      </c>
      <c r="G139" s="14">
        <v>0</v>
      </c>
      <c r="H139" s="14">
        <v>0</v>
      </c>
      <c r="I139" s="14">
        <v>0</v>
      </c>
      <c r="J139" s="14">
        <v>0</v>
      </c>
      <c r="K139" s="14">
        <v>0</v>
      </c>
      <c r="L139" s="14">
        <v>15210</v>
      </c>
      <c r="M139" s="14">
        <v>-15210</v>
      </c>
      <c r="N139" s="14">
        <v>0</v>
      </c>
      <c r="O139" s="14">
        <v>0</v>
      </c>
      <c r="P139" t="s">
        <v>254</v>
      </c>
    </row>
    <row r="140" spans="1:16" x14ac:dyDescent="0.25">
      <c r="A140" t="s">
        <v>391</v>
      </c>
      <c r="B140">
        <v>160</v>
      </c>
      <c r="C140" t="s">
        <v>264</v>
      </c>
      <c r="D140" s="14">
        <v>3217.5</v>
      </c>
      <c r="E140" s="14">
        <v>3217.5</v>
      </c>
      <c r="F140" s="14">
        <v>0</v>
      </c>
      <c r="G140" s="14">
        <v>0</v>
      </c>
      <c r="H140" s="14">
        <v>0</v>
      </c>
      <c r="I140" s="14">
        <v>-3217.5</v>
      </c>
      <c r="J140" s="14">
        <v>0</v>
      </c>
      <c r="K140" s="14">
        <v>0</v>
      </c>
      <c r="L140" s="14">
        <v>3217.5</v>
      </c>
      <c r="M140" s="14">
        <v>-3217.5</v>
      </c>
      <c r="N140" s="14">
        <v>0</v>
      </c>
      <c r="O140" s="14">
        <v>0</v>
      </c>
      <c r="P140" t="s">
        <v>249</v>
      </c>
    </row>
    <row r="141" spans="1:16" x14ac:dyDescent="0.25">
      <c r="A141" t="s">
        <v>392</v>
      </c>
      <c r="B141">
        <v>160</v>
      </c>
      <c r="C141" t="s">
        <v>264</v>
      </c>
      <c r="D141" s="14">
        <v>1420</v>
      </c>
      <c r="E141" s="14">
        <v>1420</v>
      </c>
      <c r="F141" s="14">
        <v>0</v>
      </c>
      <c r="G141" s="14">
        <v>2316.2593497483399</v>
      </c>
      <c r="H141" s="14">
        <v>1.6311685561608027</v>
      </c>
      <c r="I141" s="14">
        <v>-240</v>
      </c>
      <c r="J141" s="14">
        <v>-240</v>
      </c>
      <c r="K141" s="14">
        <v>1180</v>
      </c>
      <c r="L141" s="14">
        <v>1180</v>
      </c>
      <c r="M141" s="14">
        <v>0</v>
      </c>
      <c r="N141" s="14">
        <v>-391.48</v>
      </c>
      <c r="O141" s="14">
        <v>-0.33176271186440681</v>
      </c>
      <c r="P141" t="s">
        <v>254</v>
      </c>
    </row>
    <row r="142" spans="1:16" x14ac:dyDescent="0.25">
      <c r="A142" t="s">
        <v>144</v>
      </c>
      <c r="B142">
        <v>160</v>
      </c>
      <c r="C142" t="s">
        <v>264</v>
      </c>
      <c r="D142" s="14">
        <v>971.5</v>
      </c>
      <c r="E142" s="14">
        <v>2077</v>
      </c>
      <c r="F142" s="14">
        <v>-1105.5</v>
      </c>
      <c r="G142" s="14">
        <v>0</v>
      </c>
      <c r="H142" s="14">
        <v>0</v>
      </c>
      <c r="I142" s="14">
        <v>0</v>
      </c>
      <c r="J142" s="14">
        <v>0</v>
      </c>
      <c r="K142" s="14">
        <v>971.5</v>
      </c>
      <c r="L142" s="14">
        <v>2077</v>
      </c>
      <c r="M142" s="14">
        <v>-1105.5</v>
      </c>
      <c r="N142" s="14">
        <v>0</v>
      </c>
      <c r="O142" s="14">
        <v>0</v>
      </c>
      <c r="P142" t="s">
        <v>254</v>
      </c>
    </row>
    <row r="143" spans="1:16" x14ac:dyDescent="0.25">
      <c r="A143" t="s">
        <v>397</v>
      </c>
      <c r="B143">
        <v>160</v>
      </c>
      <c r="C143" t="s">
        <v>264</v>
      </c>
      <c r="D143" s="14">
        <v>2782.51</v>
      </c>
      <c r="E143" s="14">
        <v>2816.01</v>
      </c>
      <c r="F143" s="14">
        <v>-33.5</v>
      </c>
      <c r="G143" s="14">
        <v>0</v>
      </c>
      <c r="H143" s="14">
        <v>0</v>
      </c>
      <c r="I143" s="14">
        <v>0</v>
      </c>
      <c r="J143" s="14">
        <v>0</v>
      </c>
      <c r="K143" s="14">
        <v>2782.51</v>
      </c>
      <c r="L143" s="14">
        <v>2816.01</v>
      </c>
      <c r="M143" s="14">
        <v>-33.5</v>
      </c>
      <c r="N143" s="14">
        <v>0</v>
      </c>
      <c r="O143" s="14">
        <v>0</v>
      </c>
      <c r="P143" t="s">
        <v>254</v>
      </c>
    </row>
    <row r="144" spans="1:16" x14ac:dyDescent="0.25">
      <c r="A144" t="s">
        <v>145</v>
      </c>
      <c r="B144">
        <v>160</v>
      </c>
      <c r="C144" t="s">
        <v>264</v>
      </c>
      <c r="D144" s="14">
        <v>4725.84</v>
      </c>
      <c r="E144" s="14">
        <v>4776.76</v>
      </c>
      <c r="F144" s="14">
        <v>-50.920000000000073</v>
      </c>
      <c r="G144" s="14">
        <v>0</v>
      </c>
      <c r="H144" s="14">
        <v>0</v>
      </c>
      <c r="I144" s="14">
        <v>-204.84</v>
      </c>
      <c r="J144" s="14">
        <v>0</v>
      </c>
      <c r="K144" s="14">
        <v>4521</v>
      </c>
      <c r="L144" s="14">
        <v>4776.76</v>
      </c>
      <c r="M144" s="14">
        <v>-255.76000000000022</v>
      </c>
      <c r="N144" s="14">
        <v>0</v>
      </c>
      <c r="O144" s="14">
        <v>0</v>
      </c>
      <c r="P144" t="s">
        <v>249</v>
      </c>
    </row>
    <row r="145" spans="1:16" x14ac:dyDescent="0.25">
      <c r="A145" t="s">
        <v>74</v>
      </c>
      <c r="B145">
        <v>160</v>
      </c>
      <c r="C145" t="s">
        <v>262</v>
      </c>
      <c r="D145" s="14">
        <v>0</v>
      </c>
      <c r="E145" s="14">
        <v>19650</v>
      </c>
      <c r="F145" s="14">
        <v>-19650</v>
      </c>
      <c r="G145" s="14">
        <v>0</v>
      </c>
      <c r="H145" s="14">
        <v>0</v>
      </c>
      <c r="I145" s="14">
        <v>0</v>
      </c>
      <c r="J145" s="14">
        <v>-19650</v>
      </c>
      <c r="K145" s="14">
        <v>0</v>
      </c>
      <c r="L145" s="14">
        <v>0</v>
      </c>
      <c r="M145" s="14">
        <v>0</v>
      </c>
      <c r="N145" s="14">
        <v>0.04</v>
      </c>
      <c r="O145" s="14">
        <v>0</v>
      </c>
      <c r="P145" t="s">
        <v>249</v>
      </c>
    </row>
    <row r="146" spans="1:16" x14ac:dyDescent="0.25">
      <c r="A146" t="s">
        <v>74</v>
      </c>
      <c r="B146">
        <v>160</v>
      </c>
      <c r="C146" t="s">
        <v>264</v>
      </c>
      <c r="D146" s="14">
        <v>2799.66</v>
      </c>
      <c r="E146" s="14">
        <v>2799.66</v>
      </c>
      <c r="F146" s="14">
        <v>0</v>
      </c>
      <c r="G146" s="14">
        <v>1182.8934143753402</v>
      </c>
      <c r="H146" s="14">
        <v>0.42251323888448605</v>
      </c>
      <c r="I146" s="14">
        <v>1.94</v>
      </c>
      <c r="J146" s="14">
        <v>1.94</v>
      </c>
      <c r="K146" s="14">
        <v>2801.6</v>
      </c>
      <c r="L146" s="14">
        <v>2801.6</v>
      </c>
      <c r="M146" s="14">
        <v>0</v>
      </c>
      <c r="N146" s="14">
        <v>0.81999999999993634</v>
      </c>
      <c r="O146" s="14">
        <v>2.9268989149055412E-4</v>
      </c>
      <c r="P146" t="s">
        <v>254</v>
      </c>
    </row>
    <row r="147" spans="1:16" x14ac:dyDescent="0.25">
      <c r="A147" t="s">
        <v>101</v>
      </c>
      <c r="B147">
        <v>160</v>
      </c>
      <c r="C147" t="s">
        <v>262</v>
      </c>
      <c r="D147" s="14">
        <v>0</v>
      </c>
      <c r="E147" s="14">
        <v>16100</v>
      </c>
      <c r="F147" s="14">
        <v>-16100</v>
      </c>
      <c r="G147" s="14">
        <v>0</v>
      </c>
      <c r="H147" s="14">
        <v>0</v>
      </c>
      <c r="I147" s="14">
        <v>0</v>
      </c>
      <c r="J147" s="14">
        <v>0</v>
      </c>
      <c r="K147" s="14">
        <v>0</v>
      </c>
      <c r="L147" s="14">
        <v>16100</v>
      </c>
      <c r="M147" s="14">
        <v>-16100</v>
      </c>
      <c r="N147" s="14">
        <v>0</v>
      </c>
      <c r="O147" s="14">
        <v>0</v>
      </c>
      <c r="P147" t="s">
        <v>254</v>
      </c>
    </row>
    <row r="148" spans="1:16" x14ac:dyDescent="0.25">
      <c r="A148" t="s">
        <v>101</v>
      </c>
      <c r="B148">
        <v>160</v>
      </c>
      <c r="C148" t="s">
        <v>264</v>
      </c>
      <c r="D148" s="14">
        <v>2105.0700000000002</v>
      </c>
      <c r="E148" s="14">
        <v>2105.0700000000002</v>
      </c>
      <c r="F148" s="14">
        <v>0</v>
      </c>
      <c r="G148" s="14">
        <v>3161.8872107901097</v>
      </c>
      <c r="H148" s="14">
        <v>1.5020342367665254</v>
      </c>
      <c r="I148" s="14">
        <v>7.66</v>
      </c>
      <c r="J148" s="14">
        <v>7.6599999999999993</v>
      </c>
      <c r="K148" s="14">
        <v>2112.73</v>
      </c>
      <c r="L148" s="14">
        <v>2112.73</v>
      </c>
      <c r="M148" s="14">
        <v>0</v>
      </c>
      <c r="N148" s="14">
        <v>11.510000000000218</v>
      </c>
      <c r="O148" s="14">
        <v>5.4479275629163298E-3</v>
      </c>
      <c r="P148" t="s">
        <v>249</v>
      </c>
    </row>
    <row r="149" spans="1:16" x14ac:dyDescent="0.25">
      <c r="A149" t="s">
        <v>75</v>
      </c>
      <c r="B149">
        <v>160</v>
      </c>
      <c r="C149" t="s">
        <v>262</v>
      </c>
      <c r="D149" s="14">
        <v>0</v>
      </c>
      <c r="E149" s="14">
        <v>400</v>
      </c>
      <c r="F149" s="14">
        <v>-400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400</v>
      </c>
      <c r="M149" s="14">
        <v>-400</v>
      </c>
      <c r="N149" s="14">
        <v>0</v>
      </c>
      <c r="O149" s="14">
        <v>0</v>
      </c>
      <c r="P149" t="s">
        <v>254</v>
      </c>
    </row>
    <row r="150" spans="1:16" x14ac:dyDescent="0.25">
      <c r="A150" t="s">
        <v>75</v>
      </c>
      <c r="B150">
        <v>160</v>
      </c>
      <c r="C150" t="s">
        <v>264</v>
      </c>
      <c r="D150" s="14">
        <v>951.94999999999993</v>
      </c>
      <c r="E150" s="14">
        <v>951.94999999999993</v>
      </c>
      <c r="F150" s="14">
        <v>0</v>
      </c>
      <c r="G150" s="14">
        <v>269.27953862901597</v>
      </c>
      <c r="H150" s="14">
        <v>0.28287151492096851</v>
      </c>
      <c r="I150" s="14">
        <v>-22.55</v>
      </c>
      <c r="J150" s="14">
        <v>-22.55</v>
      </c>
      <c r="K150" s="14">
        <v>929.4</v>
      </c>
      <c r="L150" s="14">
        <v>929.4</v>
      </c>
      <c r="M150" s="14">
        <v>0</v>
      </c>
      <c r="N150" s="14">
        <v>-6.3799999999999955</v>
      </c>
      <c r="O150" s="14">
        <v>-6.8646438562513399E-3</v>
      </c>
      <c r="P150" t="s">
        <v>254</v>
      </c>
    </row>
    <row r="151" spans="1:16" x14ac:dyDescent="0.25">
      <c r="A151" t="s">
        <v>55</v>
      </c>
      <c r="B151">
        <v>160</v>
      </c>
      <c r="C151" t="s">
        <v>262</v>
      </c>
      <c r="D151" s="14">
        <v>0</v>
      </c>
      <c r="E151" s="14">
        <v>500</v>
      </c>
      <c r="F151" s="14">
        <v>-500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500</v>
      </c>
      <c r="M151" s="14">
        <v>-500</v>
      </c>
      <c r="N151" s="14">
        <v>0</v>
      </c>
      <c r="O151" s="14">
        <v>0</v>
      </c>
      <c r="P151" t="s">
        <v>254</v>
      </c>
    </row>
    <row r="152" spans="1:16" x14ac:dyDescent="0.25">
      <c r="A152" t="s">
        <v>55</v>
      </c>
      <c r="B152">
        <v>160</v>
      </c>
      <c r="C152" t="s">
        <v>264</v>
      </c>
      <c r="D152" s="14">
        <v>4370.03</v>
      </c>
      <c r="E152" s="14">
        <v>4370.03</v>
      </c>
      <c r="F152" s="14">
        <v>0</v>
      </c>
      <c r="G152" s="14">
        <v>434.38483694091701</v>
      </c>
      <c r="H152" s="14">
        <v>9.9400882131453802E-2</v>
      </c>
      <c r="I152" s="14">
        <v>-603.55000000000007</v>
      </c>
      <c r="J152" s="14">
        <v>-603.54999999999995</v>
      </c>
      <c r="K152" s="14">
        <v>3766.48</v>
      </c>
      <c r="L152" s="14">
        <v>3766.48</v>
      </c>
      <c r="M152" s="14">
        <v>0</v>
      </c>
      <c r="N152" s="14">
        <v>-59.990000000000009</v>
      </c>
      <c r="O152" s="14">
        <v>-1.5927337991971286E-2</v>
      </c>
      <c r="P152" t="s">
        <v>249</v>
      </c>
    </row>
    <row r="153" spans="1:16" x14ac:dyDescent="0.25">
      <c r="A153" t="s">
        <v>399</v>
      </c>
      <c r="B153">
        <v>160</v>
      </c>
      <c r="C153" t="s">
        <v>264</v>
      </c>
      <c r="D153" s="14">
        <v>3.22</v>
      </c>
      <c r="E153" s="14">
        <v>3.22</v>
      </c>
      <c r="F153" s="14">
        <v>0</v>
      </c>
      <c r="G153" s="14">
        <v>0</v>
      </c>
      <c r="H153" s="14">
        <v>0</v>
      </c>
      <c r="I153" s="14">
        <v>-3.22</v>
      </c>
      <c r="J153" s="14">
        <v>0</v>
      </c>
      <c r="K153" s="14">
        <v>0</v>
      </c>
      <c r="L153" s="14">
        <v>3.22</v>
      </c>
      <c r="M153" s="14">
        <v>-3.22</v>
      </c>
      <c r="N153" s="14">
        <v>0</v>
      </c>
      <c r="O153" s="14">
        <v>0</v>
      </c>
      <c r="P153" t="s">
        <v>249</v>
      </c>
    </row>
    <row r="154" spans="1:16" x14ac:dyDescent="0.25">
      <c r="A154" t="s">
        <v>111</v>
      </c>
      <c r="B154">
        <v>160</v>
      </c>
      <c r="C154" t="s">
        <v>262</v>
      </c>
      <c r="D154" s="14">
        <v>0</v>
      </c>
      <c r="E154" s="14">
        <v>3450</v>
      </c>
      <c r="F154" s="14">
        <v>-3450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3450</v>
      </c>
      <c r="M154" s="14">
        <v>-3450</v>
      </c>
      <c r="N154" s="14">
        <v>0</v>
      </c>
      <c r="O154" s="14">
        <v>0</v>
      </c>
      <c r="P154" t="s">
        <v>254</v>
      </c>
    </row>
    <row r="155" spans="1:16" x14ac:dyDescent="0.25">
      <c r="A155" t="s">
        <v>111</v>
      </c>
      <c r="B155">
        <v>160</v>
      </c>
      <c r="C155" t="s">
        <v>264</v>
      </c>
      <c r="D155" s="14">
        <v>322.84000000000003</v>
      </c>
      <c r="E155" s="14">
        <v>322.84000000000003</v>
      </c>
      <c r="F155" s="14">
        <v>0</v>
      </c>
      <c r="G155" s="14">
        <v>251.7052454585</v>
      </c>
      <c r="H155" s="14">
        <v>0.77965941475188938</v>
      </c>
      <c r="I155" s="14">
        <v>-34.039999999999822</v>
      </c>
      <c r="J155" s="14">
        <v>-34.04</v>
      </c>
      <c r="K155" s="14">
        <v>288.8</v>
      </c>
      <c r="L155" s="14">
        <v>288.8</v>
      </c>
      <c r="M155" s="14">
        <v>0</v>
      </c>
      <c r="N155" s="14">
        <v>-38.72999999999999</v>
      </c>
      <c r="O155" s="14">
        <v>-0.13410664819944595</v>
      </c>
      <c r="P155" t="s">
        <v>249</v>
      </c>
    </row>
    <row r="156" spans="1:16" x14ac:dyDescent="0.25">
      <c r="A156" t="s">
        <v>56</v>
      </c>
      <c r="B156">
        <v>160</v>
      </c>
      <c r="C156" t="s">
        <v>262</v>
      </c>
      <c r="D156" s="14">
        <v>0</v>
      </c>
      <c r="E156" s="14">
        <v>4500</v>
      </c>
      <c r="F156" s="14">
        <v>-4500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4500</v>
      </c>
      <c r="M156" s="14">
        <v>-4500</v>
      </c>
      <c r="N156" s="14">
        <v>0</v>
      </c>
      <c r="O156" s="14">
        <v>0</v>
      </c>
      <c r="P156" t="s">
        <v>254</v>
      </c>
    </row>
    <row r="157" spans="1:16" x14ac:dyDescent="0.25">
      <c r="A157" t="s">
        <v>56</v>
      </c>
      <c r="B157">
        <v>160</v>
      </c>
      <c r="C157" t="s">
        <v>264</v>
      </c>
      <c r="D157" s="14">
        <v>6254.51</v>
      </c>
      <c r="E157" s="14">
        <v>6254.51</v>
      </c>
      <c r="F157" s="14">
        <v>0</v>
      </c>
      <c r="G157" s="14">
        <v>707.91</v>
      </c>
      <c r="H157" s="14">
        <v>0.113183926478653</v>
      </c>
      <c r="I157" s="14">
        <v>-46.809999999999988</v>
      </c>
      <c r="J157" s="14">
        <v>-46.81</v>
      </c>
      <c r="K157" s="14">
        <v>6207.7</v>
      </c>
      <c r="L157" s="14">
        <v>6207.7</v>
      </c>
      <c r="M157" s="14">
        <v>0</v>
      </c>
      <c r="N157" s="14">
        <v>-15.779999999999973</v>
      </c>
      <c r="O157" s="14">
        <v>-2.5420042850008819E-3</v>
      </c>
      <c r="P157" t="s">
        <v>249</v>
      </c>
    </row>
    <row r="158" spans="1:16" x14ac:dyDescent="0.25">
      <c r="A158" t="s">
        <v>57</v>
      </c>
      <c r="B158">
        <v>160</v>
      </c>
      <c r="C158" t="s">
        <v>262</v>
      </c>
      <c r="D158" s="14">
        <v>0</v>
      </c>
      <c r="E158" s="14">
        <v>700</v>
      </c>
      <c r="F158" s="14">
        <v>-700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700</v>
      </c>
      <c r="M158" s="14">
        <v>-700</v>
      </c>
      <c r="N158" s="14">
        <v>0</v>
      </c>
      <c r="O158" s="14">
        <v>0</v>
      </c>
      <c r="P158" t="s">
        <v>254</v>
      </c>
    </row>
    <row r="159" spans="1:16" x14ac:dyDescent="0.25">
      <c r="A159" t="s">
        <v>57</v>
      </c>
      <c r="B159">
        <v>160</v>
      </c>
      <c r="C159" t="s">
        <v>264</v>
      </c>
      <c r="D159" s="14">
        <v>1098.0900000000001</v>
      </c>
      <c r="E159" s="14">
        <v>1098.0900000000001</v>
      </c>
      <c r="F159" s="14">
        <v>0</v>
      </c>
      <c r="G159" s="14">
        <v>1632.7314154378241</v>
      </c>
      <c r="H159" s="14">
        <v>1.4868830564323725</v>
      </c>
      <c r="I159" s="14">
        <v>-42.650000000000006</v>
      </c>
      <c r="J159" s="14">
        <v>-42.65</v>
      </c>
      <c r="K159" s="14">
        <v>1055.44</v>
      </c>
      <c r="L159" s="14">
        <v>1055.44</v>
      </c>
      <c r="M159" s="14">
        <v>0</v>
      </c>
      <c r="N159" s="14">
        <v>-63.420000000000073</v>
      </c>
      <c r="O159" s="14">
        <v>-6.0088683392708321E-2</v>
      </c>
      <c r="P159" t="s">
        <v>249</v>
      </c>
    </row>
    <row r="160" spans="1:16" x14ac:dyDescent="0.25">
      <c r="A160" t="s">
        <v>97</v>
      </c>
      <c r="B160">
        <v>160</v>
      </c>
      <c r="C160" t="s">
        <v>262</v>
      </c>
      <c r="D160" s="14">
        <v>0</v>
      </c>
      <c r="E160" s="14">
        <v>3000</v>
      </c>
      <c r="F160" s="14">
        <v>-3000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3000</v>
      </c>
      <c r="M160" s="14">
        <v>-3000</v>
      </c>
      <c r="N160" s="14">
        <v>0</v>
      </c>
      <c r="O160" s="14">
        <v>0</v>
      </c>
      <c r="P160" t="s">
        <v>254</v>
      </c>
    </row>
    <row r="161" spans="1:16" x14ac:dyDescent="0.25">
      <c r="A161" t="s">
        <v>97</v>
      </c>
      <c r="B161">
        <v>160</v>
      </c>
      <c r="C161" t="s">
        <v>264</v>
      </c>
      <c r="D161" s="14">
        <v>1192.1600000000001</v>
      </c>
      <c r="E161" s="14">
        <v>1192.1600000000001</v>
      </c>
      <c r="F161" s="14">
        <v>0</v>
      </c>
      <c r="G161" s="14">
        <v>1560.8441196285498</v>
      </c>
      <c r="H161" s="14">
        <v>1.3092572470377715</v>
      </c>
      <c r="I161" s="14">
        <v>-462.30999999999989</v>
      </c>
      <c r="J161" s="14">
        <v>-462.31000000000006</v>
      </c>
      <c r="K161" s="14">
        <v>729.85</v>
      </c>
      <c r="L161" s="14">
        <v>729.85</v>
      </c>
      <c r="M161" s="14">
        <v>0</v>
      </c>
      <c r="N161" s="14">
        <v>-704.53999999999985</v>
      </c>
      <c r="O161" s="14">
        <v>-0.96532164143317101</v>
      </c>
      <c r="P161" t="s">
        <v>249</v>
      </c>
    </row>
    <row r="162" spans="1:16" x14ac:dyDescent="0.25">
      <c r="A162" t="s">
        <v>29</v>
      </c>
      <c r="B162">
        <v>160</v>
      </c>
      <c r="C162" t="s">
        <v>262</v>
      </c>
      <c r="D162" s="14">
        <v>0</v>
      </c>
      <c r="E162" s="14">
        <v>2150</v>
      </c>
      <c r="F162" s="14">
        <v>-2150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2150</v>
      </c>
      <c r="M162" s="14">
        <v>-2150</v>
      </c>
      <c r="N162" s="14">
        <v>0</v>
      </c>
      <c r="O162" s="14">
        <v>0</v>
      </c>
      <c r="P162" t="s">
        <v>254</v>
      </c>
    </row>
    <row r="163" spans="1:16" x14ac:dyDescent="0.25">
      <c r="A163" t="s">
        <v>29</v>
      </c>
      <c r="B163">
        <v>160</v>
      </c>
      <c r="C163" t="s">
        <v>264</v>
      </c>
      <c r="D163" s="14">
        <v>1255.73</v>
      </c>
      <c r="E163" s="14">
        <v>1255.73</v>
      </c>
      <c r="F163" s="14">
        <v>0</v>
      </c>
      <c r="G163" s="14">
        <v>1232.43840364429</v>
      </c>
      <c r="H163" s="14">
        <v>0.98145174810213187</v>
      </c>
      <c r="I163" s="14">
        <v>-11.03</v>
      </c>
      <c r="J163" s="14">
        <v>-11.03</v>
      </c>
      <c r="K163" s="14">
        <v>1244.7</v>
      </c>
      <c r="L163" s="14">
        <v>1244.7</v>
      </c>
      <c r="M163" s="14">
        <v>0</v>
      </c>
      <c r="N163" s="14">
        <v>-57.740000000000009</v>
      </c>
      <c r="O163" s="14">
        <v>-4.6388688037278067E-2</v>
      </c>
      <c r="P163" t="s">
        <v>254</v>
      </c>
    </row>
    <row r="164" spans="1:16" x14ac:dyDescent="0.25">
      <c r="A164" t="s">
        <v>121</v>
      </c>
      <c r="B164">
        <v>160</v>
      </c>
      <c r="C164" t="s">
        <v>262</v>
      </c>
      <c r="D164" s="14">
        <v>0</v>
      </c>
      <c r="E164" s="14">
        <v>600</v>
      </c>
      <c r="F164" s="14">
        <v>-600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600</v>
      </c>
      <c r="M164" s="14">
        <v>-600</v>
      </c>
      <c r="N164" s="14">
        <v>0</v>
      </c>
      <c r="O164" s="14">
        <v>0</v>
      </c>
      <c r="P164" t="s">
        <v>254</v>
      </c>
    </row>
    <row r="165" spans="1:16" x14ac:dyDescent="0.25">
      <c r="A165" t="s">
        <v>121</v>
      </c>
      <c r="B165">
        <v>160</v>
      </c>
      <c r="C165" t="s">
        <v>264</v>
      </c>
      <c r="D165" s="14">
        <v>1007.24</v>
      </c>
      <c r="E165" s="14">
        <v>1007.24</v>
      </c>
      <c r="F165" s="14">
        <v>0</v>
      </c>
      <c r="G165" s="14">
        <v>1553.7897553615499</v>
      </c>
      <c r="H165" s="14">
        <v>1.5426211780325938</v>
      </c>
      <c r="I165" s="14">
        <v>-40.430000000000007</v>
      </c>
      <c r="J165" s="14">
        <v>-40.43</v>
      </c>
      <c r="K165" s="14">
        <v>966.81000000000006</v>
      </c>
      <c r="L165" s="14">
        <v>966.81000000000006</v>
      </c>
      <c r="M165" s="14">
        <v>0</v>
      </c>
      <c r="N165" s="14">
        <v>-62.369999999999891</v>
      </c>
      <c r="O165" s="14">
        <v>-6.4511124212616636E-2</v>
      </c>
      <c r="P165" t="s">
        <v>249</v>
      </c>
    </row>
    <row r="166" spans="1:16" x14ac:dyDescent="0.25">
      <c r="A166" t="s">
        <v>106</v>
      </c>
      <c r="B166">
        <v>160</v>
      </c>
      <c r="C166" t="s">
        <v>262</v>
      </c>
      <c r="D166" s="14">
        <v>0</v>
      </c>
      <c r="E166" s="14">
        <v>1450</v>
      </c>
      <c r="F166" s="14">
        <v>-1450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1450</v>
      </c>
      <c r="M166" s="14">
        <v>-1450</v>
      </c>
      <c r="N166" s="14">
        <v>0</v>
      </c>
      <c r="O166" s="14">
        <v>0</v>
      </c>
      <c r="P166" t="s">
        <v>254</v>
      </c>
    </row>
    <row r="167" spans="1:16" x14ac:dyDescent="0.25">
      <c r="A167" t="s">
        <v>106</v>
      </c>
      <c r="B167">
        <v>160</v>
      </c>
      <c r="C167" t="s">
        <v>264</v>
      </c>
      <c r="D167" s="14">
        <v>1684.49</v>
      </c>
      <c r="E167" s="14">
        <v>1682.9</v>
      </c>
      <c r="F167" s="14">
        <v>1.5899999999999181</v>
      </c>
      <c r="G167" s="14">
        <v>1749.2962158866801</v>
      </c>
      <c r="H167" s="14">
        <v>1.0394534529007546</v>
      </c>
      <c r="I167" s="14">
        <v>-483.28999999999985</v>
      </c>
      <c r="J167" s="14">
        <v>-481.70000000000005</v>
      </c>
      <c r="K167" s="14">
        <v>1201.2</v>
      </c>
      <c r="L167" s="14">
        <v>1201.2</v>
      </c>
      <c r="M167" s="14">
        <v>0</v>
      </c>
      <c r="N167" s="14">
        <v>-380.70000000000005</v>
      </c>
      <c r="O167" s="14">
        <v>-0.31693306693306694</v>
      </c>
      <c r="P167" t="s">
        <v>249</v>
      </c>
    </row>
    <row r="168" spans="1:16" x14ac:dyDescent="0.25">
      <c r="A168" t="s">
        <v>400</v>
      </c>
      <c r="B168">
        <v>160</v>
      </c>
      <c r="C168" t="s">
        <v>264</v>
      </c>
      <c r="D168" s="14">
        <v>24</v>
      </c>
      <c r="E168" s="14">
        <v>42</v>
      </c>
      <c r="F168" s="14">
        <v>-18</v>
      </c>
      <c r="G168" s="14">
        <v>0</v>
      </c>
      <c r="H168" s="14">
        <v>0</v>
      </c>
      <c r="I168" s="14">
        <v>-2.7700000000000005</v>
      </c>
      <c r="J168" s="14">
        <v>0</v>
      </c>
      <c r="K168" s="14">
        <v>21.23</v>
      </c>
      <c r="L168" s="14">
        <v>42</v>
      </c>
      <c r="M168" s="14">
        <v>-20.77</v>
      </c>
      <c r="N168" s="14">
        <v>0</v>
      </c>
      <c r="O168" s="14">
        <v>0</v>
      </c>
      <c r="P168" t="s">
        <v>249</v>
      </c>
    </row>
    <row r="169" spans="1:16" x14ac:dyDescent="0.25">
      <c r="A169" t="s">
        <v>58</v>
      </c>
      <c r="B169">
        <v>160</v>
      </c>
      <c r="C169" t="s">
        <v>262</v>
      </c>
      <c r="D169" s="14">
        <v>0</v>
      </c>
      <c r="E169" s="14">
        <v>1100</v>
      </c>
      <c r="F169" s="14">
        <v>-1100</v>
      </c>
      <c r="G169" s="14">
        <v>0</v>
      </c>
      <c r="H169" s="14">
        <v>0</v>
      </c>
      <c r="I169" s="14">
        <v>0</v>
      </c>
      <c r="J169" s="14">
        <v>0</v>
      </c>
      <c r="K169" s="14">
        <v>0</v>
      </c>
      <c r="L169" s="14">
        <v>1100</v>
      </c>
      <c r="M169" s="14">
        <v>-1100</v>
      </c>
      <c r="N169" s="14">
        <v>0</v>
      </c>
      <c r="O169" s="14">
        <v>0</v>
      </c>
      <c r="P169" t="s">
        <v>254</v>
      </c>
    </row>
    <row r="170" spans="1:16" x14ac:dyDescent="0.25">
      <c r="A170" t="s">
        <v>58</v>
      </c>
      <c r="B170">
        <v>160</v>
      </c>
      <c r="C170" t="s">
        <v>264</v>
      </c>
      <c r="D170" s="14">
        <v>1774.65</v>
      </c>
      <c r="E170" s="14">
        <v>1774.65</v>
      </c>
      <c r="F170" s="14">
        <v>0</v>
      </c>
      <c r="G170" s="14">
        <v>2531.5133421118398</v>
      </c>
      <c r="H170" s="14">
        <v>1.426485978706697</v>
      </c>
      <c r="I170" s="14">
        <v>-345.65</v>
      </c>
      <c r="J170" s="14">
        <v>-345.65</v>
      </c>
      <c r="K170" s="14">
        <v>1429</v>
      </c>
      <c r="L170" s="14">
        <v>1429</v>
      </c>
      <c r="M170" s="14">
        <v>0</v>
      </c>
      <c r="N170" s="14">
        <v>-538.69999999999982</v>
      </c>
      <c r="O170" s="14">
        <v>-0.37697690692792152</v>
      </c>
      <c r="P170" t="s">
        <v>254</v>
      </c>
    </row>
    <row r="171" spans="1:16" x14ac:dyDescent="0.25">
      <c r="A171" t="s">
        <v>401</v>
      </c>
      <c r="B171">
        <v>160</v>
      </c>
      <c r="C171" t="s">
        <v>264</v>
      </c>
      <c r="D171" s="14">
        <v>150</v>
      </c>
      <c r="E171" s="14">
        <v>150</v>
      </c>
      <c r="F171" s="14">
        <v>0</v>
      </c>
      <c r="G171" s="14">
        <v>609.12425259751194</v>
      </c>
      <c r="H171" s="14">
        <v>4.0608283506500795</v>
      </c>
      <c r="I171" s="14">
        <v>0</v>
      </c>
      <c r="J171" s="14">
        <v>0</v>
      </c>
      <c r="K171" s="14">
        <v>150</v>
      </c>
      <c r="L171" s="14">
        <v>150</v>
      </c>
      <c r="M171" s="14">
        <v>0</v>
      </c>
      <c r="N171" s="14">
        <v>0</v>
      </c>
      <c r="O171" s="14">
        <v>0</v>
      </c>
      <c r="P171" t="s">
        <v>254</v>
      </c>
    </row>
    <row r="172" spans="1:16" x14ac:dyDescent="0.25">
      <c r="A172" t="s">
        <v>402</v>
      </c>
      <c r="B172">
        <v>160</v>
      </c>
      <c r="C172" t="s">
        <v>264</v>
      </c>
      <c r="D172" s="14">
        <v>502.14000000000004</v>
      </c>
      <c r="E172" s="14">
        <v>502.14000000000004</v>
      </c>
      <c r="F172" s="14">
        <v>0</v>
      </c>
      <c r="G172" s="14">
        <v>2039.10843482</v>
      </c>
      <c r="H172" s="14">
        <v>4.060836489465089</v>
      </c>
      <c r="I172" s="14">
        <v>-0.9300000000000006</v>
      </c>
      <c r="J172" s="14">
        <v>-0.93</v>
      </c>
      <c r="K172" s="14">
        <v>501.21000000000004</v>
      </c>
      <c r="L172" s="14">
        <v>501.21000000000004</v>
      </c>
      <c r="M172" s="14">
        <v>0</v>
      </c>
      <c r="N172" s="14">
        <v>-3.7799999999999727</v>
      </c>
      <c r="O172" s="14">
        <v>-7.5417489674985986E-3</v>
      </c>
      <c r="P172" t="s">
        <v>249</v>
      </c>
    </row>
    <row r="173" spans="1:16" x14ac:dyDescent="0.25">
      <c r="A173" t="s">
        <v>99</v>
      </c>
      <c r="B173">
        <v>160</v>
      </c>
      <c r="C173" t="s">
        <v>262</v>
      </c>
      <c r="D173" s="14">
        <v>0</v>
      </c>
      <c r="E173" s="14">
        <v>2000</v>
      </c>
      <c r="F173" s="14">
        <v>-2000</v>
      </c>
      <c r="G173" s="14">
        <v>0</v>
      </c>
      <c r="H173" s="14">
        <v>0</v>
      </c>
      <c r="I173" s="14">
        <v>0</v>
      </c>
      <c r="J173" s="14">
        <v>0</v>
      </c>
      <c r="K173" s="14">
        <v>0</v>
      </c>
      <c r="L173" s="14">
        <v>2000</v>
      </c>
      <c r="M173" s="14">
        <v>-2000</v>
      </c>
      <c r="N173" s="14">
        <v>0</v>
      </c>
      <c r="O173" s="14">
        <v>0</v>
      </c>
      <c r="P173" t="s">
        <v>254</v>
      </c>
    </row>
    <row r="174" spans="1:16" x14ac:dyDescent="0.25">
      <c r="A174" t="s">
        <v>99</v>
      </c>
      <c r="B174">
        <v>160</v>
      </c>
      <c r="C174" t="s">
        <v>264</v>
      </c>
      <c r="D174" s="14">
        <v>1373.9599999999998</v>
      </c>
      <c r="E174" s="14">
        <v>1373.9599999999998</v>
      </c>
      <c r="F174" s="14">
        <v>0</v>
      </c>
      <c r="G174" s="14">
        <v>2839.8305177703396</v>
      </c>
      <c r="H174" s="14">
        <v>2.0668946095740344</v>
      </c>
      <c r="I174" s="14">
        <v>-27.1</v>
      </c>
      <c r="J174" s="14">
        <v>-27.1</v>
      </c>
      <c r="K174" s="14">
        <v>1346.86</v>
      </c>
      <c r="L174" s="14">
        <v>1346.86</v>
      </c>
      <c r="M174" s="14">
        <v>0</v>
      </c>
      <c r="N174" s="14">
        <v>-764.15999999999985</v>
      </c>
      <c r="O174" s="14">
        <v>-0.56736409129382404</v>
      </c>
      <c r="P174" t="s">
        <v>254</v>
      </c>
    </row>
    <row r="175" spans="1:16" x14ac:dyDescent="0.25">
      <c r="A175" t="s">
        <v>59</v>
      </c>
      <c r="B175">
        <v>160</v>
      </c>
      <c r="C175" t="s">
        <v>262</v>
      </c>
      <c r="D175" s="14">
        <v>0</v>
      </c>
      <c r="E175" s="14">
        <v>2800</v>
      </c>
      <c r="F175" s="14">
        <v>-2800</v>
      </c>
      <c r="G175" s="14">
        <v>0</v>
      </c>
      <c r="H175" s="14">
        <v>0</v>
      </c>
      <c r="I175" s="14">
        <v>0</v>
      </c>
      <c r="J175" s="14">
        <v>0</v>
      </c>
      <c r="K175" s="14">
        <v>0</v>
      </c>
      <c r="L175" s="14">
        <v>2800</v>
      </c>
      <c r="M175" s="14">
        <v>-2800</v>
      </c>
      <c r="N175" s="14">
        <v>0</v>
      </c>
      <c r="O175" s="14">
        <v>0</v>
      </c>
      <c r="P175" t="s">
        <v>254</v>
      </c>
    </row>
    <row r="176" spans="1:16" x14ac:dyDescent="0.25">
      <c r="A176" t="s">
        <v>59</v>
      </c>
      <c r="B176">
        <v>160</v>
      </c>
      <c r="C176" t="s">
        <v>264</v>
      </c>
      <c r="D176" s="14">
        <v>1693.8700000000001</v>
      </c>
      <c r="E176" s="14">
        <v>1706.0100000000002</v>
      </c>
      <c r="F176" s="14">
        <v>-12.1400000000001</v>
      </c>
      <c r="G176" s="14">
        <v>2768.36694805967</v>
      </c>
      <c r="H176" s="14">
        <v>1.6227143733387668</v>
      </c>
      <c r="I176" s="14">
        <v>-588.24000000000012</v>
      </c>
      <c r="J176" s="14">
        <v>-600.38</v>
      </c>
      <c r="K176" s="14">
        <v>1105.6300000000001</v>
      </c>
      <c r="L176" s="14">
        <v>1105.6300000000001</v>
      </c>
      <c r="M176" s="14">
        <v>0</v>
      </c>
      <c r="N176" s="14">
        <v>-939.59000000000015</v>
      </c>
      <c r="O176" s="14">
        <v>-0.84982317773577065</v>
      </c>
      <c r="P176" t="s">
        <v>249</v>
      </c>
    </row>
    <row r="177" spans="1:16" x14ac:dyDescent="0.25">
      <c r="A177" t="s">
        <v>123</v>
      </c>
      <c r="B177">
        <v>160</v>
      </c>
      <c r="C177" t="s">
        <v>262</v>
      </c>
      <c r="D177" s="14">
        <v>0</v>
      </c>
      <c r="E177" s="14">
        <v>2500</v>
      </c>
      <c r="F177" s="14">
        <v>-2500</v>
      </c>
      <c r="G177" s="14">
        <v>0</v>
      </c>
      <c r="H177" s="14">
        <v>0</v>
      </c>
      <c r="I177" s="14">
        <v>0</v>
      </c>
      <c r="J177" s="14">
        <v>0</v>
      </c>
      <c r="K177" s="14">
        <v>0</v>
      </c>
      <c r="L177" s="14">
        <v>2500</v>
      </c>
      <c r="M177" s="14">
        <v>-2500</v>
      </c>
      <c r="N177" s="14">
        <v>0</v>
      </c>
      <c r="O177" s="14">
        <v>0</v>
      </c>
      <c r="P177" t="s">
        <v>254</v>
      </c>
    </row>
    <row r="178" spans="1:16" x14ac:dyDescent="0.25">
      <c r="A178" t="s">
        <v>123</v>
      </c>
      <c r="B178">
        <v>160</v>
      </c>
      <c r="C178" t="s">
        <v>264</v>
      </c>
      <c r="D178" s="14">
        <v>969.06</v>
      </c>
      <c r="E178" s="14">
        <v>969.06</v>
      </c>
      <c r="F178" s="14">
        <v>0</v>
      </c>
      <c r="G178" s="14">
        <v>1385.62543887129</v>
      </c>
      <c r="H178" s="14">
        <v>1.429865476721039</v>
      </c>
      <c r="I178" s="14">
        <v>484.75000000000006</v>
      </c>
      <c r="J178" s="14">
        <v>484.75</v>
      </c>
      <c r="K178" s="14">
        <v>1453.81</v>
      </c>
      <c r="L178" s="14">
        <v>1453.81</v>
      </c>
      <c r="M178" s="14">
        <v>0</v>
      </c>
      <c r="N178" s="14">
        <v>752.79</v>
      </c>
      <c r="O178" s="14">
        <v>0.51780494012284961</v>
      </c>
      <c r="P178" t="s">
        <v>249</v>
      </c>
    </row>
    <row r="179" spans="1:16" x14ac:dyDescent="0.25">
      <c r="A179" t="s">
        <v>76</v>
      </c>
      <c r="B179">
        <v>160</v>
      </c>
      <c r="C179" t="s">
        <v>262</v>
      </c>
      <c r="D179" s="14">
        <v>0</v>
      </c>
      <c r="E179" s="14">
        <v>3250</v>
      </c>
      <c r="F179" s="14">
        <v>-3250</v>
      </c>
      <c r="G179" s="14">
        <v>0</v>
      </c>
      <c r="H179" s="14">
        <v>0</v>
      </c>
      <c r="I179" s="14">
        <v>0</v>
      </c>
      <c r="J179" s="14">
        <v>0</v>
      </c>
      <c r="K179" s="14">
        <v>0</v>
      </c>
      <c r="L179" s="14">
        <v>3250</v>
      </c>
      <c r="M179" s="14">
        <v>-3250</v>
      </c>
      <c r="N179" s="14">
        <v>0</v>
      </c>
      <c r="O179" s="14">
        <v>0</v>
      </c>
      <c r="P179" t="s">
        <v>254</v>
      </c>
    </row>
    <row r="180" spans="1:16" x14ac:dyDescent="0.25">
      <c r="A180" t="s">
        <v>76</v>
      </c>
      <c r="B180">
        <v>160</v>
      </c>
      <c r="C180" t="s">
        <v>264</v>
      </c>
      <c r="D180" s="14">
        <v>1177.2</v>
      </c>
      <c r="E180" s="14">
        <v>-727.82</v>
      </c>
      <c r="F180" s="14">
        <v>1905.02</v>
      </c>
      <c r="G180" s="14">
        <v>-3.0346169400000001E-3</v>
      </c>
      <c r="H180" s="14">
        <v>4.169460773268116E-6</v>
      </c>
      <c r="I180" s="14">
        <v>-146.15</v>
      </c>
      <c r="J180" s="14">
        <v>-136.6</v>
      </c>
      <c r="K180" s="14">
        <v>1031.05</v>
      </c>
      <c r="L180" s="14">
        <v>-864.42000000000007</v>
      </c>
      <c r="M180" s="14">
        <v>1895.47</v>
      </c>
      <c r="N180" s="14">
        <v>0</v>
      </c>
      <c r="O180" s="14">
        <v>0</v>
      </c>
      <c r="P180" t="s">
        <v>249</v>
      </c>
    </row>
    <row r="181" spans="1:16" x14ac:dyDescent="0.25">
      <c r="A181" t="s">
        <v>60</v>
      </c>
      <c r="B181">
        <v>160</v>
      </c>
      <c r="C181" t="s">
        <v>262</v>
      </c>
      <c r="D181" s="14">
        <v>0</v>
      </c>
      <c r="E181" s="14">
        <v>1100</v>
      </c>
      <c r="F181" s="14">
        <v>-1100</v>
      </c>
      <c r="G181" s="14">
        <v>0</v>
      </c>
      <c r="H181" s="14">
        <v>0</v>
      </c>
      <c r="I181" s="14">
        <v>0</v>
      </c>
      <c r="J181" s="14">
        <v>0</v>
      </c>
      <c r="K181" s="14">
        <v>0</v>
      </c>
      <c r="L181" s="14">
        <v>1100</v>
      </c>
      <c r="M181" s="14">
        <v>-1100</v>
      </c>
      <c r="N181" s="14">
        <v>0</v>
      </c>
      <c r="O181" s="14">
        <v>0</v>
      </c>
      <c r="P181" t="s">
        <v>254</v>
      </c>
    </row>
    <row r="182" spans="1:16" x14ac:dyDescent="0.25">
      <c r="A182" t="s">
        <v>60</v>
      </c>
      <c r="B182">
        <v>160</v>
      </c>
      <c r="C182" t="s">
        <v>264</v>
      </c>
      <c r="D182" s="14">
        <v>376.5</v>
      </c>
      <c r="E182" s="14">
        <v>490</v>
      </c>
      <c r="F182" s="14">
        <v>-113.5</v>
      </c>
      <c r="G182" s="14">
        <v>0</v>
      </c>
      <c r="H182" s="14">
        <v>0</v>
      </c>
      <c r="I182" s="14">
        <v>7</v>
      </c>
      <c r="J182" s="14">
        <v>0</v>
      </c>
      <c r="K182" s="14">
        <v>383.5</v>
      </c>
      <c r="L182" s="14">
        <v>490</v>
      </c>
      <c r="M182" s="14">
        <v>-106.5</v>
      </c>
      <c r="N182" s="14">
        <v>0</v>
      </c>
      <c r="O182" s="14">
        <v>0</v>
      </c>
      <c r="P182" t="s">
        <v>249</v>
      </c>
    </row>
    <row r="183" spans="1:16" x14ac:dyDescent="0.25">
      <c r="A183" t="s">
        <v>61</v>
      </c>
      <c r="B183">
        <v>160</v>
      </c>
      <c r="C183" t="s">
        <v>264</v>
      </c>
      <c r="D183" s="14">
        <v>838.6</v>
      </c>
      <c r="E183" s="14">
        <v>838.6</v>
      </c>
      <c r="F183" s="14">
        <v>0</v>
      </c>
      <c r="G183" s="14">
        <v>337.94749526075498</v>
      </c>
      <c r="H183" s="14">
        <v>0.40299009690049481</v>
      </c>
      <c r="I183" s="14">
        <v>-2.04</v>
      </c>
      <c r="J183" s="14">
        <v>-2.04</v>
      </c>
      <c r="K183" s="14">
        <v>836.56000000000006</v>
      </c>
      <c r="L183" s="14">
        <v>836.56000000000006</v>
      </c>
      <c r="M183" s="14">
        <v>0</v>
      </c>
      <c r="N183" s="14">
        <v>-0.81999999999999318</v>
      </c>
      <c r="O183" s="14">
        <v>-9.8020464760446716E-4</v>
      </c>
      <c r="P183" t="s">
        <v>254</v>
      </c>
    </row>
    <row r="184" spans="1:16" x14ac:dyDescent="0.25">
      <c r="A184" t="s">
        <v>24</v>
      </c>
      <c r="B184">
        <v>160</v>
      </c>
      <c r="C184" t="s">
        <v>262</v>
      </c>
      <c r="D184" s="14">
        <v>0</v>
      </c>
      <c r="E184" s="14">
        <v>1750</v>
      </c>
      <c r="F184" s="14">
        <v>-1750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1750</v>
      </c>
      <c r="M184" s="14">
        <v>-1750</v>
      </c>
      <c r="N184" s="14">
        <v>0</v>
      </c>
      <c r="O184" s="14">
        <v>0</v>
      </c>
      <c r="P184" t="s">
        <v>254</v>
      </c>
    </row>
    <row r="185" spans="1:16" x14ac:dyDescent="0.25">
      <c r="A185" t="s">
        <v>24</v>
      </c>
      <c r="B185">
        <v>160</v>
      </c>
      <c r="C185" t="s">
        <v>264</v>
      </c>
      <c r="D185" s="14">
        <v>526.79999999999995</v>
      </c>
      <c r="E185" s="14">
        <v>526.79999999999995</v>
      </c>
      <c r="F185" s="14">
        <v>0</v>
      </c>
      <c r="G185" s="14">
        <v>2078.9388059779358</v>
      </c>
      <c r="H185" s="14">
        <v>3.9463530865184815</v>
      </c>
      <c r="I185" s="14">
        <v>-26.099999999999998</v>
      </c>
      <c r="J185" s="14">
        <v>-26.100000000000012</v>
      </c>
      <c r="K185" s="14">
        <v>500.7</v>
      </c>
      <c r="L185" s="14">
        <v>500.7</v>
      </c>
      <c r="M185" s="14">
        <v>0</v>
      </c>
      <c r="N185" s="14">
        <v>-102.99999999999977</v>
      </c>
      <c r="O185" s="14">
        <v>-0.20571200319552582</v>
      </c>
      <c r="P185" t="s">
        <v>249</v>
      </c>
    </row>
    <row r="186" spans="1:16" x14ac:dyDescent="0.25">
      <c r="A186" t="s">
        <v>77</v>
      </c>
      <c r="B186">
        <v>160</v>
      </c>
      <c r="C186" t="s">
        <v>264</v>
      </c>
      <c r="D186" s="14">
        <v>1075.4100000000001</v>
      </c>
      <c r="E186" s="14">
        <v>896.48</v>
      </c>
      <c r="F186" s="14">
        <v>178.93000000000006</v>
      </c>
      <c r="G186" s="14">
        <v>3055.9310542736098</v>
      </c>
      <c r="H186" s="14">
        <v>3.4088111885079528</v>
      </c>
      <c r="I186" s="14">
        <v>-87.21</v>
      </c>
      <c r="J186" s="14">
        <v>91.72</v>
      </c>
      <c r="K186" s="14">
        <v>988.2</v>
      </c>
      <c r="L186" s="14">
        <v>988.2</v>
      </c>
      <c r="M186" s="14">
        <v>0</v>
      </c>
      <c r="N186" s="14">
        <v>312.65999999999985</v>
      </c>
      <c r="O186" s="14">
        <v>0.31639344262295066</v>
      </c>
      <c r="P186" t="s">
        <v>249</v>
      </c>
    </row>
    <row r="187" spans="1:16" x14ac:dyDescent="0.25">
      <c r="A187" t="s">
        <v>78</v>
      </c>
      <c r="B187">
        <v>160</v>
      </c>
      <c r="C187" t="s">
        <v>262</v>
      </c>
      <c r="D187" s="14">
        <v>0</v>
      </c>
      <c r="E187" s="14">
        <v>150</v>
      </c>
      <c r="F187" s="14">
        <v>-150</v>
      </c>
      <c r="G187" s="14">
        <v>0</v>
      </c>
      <c r="H187" s="14">
        <v>0</v>
      </c>
      <c r="I187" s="14">
        <v>0</v>
      </c>
      <c r="J187" s="14">
        <v>0</v>
      </c>
      <c r="K187" s="14">
        <v>0</v>
      </c>
      <c r="L187" s="14">
        <v>150</v>
      </c>
      <c r="M187" s="14">
        <v>-150</v>
      </c>
      <c r="N187" s="14">
        <v>0</v>
      </c>
      <c r="O187" s="14">
        <v>0</v>
      </c>
      <c r="P187" t="s">
        <v>254</v>
      </c>
    </row>
    <row r="188" spans="1:16" x14ac:dyDescent="0.25">
      <c r="A188" t="s">
        <v>78</v>
      </c>
      <c r="B188">
        <v>160</v>
      </c>
      <c r="C188" t="s">
        <v>264</v>
      </c>
      <c r="D188" s="14">
        <v>591.49</v>
      </c>
      <c r="E188" s="14">
        <v>591.49</v>
      </c>
      <c r="F188" s="14">
        <v>0</v>
      </c>
      <c r="G188" s="14">
        <v>1568.17075099709</v>
      </c>
      <c r="H188" s="14">
        <v>2.6512210705119106</v>
      </c>
      <c r="I188" s="14">
        <v>-44.23</v>
      </c>
      <c r="J188" s="14">
        <v>-44.23</v>
      </c>
      <c r="K188" s="14">
        <v>547.26</v>
      </c>
      <c r="L188" s="14">
        <v>547.26</v>
      </c>
      <c r="M188" s="14">
        <v>0</v>
      </c>
      <c r="N188" s="14">
        <v>-117.25999999999999</v>
      </c>
      <c r="O188" s="14">
        <v>-0.2142674414355151</v>
      </c>
      <c r="P188" t="s">
        <v>254</v>
      </c>
    </row>
    <row r="189" spans="1:16" x14ac:dyDescent="0.25">
      <c r="A189" t="s">
        <v>62</v>
      </c>
      <c r="B189">
        <v>160</v>
      </c>
      <c r="C189" t="s">
        <v>262</v>
      </c>
      <c r="D189" s="14">
        <v>0</v>
      </c>
      <c r="E189" s="14">
        <v>1500</v>
      </c>
      <c r="F189" s="14">
        <v>-1500</v>
      </c>
      <c r="G189" s="14">
        <v>0</v>
      </c>
      <c r="H189" s="14">
        <v>0</v>
      </c>
      <c r="I189" s="14">
        <v>0</v>
      </c>
      <c r="J189" s="14">
        <v>0</v>
      </c>
      <c r="K189" s="14">
        <v>0</v>
      </c>
      <c r="L189" s="14">
        <v>1500</v>
      </c>
      <c r="M189" s="14">
        <v>-1500</v>
      </c>
      <c r="N189" s="14">
        <v>0</v>
      </c>
      <c r="O189" s="14">
        <v>0</v>
      </c>
      <c r="P189" t="s">
        <v>254</v>
      </c>
    </row>
    <row r="190" spans="1:16" x14ac:dyDescent="0.25">
      <c r="A190" t="s">
        <v>62</v>
      </c>
      <c r="B190">
        <v>160</v>
      </c>
      <c r="C190" t="s">
        <v>264</v>
      </c>
      <c r="D190" s="14">
        <v>772.98</v>
      </c>
      <c r="E190" s="14">
        <v>772.98</v>
      </c>
      <c r="F190" s="14">
        <v>0</v>
      </c>
      <c r="G190" s="14">
        <v>2995.3184086603642</v>
      </c>
      <c r="H190" s="14">
        <v>3.8750270494196024</v>
      </c>
      <c r="I190" s="14">
        <v>-34.75</v>
      </c>
      <c r="J190" s="14">
        <v>-34.75</v>
      </c>
      <c r="K190" s="14">
        <v>738.23</v>
      </c>
      <c r="L190" s="14">
        <v>738.23</v>
      </c>
      <c r="M190" s="14">
        <v>0</v>
      </c>
      <c r="N190" s="14">
        <v>-134.65999999999985</v>
      </c>
      <c r="O190" s="14">
        <v>-0.18240927624182146</v>
      </c>
      <c r="P190" t="s">
        <v>254</v>
      </c>
    </row>
    <row r="191" spans="1:16" x14ac:dyDescent="0.25">
      <c r="A191" t="s">
        <v>63</v>
      </c>
      <c r="B191">
        <v>160</v>
      </c>
      <c r="C191" t="s">
        <v>262</v>
      </c>
      <c r="D191" s="14">
        <v>0</v>
      </c>
      <c r="E191" s="14">
        <v>1150</v>
      </c>
      <c r="F191" s="14">
        <v>-1150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1150</v>
      </c>
      <c r="M191" s="14">
        <v>-1150</v>
      </c>
      <c r="N191" s="14">
        <v>0</v>
      </c>
      <c r="O191" s="14">
        <v>0</v>
      </c>
      <c r="P191" t="s">
        <v>254</v>
      </c>
    </row>
    <row r="192" spans="1:16" x14ac:dyDescent="0.25">
      <c r="A192" t="s">
        <v>63</v>
      </c>
      <c r="B192">
        <v>160</v>
      </c>
      <c r="C192" t="s">
        <v>264</v>
      </c>
      <c r="D192" s="14">
        <v>538.15000000000009</v>
      </c>
      <c r="E192" s="14">
        <v>538.15000000000009</v>
      </c>
      <c r="F192" s="14">
        <v>0</v>
      </c>
      <c r="G192" s="14">
        <v>2706.5734474972905</v>
      </c>
      <c r="H192" s="14">
        <v>5.0294034144704822</v>
      </c>
      <c r="I192" s="14">
        <v>1577.7299999999996</v>
      </c>
      <c r="J192" s="14">
        <v>1577.7300000000005</v>
      </c>
      <c r="K192" s="14">
        <v>2115.88</v>
      </c>
      <c r="L192" s="14">
        <v>2115.88</v>
      </c>
      <c r="M192" s="14">
        <v>0</v>
      </c>
      <c r="N192" s="14">
        <v>5412.03</v>
      </c>
      <c r="O192" s="14">
        <v>2.5578151880068809</v>
      </c>
      <c r="P192" t="s">
        <v>249</v>
      </c>
    </row>
    <row r="193" spans="1:16" x14ac:dyDescent="0.25">
      <c r="A193" t="s">
        <v>404</v>
      </c>
      <c r="B193">
        <v>160</v>
      </c>
      <c r="C193" t="s">
        <v>264</v>
      </c>
      <c r="D193" s="14">
        <v>606</v>
      </c>
      <c r="E193" s="14">
        <v>606</v>
      </c>
      <c r="F193" s="14">
        <v>0</v>
      </c>
      <c r="G193" s="14">
        <v>0</v>
      </c>
      <c r="H193" s="14">
        <v>0</v>
      </c>
      <c r="I193" s="14">
        <v>-126</v>
      </c>
      <c r="J193" s="14">
        <v>0</v>
      </c>
      <c r="K193" s="14">
        <v>480</v>
      </c>
      <c r="L193" s="14">
        <v>606</v>
      </c>
      <c r="M193" s="14">
        <v>-126</v>
      </c>
      <c r="N193" s="14">
        <v>0</v>
      </c>
      <c r="O193" s="14">
        <v>0</v>
      </c>
      <c r="P193" t="s">
        <v>249</v>
      </c>
    </row>
    <row r="194" spans="1:16" x14ac:dyDescent="0.25">
      <c r="A194" t="s">
        <v>405</v>
      </c>
      <c r="B194">
        <v>160</v>
      </c>
      <c r="C194" t="s">
        <v>264</v>
      </c>
      <c r="D194" s="14">
        <v>624</v>
      </c>
      <c r="E194" s="14">
        <v>624</v>
      </c>
      <c r="F194" s="14">
        <v>0</v>
      </c>
      <c r="G194" s="14">
        <v>0</v>
      </c>
      <c r="H194" s="14">
        <v>0</v>
      </c>
      <c r="I194" s="14">
        <v>-156</v>
      </c>
      <c r="J194" s="14">
        <v>0</v>
      </c>
      <c r="K194" s="14">
        <v>468</v>
      </c>
      <c r="L194" s="14">
        <v>624</v>
      </c>
      <c r="M194" s="14">
        <v>-156</v>
      </c>
      <c r="N194" s="14">
        <v>0</v>
      </c>
      <c r="O194" s="14">
        <v>0</v>
      </c>
      <c r="P194" t="s">
        <v>249</v>
      </c>
    </row>
    <row r="195" spans="1:16" x14ac:dyDescent="0.25">
      <c r="A195" t="s">
        <v>103</v>
      </c>
      <c r="B195">
        <v>160</v>
      </c>
      <c r="C195" t="s">
        <v>264</v>
      </c>
      <c r="D195" s="14">
        <v>21</v>
      </c>
      <c r="E195" s="14">
        <v>1</v>
      </c>
      <c r="F195" s="14">
        <v>20</v>
      </c>
      <c r="G195" s="14">
        <v>0</v>
      </c>
      <c r="H195" s="14">
        <v>0</v>
      </c>
      <c r="I195" s="14">
        <v>-21</v>
      </c>
      <c r="J195" s="14">
        <v>0</v>
      </c>
      <c r="K195" s="14">
        <v>0</v>
      </c>
      <c r="L195" s="14">
        <v>1</v>
      </c>
      <c r="M195" s="14">
        <v>-1</v>
      </c>
      <c r="N195" s="14">
        <v>0</v>
      </c>
      <c r="O195" s="14">
        <v>0</v>
      </c>
      <c r="P195" t="s">
        <v>249</v>
      </c>
    </row>
    <row r="196" spans="1:16" x14ac:dyDescent="0.25">
      <c r="A196" t="s">
        <v>129</v>
      </c>
      <c r="B196">
        <v>160</v>
      </c>
      <c r="C196" t="s">
        <v>264</v>
      </c>
      <c r="D196" s="14">
        <v>1</v>
      </c>
      <c r="E196" s="14"/>
      <c r="F196" s="14">
        <v>1</v>
      </c>
      <c r="G196" s="14">
        <v>0</v>
      </c>
      <c r="H196" s="14">
        <v>0</v>
      </c>
      <c r="I196" s="14">
        <v>-1</v>
      </c>
      <c r="J196" s="14">
        <v>0</v>
      </c>
      <c r="K196" s="14">
        <v>0</v>
      </c>
      <c r="L196" s="14"/>
      <c r="M196" s="14">
        <v>0</v>
      </c>
      <c r="N196" s="14">
        <v>0</v>
      </c>
      <c r="O196" s="14">
        <v>0</v>
      </c>
      <c r="P196" t="s">
        <v>249</v>
      </c>
    </row>
    <row r="197" spans="1:16" x14ac:dyDescent="0.25">
      <c r="A197" t="s">
        <v>131</v>
      </c>
      <c r="B197">
        <v>160</v>
      </c>
      <c r="C197" t="s">
        <v>264</v>
      </c>
      <c r="D197" s="14">
        <v>271</v>
      </c>
      <c r="E197" s="14">
        <v>521</v>
      </c>
      <c r="F197" s="14">
        <v>-250</v>
      </c>
      <c r="G197" s="14">
        <v>0</v>
      </c>
      <c r="H197" s="14">
        <v>0</v>
      </c>
      <c r="I197" s="14">
        <v>-21</v>
      </c>
      <c r="J197" s="14">
        <v>0</v>
      </c>
      <c r="K197" s="14">
        <v>250</v>
      </c>
      <c r="L197" s="14">
        <v>521</v>
      </c>
      <c r="M197" s="14">
        <v>-271</v>
      </c>
      <c r="N197" s="14">
        <v>0</v>
      </c>
      <c r="O197" s="14">
        <v>0</v>
      </c>
      <c r="P197" t="s">
        <v>249</v>
      </c>
    </row>
    <row r="198" spans="1:16" x14ac:dyDescent="0.25">
      <c r="A198" t="s">
        <v>134</v>
      </c>
      <c r="B198">
        <v>160</v>
      </c>
      <c r="C198" t="s">
        <v>264</v>
      </c>
      <c r="D198" s="14">
        <v>150</v>
      </c>
      <c r="E198" s="14">
        <v>199</v>
      </c>
      <c r="F198" s="14">
        <v>-49</v>
      </c>
      <c r="G198" s="14">
        <v>0</v>
      </c>
      <c r="H198" s="14">
        <v>0</v>
      </c>
      <c r="I198" s="14">
        <v>-1</v>
      </c>
      <c r="J198" s="14">
        <v>0</v>
      </c>
      <c r="K198" s="14">
        <v>149</v>
      </c>
      <c r="L198" s="14">
        <v>199</v>
      </c>
      <c r="M198" s="14">
        <v>-50</v>
      </c>
      <c r="N198" s="14">
        <v>0</v>
      </c>
      <c r="O198" s="14">
        <v>0</v>
      </c>
      <c r="P198" t="s">
        <v>249</v>
      </c>
    </row>
    <row r="199" spans="1:16" x14ac:dyDescent="0.25">
      <c r="A199" t="s">
        <v>409</v>
      </c>
      <c r="B199">
        <v>160</v>
      </c>
      <c r="C199" t="s">
        <v>264</v>
      </c>
      <c r="D199" s="14">
        <v>14</v>
      </c>
      <c r="E199" s="14">
        <v>14</v>
      </c>
      <c r="F199" s="14">
        <v>0</v>
      </c>
      <c r="G199" s="14">
        <v>0</v>
      </c>
      <c r="H199" s="14">
        <v>0</v>
      </c>
      <c r="I199" s="14">
        <v>-1</v>
      </c>
      <c r="J199" s="14">
        <v>0</v>
      </c>
      <c r="K199" s="14">
        <v>13</v>
      </c>
      <c r="L199" s="14">
        <v>14</v>
      </c>
      <c r="M199" s="14">
        <v>-1</v>
      </c>
      <c r="N199" s="14">
        <v>0</v>
      </c>
      <c r="O199" s="14">
        <v>0</v>
      </c>
      <c r="P199" t="s">
        <v>249</v>
      </c>
    </row>
    <row r="200" spans="1:16" x14ac:dyDescent="0.25">
      <c r="A200" t="s">
        <v>79</v>
      </c>
      <c r="B200">
        <v>160</v>
      </c>
      <c r="C200" t="s">
        <v>264</v>
      </c>
      <c r="D200" s="14">
        <v>0</v>
      </c>
      <c r="E200" s="14">
        <v>1</v>
      </c>
      <c r="F200" s="14">
        <v>-1</v>
      </c>
      <c r="G200" s="14">
        <v>0</v>
      </c>
      <c r="H200" s="14">
        <v>0</v>
      </c>
      <c r="I200" s="14">
        <v>1</v>
      </c>
      <c r="J200" s="14">
        <v>0</v>
      </c>
      <c r="K200" s="14">
        <v>1</v>
      </c>
      <c r="L200" s="14">
        <v>1</v>
      </c>
      <c r="M200" s="14">
        <v>0</v>
      </c>
      <c r="N200" s="14">
        <v>0</v>
      </c>
      <c r="O200" s="14">
        <v>0</v>
      </c>
      <c r="P200" t="s">
        <v>249</v>
      </c>
    </row>
    <row r="201" spans="1:16" x14ac:dyDescent="0.25">
      <c r="A201" t="s">
        <v>108</v>
      </c>
      <c r="B201">
        <v>160</v>
      </c>
      <c r="C201" t="s">
        <v>383</v>
      </c>
      <c r="D201" s="14">
        <v>1</v>
      </c>
      <c r="E201" s="14">
        <v>1</v>
      </c>
      <c r="F201" s="14">
        <v>0</v>
      </c>
      <c r="G201" s="14">
        <v>0</v>
      </c>
      <c r="H201" s="14">
        <v>0</v>
      </c>
      <c r="I201" s="14">
        <v>0</v>
      </c>
      <c r="J201" s="14">
        <v>0</v>
      </c>
      <c r="K201" s="14">
        <v>1</v>
      </c>
      <c r="L201" s="14">
        <v>1</v>
      </c>
      <c r="M201" s="14">
        <v>0</v>
      </c>
      <c r="N201" s="14">
        <v>0</v>
      </c>
      <c r="O201" s="14">
        <v>0</v>
      </c>
      <c r="P201" t="s">
        <v>254</v>
      </c>
    </row>
    <row r="202" spans="1:16" x14ac:dyDescent="0.25">
      <c r="A202" t="s">
        <v>108</v>
      </c>
      <c r="B202">
        <v>160</v>
      </c>
      <c r="C202" t="s">
        <v>264</v>
      </c>
      <c r="D202" s="14">
        <v>1</v>
      </c>
      <c r="E202" s="14"/>
      <c r="F202" s="14">
        <v>1</v>
      </c>
      <c r="G202" s="14">
        <v>0</v>
      </c>
      <c r="H202" s="14">
        <v>0</v>
      </c>
      <c r="I202" s="14">
        <v>-1</v>
      </c>
      <c r="J202" s="14">
        <v>0</v>
      </c>
      <c r="K202" s="14">
        <v>0</v>
      </c>
      <c r="L202" s="14"/>
      <c r="M202" s="14">
        <v>0</v>
      </c>
      <c r="N202" s="14">
        <v>0</v>
      </c>
      <c r="O202" s="14">
        <v>0</v>
      </c>
      <c r="P202" t="s">
        <v>249</v>
      </c>
    </row>
    <row r="203" spans="1:16" x14ac:dyDescent="0.25">
      <c r="A203" t="s">
        <v>411</v>
      </c>
      <c r="B203">
        <v>160</v>
      </c>
      <c r="C203" t="s">
        <v>264</v>
      </c>
      <c r="D203" s="14">
        <v>438.5</v>
      </c>
      <c r="E203" s="14">
        <v>510.5</v>
      </c>
      <c r="F203" s="14">
        <v>-72</v>
      </c>
      <c r="G203" s="14">
        <v>0</v>
      </c>
      <c r="H203" s="14">
        <v>0</v>
      </c>
      <c r="I203" s="14">
        <v>-90.5</v>
      </c>
      <c r="J203" s="14">
        <v>0</v>
      </c>
      <c r="K203" s="14">
        <v>348</v>
      </c>
      <c r="L203" s="14">
        <v>510.5</v>
      </c>
      <c r="M203" s="14">
        <v>-162.5</v>
      </c>
      <c r="N203" s="14">
        <v>0</v>
      </c>
      <c r="O203" s="14">
        <v>0</v>
      </c>
      <c r="P203" t="s">
        <v>249</v>
      </c>
    </row>
    <row r="204" spans="1:16" x14ac:dyDescent="0.25">
      <c r="A204" t="s">
        <v>412</v>
      </c>
      <c r="B204">
        <v>160</v>
      </c>
      <c r="C204" t="s">
        <v>264</v>
      </c>
      <c r="D204" s="14">
        <v>78</v>
      </c>
      <c r="E204" s="14">
        <v>109</v>
      </c>
      <c r="F204" s="14">
        <v>-31</v>
      </c>
      <c r="G204" s="14">
        <v>0</v>
      </c>
      <c r="H204" s="14">
        <v>0</v>
      </c>
      <c r="I204" s="14">
        <v>0</v>
      </c>
      <c r="J204" s="14">
        <v>0</v>
      </c>
      <c r="K204" s="14">
        <v>78</v>
      </c>
      <c r="L204" s="14">
        <v>109</v>
      </c>
      <c r="M204" s="14">
        <v>-31</v>
      </c>
      <c r="N204" s="14">
        <v>0</v>
      </c>
      <c r="O204" s="14">
        <v>0</v>
      </c>
      <c r="P204" t="s">
        <v>254</v>
      </c>
    </row>
    <row r="205" spans="1:16" x14ac:dyDescent="0.25">
      <c r="A205" t="s">
        <v>413</v>
      </c>
      <c r="B205">
        <v>160</v>
      </c>
      <c r="C205" t="s">
        <v>264</v>
      </c>
      <c r="D205" s="14">
        <v>186</v>
      </c>
      <c r="E205" s="14">
        <v>186</v>
      </c>
      <c r="F205" s="14">
        <v>0</v>
      </c>
      <c r="G205" s="14">
        <v>0</v>
      </c>
      <c r="H205" s="14">
        <v>0</v>
      </c>
      <c r="I205" s="14">
        <v>82</v>
      </c>
      <c r="J205" s="14">
        <v>0</v>
      </c>
      <c r="K205" s="14">
        <v>268</v>
      </c>
      <c r="L205" s="14">
        <v>186</v>
      </c>
      <c r="M205" s="14">
        <v>82</v>
      </c>
      <c r="N205" s="14">
        <v>0</v>
      </c>
      <c r="O205" s="14">
        <v>0</v>
      </c>
      <c r="P205" t="s">
        <v>249</v>
      </c>
    </row>
    <row r="206" spans="1:16" x14ac:dyDescent="0.25">
      <c r="A206" t="s">
        <v>414</v>
      </c>
      <c r="B206">
        <v>160</v>
      </c>
      <c r="C206" t="s">
        <v>264</v>
      </c>
      <c r="D206" s="14">
        <v>31</v>
      </c>
      <c r="E206" s="14">
        <v>51</v>
      </c>
      <c r="F206" s="14">
        <v>-20</v>
      </c>
      <c r="G206" s="14">
        <v>0</v>
      </c>
      <c r="H206" s="14">
        <v>0</v>
      </c>
      <c r="I206" s="14">
        <v>202</v>
      </c>
      <c r="J206" s="14">
        <v>0</v>
      </c>
      <c r="K206" s="14">
        <v>233</v>
      </c>
      <c r="L206" s="14">
        <v>51</v>
      </c>
      <c r="M206" s="14">
        <v>182</v>
      </c>
      <c r="N206" s="14">
        <v>0</v>
      </c>
      <c r="O206" s="14">
        <v>0</v>
      </c>
      <c r="P206" t="s">
        <v>249</v>
      </c>
    </row>
    <row r="207" spans="1:16" x14ac:dyDescent="0.25">
      <c r="A207" t="s">
        <v>415</v>
      </c>
      <c r="B207">
        <v>160</v>
      </c>
      <c r="C207" t="s">
        <v>264</v>
      </c>
      <c r="D207" s="14">
        <v>97</v>
      </c>
      <c r="E207" s="14">
        <v>97</v>
      </c>
      <c r="F207" s="14">
        <v>0</v>
      </c>
      <c r="G207" s="14">
        <v>0</v>
      </c>
      <c r="H207" s="14">
        <v>0</v>
      </c>
      <c r="I207" s="14">
        <v>-4</v>
      </c>
      <c r="J207" s="14">
        <v>0</v>
      </c>
      <c r="K207" s="14">
        <v>93</v>
      </c>
      <c r="L207" s="14">
        <v>97</v>
      </c>
      <c r="M207" s="14">
        <v>-4</v>
      </c>
      <c r="N207" s="14">
        <v>0</v>
      </c>
      <c r="O207" s="14">
        <v>0</v>
      </c>
      <c r="P207" t="s">
        <v>249</v>
      </c>
    </row>
    <row r="208" spans="1:16" x14ac:dyDescent="0.25">
      <c r="A208" t="s">
        <v>416</v>
      </c>
      <c r="B208">
        <v>160</v>
      </c>
      <c r="C208" t="s">
        <v>264</v>
      </c>
      <c r="D208" s="14">
        <v>242</v>
      </c>
      <c r="E208" s="14">
        <v>263</v>
      </c>
      <c r="F208" s="14">
        <v>-21</v>
      </c>
      <c r="G208" s="14">
        <v>0</v>
      </c>
      <c r="H208" s="14">
        <v>0</v>
      </c>
      <c r="I208" s="14">
        <v>212</v>
      </c>
      <c r="J208" s="14">
        <v>0</v>
      </c>
      <c r="K208" s="14">
        <v>454</v>
      </c>
      <c r="L208" s="14">
        <v>263</v>
      </c>
      <c r="M208" s="14">
        <v>191</v>
      </c>
      <c r="N208" s="14">
        <v>0</v>
      </c>
      <c r="O208" s="14">
        <v>0</v>
      </c>
      <c r="P208" t="s">
        <v>249</v>
      </c>
    </row>
    <row r="209" spans="1:16" x14ac:dyDescent="0.25">
      <c r="A209" t="s">
        <v>417</v>
      </c>
      <c r="B209">
        <v>160</v>
      </c>
      <c r="C209" t="s">
        <v>264</v>
      </c>
      <c r="D209" s="14">
        <v>86</v>
      </c>
      <c r="E209" s="14">
        <v>117</v>
      </c>
      <c r="F209" s="14">
        <v>-31</v>
      </c>
      <c r="G209" s="14">
        <v>0</v>
      </c>
      <c r="H209" s="14">
        <v>0</v>
      </c>
      <c r="I209" s="14">
        <v>275</v>
      </c>
      <c r="J209" s="14">
        <v>0</v>
      </c>
      <c r="K209" s="14">
        <v>361</v>
      </c>
      <c r="L209" s="14">
        <v>117</v>
      </c>
      <c r="M209" s="14">
        <v>244</v>
      </c>
      <c r="N209" s="14">
        <v>0</v>
      </c>
      <c r="O209" s="14">
        <v>0</v>
      </c>
      <c r="P209" t="s">
        <v>249</v>
      </c>
    </row>
    <row r="210" spans="1:16" x14ac:dyDescent="0.25">
      <c r="A210" t="s">
        <v>418</v>
      </c>
      <c r="B210">
        <v>160</v>
      </c>
      <c r="C210" t="s">
        <v>264</v>
      </c>
      <c r="D210" s="14">
        <v>76</v>
      </c>
      <c r="E210" s="14">
        <v>96</v>
      </c>
      <c r="F210" s="14">
        <v>-20</v>
      </c>
      <c r="G210" s="14">
        <v>0</v>
      </c>
      <c r="H210" s="14">
        <v>0</v>
      </c>
      <c r="I210" s="14">
        <v>1</v>
      </c>
      <c r="J210" s="14">
        <v>0</v>
      </c>
      <c r="K210" s="14">
        <v>77</v>
      </c>
      <c r="L210" s="14">
        <v>96</v>
      </c>
      <c r="M210" s="14">
        <v>-19</v>
      </c>
      <c r="N210" s="14">
        <v>0</v>
      </c>
      <c r="O210" s="14">
        <v>0</v>
      </c>
      <c r="P210" t="s">
        <v>249</v>
      </c>
    </row>
    <row r="211" spans="1:16" x14ac:dyDescent="0.25">
      <c r="A211" t="s">
        <v>146</v>
      </c>
      <c r="B211">
        <v>160</v>
      </c>
      <c r="C211" t="s">
        <v>264</v>
      </c>
      <c r="D211" s="14">
        <v>1</v>
      </c>
      <c r="E211" s="14">
        <v>1</v>
      </c>
      <c r="F211" s="14">
        <v>0</v>
      </c>
      <c r="G211" s="14">
        <v>0</v>
      </c>
      <c r="H211" s="14">
        <v>0</v>
      </c>
      <c r="I211" s="14">
        <v>-1</v>
      </c>
      <c r="J211" s="14">
        <v>0</v>
      </c>
      <c r="K211" s="14">
        <v>0</v>
      </c>
      <c r="L211" s="14">
        <v>1</v>
      </c>
      <c r="M211" s="14">
        <v>-1</v>
      </c>
      <c r="N211" s="14">
        <v>0</v>
      </c>
      <c r="O211" s="14">
        <v>0</v>
      </c>
      <c r="P211" t="s">
        <v>249</v>
      </c>
    </row>
    <row r="212" spans="1:16" x14ac:dyDescent="0.25">
      <c r="A212" t="s">
        <v>421</v>
      </c>
      <c r="B212">
        <v>160</v>
      </c>
      <c r="C212" t="s">
        <v>264</v>
      </c>
      <c r="D212" s="14">
        <v>82</v>
      </c>
      <c r="E212" s="14">
        <v>113</v>
      </c>
      <c r="F212" s="14">
        <v>-31</v>
      </c>
      <c r="G212" s="14">
        <v>0</v>
      </c>
      <c r="H212" s="14">
        <v>0</v>
      </c>
      <c r="I212" s="14">
        <v>-1</v>
      </c>
      <c r="J212" s="14">
        <v>0</v>
      </c>
      <c r="K212" s="14">
        <v>81</v>
      </c>
      <c r="L212" s="14">
        <v>113</v>
      </c>
      <c r="M212" s="14">
        <v>-32</v>
      </c>
      <c r="N212" s="14">
        <v>0</v>
      </c>
      <c r="O212" s="14">
        <v>0</v>
      </c>
      <c r="P212" t="s">
        <v>249</v>
      </c>
    </row>
    <row r="213" spans="1:16" x14ac:dyDescent="0.25">
      <c r="A213" t="s">
        <v>422</v>
      </c>
      <c r="B213">
        <v>160</v>
      </c>
      <c r="C213" t="s">
        <v>264</v>
      </c>
      <c r="D213" s="14">
        <v>186</v>
      </c>
      <c r="E213" s="14">
        <v>186</v>
      </c>
      <c r="F213" s="14">
        <v>0</v>
      </c>
      <c r="G213" s="14">
        <v>0</v>
      </c>
      <c r="H213" s="14">
        <v>0</v>
      </c>
      <c r="I213" s="14">
        <v>28</v>
      </c>
      <c r="J213" s="14">
        <v>0</v>
      </c>
      <c r="K213" s="14">
        <v>214</v>
      </c>
      <c r="L213" s="14">
        <v>186</v>
      </c>
      <c r="M213" s="14">
        <v>28</v>
      </c>
      <c r="N213" s="14">
        <v>0</v>
      </c>
      <c r="O213" s="14">
        <v>0</v>
      </c>
      <c r="P213" t="s">
        <v>249</v>
      </c>
    </row>
    <row r="214" spans="1:16" x14ac:dyDescent="0.25">
      <c r="A214" t="s">
        <v>423</v>
      </c>
      <c r="B214">
        <v>160</v>
      </c>
      <c r="C214" t="s">
        <v>264</v>
      </c>
      <c r="D214" s="14">
        <v>24</v>
      </c>
      <c r="E214" s="14">
        <v>45</v>
      </c>
      <c r="F214" s="14">
        <v>-21</v>
      </c>
      <c r="G214" s="14">
        <v>0</v>
      </c>
      <c r="H214" s="14">
        <v>0</v>
      </c>
      <c r="I214" s="14">
        <v>210</v>
      </c>
      <c r="J214" s="14">
        <v>0</v>
      </c>
      <c r="K214" s="14">
        <v>234</v>
      </c>
      <c r="L214" s="14">
        <v>45</v>
      </c>
      <c r="M214" s="14">
        <v>189</v>
      </c>
      <c r="N214" s="14">
        <v>0</v>
      </c>
      <c r="O214" s="14">
        <v>0</v>
      </c>
      <c r="P214" t="s">
        <v>249</v>
      </c>
    </row>
    <row r="215" spans="1:16" x14ac:dyDescent="0.25">
      <c r="A215" t="s">
        <v>424</v>
      </c>
      <c r="B215">
        <v>160</v>
      </c>
      <c r="C215" t="s">
        <v>264</v>
      </c>
      <c r="D215" s="14">
        <v>95</v>
      </c>
      <c r="E215" s="14">
        <v>95</v>
      </c>
      <c r="F215" s="14">
        <v>0</v>
      </c>
      <c r="G215" s="14">
        <v>0</v>
      </c>
      <c r="H215" s="14">
        <v>0</v>
      </c>
      <c r="I215" s="14">
        <v>-2</v>
      </c>
      <c r="J215" s="14">
        <v>0</v>
      </c>
      <c r="K215" s="14">
        <v>93</v>
      </c>
      <c r="L215" s="14">
        <v>95</v>
      </c>
      <c r="M215" s="14">
        <v>-2</v>
      </c>
      <c r="N215" s="14">
        <v>0</v>
      </c>
      <c r="O215" s="14">
        <v>0</v>
      </c>
      <c r="P215" t="s">
        <v>249</v>
      </c>
    </row>
    <row r="216" spans="1:16" x14ac:dyDescent="0.25">
      <c r="A216" t="s">
        <v>425</v>
      </c>
      <c r="B216">
        <v>160</v>
      </c>
      <c r="C216" t="s">
        <v>264</v>
      </c>
      <c r="D216" s="14">
        <v>249</v>
      </c>
      <c r="E216" s="14">
        <v>270</v>
      </c>
      <c r="F216" s="14">
        <v>-21</v>
      </c>
      <c r="G216" s="14">
        <v>0</v>
      </c>
      <c r="H216" s="14">
        <v>0</v>
      </c>
      <c r="I216" s="14">
        <v>129</v>
      </c>
      <c r="J216" s="14">
        <v>0</v>
      </c>
      <c r="K216" s="14">
        <v>378</v>
      </c>
      <c r="L216" s="14">
        <v>270</v>
      </c>
      <c r="M216" s="14">
        <v>108</v>
      </c>
      <c r="N216" s="14">
        <v>0</v>
      </c>
      <c r="O216" s="14">
        <v>0</v>
      </c>
      <c r="P216" t="s">
        <v>249</v>
      </c>
    </row>
    <row r="217" spans="1:16" x14ac:dyDescent="0.25">
      <c r="A217" t="s">
        <v>426</v>
      </c>
      <c r="B217">
        <v>160</v>
      </c>
      <c r="C217" t="s">
        <v>264</v>
      </c>
      <c r="D217" s="14">
        <v>60</v>
      </c>
      <c r="E217" s="14">
        <v>91</v>
      </c>
      <c r="F217" s="14">
        <v>-31</v>
      </c>
      <c r="G217" s="14">
        <v>0</v>
      </c>
      <c r="H217" s="14">
        <v>0</v>
      </c>
      <c r="I217" s="14">
        <v>321</v>
      </c>
      <c r="J217" s="14">
        <v>0</v>
      </c>
      <c r="K217" s="14">
        <v>381</v>
      </c>
      <c r="L217" s="14">
        <v>91</v>
      </c>
      <c r="M217" s="14">
        <v>290</v>
      </c>
      <c r="N217" s="14">
        <v>0</v>
      </c>
      <c r="O217" s="14">
        <v>0</v>
      </c>
      <c r="P217" t="s">
        <v>249</v>
      </c>
    </row>
    <row r="218" spans="1:16" x14ac:dyDescent="0.25">
      <c r="A218" t="s">
        <v>427</v>
      </c>
      <c r="B218">
        <v>160</v>
      </c>
      <c r="C218" t="s">
        <v>264</v>
      </c>
      <c r="D218" s="14">
        <v>121</v>
      </c>
      <c r="E218" s="14">
        <v>118</v>
      </c>
      <c r="F218" s="14">
        <v>3</v>
      </c>
      <c r="G218" s="14">
        <v>0</v>
      </c>
      <c r="H218" s="14">
        <v>0</v>
      </c>
      <c r="I218" s="14">
        <v>-21</v>
      </c>
      <c r="J218" s="14">
        <v>0</v>
      </c>
      <c r="K218" s="14">
        <v>100</v>
      </c>
      <c r="L218" s="14">
        <v>118</v>
      </c>
      <c r="M218" s="14">
        <v>-18</v>
      </c>
      <c r="N218" s="14">
        <v>0</v>
      </c>
      <c r="O218" s="14">
        <v>0</v>
      </c>
      <c r="P218" t="s">
        <v>249</v>
      </c>
    </row>
    <row r="219" spans="1:16" x14ac:dyDescent="0.25">
      <c r="A219" t="s">
        <v>65</v>
      </c>
      <c r="B219">
        <v>160</v>
      </c>
      <c r="C219" t="s">
        <v>289</v>
      </c>
      <c r="D219" s="14">
        <v>2</v>
      </c>
      <c r="E219" s="14">
        <v>2</v>
      </c>
      <c r="F219" s="14">
        <v>0</v>
      </c>
      <c r="G219" s="14">
        <v>0</v>
      </c>
      <c r="H219" s="14">
        <v>0</v>
      </c>
      <c r="I219" s="14">
        <v>0</v>
      </c>
      <c r="J219" s="14">
        <v>0</v>
      </c>
      <c r="K219" s="14">
        <v>2</v>
      </c>
      <c r="L219" s="14">
        <v>2</v>
      </c>
      <c r="M219" s="14">
        <v>0</v>
      </c>
      <c r="N219" s="14">
        <v>0</v>
      </c>
      <c r="O219" s="14">
        <v>0</v>
      </c>
      <c r="P219" t="s">
        <v>254</v>
      </c>
    </row>
    <row r="220" spans="1:16" x14ac:dyDescent="0.25">
      <c r="A220" t="s">
        <v>65</v>
      </c>
      <c r="B220">
        <v>160</v>
      </c>
      <c r="C220" t="s">
        <v>264</v>
      </c>
      <c r="D220" s="14">
        <v>2</v>
      </c>
      <c r="E220" s="14">
        <v>7</v>
      </c>
      <c r="F220" s="14">
        <v>-5</v>
      </c>
      <c r="G220" s="14">
        <v>0</v>
      </c>
      <c r="H220" s="14">
        <v>0</v>
      </c>
      <c r="I220" s="14">
        <v>4</v>
      </c>
      <c r="J220" s="14">
        <v>0</v>
      </c>
      <c r="K220" s="14">
        <v>6</v>
      </c>
      <c r="L220" s="14">
        <v>7</v>
      </c>
      <c r="M220" s="14">
        <v>-1</v>
      </c>
      <c r="N220" s="14">
        <v>0</v>
      </c>
      <c r="O220" s="14">
        <v>0</v>
      </c>
      <c r="P220" t="s">
        <v>249</v>
      </c>
    </row>
    <row r="221" spans="1:16" x14ac:dyDescent="0.25">
      <c r="A221" t="s">
        <v>428</v>
      </c>
      <c r="B221">
        <v>160</v>
      </c>
      <c r="C221" t="s">
        <v>264</v>
      </c>
      <c r="D221" s="14">
        <v>2</v>
      </c>
      <c r="E221" s="14">
        <v>2</v>
      </c>
      <c r="F221" s="14">
        <v>0</v>
      </c>
      <c r="G221" s="14">
        <v>0</v>
      </c>
      <c r="H221" s="14">
        <v>0</v>
      </c>
      <c r="I221" s="14">
        <v>-1</v>
      </c>
      <c r="J221" s="14">
        <v>0</v>
      </c>
      <c r="K221" s="14">
        <v>1</v>
      </c>
      <c r="L221" s="14">
        <v>2</v>
      </c>
      <c r="M221" s="14">
        <v>-1</v>
      </c>
      <c r="N221" s="14">
        <v>0</v>
      </c>
      <c r="O221" s="14">
        <v>0</v>
      </c>
      <c r="P221" t="s">
        <v>249</v>
      </c>
    </row>
    <row r="222" spans="1:16" x14ac:dyDescent="0.25">
      <c r="A222" t="s">
        <v>66</v>
      </c>
      <c r="B222">
        <v>160</v>
      </c>
      <c r="C222" t="s">
        <v>289</v>
      </c>
      <c r="D222" s="14">
        <v>1</v>
      </c>
      <c r="E222" s="14">
        <v>2</v>
      </c>
      <c r="F222" s="14">
        <v>-1</v>
      </c>
      <c r="G222" s="14">
        <v>0</v>
      </c>
      <c r="H222" s="14">
        <v>0</v>
      </c>
      <c r="I222" s="14">
        <v>1</v>
      </c>
      <c r="J222" s="14">
        <v>0</v>
      </c>
      <c r="K222" s="14">
        <v>2</v>
      </c>
      <c r="L222" s="14">
        <v>2</v>
      </c>
      <c r="M222" s="14">
        <v>0</v>
      </c>
      <c r="N222" s="14">
        <v>0</v>
      </c>
      <c r="O222" s="14">
        <v>0</v>
      </c>
      <c r="P222" t="s">
        <v>249</v>
      </c>
    </row>
    <row r="223" spans="1:16" x14ac:dyDescent="0.25">
      <c r="A223" t="s">
        <v>66</v>
      </c>
      <c r="B223">
        <v>160</v>
      </c>
      <c r="C223" t="s">
        <v>264</v>
      </c>
      <c r="D223" s="14">
        <v>4</v>
      </c>
      <c r="E223" s="14">
        <v>14</v>
      </c>
      <c r="F223" s="14">
        <v>-10</v>
      </c>
      <c r="G223" s="14">
        <v>0</v>
      </c>
      <c r="H223" s="14">
        <v>0</v>
      </c>
      <c r="I223" s="14">
        <v>4</v>
      </c>
      <c r="J223" s="14">
        <v>0</v>
      </c>
      <c r="K223" s="14">
        <v>8</v>
      </c>
      <c r="L223" s="14">
        <v>14</v>
      </c>
      <c r="M223" s="14">
        <v>-6</v>
      </c>
      <c r="N223" s="14">
        <v>0</v>
      </c>
      <c r="O223" s="14">
        <v>0</v>
      </c>
      <c r="P223" t="s">
        <v>249</v>
      </c>
    </row>
    <row r="224" spans="1:16" x14ac:dyDescent="0.25">
      <c r="A224" t="s">
        <v>429</v>
      </c>
      <c r="B224">
        <v>160</v>
      </c>
      <c r="C224" t="s">
        <v>264</v>
      </c>
      <c r="D224" s="14">
        <v>26</v>
      </c>
      <c r="E224" s="14">
        <v>26</v>
      </c>
      <c r="F224" s="14">
        <v>0</v>
      </c>
      <c r="G224" s="14">
        <v>0</v>
      </c>
      <c r="H224" s="14">
        <v>0</v>
      </c>
      <c r="I224" s="14">
        <v>-9</v>
      </c>
      <c r="J224" s="14">
        <v>0</v>
      </c>
      <c r="K224" s="14">
        <v>17</v>
      </c>
      <c r="L224" s="14">
        <v>26</v>
      </c>
      <c r="M224" s="14">
        <v>-9</v>
      </c>
      <c r="N224" s="14">
        <v>0</v>
      </c>
      <c r="O224" s="14">
        <v>0</v>
      </c>
      <c r="P224" t="s">
        <v>249</v>
      </c>
    </row>
    <row r="225" spans="1:16" x14ac:dyDescent="0.25">
      <c r="A225" t="s">
        <v>430</v>
      </c>
      <c r="B225">
        <v>160</v>
      </c>
      <c r="C225" t="s">
        <v>264</v>
      </c>
      <c r="D225" s="14">
        <v>14</v>
      </c>
      <c r="E225" s="14">
        <v>14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K225" s="14">
        <v>14</v>
      </c>
      <c r="L225" s="14">
        <v>14</v>
      </c>
      <c r="M225" s="14">
        <v>0</v>
      </c>
      <c r="N225" s="14">
        <v>0</v>
      </c>
      <c r="O225" s="14">
        <v>0</v>
      </c>
      <c r="P225" t="s">
        <v>254</v>
      </c>
    </row>
    <row r="226" spans="1:16" x14ac:dyDescent="0.25">
      <c r="A226" t="s">
        <v>431</v>
      </c>
      <c r="B226">
        <v>160</v>
      </c>
      <c r="C226" t="s">
        <v>264</v>
      </c>
      <c r="D226" s="14">
        <v>6</v>
      </c>
      <c r="E226" s="14">
        <v>6</v>
      </c>
      <c r="F226" s="14">
        <v>0</v>
      </c>
      <c r="G226" s="14">
        <v>0</v>
      </c>
      <c r="H226" s="14">
        <v>0</v>
      </c>
      <c r="I226" s="14">
        <v>0</v>
      </c>
      <c r="J226" s="14">
        <v>0</v>
      </c>
      <c r="K226" s="14">
        <v>6</v>
      </c>
      <c r="L226" s="14">
        <v>6</v>
      </c>
      <c r="M226" s="14">
        <v>0</v>
      </c>
      <c r="N226" s="14">
        <v>0</v>
      </c>
      <c r="O226" s="14">
        <v>0</v>
      </c>
      <c r="P226" t="s">
        <v>254</v>
      </c>
    </row>
    <row r="227" spans="1:16" x14ac:dyDescent="0.25">
      <c r="A227" t="s">
        <v>432</v>
      </c>
      <c r="B227">
        <v>160</v>
      </c>
      <c r="C227" t="s">
        <v>264</v>
      </c>
      <c r="D227" s="14">
        <v>3</v>
      </c>
      <c r="E227" s="14">
        <v>3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  <c r="K227" s="14">
        <v>3</v>
      </c>
      <c r="L227" s="14">
        <v>3</v>
      </c>
      <c r="M227" s="14">
        <v>0</v>
      </c>
      <c r="N227" s="14">
        <v>0</v>
      </c>
      <c r="O227" s="14">
        <v>0</v>
      </c>
      <c r="P227" t="s">
        <v>254</v>
      </c>
    </row>
    <row r="228" spans="1:16" x14ac:dyDescent="0.25">
      <c r="A228" t="s">
        <v>433</v>
      </c>
      <c r="B228">
        <v>160</v>
      </c>
      <c r="C228" t="s">
        <v>264</v>
      </c>
      <c r="D228" s="14">
        <v>3</v>
      </c>
      <c r="E228" s="14">
        <v>3</v>
      </c>
      <c r="F228" s="14">
        <v>0</v>
      </c>
      <c r="G228" s="14">
        <v>0</v>
      </c>
      <c r="H228" s="14">
        <v>0</v>
      </c>
      <c r="I228" s="14">
        <v>-1</v>
      </c>
      <c r="J228" s="14">
        <v>0</v>
      </c>
      <c r="K228" s="14">
        <v>2</v>
      </c>
      <c r="L228" s="14">
        <v>3</v>
      </c>
      <c r="M228" s="14">
        <v>-1</v>
      </c>
      <c r="N228" s="14">
        <v>0</v>
      </c>
      <c r="O228" s="14">
        <v>0</v>
      </c>
      <c r="P228" t="s">
        <v>249</v>
      </c>
    </row>
    <row r="229" spans="1:16" x14ac:dyDescent="0.25">
      <c r="A229" t="s">
        <v>434</v>
      </c>
      <c r="B229">
        <v>160</v>
      </c>
      <c r="C229" t="s">
        <v>264</v>
      </c>
      <c r="D229" s="14">
        <v>129</v>
      </c>
      <c r="E229" s="14">
        <v>0</v>
      </c>
      <c r="F229" s="14">
        <v>129</v>
      </c>
      <c r="G229" s="14">
        <v>0</v>
      </c>
      <c r="H229" s="14">
        <v>0</v>
      </c>
      <c r="I229" s="14">
        <v>-4</v>
      </c>
      <c r="J229" s="14">
        <v>0</v>
      </c>
      <c r="K229" s="14">
        <v>125</v>
      </c>
      <c r="L229" s="14">
        <v>0</v>
      </c>
      <c r="M229" s="14">
        <v>125</v>
      </c>
      <c r="N229" s="14">
        <v>0</v>
      </c>
      <c r="O229" s="14">
        <v>0</v>
      </c>
      <c r="P229" t="s">
        <v>249</v>
      </c>
    </row>
    <row r="230" spans="1:16" x14ac:dyDescent="0.25">
      <c r="A230" t="s">
        <v>435</v>
      </c>
      <c r="B230">
        <v>160</v>
      </c>
      <c r="C230" t="s">
        <v>264</v>
      </c>
      <c r="D230" s="14">
        <v>5248</v>
      </c>
      <c r="E230" s="14">
        <v>6148</v>
      </c>
      <c r="F230" s="14">
        <v>-900</v>
      </c>
      <c r="G230" s="14">
        <v>0</v>
      </c>
      <c r="H230" s="14">
        <v>0</v>
      </c>
      <c r="I230" s="14">
        <v>-154</v>
      </c>
      <c r="J230" s="14">
        <v>0</v>
      </c>
      <c r="K230" s="14">
        <v>5094</v>
      </c>
      <c r="L230" s="14">
        <v>6148</v>
      </c>
      <c r="M230" s="14">
        <v>-1054</v>
      </c>
      <c r="N230" s="14">
        <v>0</v>
      </c>
      <c r="O230" s="14">
        <v>0</v>
      </c>
      <c r="P230" t="s">
        <v>249</v>
      </c>
    </row>
    <row r="231" spans="1:16" x14ac:dyDescent="0.25">
      <c r="A231" t="s">
        <v>436</v>
      </c>
      <c r="B231">
        <v>160</v>
      </c>
      <c r="C231" t="s">
        <v>264</v>
      </c>
      <c r="D231" s="14">
        <v>5524</v>
      </c>
      <c r="E231" s="14">
        <v>6424</v>
      </c>
      <c r="F231" s="14">
        <v>-900</v>
      </c>
      <c r="G231" s="14">
        <v>0</v>
      </c>
      <c r="H231" s="14">
        <v>0</v>
      </c>
      <c r="I231" s="14">
        <v>-50</v>
      </c>
      <c r="J231" s="14">
        <v>0</v>
      </c>
      <c r="K231" s="14">
        <v>5474</v>
      </c>
      <c r="L231" s="14">
        <v>6424</v>
      </c>
      <c r="M231" s="14">
        <v>-950</v>
      </c>
      <c r="N231" s="14">
        <v>0</v>
      </c>
      <c r="O231" s="14">
        <v>0</v>
      </c>
      <c r="P231" t="s">
        <v>249</v>
      </c>
    </row>
    <row r="232" spans="1:16" x14ac:dyDescent="0.25">
      <c r="A232" t="s">
        <v>437</v>
      </c>
      <c r="B232">
        <v>160</v>
      </c>
      <c r="C232" t="s">
        <v>264</v>
      </c>
      <c r="D232" s="14">
        <v>5344</v>
      </c>
      <c r="E232" s="14">
        <v>6244</v>
      </c>
      <c r="F232" s="14">
        <v>-900</v>
      </c>
      <c r="G232" s="14">
        <v>0</v>
      </c>
      <c r="H232" s="14">
        <v>0</v>
      </c>
      <c r="I232" s="14">
        <v>-95</v>
      </c>
      <c r="J232" s="14">
        <v>0</v>
      </c>
      <c r="K232" s="14">
        <v>5249</v>
      </c>
      <c r="L232" s="14">
        <v>6244</v>
      </c>
      <c r="M232" s="14">
        <v>-995</v>
      </c>
      <c r="N232" s="14">
        <v>0</v>
      </c>
      <c r="O232" s="14">
        <v>0</v>
      </c>
      <c r="P232" t="s">
        <v>249</v>
      </c>
    </row>
    <row r="233" spans="1:16" x14ac:dyDescent="0.25">
      <c r="A233" t="s">
        <v>439</v>
      </c>
      <c r="B233">
        <v>160</v>
      </c>
      <c r="C233" t="s">
        <v>264</v>
      </c>
      <c r="D233" s="14">
        <v>1</v>
      </c>
      <c r="E233" s="14">
        <v>1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K233" s="14">
        <v>1</v>
      </c>
      <c r="L233" s="14">
        <v>1</v>
      </c>
      <c r="M233" s="14">
        <v>0</v>
      </c>
      <c r="N233" s="14">
        <v>0</v>
      </c>
      <c r="O233" s="14">
        <v>0</v>
      </c>
      <c r="P233" t="s">
        <v>254</v>
      </c>
    </row>
    <row r="234" spans="1:16" x14ac:dyDescent="0.25">
      <c r="A234" t="s">
        <v>440</v>
      </c>
      <c r="B234">
        <v>160</v>
      </c>
      <c r="C234" t="s">
        <v>264</v>
      </c>
      <c r="D234" s="14">
        <v>1</v>
      </c>
      <c r="E234" s="14">
        <v>1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K234" s="14">
        <v>1</v>
      </c>
      <c r="L234" s="14">
        <v>1</v>
      </c>
      <c r="M234" s="14">
        <v>0</v>
      </c>
      <c r="N234" s="14">
        <v>0</v>
      </c>
      <c r="O234" s="14">
        <v>0</v>
      </c>
      <c r="P234" t="s">
        <v>254</v>
      </c>
    </row>
    <row r="235" spans="1:16" x14ac:dyDescent="0.25">
      <c r="A235" t="s">
        <v>441</v>
      </c>
      <c r="B235">
        <v>160</v>
      </c>
      <c r="C235" t="s">
        <v>264</v>
      </c>
      <c r="D235" s="14">
        <v>2</v>
      </c>
      <c r="E235" s="14">
        <v>2</v>
      </c>
      <c r="F235" s="14">
        <v>0</v>
      </c>
      <c r="G235" s="14">
        <v>0</v>
      </c>
      <c r="H235" s="14">
        <v>0</v>
      </c>
      <c r="I235" s="14">
        <v>0</v>
      </c>
      <c r="J235" s="14">
        <v>0</v>
      </c>
      <c r="K235" s="14">
        <v>2</v>
      </c>
      <c r="L235" s="14">
        <v>2</v>
      </c>
      <c r="M235" s="14">
        <v>0</v>
      </c>
      <c r="N235" s="14">
        <v>0</v>
      </c>
      <c r="O235" s="14">
        <v>0</v>
      </c>
      <c r="P235" t="s">
        <v>254</v>
      </c>
    </row>
    <row r="236" spans="1:16" x14ac:dyDescent="0.25">
      <c r="A236" t="s">
        <v>442</v>
      </c>
      <c r="B236">
        <v>160</v>
      </c>
      <c r="C236" t="s">
        <v>264</v>
      </c>
      <c r="D236" s="14">
        <v>648</v>
      </c>
      <c r="E236" s="14">
        <v>648</v>
      </c>
      <c r="F236" s="14">
        <v>0</v>
      </c>
      <c r="G236" s="14">
        <v>0</v>
      </c>
      <c r="H236" s="14">
        <v>0</v>
      </c>
      <c r="I236" s="14">
        <v>2</v>
      </c>
      <c r="J236" s="14">
        <v>0</v>
      </c>
      <c r="K236" s="14">
        <v>650</v>
      </c>
      <c r="L236" s="14">
        <v>648</v>
      </c>
      <c r="M236" s="14">
        <v>2</v>
      </c>
      <c r="N236" s="14">
        <v>0</v>
      </c>
      <c r="O236" s="14">
        <v>0</v>
      </c>
      <c r="P236" t="s">
        <v>249</v>
      </c>
    </row>
    <row r="237" spans="1:16" x14ac:dyDescent="0.25">
      <c r="A237" t="s">
        <v>443</v>
      </c>
      <c r="B237">
        <v>160</v>
      </c>
      <c r="C237" t="s">
        <v>264</v>
      </c>
      <c r="D237" s="14">
        <v>448</v>
      </c>
      <c r="E237" s="14">
        <v>448</v>
      </c>
      <c r="F237" s="14">
        <v>0</v>
      </c>
      <c r="G237" s="14">
        <v>0</v>
      </c>
      <c r="H237" s="14">
        <v>0</v>
      </c>
      <c r="I237" s="14">
        <v>0</v>
      </c>
      <c r="J237" s="14">
        <v>0</v>
      </c>
      <c r="K237" s="14">
        <v>448</v>
      </c>
      <c r="L237" s="14">
        <v>448</v>
      </c>
      <c r="M237" s="14">
        <v>0</v>
      </c>
      <c r="N237" s="14">
        <v>0</v>
      </c>
      <c r="O237" s="14">
        <v>0</v>
      </c>
      <c r="P237" t="s">
        <v>254</v>
      </c>
    </row>
    <row r="238" spans="1:16" x14ac:dyDescent="0.25">
      <c r="A238" t="s">
        <v>444</v>
      </c>
      <c r="B238">
        <v>160</v>
      </c>
      <c r="C238" t="s">
        <v>264</v>
      </c>
      <c r="D238" s="14">
        <v>5</v>
      </c>
      <c r="E238" s="14">
        <v>5</v>
      </c>
      <c r="F238" s="14">
        <v>0</v>
      </c>
      <c r="G238" s="14">
        <v>0</v>
      </c>
      <c r="H238" s="14">
        <v>0</v>
      </c>
      <c r="I238" s="14">
        <v>-3</v>
      </c>
      <c r="J238" s="14">
        <v>0</v>
      </c>
      <c r="K238" s="14">
        <v>2</v>
      </c>
      <c r="L238" s="14">
        <v>5</v>
      </c>
      <c r="M238" s="14">
        <v>-3</v>
      </c>
      <c r="N238" s="14">
        <v>0</v>
      </c>
      <c r="O238" s="14">
        <v>0</v>
      </c>
      <c r="P238" t="s">
        <v>249</v>
      </c>
    </row>
    <row r="239" spans="1:16" x14ac:dyDescent="0.25">
      <c r="A239" t="s">
        <v>445</v>
      </c>
      <c r="B239">
        <v>160</v>
      </c>
      <c r="C239" t="s">
        <v>264</v>
      </c>
      <c r="D239" s="14">
        <v>0.53</v>
      </c>
      <c r="E239" s="14">
        <v>0.53</v>
      </c>
      <c r="F239" s="14">
        <v>0</v>
      </c>
      <c r="G239" s="14">
        <v>0</v>
      </c>
      <c r="H239" s="14">
        <v>0</v>
      </c>
      <c r="I239" s="14">
        <v>-0.53</v>
      </c>
      <c r="J239" s="14">
        <v>0</v>
      </c>
      <c r="K239" s="14">
        <v>0</v>
      </c>
      <c r="L239" s="14">
        <v>0.53</v>
      </c>
      <c r="M239" s="14">
        <v>-0.53</v>
      </c>
      <c r="N239" s="14">
        <v>0</v>
      </c>
      <c r="O239" s="14">
        <v>0</v>
      </c>
      <c r="P239" t="s">
        <v>249</v>
      </c>
    </row>
    <row r="240" spans="1:16" x14ac:dyDescent="0.25">
      <c r="A240" t="s">
        <v>207</v>
      </c>
      <c r="B240">
        <v>160</v>
      </c>
      <c r="C240" t="s">
        <v>264</v>
      </c>
      <c r="D240" s="14">
        <v>12</v>
      </c>
      <c r="E240" s="14">
        <v>12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  <c r="K240" s="14">
        <v>12</v>
      </c>
      <c r="L240" s="14">
        <v>12</v>
      </c>
      <c r="M240" s="14">
        <v>0</v>
      </c>
      <c r="N240" s="14">
        <v>0</v>
      </c>
      <c r="O240" s="14">
        <v>0</v>
      </c>
      <c r="P240" t="s">
        <v>254</v>
      </c>
    </row>
    <row r="241" spans="1:16" x14ac:dyDescent="0.25">
      <c r="A241" t="s">
        <v>446</v>
      </c>
      <c r="B241">
        <v>160</v>
      </c>
      <c r="C241" t="s">
        <v>264</v>
      </c>
      <c r="D241" s="14">
        <v>1067</v>
      </c>
      <c r="E241" s="14">
        <v>1067</v>
      </c>
      <c r="F241" s="14">
        <v>0</v>
      </c>
      <c r="G241" s="14">
        <v>0</v>
      </c>
      <c r="H241" s="14">
        <v>0</v>
      </c>
      <c r="I241" s="14">
        <v>-232</v>
      </c>
      <c r="J241" s="14">
        <v>0</v>
      </c>
      <c r="K241" s="14">
        <v>835</v>
      </c>
      <c r="L241" s="14">
        <v>1067</v>
      </c>
      <c r="M241" s="14">
        <v>-232</v>
      </c>
      <c r="N241" s="14">
        <v>0</v>
      </c>
      <c r="O241" s="14">
        <v>0</v>
      </c>
      <c r="P241" t="s">
        <v>249</v>
      </c>
    </row>
    <row r="242" spans="1:16" x14ac:dyDescent="0.25">
      <c r="A242" t="s">
        <v>447</v>
      </c>
      <c r="B242">
        <v>160</v>
      </c>
      <c r="C242" t="s">
        <v>264</v>
      </c>
      <c r="D242" s="14">
        <v>451</v>
      </c>
      <c r="E242" s="14">
        <v>451</v>
      </c>
      <c r="F242" s="14">
        <v>0</v>
      </c>
      <c r="G242" s="14">
        <v>0</v>
      </c>
      <c r="H242" s="14">
        <v>0</v>
      </c>
      <c r="I242" s="14">
        <v>-227</v>
      </c>
      <c r="J242" s="14">
        <v>0</v>
      </c>
      <c r="K242" s="14">
        <v>224</v>
      </c>
      <c r="L242" s="14">
        <v>451</v>
      </c>
      <c r="M242" s="14">
        <v>-227</v>
      </c>
      <c r="N242" s="14">
        <v>0</v>
      </c>
      <c r="O242" s="14">
        <v>0</v>
      </c>
      <c r="P242" t="s">
        <v>249</v>
      </c>
    </row>
    <row r="243" spans="1:16" x14ac:dyDescent="0.25">
      <c r="A243" t="s">
        <v>448</v>
      </c>
      <c r="B243">
        <v>160</v>
      </c>
      <c r="C243" t="s">
        <v>264</v>
      </c>
      <c r="D243" s="14">
        <v>219</v>
      </c>
      <c r="E243" s="14">
        <v>219</v>
      </c>
      <c r="F243" s="14">
        <v>0</v>
      </c>
      <c r="G243" s="14">
        <v>0</v>
      </c>
      <c r="H243" s="14">
        <v>0</v>
      </c>
      <c r="I243" s="14">
        <v>-17</v>
      </c>
      <c r="J243" s="14">
        <v>0</v>
      </c>
      <c r="K243" s="14">
        <v>202</v>
      </c>
      <c r="L243" s="14">
        <v>219</v>
      </c>
      <c r="M243" s="14">
        <v>-17</v>
      </c>
      <c r="N243" s="14">
        <v>0</v>
      </c>
      <c r="O243" s="14">
        <v>0</v>
      </c>
      <c r="P243" t="s">
        <v>249</v>
      </c>
    </row>
    <row r="244" spans="1:16" x14ac:dyDescent="0.25">
      <c r="A244" t="s">
        <v>449</v>
      </c>
      <c r="B244">
        <v>160</v>
      </c>
      <c r="C244" t="s">
        <v>264</v>
      </c>
      <c r="D244" s="14">
        <v>224</v>
      </c>
      <c r="E244" s="14">
        <v>224</v>
      </c>
      <c r="F244" s="14">
        <v>0</v>
      </c>
      <c r="G244" s="14">
        <v>0</v>
      </c>
      <c r="H244" s="14">
        <v>0</v>
      </c>
      <c r="I244" s="14">
        <v>-13</v>
      </c>
      <c r="J244" s="14">
        <v>0</v>
      </c>
      <c r="K244" s="14">
        <v>211</v>
      </c>
      <c r="L244" s="14">
        <v>224</v>
      </c>
      <c r="M244" s="14">
        <v>-13</v>
      </c>
      <c r="N244" s="14">
        <v>0</v>
      </c>
      <c r="O244" s="14">
        <v>0</v>
      </c>
      <c r="P244" t="s">
        <v>249</v>
      </c>
    </row>
    <row r="245" spans="1:16" x14ac:dyDescent="0.25">
      <c r="A245" t="s">
        <v>149</v>
      </c>
      <c r="B245">
        <v>160</v>
      </c>
      <c r="C245" t="s">
        <v>289</v>
      </c>
      <c r="D245" s="14">
        <v>1</v>
      </c>
      <c r="E245" s="14">
        <v>1</v>
      </c>
      <c r="F245" s="14">
        <v>0</v>
      </c>
      <c r="G245" s="14">
        <v>0</v>
      </c>
      <c r="H245" s="14">
        <v>0</v>
      </c>
      <c r="I245" s="14">
        <v>0</v>
      </c>
      <c r="J245" s="14">
        <v>0</v>
      </c>
      <c r="K245" s="14">
        <v>1</v>
      </c>
      <c r="L245" s="14">
        <v>1</v>
      </c>
      <c r="M245" s="14">
        <v>0</v>
      </c>
      <c r="N245" s="14">
        <v>0</v>
      </c>
      <c r="O245" s="14">
        <v>0</v>
      </c>
      <c r="P245" t="s">
        <v>254</v>
      </c>
    </row>
    <row r="246" spans="1:16" x14ac:dyDescent="0.25">
      <c r="A246" t="s">
        <v>149</v>
      </c>
      <c r="B246">
        <v>160</v>
      </c>
      <c r="C246" t="s">
        <v>264</v>
      </c>
      <c r="D246" s="14">
        <v>561</v>
      </c>
      <c r="E246" s="14">
        <v>575</v>
      </c>
      <c r="F246" s="14">
        <v>-14</v>
      </c>
      <c r="G246" s="14">
        <v>0</v>
      </c>
      <c r="H246" s="14">
        <v>0</v>
      </c>
      <c r="I246" s="14">
        <v>-2</v>
      </c>
      <c r="J246" s="14">
        <v>0</v>
      </c>
      <c r="K246" s="14">
        <v>559</v>
      </c>
      <c r="L246" s="14">
        <v>575</v>
      </c>
      <c r="M246" s="14">
        <v>-16</v>
      </c>
      <c r="N246" s="14">
        <v>0</v>
      </c>
      <c r="O246" s="14">
        <v>0</v>
      </c>
      <c r="P246" t="s">
        <v>249</v>
      </c>
    </row>
    <row r="247" spans="1:16" x14ac:dyDescent="0.25">
      <c r="A247" t="s">
        <v>451</v>
      </c>
      <c r="B247">
        <v>160</v>
      </c>
      <c r="C247" t="s">
        <v>264</v>
      </c>
      <c r="D247" s="14">
        <v>161</v>
      </c>
      <c r="E247" s="14">
        <v>161</v>
      </c>
      <c r="F247" s="14">
        <v>0</v>
      </c>
      <c r="G247" s="14">
        <v>0</v>
      </c>
      <c r="H247" s="14">
        <v>0</v>
      </c>
      <c r="I247" s="14">
        <v>1</v>
      </c>
      <c r="J247" s="14">
        <v>0</v>
      </c>
      <c r="K247" s="14">
        <v>162</v>
      </c>
      <c r="L247" s="14">
        <v>161</v>
      </c>
      <c r="M247" s="14">
        <v>1</v>
      </c>
      <c r="N247" s="14">
        <v>0</v>
      </c>
      <c r="O247" s="14">
        <v>0</v>
      </c>
      <c r="P247" t="s">
        <v>249</v>
      </c>
    </row>
    <row r="248" spans="1:16" x14ac:dyDescent="0.25">
      <c r="A248" t="s">
        <v>452</v>
      </c>
      <c r="B248">
        <v>160</v>
      </c>
      <c r="C248" t="s">
        <v>264</v>
      </c>
      <c r="D248" s="14">
        <v>2263</v>
      </c>
      <c r="E248" s="14">
        <v>2319</v>
      </c>
      <c r="F248" s="14">
        <v>-56</v>
      </c>
      <c r="G248" s="14">
        <v>0</v>
      </c>
      <c r="H248" s="14">
        <v>0</v>
      </c>
      <c r="I248" s="14">
        <v>6</v>
      </c>
      <c r="J248" s="14">
        <v>0</v>
      </c>
      <c r="K248" s="14">
        <v>2269</v>
      </c>
      <c r="L248" s="14">
        <v>2319</v>
      </c>
      <c r="M248" s="14">
        <v>-50</v>
      </c>
      <c r="N248" s="14">
        <v>0</v>
      </c>
      <c r="O248" s="14">
        <v>0</v>
      </c>
      <c r="P248" t="s">
        <v>249</v>
      </c>
    </row>
    <row r="249" spans="1:16" x14ac:dyDescent="0.25">
      <c r="A249" t="s">
        <v>114</v>
      </c>
      <c r="B249">
        <v>160</v>
      </c>
      <c r="C249" t="s">
        <v>264</v>
      </c>
      <c r="D249" s="14">
        <v>45</v>
      </c>
      <c r="E249" s="14">
        <v>75</v>
      </c>
      <c r="F249" s="14">
        <v>-30</v>
      </c>
      <c r="G249" s="14">
        <v>0</v>
      </c>
      <c r="H249" s="14">
        <v>0</v>
      </c>
      <c r="I249" s="14">
        <v>-1</v>
      </c>
      <c r="J249" s="14">
        <v>0</v>
      </c>
      <c r="K249" s="14">
        <v>44</v>
      </c>
      <c r="L249" s="14">
        <v>75</v>
      </c>
      <c r="M249" s="14">
        <v>-31</v>
      </c>
      <c r="N249" s="14">
        <v>0</v>
      </c>
      <c r="O249" s="14">
        <v>0</v>
      </c>
      <c r="P249" t="s">
        <v>249</v>
      </c>
    </row>
    <row r="250" spans="1:16" x14ac:dyDescent="0.25">
      <c r="A250" t="s">
        <v>455</v>
      </c>
      <c r="B250">
        <v>160</v>
      </c>
      <c r="C250" t="s">
        <v>264</v>
      </c>
      <c r="D250" s="14">
        <v>53</v>
      </c>
      <c r="E250" s="14">
        <v>73</v>
      </c>
      <c r="F250" s="14">
        <v>-20</v>
      </c>
      <c r="G250" s="14">
        <v>0</v>
      </c>
      <c r="H250" s="14">
        <v>0</v>
      </c>
      <c r="I250" s="14">
        <v>6</v>
      </c>
      <c r="J250" s="14">
        <v>0</v>
      </c>
      <c r="K250" s="14">
        <v>59</v>
      </c>
      <c r="L250" s="14">
        <v>73</v>
      </c>
      <c r="M250" s="14">
        <v>-14</v>
      </c>
      <c r="N250" s="14">
        <v>0</v>
      </c>
      <c r="O250" s="14">
        <v>0</v>
      </c>
      <c r="P250" t="s">
        <v>249</v>
      </c>
    </row>
    <row r="251" spans="1:16" x14ac:dyDescent="0.25">
      <c r="A251" t="s">
        <v>457</v>
      </c>
      <c r="B251">
        <v>160</v>
      </c>
      <c r="C251" t="s">
        <v>264</v>
      </c>
      <c r="D251" s="14">
        <v>1</v>
      </c>
      <c r="E251" s="14">
        <v>25</v>
      </c>
      <c r="F251" s="14">
        <v>-24</v>
      </c>
      <c r="G251" s="14">
        <v>0</v>
      </c>
      <c r="H251" s="14">
        <v>0</v>
      </c>
      <c r="I251" s="14">
        <v>-1</v>
      </c>
      <c r="J251" s="14">
        <v>0</v>
      </c>
      <c r="K251" s="14">
        <v>0</v>
      </c>
      <c r="L251" s="14">
        <v>25</v>
      </c>
      <c r="M251" s="14">
        <v>-25</v>
      </c>
      <c r="N251" s="14">
        <v>0</v>
      </c>
      <c r="O251" s="14">
        <v>0</v>
      </c>
      <c r="P251" t="s">
        <v>249</v>
      </c>
    </row>
    <row r="252" spans="1:16" x14ac:dyDescent="0.25">
      <c r="A252" t="s">
        <v>23</v>
      </c>
      <c r="B252">
        <v>160</v>
      </c>
      <c r="C252" t="s">
        <v>289</v>
      </c>
      <c r="D252" s="14">
        <v>2</v>
      </c>
      <c r="E252" s="14">
        <v>2</v>
      </c>
      <c r="F252" s="14">
        <v>0</v>
      </c>
      <c r="G252" s="14">
        <v>3.2361846285890001</v>
      </c>
      <c r="H252" s="14">
        <v>1.6180923142945001</v>
      </c>
      <c r="I252" s="14">
        <v>-2</v>
      </c>
      <c r="J252" s="14">
        <v>-2</v>
      </c>
      <c r="K252" s="14">
        <v>0</v>
      </c>
      <c r="L252" s="14">
        <v>0</v>
      </c>
      <c r="M252" s="14">
        <v>0</v>
      </c>
      <c r="N252" s="14">
        <v>-3.24</v>
      </c>
      <c r="O252" s="14">
        <v>0</v>
      </c>
      <c r="P252" t="s">
        <v>254</v>
      </c>
    </row>
    <row r="253" spans="1:16" x14ac:dyDescent="0.25">
      <c r="A253" t="s">
        <v>23</v>
      </c>
      <c r="B253">
        <v>160</v>
      </c>
      <c r="C253" t="s">
        <v>262</v>
      </c>
      <c r="D253" s="14">
        <v>0</v>
      </c>
      <c r="E253" s="14">
        <v>2226</v>
      </c>
      <c r="F253" s="14">
        <v>-2226</v>
      </c>
      <c r="G253" s="14">
        <v>0</v>
      </c>
      <c r="H253" s="14">
        <v>0</v>
      </c>
      <c r="I253" s="14">
        <v>0</v>
      </c>
      <c r="J253" s="14">
        <v>0</v>
      </c>
      <c r="K253" s="14">
        <v>0</v>
      </c>
      <c r="L253" s="14">
        <v>2226</v>
      </c>
      <c r="M253" s="14">
        <v>-2226</v>
      </c>
      <c r="N253" s="14">
        <v>0</v>
      </c>
      <c r="O253" s="14">
        <v>0</v>
      </c>
      <c r="P253" t="s">
        <v>254</v>
      </c>
    </row>
    <row r="254" spans="1:16" x14ac:dyDescent="0.25">
      <c r="A254" t="s">
        <v>23</v>
      </c>
      <c r="B254">
        <v>160</v>
      </c>
      <c r="C254" t="s">
        <v>264</v>
      </c>
      <c r="D254" s="14">
        <v>531</v>
      </c>
      <c r="E254" s="14">
        <v>521</v>
      </c>
      <c r="F254" s="14">
        <v>10</v>
      </c>
      <c r="G254" s="14">
        <v>1110.642062258124</v>
      </c>
      <c r="H254" s="14">
        <v>2.1317505993438082</v>
      </c>
      <c r="I254" s="14">
        <v>-54</v>
      </c>
      <c r="J254" s="14">
        <v>-44</v>
      </c>
      <c r="K254" s="14">
        <v>477</v>
      </c>
      <c r="L254" s="14">
        <v>477</v>
      </c>
      <c r="M254" s="14">
        <v>0</v>
      </c>
      <c r="N254" s="14">
        <v>-93.770000000000095</v>
      </c>
      <c r="O254" s="14">
        <v>-0.19658280922431887</v>
      </c>
      <c r="P254" t="s">
        <v>249</v>
      </c>
    </row>
    <row r="255" spans="1:16" x14ac:dyDescent="0.25">
      <c r="A255" t="s">
        <v>23</v>
      </c>
      <c r="B255">
        <v>160</v>
      </c>
      <c r="C255" t="s">
        <v>265</v>
      </c>
      <c r="D255" s="14">
        <v>0</v>
      </c>
      <c r="E255" s="14">
        <v>0</v>
      </c>
      <c r="F255" s="14">
        <v>0</v>
      </c>
      <c r="G255" s="14">
        <v>-3.8153714109999998E-3</v>
      </c>
      <c r="H255" s="14">
        <v>0</v>
      </c>
      <c r="I255" s="14">
        <v>0</v>
      </c>
      <c r="J255" s="14">
        <v>0</v>
      </c>
      <c r="K255" s="14">
        <v>0</v>
      </c>
      <c r="L255" s="14">
        <v>0</v>
      </c>
      <c r="M255" s="14">
        <v>0</v>
      </c>
      <c r="N255" s="14">
        <v>0</v>
      </c>
      <c r="O255" s="14">
        <v>0</v>
      </c>
      <c r="P255" t="s">
        <v>254</v>
      </c>
    </row>
    <row r="256" spans="1:16" x14ac:dyDescent="0.25">
      <c r="A256" t="s">
        <v>67</v>
      </c>
      <c r="B256">
        <v>160</v>
      </c>
      <c r="C256" t="s">
        <v>262</v>
      </c>
      <c r="D256" s="14">
        <v>0</v>
      </c>
      <c r="E256" s="14">
        <v>1064</v>
      </c>
      <c r="F256" s="14">
        <v>-1064</v>
      </c>
      <c r="G256" s="14">
        <v>0</v>
      </c>
      <c r="H256" s="14">
        <v>0</v>
      </c>
      <c r="I256" s="14">
        <v>0</v>
      </c>
      <c r="J256" s="14">
        <v>-1064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t="s">
        <v>249</v>
      </c>
    </row>
    <row r="257" spans="1:16" x14ac:dyDescent="0.25">
      <c r="A257" t="s">
        <v>67</v>
      </c>
      <c r="B257">
        <v>160</v>
      </c>
      <c r="C257" t="s">
        <v>264</v>
      </c>
      <c r="D257" s="14">
        <v>649</v>
      </c>
      <c r="E257" s="14">
        <v>649</v>
      </c>
      <c r="F257" s="14">
        <v>0</v>
      </c>
      <c r="G257" s="14">
        <v>2957.4709333192604</v>
      </c>
      <c r="H257" s="14">
        <v>4.5569659989510951</v>
      </c>
      <c r="I257" s="14">
        <v>-59</v>
      </c>
      <c r="J257" s="14">
        <v>-59</v>
      </c>
      <c r="K257" s="14">
        <v>590</v>
      </c>
      <c r="L257" s="14">
        <v>590</v>
      </c>
      <c r="M257" s="14">
        <v>0</v>
      </c>
      <c r="N257" s="14">
        <v>-268.86000000000013</v>
      </c>
      <c r="O257" s="14">
        <v>-0.4556949152542375</v>
      </c>
      <c r="P257" t="s">
        <v>254</v>
      </c>
    </row>
    <row r="258" spans="1:16" x14ac:dyDescent="0.25">
      <c r="A258" t="s">
        <v>67</v>
      </c>
      <c r="B258">
        <v>160</v>
      </c>
      <c r="C258" t="s">
        <v>265</v>
      </c>
      <c r="D258" s="14">
        <v>0</v>
      </c>
      <c r="E258" s="14">
        <v>0</v>
      </c>
      <c r="F258" s="14">
        <v>0</v>
      </c>
      <c r="G258" s="14">
        <v>-4.2990704409999999E-3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t="s">
        <v>254</v>
      </c>
    </row>
    <row r="259" spans="1:16" x14ac:dyDescent="0.25">
      <c r="A259" t="s">
        <v>28</v>
      </c>
      <c r="B259">
        <v>160</v>
      </c>
      <c r="C259" t="s">
        <v>262</v>
      </c>
      <c r="D259" s="14">
        <v>0</v>
      </c>
      <c r="E259" s="14">
        <v>79</v>
      </c>
      <c r="F259" s="14">
        <v>-79</v>
      </c>
      <c r="G259" s="14">
        <v>0</v>
      </c>
      <c r="H259" s="14">
        <v>0</v>
      </c>
      <c r="I259" s="14">
        <v>0</v>
      </c>
      <c r="J259" s="14">
        <v>0</v>
      </c>
      <c r="K259" s="14">
        <v>0</v>
      </c>
      <c r="L259" s="14">
        <v>79</v>
      </c>
      <c r="M259" s="14">
        <v>-79</v>
      </c>
      <c r="N259" s="14">
        <v>0</v>
      </c>
      <c r="O259" s="14">
        <v>0</v>
      </c>
      <c r="P259" t="s">
        <v>254</v>
      </c>
    </row>
    <row r="260" spans="1:16" x14ac:dyDescent="0.25">
      <c r="A260" t="s">
        <v>28</v>
      </c>
      <c r="B260">
        <v>160</v>
      </c>
      <c r="C260" t="s">
        <v>264</v>
      </c>
      <c r="D260" s="14">
        <v>62</v>
      </c>
      <c r="E260" s="14">
        <v>62</v>
      </c>
      <c r="F260" s="14">
        <v>0</v>
      </c>
      <c r="G260" s="14">
        <v>324.38887297807003</v>
      </c>
      <c r="H260" s="14">
        <v>5.2320785964204841</v>
      </c>
      <c r="I260" s="14">
        <v>-1</v>
      </c>
      <c r="J260" s="14">
        <v>-1</v>
      </c>
      <c r="K260" s="14">
        <v>61</v>
      </c>
      <c r="L260" s="14">
        <v>61</v>
      </c>
      <c r="M260" s="14">
        <v>0</v>
      </c>
      <c r="N260" s="14">
        <v>-5.2300000000000182</v>
      </c>
      <c r="O260" s="14">
        <v>-8.5737704918033092E-2</v>
      </c>
      <c r="P260" t="s">
        <v>254</v>
      </c>
    </row>
    <row r="261" spans="1:16" x14ac:dyDescent="0.25">
      <c r="A261" t="s">
        <v>458</v>
      </c>
      <c r="B261">
        <v>160</v>
      </c>
      <c r="C261" t="s">
        <v>264</v>
      </c>
      <c r="D261" s="14">
        <v>700</v>
      </c>
      <c r="E261" s="14">
        <v>0</v>
      </c>
      <c r="F261" s="14">
        <v>700</v>
      </c>
      <c r="G261" s="14">
        <v>0</v>
      </c>
      <c r="H261" s="14">
        <v>0</v>
      </c>
      <c r="I261" s="14">
        <v>0</v>
      </c>
      <c r="J261" s="14">
        <v>0</v>
      </c>
      <c r="K261" s="14">
        <v>700</v>
      </c>
      <c r="L261" s="14">
        <v>0</v>
      </c>
      <c r="M261" s="14">
        <v>700</v>
      </c>
      <c r="N261" s="14">
        <v>0</v>
      </c>
      <c r="O261" s="14">
        <v>0</v>
      </c>
      <c r="P261" t="s">
        <v>254</v>
      </c>
    </row>
    <row r="262" spans="1:16" x14ac:dyDescent="0.25">
      <c r="A262" t="s">
        <v>459</v>
      </c>
      <c r="B262">
        <v>160</v>
      </c>
      <c r="C262" t="s">
        <v>264</v>
      </c>
      <c r="D262" s="14">
        <v>2390</v>
      </c>
      <c r="E262" s="14">
        <v>0</v>
      </c>
      <c r="F262" s="14">
        <v>2390</v>
      </c>
      <c r="G262" s="14">
        <v>0</v>
      </c>
      <c r="H262" s="14">
        <v>0</v>
      </c>
      <c r="I262" s="14">
        <v>0</v>
      </c>
      <c r="J262" s="14">
        <v>0</v>
      </c>
      <c r="K262" s="14">
        <v>2390</v>
      </c>
      <c r="L262" s="14">
        <v>0</v>
      </c>
      <c r="M262" s="14">
        <v>2390</v>
      </c>
      <c r="N262" s="14">
        <v>0</v>
      </c>
      <c r="O262" s="14">
        <v>0</v>
      </c>
      <c r="P262" t="s">
        <v>254</v>
      </c>
    </row>
    <row r="263" spans="1:16" x14ac:dyDescent="0.25">
      <c r="A263" t="s">
        <v>460</v>
      </c>
      <c r="B263">
        <v>160</v>
      </c>
      <c r="C263" t="s">
        <v>264</v>
      </c>
      <c r="D263" s="14">
        <v>300</v>
      </c>
      <c r="E263" s="14">
        <v>0</v>
      </c>
      <c r="F263" s="14">
        <v>300</v>
      </c>
      <c r="G263" s="14">
        <v>0</v>
      </c>
      <c r="H263" s="14">
        <v>0</v>
      </c>
      <c r="I263" s="14">
        <v>0</v>
      </c>
      <c r="J263" s="14">
        <v>0</v>
      </c>
      <c r="K263" s="14">
        <v>300</v>
      </c>
      <c r="L263" s="14">
        <v>0</v>
      </c>
      <c r="M263" s="14">
        <v>300</v>
      </c>
      <c r="N263" s="14">
        <v>0</v>
      </c>
      <c r="O263" s="14">
        <v>0</v>
      </c>
      <c r="P263" t="s">
        <v>254</v>
      </c>
    </row>
    <row r="264" spans="1:16" x14ac:dyDescent="0.25">
      <c r="A264" t="s">
        <v>461</v>
      </c>
      <c r="B264">
        <v>160</v>
      </c>
      <c r="C264" t="s">
        <v>264</v>
      </c>
      <c r="D264" s="14">
        <v>280</v>
      </c>
      <c r="E264" s="14">
        <v>0</v>
      </c>
      <c r="F264" s="14">
        <v>280</v>
      </c>
      <c r="G264" s="14">
        <v>0</v>
      </c>
      <c r="H264" s="14">
        <v>0</v>
      </c>
      <c r="I264" s="14">
        <v>0</v>
      </c>
      <c r="J264" s="14">
        <v>0</v>
      </c>
      <c r="K264" s="14">
        <v>280</v>
      </c>
      <c r="L264" s="14">
        <v>0</v>
      </c>
      <c r="M264" s="14">
        <v>280</v>
      </c>
      <c r="N264" s="14">
        <v>0</v>
      </c>
      <c r="O264" s="14">
        <v>0</v>
      </c>
      <c r="P264" t="s">
        <v>254</v>
      </c>
    </row>
    <row r="265" spans="1:16" x14ac:dyDescent="0.25">
      <c r="A265" t="s">
        <v>462</v>
      </c>
      <c r="B265">
        <v>160</v>
      </c>
      <c r="C265" t="s">
        <v>264</v>
      </c>
      <c r="D265" s="14">
        <v>140</v>
      </c>
      <c r="E265" s="14">
        <v>0</v>
      </c>
      <c r="F265" s="14">
        <v>140</v>
      </c>
      <c r="G265" s="14">
        <v>0</v>
      </c>
      <c r="H265" s="14">
        <v>0</v>
      </c>
      <c r="I265" s="14">
        <v>0</v>
      </c>
      <c r="J265" s="14">
        <v>0</v>
      </c>
      <c r="K265" s="14">
        <v>140</v>
      </c>
      <c r="L265" s="14">
        <v>0</v>
      </c>
      <c r="M265" s="14">
        <v>140</v>
      </c>
      <c r="N265" s="14">
        <v>0</v>
      </c>
      <c r="O265" s="14">
        <v>0</v>
      </c>
      <c r="P265" t="s">
        <v>254</v>
      </c>
    </row>
    <row r="266" spans="1:16" x14ac:dyDescent="0.25">
      <c r="A266" t="s">
        <v>463</v>
      </c>
      <c r="B266">
        <v>160</v>
      </c>
      <c r="C266" t="s">
        <v>264</v>
      </c>
      <c r="D266" s="14">
        <v>1376</v>
      </c>
      <c r="E266" s="14">
        <v>0</v>
      </c>
      <c r="F266" s="14">
        <v>1376</v>
      </c>
      <c r="G266" s="14">
        <v>0</v>
      </c>
      <c r="H266" s="14">
        <v>0</v>
      </c>
      <c r="I266" s="14">
        <v>0</v>
      </c>
      <c r="J266" s="14">
        <v>0</v>
      </c>
      <c r="K266" s="14">
        <v>1376</v>
      </c>
      <c r="L266" s="14">
        <v>0</v>
      </c>
      <c r="M266" s="14">
        <v>1376</v>
      </c>
      <c r="N266" s="14">
        <v>0</v>
      </c>
      <c r="O266" s="14">
        <v>0</v>
      </c>
      <c r="P266" t="s">
        <v>254</v>
      </c>
    </row>
    <row r="267" spans="1:16" x14ac:dyDescent="0.25">
      <c r="A267" t="s">
        <v>464</v>
      </c>
      <c r="B267">
        <v>160</v>
      </c>
      <c r="C267" t="s">
        <v>264</v>
      </c>
      <c r="D267" s="14">
        <v>1040</v>
      </c>
      <c r="E267" s="14">
        <v>0</v>
      </c>
      <c r="F267" s="14">
        <v>1040</v>
      </c>
      <c r="G267" s="14">
        <v>0</v>
      </c>
      <c r="H267" s="14">
        <v>0</v>
      </c>
      <c r="I267" s="14">
        <v>0</v>
      </c>
      <c r="J267" s="14">
        <v>0</v>
      </c>
      <c r="K267" s="14">
        <v>1040</v>
      </c>
      <c r="L267" s="14">
        <v>0</v>
      </c>
      <c r="M267" s="14">
        <v>1040</v>
      </c>
      <c r="N267" s="14">
        <v>0</v>
      </c>
      <c r="O267" s="14">
        <v>0</v>
      </c>
      <c r="P267" t="s">
        <v>254</v>
      </c>
    </row>
    <row r="268" spans="1:16" x14ac:dyDescent="0.25">
      <c r="A268" t="s">
        <v>465</v>
      </c>
      <c r="B268">
        <v>160</v>
      </c>
      <c r="C268" t="s">
        <v>264</v>
      </c>
      <c r="D268" s="14">
        <v>900</v>
      </c>
      <c r="E268" s="14">
        <v>0</v>
      </c>
      <c r="F268" s="14">
        <v>900</v>
      </c>
      <c r="G268" s="14">
        <v>0</v>
      </c>
      <c r="H268" s="14">
        <v>0</v>
      </c>
      <c r="I268" s="14">
        <v>0</v>
      </c>
      <c r="J268" s="14">
        <v>0</v>
      </c>
      <c r="K268" s="14">
        <v>900</v>
      </c>
      <c r="L268" s="14">
        <v>0</v>
      </c>
      <c r="M268" s="14">
        <v>900</v>
      </c>
      <c r="N268" s="14">
        <v>0</v>
      </c>
      <c r="O268" s="14">
        <v>0</v>
      </c>
      <c r="P268" t="s">
        <v>254</v>
      </c>
    </row>
    <row r="269" spans="1:16" x14ac:dyDescent="0.25">
      <c r="A269" t="s">
        <v>466</v>
      </c>
      <c r="B269">
        <v>160</v>
      </c>
      <c r="C269" t="s">
        <v>264</v>
      </c>
      <c r="D269" s="14">
        <v>150</v>
      </c>
      <c r="E269" s="14">
        <v>0</v>
      </c>
      <c r="F269" s="14">
        <v>150</v>
      </c>
      <c r="G269" s="14">
        <v>0</v>
      </c>
      <c r="H269" s="14">
        <v>0</v>
      </c>
      <c r="I269" s="14">
        <v>0</v>
      </c>
      <c r="J269" s="14">
        <v>0</v>
      </c>
      <c r="K269" s="14">
        <v>150</v>
      </c>
      <c r="L269" s="14">
        <v>0</v>
      </c>
      <c r="M269" s="14">
        <v>150</v>
      </c>
      <c r="N269" s="14">
        <v>0</v>
      </c>
      <c r="O269" s="14">
        <v>0</v>
      </c>
      <c r="P269" t="s">
        <v>254</v>
      </c>
    </row>
    <row r="270" spans="1:16" x14ac:dyDescent="0.25">
      <c r="A270" t="s">
        <v>467</v>
      </c>
      <c r="B270">
        <v>160</v>
      </c>
      <c r="C270" t="s">
        <v>264</v>
      </c>
      <c r="D270" s="14">
        <v>250</v>
      </c>
      <c r="E270" s="14">
        <v>0</v>
      </c>
      <c r="F270" s="14">
        <v>250</v>
      </c>
      <c r="G270" s="14">
        <v>0</v>
      </c>
      <c r="H270" s="14">
        <v>0</v>
      </c>
      <c r="I270" s="14">
        <v>0</v>
      </c>
      <c r="J270" s="14">
        <v>0</v>
      </c>
      <c r="K270" s="14">
        <v>250</v>
      </c>
      <c r="L270" s="14">
        <v>0</v>
      </c>
      <c r="M270" s="14">
        <v>250</v>
      </c>
      <c r="N270" s="14">
        <v>0</v>
      </c>
      <c r="O270" s="14">
        <v>0</v>
      </c>
      <c r="P270" t="s">
        <v>254</v>
      </c>
    </row>
    <row r="271" spans="1:16" x14ac:dyDescent="0.25">
      <c r="A271" t="s">
        <v>468</v>
      </c>
      <c r="B271">
        <v>160</v>
      </c>
      <c r="C271" t="s">
        <v>264</v>
      </c>
      <c r="D271" s="14">
        <v>1913</v>
      </c>
      <c r="E271" s="14">
        <v>0</v>
      </c>
      <c r="F271" s="14">
        <v>1913</v>
      </c>
      <c r="G271" s="14">
        <v>0</v>
      </c>
      <c r="H271" s="14">
        <v>0</v>
      </c>
      <c r="I271" s="14">
        <v>0</v>
      </c>
      <c r="J271" s="14">
        <v>0</v>
      </c>
      <c r="K271" s="14">
        <v>1913</v>
      </c>
      <c r="L271" s="14">
        <v>0</v>
      </c>
      <c r="M271" s="14">
        <v>1913</v>
      </c>
      <c r="N271" s="14">
        <v>0</v>
      </c>
      <c r="O271" s="14">
        <v>0</v>
      </c>
      <c r="P271" t="s">
        <v>254</v>
      </c>
    </row>
    <row r="272" spans="1:16" x14ac:dyDescent="0.25">
      <c r="A272" t="s">
        <v>469</v>
      </c>
      <c r="B272">
        <v>160</v>
      </c>
      <c r="C272" t="s">
        <v>264</v>
      </c>
      <c r="D272" s="14">
        <v>3</v>
      </c>
      <c r="E272" s="14">
        <v>0</v>
      </c>
      <c r="F272" s="14">
        <v>3</v>
      </c>
      <c r="G272" s="14">
        <v>0</v>
      </c>
      <c r="H272" s="14">
        <v>0</v>
      </c>
      <c r="I272" s="14">
        <v>0</v>
      </c>
      <c r="J272" s="14">
        <v>0</v>
      </c>
      <c r="K272" s="14">
        <v>3</v>
      </c>
      <c r="L272" s="14">
        <v>0</v>
      </c>
      <c r="M272" s="14">
        <v>3</v>
      </c>
      <c r="N272" s="14">
        <v>0</v>
      </c>
      <c r="O272" s="14">
        <v>0</v>
      </c>
      <c r="P272" t="s">
        <v>254</v>
      </c>
    </row>
    <row r="273" spans="1:16" x14ac:dyDescent="0.25">
      <c r="A273" t="s">
        <v>470</v>
      </c>
      <c r="B273">
        <v>160</v>
      </c>
      <c r="C273" t="s">
        <v>264</v>
      </c>
      <c r="D273" s="14">
        <v>3</v>
      </c>
      <c r="E273" s="14">
        <v>0</v>
      </c>
      <c r="F273" s="14">
        <v>3</v>
      </c>
      <c r="G273" s="14">
        <v>0</v>
      </c>
      <c r="H273" s="14">
        <v>0</v>
      </c>
      <c r="I273" s="14">
        <v>0</v>
      </c>
      <c r="J273" s="14">
        <v>0</v>
      </c>
      <c r="K273" s="14">
        <v>3</v>
      </c>
      <c r="L273" s="14">
        <v>0</v>
      </c>
      <c r="M273" s="14">
        <v>3</v>
      </c>
      <c r="N273" s="14">
        <v>0</v>
      </c>
      <c r="O273" s="14">
        <v>0</v>
      </c>
      <c r="P273" t="s">
        <v>254</v>
      </c>
    </row>
    <row r="274" spans="1:16" x14ac:dyDescent="0.25">
      <c r="A274" t="s">
        <v>471</v>
      </c>
      <c r="B274">
        <v>160</v>
      </c>
      <c r="C274" t="s">
        <v>264</v>
      </c>
      <c r="D274" s="14">
        <v>3</v>
      </c>
      <c r="E274" s="14">
        <v>0</v>
      </c>
      <c r="F274" s="14">
        <v>3</v>
      </c>
      <c r="G274" s="14">
        <v>0</v>
      </c>
      <c r="H274" s="14">
        <v>0</v>
      </c>
      <c r="I274" s="14">
        <v>0</v>
      </c>
      <c r="J274" s="14">
        <v>0</v>
      </c>
      <c r="K274" s="14">
        <v>3</v>
      </c>
      <c r="L274" s="14">
        <v>0</v>
      </c>
      <c r="M274" s="14">
        <v>3</v>
      </c>
      <c r="N274" s="14">
        <v>0</v>
      </c>
      <c r="O274" s="14">
        <v>0</v>
      </c>
      <c r="P274" t="s">
        <v>254</v>
      </c>
    </row>
    <row r="275" spans="1:16" x14ac:dyDescent="0.25">
      <c r="A275" t="s">
        <v>472</v>
      </c>
      <c r="B275">
        <v>160</v>
      </c>
      <c r="C275" t="s">
        <v>264</v>
      </c>
      <c r="D275" s="14">
        <v>3</v>
      </c>
      <c r="E275" s="14">
        <v>0</v>
      </c>
      <c r="F275" s="14">
        <v>3</v>
      </c>
      <c r="G275" s="14">
        <v>0</v>
      </c>
      <c r="H275" s="14">
        <v>0</v>
      </c>
      <c r="I275" s="14">
        <v>0</v>
      </c>
      <c r="J275" s="14">
        <v>0</v>
      </c>
      <c r="K275" s="14">
        <v>3</v>
      </c>
      <c r="L275" s="14">
        <v>0</v>
      </c>
      <c r="M275" s="14">
        <v>3</v>
      </c>
      <c r="N275" s="14">
        <v>0</v>
      </c>
      <c r="O275" s="14">
        <v>0</v>
      </c>
      <c r="P275" t="s">
        <v>254</v>
      </c>
    </row>
    <row r="276" spans="1:16" x14ac:dyDescent="0.25">
      <c r="A276" t="s">
        <v>473</v>
      </c>
      <c r="B276">
        <v>160</v>
      </c>
      <c r="C276" t="s">
        <v>264</v>
      </c>
      <c r="D276" s="14">
        <v>3</v>
      </c>
      <c r="E276" s="14">
        <v>0</v>
      </c>
      <c r="F276" s="14">
        <v>3</v>
      </c>
      <c r="G276" s="14">
        <v>0</v>
      </c>
      <c r="H276" s="14">
        <v>0</v>
      </c>
      <c r="I276" s="14">
        <v>0</v>
      </c>
      <c r="J276" s="14">
        <v>0</v>
      </c>
      <c r="K276" s="14">
        <v>3</v>
      </c>
      <c r="L276" s="14">
        <v>0</v>
      </c>
      <c r="M276" s="14">
        <v>3</v>
      </c>
      <c r="N276" s="14">
        <v>0</v>
      </c>
      <c r="O276" s="14">
        <v>0</v>
      </c>
      <c r="P276" t="s">
        <v>254</v>
      </c>
    </row>
    <row r="277" spans="1:16" x14ac:dyDescent="0.25">
      <c r="A277" t="s">
        <v>474</v>
      </c>
      <c r="B277">
        <v>160</v>
      </c>
      <c r="C277" t="s">
        <v>264</v>
      </c>
      <c r="D277" s="14">
        <v>3</v>
      </c>
      <c r="E277" s="14">
        <v>0</v>
      </c>
      <c r="F277" s="14">
        <v>3</v>
      </c>
      <c r="G277" s="14">
        <v>0</v>
      </c>
      <c r="H277" s="14">
        <v>0</v>
      </c>
      <c r="I277" s="14">
        <v>0</v>
      </c>
      <c r="J277" s="14">
        <v>0</v>
      </c>
      <c r="K277" s="14">
        <v>3</v>
      </c>
      <c r="L277" s="14">
        <v>0</v>
      </c>
      <c r="M277" s="14">
        <v>3</v>
      </c>
      <c r="N277" s="14">
        <v>0</v>
      </c>
      <c r="O277" s="14">
        <v>0</v>
      </c>
      <c r="P277" t="s">
        <v>254</v>
      </c>
    </row>
    <row r="278" spans="1:16" x14ac:dyDescent="0.25">
      <c r="A278" t="s">
        <v>475</v>
      </c>
      <c r="B278">
        <v>160</v>
      </c>
      <c r="C278" t="s">
        <v>264</v>
      </c>
      <c r="D278" s="14">
        <v>47</v>
      </c>
      <c r="E278" s="14">
        <v>0</v>
      </c>
      <c r="F278" s="14">
        <v>47</v>
      </c>
      <c r="G278" s="14">
        <v>0</v>
      </c>
      <c r="H278" s="14">
        <v>0</v>
      </c>
      <c r="I278" s="14">
        <v>0</v>
      </c>
      <c r="J278" s="14">
        <v>0</v>
      </c>
      <c r="K278" s="14">
        <v>47</v>
      </c>
      <c r="L278" s="14">
        <v>0</v>
      </c>
      <c r="M278" s="14">
        <v>47</v>
      </c>
      <c r="N278" s="14">
        <v>0</v>
      </c>
      <c r="O278" s="14">
        <v>0</v>
      </c>
      <c r="P278" t="s">
        <v>254</v>
      </c>
    </row>
    <row r="279" spans="1:16" x14ac:dyDescent="0.25">
      <c r="A279" t="s">
        <v>476</v>
      </c>
      <c r="B279">
        <v>160</v>
      </c>
      <c r="C279" t="s">
        <v>264</v>
      </c>
      <c r="D279" s="14">
        <v>842</v>
      </c>
      <c r="E279" s="14">
        <v>0</v>
      </c>
      <c r="F279" s="14">
        <v>842</v>
      </c>
      <c r="G279" s="14">
        <v>0</v>
      </c>
      <c r="H279" s="14">
        <v>0</v>
      </c>
      <c r="I279" s="14">
        <v>0</v>
      </c>
      <c r="J279" s="14">
        <v>0</v>
      </c>
      <c r="K279" s="14">
        <v>842</v>
      </c>
      <c r="L279" s="14">
        <v>0</v>
      </c>
      <c r="M279" s="14">
        <v>842</v>
      </c>
      <c r="N279" s="14">
        <v>0</v>
      </c>
      <c r="O279" s="14">
        <v>0</v>
      </c>
      <c r="P279" t="s">
        <v>254</v>
      </c>
    </row>
    <row r="280" spans="1:16" x14ac:dyDescent="0.25">
      <c r="A280" t="s">
        <v>477</v>
      </c>
      <c r="B280">
        <v>160</v>
      </c>
      <c r="C280" t="s">
        <v>264</v>
      </c>
      <c r="D280" s="14">
        <v>6000</v>
      </c>
      <c r="E280" s="14">
        <v>0</v>
      </c>
      <c r="F280" s="14">
        <v>6000</v>
      </c>
      <c r="G280" s="14">
        <v>0</v>
      </c>
      <c r="H280" s="14">
        <v>0</v>
      </c>
      <c r="I280" s="14">
        <v>0</v>
      </c>
      <c r="J280" s="14">
        <v>0</v>
      </c>
      <c r="K280" s="14">
        <v>6000</v>
      </c>
      <c r="L280" s="14">
        <v>0</v>
      </c>
      <c r="M280" s="14">
        <v>6000</v>
      </c>
      <c r="N280" s="14">
        <v>0</v>
      </c>
      <c r="O280" s="14">
        <v>0</v>
      </c>
      <c r="P280" t="s">
        <v>254</v>
      </c>
    </row>
    <row r="281" spans="1:16" x14ac:dyDescent="0.25">
      <c r="A281" t="s">
        <v>478</v>
      </c>
      <c r="B281">
        <v>160</v>
      </c>
      <c r="C281" t="s">
        <v>264</v>
      </c>
      <c r="D281" s="14">
        <v>1</v>
      </c>
      <c r="E281" s="14">
        <v>0</v>
      </c>
      <c r="F281" s="14">
        <v>1</v>
      </c>
      <c r="G281" s="14">
        <v>0</v>
      </c>
      <c r="H281" s="14">
        <v>0</v>
      </c>
      <c r="I281" s="14">
        <v>0</v>
      </c>
      <c r="J281" s="14">
        <v>0</v>
      </c>
      <c r="K281" s="14">
        <v>1</v>
      </c>
      <c r="L281" s="14">
        <v>0</v>
      </c>
      <c r="M281" s="14">
        <v>1</v>
      </c>
      <c r="N281" s="14">
        <v>0</v>
      </c>
      <c r="O281" s="14">
        <v>0</v>
      </c>
      <c r="P281" t="s">
        <v>254</v>
      </c>
    </row>
    <row r="282" spans="1:16" x14ac:dyDescent="0.25">
      <c r="A282" t="s">
        <v>479</v>
      </c>
      <c r="B282">
        <v>160</v>
      </c>
      <c r="C282" t="s">
        <v>264</v>
      </c>
      <c r="D282" s="14">
        <v>6</v>
      </c>
      <c r="E282" s="14">
        <v>0</v>
      </c>
      <c r="F282" s="14">
        <v>6</v>
      </c>
      <c r="G282" s="14">
        <v>0</v>
      </c>
      <c r="H282" s="14">
        <v>0</v>
      </c>
      <c r="I282" s="14">
        <v>0</v>
      </c>
      <c r="J282" s="14">
        <v>0</v>
      </c>
      <c r="K282" s="14">
        <v>6</v>
      </c>
      <c r="L282" s="14">
        <v>0</v>
      </c>
      <c r="M282" s="14">
        <v>6</v>
      </c>
      <c r="N282" s="14">
        <v>0</v>
      </c>
      <c r="O282" s="14">
        <v>0</v>
      </c>
      <c r="P282" t="s">
        <v>254</v>
      </c>
    </row>
    <row r="283" spans="1:16" x14ac:dyDescent="0.25">
      <c r="A283" t="s">
        <v>480</v>
      </c>
      <c r="B283">
        <v>160</v>
      </c>
      <c r="C283" t="s">
        <v>264</v>
      </c>
      <c r="D283" s="14">
        <v>1</v>
      </c>
      <c r="E283" s="14">
        <v>0</v>
      </c>
      <c r="F283" s="14">
        <v>1</v>
      </c>
      <c r="G283" s="14">
        <v>0</v>
      </c>
      <c r="H283" s="14">
        <v>0</v>
      </c>
      <c r="I283" s="14">
        <v>0</v>
      </c>
      <c r="J283" s="14">
        <v>0</v>
      </c>
      <c r="K283" s="14">
        <v>1</v>
      </c>
      <c r="L283" s="14">
        <v>0</v>
      </c>
      <c r="M283" s="14">
        <v>1</v>
      </c>
      <c r="N283" s="14">
        <v>0</v>
      </c>
      <c r="O283" s="14">
        <v>0</v>
      </c>
      <c r="P283" t="s">
        <v>254</v>
      </c>
    </row>
    <row r="284" spans="1:16" x14ac:dyDescent="0.25">
      <c r="A284" t="s">
        <v>481</v>
      </c>
      <c r="B284">
        <v>160</v>
      </c>
      <c r="C284" t="s">
        <v>264</v>
      </c>
      <c r="D284" s="14">
        <v>750</v>
      </c>
      <c r="E284" s="14">
        <v>0</v>
      </c>
      <c r="F284" s="14">
        <v>750</v>
      </c>
      <c r="G284" s="14">
        <v>0</v>
      </c>
      <c r="H284" s="14">
        <v>0</v>
      </c>
      <c r="I284" s="14">
        <v>0</v>
      </c>
      <c r="J284" s="14">
        <v>0</v>
      </c>
      <c r="K284" s="14">
        <v>750</v>
      </c>
      <c r="L284" s="14">
        <v>0</v>
      </c>
      <c r="M284" s="14">
        <v>750</v>
      </c>
      <c r="N284" s="14">
        <v>0</v>
      </c>
      <c r="O284" s="14">
        <v>0</v>
      </c>
      <c r="P284" t="s">
        <v>254</v>
      </c>
    </row>
    <row r="285" spans="1:16" x14ac:dyDescent="0.25">
      <c r="A285" t="s">
        <v>482</v>
      </c>
      <c r="B285">
        <v>160</v>
      </c>
      <c r="C285" t="s">
        <v>264</v>
      </c>
      <c r="D285" s="14">
        <v>2100</v>
      </c>
      <c r="E285" s="14">
        <v>0</v>
      </c>
      <c r="F285" s="14">
        <v>2100</v>
      </c>
      <c r="G285" s="14">
        <v>0</v>
      </c>
      <c r="H285" s="14">
        <v>0</v>
      </c>
      <c r="I285" s="14">
        <v>0</v>
      </c>
      <c r="J285" s="14">
        <v>0</v>
      </c>
      <c r="K285" s="14">
        <v>2100</v>
      </c>
      <c r="L285" s="14">
        <v>0</v>
      </c>
      <c r="M285" s="14">
        <v>2100</v>
      </c>
      <c r="N285" s="14">
        <v>0</v>
      </c>
      <c r="O285" s="14">
        <v>0</v>
      </c>
      <c r="P285" t="s">
        <v>254</v>
      </c>
    </row>
    <row r="286" spans="1:16" x14ac:dyDescent="0.25">
      <c r="A286" t="s">
        <v>483</v>
      </c>
      <c r="B286">
        <v>160</v>
      </c>
      <c r="C286" t="s">
        <v>264</v>
      </c>
      <c r="D286" s="14">
        <v>1500</v>
      </c>
      <c r="E286" s="14">
        <v>0</v>
      </c>
      <c r="F286" s="14">
        <v>1500</v>
      </c>
      <c r="G286" s="14">
        <v>0</v>
      </c>
      <c r="H286" s="14">
        <v>0</v>
      </c>
      <c r="I286" s="14">
        <v>0</v>
      </c>
      <c r="J286" s="14">
        <v>0</v>
      </c>
      <c r="K286" s="14">
        <v>1500</v>
      </c>
      <c r="L286" s="14">
        <v>0</v>
      </c>
      <c r="M286" s="14">
        <v>1500</v>
      </c>
      <c r="N286" s="14">
        <v>0</v>
      </c>
      <c r="O286" s="14">
        <v>0</v>
      </c>
      <c r="P286" t="s">
        <v>254</v>
      </c>
    </row>
    <row r="287" spans="1:16" x14ac:dyDescent="0.25">
      <c r="A287" t="s">
        <v>484</v>
      </c>
      <c r="B287">
        <v>160</v>
      </c>
      <c r="C287" t="s">
        <v>264</v>
      </c>
      <c r="D287" s="14">
        <v>1000</v>
      </c>
      <c r="E287" s="14">
        <v>0</v>
      </c>
      <c r="F287" s="14">
        <v>1000</v>
      </c>
      <c r="G287" s="14">
        <v>0</v>
      </c>
      <c r="H287" s="14">
        <v>0</v>
      </c>
      <c r="I287" s="14">
        <v>0</v>
      </c>
      <c r="J287" s="14">
        <v>0</v>
      </c>
      <c r="K287" s="14">
        <v>1000</v>
      </c>
      <c r="L287" s="14">
        <v>0</v>
      </c>
      <c r="M287" s="14">
        <v>1000</v>
      </c>
      <c r="N287" s="14">
        <v>0</v>
      </c>
      <c r="O287" s="14">
        <v>0</v>
      </c>
      <c r="P287" t="s">
        <v>254</v>
      </c>
    </row>
    <row r="288" spans="1:16" x14ac:dyDescent="0.25">
      <c r="A288" t="s">
        <v>485</v>
      </c>
      <c r="B288">
        <v>160</v>
      </c>
      <c r="C288" t="s">
        <v>264</v>
      </c>
      <c r="D288" s="14">
        <v>1000</v>
      </c>
      <c r="E288" s="14">
        <v>0</v>
      </c>
      <c r="F288" s="14">
        <v>1000</v>
      </c>
      <c r="G288" s="14">
        <v>0</v>
      </c>
      <c r="H288" s="14">
        <v>0</v>
      </c>
      <c r="I288" s="14">
        <v>0</v>
      </c>
      <c r="J288" s="14">
        <v>0</v>
      </c>
      <c r="K288" s="14">
        <v>1000</v>
      </c>
      <c r="L288" s="14">
        <v>0</v>
      </c>
      <c r="M288" s="14">
        <v>1000</v>
      </c>
      <c r="N288" s="14">
        <v>0</v>
      </c>
      <c r="O288" s="14">
        <v>0</v>
      </c>
      <c r="P288" t="s">
        <v>254</v>
      </c>
    </row>
    <row r="289" spans="1:16" x14ac:dyDescent="0.25">
      <c r="A289" t="s">
        <v>486</v>
      </c>
      <c r="B289">
        <v>160</v>
      </c>
      <c r="C289" t="s">
        <v>264</v>
      </c>
      <c r="D289" s="14">
        <v>1700</v>
      </c>
      <c r="E289" s="14">
        <v>0</v>
      </c>
      <c r="F289" s="14">
        <v>1700</v>
      </c>
      <c r="G289" s="14">
        <v>0</v>
      </c>
      <c r="H289" s="14">
        <v>0</v>
      </c>
      <c r="I289" s="14">
        <v>0</v>
      </c>
      <c r="J289" s="14">
        <v>0</v>
      </c>
      <c r="K289" s="14">
        <v>1700</v>
      </c>
      <c r="L289" s="14">
        <v>0</v>
      </c>
      <c r="M289" s="14">
        <v>1700</v>
      </c>
      <c r="N289" s="14">
        <v>0</v>
      </c>
      <c r="O289" s="14">
        <v>0</v>
      </c>
      <c r="P289" t="s">
        <v>254</v>
      </c>
    </row>
    <row r="290" spans="1:16" x14ac:dyDescent="0.25">
      <c r="A290" t="s">
        <v>487</v>
      </c>
      <c r="B290">
        <v>160</v>
      </c>
      <c r="C290" t="s">
        <v>264</v>
      </c>
      <c r="D290" s="14">
        <v>1000</v>
      </c>
      <c r="E290" s="14">
        <v>0</v>
      </c>
      <c r="F290" s="14">
        <v>1000</v>
      </c>
      <c r="G290" s="14">
        <v>0</v>
      </c>
      <c r="H290" s="14">
        <v>0</v>
      </c>
      <c r="I290" s="14">
        <v>0</v>
      </c>
      <c r="J290" s="14">
        <v>0</v>
      </c>
      <c r="K290" s="14">
        <v>1000</v>
      </c>
      <c r="L290" s="14">
        <v>0</v>
      </c>
      <c r="M290" s="14">
        <v>1000</v>
      </c>
      <c r="N290" s="14">
        <v>0</v>
      </c>
      <c r="O290" s="14">
        <v>0</v>
      </c>
      <c r="P290" t="s">
        <v>254</v>
      </c>
    </row>
    <row r="291" spans="1:16" x14ac:dyDescent="0.25">
      <c r="A291" t="s">
        <v>488</v>
      </c>
      <c r="B291">
        <v>160</v>
      </c>
      <c r="C291" t="s">
        <v>264</v>
      </c>
      <c r="D291" s="14">
        <v>900</v>
      </c>
      <c r="E291" s="14">
        <v>0</v>
      </c>
      <c r="F291" s="14">
        <v>900</v>
      </c>
      <c r="G291" s="14">
        <v>0</v>
      </c>
      <c r="H291" s="14">
        <v>0</v>
      </c>
      <c r="I291" s="14">
        <v>0</v>
      </c>
      <c r="J291" s="14">
        <v>0</v>
      </c>
      <c r="K291" s="14">
        <v>900</v>
      </c>
      <c r="L291" s="14">
        <v>0</v>
      </c>
      <c r="M291" s="14">
        <v>900</v>
      </c>
      <c r="N291" s="14">
        <v>0</v>
      </c>
      <c r="O291" s="14">
        <v>0</v>
      </c>
      <c r="P291" t="s">
        <v>254</v>
      </c>
    </row>
    <row r="292" spans="1:16" x14ac:dyDescent="0.25">
      <c r="A292" t="s">
        <v>489</v>
      </c>
      <c r="B292">
        <v>160</v>
      </c>
      <c r="C292" t="s">
        <v>264</v>
      </c>
      <c r="D292" s="14">
        <v>1900</v>
      </c>
      <c r="E292" s="14">
        <v>0</v>
      </c>
      <c r="F292" s="14">
        <v>1900</v>
      </c>
      <c r="G292" s="14">
        <v>0</v>
      </c>
      <c r="H292" s="14">
        <v>0</v>
      </c>
      <c r="I292" s="14">
        <v>0</v>
      </c>
      <c r="J292" s="14">
        <v>0</v>
      </c>
      <c r="K292" s="14">
        <v>1900</v>
      </c>
      <c r="L292" s="14">
        <v>0</v>
      </c>
      <c r="M292" s="14">
        <v>1900</v>
      </c>
      <c r="N292" s="14">
        <v>0</v>
      </c>
      <c r="O292" s="14">
        <v>0</v>
      </c>
      <c r="P292" t="s">
        <v>254</v>
      </c>
    </row>
    <row r="293" spans="1:16" x14ac:dyDescent="0.25">
      <c r="A293" t="s">
        <v>490</v>
      </c>
      <c r="B293">
        <v>160</v>
      </c>
      <c r="C293" t="s">
        <v>264</v>
      </c>
      <c r="D293" s="14">
        <v>850</v>
      </c>
      <c r="E293" s="14">
        <v>0</v>
      </c>
      <c r="F293" s="14">
        <v>850</v>
      </c>
      <c r="G293" s="14">
        <v>0</v>
      </c>
      <c r="H293" s="14">
        <v>0</v>
      </c>
      <c r="I293" s="14">
        <v>0</v>
      </c>
      <c r="J293" s="14">
        <v>0</v>
      </c>
      <c r="K293" s="14">
        <v>850</v>
      </c>
      <c r="L293" s="14">
        <v>0</v>
      </c>
      <c r="M293" s="14">
        <v>850</v>
      </c>
      <c r="N293" s="14">
        <v>0</v>
      </c>
      <c r="O293" s="14">
        <v>0</v>
      </c>
      <c r="P293" t="s">
        <v>254</v>
      </c>
    </row>
    <row r="294" spans="1:16" x14ac:dyDescent="0.25">
      <c r="A294" t="s">
        <v>491</v>
      </c>
      <c r="B294">
        <v>160</v>
      </c>
      <c r="C294" t="s">
        <v>264</v>
      </c>
      <c r="D294" s="14">
        <v>1800</v>
      </c>
      <c r="E294" s="14">
        <v>0</v>
      </c>
      <c r="F294" s="14">
        <v>1800</v>
      </c>
      <c r="G294" s="14">
        <v>0</v>
      </c>
      <c r="H294" s="14">
        <v>0</v>
      </c>
      <c r="I294" s="14">
        <v>0</v>
      </c>
      <c r="J294" s="14">
        <v>0</v>
      </c>
      <c r="K294" s="14">
        <v>1800</v>
      </c>
      <c r="L294" s="14">
        <v>0</v>
      </c>
      <c r="M294" s="14">
        <v>1800</v>
      </c>
      <c r="N294" s="14">
        <v>0</v>
      </c>
      <c r="O294" s="14">
        <v>0</v>
      </c>
      <c r="P294" t="s">
        <v>254</v>
      </c>
    </row>
    <row r="295" spans="1:16" x14ac:dyDescent="0.25">
      <c r="A295" t="s">
        <v>492</v>
      </c>
      <c r="B295">
        <v>160</v>
      </c>
      <c r="C295" t="s">
        <v>264</v>
      </c>
      <c r="D295" s="14">
        <v>1800</v>
      </c>
      <c r="E295" s="14">
        <v>0</v>
      </c>
      <c r="F295" s="14">
        <v>1800</v>
      </c>
      <c r="G295" s="14">
        <v>0</v>
      </c>
      <c r="H295" s="14">
        <v>0</v>
      </c>
      <c r="I295" s="14">
        <v>0</v>
      </c>
      <c r="J295" s="14">
        <v>0</v>
      </c>
      <c r="K295" s="14">
        <v>1800</v>
      </c>
      <c r="L295" s="14">
        <v>0</v>
      </c>
      <c r="M295" s="14">
        <v>1800</v>
      </c>
      <c r="N295" s="14">
        <v>0</v>
      </c>
      <c r="O295" s="14">
        <v>0</v>
      </c>
      <c r="P295" t="s">
        <v>254</v>
      </c>
    </row>
    <row r="296" spans="1:16" x14ac:dyDescent="0.25">
      <c r="A296" t="s">
        <v>493</v>
      </c>
      <c r="B296">
        <v>160</v>
      </c>
      <c r="C296" t="s">
        <v>264</v>
      </c>
      <c r="D296" s="14">
        <v>67</v>
      </c>
      <c r="E296" s="14">
        <v>0</v>
      </c>
      <c r="F296" s="14">
        <v>67</v>
      </c>
      <c r="G296" s="14">
        <v>0</v>
      </c>
      <c r="H296" s="14">
        <v>0</v>
      </c>
      <c r="I296" s="14">
        <v>0</v>
      </c>
      <c r="J296" s="14">
        <v>0</v>
      </c>
      <c r="K296" s="14">
        <v>67</v>
      </c>
      <c r="L296" s="14">
        <v>0</v>
      </c>
      <c r="M296" s="14">
        <v>67</v>
      </c>
      <c r="N296" s="14">
        <v>0</v>
      </c>
      <c r="O296" s="14">
        <v>0</v>
      </c>
      <c r="P296" t="s">
        <v>254</v>
      </c>
    </row>
    <row r="297" spans="1:16" x14ac:dyDescent="0.25">
      <c r="A297" t="s">
        <v>494</v>
      </c>
      <c r="B297">
        <v>160</v>
      </c>
      <c r="C297" t="s">
        <v>264</v>
      </c>
      <c r="D297" s="14">
        <v>1264</v>
      </c>
      <c r="E297" s="14">
        <v>0</v>
      </c>
      <c r="F297" s="14">
        <v>1264</v>
      </c>
      <c r="G297" s="14">
        <v>0</v>
      </c>
      <c r="H297" s="14">
        <v>0</v>
      </c>
      <c r="I297" s="14">
        <v>0</v>
      </c>
      <c r="J297" s="14">
        <v>0</v>
      </c>
      <c r="K297" s="14">
        <v>1264</v>
      </c>
      <c r="L297" s="14">
        <v>0</v>
      </c>
      <c r="M297" s="14">
        <v>1264</v>
      </c>
      <c r="N297" s="14">
        <v>0</v>
      </c>
      <c r="O297" s="14">
        <v>0</v>
      </c>
      <c r="P297" t="s">
        <v>254</v>
      </c>
    </row>
    <row r="298" spans="1:16" x14ac:dyDescent="0.25">
      <c r="A298" t="s">
        <v>495</v>
      </c>
      <c r="B298">
        <v>160</v>
      </c>
      <c r="C298" t="s">
        <v>264</v>
      </c>
      <c r="D298" s="14">
        <v>150</v>
      </c>
      <c r="E298" s="14">
        <v>0</v>
      </c>
      <c r="F298" s="14">
        <v>150</v>
      </c>
      <c r="G298" s="14">
        <v>0</v>
      </c>
      <c r="H298" s="14">
        <v>0</v>
      </c>
      <c r="I298" s="14">
        <v>0</v>
      </c>
      <c r="J298" s="14">
        <v>0</v>
      </c>
      <c r="K298" s="14">
        <v>150</v>
      </c>
      <c r="L298" s="14">
        <v>0</v>
      </c>
      <c r="M298" s="14">
        <v>150</v>
      </c>
      <c r="N298" s="14">
        <v>0</v>
      </c>
      <c r="O298" s="14">
        <v>0</v>
      </c>
      <c r="P298" t="s">
        <v>254</v>
      </c>
    </row>
    <row r="299" spans="1:16" x14ac:dyDescent="0.25">
      <c r="A299" t="s">
        <v>496</v>
      </c>
      <c r="B299">
        <v>160</v>
      </c>
      <c r="C299" t="s">
        <v>264</v>
      </c>
      <c r="D299" s="14">
        <v>592</v>
      </c>
      <c r="E299" s="14">
        <v>0</v>
      </c>
      <c r="F299" s="14">
        <v>592</v>
      </c>
      <c r="G299" s="14">
        <v>0</v>
      </c>
      <c r="H299" s="14">
        <v>0</v>
      </c>
      <c r="I299" s="14">
        <v>0</v>
      </c>
      <c r="J299" s="14">
        <v>0</v>
      </c>
      <c r="K299" s="14">
        <v>592</v>
      </c>
      <c r="L299" s="14">
        <v>0</v>
      </c>
      <c r="M299" s="14">
        <v>592</v>
      </c>
      <c r="N299" s="14">
        <v>0</v>
      </c>
      <c r="O299" s="14">
        <v>0</v>
      </c>
      <c r="P299" t="s">
        <v>254</v>
      </c>
    </row>
    <row r="300" spans="1:16" x14ac:dyDescent="0.25">
      <c r="A300" t="s">
        <v>497</v>
      </c>
      <c r="B300">
        <v>160</v>
      </c>
      <c r="C300" t="s">
        <v>264</v>
      </c>
      <c r="D300" s="14">
        <v>350</v>
      </c>
      <c r="E300" s="14">
        <v>0</v>
      </c>
      <c r="F300" s="14">
        <v>350</v>
      </c>
      <c r="G300" s="14">
        <v>0</v>
      </c>
      <c r="H300" s="14">
        <v>0</v>
      </c>
      <c r="I300" s="14">
        <v>0</v>
      </c>
      <c r="J300" s="14">
        <v>0</v>
      </c>
      <c r="K300" s="14">
        <v>350</v>
      </c>
      <c r="L300" s="14">
        <v>0</v>
      </c>
      <c r="M300" s="14">
        <v>350</v>
      </c>
      <c r="N300" s="14">
        <v>0</v>
      </c>
      <c r="O300" s="14">
        <v>0</v>
      </c>
      <c r="P300" t="s">
        <v>254</v>
      </c>
    </row>
    <row r="301" spans="1:16" x14ac:dyDescent="0.25">
      <c r="A301" t="s">
        <v>498</v>
      </c>
      <c r="B301">
        <v>160</v>
      </c>
      <c r="C301" t="s">
        <v>264</v>
      </c>
      <c r="D301" s="14">
        <v>60</v>
      </c>
      <c r="E301" s="14">
        <v>0</v>
      </c>
      <c r="F301" s="14">
        <v>60</v>
      </c>
      <c r="G301" s="14">
        <v>0</v>
      </c>
      <c r="H301" s="14">
        <v>0</v>
      </c>
      <c r="I301" s="14">
        <v>0</v>
      </c>
      <c r="J301" s="14">
        <v>0</v>
      </c>
      <c r="K301" s="14">
        <v>60</v>
      </c>
      <c r="L301" s="14">
        <v>0</v>
      </c>
      <c r="M301" s="14">
        <v>60</v>
      </c>
      <c r="N301" s="14">
        <v>0</v>
      </c>
      <c r="O301" s="14">
        <v>0</v>
      </c>
      <c r="P301" t="s">
        <v>254</v>
      </c>
    </row>
    <row r="302" spans="1:16" x14ac:dyDescent="0.25">
      <c r="A302" t="s">
        <v>499</v>
      </c>
      <c r="B302">
        <v>160</v>
      </c>
      <c r="C302" t="s">
        <v>264</v>
      </c>
      <c r="D302" s="14">
        <v>500</v>
      </c>
      <c r="E302" s="14">
        <v>0</v>
      </c>
      <c r="F302" s="14">
        <v>500</v>
      </c>
      <c r="G302" s="14">
        <v>0</v>
      </c>
      <c r="H302" s="14">
        <v>0</v>
      </c>
      <c r="I302" s="14">
        <v>0</v>
      </c>
      <c r="J302" s="14">
        <v>0</v>
      </c>
      <c r="K302" s="14">
        <v>500</v>
      </c>
      <c r="L302" s="14">
        <v>0</v>
      </c>
      <c r="M302" s="14">
        <v>500</v>
      </c>
      <c r="N302" s="14">
        <v>0</v>
      </c>
      <c r="O302" s="14">
        <v>0</v>
      </c>
      <c r="P302" t="s">
        <v>254</v>
      </c>
    </row>
    <row r="303" spans="1:16" x14ac:dyDescent="0.25">
      <c r="A303" t="s">
        <v>500</v>
      </c>
      <c r="B303">
        <v>160</v>
      </c>
      <c r="C303" t="s">
        <v>262</v>
      </c>
      <c r="D303" s="14">
        <v>-2</v>
      </c>
      <c r="E303" s="14"/>
      <c r="F303" s="14">
        <v>-2</v>
      </c>
      <c r="G303" s="14">
        <v>0</v>
      </c>
      <c r="H303" s="14">
        <v>0</v>
      </c>
      <c r="I303" s="14">
        <v>0</v>
      </c>
      <c r="J303" s="14">
        <v>0</v>
      </c>
      <c r="K303" s="14">
        <v>-2</v>
      </c>
      <c r="L303" s="14"/>
      <c r="M303" s="14">
        <v>-2</v>
      </c>
      <c r="N303" s="14">
        <v>0</v>
      </c>
      <c r="O303" s="14">
        <v>0</v>
      </c>
      <c r="P303" t="s">
        <v>254</v>
      </c>
    </row>
    <row r="304" spans="1:16" x14ac:dyDescent="0.25">
      <c r="A304" t="s">
        <v>501</v>
      </c>
      <c r="B304">
        <v>160</v>
      </c>
      <c r="C304" t="s">
        <v>264</v>
      </c>
      <c r="D304" s="14">
        <v>2622</v>
      </c>
      <c r="E304" s="14">
        <v>3292</v>
      </c>
      <c r="F304" s="14">
        <v>-670</v>
      </c>
      <c r="G304" s="14">
        <v>0</v>
      </c>
      <c r="H304" s="14">
        <v>0</v>
      </c>
      <c r="I304" s="14">
        <v>-1</v>
      </c>
      <c r="J304" s="14">
        <v>0</v>
      </c>
      <c r="K304" s="14">
        <v>2621</v>
      </c>
      <c r="L304" s="14">
        <v>3292</v>
      </c>
      <c r="M304" s="14">
        <v>-671</v>
      </c>
      <c r="N304" s="14">
        <v>0</v>
      </c>
      <c r="O304" s="14">
        <v>0</v>
      </c>
      <c r="P304" t="s">
        <v>249</v>
      </c>
    </row>
    <row r="305" spans="1:16" x14ac:dyDescent="0.25">
      <c r="A305" t="s">
        <v>502</v>
      </c>
      <c r="B305">
        <v>160</v>
      </c>
      <c r="C305" t="s">
        <v>264</v>
      </c>
      <c r="D305" s="14">
        <v>86.6</v>
      </c>
      <c r="E305" s="14">
        <v>198.1</v>
      </c>
      <c r="F305" s="14">
        <v>-111.5</v>
      </c>
      <c r="G305" s="14">
        <v>0</v>
      </c>
      <c r="H305" s="14">
        <v>0</v>
      </c>
      <c r="I305" s="14">
        <v>-31.9</v>
      </c>
      <c r="J305" s="14">
        <v>0</v>
      </c>
      <c r="K305" s="14">
        <v>54.7</v>
      </c>
      <c r="L305" s="14">
        <v>198.1</v>
      </c>
      <c r="M305" s="14">
        <v>-143.39999999999998</v>
      </c>
      <c r="N305" s="14">
        <v>0</v>
      </c>
      <c r="O305" s="14">
        <v>0</v>
      </c>
      <c r="P305" t="s">
        <v>249</v>
      </c>
    </row>
    <row r="306" spans="1:16" x14ac:dyDescent="0.25">
      <c r="A306" t="s">
        <v>503</v>
      </c>
      <c r="B306">
        <v>160</v>
      </c>
      <c r="C306" t="s">
        <v>264</v>
      </c>
      <c r="D306" s="14">
        <v>3450</v>
      </c>
      <c r="E306" s="14">
        <v>3486</v>
      </c>
      <c r="F306" s="14">
        <v>-36</v>
      </c>
      <c r="G306" s="14">
        <v>0</v>
      </c>
      <c r="H306" s="14">
        <v>0</v>
      </c>
      <c r="I306" s="14">
        <v>-2</v>
      </c>
      <c r="J306" s="14">
        <v>0</v>
      </c>
      <c r="K306" s="14">
        <v>3448</v>
      </c>
      <c r="L306" s="14">
        <v>3486</v>
      </c>
      <c r="M306" s="14">
        <v>-38</v>
      </c>
      <c r="N306" s="14">
        <v>0</v>
      </c>
      <c r="O306" s="14">
        <v>0</v>
      </c>
      <c r="P306" t="s">
        <v>249</v>
      </c>
    </row>
    <row r="307" spans="1:16" x14ac:dyDescent="0.25">
      <c r="A307" t="s">
        <v>504</v>
      </c>
      <c r="B307">
        <v>160</v>
      </c>
      <c r="C307" t="s">
        <v>264</v>
      </c>
      <c r="D307" s="14">
        <v>262</v>
      </c>
      <c r="E307" s="14">
        <v>298</v>
      </c>
      <c r="F307" s="14">
        <v>-36</v>
      </c>
      <c r="G307" s="14">
        <v>0</v>
      </c>
      <c r="H307" s="14">
        <v>0</v>
      </c>
      <c r="I307" s="14">
        <v>0</v>
      </c>
      <c r="J307" s="14">
        <v>0</v>
      </c>
      <c r="K307" s="14">
        <v>262</v>
      </c>
      <c r="L307" s="14">
        <v>298</v>
      </c>
      <c r="M307" s="14">
        <v>-36</v>
      </c>
      <c r="N307" s="14">
        <v>0</v>
      </c>
      <c r="O307" s="14">
        <v>0</v>
      </c>
      <c r="P307" t="s">
        <v>254</v>
      </c>
    </row>
    <row r="308" spans="1:16" x14ac:dyDescent="0.25">
      <c r="A308" t="s">
        <v>506</v>
      </c>
      <c r="B308">
        <v>160</v>
      </c>
      <c r="C308" t="s">
        <v>264</v>
      </c>
      <c r="D308" s="14">
        <v>38</v>
      </c>
      <c r="E308" s="14">
        <v>38</v>
      </c>
      <c r="F308" s="14">
        <v>0</v>
      </c>
      <c r="G308" s="14">
        <v>0</v>
      </c>
      <c r="H308" s="14">
        <v>0</v>
      </c>
      <c r="I308" s="14">
        <v>0</v>
      </c>
      <c r="J308" s="14">
        <v>0</v>
      </c>
      <c r="K308" s="14">
        <v>38</v>
      </c>
      <c r="L308" s="14">
        <v>38</v>
      </c>
      <c r="M308" s="14">
        <v>0</v>
      </c>
      <c r="N308" s="14">
        <v>0</v>
      </c>
      <c r="O308" s="14">
        <v>0</v>
      </c>
      <c r="P308" t="s">
        <v>254</v>
      </c>
    </row>
    <row r="309" spans="1:16" x14ac:dyDescent="0.25">
      <c r="A309" t="s">
        <v>507</v>
      </c>
      <c r="B309">
        <v>160</v>
      </c>
      <c r="C309" t="s">
        <v>264</v>
      </c>
      <c r="D309" s="14">
        <v>394</v>
      </c>
      <c r="E309" s="14">
        <v>394</v>
      </c>
      <c r="F309" s="14">
        <v>0</v>
      </c>
      <c r="G309" s="14">
        <v>0</v>
      </c>
      <c r="H309" s="14">
        <v>0</v>
      </c>
      <c r="I309" s="14">
        <v>0</v>
      </c>
      <c r="J309" s="14">
        <v>0</v>
      </c>
      <c r="K309" s="14">
        <v>394</v>
      </c>
      <c r="L309" s="14">
        <v>394</v>
      </c>
      <c r="M309" s="14">
        <v>0</v>
      </c>
      <c r="N309" s="14">
        <v>0</v>
      </c>
      <c r="O309" s="14">
        <v>0</v>
      </c>
      <c r="P309" t="s">
        <v>254</v>
      </c>
    </row>
    <row r="310" spans="1:16" x14ac:dyDescent="0.25">
      <c r="A310" t="s">
        <v>513</v>
      </c>
      <c r="B310">
        <v>160</v>
      </c>
      <c r="C310" t="s">
        <v>264</v>
      </c>
      <c r="D310" s="14">
        <v>809</v>
      </c>
      <c r="E310" s="14">
        <v>2880</v>
      </c>
      <c r="F310" s="14">
        <v>-2071</v>
      </c>
      <c r="G310" s="14">
        <v>0</v>
      </c>
      <c r="H310" s="14">
        <v>0</v>
      </c>
      <c r="I310" s="14">
        <v>1</v>
      </c>
      <c r="J310" s="14">
        <v>0</v>
      </c>
      <c r="K310" s="14">
        <v>810</v>
      </c>
      <c r="L310" s="14">
        <v>2880</v>
      </c>
      <c r="M310" s="14">
        <v>-2070</v>
      </c>
      <c r="N310" s="14">
        <v>0</v>
      </c>
      <c r="O310" s="14">
        <v>0</v>
      </c>
      <c r="P310" t="s">
        <v>249</v>
      </c>
    </row>
    <row r="311" spans="1:16" x14ac:dyDescent="0.25">
      <c r="A311" t="s">
        <v>514</v>
      </c>
      <c r="B311">
        <v>160</v>
      </c>
      <c r="C311" t="s">
        <v>264</v>
      </c>
      <c r="D311" s="14">
        <v>2440</v>
      </c>
      <c r="E311" s="14">
        <v>7240</v>
      </c>
      <c r="F311" s="14">
        <v>-4800</v>
      </c>
      <c r="G311" s="14">
        <v>0</v>
      </c>
      <c r="H311" s="14">
        <v>0</v>
      </c>
      <c r="I311" s="14">
        <v>0</v>
      </c>
      <c r="J311" s="14">
        <v>0</v>
      </c>
      <c r="K311" s="14">
        <v>2440</v>
      </c>
      <c r="L311" s="14">
        <v>7240</v>
      </c>
      <c r="M311" s="14">
        <v>-4800</v>
      </c>
      <c r="N311" s="14">
        <v>0</v>
      </c>
      <c r="O311" s="14">
        <v>0</v>
      </c>
      <c r="P311" t="s">
        <v>254</v>
      </c>
    </row>
    <row r="312" spans="1:16" x14ac:dyDescent="0.25">
      <c r="A312" t="s">
        <v>515</v>
      </c>
      <c r="B312">
        <v>160</v>
      </c>
      <c r="C312" t="s">
        <v>264</v>
      </c>
      <c r="D312" s="14">
        <v>3650</v>
      </c>
      <c r="E312" s="14">
        <v>4900</v>
      </c>
      <c r="F312" s="14">
        <v>-1250</v>
      </c>
      <c r="G312" s="14">
        <v>0</v>
      </c>
      <c r="H312" s="14">
        <v>0</v>
      </c>
      <c r="I312" s="14">
        <v>50</v>
      </c>
      <c r="J312" s="14">
        <v>0</v>
      </c>
      <c r="K312" s="14">
        <v>3700</v>
      </c>
      <c r="L312" s="14">
        <v>4900</v>
      </c>
      <c r="M312" s="14">
        <v>-1200</v>
      </c>
      <c r="N312" s="14">
        <v>0</v>
      </c>
      <c r="O312" s="14">
        <v>0</v>
      </c>
      <c r="P312" t="s">
        <v>249</v>
      </c>
    </row>
    <row r="313" spans="1:16" x14ac:dyDescent="0.25">
      <c r="A313" t="s">
        <v>516</v>
      </c>
      <c r="B313">
        <v>160</v>
      </c>
      <c r="C313" t="s">
        <v>264</v>
      </c>
      <c r="D313" s="14">
        <v>5990</v>
      </c>
      <c r="E313" s="14">
        <v>6090</v>
      </c>
      <c r="F313" s="14">
        <v>-100</v>
      </c>
      <c r="G313" s="14">
        <v>0</v>
      </c>
      <c r="H313" s="14">
        <v>0</v>
      </c>
      <c r="I313" s="14">
        <v>0</v>
      </c>
      <c r="J313" s="14">
        <v>0</v>
      </c>
      <c r="K313" s="14">
        <v>5990</v>
      </c>
      <c r="L313" s="14">
        <v>6090</v>
      </c>
      <c r="M313" s="14">
        <v>-100</v>
      </c>
      <c r="N313" s="14">
        <v>0</v>
      </c>
      <c r="O313" s="14">
        <v>0</v>
      </c>
      <c r="P313" t="s">
        <v>254</v>
      </c>
    </row>
    <row r="314" spans="1:16" x14ac:dyDescent="0.25">
      <c r="A314" t="s">
        <v>517</v>
      </c>
      <c r="B314">
        <v>160</v>
      </c>
      <c r="C314" t="s">
        <v>290</v>
      </c>
      <c r="D314" s="14">
        <v>-1213</v>
      </c>
      <c r="E314" s="14"/>
      <c r="F314" s="14">
        <v>-1213</v>
      </c>
      <c r="G314" s="14">
        <v>0</v>
      </c>
      <c r="H314" s="14">
        <v>0</v>
      </c>
      <c r="I314" s="14">
        <v>0</v>
      </c>
      <c r="J314" s="14">
        <v>0</v>
      </c>
      <c r="K314" s="14">
        <v>-1213</v>
      </c>
      <c r="L314" s="14"/>
      <c r="M314" s="14">
        <v>-1213</v>
      </c>
      <c r="N314" s="14">
        <v>0</v>
      </c>
      <c r="O314" s="14">
        <v>0</v>
      </c>
      <c r="P314" t="s">
        <v>254</v>
      </c>
    </row>
    <row r="315" spans="1:16" x14ac:dyDescent="0.25">
      <c r="A315" t="s">
        <v>517</v>
      </c>
      <c r="B315">
        <v>160</v>
      </c>
      <c r="C315" t="s">
        <v>264</v>
      </c>
      <c r="D315" s="14">
        <v>-46</v>
      </c>
      <c r="E315" s="14"/>
      <c r="F315" s="14">
        <v>-46</v>
      </c>
      <c r="G315" s="14">
        <v>0</v>
      </c>
      <c r="H315" s="14">
        <v>0</v>
      </c>
      <c r="I315" s="14">
        <v>0</v>
      </c>
      <c r="J315" s="14">
        <v>0</v>
      </c>
      <c r="K315" s="14">
        <v>-46</v>
      </c>
      <c r="L315" s="14"/>
      <c r="M315" s="14">
        <v>-46</v>
      </c>
      <c r="N315" s="14">
        <v>0</v>
      </c>
      <c r="O315" s="14">
        <v>0</v>
      </c>
      <c r="P315" t="s">
        <v>254</v>
      </c>
    </row>
    <row r="316" spans="1:16" x14ac:dyDescent="0.25">
      <c r="A316" t="s">
        <v>518</v>
      </c>
      <c r="B316">
        <v>160</v>
      </c>
      <c r="C316" t="s">
        <v>264</v>
      </c>
      <c r="D316" s="14">
        <v>100</v>
      </c>
      <c r="E316" s="14">
        <v>130</v>
      </c>
      <c r="F316" s="14">
        <v>-30</v>
      </c>
      <c r="G316" s="14">
        <v>0</v>
      </c>
      <c r="H316" s="14">
        <v>0</v>
      </c>
      <c r="I316" s="14">
        <v>-3</v>
      </c>
      <c r="J316" s="14">
        <v>0</v>
      </c>
      <c r="K316" s="14">
        <v>97</v>
      </c>
      <c r="L316" s="14">
        <v>130</v>
      </c>
      <c r="M316" s="14">
        <v>-33</v>
      </c>
      <c r="N316" s="14">
        <v>0</v>
      </c>
      <c r="O316" s="14">
        <v>0</v>
      </c>
      <c r="P316" t="s">
        <v>249</v>
      </c>
    </row>
    <row r="317" spans="1:16" x14ac:dyDescent="0.25">
      <c r="A317" t="s">
        <v>521</v>
      </c>
      <c r="B317">
        <v>160</v>
      </c>
      <c r="C317" t="s">
        <v>264</v>
      </c>
      <c r="D317" s="14">
        <v>36</v>
      </c>
      <c r="E317" s="14">
        <v>58</v>
      </c>
      <c r="F317" s="14">
        <v>-22</v>
      </c>
      <c r="G317" s="14">
        <v>0</v>
      </c>
      <c r="H317" s="14">
        <v>0</v>
      </c>
      <c r="I317" s="14">
        <v>-2</v>
      </c>
      <c r="J317" s="14">
        <v>0</v>
      </c>
      <c r="K317" s="14">
        <v>34</v>
      </c>
      <c r="L317" s="14">
        <v>58</v>
      </c>
      <c r="M317" s="14">
        <v>-24</v>
      </c>
      <c r="N317" s="14">
        <v>0</v>
      </c>
      <c r="O317" s="14">
        <v>0</v>
      </c>
      <c r="P317" t="s">
        <v>249</v>
      </c>
    </row>
    <row r="318" spans="1:16" x14ac:dyDescent="0.25">
      <c r="A318" t="s">
        <v>522</v>
      </c>
      <c r="B318">
        <v>160</v>
      </c>
      <c r="C318" t="s">
        <v>264</v>
      </c>
      <c r="D318" s="14">
        <v>14</v>
      </c>
      <c r="E318" s="14">
        <v>16</v>
      </c>
      <c r="F318" s="14">
        <v>-2</v>
      </c>
      <c r="G318" s="14">
        <v>0</v>
      </c>
      <c r="H318" s="14">
        <v>0</v>
      </c>
      <c r="I318" s="14">
        <v>1</v>
      </c>
      <c r="J318" s="14">
        <v>0</v>
      </c>
      <c r="K318" s="14">
        <v>15</v>
      </c>
      <c r="L318" s="14">
        <v>16</v>
      </c>
      <c r="M318" s="14">
        <v>-1</v>
      </c>
      <c r="N318" s="14">
        <v>0</v>
      </c>
      <c r="O318" s="14">
        <v>0</v>
      </c>
      <c r="P318" t="s">
        <v>249</v>
      </c>
    </row>
    <row r="319" spans="1:16" x14ac:dyDescent="0.25">
      <c r="A319" t="s">
        <v>523</v>
      </c>
      <c r="B319">
        <v>160</v>
      </c>
      <c r="C319" t="s">
        <v>264</v>
      </c>
      <c r="D319" s="14">
        <v>880</v>
      </c>
      <c r="E319" s="14">
        <v>880</v>
      </c>
      <c r="F319" s="14">
        <v>0</v>
      </c>
      <c r="G319" s="14">
        <v>0</v>
      </c>
      <c r="H319" s="14">
        <v>0</v>
      </c>
      <c r="I319" s="14">
        <v>0</v>
      </c>
      <c r="J319" s="14">
        <v>0</v>
      </c>
      <c r="K319" s="14">
        <v>880</v>
      </c>
      <c r="L319" s="14">
        <v>880</v>
      </c>
      <c r="M319" s="14">
        <v>0</v>
      </c>
      <c r="N319" s="14">
        <v>0</v>
      </c>
      <c r="O319" s="14">
        <v>0</v>
      </c>
      <c r="P319" t="s">
        <v>254</v>
      </c>
    </row>
    <row r="320" spans="1:16" x14ac:dyDescent="0.25">
      <c r="A320" t="s">
        <v>542</v>
      </c>
      <c r="B320">
        <v>160</v>
      </c>
      <c r="C320" t="s">
        <v>264</v>
      </c>
      <c r="D320" s="14">
        <v>47</v>
      </c>
      <c r="E320" s="14">
        <v>47</v>
      </c>
      <c r="F320" s="14">
        <v>0</v>
      </c>
      <c r="G320" s="14">
        <v>0</v>
      </c>
      <c r="H320" s="14">
        <v>0</v>
      </c>
      <c r="I320" s="14">
        <v>-20</v>
      </c>
      <c r="J320" s="14">
        <v>0</v>
      </c>
      <c r="K320" s="14">
        <v>27</v>
      </c>
      <c r="L320" s="14">
        <v>47</v>
      </c>
      <c r="M320" s="14">
        <v>-20</v>
      </c>
      <c r="N320" s="14">
        <v>0</v>
      </c>
      <c r="O320" s="14">
        <v>0</v>
      </c>
      <c r="P320" t="s">
        <v>249</v>
      </c>
    </row>
    <row r="321" spans="1:16" x14ac:dyDescent="0.25">
      <c r="A321" t="s">
        <v>68</v>
      </c>
      <c r="B321">
        <v>160</v>
      </c>
      <c r="C321" t="s">
        <v>289</v>
      </c>
      <c r="D321" s="14">
        <v>1</v>
      </c>
      <c r="E321" s="14">
        <v>1</v>
      </c>
      <c r="F321" s="14">
        <v>0</v>
      </c>
      <c r="G321" s="14">
        <v>-3.0002083460000002E-3</v>
      </c>
      <c r="H321" s="14">
        <v>-3.0002083460000002E-3</v>
      </c>
      <c r="I321" s="14">
        <v>0</v>
      </c>
      <c r="J321" s="14">
        <v>0</v>
      </c>
      <c r="K321" s="14">
        <v>1</v>
      </c>
      <c r="L321" s="14">
        <v>1</v>
      </c>
      <c r="M321" s="14">
        <v>0</v>
      </c>
      <c r="N321" s="14">
        <v>0</v>
      </c>
      <c r="O321" s="14">
        <v>0</v>
      </c>
      <c r="P321" t="s">
        <v>254</v>
      </c>
    </row>
    <row r="322" spans="1:16" x14ac:dyDescent="0.25">
      <c r="A322" t="s">
        <v>68</v>
      </c>
      <c r="B322">
        <v>160</v>
      </c>
      <c r="C322" t="s">
        <v>264</v>
      </c>
      <c r="D322" s="14">
        <v>0</v>
      </c>
      <c r="E322" s="14">
        <v>0</v>
      </c>
      <c r="F322" s="14">
        <v>0</v>
      </c>
      <c r="G322" s="14">
        <v>-1.5001041730000001E-3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t="s">
        <v>254</v>
      </c>
    </row>
    <row r="323" spans="1:16" x14ac:dyDescent="0.25">
      <c r="A323" t="s">
        <v>240</v>
      </c>
      <c r="B323">
        <v>160</v>
      </c>
      <c r="C323" t="s">
        <v>264</v>
      </c>
      <c r="D323" s="14">
        <v>84</v>
      </c>
      <c r="E323" s="14">
        <v>84</v>
      </c>
      <c r="F323" s="14">
        <v>0</v>
      </c>
      <c r="G323" s="14">
        <v>1043.1049108994559</v>
      </c>
      <c r="H323" s="14">
        <v>12.417915605945904</v>
      </c>
      <c r="I323" s="14">
        <v>0</v>
      </c>
      <c r="J323" s="14">
        <v>0</v>
      </c>
      <c r="K323" s="14">
        <v>84</v>
      </c>
      <c r="L323" s="14">
        <v>84</v>
      </c>
      <c r="M323" s="14">
        <v>0</v>
      </c>
      <c r="N323" s="14">
        <v>0</v>
      </c>
      <c r="O323" s="14">
        <v>0</v>
      </c>
      <c r="P323" t="s">
        <v>254</v>
      </c>
    </row>
    <row r="324" spans="1:16" x14ac:dyDescent="0.25">
      <c r="A324" t="s">
        <v>242</v>
      </c>
      <c r="B324">
        <v>160</v>
      </c>
      <c r="C324" t="s">
        <v>289</v>
      </c>
      <c r="D324" s="14">
        <v>2</v>
      </c>
      <c r="E324" s="14"/>
      <c r="F324" s="14">
        <v>2</v>
      </c>
      <c r="G324" s="14">
        <v>0</v>
      </c>
      <c r="H324" s="14">
        <v>0</v>
      </c>
      <c r="I324" s="14">
        <v>0</v>
      </c>
      <c r="J324" s="14">
        <v>0</v>
      </c>
      <c r="K324" s="14">
        <v>2</v>
      </c>
      <c r="L324" s="14"/>
      <c r="M324" s="14">
        <v>2</v>
      </c>
      <c r="N324" s="14">
        <v>0</v>
      </c>
      <c r="O324" s="14">
        <v>0</v>
      </c>
      <c r="P324" t="s">
        <v>254</v>
      </c>
    </row>
    <row r="325" spans="1:16" x14ac:dyDescent="0.25">
      <c r="A325" t="s">
        <v>242</v>
      </c>
      <c r="B325">
        <v>160</v>
      </c>
      <c r="C325" t="s">
        <v>264</v>
      </c>
      <c r="D325" s="14">
        <v>111</v>
      </c>
      <c r="E325" s="14">
        <v>107</v>
      </c>
      <c r="F325" s="14">
        <v>4</v>
      </c>
      <c r="G325" s="14">
        <v>741.49</v>
      </c>
      <c r="H325" s="14">
        <v>6.9298130841121495</v>
      </c>
      <c r="I325" s="14">
        <v>-7</v>
      </c>
      <c r="J325" s="14">
        <v>-3</v>
      </c>
      <c r="K325" s="14">
        <v>104</v>
      </c>
      <c r="L325" s="14">
        <v>104</v>
      </c>
      <c r="M325" s="14">
        <v>0</v>
      </c>
      <c r="N325" s="14">
        <v>-20.789999999999964</v>
      </c>
      <c r="O325" s="14">
        <v>-0.19990384615384579</v>
      </c>
      <c r="P325" t="s">
        <v>249</v>
      </c>
    </row>
    <row r="326" spans="1:16" x14ac:dyDescent="0.25">
      <c r="A326" t="s">
        <v>117</v>
      </c>
      <c r="B326">
        <v>160</v>
      </c>
      <c r="C326" t="s">
        <v>289</v>
      </c>
      <c r="D326" s="14">
        <v>0</v>
      </c>
      <c r="E326" s="14">
        <v>0</v>
      </c>
      <c r="F326" s="14">
        <v>0</v>
      </c>
      <c r="G326" s="14">
        <v>4.9603407129999999E-3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t="s">
        <v>254</v>
      </c>
    </row>
    <row r="327" spans="1:16" x14ac:dyDescent="0.25">
      <c r="A327" t="s">
        <v>117</v>
      </c>
      <c r="B327">
        <v>160</v>
      </c>
      <c r="C327" t="s">
        <v>264</v>
      </c>
      <c r="D327" s="14">
        <v>2</v>
      </c>
      <c r="E327" s="14">
        <v>2</v>
      </c>
      <c r="F327" s="14">
        <v>0</v>
      </c>
      <c r="G327" s="14">
        <v>17.189524088560002</v>
      </c>
      <c r="H327" s="14">
        <v>8.5947620442800012</v>
      </c>
      <c r="I327" s="14">
        <v>-2</v>
      </c>
      <c r="J327" s="14">
        <v>-2</v>
      </c>
      <c r="K327" s="14">
        <v>0</v>
      </c>
      <c r="L327" s="14">
        <v>0</v>
      </c>
      <c r="M327" s="14">
        <v>0</v>
      </c>
      <c r="N327" s="14">
        <v>-17.190000000000001</v>
      </c>
      <c r="O327" s="14">
        <v>0</v>
      </c>
      <c r="P327" t="s">
        <v>254</v>
      </c>
    </row>
    <row r="328" spans="1:16" x14ac:dyDescent="0.25">
      <c r="A328" t="s">
        <v>244</v>
      </c>
      <c r="B328">
        <v>160</v>
      </c>
      <c r="C328" t="s">
        <v>264</v>
      </c>
      <c r="D328" s="14">
        <v>70</v>
      </c>
      <c r="E328" s="14">
        <v>70</v>
      </c>
      <c r="F328" s="14">
        <v>0</v>
      </c>
      <c r="G328" s="14">
        <v>619.56000000000006</v>
      </c>
      <c r="H328" s="14">
        <v>8.8508571428571443</v>
      </c>
      <c r="I328" s="14">
        <v>0</v>
      </c>
      <c r="J328" s="14">
        <v>0</v>
      </c>
      <c r="K328" s="14">
        <v>70</v>
      </c>
      <c r="L328" s="14">
        <v>70</v>
      </c>
      <c r="M328" s="14">
        <v>0</v>
      </c>
      <c r="N328" s="14">
        <v>-2.3300000000000409</v>
      </c>
      <c r="O328" s="14">
        <v>-3.3285714285714869E-2</v>
      </c>
      <c r="P328" t="s">
        <v>254</v>
      </c>
    </row>
    <row r="329" spans="1:16" x14ac:dyDescent="0.25">
      <c r="A329" t="s">
        <v>546</v>
      </c>
      <c r="B329">
        <v>160</v>
      </c>
      <c r="C329" t="s">
        <v>264</v>
      </c>
      <c r="D329" s="14">
        <v>64</v>
      </c>
      <c r="E329" s="14">
        <v>64</v>
      </c>
      <c r="F329" s="14">
        <v>0</v>
      </c>
      <c r="G329" s="14">
        <v>0</v>
      </c>
      <c r="H329" s="14">
        <v>0</v>
      </c>
      <c r="I329" s="14">
        <v>6</v>
      </c>
      <c r="J329" s="14">
        <v>0</v>
      </c>
      <c r="K329" s="14">
        <v>70</v>
      </c>
      <c r="L329" s="14">
        <v>64</v>
      </c>
      <c r="M329" s="14">
        <v>6</v>
      </c>
      <c r="N329" s="14">
        <v>0</v>
      </c>
      <c r="O329" s="14">
        <v>0</v>
      </c>
      <c r="P329" t="s">
        <v>249</v>
      </c>
    </row>
    <row r="330" spans="1:16" x14ac:dyDescent="0.25">
      <c r="A330" t="s">
        <v>550</v>
      </c>
      <c r="B330">
        <v>160</v>
      </c>
      <c r="C330" t="s">
        <v>264</v>
      </c>
      <c r="D330" s="14">
        <v>55</v>
      </c>
      <c r="E330" s="14">
        <v>43</v>
      </c>
      <c r="F330" s="14">
        <v>12</v>
      </c>
      <c r="G330" s="14">
        <v>0</v>
      </c>
      <c r="H330" s="14">
        <v>0</v>
      </c>
      <c r="I330" s="14">
        <v>-12</v>
      </c>
      <c r="J330" s="14">
        <v>0</v>
      </c>
      <c r="K330" s="14">
        <v>43</v>
      </c>
      <c r="L330" s="14">
        <v>43</v>
      </c>
      <c r="M330" s="14">
        <v>0</v>
      </c>
      <c r="N330" s="14">
        <v>0</v>
      </c>
      <c r="O330" s="14">
        <v>0</v>
      </c>
      <c r="P330" t="s">
        <v>249</v>
      </c>
    </row>
    <row r="331" spans="1:16" x14ac:dyDescent="0.25">
      <c r="A331" t="s">
        <v>551</v>
      </c>
      <c r="B331">
        <v>160</v>
      </c>
      <c r="C331" t="s">
        <v>289</v>
      </c>
      <c r="D331" s="14">
        <v>1</v>
      </c>
      <c r="E331" s="14">
        <v>1</v>
      </c>
      <c r="F331" s="14">
        <v>0</v>
      </c>
      <c r="G331" s="14">
        <v>0</v>
      </c>
      <c r="H331" s="14">
        <v>0</v>
      </c>
      <c r="I331" s="14">
        <v>0</v>
      </c>
      <c r="J331" s="14">
        <v>0</v>
      </c>
      <c r="K331" s="14">
        <v>1</v>
      </c>
      <c r="L331" s="14">
        <v>1</v>
      </c>
      <c r="M331" s="14">
        <v>0</v>
      </c>
      <c r="N331" s="14">
        <v>0</v>
      </c>
      <c r="O331" s="14">
        <v>0</v>
      </c>
      <c r="P331" t="s">
        <v>254</v>
      </c>
    </row>
    <row r="332" spans="1:16" x14ac:dyDescent="0.25">
      <c r="A332" t="s">
        <v>551</v>
      </c>
      <c r="B332">
        <v>160</v>
      </c>
      <c r="C332" t="s">
        <v>264</v>
      </c>
      <c r="D332" s="14">
        <v>40</v>
      </c>
      <c r="E332" s="14">
        <v>72</v>
      </c>
      <c r="F332" s="14">
        <v>-32</v>
      </c>
      <c r="G332" s="14">
        <v>0</v>
      </c>
      <c r="H332" s="14">
        <v>0</v>
      </c>
      <c r="I332" s="14">
        <v>-11</v>
      </c>
      <c r="J332" s="14">
        <v>0</v>
      </c>
      <c r="K332" s="14">
        <v>29</v>
      </c>
      <c r="L332" s="14">
        <v>72</v>
      </c>
      <c r="M332" s="14">
        <v>-43</v>
      </c>
      <c r="N332" s="14">
        <v>0</v>
      </c>
      <c r="O332" s="14">
        <v>0</v>
      </c>
      <c r="P332" t="s">
        <v>249</v>
      </c>
    </row>
    <row r="333" spans="1:16" x14ac:dyDescent="0.25">
      <c r="A333" t="s">
        <v>105</v>
      </c>
      <c r="B333">
        <v>160</v>
      </c>
      <c r="C333" t="s">
        <v>289</v>
      </c>
      <c r="D333" s="14">
        <v>1</v>
      </c>
      <c r="E333" s="14">
        <v>1</v>
      </c>
      <c r="F333" s="14">
        <v>0</v>
      </c>
      <c r="G333" s="14">
        <v>0</v>
      </c>
      <c r="H333" s="14">
        <v>0</v>
      </c>
      <c r="I333" s="14">
        <v>0</v>
      </c>
      <c r="J333" s="14">
        <v>0</v>
      </c>
      <c r="K333" s="14">
        <v>1</v>
      </c>
      <c r="L333" s="14">
        <v>1</v>
      </c>
      <c r="M333" s="14">
        <v>0</v>
      </c>
      <c r="N333" s="14">
        <v>0</v>
      </c>
      <c r="O333" s="14">
        <v>0</v>
      </c>
      <c r="P333" t="s">
        <v>254</v>
      </c>
    </row>
    <row r="334" spans="1:16" x14ac:dyDescent="0.25">
      <c r="A334" t="s">
        <v>105</v>
      </c>
      <c r="B334">
        <v>160</v>
      </c>
      <c r="C334" t="s">
        <v>264</v>
      </c>
      <c r="D334" s="14">
        <v>39</v>
      </c>
      <c r="E334" s="14">
        <v>54</v>
      </c>
      <c r="F334" s="14">
        <v>-15</v>
      </c>
      <c r="G334" s="14">
        <v>0</v>
      </c>
      <c r="H334" s="14">
        <v>0</v>
      </c>
      <c r="I334" s="14">
        <v>-16</v>
      </c>
      <c r="J334" s="14">
        <v>0</v>
      </c>
      <c r="K334" s="14">
        <v>23</v>
      </c>
      <c r="L334" s="14">
        <v>54</v>
      </c>
      <c r="M334" s="14">
        <v>-31</v>
      </c>
      <c r="N334" s="14">
        <v>0</v>
      </c>
      <c r="O334" s="14">
        <v>0</v>
      </c>
      <c r="P334" t="s">
        <v>249</v>
      </c>
    </row>
    <row r="335" spans="1:16" x14ac:dyDescent="0.25">
      <c r="A335" t="s">
        <v>555</v>
      </c>
      <c r="B335">
        <v>160</v>
      </c>
      <c r="C335" t="s">
        <v>264</v>
      </c>
      <c r="D335" s="14">
        <v>15000</v>
      </c>
      <c r="E335" s="14"/>
      <c r="F335" s="14">
        <v>15000</v>
      </c>
      <c r="G335" s="14">
        <v>0</v>
      </c>
      <c r="H335" s="14">
        <v>0</v>
      </c>
      <c r="I335" s="14">
        <v>0</v>
      </c>
      <c r="J335" s="14">
        <v>0</v>
      </c>
      <c r="K335" s="14">
        <v>15000</v>
      </c>
      <c r="L335" s="14"/>
      <c r="M335" s="14">
        <v>15000</v>
      </c>
      <c r="N335" s="14">
        <v>0</v>
      </c>
      <c r="O335" s="14">
        <v>0</v>
      </c>
      <c r="P335" t="s">
        <v>254</v>
      </c>
    </row>
    <row r="336" spans="1:16" x14ac:dyDescent="0.25">
      <c r="A336" t="s">
        <v>556</v>
      </c>
      <c r="B336">
        <v>160</v>
      </c>
      <c r="C336" t="s">
        <v>264</v>
      </c>
      <c r="D336" s="14">
        <v>458</v>
      </c>
      <c r="E336" s="14">
        <v>4512.5</v>
      </c>
      <c r="F336" s="14">
        <v>-4054.5</v>
      </c>
      <c r="G336" s="14">
        <v>0</v>
      </c>
      <c r="H336" s="14">
        <v>0</v>
      </c>
      <c r="I336" s="14">
        <v>232</v>
      </c>
      <c r="J336" s="14">
        <v>0</v>
      </c>
      <c r="K336" s="14">
        <v>690</v>
      </c>
      <c r="L336" s="14">
        <v>4512.5</v>
      </c>
      <c r="M336" s="14">
        <v>-3822.5</v>
      </c>
      <c r="N336" s="14">
        <v>0</v>
      </c>
      <c r="O336" s="14">
        <v>0</v>
      </c>
      <c r="P336" t="s">
        <v>249</v>
      </c>
    </row>
    <row r="337" spans="1:16" x14ac:dyDescent="0.25">
      <c r="A337" t="s">
        <v>560</v>
      </c>
      <c r="B337">
        <v>160</v>
      </c>
      <c r="C337" t="s">
        <v>264</v>
      </c>
      <c r="D337" s="14">
        <v>42</v>
      </c>
      <c r="E337" s="14"/>
      <c r="F337" s="14">
        <v>42</v>
      </c>
      <c r="G337" s="14">
        <v>0</v>
      </c>
      <c r="H337" s="14">
        <v>0</v>
      </c>
      <c r="I337" s="14">
        <v>0</v>
      </c>
      <c r="J337" s="14">
        <v>0</v>
      </c>
      <c r="K337" s="14">
        <v>42</v>
      </c>
      <c r="L337" s="14"/>
      <c r="M337" s="14">
        <v>42</v>
      </c>
      <c r="N337" s="14">
        <v>0</v>
      </c>
      <c r="O337" s="14">
        <v>0</v>
      </c>
      <c r="P337" t="s">
        <v>254</v>
      </c>
    </row>
    <row r="338" spans="1:16" x14ac:dyDescent="0.25">
      <c r="A338" t="s">
        <v>214</v>
      </c>
      <c r="B338">
        <v>160</v>
      </c>
      <c r="C338" t="s">
        <v>264</v>
      </c>
      <c r="D338" s="14">
        <v>13</v>
      </c>
      <c r="E338" s="14">
        <v>0</v>
      </c>
      <c r="F338" s="14">
        <v>13</v>
      </c>
      <c r="G338" s="14">
        <v>0</v>
      </c>
      <c r="H338" s="14">
        <v>0</v>
      </c>
      <c r="I338" s="14">
        <v>0</v>
      </c>
      <c r="J338" s="14">
        <v>0</v>
      </c>
      <c r="K338" s="14">
        <v>13</v>
      </c>
      <c r="L338" s="14">
        <v>0</v>
      </c>
      <c r="M338" s="14">
        <v>13</v>
      </c>
      <c r="N338" s="14">
        <v>0</v>
      </c>
      <c r="O338" s="14">
        <v>0</v>
      </c>
      <c r="P338" t="s">
        <v>254</v>
      </c>
    </row>
    <row r="339" spans="1:16" x14ac:dyDescent="0.25">
      <c r="A339" t="s">
        <v>220</v>
      </c>
      <c r="B339">
        <v>160</v>
      </c>
      <c r="C339" t="s">
        <v>264</v>
      </c>
      <c r="D339" s="14">
        <v>614</v>
      </c>
      <c r="E339" s="14">
        <v>0</v>
      </c>
      <c r="F339" s="14">
        <v>614</v>
      </c>
      <c r="G339" s="14">
        <v>0</v>
      </c>
      <c r="H339" s="14">
        <v>0</v>
      </c>
      <c r="I339" s="14">
        <v>0</v>
      </c>
      <c r="J339" s="14">
        <v>0</v>
      </c>
      <c r="K339" s="14">
        <v>614</v>
      </c>
      <c r="L339" s="14">
        <v>0</v>
      </c>
      <c r="M339" s="14">
        <v>614</v>
      </c>
      <c r="N339" s="14">
        <v>0</v>
      </c>
      <c r="O339" s="14">
        <v>0</v>
      </c>
      <c r="P339" t="s">
        <v>254</v>
      </c>
    </row>
    <row r="340" spans="1:16" x14ac:dyDescent="0.25">
      <c r="A340" t="s">
        <v>564</v>
      </c>
      <c r="B340">
        <v>160</v>
      </c>
      <c r="C340" t="s">
        <v>264</v>
      </c>
      <c r="D340" s="14">
        <v>9</v>
      </c>
      <c r="E340" s="14">
        <v>0</v>
      </c>
      <c r="F340" s="14">
        <v>9</v>
      </c>
      <c r="G340" s="14">
        <v>0</v>
      </c>
      <c r="H340" s="14">
        <v>0</v>
      </c>
      <c r="I340" s="14">
        <v>-2</v>
      </c>
      <c r="J340" s="14">
        <v>0</v>
      </c>
      <c r="K340" s="14">
        <v>7</v>
      </c>
      <c r="L340" s="14">
        <v>0</v>
      </c>
      <c r="M340" s="14">
        <v>7</v>
      </c>
      <c r="N340" s="14">
        <v>0</v>
      </c>
      <c r="O340" s="14">
        <v>0</v>
      </c>
      <c r="P340" t="s">
        <v>249</v>
      </c>
    </row>
    <row r="341" spans="1:16" x14ac:dyDescent="0.25">
      <c r="A341" t="s">
        <v>566</v>
      </c>
      <c r="B341">
        <v>160</v>
      </c>
      <c r="C341" t="s">
        <v>264</v>
      </c>
      <c r="D341" s="14">
        <v>700</v>
      </c>
      <c r="E341" s="14">
        <v>0</v>
      </c>
      <c r="F341" s="14">
        <v>700</v>
      </c>
      <c r="G341" s="14">
        <v>0</v>
      </c>
      <c r="H341" s="14">
        <v>0</v>
      </c>
      <c r="I341" s="14">
        <v>0</v>
      </c>
      <c r="J341" s="14">
        <v>0</v>
      </c>
      <c r="K341" s="14">
        <v>700</v>
      </c>
      <c r="L341" s="14">
        <v>0</v>
      </c>
      <c r="M341" s="14">
        <v>700</v>
      </c>
      <c r="N341" s="14">
        <v>0</v>
      </c>
      <c r="O341" s="14">
        <v>0</v>
      </c>
      <c r="P341" t="s">
        <v>254</v>
      </c>
    </row>
    <row r="342" spans="1:16" x14ac:dyDescent="0.25">
      <c r="A342" t="s">
        <v>567</v>
      </c>
      <c r="B342">
        <v>160</v>
      </c>
      <c r="C342" t="s">
        <v>264</v>
      </c>
      <c r="D342" s="14">
        <v>35</v>
      </c>
      <c r="E342" s="14">
        <v>0</v>
      </c>
      <c r="F342" s="14">
        <v>35</v>
      </c>
      <c r="G342" s="14">
        <v>0</v>
      </c>
      <c r="H342" s="14">
        <v>0</v>
      </c>
      <c r="I342" s="14">
        <v>-30</v>
      </c>
      <c r="J342" s="14">
        <v>0</v>
      </c>
      <c r="K342" s="14">
        <v>5</v>
      </c>
      <c r="L342" s="14">
        <v>0</v>
      </c>
      <c r="M342" s="14">
        <v>5</v>
      </c>
      <c r="N342" s="14">
        <v>0</v>
      </c>
      <c r="O342" s="14">
        <v>0</v>
      </c>
      <c r="P342" t="s">
        <v>249</v>
      </c>
    </row>
    <row r="343" spans="1:16" x14ac:dyDescent="0.25">
      <c r="A343" t="s">
        <v>568</v>
      </c>
      <c r="B343">
        <v>160</v>
      </c>
      <c r="C343" t="s">
        <v>264</v>
      </c>
      <c r="D343" s="14">
        <v>488</v>
      </c>
      <c r="E343" s="14">
        <v>0</v>
      </c>
      <c r="F343" s="14">
        <v>488</v>
      </c>
      <c r="G343" s="14">
        <v>0</v>
      </c>
      <c r="H343" s="14">
        <v>0</v>
      </c>
      <c r="I343" s="14">
        <v>-228</v>
      </c>
      <c r="J343" s="14">
        <v>0</v>
      </c>
      <c r="K343" s="14">
        <v>260</v>
      </c>
      <c r="L343" s="14">
        <v>0</v>
      </c>
      <c r="M343" s="14">
        <v>260</v>
      </c>
      <c r="N343" s="14">
        <v>0</v>
      </c>
      <c r="O343" s="14">
        <v>0</v>
      </c>
      <c r="P343" t="s">
        <v>249</v>
      </c>
    </row>
    <row r="344" spans="1:16" x14ac:dyDescent="0.25">
      <c r="A344" t="s">
        <v>569</v>
      </c>
      <c r="B344">
        <v>160</v>
      </c>
      <c r="C344" t="s">
        <v>264</v>
      </c>
      <c r="D344" s="14">
        <v>26</v>
      </c>
      <c r="E344" s="14">
        <v>0</v>
      </c>
      <c r="F344" s="14">
        <v>26</v>
      </c>
      <c r="G344" s="14">
        <v>0</v>
      </c>
      <c r="H344" s="14">
        <v>0</v>
      </c>
      <c r="I344" s="14">
        <v>-5</v>
      </c>
      <c r="J344" s="14">
        <v>0</v>
      </c>
      <c r="K344" s="14">
        <v>21</v>
      </c>
      <c r="L344" s="14">
        <v>0</v>
      </c>
      <c r="M344" s="14">
        <v>21</v>
      </c>
      <c r="N344" s="14">
        <v>0</v>
      </c>
      <c r="O344" s="14">
        <v>0</v>
      </c>
      <c r="P344" t="s">
        <v>249</v>
      </c>
    </row>
    <row r="345" spans="1:16" x14ac:dyDescent="0.25">
      <c r="A345" t="s">
        <v>570</v>
      </c>
      <c r="B345">
        <v>160</v>
      </c>
      <c r="C345" t="s">
        <v>264</v>
      </c>
      <c r="D345" s="14">
        <v>123</v>
      </c>
      <c r="E345" s="14">
        <v>0</v>
      </c>
      <c r="F345" s="14">
        <v>123</v>
      </c>
      <c r="G345" s="14">
        <v>0</v>
      </c>
      <c r="H345" s="14">
        <v>0</v>
      </c>
      <c r="I345" s="14">
        <v>-39</v>
      </c>
      <c r="J345" s="14">
        <v>0</v>
      </c>
      <c r="K345" s="14">
        <v>84</v>
      </c>
      <c r="L345" s="14">
        <v>0</v>
      </c>
      <c r="M345" s="14">
        <v>84</v>
      </c>
      <c r="N345" s="14">
        <v>0</v>
      </c>
      <c r="O345" s="14">
        <v>0</v>
      </c>
      <c r="P345" t="s">
        <v>249</v>
      </c>
    </row>
    <row r="346" spans="1:16" x14ac:dyDescent="0.25">
      <c r="A346" t="s">
        <v>571</v>
      </c>
      <c r="B346">
        <v>160</v>
      </c>
      <c r="C346" t="s">
        <v>264</v>
      </c>
      <c r="D346" s="14">
        <v>8</v>
      </c>
      <c r="E346" s="14">
        <v>0</v>
      </c>
      <c r="F346" s="14">
        <v>8</v>
      </c>
      <c r="G346" s="14">
        <v>0</v>
      </c>
      <c r="H346" s="14">
        <v>0</v>
      </c>
      <c r="I346" s="14">
        <v>-1</v>
      </c>
      <c r="J346" s="14">
        <v>0</v>
      </c>
      <c r="K346" s="14">
        <v>7</v>
      </c>
      <c r="L346" s="14">
        <v>0</v>
      </c>
      <c r="M346" s="14">
        <v>7</v>
      </c>
      <c r="N346" s="14">
        <v>0</v>
      </c>
      <c r="O346" s="14">
        <v>0</v>
      </c>
      <c r="P346" t="s">
        <v>249</v>
      </c>
    </row>
    <row r="347" spans="1:16" x14ac:dyDescent="0.25">
      <c r="A347" t="s">
        <v>573</v>
      </c>
      <c r="B347">
        <v>160</v>
      </c>
      <c r="C347" t="s">
        <v>264</v>
      </c>
      <c r="D347" s="14">
        <v>4</v>
      </c>
      <c r="E347" s="14">
        <v>0</v>
      </c>
      <c r="F347" s="14">
        <v>4</v>
      </c>
      <c r="G347" s="14">
        <v>0</v>
      </c>
      <c r="H347" s="14">
        <v>0</v>
      </c>
      <c r="I347" s="14">
        <v>78</v>
      </c>
      <c r="J347" s="14">
        <v>0</v>
      </c>
      <c r="K347" s="14">
        <v>82</v>
      </c>
      <c r="L347" s="14">
        <v>0</v>
      </c>
      <c r="M347" s="14">
        <v>82</v>
      </c>
      <c r="N347" s="14">
        <v>0</v>
      </c>
      <c r="O347" s="14">
        <v>0</v>
      </c>
      <c r="P347" t="s">
        <v>249</v>
      </c>
    </row>
    <row r="348" spans="1:16" x14ac:dyDescent="0.25">
      <c r="A348" t="s">
        <v>575</v>
      </c>
      <c r="B348">
        <v>160</v>
      </c>
      <c r="C348" t="s">
        <v>264</v>
      </c>
      <c r="D348" s="14">
        <v>103</v>
      </c>
      <c r="E348" s="14">
        <v>0</v>
      </c>
      <c r="F348" s="14">
        <v>103</v>
      </c>
      <c r="G348" s="14">
        <v>0</v>
      </c>
      <c r="H348" s="14">
        <v>0</v>
      </c>
      <c r="I348" s="14">
        <v>623</v>
      </c>
      <c r="J348" s="14">
        <v>0</v>
      </c>
      <c r="K348" s="14">
        <v>726</v>
      </c>
      <c r="L348" s="14">
        <v>0</v>
      </c>
      <c r="M348" s="14">
        <v>726</v>
      </c>
      <c r="N348" s="14">
        <v>0</v>
      </c>
      <c r="O348" s="14">
        <v>0</v>
      </c>
      <c r="P348" t="s">
        <v>249</v>
      </c>
    </row>
    <row r="349" spans="1:16" x14ac:dyDescent="0.25">
      <c r="A349" t="s">
        <v>576</v>
      </c>
      <c r="B349">
        <v>160</v>
      </c>
      <c r="C349" t="s">
        <v>264</v>
      </c>
      <c r="D349" s="14">
        <v>37</v>
      </c>
      <c r="E349" s="14">
        <v>0</v>
      </c>
      <c r="F349" s="14">
        <v>37</v>
      </c>
      <c r="G349" s="14">
        <v>0</v>
      </c>
      <c r="H349" s="14">
        <v>0</v>
      </c>
      <c r="I349" s="14">
        <v>33</v>
      </c>
      <c r="J349" s="14">
        <v>0</v>
      </c>
      <c r="K349" s="14">
        <v>70</v>
      </c>
      <c r="L349" s="14">
        <v>0</v>
      </c>
      <c r="M349" s="14">
        <v>70</v>
      </c>
      <c r="N349" s="14">
        <v>0</v>
      </c>
      <c r="O349" s="14">
        <v>0</v>
      </c>
      <c r="P349" t="s">
        <v>249</v>
      </c>
    </row>
    <row r="350" spans="1:16" x14ac:dyDescent="0.25">
      <c r="A350" t="s">
        <v>577</v>
      </c>
      <c r="B350">
        <v>160</v>
      </c>
      <c r="C350" t="s">
        <v>264</v>
      </c>
      <c r="D350" s="14">
        <v>4</v>
      </c>
      <c r="E350" s="14">
        <v>0</v>
      </c>
      <c r="F350" s="14">
        <v>4</v>
      </c>
      <c r="G350" s="14">
        <v>0</v>
      </c>
      <c r="H350" s="14">
        <v>0</v>
      </c>
      <c r="I350" s="14">
        <v>327</v>
      </c>
      <c r="J350" s="14">
        <v>0</v>
      </c>
      <c r="K350" s="14">
        <v>331</v>
      </c>
      <c r="L350" s="14">
        <v>0</v>
      </c>
      <c r="M350" s="14">
        <v>331</v>
      </c>
      <c r="N350" s="14">
        <v>0</v>
      </c>
      <c r="O350" s="14">
        <v>0</v>
      </c>
      <c r="P350" t="s">
        <v>249</v>
      </c>
    </row>
    <row r="351" spans="1:16" x14ac:dyDescent="0.25">
      <c r="A351" t="s">
        <v>578</v>
      </c>
      <c r="B351">
        <v>160</v>
      </c>
      <c r="C351" t="s">
        <v>264</v>
      </c>
      <c r="D351" s="14">
        <v>1</v>
      </c>
      <c r="E351" s="14"/>
      <c r="F351" s="14">
        <v>1</v>
      </c>
      <c r="G351" s="14">
        <v>0</v>
      </c>
      <c r="H351" s="14">
        <v>0</v>
      </c>
      <c r="I351" s="14">
        <v>159</v>
      </c>
      <c r="J351" s="14">
        <v>0</v>
      </c>
      <c r="K351" s="14">
        <v>160</v>
      </c>
      <c r="L351" s="14"/>
      <c r="M351" s="14">
        <v>160</v>
      </c>
      <c r="N351" s="14">
        <v>0</v>
      </c>
      <c r="O351" s="14">
        <v>0</v>
      </c>
      <c r="P351" t="s">
        <v>249</v>
      </c>
    </row>
    <row r="352" spans="1:16" x14ac:dyDescent="0.25">
      <c r="A352" t="s">
        <v>579</v>
      </c>
      <c r="B352">
        <v>160</v>
      </c>
      <c r="C352" t="s">
        <v>264</v>
      </c>
      <c r="D352" s="14">
        <v>15</v>
      </c>
      <c r="E352" s="14">
        <v>0</v>
      </c>
      <c r="F352" s="14">
        <v>15</v>
      </c>
      <c r="G352" s="14">
        <v>0</v>
      </c>
      <c r="H352" s="14">
        <v>0</v>
      </c>
      <c r="I352" s="14">
        <v>-15</v>
      </c>
      <c r="J352" s="14">
        <v>0</v>
      </c>
      <c r="K352" s="14">
        <v>0</v>
      </c>
      <c r="L352" s="14">
        <v>0</v>
      </c>
      <c r="M352" s="14">
        <v>0</v>
      </c>
      <c r="N352" s="14">
        <v>0</v>
      </c>
      <c r="O352" s="14">
        <v>0</v>
      </c>
      <c r="P352" t="s">
        <v>249</v>
      </c>
    </row>
    <row r="353" spans="1:16" x14ac:dyDescent="0.25">
      <c r="A353" t="s">
        <v>580</v>
      </c>
      <c r="B353">
        <v>160</v>
      </c>
      <c r="C353" t="s">
        <v>264</v>
      </c>
      <c r="D353" s="14">
        <v>1450</v>
      </c>
      <c r="E353" s="14">
        <v>0</v>
      </c>
      <c r="F353" s="14">
        <v>1450</v>
      </c>
      <c r="G353" s="14">
        <v>0</v>
      </c>
      <c r="H353" s="14">
        <v>0</v>
      </c>
      <c r="I353" s="14">
        <v>-450</v>
      </c>
      <c r="J353" s="14">
        <v>0</v>
      </c>
      <c r="K353" s="14">
        <v>1000</v>
      </c>
      <c r="L353" s="14">
        <v>0</v>
      </c>
      <c r="M353" s="14">
        <v>1000</v>
      </c>
      <c r="N353" s="14">
        <v>0</v>
      </c>
      <c r="O353" s="14">
        <v>0</v>
      </c>
      <c r="P353" t="s">
        <v>249</v>
      </c>
    </row>
    <row r="354" spans="1:16" x14ac:dyDescent="0.25">
      <c r="A354" t="s">
        <v>581</v>
      </c>
      <c r="B354">
        <v>160</v>
      </c>
      <c r="C354" t="s">
        <v>264</v>
      </c>
      <c r="D354" s="14">
        <v>1</v>
      </c>
      <c r="E354" s="14">
        <v>0</v>
      </c>
      <c r="F354" s="14">
        <v>1</v>
      </c>
      <c r="G354" s="14">
        <v>0</v>
      </c>
      <c r="H354" s="14">
        <v>0</v>
      </c>
      <c r="I354" s="14">
        <v>999</v>
      </c>
      <c r="J354" s="14">
        <v>0</v>
      </c>
      <c r="K354" s="14">
        <v>1000</v>
      </c>
      <c r="L354" s="14">
        <v>0</v>
      </c>
      <c r="M354" s="14">
        <v>1000</v>
      </c>
      <c r="N354" s="14">
        <v>0</v>
      </c>
      <c r="O354" s="14">
        <v>0</v>
      </c>
      <c r="P354" t="s">
        <v>249</v>
      </c>
    </row>
    <row r="355" spans="1:16" x14ac:dyDescent="0.25">
      <c r="A355" t="s">
        <v>582</v>
      </c>
      <c r="B355">
        <v>160</v>
      </c>
      <c r="C355" t="s">
        <v>264</v>
      </c>
      <c r="D355" s="14">
        <v>2</v>
      </c>
      <c r="E355" s="14">
        <v>0</v>
      </c>
      <c r="F355" s="14">
        <v>2</v>
      </c>
      <c r="G355" s="14">
        <v>0</v>
      </c>
      <c r="H355" s="14">
        <v>0</v>
      </c>
      <c r="I355" s="14">
        <v>998</v>
      </c>
      <c r="J355" s="14">
        <v>0</v>
      </c>
      <c r="K355" s="14">
        <v>1000</v>
      </c>
      <c r="L355" s="14">
        <v>0</v>
      </c>
      <c r="M355" s="14">
        <v>1000</v>
      </c>
      <c r="N355" s="14">
        <v>0</v>
      </c>
      <c r="O355" s="14">
        <v>0</v>
      </c>
      <c r="P355" t="s">
        <v>249</v>
      </c>
    </row>
    <row r="356" spans="1:16" x14ac:dyDescent="0.25">
      <c r="A356" t="s">
        <v>583</v>
      </c>
      <c r="B356">
        <v>160</v>
      </c>
      <c r="C356" t="s">
        <v>264</v>
      </c>
      <c r="D356" s="14">
        <v>1</v>
      </c>
      <c r="E356" s="14">
        <v>0</v>
      </c>
      <c r="F356" s="14">
        <v>1</v>
      </c>
      <c r="G356" s="14">
        <v>0</v>
      </c>
      <c r="H356" s="14">
        <v>0</v>
      </c>
      <c r="I356" s="14">
        <v>999</v>
      </c>
      <c r="J356" s="14">
        <v>0</v>
      </c>
      <c r="K356" s="14">
        <v>1000</v>
      </c>
      <c r="L356" s="14">
        <v>0</v>
      </c>
      <c r="M356" s="14">
        <v>1000</v>
      </c>
      <c r="N356" s="14">
        <v>0</v>
      </c>
      <c r="O356" s="14">
        <v>0</v>
      </c>
      <c r="P356" t="s">
        <v>249</v>
      </c>
    </row>
    <row r="357" spans="1:16" x14ac:dyDescent="0.25">
      <c r="A357" t="s">
        <v>584</v>
      </c>
      <c r="B357">
        <v>160</v>
      </c>
      <c r="C357" t="s">
        <v>264</v>
      </c>
      <c r="D357" s="14">
        <v>3</v>
      </c>
      <c r="E357" s="14">
        <v>0</v>
      </c>
      <c r="F357" s="14">
        <v>3</v>
      </c>
      <c r="G357" s="14">
        <v>0</v>
      </c>
      <c r="H357" s="14">
        <v>0</v>
      </c>
      <c r="I357" s="14">
        <v>2497</v>
      </c>
      <c r="J357" s="14">
        <v>0</v>
      </c>
      <c r="K357" s="14">
        <v>2500</v>
      </c>
      <c r="L357" s="14">
        <v>0</v>
      </c>
      <c r="M357" s="14">
        <v>2500</v>
      </c>
      <c r="N357" s="14">
        <v>0</v>
      </c>
      <c r="O357" s="14">
        <v>0</v>
      </c>
      <c r="P357" t="s">
        <v>249</v>
      </c>
    </row>
    <row r="358" spans="1:16" x14ac:dyDescent="0.25">
      <c r="A358" t="s">
        <v>585</v>
      </c>
      <c r="B358">
        <v>160</v>
      </c>
      <c r="C358" t="s">
        <v>264</v>
      </c>
      <c r="D358" s="14">
        <v>21</v>
      </c>
      <c r="E358" s="14">
        <v>0</v>
      </c>
      <c r="F358" s="14">
        <v>21</v>
      </c>
      <c r="G358" s="14">
        <v>0</v>
      </c>
      <c r="H358" s="14">
        <v>0</v>
      </c>
      <c r="I358" s="14">
        <v>4479</v>
      </c>
      <c r="J358" s="14">
        <v>0</v>
      </c>
      <c r="K358" s="14">
        <v>4500</v>
      </c>
      <c r="L358" s="14">
        <v>0</v>
      </c>
      <c r="M358" s="14">
        <v>4500</v>
      </c>
      <c r="N358" s="14">
        <v>0</v>
      </c>
      <c r="O358" s="14">
        <v>0</v>
      </c>
      <c r="P358" t="s">
        <v>249</v>
      </c>
    </row>
    <row r="359" spans="1:16" x14ac:dyDescent="0.25">
      <c r="A359" t="s">
        <v>586</v>
      </c>
      <c r="B359">
        <v>160</v>
      </c>
      <c r="C359" t="s">
        <v>264</v>
      </c>
      <c r="D359" s="14">
        <v>90</v>
      </c>
      <c r="E359" s="14">
        <v>0</v>
      </c>
      <c r="F359" s="14">
        <v>90</v>
      </c>
      <c r="G359" s="14">
        <v>0</v>
      </c>
      <c r="H359" s="14">
        <v>0</v>
      </c>
      <c r="I359" s="14">
        <v>242</v>
      </c>
      <c r="J359" s="14">
        <v>0</v>
      </c>
      <c r="K359" s="14">
        <v>332</v>
      </c>
      <c r="L359" s="14">
        <v>0</v>
      </c>
      <c r="M359" s="14">
        <v>332</v>
      </c>
      <c r="N359" s="14">
        <v>0</v>
      </c>
      <c r="O359" s="14">
        <v>0</v>
      </c>
      <c r="P359" t="s">
        <v>249</v>
      </c>
    </row>
    <row r="360" spans="1:16" x14ac:dyDescent="0.25">
      <c r="A360" t="s">
        <v>587</v>
      </c>
      <c r="B360">
        <v>160</v>
      </c>
      <c r="C360" t="s">
        <v>264</v>
      </c>
      <c r="D360" s="14">
        <v>45</v>
      </c>
      <c r="E360" s="14">
        <v>0</v>
      </c>
      <c r="F360" s="14">
        <v>45</v>
      </c>
      <c r="G360" s="14">
        <v>0</v>
      </c>
      <c r="H360" s="14">
        <v>0</v>
      </c>
      <c r="I360" s="14">
        <v>-4</v>
      </c>
      <c r="J360" s="14">
        <v>0</v>
      </c>
      <c r="K360" s="14">
        <v>41</v>
      </c>
      <c r="L360" s="14">
        <v>0</v>
      </c>
      <c r="M360" s="14">
        <v>41</v>
      </c>
      <c r="N360" s="14">
        <v>0</v>
      </c>
      <c r="O360" s="14">
        <v>0</v>
      </c>
      <c r="P360" t="s">
        <v>249</v>
      </c>
    </row>
    <row r="361" spans="1:16" x14ac:dyDescent="0.25">
      <c r="A361" t="s">
        <v>588</v>
      </c>
      <c r="B361">
        <v>160</v>
      </c>
      <c r="C361" t="s">
        <v>264</v>
      </c>
      <c r="D361" s="14">
        <v>11</v>
      </c>
      <c r="E361" s="14">
        <v>0</v>
      </c>
      <c r="F361" s="14">
        <v>11</v>
      </c>
      <c r="G361" s="14">
        <v>0</v>
      </c>
      <c r="H361" s="14">
        <v>0</v>
      </c>
      <c r="I361" s="14">
        <v>-3</v>
      </c>
      <c r="J361" s="14">
        <v>0</v>
      </c>
      <c r="K361" s="14">
        <v>8</v>
      </c>
      <c r="L361" s="14">
        <v>0</v>
      </c>
      <c r="M361" s="14">
        <v>8</v>
      </c>
      <c r="N361" s="14">
        <v>0</v>
      </c>
      <c r="O361" s="14">
        <v>0</v>
      </c>
      <c r="P361" t="s">
        <v>249</v>
      </c>
    </row>
    <row r="362" spans="1:16" x14ac:dyDescent="0.25">
      <c r="A362" t="s">
        <v>589</v>
      </c>
      <c r="B362">
        <v>160</v>
      </c>
      <c r="C362" t="s">
        <v>264</v>
      </c>
      <c r="D362" s="14">
        <v>12</v>
      </c>
      <c r="E362" s="14">
        <v>0</v>
      </c>
      <c r="F362" s="14">
        <v>12</v>
      </c>
      <c r="G362" s="14">
        <v>0</v>
      </c>
      <c r="H362" s="14">
        <v>0</v>
      </c>
      <c r="I362" s="14">
        <v>-6</v>
      </c>
      <c r="J362" s="14">
        <v>0</v>
      </c>
      <c r="K362" s="14">
        <v>6</v>
      </c>
      <c r="L362" s="14">
        <v>0</v>
      </c>
      <c r="M362" s="14">
        <v>6</v>
      </c>
      <c r="N362" s="14">
        <v>0</v>
      </c>
      <c r="O362" s="14">
        <v>0</v>
      </c>
      <c r="P362" t="s">
        <v>249</v>
      </c>
    </row>
    <row r="363" spans="1:16" x14ac:dyDescent="0.25">
      <c r="A363" t="s">
        <v>590</v>
      </c>
      <c r="B363">
        <v>160</v>
      </c>
      <c r="C363" t="s">
        <v>264</v>
      </c>
      <c r="D363" s="14">
        <v>86</v>
      </c>
      <c r="E363" s="14">
        <v>0</v>
      </c>
      <c r="F363" s="14">
        <v>86</v>
      </c>
      <c r="G363" s="14">
        <v>0</v>
      </c>
      <c r="H363" s="14">
        <v>0</v>
      </c>
      <c r="I363" s="14">
        <v>46</v>
      </c>
      <c r="J363" s="14">
        <v>0</v>
      </c>
      <c r="K363" s="14">
        <v>132</v>
      </c>
      <c r="L363" s="14">
        <v>0</v>
      </c>
      <c r="M363" s="14">
        <v>132</v>
      </c>
      <c r="N363" s="14">
        <v>0</v>
      </c>
      <c r="O363" s="14">
        <v>0</v>
      </c>
      <c r="P363" t="s">
        <v>249</v>
      </c>
    </row>
    <row r="364" spans="1:16" x14ac:dyDescent="0.25">
      <c r="A364" t="s">
        <v>591</v>
      </c>
      <c r="B364">
        <v>160</v>
      </c>
      <c r="C364" t="s">
        <v>264</v>
      </c>
      <c r="D364" s="14">
        <v>1</v>
      </c>
      <c r="E364" s="14">
        <v>0</v>
      </c>
      <c r="F364" s="14">
        <v>1</v>
      </c>
      <c r="G364" s="14">
        <v>0</v>
      </c>
      <c r="H364" s="14">
        <v>0</v>
      </c>
      <c r="I364" s="14">
        <v>-1</v>
      </c>
      <c r="J364" s="14">
        <v>0</v>
      </c>
      <c r="K364" s="14">
        <v>0</v>
      </c>
      <c r="L364" s="14">
        <v>0</v>
      </c>
      <c r="M364" s="14">
        <v>0</v>
      </c>
      <c r="N364" s="14">
        <v>0</v>
      </c>
      <c r="O364" s="14">
        <v>0</v>
      </c>
      <c r="P364" t="s">
        <v>249</v>
      </c>
    </row>
    <row r="365" spans="1:16" x14ac:dyDescent="0.25">
      <c r="A365" t="s">
        <v>592</v>
      </c>
      <c r="B365">
        <v>160</v>
      </c>
      <c r="C365" t="s">
        <v>264</v>
      </c>
      <c r="D365" s="14">
        <v>4</v>
      </c>
      <c r="E365" s="14">
        <v>0</v>
      </c>
      <c r="F365" s="14">
        <v>4</v>
      </c>
      <c r="G365" s="14">
        <v>0</v>
      </c>
      <c r="H365" s="14">
        <v>0</v>
      </c>
      <c r="I365" s="14">
        <v>-4</v>
      </c>
      <c r="J365" s="14">
        <v>0</v>
      </c>
      <c r="K365" s="14">
        <v>0</v>
      </c>
      <c r="L365" s="14">
        <v>0</v>
      </c>
      <c r="M365" s="14">
        <v>0</v>
      </c>
      <c r="N365" s="14">
        <v>0</v>
      </c>
      <c r="O365" s="14">
        <v>0</v>
      </c>
      <c r="P365" t="s">
        <v>249</v>
      </c>
    </row>
    <row r="366" spans="1:16" x14ac:dyDescent="0.25">
      <c r="A366" t="s">
        <v>593</v>
      </c>
      <c r="B366">
        <v>160</v>
      </c>
      <c r="C366" t="s">
        <v>264</v>
      </c>
      <c r="D366" s="14">
        <v>6</v>
      </c>
      <c r="E366" s="14">
        <v>0</v>
      </c>
      <c r="F366" s="14">
        <v>6</v>
      </c>
      <c r="G366" s="14">
        <v>0</v>
      </c>
      <c r="H366" s="14">
        <v>0</v>
      </c>
      <c r="I366" s="14">
        <v>-1</v>
      </c>
      <c r="J366" s="14">
        <v>0</v>
      </c>
      <c r="K366" s="14">
        <v>5</v>
      </c>
      <c r="L366" s="14">
        <v>0</v>
      </c>
      <c r="M366" s="14">
        <v>5</v>
      </c>
      <c r="N366" s="14">
        <v>0</v>
      </c>
      <c r="O366" s="14">
        <v>0</v>
      </c>
      <c r="P366" t="s">
        <v>249</v>
      </c>
    </row>
    <row r="367" spans="1:16" x14ac:dyDescent="0.25">
      <c r="A367" t="s">
        <v>594</v>
      </c>
      <c r="B367">
        <v>160</v>
      </c>
      <c r="C367" t="s">
        <v>264</v>
      </c>
      <c r="D367" s="14">
        <v>306</v>
      </c>
      <c r="E367" s="14">
        <v>0</v>
      </c>
      <c r="F367" s="14">
        <v>306</v>
      </c>
      <c r="G367" s="14">
        <v>0</v>
      </c>
      <c r="H367" s="14">
        <v>0</v>
      </c>
      <c r="I367" s="14">
        <v>-217</v>
      </c>
      <c r="J367" s="14">
        <v>0</v>
      </c>
      <c r="K367" s="14">
        <v>89</v>
      </c>
      <c r="L367" s="14">
        <v>0</v>
      </c>
      <c r="M367" s="14">
        <v>89</v>
      </c>
      <c r="N367" s="14">
        <v>0</v>
      </c>
      <c r="O367" s="14">
        <v>0</v>
      </c>
      <c r="P367" t="s">
        <v>249</v>
      </c>
    </row>
    <row r="368" spans="1:16" x14ac:dyDescent="0.25">
      <c r="A368" t="s">
        <v>595</v>
      </c>
      <c r="B368">
        <v>160</v>
      </c>
      <c r="C368" t="s">
        <v>264</v>
      </c>
      <c r="D368" s="14">
        <v>200</v>
      </c>
      <c r="E368" s="14">
        <v>0</v>
      </c>
      <c r="F368" s="14">
        <v>200</v>
      </c>
      <c r="G368" s="14">
        <v>0</v>
      </c>
      <c r="H368" s="14">
        <v>0</v>
      </c>
      <c r="I368" s="14">
        <v>-50</v>
      </c>
      <c r="J368" s="14">
        <v>0</v>
      </c>
      <c r="K368" s="14">
        <v>150</v>
      </c>
      <c r="L368" s="14">
        <v>0</v>
      </c>
      <c r="M368" s="14">
        <v>150</v>
      </c>
      <c r="N368" s="14">
        <v>0</v>
      </c>
      <c r="O368" s="14">
        <v>0</v>
      </c>
      <c r="P368" t="s">
        <v>249</v>
      </c>
    </row>
    <row r="369" spans="1:16" x14ac:dyDescent="0.25">
      <c r="A369" t="s">
        <v>596</v>
      </c>
      <c r="B369">
        <v>160</v>
      </c>
      <c r="C369" t="s">
        <v>264</v>
      </c>
      <c r="D369" s="14">
        <v>600</v>
      </c>
      <c r="E369" s="14">
        <v>0</v>
      </c>
      <c r="F369" s="14">
        <v>600</v>
      </c>
      <c r="G369" s="14">
        <v>0</v>
      </c>
      <c r="H369" s="14">
        <v>0</v>
      </c>
      <c r="I369" s="14">
        <v>250</v>
      </c>
      <c r="J369" s="14">
        <v>0</v>
      </c>
      <c r="K369" s="14">
        <v>850</v>
      </c>
      <c r="L369" s="14">
        <v>0</v>
      </c>
      <c r="M369" s="14">
        <v>850</v>
      </c>
      <c r="N369" s="14">
        <v>0</v>
      </c>
      <c r="O369" s="14">
        <v>0</v>
      </c>
      <c r="P369" t="s">
        <v>249</v>
      </c>
    </row>
    <row r="370" spans="1:16" x14ac:dyDescent="0.25">
      <c r="A370" t="s">
        <v>597</v>
      </c>
      <c r="B370">
        <v>160</v>
      </c>
      <c r="C370" t="s">
        <v>264</v>
      </c>
      <c r="D370" s="14">
        <v>300</v>
      </c>
      <c r="E370" s="14">
        <v>0</v>
      </c>
      <c r="F370" s="14">
        <v>300</v>
      </c>
      <c r="G370" s="14">
        <v>0</v>
      </c>
      <c r="H370" s="14">
        <v>0</v>
      </c>
      <c r="I370" s="14">
        <v>620</v>
      </c>
      <c r="J370" s="14">
        <v>0</v>
      </c>
      <c r="K370" s="14">
        <v>920</v>
      </c>
      <c r="L370" s="14">
        <v>0</v>
      </c>
      <c r="M370" s="14">
        <v>920</v>
      </c>
      <c r="N370" s="14">
        <v>0</v>
      </c>
      <c r="O370" s="14">
        <v>0</v>
      </c>
      <c r="P370" t="s">
        <v>249</v>
      </c>
    </row>
    <row r="371" spans="1:16" x14ac:dyDescent="0.25">
      <c r="A371" t="s">
        <v>598</v>
      </c>
      <c r="B371">
        <v>160</v>
      </c>
      <c r="C371" t="s">
        <v>264</v>
      </c>
      <c r="D371" s="14">
        <v>32</v>
      </c>
      <c r="E371" s="14">
        <v>0</v>
      </c>
      <c r="F371" s="14">
        <v>32</v>
      </c>
      <c r="G371" s="14">
        <v>0</v>
      </c>
      <c r="H371" s="14">
        <v>0</v>
      </c>
      <c r="I371" s="14">
        <v>-10</v>
      </c>
      <c r="J371" s="14">
        <v>0</v>
      </c>
      <c r="K371" s="14">
        <v>22</v>
      </c>
      <c r="L371" s="14">
        <v>0</v>
      </c>
      <c r="M371" s="14">
        <v>22</v>
      </c>
      <c r="N371" s="14">
        <v>0</v>
      </c>
      <c r="O371" s="14">
        <v>0</v>
      </c>
      <c r="P371" t="s">
        <v>249</v>
      </c>
    </row>
    <row r="372" spans="1:16" x14ac:dyDescent="0.25">
      <c r="A372" t="s">
        <v>599</v>
      </c>
      <c r="B372">
        <v>160</v>
      </c>
      <c r="C372" t="s">
        <v>264</v>
      </c>
      <c r="D372" s="14">
        <v>73</v>
      </c>
      <c r="E372" s="14">
        <v>0</v>
      </c>
      <c r="F372" s="14">
        <v>73</v>
      </c>
      <c r="G372" s="14">
        <v>0</v>
      </c>
      <c r="H372" s="14">
        <v>0</v>
      </c>
      <c r="I372" s="14">
        <v>-7</v>
      </c>
      <c r="J372" s="14">
        <v>0</v>
      </c>
      <c r="K372" s="14">
        <v>66</v>
      </c>
      <c r="L372" s="14">
        <v>0</v>
      </c>
      <c r="M372" s="14">
        <v>66</v>
      </c>
      <c r="N372" s="14">
        <v>0</v>
      </c>
      <c r="O372" s="14">
        <v>0</v>
      </c>
      <c r="P372" t="s">
        <v>249</v>
      </c>
    </row>
    <row r="373" spans="1:16" x14ac:dyDescent="0.25">
      <c r="A373" t="s">
        <v>600</v>
      </c>
      <c r="B373">
        <v>160</v>
      </c>
      <c r="C373" t="s">
        <v>264</v>
      </c>
      <c r="D373" s="14">
        <v>104</v>
      </c>
      <c r="E373" s="14">
        <v>0</v>
      </c>
      <c r="F373" s="14">
        <v>104</v>
      </c>
      <c r="G373" s="14">
        <v>0</v>
      </c>
      <c r="H373" s="14">
        <v>0</v>
      </c>
      <c r="I373" s="14">
        <v>-10</v>
      </c>
      <c r="J373" s="14">
        <v>0</v>
      </c>
      <c r="K373" s="14">
        <v>94</v>
      </c>
      <c r="L373" s="14">
        <v>0</v>
      </c>
      <c r="M373" s="14">
        <v>94</v>
      </c>
      <c r="N373" s="14">
        <v>0</v>
      </c>
      <c r="O373" s="14">
        <v>0</v>
      </c>
      <c r="P373" t="s">
        <v>249</v>
      </c>
    </row>
    <row r="374" spans="1:16" x14ac:dyDescent="0.25">
      <c r="A374" t="s">
        <v>602</v>
      </c>
      <c r="B374">
        <v>160</v>
      </c>
      <c r="C374" t="s">
        <v>264</v>
      </c>
      <c r="D374" s="14">
        <v>19</v>
      </c>
      <c r="E374" s="14">
        <v>0</v>
      </c>
      <c r="F374" s="14">
        <v>19</v>
      </c>
      <c r="G374" s="14">
        <v>0</v>
      </c>
      <c r="H374" s="14">
        <v>0</v>
      </c>
      <c r="I374" s="14">
        <v>-1</v>
      </c>
      <c r="J374" s="14">
        <v>0</v>
      </c>
      <c r="K374" s="14">
        <v>18</v>
      </c>
      <c r="L374" s="14">
        <v>0</v>
      </c>
      <c r="M374" s="14">
        <v>18</v>
      </c>
      <c r="N374" s="14">
        <v>0</v>
      </c>
      <c r="O374" s="14">
        <v>0</v>
      </c>
      <c r="P374" t="s">
        <v>249</v>
      </c>
    </row>
    <row r="375" spans="1:16" x14ac:dyDescent="0.25">
      <c r="A375" t="s">
        <v>603</v>
      </c>
      <c r="B375">
        <v>160</v>
      </c>
      <c r="C375" t="s">
        <v>264</v>
      </c>
      <c r="D375" s="14">
        <v>58</v>
      </c>
      <c r="E375" s="14">
        <v>0</v>
      </c>
      <c r="F375" s="14">
        <v>58</v>
      </c>
      <c r="G375" s="14">
        <v>0</v>
      </c>
      <c r="H375" s="14">
        <v>0</v>
      </c>
      <c r="I375" s="14">
        <v>-24</v>
      </c>
      <c r="J375" s="14">
        <v>0</v>
      </c>
      <c r="K375" s="14">
        <v>34</v>
      </c>
      <c r="L375" s="14">
        <v>0</v>
      </c>
      <c r="M375" s="14">
        <v>34</v>
      </c>
      <c r="N375" s="14">
        <v>0</v>
      </c>
      <c r="O375" s="14">
        <v>0</v>
      </c>
      <c r="P375" t="s">
        <v>249</v>
      </c>
    </row>
    <row r="376" spans="1:16" x14ac:dyDescent="0.25">
      <c r="A376" t="s">
        <v>604</v>
      </c>
      <c r="B376">
        <v>160</v>
      </c>
      <c r="C376" t="s">
        <v>264</v>
      </c>
      <c r="D376" s="14">
        <v>8</v>
      </c>
      <c r="E376" s="14">
        <v>0</v>
      </c>
      <c r="F376" s="14">
        <v>8</v>
      </c>
      <c r="G376" s="14">
        <v>0</v>
      </c>
      <c r="H376" s="14">
        <v>0</v>
      </c>
      <c r="I376" s="14">
        <v>-1</v>
      </c>
      <c r="J376" s="14">
        <v>0</v>
      </c>
      <c r="K376" s="14">
        <v>7</v>
      </c>
      <c r="L376" s="14">
        <v>0</v>
      </c>
      <c r="M376" s="14">
        <v>7</v>
      </c>
      <c r="N376" s="14">
        <v>0</v>
      </c>
      <c r="O376" s="14">
        <v>0</v>
      </c>
      <c r="P376" t="s">
        <v>249</v>
      </c>
    </row>
    <row r="377" spans="1:16" x14ac:dyDescent="0.25">
      <c r="A377" t="s">
        <v>605</v>
      </c>
      <c r="B377">
        <v>160</v>
      </c>
      <c r="C377" t="s">
        <v>264</v>
      </c>
      <c r="D377" s="14">
        <v>24</v>
      </c>
      <c r="E377" s="14">
        <v>0</v>
      </c>
      <c r="F377" s="14">
        <v>24</v>
      </c>
      <c r="G377" s="14">
        <v>0</v>
      </c>
      <c r="H377" s="14">
        <v>0</v>
      </c>
      <c r="I377" s="14">
        <v>0</v>
      </c>
      <c r="J377" s="14">
        <v>0</v>
      </c>
      <c r="K377" s="14">
        <v>24</v>
      </c>
      <c r="L377" s="14">
        <v>0</v>
      </c>
      <c r="M377" s="14">
        <v>24</v>
      </c>
      <c r="N377" s="14">
        <v>0</v>
      </c>
      <c r="O377" s="14">
        <v>0</v>
      </c>
      <c r="P377" t="s">
        <v>254</v>
      </c>
    </row>
    <row r="378" spans="1:16" x14ac:dyDescent="0.25">
      <c r="A378" t="s">
        <v>606</v>
      </c>
      <c r="B378">
        <v>160</v>
      </c>
      <c r="C378" t="s">
        <v>264</v>
      </c>
      <c r="D378" s="14">
        <v>127</v>
      </c>
      <c r="E378" s="14">
        <v>0</v>
      </c>
      <c r="F378" s="14">
        <v>127</v>
      </c>
      <c r="G378" s="14">
        <v>0</v>
      </c>
      <c r="H378" s="14">
        <v>0</v>
      </c>
      <c r="I378" s="14">
        <v>-54</v>
      </c>
      <c r="J378" s="14">
        <v>0</v>
      </c>
      <c r="K378" s="14">
        <v>73</v>
      </c>
      <c r="L378" s="14">
        <v>0</v>
      </c>
      <c r="M378" s="14">
        <v>73</v>
      </c>
      <c r="N378" s="14">
        <v>0</v>
      </c>
      <c r="O378" s="14">
        <v>0</v>
      </c>
      <c r="P378" t="s">
        <v>249</v>
      </c>
    </row>
    <row r="379" spans="1:16" x14ac:dyDescent="0.25">
      <c r="A379" t="s">
        <v>19</v>
      </c>
      <c r="B379">
        <v>160</v>
      </c>
      <c r="C379" t="s">
        <v>264</v>
      </c>
      <c r="D379" s="14"/>
      <c r="E379" s="14"/>
      <c r="F379" s="14">
        <v>0</v>
      </c>
      <c r="G379" s="14">
        <v>0</v>
      </c>
      <c r="H379" s="14">
        <v>0</v>
      </c>
      <c r="I379" s="14">
        <v>-24</v>
      </c>
      <c r="J379" s="14">
        <v>0</v>
      </c>
      <c r="K379" s="14"/>
      <c r="L379" s="14"/>
      <c r="M379" s="14">
        <v>0</v>
      </c>
      <c r="N379" s="14">
        <v>0</v>
      </c>
      <c r="O379" s="14">
        <v>0</v>
      </c>
      <c r="P379" t="s">
        <v>249</v>
      </c>
    </row>
    <row r="380" spans="1:16" x14ac:dyDescent="0.25">
      <c r="A380" t="s">
        <v>1424</v>
      </c>
      <c r="B380">
        <v>160</v>
      </c>
      <c r="C380" t="s">
        <v>264</v>
      </c>
      <c r="D380" s="14"/>
      <c r="E380" s="14"/>
      <c r="F380" s="14">
        <v>0</v>
      </c>
      <c r="G380" s="14">
        <v>0</v>
      </c>
      <c r="H380" s="14">
        <v>0</v>
      </c>
      <c r="I380" s="14">
        <v>-8</v>
      </c>
      <c r="J380" s="14">
        <v>0</v>
      </c>
      <c r="K380" s="14"/>
      <c r="L380" s="14"/>
      <c r="M380" s="14">
        <v>0</v>
      </c>
      <c r="N380" s="14">
        <v>0</v>
      </c>
      <c r="O380" s="14">
        <v>0</v>
      </c>
      <c r="P380" t="s">
        <v>249</v>
      </c>
    </row>
    <row r="381" spans="1:16" x14ac:dyDescent="0.25">
      <c r="A381" t="s">
        <v>1459</v>
      </c>
      <c r="B381">
        <v>160</v>
      </c>
      <c r="C381" t="s">
        <v>264</v>
      </c>
      <c r="D381" s="14"/>
      <c r="E381" s="14"/>
      <c r="F381" s="14">
        <v>0</v>
      </c>
      <c r="G381" s="14">
        <v>0</v>
      </c>
      <c r="H381" s="14">
        <v>0</v>
      </c>
      <c r="I381" s="14">
        <v>1</v>
      </c>
      <c r="J381" s="14">
        <v>0</v>
      </c>
      <c r="K381" s="14"/>
      <c r="L381" s="14"/>
      <c r="M381" s="14">
        <v>0</v>
      </c>
      <c r="N381" s="14">
        <v>0</v>
      </c>
      <c r="O381" s="14">
        <v>0</v>
      </c>
      <c r="P381" t="s">
        <v>249</v>
      </c>
    </row>
    <row r="382" spans="1:16" x14ac:dyDescent="0.25">
      <c r="A382" t="s">
        <v>1461</v>
      </c>
      <c r="B382">
        <v>160</v>
      </c>
      <c r="C382" t="s">
        <v>264</v>
      </c>
      <c r="D382" s="14"/>
      <c r="E382" s="14"/>
      <c r="F382" s="14">
        <v>0</v>
      </c>
      <c r="G382" s="14">
        <v>0</v>
      </c>
      <c r="H382" s="14">
        <v>0</v>
      </c>
      <c r="I382" s="14">
        <v>-1</v>
      </c>
      <c r="J382" s="14">
        <v>0</v>
      </c>
      <c r="K382" s="14"/>
      <c r="L382" s="14"/>
      <c r="M382" s="14">
        <v>0</v>
      </c>
      <c r="N382" s="14">
        <v>0</v>
      </c>
      <c r="O382" s="14">
        <v>0</v>
      </c>
      <c r="P382" t="s">
        <v>249</v>
      </c>
    </row>
    <row r="383" spans="1:16" x14ac:dyDescent="0.25">
      <c r="A383" t="s">
        <v>1463</v>
      </c>
      <c r="B383">
        <v>160</v>
      </c>
      <c r="C383" t="s">
        <v>264</v>
      </c>
      <c r="D383" s="14"/>
      <c r="E383" s="14"/>
      <c r="F383" s="14">
        <v>0</v>
      </c>
      <c r="G383" s="14">
        <v>0</v>
      </c>
      <c r="H383" s="14">
        <v>0</v>
      </c>
      <c r="I383" s="14">
        <v>-1</v>
      </c>
      <c r="J383" s="14">
        <v>0</v>
      </c>
      <c r="K383" s="14"/>
      <c r="L383" s="14"/>
      <c r="M383" s="14">
        <v>0</v>
      </c>
      <c r="N383" s="14">
        <v>0</v>
      </c>
      <c r="O383" s="14">
        <v>0</v>
      </c>
      <c r="P383" t="s">
        <v>249</v>
      </c>
    </row>
    <row r="384" spans="1:16" x14ac:dyDescent="0.25">
      <c r="A384" t="s">
        <v>1455</v>
      </c>
      <c r="B384">
        <v>160</v>
      </c>
      <c r="C384" t="s">
        <v>264</v>
      </c>
      <c r="D384" s="14"/>
      <c r="E384" s="14"/>
      <c r="F384" s="14">
        <v>0</v>
      </c>
      <c r="G384" s="14">
        <v>0</v>
      </c>
      <c r="H384" s="14">
        <v>0</v>
      </c>
      <c r="I384" s="14">
        <v>-1</v>
      </c>
      <c r="J384" s="14">
        <v>0</v>
      </c>
      <c r="K384" s="14"/>
      <c r="L384" s="14"/>
      <c r="M384" s="14">
        <v>0</v>
      </c>
      <c r="N384" s="14">
        <v>0</v>
      </c>
      <c r="O384" s="14">
        <v>0</v>
      </c>
      <c r="P384" t="s">
        <v>249</v>
      </c>
    </row>
    <row r="385" spans="1:16" x14ac:dyDescent="0.25">
      <c r="A385" t="s">
        <v>224</v>
      </c>
      <c r="B385">
        <v>160</v>
      </c>
      <c r="C385" t="s">
        <v>264</v>
      </c>
      <c r="D385" s="14"/>
      <c r="E385" s="14"/>
      <c r="F385" s="14">
        <v>0</v>
      </c>
      <c r="G385" s="14">
        <v>0</v>
      </c>
      <c r="H385" s="14">
        <v>0</v>
      </c>
      <c r="I385" s="14">
        <v>-3</v>
      </c>
      <c r="J385" s="14">
        <v>0</v>
      </c>
      <c r="K385" s="14"/>
      <c r="L385" s="14"/>
      <c r="M385" s="14">
        <v>0</v>
      </c>
      <c r="N385" s="14">
        <v>0</v>
      </c>
      <c r="O385" s="14">
        <v>0</v>
      </c>
      <c r="P385" t="s">
        <v>249</v>
      </c>
    </row>
    <row r="386" spans="1:16" x14ac:dyDescent="0.25">
      <c r="A386" t="s">
        <v>222</v>
      </c>
      <c r="B386">
        <v>160</v>
      </c>
      <c r="C386" t="s">
        <v>264</v>
      </c>
      <c r="D386" s="14"/>
      <c r="E386" s="14"/>
      <c r="F386" s="14">
        <v>0</v>
      </c>
      <c r="G386" s="14">
        <v>0</v>
      </c>
      <c r="H386" s="14">
        <v>0</v>
      </c>
      <c r="I386" s="14">
        <v>-9</v>
      </c>
      <c r="J386" s="14">
        <v>0</v>
      </c>
      <c r="K386" s="14"/>
      <c r="L386" s="14"/>
      <c r="M386" s="14">
        <v>0</v>
      </c>
      <c r="N386" s="14">
        <v>0</v>
      </c>
      <c r="O386" s="14">
        <v>0</v>
      </c>
      <c r="P386" t="s">
        <v>249</v>
      </c>
    </row>
    <row r="387" spans="1:16" x14ac:dyDescent="0.25">
      <c r="A387" t="s">
        <v>994</v>
      </c>
      <c r="B387">
        <v>160</v>
      </c>
      <c r="C387" t="s">
        <v>264</v>
      </c>
      <c r="D387" s="14"/>
      <c r="E387" s="14"/>
      <c r="F387" s="14">
        <v>0</v>
      </c>
      <c r="G387" s="14">
        <v>0</v>
      </c>
      <c r="H387" s="14">
        <v>0</v>
      </c>
      <c r="I387" s="14">
        <v>-31760</v>
      </c>
      <c r="J387" s="14">
        <v>0</v>
      </c>
      <c r="K387" s="14"/>
      <c r="L387" s="14"/>
      <c r="M387" s="14">
        <v>0</v>
      </c>
      <c r="N387" s="14">
        <v>0</v>
      </c>
      <c r="O387" s="14">
        <v>0</v>
      </c>
      <c r="P387" t="s">
        <v>249</v>
      </c>
    </row>
    <row r="388" spans="1:16" x14ac:dyDescent="0.25">
      <c r="A388" t="s">
        <v>186</v>
      </c>
      <c r="B388">
        <v>160</v>
      </c>
      <c r="C388" t="s">
        <v>290</v>
      </c>
      <c r="D388" s="14"/>
      <c r="E388" s="14"/>
      <c r="F388" s="14">
        <v>0</v>
      </c>
      <c r="G388" s="14">
        <v>0</v>
      </c>
      <c r="H388" s="14">
        <v>0</v>
      </c>
      <c r="I388" s="14">
        <v>-3256</v>
      </c>
      <c r="J388" s="14">
        <v>0</v>
      </c>
      <c r="K388" s="14"/>
      <c r="L388" s="14"/>
      <c r="M388" s="14">
        <v>0</v>
      </c>
      <c r="N388" s="14">
        <v>0</v>
      </c>
      <c r="O388" s="14">
        <v>0</v>
      </c>
      <c r="P388" t="s">
        <v>249</v>
      </c>
    </row>
    <row r="389" spans="1:16" x14ac:dyDescent="0.25">
      <c r="A389" t="s">
        <v>188</v>
      </c>
      <c r="B389">
        <v>160</v>
      </c>
      <c r="C389" t="s">
        <v>290</v>
      </c>
      <c r="D389" s="14"/>
      <c r="E389" s="14"/>
      <c r="F389" s="14">
        <v>0</v>
      </c>
      <c r="G389" s="14">
        <v>0</v>
      </c>
      <c r="H389" s="14">
        <v>0</v>
      </c>
      <c r="I389" s="14">
        <v>-2</v>
      </c>
      <c r="J389" s="14">
        <v>0</v>
      </c>
      <c r="K389" s="14"/>
      <c r="L389" s="14"/>
      <c r="M389" s="14">
        <v>0</v>
      </c>
      <c r="N389" s="14">
        <v>0</v>
      </c>
      <c r="O389" s="14">
        <v>0</v>
      </c>
      <c r="P389" t="s">
        <v>249</v>
      </c>
    </row>
    <row r="390" spans="1:16" x14ac:dyDescent="0.25">
      <c r="A390" t="s">
        <v>19</v>
      </c>
      <c r="B390">
        <v>160</v>
      </c>
      <c r="C390" t="s">
        <v>290</v>
      </c>
      <c r="D390" s="14"/>
      <c r="E390" s="14"/>
      <c r="F390" s="14">
        <v>0</v>
      </c>
      <c r="G390" s="14">
        <v>0</v>
      </c>
      <c r="H390" s="14">
        <v>0</v>
      </c>
      <c r="I390" s="14">
        <v>-1</v>
      </c>
      <c r="J390" s="14">
        <v>0</v>
      </c>
      <c r="K390" s="14"/>
      <c r="L390" s="14"/>
      <c r="M390" s="14">
        <v>0</v>
      </c>
      <c r="N390" s="14">
        <v>0</v>
      </c>
      <c r="O390" s="14">
        <v>0</v>
      </c>
      <c r="P390" t="s">
        <v>249</v>
      </c>
    </row>
    <row r="391" spans="1:16" x14ac:dyDescent="0.25">
      <c r="A391" t="s">
        <v>1453</v>
      </c>
      <c r="B391">
        <v>160</v>
      </c>
      <c r="C391" t="s">
        <v>264</v>
      </c>
      <c r="D391" s="14"/>
      <c r="E391" s="14"/>
      <c r="F391" s="14">
        <v>0</v>
      </c>
      <c r="G391" s="14">
        <v>0</v>
      </c>
      <c r="H391" s="14">
        <v>0</v>
      </c>
      <c r="I391" s="14">
        <v>-2</v>
      </c>
      <c r="J391" s="14">
        <v>0</v>
      </c>
      <c r="K391" s="14"/>
      <c r="L391" s="14"/>
      <c r="M391" s="14">
        <v>0</v>
      </c>
      <c r="N391" s="14">
        <v>0</v>
      </c>
      <c r="O391" s="14">
        <v>0</v>
      </c>
      <c r="P391" t="s">
        <v>249</v>
      </c>
    </row>
    <row r="392" spans="1:16" x14ac:dyDescent="0.25">
      <c r="A392" t="s">
        <v>1457</v>
      </c>
      <c r="B392">
        <v>160</v>
      </c>
      <c r="C392" t="s">
        <v>264</v>
      </c>
      <c r="D392" s="14"/>
      <c r="E392" s="14"/>
      <c r="F392" s="14">
        <v>0</v>
      </c>
      <c r="G392" s="14">
        <v>0</v>
      </c>
      <c r="H392" s="14">
        <v>0</v>
      </c>
      <c r="I392" s="14">
        <v>-2</v>
      </c>
      <c r="J392" s="14">
        <v>0</v>
      </c>
      <c r="K392" s="14"/>
      <c r="L392" s="14"/>
      <c r="M392" s="14">
        <v>0</v>
      </c>
      <c r="N392" s="14">
        <v>0</v>
      </c>
      <c r="O392" s="14">
        <v>0</v>
      </c>
      <c r="P392" t="s">
        <v>249</v>
      </c>
    </row>
    <row r="393" spans="1:16" x14ac:dyDescent="0.25">
      <c r="A393" t="s">
        <v>1143</v>
      </c>
      <c r="B393">
        <v>160</v>
      </c>
      <c r="C393" t="s">
        <v>264</v>
      </c>
      <c r="D393" s="14"/>
      <c r="E393" s="14"/>
      <c r="F393" s="14">
        <v>0</v>
      </c>
      <c r="G393" s="14">
        <v>0</v>
      </c>
      <c r="H393" s="14">
        <v>0</v>
      </c>
      <c r="I393" s="14">
        <v>25</v>
      </c>
      <c r="J393" s="14">
        <v>0</v>
      </c>
      <c r="K393" s="14"/>
      <c r="L393" s="14"/>
      <c r="M393" s="14">
        <v>0</v>
      </c>
      <c r="N393" s="14">
        <v>0</v>
      </c>
      <c r="O393" s="14">
        <v>0</v>
      </c>
      <c r="P393" t="s">
        <v>249</v>
      </c>
    </row>
    <row r="394" spans="1:16" x14ac:dyDescent="0.25">
      <c r="A394" t="s">
        <v>1311</v>
      </c>
      <c r="B394">
        <v>160</v>
      </c>
      <c r="C394" t="s">
        <v>264</v>
      </c>
      <c r="D394" s="14"/>
      <c r="E394" s="14"/>
      <c r="F394" s="14">
        <v>0</v>
      </c>
      <c r="G394" s="14">
        <v>0</v>
      </c>
      <c r="H394" s="14">
        <v>0</v>
      </c>
      <c r="I394" s="14">
        <v>3</v>
      </c>
      <c r="J394" s="14">
        <v>0</v>
      </c>
      <c r="K394" s="14"/>
      <c r="L394" s="14"/>
      <c r="M394" s="14">
        <v>0</v>
      </c>
      <c r="N394" s="14">
        <v>0</v>
      </c>
      <c r="O394" s="14">
        <v>0</v>
      </c>
      <c r="P394" t="s">
        <v>249</v>
      </c>
    </row>
    <row r="395" spans="1:16" x14ac:dyDescent="0.25">
      <c r="A395" t="s">
        <v>1145</v>
      </c>
      <c r="B395">
        <v>160</v>
      </c>
      <c r="C395" t="s">
        <v>264</v>
      </c>
      <c r="D395" s="14"/>
      <c r="E395" s="14"/>
      <c r="F395" s="14">
        <v>0</v>
      </c>
      <c r="G395" s="14">
        <v>0</v>
      </c>
      <c r="H395" s="14">
        <v>0</v>
      </c>
      <c r="I395" s="14">
        <v>-0.30019999999999997</v>
      </c>
      <c r="J395" s="14">
        <v>0</v>
      </c>
      <c r="K395" s="14"/>
      <c r="L395" s="14"/>
      <c r="M395" s="14">
        <v>0</v>
      </c>
      <c r="N395" s="14">
        <v>0</v>
      </c>
      <c r="O395" s="14">
        <v>0</v>
      </c>
      <c r="P395" t="s">
        <v>249</v>
      </c>
    </row>
    <row r="396" spans="1:16" x14ac:dyDescent="0.25">
      <c r="A396" t="s">
        <v>1442</v>
      </c>
      <c r="B396">
        <v>160</v>
      </c>
      <c r="C396" t="s">
        <v>264</v>
      </c>
      <c r="D396" s="14"/>
      <c r="E396" s="14"/>
      <c r="F396" s="14">
        <v>0</v>
      </c>
      <c r="G396" s="14">
        <v>0</v>
      </c>
      <c r="H396" s="14">
        <v>0</v>
      </c>
      <c r="I396" s="14">
        <v>-1271</v>
      </c>
      <c r="J396" s="14">
        <v>0</v>
      </c>
      <c r="K396" s="14"/>
      <c r="L396" s="14"/>
      <c r="M396" s="14">
        <v>0</v>
      </c>
      <c r="N396" s="14">
        <v>0</v>
      </c>
      <c r="O396" s="14">
        <v>0</v>
      </c>
      <c r="P396" t="s">
        <v>249</v>
      </c>
    </row>
    <row r="397" spans="1:16" x14ac:dyDescent="0.25"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</row>
  </sheetData>
  <dataValidations count="1">
    <dataValidation type="list" allowBlank="1" showInputMessage="1" showErrorMessage="1" sqref="P2:P397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604"/>
  <sheetViews>
    <sheetView workbookViewId="0">
      <selection activeCell="N3" sqref="N3"/>
    </sheetView>
  </sheetViews>
  <sheetFormatPr defaultRowHeight="15" x14ac:dyDescent="0.25"/>
  <cols>
    <col min="1" max="1" width="14.7109375" customWidth="1"/>
    <col min="2" max="2" width="12.7109375" customWidth="1"/>
    <col min="4" max="4" width="13.42578125" customWidth="1"/>
    <col min="6" max="6" width="17.7109375" customWidth="1"/>
    <col min="7" max="7" width="12.28515625" customWidth="1"/>
    <col min="8" max="8" width="10.85546875" customWidth="1"/>
    <col min="10" max="10" width="21.7109375" customWidth="1"/>
    <col min="11" max="11" width="24.42578125" customWidth="1"/>
    <col min="12" max="12" width="11" customWidth="1"/>
    <col min="13" max="13" width="13.28515625" customWidth="1"/>
    <col min="15" max="15" width="21.140625" customWidth="1"/>
    <col min="16" max="16" width="23.85546875" customWidth="1"/>
    <col min="17" max="17" width="14.5703125" customWidth="1"/>
  </cols>
  <sheetData>
    <row r="1" spans="1:17" x14ac:dyDescent="0.25">
      <c r="A1" t="s">
        <v>6</v>
      </c>
      <c r="B1" t="s">
        <v>30</v>
      </c>
      <c r="C1" t="s">
        <v>49</v>
      </c>
      <c r="D1" t="s">
        <v>50</v>
      </c>
      <c r="E1" t="s">
        <v>47</v>
      </c>
      <c r="F1" t="s">
        <v>2338</v>
      </c>
      <c r="G1" t="s">
        <v>8</v>
      </c>
      <c r="H1" t="s">
        <v>12</v>
      </c>
      <c r="I1" t="s">
        <v>36</v>
      </c>
      <c r="J1" t="s">
        <v>2339</v>
      </c>
      <c r="K1" t="s">
        <v>2340</v>
      </c>
      <c r="L1" t="s">
        <v>45</v>
      </c>
      <c r="M1" t="s">
        <v>256</v>
      </c>
      <c r="N1" t="s">
        <v>257</v>
      </c>
      <c r="O1" t="s">
        <v>2341</v>
      </c>
      <c r="P1" t="s">
        <v>2342</v>
      </c>
      <c r="Q1" t="s">
        <v>258</v>
      </c>
    </row>
    <row r="2" spans="1:17" x14ac:dyDescent="0.25">
      <c r="A2" t="s">
        <v>260</v>
      </c>
      <c r="B2" t="s">
        <v>970</v>
      </c>
      <c r="C2">
        <v>160</v>
      </c>
      <c r="D2" t="s">
        <v>263</v>
      </c>
      <c r="E2" s="1">
        <v>43084</v>
      </c>
      <c r="F2" t="s">
        <v>927</v>
      </c>
      <c r="G2" t="s">
        <v>1687</v>
      </c>
      <c r="H2">
        <v>-18</v>
      </c>
      <c r="I2" t="s">
        <v>37</v>
      </c>
      <c r="J2">
        <v>0</v>
      </c>
      <c r="M2" t="s">
        <v>170</v>
      </c>
      <c r="N2" t="s">
        <v>1846</v>
      </c>
    </row>
    <row r="3" spans="1:17" x14ac:dyDescent="0.25">
      <c r="A3" t="s">
        <v>260</v>
      </c>
      <c r="B3" t="s">
        <v>970</v>
      </c>
      <c r="C3">
        <v>160</v>
      </c>
      <c r="D3" t="s">
        <v>263</v>
      </c>
      <c r="E3" s="1">
        <v>43084</v>
      </c>
      <c r="F3" t="s">
        <v>927</v>
      </c>
      <c r="G3" t="s">
        <v>1687</v>
      </c>
      <c r="H3">
        <v>-18</v>
      </c>
      <c r="I3" t="s">
        <v>37</v>
      </c>
      <c r="J3">
        <v>0</v>
      </c>
      <c r="K3">
        <v>0</v>
      </c>
      <c r="M3" t="s">
        <v>255</v>
      </c>
      <c r="N3" t="s">
        <v>1846</v>
      </c>
      <c r="O3">
        <v>0</v>
      </c>
      <c r="P3">
        <v>0</v>
      </c>
      <c r="Q3" t="s">
        <v>249</v>
      </c>
    </row>
    <row r="4" spans="1:17" x14ac:dyDescent="0.25">
      <c r="A4" t="s">
        <v>260</v>
      </c>
      <c r="B4" t="s">
        <v>970</v>
      </c>
      <c r="C4">
        <v>160</v>
      </c>
      <c r="D4" t="s">
        <v>263</v>
      </c>
      <c r="E4" s="1">
        <v>43084</v>
      </c>
      <c r="F4" t="s">
        <v>927</v>
      </c>
      <c r="G4" t="s">
        <v>1689</v>
      </c>
      <c r="H4">
        <v>-14</v>
      </c>
      <c r="I4" t="s">
        <v>37</v>
      </c>
      <c r="J4">
        <v>0</v>
      </c>
      <c r="M4" t="s">
        <v>170</v>
      </c>
      <c r="N4" t="s">
        <v>1849</v>
      </c>
    </row>
    <row r="5" spans="1:17" x14ac:dyDescent="0.25">
      <c r="A5" t="s">
        <v>260</v>
      </c>
      <c r="B5" t="s">
        <v>970</v>
      </c>
      <c r="C5">
        <v>160</v>
      </c>
      <c r="D5" t="s">
        <v>263</v>
      </c>
      <c r="E5" s="1">
        <v>43084</v>
      </c>
      <c r="F5" t="s">
        <v>927</v>
      </c>
      <c r="G5" t="s">
        <v>1689</v>
      </c>
      <c r="H5">
        <v>-14</v>
      </c>
      <c r="I5" t="s">
        <v>37</v>
      </c>
      <c r="J5">
        <v>0</v>
      </c>
      <c r="K5">
        <v>0</v>
      </c>
      <c r="M5" t="s">
        <v>255</v>
      </c>
      <c r="N5" t="s">
        <v>1849</v>
      </c>
      <c r="O5">
        <v>0</v>
      </c>
      <c r="P5">
        <v>0</v>
      </c>
      <c r="Q5" t="s">
        <v>249</v>
      </c>
    </row>
    <row r="6" spans="1:17" x14ac:dyDescent="0.25">
      <c r="A6" t="s">
        <v>260</v>
      </c>
      <c r="B6" t="s">
        <v>970</v>
      </c>
      <c r="C6">
        <v>160</v>
      </c>
      <c r="D6" t="s">
        <v>263</v>
      </c>
      <c r="E6" s="1">
        <v>43088</v>
      </c>
      <c r="F6" t="s">
        <v>21</v>
      </c>
      <c r="G6" t="s">
        <v>1875</v>
      </c>
      <c r="H6">
        <v>4</v>
      </c>
      <c r="I6" t="s">
        <v>37</v>
      </c>
      <c r="J6">
        <v>0</v>
      </c>
      <c r="M6" t="s">
        <v>170</v>
      </c>
      <c r="N6" t="s">
        <v>1876</v>
      </c>
    </row>
    <row r="7" spans="1:17" x14ac:dyDescent="0.25">
      <c r="A7" t="s">
        <v>260</v>
      </c>
      <c r="B7" t="s">
        <v>970</v>
      </c>
      <c r="C7">
        <v>160</v>
      </c>
      <c r="D7" t="s">
        <v>263</v>
      </c>
      <c r="E7" s="1">
        <v>43088</v>
      </c>
      <c r="F7" t="s">
        <v>21</v>
      </c>
      <c r="G7" t="s">
        <v>1875</v>
      </c>
      <c r="H7">
        <v>4</v>
      </c>
      <c r="I7" t="s">
        <v>37</v>
      </c>
      <c r="J7">
        <v>0</v>
      </c>
      <c r="M7" t="s">
        <v>255</v>
      </c>
      <c r="N7" t="s">
        <v>1876</v>
      </c>
      <c r="O7">
        <v>0</v>
      </c>
      <c r="P7">
        <v>0</v>
      </c>
      <c r="Q7" t="s">
        <v>249</v>
      </c>
    </row>
    <row r="8" spans="1:17" x14ac:dyDescent="0.25">
      <c r="A8" t="s">
        <v>260</v>
      </c>
      <c r="B8" t="s">
        <v>970</v>
      </c>
      <c r="C8">
        <v>160</v>
      </c>
      <c r="D8" t="s">
        <v>264</v>
      </c>
      <c r="E8" s="1">
        <v>43089</v>
      </c>
      <c r="F8" t="s">
        <v>21</v>
      </c>
      <c r="G8" t="s">
        <v>1993</v>
      </c>
      <c r="H8">
        <v>-1</v>
      </c>
      <c r="I8" t="s">
        <v>37</v>
      </c>
      <c r="J8">
        <v>0</v>
      </c>
      <c r="M8" t="s">
        <v>170</v>
      </c>
      <c r="N8" t="s">
        <v>1994</v>
      </c>
    </row>
    <row r="9" spans="1:17" x14ac:dyDescent="0.25">
      <c r="A9" t="s">
        <v>260</v>
      </c>
      <c r="B9" t="s">
        <v>970</v>
      </c>
      <c r="C9">
        <v>160</v>
      </c>
      <c r="D9" t="s">
        <v>264</v>
      </c>
      <c r="E9" s="1">
        <v>43089</v>
      </c>
      <c r="F9" t="s">
        <v>21</v>
      </c>
      <c r="G9" t="s">
        <v>1993</v>
      </c>
      <c r="H9">
        <v>-1</v>
      </c>
      <c r="I9" t="s">
        <v>37</v>
      </c>
      <c r="J9">
        <v>0</v>
      </c>
      <c r="K9">
        <v>0</v>
      </c>
      <c r="M9" t="s">
        <v>255</v>
      </c>
      <c r="N9" t="s">
        <v>1994</v>
      </c>
      <c r="O9">
        <v>0</v>
      </c>
      <c r="P9">
        <v>0</v>
      </c>
      <c r="Q9" t="s">
        <v>249</v>
      </c>
    </row>
    <row r="10" spans="1:17" x14ac:dyDescent="0.25">
      <c r="A10" t="s">
        <v>267</v>
      </c>
      <c r="B10" t="s">
        <v>974</v>
      </c>
      <c r="C10">
        <v>160</v>
      </c>
      <c r="D10" t="s">
        <v>264</v>
      </c>
      <c r="E10" s="1">
        <v>43089</v>
      </c>
      <c r="F10" t="s">
        <v>21</v>
      </c>
      <c r="G10" t="s">
        <v>2087</v>
      </c>
      <c r="H10">
        <v>15</v>
      </c>
      <c r="I10" t="s">
        <v>37</v>
      </c>
      <c r="J10">
        <v>0</v>
      </c>
      <c r="M10" t="s">
        <v>170</v>
      </c>
      <c r="N10" t="s">
        <v>2088</v>
      </c>
    </row>
    <row r="11" spans="1:17" x14ac:dyDescent="0.25">
      <c r="A11" t="s">
        <v>267</v>
      </c>
      <c r="B11" t="s">
        <v>974</v>
      </c>
      <c r="C11">
        <v>160</v>
      </c>
      <c r="D11" t="s">
        <v>264</v>
      </c>
      <c r="E11" s="1">
        <v>43089</v>
      </c>
      <c r="F11" t="s">
        <v>21</v>
      </c>
      <c r="G11" t="s">
        <v>2087</v>
      </c>
      <c r="H11">
        <v>15</v>
      </c>
      <c r="I11" t="s">
        <v>37</v>
      </c>
      <c r="J11">
        <v>0</v>
      </c>
      <c r="M11" t="s">
        <v>255</v>
      </c>
      <c r="N11" t="s">
        <v>2088</v>
      </c>
      <c r="O11">
        <v>0</v>
      </c>
      <c r="P11">
        <v>0</v>
      </c>
      <c r="Q11" t="s">
        <v>249</v>
      </c>
    </row>
    <row r="12" spans="1:17" x14ac:dyDescent="0.25">
      <c r="A12" t="s">
        <v>268</v>
      </c>
      <c r="B12" t="s">
        <v>975</v>
      </c>
      <c r="C12">
        <v>160</v>
      </c>
      <c r="D12" t="s">
        <v>264</v>
      </c>
      <c r="E12" s="1">
        <v>43089</v>
      </c>
      <c r="F12" t="s">
        <v>21</v>
      </c>
      <c r="G12" t="s">
        <v>2018</v>
      </c>
      <c r="H12">
        <v>-1</v>
      </c>
      <c r="I12" t="s">
        <v>37</v>
      </c>
      <c r="J12">
        <v>0</v>
      </c>
      <c r="M12" t="s">
        <v>170</v>
      </c>
      <c r="N12" t="s">
        <v>2019</v>
      </c>
    </row>
    <row r="13" spans="1:17" x14ac:dyDescent="0.25">
      <c r="A13" t="s">
        <v>268</v>
      </c>
      <c r="B13" t="s">
        <v>975</v>
      </c>
      <c r="C13">
        <v>160</v>
      </c>
      <c r="D13" t="s">
        <v>264</v>
      </c>
      <c r="E13" s="1">
        <v>43089</v>
      </c>
      <c r="F13" t="s">
        <v>21</v>
      </c>
      <c r="G13" t="s">
        <v>2018</v>
      </c>
      <c r="H13">
        <v>-1</v>
      </c>
      <c r="I13" t="s">
        <v>37</v>
      </c>
      <c r="J13">
        <v>0</v>
      </c>
      <c r="K13">
        <v>0</v>
      </c>
      <c r="M13" t="s">
        <v>255</v>
      </c>
      <c r="N13" t="s">
        <v>2019</v>
      </c>
      <c r="O13">
        <v>0</v>
      </c>
      <c r="P13">
        <v>0</v>
      </c>
      <c r="Q13" t="s">
        <v>249</v>
      </c>
    </row>
    <row r="14" spans="1:17" x14ac:dyDescent="0.25">
      <c r="A14" t="s">
        <v>270</v>
      </c>
      <c r="B14" t="s">
        <v>978</v>
      </c>
      <c r="C14">
        <v>160</v>
      </c>
      <c r="D14" t="s">
        <v>264</v>
      </c>
      <c r="E14" s="1">
        <v>43089</v>
      </c>
      <c r="F14" t="s">
        <v>21</v>
      </c>
      <c r="G14" t="s">
        <v>1993</v>
      </c>
      <c r="H14">
        <v>-53</v>
      </c>
      <c r="I14" t="s">
        <v>120</v>
      </c>
      <c r="J14">
        <v>0</v>
      </c>
      <c r="M14" t="s">
        <v>170</v>
      </c>
      <c r="N14" t="s">
        <v>1995</v>
      </c>
    </row>
    <row r="15" spans="1:17" x14ac:dyDescent="0.25">
      <c r="A15" t="s">
        <v>270</v>
      </c>
      <c r="B15" t="s">
        <v>978</v>
      </c>
      <c r="C15">
        <v>160</v>
      </c>
      <c r="D15" t="s">
        <v>264</v>
      </c>
      <c r="E15" s="1">
        <v>43089</v>
      </c>
      <c r="F15" t="s">
        <v>21</v>
      </c>
      <c r="G15" t="s">
        <v>1993</v>
      </c>
      <c r="H15">
        <v>-53</v>
      </c>
      <c r="I15" t="s">
        <v>120</v>
      </c>
      <c r="J15">
        <v>0</v>
      </c>
      <c r="K15">
        <v>0</v>
      </c>
      <c r="M15" t="s">
        <v>255</v>
      </c>
      <c r="N15" t="s">
        <v>1995</v>
      </c>
      <c r="O15">
        <v>0</v>
      </c>
      <c r="P15">
        <v>0</v>
      </c>
      <c r="Q15" t="s">
        <v>249</v>
      </c>
    </row>
    <row r="16" spans="1:17" x14ac:dyDescent="0.25">
      <c r="A16" t="s">
        <v>272</v>
      </c>
      <c r="B16" t="s">
        <v>980</v>
      </c>
      <c r="C16">
        <v>160</v>
      </c>
      <c r="D16" t="s">
        <v>264</v>
      </c>
      <c r="E16" s="1">
        <v>43089</v>
      </c>
      <c r="F16" t="s">
        <v>21</v>
      </c>
      <c r="G16" t="s">
        <v>1993</v>
      </c>
      <c r="H16">
        <v>-87</v>
      </c>
      <c r="I16" t="s">
        <v>120</v>
      </c>
      <c r="J16">
        <v>0</v>
      </c>
      <c r="M16" t="s">
        <v>170</v>
      </c>
      <c r="N16" t="s">
        <v>1996</v>
      </c>
    </row>
    <row r="17" spans="1:17" x14ac:dyDescent="0.25">
      <c r="A17" t="s">
        <v>272</v>
      </c>
      <c r="B17" t="s">
        <v>980</v>
      </c>
      <c r="C17">
        <v>160</v>
      </c>
      <c r="D17" t="s">
        <v>264</v>
      </c>
      <c r="E17" s="1">
        <v>43089</v>
      </c>
      <c r="F17" t="s">
        <v>21</v>
      </c>
      <c r="G17" t="s">
        <v>1993</v>
      </c>
      <c r="H17">
        <v>-87</v>
      </c>
      <c r="I17" t="s">
        <v>120</v>
      </c>
      <c r="J17">
        <v>0</v>
      </c>
      <c r="K17">
        <v>0</v>
      </c>
      <c r="M17" t="s">
        <v>255</v>
      </c>
      <c r="N17" t="s">
        <v>1996</v>
      </c>
      <c r="O17">
        <v>0</v>
      </c>
      <c r="P17">
        <v>0</v>
      </c>
      <c r="Q17" t="s">
        <v>249</v>
      </c>
    </row>
    <row r="18" spans="1:17" x14ac:dyDescent="0.25">
      <c r="A18" t="s">
        <v>273</v>
      </c>
      <c r="B18" t="s">
        <v>981</v>
      </c>
      <c r="C18">
        <v>160</v>
      </c>
      <c r="D18" t="s">
        <v>264</v>
      </c>
      <c r="E18" s="1">
        <v>43089</v>
      </c>
      <c r="F18" t="s">
        <v>21</v>
      </c>
      <c r="G18" t="s">
        <v>1993</v>
      </c>
      <c r="H18">
        <v>-44.2</v>
      </c>
      <c r="I18" t="s">
        <v>120</v>
      </c>
      <c r="J18">
        <v>0</v>
      </c>
      <c r="M18" t="s">
        <v>170</v>
      </c>
      <c r="N18" t="s">
        <v>1997</v>
      </c>
    </row>
    <row r="19" spans="1:17" x14ac:dyDescent="0.25">
      <c r="A19" t="s">
        <v>273</v>
      </c>
      <c r="B19" t="s">
        <v>981</v>
      </c>
      <c r="C19">
        <v>160</v>
      </c>
      <c r="D19" t="s">
        <v>264</v>
      </c>
      <c r="E19" s="1">
        <v>43089</v>
      </c>
      <c r="F19" t="s">
        <v>21</v>
      </c>
      <c r="G19" t="s">
        <v>1993</v>
      </c>
      <c r="H19">
        <v>-44.2</v>
      </c>
      <c r="I19" t="s">
        <v>120</v>
      </c>
      <c r="J19">
        <v>0</v>
      </c>
      <c r="K19">
        <v>0</v>
      </c>
      <c r="M19" t="s">
        <v>255</v>
      </c>
      <c r="N19" t="s">
        <v>1997</v>
      </c>
      <c r="O19">
        <v>0</v>
      </c>
      <c r="P19">
        <v>0</v>
      </c>
      <c r="Q19" t="s">
        <v>249</v>
      </c>
    </row>
    <row r="20" spans="1:17" x14ac:dyDescent="0.25">
      <c r="A20" t="s">
        <v>274</v>
      </c>
      <c r="B20" t="s">
        <v>982</v>
      </c>
      <c r="C20">
        <v>160</v>
      </c>
      <c r="D20" t="s">
        <v>264</v>
      </c>
      <c r="E20" s="1">
        <v>43077</v>
      </c>
      <c r="F20" t="s">
        <v>17</v>
      </c>
      <c r="G20" t="s">
        <v>1724</v>
      </c>
      <c r="H20">
        <v>480</v>
      </c>
      <c r="I20" t="s">
        <v>120</v>
      </c>
      <c r="J20">
        <v>0</v>
      </c>
      <c r="K20">
        <v>0</v>
      </c>
      <c r="M20" t="s">
        <v>170</v>
      </c>
      <c r="N20" t="s">
        <v>1725</v>
      </c>
    </row>
    <row r="21" spans="1:17" x14ac:dyDescent="0.25">
      <c r="A21" t="s">
        <v>274</v>
      </c>
      <c r="B21" t="s">
        <v>982</v>
      </c>
      <c r="C21">
        <v>160</v>
      </c>
      <c r="D21" t="s">
        <v>264</v>
      </c>
      <c r="E21" s="1">
        <v>43077</v>
      </c>
      <c r="F21" t="s">
        <v>17</v>
      </c>
      <c r="G21" t="s">
        <v>1724</v>
      </c>
      <c r="H21">
        <v>480</v>
      </c>
      <c r="I21" t="s">
        <v>120</v>
      </c>
      <c r="J21">
        <v>0</v>
      </c>
      <c r="K21">
        <v>0</v>
      </c>
      <c r="M21" t="s">
        <v>255</v>
      </c>
      <c r="N21" t="s">
        <v>1725</v>
      </c>
      <c r="O21">
        <v>0</v>
      </c>
      <c r="P21">
        <v>0</v>
      </c>
      <c r="Q21" t="s">
        <v>249</v>
      </c>
    </row>
    <row r="22" spans="1:17" x14ac:dyDescent="0.25">
      <c r="A22" t="s">
        <v>274</v>
      </c>
      <c r="B22" t="s">
        <v>982</v>
      </c>
      <c r="C22">
        <v>160</v>
      </c>
      <c r="D22" t="s">
        <v>264</v>
      </c>
      <c r="E22" s="1">
        <v>43089</v>
      </c>
      <c r="F22" t="s">
        <v>21</v>
      </c>
      <c r="G22" t="s">
        <v>2018</v>
      </c>
      <c r="H22">
        <v>-2.5</v>
      </c>
      <c r="I22" t="s">
        <v>120</v>
      </c>
      <c r="J22">
        <v>0</v>
      </c>
      <c r="M22" t="s">
        <v>170</v>
      </c>
      <c r="N22" t="s">
        <v>2020</v>
      </c>
    </row>
    <row r="23" spans="1:17" x14ac:dyDescent="0.25">
      <c r="A23" t="s">
        <v>274</v>
      </c>
      <c r="B23" t="s">
        <v>982</v>
      </c>
      <c r="C23">
        <v>160</v>
      </c>
      <c r="D23" t="s">
        <v>264</v>
      </c>
      <c r="E23" s="1">
        <v>43089</v>
      </c>
      <c r="F23" t="s">
        <v>21</v>
      </c>
      <c r="G23" t="s">
        <v>2018</v>
      </c>
      <c r="H23">
        <v>-2.5</v>
      </c>
      <c r="I23" t="s">
        <v>120</v>
      </c>
      <c r="J23">
        <v>0</v>
      </c>
      <c r="K23">
        <v>0</v>
      </c>
      <c r="M23" t="s">
        <v>255</v>
      </c>
      <c r="N23" t="s">
        <v>2020</v>
      </c>
      <c r="O23">
        <v>0</v>
      </c>
      <c r="P23">
        <v>0</v>
      </c>
      <c r="Q23" t="s">
        <v>249</v>
      </c>
    </row>
    <row r="24" spans="1:17" x14ac:dyDescent="0.25">
      <c r="A24" t="s">
        <v>275</v>
      </c>
      <c r="B24" t="s">
        <v>983</v>
      </c>
      <c r="C24">
        <v>160</v>
      </c>
      <c r="D24" t="s">
        <v>264</v>
      </c>
      <c r="E24" s="1">
        <v>43089</v>
      </c>
      <c r="F24" t="s">
        <v>21</v>
      </c>
      <c r="G24" t="s">
        <v>1993</v>
      </c>
      <c r="H24">
        <v>-71</v>
      </c>
      <c r="I24" t="s">
        <v>120</v>
      </c>
      <c r="J24">
        <v>0</v>
      </c>
      <c r="M24" t="s">
        <v>170</v>
      </c>
      <c r="N24" t="s">
        <v>1998</v>
      </c>
    </row>
    <row r="25" spans="1:17" x14ac:dyDescent="0.25">
      <c r="A25" t="s">
        <v>275</v>
      </c>
      <c r="B25" t="s">
        <v>983</v>
      </c>
      <c r="C25">
        <v>160</v>
      </c>
      <c r="D25" t="s">
        <v>264</v>
      </c>
      <c r="E25" s="1">
        <v>43089</v>
      </c>
      <c r="F25" t="s">
        <v>21</v>
      </c>
      <c r="G25" t="s">
        <v>1993</v>
      </c>
      <c r="H25">
        <v>-71</v>
      </c>
      <c r="I25" t="s">
        <v>120</v>
      </c>
      <c r="J25">
        <v>0</v>
      </c>
      <c r="K25">
        <v>0</v>
      </c>
      <c r="M25" t="s">
        <v>255</v>
      </c>
      <c r="N25" t="s">
        <v>1998</v>
      </c>
      <c r="O25">
        <v>0</v>
      </c>
      <c r="P25">
        <v>0</v>
      </c>
      <c r="Q25" t="s">
        <v>249</v>
      </c>
    </row>
    <row r="26" spans="1:17" x14ac:dyDescent="0.25">
      <c r="A26" t="s">
        <v>276</v>
      </c>
      <c r="B26" t="s">
        <v>984</v>
      </c>
      <c r="C26">
        <v>160</v>
      </c>
      <c r="D26" t="s">
        <v>264</v>
      </c>
      <c r="E26" s="1">
        <v>43089</v>
      </c>
      <c r="F26" t="s">
        <v>21</v>
      </c>
      <c r="G26" t="s">
        <v>1993</v>
      </c>
      <c r="H26">
        <v>-20.8</v>
      </c>
      <c r="I26" t="s">
        <v>120</v>
      </c>
      <c r="J26">
        <v>0</v>
      </c>
      <c r="M26" t="s">
        <v>170</v>
      </c>
      <c r="N26" t="s">
        <v>1999</v>
      </c>
    </row>
    <row r="27" spans="1:17" x14ac:dyDescent="0.25">
      <c r="A27" t="s">
        <v>276</v>
      </c>
      <c r="B27" t="s">
        <v>984</v>
      </c>
      <c r="C27">
        <v>160</v>
      </c>
      <c r="D27" t="s">
        <v>264</v>
      </c>
      <c r="E27" s="1">
        <v>43089</v>
      </c>
      <c r="F27" t="s">
        <v>21</v>
      </c>
      <c r="G27" t="s">
        <v>1993</v>
      </c>
      <c r="H27">
        <v>-20.8</v>
      </c>
      <c r="I27" t="s">
        <v>120</v>
      </c>
      <c r="J27">
        <v>0</v>
      </c>
      <c r="K27">
        <v>0</v>
      </c>
      <c r="M27" t="s">
        <v>255</v>
      </c>
      <c r="N27" t="s">
        <v>1999</v>
      </c>
      <c r="O27">
        <v>0</v>
      </c>
      <c r="P27">
        <v>0</v>
      </c>
      <c r="Q27" t="s">
        <v>249</v>
      </c>
    </row>
    <row r="28" spans="1:17" x14ac:dyDescent="0.25">
      <c r="A28" t="s">
        <v>277</v>
      </c>
      <c r="B28" t="s">
        <v>985</v>
      </c>
      <c r="C28">
        <v>160</v>
      </c>
      <c r="D28" t="s">
        <v>264</v>
      </c>
      <c r="E28" s="1">
        <v>43089</v>
      </c>
      <c r="F28" t="s">
        <v>21</v>
      </c>
      <c r="G28" t="s">
        <v>1993</v>
      </c>
      <c r="H28">
        <v>-43.2</v>
      </c>
      <c r="I28" t="s">
        <v>120</v>
      </c>
      <c r="J28">
        <v>0</v>
      </c>
      <c r="M28" t="s">
        <v>170</v>
      </c>
      <c r="N28" t="s">
        <v>2000</v>
      </c>
    </row>
    <row r="29" spans="1:17" x14ac:dyDescent="0.25">
      <c r="A29" t="s">
        <v>277</v>
      </c>
      <c r="B29" t="s">
        <v>985</v>
      </c>
      <c r="C29">
        <v>160</v>
      </c>
      <c r="D29" t="s">
        <v>264</v>
      </c>
      <c r="E29" s="1">
        <v>43089</v>
      </c>
      <c r="F29" t="s">
        <v>21</v>
      </c>
      <c r="G29" t="s">
        <v>1993</v>
      </c>
      <c r="H29">
        <v>-43.2</v>
      </c>
      <c r="I29" t="s">
        <v>120</v>
      </c>
      <c r="J29">
        <v>0</v>
      </c>
      <c r="K29">
        <v>0</v>
      </c>
      <c r="M29" t="s">
        <v>255</v>
      </c>
      <c r="N29" t="s">
        <v>2000</v>
      </c>
      <c r="O29">
        <v>0</v>
      </c>
      <c r="P29">
        <v>0</v>
      </c>
      <c r="Q29" t="s">
        <v>249</v>
      </c>
    </row>
    <row r="30" spans="1:17" x14ac:dyDescent="0.25">
      <c r="A30" t="s">
        <v>52</v>
      </c>
      <c r="B30" t="s">
        <v>96</v>
      </c>
      <c r="C30">
        <v>160</v>
      </c>
      <c r="D30" t="s">
        <v>264</v>
      </c>
      <c r="E30" s="1">
        <v>43089</v>
      </c>
      <c r="F30" t="s">
        <v>21</v>
      </c>
      <c r="G30" t="s">
        <v>2087</v>
      </c>
      <c r="H30">
        <v>-1381.75</v>
      </c>
      <c r="I30" t="s">
        <v>38</v>
      </c>
      <c r="J30">
        <v>0</v>
      </c>
      <c r="M30" t="s">
        <v>170</v>
      </c>
      <c r="N30" t="s">
        <v>2089</v>
      </c>
    </row>
    <row r="31" spans="1:17" x14ac:dyDescent="0.25">
      <c r="A31" t="s">
        <v>52</v>
      </c>
      <c r="B31" t="s">
        <v>96</v>
      </c>
      <c r="C31">
        <v>160</v>
      </c>
      <c r="D31" t="s">
        <v>264</v>
      </c>
      <c r="E31" s="1">
        <v>43089</v>
      </c>
      <c r="F31" t="s">
        <v>21</v>
      </c>
      <c r="G31" t="s">
        <v>2087</v>
      </c>
      <c r="H31">
        <v>-1381.75</v>
      </c>
      <c r="I31" t="s">
        <v>38</v>
      </c>
      <c r="J31">
        <v>0</v>
      </c>
      <c r="K31">
        <v>0</v>
      </c>
      <c r="M31" t="s">
        <v>255</v>
      </c>
      <c r="N31" t="s">
        <v>2089</v>
      </c>
      <c r="O31">
        <v>0</v>
      </c>
      <c r="P31">
        <v>0</v>
      </c>
      <c r="Q31" t="s">
        <v>249</v>
      </c>
    </row>
    <row r="32" spans="1:17" x14ac:dyDescent="0.25">
      <c r="A32" t="s">
        <v>52</v>
      </c>
      <c r="B32" t="s">
        <v>96</v>
      </c>
      <c r="C32">
        <v>160</v>
      </c>
      <c r="D32" t="s">
        <v>264</v>
      </c>
      <c r="E32" s="1">
        <v>43091</v>
      </c>
      <c r="F32" t="s">
        <v>21</v>
      </c>
      <c r="G32" t="s">
        <v>2329</v>
      </c>
      <c r="H32">
        <v>171.1</v>
      </c>
      <c r="I32" t="s">
        <v>38</v>
      </c>
      <c r="J32">
        <v>0</v>
      </c>
      <c r="M32" t="s">
        <v>170</v>
      </c>
      <c r="N32" t="s">
        <v>2330</v>
      </c>
    </row>
    <row r="33" spans="1:17" x14ac:dyDescent="0.25">
      <c r="A33" t="s">
        <v>52</v>
      </c>
      <c r="B33" t="s">
        <v>96</v>
      </c>
      <c r="C33">
        <v>160</v>
      </c>
      <c r="D33" t="s">
        <v>264</v>
      </c>
      <c r="E33" s="1">
        <v>43091</v>
      </c>
      <c r="F33" t="s">
        <v>21</v>
      </c>
      <c r="G33" t="s">
        <v>2329</v>
      </c>
      <c r="H33">
        <v>171.1</v>
      </c>
      <c r="I33" t="s">
        <v>38</v>
      </c>
      <c r="J33">
        <v>0</v>
      </c>
      <c r="M33" t="s">
        <v>255</v>
      </c>
      <c r="N33" t="s">
        <v>2330</v>
      </c>
      <c r="O33">
        <v>0</v>
      </c>
      <c r="P33">
        <v>0</v>
      </c>
      <c r="Q33" t="s">
        <v>249</v>
      </c>
    </row>
    <row r="34" spans="1:17" ht="75" x14ac:dyDescent="0.25">
      <c r="A34" t="s">
        <v>136</v>
      </c>
      <c r="B34" s="15" t="s">
        <v>161</v>
      </c>
      <c r="C34">
        <v>160</v>
      </c>
      <c r="D34" t="s">
        <v>264</v>
      </c>
      <c r="E34" s="1">
        <v>43089</v>
      </c>
      <c r="F34" t="s">
        <v>21</v>
      </c>
      <c r="G34" t="s">
        <v>2087</v>
      </c>
      <c r="H34">
        <v>-14.6</v>
      </c>
      <c r="I34" t="s">
        <v>38</v>
      </c>
      <c r="J34">
        <v>0</v>
      </c>
      <c r="M34" t="s">
        <v>170</v>
      </c>
      <c r="N34" t="s">
        <v>2090</v>
      </c>
    </row>
    <row r="35" spans="1:17" ht="75" x14ac:dyDescent="0.25">
      <c r="A35" t="s">
        <v>136</v>
      </c>
      <c r="B35" s="15" t="s">
        <v>161</v>
      </c>
      <c r="C35">
        <v>160</v>
      </c>
      <c r="D35" t="s">
        <v>264</v>
      </c>
      <c r="E35" s="1">
        <v>43089</v>
      </c>
      <c r="F35" t="s">
        <v>21</v>
      </c>
      <c r="G35" t="s">
        <v>2087</v>
      </c>
      <c r="H35">
        <v>-14.6</v>
      </c>
      <c r="I35" t="s">
        <v>38</v>
      </c>
      <c r="J35">
        <v>0</v>
      </c>
      <c r="K35">
        <v>0</v>
      </c>
      <c r="M35" t="s">
        <v>255</v>
      </c>
      <c r="N35" t="s">
        <v>2090</v>
      </c>
      <c r="O35">
        <v>0</v>
      </c>
      <c r="P35">
        <v>0</v>
      </c>
      <c r="Q35" t="s">
        <v>249</v>
      </c>
    </row>
    <row r="36" spans="1:17" x14ac:dyDescent="0.25">
      <c r="A36" t="s">
        <v>278</v>
      </c>
      <c r="B36" t="s">
        <v>986</v>
      </c>
      <c r="C36">
        <v>160</v>
      </c>
      <c r="D36" t="s">
        <v>264</v>
      </c>
      <c r="E36" s="1">
        <v>43089</v>
      </c>
      <c r="F36" t="s">
        <v>21</v>
      </c>
      <c r="G36" t="s">
        <v>1967</v>
      </c>
      <c r="H36">
        <v>11.81</v>
      </c>
      <c r="I36" t="s">
        <v>39</v>
      </c>
      <c r="J36">
        <v>0</v>
      </c>
      <c r="M36" t="s">
        <v>170</v>
      </c>
      <c r="N36" t="s">
        <v>1968</v>
      </c>
    </row>
    <row r="37" spans="1:17" x14ac:dyDescent="0.25">
      <c r="A37" t="s">
        <v>278</v>
      </c>
      <c r="B37" t="s">
        <v>986</v>
      </c>
      <c r="C37">
        <v>160</v>
      </c>
      <c r="D37" t="s">
        <v>264</v>
      </c>
      <c r="E37" s="1">
        <v>43089</v>
      </c>
      <c r="F37" t="s">
        <v>21</v>
      </c>
      <c r="G37" t="s">
        <v>1967</v>
      </c>
      <c r="H37">
        <v>11.81</v>
      </c>
      <c r="I37" t="s">
        <v>39</v>
      </c>
      <c r="J37">
        <v>0</v>
      </c>
      <c r="M37" t="s">
        <v>255</v>
      </c>
      <c r="N37" t="s">
        <v>1968</v>
      </c>
      <c r="O37">
        <v>0</v>
      </c>
      <c r="P37">
        <v>0</v>
      </c>
      <c r="Q37" t="s">
        <v>249</v>
      </c>
    </row>
    <row r="38" spans="1:17" x14ac:dyDescent="0.25">
      <c r="A38" t="s">
        <v>283</v>
      </c>
      <c r="B38" t="s">
        <v>991</v>
      </c>
      <c r="C38">
        <v>160</v>
      </c>
      <c r="D38" t="s">
        <v>264</v>
      </c>
      <c r="E38" s="1">
        <v>43089</v>
      </c>
      <c r="F38" t="s">
        <v>21</v>
      </c>
      <c r="G38" t="s">
        <v>2087</v>
      </c>
      <c r="H38">
        <v>-32</v>
      </c>
      <c r="I38" t="s">
        <v>38</v>
      </c>
      <c r="J38">
        <v>0</v>
      </c>
      <c r="M38" t="s">
        <v>170</v>
      </c>
      <c r="N38" t="s">
        <v>2091</v>
      </c>
    </row>
    <row r="39" spans="1:17" x14ac:dyDescent="0.25">
      <c r="A39" t="s">
        <v>283</v>
      </c>
      <c r="B39" t="s">
        <v>991</v>
      </c>
      <c r="C39">
        <v>160</v>
      </c>
      <c r="D39" t="s">
        <v>264</v>
      </c>
      <c r="E39" s="1">
        <v>43089</v>
      </c>
      <c r="F39" t="s">
        <v>21</v>
      </c>
      <c r="G39" t="s">
        <v>2087</v>
      </c>
      <c r="H39">
        <v>-32</v>
      </c>
      <c r="I39" t="s">
        <v>38</v>
      </c>
      <c r="J39">
        <v>0</v>
      </c>
      <c r="K39">
        <v>0</v>
      </c>
      <c r="M39" t="s">
        <v>255</v>
      </c>
      <c r="N39" t="s">
        <v>2091</v>
      </c>
      <c r="O39">
        <v>0</v>
      </c>
      <c r="P39">
        <v>0</v>
      </c>
      <c r="Q39" t="s">
        <v>249</v>
      </c>
    </row>
    <row r="40" spans="1:17" x14ac:dyDescent="0.25">
      <c r="A40" t="s">
        <v>284</v>
      </c>
      <c r="B40" t="s">
        <v>992</v>
      </c>
      <c r="C40">
        <v>160</v>
      </c>
      <c r="D40" t="s">
        <v>264</v>
      </c>
      <c r="E40" s="1">
        <v>43089</v>
      </c>
      <c r="F40" t="s">
        <v>21</v>
      </c>
      <c r="G40" t="s">
        <v>2087</v>
      </c>
      <c r="H40">
        <v>-15.6</v>
      </c>
      <c r="I40" t="s">
        <v>38</v>
      </c>
      <c r="J40">
        <v>0</v>
      </c>
      <c r="M40" t="s">
        <v>170</v>
      </c>
      <c r="N40" t="s">
        <v>2092</v>
      </c>
    </row>
    <row r="41" spans="1:17" x14ac:dyDescent="0.25">
      <c r="A41" t="s">
        <v>284</v>
      </c>
      <c r="B41" t="s">
        <v>992</v>
      </c>
      <c r="C41">
        <v>160</v>
      </c>
      <c r="D41" t="s">
        <v>264</v>
      </c>
      <c r="E41" s="1">
        <v>43089</v>
      </c>
      <c r="F41" t="s">
        <v>21</v>
      </c>
      <c r="G41" t="s">
        <v>2087</v>
      </c>
      <c r="H41">
        <v>-15.6</v>
      </c>
      <c r="I41" t="s">
        <v>38</v>
      </c>
      <c r="J41">
        <v>0</v>
      </c>
      <c r="K41">
        <v>0</v>
      </c>
      <c r="M41" t="s">
        <v>255</v>
      </c>
      <c r="N41" t="s">
        <v>2092</v>
      </c>
      <c r="O41">
        <v>0</v>
      </c>
      <c r="P41">
        <v>0</v>
      </c>
      <c r="Q41" t="s">
        <v>249</v>
      </c>
    </row>
    <row r="42" spans="1:17" x14ac:dyDescent="0.25">
      <c r="A42" t="s">
        <v>137</v>
      </c>
      <c r="B42" t="s">
        <v>182</v>
      </c>
      <c r="C42">
        <v>160</v>
      </c>
      <c r="D42" t="s">
        <v>264</v>
      </c>
      <c r="E42" s="1">
        <v>43089</v>
      </c>
      <c r="F42" t="s">
        <v>21</v>
      </c>
      <c r="G42" t="s">
        <v>2087</v>
      </c>
      <c r="H42">
        <v>29.05</v>
      </c>
      <c r="I42" t="s">
        <v>38</v>
      </c>
      <c r="J42">
        <v>0</v>
      </c>
      <c r="M42" t="s">
        <v>170</v>
      </c>
      <c r="N42" t="s">
        <v>2093</v>
      </c>
    </row>
    <row r="43" spans="1:17" x14ac:dyDescent="0.25">
      <c r="A43" t="s">
        <v>137</v>
      </c>
      <c r="B43" t="s">
        <v>182</v>
      </c>
      <c r="C43">
        <v>160</v>
      </c>
      <c r="D43" t="s">
        <v>264</v>
      </c>
      <c r="E43" s="1">
        <v>43089</v>
      </c>
      <c r="F43" t="s">
        <v>21</v>
      </c>
      <c r="G43" t="s">
        <v>2087</v>
      </c>
      <c r="H43">
        <v>29.05</v>
      </c>
      <c r="I43" t="s">
        <v>38</v>
      </c>
      <c r="J43">
        <v>0</v>
      </c>
      <c r="M43" t="s">
        <v>255</v>
      </c>
      <c r="N43" t="s">
        <v>2093</v>
      </c>
      <c r="O43">
        <v>0</v>
      </c>
      <c r="P43">
        <v>0</v>
      </c>
      <c r="Q43" t="s">
        <v>249</v>
      </c>
    </row>
    <row r="44" spans="1:17" x14ac:dyDescent="0.25">
      <c r="A44" t="s">
        <v>285</v>
      </c>
      <c r="B44" t="s">
        <v>993</v>
      </c>
      <c r="C44">
        <v>160</v>
      </c>
      <c r="D44" t="s">
        <v>264</v>
      </c>
      <c r="E44" s="1">
        <v>43089</v>
      </c>
      <c r="F44" t="s">
        <v>21</v>
      </c>
      <c r="G44" t="s">
        <v>2087</v>
      </c>
      <c r="H44">
        <v>97.5</v>
      </c>
      <c r="I44" t="s">
        <v>38</v>
      </c>
      <c r="J44">
        <v>0</v>
      </c>
      <c r="M44" t="s">
        <v>170</v>
      </c>
      <c r="N44" t="s">
        <v>2094</v>
      </c>
    </row>
    <row r="45" spans="1:17" x14ac:dyDescent="0.25">
      <c r="A45" t="s">
        <v>285</v>
      </c>
      <c r="B45" t="s">
        <v>993</v>
      </c>
      <c r="C45">
        <v>160</v>
      </c>
      <c r="D45" t="s">
        <v>264</v>
      </c>
      <c r="E45" s="1">
        <v>43089</v>
      </c>
      <c r="F45" t="s">
        <v>21</v>
      </c>
      <c r="G45" t="s">
        <v>2087</v>
      </c>
      <c r="H45">
        <v>97.5</v>
      </c>
      <c r="I45" t="s">
        <v>38</v>
      </c>
      <c r="J45">
        <v>0</v>
      </c>
      <c r="M45" t="s">
        <v>255</v>
      </c>
      <c r="N45" t="s">
        <v>2094</v>
      </c>
      <c r="O45">
        <v>0</v>
      </c>
      <c r="P45">
        <v>0</v>
      </c>
      <c r="Q45" t="s">
        <v>249</v>
      </c>
    </row>
    <row r="46" spans="1:17" x14ac:dyDescent="0.25">
      <c r="A46" t="s">
        <v>287</v>
      </c>
      <c r="B46" t="s">
        <v>996</v>
      </c>
      <c r="C46">
        <v>160</v>
      </c>
      <c r="D46" t="s">
        <v>264</v>
      </c>
      <c r="E46" s="1">
        <v>43089</v>
      </c>
      <c r="F46" t="s">
        <v>21</v>
      </c>
      <c r="G46" t="s">
        <v>1911</v>
      </c>
      <c r="H46">
        <v>2</v>
      </c>
      <c r="I46" t="s">
        <v>38</v>
      </c>
      <c r="J46">
        <v>0</v>
      </c>
      <c r="M46" t="s">
        <v>170</v>
      </c>
      <c r="N46" t="s">
        <v>1912</v>
      </c>
    </row>
    <row r="47" spans="1:17" x14ac:dyDescent="0.25">
      <c r="A47" t="s">
        <v>287</v>
      </c>
      <c r="B47" t="s">
        <v>996</v>
      </c>
      <c r="C47">
        <v>160</v>
      </c>
      <c r="D47" t="s">
        <v>264</v>
      </c>
      <c r="E47" s="1">
        <v>43089</v>
      </c>
      <c r="F47" t="s">
        <v>21</v>
      </c>
      <c r="G47" t="s">
        <v>1911</v>
      </c>
      <c r="H47">
        <v>2</v>
      </c>
      <c r="I47" t="s">
        <v>38</v>
      </c>
      <c r="J47">
        <v>0</v>
      </c>
      <c r="M47" t="s">
        <v>255</v>
      </c>
      <c r="N47" t="s">
        <v>1912</v>
      </c>
      <c r="O47">
        <v>0</v>
      </c>
      <c r="P47">
        <v>0</v>
      </c>
      <c r="Q47" t="s">
        <v>249</v>
      </c>
    </row>
    <row r="48" spans="1:17" x14ac:dyDescent="0.25">
      <c r="A48" t="s">
        <v>53</v>
      </c>
      <c r="B48" t="s">
        <v>997</v>
      </c>
      <c r="C48">
        <v>160</v>
      </c>
      <c r="D48" t="s">
        <v>290</v>
      </c>
      <c r="E48" s="1">
        <v>43088</v>
      </c>
      <c r="F48" t="s">
        <v>21</v>
      </c>
      <c r="G48" t="s">
        <v>1879</v>
      </c>
      <c r="H48">
        <v>1</v>
      </c>
      <c r="I48" t="s">
        <v>37</v>
      </c>
      <c r="J48">
        <v>0</v>
      </c>
      <c r="M48" t="s">
        <v>170</v>
      </c>
      <c r="N48" t="s">
        <v>1880</v>
      </c>
    </row>
    <row r="49" spans="1:17" x14ac:dyDescent="0.25">
      <c r="A49" t="s">
        <v>53</v>
      </c>
      <c r="B49" t="s">
        <v>997</v>
      </c>
      <c r="C49">
        <v>160</v>
      </c>
      <c r="D49" t="s">
        <v>290</v>
      </c>
      <c r="E49" s="1">
        <v>43088</v>
      </c>
      <c r="F49" t="s">
        <v>21</v>
      </c>
      <c r="G49" t="s">
        <v>1879</v>
      </c>
      <c r="H49">
        <v>1</v>
      </c>
      <c r="I49" t="s">
        <v>37</v>
      </c>
      <c r="J49">
        <v>0</v>
      </c>
      <c r="M49" t="s">
        <v>255</v>
      </c>
      <c r="N49" t="s">
        <v>1880</v>
      </c>
      <c r="O49">
        <v>0</v>
      </c>
      <c r="P49">
        <v>0</v>
      </c>
      <c r="Q49" t="s">
        <v>249</v>
      </c>
    </row>
    <row r="50" spans="1:17" x14ac:dyDescent="0.25">
      <c r="A50" t="s">
        <v>53</v>
      </c>
      <c r="B50" t="s">
        <v>997</v>
      </c>
      <c r="C50">
        <v>160</v>
      </c>
      <c r="D50" t="s">
        <v>264</v>
      </c>
      <c r="E50" s="1">
        <v>43089</v>
      </c>
      <c r="F50" t="s">
        <v>21</v>
      </c>
      <c r="G50" t="s">
        <v>1967</v>
      </c>
      <c r="H50">
        <v>14</v>
      </c>
      <c r="I50" t="s">
        <v>37</v>
      </c>
      <c r="J50">
        <v>0</v>
      </c>
      <c r="M50" t="s">
        <v>170</v>
      </c>
      <c r="N50" t="s">
        <v>1970</v>
      </c>
    </row>
    <row r="51" spans="1:17" x14ac:dyDescent="0.25">
      <c r="A51" t="s">
        <v>53</v>
      </c>
      <c r="B51" t="s">
        <v>997</v>
      </c>
      <c r="C51">
        <v>160</v>
      </c>
      <c r="D51" t="s">
        <v>264</v>
      </c>
      <c r="E51" s="1">
        <v>43089</v>
      </c>
      <c r="F51" t="s">
        <v>21</v>
      </c>
      <c r="G51" t="s">
        <v>1967</v>
      </c>
      <c r="H51">
        <v>14</v>
      </c>
      <c r="I51" t="s">
        <v>37</v>
      </c>
      <c r="J51">
        <v>0</v>
      </c>
      <c r="M51" t="s">
        <v>255</v>
      </c>
      <c r="N51" t="s">
        <v>1970</v>
      </c>
      <c r="O51">
        <v>0</v>
      </c>
      <c r="P51">
        <v>0</v>
      </c>
      <c r="Q51" t="s">
        <v>249</v>
      </c>
    </row>
    <row r="52" spans="1:17" x14ac:dyDescent="0.25">
      <c r="A52" t="s">
        <v>138</v>
      </c>
      <c r="B52" t="s">
        <v>184</v>
      </c>
      <c r="C52">
        <v>160</v>
      </c>
      <c r="D52" t="s">
        <v>264</v>
      </c>
      <c r="E52" s="1">
        <v>43089</v>
      </c>
      <c r="F52" t="s">
        <v>21</v>
      </c>
      <c r="G52" t="s">
        <v>2087</v>
      </c>
      <c r="H52">
        <v>-750</v>
      </c>
      <c r="I52" t="s">
        <v>37</v>
      </c>
      <c r="J52">
        <v>0</v>
      </c>
      <c r="M52" t="s">
        <v>170</v>
      </c>
      <c r="N52" t="s">
        <v>2095</v>
      </c>
    </row>
    <row r="53" spans="1:17" x14ac:dyDescent="0.25">
      <c r="A53" t="s">
        <v>138</v>
      </c>
      <c r="B53" t="s">
        <v>184</v>
      </c>
      <c r="C53">
        <v>160</v>
      </c>
      <c r="D53" t="s">
        <v>264</v>
      </c>
      <c r="E53" s="1">
        <v>43089</v>
      </c>
      <c r="F53" t="s">
        <v>21</v>
      </c>
      <c r="G53" t="s">
        <v>2087</v>
      </c>
      <c r="H53">
        <v>-750</v>
      </c>
      <c r="I53" t="s">
        <v>37</v>
      </c>
      <c r="J53">
        <v>0</v>
      </c>
      <c r="K53">
        <v>0</v>
      </c>
      <c r="M53" t="s">
        <v>255</v>
      </c>
      <c r="N53" t="s">
        <v>2095</v>
      </c>
      <c r="O53">
        <v>0</v>
      </c>
      <c r="P53">
        <v>0</v>
      </c>
      <c r="Q53" t="s">
        <v>249</v>
      </c>
    </row>
    <row r="54" spans="1:17" x14ac:dyDescent="0.25">
      <c r="A54" t="s">
        <v>139</v>
      </c>
      <c r="B54" t="s">
        <v>1005</v>
      </c>
      <c r="C54">
        <v>160</v>
      </c>
      <c r="D54" t="s">
        <v>264</v>
      </c>
      <c r="E54" s="1">
        <v>43089</v>
      </c>
      <c r="F54" t="s">
        <v>21</v>
      </c>
      <c r="G54" t="s">
        <v>2087</v>
      </c>
      <c r="H54">
        <v>35</v>
      </c>
      <c r="I54" t="s">
        <v>37</v>
      </c>
      <c r="J54">
        <v>0</v>
      </c>
      <c r="M54" t="s">
        <v>170</v>
      </c>
      <c r="N54" t="s">
        <v>2096</v>
      </c>
    </row>
    <row r="55" spans="1:17" x14ac:dyDescent="0.25">
      <c r="A55" t="s">
        <v>139</v>
      </c>
      <c r="B55" t="s">
        <v>1005</v>
      </c>
      <c r="C55">
        <v>160</v>
      </c>
      <c r="D55" t="s">
        <v>264</v>
      </c>
      <c r="E55" s="1">
        <v>43089</v>
      </c>
      <c r="F55" t="s">
        <v>21</v>
      </c>
      <c r="G55" t="s">
        <v>2087</v>
      </c>
      <c r="H55">
        <v>35</v>
      </c>
      <c r="I55" t="s">
        <v>37</v>
      </c>
      <c r="J55">
        <v>0</v>
      </c>
      <c r="M55" t="s">
        <v>255</v>
      </c>
      <c r="N55" t="s">
        <v>2096</v>
      </c>
      <c r="O55">
        <v>0</v>
      </c>
      <c r="P55">
        <v>0</v>
      </c>
      <c r="Q55" t="s">
        <v>249</v>
      </c>
    </row>
    <row r="56" spans="1:17" x14ac:dyDescent="0.25">
      <c r="A56" t="s">
        <v>185</v>
      </c>
      <c r="B56" t="s">
        <v>1006</v>
      </c>
      <c r="C56">
        <v>160</v>
      </c>
      <c r="D56" t="s">
        <v>264</v>
      </c>
      <c r="E56" s="1">
        <v>43089</v>
      </c>
      <c r="F56" t="s">
        <v>21</v>
      </c>
      <c r="G56" t="s">
        <v>2087</v>
      </c>
      <c r="H56">
        <v>36</v>
      </c>
      <c r="I56" t="s">
        <v>37</v>
      </c>
      <c r="J56">
        <v>0</v>
      </c>
      <c r="M56" t="s">
        <v>170</v>
      </c>
      <c r="N56" t="s">
        <v>2097</v>
      </c>
    </row>
    <row r="57" spans="1:17" x14ac:dyDescent="0.25">
      <c r="A57" t="s">
        <v>185</v>
      </c>
      <c r="B57" t="s">
        <v>1006</v>
      </c>
      <c r="C57">
        <v>160</v>
      </c>
      <c r="D57" t="s">
        <v>264</v>
      </c>
      <c r="E57" s="1">
        <v>43089</v>
      </c>
      <c r="F57" t="s">
        <v>21</v>
      </c>
      <c r="G57" t="s">
        <v>2087</v>
      </c>
      <c r="H57">
        <v>36</v>
      </c>
      <c r="I57" t="s">
        <v>37</v>
      </c>
      <c r="J57">
        <v>0</v>
      </c>
      <c r="M57" t="s">
        <v>255</v>
      </c>
      <c r="N57" t="s">
        <v>2097</v>
      </c>
      <c r="O57">
        <v>0</v>
      </c>
      <c r="P57">
        <v>0</v>
      </c>
      <c r="Q57" t="s">
        <v>249</v>
      </c>
    </row>
    <row r="58" spans="1:17" ht="75" x14ac:dyDescent="0.25">
      <c r="A58" t="s">
        <v>297</v>
      </c>
      <c r="B58" s="15" t="s">
        <v>1016</v>
      </c>
      <c r="C58">
        <v>160</v>
      </c>
      <c r="D58" t="s">
        <v>264</v>
      </c>
      <c r="E58" s="1">
        <v>43089</v>
      </c>
      <c r="F58" t="s">
        <v>21</v>
      </c>
      <c r="G58" t="s">
        <v>2087</v>
      </c>
      <c r="H58">
        <v>-60.45</v>
      </c>
      <c r="I58" t="s">
        <v>133</v>
      </c>
      <c r="J58">
        <v>0</v>
      </c>
      <c r="M58" t="s">
        <v>170</v>
      </c>
      <c r="N58" t="s">
        <v>2098</v>
      </c>
    </row>
    <row r="59" spans="1:17" ht="75" x14ac:dyDescent="0.25">
      <c r="A59" t="s">
        <v>297</v>
      </c>
      <c r="B59" s="15" t="s">
        <v>1016</v>
      </c>
      <c r="C59">
        <v>160</v>
      </c>
      <c r="D59" t="s">
        <v>264</v>
      </c>
      <c r="E59" s="1">
        <v>43089</v>
      </c>
      <c r="F59" t="s">
        <v>21</v>
      </c>
      <c r="G59" t="s">
        <v>2087</v>
      </c>
      <c r="H59">
        <v>-60.45</v>
      </c>
      <c r="I59" t="s">
        <v>133</v>
      </c>
      <c r="J59">
        <v>0</v>
      </c>
      <c r="K59">
        <v>0</v>
      </c>
      <c r="M59" t="s">
        <v>255</v>
      </c>
      <c r="N59" t="s">
        <v>2098</v>
      </c>
      <c r="O59">
        <v>0</v>
      </c>
      <c r="P59">
        <v>0</v>
      </c>
      <c r="Q59" t="s">
        <v>249</v>
      </c>
    </row>
    <row r="60" spans="1:17" x14ac:dyDescent="0.25">
      <c r="A60" t="s">
        <v>298</v>
      </c>
      <c r="B60" t="s">
        <v>1018</v>
      </c>
      <c r="C60">
        <v>160</v>
      </c>
      <c r="D60" t="s">
        <v>264</v>
      </c>
      <c r="E60" s="1">
        <v>43089</v>
      </c>
      <c r="F60" t="s">
        <v>21</v>
      </c>
      <c r="G60" t="s">
        <v>1993</v>
      </c>
      <c r="H60">
        <v>39.9</v>
      </c>
      <c r="I60" t="s">
        <v>120</v>
      </c>
      <c r="J60">
        <v>0</v>
      </c>
      <c r="M60" t="s">
        <v>170</v>
      </c>
      <c r="N60" t="s">
        <v>2001</v>
      </c>
    </row>
    <row r="61" spans="1:17" x14ac:dyDescent="0.25">
      <c r="A61" t="s">
        <v>298</v>
      </c>
      <c r="B61" t="s">
        <v>1018</v>
      </c>
      <c r="C61">
        <v>160</v>
      </c>
      <c r="D61" t="s">
        <v>264</v>
      </c>
      <c r="E61" s="1">
        <v>43089</v>
      </c>
      <c r="F61" t="s">
        <v>21</v>
      </c>
      <c r="G61" t="s">
        <v>1993</v>
      </c>
      <c r="H61">
        <v>39.9</v>
      </c>
      <c r="I61" t="s">
        <v>120</v>
      </c>
      <c r="J61">
        <v>0</v>
      </c>
      <c r="M61" t="s">
        <v>255</v>
      </c>
      <c r="N61" t="s">
        <v>2001</v>
      </c>
      <c r="O61">
        <v>0</v>
      </c>
      <c r="P61">
        <v>0</v>
      </c>
      <c r="Q61" t="s">
        <v>249</v>
      </c>
    </row>
    <row r="62" spans="1:17" x14ac:dyDescent="0.25">
      <c r="A62" t="s">
        <v>299</v>
      </c>
      <c r="B62" t="s">
        <v>1019</v>
      </c>
      <c r="C62">
        <v>160</v>
      </c>
      <c r="D62" t="s">
        <v>264</v>
      </c>
      <c r="E62" s="1">
        <v>43089</v>
      </c>
      <c r="F62" t="s">
        <v>21</v>
      </c>
      <c r="G62" t="s">
        <v>1967</v>
      </c>
      <c r="H62">
        <v>-1</v>
      </c>
      <c r="I62" t="s">
        <v>37</v>
      </c>
      <c r="J62">
        <v>0</v>
      </c>
      <c r="M62" t="s">
        <v>170</v>
      </c>
      <c r="N62" t="s">
        <v>1971</v>
      </c>
    </row>
    <row r="63" spans="1:17" x14ac:dyDescent="0.25">
      <c r="A63" t="s">
        <v>299</v>
      </c>
      <c r="B63" t="s">
        <v>1019</v>
      </c>
      <c r="C63">
        <v>160</v>
      </c>
      <c r="D63" t="s">
        <v>264</v>
      </c>
      <c r="E63" s="1">
        <v>43089</v>
      </c>
      <c r="F63" t="s">
        <v>21</v>
      </c>
      <c r="G63" t="s">
        <v>1967</v>
      </c>
      <c r="H63">
        <v>-1</v>
      </c>
      <c r="I63" t="s">
        <v>37</v>
      </c>
      <c r="J63">
        <v>0</v>
      </c>
      <c r="K63">
        <v>0</v>
      </c>
      <c r="M63" t="s">
        <v>255</v>
      </c>
      <c r="N63" t="s">
        <v>1971</v>
      </c>
      <c r="O63">
        <v>0</v>
      </c>
      <c r="P63">
        <v>0</v>
      </c>
      <c r="Q63" t="s">
        <v>249</v>
      </c>
    </row>
    <row r="64" spans="1:17" x14ac:dyDescent="0.25">
      <c r="A64" t="s">
        <v>301</v>
      </c>
      <c r="B64" t="s">
        <v>1021</v>
      </c>
      <c r="C64">
        <v>160</v>
      </c>
      <c r="D64" t="s">
        <v>264</v>
      </c>
      <c r="E64" s="1">
        <v>43089</v>
      </c>
      <c r="F64" t="s">
        <v>21</v>
      </c>
      <c r="G64" t="s">
        <v>1967</v>
      </c>
      <c r="H64">
        <v>-1</v>
      </c>
      <c r="I64" t="s">
        <v>37</v>
      </c>
      <c r="J64">
        <v>0</v>
      </c>
      <c r="M64" t="s">
        <v>170</v>
      </c>
      <c r="N64" t="s">
        <v>1972</v>
      </c>
    </row>
    <row r="65" spans="1:17" x14ac:dyDescent="0.25">
      <c r="A65" t="s">
        <v>301</v>
      </c>
      <c r="B65" t="s">
        <v>1021</v>
      </c>
      <c r="C65">
        <v>160</v>
      </c>
      <c r="D65" t="s">
        <v>264</v>
      </c>
      <c r="E65" s="1">
        <v>43089</v>
      </c>
      <c r="F65" t="s">
        <v>21</v>
      </c>
      <c r="G65" t="s">
        <v>1967</v>
      </c>
      <c r="H65">
        <v>-1</v>
      </c>
      <c r="I65" t="s">
        <v>37</v>
      </c>
      <c r="J65">
        <v>0</v>
      </c>
      <c r="K65">
        <v>0</v>
      </c>
      <c r="M65" t="s">
        <v>255</v>
      </c>
      <c r="N65" t="s">
        <v>1972</v>
      </c>
      <c r="O65">
        <v>0</v>
      </c>
      <c r="P65">
        <v>0</v>
      </c>
      <c r="Q65" t="s">
        <v>249</v>
      </c>
    </row>
    <row r="66" spans="1:17" x14ac:dyDescent="0.25">
      <c r="A66" t="s">
        <v>307</v>
      </c>
      <c r="B66" t="s">
        <v>1025</v>
      </c>
      <c r="C66">
        <v>160</v>
      </c>
      <c r="D66" t="s">
        <v>264</v>
      </c>
      <c r="E66" s="1">
        <v>43081</v>
      </c>
      <c r="F66" t="s">
        <v>927</v>
      </c>
      <c r="G66" t="s">
        <v>1679</v>
      </c>
      <c r="H66">
        <v>-12</v>
      </c>
      <c r="I66" t="s">
        <v>37</v>
      </c>
      <c r="J66">
        <v>0</v>
      </c>
      <c r="M66" t="s">
        <v>170</v>
      </c>
      <c r="N66" t="s">
        <v>1831</v>
      </c>
    </row>
    <row r="67" spans="1:17" x14ac:dyDescent="0.25">
      <c r="A67" t="s">
        <v>307</v>
      </c>
      <c r="B67" t="s">
        <v>1025</v>
      </c>
      <c r="C67">
        <v>160</v>
      </c>
      <c r="D67" t="s">
        <v>264</v>
      </c>
      <c r="E67" s="1">
        <v>43081</v>
      </c>
      <c r="F67" t="s">
        <v>927</v>
      </c>
      <c r="G67" t="s">
        <v>1679</v>
      </c>
      <c r="H67">
        <v>-12</v>
      </c>
      <c r="I67" t="s">
        <v>37</v>
      </c>
      <c r="J67">
        <v>0</v>
      </c>
      <c r="K67">
        <v>0</v>
      </c>
      <c r="M67" t="s">
        <v>255</v>
      </c>
      <c r="N67" t="s">
        <v>1831</v>
      </c>
      <c r="O67">
        <v>0</v>
      </c>
      <c r="P67">
        <v>0</v>
      </c>
      <c r="Q67" t="s">
        <v>249</v>
      </c>
    </row>
    <row r="68" spans="1:17" x14ac:dyDescent="0.25">
      <c r="A68" t="s">
        <v>307</v>
      </c>
      <c r="B68" t="s">
        <v>1025</v>
      </c>
      <c r="C68">
        <v>160</v>
      </c>
      <c r="D68" t="s">
        <v>264</v>
      </c>
      <c r="E68" s="1">
        <v>43089</v>
      </c>
      <c r="F68" t="s">
        <v>21</v>
      </c>
      <c r="G68" t="s">
        <v>2146</v>
      </c>
      <c r="H68">
        <v>-103</v>
      </c>
      <c r="I68" t="s">
        <v>37</v>
      </c>
      <c r="J68">
        <v>0</v>
      </c>
      <c r="M68" t="s">
        <v>170</v>
      </c>
      <c r="N68" t="s">
        <v>2147</v>
      </c>
    </row>
    <row r="69" spans="1:17" x14ac:dyDescent="0.25">
      <c r="A69" t="s">
        <v>307</v>
      </c>
      <c r="B69" t="s">
        <v>1025</v>
      </c>
      <c r="C69">
        <v>160</v>
      </c>
      <c r="D69" t="s">
        <v>264</v>
      </c>
      <c r="E69" s="1">
        <v>43089</v>
      </c>
      <c r="F69" t="s">
        <v>21</v>
      </c>
      <c r="G69" t="s">
        <v>2146</v>
      </c>
      <c r="H69">
        <v>-103</v>
      </c>
      <c r="I69" t="s">
        <v>37</v>
      </c>
      <c r="J69">
        <v>0</v>
      </c>
      <c r="K69">
        <v>0</v>
      </c>
      <c r="M69" t="s">
        <v>255</v>
      </c>
      <c r="N69" t="s">
        <v>2147</v>
      </c>
      <c r="O69">
        <v>0</v>
      </c>
      <c r="P69">
        <v>0</v>
      </c>
      <c r="Q69" t="s">
        <v>249</v>
      </c>
    </row>
    <row r="70" spans="1:17" x14ac:dyDescent="0.25">
      <c r="A70" t="s">
        <v>140</v>
      </c>
      <c r="B70" t="s">
        <v>1026</v>
      </c>
      <c r="C70">
        <v>160</v>
      </c>
      <c r="D70" t="s">
        <v>264</v>
      </c>
      <c r="E70" s="1">
        <v>43089</v>
      </c>
      <c r="F70" t="s">
        <v>21</v>
      </c>
      <c r="G70" t="s">
        <v>1967</v>
      </c>
      <c r="H70">
        <v>24</v>
      </c>
      <c r="I70" t="s">
        <v>37</v>
      </c>
      <c r="J70">
        <v>0</v>
      </c>
      <c r="M70" t="s">
        <v>170</v>
      </c>
      <c r="N70" t="s">
        <v>1974</v>
      </c>
    </row>
    <row r="71" spans="1:17" x14ac:dyDescent="0.25">
      <c r="A71" t="s">
        <v>140</v>
      </c>
      <c r="B71" t="s">
        <v>1026</v>
      </c>
      <c r="C71">
        <v>160</v>
      </c>
      <c r="D71" t="s">
        <v>264</v>
      </c>
      <c r="E71" s="1">
        <v>43089</v>
      </c>
      <c r="F71" t="s">
        <v>21</v>
      </c>
      <c r="G71" t="s">
        <v>1967</v>
      </c>
      <c r="H71">
        <v>24</v>
      </c>
      <c r="I71" t="s">
        <v>37</v>
      </c>
      <c r="J71">
        <v>0</v>
      </c>
      <c r="M71" t="s">
        <v>255</v>
      </c>
      <c r="N71" t="s">
        <v>1974</v>
      </c>
      <c r="O71">
        <v>0</v>
      </c>
      <c r="P71">
        <v>0</v>
      </c>
      <c r="Q71" t="s">
        <v>249</v>
      </c>
    </row>
    <row r="72" spans="1:17" x14ac:dyDescent="0.25">
      <c r="A72" t="s">
        <v>119</v>
      </c>
      <c r="B72" t="s">
        <v>1027</v>
      </c>
      <c r="C72">
        <v>160</v>
      </c>
      <c r="D72" t="s">
        <v>264</v>
      </c>
      <c r="E72" s="1">
        <v>43075</v>
      </c>
      <c r="F72" t="s">
        <v>252</v>
      </c>
      <c r="G72" t="s">
        <v>885</v>
      </c>
      <c r="H72">
        <v>-4</v>
      </c>
      <c r="I72" t="s">
        <v>37</v>
      </c>
      <c r="J72">
        <v>0</v>
      </c>
      <c r="M72" t="s">
        <v>170</v>
      </c>
      <c r="N72" t="s">
        <v>1476</v>
      </c>
    </row>
    <row r="73" spans="1:17" x14ac:dyDescent="0.25">
      <c r="A73" t="s">
        <v>119</v>
      </c>
      <c r="B73" t="s">
        <v>1027</v>
      </c>
      <c r="C73">
        <v>160</v>
      </c>
      <c r="D73" t="s">
        <v>264</v>
      </c>
      <c r="E73" s="1">
        <v>43075</v>
      </c>
      <c r="F73" t="s">
        <v>252</v>
      </c>
      <c r="G73" t="s">
        <v>885</v>
      </c>
      <c r="H73">
        <v>-4</v>
      </c>
      <c r="I73" t="s">
        <v>37</v>
      </c>
      <c r="J73">
        <v>0</v>
      </c>
      <c r="K73">
        <v>0</v>
      </c>
      <c r="M73" t="s">
        <v>255</v>
      </c>
      <c r="N73" t="s">
        <v>1476</v>
      </c>
      <c r="O73">
        <v>0</v>
      </c>
      <c r="P73">
        <v>0</v>
      </c>
      <c r="Q73" t="s">
        <v>249</v>
      </c>
    </row>
    <row r="74" spans="1:17" x14ac:dyDescent="0.25">
      <c r="A74" t="s">
        <v>119</v>
      </c>
      <c r="B74" t="s">
        <v>1027</v>
      </c>
      <c r="C74">
        <v>160</v>
      </c>
      <c r="D74" t="s">
        <v>264</v>
      </c>
      <c r="E74" s="1">
        <v>43076</v>
      </c>
      <c r="F74" t="s">
        <v>252</v>
      </c>
      <c r="G74" t="s">
        <v>1486</v>
      </c>
      <c r="H74">
        <v>-94</v>
      </c>
      <c r="I74" t="s">
        <v>37</v>
      </c>
      <c r="J74">
        <v>0</v>
      </c>
      <c r="M74" t="s">
        <v>170</v>
      </c>
      <c r="N74" t="s">
        <v>1487</v>
      </c>
    </row>
    <row r="75" spans="1:17" x14ac:dyDescent="0.25">
      <c r="A75" t="s">
        <v>119</v>
      </c>
      <c r="B75" t="s">
        <v>1027</v>
      </c>
      <c r="C75">
        <v>160</v>
      </c>
      <c r="D75" t="s">
        <v>264</v>
      </c>
      <c r="E75" s="1">
        <v>43076</v>
      </c>
      <c r="F75" t="s">
        <v>252</v>
      </c>
      <c r="G75" t="s">
        <v>1486</v>
      </c>
      <c r="H75">
        <v>-94</v>
      </c>
      <c r="I75" t="s">
        <v>37</v>
      </c>
      <c r="J75">
        <v>0</v>
      </c>
      <c r="K75">
        <v>0</v>
      </c>
      <c r="M75" t="s">
        <v>255</v>
      </c>
      <c r="N75" t="s">
        <v>1487</v>
      </c>
      <c r="O75">
        <v>0</v>
      </c>
      <c r="P75">
        <v>0</v>
      </c>
      <c r="Q75" t="s">
        <v>249</v>
      </c>
    </row>
    <row r="76" spans="1:17" x14ac:dyDescent="0.25">
      <c r="A76" t="s">
        <v>119</v>
      </c>
      <c r="B76" t="s">
        <v>1027</v>
      </c>
      <c r="C76">
        <v>160</v>
      </c>
      <c r="D76" t="s">
        <v>264</v>
      </c>
      <c r="E76" s="1">
        <v>43083</v>
      </c>
      <c r="F76" t="s">
        <v>252</v>
      </c>
      <c r="G76" t="s">
        <v>946</v>
      </c>
      <c r="H76">
        <v>24</v>
      </c>
      <c r="I76" t="s">
        <v>37</v>
      </c>
      <c r="J76">
        <v>0</v>
      </c>
      <c r="M76" t="s">
        <v>170</v>
      </c>
      <c r="N76" t="s">
        <v>1583</v>
      </c>
    </row>
    <row r="77" spans="1:17" x14ac:dyDescent="0.25">
      <c r="A77" t="s">
        <v>119</v>
      </c>
      <c r="B77" t="s">
        <v>1027</v>
      </c>
      <c r="C77">
        <v>160</v>
      </c>
      <c r="D77" t="s">
        <v>264</v>
      </c>
      <c r="E77" s="1">
        <v>43083</v>
      </c>
      <c r="F77" t="s">
        <v>252</v>
      </c>
      <c r="G77" t="s">
        <v>946</v>
      </c>
      <c r="H77">
        <v>24</v>
      </c>
      <c r="I77" t="s">
        <v>37</v>
      </c>
      <c r="J77">
        <v>0</v>
      </c>
      <c r="M77" t="s">
        <v>255</v>
      </c>
      <c r="N77" t="s">
        <v>1583</v>
      </c>
      <c r="O77">
        <v>0</v>
      </c>
      <c r="P77">
        <v>0</v>
      </c>
      <c r="Q77" t="s">
        <v>249</v>
      </c>
    </row>
    <row r="78" spans="1:17" x14ac:dyDescent="0.25">
      <c r="A78" t="s">
        <v>119</v>
      </c>
      <c r="B78" t="s">
        <v>1027</v>
      </c>
      <c r="C78">
        <v>160</v>
      </c>
      <c r="D78" t="s">
        <v>264</v>
      </c>
      <c r="E78" s="1">
        <v>43084</v>
      </c>
      <c r="F78" t="s">
        <v>252</v>
      </c>
      <c r="G78" t="s">
        <v>959</v>
      </c>
      <c r="H78">
        <v>-24</v>
      </c>
      <c r="I78" t="s">
        <v>37</v>
      </c>
      <c r="J78">
        <v>0</v>
      </c>
      <c r="M78" t="s">
        <v>170</v>
      </c>
      <c r="N78" t="s">
        <v>1588</v>
      </c>
    </row>
    <row r="79" spans="1:17" x14ac:dyDescent="0.25">
      <c r="A79" t="s">
        <v>119</v>
      </c>
      <c r="B79" t="s">
        <v>1027</v>
      </c>
      <c r="C79">
        <v>160</v>
      </c>
      <c r="D79" t="s">
        <v>264</v>
      </c>
      <c r="E79" s="1">
        <v>43084</v>
      </c>
      <c r="F79" t="s">
        <v>252</v>
      </c>
      <c r="G79" t="s">
        <v>959</v>
      </c>
      <c r="H79">
        <v>-24</v>
      </c>
      <c r="I79" t="s">
        <v>37</v>
      </c>
      <c r="J79">
        <v>0</v>
      </c>
      <c r="K79">
        <v>0</v>
      </c>
      <c r="M79" t="s">
        <v>255</v>
      </c>
      <c r="N79" t="s">
        <v>1588</v>
      </c>
      <c r="O79">
        <v>0</v>
      </c>
      <c r="P79">
        <v>0</v>
      </c>
      <c r="Q79" t="s">
        <v>249</v>
      </c>
    </row>
    <row r="80" spans="1:17" x14ac:dyDescent="0.25">
      <c r="A80" t="s">
        <v>119</v>
      </c>
      <c r="B80" t="s">
        <v>1027</v>
      </c>
      <c r="C80">
        <v>160</v>
      </c>
      <c r="D80" t="s">
        <v>264</v>
      </c>
      <c r="E80" s="1">
        <v>43089</v>
      </c>
      <c r="F80" t="s">
        <v>21</v>
      </c>
      <c r="G80" t="s">
        <v>1967</v>
      </c>
      <c r="H80">
        <v>-15</v>
      </c>
      <c r="I80" t="s">
        <v>37</v>
      </c>
      <c r="J80">
        <v>0</v>
      </c>
      <c r="M80" t="s">
        <v>170</v>
      </c>
      <c r="N80" t="s">
        <v>1975</v>
      </c>
    </row>
    <row r="81" spans="1:17" x14ac:dyDescent="0.25">
      <c r="A81" t="s">
        <v>119</v>
      </c>
      <c r="B81" t="s">
        <v>1027</v>
      </c>
      <c r="C81">
        <v>160</v>
      </c>
      <c r="D81" t="s">
        <v>264</v>
      </c>
      <c r="E81" s="1">
        <v>43089</v>
      </c>
      <c r="F81" t="s">
        <v>21</v>
      </c>
      <c r="G81" t="s">
        <v>1967</v>
      </c>
      <c r="H81">
        <v>-15</v>
      </c>
      <c r="I81" t="s">
        <v>37</v>
      </c>
      <c r="J81">
        <v>0</v>
      </c>
      <c r="K81">
        <v>0</v>
      </c>
      <c r="M81" t="s">
        <v>255</v>
      </c>
      <c r="N81" t="s">
        <v>1975</v>
      </c>
      <c r="O81">
        <v>0</v>
      </c>
      <c r="P81">
        <v>0</v>
      </c>
      <c r="Q81" t="s">
        <v>249</v>
      </c>
    </row>
    <row r="82" spans="1:17" x14ac:dyDescent="0.25">
      <c r="A82" t="s">
        <v>54</v>
      </c>
      <c r="B82" t="s">
        <v>159</v>
      </c>
      <c r="C82">
        <v>160</v>
      </c>
      <c r="D82" t="s">
        <v>264</v>
      </c>
      <c r="E82" s="1">
        <v>43089</v>
      </c>
      <c r="F82" t="s">
        <v>21</v>
      </c>
      <c r="G82" t="s">
        <v>1914</v>
      </c>
      <c r="H82">
        <v>0.5</v>
      </c>
      <c r="I82" t="s">
        <v>38</v>
      </c>
      <c r="J82">
        <v>0</v>
      </c>
      <c r="M82" t="s">
        <v>170</v>
      </c>
      <c r="N82" t="s">
        <v>1915</v>
      </c>
    </row>
    <row r="83" spans="1:17" x14ac:dyDescent="0.25">
      <c r="A83" t="s">
        <v>54</v>
      </c>
      <c r="B83" t="s">
        <v>159</v>
      </c>
      <c r="C83">
        <v>160</v>
      </c>
      <c r="D83" t="s">
        <v>264</v>
      </c>
      <c r="E83" s="1">
        <v>43089</v>
      </c>
      <c r="F83" t="s">
        <v>21</v>
      </c>
      <c r="G83" t="s">
        <v>1914</v>
      </c>
      <c r="H83">
        <v>0.5</v>
      </c>
      <c r="I83" t="s">
        <v>38</v>
      </c>
      <c r="J83">
        <v>0</v>
      </c>
      <c r="M83" t="s">
        <v>255</v>
      </c>
      <c r="N83" t="s">
        <v>1915</v>
      </c>
      <c r="O83">
        <v>0</v>
      </c>
      <c r="P83">
        <v>0</v>
      </c>
      <c r="Q83" t="s">
        <v>249</v>
      </c>
    </row>
    <row r="84" spans="1:17" x14ac:dyDescent="0.25">
      <c r="A84" t="s">
        <v>54</v>
      </c>
      <c r="B84" t="s">
        <v>159</v>
      </c>
      <c r="C84">
        <v>160</v>
      </c>
      <c r="D84" t="s">
        <v>264</v>
      </c>
      <c r="E84" s="1">
        <v>43089</v>
      </c>
      <c r="F84" t="s">
        <v>21</v>
      </c>
      <c r="G84" t="s">
        <v>1914</v>
      </c>
      <c r="H84">
        <v>-0.8</v>
      </c>
      <c r="I84" t="s">
        <v>38</v>
      </c>
      <c r="J84">
        <v>0</v>
      </c>
      <c r="M84" t="s">
        <v>170</v>
      </c>
      <c r="N84" t="s">
        <v>1916</v>
      </c>
    </row>
    <row r="85" spans="1:17" x14ac:dyDescent="0.25">
      <c r="A85" t="s">
        <v>54</v>
      </c>
      <c r="B85" t="s">
        <v>159</v>
      </c>
      <c r="C85">
        <v>160</v>
      </c>
      <c r="D85" t="s">
        <v>264</v>
      </c>
      <c r="E85" s="1">
        <v>43089</v>
      </c>
      <c r="F85" t="s">
        <v>21</v>
      </c>
      <c r="G85" t="s">
        <v>1914</v>
      </c>
      <c r="H85">
        <v>-0.8</v>
      </c>
      <c r="I85" t="s">
        <v>38</v>
      </c>
      <c r="J85">
        <v>0</v>
      </c>
      <c r="K85">
        <v>0</v>
      </c>
      <c r="M85" t="s">
        <v>255</v>
      </c>
      <c r="N85" t="s">
        <v>1916</v>
      </c>
      <c r="O85">
        <v>0</v>
      </c>
      <c r="P85">
        <v>0</v>
      </c>
      <c r="Q85" t="s">
        <v>249</v>
      </c>
    </row>
    <row r="86" spans="1:17" x14ac:dyDescent="0.25">
      <c r="A86" t="s">
        <v>315</v>
      </c>
      <c r="B86" t="s">
        <v>31</v>
      </c>
      <c r="C86">
        <v>160</v>
      </c>
      <c r="D86" t="s">
        <v>264</v>
      </c>
      <c r="E86" s="1">
        <v>43089</v>
      </c>
      <c r="F86" t="s">
        <v>21</v>
      </c>
      <c r="G86" t="s">
        <v>1914</v>
      </c>
      <c r="H86">
        <v>5</v>
      </c>
      <c r="I86" t="s">
        <v>38</v>
      </c>
      <c r="J86">
        <v>0</v>
      </c>
      <c r="M86" t="s">
        <v>170</v>
      </c>
      <c r="N86" t="s">
        <v>1917</v>
      </c>
    </row>
    <row r="87" spans="1:17" x14ac:dyDescent="0.25">
      <c r="A87" t="s">
        <v>315</v>
      </c>
      <c r="B87" t="s">
        <v>31</v>
      </c>
      <c r="C87">
        <v>160</v>
      </c>
      <c r="D87" t="s">
        <v>264</v>
      </c>
      <c r="E87" s="1">
        <v>43089</v>
      </c>
      <c r="F87" t="s">
        <v>21</v>
      </c>
      <c r="G87" t="s">
        <v>1914</v>
      </c>
      <c r="H87">
        <v>5</v>
      </c>
      <c r="I87" t="s">
        <v>38</v>
      </c>
      <c r="J87">
        <v>0</v>
      </c>
      <c r="M87" t="s">
        <v>255</v>
      </c>
      <c r="N87" t="s">
        <v>1917</v>
      </c>
      <c r="O87">
        <v>0</v>
      </c>
      <c r="P87">
        <v>0</v>
      </c>
      <c r="Q87" t="s">
        <v>249</v>
      </c>
    </row>
    <row r="88" spans="1:17" x14ac:dyDescent="0.25">
      <c r="A88" t="s">
        <v>315</v>
      </c>
      <c r="B88" t="s">
        <v>31</v>
      </c>
      <c r="C88">
        <v>160</v>
      </c>
      <c r="D88" t="s">
        <v>264</v>
      </c>
      <c r="E88" s="1">
        <v>43089</v>
      </c>
      <c r="F88" t="s">
        <v>21</v>
      </c>
      <c r="G88" t="s">
        <v>1914</v>
      </c>
      <c r="H88">
        <v>4</v>
      </c>
      <c r="I88" t="s">
        <v>38</v>
      </c>
      <c r="J88">
        <v>0</v>
      </c>
      <c r="M88" t="s">
        <v>170</v>
      </c>
      <c r="N88" t="s">
        <v>1918</v>
      </c>
    </row>
    <row r="89" spans="1:17" x14ac:dyDescent="0.25">
      <c r="A89" t="s">
        <v>315</v>
      </c>
      <c r="B89" t="s">
        <v>31</v>
      </c>
      <c r="C89">
        <v>160</v>
      </c>
      <c r="D89" t="s">
        <v>264</v>
      </c>
      <c r="E89" s="1">
        <v>43089</v>
      </c>
      <c r="F89" t="s">
        <v>21</v>
      </c>
      <c r="G89" t="s">
        <v>1914</v>
      </c>
      <c r="H89">
        <v>4</v>
      </c>
      <c r="I89" t="s">
        <v>38</v>
      </c>
      <c r="J89">
        <v>0</v>
      </c>
      <c r="M89" t="s">
        <v>255</v>
      </c>
      <c r="N89" t="s">
        <v>1918</v>
      </c>
      <c r="O89">
        <v>0</v>
      </c>
      <c r="P89">
        <v>0</v>
      </c>
      <c r="Q89" t="s">
        <v>249</v>
      </c>
    </row>
    <row r="90" spans="1:17" x14ac:dyDescent="0.25">
      <c r="A90" t="s">
        <v>25</v>
      </c>
      <c r="B90" t="s">
        <v>31</v>
      </c>
      <c r="C90">
        <v>160</v>
      </c>
      <c r="D90" t="s">
        <v>264</v>
      </c>
      <c r="E90" s="1">
        <v>43070</v>
      </c>
      <c r="F90" t="s">
        <v>17</v>
      </c>
      <c r="G90" t="s">
        <v>1718</v>
      </c>
      <c r="H90">
        <v>1080</v>
      </c>
      <c r="I90" t="s">
        <v>38</v>
      </c>
      <c r="J90">
        <v>0</v>
      </c>
      <c r="K90">
        <v>0</v>
      </c>
      <c r="L90" t="s">
        <v>246</v>
      </c>
      <c r="M90" t="s">
        <v>170</v>
      </c>
      <c r="N90" t="s">
        <v>1719</v>
      </c>
    </row>
    <row r="91" spans="1:17" x14ac:dyDescent="0.25">
      <c r="A91" t="s">
        <v>25</v>
      </c>
      <c r="B91" t="s">
        <v>31</v>
      </c>
      <c r="C91">
        <v>160</v>
      </c>
      <c r="D91" t="s">
        <v>264</v>
      </c>
      <c r="E91" s="1">
        <v>43070</v>
      </c>
      <c r="F91" t="s">
        <v>17</v>
      </c>
      <c r="G91" t="s">
        <v>1718</v>
      </c>
      <c r="H91">
        <v>1080</v>
      </c>
      <c r="I91" t="s">
        <v>38</v>
      </c>
      <c r="J91">
        <v>0</v>
      </c>
      <c r="K91">
        <v>0</v>
      </c>
      <c r="L91" t="s">
        <v>246</v>
      </c>
      <c r="M91" t="s">
        <v>255</v>
      </c>
      <c r="N91" t="s">
        <v>1719</v>
      </c>
      <c r="O91">
        <v>2.7819575053313069E-6</v>
      </c>
      <c r="P91">
        <v>2.1785787420000001E-3</v>
      </c>
      <c r="Q91" t="s">
        <v>249</v>
      </c>
    </row>
    <row r="92" spans="1:17" x14ac:dyDescent="0.25">
      <c r="A92" t="s">
        <v>25</v>
      </c>
      <c r="B92" t="s">
        <v>31</v>
      </c>
      <c r="C92">
        <v>160</v>
      </c>
      <c r="D92" t="s">
        <v>264</v>
      </c>
      <c r="E92" s="1">
        <v>43083</v>
      </c>
      <c r="F92" t="s">
        <v>252</v>
      </c>
      <c r="G92" t="s">
        <v>630</v>
      </c>
      <c r="H92">
        <v>-150</v>
      </c>
      <c r="I92" t="s">
        <v>38</v>
      </c>
      <c r="J92">
        <v>0</v>
      </c>
      <c r="M92" t="s">
        <v>170</v>
      </c>
      <c r="N92" t="s">
        <v>632</v>
      </c>
      <c r="Q92" t="s">
        <v>254</v>
      </c>
    </row>
    <row r="93" spans="1:17" x14ac:dyDescent="0.25">
      <c r="A93" t="s">
        <v>25</v>
      </c>
      <c r="B93" t="s">
        <v>31</v>
      </c>
      <c r="C93">
        <v>160</v>
      </c>
      <c r="D93" t="s">
        <v>264</v>
      </c>
      <c r="E93" s="1">
        <v>43083</v>
      </c>
      <c r="F93" t="s">
        <v>252</v>
      </c>
      <c r="G93" t="s">
        <v>627</v>
      </c>
      <c r="H93">
        <v>8.0299999999999994</v>
      </c>
      <c r="I93" t="s">
        <v>38</v>
      </c>
      <c r="J93">
        <v>0</v>
      </c>
      <c r="M93" t="s">
        <v>170</v>
      </c>
      <c r="N93" t="s">
        <v>629</v>
      </c>
      <c r="Q93" t="s">
        <v>254</v>
      </c>
    </row>
    <row r="94" spans="1:17" x14ac:dyDescent="0.25">
      <c r="A94" t="s">
        <v>25</v>
      </c>
      <c r="B94" t="s">
        <v>31</v>
      </c>
      <c r="C94">
        <v>160</v>
      </c>
      <c r="D94" t="s">
        <v>264</v>
      </c>
      <c r="E94" s="1">
        <v>43083</v>
      </c>
      <c r="F94" t="s">
        <v>17</v>
      </c>
      <c r="G94" t="s">
        <v>633</v>
      </c>
      <c r="H94">
        <v>150</v>
      </c>
      <c r="I94" t="s">
        <v>38</v>
      </c>
      <c r="J94">
        <v>0.70899999999999996</v>
      </c>
      <c r="K94">
        <v>106.35</v>
      </c>
      <c r="L94" t="s">
        <v>246</v>
      </c>
      <c r="M94" t="s">
        <v>170</v>
      </c>
      <c r="N94" t="s">
        <v>635</v>
      </c>
      <c r="Q94" t="s">
        <v>254</v>
      </c>
    </row>
    <row r="95" spans="1:17" x14ac:dyDescent="0.25">
      <c r="A95" t="s">
        <v>25</v>
      </c>
      <c r="B95" t="s">
        <v>31</v>
      </c>
      <c r="C95">
        <v>160</v>
      </c>
      <c r="D95" t="s">
        <v>264</v>
      </c>
      <c r="E95" s="1">
        <v>43083</v>
      </c>
      <c r="F95" t="s">
        <v>252</v>
      </c>
      <c r="G95" t="s">
        <v>627</v>
      </c>
      <c r="H95">
        <v>8.0299999999999994</v>
      </c>
      <c r="I95" t="s">
        <v>38</v>
      </c>
      <c r="J95">
        <v>0.24451975036599999</v>
      </c>
      <c r="K95">
        <v>1.9600000000000002</v>
      </c>
      <c r="L95" t="s">
        <v>609</v>
      </c>
      <c r="M95" t="s">
        <v>171</v>
      </c>
      <c r="N95" t="s">
        <v>629</v>
      </c>
      <c r="O95">
        <v>2.480191342546199E-3</v>
      </c>
      <c r="P95">
        <v>1.9621785787420001</v>
      </c>
      <c r="Q95" t="s">
        <v>254</v>
      </c>
    </row>
    <row r="96" spans="1:17" x14ac:dyDescent="0.25">
      <c r="A96" t="s">
        <v>25</v>
      </c>
      <c r="B96" t="s">
        <v>31</v>
      </c>
      <c r="C96">
        <v>160</v>
      </c>
      <c r="D96" t="s">
        <v>264</v>
      </c>
      <c r="E96" s="1">
        <v>43083</v>
      </c>
      <c r="F96" t="s">
        <v>252</v>
      </c>
      <c r="G96" t="s">
        <v>630</v>
      </c>
      <c r="H96">
        <v>-30</v>
      </c>
      <c r="I96" t="s">
        <v>38</v>
      </c>
      <c r="J96">
        <v>-0.90596412630500001</v>
      </c>
      <c r="K96">
        <v>27.18</v>
      </c>
      <c r="L96" t="s">
        <v>609</v>
      </c>
      <c r="M96" t="s">
        <v>171</v>
      </c>
      <c r="N96" t="s">
        <v>632</v>
      </c>
      <c r="O96">
        <v>3.8287540503379139E-2</v>
      </c>
      <c r="P96">
        <v>29.142178578742001</v>
      </c>
      <c r="Q96" t="s">
        <v>254</v>
      </c>
    </row>
    <row r="97" spans="1:17" x14ac:dyDescent="0.25">
      <c r="A97" t="s">
        <v>25</v>
      </c>
      <c r="B97" t="s">
        <v>31</v>
      </c>
      <c r="C97">
        <v>160</v>
      </c>
      <c r="D97" t="s">
        <v>264</v>
      </c>
      <c r="E97" s="1">
        <v>43083</v>
      </c>
      <c r="F97" t="s">
        <v>17</v>
      </c>
      <c r="G97" t="s">
        <v>633</v>
      </c>
      <c r="H97">
        <v>30</v>
      </c>
      <c r="I97" t="s">
        <v>38</v>
      </c>
      <c r="J97">
        <v>0.82566666666699995</v>
      </c>
      <c r="K97">
        <v>21.27</v>
      </c>
      <c r="L97" t="s">
        <v>246</v>
      </c>
      <c r="M97" t="s">
        <v>171</v>
      </c>
      <c r="N97" t="s">
        <v>635</v>
      </c>
      <c r="O97">
        <v>6.3720932551434628E-2</v>
      </c>
      <c r="P97">
        <v>50.412178578742001</v>
      </c>
      <c r="Q97" t="s">
        <v>254</v>
      </c>
    </row>
    <row r="98" spans="1:17" x14ac:dyDescent="0.25">
      <c r="A98" t="s">
        <v>25</v>
      </c>
      <c r="B98" t="s">
        <v>31</v>
      </c>
      <c r="C98">
        <v>160</v>
      </c>
      <c r="D98" t="s">
        <v>264</v>
      </c>
      <c r="E98" s="1">
        <v>43083</v>
      </c>
      <c r="F98" t="s">
        <v>17</v>
      </c>
      <c r="G98" t="s">
        <v>633</v>
      </c>
      <c r="H98">
        <v>30</v>
      </c>
      <c r="I98" t="s">
        <v>38</v>
      </c>
      <c r="J98">
        <v>0.82566666666699995</v>
      </c>
      <c r="K98">
        <v>21.27</v>
      </c>
      <c r="L98" t="s">
        <v>246</v>
      </c>
      <c r="M98" t="s">
        <v>171</v>
      </c>
      <c r="N98" t="s">
        <v>635</v>
      </c>
      <c r="O98">
        <v>8.7295928317634011E-2</v>
      </c>
      <c r="P98">
        <v>71.682178578741997</v>
      </c>
      <c r="Q98" t="s">
        <v>254</v>
      </c>
    </row>
    <row r="99" spans="1:17" x14ac:dyDescent="0.25">
      <c r="A99" t="s">
        <v>25</v>
      </c>
      <c r="B99" t="s">
        <v>31</v>
      </c>
      <c r="C99">
        <v>160</v>
      </c>
      <c r="D99" t="s">
        <v>264</v>
      </c>
      <c r="E99" s="1">
        <v>43083</v>
      </c>
      <c r="F99" t="s">
        <v>252</v>
      </c>
      <c r="G99" t="s">
        <v>630</v>
      </c>
      <c r="H99">
        <v>-30</v>
      </c>
      <c r="I99" t="s">
        <v>38</v>
      </c>
      <c r="J99">
        <v>-0.90596412630500001</v>
      </c>
      <c r="K99">
        <v>27.18</v>
      </c>
      <c r="L99" t="s">
        <v>609</v>
      </c>
      <c r="M99" t="s">
        <v>171</v>
      </c>
      <c r="N99" t="s">
        <v>632</v>
      </c>
      <c r="O99">
        <v>0.12496167376032306</v>
      </c>
      <c r="P99">
        <v>98.862178578742004</v>
      </c>
      <c r="Q99" t="s">
        <v>254</v>
      </c>
    </row>
    <row r="100" spans="1:17" x14ac:dyDescent="0.25">
      <c r="A100" t="s">
        <v>25</v>
      </c>
      <c r="B100" t="s">
        <v>31</v>
      </c>
      <c r="C100">
        <v>160</v>
      </c>
      <c r="D100" t="s">
        <v>264</v>
      </c>
      <c r="E100" s="1">
        <v>43083</v>
      </c>
      <c r="F100" t="s">
        <v>252</v>
      </c>
      <c r="G100" t="s">
        <v>630</v>
      </c>
      <c r="H100">
        <v>-30</v>
      </c>
      <c r="I100" t="s">
        <v>38</v>
      </c>
      <c r="J100">
        <v>-0.90596412630500001</v>
      </c>
      <c r="K100">
        <v>27.18</v>
      </c>
      <c r="L100" t="s">
        <v>609</v>
      </c>
      <c r="M100" t="s">
        <v>171</v>
      </c>
      <c r="N100" t="s">
        <v>632</v>
      </c>
      <c r="O100">
        <v>0.16559657694871113</v>
      </c>
      <c r="P100">
        <v>126.04217857874201</v>
      </c>
      <c r="Q100" t="s">
        <v>254</v>
      </c>
    </row>
    <row r="101" spans="1:17" x14ac:dyDescent="0.25">
      <c r="A101" t="s">
        <v>25</v>
      </c>
      <c r="B101" t="s">
        <v>31</v>
      </c>
      <c r="C101">
        <v>160</v>
      </c>
      <c r="D101" t="s">
        <v>264</v>
      </c>
      <c r="E101" s="1">
        <v>43083</v>
      </c>
      <c r="F101" t="s">
        <v>17</v>
      </c>
      <c r="G101" t="s">
        <v>633</v>
      </c>
      <c r="H101">
        <v>30</v>
      </c>
      <c r="I101" t="s">
        <v>38</v>
      </c>
      <c r="J101">
        <v>0.82566666666699995</v>
      </c>
      <c r="K101">
        <v>21.27</v>
      </c>
      <c r="L101" t="s">
        <v>246</v>
      </c>
      <c r="M101" t="s">
        <v>171</v>
      </c>
      <c r="N101" t="s">
        <v>635</v>
      </c>
      <c r="O101">
        <v>0.18620241496921153</v>
      </c>
      <c r="P101">
        <v>147.31217857874202</v>
      </c>
      <c r="Q101" t="s">
        <v>254</v>
      </c>
    </row>
    <row r="102" spans="1:17" x14ac:dyDescent="0.25">
      <c r="A102" t="s">
        <v>25</v>
      </c>
      <c r="B102" t="s">
        <v>31</v>
      </c>
      <c r="C102">
        <v>160</v>
      </c>
      <c r="D102" t="s">
        <v>264</v>
      </c>
      <c r="E102" s="1">
        <v>43083</v>
      </c>
      <c r="F102" t="s">
        <v>17</v>
      </c>
      <c r="G102" t="s">
        <v>633</v>
      </c>
      <c r="H102">
        <v>30</v>
      </c>
      <c r="I102" t="s">
        <v>38</v>
      </c>
      <c r="J102">
        <v>0.82566666666699995</v>
      </c>
      <c r="K102">
        <v>21.27</v>
      </c>
      <c r="L102" t="s">
        <v>246</v>
      </c>
      <c r="M102" t="s">
        <v>171</v>
      </c>
      <c r="N102" t="s">
        <v>635</v>
      </c>
      <c r="O102">
        <v>0.20530260196646372</v>
      </c>
      <c r="P102">
        <v>168.58217857874203</v>
      </c>
      <c r="Q102" t="s">
        <v>254</v>
      </c>
    </row>
    <row r="103" spans="1:17" x14ac:dyDescent="0.25">
      <c r="A103" t="s">
        <v>25</v>
      </c>
      <c r="B103" t="s">
        <v>31</v>
      </c>
      <c r="C103">
        <v>160</v>
      </c>
      <c r="D103" t="s">
        <v>264</v>
      </c>
      <c r="E103" s="1">
        <v>43083</v>
      </c>
      <c r="F103" t="s">
        <v>252</v>
      </c>
      <c r="G103" t="s">
        <v>630</v>
      </c>
      <c r="H103">
        <v>-30</v>
      </c>
      <c r="I103" t="s">
        <v>38</v>
      </c>
      <c r="J103">
        <v>-0.90596412630500001</v>
      </c>
      <c r="K103">
        <v>27.18</v>
      </c>
      <c r="L103" t="s">
        <v>609</v>
      </c>
      <c r="M103" t="s">
        <v>171</v>
      </c>
      <c r="N103" t="s">
        <v>632</v>
      </c>
      <c r="O103">
        <v>0.24744315617809998</v>
      </c>
      <c r="P103">
        <v>195.76217857874204</v>
      </c>
      <c r="Q103" t="s">
        <v>254</v>
      </c>
    </row>
    <row r="104" spans="1:17" x14ac:dyDescent="0.25">
      <c r="A104" t="s">
        <v>25</v>
      </c>
      <c r="B104" t="s">
        <v>31</v>
      </c>
      <c r="C104">
        <v>160</v>
      </c>
      <c r="D104" t="s">
        <v>264</v>
      </c>
      <c r="E104" s="1">
        <v>43083</v>
      </c>
      <c r="F104" t="s">
        <v>252</v>
      </c>
      <c r="G104" t="s">
        <v>630</v>
      </c>
      <c r="H104">
        <v>-30</v>
      </c>
      <c r="I104" t="s">
        <v>38</v>
      </c>
      <c r="J104">
        <v>-0.90596412630500001</v>
      </c>
      <c r="K104">
        <v>27.18</v>
      </c>
      <c r="L104" t="s">
        <v>609</v>
      </c>
      <c r="M104" t="s">
        <v>171</v>
      </c>
      <c r="N104" t="s">
        <v>632</v>
      </c>
      <c r="O104">
        <v>0.29290561339404314</v>
      </c>
      <c r="P104">
        <v>222.94217857874204</v>
      </c>
      <c r="Q104" t="s">
        <v>254</v>
      </c>
    </row>
    <row r="105" spans="1:17" x14ac:dyDescent="0.25">
      <c r="A105" t="s">
        <v>25</v>
      </c>
      <c r="B105" t="s">
        <v>31</v>
      </c>
      <c r="C105">
        <v>160</v>
      </c>
      <c r="D105" t="s">
        <v>264</v>
      </c>
      <c r="E105" s="1">
        <v>43083</v>
      </c>
      <c r="F105" t="s">
        <v>17</v>
      </c>
      <c r="G105" t="s">
        <v>633</v>
      </c>
      <c r="H105">
        <v>30</v>
      </c>
      <c r="I105" t="s">
        <v>38</v>
      </c>
      <c r="J105">
        <v>0.82533333333299996</v>
      </c>
      <c r="K105">
        <v>21.27</v>
      </c>
      <c r="L105" t="s">
        <v>246</v>
      </c>
      <c r="M105" t="s">
        <v>171</v>
      </c>
      <c r="N105" t="s">
        <v>635</v>
      </c>
      <c r="O105">
        <v>0.30868389738698843</v>
      </c>
      <c r="P105">
        <v>244.21217857874205</v>
      </c>
      <c r="Q105" t="s">
        <v>254</v>
      </c>
    </row>
    <row r="106" spans="1:17" x14ac:dyDescent="0.25">
      <c r="A106" t="s">
        <v>25</v>
      </c>
      <c r="B106" t="s">
        <v>31</v>
      </c>
      <c r="C106">
        <v>160</v>
      </c>
      <c r="D106" t="s">
        <v>264</v>
      </c>
      <c r="E106" s="1">
        <v>43084</v>
      </c>
      <c r="F106" t="s">
        <v>252</v>
      </c>
      <c r="G106" t="s">
        <v>636</v>
      </c>
      <c r="H106">
        <v>-8.0299999999999994</v>
      </c>
      <c r="I106" t="s">
        <v>38</v>
      </c>
      <c r="J106">
        <v>0</v>
      </c>
      <c r="M106" t="s">
        <v>170</v>
      </c>
      <c r="N106" t="s">
        <v>638</v>
      </c>
      <c r="Q106" t="s">
        <v>254</v>
      </c>
    </row>
    <row r="107" spans="1:17" x14ac:dyDescent="0.25">
      <c r="A107" t="s">
        <v>25</v>
      </c>
      <c r="B107" t="s">
        <v>31</v>
      </c>
      <c r="C107">
        <v>160</v>
      </c>
      <c r="D107" t="s">
        <v>264</v>
      </c>
      <c r="E107" s="1">
        <v>43084</v>
      </c>
      <c r="F107" t="s">
        <v>252</v>
      </c>
      <c r="G107" t="s">
        <v>636</v>
      </c>
      <c r="H107">
        <v>-8.0299999999999994</v>
      </c>
      <c r="I107" t="s">
        <v>38</v>
      </c>
      <c r="J107">
        <v>-0.90598275489400004</v>
      </c>
      <c r="K107">
        <v>7.2799999999999994</v>
      </c>
      <c r="L107" t="s">
        <v>609</v>
      </c>
      <c r="M107" t="s">
        <v>171</v>
      </c>
      <c r="N107" t="s">
        <v>638</v>
      </c>
      <c r="O107">
        <v>0.32114540559913934</v>
      </c>
      <c r="P107">
        <v>251.49217857874206</v>
      </c>
      <c r="Q107" t="s">
        <v>254</v>
      </c>
    </row>
    <row r="108" spans="1:17" x14ac:dyDescent="0.25">
      <c r="A108" t="s">
        <v>25</v>
      </c>
      <c r="B108" t="s">
        <v>31</v>
      </c>
      <c r="C108">
        <v>160</v>
      </c>
      <c r="D108" t="s">
        <v>264</v>
      </c>
      <c r="E108" s="1">
        <v>43089</v>
      </c>
      <c r="F108" t="s">
        <v>21</v>
      </c>
      <c r="G108" t="s">
        <v>1914</v>
      </c>
      <c r="H108">
        <v>3.4</v>
      </c>
      <c r="I108" t="s">
        <v>38</v>
      </c>
      <c r="J108">
        <v>0</v>
      </c>
      <c r="M108" t="s">
        <v>170</v>
      </c>
      <c r="N108" t="s">
        <v>1919</v>
      </c>
    </row>
    <row r="109" spans="1:17" x14ac:dyDescent="0.25">
      <c r="A109" t="s">
        <v>25</v>
      </c>
      <c r="B109" t="s">
        <v>31</v>
      </c>
      <c r="C109">
        <v>160</v>
      </c>
      <c r="D109" t="s">
        <v>264</v>
      </c>
      <c r="E109" s="1">
        <v>43089</v>
      </c>
      <c r="F109" t="s">
        <v>21</v>
      </c>
      <c r="G109" t="s">
        <v>1914</v>
      </c>
      <c r="H109">
        <v>3.4</v>
      </c>
      <c r="I109" t="s">
        <v>38</v>
      </c>
      <c r="J109">
        <v>0</v>
      </c>
      <c r="M109" t="s">
        <v>255</v>
      </c>
      <c r="N109" t="s">
        <v>1919</v>
      </c>
      <c r="O109">
        <v>0.3197571277907999</v>
      </c>
      <c r="P109">
        <v>251.49217857874206</v>
      </c>
      <c r="Q109" t="s">
        <v>249</v>
      </c>
    </row>
    <row r="110" spans="1:17" x14ac:dyDescent="0.25">
      <c r="A110" t="s">
        <v>25</v>
      </c>
      <c r="B110" t="s">
        <v>31</v>
      </c>
      <c r="C110">
        <v>160</v>
      </c>
      <c r="D110" t="s">
        <v>264</v>
      </c>
      <c r="E110" s="1">
        <v>43089</v>
      </c>
      <c r="F110" t="s">
        <v>21</v>
      </c>
      <c r="G110" t="s">
        <v>1914</v>
      </c>
      <c r="H110">
        <v>26.4</v>
      </c>
      <c r="I110" t="s">
        <v>38</v>
      </c>
      <c r="J110">
        <v>0</v>
      </c>
      <c r="M110" t="s">
        <v>170</v>
      </c>
      <c r="N110" t="s">
        <v>1920</v>
      </c>
    </row>
    <row r="111" spans="1:17" x14ac:dyDescent="0.25">
      <c r="A111" t="s">
        <v>25</v>
      </c>
      <c r="B111" t="s">
        <v>31</v>
      </c>
      <c r="C111">
        <v>160</v>
      </c>
      <c r="D111" t="s">
        <v>264</v>
      </c>
      <c r="E111" s="1">
        <v>43089</v>
      </c>
      <c r="F111" t="s">
        <v>21</v>
      </c>
      <c r="G111" t="s">
        <v>1914</v>
      </c>
      <c r="H111">
        <v>26.4</v>
      </c>
      <c r="I111" t="s">
        <v>38</v>
      </c>
      <c r="J111">
        <v>0</v>
      </c>
      <c r="M111" t="s">
        <v>255</v>
      </c>
      <c r="N111" t="s">
        <v>1920</v>
      </c>
      <c r="O111">
        <v>0.30937272093927004</v>
      </c>
      <c r="P111">
        <v>251.49217857874206</v>
      </c>
      <c r="Q111" t="s">
        <v>249</v>
      </c>
    </row>
    <row r="112" spans="1:17" x14ac:dyDescent="0.25">
      <c r="A112" t="s">
        <v>25</v>
      </c>
      <c r="B112" t="s">
        <v>31</v>
      </c>
      <c r="C112">
        <v>160</v>
      </c>
      <c r="D112" t="s">
        <v>264</v>
      </c>
      <c r="E112" s="1">
        <v>43089</v>
      </c>
      <c r="F112" t="s">
        <v>21</v>
      </c>
      <c r="G112" t="s">
        <v>1914</v>
      </c>
      <c r="H112">
        <v>24</v>
      </c>
      <c r="I112" t="s">
        <v>38</v>
      </c>
      <c r="J112">
        <v>0</v>
      </c>
      <c r="M112" t="s">
        <v>170</v>
      </c>
      <c r="N112" t="s">
        <v>1921</v>
      </c>
    </row>
    <row r="113" spans="1:17" x14ac:dyDescent="0.25">
      <c r="A113" t="s">
        <v>25</v>
      </c>
      <c r="B113" t="s">
        <v>31</v>
      </c>
      <c r="C113">
        <v>160</v>
      </c>
      <c r="D113" t="s">
        <v>264</v>
      </c>
      <c r="E113" s="1">
        <v>43089</v>
      </c>
      <c r="F113" t="s">
        <v>21</v>
      </c>
      <c r="G113" t="s">
        <v>1914</v>
      </c>
      <c r="H113">
        <v>24</v>
      </c>
      <c r="I113" t="s">
        <v>38</v>
      </c>
      <c r="J113">
        <v>0</v>
      </c>
      <c r="M113" t="s">
        <v>255</v>
      </c>
      <c r="N113" t="s">
        <v>1921</v>
      </c>
      <c r="O113">
        <v>0.30050086458369724</v>
      </c>
      <c r="P113">
        <v>251.49217857874206</v>
      </c>
      <c r="Q113" t="s">
        <v>249</v>
      </c>
    </row>
    <row r="114" spans="1:17" x14ac:dyDescent="0.25">
      <c r="A114" t="s">
        <v>25</v>
      </c>
      <c r="B114" t="s">
        <v>31</v>
      </c>
      <c r="C114">
        <v>160</v>
      </c>
      <c r="D114" t="s">
        <v>264</v>
      </c>
      <c r="E114" s="1">
        <v>43089</v>
      </c>
      <c r="F114" t="s">
        <v>21</v>
      </c>
      <c r="G114" t="s">
        <v>1914</v>
      </c>
      <c r="H114">
        <v>-24</v>
      </c>
      <c r="I114" t="s">
        <v>38</v>
      </c>
      <c r="J114">
        <v>0</v>
      </c>
      <c r="M114" t="s">
        <v>170</v>
      </c>
      <c r="N114" t="s">
        <v>1922</v>
      </c>
    </row>
    <row r="115" spans="1:17" x14ac:dyDescent="0.25">
      <c r="A115" t="s">
        <v>25</v>
      </c>
      <c r="B115" t="s">
        <v>31</v>
      </c>
      <c r="C115">
        <v>160</v>
      </c>
      <c r="D115" t="s">
        <v>264</v>
      </c>
      <c r="E115" s="1">
        <v>43089</v>
      </c>
      <c r="F115" t="s">
        <v>21</v>
      </c>
      <c r="G115" t="s">
        <v>1914</v>
      </c>
      <c r="H115">
        <v>-24</v>
      </c>
      <c r="I115" t="s">
        <v>38</v>
      </c>
      <c r="J115">
        <v>0.30050086458369724</v>
      </c>
      <c r="K115">
        <v>-7.2120207500087332</v>
      </c>
      <c r="M115" t="s">
        <v>255</v>
      </c>
      <c r="N115" t="s">
        <v>1922</v>
      </c>
      <c r="O115">
        <v>0.30050086458369718</v>
      </c>
      <c r="P115">
        <v>244.28015782873331</v>
      </c>
      <c r="Q115" t="s">
        <v>249</v>
      </c>
    </row>
    <row r="116" spans="1:17" x14ac:dyDescent="0.25">
      <c r="A116" t="s">
        <v>25</v>
      </c>
      <c r="B116" t="s">
        <v>31</v>
      </c>
      <c r="C116">
        <v>160</v>
      </c>
      <c r="D116" t="s">
        <v>264</v>
      </c>
      <c r="E116" s="1">
        <v>43089</v>
      </c>
      <c r="F116" t="s">
        <v>21</v>
      </c>
      <c r="G116" t="s">
        <v>1914</v>
      </c>
      <c r="H116">
        <v>-26.4</v>
      </c>
      <c r="I116" t="s">
        <v>38</v>
      </c>
      <c r="J116">
        <v>0</v>
      </c>
      <c r="M116" t="s">
        <v>170</v>
      </c>
      <c r="N116" t="s">
        <v>1923</v>
      </c>
    </row>
    <row r="117" spans="1:17" x14ac:dyDescent="0.25">
      <c r="A117" t="s">
        <v>25</v>
      </c>
      <c r="B117" t="s">
        <v>31</v>
      </c>
      <c r="C117">
        <v>160</v>
      </c>
      <c r="D117" t="s">
        <v>264</v>
      </c>
      <c r="E117" s="1">
        <v>43089</v>
      </c>
      <c r="F117" t="s">
        <v>21</v>
      </c>
      <c r="G117" t="s">
        <v>1914</v>
      </c>
      <c r="H117">
        <v>-26.4</v>
      </c>
      <c r="I117" t="s">
        <v>38</v>
      </c>
      <c r="J117">
        <v>0.30050086458369718</v>
      </c>
      <c r="K117">
        <v>-7.9332228250096053</v>
      </c>
      <c r="M117" t="s">
        <v>255</v>
      </c>
      <c r="N117" t="s">
        <v>1923</v>
      </c>
      <c r="O117">
        <v>0.30050086458369718</v>
      </c>
      <c r="P117">
        <v>236.3469350037237</v>
      </c>
      <c r="Q117" t="s">
        <v>249</v>
      </c>
    </row>
    <row r="118" spans="1:17" x14ac:dyDescent="0.25">
      <c r="A118" t="s">
        <v>25</v>
      </c>
      <c r="B118" t="s">
        <v>31</v>
      </c>
      <c r="C118">
        <v>160</v>
      </c>
      <c r="D118" t="s">
        <v>264</v>
      </c>
      <c r="E118" s="1">
        <v>43089</v>
      </c>
      <c r="F118" t="s">
        <v>21</v>
      </c>
      <c r="G118" t="s">
        <v>1914</v>
      </c>
      <c r="H118">
        <v>-7.9700000000000006</v>
      </c>
      <c r="I118" t="s">
        <v>38</v>
      </c>
      <c r="J118">
        <v>0</v>
      </c>
      <c r="M118" t="s">
        <v>170</v>
      </c>
      <c r="N118" t="s">
        <v>1924</v>
      </c>
    </row>
    <row r="119" spans="1:17" x14ac:dyDescent="0.25">
      <c r="A119" t="s">
        <v>25</v>
      </c>
      <c r="B119" t="s">
        <v>31</v>
      </c>
      <c r="C119">
        <v>160</v>
      </c>
      <c r="D119" t="s">
        <v>264</v>
      </c>
      <c r="E119" s="1">
        <v>43089</v>
      </c>
      <c r="F119" t="s">
        <v>21</v>
      </c>
      <c r="G119" t="s">
        <v>1914</v>
      </c>
      <c r="H119">
        <v>-7.9700000000000006</v>
      </c>
      <c r="I119" t="s">
        <v>38</v>
      </c>
      <c r="J119">
        <v>0.30050086458369718</v>
      </c>
      <c r="K119">
        <v>-2.3949918907320669</v>
      </c>
      <c r="M119" t="s">
        <v>255</v>
      </c>
      <c r="N119" t="s">
        <v>1924</v>
      </c>
      <c r="O119">
        <v>0.30050086458369718</v>
      </c>
      <c r="P119">
        <v>233.95194311299164</v>
      </c>
      <c r="Q119" t="s">
        <v>249</v>
      </c>
    </row>
    <row r="120" spans="1:17" x14ac:dyDescent="0.25">
      <c r="A120" t="s">
        <v>25</v>
      </c>
      <c r="B120" t="s">
        <v>31</v>
      </c>
      <c r="C120">
        <v>160</v>
      </c>
      <c r="D120" t="s">
        <v>264</v>
      </c>
      <c r="E120" s="1">
        <v>43089</v>
      </c>
      <c r="F120" t="s">
        <v>21</v>
      </c>
      <c r="G120" t="s">
        <v>1914</v>
      </c>
      <c r="H120">
        <v>-2.7</v>
      </c>
      <c r="I120" t="s">
        <v>38</v>
      </c>
      <c r="J120">
        <v>0</v>
      </c>
      <c r="M120" t="s">
        <v>170</v>
      </c>
      <c r="N120" t="s">
        <v>1925</v>
      </c>
    </row>
    <row r="121" spans="1:17" x14ac:dyDescent="0.25">
      <c r="A121" t="s">
        <v>25</v>
      </c>
      <c r="B121" t="s">
        <v>31</v>
      </c>
      <c r="C121">
        <v>160</v>
      </c>
      <c r="D121" t="s">
        <v>264</v>
      </c>
      <c r="E121" s="1">
        <v>43089</v>
      </c>
      <c r="F121" t="s">
        <v>21</v>
      </c>
      <c r="G121" t="s">
        <v>1914</v>
      </c>
      <c r="H121">
        <v>-2.7</v>
      </c>
      <c r="I121" t="s">
        <v>38</v>
      </c>
      <c r="J121">
        <v>0.30050086458369718</v>
      </c>
      <c r="K121">
        <v>-0.81135233437598242</v>
      </c>
      <c r="M121" t="s">
        <v>255</v>
      </c>
      <c r="N121" t="s">
        <v>1925</v>
      </c>
      <c r="O121">
        <v>0.30050086458369724</v>
      </c>
      <c r="P121">
        <v>233.14059077861566</v>
      </c>
      <c r="Q121" t="s">
        <v>249</v>
      </c>
    </row>
    <row r="122" spans="1:17" x14ac:dyDescent="0.25">
      <c r="A122" t="s">
        <v>25</v>
      </c>
      <c r="B122" t="s">
        <v>31</v>
      </c>
      <c r="C122">
        <v>160</v>
      </c>
      <c r="D122" t="s">
        <v>264</v>
      </c>
      <c r="E122" s="1">
        <v>43089</v>
      </c>
      <c r="F122" t="s">
        <v>21</v>
      </c>
      <c r="G122" t="s">
        <v>1914</v>
      </c>
      <c r="H122">
        <v>5.95</v>
      </c>
      <c r="I122" t="s">
        <v>38</v>
      </c>
      <c r="J122">
        <v>0</v>
      </c>
      <c r="M122" t="s">
        <v>170</v>
      </c>
      <c r="N122" t="s">
        <v>1926</v>
      </c>
    </row>
    <row r="123" spans="1:17" x14ac:dyDescent="0.25">
      <c r="A123" t="s">
        <v>25</v>
      </c>
      <c r="B123" t="s">
        <v>31</v>
      </c>
      <c r="C123">
        <v>160</v>
      </c>
      <c r="D123" t="s">
        <v>264</v>
      </c>
      <c r="E123" s="1">
        <v>43089</v>
      </c>
      <c r="F123" t="s">
        <v>21</v>
      </c>
      <c r="G123" t="s">
        <v>1914</v>
      </c>
      <c r="H123">
        <v>5.95</v>
      </c>
      <c r="I123" t="s">
        <v>38</v>
      </c>
      <c r="J123">
        <v>0</v>
      </c>
      <c r="M123" t="s">
        <v>255</v>
      </c>
      <c r="N123" t="s">
        <v>1926</v>
      </c>
      <c r="O123">
        <v>0.29821383079678127</v>
      </c>
      <c r="P123">
        <v>233.14059077861566</v>
      </c>
      <c r="Q123" t="s">
        <v>249</v>
      </c>
    </row>
    <row r="124" spans="1:17" x14ac:dyDescent="0.25">
      <c r="A124" t="s">
        <v>25</v>
      </c>
      <c r="B124" t="s">
        <v>31</v>
      </c>
      <c r="C124">
        <v>160</v>
      </c>
      <c r="D124" t="s">
        <v>264</v>
      </c>
      <c r="E124" s="1">
        <v>43089</v>
      </c>
      <c r="F124" t="s">
        <v>21</v>
      </c>
      <c r="G124" t="s">
        <v>1914</v>
      </c>
      <c r="H124">
        <v>-0.25</v>
      </c>
      <c r="I124" t="s">
        <v>38</v>
      </c>
      <c r="J124">
        <v>0</v>
      </c>
      <c r="M124" t="s">
        <v>170</v>
      </c>
      <c r="N124" t="s">
        <v>1927</v>
      </c>
    </row>
    <row r="125" spans="1:17" x14ac:dyDescent="0.25">
      <c r="A125" t="s">
        <v>25</v>
      </c>
      <c r="B125" t="s">
        <v>31</v>
      </c>
      <c r="C125">
        <v>160</v>
      </c>
      <c r="D125" t="s">
        <v>264</v>
      </c>
      <c r="E125" s="1">
        <v>43089</v>
      </c>
      <c r="F125" t="s">
        <v>21</v>
      </c>
      <c r="G125" t="s">
        <v>1914</v>
      </c>
      <c r="H125">
        <v>-0.25</v>
      </c>
      <c r="I125" t="s">
        <v>38</v>
      </c>
      <c r="J125">
        <v>0.29821383079678127</v>
      </c>
      <c r="K125">
        <v>-7.4553457699195316E-2</v>
      </c>
      <c r="M125" t="s">
        <v>255</v>
      </c>
      <c r="N125" t="s">
        <v>1927</v>
      </c>
      <c r="O125">
        <v>0.29821383079678132</v>
      </c>
      <c r="P125">
        <v>233.06603732091648</v>
      </c>
      <c r="Q125" t="s">
        <v>249</v>
      </c>
    </row>
    <row r="126" spans="1:17" x14ac:dyDescent="0.25">
      <c r="A126" t="s">
        <v>25</v>
      </c>
      <c r="B126" t="s">
        <v>31</v>
      </c>
      <c r="C126">
        <v>160</v>
      </c>
      <c r="D126" t="s">
        <v>264</v>
      </c>
      <c r="E126" s="1">
        <v>43089</v>
      </c>
      <c r="F126" t="s">
        <v>21</v>
      </c>
      <c r="G126" t="s">
        <v>1914</v>
      </c>
      <c r="H126">
        <v>-0.16</v>
      </c>
      <c r="I126" t="s">
        <v>38</v>
      </c>
      <c r="J126">
        <v>0</v>
      </c>
      <c r="M126" t="s">
        <v>170</v>
      </c>
      <c r="N126" t="s">
        <v>1928</v>
      </c>
    </row>
    <row r="127" spans="1:17" x14ac:dyDescent="0.25">
      <c r="A127" t="s">
        <v>25</v>
      </c>
      <c r="B127" t="s">
        <v>31</v>
      </c>
      <c r="C127">
        <v>160</v>
      </c>
      <c r="D127" t="s">
        <v>264</v>
      </c>
      <c r="E127" s="1">
        <v>43089</v>
      </c>
      <c r="F127" t="s">
        <v>21</v>
      </c>
      <c r="G127" t="s">
        <v>1914</v>
      </c>
      <c r="H127">
        <v>-0.16</v>
      </c>
      <c r="I127" t="s">
        <v>38</v>
      </c>
      <c r="J127">
        <v>0.29821383079678132</v>
      </c>
      <c r="K127">
        <v>-4.7714212927485011E-2</v>
      </c>
      <c r="M127" t="s">
        <v>255</v>
      </c>
      <c r="N127" t="s">
        <v>1928</v>
      </c>
      <c r="O127">
        <v>0.29821383079678132</v>
      </c>
      <c r="P127">
        <v>233.018323107989</v>
      </c>
      <c r="Q127" t="s">
        <v>249</v>
      </c>
    </row>
    <row r="128" spans="1:17" x14ac:dyDescent="0.25">
      <c r="A128" t="s">
        <v>25</v>
      </c>
      <c r="B128" t="s">
        <v>31</v>
      </c>
      <c r="C128">
        <v>160</v>
      </c>
      <c r="D128" t="s">
        <v>264</v>
      </c>
      <c r="E128" s="1">
        <v>43089</v>
      </c>
      <c r="F128" t="s">
        <v>21</v>
      </c>
      <c r="G128" t="s">
        <v>1914</v>
      </c>
      <c r="H128">
        <v>-0.3</v>
      </c>
      <c r="I128" t="s">
        <v>38</v>
      </c>
      <c r="J128">
        <v>0</v>
      </c>
      <c r="M128" t="s">
        <v>170</v>
      </c>
      <c r="N128" t="s">
        <v>1929</v>
      </c>
    </row>
    <row r="129" spans="1:17" x14ac:dyDescent="0.25">
      <c r="A129" t="s">
        <v>25</v>
      </c>
      <c r="B129" t="s">
        <v>31</v>
      </c>
      <c r="C129">
        <v>160</v>
      </c>
      <c r="D129" t="s">
        <v>264</v>
      </c>
      <c r="E129" s="1">
        <v>43089</v>
      </c>
      <c r="F129" t="s">
        <v>21</v>
      </c>
      <c r="G129" t="s">
        <v>1914</v>
      </c>
      <c r="H129">
        <v>-0.3</v>
      </c>
      <c r="I129" t="s">
        <v>38</v>
      </c>
      <c r="J129">
        <v>0.29821383079678132</v>
      </c>
      <c r="K129">
        <v>-8.9464149239034396E-2</v>
      </c>
      <c r="M129" t="s">
        <v>255</v>
      </c>
      <c r="N129" t="s">
        <v>1929</v>
      </c>
      <c r="O129">
        <v>0.29821383079678127</v>
      </c>
      <c r="P129">
        <v>232.92885895874997</v>
      </c>
      <c r="Q129" t="s">
        <v>249</v>
      </c>
    </row>
    <row r="130" spans="1:17" x14ac:dyDescent="0.25">
      <c r="A130" t="s">
        <v>25</v>
      </c>
      <c r="B130" t="s">
        <v>31</v>
      </c>
      <c r="C130">
        <v>160</v>
      </c>
      <c r="D130" t="s">
        <v>264</v>
      </c>
      <c r="E130" s="1">
        <v>43089</v>
      </c>
      <c r="F130" t="s">
        <v>21</v>
      </c>
      <c r="G130" t="s">
        <v>1914</v>
      </c>
      <c r="H130">
        <v>-0.3</v>
      </c>
      <c r="I130" t="s">
        <v>38</v>
      </c>
      <c r="J130">
        <v>0</v>
      </c>
      <c r="M130" t="s">
        <v>170</v>
      </c>
      <c r="N130" t="s">
        <v>1930</v>
      </c>
    </row>
    <row r="131" spans="1:17" x14ac:dyDescent="0.25">
      <c r="A131" t="s">
        <v>25</v>
      </c>
      <c r="B131" t="s">
        <v>31</v>
      </c>
      <c r="C131">
        <v>160</v>
      </c>
      <c r="D131" t="s">
        <v>264</v>
      </c>
      <c r="E131" s="1">
        <v>43089</v>
      </c>
      <c r="F131" t="s">
        <v>21</v>
      </c>
      <c r="G131" t="s">
        <v>1914</v>
      </c>
      <c r="H131">
        <v>-0.3</v>
      </c>
      <c r="I131" t="s">
        <v>38</v>
      </c>
      <c r="J131">
        <v>0.29821383079678127</v>
      </c>
      <c r="K131">
        <v>-8.9464149239034382E-2</v>
      </c>
      <c r="M131" t="s">
        <v>255</v>
      </c>
      <c r="N131" t="s">
        <v>1930</v>
      </c>
      <c r="O131">
        <v>0.29821383079678127</v>
      </c>
      <c r="P131">
        <v>232.83939480951094</v>
      </c>
      <c r="Q131" t="s">
        <v>249</v>
      </c>
    </row>
    <row r="132" spans="1:17" x14ac:dyDescent="0.25">
      <c r="A132" t="s">
        <v>25</v>
      </c>
      <c r="B132" t="s">
        <v>31</v>
      </c>
      <c r="C132">
        <v>160</v>
      </c>
      <c r="D132" t="s">
        <v>264</v>
      </c>
      <c r="E132" s="1">
        <v>43089</v>
      </c>
      <c r="F132" t="s">
        <v>21</v>
      </c>
      <c r="G132" t="s">
        <v>1914</v>
      </c>
      <c r="H132">
        <v>-0.13</v>
      </c>
      <c r="I132" t="s">
        <v>38</v>
      </c>
      <c r="J132">
        <v>0</v>
      </c>
      <c r="M132" t="s">
        <v>170</v>
      </c>
      <c r="N132" t="s">
        <v>1931</v>
      </c>
    </row>
    <row r="133" spans="1:17" x14ac:dyDescent="0.25">
      <c r="A133" t="s">
        <v>25</v>
      </c>
      <c r="B133" t="s">
        <v>31</v>
      </c>
      <c r="C133">
        <v>160</v>
      </c>
      <c r="D133" t="s">
        <v>264</v>
      </c>
      <c r="E133" s="1">
        <v>43089</v>
      </c>
      <c r="F133" t="s">
        <v>21</v>
      </c>
      <c r="G133" t="s">
        <v>1914</v>
      </c>
      <c r="H133">
        <v>-0.13</v>
      </c>
      <c r="I133" t="s">
        <v>38</v>
      </c>
      <c r="J133">
        <v>0.29821383079678127</v>
      </c>
      <c r="K133">
        <v>-3.8767798003581565E-2</v>
      </c>
      <c r="M133" t="s">
        <v>255</v>
      </c>
      <c r="N133" t="s">
        <v>1931</v>
      </c>
      <c r="O133">
        <v>0.29821383079678127</v>
      </c>
      <c r="P133">
        <v>232.80062701150734</v>
      </c>
      <c r="Q133" t="s">
        <v>249</v>
      </c>
    </row>
    <row r="134" spans="1:17" x14ac:dyDescent="0.25">
      <c r="A134" t="s">
        <v>25</v>
      </c>
      <c r="B134" t="s">
        <v>31</v>
      </c>
      <c r="C134">
        <v>160</v>
      </c>
      <c r="D134" t="s">
        <v>264</v>
      </c>
      <c r="E134" s="1">
        <v>43090</v>
      </c>
      <c r="F134" t="s">
        <v>252</v>
      </c>
      <c r="G134" t="s">
        <v>639</v>
      </c>
      <c r="H134">
        <v>210</v>
      </c>
      <c r="I134" t="s">
        <v>38</v>
      </c>
      <c r="J134">
        <v>0</v>
      </c>
      <c r="M134" t="s">
        <v>170</v>
      </c>
      <c r="N134" t="s">
        <v>641</v>
      </c>
      <c r="Q134" t="s">
        <v>254</v>
      </c>
    </row>
    <row r="135" spans="1:17" x14ac:dyDescent="0.25">
      <c r="A135" t="s">
        <v>25</v>
      </c>
      <c r="B135" t="s">
        <v>31</v>
      </c>
      <c r="C135">
        <v>160</v>
      </c>
      <c r="D135" t="s">
        <v>264</v>
      </c>
      <c r="E135" s="1">
        <v>43090</v>
      </c>
      <c r="F135" t="s">
        <v>252</v>
      </c>
      <c r="G135" t="s">
        <v>642</v>
      </c>
      <c r="H135">
        <v>-210</v>
      </c>
      <c r="I135" t="s">
        <v>38</v>
      </c>
      <c r="J135">
        <v>0</v>
      </c>
      <c r="M135" t="s">
        <v>170</v>
      </c>
      <c r="N135" t="s">
        <v>644</v>
      </c>
      <c r="Q135" t="s">
        <v>254</v>
      </c>
    </row>
    <row r="136" spans="1:17" x14ac:dyDescent="0.25">
      <c r="A136" t="s">
        <v>25</v>
      </c>
      <c r="B136" t="s">
        <v>31</v>
      </c>
      <c r="C136">
        <v>160</v>
      </c>
      <c r="D136" t="s">
        <v>264</v>
      </c>
      <c r="E136" s="1">
        <v>43090</v>
      </c>
      <c r="F136" t="s">
        <v>252</v>
      </c>
      <c r="G136" t="s">
        <v>642</v>
      </c>
      <c r="H136">
        <v>-30</v>
      </c>
      <c r="I136" t="s">
        <v>38</v>
      </c>
      <c r="J136">
        <v>-3.6861799813409997</v>
      </c>
      <c r="K136">
        <v>110.59</v>
      </c>
      <c r="L136" t="s">
        <v>609</v>
      </c>
      <c r="M136" t="s">
        <v>171</v>
      </c>
      <c r="N136" t="s">
        <v>644</v>
      </c>
      <c r="O136">
        <v>0.45745770600347335</v>
      </c>
      <c r="P136">
        <v>343.39062701150738</v>
      </c>
      <c r="Q136" t="s">
        <v>254</v>
      </c>
    </row>
    <row r="137" spans="1:17" x14ac:dyDescent="0.25">
      <c r="A137" t="s">
        <v>25</v>
      </c>
      <c r="B137" t="s">
        <v>31</v>
      </c>
      <c r="C137">
        <v>160</v>
      </c>
      <c r="D137" t="s">
        <v>264</v>
      </c>
      <c r="E137" s="1">
        <v>43090</v>
      </c>
      <c r="F137" t="s">
        <v>252</v>
      </c>
      <c r="G137" t="s">
        <v>639</v>
      </c>
      <c r="H137">
        <v>30</v>
      </c>
      <c r="I137" t="s">
        <v>38</v>
      </c>
      <c r="J137">
        <v>0.24418127455399999</v>
      </c>
      <c r="K137">
        <v>7.33</v>
      </c>
      <c r="L137" t="s">
        <v>609</v>
      </c>
      <c r="M137" t="s">
        <v>171</v>
      </c>
      <c r="N137" t="s">
        <v>641</v>
      </c>
      <c r="O137">
        <v>0.44926743996862523</v>
      </c>
      <c r="P137">
        <v>350.72062701150736</v>
      </c>
      <c r="Q137" t="s">
        <v>254</v>
      </c>
    </row>
    <row r="138" spans="1:17" x14ac:dyDescent="0.25">
      <c r="A138" t="s">
        <v>25</v>
      </c>
      <c r="B138" t="s">
        <v>31</v>
      </c>
      <c r="C138">
        <v>160</v>
      </c>
      <c r="D138" t="s">
        <v>264</v>
      </c>
      <c r="E138" s="1">
        <v>43090</v>
      </c>
      <c r="F138" t="s">
        <v>252</v>
      </c>
      <c r="G138" t="s">
        <v>639</v>
      </c>
      <c r="H138">
        <v>30</v>
      </c>
      <c r="I138" t="s">
        <v>38</v>
      </c>
      <c r="J138">
        <v>0.24418127455399999</v>
      </c>
      <c r="K138">
        <v>7.33</v>
      </c>
      <c r="L138" t="s">
        <v>609</v>
      </c>
      <c r="M138" t="s">
        <v>171</v>
      </c>
      <c r="N138" t="s">
        <v>641</v>
      </c>
      <c r="O138">
        <v>0.44168337385000589</v>
      </c>
      <c r="P138">
        <v>358.05062701150734</v>
      </c>
      <c r="Q138" t="s">
        <v>254</v>
      </c>
    </row>
    <row r="139" spans="1:17" x14ac:dyDescent="0.25">
      <c r="A139" t="s">
        <v>25</v>
      </c>
      <c r="B139" t="s">
        <v>31</v>
      </c>
      <c r="C139">
        <v>160</v>
      </c>
      <c r="D139" t="s">
        <v>264</v>
      </c>
      <c r="E139" s="1">
        <v>43090</v>
      </c>
      <c r="F139" t="s">
        <v>252</v>
      </c>
      <c r="G139" t="s">
        <v>642</v>
      </c>
      <c r="H139">
        <v>-30</v>
      </c>
      <c r="I139" t="s">
        <v>38</v>
      </c>
      <c r="J139">
        <v>-3.6861799813409997</v>
      </c>
      <c r="K139">
        <v>110.59</v>
      </c>
      <c r="L139" t="s">
        <v>609</v>
      </c>
      <c r="M139" t="s">
        <v>171</v>
      </c>
      <c r="N139" t="s">
        <v>644</v>
      </c>
      <c r="O139">
        <v>0.60032104914046913</v>
      </c>
      <c r="P139">
        <v>468.64062701150738</v>
      </c>
      <c r="Q139" t="s">
        <v>254</v>
      </c>
    </row>
    <row r="140" spans="1:17" x14ac:dyDescent="0.25">
      <c r="A140" t="s">
        <v>25</v>
      </c>
      <c r="B140" t="s">
        <v>31</v>
      </c>
      <c r="C140">
        <v>160</v>
      </c>
      <c r="D140" t="s">
        <v>264</v>
      </c>
      <c r="E140" s="1">
        <v>43090</v>
      </c>
      <c r="F140" t="s">
        <v>252</v>
      </c>
      <c r="G140" t="s">
        <v>642</v>
      </c>
      <c r="H140">
        <v>-30</v>
      </c>
      <c r="I140" t="s">
        <v>38</v>
      </c>
      <c r="J140">
        <v>-3.6861799813409997</v>
      </c>
      <c r="K140">
        <v>110.59</v>
      </c>
      <c r="L140" t="s">
        <v>609</v>
      </c>
      <c r="M140" t="s">
        <v>171</v>
      </c>
      <c r="N140" t="s">
        <v>644</v>
      </c>
      <c r="O140">
        <v>0.77163874909945684</v>
      </c>
      <c r="P140">
        <v>579.23062701150741</v>
      </c>
      <c r="Q140" t="s">
        <v>254</v>
      </c>
    </row>
    <row r="141" spans="1:17" x14ac:dyDescent="0.25">
      <c r="A141" t="s">
        <v>25</v>
      </c>
      <c r="B141" t="s">
        <v>31</v>
      </c>
      <c r="C141">
        <v>160</v>
      </c>
      <c r="D141" t="s">
        <v>264</v>
      </c>
      <c r="E141" s="1">
        <v>43090</v>
      </c>
      <c r="F141" t="s">
        <v>252</v>
      </c>
      <c r="G141" t="s">
        <v>639</v>
      </c>
      <c r="H141">
        <v>30</v>
      </c>
      <c r="I141" t="s">
        <v>38</v>
      </c>
      <c r="J141">
        <v>0.24418127455399999</v>
      </c>
      <c r="K141">
        <v>7.33</v>
      </c>
      <c r="L141" t="s">
        <v>609</v>
      </c>
      <c r="M141" t="s">
        <v>171</v>
      </c>
      <c r="N141" t="s">
        <v>641</v>
      </c>
      <c r="O141">
        <v>0.7513746583123132</v>
      </c>
      <c r="P141">
        <v>586.56062701150745</v>
      </c>
      <c r="Q141" t="s">
        <v>254</v>
      </c>
    </row>
    <row r="142" spans="1:17" x14ac:dyDescent="0.25">
      <c r="A142" t="s">
        <v>25</v>
      </c>
      <c r="B142" t="s">
        <v>31</v>
      </c>
      <c r="C142">
        <v>160</v>
      </c>
      <c r="D142" t="s">
        <v>264</v>
      </c>
      <c r="E142" s="1">
        <v>43090</v>
      </c>
      <c r="F142" t="s">
        <v>252</v>
      </c>
      <c r="G142" t="s">
        <v>639</v>
      </c>
      <c r="H142">
        <v>30</v>
      </c>
      <c r="I142" t="s">
        <v>38</v>
      </c>
      <c r="J142">
        <v>0.24418127455399999</v>
      </c>
      <c r="K142">
        <v>7.33</v>
      </c>
      <c r="L142" t="s">
        <v>609</v>
      </c>
      <c r="M142" t="s">
        <v>171</v>
      </c>
      <c r="N142" t="s">
        <v>641</v>
      </c>
      <c r="O142">
        <v>0.73261040771172192</v>
      </c>
      <c r="P142">
        <v>593.89062701150749</v>
      </c>
      <c r="Q142" t="s">
        <v>254</v>
      </c>
    </row>
    <row r="143" spans="1:17" x14ac:dyDescent="0.25">
      <c r="A143" t="s">
        <v>25</v>
      </c>
      <c r="B143" t="s">
        <v>31</v>
      </c>
      <c r="C143">
        <v>160</v>
      </c>
      <c r="D143" t="s">
        <v>264</v>
      </c>
      <c r="E143" s="1">
        <v>43090</v>
      </c>
      <c r="F143" t="s">
        <v>252</v>
      </c>
      <c r="G143" t="s">
        <v>642</v>
      </c>
      <c r="H143">
        <v>-30</v>
      </c>
      <c r="I143" t="s">
        <v>38</v>
      </c>
      <c r="J143">
        <v>-3.6861799813409997</v>
      </c>
      <c r="K143">
        <v>110.59</v>
      </c>
      <c r="L143" t="s">
        <v>609</v>
      </c>
      <c r="M143" t="s">
        <v>171</v>
      </c>
      <c r="N143" t="s">
        <v>644</v>
      </c>
      <c r="O143">
        <v>0.90242826748415728</v>
      </c>
      <c r="P143">
        <v>704.48062701150752</v>
      </c>
      <c r="Q143" t="s">
        <v>254</v>
      </c>
    </row>
    <row r="144" spans="1:17" x14ac:dyDescent="0.25">
      <c r="A144" t="s">
        <v>25</v>
      </c>
      <c r="B144" t="s">
        <v>31</v>
      </c>
      <c r="C144">
        <v>160</v>
      </c>
      <c r="D144" t="s">
        <v>264</v>
      </c>
      <c r="E144" s="1">
        <v>43090</v>
      </c>
      <c r="F144" t="s">
        <v>252</v>
      </c>
      <c r="G144" t="s">
        <v>642</v>
      </c>
      <c r="H144">
        <v>-30</v>
      </c>
      <c r="I144" t="s">
        <v>38</v>
      </c>
      <c r="J144">
        <v>-3.6861799813409997</v>
      </c>
      <c r="K144">
        <v>110.59</v>
      </c>
      <c r="L144" t="s">
        <v>609</v>
      </c>
      <c r="M144" t="s">
        <v>171</v>
      </c>
      <c r="N144" t="s">
        <v>644</v>
      </c>
      <c r="O144">
        <v>1.0858197921954404</v>
      </c>
      <c r="P144">
        <v>815.07062701150755</v>
      </c>
      <c r="Q144" t="s">
        <v>254</v>
      </c>
    </row>
    <row r="145" spans="1:17" x14ac:dyDescent="0.25">
      <c r="A145" t="s">
        <v>25</v>
      </c>
      <c r="B145" t="s">
        <v>31</v>
      </c>
      <c r="C145">
        <v>160</v>
      </c>
      <c r="D145" t="s">
        <v>264</v>
      </c>
      <c r="E145" s="1">
        <v>43090</v>
      </c>
      <c r="F145" t="s">
        <v>252</v>
      </c>
      <c r="G145" t="s">
        <v>639</v>
      </c>
      <c r="H145">
        <v>30</v>
      </c>
      <c r="I145" t="s">
        <v>38</v>
      </c>
      <c r="J145">
        <v>0.24418127455399999</v>
      </c>
      <c r="K145">
        <v>7.33</v>
      </c>
      <c r="L145" t="s">
        <v>609</v>
      </c>
      <c r="M145" t="s">
        <v>171</v>
      </c>
      <c r="N145" t="s">
        <v>641</v>
      </c>
      <c r="O145">
        <v>1.0534818766560012</v>
      </c>
      <c r="P145">
        <v>822.40062701150759</v>
      </c>
      <c r="Q145" t="s">
        <v>254</v>
      </c>
    </row>
    <row r="146" spans="1:17" x14ac:dyDescent="0.25">
      <c r="A146" t="s">
        <v>25</v>
      </c>
      <c r="B146" t="s">
        <v>31</v>
      </c>
      <c r="C146">
        <v>160</v>
      </c>
      <c r="D146" t="s">
        <v>264</v>
      </c>
      <c r="E146" s="1">
        <v>43090</v>
      </c>
      <c r="F146" t="s">
        <v>252</v>
      </c>
      <c r="G146" t="s">
        <v>639</v>
      </c>
      <c r="H146">
        <v>30</v>
      </c>
      <c r="I146" t="s">
        <v>38</v>
      </c>
      <c r="J146">
        <v>0.24418127455399999</v>
      </c>
      <c r="K146">
        <v>7.33</v>
      </c>
      <c r="L146" t="s">
        <v>609</v>
      </c>
      <c r="M146" t="s">
        <v>171</v>
      </c>
      <c r="N146" t="s">
        <v>641</v>
      </c>
      <c r="O146">
        <v>1.023537441573438</v>
      </c>
      <c r="P146">
        <v>829.73062701150764</v>
      </c>
      <c r="Q146" t="s">
        <v>254</v>
      </c>
    </row>
    <row r="147" spans="1:17" x14ac:dyDescent="0.25">
      <c r="A147" t="s">
        <v>25</v>
      </c>
      <c r="B147" t="s">
        <v>31</v>
      </c>
      <c r="C147">
        <v>160</v>
      </c>
      <c r="D147" t="s">
        <v>264</v>
      </c>
      <c r="E147" s="1">
        <v>43090</v>
      </c>
      <c r="F147" t="s">
        <v>252</v>
      </c>
      <c r="G147" t="s">
        <v>642</v>
      </c>
      <c r="H147">
        <v>-30</v>
      </c>
      <c r="I147" t="s">
        <v>38</v>
      </c>
      <c r="J147">
        <v>-3.6861799813409997</v>
      </c>
      <c r="K147">
        <v>110.59</v>
      </c>
      <c r="L147" t="s">
        <v>609</v>
      </c>
      <c r="M147" t="s">
        <v>171</v>
      </c>
      <c r="N147" t="s">
        <v>644</v>
      </c>
      <c r="O147">
        <v>1.2045354858278452</v>
      </c>
      <c r="P147">
        <v>940.32062701150767</v>
      </c>
      <c r="Q147" t="s">
        <v>254</v>
      </c>
    </row>
    <row r="148" spans="1:17" x14ac:dyDescent="0.25">
      <c r="A148" t="s">
        <v>25</v>
      </c>
      <c r="B148" t="s">
        <v>31</v>
      </c>
      <c r="C148">
        <v>160</v>
      </c>
      <c r="D148" t="s">
        <v>264</v>
      </c>
      <c r="E148" s="1">
        <v>43090</v>
      </c>
      <c r="F148" t="s">
        <v>252</v>
      </c>
      <c r="G148" t="s">
        <v>642</v>
      </c>
      <c r="H148">
        <v>-30</v>
      </c>
      <c r="I148" t="s">
        <v>38</v>
      </c>
      <c r="J148">
        <v>-3.6861799813409997</v>
      </c>
      <c r="K148">
        <v>110.59</v>
      </c>
      <c r="L148" t="s">
        <v>609</v>
      </c>
      <c r="M148" t="s">
        <v>171</v>
      </c>
      <c r="N148" t="s">
        <v>644</v>
      </c>
      <c r="O148">
        <v>1.4000008352914239</v>
      </c>
      <c r="P148">
        <v>1050.9106270115076</v>
      </c>
      <c r="Q148" t="s">
        <v>254</v>
      </c>
    </row>
    <row r="149" spans="1:17" x14ac:dyDescent="0.25">
      <c r="A149" t="s">
        <v>25</v>
      </c>
      <c r="B149" t="s">
        <v>31</v>
      </c>
      <c r="C149">
        <v>160</v>
      </c>
      <c r="D149" t="s">
        <v>264</v>
      </c>
      <c r="E149" s="1">
        <v>43090</v>
      </c>
      <c r="F149" t="s">
        <v>252</v>
      </c>
      <c r="G149" t="s">
        <v>639</v>
      </c>
      <c r="H149">
        <v>30</v>
      </c>
      <c r="I149" t="s">
        <v>38</v>
      </c>
      <c r="J149">
        <v>0.24418127455399999</v>
      </c>
      <c r="K149">
        <v>7.33</v>
      </c>
      <c r="L149" t="s">
        <v>609</v>
      </c>
      <c r="M149" t="s">
        <v>171</v>
      </c>
      <c r="N149" t="s">
        <v>641</v>
      </c>
      <c r="O149">
        <v>1.3555890949996889</v>
      </c>
      <c r="P149">
        <v>1058.2406270115075</v>
      </c>
      <c r="Q149" t="s">
        <v>254</v>
      </c>
    </row>
    <row r="150" spans="1:17" x14ac:dyDescent="0.25">
      <c r="A150" t="s">
        <v>25</v>
      </c>
      <c r="B150" t="s">
        <v>31</v>
      </c>
      <c r="C150">
        <v>160</v>
      </c>
      <c r="D150" t="s">
        <v>264</v>
      </c>
      <c r="E150" s="1">
        <v>43096</v>
      </c>
      <c r="F150" t="s">
        <v>607</v>
      </c>
      <c r="H150">
        <v>1677.54</v>
      </c>
      <c r="I150" t="s">
        <v>38</v>
      </c>
      <c r="J150">
        <v>0</v>
      </c>
      <c r="K150">
        <v>0</v>
      </c>
      <c r="L150" t="s">
        <v>609</v>
      </c>
      <c r="M150" t="s">
        <v>171</v>
      </c>
      <c r="N150" t="s">
        <v>645</v>
      </c>
      <c r="O150">
        <v>0.43049586362791625</v>
      </c>
      <c r="P150">
        <v>1058.2406270115075</v>
      </c>
    </row>
    <row r="151" spans="1:17" x14ac:dyDescent="0.25">
      <c r="A151" t="s">
        <v>25</v>
      </c>
      <c r="B151" t="s">
        <v>31</v>
      </c>
      <c r="C151">
        <v>160</v>
      </c>
      <c r="D151" t="s">
        <v>264</v>
      </c>
      <c r="E151" s="1">
        <v>43096</v>
      </c>
      <c r="F151" t="s">
        <v>607</v>
      </c>
      <c r="H151">
        <v>-1677.54</v>
      </c>
      <c r="I151" t="s">
        <v>38</v>
      </c>
      <c r="J151">
        <v>0.43049586362791625</v>
      </c>
      <c r="K151">
        <v>-722.17403107037467</v>
      </c>
      <c r="L151" t="s">
        <v>609</v>
      </c>
      <c r="M151" t="s">
        <v>255</v>
      </c>
      <c r="N151" t="s">
        <v>645</v>
      </c>
      <c r="O151">
        <v>0.43049586362791625</v>
      </c>
      <c r="P151">
        <v>336.06659594113285</v>
      </c>
      <c r="Q151" t="s">
        <v>249</v>
      </c>
    </row>
    <row r="152" spans="1:17" x14ac:dyDescent="0.25">
      <c r="A152" t="s">
        <v>25</v>
      </c>
      <c r="B152" t="s">
        <v>31</v>
      </c>
      <c r="C152">
        <v>160</v>
      </c>
      <c r="D152" t="s">
        <v>264</v>
      </c>
      <c r="E152" s="1">
        <v>43096</v>
      </c>
      <c r="F152" t="s">
        <v>607</v>
      </c>
      <c r="H152">
        <v>0</v>
      </c>
      <c r="I152" t="s">
        <v>38</v>
      </c>
      <c r="J152">
        <v>0</v>
      </c>
      <c r="K152">
        <v>-1094.42</v>
      </c>
      <c r="L152" t="s">
        <v>609</v>
      </c>
      <c r="M152" t="s">
        <v>171</v>
      </c>
      <c r="N152" t="s">
        <v>646</v>
      </c>
      <c r="O152">
        <v>-0.97143842190337171</v>
      </c>
      <c r="P152">
        <v>-758.35340405886723</v>
      </c>
      <c r="Q152" t="s">
        <v>254</v>
      </c>
    </row>
    <row r="153" spans="1:17" x14ac:dyDescent="0.25">
      <c r="A153" t="s">
        <v>317</v>
      </c>
      <c r="B153" t="s">
        <v>125</v>
      </c>
      <c r="C153">
        <v>160</v>
      </c>
      <c r="D153" t="s">
        <v>264</v>
      </c>
      <c r="E153" s="1">
        <v>43089</v>
      </c>
      <c r="F153" t="s">
        <v>21</v>
      </c>
      <c r="G153" t="s">
        <v>1914</v>
      </c>
      <c r="H153">
        <v>8.1</v>
      </c>
      <c r="I153" t="s">
        <v>38</v>
      </c>
      <c r="J153">
        <v>0</v>
      </c>
      <c r="M153" t="s">
        <v>170</v>
      </c>
      <c r="N153" t="s">
        <v>1938</v>
      </c>
    </row>
    <row r="154" spans="1:17" x14ac:dyDescent="0.25">
      <c r="A154" t="s">
        <v>317</v>
      </c>
      <c r="B154" t="s">
        <v>125</v>
      </c>
      <c r="C154">
        <v>160</v>
      </c>
      <c r="D154" t="s">
        <v>264</v>
      </c>
      <c r="E154" s="1">
        <v>43089</v>
      </c>
      <c r="F154" t="s">
        <v>21</v>
      </c>
      <c r="G154" t="s">
        <v>1914</v>
      </c>
      <c r="H154">
        <v>8.1</v>
      </c>
      <c r="I154" t="s">
        <v>38</v>
      </c>
      <c r="J154">
        <v>0</v>
      </c>
      <c r="M154" t="s">
        <v>255</v>
      </c>
      <c r="N154" t="s">
        <v>1938</v>
      </c>
      <c r="O154">
        <v>0</v>
      </c>
      <c r="P154">
        <v>0</v>
      </c>
      <c r="Q154" t="s">
        <v>249</v>
      </c>
    </row>
    <row r="155" spans="1:17" x14ac:dyDescent="0.25">
      <c r="A155" t="s">
        <v>317</v>
      </c>
      <c r="B155" t="s">
        <v>125</v>
      </c>
      <c r="C155">
        <v>160</v>
      </c>
      <c r="D155" t="s">
        <v>264</v>
      </c>
      <c r="E155" s="1">
        <v>43089</v>
      </c>
      <c r="F155" t="s">
        <v>21</v>
      </c>
      <c r="G155" t="s">
        <v>1914</v>
      </c>
      <c r="H155">
        <v>6</v>
      </c>
      <c r="I155" t="s">
        <v>38</v>
      </c>
      <c r="J155">
        <v>0</v>
      </c>
      <c r="M155" t="s">
        <v>170</v>
      </c>
      <c r="N155" t="s">
        <v>1939</v>
      </c>
    </row>
    <row r="156" spans="1:17" x14ac:dyDescent="0.25">
      <c r="A156" t="s">
        <v>317</v>
      </c>
      <c r="B156" t="s">
        <v>125</v>
      </c>
      <c r="C156">
        <v>160</v>
      </c>
      <c r="D156" t="s">
        <v>264</v>
      </c>
      <c r="E156" s="1">
        <v>43089</v>
      </c>
      <c r="F156" t="s">
        <v>21</v>
      </c>
      <c r="G156" t="s">
        <v>1914</v>
      </c>
      <c r="H156">
        <v>6</v>
      </c>
      <c r="I156" t="s">
        <v>38</v>
      </c>
      <c r="J156">
        <v>0</v>
      </c>
      <c r="M156" t="s">
        <v>255</v>
      </c>
      <c r="N156" t="s">
        <v>1939</v>
      </c>
      <c r="O156">
        <v>0</v>
      </c>
      <c r="P156">
        <v>0</v>
      </c>
      <c r="Q156" t="s">
        <v>249</v>
      </c>
    </row>
    <row r="157" spans="1:17" x14ac:dyDescent="0.25">
      <c r="A157" t="s">
        <v>317</v>
      </c>
      <c r="B157" t="s">
        <v>125</v>
      </c>
      <c r="C157">
        <v>160</v>
      </c>
      <c r="D157" t="s">
        <v>264</v>
      </c>
      <c r="E157" s="1">
        <v>43089</v>
      </c>
      <c r="F157" t="s">
        <v>21</v>
      </c>
      <c r="G157" t="s">
        <v>1914</v>
      </c>
      <c r="H157">
        <v>6.2</v>
      </c>
      <c r="I157" t="s">
        <v>38</v>
      </c>
      <c r="J157">
        <v>0</v>
      </c>
      <c r="M157" t="s">
        <v>170</v>
      </c>
      <c r="N157" t="s">
        <v>1940</v>
      </c>
    </row>
    <row r="158" spans="1:17" x14ac:dyDescent="0.25">
      <c r="A158" t="s">
        <v>317</v>
      </c>
      <c r="B158" t="s">
        <v>125</v>
      </c>
      <c r="C158">
        <v>160</v>
      </c>
      <c r="D158" t="s">
        <v>264</v>
      </c>
      <c r="E158" s="1">
        <v>43089</v>
      </c>
      <c r="F158" t="s">
        <v>21</v>
      </c>
      <c r="G158" t="s">
        <v>1914</v>
      </c>
      <c r="H158">
        <v>6.2</v>
      </c>
      <c r="I158" t="s">
        <v>38</v>
      </c>
      <c r="J158">
        <v>0</v>
      </c>
      <c r="M158" t="s">
        <v>255</v>
      </c>
      <c r="N158" t="s">
        <v>1940</v>
      </c>
      <c r="O158">
        <v>0</v>
      </c>
      <c r="P158">
        <v>0</v>
      </c>
      <c r="Q158" t="s">
        <v>249</v>
      </c>
    </row>
    <row r="159" spans="1:17" x14ac:dyDescent="0.25">
      <c r="A159" t="s">
        <v>317</v>
      </c>
      <c r="B159" t="s">
        <v>125</v>
      </c>
      <c r="C159">
        <v>160</v>
      </c>
      <c r="D159" t="s">
        <v>264</v>
      </c>
      <c r="E159" s="1">
        <v>43089</v>
      </c>
      <c r="F159" t="s">
        <v>21</v>
      </c>
      <c r="G159" t="s">
        <v>1914</v>
      </c>
      <c r="H159">
        <v>1</v>
      </c>
      <c r="I159" t="s">
        <v>38</v>
      </c>
      <c r="J159">
        <v>0</v>
      </c>
      <c r="M159" t="s">
        <v>170</v>
      </c>
      <c r="N159" t="s">
        <v>1941</v>
      </c>
    </row>
    <row r="160" spans="1:17" x14ac:dyDescent="0.25">
      <c r="A160" t="s">
        <v>317</v>
      </c>
      <c r="B160" t="s">
        <v>125</v>
      </c>
      <c r="C160">
        <v>160</v>
      </c>
      <c r="D160" t="s">
        <v>264</v>
      </c>
      <c r="E160" s="1">
        <v>43089</v>
      </c>
      <c r="F160" t="s">
        <v>21</v>
      </c>
      <c r="G160" t="s">
        <v>1914</v>
      </c>
      <c r="H160">
        <v>1</v>
      </c>
      <c r="I160" t="s">
        <v>38</v>
      </c>
      <c r="J160">
        <v>0</v>
      </c>
      <c r="M160" t="s">
        <v>255</v>
      </c>
      <c r="N160" t="s">
        <v>1941</v>
      </c>
      <c r="O160">
        <v>0</v>
      </c>
      <c r="P160">
        <v>0</v>
      </c>
      <c r="Q160" t="s">
        <v>249</v>
      </c>
    </row>
    <row r="161" spans="1:17" x14ac:dyDescent="0.25">
      <c r="A161" t="s">
        <v>317</v>
      </c>
      <c r="B161" t="s">
        <v>125</v>
      </c>
      <c r="C161">
        <v>160</v>
      </c>
      <c r="D161" t="s">
        <v>264</v>
      </c>
      <c r="E161" s="1">
        <v>43089</v>
      </c>
      <c r="F161" t="s">
        <v>21</v>
      </c>
      <c r="G161" t="s">
        <v>1914</v>
      </c>
      <c r="H161">
        <v>1.1000000000000001</v>
      </c>
      <c r="I161" t="s">
        <v>38</v>
      </c>
      <c r="J161">
        <v>0</v>
      </c>
      <c r="M161" t="s">
        <v>170</v>
      </c>
      <c r="N161" t="s">
        <v>1942</v>
      </c>
    </row>
    <row r="162" spans="1:17" x14ac:dyDescent="0.25">
      <c r="A162" t="s">
        <v>317</v>
      </c>
      <c r="B162" t="s">
        <v>125</v>
      </c>
      <c r="C162">
        <v>160</v>
      </c>
      <c r="D162" t="s">
        <v>264</v>
      </c>
      <c r="E162" s="1">
        <v>43089</v>
      </c>
      <c r="F162" t="s">
        <v>21</v>
      </c>
      <c r="G162" t="s">
        <v>1914</v>
      </c>
      <c r="H162">
        <v>1.1000000000000001</v>
      </c>
      <c r="I162" t="s">
        <v>38</v>
      </c>
      <c r="J162">
        <v>0</v>
      </c>
      <c r="M162" t="s">
        <v>255</v>
      </c>
      <c r="N162" t="s">
        <v>1942</v>
      </c>
      <c r="O162">
        <v>0</v>
      </c>
      <c r="P162">
        <v>0</v>
      </c>
      <c r="Q162" t="s">
        <v>249</v>
      </c>
    </row>
    <row r="163" spans="1:17" x14ac:dyDescent="0.25">
      <c r="A163" t="s">
        <v>26</v>
      </c>
      <c r="B163" t="s">
        <v>195</v>
      </c>
      <c r="C163">
        <v>160</v>
      </c>
      <c r="D163" t="s">
        <v>264</v>
      </c>
      <c r="E163" s="1">
        <v>43089</v>
      </c>
      <c r="F163" t="s">
        <v>252</v>
      </c>
      <c r="G163" t="s">
        <v>666</v>
      </c>
      <c r="H163">
        <v>-15</v>
      </c>
      <c r="I163" t="s">
        <v>38</v>
      </c>
      <c r="J163">
        <v>0</v>
      </c>
      <c r="M163" t="s">
        <v>170</v>
      </c>
      <c r="N163" t="s">
        <v>668</v>
      </c>
      <c r="Q163" t="s">
        <v>254</v>
      </c>
    </row>
    <row r="164" spans="1:17" x14ac:dyDescent="0.25">
      <c r="A164" t="s">
        <v>26</v>
      </c>
      <c r="B164" t="s">
        <v>195</v>
      </c>
      <c r="C164">
        <v>160</v>
      </c>
      <c r="D164" t="s">
        <v>264</v>
      </c>
      <c r="E164" s="1">
        <v>43089</v>
      </c>
      <c r="F164" t="s">
        <v>21</v>
      </c>
      <c r="G164" t="s">
        <v>2073</v>
      </c>
      <c r="H164">
        <v>-0.24</v>
      </c>
      <c r="I164" t="s">
        <v>38</v>
      </c>
      <c r="J164">
        <v>0</v>
      </c>
      <c r="M164" t="s">
        <v>170</v>
      </c>
      <c r="N164" t="s">
        <v>2074</v>
      </c>
    </row>
    <row r="165" spans="1:17" x14ac:dyDescent="0.25">
      <c r="A165" t="s">
        <v>26</v>
      </c>
      <c r="B165" t="s">
        <v>195</v>
      </c>
      <c r="C165">
        <v>160</v>
      </c>
      <c r="D165" t="s">
        <v>264</v>
      </c>
      <c r="E165" s="1">
        <v>43089</v>
      </c>
      <c r="F165" t="s">
        <v>21</v>
      </c>
      <c r="G165" t="s">
        <v>2073</v>
      </c>
      <c r="H165">
        <v>-0.24</v>
      </c>
      <c r="I165" t="s">
        <v>38</v>
      </c>
      <c r="J165">
        <v>6.9448538912632358</v>
      </c>
      <c r="K165">
        <v>-1.6667649339031765</v>
      </c>
      <c r="M165" t="s">
        <v>255</v>
      </c>
      <c r="N165" t="s">
        <v>2074</v>
      </c>
      <c r="O165">
        <v>6.9448538912632358</v>
      </c>
      <c r="P165">
        <v>5828.6075253204963</v>
      </c>
      <c r="Q165" t="s">
        <v>249</v>
      </c>
    </row>
    <row r="166" spans="1:17" x14ac:dyDescent="0.25">
      <c r="A166" t="s">
        <v>26</v>
      </c>
      <c r="B166" t="s">
        <v>195</v>
      </c>
      <c r="C166">
        <v>160</v>
      </c>
      <c r="D166" t="s">
        <v>264</v>
      </c>
      <c r="E166" s="1">
        <v>43089</v>
      </c>
      <c r="F166" t="s">
        <v>21</v>
      </c>
      <c r="G166" t="s">
        <v>2073</v>
      </c>
      <c r="H166">
        <v>-0.26</v>
      </c>
      <c r="I166" t="s">
        <v>38</v>
      </c>
      <c r="J166">
        <v>0</v>
      </c>
      <c r="M166" t="s">
        <v>170</v>
      </c>
      <c r="N166" t="s">
        <v>2075</v>
      </c>
    </row>
    <row r="167" spans="1:17" x14ac:dyDescent="0.25">
      <c r="A167" t="s">
        <v>26</v>
      </c>
      <c r="B167" t="s">
        <v>195</v>
      </c>
      <c r="C167">
        <v>160</v>
      </c>
      <c r="D167" t="s">
        <v>264</v>
      </c>
      <c r="E167" s="1">
        <v>43089</v>
      </c>
      <c r="F167" t="s">
        <v>21</v>
      </c>
      <c r="G167" t="s">
        <v>2073</v>
      </c>
      <c r="H167">
        <v>-0.26</v>
      </c>
      <c r="I167" t="s">
        <v>38</v>
      </c>
      <c r="J167">
        <v>6.9448538912632358</v>
      </c>
      <c r="K167">
        <v>-1.8056620117284414</v>
      </c>
      <c r="M167" t="s">
        <v>255</v>
      </c>
      <c r="N167" t="s">
        <v>2075</v>
      </c>
      <c r="O167">
        <v>6.9448538912632349</v>
      </c>
      <c r="P167">
        <v>5826.8018633087677</v>
      </c>
      <c r="Q167" t="s">
        <v>249</v>
      </c>
    </row>
    <row r="168" spans="1:17" x14ac:dyDescent="0.25">
      <c r="A168" t="s">
        <v>26</v>
      </c>
      <c r="B168" t="s">
        <v>195</v>
      </c>
      <c r="C168">
        <v>160</v>
      </c>
      <c r="D168" t="s">
        <v>264</v>
      </c>
      <c r="E168" s="1">
        <v>43089</v>
      </c>
      <c r="F168" t="s">
        <v>21</v>
      </c>
      <c r="G168" t="s">
        <v>2073</v>
      </c>
      <c r="H168">
        <v>-0.32</v>
      </c>
      <c r="I168" t="s">
        <v>38</v>
      </c>
      <c r="J168">
        <v>0</v>
      </c>
      <c r="M168" t="s">
        <v>170</v>
      </c>
      <c r="N168" t="s">
        <v>2076</v>
      </c>
    </row>
    <row r="169" spans="1:17" x14ac:dyDescent="0.25">
      <c r="A169" t="s">
        <v>26</v>
      </c>
      <c r="B169" t="s">
        <v>195</v>
      </c>
      <c r="C169">
        <v>160</v>
      </c>
      <c r="D169" t="s">
        <v>264</v>
      </c>
      <c r="E169" s="1">
        <v>43089</v>
      </c>
      <c r="F169" t="s">
        <v>21</v>
      </c>
      <c r="G169" t="s">
        <v>2073</v>
      </c>
      <c r="H169">
        <v>-0.32</v>
      </c>
      <c r="I169" t="s">
        <v>38</v>
      </c>
      <c r="J169">
        <v>6.9448538912632349</v>
      </c>
      <c r="K169">
        <v>-2.2223532452042352</v>
      </c>
      <c r="M169" t="s">
        <v>255</v>
      </c>
      <c r="N169" t="s">
        <v>2076</v>
      </c>
      <c r="O169">
        <v>6.9448538912632349</v>
      </c>
      <c r="P169">
        <v>5824.5795100635632</v>
      </c>
      <c r="Q169" t="s">
        <v>249</v>
      </c>
    </row>
    <row r="170" spans="1:17" x14ac:dyDescent="0.25">
      <c r="A170" t="s">
        <v>26</v>
      </c>
      <c r="B170" t="s">
        <v>195</v>
      </c>
      <c r="C170">
        <v>160</v>
      </c>
      <c r="D170" t="s">
        <v>264</v>
      </c>
      <c r="E170" s="1">
        <v>43089</v>
      </c>
      <c r="F170" t="s">
        <v>21</v>
      </c>
      <c r="G170" t="s">
        <v>2073</v>
      </c>
      <c r="H170">
        <v>0.22</v>
      </c>
      <c r="I170" t="s">
        <v>38</v>
      </c>
      <c r="J170">
        <v>0</v>
      </c>
      <c r="M170" t="s">
        <v>170</v>
      </c>
      <c r="N170" t="s">
        <v>2077</v>
      </c>
    </row>
    <row r="171" spans="1:17" x14ac:dyDescent="0.25">
      <c r="A171" t="s">
        <v>26</v>
      </c>
      <c r="B171" t="s">
        <v>195</v>
      </c>
      <c r="C171">
        <v>160</v>
      </c>
      <c r="D171" t="s">
        <v>264</v>
      </c>
      <c r="E171" s="1">
        <v>43089</v>
      </c>
      <c r="F171" t="s">
        <v>21</v>
      </c>
      <c r="G171" t="s">
        <v>2073</v>
      </c>
      <c r="H171">
        <v>0.22</v>
      </c>
      <c r="I171" t="s">
        <v>38</v>
      </c>
      <c r="J171">
        <v>0</v>
      </c>
      <c r="M171" t="s">
        <v>255</v>
      </c>
      <c r="N171" t="s">
        <v>2077</v>
      </c>
      <c r="O171">
        <v>6.9430326376650209</v>
      </c>
      <c r="P171">
        <v>5824.5795100635632</v>
      </c>
      <c r="Q171" t="s">
        <v>249</v>
      </c>
    </row>
    <row r="172" spans="1:17" x14ac:dyDescent="0.25">
      <c r="A172" t="s">
        <v>26</v>
      </c>
      <c r="B172" t="s">
        <v>195</v>
      </c>
      <c r="C172">
        <v>160</v>
      </c>
      <c r="D172" t="s">
        <v>264</v>
      </c>
      <c r="E172" s="1">
        <v>43089</v>
      </c>
      <c r="F172" t="s">
        <v>21</v>
      </c>
      <c r="G172" t="s">
        <v>2073</v>
      </c>
      <c r="H172">
        <v>15</v>
      </c>
      <c r="I172" t="s">
        <v>38</v>
      </c>
      <c r="J172">
        <v>0</v>
      </c>
      <c r="M172" t="s">
        <v>170</v>
      </c>
      <c r="N172" t="s">
        <v>2078</v>
      </c>
    </row>
    <row r="173" spans="1:17" x14ac:dyDescent="0.25">
      <c r="A173" t="s">
        <v>26</v>
      </c>
      <c r="B173" t="s">
        <v>195</v>
      </c>
      <c r="C173">
        <v>160</v>
      </c>
      <c r="D173" t="s">
        <v>264</v>
      </c>
      <c r="E173" s="1">
        <v>43089</v>
      </c>
      <c r="F173" t="s">
        <v>21</v>
      </c>
      <c r="G173" t="s">
        <v>2073</v>
      </c>
      <c r="H173">
        <v>15</v>
      </c>
      <c r="I173" t="s">
        <v>38</v>
      </c>
      <c r="J173">
        <v>0</v>
      </c>
      <c r="M173" t="s">
        <v>255</v>
      </c>
      <c r="N173" t="s">
        <v>2078</v>
      </c>
      <c r="O173">
        <v>6.8210695624404947</v>
      </c>
      <c r="P173">
        <v>5824.5795100635632</v>
      </c>
      <c r="Q173" t="s">
        <v>249</v>
      </c>
    </row>
    <row r="174" spans="1:17" x14ac:dyDescent="0.25">
      <c r="A174" t="s">
        <v>26</v>
      </c>
      <c r="B174" t="s">
        <v>195</v>
      </c>
      <c r="C174">
        <v>160</v>
      </c>
      <c r="D174" t="s">
        <v>264</v>
      </c>
      <c r="E174" s="1">
        <v>43089</v>
      </c>
      <c r="F174" t="s">
        <v>252</v>
      </c>
      <c r="G174" t="s">
        <v>666</v>
      </c>
      <c r="H174">
        <v>-15</v>
      </c>
      <c r="I174" t="s">
        <v>38</v>
      </c>
      <c r="J174">
        <v>6.9448538912630013</v>
      </c>
      <c r="K174">
        <v>-104.17</v>
      </c>
      <c r="L174" t="s">
        <v>609</v>
      </c>
      <c r="M174" t="s">
        <v>171</v>
      </c>
      <c r="N174" t="s">
        <v>668</v>
      </c>
      <c r="O174">
        <v>6.8188596036089244</v>
      </c>
      <c r="P174">
        <v>5720.4095100635632</v>
      </c>
      <c r="Q174" t="s">
        <v>254</v>
      </c>
    </row>
    <row r="175" spans="1:17" x14ac:dyDescent="0.25">
      <c r="A175" t="s">
        <v>26</v>
      </c>
      <c r="B175" t="s">
        <v>195</v>
      </c>
      <c r="C175">
        <v>160</v>
      </c>
      <c r="D175" t="s">
        <v>264</v>
      </c>
      <c r="E175" s="1">
        <v>43096</v>
      </c>
      <c r="F175" t="s">
        <v>607</v>
      </c>
      <c r="H175">
        <v>29.4</v>
      </c>
      <c r="I175" t="s">
        <v>38</v>
      </c>
      <c r="J175">
        <v>6.9448600000000003</v>
      </c>
      <c r="K175">
        <v>204.18</v>
      </c>
      <c r="L175" t="s">
        <v>609</v>
      </c>
      <c r="M175" t="s">
        <v>171</v>
      </c>
      <c r="N175" t="s">
        <v>669</v>
      </c>
      <c r="O175">
        <v>6.8231271205716428</v>
      </c>
      <c r="P175">
        <v>5924.5895100635635</v>
      </c>
    </row>
    <row r="176" spans="1:17" x14ac:dyDescent="0.25">
      <c r="A176" t="s">
        <v>26</v>
      </c>
      <c r="B176" t="s">
        <v>195</v>
      </c>
      <c r="C176">
        <v>160</v>
      </c>
      <c r="D176" t="s">
        <v>264</v>
      </c>
      <c r="E176" s="1">
        <v>43096</v>
      </c>
      <c r="F176" t="s">
        <v>607</v>
      </c>
      <c r="H176">
        <v>-29.4</v>
      </c>
      <c r="I176" t="s">
        <v>38</v>
      </c>
      <c r="J176">
        <v>6.8231271205716428</v>
      </c>
      <c r="K176">
        <v>-200.59993734480628</v>
      </c>
      <c r="L176" t="s">
        <v>609</v>
      </c>
      <c r="M176" t="s">
        <v>255</v>
      </c>
      <c r="N176" t="s">
        <v>669</v>
      </c>
      <c r="O176">
        <v>6.8231271205716419</v>
      </c>
      <c r="P176">
        <v>5723.9895727187568</v>
      </c>
      <c r="Q176" t="s">
        <v>249</v>
      </c>
    </row>
    <row r="177" spans="1:17" x14ac:dyDescent="0.25">
      <c r="A177" t="s">
        <v>321</v>
      </c>
      <c r="B177" t="s">
        <v>1041</v>
      </c>
      <c r="C177">
        <v>160</v>
      </c>
      <c r="D177" t="s">
        <v>264</v>
      </c>
      <c r="E177" s="1">
        <v>43081</v>
      </c>
      <c r="F177" t="s">
        <v>252</v>
      </c>
      <c r="G177" t="s">
        <v>847</v>
      </c>
      <c r="H177">
        <v>-1</v>
      </c>
      <c r="I177" t="s">
        <v>37</v>
      </c>
      <c r="J177">
        <v>0</v>
      </c>
      <c r="M177" t="s">
        <v>170</v>
      </c>
      <c r="N177" t="s">
        <v>1500</v>
      </c>
    </row>
    <row r="178" spans="1:17" x14ac:dyDescent="0.25">
      <c r="A178" t="s">
        <v>321</v>
      </c>
      <c r="B178" t="s">
        <v>1041</v>
      </c>
      <c r="C178">
        <v>160</v>
      </c>
      <c r="D178" t="s">
        <v>264</v>
      </c>
      <c r="E178" s="1">
        <v>43081</v>
      </c>
      <c r="F178" t="s">
        <v>252</v>
      </c>
      <c r="G178" t="s">
        <v>847</v>
      </c>
      <c r="H178">
        <v>-1</v>
      </c>
      <c r="I178" t="s">
        <v>37</v>
      </c>
      <c r="J178">
        <v>0</v>
      </c>
      <c r="K178">
        <v>0</v>
      </c>
      <c r="M178" t="s">
        <v>255</v>
      </c>
      <c r="N178" t="s">
        <v>1500</v>
      </c>
      <c r="O178">
        <v>0</v>
      </c>
      <c r="P178">
        <v>0</v>
      </c>
      <c r="Q178" t="s">
        <v>249</v>
      </c>
    </row>
    <row r="179" spans="1:17" x14ac:dyDescent="0.25">
      <c r="A179" t="s">
        <v>326</v>
      </c>
      <c r="B179" t="s">
        <v>1053</v>
      </c>
      <c r="C179">
        <v>160</v>
      </c>
      <c r="D179" t="s">
        <v>264</v>
      </c>
      <c r="E179" s="1">
        <v>43089</v>
      </c>
      <c r="F179" t="s">
        <v>21</v>
      </c>
      <c r="G179" t="s">
        <v>1958</v>
      </c>
      <c r="H179">
        <v>-170</v>
      </c>
      <c r="I179" t="s">
        <v>37</v>
      </c>
      <c r="J179">
        <v>0</v>
      </c>
      <c r="M179" t="s">
        <v>170</v>
      </c>
      <c r="N179" t="s">
        <v>1960</v>
      </c>
    </row>
    <row r="180" spans="1:17" x14ac:dyDescent="0.25">
      <c r="A180" t="s">
        <v>326</v>
      </c>
      <c r="B180" t="s">
        <v>1053</v>
      </c>
      <c r="C180">
        <v>160</v>
      </c>
      <c r="D180" t="s">
        <v>264</v>
      </c>
      <c r="E180" s="1">
        <v>43089</v>
      </c>
      <c r="F180" t="s">
        <v>21</v>
      </c>
      <c r="G180" t="s">
        <v>1958</v>
      </c>
      <c r="H180">
        <v>-170</v>
      </c>
      <c r="I180" t="s">
        <v>37</v>
      </c>
      <c r="J180">
        <v>0</v>
      </c>
      <c r="K180">
        <v>0</v>
      </c>
      <c r="M180" t="s">
        <v>255</v>
      </c>
      <c r="N180" t="s">
        <v>1960</v>
      </c>
      <c r="O180">
        <v>0</v>
      </c>
      <c r="P180">
        <v>0</v>
      </c>
      <c r="Q180" t="s">
        <v>249</v>
      </c>
    </row>
    <row r="181" spans="1:17" x14ac:dyDescent="0.25">
      <c r="A181" t="s">
        <v>347</v>
      </c>
      <c r="B181" t="s">
        <v>1082</v>
      </c>
      <c r="C181">
        <v>160</v>
      </c>
      <c r="D181" t="s">
        <v>264</v>
      </c>
      <c r="E181" s="1">
        <v>43088</v>
      </c>
      <c r="F181" t="s">
        <v>21</v>
      </c>
      <c r="G181" t="s">
        <v>1889</v>
      </c>
      <c r="H181">
        <v>-41</v>
      </c>
      <c r="I181" t="s">
        <v>37</v>
      </c>
      <c r="J181">
        <v>0</v>
      </c>
      <c r="M181" t="s">
        <v>170</v>
      </c>
      <c r="N181" t="s">
        <v>1890</v>
      </c>
    </row>
    <row r="182" spans="1:17" x14ac:dyDescent="0.25">
      <c r="A182" t="s">
        <v>347</v>
      </c>
      <c r="B182" t="s">
        <v>1082</v>
      </c>
      <c r="C182">
        <v>160</v>
      </c>
      <c r="D182" t="s">
        <v>264</v>
      </c>
      <c r="E182" s="1">
        <v>43088</v>
      </c>
      <c r="F182" t="s">
        <v>21</v>
      </c>
      <c r="G182" t="s">
        <v>1889</v>
      </c>
      <c r="H182">
        <v>-41</v>
      </c>
      <c r="I182" t="s">
        <v>37</v>
      </c>
      <c r="J182">
        <v>0</v>
      </c>
      <c r="K182">
        <v>0</v>
      </c>
      <c r="M182" t="s">
        <v>255</v>
      </c>
      <c r="N182" t="s">
        <v>1890</v>
      </c>
      <c r="O182">
        <v>0</v>
      </c>
      <c r="P182">
        <v>0</v>
      </c>
      <c r="Q182" t="s">
        <v>249</v>
      </c>
    </row>
    <row r="183" spans="1:17" x14ac:dyDescent="0.25">
      <c r="A183" t="s">
        <v>348</v>
      </c>
      <c r="B183" t="s">
        <v>1083</v>
      </c>
      <c r="C183">
        <v>160</v>
      </c>
      <c r="D183" t="s">
        <v>264</v>
      </c>
      <c r="E183" s="1">
        <v>43075</v>
      </c>
      <c r="F183" t="s">
        <v>253</v>
      </c>
      <c r="G183" t="s">
        <v>1792</v>
      </c>
      <c r="H183">
        <v>-75</v>
      </c>
      <c r="I183" t="s">
        <v>37</v>
      </c>
      <c r="J183">
        <v>0</v>
      </c>
      <c r="M183" t="s">
        <v>170</v>
      </c>
      <c r="N183" t="s">
        <v>1793</v>
      </c>
    </row>
    <row r="184" spans="1:17" x14ac:dyDescent="0.25">
      <c r="A184" t="s">
        <v>348</v>
      </c>
      <c r="B184" t="s">
        <v>1083</v>
      </c>
      <c r="C184">
        <v>160</v>
      </c>
      <c r="D184" t="s">
        <v>264</v>
      </c>
      <c r="E184" s="1">
        <v>43075</v>
      </c>
      <c r="F184" t="s">
        <v>253</v>
      </c>
      <c r="G184" t="s">
        <v>1792</v>
      </c>
      <c r="H184">
        <v>-75</v>
      </c>
      <c r="I184" t="s">
        <v>37</v>
      </c>
      <c r="J184">
        <v>0</v>
      </c>
      <c r="K184">
        <v>0</v>
      </c>
      <c r="M184" t="s">
        <v>255</v>
      </c>
      <c r="N184" t="s">
        <v>1793</v>
      </c>
      <c r="O184">
        <v>0</v>
      </c>
      <c r="P184">
        <v>0</v>
      </c>
      <c r="Q184" t="s">
        <v>249</v>
      </c>
    </row>
    <row r="185" spans="1:17" x14ac:dyDescent="0.25">
      <c r="A185" t="s">
        <v>348</v>
      </c>
      <c r="B185" t="s">
        <v>1083</v>
      </c>
      <c r="C185">
        <v>160</v>
      </c>
      <c r="D185" t="s">
        <v>264</v>
      </c>
      <c r="E185" s="1">
        <v>43088</v>
      </c>
      <c r="F185" t="s">
        <v>21</v>
      </c>
      <c r="G185" t="s">
        <v>1889</v>
      </c>
      <c r="H185">
        <v>-26</v>
      </c>
      <c r="I185" t="s">
        <v>37</v>
      </c>
      <c r="J185">
        <v>0</v>
      </c>
      <c r="M185" t="s">
        <v>170</v>
      </c>
      <c r="N185" t="s">
        <v>1891</v>
      </c>
    </row>
    <row r="186" spans="1:17" x14ac:dyDescent="0.25">
      <c r="A186" t="s">
        <v>348</v>
      </c>
      <c r="B186" t="s">
        <v>1083</v>
      </c>
      <c r="C186">
        <v>160</v>
      </c>
      <c r="D186" t="s">
        <v>264</v>
      </c>
      <c r="E186" s="1">
        <v>43088</v>
      </c>
      <c r="F186" t="s">
        <v>21</v>
      </c>
      <c r="G186" t="s">
        <v>1889</v>
      </c>
      <c r="H186">
        <v>-26</v>
      </c>
      <c r="I186" t="s">
        <v>37</v>
      </c>
      <c r="J186">
        <v>0</v>
      </c>
      <c r="K186">
        <v>0</v>
      </c>
      <c r="M186" t="s">
        <v>255</v>
      </c>
      <c r="N186" t="s">
        <v>1891</v>
      </c>
      <c r="O186">
        <v>0</v>
      </c>
      <c r="P186">
        <v>0</v>
      </c>
      <c r="Q186" t="s">
        <v>249</v>
      </c>
    </row>
    <row r="187" spans="1:17" x14ac:dyDescent="0.25">
      <c r="A187" t="s">
        <v>349</v>
      </c>
      <c r="B187" t="s">
        <v>1084</v>
      </c>
      <c r="C187">
        <v>160</v>
      </c>
      <c r="D187" t="s">
        <v>264</v>
      </c>
      <c r="E187" s="1">
        <v>43088</v>
      </c>
      <c r="F187" t="s">
        <v>21</v>
      </c>
      <c r="G187" t="s">
        <v>1889</v>
      </c>
      <c r="H187">
        <v>-1</v>
      </c>
      <c r="I187" t="s">
        <v>37</v>
      </c>
      <c r="J187">
        <v>0</v>
      </c>
      <c r="M187" t="s">
        <v>170</v>
      </c>
      <c r="N187" t="s">
        <v>1892</v>
      </c>
    </row>
    <row r="188" spans="1:17" x14ac:dyDescent="0.25">
      <c r="A188" t="s">
        <v>349</v>
      </c>
      <c r="B188" t="s">
        <v>1084</v>
      </c>
      <c r="C188">
        <v>160</v>
      </c>
      <c r="D188" t="s">
        <v>264</v>
      </c>
      <c r="E188" s="1">
        <v>43088</v>
      </c>
      <c r="F188" t="s">
        <v>21</v>
      </c>
      <c r="G188" t="s">
        <v>1889</v>
      </c>
      <c r="H188">
        <v>-1</v>
      </c>
      <c r="I188" t="s">
        <v>37</v>
      </c>
      <c r="J188">
        <v>0</v>
      </c>
      <c r="K188">
        <v>0</v>
      </c>
      <c r="M188" t="s">
        <v>255</v>
      </c>
      <c r="N188" t="s">
        <v>1892</v>
      </c>
      <c r="O188">
        <v>0</v>
      </c>
      <c r="P188">
        <v>0</v>
      </c>
      <c r="Q188" t="s">
        <v>249</v>
      </c>
    </row>
    <row r="189" spans="1:17" x14ac:dyDescent="0.25">
      <c r="A189" t="s">
        <v>350</v>
      </c>
      <c r="B189" t="s">
        <v>1085</v>
      </c>
      <c r="C189">
        <v>160</v>
      </c>
      <c r="D189" t="s">
        <v>264</v>
      </c>
      <c r="E189" s="1">
        <v>43088</v>
      </c>
      <c r="F189" t="s">
        <v>21</v>
      </c>
      <c r="G189" t="s">
        <v>1889</v>
      </c>
      <c r="H189">
        <v>-2</v>
      </c>
      <c r="I189" t="s">
        <v>37</v>
      </c>
      <c r="J189">
        <v>0</v>
      </c>
      <c r="M189" t="s">
        <v>170</v>
      </c>
      <c r="N189" t="s">
        <v>1893</v>
      </c>
    </row>
    <row r="190" spans="1:17" x14ac:dyDescent="0.25">
      <c r="A190" t="s">
        <v>350</v>
      </c>
      <c r="B190" t="s">
        <v>1085</v>
      </c>
      <c r="C190">
        <v>160</v>
      </c>
      <c r="D190" t="s">
        <v>264</v>
      </c>
      <c r="E190" s="1">
        <v>43088</v>
      </c>
      <c r="F190" t="s">
        <v>21</v>
      </c>
      <c r="G190" t="s">
        <v>1889</v>
      </c>
      <c r="H190">
        <v>-2</v>
      </c>
      <c r="I190" t="s">
        <v>37</v>
      </c>
      <c r="J190">
        <v>0</v>
      </c>
      <c r="K190">
        <v>0</v>
      </c>
      <c r="M190" t="s">
        <v>255</v>
      </c>
      <c r="N190" t="s">
        <v>1893</v>
      </c>
      <c r="O190">
        <v>0</v>
      </c>
      <c r="P190">
        <v>0</v>
      </c>
      <c r="Q190" t="s">
        <v>249</v>
      </c>
    </row>
    <row r="191" spans="1:17" x14ac:dyDescent="0.25">
      <c r="A191" t="s">
        <v>351</v>
      </c>
      <c r="B191" t="s">
        <v>1086</v>
      </c>
      <c r="C191">
        <v>160</v>
      </c>
      <c r="D191" t="s">
        <v>264</v>
      </c>
      <c r="E191" s="1">
        <v>43088</v>
      </c>
      <c r="F191" t="s">
        <v>21</v>
      </c>
      <c r="G191" t="s">
        <v>1889</v>
      </c>
      <c r="H191">
        <v>32</v>
      </c>
      <c r="I191" t="s">
        <v>37</v>
      </c>
      <c r="J191">
        <v>0</v>
      </c>
      <c r="M191" t="s">
        <v>170</v>
      </c>
      <c r="N191" t="s">
        <v>1894</v>
      </c>
    </row>
    <row r="192" spans="1:17" x14ac:dyDescent="0.25">
      <c r="A192" t="s">
        <v>351</v>
      </c>
      <c r="B192" t="s">
        <v>1086</v>
      </c>
      <c r="C192">
        <v>160</v>
      </c>
      <c r="D192" t="s">
        <v>264</v>
      </c>
      <c r="E192" s="1">
        <v>43088</v>
      </c>
      <c r="F192" t="s">
        <v>21</v>
      </c>
      <c r="G192" t="s">
        <v>1889</v>
      </c>
      <c r="H192">
        <v>32</v>
      </c>
      <c r="I192" t="s">
        <v>37</v>
      </c>
      <c r="J192">
        <v>0</v>
      </c>
      <c r="M192" t="s">
        <v>255</v>
      </c>
      <c r="N192" t="s">
        <v>1894</v>
      </c>
      <c r="O192">
        <v>0</v>
      </c>
      <c r="P192">
        <v>0</v>
      </c>
      <c r="Q192" t="s">
        <v>249</v>
      </c>
    </row>
    <row r="193" spans="1:17" x14ac:dyDescent="0.25">
      <c r="A193" t="s">
        <v>353</v>
      </c>
      <c r="B193" t="s">
        <v>1088</v>
      </c>
      <c r="C193">
        <v>160</v>
      </c>
      <c r="D193" t="s">
        <v>264</v>
      </c>
      <c r="E193" s="1">
        <v>43088</v>
      </c>
      <c r="F193" t="s">
        <v>21</v>
      </c>
      <c r="G193" t="s">
        <v>1889</v>
      </c>
      <c r="H193">
        <v>-12</v>
      </c>
      <c r="I193" t="s">
        <v>37</v>
      </c>
      <c r="J193">
        <v>0</v>
      </c>
      <c r="M193" t="s">
        <v>170</v>
      </c>
      <c r="N193" t="s">
        <v>1895</v>
      </c>
    </row>
    <row r="194" spans="1:17" x14ac:dyDescent="0.25">
      <c r="A194" t="s">
        <v>353</v>
      </c>
      <c r="B194" t="s">
        <v>1088</v>
      </c>
      <c r="C194">
        <v>160</v>
      </c>
      <c r="D194" t="s">
        <v>264</v>
      </c>
      <c r="E194" s="1">
        <v>43088</v>
      </c>
      <c r="F194" t="s">
        <v>21</v>
      </c>
      <c r="G194" t="s">
        <v>1889</v>
      </c>
      <c r="H194">
        <v>-12</v>
      </c>
      <c r="I194" t="s">
        <v>37</v>
      </c>
      <c r="J194">
        <v>0</v>
      </c>
      <c r="K194">
        <v>0</v>
      </c>
      <c r="M194" t="s">
        <v>255</v>
      </c>
      <c r="N194" t="s">
        <v>1895</v>
      </c>
      <c r="O194">
        <v>0</v>
      </c>
      <c r="P194">
        <v>0</v>
      </c>
      <c r="Q194" t="s">
        <v>249</v>
      </c>
    </row>
    <row r="195" spans="1:17" x14ac:dyDescent="0.25">
      <c r="A195" t="s">
        <v>354</v>
      </c>
      <c r="B195" t="s">
        <v>1089</v>
      </c>
      <c r="C195">
        <v>160</v>
      </c>
      <c r="D195" t="s">
        <v>264</v>
      </c>
      <c r="E195" s="1">
        <v>43088</v>
      </c>
      <c r="F195" t="s">
        <v>21</v>
      </c>
      <c r="G195" t="s">
        <v>1889</v>
      </c>
      <c r="H195">
        <v>1</v>
      </c>
      <c r="I195" t="s">
        <v>37</v>
      </c>
      <c r="J195">
        <v>0</v>
      </c>
      <c r="M195" t="s">
        <v>170</v>
      </c>
      <c r="N195" t="s">
        <v>1896</v>
      </c>
    </row>
    <row r="196" spans="1:17" x14ac:dyDescent="0.25">
      <c r="A196" t="s">
        <v>354</v>
      </c>
      <c r="B196" t="s">
        <v>1089</v>
      </c>
      <c r="C196">
        <v>160</v>
      </c>
      <c r="D196" t="s">
        <v>264</v>
      </c>
      <c r="E196" s="1">
        <v>43088</v>
      </c>
      <c r="F196" t="s">
        <v>21</v>
      </c>
      <c r="G196" t="s">
        <v>1889</v>
      </c>
      <c r="H196">
        <v>1</v>
      </c>
      <c r="I196" t="s">
        <v>37</v>
      </c>
      <c r="J196">
        <v>0</v>
      </c>
      <c r="M196" t="s">
        <v>255</v>
      </c>
      <c r="N196" t="s">
        <v>1896</v>
      </c>
      <c r="O196">
        <v>0</v>
      </c>
      <c r="P196">
        <v>0</v>
      </c>
      <c r="Q196" t="s">
        <v>249</v>
      </c>
    </row>
    <row r="197" spans="1:17" x14ac:dyDescent="0.25">
      <c r="A197" t="s">
        <v>355</v>
      </c>
      <c r="B197" t="s">
        <v>1090</v>
      </c>
      <c r="C197">
        <v>160</v>
      </c>
      <c r="D197" t="s">
        <v>264</v>
      </c>
      <c r="E197" s="1">
        <v>43088</v>
      </c>
      <c r="F197" t="s">
        <v>21</v>
      </c>
      <c r="G197" t="s">
        <v>1889</v>
      </c>
      <c r="H197">
        <v>-43</v>
      </c>
      <c r="I197" t="s">
        <v>37</v>
      </c>
      <c r="J197">
        <v>0</v>
      </c>
      <c r="M197" t="s">
        <v>170</v>
      </c>
      <c r="N197" t="s">
        <v>1897</v>
      </c>
    </row>
    <row r="198" spans="1:17" x14ac:dyDescent="0.25">
      <c r="A198" t="s">
        <v>355</v>
      </c>
      <c r="B198" t="s">
        <v>1090</v>
      </c>
      <c r="C198">
        <v>160</v>
      </c>
      <c r="D198" t="s">
        <v>264</v>
      </c>
      <c r="E198" s="1">
        <v>43088</v>
      </c>
      <c r="F198" t="s">
        <v>21</v>
      </c>
      <c r="G198" t="s">
        <v>1889</v>
      </c>
      <c r="H198">
        <v>-43</v>
      </c>
      <c r="I198" t="s">
        <v>37</v>
      </c>
      <c r="J198">
        <v>0</v>
      </c>
      <c r="K198">
        <v>0</v>
      </c>
      <c r="M198" t="s">
        <v>255</v>
      </c>
      <c r="N198" t="s">
        <v>1897</v>
      </c>
      <c r="O198">
        <v>0</v>
      </c>
      <c r="P198">
        <v>0</v>
      </c>
      <c r="Q198" t="s">
        <v>249</v>
      </c>
    </row>
    <row r="199" spans="1:17" x14ac:dyDescent="0.25">
      <c r="A199" t="s">
        <v>358</v>
      </c>
      <c r="B199" t="s">
        <v>1093</v>
      </c>
      <c r="C199">
        <v>160</v>
      </c>
      <c r="D199" t="s">
        <v>264</v>
      </c>
      <c r="E199" s="1">
        <v>43089</v>
      </c>
      <c r="F199" t="s">
        <v>21</v>
      </c>
      <c r="G199" t="s">
        <v>1993</v>
      </c>
      <c r="H199">
        <v>688.43000000000006</v>
      </c>
      <c r="I199" t="s">
        <v>38</v>
      </c>
      <c r="J199">
        <v>0</v>
      </c>
      <c r="M199" t="s">
        <v>170</v>
      </c>
      <c r="N199" t="s">
        <v>2002</v>
      </c>
    </row>
    <row r="200" spans="1:17" x14ac:dyDescent="0.25">
      <c r="A200" t="s">
        <v>358</v>
      </c>
      <c r="B200" t="s">
        <v>1093</v>
      </c>
      <c r="C200">
        <v>160</v>
      </c>
      <c r="D200" t="s">
        <v>264</v>
      </c>
      <c r="E200" s="1">
        <v>43089</v>
      </c>
      <c r="F200" t="s">
        <v>21</v>
      </c>
      <c r="G200" t="s">
        <v>1993</v>
      </c>
      <c r="H200">
        <v>688.43000000000006</v>
      </c>
      <c r="I200" t="s">
        <v>38</v>
      </c>
      <c r="J200">
        <v>0</v>
      </c>
      <c r="M200" t="s">
        <v>255</v>
      </c>
      <c r="N200" t="s">
        <v>2002</v>
      </c>
      <c r="O200">
        <v>0</v>
      </c>
      <c r="P200">
        <v>0</v>
      </c>
      <c r="Q200" t="s">
        <v>249</v>
      </c>
    </row>
    <row r="201" spans="1:17" x14ac:dyDescent="0.25">
      <c r="A201" t="s">
        <v>359</v>
      </c>
      <c r="B201" t="s">
        <v>1094</v>
      </c>
      <c r="C201">
        <v>160</v>
      </c>
      <c r="D201" t="s">
        <v>264</v>
      </c>
      <c r="E201" s="1">
        <v>43089</v>
      </c>
      <c r="F201" t="s">
        <v>21</v>
      </c>
      <c r="G201" t="s">
        <v>1967</v>
      </c>
      <c r="H201">
        <v>2</v>
      </c>
      <c r="I201" t="s">
        <v>37</v>
      </c>
      <c r="J201">
        <v>0</v>
      </c>
      <c r="M201" t="s">
        <v>170</v>
      </c>
      <c r="N201" t="s">
        <v>1977</v>
      </c>
    </row>
    <row r="202" spans="1:17" x14ac:dyDescent="0.25">
      <c r="A202" t="s">
        <v>359</v>
      </c>
      <c r="B202" t="s">
        <v>1094</v>
      </c>
      <c r="C202">
        <v>160</v>
      </c>
      <c r="D202" t="s">
        <v>264</v>
      </c>
      <c r="E202" s="1">
        <v>43089</v>
      </c>
      <c r="F202" t="s">
        <v>21</v>
      </c>
      <c r="G202" t="s">
        <v>1967</v>
      </c>
      <c r="H202">
        <v>2</v>
      </c>
      <c r="I202" t="s">
        <v>37</v>
      </c>
      <c r="J202">
        <v>0</v>
      </c>
      <c r="M202" t="s">
        <v>255</v>
      </c>
      <c r="N202" t="s">
        <v>1977</v>
      </c>
      <c r="O202">
        <v>0</v>
      </c>
      <c r="P202">
        <v>0</v>
      </c>
      <c r="Q202" t="s">
        <v>249</v>
      </c>
    </row>
    <row r="203" spans="1:17" x14ac:dyDescent="0.25">
      <c r="A203" t="s">
        <v>362</v>
      </c>
      <c r="B203" t="s">
        <v>1097</v>
      </c>
      <c r="C203">
        <v>160</v>
      </c>
      <c r="D203" t="s">
        <v>264</v>
      </c>
      <c r="E203" s="1">
        <v>43089</v>
      </c>
      <c r="F203" t="s">
        <v>21</v>
      </c>
      <c r="G203" t="s">
        <v>1967</v>
      </c>
      <c r="H203">
        <v>3</v>
      </c>
      <c r="I203" t="s">
        <v>37</v>
      </c>
      <c r="J203">
        <v>0</v>
      </c>
      <c r="M203" t="s">
        <v>170</v>
      </c>
      <c r="N203" t="s">
        <v>1978</v>
      </c>
    </row>
    <row r="204" spans="1:17" x14ac:dyDescent="0.25">
      <c r="A204" t="s">
        <v>362</v>
      </c>
      <c r="B204" t="s">
        <v>1097</v>
      </c>
      <c r="C204">
        <v>160</v>
      </c>
      <c r="D204" t="s">
        <v>264</v>
      </c>
      <c r="E204" s="1">
        <v>43089</v>
      </c>
      <c r="F204" t="s">
        <v>21</v>
      </c>
      <c r="G204" t="s">
        <v>1967</v>
      </c>
      <c r="H204">
        <v>3</v>
      </c>
      <c r="I204" t="s">
        <v>37</v>
      </c>
      <c r="J204">
        <v>0</v>
      </c>
      <c r="M204" t="s">
        <v>255</v>
      </c>
      <c r="N204" t="s">
        <v>1978</v>
      </c>
      <c r="O204">
        <v>0</v>
      </c>
      <c r="P204">
        <v>0</v>
      </c>
      <c r="Q204" t="s">
        <v>249</v>
      </c>
    </row>
    <row r="205" spans="1:17" x14ac:dyDescent="0.25">
      <c r="A205" t="s">
        <v>366</v>
      </c>
      <c r="B205" t="s">
        <v>1103</v>
      </c>
      <c r="C205">
        <v>160</v>
      </c>
      <c r="D205" t="s">
        <v>264</v>
      </c>
      <c r="E205" s="1">
        <v>43088</v>
      </c>
      <c r="F205" t="s">
        <v>21</v>
      </c>
      <c r="G205" t="s">
        <v>1889</v>
      </c>
      <c r="H205">
        <v>51</v>
      </c>
      <c r="I205" t="s">
        <v>37</v>
      </c>
      <c r="J205">
        <v>0</v>
      </c>
      <c r="M205" t="s">
        <v>170</v>
      </c>
      <c r="N205" t="s">
        <v>1898</v>
      </c>
    </row>
    <row r="206" spans="1:17" x14ac:dyDescent="0.25">
      <c r="A206" t="s">
        <v>366</v>
      </c>
      <c r="B206" t="s">
        <v>1103</v>
      </c>
      <c r="C206">
        <v>160</v>
      </c>
      <c r="D206" t="s">
        <v>264</v>
      </c>
      <c r="E206" s="1">
        <v>43088</v>
      </c>
      <c r="F206" t="s">
        <v>21</v>
      </c>
      <c r="G206" t="s">
        <v>1889</v>
      </c>
      <c r="H206">
        <v>51</v>
      </c>
      <c r="I206" t="s">
        <v>37</v>
      </c>
      <c r="J206">
        <v>0</v>
      </c>
      <c r="M206" t="s">
        <v>255</v>
      </c>
      <c r="N206" t="s">
        <v>1898</v>
      </c>
      <c r="O206">
        <v>0</v>
      </c>
      <c r="P206">
        <v>0</v>
      </c>
      <c r="Q206" t="s">
        <v>249</v>
      </c>
    </row>
    <row r="207" spans="1:17" x14ac:dyDescent="0.25">
      <c r="A207" t="s">
        <v>368</v>
      </c>
      <c r="B207" t="s">
        <v>1105</v>
      </c>
      <c r="C207">
        <v>160</v>
      </c>
      <c r="D207" t="s">
        <v>264</v>
      </c>
      <c r="E207" s="1">
        <v>43088</v>
      </c>
      <c r="F207" t="s">
        <v>21</v>
      </c>
      <c r="G207" t="s">
        <v>1889</v>
      </c>
      <c r="H207">
        <v>-0.85</v>
      </c>
      <c r="I207" t="s">
        <v>39</v>
      </c>
      <c r="J207">
        <v>0</v>
      </c>
      <c r="M207" t="s">
        <v>170</v>
      </c>
      <c r="N207" t="s">
        <v>1899</v>
      </c>
    </row>
    <row r="208" spans="1:17" x14ac:dyDescent="0.25">
      <c r="A208" t="s">
        <v>368</v>
      </c>
      <c r="B208" t="s">
        <v>1105</v>
      </c>
      <c r="C208">
        <v>160</v>
      </c>
      <c r="D208" t="s">
        <v>264</v>
      </c>
      <c r="E208" s="1">
        <v>43088</v>
      </c>
      <c r="F208" t="s">
        <v>21</v>
      </c>
      <c r="G208" t="s">
        <v>1889</v>
      </c>
      <c r="H208">
        <v>-0.85</v>
      </c>
      <c r="I208" t="s">
        <v>39</v>
      </c>
      <c r="J208">
        <v>0</v>
      </c>
      <c r="K208">
        <v>0</v>
      </c>
      <c r="M208" t="s">
        <v>255</v>
      </c>
      <c r="N208" t="s">
        <v>1899</v>
      </c>
      <c r="O208">
        <v>0</v>
      </c>
      <c r="P208">
        <v>0</v>
      </c>
      <c r="Q208" t="s">
        <v>249</v>
      </c>
    </row>
    <row r="209" spans="1:17" x14ac:dyDescent="0.25">
      <c r="A209" t="s">
        <v>369</v>
      </c>
      <c r="B209" t="s">
        <v>1106</v>
      </c>
      <c r="C209">
        <v>160</v>
      </c>
      <c r="D209" t="s">
        <v>264</v>
      </c>
      <c r="E209" s="1">
        <v>43088</v>
      </c>
      <c r="F209" t="s">
        <v>21</v>
      </c>
      <c r="G209" t="s">
        <v>1889</v>
      </c>
      <c r="H209">
        <v>-130</v>
      </c>
      <c r="I209" t="s">
        <v>37</v>
      </c>
      <c r="J209">
        <v>0</v>
      </c>
      <c r="M209" t="s">
        <v>170</v>
      </c>
      <c r="N209" t="s">
        <v>1900</v>
      </c>
    </row>
    <row r="210" spans="1:17" x14ac:dyDescent="0.25">
      <c r="A210" t="s">
        <v>369</v>
      </c>
      <c r="B210" t="s">
        <v>1106</v>
      </c>
      <c r="C210">
        <v>160</v>
      </c>
      <c r="D210" t="s">
        <v>264</v>
      </c>
      <c r="E210" s="1">
        <v>43088</v>
      </c>
      <c r="F210" t="s">
        <v>21</v>
      </c>
      <c r="G210" t="s">
        <v>1889</v>
      </c>
      <c r="H210">
        <v>-130</v>
      </c>
      <c r="I210" t="s">
        <v>37</v>
      </c>
      <c r="J210">
        <v>0</v>
      </c>
      <c r="K210">
        <v>0</v>
      </c>
      <c r="M210" t="s">
        <v>255</v>
      </c>
      <c r="N210" t="s">
        <v>1900</v>
      </c>
      <c r="O210">
        <v>0</v>
      </c>
      <c r="P210">
        <v>0</v>
      </c>
      <c r="Q210" t="s">
        <v>249</v>
      </c>
    </row>
    <row r="211" spans="1:17" x14ac:dyDescent="0.25">
      <c r="A211" t="s">
        <v>370</v>
      </c>
      <c r="B211" t="s">
        <v>1107</v>
      </c>
      <c r="C211">
        <v>160</v>
      </c>
      <c r="D211" t="s">
        <v>264</v>
      </c>
      <c r="E211" s="1">
        <v>43088</v>
      </c>
      <c r="F211" t="s">
        <v>21</v>
      </c>
      <c r="G211" t="s">
        <v>1889</v>
      </c>
      <c r="H211">
        <v>-20</v>
      </c>
      <c r="I211" t="s">
        <v>37</v>
      </c>
      <c r="J211">
        <v>0</v>
      </c>
      <c r="M211" t="s">
        <v>170</v>
      </c>
      <c r="N211" t="s">
        <v>1901</v>
      </c>
    </row>
    <row r="212" spans="1:17" x14ac:dyDescent="0.25">
      <c r="A212" t="s">
        <v>370</v>
      </c>
      <c r="B212" t="s">
        <v>1107</v>
      </c>
      <c r="C212">
        <v>160</v>
      </c>
      <c r="D212" t="s">
        <v>264</v>
      </c>
      <c r="E212" s="1">
        <v>43088</v>
      </c>
      <c r="F212" t="s">
        <v>21</v>
      </c>
      <c r="G212" t="s">
        <v>1889</v>
      </c>
      <c r="H212">
        <v>-20</v>
      </c>
      <c r="I212" t="s">
        <v>37</v>
      </c>
      <c r="J212">
        <v>0</v>
      </c>
      <c r="K212">
        <v>0</v>
      </c>
      <c r="M212" t="s">
        <v>255</v>
      </c>
      <c r="N212" t="s">
        <v>1901</v>
      </c>
      <c r="O212">
        <v>0</v>
      </c>
      <c r="P212">
        <v>0</v>
      </c>
      <c r="Q212" t="s">
        <v>249</v>
      </c>
    </row>
    <row r="213" spans="1:17" x14ac:dyDescent="0.25">
      <c r="A213" t="s">
        <v>371</v>
      </c>
      <c r="B213" t="s">
        <v>1108</v>
      </c>
      <c r="C213">
        <v>160</v>
      </c>
      <c r="D213" t="s">
        <v>264</v>
      </c>
      <c r="E213" s="1">
        <v>43088</v>
      </c>
      <c r="F213" t="s">
        <v>21</v>
      </c>
      <c r="G213" t="s">
        <v>1889</v>
      </c>
      <c r="H213">
        <v>-7</v>
      </c>
      <c r="I213" t="s">
        <v>37</v>
      </c>
      <c r="J213">
        <v>0</v>
      </c>
      <c r="M213" t="s">
        <v>170</v>
      </c>
      <c r="N213" t="s">
        <v>1902</v>
      </c>
    </row>
    <row r="214" spans="1:17" x14ac:dyDescent="0.25">
      <c r="A214" t="s">
        <v>371</v>
      </c>
      <c r="B214" t="s">
        <v>1108</v>
      </c>
      <c r="C214">
        <v>160</v>
      </c>
      <c r="D214" t="s">
        <v>264</v>
      </c>
      <c r="E214" s="1">
        <v>43088</v>
      </c>
      <c r="F214" t="s">
        <v>21</v>
      </c>
      <c r="G214" t="s">
        <v>1889</v>
      </c>
      <c r="H214">
        <v>-7</v>
      </c>
      <c r="I214" t="s">
        <v>37</v>
      </c>
      <c r="J214">
        <v>0</v>
      </c>
      <c r="K214">
        <v>0</v>
      </c>
      <c r="M214" t="s">
        <v>255</v>
      </c>
      <c r="N214" t="s">
        <v>1902</v>
      </c>
      <c r="O214">
        <v>0</v>
      </c>
      <c r="P214">
        <v>0</v>
      </c>
      <c r="Q214" t="s">
        <v>249</v>
      </c>
    </row>
    <row r="215" spans="1:17" x14ac:dyDescent="0.25">
      <c r="A215" t="s">
        <v>372</v>
      </c>
      <c r="B215" t="s">
        <v>1109</v>
      </c>
      <c r="C215">
        <v>160</v>
      </c>
      <c r="D215" t="s">
        <v>264</v>
      </c>
      <c r="E215" s="1">
        <v>43088</v>
      </c>
      <c r="F215" t="s">
        <v>21</v>
      </c>
      <c r="G215" t="s">
        <v>1889</v>
      </c>
      <c r="H215">
        <v>-85</v>
      </c>
      <c r="I215" t="s">
        <v>37</v>
      </c>
      <c r="J215">
        <v>0</v>
      </c>
      <c r="M215" t="s">
        <v>170</v>
      </c>
      <c r="N215" t="s">
        <v>1903</v>
      </c>
    </row>
    <row r="216" spans="1:17" x14ac:dyDescent="0.25">
      <c r="A216" t="s">
        <v>372</v>
      </c>
      <c r="B216" t="s">
        <v>1109</v>
      </c>
      <c r="C216">
        <v>160</v>
      </c>
      <c r="D216" t="s">
        <v>264</v>
      </c>
      <c r="E216" s="1">
        <v>43088</v>
      </c>
      <c r="F216" t="s">
        <v>21</v>
      </c>
      <c r="G216" t="s">
        <v>1889</v>
      </c>
      <c r="H216">
        <v>-85</v>
      </c>
      <c r="I216" t="s">
        <v>37</v>
      </c>
      <c r="J216">
        <v>0</v>
      </c>
      <c r="K216">
        <v>0</v>
      </c>
      <c r="M216" t="s">
        <v>255</v>
      </c>
      <c r="N216" t="s">
        <v>1903</v>
      </c>
      <c r="O216">
        <v>0</v>
      </c>
      <c r="P216">
        <v>0</v>
      </c>
      <c r="Q216" t="s">
        <v>249</v>
      </c>
    </row>
    <row r="217" spans="1:17" x14ac:dyDescent="0.25">
      <c r="A217" t="s">
        <v>373</v>
      </c>
      <c r="B217" t="s">
        <v>1110</v>
      </c>
      <c r="C217">
        <v>160</v>
      </c>
      <c r="D217" t="s">
        <v>264</v>
      </c>
      <c r="E217" s="1">
        <v>43088</v>
      </c>
      <c r="F217" t="s">
        <v>21</v>
      </c>
      <c r="G217" t="s">
        <v>1889</v>
      </c>
      <c r="H217">
        <v>-3</v>
      </c>
      <c r="I217" t="s">
        <v>37</v>
      </c>
      <c r="J217">
        <v>0</v>
      </c>
      <c r="M217" t="s">
        <v>170</v>
      </c>
      <c r="N217" t="s">
        <v>1904</v>
      </c>
    </row>
    <row r="218" spans="1:17" x14ac:dyDescent="0.25">
      <c r="A218" t="s">
        <v>373</v>
      </c>
      <c r="B218" t="s">
        <v>1110</v>
      </c>
      <c r="C218">
        <v>160</v>
      </c>
      <c r="D218" t="s">
        <v>264</v>
      </c>
      <c r="E218" s="1">
        <v>43088</v>
      </c>
      <c r="F218" t="s">
        <v>21</v>
      </c>
      <c r="G218" t="s">
        <v>1889</v>
      </c>
      <c r="H218">
        <v>-3</v>
      </c>
      <c r="I218" t="s">
        <v>37</v>
      </c>
      <c r="J218">
        <v>0</v>
      </c>
      <c r="K218">
        <v>0</v>
      </c>
      <c r="M218" t="s">
        <v>255</v>
      </c>
      <c r="N218" t="s">
        <v>1904</v>
      </c>
      <c r="O218">
        <v>0</v>
      </c>
      <c r="P218">
        <v>0</v>
      </c>
      <c r="Q218" t="s">
        <v>249</v>
      </c>
    </row>
    <row r="219" spans="1:17" x14ac:dyDescent="0.25">
      <c r="A219" t="s">
        <v>374</v>
      </c>
      <c r="B219" t="s">
        <v>1111</v>
      </c>
      <c r="C219">
        <v>160</v>
      </c>
      <c r="D219" t="s">
        <v>264</v>
      </c>
      <c r="E219" s="1">
        <v>43088</v>
      </c>
      <c r="F219" t="s">
        <v>21</v>
      </c>
      <c r="G219" t="s">
        <v>1889</v>
      </c>
      <c r="H219">
        <v>-36</v>
      </c>
      <c r="I219" t="s">
        <v>37</v>
      </c>
      <c r="J219">
        <v>0</v>
      </c>
      <c r="M219" t="s">
        <v>170</v>
      </c>
      <c r="N219" t="s">
        <v>1905</v>
      </c>
    </row>
    <row r="220" spans="1:17" x14ac:dyDescent="0.25">
      <c r="A220" t="s">
        <v>374</v>
      </c>
      <c r="B220" t="s">
        <v>1111</v>
      </c>
      <c r="C220">
        <v>160</v>
      </c>
      <c r="D220" t="s">
        <v>264</v>
      </c>
      <c r="E220" s="1">
        <v>43088</v>
      </c>
      <c r="F220" t="s">
        <v>21</v>
      </c>
      <c r="G220" t="s">
        <v>1889</v>
      </c>
      <c r="H220">
        <v>-36</v>
      </c>
      <c r="I220" t="s">
        <v>37</v>
      </c>
      <c r="J220">
        <v>0</v>
      </c>
      <c r="K220">
        <v>0</v>
      </c>
      <c r="M220" t="s">
        <v>255</v>
      </c>
      <c r="N220" t="s">
        <v>1905</v>
      </c>
      <c r="O220">
        <v>0</v>
      </c>
      <c r="P220">
        <v>0</v>
      </c>
      <c r="Q220" t="s">
        <v>249</v>
      </c>
    </row>
    <row r="221" spans="1:17" x14ac:dyDescent="0.25">
      <c r="A221" t="s">
        <v>376</v>
      </c>
      <c r="B221" t="s">
        <v>1113</v>
      </c>
      <c r="C221">
        <v>160</v>
      </c>
      <c r="D221" t="s">
        <v>264</v>
      </c>
      <c r="E221" s="1">
        <v>43088</v>
      </c>
      <c r="F221" t="s">
        <v>21</v>
      </c>
      <c r="G221" t="s">
        <v>1889</v>
      </c>
      <c r="H221">
        <v>212</v>
      </c>
      <c r="I221" t="s">
        <v>37</v>
      </c>
      <c r="J221">
        <v>0</v>
      </c>
      <c r="M221" t="s">
        <v>170</v>
      </c>
      <c r="N221" t="s">
        <v>1906</v>
      </c>
    </row>
    <row r="222" spans="1:17" x14ac:dyDescent="0.25">
      <c r="A222" t="s">
        <v>376</v>
      </c>
      <c r="B222" t="s">
        <v>1113</v>
      </c>
      <c r="C222">
        <v>160</v>
      </c>
      <c r="D222" t="s">
        <v>264</v>
      </c>
      <c r="E222" s="1">
        <v>43088</v>
      </c>
      <c r="F222" t="s">
        <v>21</v>
      </c>
      <c r="G222" t="s">
        <v>1889</v>
      </c>
      <c r="H222">
        <v>212</v>
      </c>
      <c r="I222" t="s">
        <v>37</v>
      </c>
      <c r="J222">
        <v>0</v>
      </c>
      <c r="M222" t="s">
        <v>255</v>
      </c>
      <c r="N222" t="s">
        <v>1906</v>
      </c>
      <c r="O222">
        <v>0</v>
      </c>
      <c r="P222">
        <v>0</v>
      </c>
      <c r="Q222" t="s">
        <v>249</v>
      </c>
    </row>
    <row r="223" spans="1:17" x14ac:dyDescent="0.25">
      <c r="A223" t="s">
        <v>378</v>
      </c>
      <c r="B223" t="s">
        <v>32</v>
      </c>
      <c r="C223">
        <v>160</v>
      </c>
      <c r="D223" t="s">
        <v>290</v>
      </c>
      <c r="E223" s="1">
        <v>43088</v>
      </c>
      <c r="F223" t="s">
        <v>21</v>
      </c>
      <c r="G223" t="s">
        <v>1879</v>
      </c>
      <c r="H223">
        <v>12.5</v>
      </c>
      <c r="I223" t="s">
        <v>38</v>
      </c>
      <c r="J223">
        <v>0</v>
      </c>
      <c r="M223" t="s">
        <v>170</v>
      </c>
      <c r="N223" t="s">
        <v>1884</v>
      </c>
    </row>
    <row r="224" spans="1:17" x14ac:dyDescent="0.25">
      <c r="A224" t="s">
        <v>378</v>
      </c>
      <c r="B224" t="s">
        <v>32</v>
      </c>
      <c r="C224">
        <v>160</v>
      </c>
      <c r="D224" t="s">
        <v>290</v>
      </c>
      <c r="E224" s="1">
        <v>43088</v>
      </c>
      <c r="F224" t="s">
        <v>21</v>
      </c>
      <c r="G224" t="s">
        <v>1879</v>
      </c>
      <c r="H224">
        <v>12.5</v>
      </c>
      <c r="I224" t="s">
        <v>38</v>
      </c>
      <c r="J224">
        <v>0</v>
      </c>
      <c r="M224" t="s">
        <v>255</v>
      </c>
      <c r="N224" t="s">
        <v>1884</v>
      </c>
      <c r="O224">
        <v>0</v>
      </c>
      <c r="P224">
        <v>0</v>
      </c>
      <c r="Q224" t="s">
        <v>249</v>
      </c>
    </row>
    <row r="225" spans="1:17" x14ac:dyDescent="0.25">
      <c r="A225" t="s">
        <v>382</v>
      </c>
      <c r="B225" t="s">
        <v>32</v>
      </c>
      <c r="C225">
        <v>160</v>
      </c>
      <c r="D225" t="s">
        <v>290</v>
      </c>
      <c r="E225" s="1">
        <v>43088</v>
      </c>
      <c r="F225" t="s">
        <v>21</v>
      </c>
      <c r="G225" t="s">
        <v>1879</v>
      </c>
      <c r="H225">
        <v>-435</v>
      </c>
      <c r="I225" t="s">
        <v>38</v>
      </c>
      <c r="J225">
        <v>0</v>
      </c>
      <c r="M225" t="s">
        <v>170</v>
      </c>
      <c r="N225" t="s">
        <v>1885</v>
      </c>
    </row>
    <row r="226" spans="1:17" x14ac:dyDescent="0.25">
      <c r="A226" t="s">
        <v>382</v>
      </c>
      <c r="B226" t="s">
        <v>32</v>
      </c>
      <c r="C226">
        <v>160</v>
      </c>
      <c r="D226" t="s">
        <v>290</v>
      </c>
      <c r="E226" s="1">
        <v>43088</v>
      </c>
      <c r="F226" t="s">
        <v>21</v>
      </c>
      <c r="G226" t="s">
        <v>1879</v>
      </c>
      <c r="H226">
        <v>-435</v>
      </c>
      <c r="I226" t="s">
        <v>38</v>
      </c>
      <c r="J226">
        <v>0</v>
      </c>
      <c r="K226">
        <v>0</v>
      </c>
      <c r="M226" t="s">
        <v>255</v>
      </c>
      <c r="N226" t="s">
        <v>1885</v>
      </c>
      <c r="O226">
        <v>0</v>
      </c>
      <c r="P226">
        <v>0</v>
      </c>
      <c r="Q226" t="s">
        <v>249</v>
      </c>
    </row>
    <row r="227" spans="1:17" x14ac:dyDescent="0.25">
      <c r="A227" t="s">
        <v>386</v>
      </c>
      <c r="B227" t="s">
        <v>1115</v>
      </c>
      <c r="C227">
        <v>160</v>
      </c>
      <c r="D227" t="s">
        <v>264</v>
      </c>
      <c r="E227" s="1">
        <v>43089</v>
      </c>
      <c r="F227" t="s">
        <v>21</v>
      </c>
      <c r="G227" t="s">
        <v>2119</v>
      </c>
      <c r="H227">
        <v>-2</v>
      </c>
      <c r="I227" t="s">
        <v>38</v>
      </c>
      <c r="J227">
        <v>0</v>
      </c>
      <c r="M227" t="s">
        <v>170</v>
      </c>
      <c r="N227" t="s">
        <v>2125</v>
      </c>
    </row>
    <row r="228" spans="1:17" x14ac:dyDescent="0.25">
      <c r="A228" t="s">
        <v>386</v>
      </c>
      <c r="B228" t="s">
        <v>1115</v>
      </c>
      <c r="C228">
        <v>160</v>
      </c>
      <c r="D228" t="s">
        <v>264</v>
      </c>
      <c r="E228" s="1">
        <v>43089</v>
      </c>
      <c r="F228" t="s">
        <v>21</v>
      </c>
      <c r="G228" t="s">
        <v>2119</v>
      </c>
      <c r="H228">
        <v>-2</v>
      </c>
      <c r="I228" t="s">
        <v>38</v>
      </c>
      <c r="J228">
        <v>0</v>
      </c>
      <c r="K228">
        <v>0</v>
      </c>
      <c r="M228" t="s">
        <v>255</v>
      </c>
      <c r="N228" t="s">
        <v>2125</v>
      </c>
      <c r="O228">
        <v>0</v>
      </c>
      <c r="P228">
        <v>0</v>
      </c>
      <c r="Q228" t="s">
        <v>249</v>
      </c>
    </row>
    <row r="229" spans="1:17" x14ac:dyDescent="0.25">
      <c r="A229" t="s">
        <v>391</v>
      </c>
      <c r="B229" t="s">
        <v>1120</v>
      </c>
      <c r="C229">
        <v>160</v>
      </c>
      <c r="D229" t="s">
        <v>264</v>
      </c>
      <c r="E229" s="1">
        <v>43089</v>
      </c>
      <c r="F229" t="s">
        <v>21</v>
      </c>
      <c r="G229" t="s">
        <v>2119</v>
      </c>
      <c r="H229">
        <v>-3217.5</v>
      </c>
      <c r="I229" t="s">
        <v>38</v>
      </c>
      <c r="J229">
        <v>0</v>
      </c>
      <c r="M229" t="s">
        <v>170</v>
      </c>
      <c r="N229" t="s">
        <v>2127</v>
      </c>
    </row>
    <row r="230" spans="1:17" x14ac:dyDescent="0.25">
      <c r="A230" t="s">
        <v>391</v>
      </c>
      <c r="B230" t="s">
        <v>1120</v>
      </c>
      <c r="C230">
        <v>160</v>
      </c>
      <c r="D230" t="s">
        <v>264</v>
      </c>
      <c r="E230" s="1">
        <v>43089</v>
      </c>
      <c r="F230" t="s">
        <v>21</v>
      </c>
      <c r="G230" t="s">
        <v>2119</v>
      </c>
      <c r="H230">
        <v>-3217.5</v>
      </c>
      <c r="I230" t="s">
        <v>38</v>
      </c>
      <c r="J230">
        <v>0</v>
      </c>
      <c r="K230">
        <v>0</v>
      </c>
      <c r="M230" t="s">
        <v>255</v>
      </c>
      <c r="N230" t="s">
        <v>2127</v>
      </c>
      <c r="O230">
        <v>0</v>
      </c>
      <c r="P230">
        <v>0</v>
      </c>
      <c r="Q230" t="s">
        <v>249</v>
      </c>
    </row>
    <row r="231" spans="1:17" x14ac:dyDescent="0.25">
      <c r="A231" t="s">
        <v>145</v>
      </c>
      <c r="B231" t="s">
        <v>199</v>
      </c>
      <c r="C231">
        <v>160</v>
      </c>
      <c r="D231" t="s">
        <v>264</v>
      </c>
      <c r="E231" s="1">
        <v>43089</v>
      </c>
      <c r="F231" t="s">
        <v>21</v>
      </c>
      <c r="G231" t="s">
        <v>1911</v>
      </c>
      <c r="H231">
        <v>-204.84</v>
      </c>
      <c r="I231" t="s">
        <v>38</v>
      </c>
      <c r="J231">
        <v>0</v>
      </c>
      <c r="M231" t="s">
        <v>170</v>
      </c>
      <c r="N231" t="s">
        <v>1913</v>
      </c>
    </row>
    <row r="232" spans="1:17" x14ac:dyDescent="0.25">
      <c r="A232" t="s">
        <v>145</v>
      </c>
      <c r="B232" t="s">
        <v>199</v>
      </c>
      <c r="C232">
        <v>160</v>
      </c>
      <c r="D232" t="s">
        <v>264</v>
      </c>
      <c r="E232" s="1">
        <v>43089</v>
      </c>
      <c r="F232" t="s">
        <v>21</v>
      </c>
      <c r="G232" t="s">
        <v>1911</v>
      </c>
      <c r="H232">
        <v>-204.84</v>
      </c>
      <c r="I232" t="s">
        <v>38</v>
      </c>
      <c r="J232">
        <v>0</v>
      </c>
      <c r="K232">
        <v>0</v>
      </c>
      <c r="M232" t="s">
        <v>255</v>
      </c>
      <c r="N232" t="s">
        <v>1913</v>
      </c>
      <c r="O232">
        <v>0</v>
      </c>
      <c r="P232">
        <v>0</v>
      </c>
      <c r="Q232" t="s">
        <v>249</v>
      </c>
    </row>
    <row r="233" spans="1:17" x14ac:dyDescent="0.25">
      <c r="A233" t="s">
        <v>74</v>
      </c>
      <c r="B233" t="s">
        <v>200</v>
      </c>
      <c r="C233">
        <v>160</v>
      </c>
      <c r="D233" t="s">
        <v>262</v>
      </c>
      <c r="E233" s="1">
        <v>43074</v>
      </c>
      <c r="F233" t="s">
        <v>252</v>
      </c>
      <c r="G233" t="s">
        <v>1471</v>
      </c>
      <c r="H233">
        <v>0</v>
      </c>
      <c r="I233" t="s">
        <v>39</v>
      </c>
      <c r="J233">
        <v>0</v>
      </c>
      <c r="M233" t="s">
        <v>170</v>
      </c>
      <c r="N233" t="s">
        <v>1472</v>
      </c>
      <c r="Q233" t="s">
        <v>254</v>
      </c>
    </row>
    <row r="234" spans="1:17" x14ac:dyDescent="0.25">
      <c r="A234" t="s">
        <v>74</v>
      </c>
      <c r="B234" t="s">
        <v>200</v>
      </c>
      <c r="C234">
        <v>160</v>
      </c>
      <c r="D234" t="s">
        <v>262</v>
      </c>
      <c r="E234" s="1">
        <v>43074</v>
      </c>
      <c r="F234" t="s">
        <v>17</v>
      </c>
      <c r="G234" t="s">
        <v>705</v>
      </c>
      <c r="H234">
        <v>0</v>
      </c>
      <c r="I234" t="s">
        <v>39</v>
      </c>
      <c r="J234">
        <v>0</v>
      </c>
      <c r="K234">
        <v>3039.12</v>
      </c>
      <c r="L234" t="s">
        <v>246</v>
      </c>
      <c r="M234" t="s">
        <v>170</v>
      </c>
      <c r="N234" t="s">
        <v>707</v>
      </c>
    </row>
    <row r="235" spans="1:17" x14ac:dyDescent="0.25">
      <c r="A235" t="s">
        <v>74</v>
      </c>
      <c r="B235" t="s">
        <v>200</v>
      </c>
      <c r="C235">
        <v>160</v>
      </c>
      <c r="D235" t="s">
        <v>262</v>
      </c>
      <c r="E235" s="1">
        <v>43074</v>
      </c>
      <c r="F235" t="s">
        <v>17</v>
      </c>
      <c r="G235" t="s">
        <v>705</v>
      </c>
      <c r="H235">
        <v>0</v>
      </c>
      <c r="I235" t="s">
        <v>39</v>
      </c>
      <c r="J235">
        <v>0</v>
      </c>
      <c r="K235">
        <v>3039.12</v>
      </c>
      <c r="L235" t="s">
        <v>246</v>
      </c>
      <c r="M235" t="s">
        <v>255</v>
      </c>
      <c r="N235" t="s">
        <v>707</v>
      </c>
      <c r="O235">
        <v>0.15466259541984731</v>
      </c>
      <c r="P235">
        <v>3039.12</v>
      </c>
      <c r="Q235" t="s">
        <v>249</v>
      </c>
    </row>
    <row r="236" spans="1:17" x14ac:dyDescent="0.25">
      <c r="A236" t="s">
        <v>74</v>
      </c>
      <c r="B236" t="s">
        <v>200</v>
      </c>
      <c r="C236">
        <v>160</v>
      </c>
      <c r="D236" t="s">
        <v>262</v>
      </c>
      <c r="E236" s="1">
        <v>43075</v>
      </c>
      <c r="F236" t="s">
        <v>17</v>
      </c>
      <c r="G236" t="s">
        <v>705</v>
      </c>
      <c r="H236">
        <v>10050</v>
      </c>
      <c r="I236" t="s">
        <v>39</v>
      </c>
      <c r="J236">
        <v>0.3024</v>
      </c>
      <c r="K236">
        <v>3039.12</v>
      </c>
      <c r="L236" t="s">
        <v>246</v>
      </c>
      <c r="M236" t="s">
        <v>170</v>
      </c>
      <c r="N236" t="s">
        <v>707</v>
      </c>
      <c r="Q236" t="s">
        <v>254</v>
      </c>
    </row>
    <row r="237" spans="1:17" x14ac:dyDescent="0.25">
      <c r="A237" t="s">
        <v>74</v>
      </c>
      <c r="B237" t="s">
        <v>200</v>
      </c>
      <c r="C237">
        <v>160</v>
      </c>
      <c r="D237" t="s">
        <v>262</v>
      </c>
      <c r="E237" s="1">
        <v>43075</v>
      </c>
      <c r="F237" t="s">
        <v>17</v>
      </c>
      <c r="G237" t="s">
        <v>705</v>
      </c>
      <c r="H237">
        <v>150</v>
      </c>
      <c r="I237" t="s">
        <v>39</v>
      </c>
      <c r="J237">
        <v>0.35326666666700002</v>
      </c>
      <c r="K237">
        <v>45.36</v>
      </c>
      <c r="L237" t="s">
        <v>246</v>
      </c>
      <c r="M237" t="s">
        <v>171</v>
      </c>
      <c r="N237" t="s">
        <v>707</v>
      </c>
      <c r="O237">
        <v>0.15578181818181819</v>
      </c>
      <c r="P237">
        <v>3084.48</v>
      </c>
      <c r="Q237" t="s">
        <v>254</v>
      </c>
    </row>
    <row r="238" spans="1:17" x14ac:dyDescent="0.25">
      <c r="A238" t="s">
        <v>74</v>
      </c>
      <c r="B238" t="s">
        <v>200</v>
      </c>
      <c r="C238">
        <v>160</v>
      </c>
      <c r="D238" t="s">
        <v>262</v>
      </c>
      <c r="E238" s="1">
        <v>43075</v>
      </c>
      <c r="F238" t="s">
        <v>17</v>
      </c>
      <c r="G238" t="s">
        <v>705</v>
      </c>
      <c r="H238">
        <v>150</v>
      </c>
      <c r="I238" t="s">
        <v>39</v>
      </c>
      <c r="J238">
        <v>0.35326666666700002</v>
      </c>
      <c r="K238">
        <v>45.36</v>
      </c>
      <c r="L238" t="s">
        <v>246</v>
      </c>
      <c r="M238" t="s">
        <v>171</v>
      </c>
      <c r="N238" t="s">
        <v>707</v>
      </c>
      <c r="O238">
        <v>0.15688421052631579</v>
      </c>
      <c r="P238">
        <v>3129.84</v>
      </c>
      <c r="Q238" t="s">
        <v>254</v>
      </c>
    </row>
    <row r="239" spans="1:17" x14ac:dyDescent="0.25">
      <c r="A239" t="s">
        <v>74</v>
      </c>
      <c r="B239" t="s">
        <v>200</v>
      </c>
      <c r="C239">
        <v>160</v>
      </c>
      <c r="D239" t="s">
        <v>262</v>
      </c>
      <c r="E239" s="1">
        <v>43075</v>
      </c>
      <c r="F239" t="s">
        <v>17</v>
      </c>
      <c r="G239" t="s">
        <v>705</v>
      </c>
      <c r="H239">
        <v>150</v>
      </c>
      <c r="I239" t="s">
        <v>39</v>
      </c>
      <c r="J239">
        <v>0.35326666666700002</v>
      </c>
      <c r="K239">
        <v>45.36</v>
      </c>
      <c r="L239" t="s">
        <v>246</v>
      </c>
      <c r="M239" t="s">
        <v>171</v>
      </c>
      <c r="N239" t="s">
        <v>707</v>
      </c>
      <c r="O239">
        <v>0.15797014925373135</v>
      </c>
      <c r="P239">
        <v>3175.2000000000003</v>
      </c>
      <c r="Q239" t="s">
        <v>254</v>
      </c>
    </row>
    <row r="240" spans="1:17" x14ac:dyDescent="0.25">
      <c r="A240" t="s">
        <v>74</v>
      </c>
      <c r="B240" t="s">
        <v>200</v>
      </c>
      <c r="C240">
        <v>160</v>
      </c>
      <c r="D240" t="s">
        <v>262</v>
      </c>
      <c r="E240" s="1">
        <v>43075</v>
      </c>
      <c r="F240" t="s">
        <v>17</v>
      </c>
      <c r="G240" t="s">
        <v>705</v>
      </c>
      <c r="H240">
        <v>150</v>
      </c>
      <c r="I240" t="s">
        <v>39</v>
      </c>
      <c r="J240">
        <v>0.35326666666700002</v>
      </c>
      <c r="K240">
        <v>45.36</v>
      </c>
      <c r="L240" t="s">
        <v>246</v>
      </c>
      <c r="M240" t="s">
        <v>171</v>
      </c>
      <c r="N240" t="s">
        <v>707</v>
      </c>
      <c r="O240">
        <v>0.15904000000000001</v>
      </c>
      <c r="P240">
        <v>3220.5600000000004</v>
      </c>
      <c r="Q240" t="s">
        <v>254</v>
      </c>
    </row>
    <row r="241" spans="1:17" x14ac:dyDescent="0.25">
      <c r="A241" t="s">
        <v>74</v>
      </c>
      <c r="B241" t="s">
        <v>200</v>
      </c>
      <c r="C241">
        <v>160</v>
      </c>
      <c r="D241" t="s">
        <v>262</v>
      </c>
      <c r="E241" s="1">
        <v>43075</v>
      </c>
      <c r="F241" t="s">
        <v>17</v>
      </c>
      <c r="G241" t="s">
        <v>705</v>
      </c>
      <c r="H241">
        <v>150</v>
      </c>
      <c r="I241" t="s">
        <v>39</v>
      </c>
      <c r="J241">
        <v>0.35326666666700002</v>
      </c>
      <c r="K241">
        <v>45.36</v>
      </c>
      <c r="L241" t="s">
        <v>246</v>
      </c>
      <c r="M241" t="s">
        <v>171</v>
      </c>
      <c r="N241" t="s">
        <v>707</v>
      </c>
      <c r="O241">
        <v>0.16009411764705886</v>
      </c>
      <c r="P241">
        <v>3265.9200000000005</v>
      </c>
      <c r="Q241" t="s">
        <v>254</v>
      </c>
    </row>
    <row r="242" spans="1:17" x14ac:dyDescent="0.25">
      <c r="A242" t="s">
        <v>74</v>
      </c>
      <c r="B242" t="s">
        <v>200</v>
      </c>
      <c r="C242">
        <v>160</v>
      </c>
      <c r="D242" t="s">
        <v>262</v>
      </c>
      <c r="E242" s="1">
        <v>43075</v>
      </c>
      <c r="F242" t="s">
        <v>17</v>
      </c>
      <c r="G242" t="s">
        <v>705</v>
      </c>
      <c r="H242">
        <v>150</v>
      </c>
      <c r="I242" t="s">
        <v>39</v>
      </c>
      <c r="J242">
        <v>0.35326666666700002</v>
      </c>
      <c r="K242">
        <v>45.36</v>
      </c>
      <c r="L242" t="s">
        <v>246</v>
      </c>
      <c r="M242" t="s">
        <v>171</v>
      </c>
      <c r="N242" t="s">
        <v>707</v>
      </c>
      <c r="O242">
        <v>0.16113284671532849</v>
      </c>
      <c r="P242">
        <v>3311.2800000000007</v>
      </c>
      <c r="Q242" t="s">
        <v>254</v>
      </c>
    </row>
    <row r="243" spans="1:17" x14ac:dyDescent="0.25">
      <c r="A243" t="s">
        <v>74</v>
      </c>
      <c r="B243" t="s">
        <v>200</v>
      </c>
      <c r="C243">
        <v>160</v>
      </c>
      <c r="D243" t="s">
        <v>262</v>
      </c>
      <c r="E243" s="1">
        <v>43075</v>
      </c>
      <c r="F243" t="s">
        <v>17</v>
      </c>
      <c r="G243" t="s">
        <v>705</v>
      </c>
      <c r="H243">
        <v>150</v>
      </c>
      <c r="I243" t="s">
        <v>39</v>
      </c>
      <c r="J243">
        <v>0.35326666666700002</v>
      </c>
      <c r="K243">
        <v>45.36</v>
      </c>
      <c r="L243" t="s">
        <v>246</v>
      </c>
      <c r="M243" t="s">
        <v>171</v>
      </c>
      <c r="N243" t="s">
        <v>707</v>
      </c>
      <c r="O243">
        <v>0.16215652173913048</v>
      </c>
      <c r="P243">
        <v>3356.6400000000008</v>
      </c>
      <c r="Q243" t="s">
        <v>254</v>
      </c>
    </row>
    <row r="244" spans="1:17" x14ac:dyDescent="0.25">
      <c r="A244" t="s">
        <v>74</v>
      </c>
      <c r="B244" t="s">
        <v>200</v>
      </c>
      <c r="C244">
        <v>160</v>
      </c>
      <c r="D244" t="s">
        <v>262</v>
      </c>
      <c r="E244" s="1">
        <v>43075</v>
      </c>
      <c r="F244" t="s">
        <v>17</v>
      </c>
      <c r="G244" t="s">
        <v>705</v>
      </c>
      <c r="H244">
        <v>150</v>
      </c>
      <c r="I244" t="s">
        <v>39</v>
      </c>
      <c r="J244">
        <v>0.35326666666700002</v>
      </c>
      <c r="K244">
        <v>45.36</v>
      </c>
      <c r="L244" t="s">
        <v>246</v>
      </c>
      <c r="M244" t="s">
        <v>171</v>
      </c>
      <c r="N244" t="s">
        <v>707</v>
      </c>
      <c r="O244">
        <v>0.16316546762589931</v>
      </c>
      <c r="P244">
        <v>3402.0000000000009</v>
      </c>
      <c r="Q244" t="s">
        <v>254</v>
      </c>
    </row>
    <row r="245" spans="1:17" x14ac:dyDescent="0.25">
      <c r="A245" t="s">
        <v>74</v>
      </c>
      <c r="B245" t="s">
        <v>200</v>
      </c>
      <c r="C245">
        <v>160</v>
      </c>
      <c r="D245" t="s">
        <v>262</v>
      </c>
      <c r="E245" s="1">
        <v>43075</v>
      </c>
      <c r="F245" t="s">
        <v>17</v>
      </c>
      <c r="G245" t="s">
        <v>705</v>
      </c>
      <c r="H245">
        <v>150</v>
      </c>
      <c r="I245" t="s">
        <v>39</v>
      </c>
      <c r="J245">
        <v>0.35326666666700002</v>
      </c>
      <c r="K245">
        <v>45.36</v>
      </c>
      <c r="L245" t="s">
        <v>246</v>
      </c>
      <c r="M245" t="s">
        <v>171</v>
      </c>
      <c r="N245" t="s">
        <v>707</v>
      </c>
      <c r="O245">
        <v>0.16416000000000006</v>
      </c>
      <c r="P245">
        <v>3447.360000000001</v>
      </c>
      <c r="Q245" t="s">
        <v>254</v>
      </c>
    </row>
    <row r="246" spans="1:17" x14ac:dyDescent="0.25">
      <c r="A246" t="s">
        <v>74</v>
      </c>
      <c r="B246" t="s">
        <v>200</v>
      </c>
      <c r="C246">
        <v>160</v>
      </c>
      <c r="D246" t="s">
        <v>262</v>
      </c>
      <c r="E246" s="1">
        <v>43075</v>
      </c>
      <c r="F246" t="s">
        <v>17</v>
      </c>
      <c r="G246" t="s">
        <v>705</v>
      </c>
      <c r="H246">
        <v>150</v>
      </c>
      <c r="I246" t="s">
        <v>39</v>
      </c>
      <c r="J246">
        <v>0.35326666666700002</v>
      </c>
      <c r="K246">
        <v>45.36</v>
      </c>
      <c r="L246" t="s">
        <v>246</v>
      </c>
      <c r="M246" t="s">
        <v>171</v>
      </c>
      <c r="N246" t="s">
        <v>707</v>
      </c>
      <c r="O246">
        <v>0.16514042553191494</v>
      </c>
      <c r="P246">
        <v>3492.7200000000012</v>
      </c>
      <c r="Q246" t="s">
        <v>254</v>
      </c>
    </row>
    <row r="247" spans="1:17" x14ac:dyDescent="0.25">
      <c r="A247" t="s">
        <v>74</v>
      </c>
      <c r="B247" t="s">
        <v>200</v>
      </c>
      <c r="C247">
        <v>160</v>
      </c>
      <c r="D247" t="s">
        <v>262</v>
      </c>
      <c r="E247" s="1">
        <v>43075</v>
      </c>
      <c r="F247" t="s">
        <v>17</v>
      </c>
      <c r="G247" t="s">
        <v>705</v>
      </c>
      <c r="H247">
        <v>150</v>
      </c>
      <c r="I247" t="s">
        <v>39</v>
      </c>
      <c r="J247">
        <v>0.35326666666700002</v>
      </c>
      <c r="K247">
        <v>45.36</v>
      </c>
      <c r="L247" t="s">
        <v>246</v>
      </c>
      <c r="M247" t="s">
        <v>171</v>
      </c>
      <c r="N247" t="s">
        <v>707</v>
      </c>
      <c r="O247">
        <v>0.16610704225352119</v>
      </c>
      <c r="P247">
        <v>3538.0800000000013</v>
      </c>
      <c r="Q247" t="s">
        <v>254</v>
      </c>
    </row>
    <row r="248" spans="1:17" x14ac:dyDescent="0.25">
      <c r="A248" t="s">
        <v>74</v>
      </c>
      <c r="B248" t="s">
        <v>200</v>
      </c>
      <c r="C248">
        <v>160</v>
      </c>
      <c r="D248" t="s">
        <v>262</v>
      </c>
      <c r="E248" s="1">
        <v>43075</v>
      </c>
      <c r="F248" t="s">
        <v>17</v>
      </c>
      <c r="G248" t="s">
        <v>705</v>
      </c>
      <c r="H248">
        <v>150</v>
      </c>
      <c r="I248" t="s">
        <v>39</v>
      </c>
      <c r="J248">
        <v>0.35326666666700002</v>
      </c>
      <c r="K248">
        <v>45.36</v>
      </c>
      <c r="L248" t="s">
        <v>246</v>
      </c>
      <c r="M248" t="s">
        <v>171</v>
      </c>
      <c r="N248" t="s">
        <v>707</v>
      </c>
      <c r="O248">
        <v>0.16706013986013993</v>
      </c>
      <c r="P248">
        <v>3583.4400000000014</v>
      </c>
      <c r="Q248" t="s">
        <v>254</v>
      </c>
    </row>
    <row r="249" spans="1:17" x14ac:dyDescent="0.25">
      <c r="A249" t="s">
        <v>74</v>
      </c>
      <c r="B249" t="s">
        <v>200</v>
      </c>
      <c r="C249">
        <v>160</v>
      </c>
      <c r="D249" t="s">
        <v>262</v>
      </c>
      <c r="E249" s="1">
        <v>43075</v>
      </c>
      <c r="F249" t="s">
        <v>17</v>
      </c>
      <c r="G249" t="s">
        <v>705</v>
      </c>
      <c r="H249">
        <v>150</v>
      </c>
      <c r="I249" t="s">
        <v>39</v>
      </c>
      <c r="J249">
        <v>0.35326666666700002</v>
      </c>
      <c r="K249">
        <v>45.36</v>
      </c>
      <c r="L249" t="s">
        <v>246</v>
      </c>
      <c r="M249" t="s">
        <v>171</v>
      </c>
      <c r="N249" t="s">
        <v>707</v>
      </c>
      <c r="O249">
        <v>0.16800000000000007</v>
      </c>
      <c r="P249">
        <v>3628.8000000000015</v>
      </c>
      <c r="Q249" t="s">
        <v>254</v>
      </c>
    </row>
    <row r="250" spans="1:17" x14ac:dyDescent="0.25">
      <c r="A250" t="s">
        <v>74</v>
      </c>
      <c r="B250" t="s">
        <v>200</v>
      </c>
      <c r="C250">
        <v>160</v>
      </c>
      <c r="D250" t="s">
        <v>262</v>
      </c>
      <c r="E250" s="1">
        <v>43075</v>
      </c>
      <c r="F250" t="s">
        <v>17</v>
      </c>
      <c r="G250" t="s">
        <v>705</v>
      </c>
      <c r="H250">
        <v>150</v>
      </c>
      <c r="I250" t="s">
        <v>39</v>
      </c>
      <c r="J250">
        <v>0.35326666666700002</v>
      </c>
      <c r="K250">
        <v>45.36</v>
      </c>
      <c r="L250" t="s">
        <v>246</v>
      </c>
      <c r="M250" t="s">
        <v>171</v>
      </c>
      <c r="N250" t="s">
        <v>707</v>
      </c>
      <c r="O250">
        <v>0.16892689655172421</v>
      </c>
      <c r="P250">
        <v>3674.1600000000017</v>
      </c>
      <c r="Q250" t="s">
        <v>254</v>
      </c>
    </row>
    <row r="251" spans="1:17" x14ac:dyDescent="0.25">
      <c r="A251" t="s">
        <v>74</v>
      </c>
      <c r="B251" t="s">
        <v>200</v>
      </c>
      <c r="C251">
        <v>160</v>
      </c>
      <c r="D251" t="s">
        <v>262</v>
      </c>
      <c r="E251" s="1">
        <v>43075</v>
      </c>
      <c r="F251" t="s">
        <v>17</v>
      </c>
      <c r="G251" t="s">
        <v>705</v>
      </c>
      <c r="H251">
        <v>150</v>
      </c>
      <c r="I251" t="s">
        <v>39</v>
      </c>
      <c r="J251">
        <v>0.35326666666700002</v>
      </c>
      <c r="K251">
        <v>45.36</v>
      </c>
      <c r="L251" t="s">
        <v>246</v>
      </c>
      <c r="M251" t="s">
        <v>171</v>
      </c>
      <c r="N251" t="s">
        <v>707</v>
      </c>
      <c r="O251">
        <v>0.16984109589041105</v>
      </c>
      <c r="P251">
        <v>3719.5200000000018</v>
      </c>
      <c r="Q251" t="s">
        <v>254</v>
      </c>
    </row>
    <row r="252" spans="1:17" x14ac:dyDescent="0.25">
      <c r="A252" t="s">
        <v>74</v>
      </c>
      <c r="B252" t="s">
        <v>200</v>
      </c>
      <c r="C252">
        <v>160</v>
      </c>
      <c r="D252" t="s">
        <v>262</v>
      </c>
      <c r="E252" s="1">
        <v>43075</v>
      </c>
      <c r="F252" t="s">
        <v>17</v>
      </c>
      <c r="G252" t="s">
        <v>705</v>
      </c>
      <c r="H252">
        <v>150</v>
      </c>
      <c r="I252" t="s">
        <v>39</v>
      </c>
      <c r="J252">
        <v>0.35326666666700002</v>
      </c>
      <c r="K252">
        <v>45.36</v>
      </c>
      <c r="L252" t="s">
        <v>246</v>
      </c>
      <c r="M252" t="s">
        <v>171</v>
      </c>
      <c r="N252" t="s">
        <v>707</v>
      </c>
      <c r="O252">
        <v>0.17074285714285722</v>
      </c>
      <c r="P252">
        <v>3764.8800000000019</v>
      </c>
      <c r="Q252" t="s">
        <v>254</v>
      </c>
    </row>
    <row r="253" spans="1:17" x14ac:dyDescent="0.25">
      <c r="A253" t="s">
        <v>74</v>
      </c>
      <c r="B253" t="s">
        <v>200</v>
      </c>
      <c r="C253">
        <v>160</v>
      </c>
      <c r="D253" t="s">
        <v>262</v>
      </c>
      <c r="E253" s="1">
        <v>43075</v>
      </c>
      <c r="F253" t="s">
        <v>17</v>
      </c>
      <c r="G253" t="s">
        <v>705</v>
      </c>
      <c r="H253">
        <v>150</v>
      </c>
      <c r="I253" t="s">
        <v>39</v>
      </c>
      <c r="J253">
        <v>0.35326666666700002</v>
      </c>
      <c r="K253">
        <v>45.36</v>
      </c>
      <c r="L253" t="s">
        <v>246</v>
      </c>
      <c r="M253" t="s">
        <v>171</v>
      </c>
      <c r="N253" t="s">
        <v>707</v>
      </c>
      <c r="O253">
        <v>0.17163243243243254</v>
      </c>
      <c r="P253">
        <v>3810.2400000000021</v>
      </c>
      <c r="Q253" t="s">
        <v>254</v>
      </c>
    </row>
    <row r="254" spans="1:17" x14ac:dyDescent="0.25">
      <c r="A254" t="s">
        <v>74</v>
      </c>
      <c r="B254" t="s">
        <v>200</v>
      </c>
      <c r="C254">
        <v>160</v>
      </c>
      <c r="D254" t="s">
        <v>262</v>
      </c>
      <c r="E254" s="1">
        <v>43075</v>
      </c>
      <c r="F254" t="s">
        <v>17</v>
      </c>
      <c r="G254" t="s">
        <v>705</v>
      </c>
      <c r="H254">
        <v>150</v>
      </c>
      <c r="I254" t="s">
        <v>39</v>
      </c>
      <c r="J254">
        <v>0.35326666666700002</v>
      </c>
      <c r="K254">
        <v>45.36</v>
      </c>
      <c r="L254" t="s">
        <v>246</v>
      </c>
      <c r="M254" t="s">
        <v>171</v>
      </c>
      <c r="N254" t="s">
        <v>707</v>
      </c>
      <c r="O254">
        <v>0.17251006711409406</v>
      </c>
      <c r="P254">
        <v>3855.6000000000022</v>
      </c>
      <c r="Q254" t="s">
        <v>254</v>
      </c>
    </row>
    <row r="255" spans="1:17" x14ac:dyDescent="0.25">
      <c r="A255" t="s">
        <v>74</v>
      </c>
      <c r="B255" t="s">
        <v>200</v>
      </c>
      <c r="C255">
        <v>160</v>
      </c>
      <c r="D255" t="s">
        <v>262</v>
      </c>
      <c r="E255" s="1">
        <v>43075</v>
      </c>
      <c r="F255" t="s">
        <v>17</v>
      </c>
      <c r="G255" t="s">
        <v>705</v>
      </c>
      <c r="H255">
        <v>150</v>
      </c>
      <c r="I255" t="s">
        <v>39</v>
      </c>
      <c r="J255">
        <v>0.35326666666700002</v>
      </c>
      <c r="K255">
        <v>45.36</v>
      </c>
      <c r="L255" t="s">
        <v>246</v>
      </c>
      <c r="M255" t="s">
        <v>171</v>
      </c>
      <c r="N255" t="s">
        <v>707</v>
      </c>
      <c r="O255">
        <v>0.17337600000000011</v>
      </c>
      <c r="P255">
        <v>3900.9600000000023</v>
      </c>
      <c r="Q255" t="s">
        <v>254</v>
      </c>
    </row>
    <row r="256" spans="1:17" x14ac:dyDescent="0.25">
      <c r="A256" t="s">
        <v>74</v>
      </c>
      <c r="B256" t="s">
        <v>200</v>
      </c>
      <c r="C256">
        <v>160</v>
      </c>
      <c r="D256" t="s">
        <v>262</v>
      </c>
      <c r="E256" s="1">
        <v>43075</v>
      </c>
      <c r="F256" t="s">
        <v>17</v>
      </c>
      <c r="G256" t="s">
        <v>705</v>
      </c>
      <c r="H256">
        <v>150</v>
      </c>
      <c r="I256" t="s">
        <v>39</v>
      </c>
      <c r="J256">
        <v>0.35326666666700002</v>
      </c>
      <c r="K256">
        <v>45.36</v>
      </c>
      <c r="L256" t="s">
        <v>246</v>
      </c>
      <c r="M256" t="s">
        <v>171</v>
      </c>
      <c r="N256" t="s">
        <v>707</v>
      </c>
      <c r="O256">
        <v>0.17423046357615904</v>
      </c>
      <c r="P256">
        <v>3946.3200000000024</v>
      </c>
      <c r="Q256" t="s">
        <v>254</v>
      </c>
    </row>
    <row r="257" spans="1:17" x14ac:dyDescent="0.25">
      <c r="A257" t="s">
        <v>74</v>
      </c>
      <c r="B257" t="s">
        <v>200</v>
      </c>
      <c r="C257">
        <v>160</v>
      </c>
      <c r="D257" t="s">
        <v>262</v>
      </c>
      <c r="E257" s="1">
        <v>43075</v>
      </c>
      <c r="F257" t="s">
        <v>17</v>
      </c>
      <c r="G257" t="s">
        <v>705</v>
      </c>
      <c r="H257">
        <v>150</v>
      </c>
      <c r="I257" t="s">
        <v>39</v>
      </c>
      <c r="J257">
        <v>0.35326666666700002</v>
      </c>
      <c r="K257">
        <v>45.36</v>
      </c>
      <c r="L257" t="s">
        <v>246</v>
      </c>
      <c r="M257" t="s">
        <v>171</v>
      </c>
      <c r="N257" t="s">
        <v>707</v>
      </c>
      <c r="O257">
        <v>0.17507368421052644</v>
      </c>
      <c r="P257">
        <v>3991.6800000000026</v>
      </c>
      <c r="Q257" t="s">
        <v>254</v>
      </c>
    </row>
    <row r="258" spans="1:17" x14ac:dyDescent="0.25">
      <c r="A258" t="s">
        <v>74</v>
      </c>
      <c r="B258" t="s">
        <v>200</v>
      </c>
      <c r="C258">
        <v>160</v>
      </c>
      <c r="D258" t="s">
        <v>262</v>
      </c>
      <c r="E258" s="1">
        <v>43075</v>
      </c>
      <c r="F258" t="s">
        <v>17</v>
      </c>
      <c r="G258" t="s">
        <v>705</v>
      </c>
      <c r="H258">
        <v>150</v>
      </c>
      <c r="I258" t="s">
        <v>39</v>
      </c>
      <c r="J258">
        <v>0.35326666666700002</v>
      </c>
      <c r="K258">
        <v>45.36</v>
      </c>
      <c r="L258" t="s">
        <v>246</v>
      </c>
      <c r="M258" t="s">
        <v>171</v>
      </c>
      <c r="N258" t="s">
        <v>707</v>
      </c>
      <c r="O258">
        <v>0.1759058823529413</v>
      </c>
      <c r="P258">
        <v>4037.0400000000027</v>
      </c>
      <c r="Q258" t="s">
        <v>254</v>
      </c>
    </row>
    <row r="259" spans="1:17" x14ac:dyDescent="0.25">
      <c r="A259" t="s">
        <v>74</v>
      </c>
      <c r="B259" t="s">
        <v>200</v>
      </c>
      <c r="C259">
        <v>160</v>
      </c>
      <c r="D259" t="s">
        <v>262</v>
      </c>
      <c r="E259" s="1">
        <v>43075</v>
      </c>
      <c r="F259" t="s">
        <v>17</v>
      </c>
      <c r="G259" t="s">
        <v>705</v>
      </c>
      <c r="H259">
        <v>150</v>
      </c>
      <c r="I259" t="s">
        <v>39</v>
      </c>
      <c r="J259">
        <v>0.35326666666700002</v>
      </c>
      <c r="K259">
        <v>45.36</v>
      </c>
      <c r="L259" t="s">
        <v>246</v>
      </c>
      <c r="M259" t="s">
        <v>171</v>
      </c>
      <c r="N259" t="s">
        <v>707</v>
      </c>
      <c r="O259">
        <v>0.17672727272727284</v>
      </c>
      <c r="P259">
        <v>4082.4000000000028</v>
      </c>
      <c r="Q259" t="s">
        <v>254</v>
      </c>
    </row>
    <row r="260" spans="1:17" x14ac:dyDescent="0.25">
      <c r="A260" t="s">
        <v>74</v>
      </c>
      <c r="B260" t="s">
        <v>200</v>
      </c>
      <c r="C260">
        <v>160</v>
      </c>
      <c r="D260" t="s">
        <v>262</v>
      </c>
      <c r="E260" s="1">
        <v>43075</v>
      </c>
      <c r="F260" t="s">
        <v>17</v>
      </c>
      <c r="G260" t="s">
        <v>705</v>
      </c>
      <c r="H260">
        <v>150</v>
      </c>
      <c r="I260" t="s">
        <v>39</v>
      </c>
      <c r="J260">
        <v>0.35326666666700002</v>
      </c>
      <c r="K260">
        <v>45.36</v>
      </c>
      <c r="L260" t="s">
        <v>246</v>
      </c>
      <c r="M260" t="s">
        <v>171</v>
      </c>
      <c r="N260" t="s">
        <v>707</v>
      </c>
      <c r="O260">
        <v>0.17753806451612916</v>
      </c>
      <c r="P260">
        <v>4127.7600000000029</v>
      </c>
      <c r="Q260" t="s">
        <v>254</v>
      </c>
    </row>
    <row r="261" spans="1:17" x14ac:dyDescent="0.25">
      <c r="A261" t="s">
        <v>74</v>
      </c>
      <c r="B261" t="s">
        <v>200</v>
      </c>
      <c r="C261">
        <v>160</v>
      </c>
      <c r="D261" t="s">
        <v>262</v>
      </c>
      <c r="E261" s="1">
        <v>43075</v>
      </c>
      <c r="F261" t="s">
        <v>17</v>
      </c>
      <c r="G261" t="s">
        <v>705</v>
      </c>
      <c r="H261">
        <v>150</v>
      </c>
      <c r="I261" t="s">
        <v>39</v>
      </c>
      <c r="J261">
        <v>0.35326666666700002</v>
      </c>
      <c r="K261">
        <v>45.36</v>
      </c>
      <c r="L261" t="s">
        <v>246</v>
      </c>
      <c r="M261" t="s">
        <v>171</v>
      </c>
      <c r="N261" t="s">
        <v>707</v>
      </c>
      <c r="O261">
        <v>0.17833846153846164</v>
      </c>
      <c r="P261">
        <v>4173.1200000000026</v>
      </c>
      <c r="Q261" t="s">
        <v>254</v>
      </c>
    </row>
    <row r="262" spans="1:17" x14ac:dyDescent="0.25">
      <c r="A262" t="s">
        <v>74</v>
      </c>
      <c r="B262" t="s">
        <v>200</v>
      </c>
      <c r="C262">
        <v>160</v>
      </c>
      <c r="D262" t="s">
        <v>262</v>
      </c>
      <c r="E262" s="1">
        <v>43075</v>
      </c>
      <c r="F262" t="s">
        <v>17</v>
      </c>
      <c r="G262" t="s">
        <v>705</v>
      </c>
      <c r="H262">
        <v>150</v>
      </c>
      <c r="I262" t="s">
        <v>39</v>
      </c>
      <c r="J262">
        <v>0.35326666666700002</v>
      </c>
      <c r="K262">
        <v>45.36</v>
      </c>
      <c r="L262" t="s">
        <v>246</v>
      </c>
      <c r="M262" t="s">
        <v>171</v>
      </c>
      <c r="N262" t="s">
        <v>707</v>
      </c>
      <c r="O262">
        <v>0.17912866242038225</v>
      </c>
      <c r="P262">
        <v>4218.4800000000023</v>
      </c>
      <c r="Q262" t="s">
        <v>254</v>
      </c>
    </row>
    <row r="263" spans="1:17" x14ac:dyDescent="0.25">
      <c r="A263" t="s">
        <v>74</v>
      </c>
      <c r="B263" t="s">
        <v>200</v>
      </c>
      <c r="C263">
        <v>160</v>
      </c>
      <c r="D263" t="s">
        <v>262</v>
      </c>
      <c r="E263" s="1">
        <v>43075</v>
      </c>
      <c r="F263" t="s">
        <v>17</v>
      </c>
      <c r="G263" t="s">
        <v>705</v>
      </c>
      <c r="H263">
        <v>150</v>
      </c>
      <c r="I263" t="s">
        <v>39</v>
      </c>
      <c r="J263">
        <v>0.35326666666700002</v>
      </c>
      <c r="K263">
        <v>45.36</v>
      </c>
      <c r="L263" t="s">
        <v>246</v>
      </c>
      <c r="M263" t="s">
        <v>171</v>
      </c>
      <c r="N263" t="s">
        <v>707</v>
      </c>
      <c r="O263">
        <v>0.17990886075949375</v>
      </c>
      <c r="P263">
        <v>4263.840000000002</v>
      </c>
      <c r="Q263" t="s">
        <v>254</v>
      </c>
    </row>
    <row r="264" spans="1:17" x14ac:dyDescent="0.25">
      <c r="A264" t="s">
        <v>74</v>
      </c>
      <c r="B264" t="s">
        <v>200</v>
      </c>
      <c r="C264">
        <v>160</v>
      </c>
      <c r="D264" t="s">
        <v>262</v>
      </c>
      <c r="E264" s="1">
        <v>43075</v>
      </c>
      <c r="F264" t="s">
        <v>17</v>
      </c>
      <c r="G264" t="s">
        <v>705</v>
      </c>
      <c r="H264">
        <v>150</v>
      </c>
      <c r="I264" t="s">
        <v>39</v>
      </c>
      <c r="J264">
        <v>0.35326666666700002</v>
      </c>
      <c r="K264">
        <v>45.36</v>
      </c>
      <c r="L264" t="s">
        <v>246</v>
      </c>
      <c r="M264" t="s">
        <v>171</v>
      </c>
      <c r="N264" t="s">
        <v>707</v>
      </c>
      <c r="O264">
        <v>0.18067924528301893</v>
      </c>
      <c r="P264">
        <v>4309.2000000000016</v>
      </c>
      <c r="Q264" t="s">
        <v>254</v>
      </c>
    </row>
    <row r="265" spans="1:17" x14ac:dyDescent="0.25">
      <c r="A265" t="s">
        <v>74</v>
      </c>
      <c r="B265" t="s">
        <v>200</v>
      </c>
      <c r="C265">
        <v>160</v>
      </c>
      <c r="D265" t="s">
        <v>262</v>
      </c>
      <c r="E265" s="1">
        <v>43075</v>
      </c>
      <c r="F265" t="s">
        <v>17</v>
      </c>
      <c r="G265" t="s">
        <v>705</v>
      </c>
      <c r="H265">
        <v>150</v>
      </c>
      <c r="I265" t="s">
        <v>39</v>
      </c>
      <c r="J265">
        <v>0.35326666666700002</v>
      </c>
      <c r="K265">
        <v>45.36</v>
      </c>
      <c r="L265" t="s">
        <v>246</v>
      </c>
      <c r="M265" t="s">
        <v>171</v>
      </c>
      <c r="N265" t="s">
        <v>707</v>
      </c>
      <c r="O265">
        <v>0.18144000000000005</v>
      </c>
      <c r="P265">
        <v>4354.5600000000013</v>
      </c>
      <c r="Q265" t="s">
        <v>254</v>
      </c>
    </row>
    <row r="266" spans="1:17" x14ac:dyDescent="0.25">
      <c r="A266" t="s">
        <v>74</v>
      </c>
      <c r="B266" t="s">
        <v>200</v>
      </c>
      <c r="C266">
        <v>160</v>
      </c>
      <c r="D266" t="s">
        <v>262</v>
      </c>
      <c r="E266" s="1">
        <v>43075</v>
      </c>
      <c r="F266" t="s">
        <v>17</v>
      </c>
      <c r="G266" t="s">
        <v>705</v>
      </c>
      <c r="H266">
        <v>150</v>
      </c>
      <c r="I266" t="s">
        <v>39</v>
      </c>
      <c r="J266">
        <v>0.35326666666700002</v>
      </c>
      <c r="K266">
        <v>45.36</v>
      </c>
      <c r="L266" t="s">
        <v>246</v>
      </c>
      <c r="M266" t="s">
        <v>171</v>
      </c>
      <c r="N266" t="s">
        <v>707</v>
      </c>
      <c r="O266">
        <v>0.18219130434782613</v>
      </c>
      <c r="P266">
        <v>4399.920000000001</v>
      </c>
      <c r="Q266" t="s">
        <v>254</v>
      </c>
    </row>
    <row r="267" spans="1:17" x14ac:dyDescent="0.25">
      <c r="A267" t="s">
        <v>74</v>
      </c>
      <c r="B267" t="s">
        <v>200</v>
      </c>
      <c r="C267">
        <v>160</v>
      </c>
      <c r="D267" t="s">
        <v>262</v>
      </c>
      <c r="E267" s="1">
        <v>43075</v>
      </c>
      <c r="F267" t="s">
        <v>17</v>
      </c>
      <c r="G267" t="s">
        <v>705</v>
      </c>
      <c r="H267">
        <v>150</v>
      </c>
      <c r="I267" t="s">
        <v>39</v>
      </c>
      <c r="J267">
        <v>0.35326666666700002</v>
      </c>
      <c r="K267">
        <v>45.36</v>
      </c>
      <c r="L267" t="s">
        <v>246</v>
      </c>
      <c r="M267" t="s">
        <v>171</v>
      </c>
      <c r="N267" t="s">
        <v>707</v>
      </c>
      <c r="O267">
        <v>0.18293333333333336</v>
      </c>
      <c r="P267">
        <v>4445.2800000000007</v>
      </c>
      <c r="Q267" t="s">
        <v>254</v>
      </c>
    </row>
    <row r="268" spans="1:17" x14ac:dyDescent="0.25">
      <c r="A268" t="s">
        <v>74</v>
      </c>
      <c r="B268" t="s">
        <v>200</v>
      </c>
      <c r="C268">
        <v>160</v>
      </c>
      <c r="D268" t="s">
        <v>262</v>
      </c>
      <c r="E268" s="1">
        <v>43075</v>
      </c>
      <c r="F268" t="s">
        <v>17</v>
      </c>
      <c r="G268" t="s">
        <v>705</v>
      </c>
      <c r="H268">
        <v>150</v>
      </c>
      <c r="I268" t="s">
        <v>39</v>
      </c>
      <c r="J268">
        <v>0.35326666666700002</v>
      </c>
      <c r="K268">
        <v>45.36</v>
      </c>
      <c r="L268" t="s">
        <v>246</v>
      </c>
      <c r="M268" t="s">
        <v>171</v>
      </c>
      <c r="N268" t="s">
        <v>707</v>
      </c>
      <c r="O268">
        <v>0.18366625766871167</v>
      </c>
      <c r="P268">
        <v>4490.6400000000003</v>
      </c>
      <c r="Q268" t="s">
        <v>254</v>
      </c>
    </row>
    <row r="269" spans="1:17" x14ac:dyDescent="0.25">
      <c r="A269" t="s">
        <v>74</v>
      </c>
      <c r="B269" t="s">
        <v>200</v>
      </c>
      <c r="C269">
        <v>160</v>
      </c>
      <c r="D269" t="s">
        <v>262</v>
      </c>
      <c r="E269" s="1">
        <v>43075</v>
      </c>
      <c r="F269" t="s">
        <v>17</v>
      </c>
      <c r="G269" t="s">
        <v>705</v>
      </c>
      <c r="H269">
        <v>150</v>
      </c>
      <c r="I269" t="s">
        <v>39</v>
      </c>
      <c r="J269">
        <v>0.35326666666700002</v>
      </c>
      <c r="K269">
        <v>45.36</v>
      </c>
      <c r="L269" t="s">
        <v>246</v>
      </c>
      <c r="M269" t="s">
        <v>171</v>
      </c>
      <c r="N269" t="s">
        <v>707</v>
      </c>
      <c r="O269">
        <v>0.18439024390243902</v>
      </c>
      <c r="P269">
        <v>4536</v>
      </c>
      <c r="Q269" t="s">
        <v>254</v>
      </c>
    </row>
    <row r="270" spans="1:17" x14ac:dyDescent="0.25">
      <c r="A270" t="s">
        <v>74</v>
      </c>
      <c r="B270" t="s">
        <v>200</v>
      </c>
      <c r="C270">
        <v>160</v>
      </c>
      <c r="D270" t="s">
        <v>262</v>
      </c>
      <c r="E270" s="1">
        <v>43075</v>
      </c>
      <c r="F270" t="s">
        <v>17</v>
      </c>
      <c r="G270" t="s">
        <v>705</v>
      </c>
      <c r="H270">
        <v>150</v>
      </c>
      <c r="I270" t="s">
        <v>39</v>
      </c>
      <c r="J270">
        <v>0.35326666666700002</v>
      </c>
      <c r="K270">
        <v>45.36</v>
      </c>
      <c r="L270" t="s">
        <v>246</v>
      </c>
      <c r="M270" t="s">
        <v>171</v>
      </c>
      <c r="N270" t="s">
        <v>707</v>
      </c>
      <c r="O270">
        <v>0.18510545454545455</v>
      </c>
      <c r="P270">
        <v>4581.3599999999997</v>
      </c>
      <c r="Q270" t="s">
        <v>254</v>
      </c>
    </row>
    <row r="271" spans="1:17" x14ac:dyDescent="0.25">
      <c r="A271" t="s">
        <v>74</v>
      </c>
      <c r="B271" t="s">
        <v>200</v>
      </c>
      <c r="C271">
        <v>160</v>
      </c>
      <c r="D271" t="s">
        <v>262</v>
      </c>
      <c r="E271" s="1">
        <v>43075</v>
      </c>
      <c r="F271" t="s">
        <v>17</v>
      </c>
      <c r="G271" t="s">
        <v>705</v>
      </c>
      <c r="H271">
        <v>150</v>
      </c>
      <c r="I271" t="s">
        <v>39</v>
      </c>
      <c r="J271">
        <v>0.35326666666700002</v>
      </c>
      <c r="K271">
        <v>45.36</v>
      </c>
      <c r="L271" t="s">
        <v>246</v>
      </c>
      <c r="M271" t="s">
        <v>171</v>
      </c>
      <c r="N271" t="s">
        <v>707</v>
      </c>
      <c r="O271">
        <v>0.18581204819277106</v>
      </c>
      <c r="P271">
        <v>4626.7199999999993</v>
      </c>
      <c r="Q271" t="s">
        <v>254</v>
      </c>
    </row>
    <row r="272" spans="1:17" x14ac:dyDescent="0.25">
      <c r="A272" t="s">
        <v>74</v>
      </c>
      <c r="B272" t="s">
        <v>200</v>
      </c>
      <c r="C272">
        <v>160</v>
      </c>
      <c r="D272" t="s">
        <v>262</v>
      </c>
      <c r="E272" s="1">
        <v>43075</v>
      </c>
      <c r="F272" t="s">
        <v>17</v>
      </c>
      <c r="G272" t="s">
        <v>705</v>
      </c>
      <c r="H272">
        <v>150</v>
      </c>
      <c r="I272" t="s">
        <v>39</v>
      </c>
      <c r="J272">
        <v>0.35326666666700002</v>
      </c>
      <c r="K272">
        <v>45.36</v>
      </c>
      <c r="L272" t="s">
        <v>246</v>
      </c>
      <c r="M272" t="s">
        <v>171</v>
      </c>
      <c r="N272" t="s">
        <v>707</v>
      </c>
      <c r="O272">
        <v>0.18651017964071853</v>
      </c>
      <c r="P272">
        <v>4672.079999999999</v>
      </c>
      <c r="Q272" t="s">
        <v>254</v>
      </c>
    </row>
    <row r="273" spans="1:17" x14ac:dyDescent="0.25">
      <c r="A273" t="s">
        <v>74</v>
      </c>
      <c r="B273" t="s">
        <v>200</v>
      </c>
      <c r="C273">
        <v>160</v>
      </c>
      <c r="D273" t="s">
        <v>262</v>
      </c>
      <c r="E273" s="1">
        <v>43075</v>
      </c>
      <c r="F273" t="s">
        <v>17</v>
      </c>
      <c r="G273" t="s">
        <v>705</v>
      </c>
      <c r="H273">
        <v>150</v>
      </c>
      <c r="I273" t="s">
        <v>39</v>
      </c>
      <c r="J273">
        <v>0.35326666666700002</v>
      </c>
      <c r="K273">
        <v>45.36</v>
      </c>
      <c r="L273" t="s">
        <v>246</v>
      </c>
      <c r="M273" t="s">
        <v>171</v>
      </c>
      <c r="N273" t="s">
        <v>707</v>
      </c>
      <c r="O273">
        <v>0.18719999999999995</v>
      </c>
      <c r="P273">
        <v>4717.4399999999987</v>
      </c>
      <c r="Q273" t="s">
        <v>254</v>
      </c>
    </row>
    <row r="274" spans="1:17" x14ac:dyDescent="0.25">
      <c r="A274" t="s">
        <v>74</v>
      </c>
      <c r="B274" t="s">
        <v>200</v>
      </c>
      <c r="C274">
        <v>160</v>
      </c>
      <c r="D274" t="s">
        <v>262</v>
      </c>
      <c r="E274" s="1">
        <v>43075</v>
      </c>
      <c r="F274" t="s">
        <v>17</v>
      </c>
      <c r="G274" t="s">
        <v>705</v>
      </c>
      <c r="H274">
        <v>150</v>
      </c>
      <c r="I274" t="s">
        <v>39</v>
      </c>
      <c r="J274">
        <v>0.35326666666700002</v>
      </c>
      <c r="K274">
        <v>45.36</v>
      </c>
      <c r="L274" t="s">
        <v>246</v>
      </c>
      <c r="M274" t="s">
        <v>171</v>
      </c>
      <c r="N274" t="s">
        <v>707</v>
      </c>
      <c r="O274">
        <v>0.18788165680473368</v>
      </c>
      <c r="P274">
        <v>4762.7999999999984</v>
      </c>
      <c r="Q274" t="s">
        <v>254</v>
      </c>
    </row>
    <row r="275" spans="1:17" x14ac:dyDescent="0.25">
      <c r="A275" t="s">
        <v>74</v>
      </c>
      <c r="B275" t="s">
        <v>200</v>
      </c>
      <c r="C275">
        <v>160</v>
      </c>
      <c r="D275" t="s">
        <v>262</v>
      </c>
      <c r="E275" s="1">
        <v>43075</v>
      </c>
      <c r="F275" t="s">
        <v>17</v>
      </c>
      <c r="G275" t="s">
        <v>705</v>
      </c>
      <c r="H275">
        <v>150</v>
      </c>
      <c r="I275" t="s">
        <v>39</v>
      </c>
      <c r="J275">
        <v>0.35326666666700002</v>
      </c>
      <c r="K275">
        <v>45.36</v>
      </c>
      <c r="L275" t="s">
        <v>246</v>
      </c>
      <c r="M275" t="s">
        <v>171</v>
      </c>
      <c r="N275" t="s">
        <v>707</v>
      </c>
      <c r="O275">
        <v>0.18855529411764699</v>
      </c>
      <c r="P275">
        <v>4808.159999999998</v>
      </c>
      <c r="Q275" t="s">
        <v>254</v>
      </c>
    </row>
    <row r="276" spans="1:17" x14ac:dyDescent="0.25">
      <c r="A276" t="s">
        <v>74</v>
      </c>
      <c r="B276" t="s">
        <v>200</v>
      </c>
      <c r="C276">
        <v>160</v>
      </c>
      <c r="D276" t="s">
        <v>262</v>
      </c>
      <c r="E276" s="1">
        <v>43075</v>
      </c>
      <c r="F276" t="s">
        <v>17</v>
      </c>
      <c r="G276" t="s">
        <v>705</v>
      </c>
      <c r="H276">
        <v>150</v>
      </c>
      <c r="I276" t="s">
        <v>39</v>
      </c>
      <c r="J276">
        <v>0.35326666666700002</v>
      </c>
      <c r="K276">
        <v>45.36</v>
      </c>
      <c r="L276" t="s">
        <v>246</v>
      </c>
      <c r="M276" t="s">
        <v>171</v>
      </c>
      <c r="N276" t="s">
        <v>707</v>
      </c>
      <c r="O276">
        <v>0.18922105263157885</v>
      </c>
      <c r="P276">
        <v>4853.5199999999977</v>
      </c>
      <c r="Q276" t="s">
        <v>254</v>
      </c>
    </row>
    <row r="277" spans="1:17" x14ac:dyDescent="0.25">
      <c r="A277" t="s">
        <v>74</v>
      </c>
      <c r="B277" t="s">
        <v>200</v>
      </c>
      <c r="C277">
        <v>160</v>
      </c>
      <c r="D277" t="s">
        <v>262</v>
      </c>
      <c r="E277" s="1">
        <v>43075</v>
      </c>
      <c r="F277" t="s">
        <v>17</v>
      </c>
      <c r="G277" t="s">
        <v>705</v>
      </c>
      <c r="H277">
        <v>150</v>
      </c>
      <c r="I277" t="s">
        <v>39</v>
      </c>
      <c r="J277">
        <v>0.35326666666700002</v>
      </c>
      <c r="K277">
        <v>45.36</v>
      </c>
      <c r="L277" t="s">
        <v>246</v>
      </c>
      <c r="M277" t="s">
        <v>171</v>
      </c>
      <c r="N277" t="s">
        <v>707</v>
      </c>
      <c r="O277">
        <v>0.18987906976744176</v>
      </c>
      <c r="P277">
        <v>4898.8799999999974</v>
      </c>
      <c r="Q277" t="s">
        <v>254</v>
      </c>
    </row>
    <row r="278" spans="1:17" x14ac:dyDescent="0.25">
      <c r="A278" t="s">
        <v>74</v>
      </c>
      <c r="B278" t="s">
        <v>200</v>
      </c>
      <c r="C278">
        <v>160</v>
      </c>
      <c r="D278" t="s">
        <v>262</v>
      </c>
      <c r="E278" s="1">
        <v>43075</v>
      </c>
      <c r="F278" t="s">
        <v>17</v>
      </c>
      <c r="G278" t="s">
        <v>705</v>
      </c>
      <c r="H278">
        <v>150</v>
      </c>
      <c r="I278" t="s">
        <v>39</v>
      </c>
      <c r="J278">
        <v>0.35326666666700002</v>
      </c>
      <c r="K278">
        <v>45.36</v>
      </c>
      <c r="L278" t="s">
        <v>246</v>
      </c>
      <c r="M278" t="s">
        <v>171</v>
      </c>
      <c r="N278" t="s">
        <v>707</v>
      </c>
      <c r="O278">
        <v>0.19052947976878601</v>
      </c>
      <c r="P278">
        <v>4944.2399999999971</v>
      </c>
      <c r="Q278" t="s">
        <v>254</v>
      </c>
    </row>
    <row r="279" spans="1:17" x14ac:dyDescent="0.25">
      <c r="A279" t="s">
        <v>74</v>
      </c>
      <c r="B279" t="s">
        <v>200</v>
      </c>
      <c r="C279">
        <v>160</v>
      </c>
      <c r="D279" t="s">
        <v>262</v>
      </c>
      <c r="E279" s="1">
        <v>43075</v>
      </c>
      <c r="F279" t="s">
        <v>17</v>
      </c>
      <c r="G279" t="s">
        <v>705</v>
      </c>
      <c r="H279">
        <v>150</v>
      </c>
      <c r="I279" t="s">
        <v>39</v>
      </c>
      <c r="J279">
        <v>0.35326666666700002</v>
      </c>
      <c r="K279">
        <v>45.36</v>
      </c>
      <c r="L279" t="s">
        <v>246</v>
      </c>
      <c r="M279" t="s">
        <v>171</v>
      </c>
      <c r="N279" t="s">
        <v>707</v>
      </c>
      <c r="O279">
        <v>0.19117241379310332</v>
      </c>
      <c r="P279">
        <v>4989.5999999999967</v>
      </c>
      <c r="Q279" t="s">
        <v>254</v>
      </c>
    </row>
    <row r="280" spans="1:17" x14ac:dyDescent="0.25">
      <c r="A280" t="s">
        <v>74</v>
      </c>
      <c r="B280" t="s">
        <v>200</v>
      </c>
      <c r="C280">
        <v>160</v>
      </c>
      <c r="D280" t="s">
        <v>262</v>
      </c>
      <c r="E280" s="1">
        <v>43075</v>
      </c>
      <c r="F280" t="s">
        <v>17</v>
      </c>
      <c r="G280" t="s">
        <v>705</v>
      </c>
      <c r="H280">
        <v>150</v>
      </c>
      <c r="I280" t="s">
        <v>39</v>
      </c>
      <c r="J280">
        <v>0.35326666666700002</v>
      </c>
      <c r="K280">
        <v>45.36</v>
      </c>
      <c r="L280" t="s">
        <v>246</v>
      </c>
      <c r="M280" t="s">
        <v>171</v>
      </c>
      <c r="N280" t="s">
        <v>707</v>
      </c>
      <c r="O280">
        <v>0.19180799999999987</v>
      </c>
      <c r="P280">
        <v>5034.9599999999964</v>
      </c>
      <c r="Q280" t="s">
        <v>254</v>
      </c>
    </row>
    <row r="281" spans="1:17" x14ac:dyDescent="0.25">
      <c r="A281" t="s">
        <v>74</v>
      </c>
      <c r="B281" t="s">
        <v>200</v>
      </c>
      <c r="C281">
        <v>160</v>
      </c>
      <c r="D281" t="s">
        <v>262</v>
      </c>
      <c r="E281" s="1">
        <v>43075</v>
      </c>
      <c r="F281" t="s">
        <v>17</v>
      </c>
      <c r="G281" t="s">
        <v>705</v>
      </c>
      <c r="H281">
        <v>150</v>
      </c>
      <c r="I281" t="s">
        <v>39</v>
      </c>
      <c r="J281">
        <v>0.35326666666700002</v>
      </c>
      <c r="K281">
        <v>45.36</v>
      </c>
      <c r="L281" t="s">
        <v>246</v>
      </c>
      <c r="M281" t="s">
        <v>171</v>
      </c>
      <c r="N281" t="s">
        <v>707</v>
      </c>
      <c r="O281">
        <v>0.19243636363636349</v>
      </c>
      <c r="P281">
        <v>5080.3199999999961</v>
      </c>
      <c r="Q281" t="s">
        <v>254</v>
      </c>
    </row>
    <row r="282" spans="1:17" x14ac:dyDescent="0.25">
      <c r="A282" t="s">
        <v>74</v>
      </c>
      <c r="B282" t="s">
        <v>200</v>
      </c>
      <c r="C282">
        <v>160</v>
      </c>
      <c r="D282" t="s">
        <v>262</v>
      </c>
      <c r="E282" s="1">
        <v>43075</v>
      </c>
      <c r="F282" t="s">
        <v>17</v>
      </c>
      <c r="G282" t="s">
        <v>705</v>
      </c>
      <c r="H282">
        <v>150</v>
      </c>
      <c r="I282" t="s">
        <v>39</v>
      </c>
      <c r="J282">
        <v>0.35326666666700002</v>
      </c>
      <c r="K282">
        <v>45.36</v>
      </c>
      <c r="L282" t="s">
        <v>246</v>
      </c>
      <c r="M282" t="s">
        <v>171</v>
      </c>
      <c r="N282" t="s">
        <v>707</v>
      </c>
      <c r="O282">
        <v>0.19305762711864391</v>
      </c>
      <c r="P282">
        <v>5125.6799999999957</v>
      </c>
      <c r="Q282" t="s">
        <v>254</v>
      </c>
    </row>
    <row r="283" spans="1:17" x14ac:dyDescent="0.25">
      <c r="A283" t="s">
        <v>74</v>
      </c>
      <c r="B283" t="s">
        <v>200</v>
      </c>
      <c r="C283">
        <v>160</v>
      </c>
      <c r="D283" t="s">
        <v>262</v>
      </c>
      <c r="E283" s="1">
        <v>43075</v>
      </c>
      <c r="F283" t="s">
        <v>17</v>
      </c>
      <c r="G283" t="s">
        <v>705</v>
      </c>
      <c r="H283">
        <v>150</v>
      </c>
      <c r="I283" t="s">
        <v>39</v>
      </c>
      <c r="J283">
        <v>0.35326666666700002</v>
      </c>
      <c r="K283">
        <v>45.36</v>
      </c>
      <c r="L283" t="s">
        <v>246</v>
      </c>
      <c r="M283" t="s">
        <v>171</v>
      </c>
      <c r="N283" t="s">
        <v>707</v>
      </c>
      <c r="O283">
        <v>0.19367191011235937</v>
      </c>
      <c r="P283">
        <v>5171.0399999999954</v>
      </c>
      <c r="Q283" t="s">
        <v>254</v>
      </c>
    </row>
    <row r="284" spans="1:17" x14ac:dyDescent="0.25">
      <c r="A284" t="s">
        <v>74</v>
      </c>
      <c r="B284" t="s">
        <v>200</v>
      </c>
      <c r="C284">
        <v>160</v>
      </c>
      <c r="D284" t="s">
        <v>262</v>
      </c>
      <c r="E284" s="1">
        <v>43075</v>
      </c>
      <c r="F284" t="s">
        <v>17</v>
      </c>
      <c r="G284" t="s">
        <v>705</v>
      </c>
      <c r="H284">
        <v>150</v>
      </c>
      <c r="I284" t="s">
        <v>39</v>
      </c>
      <c r="J284">
        <v>0.35326666666700002</v>
      </c>
      <c r="K284">
        <v>45.36</v>
      </c>
      <c r="L284" t="s">
        <v>246</v>
      </c>
      <c r="M284" t="s">
        <v>171</v>
      </c>
      <c r="N284" t="s">
        <v>707</v>
      </c>
      <c r="O284">
        <v>0.19427932960893837</v>
      </c>
      <c r="P284">
        <v>5216.3999999999951</v>
      </c>
      <c r="Q284" t="s">
        <v>254</v>
      </c>
    </row>
    <row r="285" spans="1:17" x14ac:dyDescent="0.25">
      <c r="A285" t="s">
        <v>74</v>
      </c>
      <c r="B285" t="s">
        <v>200</v>
      </c>
      <c r="C285">
        <v>160</v>
      </c>
      <c r="D285" t="s">
        <v>262</v>
      </c>
      <c r="E285" s="1">
        <v>43075</v>
      </c>
      <c r="F285" t="s">
        <v>17</v>
      </c>
      <c r="G285" t="s">
        <v>705</v>
      </c>
      <c r="H285">
        <v>150</v>
      </c>
      <c r="I285" t="s">
        <v>39</v>
      </c>
      <c r="J285">
        <v>0.35326666666700002</v>
      </c>
      <c r="K285">
        <v>45.36</v>
      </c>
      <c r="L285" t="s">
        <v>246</v>
      </c>
      <c r="M285" t="s">
        <v>171</v>
      </c>
      <c r="N285" t="s">
        <v>707</v>
      </c>
      <c r="O285">
        <v>0.1948799999999998</v>
      </c>
      <c r="P285">
        <v>5261.7599999999948</v>
      </c>
      <c r="Q285" t="s">
        <v>254</v>
      </c>
    </row>
    <row r="286" spans="1:17" x14ac:dyDescent="0.25">
      <c r="A286" t="s">
        <v>74</v>
      </c>
      <c r="B286" t="s">
        <v>200</v>
      </c>
      <c r="C286">
        <v>160</v>
      </c>
      <c r="D286" t="s">
        <v>262</v>
      </c>
      <c r="E286" s="1">
        <v>43075</v>
      </c>
      <c r="F286" t="s">
        <v>17</v>
      </c>
      <c r="G286" t="s">
        <v>705</v>
      </c>
      <c r="H286">
        <v>150</v>
      </c>
      <c r="I286" t="s">
        <v>39</v>
      </c>
      <c r="J286">
        <v>0.35326666666700002</v>
      </c>
      <c r="K286">
        <v>45.36</v>
      </c>
      <c r="L286" t="s">
        <v>246</v>
      </c>
      <c r="M286" t="s">
        <v>171</v>
      </c>
      <c r="N286" t="s">
        <v>707</v>
      </c>
      <c r="O286">
        <v>0.19547403314917106</v>
      </c>
      <c r="P286">
        <v>5307.1199999999944</v>
      </c>
      <c r="Q286" t="s">
        <v>254</v>
      </c>
    </row>
    <row r="287" spans="1:17" x14ac:dyDescent="0.25">
      <c r="A287" t="s">
        <v>74</v>
      </c>
      <c r="B287" t="s">
        <v>200</v>
      </c>
      <c r="C287">
        <v>160</v>
      </c>
      <c r="D287" t="s">
        <v>262</v>
      </c>
      <c r="E287" s="1">
        <v>43075</v>
      </c>
      <c r="F287" t="s">
        <v>17</v>
      </c>
      <c r="G287" t="s">
        <v>705</v>
      </c>
      <c r="H287">
        <v>150</v>
      </c>
      <c r="I287" t="s">
        <v>39</v>
      </c>
      <c r="J287">
        <v>0.35326666666700002</v>
      </c>
      <c r="K287">
        <v>45.36</v>
      </c>
      <c r="L287" t="s">
        <v>246</v>
      </c>
      <c r="M287" t="s">
        <v>171</v>
      </c>
      <c r="N287" t="s">
        <v>707</v>
      </c>
      <c r="O287">
        <v>0.19606153846153826</v>
      </c>
      <c r="P287">
        <v>5352.4799999999941</v>
      </c>
      <c r="Q287" t="s">
        <v>254</v>
      </c>
    </row>
    <row r="288" spans="1:17" x14ac:dyDescent="0.25">
      <c r="A288" t="s">
        <v>74</v>
      </c>
      <c r="B288" t="s">
        <v>200</v>
      </c>
      <c r="C288">
        <v>160</v>
      </c>
      <c r="D288" t="s">
        <v>262</v>
      </c>
      <c r="E288" s="1">
        <v>43075</v>
      </c>
      <c r="F288" t="s">
        <v>17</v>
      </c>
      <c r="G288" t="s">
        <v>705</v>
      </c>
      <c r="H288">
        <v>150</v>
      </c>
      <c r="I288" t="s">
        <v>39</v>
      </c>
      <c r="J288">
        <v>0.35326666666700002</v>
      </c>
      <c r="K288">
        <v>45.36</v>
      </c>
      <c r="L288" t="s">
        <v>246</v>
      </c>
      <c r="M288" t="s">
        <v>171</v>
      </c>
      <c r="N288" t="s">
        <v>707</v>
      </c>
      <c r="O288">
        <v>0.19664262295081944</v>
      </c>
      <c r="P288">
        <v>5397.8399999999938</v>
      </c>
      <c r="Q288" t="s">
        <v>254</v>
      </c>
    </row>
    <row r="289" spans="1:17" x14ac:dyDescent="0.25">
      <c r="A289" t="s">
        <v>74</v>
      </c>
      <c r="B289" t="s">
        <v>200</v>
      </c>
      <c r="C289">
        <v>160</v>
      </c>
      <c r="D289" t="s">
        <v>262</v>
      </c>
      <c r="E289" s="1">
        <v>43075</v>
      </c>
      <c r="F289" t="s">
        <v>17</v>
      </c>
      <c r="G289" t="s">
        <v>705</v>
      </c>
      <c r="H289">
        <v>150</v>
      </c>
      <c r="I289" t="s">
        <v>39</v>
      </c>
      <c r="J289">
        <v>0.35326666666700002</v>
      </c>
      <c r="K289">
        <v>45.36</v>
      </c>
      <c r="L289" t="s">
        <v>246</v>
      </c>
      <c r="M289" t="s">
        <v>171</v>
      </c>
      <c r="N289" t="s">
        <v>707</v>
      </c>
      <c r="O289">
        <v>0.19721739130434759</v>
      </c>
      <c r="P289">
        <v>5443.1999999999935</v>
      </c>
      <c r="Q289" t="s">
        <v>254</v>
      </c>
    </row>
    <row r="290" spans="1:17" x14ac:dyDescent="0.25">
      <c r="A290" t="s">
        <v>74</v>
      </c>
      <c r="B290" t="s">
        <v>200</v>
      </c>
      <c r="C290">
        <v>160</v>
      </c>
      <c r="D290" t="s">
        <v>262</v>
      </c>
      <c r="E290" s="1">
        <v>43075</v>
      </c>
      <c r="F290" t="s">
        <v>17</v>
      </c>
      <c r="G290" t="s">
        <v>705</v>
      </c>
      <c r="H290">
        <v>150</v>
      </c>
      <c r="I290" t="s">
        <v>39</v>
      </c>
      <c r="J290">
        <v>0.35326666666700002</v>
      </c>
      <c r="K290">
        <v>45.36</v>
      </c>
      <c r="L290" t="s">
        <v>246</v>
      </c>
      <c r="M290" t="s">
        <v>171</v>
      </c>
      <c r="N290" t="s">
        <v>707</v>
      </c>
      <c r="O290">
        <v>0.1977859459459457</v>
      </c>
      <c r="P290">
        <v>5488.5599999999931</v>
      </c>
      <c r="Q290" t="s">
        <v>254</v>
      </c>
    </row>
    <row r="291" spans="1:17" x14ac:dyDescent="0.25">
      <c r="A291" t="s">
        <v>74</v>
      </c>
      <c r="B291" t="s">
        <v>200</v>
      </c>
      <c r="C291">
        <v>160</v>
      </c>
      <c r="D291" t="s">
        <v>262</v>
      </c>
      <c r="E291" s="1">
        <v>43075</v>
      </c>
      <c r="F291" t="s">
        <v>17</v>
      </c>
      <c r="G291" t="s">
        <v>705</v>
      </c>
      <c r="H291">
        <v>150</v>
      </c>
      <c r="I291" t="s">
        <v>39</v>
      </c>
      <c r="J291">
        <v>0.35326666666700002</v>
      </c>
      <c r="K291">
        <v>45.36</v>
      </c>
      <c r="L291" t="s">
        <v>246</v>
      </c>
      <c r="M291" t="s">
        <v>171</v>
      </c>
      <c r="N291" t="s">
        <v>707</v>
      </c>
      <c r="O291">
        <v>0.19834838709677394</v>
      </c>
      <c r="P291">
        <v>5533.9199999999928</v>
      </c>
      <c r="Q291" t="s">
        <v>254</v>
      </c>
    </row>
    <row r="292" spans="1:17" x14ac:dyDescent="0.25">
      <c r="A292" t="s">
        <v>74</v>
      </c>
      <c r="B292" t="s">
        <v>200</v>
      </c>
      <c r="C292">
        <v>160</v>
      </c>
      <c r="D292" t="s">
        <v>262</v>
      </c>
      <c r="E292" s="1">
        <v>43075</v>
      </c>
      <c r="F292" t="s">
        <v>17</v>
      </c>
      <c r="G292" t="s">
        <v>705</v>
      </c>
      <c r="H292">
        <v>150</v>
      </c>
      <c r="I292" t="s">
        <v>39</v>
      </c>
      <c r="J292">
        <v>0.35326666666700002</v>
      </c>
      <c r="K292">
        <v>45.36</v>
      </c>
      <c r="L292" t="s">
        <v>246</v>
      </c>
      <c r="M292" t="s">
        <v>171</v>
      </c>
      <c r="N292" t="s">
        <v>707</v>
      </c>
      <c r="O292">
        <v>0.19890481283422434</v>
      </c>
      <c r="P292">
        <v>5579.2799999999925</v>
      </c>
      <c r="Q292" t="s">
        <v>254</v>
      </c>
    </row>
    <row r="293" spans="1:17" x14ac:dyDescent="0.25">
      <c r="A293" t="s">
        <v>74</v>
      </c>
      <c r="B293" t="s">
        <v>200</v>
      </c>
      <c r="C293">
        <v>160</v>
      </c>
      <c r="D293" t="s">
        <v>262</v>
      </c>
      <c r="E293" s="1">
        <v>43075</v>
      </c>
      <c r="F293" t="s">
        <v>17</v>
      </c>
      <c r="G293" t="s">
        <v>705</v>
      </c>
      <c r="H293">
        <v>150</v>
      </c>
      <c r="I293" t="s">
        <v>39</v>
      </c>
      <c r="J293">
        <v>0.35326666666700002</v>
      </c>
      <c r="K293">
        <v>45.36</v>
      </c>
      <c r="L293" t="s">
        <v>246</v>
      </c>
      <c r="M293" t="s">
        <v>171</v>
      </c>
      <c r="N293" t="s">
        <v>707</v>
      </c>
      <c r="O293">
        <v>0.19945531914893588</v>
      </c>
      <c r="P293">
        <v>5624.6399999999921</v>
      </c>
      <c r="Q293" t="s">
        <v>254</v>
      </c>
    </row>
    <row r="294" spans="1:17" x14ac:dyDescent="0.25">
      <c r="A294" t="s">
        <v>74</v>
      </c>
      <c r="B294" t="s">
        <v>200</v>
      </c>
      <c r="C294">
        <v>160</v>
      </c>
      <c r="D294" t="s">
        <v>262</v>
      </c>
      <c r="E294" s="1">
        <v>43075</v>
      </c>
      <c r="F294" t="s">
        <v>17</v>
      </c>
      <c r="G294" t="s">
        <v>705</v>
      </c>
      <c r="H294">
        <v>150</v>
      </c>
      <c r="I294" t="s">
        <v>39</v>
      </c>
      <c r="J294">
        <v>0.35326666666700002</v>
      </c>
      <c r="K294">
        <v>45.36</v>
      </c>
      <c r="L294" t="s">
        <v>246</v>
      </c>
      <c r="M294" t="s">
        <v>171</v>
      </c>
      <c r="N294" t="s">
        <v>707</v>
      </c>
      <c r="O294">
        <v>0.19999999999999971</v>
      </c>
      <c r="P294">
        <v>5669.9999999999918</v>
      </c>
      <c r="Q294" t="s">
        <v>254</v>
      </c>
    </row>
    <row r="295" spans="1:17" x14ac:dyDescent="0.25">
      <c r="A295" t="s">
        <v>74</v>
      </c>
      <c r="B295" t="s">
        <v>200</v>
      </c>
      <c r="C295">
        <v>160</v>
      </c>
      <c r="D295" t="s">
        <v>262</v>
      </c>
      <c r="E295" s="1">
        <v>43075</v>
      </c>
      <c r="F295" t="s">
        <v>17</v>
      </c>
      <c r="G295" t="s">
        <v>705</v>
      </c>
      <c r="H295">
        <v>150</v>
      </c>
      <c r="I295" t="s">
        <v>39</v>
      </c>
      <c r="J295">
        <v>0.35326666666700002</v>
      </c>
      <c r="K295">
        <v>45.36</v>
      </c>
      <c r="L295" t="s">
        <v>246</v>
      </c>
      <c r="M295" t="s">
        <v>171</v>
      </c>
      <c r="N295" t="s">
        <v>707</v>
      </c>
      <c r="O295">
        <v>0.20053894736842076</v>
      </c>
      <c r="P295">
        <v>5715.3599999999915</v>
      </c>
      <c r="Q295" t="s">
        <v>254</v>
      </c>
    </row>
    <row r="296" spans="1:17" x14ac:dyDescent="0.25">
      <c r="A296" t="s">
        <v>74</v>
      </c>
      <c r="B296" t="s">
        <v>200</v>
      </c>
      <c r="C296">
        <v>160</v>
      </c>
      <c r="D296" t="s">
        <v>262</v>
      </c>
      <c r="E296" s="1">
        <v>43075</v>
      </c>
      <c r="F296" t="s">
        <v>17</v>
      </c>
      <c r="G296" t="s">
        <v>705</v>
      </c>
      <c r="H296">
        <v>150</v>
      </c>
      <c r="I296" t="s">
        <v>39</v>
      </c>
      <c r="J296">
        <v>0.35326666666700002</v>
      </c>
      <c r="K296">
        <v>45.36</v>
      </c>
      <c r="L296" t="s">
        <v>246</v>
      </c>
      <c r="M296" t="s">
        <v>171</v>
      </c>
      <c r="N296" t="s">
        <v>707</v>
      </c>
      <c r="O296">
        <v>0.20107225130890022</v>
      </c>
      <c r="P296">
        <v>5760.7199999999912</v>
      </c>
      <c r="Q296" t="s">
        <v>254</v>
      </c>
    </row>
    <row r="297" spans="1:17" x14ac:dyDescent="0.25">
      <c r="A297" t="s">
        <v>74</v>
      </c>
      <c r="B297" t="s">
        <v>200</v>
      </c>
      <c r="C297">
        <v>160</v>
      </c>
      <c r="D297" t="s">
        <v>262</v>
      </c>
      <c r="E297" s="1">
        <v>43075</v>
      </c>
      <c r="F297" t="s">
        <v>17</v>
      </c>
      <c r="G297" t="s">
        <v>705</v>
      </c>
      <c r="H297">
        <v>150</v>
      </c>
      <c r="I297" t="s">
        <v>39</v>
      </c>
      <c r="J297">
        <v>0.35326666666700002</v>
      </c>
      <c r="K297">
        <v>45.36</v>
      </c>
      <c r="L297" t="s">
        <v>246</v>
      </c>
      <c r="M297" t="s">
        <v>171</v>
      </c>
      <c r="N297" t="s">
        <v>707</v>
      </c>
      <c r="O297">
        <v>0.20159999999999967</v>
      </c>
      <c r="P297">
        <v>5806.0799999999908</v>
      </c>
      <c r="Q297" t="s">
        <v>254</v>
      </c>
    </row>
    <row r="298" spans="1:17" x14ac:dyDescent="0.25">
      <c r="A298" t="s">
        <v>74</v>
      </c>
      <c r="B298" t="s">
        <v>200</v>
      </c>
      <c r="C298">
        <v>160</v>
      </c>
      <c r="D298" t="s">
        <v>262</v>
      </c>
      <c r="E298" s="1">
        <v>43075</v>
      </c>
      <c r="F298" t="s">
        <v>17</v>
      </c>
      <c r="G298" t="s">
        <v>705</v>
      </c>
      <c r="H298">
        <v>150</v>
      </c>
      <c r="I298" t="s">
        <v>39</v>
      </c>
      <c r="J298">
        <v>0.35326666666700002</v>
      </c>
      <c r="K298">
        <v>45.36</v>
      </c>
      <c r="L298" t="s">
        <v>246</v>
      </c>
      <c r="M298" t="s">
        <v>171</v>
      </c>
      <c r="N298" t="s">
        <v>707</v>
      </c>
      <c r="O298">
        <v>0.20212227979274577</v>
      </c>
      <c r="P298">
        <v>5851.4399999999905</v>
      </c>
      <c r="Q298" t="s">
        <v>254</v>
      </c>
    </row>
    <row r="299" spans="1:17" x14ac:dyDescent="0.25">
      <c r="A299" t="s">
        <v>74</v>
      </c>
      <c r="B299" t="s">
        <v>200</v>
      </c>
      <c r="C299">
        <v>160</v>
      </c>
      <c r="D299" t="s">
        <v>262</v>
      </c>
      <c r="E299" s="1">
        <v>43075</v>
      </c>
      <c r="F299" t="s">
        <v>17</v>
      </c>
      <c r="G299" t="s">
        <v>705</v>
      </c>
      <c r="H299">
        <v>150</v>
      </c>
      <c r="I299" t="s">
        <v>39</v>
      </c>
      <c r="J299">
        <v>0.35326666666700002</v>
      </c>
      <c r="K299">
        <v>45.36</v>
      </c>
      <c r="L299" t="s">
        <v>246</v>
      </c>
      <c r="M299" t="s">
        <v>171</v>
      </c>
      <c r="N299" t="s">
        <v>707</v>
      </c>
      <c r="O299">
        <v>0.20263917525773162</v>
      </c>
      <c r="P299">
        <v>5896.7999999999902</v>
      </c>
      <c r="Q299" t="s">
        <v>254</v>
      </c>
    </row>
    <row r="300" spans="1:17" x14ac:dyDescent="0.25">
      <c r="A300" t="s">
        <v>74</v>
      </c>
      <c r="B300" t="s">
        <v>200</v>
      </c>
      <c r="C300">
        <v>160</v>
      </c>
      <c r="D300" t="s">
        <v>262</v>
      </c>
      <c r="E300" s="1">
        <v>43075</v>
      </c>
      <c r="F300" t="s">
        <v>17</v>
      </c>
      <c r="G300" t="s">
        <v>705</v>
      </c>
      <c r="H300">
        <v>150</v>
      </c>
      <c r="I300" t="s">
        <v>39</v>
      </c>
      <c r="J300">
        <v>0.35326666666700002</v>
      </c>
      <c r="K300">
        <v>45.36</v>
      </c>
      <c r="L300" t="s">
        <v>246</v>
      </c>
      <c r="M300" t="s">
        <v>171</v>
      </c>
      <c r="N300" t="s">
        <v>707</v>
      </c>
      <c r="O300">
        <v>0.20315076923076889</v>
      </c>
      <c r="P300">
        <v>5942.1599999999899</v>
      </c>
      <c r="Q300" t="s">
        <v>254</v>
      </c>
    </row>
    <row r="301" spans="1:17" x14ac:dyDescent="0.25">
      <c r="A301" t="s">
        <v>74</v>
      </c>
      <c r="B301" t="s">
        <v>200</v>
      </c>
      <c r="C301">
        <v>160</v>
      </c>
      <c r="D301" t="s">
        <v>262</v>
      </c>
      <c r="E301" s="1">
        <v>43075</v>
      </c>
      <c r="F301" t="s">
        <v>17</v>
      </c>
      <c r="G301" t="s">
        <v>705</v>
      </c>
      <c r="H301">
        <v>150</v>
      </c>
      <c r="I301" t="s">
        <v>39</v>
      </c>
      <c r="J301">
        <v>0.35326666666700002</v>
      </c>
      <c r="K301">
        <v>45.36</v>
      </c>
      <c r="L301" t="s">
        <v>246</v>
      </c>
      <c r="M301" t="s">
        <v>171</v>
      </c>
      <c r="N301" t="s">
        <v>707</v>
      </c>
      <c r="O301">
        <v>0.20365714285714251</v>
      </c>
      <c r="P301">
        <v>5987.5199999999895</v>
      </c>
      <c r="Q301" t="s">
        <v>254</v>
      </c>
    </row>
    <row r="302" spans="1:17" x14ac:dyDescent="0.25">
      <c r="A302" t="s">
        <v>74</v>
      </c>
      <c r="B302" t="s">
        <v>200</v>
      </c>
      <c r="C302">
        <v>160</v>
      </c>
      <c r="D302" t="s">
        <v>262</v>
      </c>
      <c r="E302" s="1">
        <v>43075</v>
      </c>
      <c r="F302" t="s">
        <v>17</v>
      </c>
      <c r="G302" t="s">
        <v>705</v>
      </c>
      <c r="H302">
        <v>150</v>
      </c>
      <c r="I302" t="s">
        <v>39</v>
      </c>
      <c r="J302">
        <v>0.35326666666700002</v>
      </c>
      <c r="K302">
        <v>45.36</v>
      </c>
      <c r="L302" t="s">
        <v>246</v>
      </c>
      <c r="M302" t="s">
        <v>171</v>
      </c>
      <c r="N302" t="s">
        <v>707</v>
      </c>
      <c r="O302">
        <v>0.20415837563451741</v>
      </c>
      <c r="P302">
        <v>6032.8799999999892</v>
      </c>
      <c r="Q302" t="s">
        <v>254</v>
      </c>
    </row>
    <row r="303" spans="1:17" x14ac:dyDescent="0.25">
      <c r="A303" t="s">
        <v>74</v>
      </c>
      <c r="B303" t="s">
        <v>200</v>
      </c>
      <c r="C303">
        <v>160</v>
      </c>
      <c r="D303" t="s">
        <v>262</v>
      </c>
      <c r="E303" s="1">
        <v>43075</v>
      </c>
      <c r="F303" t="s">
        <v>17</v>
      </c>
      <c r="G303" t="s">
        <v>705</v>
      </c>
      <c r="H303">
        <v>150</v>
      </c>
      <c r="I303" t="s">
        <v>39</v>
      </c>
      <c r="J303">
        <v>0.35160000000000002</v>
      </c>
      <c r="K303">
        <v>45.36</v>
      </c>
      <c r="L303" t="s">
        <v>246</v>
      </c>
      <c r="M303" t="s">
        <v>171</v>
      </c>
      <c r="N303" t="s">
        <v>707</v>
      </c>
      <c r="O303">
        <v>0.20465454545454509</v>
      </c>
      <c r="P303">
        <v>6078.2399999999889</v>
      </c>
      <c r="Q303" t="s">
        <v>254</v>
      </c>
    </row>
    <row r="304" spans="1:17" x14ac:dyDescent="0.25">
      <c r="A304" t="s">
        <v>74</v>
      </c>
      <c r="B304" t="s">
        <v>200</v>
      </c>
      <c r="C304">
        <v>160</v>
      </c>
      <c r="D304" t="s">
        <v>262</v>
      </c>
      <c r="E304" s="1">
        <v>43076</v>
      </c>
      <c r="F304" t="s">
        <v>252</v>
      </c>
      <c r="G304" t="s">
        <v>1471</v>
      </c>
      <c r="H304">
        <v>-10050</v>
      </c>
      <c r="I304" t="s">
        <v>39</v>
      </c>
      <c r="J304">
        <v>0</v>
      </c>
      <c r="M304" t="s">
        <v>170</v>
      </c>
      <c r="N304" t="s">
        <v>1472</v>
      </c>
    </row>
    <row r="305" spans="1:17" x14ac:dyDescent="0.25">
      <c r="A305" t="s">
        <v>74</v>
      </c>
      <c r="B305" t="s">
        <v>200</v>
      </c>
      <c r="C305">
        <v>160</v>
      </c>
      <c r="D305" t="s">
        <v>262</v>
      </c>
      <c r="E305" s="1">
        <v>43076</v>
      </c>
      <c r="F305" t="s">
        <v>252</v>
      </c>
      <c r="G305" t="s">
        <v>1471</v>
      </c>
      <c r="H305">
        <v>-10050</v>
      </c>
      <c r="I305" t="s">
        <v>39</v>
      </c>
      <c r="J305">
        <v>0.20465454545454509</v>
      </c>
      <c r="K305">
        <v>-2056.7781818181779</v>
      </c>
      <c r="M305" t="s">
        <v>255</v>
      </c>
      <c r="N305" t="s">
        <v>1472</v>
      </c>
      <c r="O305">
        <v>0.20465454545454509</v>
      </c>
      <c r="P305">
        <v>4021.4618181818109</v>
      </c>
      <c r="Q305" t="s">
        <v>249</v>
      </c>
    </row>
    <row r="306" spans="1:17" x14ac:dyDescent="0.25">
      <c r="A306" t="s">
        <v>74</v>
      </c>
      <c r="B306" t="s">
        <v>200</v>
      </c>
      <c r="C306">
        <v>160</v>
      </c>
      <c r="D306" t="s">
        <v>262</v>
      </c>
      <c r="E306" s="1">
        <v>43096</v>
      </c>
      <c r="F306" t="s">
        <v>607</v>
      </c>
      <c r="H306">
        <v>-29700</v>
      </c>
      <c r="I306" t="s">
        <v>39</v>
      </c>
      <c r="J306">
        <v>0.11953</v>
      </c>
      <c r="K306">
        <v>-3550.04</v>
      </c>
      <c r="L306" t="s">
        <v>609</v>
      </c>
      <c r="M306" t="s">
        <v>171</v>
      </c>
      <c r="N306" t="s">
        <v>708</v>
      </c>
      <c r="O306">
        <v>-4.6907643600180196E-2</v>
      </c>
      <c r="P306">
        <v>471.42181818181098</v>
      </c>
    </row>
    <row r="307" spans="1:17" x14ac:dyDescent="0.25">
      <c r="A307" t="s">
        <v>74</v>
      </c>
      <c r="B307" t="s">
        <v>200</v>
      </c>
      <c r="C307">
        <v>160</v>
      </c>
      <c r="D307" t="s">
        <v>262</v>
      </c>
      <c r="E307" s="1">
        <v>43096</v>
      </c>
      <c r="F307" t="s">
        <v>607</v>
      </c>
      <c r="H307">
        <v>29700</v>
      </c>
      <c r="I307" t="s">
        <v>39</v>
      </c>
      <c r="J307">
        <v>0.11953</v>
      </c>
      <c r="K307">
        <v>-3550.04</v>
      </c>
      <c r="L307" t="s">
        <v>609</v>
      </c>
      <c r="M307" t="s">
        <v>255</v>
      </c>
      <c r="N307" t="s">
        <v>708</v>
      </c>
      <c r="O307">
        <v>-0.15667268100855924</v>
      </c>
      <c r="P307">
        <v>-3078.618181818189</v>
      </c>
      <c r="Q307" t="s">
        <v>249</v>
      </c>
    </row>
    <row r="308" spans="1:17" x14ac:dyDescent="0.25">
      <c r="A308" t="s">
        <v>101</v>
      </c>
      <c r="B308" t="s">
        <v>102</v>
      </c>
      <c r="C308">
        <v>160</v>
      </c>
      <c r="D308" t="s">
        <v>264</v>
      </c>
      <c r="E308" s="1">
        <v>43089</v>
      </c>
      <c r="F308" t="s">
        <v>21</v>
      </c>
      <c r="G308" t="s">
        <v>2177</v>
      </c>
      <c r="H308">
        <v>3.2600000000000002</v>
      </c>
      <c r="I308" t="s">
        <v>39</v>
      </c>
      <c r="J308">
        <v>0</v>
      </c>
      <c r="M308" t="s">
        <v>170</v>
      </c>
      <c r="N308" t="s">
        <v>2178</v>
      </c>
    </row>
    <row r="309" spans="1:17" x14ac:dyDescent="0.25">
      <c r="A309" t="s">
        <v>101</v>
      </c>
      <c r="B309" t="s">
        <v>102</v>
      </c>
      <c r="C309">
        <v>160</v>
      </c>
      <c r="D309" t="s">
        <v>264</v>
      </c>
      <c r="E309" s="1">
        <v>43089</v>
      </c>
      <c r="F309" t="s">
        <v>21</v>
      </c>
      <c r="G309" t="s">
        <v>2177</v>
      </c>
      <c r="H309">
        <v>3.2600000000000002</v>
      </c>
      <c r="I309" t="s">
        <v>39</v>
      </c>
      <c r="J309">
        <v>0</v>
      </c>
      <c r="M309" t="s">
        <v>255</v>
      </c>
      <c r="N309" t="s">
        <v>2178</v>
      </c>
      <c r="O309">
        <v>1.4997117200770795</v>
      </c>
      <c r="P309">
        <v>3161.8872107901097</v>
      </c>
      <c r="Q309" t="s">
        <v>249</v>
      </c>
    </row>
    <row r="310" spans="1:17" x14ac:dyDescent="0.25">
      <c r="A310" t="s">
        <v>101</v>
      </c>
      <c r="B310" t="s">
        <v>102</v>
      </c>
      <c r="C310">
        <v>160</v>
      </c>
      <c r="D310" t="s">
        <v>264</v>
      </c>
      <c r="E310" s="1">
        <v>43089</v>
      </c>
      <c r="F310" t="s">
        <v>21</v>
      </c>
      <c r="G310" t="s">
        <v>2177</v>
      </c>
      <c r="H310">
        <v>4</v>
      </c>
      <c r="I310" t="s">
        <v>39</v>
      </c>
      <c r="J310">
        <v>0</v>
      </c>
      <c r="M310" t="s">
        <v>170</v>
      </c>
      <c r="N310" t="s">
        <v>2179</v>
      </c>
    </row>
    <row r="311" spans="1:17" x14ac:dyDescent="0.25">
      <c r="A311" t="s">
        <v>101</v>
      </c>
      <c r="B311" t="s">
        <v>102</v>
      </c>
      <c r="C311">
        <v>160</v>
      </c>
      <c r="D311" t="s">
        <v>264</v>
      </c>
      <c r="E311" s="1">
        <v>43089</v>
      </c>
      <c r="F311" t="s">
        <v>21</v>
      </c>
      <c r="G311" t="s">
        <v>2177</v>
      </c>
      <c r="H311">
        <v>4</v>
      </c>
      <c r="I311" t="s">
        <v>39</v>
      </c>
      <c r="J311">
        <v>0</v>
      </c>
      <c r="M311" t="s">
        <v>255</v>
      </c>
      <c r="N311" t="s">
        <v>2179</v>
      </c>
      <c r="O311">
        <v>1.4968718007082744</v>
      </c>
      <c r="P311">
        <v>3161.8872107901097</v>
      </c>
      <c r="Q311" t="s">
        <v>249</v>
      </c>
    </row>
    <row r="312" spans="1:17" x14ac:dyDescent="0.25">
      <c r="A312" t="s">
        <v>101</v>
      </c>
      <c r="B312" t="s">
        <v>102</v>
      </c>
      <c r="C312">
        <v>160</v>
      </c>
      <c r="D312" t="s">
        <v>264</v>
      </c>
      <c r="E312" s="1">
        <v>43089</v>
      </c>
      <c r="F312" t="s">
        <v>21</v>
      </c>
      <c r="G312" t="s">
        <v>2177</v>
      </c>
      <c r="H312">
        <v>-1.27</v>
      </c>
      <c r="I312" t="s">
        <v>39</v>
      </c>
      <c r="J312">
        <v>0</v>
      </c>
      <c r="M312" t="s">
        <v>170</v>
      </c>
      <c r="N312" t="s">
        <v>2180</v>
      </c>
    </row>
    <row r="313" spans="1:17" x14ac:dyDescent="0.25">
      <c r="A313" t="s">
        <v>101</v>
      </c>
      <c r="B313" t="s">
        <v>102</v>
      </c>
      <c r="C313">
        <v>160</v>
      </c>
      <c r="D313" t="s">
        <v>264</v>
      </c>
      <c r="E313" s="1">
        <v>43089</v>
      </c>
      <c r="F313" t="s">
        <v>21</v>
      </c>
      <c r="G313" t="s">
        <v>2177</v>
      </c>
      <c r="H313">
        <v>-1.27</v>
      </c>
      <c r="I313" t="s">
        <v>39</v>
      </c>
      <c r="J313">
        <v>1.4968718007082744</v>
      </c>
      <c r="K313">
        <v>-1.9010271868995086</v>
      </c>
      <c r="M313" t="s">
        <v>255</v>
      </c>
      <c r="N313" t="s">
        <v>2180</v>
      </c>
      <c r="O313">
        <v>1.4968718007082742</v>
      </c>
      <c r="P313">
        <v>3159.9861836032101</v>
      </c>
      <c r="Q313" t="s">
        <v>249</v>
      </c>
    </row>
    <row r="314" spans="1:17" x14ac:dyDescent="0.25">
      <c r="A314" t="s">
        <v>101</v>
      </c>
      <c r="B314" t="s">
        <v>102</v>
      </c>
      <c r="C314">
        <v>160</v>
      </c>
      <c r="D314" t="s">
        <v>264</v>
      </c>
      <c r="E314" s="1">
        <v>43089</v>
      </c>
      <c r="F314" t="s">
        <v>21</v>
      </c>
      <c r="G314" t="s">
        <v>2177</v>
      </c>
      <c r="H314">
        <v>1.67</v>
      </c>
      <c r="I314" t="s">
        <v>39</v>
      </c>
      <c r="J314">
        <v>0</v>
      </c>
      <c r="M314" t="s">
        <v>170</v>
      </c>
      <c r="N314" t="s">
        <v>2181</v>
      </c>
    </row>
    <row r="315" spans="1:17" x14ac:dyDescent="0.25">
      <c r="A315" t="s">
        <v>101</v>
      </c>
      <c r="B315" t="s">
        <v>102</v>
      </c>
      <c r="C315">
        <v>160</v>
      </c>
      <c r="D315" t="s">
        <v>264</v>
      </c>
      <c r="E315" s="1">
        <v>43089</v>
      </c>
      <c r="F315" t="s">
        <v>21</v>
      </c>
      <c r="G315" t="s">
        <v>2177</v>
      </c>
      <c r="H315">
        <v>1.67</v>
      </c>
      <c r="I315" t="s">
        <v>39</v>
      </c>
      <c r="J315">
        <v>0</v>
      </c>
      <c r="M315" t="s">
        <v>255</v>
      </c>
      <c r="N315" t="s">
        <v>2181</v>
      </c>
      <c r="O315">
        <v>1.4956886036565058</v>
      </c>
      <c r="P315">
        <v>3159.9861836032101</v>
      </c>
      <c r="Q315" t="s">
        <v>249</v>
      </c>
    </row>
    <row r="316" spans="1:17" x14ac:dyDescent="0.25">
      <c r="A316" t="s">
        <v>101</v>
      </c>
      <c r="B316" t="s">
        <v>102</v>
      </c>
      <c r="C316">
        <v>160</v>
      </c>
      <c r="D316" t="s">
        <v>264</v>
      </c>
      <c r="E316" s="1">
        <v>43096</v>
      </c>
      <c r="F316" t="s">
        <v>607</v>
      </c>
      <c r="H316">
        <v>7.6599999999999993</v>
      </c>
      <c r="I316" t="s">
        <v>39</v>
      </c>
      <c r="J316">
        <v>1.50203</v>
      </c>
      <c r="K316">
        <v>11.51</v>
      </c>
      <c r="L316" t="s">
        <v>609</v>
      </c>
      <c r="M316" t="s">
        <v>171</v>
      </c>
      <c r="N316" t="s">
        <v>710</v>
      </c>
      <c r="O316">
        <v>1.4957136109881719</v>
      </c>
      <c r="P316">
        <v>3171.4961836032103</v>
      </c>
    </row>
    <row r="317" spans="1:17" x14ac:dyDescent="0.25">
      <c r="A317" t="s">
        <v>101</v>
      </c>
      <c r="B317" t="s">
        <v>102</v>
      </c>
      <c r="C317">
        <v>160</v>
      </c>
      <c r="D317" t="s">
        <v>264</v>
      </c>
      <c r="E317" s="1">
        <v>43096</v>
      </c>
      <c r="F317" t="s">
        <v>607</v>
      </c>
      <c r="H317">
        <v>-7.6599999999999993</v>
      </c>
      <c r="I317" t="s">
        <v>39</v>
      </c>
      <c r="J317">
        <v>1.4957136109881719</v>
      </c>
      <c r="K317">
        <v>-11.457166260169396</v>
      </c>
      <c r="L317" t="s">
        <v>609</v>
      </c>
      <c r="M317" t="s">
        <v>255</v>
      </c>
      <c r="N317" t="s">
        <v>710</v>
      </c>
      <c r="O317">
        <v>1.4957136109881719</v>
      </c>
      <c r="P317">
        <v>3160.039017343041</v>
      </c>
      <c r="Q317" t="s">
        <v>249</v>
      </c>
    </row>
    <row r="318" spans="1:17" x14ac:dyDescent="0.25">
      <c r="A318" t="s">
        <v>55</v>
      </c>
      <c r="B318" t="s">
        <v>164</v>
      </c>
      <c r="C318">
        <v>160</v>
      </c>
      <c r="D318" t="s">
        <v>264</v>
      </c>
      <c r="E318" s="1">
        <v>43089</v>
      </c>
      <c r="F318" t="s">
        <v>21</v>
      </c>
      <c r="G318" t="s">
        <v>2182</v>
      </c>
      <c r="H318">
        <v>-150</v>
      </c>
      <c r="I318" t="s">
        <v>39</v>
      </c>
      <c r="J318">
        <v>0</v>
      </c>
      <c r="M318" t="s">
        <v>170</v>
      </c>
      <c r="N318" t="s">
        <v>2183</v>
      </c>
    </row>
    <row r="319" spans="1:17" x14ac:dyDescent="0.25">
      <c r="A319" t="s">
        <v>55</v>
      </c>
      <c r="B319" t="s">
        <v>164</v>
      </c>
      <c r="C319">
        <v>160</v>
      </c>
      <c r="D319" t="s">
        <v>264</v>
      </c>
      <c r="E319" s="1">
        <v>43089</v>
      </c>
      <c r="F319" t="s">
        <v>21</v>
      </c>
      <c r="G319" t="s">
        <v>2182</v>
      </c>
      <c r="H319">
        <v>-150</v>
      </c>
      <c r="I319" t="s">
        <v>39</v>
      </c>
      <c r="J319">
        <v>9.9400882131453802E-2</v>
      </c>
      <c r="K319">
        <v>-14.91013231971807</v>
      </c>
      <c r="M319" t="s">
        <v>255</v>
      </c>
      <c r="N319" t="s">
        <v>2183</v>
      </c>
      <c r="O319">
        <v>9.9400882131453802E-2</v>
      </c>
      <c r="P319">
        <v>419.47470462119895</v>
      </c>
      <c r="Q319" t="s">
        <v>249</v>
      </c>
    </row>
    <row r="320" spans="1:17" x14ac:dyDescent="0.25">
      <c r="A320" t="s">
        <v>55</v>
      </c>
      <c r="B320" t="s">
        <v>164</v>
      </c>
      <c r="C320">
        <v>160</v>
      </c>
      <c r="D320" t="s">
        <v>264</v>
      </c>
      <c r="E320" s="1">
        <v>43089</v>
      </c>
      <c r="F320" t="s">
        <v>21</v>
      </c>
      <c r="G320" t="s">
        <v>2182</v>
      </c>
      <c r="H320">
        <v>-150</v>
      </c>
      <c r="I320" t="s">
        <v>39</v>
      </c>
      <c r="J320">
        <v>0</v>
      </c>
      <c r="M320" t="s">
        <v>170</v>
      </c>
      <c r="N320" t="s">
        <v>2184</v>
      </c>
    </row>
    <row r="321" spans="1:17" x14ac:dyDescent="0.25">
      <c r="A321" t="s">
        <v>55</v>
      </c>
      <c r="B321" t="s">
        <v>164</v>
      </c>
      <c r="C321">
        <v>160</v>
      </c>
      <c r="D321" t="s">
        <v>264</v>
      </c>
      <c r="E321" s="1">
        <v>43089</v>
      </c>
      <c r="F321" t="s">
        <v>21</v>
      </c>
      <c r="G321" t="s">
        <v>2182</v>
      </c>
      <c r="H321">
        <v>-150</v>
      </c>
      <c r="I321" t="s">
        <v>39</v>
      </c>
      <c r="J321">
        <v>9.9400882131453802E-2</v>
      </c>
      <c r="K321">
        <v>-14.91013231971807</v>
      </c>
      <c r="M321" t="s">
        <v>255</v>
      </c>
      <c r="N321" t="s">
        <v>2184</v>
      </c>
      <c r="O321">
        <v>9.9400882131453802E-2</v>
      </c>
      <c r="P321">
        <v>404.56457230148089</v>
      </c>
      <c r="Q321" t="s">
        <v>249</v>
      </c>
    </row>
    <row r="322" spans="1:17" x14ac:dyDescent="0.25">
      <c r="A322" t="s">
        <v>55</v>
      </c>
      <c r="B322" t="s">
        <v>164</v>
      </c>
      <c r="C322">
        <v>160</v>
      </c>
      <c r="D322" t="s">
        <v>264</v>
      </c>
      <c r="E322" s="1">
        <v>43089</v>
      </c>
      <c r="F322" t="s">
        <v>21</v>
      </c>
      <c r="G322" t="s">
        <v>2182</v>
      </c>
      <c r="H322">
        <v>-150</v>
      </c>
      <c r="I322" t="s">
        <v>39</v>
      </c>
      <c r="J322">
        <v>0</v>
      </c>
      <c r="M322" t="s">
        <v>170</v>
      </c>
      <c r="N322" t="s">
        <v>2185</v>
      </c>
    </row>
    <row r="323" spans="1:17" x14ac:dyDescent="0.25">
      <c r="A323" t="s">
        <v>55</v>
      </c>
      <c r="B323" t="s">
        <v>164</v>
      </c>
      <c r="C323">
        <v>160</v>
      </c>
      <c r="D323" t="s">
        <v>264</v>
      </c>
      <c r="E323" s="1">
        <v>43089</v>
      </c>
      <c r="F323" t="s">
        <v>21</v>
      </c>
      <c r="G323" t="s">
        <v>2182</v>
      </c>
      <c r="H323">
        <v>-150</v>
      </c>
      <c r="I323" t="s">
        <v>39</v>
      </c>
      <c r="J323">
        <v>9.9400882131453802E-2</v>
      </c>
      <c r="K323">
        <v>-14.91013231971807</v>
      </c>
      <c r="M323" t="s">
        <v>255</v>
      </c>
      <c r="N323" t="s">
        <v>2185</v>
      </c>
      <c r="O323">
        <v>9.9400882131453802E-2</v>
      </c>
      <c r="P323">
        <v>389.65443998176283</v>
      </c>
      <c r="Q323" t="s">
        <v>249</v>
      </c>
    </row>
    <row r="324" spans="1:17" x14ac:dyDescent="0.25">
      <c r="A324" t="s">
        <v>55</v>
      </c>
      <c r="B324" t="s">
        <v>164</v>
      </c>
      <c r="C324">
        <v>160</v>
      </c>
      <c r="D324" t="s">
        <v>264</v>
      </c>
      <c r="E324" s="1">
        <v>43089</v>
      </c>
      <c r="F324" t="s">
        <v>21</v>
      </c>
      <c r="G324" t="s">
        <v>2182</v>
      </c>
      <c r="H324">
        <v>-150</v>
      </c>
      <c r="I324" t="s">
        <v>39</v>
      </c>
      <c r="J324">
        <v>0</v>
      </c>
      <c r="M324" t="s">
        <v>170</v>
      </c>
      <c r="N324" t="s">
        <v>2186</v>
      </c>
    </row>
    <row r="325" spans="1:17" x14ac:dyDescent="0.25">
      <c r="A325" t="s">
        <v>55</v>
      </c>
      <c r="B325" t="s">
        <v>164</v>
      </c>
      <c r="C325">
        <v>160</v>
      </c>
      <c r="D325" t="s">
        <v>264</v>
      </c>
      <c r="E325" s="1">
        <v>43089</v>
      </c>
      <c r="F325" t="s">
        <v>21</v>
      </c>
      <c r="G325" t="s">
        <v>2182</v>
      </c>
      <c r="H325">
        <v>-150</v>
      </c>
      <c r="I325" t="s">
        <v>39</v>
      </c>
      <c r="J325">
        <v>9.9400882131453802E-2</v>
      </c>
      <c r="K325">
        <v>-14.91013231971807</v>
      </c>
      <c r="M325" t="s">
        <v>255</v>
      </c>
      <c r="N325" t="s">
        <v>2186</v>
      </c>
      <c r="O325">
        <v>9.9400882131453802E-2</v>
      </c>
      <c r="P325">
        <v>374.74430766204478</v>
      </c>
      <c r="Q325" t="s">
        <v>249</v>
      </c>
    </row>
    <row r="326" spans="1:17" x14ac:dyDescent="0.25">
      <c r="A326" t="s">
        <v>55</v>
      </c>
      <c r="B326" t="s">
        <v>164</v>
      </c>
      <c r="C326">
        <v>160</v>
      </c>
      <c r="D326" t="s">
        <v>264</v>
      </c>
      <c r="E326" s="1">
        <v>43089</v>
      </c>
      <c r="F326" t="s">
        <v>21</v>
      </c>
      <c r="G326" t="s">
        <v>2182</v>
      </c>
      <c r="H326">
        <v>-2.95</v>
      </c>
      <c r="I326" t="s">
        <v>39</v>
      </c>
      <c r="J326">
        <v>0</v>
      </c>
      <c r="M326" t="s">
        <v>170</v>
      </c>
      <c r="N326" t="s">
        <v>2187</v>
      </c>
    </row>
    <row r="327" spans="1:17" x14ac:dyDescent="0.25">
      <c r="A327" t="s">
        <v>55</v>
      </c>
      <c r="B327" t="s">
        <v>164</v>
      </c>
      <c r="C327">
        <v>160</v>
      </c>
      <c r="D327" t="s">
        <v>264</v>
      </c>
      <c r="E327" s="1">
        <v>43089</v>
      </c>
      <c r="F327" t="s">
        <v>21</v>
      </c>
      <c r="G327" t="s">
        <v>2182</v>
      </c>
      <c r="H327">
        <v>-2.95</v>
      </c>
      <c r="I327" t="s">
        <v>39</v>
      </c>
      <c r="J327">
        <v>9.9400882131453802E-2</v>
      </c>
      <c r="K327">
        <v>-0.29323260228778875</v>
      </c>
      <c r="M327" t="s">
        <v>255</v>
      </c>
      <c r="N327" t="s">
        <v>2187</v>
      </c>
      <c r="O327">
        <v>9.9400882131453802E-2</v>
      </c>
      <c r="P327">
        <v>374.45107505975699</v>
      </c>
      <c r="Q327" t="s">
        <v>249</v>
      </c>
    </row>
    <row r="328" spans="1:17" x14ac:dyDescent="0.25">
      <c r="A328" t="s">
        <v>55</v>
      </c>
      <c r="B328" t="s">
        <v>164</v>
      </c>
      <c r="C328">
        <v>160</v>
      </c>
      <c r="D328" t="s">
        <v>264</v>
      </c>
      <c r="E328" s="1">
        <v>43089</v>
      </c>
      <c r="F328" t="s">
        <v>21</v>
      </c>
      <c r="G328" t="s">
        <v>2182</v>
      </c>
      <c r="H328">
        <v>-0.6</v>
      </c>
      <c r="I328" t="s">
        <v>39</v>
      </c>
      <c r="J328">
        <v>0</v>
      </c>
      <c r="M328" t="s">
        <v>170</v>
      </c>
      <c r="N328" t="s">
        <v>2188</v>
      </c>
    </row>
    <row r="329" spans="1:17" x14ac:dyDescent="0.25">
      <c r="A329" t="s">
        <v>55</v>
      </c>
      <c r="B329" t="s">
        <v>164</v>
      </c>
      <c r="C329">
        <v>160</v>
      </c>
      <c r="D329" t="s">
        <v>264</v>
      </c>
      <c r="E329" s="1">
        <v>43089</v>
      </c>
      <c r="F329" t="s">
        <v>21</v>
      </c>
      <c r="G329" t="s">
        <v>2182</v>
      </c>
      <c r="H329">
        <v>-0.6</v>
      </c>
      <c r="I329" t="s">
        <v>39</v>
      </c>
      <c r="J329">
        <v>9.9400882131453802E-2</v>
      </c>
      <c r="K329">
        <v>-5.9640529278872277E-2</v>
      </c>
      <c r="M329" t="s">
        <v>255</v>
      </c>
      <c r="N329" t="s">
        <v>2188</v>
      </c>
      <c r="O329">
        <v>9.9400882131453802E-2</v>
      </c>
      <c r="P329">
        <v>374.39143453047814</v>
      </c>
      <c r="Q329" t="s">
        <v>249</v>
      </c>
    </row>
    <row r="330" spans="1:17" x14ac:dyDescent="0.25">
      <c r="A330" t="s">
        <v>55</v>
      </c>
      <c r="B330" t="s">
        <v>164</v>
      </c>
      <c r="C330">
        <v>160</v>
      </c>
      <c r="D330" t="s">
        <v>264</v>
      </c>
      <c r="E330" s="1">
        <v>43096</v>
      </c>
      <c r="F330" t="s">
        <v>607</v>
      </c>
      <c r="H330">
        <v>-603.54999999999995</v>
      </c>
      <c r="I330" t="s">
        <v>39</v>
      </c>
      <c r="J330">
        <v>9.9400000000000002E-2</v>
      </c>
      <c r="K330">
        <v>-59.99</v>
      </c>
      <c r="L330" t="s">
        <v>609</v>
      </c>
      <c r="M330" t="s">
        <v>171</v>
      </c>
      <c r="N330" t="s">
        <v>715</v>
      </c>
      <c r="O330">
        <v>9.9401957846198971E-2</v>
      </c>
      <c r="P330">
        <v>314.40143453047813</v>
      </c>
    </row>
    <row r="331" spans="1:17" x14ac:dyDescent="0.25">
      <c r="A331" t="s">
        <v>55</v>
      </c>
      <c r="B331" t="s">
        <v>164</v>
      </c>
      <c r="C331">
        <v>160</v>
      </c>
      <c r="D331" t="s">
        <v>264</v>
      </c>
      <c r="E331" s="1">
        <v>43096</v>
      </c>
      <c r="F331" t="s">
        <v>607</v>
      </c>
      <c r="H331">
        <v>603.54999999999995</v>
      </c>
      <c r="I331" t="s">
        <v>39</v>
      </c>
      <c r="J331">
        <v>9.9400000000000002E-2</v>
      </c>
      <c r="K331">
        <v>-59.99</v>
      </c>
      <c r="L331" t="s">
        <v>609</v>
      </c>
      <c r="M331" t="s">
        <v>255</v>
      </c>
      <c r="N331" t="s">
        <v>715</v>
      </c>
      <c r="O331">
        <v>6.7546206147511223E-2</v>
      </c>
      <c r="P331">
        <v>254.41143453047812</v>
      </c>
      <c r="Q331" t="s">
        <v>249</v>
      </c>
    </row>
    <row r="332" spans="1:17" x14ac:dyDescent="0.25">
      <c r="A332" t="s">
        <v>399</v>
      </c>
      <c r="B332" t="s">
        <v>1129</v>
      </c>
      <c r="C332">
        <v>160</v>
      </c>
      <c r="D332" t="s">
        <v>264</v>
      </c>
      <c r="E332" s="1">
        <v>43089</v>
      </c>
      <c r="F332" t="s">
        <v>21</v>
      </c>
      <c r="G332" t="s">
        <v>2189</v>
      </c>
      <c r="H332">
        <v>-3.22</v>
      </c>
      <c r="I332" t="s">
        <v>39</v>
      </c>
      <c r="J332">
        <v>0</v>
      </c>
      <c r="M332" t="s">
        <v>170</v>
      </c>
      <c r="N332" t="s">
        <v>2190</v>
      </c>
    </row>
    <row r="333" spans="1:17" x14ac:dyDescent="0.25">
      <c r="A333" t="s">
        <v>399</v>
      </c>
      <c r="B333" t="s">
        <v>1129</v>
      </c>
      <c r="C333">
        <v>160</v>
      </c>
      <c r="D333" t="s">
        <v>264</v>
      </c>
      <c r="E333" s="1">
        <v>43089</v>
      </c>
      <c r="F333" t="s">
        <v>21</v>
      </c>
      <c r="G333" t="s">
        <v>2189</v>
      </c>
      <c r="H333">
        <v>-3.22</v>
      </c>
      <c r="I333" t="s">
        <v>39</v>
      </c>
      <c r="J333">
        <v>0</v>
      </c>
      <c r="K333">
        <v>0</v>
      </c>
      <c r="M333" t="s">
        <v>255</v>
      </c>
      <c r="N333" t="s">
        <v>2190</v>
      </c>
      <c r="O333">
        <v>0</v>
      </c>
      <c r="P333">
        <v>0</v>
      </c>
      <c r="Q333" t="s">
        <v>249</v>
      </c>
    </row>
    <row r="334" spans="1:17" x14ac:dyDescent="0.25">
      <c r="A334" t="s">
        <v>111</v>
      </c>
      <c r="B334" t="s">
        <v>112</v>
      </c>
      <c r="C334">
        <v>160</v>
      </c>
      <c r="D334" t="s">
        <v>264</v>
      </c>
      <c r="E334" s="1">
        <v>43075</v>
      </c>
      <c r="F334" t="s">
        <v>252</v>
      </c>
      <c r="G334" t="s">
        <v>719</v>
      </c>
      <c r="H334">
        <v>-900</v>
      </c>
      <c r="I334" t="s">
        <v>39</v>
      </c>
      <c r="J334">
        <v>0</v>
      </c>
      <c r="M334" t="s">
        <v>170</v>
      </c>
      <c r="N334" t="s">
        <v>721</v>
      </c>
      <c r="Q334" t="s">
        <v>254</v>
      </c>
    </row>
    <row r="335" spans="1:17" x14ac:dyDescent="0.25">
      <c r="A335" t="s">
        <v>111</v>
      </c>
      <c r="B335" t="s">
        <v>112</v>
      </c>
      <c r="C335">
        <v>160</v>
      </c>
      <c r="D335" t="s">
        <v>264</v>
      </c>
      <c r="E335" s="1">
        <v>43075</v>
      </c>
      <c r="F335" t="s">
        <v>17</v>
      </c>
      <c r="G335" t="s">
        <v>716</v>
      </c>
      <c r="H335">
        <v>900</v>
      </c>
      <c r="I335" t="s">
        <v>39</v>
      </c>
      <c r="J335">
        <v>0.63719999999999999</v>
      </c>
      <c r="K335">
        <v>573.48</v>
      </c>
      <c r="L335" t="s">
        <v>246</v>
      </c>
      <c r="M335" t="s">
        <v>170</v>
      </c>
      <c r="N335" t="s">
        <v>718</v>
      </c>
      <c r="Q335" t="s">
        <v>254</v>
      </c>
    </row>
    <row r="336" spans="1:17" x14ac:dyDescent="0.25">
      <c r="A336" t="s">
        <v>111</v>
      </c>
      <c r="B336" t="s">
        <v>112</v>
      </c>
      <c r="C336">
        <v>160</v>
      </c>
      <c r="D336" t="s">
        <v>264</v>
      </c>
      <c r="E336" s="1">
        <v>43075</v>
      </c>
      <c r="F336" t="s">
        <v>252</v>
      </c>
      <c r="G336" t="s">
        <v>719</v>
      </c>
      <c r="H336">
        <v>-150</v>
      </c>
      <c r="I336" t="s">
        <v>39</v>
      </c>
      <c r="J336">
        <v>0.77965941475199996</v>
      </c>
      <c r="K336">
        <v>-116.95</v>
      </c>
      <c r="L336" t="s">
        <v>609</v>
      </c>
      <c r="M336" t="s">
        <v>171</v>
      </c>
      <c r="N336" t="s">
        <v>721</v>
      </c>
      <c r="O336">
        <v>0.77965312114383223</v>
      </c>
      <c r="P336">
        <v>134.75524545849999</v>
      </c>
      <c r="Q336" t="s">
        <v>254</v>
      </c>
    </row>
    <row r="337" spans="1:17" x14ac:dyDescent="0.25">
      <c r="A337" t="s">
        <v>111</v>
      </c>
      <c r="B337" t="s">
        <v>112</v>
      </c>
      <c r="C337">
        <v>160</v>
      </c>
      <c r="D337" t="s">
        <v>264</v>
      </c>
      <c r="E337" s="1">
        <v>43075</v>
      </c>
      <c r="F337" t="s">
        <v>17</v>
      </c>
      <c r="G337" t="s">
        <v>716</v>
      </c>
      <c r="H337">
        <v>150</v>
      </c>
      <c r="I337" t="s">
        <v>39</v>
      </c>
      <c r="J337">
        <v>0.744333333333</v>
      </c>
      <c r="K337">
        <v>95.58</v>
      </c>
      <c r="L337" t="s">
        <v>246</v>
      </c>
      <c r="M337" t="s">
        <v>171</v>
      </c>
      <c r="N337" t="s">
        <v>718</v>
      </c>
      <c r="O337">
        <v>0.71346563455117074</v>
      </c>
      <c r="P337">
        <v>230.33524545849997</v>
      </c>
      <c r="Q337" t="s">
        <v>254</v>
      </c>
    </row>
    <row r="338" spans="1:17" x14ac:dyDescent="0.25">
      <c r="A338" t="s">
        <v>111</v>
      </c>
      <c r="B338" t="s">
        <v>112</v>
      </c>
      <c r="C338">
        <v>160</v>
      </c>
      <c r="D338" t="s">
        <v>264</v>
      </c>
      <c r="E338" s="1">
        <v>43075</v>
      </c>
      <c r="F338" t="s">
        <v>17</v>
      </c>
      <c r="G338" t="s">
        <v>716</v>
      </c>
      <c r="H338">
        <v>150</v>
      </c>
      <c r="I338" t="s">
        <v>39</v>
      </c>
      <c r="J338">
        <v>0.744333333333</v>
      </c>
      <c r="K338">
        <v>95.58</v>
      </c>
      <c r="L338" t="s">
        <v>246</v>
      </c>
      <c r="M338" t="s">
        <v>171</v>
      </c>
      <c r="N338" t="s">
        <v>718</v>
      </c>
      <c r="O338">
        <v>0.68927173136473208</v>
      </c>
      <c r="P338">
        <v>325.91524545849995</v>
      </c>
      <c r="Q338" t="s">
        <v>254</v>
      </c>
    </row>
    <row r="339" spans="1:17" x14ac:dyDescent="0.25">
      <c r="A339" t="s">
        <v>111</v>
      </c>
      <c r="B339" t="s">
        <v>112</v>
      </c>
      <c r="C339">
        <v>160</v>
      </c>
      <c r="D339" t="s">
        <v>264</v>
      </c>
      <c r="E339" s="1">
        <v>43075</v>
      </c>
      <c r="F339" t="s">
        <v>252</v>
      </c>
      <c r="G339" t="s">
        <v>719</v>
      </c>
      <c r="H339">
        <v>-150</v>
      </c>
      <c r="I339" t="s">
        <v>39</v>
      </c>
      <c r="J339">
        <v>0.77965941475199996</v>
      </c>
      <c r="K339">
        <v>-116.95</v>
      </c>
      <c r="L339" t="s">
        <v>609</v>
      </c>
      <c r="M339" t="s">
        <v>171</v>
      </c>
      <c r="N339" t="s">
        <v>721</v>
      </c>
      <c r="O339">
        <v>0.64727185435045209</v>
      </c>
      <c r="P339">
        <v>208.96524545849996</v>
      </c>
      <c r="Q339" t="s">
        <v>254</v>
      </c>
    </row>
    <row r="340" spans="1:17" x14ac:dyDescent="0.25">
      <c r="A340" t="s">
        <v>111</v>
      </c>
      <c r="B340" t="s">
        <v>112</v>
      </c>
      <c r="C340">
        <v>160</v>
      </c>
      <c r="D340" t="s">
        <v>264</v>
      </c>
      <c r="E340" s="1">
        <v>43075</v>
      </c>
      <c r="F340" t="s">
        <v>252</v>
      </c>
      <c r="G340" t="s">
        <v>719</v>
      </c>
      <c r="H340">
        <v>-150</v>
      </c>
      <c r="I340" t="s">
        <v>39</v>
      </c>
      <c r="J340">
        <v>0.77965941475199996</v>
      </c>
      <c r="K340">
        <v>-116.95</v>
      </c>
      <c r="L340" t="s">
        <v>609</v>
      </c>
      <c r="M340" t="s">
        <v>171</v>
      </c>
      <c r="N340" t="s">
        <v>721</v>
      </c>
      <c r="O340">
        <v>0.53237239908875233</v>
      </c>
      <c r="P340">
        <v>92.015245458499962</v>
      </c>
      <c r="Q340" t="s">
        <v>254</v>
      </c>
    </row>
    <row r="341" spans="1:17" x14ac:dyDescent="0.25">
      <c r="A341" t="s">
        <v>111</v>
      </c>
      <c r="B341" t="s">
        <v>112</v>
      </c>
      <c r="C341">
        <v>160</v>
      </c>
      <c r="D341" t="s">
        <v>264</v>
      </c>
      <c r="E341" s="1">
        <v>43075</v>
      </c>
      <c r="F341" t="s">
        <v>17</v>
      </c>
      <c r="G341" t="s">
        <v>716</v>
      </c>
      <c r="H341">
        <v>150</v>
      </c>
      <c r="I341" t="s">
        <v>39</v>
      </c>
      <c r="J341">
        <v>0.744333333333</v>
      </c>
      <c r="K341">
        <v>95.58</v>
      </c>
      <c r="L341" t="s">
        <v>246</v>
      </c>
      <c r="M341" t="s">
        <v>171</v>
      </c>
      <c r="N341" t="s">
        <v>718</v>
      </c>
      <c r="O341">
        <v>0.58107807414973345</v>
      </c>
      <c r="P341">
        <v>187.59524545849996</v>
      </c>
      <c r="Q341" t="s">
        <v>254</v>
      </c>
    </row>
    <row r="342" spans="1:17" x14ac:dyDescent="0.25">
      <c r="A342" t="s">
        <v>111</v>
      </c>
      <c r="B342" t="s">
        <v>112</v>
      </c>
      <c r="C342">
        <v>160</v>
      </c>
      <c r="D342" t="s">
        <v>264</v>
      </c>
      <c r="E342" s="1">
        <v>43075</v>
      </c>
      <c r="F342" t="s">
        <v>17</v>
      </c>
      <c r="G342" t="s">
        <v>716</v>
      </c>
      <c r="H342">
        <v>150</v>
      </c>
      <c r="I342" t="s">
        <v>39</v>
      </c>
      <c r="J342">
        <v>0.744333333333</v>
      </c>
      <c r="K342">
        <v>95.58</v>
      </c>
      <c r="L342" t="s">
        <v>246</v>
      </c>
      <c r="M342" t="s">
        <v>171</v>
      </c>
      <c r="N342" t="s">
        <v>718</v>
      </c>
      <c r="O342">
        <v>0.59888174743782241</v>
      </c>
      <c r="P342">
        <v>283.17524545849994</v>
      </c>
      <c r="Q342" t="s">
        <v>254</v>
      </c>
    </row>
    <row r="343" spans="1:17" x14ac:dyDescent="0.25">
      <c r="A343" t="s">
        <v>111</v>
      </c>
      <c r="B343" t="s">
        <v>112</v>
      </c>
      <c r="C343">
        <v>160</v>
      </c>
      <c r="D343" t="s">
        <v>264</v>
      </c>
      <c r="E343" s="1">
        <v>43075</v>
      </c>
      <c r="F343" t="s">
        <v>252</v>
      </c>
      <c r="G343" t="s">
        <v>719</v>
      </c>
      <c r="H343">
        <v>-150</v>
      </c>
      <c r="I343" t="s">
        <v>39</v>
      </c>
      <c r="J343">
        <v>0.77965941475199996</v>
      </c>
      <c r="K343">
        <v>-116.95</v>
      </c>
      <c r="L343" t="s">
        <v>609</v>
      </c>
      <c r="M343" t="s">
        <v>171</v>
      </c>
      <c r="N343" t="s">
        <v>721</v>
      </c>
      <c r="O343">
        <v>0.5148842939490148</v>
      </c>
      <c r="P343">
        <v>166.22524545849996</v>
      </c>
      <c r="Q343" t="s">
        <v>254</v>
      </c>
    </row>
    <row r="344" spans="1:17" x14ac:dyDescent="0.25">
      <c r="A344" t="s">
        <v>111</v>
      </c>
      <c r="B344" t="s">
        <v>112</v>
      </c>
      <c r="C344">
        <v>160</v>
      </c>
      <c r="D344" t="s">
        <v>264</v>
      </c>
      <c r="E344" s="1">
        <v>43075</v>
      </c>
      <c r="F344" t="s">
        <v>252</v>
      </c>
      <c r="G344" t="s">
        <v>719</v>
      </c>
      <c r="H344">
        <v>-150</v>
      </c>
      <c r="I344" t="s">
        <v>39</v>
      </c>
      <c r="J344">
        <v>0.77965941475199996</v>
      </c>
      <c r="K344">
        <v>-116.95</v>
      </c>
      <c r="L344" t="s">
        <v>609</v>
      </c>
      <c r="M344" t="s">
        <v>171</v>
      </c>
      <c r="N344" t="s">
        <v>721</v>
      </c>
      <c r="O344">
        <v>0.28509167703367244</v>
      </c>
      <c r="P344">
        <v>49.275245458499953</v>
      </c>
      <c r="Q344" t="s">
        <v>254</v>
      </c>
    </row>
    <row r="345" spans="1:17" x14ac:dyDescent="0.25">
      <c r="A345" t="s">
        <v>111</v>
      </c>
      <c r="B345" t="s">
        <v>112</v>
      </c>
      <c r="C345">
        <v>160</v>
      </c>
      <c r="D345" t="s">
        <v>264</v>
      </c>
      <c r="E345" s="1">
        <v>43075</v>
      </c>
      <c r="F345" t="s">
        <v>17</v>
      </c>
      <c r="G345" t="s">
        <v>716</v>
      </c>
      <c r="H345">
        <v>150</v>
      </c>
      <c r="I345" t="s">
        <v>39</v>
      </c>
      <c r="J345">
        <v>0.744333333333</v>
      </c>
      <c r="K345">
        <v>95.58</v>
      </c>
      <c r="L345" t="s">
        <v>246</v>
      </c>
      <c r="M345" t="s">
        <v>171</v>
      </c>
      <c r="N345" t="s">
        <v>718</v>
      </c>
      <c r="O345">
        <v>0.44869051374829616</v>
      </c>
      <c r="P345">
        <v>144.85524545849995</v>
      </c>
      <c r="Q345" t="s">
        <v>254</v>
      </c>
    </row>
    <row r="346" spans="1:17" x14ac:dyDescent="0.25">
      <c r="A346" t="s">
        <v>111</v>
      </c>
      <c r="B346" t="s">
        <v>112</v>
      </c>
      <c r="C346">
        <v>160</v>
      </c>
      <c r="D346" t="s">
        <v>264</v>
      </c>
      <c r="E346" s="1">
        <v>43075</v>
      </c>
      <c r="F346" t="s">
        <v>17</v>
      </c>
      <c r="G346" t="s">
        <v>716</v>
      </c>
      <c r="H346">
        <v>150</v>
      </c>
      <c r="I346" t="s">
        <v>39</v>
      </c>
      <c r="J346">
        <v>0.744333333333</v>
      </c>
      <c r="K346">
        <v>95.58</v>
      </c>
      <c r="L346" t="s">
        <v>246</v>
      </c>
      <c r="M346" t="s">
        <v>171</v>
      </c>
      <c r="N346" t="s">
        <v>718</v>
      </c>
      <c r="O346">
        <v>0.50849176351091263</v>
      </c>
      <c r="P346">
        <v>240.43524545849994</v>
      </c>
      <c r="Q346" t="s">
        <v>254</v>
      </c>
    </row>
    <row r="347" spans="1:17" x14ac:dyDescent="0.25">
      <c r="A347" t="s">
        <v>111</v>
      </c>
      <c r="B347" t="s">
        <v>112</v>
      </c>
      <c r="C347">
        <v>160</v>
      </c>
      <c r="D347" t="s">
        <v>264</v>
      </c>
      <c r="E347" s="1">
        <v>43075</v>
      </c>
      <c r="F347" t="s">
        <v>252</v>
      </c>
      <c r="G347" t="s">
        <v>719</v>
      </c>
      <c r="H347">
        <v>-150</v>
      </c>
      <c r="I347" t="s">
        <v>39</v>
      </c>
      <c r="J347">
        <v>0.77965941475199996</v>
      </c>
      <c r="K347">
        <v>-116.95</v>
      </c>
      <c r="L347" t="s">
        <v>609</v>
      </c>
      <c r="M347" t="s">
        <v>171</v>
      </c>
      <c r="N347" t="s">
        <v>721</v>
      </c>
      <c r="O347">
        <v>0.38249673354757752</v>
      </c>
      <c r="P347">
        <v>123.48524545849993</v>
      </c>
      <c r="Q347" t="s">
        <v>254</v>
      </c>
    </row>
    <row r="348" spans="1:17" x14ac:dyDescent="0.25">
      <c r="A348" t="s">
        <v>111</v>
      </c>
      <c r="B348" t="s">
        <v>112</v>
      </c>
      <c r="C348">
        <v>160</v>
      </c>
      <c r="D348" t="s">
        <v>264</v>
      </c>
      <c r="E348" s="1">
        <v>43083</v>
      </c>
      <c r="F348" t="s">
        <v>252</v>
      </c>
      <c r="G348" t="s">
        <v>630</v>
      </c>
      <c r="H348">
        <v>-4100</v>
      </c>
      <c r="I348" t="s">
        <v>39</v>
      </c>
      <c r="J348">
        <v>0</v>
      </c>
      <c r="M348" t="s">
        <v>170</v>
      </c>
      <c r="N348" t="s">
        <v>725</v>
      </c>
      <c r="Q348" t="s">
        <v>254</v>
      </c>
    </row>
    <row r="349" spans="1:17" x14ac:dyDescent="0.25">
      <c r="A349" t="s">
        <v>111</v>
      </c>
      <c r="B349" t="s">
        <v>112</v>
      </c>
      <c r="C349">
        <v>160</v>
      </c>
      <c r="D349" t="s">
        <v>264</v>
      </c>
      <c r="E349" s="1">
        <v>43083</v>
      </c>
      <c r="F349" t="s">
        <v>17</v>
      </c>
      <c r="G349" t="s">
        <v>722</v>
      </c>
      <c r="H349">
        <v>4100</v>
      </c>
      <c r="I349" t="s">
        <v>39</v>
      </c>
      <c r="J349">
        <v>0.63719999999999999</v>
      </c>
      <c r="K349">
        <v>2612.52</v>
      </c>
      <c r="L349" t="s">
        <v>246</v>
      </c>
      <c r="M349" t="s">
        <v>170</v>
      </c>
      <c r="N349" t="s">
        <v>724</v>
      </c>
      <c r="Q349" t="s">
        <v>254</v>
      </c>
    </row>
    <row r="350" spans="1:17" x14ac:dyDescent="0.25">
      <c r="A350" t="s">
        <v>111</v>
      </c>
      <c r="B350" t="s">
        <v>112</v>
      </c>
      <c r="C350">
        <v>160</v>
      </c>
      <c r="D350" t="s">
        <v>264</v>
      </c>
      <c r="E350" s="1">
        <v>43083</v>
      </c>
      <c r="F350" t="s">
        <v>252</v>
      </c>
      <c r="G350" t="s">
        <v>630</v>
      </c>
      <c r="H350">
        <v>-100</v>
      </c>
      <c r="I350" t="s">
        <v>39</v>
      </c>
      <c r="J350">
        <v>0.73756573727700003</v>
      </c>
      <c r="K350">
        <v>-73.760000000000005</v>
      </c>
      <c r="L350" t="s">
        <v>609</v>
      </c>
      <c r="M350" t="s">
        <v>171</v>
      </c>
      <c r="N350" t="s">
        <v>725</v>
      </c>
      <c r="O350">
        <v>0.22314326628298295</v>
      </c>
      <c r="P350">
        <v>49.725245458499927</v>
      </c>
      <c r="Q350" t="s">
        <v>254</v>
      </c>
    </row>
    <row r="351" spans="1:17" x14ac:dyDescent="0.25">
      <c r="A351" t="s">
        <v>111</v>
      </c>
      <c r="B351" t="s">
        <v>112</v>
      </c>
      <c r="C351">
        <v>160</v>
      </c>
      <c r="D351" t="s">
        <v>264</v>
      </c>
      <c r="E351" s="1">
        <v>43083</v>
      </c>
      <c r="F351" t="s">
        <v>17</v>
      </c>
      <c r="G351" t="s">
        <v>722</v>
      </c>
      <c r="H351">
        <v>100</v>
      </c>
      <c r="I351" t="s">
        <v>39</v>
      </c>
      <c r="J351">
        <v>0.74199999999999999</v>
      </c>
      <c r="K351">
        <v>63.72</v>
      </c>
      <c r="L351" t="s">
        <v>246</v>
      </c>
      <c r="M351" t="s">
        <v>171</v>
      </c>
      <c r="N351" t="s">
        <v>724</v>
      </c>
      <c r="O351">
        <v>0.35139773714068862</v>
      </c>
      <c r="P351">
        <v>113.44524545849993</v>
      </c>
      <c r="Q351" t="s">
        <v>254</v>
      </c>
    </row>
    <row r="352" spans="1:17" x14ac:dyDescent="0.25">
      <c r="A352" t="s">
        <v>111</v>
      </c>
      <c r="B352" t="s">
        <v>112</v>
      </c>
      <c r="C352">
        <v>160</v>
      </c>
      <c r="D352" t="s">
        <v>264</v>
      </c>
      <c r="E352" s="1">
        <v>43083</v>
      </c>
      <c r="F352" t="s">
        <v>17</v>
      </c>
      <c r="G352" t="s">
        <v>722</v>
      </c>
      <c r="H352">
        <v>100</v>
      </c>
      <c r="I352" t="s">
        <v>39</v>
      </c>
      <c r="J352">
        <v>0.74199999999999999</v>
      </c>
      <c r="K352">
        <v>63.72</v>
      </c>
      <c r="L352" t="s">
        <v>246</v>
      </c>
      <c r="M352" t="s">
        <v>171</v>
      </c>
      <c r="N352" t="s">
        <v>724</v>
      </c>
      <c r="O352">
        <v>0.41898885029443739</v>
      </c>
      <c r="P352">
        <v>177.16524545849992</v>
      </c>
      <c r="Q352" t="s">
        <v>254</v>
      </c>
    </row>
    <row r="353" spans="1:17" x14ac:dyDescent="0.25">
      <c r="A353" t="s">
        <v>111</v>
      </c>
      <c r="B353" t="s">
        <v>112</v>
      </c>
      <c r="C353">
        <v>160</v>
      </c>
      <c r="D353" t="s">
        <v>264</v>
      </c>
      <c r="E353" s="1">
        <v>43083</v>
      </c>
      <c r="F353" t="s">
        <v>252</v>
      </c>
      <c r="G353" t="s">
        <v>630</v>
      </c>
      <c r="H353">
        <v>-100</v>
      </c>
      <c r="I353" t="s">
        <v>39</v>
      </c>
      <c r="J353">
        <v>0.73756573727700003</v>
      </c>
      <c r="K353">
        <v>-73.760000000000005</v>
      </c>
      <c r="L353" t="s">
        <v>609</v>
      </c>
      <c r="M353" t="s">
        <v>171</v>
      </c>
      <c r="N353" t="s">
        <v>725</v>
      </c>
      <c r="O353">
        <v>0.32029874073379977</v>
      </c>
      <c r="P353">
        <v>103.40524545849992</v>
      </c>
      <c r="Q353" t="s">
        <v>254</v>
      </c>
    </row>
    <row r="354" spans="1:17" x14ac:dyDescent="0.25">
      <c r="A354" t="s">
        <v>111</v>
      </c>
      <c r="B354" t="s">
        <v>112</v>
      </c>
      <c r="C354">
        <v>160</v>
      </c>
      <c r="D354" t="s">
        <v>264</v>
      </c>
      <c r="E354" s="1">
        <v>43083</v>
      </c>
      <c r="F354" t="s">
        <v>252</v>
      </c>
      <c r="G354" t="s">
        <v>630</v>
      </c>
      <c r="H354">
        <v>-100</v>
      </c>
      <c r="I354" t="s">
        <v>39</v>
      </c>
      <c r="J354">
        <v>0.73756573727700003</v>
      </c>
      <c r="K354">
        <v>-73.760000000000005</v>
      </c>
      <c r="L354" t="s">
        <v>609</v>
      </c>
      <c r="M354" t="s">
        <v>171</v>
      </c>
      <c r="N354" t="s">
        <v>725</v>
      </c>
      <c r="O354">
        <v>0.13303377068075709</v>
      </c>
      <c r="P354">
        <v>29.645245458499915</v>
      </c>
      <c r="Q354" t="s">
        <v>254</v>
      </c>
    </row>
    <row r="355" spans="1:17" x14ac:dyDescent="0.25">
      <c r="A355" t="s">
        <v>111</v>
      </c>
      <c r="B355" t="s">
        <v>112</v>
      </c>
      <c r="C355">
        <v>160</v>
      </c>
      <c r="D355" t="s">
        <v>264</v>
      </c>
      <c r="E355" s="1">
        <v>43083</v>
      </c>
      <c r="F355" t="s">
        <v>17</v>
      </c>
      <c r="G355" t="s">
        <v>722</v>
      </c>
      <c r="H355">
        <v>100</v>
      </c>
      <c r="I355" t="s">
        <v>39</v>
      </c>
      <c r="J355">
        <v>0.74199999999999999</v>
      </c>
      <c r="K355">
        <v>63.72</v>
      </c>
      <c r="L355" t="s">
        <v>246</v>
      </c>
      <c r="M355" t="s">
        <v>171</v>
      </c>
      <c r="N355" t="s">
        <v>724</v>
      </c>
      <c r="O355">
        <v>0.28919974432691087</v>
      </c>
      <c r="P355">
        <v>93.365245458499913</v>
      </c>
      <c r="Q355" t="s">
        <v>254</v>
      </c>
    </row>
    <row r="356" spans="1:17" x14ac:dyDescent="0.25">
      <c r="A356" t="s">
        <v>111</v>
      </c>
      <c r="B356" t="s">
        <v>112</v>
      </c>
      <c r="C356">
        <v>160</v>
      </c>
      <c r="D356" t="s">
        <v>264</v>
      </c>
      <c r="E356" s="1">
        <v>43083</v>
      </c>
      <c r="F356" t="s">
        <v>17</v>
      </c>
      <c r="G356" t="s">
        <v>722</v>
      </c>
      <c r="H356">
        <v>100</v>
      </c>
      <c r="I356" t="s">
        <v>39</v>
      </c>
      <c r="J356">
        <v>0.74199999999999999</v>
      </c>
      <c r="K356">
        <v>63.72</v>
      </c>
      <c r="L356" t="s">
        <v>246</v>
      </c>
      <c r="M356" t="s">
        <v>171</v>
      </c>
      <c r="N356" t="s">
        <v>724</v>
      </c>
      <c r="O356">
        <v>0.37150043860207149</v>
      </c>
      <c r="P356">
        <v>157.08524545849991</v>
      </c>
      <c r="Q356" t="s">
        <v>254</v>
      </c>
    </row>
    <row r="357" spans="1:17" x14ac:dyDescent="0.25">
      <c r="A357" t="s">
        <v>111</v>
      </c>
      <c r="B357" t="s">
        <v>112</v>
      </c>
      <c r="C357">
        <v>160</v>
      </c>
      <c r="D357" t="s">
        <v>264</v>
      </c>
      <c r="E357" s="1">
        <v>43083</v>
      </c>
      <c r="F357" t="s">
        <v>252</v>
      </c>
      <c r="G357" t="s">
        <v>630</v>
      </c>
      <c r="H357">
        <v>-100</v>
      </c>
      <c r="I357" t="s">
        <v>39</v>
      </c>
      <c r="J357">
        <v>0.73756573727700003</v>
      </c>
      <c r="K357">
        <v>-73.760000000000005</v>
      </c>
      <c r="L357" t="s">
        <v>609</v>
      </c>
      <c r="M357" t="s">
        <v>171</v>
      </c>
      <c r="N357" t="s">
        <v>725</v>
      </c>
      <c r="O357">
        <v>0.25810074792002197</v>
      </c>
      <c r="P357">
        <v>83.325245458499907</v>
      </c>
      <c r="Q357" t="s">
        <v>254</v>
      </c>
    </row>
    <row r="358" spans="1:17" x14ac:dyDescent="0.25">
      <c r="A358" t="s">
        <v>111</v>
      </c>
      <c r="B358" t="s">
        <v>112</v>
      </c>
      <c r="C358">
        <v>160</v>
      </c>
      <c r="D358" t="s">
        <v>264</v>
      </c>
      <c r="E358" s="1">
        <v>43083</v>
      </c>
      <c r="F358" t="s">
        <v>252</v>
      </c>
      <c r="G358" t="s">
        <v>630</v>
      </c>
      <c r="H358">
        <v>-100</v>
      </c>
      <c r="I358" t="s">
        <v>39</v>
      </c>
      <c r="J358">
        <v>0.73756573727700003</v>
      </c>
      <c r="K358">
        <v>-73.760000000000005</v>
      </c>
      <c r="L358" t="s">
        <v>609</v>
      </c>
      <c r="M358" t="s">
        <v>171</v>
      </c>
      <c r="N358" t="s">
        <v>725</v>
      </c>
      <c r="O358">
        <v>4.2924275078531235E-2</v>
      </c>
      <c r="P358">
        <v>9.565245458499902</v>
      </c>
      <c r="Q358" t="s">
        <v>254</v>
      </c>
    </row>
    <row r="359" spans="1:17" x14ac:dyDescent="0.25">
      <c r="A359" t="s">
        <v>111</v>
      </c>
      <c r="B359" t="s">
        <v>112</v>
      </c>
      <c r="C359">
        <v>160</v>
      </c>
      <c r="D359" t="s">
        <v>264</v>
      </c>
      <c r="E359" s="1">
        <v>43083</v>
      </c>
      <c r="F359" t="s">
        <v>17</v>
      </c>
      <c r="G359" t="s">
        <v>722</v>
      </c>
      <c r="H359">
        <v>100</v>
      </c>
      <c r="I359" t="s">
        <v>39</v>
      </c>
      <c r="J359">
        <v>0.74199999999999999</v>
      </c>
      <c r="K359">
        <v>63.72</v>
      </c>
      <c r="L359" t="s">
        <v>246</v>
      </c>
      <c r="M359" t="s">
        <v>171</v>
      </c>
      <c r="N359" t="s">
        <v>724</v>
      </c>
      <c r="O359">
        <v>0.22700175151313312</v>
      </c>
      <c r="P359">
        <v>73.285245458499901</v>
      </c>
      <c r="Q359" t="s">
        <v>254</v>
      </c>
    </row>
    <row r="360" spans="1:17" x14ac:dyDescent="0.25">
      <c r="A360" t="s">
        <v>111</v>
      </c>
      <c r="B360" t="s">
        <v>112</v>
      </c>
      <c r="C360">
        <v>160</v>
      </c>
      <c r="D360" t="s">
        <v>264</v>
      </c>
      <c r="E360" s="1">
        <v>43083</v>
      </c>
      <c r="F360" t="s">
        <v>17</v>
      </c>
      <c r="G360" t="s">
        <v>722</v>
      </c>
      <c r="H360">
        <v>100</v>
      </c>
      <c r="I360" t="s">
        <v>39</v>
      </c>
      <c r="J360">
        <v>0.74199999999999999</v>
      </c>
      <c r="K360">
        <v>63.72</v>
      </c>
      <c r="L360" t="s">
        <v>246</v>
      </c>
      <c r="M360" t="s">
        <v>171</v>
      </c>
      <c r="N360" t="s">
        <v>724</v>
      </c>
      <c r="O360">
        <v>0.32401202690970554</v>
      </c>
      <c r="P360">
        <v>137.0052454584999</v>
      </c>
      <c r="Q360" t="s">
        <v>254</v>
      </c>
    </row>
    <row r="361" spans="1:17" x14ac:dyDescent="0.25">
      <c r="A361" t="s">
        <v>111</v>
      </c>
      <c r="B361" t="s">
        <v>112</v>
      </c>
      <c r="C361">
        <v>160</v>
      </c>
      <c r="D361" t="s">
        <v>264</v>
      </c>
      <c r="E361" s="1">
        <v>43083</v>
      </c>
      <c r="F361" t="s">
        <v>252</v>
      </c>
      <c r="G361" t="s">
        <v>630</v>
      </c>
      <c r="H361">
        <v>-100</v>
      </c>
      <c r="I361" t="s">
        <v>39</v>
      </c>
      <c r="J361">
        <v>0.73756573727700003</v>
      </c>
      <c r="K361">
        <v>-73.760000000000005</v>
      </c>
      <c r="L361" t="s">
        <v>609</v>
      </c>
      <c r="M361" t="s">
        <v>171</v>
      </c>
      <c r="N361" t="s">
        <v>725</v>
      </c>
      <c r="O361">
        <v>0.19590275510624425</v>
      </c>
      <c r="P361">
        <v>63.245245458499895</v>
      </c>
      <c r="Q361" t="s">
        <v>254</v>
      </c>
    </row>
    <row r="362" spans="1:17" x14ac:dyDescent="0.25">
      <c r="A362" t="s">
        <v>111</v>
      </c>
      <c r="B362" t="s">
        <v>112</v>
      </c>
      <c r="C362">
        <v>160</v>
      </c>
      <c r="D362" t="s">
        <v>264</v>
      </c>
      <c r="E362" s="1">
        <v>43083</v>
      </c>
      <c r="F362" t="s">
        <v>252</v>
      </c>
      <c r="G362" t="s">
        <v>630</v>
      </c>
      <c r="H362">
        <v>-100</v>
      </c>
      <c r="I362" t="s">
        <v>39</v>
      </c>
      <c r="J362">
        <v>0.73756573727700003</v>
      </c>
      <c r="K362">
        <v>-73.760000000000005</v>
      </c>
      <c r="L362" t="s">
        <v>609</v>
      </c>
      <c r="M362" t="s">
        <v>171</v>
      </c>
      <c r="N362" t="s">
        <v>725</v>
      </c>
      <c r="O362">
        <v>-4.7185220523694622E-2</v>
      </c>
      <c r="P362">
        <v>-10.51475454150011</v>
      </c>
      <c r="Q362" t="s">
        <v>254</v>
      </c>
    </row>
    <row r="363" spans="1:17" x14ac:dyDescent="0.25">
      <c r="A363" t="s">
        <v>111</v>
      </c>
      <c r="B363" t="s">
        <v>112</v>
      </c>
      <c r="C363">
        <v>160</v>
      </c>
      <c r="D363" t="s">
        <v>264</v>
      </c>
      <c r="E363" s="1">
        <v>43083</v>
      </c>
      <c r="F363" t="s">
        <v>17</v>
      </c>
      <c r="G363" t="s">
        <v>722</v>
      </c>
      <c r="H363">
        <v>100</v>
      </c>
      <c r="I363" t="s">
        <v>39</v>
      </c>
      <c r="J363">
        <v>0.74199999999999999</v>
      </c>
      <c r="K363">
        <v>63.72</v>
      </c>
      <c r="L363" t="s">
        <v>246</v>
      </c>
      <c r="M363" t="s">
        <v>171</v>
      </c>
      <c r="N363" t="s">
        <v>724</v>
      </c>
      <c r="O363">
        <v>0.16480375869935535</v>
      </c>
      <c r="P363">
        <v>53.205245458499888</v>
      </c>
      <c r="Q363" t="s">
        <v>254</v>
      </c>
    </row>
    <row r="364" spans="1:17" x14ac:dyDescent="0.25">
      <c r="A364" t="s">
        <v>111</v>
      </c>
      <c r="B364" t="s">
        <v>112</v>
      </c>
      <c r="C364">
        <v>160</v>
      </c>
      <c r="D364" t="s">
        <v>264</v>
      </c>
      <c r="E364" s="1">
        <v>43083</v>
      </c>
      <c r="F364" t="s">
        <v>17</v>
      </c>
      <c r="G364" t="s">
        <v>722</v>
      </c>
      <c r="H364">
        <v>100</v>
      </c>
      <c r="I364" t="s">
        <v>39</v>
      </c>
      <c r="J364">
        <v>0.74199999999999999</v>
      </c>
      <c r="K364">
        <v>63.72</v>
      </c>
      <c r="L364" t="s">
        <v>246</v>
      </c>
      <c r="M364" t="s">
        <v>171</v>
      </c>
      <c r="N364" t="s">
        <v>724</v>
      </c>
      <c r="O364">
        <v>0.27652361521733959</v>
      </c>
      <c r="P364">
        <v>116.92524545849989</v>
      </c>
      <c r="Q364" t="s">
        <v>254</v>
      </c>
    </row>
    <row r="365" spans="1:17" x14ac:dyDescent="0.25">
      <c r="A365" t="s">
        <v>111</v>
      </c>
      <c r="B365" t="s">
        <v>112</v>
      </c>
      <c r="C365">
        <v>160</v>
      </c>
      <c r="D365" t="s">
        <v>264</v>
      </c>
      <c r="E365" s="1">
        <v>43083</v>
      </c>
      <c r="F365" t="s">
        <v>252</v>
      </c>
      <c r="G365" t="s">
        <v>630</v>
      </c>
      <c r="H365">
        <v>-100</v>
      </c>
      <c r="I365" t="s">
        <v>39</v>
      </c>
      <c r="J365">
        <v>0.73756573727700003</v>
      </c>
      <c r="K365">
        <v>-73.760000000000005</v>
      </c>
      <c r="L365" t="s">
        <v>609</v>
      </c>
      <c r="M365" t="s">
        <v>171</v>
      </c>
      <c r="N365" t="s">
        <v>725</v>
      </c>
      <c r="O365">
        <v>0.13370476229246647</v>
      </c>
      <c r="P365">
        <v>43.165245458499882</v>
      </c>
      <c r="Q365" t="s">
        <v>254</v>
      </c>
    </row>
    <row r="366" spans="1:17" x14ac:dyDescent="0.25">
      <c r="A366" t="s">
        <v>111</v>
      </c>
      <c r="B366" t="s">
        <v>112</v>
      </c>
      <c r="C366">
        <v>160</v>
      </c>
      <c r="D366" t="s">
        <v>264</v>
      </c>
      <c r="E366" s="1">
        <v>43083</v>
      </c>
      <c r="F366" t="s">
        <v>252</v>
      </c>
      <c r="G366" t="s">
        <v>630</v>
      </c>
      <c r="H366">
        <v>-100</v>
      </c>
      <c r="I366" t="s">
        <v>39</v>
      </c>
      <c r="J366">
        <v>0.73756573727700003</v>
      </c>
      <c r="K366">
        <v>-73.760000000000005</v>
      </c>
      <c r="L366" t="s">
        <v>609</v>
      </c>
      <c r="M366" t="s">
        <v>171</v>
      </c>
      <c r="N366" t="s">
        <v>725</v>
      </c>
      <c r="O366">
        <v>-0.13729471612592048</v>
      </c>
      <c r="P366">
        <v>-30.594754541500123</v>
      </c>
      <c r="Q366" t="s">
        <v>254</v>
      </c>
    </row>
    <row r="367" spans="1:17" x14ac:dyDescent="0.25">
      <c r="A367" t="s">
        <v>111</v>
      </c>
      <c r="B367" t="s">
        <v>112</v>
      </c>
      <c r="C367">
        <v>160</v>
      </c>
      <c r="D367" t="s">
        <v>264</v>
      </c>
      <c r="E367" s="1">
        <v>43083</v>
      </c>
      <c r="F367" t="s">
        <v>17</v>
      </c>
      <c r="G367" t="s">
        <v>722</v>
      </c>
      <c r="H367">
        <v>100</v>
      </c>
      <c r="I367" t="s">
        <v>39</v>
      </c>
      <c r="J367">
        <v>0.74199999999999999</v>
      </c>
      <c r="K367">
        <v>63.72</v>
      </c>
      <c r="L367" t="s">
        <v>246</v>
      </c>
      <c r="M367" t="s">
        <v>171</v>
      </c>
      <c r="N367" t="s">
        <v>724</v>
      </c>
      <c r="O367">
        <v>0.1026057658855776</v>
      </c>
      <c r="P367">
        <v>33.125245458499876</v>
      </c>
      <c r="Q367" t="s">
        <v>254</v>
      </c>
    </row>
    <row r="368" spans="1:17" x14ac:dyDescent="0.25">
      <c r="A368" t="s">
        <v>111</v>
      </c>
      <c r="B368" t="s">
        <v>112</v>
      </c>
      <c r="C368">
        <v>160</v>
      </c>
      <c r="D368" t="s">
        <v>264</v>
      </c>
      <c r="E368" s="1">
        <v>43083</v>
      </c>
      <c r="F368" t="s">
        <v>17</v>
      </c>
      <c r="G368" t="s">
        <v>722</v>
      </c>
      <c r="H368">
        <v>100</v>
      </c>
      <c r="I368" t="s">
        <v>39</v>
      </c>
      <c r="J368">
        <v>0.74199999999999999</v>
      </c>
      <c r="K368">
        <v>63.72</v>
      </c>
      <c r="L368" t="s">
        <v>246</v>
      </c>
      <c r="M368" t="s">
        <v>171</v>
      </c>
      <c r="N368" t="s">
        <v>724</v>
      </c>
      <c r="O368">
        <v>0.22903520352497367</v>
      </c>
      <c r="P368">
        <v>96.845245458499875</v>
      </c>
      <c r="Q368" t="s">
        <v>254</v>
      </c>
    </row>
    <row r="369" spans="1:17" x14ac:dyDescent="0.25">
      <c r="A369" t="s">
        <v>111</v>
      </c>
      <c r="B369" t="s">
        <v>112</v>
      </c>
      <c r="C369">
        <v>160</v>
      </c>
      <c r="D369" t="s">
        <v>264</v>
      </c>
      <c r="E369" s="1">
        <v>43083</v>
      </c>
      <c r="F369" t="s">
        <v>252</v>
      </c>
      <c r="G369" t="s">
        <v>630</v>
      </c>
      <c r="H369">
        <v>-100</v>
      </c>
      <c r="I369" t="s">
        <v>39</v>
      </c>
      <c r="J369">
        <v>0.73756573727700003</v>
      </c>
      <c r="K369">
        <v>-73.760000000000005</v>
      </c>
      <c r="L369" t="s">
        <v>609</v>
      </c>
      <c r="M369" t="s">
        <v>171</v>
      </c>
      <c r="N369" t="s">
        <v>725</v>
      </c>
      <c r="O369">
        <v>7.1506769478688725E-2</v>
      </c>
      <c r="P369">
        <v>23.08524545849987</v>
      </c>
      <c r="Q369" t="s">
        <v>254</v>
      </c>
    </row>
    <row r="370" spans="1:17" x14ac:dyDescent="0.25">
      <c r="A370" t="s">
        <v>111</v>
      </c>
      <c r="B370" t="s">
        <v>112</v>
      </c>
      <c r="C370">
        <v>160</v>
      </c>
      <c r="D370" t="s">
        <v>264</v>
      </c>
      <c r="E370" s="1">
        <v>43083</v>
      </c>
      <c r="F370" t="s">
        <v>252</v>
      </c>
      <c r="G370" t="s">
        <v>630</v>
      </c>
      <c r="H370">
        <v>-100</v>
      </c>
      <c r="I370" t="s">
        <v>39</v>
      </c>
      <c r="J370">
        <v>0.73756573727700003</v>
      </c>
      <c r="K370">
        <v>-73.760000000000005</v>
      </c>
      <c r="L370" t="s">
        <v>609</v>
      </c>
      <c r="M370" t="s">
        <v>171</v>
      </c>
      <c r="N370" t="s">
        <v>725</v>
      </c>
      <c r="O370">
        <v>-0.22740421172814634</v>
      </c>
      <c r="P370">
        <v>-50.674754541500135</v>
      </c>
      <c r="Q370" t="s">
        <v>254</v>
      </c>
    </row>
    <row r="371" spans="1:17" x14ac:dyDescent="0.25">
      <c r="A371" t="s">
        <v>111</v>
      </c>
      <c r="B371" t="s">
        <v>112</v>
      </c>
      <c r="C371">
        <v>160</v>
      </c>
      <c r="D371" t="s">
        <v>264</v>
      </c>
      <c r="E371" s="1">
        <v>43083</v>
      </c>
      <c r="F371" t="s">
        <v>17</v>
      </c>
      <c r="G371" t="s">
        <v>722</v>
      </c>
      <c r="H371">
        <v>100</v>
      </c>
      <c r="I371" t="s">
        <v>39</v>
      </c>
      <c r="J371">
        <v>0.74199999999999999</v>
      </c>
      <c r="K371">
        <v>63.72</v>
      </c>
      <c r="L371" t="s">
        <v>246</v>
      </c>
      <c r="M371" t="s">
        <v>171</v>
      </c>
      <c r="N371" t="s">
        <v>724</v>
      </c>
      <c r="O371">
        <v>4.0407773071799845E-2</v>
      </c>
      <c r="P371">
        <v>13.045245458499863</v>
      </c>
      <c r="Q371" t="s">
        <v>254</v>
      </c>
    </row>
    <row r="372" spans="1:17" x14ac:dyDescent="0.25">
      <c r="A372" t="s">
        <v>111</v>
      </c>
      <c r="B372" t="s">
        <v>112</v>
      </c>
      <c r="C372">
        <v>160</v>
      </c>
      <c r="D372" t="s">
        <v>264</v>
      </c>
      <c r="E372" s="1">
        <v>43083</v>
      </c>
      <c r="F372" t="s">
        <v>17</v>
      </c>
      <c r="G372" t="s">
        <v>722</v>
      </c>
      <c r="H372">
        <v>100</v>
      </c>
      <c r="I372" t="s">
        <v>39</v>
      </c>
      <c r="J372">
        <v>0.74199999999999999</v>
      </c>
      <c r="K372">
        <v>63.72</v>
      </c>
      <c r="L372" t="s">
        <v>246</v>
      </c>
      <c r="M372" t="s">
        <v>171</v>
      </c>
      <c r="N372" t="s">
        <v>724</v>
      </c>
      <c r="O372">
        <v>0.18154679183260775</v>
      </c>
      <c r="P372">
        <v>76.765245458499862</v>
      </c>
      <c r="Q372" t="s">
        <v>254</v>
      </c>
    </row>
    <row r="373" spans="1:17" x14ac:dyDescent="0.25">
      <c r="A373" t="s">
        <v>111</v>
      </c>
      <c r="B373" t="s">
        <v>112</v>
      </c>
      <c r="C373">
        <v>160</v>
      </c>
      <c r="D373" t="s">
        <v>264</v>
      </c>
      <c r="E373" s="1">
        <v>43083</v>
      </c>
      <c r="F373" t="s">
        <v>252</v>
      </c>
      <c r="G373" t="s">
        <v>630</v>
      </c>
      <c r="H373">
        <v>-100</v>
      </c>
      <c r="I373" t="s">
        <v>39</v>
      </c>
      <c r="J373">
        <v>0.73756573727700003</v>
      </c>
      <c r="K373">
        <v>-73.760000000000005</v>
      </c>
      <c r="L373" t="s">
        <v>609</v>
      </c>
      <c r="M373" t="s">
        <v>171</v>
      </c>
      <c r="N373" t="s">
        <v>725</v>
      </c>
      <c r="O373">
        <v>9.3087766649109678E-3</v>
      </c>
      <c r="P373">
        <v>3.0052454584998571</v>
      </c>
      <c r="Q373" t="s">
        <v>254</v>
      </c>
    </row>
    <row r="374" spans="1:17" x14ac:dyDescent="0.25">
      <c r="A374" t="s">
        <v>111</v>
      </c>
      <c r="B374" t="s">
        <v>112</v>
      </c>
      <c r="C374">
        <v>160</v>
      </c>
      <c r="D374" t="s">
        <v>264</v>
      </c>
      <c r="E374" s="1">
        <v>43083</v>
      </c>
      <c r="F374" t="s">
        <v>252</v>
      </c>
      <c r="G374" t="s">
        <v>630</v>
      </c>
      <c r="H374">
        <v>-100</v>
      </c>
      <c r="I374" t="s">
        <v>39</v>
      </c>
      <c r="J374">
        <v>0.73756573727700003</v>
      </c>
      <c r="K374">
        <v>-73.760000000000005</v>
      </c>
      <c r="L374" t="s">
        <v>609</v>
      </c>
      <c r="M374" t="s">
        <v>171</v>
      </c>
      <c r="N374" t="s">
        <v>725</v>
      </c>
      <c r="O374">
        <v>-0.31751370733037221</v>
      </c>
      <c r="P374">
        <v>-70.754754541500148</v>
      </c>
      <c r="Q374" t="s">
        <v>254</v>
      </c>
    </row>
    <row r="375" spans="1:17" x14ac:dyDescent="0.25">
      <c r="A375" t="s">
        <v>111</v>
      </c>
      <c r="B375" t="s">
        <v>112</v>
      </c>
      <c r="C375">
        <v>160</v>
      </c>
      <c r="D375" t="s">
        <v>264</v>
      </c>
      <c r="E375" s="1">
        <v>43083</v>
      </c>
      <c r="F375" t="s">
        <v>17</v>
      </c>
      <c r="G375" t="s">
        <v>722</v>
      </c>
      <c r="H375">
        <v>100</v>
      </c>
      <c r="I375" t="s">
        <v>39</v>
      </c>
      <c r="J375">
        <v>0.74199999999999999</v>
      </c>
      <c r="K375">
        <v>63.72</v>
      </c>
      <c r="L375" t="s">
        <v>246</v>
      </c>
      <c r="M375" t="s">
        <v>171</v>
      </c>
      <c r="N375" t="s">
        <v>724</v>
      </c>
      <c r="O375">
        <v>-2.1790219741977909E-2</v>
      </c>
      <c r="P375">
        <v>-7.0347545415001491</v>
      </c>
      <c r="Q375" t="s">
        <v>254</v>
      </c>
    </row>
    <row r="376" spans="1:17" x14ac:dyDescent="0.25">
      <c r="A376" t="s">
        <v>111</v>
      </c>
      <c r="B376" t="s">
        <v>112</v>
      </c>
      <c r="C376">
        <v>160</v>
      </c>
      <c r="D376" t="s">
        <v>264</v>
      </c>
      <c r="E376" s="1">
        <v>43083</v>
      </c>
      <c r="F376" t="s">
        <v>17</v>
      </c>
      <c r="G376" t="s">
        <v>722</v>
      </c>
      <c r="H376">
        <v>100</v>
      </c>
      <c r="I376" t="s">
        <v>39</v>
      </c>
      <c r="J376">
        <v>0.74199999999999999</v>
      </c>
      <c r="K376">
        <v>63.72</v>
      </c>
      <c r="L376" t="s">
        <v>246</v>
      </c>
      <c r="M376" t="s">
        <v>171</v>
      </c>
      <c r="N376" t="s">
        <v>724</v>
      </c>
      <c r="O376">
        <v>0.1340583801402418</v>
      </c>
      <c r="P376">
        <v>56.68524545849985</v>
      </c>
      <c r="Q376" t="s">
        <v>254</v>
      </c>
    </row>
    <row r="377" spans="1:17" x14ac:dyDescent="0.25">
      <c r="A377" t="s">
        <v>111</v>
      </c>
      <c r="B377" t="s">
        <v>112</v>
      </c>
      <c r="C377">
        <v>160</v>
      </c>
      <c r="D377" t="s">
        <v>264</v>
      </c>
      <c r="E377" s="1">
        <v>43083</v>
      </c>
      <c r="F377" t="s">
        <v>252</v>
      </c>
      <c r="G377" t="s">
        <v>630</v>
      </c>
      <c r="H377">
        <v>-100</v>
      </c>
      <c r="I377" t="s">
        <v>39</v>
      </c>
      <c r="J377">
        <v>0.73756573727700003</v>
      </c>
      <c r="K377">
        <v>-73.760000000000005</v>
      </c>
      <c r="L377" t="s">
        <v>609</v>
      </c>
      <c r="M377" t="s">
        <v>171</v>
      </c>
      <c r="N377" t="s">
        <v>725</v>
      </c>
      <c r="O377">
        <v>-5.288921614886679E-2</v>
      </c>
      <c r="P377">
        <v>-17.074754541500155</v>
      </c>
      <c r="Q377" t="s">
        <v>254</v>
      </c>
    </row>
    <row r="378" spans="1:17" x14ac:dyDescent="0.25">
      <c r="A378" t="s">
        <v>111</v>
      </c>
      <c r="B378" t="s">
        <v>112</v>
      </c>
      <c r="C378">
        <v>160</v>
      </c>
      <c r="D378" t="s">
        <v>264</v>
      </c>
      <c r="E378" s="1">
        <v>43083</v>
      </c>
      <c r="F378" t="s">
        <v>252</v>
      </c>
      <c r="G378" t="s">
        <v>630</v>
      </c>
      <c r="H378">
        <v>-100</v>
      </c>
      <c r="I378" t="s">
        <v>39</v>
      </c>
      <c r="J378">
        <v>0.73756573727700003</v>
      </c>
      <c r="K378">
        <v>-73.760000000000005</v>
      </c>
      <c r="L378" t="s">
        <v>609</v>
      </c>
      <c r="M378" t="s">
        <v>171</v>
      </c>
      <c r="N378" t="s">
        <v>725</v>
      </c>
      <c r="O378">
        <v>-0.40762320293259802</v>
      </c>
      <c r="P378">
        <v>-90.83475454150016</v>
      </c>
      <c r="Q378" t="s">
        <v>254</v>
      </c>
    </row>
    <row r="379" spans="1:17" x14ac:dyDescent="0.25">
      <c r="A379" t="s">
        <v>111</v>
      </c>
      <c r="B379" t="s">
        <v>112</v>
      </c>
      <c r="C379">
        <v>160</v>
      </c>
      <c r="D379" t="s">
        <v>264</v>
      </c>
      <c r="E379" s="1">
        <v>43083</v>
      </c>
      <c r="F379" t="s">
        <v>17</v>
      </c>
      <c r="G379" t="s">
        <v>722</v>
      </c>
      <c r="H379">
        <v>100</v>
      </c>
      <c r="I379" t="s">
        <v>39</v>
      </c>
      <c r="J379">
        <v>0.74199999999999999</v>
      </c>
      <c r="K379">
        <v>63.72</v>
      </c>
      <c r="L379" t="s">
        <v>246</v>
      </c>
      <c r="M379" t="s">
        <v>171</v>
      </c>
      <c r="N379" t="s">
        <v>724</v>
      </c>
      <c r="O379">
        <v>-8.398821255575567E-2</v>
      </c>
      <c r="P379">
        <v>-27.114754541500162</v>
      </c>
      <c r="Q379" t="s">
        <v>254</v>
      </c>
    </row>
    <row r="380" spans="1:17" x14ac:dyDescent="0.25">
      <c r="A380" t="s">
        <v>111</v>
      </c>
      <c r="B380" t="s">
        <v>112</v>
      </c>
      <c r="C380">
        <v>160</v>
      </c>
      <c r="D380" t="s">
        <v>264</v>
      </c>
      <c r="E380" s="1">
        <v>43083</v>
      </c>
      <c r="F380" t="s">
        <v>17</v>
      </c>
      <c r="G380" t="s">
        <v>722</v>
      </c>
      <c r="H380">
        <v>100</v>
      </c>
      <c r="I380" t="s">
        <v>39</v>
      </c>
      <c r="J380">
        <v>0.74199999999999999</v>
      </c>
      <c r="K380">
        <v>63.72</v>
      </c>
      <c r="L380" t="s">
        <v>246</v>
      </c>
      <c r="M380" t="s">
        <v>171</v>
      </c>
      <c r="N380" t="s">
        <v>724</v>
      </c>
      <c r="O380">
        <v>8.6569968447875872E-2</v>
      </c>
      <c r="P380">
        <v>36.605245458499837</v>
      </c>
      <c r="Q380" t="s">
        <v>254</v>
      </c>
    </row>
    <row r="381" spans="1:17" x14ac:dyDescent="0.25">
      <c r="A381" t="s">
        <v>111</v>
      </c>
      <c r="B381" t="s">
        <v>112</v>
      </c>
      <c r="C381">
        <v>160</v>
      </c>
      <c r="D381" t="s">
        <v>264</v>
      </c>
      <c r="E381" s="1">
        <v>43083</v>
      </c>
      <c r="F381" t="s">
        <v>252</v>
      </c>
      <c r="G381" t="s">
        <v>630</v>
      </c>
      <c r="H381">
        <v>-100</v>
      </c>
      <c r="I381" t="s">
        <v>39</v>
      </c>
      <c r="J381">
        <v>0.73756573727700003</v>
      </c>
      <c r="K381">
        <v>-73.760000000000005</v>
      </c>
      <c r="L381" t="s">
        <v>609</v>
      </c>
      <c r="M381" t="s">
        <v>171</v>
      </c>
      <c r="N381" t="s">
        <v>725</v>
      </c>
      <c r="O381">
        <v>-0.11508720896264454</v>
      </c>
      <c r="P381">
        <v>-37.154754541500168</v>
      </c>
      <c r="Q381" t="s">
        <v>254</v>
      </c>
    </row>
    <row r="382" spans="1:17" x14ac:dyDescent="0.25">
      <c r="A382" t="s">
        <v>111</v>
      </c>
      <c r="B382" t="s">
        <v>112</v>
      </c>
      <c r="C382">
        <v>160</v>
      </c>
      <c r="D382" t="s">
        <v>264</v>
      </c>
      <c r="E382" s="1">
        <v>43083</v>
      </c>
      <c r="F382" t="s">
        <v>252</v>
      </c>
      <c r="G382" t="s">
        <v>630</v>
      </c>
      <c r="H382">
        <v>-150</v>
      </c>
      <c r="I382" t="s">
        <v>39</v>
      </c>
      <c r="J382">
        <v>0.73756573727700003</v>
      </c>
      <c r="K382">
        <v>-110.63</v>
      </c>
      <c r="L382" t="s">
        <v>609</v>
      </c>
      <c r="M382" t="s">
        <v>171</v>
      </c>
      <c r="N382" t="s">
        <v>725</v>
      </c>
      <c r="O382">
        <v>-0.85503792259604328</v>
      </c>
      <c r="P382">
        <v>-147.78475454150015</v>
      </c>
      <c r="Q382" t="s">
        <v>254</v>
      </c>
    </row>
    <row r="383" spans="1:17" x14ac:dyDescent="0.25">
      <c r="A383" t="s">
        <v>111</v>
      </c>
      <c r="B383" t="s">
        <v>112</v>
      </c>
      <c r="C383">
        <v>160</v>
      </c>
      <c r="D383" t="s">
        <v>264</v>
      </c>
      <c r="E383" s="1">
        <v>43083</v>
      </c>
      <c r="F383" t="s">
        <v>17</v>
      </c>
      <c r="G383" t="s">
        <v>722</v>
      </c>
      <c r="H383">
        <v>150</v>
      </c>
      <c r="I383" t="s">
        <v>39</v>
      </c>
      <c r="J383">
        <v>0.74199999999999999</v>
      </c>
      <c r="K383">
        <v>95.58</v>
      </c>
      <c r="L383" t="s">
        <v>246</v>
      </c>
      <c r="M383" t="s">
        <v>171</v>
      </c>
      <c r="N383" t="s">
        <v>724</v>
      </c>
      <c r="O383">
        <v>-0.16170472847695497</v>
      </c>
      <c r="P383">
        <v>-52.204754541500151</v>
      </c>
      <c r="Q383" t="s">
        <v>254</v>
      </c>
    </row>
    <row r="384" spans="1:17" x14ac:dyDescent="0.25">
      <c r="A384" t="s">
        <v>111</v>
      </c>
      <c r="B384" t="s">
        <v>112</v>
      </c>
      <c r="C384">
        <v>160</v>
      </c>
      <c r="D384" t="s">
        <v>264</v>
      </c>
      <c r="E384" s="1">
        <v>43083</v>
      </c>
      <c r="F384" t="s">
        <v>17</v>
      </c>
      <c r="G384" t="s">
        <v>722</v>
      </c>
      <c r="H384">
        <v>150</v>
      </c>
      <c r="I384" t="s">
        <v>39</v>
      </c>
      <c r="J384">
        <v>0.74199999999999999</v>
      </c>
      <c r="K384">
        <v>95.58</v>
      </c>
      <c r="L384" t="s">
        <v>246</v>
      </c>
      <c r="M384" t="s">
        <v>171</v>
      </c>
      <c r="N384" t="s">
        <v>724</v>
      </c>
      <c r="O384">
        <v>9.17334520313422E-2</v>
      </c>
      <c r="P384">
        <v>43.375245458499847</v>
      </c>
      <c r="Q384" t="s">
        <v>254</v>
      </c>
    </row>
    <row r="385" spans="1:17" x14ac:dyDescent="0.25">
      <c r="A385" t="s">
        <v>111</v>
      </c>
      <c r="B385" t="s">
        <v>112</v>
      </c>
      <c r="C385">
        <v>160</v>
      </c>
      <c r="D385" t="s">
        <v>264</v>
      </c>
      <c r="E385" s="1">
        <v>43083</v>
      </c>
      <c r="F385" t="s">
        <v>252</v>
      </c>
      <c r="G385" t="s">
        <v>630</v>
      </c>
      <c r="H385">
        <v>-150</v>
      </c>
      <c r="I385" t="s">
        <v>39</v>
      </c>
      <c r="J385">
        <v>0.73756573727700003</v>
      </c>
      <c r="K385">
        <v>-110.63</v>
      </c>
      <c r="L385" t="s">
        <v>609</v>
      </c>
      <c r="M385" t="s">
        <v>171</v>
      </c>
      <c r="N385" t="s">
        <v>725</v>
      </c>
      <c r="O385">
        <v>-0.20832224799126547</v>
      </c>
      <c r="P385">
        <v>-67.254754541500148</v>
      </c>
      <c r="Q385" t="s">
        <v>254</v>
      </c>
    </row>
    <row r="386" spans="1:17" x14ac:dyDescent="0.25">
      <c r="A386" t="s">
        <v>111</v>
      </c>
      <c r="B386" t="s">
        <v>112</v>
      </c>
      <c r="C386">
        <v>160</v>
      </c>
      <c r="D386" t="s">
        <v>264</v>
      </c>
      <c r="E386" s="1">
        <v>43083</v>
      </c>
      <c r="F386" t="s">
        <v>252</v>
      </c>
      <c r="G386" t="s">
        <v>630</v>
      </c>
      <c r="H386">
        <v>-100</v>
      </c>
      <c r="I386" t="s">
        <v>39</v>
      </c>
      <c r="J386">
        <v>0.73756573727700003</v>
      </c>
      <c r="K386">
        <v>-73.760000000000005</v>
      </c>
      <c r="L386" t="s">
        <v>609</v>
      </c>
      <c r="M386" t="s">
        <v>171</v>
      </c>
      <c r="N386" t="s">
        <v>725</v>
      </c>
      <c r="O386">
        <v>-0.6328071914445349</v>
      </c>
      <c r="P386">
        <v>-141.01475454150017</v>
      </c>
      <c r="Q386" t="s">
        <v>254</v>
      </c>
    </row>
    <row r="387" spans="1:17" x14ac:dyDescent="0.25">
      <c r="A387" t="s">
        <v>111</v>
      </c>
      <c r="B387" t="s">
        <v>112</v>
      </c>
      <c r="C387">
        <v>160</v>
      </c>
      <c r="D387" t="s">
        <v>264</v>
      </c>
      <c r="E387" s="1">
        <v>43083</v>
      </c>
      <c r="F387" t="s">
        <v>17</v>
      </c>
      <c r="G387" t="s">
        <v>722</v>
      </c>
      <c r="H387">
        <v>100</v>
      </c>
      <c r="I387" t="s">
        <v>39</v>
      </c>
      <c r="J387">
        <v>0.74199999999999999</v>
      </c>
      <c r="K387">
        <v>63.72</v>
      </c>
      <c r="L387" t="s">
        <v>246</v>
      </c>
      <c r="M387" t="s">
        <v>171</v>
      </c>
      <c r="N387" t="s">
        <v>724</v>
      </c>
      <c r="O387">
        <v>-0.23942124439815438</v>
      </c>
      <c r="P387">
        <v>-77.294754541500168</v>
      </c>
      <c r="Q387" t="s">
        <v>254</v>
      </c>
    </row>
    <row r="388" spans="1:17" x14ac:dyDescent="0.25">
      <c r="A388" t="s">
        <v>111</v>
      </c>
      <c r="B388" t="s">
        <v>112</v>
      </c>
      <c r="C388">
        <v>160</v>
      </c>
      <c r="D388" t="s">
        <v>264</v>
      </c>
      <c r="E388" s="1">
        <v>43083</v>
      </c>
      <c r="F388" t="s">
        <v>17</v>
      </c>
      <c r="G388" t="s">
        <v>722</v>
      </c>
      <c r="H388">
        <v>150</v>
      </c>
      <c r="I388" t="s">
        <v>39</v>
      </c>
      <c r="J388">
        <v>0.74199999999999999</v>
      </c>
      <c r="K388">
        <v>95.58</v>
      </c>
      <c r="L388" t="s">
        <v>246</v>
      </c>
      <c r="M388" t="s">
        <v>171</v>
      </c>
      <c r="N388" t="s">
        <v>724</v>
      </c>
      <c r="O388">
        <v>3.867110536016375E-2</v>
      </c>
      <c r="P388">
        <v>18.28524545849983</v>
      </c>
      <c r="Q388" t="s">
        <v>254</v>
      </c>
    </row>
    <row r="389" spans="1:17" x14ac:dyDescent="0.25">
      <c r="A389" t="s">
        <v>111</v>
      </c>
      <c r="B389" t="s">
        <v>112</v>
      </c>
      <c r="C389">
        <v>160</v>
      </c>
      <c r="D389" t="s">
        <v>264</v>
      </c>
      <c r="E389" s="1">
        <v>43083</v>
      </c>
      <c r="F389" t="s">
        <v>252</v>
      </c>
      <c r="G389" t="s">
        <v>630</v>
      </c>
      <c r="H389">
        <v>-150</v>
      </c>
      <c r="I389" t="s">
        <v>39</v>
      </c>
      <c r="J389">
        <v>0.73756573727700003</v>
      </c>
      <c r="K389">
        <v>-110.63</v>
      </c>
      <c r="L389" t="s">
        <v>609</v>
      </c>
      <c r="M389" t="s">
        <v>171</v>
      </c>
      <c r="N389" t="s">
        <v>725</v>
      </c>
      <c r="O389">
        <v>-0.28603876391246486</v>
      </c>
      <c r="P389">
        <v>-92.344754541500166</v>
      </c>
      <c r="Q389" t="s">
        <v>254</v>
      </c>
    </row>
    <row r="390" spans="1:17" x14ac:dyDescent="0.25">
      <c r="A390" t="s">
        <v>111</v>
      </c>
      <c r="B390" t="s">
        <v>112</v>
      </c>
      <c r="C390">
        <v>160</v>
      </c>
      <c r="D390" t="s">
        <v>264</v>
      </c>
      <c r="E390" s="1">
        <v>43083</v>
      </c>
      <c r="F390" t="s">
        <v>252</v>
      </c>
      <c r="G390" t="s">
        <v>630</v>
      </c>
      <c r="H390">
        <v>-100</v>
      </c>
      <c r="I390" t="s">
        <v>39</v>
      </c>
      <c r="J390">
        <v>0.73756573727700003</v>
      </c>
      <c r="K390">
        <v>-73.760000000000005</v>
      </c>
      <c r="L390" t="s">
        <v>609</v>
      </c>
      <c r="M390" t="s">
        <v>171</v>
      </c>
      <c r="N390" t="s">
        <v>725</v>
      </c>
      <c r="O390">
        <v>-0.74539918570050323</v>
      </c>
      <c r="P390">
        <v>-166.10475454150017</v>
      </c>
      <c r="Q390" t="s">
        <v>254</v>
      </c>
    </row>
    <row r="391" spans="1:17" x14ac:dyDescent="0.25">
      <c r="A391" t="s">
        <v>111</v>
      </c>
      <c r="B391" t="s">
        <v>112</v>
      </c>
      <c r="C391">
        <v>160</v>
      </c>
      <c r="D391" t="s">
        <v>264</v>
      </c>
      <c r="E391" s="1">
        <v>43083</v>
      </c>
      <c r="F391" t="s">
        <v>17</v>
      </c>
      <c r="G391" t="s">
        <v>722</v>
      </c>
      <c r="H391">
        <v>100</v>
      </c>
      <c r="I391" t="s">
        <v>39</v>
      </c>
      <c r="J391">
        <v>0.74199999999999999</v>
      </c>
      <c r="K391">
        <v>63.72</v>
      </c>
      <c r="L391" t="s">
        <v>246</v>
      </c>
      <c r="M391" t="s">
        <v>171</v>
      </c>
      <c r="N391" t="s">
        <v>724</v>
      </c>
      <c r="O391">
        <v>-0.31713776031935376</v>
      </c>
      <c r="P391">
        <v>-102.38475454150017</v>
      </c>
      <c r="Q391" t="s">
        <v>254</v>
      </c>
    </row>
    <row r="392" spans="1:17" x14ac:dyDescent="0.25">
      <c r="A392" t="s">
        <v>111</v>
      </c>
      <c r="B392" t="s">
        <v>112</v>
      </c>
      <c r="C392">
        <v>160</v>
      </c>
      <c r="D392" t="s">
        <v>264</v>
      </c>
      <c r="E392" s="1">
        <v>43083</v>
      </c>
      <c r="F392" t="s">
        <v>17</v>
      </c>
      <c r="G392" t="s">
        <v>722</v>
      </c>
      <c r="H392">
        <v>150</v>
      </c>
      <c r="I392" t="s">
        <v>39</v>
      </c>
      <c r="J392">
        <v>0.74199999999999999</v>
      </c>
      <c r="K392">
        <v>95.58</v>
      </c>
      <c r="L392" t="s">
        <v>246</v>
      </c>
      <c r="M392" t="s">
        <v>171</v>
      </c>
      <c r="N392" t="s">
        <v>724</v>
      </c>
      <c r="O392">
        <v>-1.4391241311014663E-2</v>
      </c>
      <c r="P392">
        <v>-6.8047545415001736</v>
      </c>
      <c r="Q392" t="s">
        <v>254</v>
      </c>
    </row>
    <row r="393" spans="1:17" x14ac:dyDescent="0.25">
      <c r="A393" t="s">
        <v>111</v>
      </c>
      <c r="B393" t="s">
        <v>112</v>
      </c>
      <c r="C393">
        <v>160</v>
      </c>
      <c r="D393" t="s">
        <v>264</v>
      </c>
      <c r="E393" s="1">
        <v>43083</v>
      </c>
      <c r="F393" t="s">
        <v>252</v>
      </c>
      <c r="G393" t="s">
        <v>630</v>
      </c>
      <c r="H393">
        <v>-150</v>
      </c>
      <c r="I393" t="s">
        <v>39</v>
      </c>
      <c r="J393">
        <v>0.73756573727700003</v>
      </c>
      <c r="K393">
        <v>-110.63</v>
      </c>
      <c r="L393" t="s">
        <v>609</v>
      </c>
      <c r="M393" t="s">
        <v>171</v>
      </c>
      <c r="N393" t="s">
        <v>725</v>
      </c>
      <c r="O393">
        <v>-0.36375527983366424</v>
      </c>
      <c r="P393">
        <v>-117.43475454150017</v>
      </c>
      <c r="Q393" t="s">
        <v>254</v>
      </c>
    </row>
    <row r="394" spans="1:17" x14ac:dyDescent="0.25">
      <c r="A394" t="s">
        <v>111</v>
      </c>
      <c r="B394" t="s">
        <v>112</v>
      </c>
      <c r="C394">
        <v>160</v>
      </c>
      <c r="D394" t="s">
        <v>264</v>
      </c>
      <c r="E394" s="1">
        <v>43083</v>
      </c>
      <c r="F394" t="s">
        <v>252</v>
      </c>
      <c r="G394" t="s">
        <v>630</v>
      </c>
      <c r="H394">
        <v>-100</v>
      </c>
      <c r="I394" t="s">
        <v>39</v>
      </c>
      <c r="J394">
        <v>0.73756573727700003</v>
      </c>
      <c r="K394">
        <v>-73.760000000000005</v>
      </c>
      <c r="L394" t="s">
        <v>609</v>
      </c>
      <c r="M394" t="s">
        <v>171</v>
      </c>
      <c r="N394" t="s">
        <v>725</v>
      </c>
      <c r="O394">
        <v>-0.85799117995647167</v>
      </c>
      <c r="P394">
        <v>-191.19475454150017</v>
      </c>
      <c r="Q394" t="s">
        <v>254</v>
      </c>
    </row>
    <row r="395" spans="1:17" x14ac:dyDescent="0.25">
      <c r="A395" t="s">
        <v>111</v>
      </c>
      <c r="B395" t="s">
        <v>112</v>
      </c>
      <c r="C395">
        <v>160</v>
      </c>
      <c r="D395" t="s">
        <v>264</v>
      </c>
      <c r="E395" s="1">
        <v>43083</v>
      </c>
      <c r="F395" t="s">
        <v>17</v>
      </c>
      <c r="G395" t="s">
        <v>722</v>
      </c>
      <c r="H395">
        <v>100</v>
      </c>
      <c r="I395" t="s">
        <v>39</v>
      </c>
      <c r="J395">
        <v>0.74199999999999999</v>
      </c>
      <c r="K395">
        <v>63.72</v>
      </c>
      <c r="L395" t="s">
        <v>246</v>
      </c>
      <c r="M395" t="s">
        <v>171</v>
      </c>
      <c r="N395" t="s">
        <v>724</v>
      </c>
      <c r="O395">
        <v>-0.39485427624055308</v>
      </c>
      <c r="P395">
        <v>-127.47475454150018</v>
      </c>
      <c r="Q395" t="s">
        <v>254</v>
      </c>
    </row>
    <row r="396" spans="1:17" x14ac:dyDescent="0.25">
      <c r="A396" t="s">
        <v>111</v>
      </c>
      <c r="B396" t="s">
        <v>112</v>
      </c>
      <c r="C396">
        <v>160</v>
      </c>
      <c r="D396" t="s">
        <v>264</v>
      </c>
      <c r="E396" s="1">
        <v>43083</v>
      </c>
      <c r="F396" t="s">
        <v>17</v>
      </c>
      <c r="G396" t="s">
        <v>722</v>
      </c>
      <c r="H396">
        <v>100</v>
      </c>
      <c r="I396" t="s">
        <v>39</v>
      </c>
      <c r="J396">
        <v>0.74199999999999999</v>
      </c>
      <c r="K396">
        <v>63.72</v>
      </c>
      <c r="L396" t="s">
        <v>246</v>
      </c>
      <c r="M396" t="s">
        <v>171</v>
      </c>
      <c r="N396" t="s">
        <v>724</v>
      </c>
      <c r="O396">
        <v>-0.1507774915842876</v>
      </c>
      <c r="P396">
        <v>-63.754754541500176</v>
      </c>
      <c r="Q396" t="s">
        <v>254</v>
      </c>
    </row>
    <row r="397" spans="1:17" x14ac:dyDescent="0.25">
      <c r="A397" t="s">
        <v>111</v>
      </c>
      <c r="B397" t="s">
        <v>112</v>
      </c>
      <c r="C397">
        <v>160</v>
      </c>
      <c r="D397" t="s">
        <v>264</v>
      </c>
      <c r="E397" s="1">
        <v>43083</v>
      </c>
      <c r="F397" t="s">
        <v>252</v>
      </c>
      <c r="G397" t="s">
        <v>630</v>
      </c>
      <c r="H397">
        <v>-100</v>
      </c>
      <c r="I397" t="s">
        <v>39</v>
      </c>
      <c r="J397">
        <v>0.73756573727700003</v>
      </c>
      <c r="K397">
        <v>-73.760000000000005</v>
      </c>
      <c r="L397" t="s">
        <v>609</v>
      </c>
      <c r="M397" t="s">
        <v>171</v>
      </c>
      <c r="N397" t="s">
        <v>725</v>
      </c>
      <c r="O397">
        <v>-0.42595327264744193</v>
      </c>
      <c r="P397">
        <v>-137.51475454150017</v>
      </c>
      <c r="Q397" t="s">
        <v>254</v>
      </c>
    </row>
    <row r="398" spans="1:17" x14ac:dyDescent="0.25">
      <c r="A398" t="s">
        <v>111</v>
      </c>
      <c r="B398" t="s">
        <v>112</v>
      </c>
      <c r="C398">
        <v>160</v>
      </c>
      <c r="D398" t="s">
        <v>264</v>
      </c>
      <c r="E398" s="1">
        <v>43083</v>
      </c>
      <c r="F398" t="s">
        <v>252</v>
      </c>
      <c r="G398" t="s">
        <v>630</v>
      </c>
      <c r="H398">
        <v>-100</v>
      </c>
      <c r="I398" t="s">
        <v>39</v>
      </c>
      <c r="J398">
        <v>0.73756573727700003</v>
      </c>
      <c r="K398">
        <v>-73.760000000000005</v>
      </c>
      <c r="L398" t="s">
        <v>609</v>
      </c>
      <c r="M398" t="s">
        <v>171</v>
      </c>
      <c r="N398" t="s">
        <v>725</v>
      </c>
      <c r="O398">
        <v>-0.94810067555869737</v>
      </c>
      <c r="P398">
        <v>-211.27475454150016</v>
      </c>
      <c r="Q398" t="s">
        <v>254</v>
      </c>
    </row>
    <row r="399" spans="1:17" x14ac:dyDescent="0.25">
      <c r="A399" t="s">
        <v>111</v>
      </c>
      <c r="B399" t="s">
        <v>112</v>
      </c>
      <c r="C399">
        <v>160</v>
      </c>
      <c r="D399" t="s">
        <v>264</v>
      </c>
      <c r="E399" s="1">
        <v>43083</v>
      </c>
      <c r="F399" t="s">
        <v>17</v>
      </c>
      <c r="G399" t="s">
        <v>722</v>
      </c>
      <c r="H399">
        <v>100</v>
      </c>
      <c r="I399" t="s">
        <v>39</v>
      </c>
      <c r="J399">
        <v>0.74199999999999999</v>
      </c>
      <c r="K399">
        <v>63.72</v>
      </c>
      <c r="L399" t="s">
        <v>246</v>
      </c>
      <c r="M399" t="s">
        <v>171</v>
      </c>
      <c r="N399" t="s">
        <v>724</v>
      </c>
      <c r="O399">
        <v>-0.45705226905433077</v>
      </c>
      <c r="P399">
        <v>-147.55475454150016</v>
      </c>
      <c r="Q399" t="s">
        <v>254</v>
      </c>
    </row>
    <row r="400" spans="1:17" x14ac:dyDescent="0.25">
      <c r="A400" t="s">
        <v>111</v>
      </c>
      <c r="B400" t="s">
        <v>112</v>
      </c>
      <c r="C400">
        <v>160</v>
      </c>
      <c r="D400" t="s">
        <v>264</v>
      </c>
      <c r="E400" s="1">
        <v>43083</v>
      </c>
      <c r="F400" t="s">
        <v>17</v>
      </c>
      <c r="G400" t="s">
        <v>722</v>
      </c>
      <c r="H400">
        <v>100</v>
      </c>
      <c r="I400" t="s">
        <v>39</v>
      </c>
      <c r="J400">
        <v>0.74199999999999999</v>
      </c>
      <c r="K400">
        <v>63.72</v>
      </c>
      <c r="L400" t="s">
        <v>246</v>
      </c>
      <c r="M400" t="s">
        <v>171</v>
      </c>
      <c r="N400" t="s">
        <v>724</v>
      </c>
      <c r="O400">
        <v>-0.19826590327665347</v>
      </c>
      <c r="P400">
        <v>-83.83475454150016</v>
      </c>
      <c r="Q400" t="s">
        <v>254</v>
      </c>
    </row>
    <row r="401" spans="1:17" x14ac:dyDescent="0.25">
      <c r="A401" t="s">
        <v>111</v>
      </c>
      <c r="B401" t="s">
        <v>112</v>
      </c>
      <c r="C401">
        <v>160</v>
      </c>
      <c r="D401" t="s">
        <v>264</v>
      </c>
      <c r="E401" s="1">
        <v>43083</v>
      </c>
      <c r="F401" t="s">
        <v>252</v>
      </c>
      <c r="G401" t="s">
        <v>630</v>
      </c>
      <c r="H401">
        <v>-100</v>
      </c>
      <c r="I401" t="s">
        <v>39</v>
      </c>
      <c r="J401">
        <v>0.73756573727700003</v>
      </c>
      <c r="K401">
        <v>-73.760000000000005</v>
      </c>
      <c r="L401" t="s">
        <v>609</v>
      </c>
      <c r="M401" t="s">
        <v>171</v>
      </c>
      <c r="N401" t="s">
        <v>725</v>
      </c>
      <c r="O401">
        <v>-0.48815126546121962</v>
      </c>
      <c r="P401">
        <v>-157.59475454150015</v>
      </c>
      <c r="Q401" t="s">
        <v>254</v>
      </c>
    </row>
    <row r="402" spans="1:17" x14ac:dyDescent="0.25">
      <c r="A402" t="s">
        <v>111</v>
      </c>
      <c r="B402" t="s">
        <v>112</v>
      </c>
      <c r="C402">
        <v>160</v>
      </c>
      <c r="D402" t="s">
        <v>264</v>
      </c>
      <c r="E402" s="1">
        <v>43083</v>
      </c>
      <c r="F402" t="s">
        <v>252</v>
      </c>
      <c r="G402" t="s">
        <v>630</v>
      </c>
      <c r="H402">
        <v>-100</v>
      </c>
      <c r="I402" t="s">
        <v>39</v>
      </c>
      <c r="J402">
        <v>0.73756573727700003</v>
      </c>
      <c r="K402">
        <v>-73.760000000000005</v>
      </c>
      <c r="L402" t="s">
        <v>609</v>
      </c>
      <c r="M402" t="s">
        <v>171</v>
      </c>
      <c r="N402" t="s">
        <v>725</v>
      </c>
      <c r="O402">
        <v>-1.0382101711609231</v>
      </c>
      <c r="P402">
        <v>-231.35475454150014</v>
      </c>
      <c r="Q402" t="s">
        <v>254</v>
      </c>
    </row>
    <row r="403" spans="1:17" x14ac:dyDescent="0.25">
      <c r="A403" t="s">
        <v>111</v>
      </c>
      <c r="B403" t="s">
        <v>112</v>
      </c>
      <c r="C403">
        <v>160</v>
      </c>
      <c r="D403" t="s">
        <v>264</v>
      </c>
      <c r="E403" s="1">
        <v>43083</v>
      </c>
      <c r="F403" t="s">
        <v>17</v>
      </c>
      <c r="G403" t="s">
        <v>722</v>
      </c>
      <c r="H403">
        <v>100</v>
      </c>
      <c r="I403" t="s">
        <v>39</v>
      </c>
      <c r="J403">
        <v>0.74199999999999999</v>
      </c>
      <c r="K403">
        <v>63.72</v>
      </c>
      <c r="L403" t="s">
        <v>246</v>
      </c>
      <c r="M403" t="s">
        <v>171</v>
      </c>
      <c r="N403" t="s">
        <v>724</v>
      </c>
      <c r="O403">
        <v>-0.51925026186810841</v>
      </c>
      <c r="P403">
        <v>-167.63475454150014</v>
      </c>
      <c r="Q403" t="s">
        <v>254</v>
      </c>
    </row>
    <row r="404" spans="1:17" x14ac:dyDescent="0.25">
      <c r="A404" t="s">
        <v>111</v>
      </c>
      <c r="B404" t="s">
        <v>112</v>
      </c>
      <c r="C404">
        <v>160</v>
      </c>
      <c r="D404" t="s">
        <v>264</v>
      </c>
      <c r="E404" s="1">
        <v>43083</v>
      </c>
      <c r="F404" t="s">
        <v>17</v>
      </c>
      <c r="G404" t="s">
        <v>722</v>
      </c>
      <c r="H404">
        <v>100</v>
      </c>
      <c r="I404" t="s">
        <v>39</v>
      </c>
      <c r="J404">
        <v>0.74199999999999999</v>
      </c>
      <c r="K404">
        <v>63.72</v>
      </c>
      <c r="L404" t="s">
        <v>246</v>
      </c>
      <c r="M404" t="s">
        <v>171</v>
      </c>
      <c r="N404" t="s">
        <v>724</v>
      </c>
      <c r="O404">
        <v>-0.24575431496901934</v>
      </c>
      <c r="P404">
        <v>-103.91475454150014</v>
      </c>
      <c r="Q404" t="s">
        <v>254</v>
      </c>
    </row>
    <row r="405" spans="1:17" x14ac:dyDescent="0.25">
      <c r="A405" t="s">
        <v>111</v>
      </c>
      <c r="B405" t="s">
        <v>112</v>
      </c>
      <c r="C405">
        <v>160</v>
      </c>
      <c r="D405" t="s">
        <v>264</v>
      </c>
      <c r="E405" s="1">
        <v>43083</v>
      </c>
      <c r="F405" t="s">
        <v>252</v>
      </c>
      <c r="G405" t="s">
        <v>630</v>
      </c>
      <c r="H405">
        <v>-100</v>
      </c>
      <c r="I405" t="s">
        <v>39</v>
      </c>
      <c r="J405">
        <v>0.73756573727700003</v>
      </c>
      <c r="K405">
        <v>-73.760000000000005</v>
      </c>
      <c r="L405" t="s">
        <v>609</v>
      </c>
      <c r="M405" t="s">
        <v>171</v>
      </c>
      <c r="N405" t="s">
        <v>725</v>
      </c>
      <c r="O405">
        <v>-0.55034925827499726</v>
      </c>
      <c r="P405">
        <v>-177.67475454150014</v>
      </c>
      <c r="Q405" t="s">
        <v>254</v>
      </c>
    </row>
    <row r="406" spans="1:17" x14ac:dyDescent="0.25">
      <c r="A406" t="s">
        <v>111</v>
      </c>
      <c r="B406" t="s">
        <v>112</v>
      </c>
      <c r="C406">
        <v>160</v>
      </c>
      <c r="D406" t="s">
        <v>264</v>
      </c>
      <c r="E406" s="1">
        <v>43083</v>
      </c>
      <c r="F406" t="s">
        <v>252</v>
      </c>
      <c r="G406" t="s">
        <v>630</v>
      </c>
      <c r="H406">
        <v>-150</v>
      </c>
      <c r="I406" t="s">
        <v>39</v>
      </c>
      <c r="J406">
        <v>0.73756573727700003</v>
      </c>
      <c r="K406">
        <v>-110.63</v>
      </c>
      <c r="L406" t="s">
        <v>609</v>
      </c>
      <c r="M406" t="s">
        <v>171</v>
      </c>
      <c r="N406" t="s">
        <v>725</v>
      </c>
      <c r="O406">
        <v>-1.6680441711496186</v>
      </c>
      <c r="P406">
        <v>-288.30475454150013</v>
      </c>
      <c r="Q406" t="s">
        <v>254</v>
      </c>
    </row>
    <row r="407" spans="1:17" x14ac:dyDescent="0.25">
      <c r="A407" t="s">
        <v>111</v>
      </c>
      <c r="B407" t="s">
        <v>112</v>
      </c>
      <c r="C407">
        <v>160</v>
      </c>
      <c r="D407" t="s">
        <v>264</v>
      </c>
      <c r="E407" s="1">
        <v>43083</v>
      </c>
      <c r="F407" t="s">
        <v>17</v>
      </c>
      <c r="G407" t="s">
        <v>722</v>
      </c>
      <c r="H407">
        <v>150</v>
      </c>
      <c r="I407" t="s">
        <v>39</v>
      </c>
      <c r="J407">
        <v>0.74199999999999999</v>
      </c>
      <c r="K407">
        <v>95.58</v>
      </c>
      <c r="L407" t="s">
        <v>246</v>
      </c>
      <c r="M407" t="s">
        <v>171</v>
      </c>
      <c r="N407" t="s">
        <v>724</v>
      </c>
      <c r="O407">
        <v>-0.59696677778930785</v>
      </c>
      <c r="P407">
        <v>-192.72475454150015</v>
      </c>
      <c r="Q407" t="s">
        <v>254</v>
      </c>
    </row>
    <row r="408" spans="1:17" x14ac:dyDescent="0.25">
      <c r="A408" t="s">
        <v>111</v>
      </c>
      <c r="B408" t="s">
        <v>112</v>
      </c>
      <c r="C408">
        <v>160</v>
      </c>
      <c r="D408" t="s">
        <v>264</v>
      </c>
      <c r="E408" s="1">
        <v>43083</v>
      </c>
      <c r="F408" t="s">
        <v>17</v>
      </c>
      <c r="G408" t="s">
        <v>722</v>
      </c>
      <c r="H408">
        <v>150</v>
      </c>
      <c r="I408" t="s">
        <v>39</v>
      </c>
      <c r="J408">
        <v>0.74199999999999999</v>
      </c>
      <c r="K408">
        <v>95.58</v>
      </c>
      <c r="L408" t="s">
        <v>246</v>
      </c>
      <c r="M408" t="s">
        <v>171</v>
      </c>
      <c r="N408" t="s">
        <v>724</v>
      </c>
      <c r="O408">
        <v>-0.20544952741202127</v>
      </c>
      <c r="P408">
        <v>-97.144754541500149</v>
      </c>
      <c r="Q408" t="s">
        <v>254</v>
      </c>
    </row>
    <row r="409" spans="1:17" x14ac:dyDescent="0.25">
      <c r="A409" t="s">
        <v>111</v>
      </c>
      <c r="B409" t="s">
        <v>112</v>
      </c>
      <c r="C409">
        <v>160</v>
      </c>
      <c r="D409" t="s">
        <v>264</v>
      </c>
      <c r="E409" s="1">
        <v>43083</v>
      </c>
      <c r="F409" t="s">
        <v>252</v>
      </c>
      <c r="G409" t="s">
        <v>630</v>
      </c>
      <c r="H409">
        <v>-150</v>
      </c>
      <c r="I409" t="s">
        <v>39</v>
      </c>
      <c r="J409">
        <v>0.73756573727700003</v>
      </c>
      <c r="K409">
        <v>-110.63</v>
      </c>
      <c r="L409" t="s">
        <v>609</v>
      </c>
      <c r="M409" t="s">
        <v>171</v>
      </c>
      <c r="N409" t="s">
        <v>725</v>
      </c>
      <c r="O409">
        <v>-0.64358429730361832</v>
      </c>
      <c r="P409">
        <v>-207.77475454150016</v>
      </c>
      <c r="Q409" t="s">
        <v>254</v>
      </c>
    </row>
    <row r="410" spans="1:17" x14ac:dyDescent="0.25">
      <c r="A410" t="s">
        <v>111</v>
      </c>
      <c r="B410" t="s">
        <v>112</v>
      </c>
      <c r="C410">
        <v>160</v>
      </c>
      <c r="D410" t="s">
        <v>264</v>
      </c>
      <c r="E410" s="1">
        <v>43083</v>
      </c>
      <c r="F410" t="s">
        <v>252</v>
      </c>
      <c r="G410" t="s">
        <v>630</v>
      </c>
      <c r="H410">
        <v>-100</v>
      </c>
      <c r="I410" t="s">
        <v>39</v>
      </c>
      <c r="J410">
        <v>0.73756573727700003</v>
      </c>
      <c r="K410">
        <v>-73.760000000000005</v>
      </c>
      <c r="L410" t="s">
        <v>609</v>
      </c>
      <c r="M410" t="s">
        <v>171</v>
      </c>
      <c r="N410" t="s">
        <v>725</v>
      </c>
      <c r="O410">
        <v>-1.26339415967286</v>
      </c>
      <c r="P410">
        <v>-281.53475454150015</v>
      </c>
      <c r="Q410" t="s">
        <v>254</v>
      </c>
    </row>
    <row r="411" spans="1:17" x14ac:dyDescent="0.25">
      <c r="A411" t="s">
        <v>111</v>
      </c>
      <c r="B411" t="s">
        <v>112</v>
      </c>
      <c r="C411">
        <v>160</v>
      </c>
      <c r="D411" t="s">
        <v>264</v>
      </c>
      <c r="E411" s="1">
        <v>43083</v>
      </c>
      <c r="F411" t="s">
        <v>17</v>
      </c>
      <c r="G411" t="s">
        <v>722</v>
      </c>
      <c r="H411">
        <v>100</v>
      </c>
      <c r="I411" t="s">
        <v>39</v>
      </c>
      <c r="J411">
        <v>0.74199999999999999</v>
      </c>
      <c r="K411">
        <v>63.72</v>
      </c>
      <c r="L411" t="s">
        <v>246</v>
      </c>
      <c r="M411" t="s">
        <v>171</v>
      </c>
      <c r="N411" t="s">
        <v>724</v>
      </c>
      <c r="O411">
        <v>-0.67468329371050717</v>
      </c>
      <c r="P411">
        <v>-217.81475454150015</v>
      </c>
      <c r="Q411" t="s">
        <v>254</v>
      </c>
    </row>
    <row r="412" spans="1:17" x14ac:dyDescent="0.25">
      <c r="A412" t="s">
        <v>111</v>
      </c>
      <c r="B412" t="s">
        <v>112</v>
      </c>
      <c r="C412">
        <v>160</v>
      </c>
      <c r="D412" t="s">
        <v>264</v>
      </c>
      <c r="E412" s="1">
        <v>43083</v>
      </c>
      <c r="F412" t="s">
        <v>17</v>
      </c>
      <c r="G412" t="s">
        <v>722</v>
      </c>
      <c r="H412">
        <v>100</v>
      </c>
      <c r="I412" t="s">
        <v>39</v>
      </c>
      <c r="J412">
        <v>0.74199999999999999</v>
      </c>
      <c r="K412">
        <v>63.72</v>
      </c>
      <c r="L412" t="s">
        <v>246</v>
      </c>
      <c r="M412" t="s">
        <v>171</v>
      </c>
      <c r="N412" t="s">
        <v>724</v>
      </c>
      <c r="O412">
        <v>-0.36442804498510106</v>
      </c>
      <c r="P412">
        <v>-154.09475454150015</v>
      </c>
      <c r="Q412" t="s">
        <v>254</v>
      </c>
    </row>
    <row r="413" spans="1:17" x14ac:dyDescent="0.25">
      <c r="A413" t="s">
        <v>111</v>
      </c>
      <c r="B413" t="s">
        <v>112</v>
      </c>
      <c r="C413">
        <v>160</v>
      </c>
      <c r="D413" t="s">
        <v>264</v>
      </c>
      <c r="E413" s="1">
        <v>43083</v>
      </c>
      <c r="F413" t="s">
        <v>252</v>
      </c>
      <c r="G413" t="s">
        <v>630</v>
      </c>
      <c r="H413">
        <v>-100</v>
      </c>
      <c r="I413" t="s">
        <v>39</v>
      </c>
      <c r="J413">
        <v>0.73756573727700003</v>
      </c>
      <c r="K413">
        <v>-73.760000000000005</v>
      </c>
      <c r="L413" t="s">
        <v>609</v>
      </c>
      <c r="M413" t="s">
        <v>171</v>
      </c>
      <c r="N413" t="s">
        <v>725</v>
      </c>
      <c r="O413">
        <v>-0.70578229011739602</v>
      </c>
      <c r="P413">
        <v>-227.85475454150014</v>
      </c>
      <c r="Q413" t="s">
        <v>254</v>
      </c>
    </row>
    <row r="414" spans="1:17" x14ac:dyDescent="0.25">
      <c r="A414" t="s">
        <v>111</v>
      </c>
      <c r="B414" t="s">
        <v>112</v>
      </c>
      <c r="C414">
        <v>160</v>
      </c>
      <c r="D414" t="s">
        <v>264</v>
      </c>
      <c r="E414" s="1">
        <v>43083</v>
      </c>
      <c r="F414" t="s">
        <v>252</v>
      </c>
      <c r="G414" t="s">
        <v>630</v>
      </c>
      <c r="H414">
        <v>-150</v>
      </c>
      <c r="I414" t="s">
        <v>39</v>
      </c>
      <c r="J414">
        <v>0.73756573727700003</v>
      </c>
      <c r="K414">
        <v>-110.63</v>
      </c>
      <c r="L414" t="s">
        <v>609</v>
      </c>
      <c r="M414" t="s">
        <v>171</v>
      </c>
      <c r="N414" t="s">
        <v>725</v>
      </c>
      <c r="O414">
        <v>-1.958370484503009</v>
      </c>
      <c r="P414">
        <v>-338.48475454150014</v>
      </c>
      <c r="Q414" t="s">
        <v>254</v>
      </c>
    </row>
    <row r="415" spans="1:17" x14ac:dyDescent="0.25">
      <c r="A415" t="s">
        <v>111</v>
      </c>
      <c r="B415" t="s">
        <v>112</v>
      </c>
      <c r="C415">
        <v>160</v>
      </c>
      <c r="D415" t="s">
        <v>264</v>
      </c>
      <c r="E415" s="1">
        <v>43083</v>
      </c>
      <c r="F415" t="s">
        <v>17</v>
      </c>
      <c r="G415" t="s">
        <v>722</v>
      </c>
      <c r="H415">
        <v>150</v>
      </c>
      <c r="I415" t="s">
        <v>39</v>
      </c>
      <c r="J415">
        <v>0.74199999999999999</v>
      </c>
      <c r="K415">
        <v>95.58</v>
      </c>
      <c r="L415" t="s">
        <v>246</v>
      </c>
      <c r="M415" t="s">
        <v>171</v>
      </c>
      <c r="N415" t="s">
        <v>724</v>
      </c>
      <c r="O415">
        <v>-0.7523998096317065</v>
      </c>
      <c r="P415">
        <v>-242.90475454150015</v>
      </c>
      <c r="Q415" t="s">
        <v>254</v>
      </c>
    </row>
    <row r="416" spans="1:17" x14ac:dyDescent="0.25">
      <c r="A416" t="s">
        <v>111</v>
      </c>
      <c r="B416" t="s">
        <v>112</v>
      </c>
      <c r="C416">
        <v>160</v>
      </c>
      <c r="D416" t="s">
        <v>264</v>
      </c>
      <c r="E416" s="1">
        <v>43083</v>
      </c>
      <c r="F416" t="s">
        <v>17</v>
      </c>
      <c r="G416" t="s">
        <v>722</v>
      </c>
      <c r="H416">
        <v>150</v>
      </c>
      <c r="I416" t="s">
        <v>39</v>
      </c>
      <c r="J416">
        <v>0.74199999999999999</v>
      </c>
      <c r="K416">
        <v>95.58</v>
      </c>
      <c r="L416" t="s">
        <v>246</v>
      </c>
      <c r="M416" t="s">
        <v>171</v>
      </c>
      <c r="N416" t="s">
        <v>724</v>
      </c>
      <c r="O416">
        <v>-0.31157422075437813</v>
      </c>
      <c r="P416">
        <v>-147.32475454150017</v>
      </c>
      <c r="Q416" t="s">
        <v>254</v>
      </c>
    </row>
    <row r="417" spans="1:17" x14ac:dyDescent="0.25">
      <c r="A417" t="s">
        <v>111</v>
      </c>
      <c r="B417" t="s">
        <v>112</v>
      </c>
      <c r="C417">
        <v>160</v>
      </c>
      <c r="D417" t="s">
        <v>264</v>
      </c>
      <c r="E417" s="1">
        <v>43083</v>
      </c>
      <c r="F417" t="s">
        <v>252</v>
      </c>
      <c r="G417" t="s">
        <v>630</v>
      </c>
      <c r="H417">
        <v>-150</v>
      </c>
      <c r="I417" t="s">
        <v>39</v>
      </c>
      <c r="J417">
        <v>0.73756573727700003</v>
      </c>
      <c r="K417">
        <v>-110.63</v>
      </c>
      <c r="L417" t="s">
        <v>609</v>
      </c>
      <c r="M417" t="s">
        <v>171</v>
      </c>
      <c r="N417" t="s">
        <v>725</v>
      </c>
      <c r="O417">
        <v>-0.79901732914601709</v>
      </c>
      <c r="P417">
        <v>-257.95475454150017</v>
      </c>
      <c r="Q417" t="s">
        <v>254</v>
      </c>
    </row>
    <row r="418" spans="1:17" x14ac:dyDescent="0.25">
      <c r="A418" t="s">
        <v>111</v>
      </c>
      <c r="B418" t="s">
        <v>112</v>
      </c>
      <c r="C418">
        <v>160</v>
      </c>
      <c r="D418" t="s">
        <v>264</v>
      </c>
      <c r="E418" s="1">
        <v>43083</v>
      </c>
      <c r="F418" t="s">
        <v>252</v>
      </c>
      <c r="G418" t="s">
        <v>630</v>
      </c>
      <c r="H418">
        <v>-150</v>
      </c>
      <c r="I418" t="s">
        <v>39</v>
      </c>
      <c r="J418">
        <v>0.73756573727700003</v>
      </c>
      <c r="K418">
        <v>-110.63</v>
      </c>
      <c r="L418" t="s">
        <v>609</v>
      </c>
      <c r="M418" t="s">
        <v>171</v>
      </c>
      <c r="N418" t="s">
        <v>725</v>
      </c>
      <c r="O418">
        <v>-2.1325199869330023</v>
      </c>
      <c r="P418">
        <v>-368.58475454150016</v>
      </c>
      <c r="Q418" t="s">
        <v>254</v>
      </c>
    </row>
    <row r="419" spans="1:17" x14ac:dyDescent="0.25">
      <c r="A419" t="s">
        <v>111</v>
      </c>
      <c r="B419" t="s">
        <v>112</v>
      </c>
      <c r="C419">
        <v>160</v>
      </c>
      <c r="D419" t="s">
        <v>264</v>
      </c>
      <c r="E419" s="1">
        <v>43083</v>
      </c>
      <c r="F419" t="s">
        <v>17</v>
      </c>
      <c r="G419" t="s">
        <v>722</v>
      </c>
      <c r="H419">
        <v>150</v>
      </c>
      <c r="I419" t="s">
        <v>39</v>
      </c>
      <c r="J419">
        <v>0.74199999999999999</v>
      </c>
      <c r="K419">
        <v>95.58</v>
      </c>
      <c r="L419" t="s">
        <v>246</v>
      </c>
      <c r="M419" t="s">
        <v>171</v>
      </c>
      <c r="N419" t="s">
        <v>724</v>
      </c>
      <c r="O419">
        <v>-0.84563484866032756</v>
      </c>
      <c r="P419">
        <v>-273.00475454150018</v>
      </c>
      <c r="Q419" t="s">
        <v>254</v>
      </c>
    </row>
    <row r="420" spans="1:17" x14ac:dyDescent="0.25">
      <c r="A420" t="s">
        <v>111</v>
      </c>
      <c r="B420" t="s">
        <v>112</v>
      </c>
      <c r="C420">
        <v>160</v>
      </c>
      <c r="D420" t="s">
        <v>264</v>
      </c>
      <c r="E420" s="1">
        <v>43083</v>
      </c>
      <c r="F420" t="s">
        <v>17</v>
      </c>
      <c r="G420" t="s">
        <v>722</v>
      </c>
      <c r="H420">
        <v>150</v>
      </c>
      <c r="I420" t="s">
        <v>39</v>
      </c>
      <c r="J420">
        <v>0.74219999999999997</v>
      </c>
      <c r="K420">
        <v>95.58</v>
      </c>
      <c r="L420" t="s">
        <v>246</v>
      </c>
      <c r="M420" t="s">
        <v>171</v>
      </c>
      <c r="N420" t="s">
        <v>724</v>
      </c>
      <c r="O420">
        <v>-0.37523211771741005</v>
      </c>
      <c r="P420">
        <v>-177.42475454150019</v>
      </c>
      <c r="Q420" t="s">
        <v>254</v>
      </c>
    </row>
    <row r="421" spans="1:17" x14ac:dyDescent="0.25">
      <c r="A421" t="s">
        <v>111</v>
      </c>
      <c r="B421" t="s">
        <v>112</v>
      </c>
      <c r="C421">
        <v>160</v>
      </c>
      <c r="D421" t="s">
        <v>264</v>
      </c>
      <c r="E421" s="1">
        <v>43083</v>
      </c>
      <c r="F421" t="s">
        <v>252</v>
      </c>
      <c r="G421" t="s">
        <v>630</v>
      </c>
      <c r="H421">
        <v>-150</v>
      </c>
      <c r="I421" t="s">
        <v>39</v>
      </c>
      <c r="J421">
        <v>0.73756573727700003</v>
      </c>
      <c r="K421">
        <v>-110.63</v>
      </c>
      <c r="L421" t="s">
        <v>609</v>
      </c>
      <c r="M421" t="s">
        <v>171</v>
      </c>
      <c r="N421" t="s">
        <v>725</v>
      </c>
      <c r="O421">
        <v>-0.89225236817463804</v>
      </c>
      <c r="P421">
        <v>-288.05475454150019</v>
      </c>
      <c r="Q421" t="s">
        <v>254</v>
      </c>
    </row>
    <row r="422" spans="1:17" x14ac:dyDescent="0.25">
      <c r="A422" t="s">
        <v>111</v>
      </c>
      <c r="B422" t="s">
        <v>112</v>
      </c>
      <c r="C422">
        <v>160</v>
      </c>
      <c r="D422" t="s">
        <v>264</v>
      </c>
      <c r="E422" s="1">
        <v>43084</v>
      </c>
      <c r="F422" t="s">
        <v>21</v>
      </c>
      <c r="G422" t="s">
        <v>1869</v>
      </c>
      <c r="H422">
        <v>2.66</v>
      </c>
      <c r="I422" t="s">
        <v>39</v>
      </c>
      <c r="J422">
        <v>0</v>
      </c>
      <c r="M422" t="s">
        <v>170</v>
      </c>
      <c r="N422" t="s">
        <v>1870</v>
      </c>
    </row>
    <row r="423" spans="1:17" x14ac:dyDescent="0.25">
      <c r="A423" t="s">
        <v>111</v>
      </c>
      <c r="B423" t="s">
        <v>112</v>
      </c>
      <c r="C423">
        <v>160</v>
      </c>
      <c r="D423" t="s">
        <v>264</v>
      </c>
      <c r="E423" s="1">
        <v>43084</v>
      </c>
      <c r="F423" t="s">
        <v>21</v>
      </c>
      <c r="G423" t="s">
        <v>1869</v>
      </c>
      <c r="H423">
        <v>2.66</v>
      </c>
      <c r="I423" t="s">
        <v>39</v>
      </c>
      <c r="J423">
        <v>0</v>
      </c>
      <c r="M423" t="s">
        <v>255</v>
      </c>
      <c r="N423" t="s">
        <v>1870</v>
      </c>
      <c r="O423">
        <v>-0.88496084344546888</v>
      </c>
      <c r="P423">
        <v>-288.05475454150019</v>
      </c>
      <c r="Q423" t="s">
        <v>249</v>
      </c>
    </row>
    <row r="424" spans="1:17" x14ac:dyDescent="0.25">
      <c r="A424" t="s">
        <v>111</v>
      </c>
      <c r="B424" t="s">
        <v>112</v>
      </c>
      <c r="C424">
        <v>160</v>
      </c>
      <c r="D424" t="s">
        <v>264</v>
      </c>
      <c r="E424" s="1">
        <v>43087</v>
      </c>
      <c r="F424" t="s">
        <v>252</v>
      </c>
      <c r="G424" t="s">
        <v>726</v>
      </c>
      <c r="H424">
        <v>-8</v>
      </c>
      <c r="I424" t="s">
        <v>39</v>
      </c>
      <c r="J424">
        <v>0</v>
      </c>
      <c r="M424" t="s">
        <v>170</v>
      </c>
      <c r="N424" t="s">
        <v>728</v>
      </c>
      <c r="Q424" t="s">
        <v>254</v>
      </c>
    </row>
    <row r="425" spans="1:17" x14ac:dyDescent="0.25">
      <c r="A425" t="s">
        <v>111</v>
      </c>
      <c r="B425" t="s">
        <v>112</v>
      </c>
      <c r="C425">
        <v>160</v>
      </c>
      <c r="D425" t="s">
        <v>264</v>
      </c>
      <c r="E425" s="1">
        <v>43087</v>
      </c>
      <c r="F425" t="s">
        <v>252</v>
      </c>
      <c r="G425" t="s">
        <v>726</v>
      </c>
      <c r="H425">
        <v>-8</v>
      </c>
      <c r="I425" t="s">
        <v>39</v>
      </c>
      <c r="J425">
        <v>0.73744035887299997</v>
      </c>
      <c r="K425">
        <v>-5.9</v>
      </c>
      <c r="L425" t="s">
        <v>609</v>
      </c>
      <c r="M425" t="s">
        <v>171</v>
      </c>
      <c r="N425" t="s">
        <v>728</v>
      </c>
      <c r="O425">
        <v>-0.92584174658740193</v>
      </c>
      <c r="P425">
        <v>-293.95475454150017</v>
      </c>
      <c r="Q425" t="s">
        <v>254</v>
      </c>
    </row>
    <row r="426" spans="1:17" x14ac:dyDescent="0.25">
      <c r="A426" t="s">
        <v>111</v>
      </c>
      <c r="B426" t="s">
        <v>112</v>
      </c>
      <c r="C426">
        <v>160</v>
      </c>
      <c r="D426" t="s">
        <v>264</v>
      </c>
      <c r="E426" s="1">
        <v>43089</v>
      </c>
      <c r="F426" t="s">
        <v>21</v>
      </c>
      <c r="G426" t="s">
        <v>2267</v>
      </c>
      <c r="H426">
        <v>-4.5999999999999996</v>
      </c>
      <c r="I426" t="s">
        <v>39</v>
      </c>
      <c r="J426">
        <v>0</v>
      </c>
      <c r="M426" t="s">
        <v>170</v>
      </c>
      <c r="N426" t="s">
        <v>2268</v>
      </c>
    </row>
    <row r="427" spans="1:17" x14ac:dyDescent="0.25">
      <c r="A427" t="s">
        <v>111</v>
      </c>
      <c r="B427" t="s">
        <v>112</v>
      </c>
      <c r="C427">
        <v>160</v>
      </c>
      <c r="D427" t="s">
        <v>264</v>
      </c>
      <c r="E427" s="1">
        <v>43089</v>
      </c>
      <c r="F427" t="s">
        <v>21</v>
      </c>
      <c r="G427" t="s">
        <v>2267</v>
      </c>
      <c r="H427">
        <v>-4.5999999999999996</v>
      </c>
      <c r="I427" t="s">
        <v>39</v>
      </c>
      <c r="J427">
        <v>-0.92584174658740193</v>
      </c>
      <c r="K427">
        <v>4.2588720343020485</v>
      </c>
      <c r="M427" t="s">
        <v>255</v>
      </c>
      <c r="N427" t="s">
        <v>2268</v>
      </c>
      <c r="O427">
        <v>-0.92584174658740204</v>
      </c>
      <c r="P427">
        <v>-289.69588250719812</v>
      </c>
      <c r="Q427" t="s">
        <v>249</v>
      </c>
    </row>
    <row r="428" spans="1:17" x14ac:dyDescent="0.25">
      <c r="A428" t="s">
        <v>111</v>
      </c>
      <c r="B428" t="s">
        <v>112</v>
      </c>
      <c r="C428">
        <v>160</v>
      </c>
      <c r="D428" t="s">
        <v>264</v>
      </c>
      <c r="E428" s="1">
        <v>43089</v>
      </c>
      <c r="F428" t="s">
        <v>21</v>
      </c>
      <c r="G428" t="s">
        <v>2267</v>
      </c>
      <c r="H428">
        <v>-0.9</v>
      </c>
      <c r="I428" t="s">
        <v>39</v>
      </c>
      <c r="J428">
        <v>0</v>
      </c>
      <c r="M428" t="s">
        <v>170</v>
      </c>
      <c r="N428" t="s">
        <v>2269</v>
      </c>
    </row>
    <row r="429" spans="1:17" x14ac:dyDescent="0.25">
      <c r="A429" t="s">
        <v>111</v>
      </c>
      <c r="B429" t="s">
        <v>112</v>
      </c>
      <c r="C429">
        <v>160</v>
      </c>
      <c r="D429" t="s">
        <v>264</v>
      </c>
      <c r="E429" s="1">
        <v>43089</v>
      </c>
      <c r="F429" t="s">
        <v>21</v>
      </c>
      <c r="G429" t="s">
        <v>2267</v>
      </c>
      <c r="H429">
        <v>-0.9</v>
      </c>
      <c r="I429" t="s">
        <v>39</v>
      </c>
      <c r="J429">
        <v>-0.92584174658740204</v>
      </c>
      <c r="K429">
        <v>0.8332575719286619</v>
      </c>
      <c r="M429" t="s">
        <v>255</v>
      </c>
      <c r="N429" t="s">
        <v>2269</v>
      </c>
      <c r="O429">
        <v>-0.92584174658740204</v>
      </c>
      <c r="P429">
        <v>-288.86262493526948</v>
      </c>
      <c r="Q429" t="s">
        <v>249</v>
      </c>
    </row>
    <row r="430" spans="1:17" x14ac:dyDescent="0.25">
      <c r="A430" t="s">
        <v>111</v>
      </c>
      <c r="B430" t="s">
        <v>112</v>
      </c>
      <c r="C430">
        <v>160</v>
      </c>
      <c r="D430" t="s">
        <v>264</v>
      </c>
      <c r="E430" s="1">
        <v>43089</v>
      </c>
      <c r="F430" t="s">
        <v>21</v>
      </c>
      <c r="G430" t="s">
        <v>2267</v>
      </c>
      <c r="H430">
        <v>-1.8699999999999999</v>
      </c>
      <c r="I430" t="s">
        <v>39</v>
      </c>
      <c r="J430">
        <v>0</v>
      </c>
      <c r="M430" t="s">
        <v>170</v>
      </c>
      <c r="N430" t="s">
        <v>2270</v>
      </c>
    </row>
    <row r="431" spans="1:17" x14ac:dyDescent="0.25">
      <c r="A431" t="s">
        <v>111</v>
      </c>
      <c r="B431" t="s">
        <v>112</v>
      </c>
      <c r="C431">
        <v>160</v>
      </c>
      <c r="D431" t="s">
        <v>264</v>
      </c>
      <c r="E431" s="1">
        <v>43089</v>
      </c>
      <c r="F431" t="s">
        <v>21</v>
      </c>
      <c r="G431" t="s">
        <v>2267</v>
      </c>
      <c r="H431">
        <v>-1.8699999999999999</v>
      </c>
      <c r="I431" t="s">
        <v>39</v>
      </c>
      <c r="J431">
        <v>-0.92584174658740204</v>
      </c>
      <c r="K431">
        <v>1.7313240661184417</v>
      </c>
      <c r="M431" t="s">
        <v>255</v>
      </c>
      <c r="N431" t="s">
        <v>2270</v>
      </c>
      <c r="O431">
        <v>-0.92584174658740215</v>
      </c>
      <c r="P431">
        <v>-287.13130086915106</v>
      </c>
      <c r="Q431" t="s">
        <v>249</v>
      </c>
    </row>
    <row r="432" spans="1:17" x14ac:dyDescent="0.25">
      <c r="A432" t="s">
        <v>111</v>
      </c>
      <c r="B432" t="s">
        <v>112</v>
      </c>
      <c r="C432">
        <v>160</v>
      </c>
      <c r="D432" t="s">
        <v>264</v>
      </c>
      <c r="E432" s="1">
        <v>43089</v>
      </c>
      <c r="F432" t="s">
        <v>21</v>
      </c>
      <c r="G432" t="s">
        <v>2267</v>
      </c>
      <c r="H432">
        <v>-0.25</v>
      </c>
      <c r="I432" t="s">
        <v>39</v>
      </c>
      <c r="J432">
        <v>0</v>
      </c>
      <c r="M432" t="s">
        <v>170</v>
      </c>
      <c r="N432" t="s">
        <v>2271</v>
      </c>
    </row>
    <row r="433" spans="1:17" x14ac:dyDescent="0.25">
      <c r="A433" t="s">
        <v>111</v>
      </c>
      <c r="B433" t="s">
        <v>112</v>
      </c>
      <c r="C433">
        <v>160</v>
      </c>
      <c r="D433" t="s">
        <v>264</v>
      </c>
      <c r="E433" s="1">
        <v>43089</v>
      </c>
      <c r="F433" t="s">
        <v>21</v>
      </c>
      <c r="G433" t="s">
        <v>2267</v>
      </c>
      <c r="H433">
        <v>-0.25</v>
      </c>
      <c r="I433" t="s">
        <v>39</v>
      </c>
      <c r="J433">
        <v>-0.92584174658740215</v>
      </c>
      <c r="K433">
        <v>0.23146043664685054</v>
      </c>
      <c r="M433" t="s">
        <v>255</v>
      </c>
      <c r="N433" t="s">
        <v>2271</v>
      </c>
      <c r="O433">
        <v>-0.92584174658740215</v>
      </c>
      <c r="P433">
        <v>-286.89984043250422</v>
      </c>
      <c r="Q433" t="s">
        <v>249</v>
      </c>
    </row>
    <row r="434" spans="1:17" x14ac:dyDescent="0.25">
      <c r="A434" t="s">
        <v>111</v>
      </c>
      <c r="B434" t="s">
        <v>112</v>
      </c>
      <c r="C434">
        <v>160</v>
      </c>
      <c r="D434" t="s">
        <v>264</v>
      </c>
      <c r="E434" s="1">
        <v>43089</v>
      </c>
      <c r="F434" t="s">
        <v>21</v>
      </c>
      <c r="G434" t="s">
        <v>2267</v>
      </c>
      <c r="H434">
        <v>-3.6700000000000004</v>
      </c>
      <c r="I434" t="s">
        <v>39</v>
      </c>
      <c r="J434">
        <v>0</v>
      </c>
      <c r="M434" t="s">
        <v>170</v>
      </c>
      <c r="N434" t="s">
        <v>2272</v>
      </c>
    </row>
    <row r="435" spans="1:17" x14ac:dyDescent="0.25">
      <c r="A435" t="s">
        <v>111</v>
      </c>
      <c r="B435" t="s">
        <v>112</v>
      </c>
      <c r="C435">
        <v>160</v>
      </c>
      <c r="D435" t="s">
        <v>264</v>
      </c>
      <c r="E435" s="1">
        <v>43089</v>
      </c>
      <c r="F435" t="s">
        <v>21</v>
      </c>
      <c r="G435" t="s">
        <v>2267</v>
      </c>
      <c r="H435">
        <v>-3.6700000000000004</v>
      </c>
      <c r="I435" t="s">
        <v>39</v>
      </c>
      <c r="J435">
        <v>-0.92584174658740215</v>
      </c>
      <c r="K435">
        <v>3.3978392099757664</v>
      </c>
      <c r="M435" t="s">
        <v>255</v>
      </c>
      <c r="N435" t="s">
        <v>2272</v>
      </c>
      <c r="O435">
        <v>-0.92584174658740226</v>
      </c>
      <c r="P435">
        <v>-283.50200122252846</v>
      </c>
      <c r="Q435" t="s">
        <v>249</v>
      </c>
    </row>
    <row r="436" spans="1:17" x14ac:dyDescent="0.25">
      <c r="A436" t="s">
        <v>111</v>
      </c>
      <c r="B436" t="s">
        <v>112</v>
      </c>
      <c r="C436">
        <v>160</v>
      </c>
      <c r="D436" t="s">
        <v>264</v>
      </c>
      <c r="E436" s="1">
        <v>43089</v>
      </c>
      <c r="F436" t="s">
        <v>21</v>
      </c>
      <c r="G436" t="s">
        <v>2267</v>
      </c>
      <c r="H436">
        <v>-3.35</v>
      </c>
      <c r="I436" t="s">
        <v>39</v>
      </c>
      <c r="J436">
        <v>0</v>
      </c>
      <c r="M436" t="s">
        <v>170</v>
      </c>
      <c r="N436" t="s">
        <v>2273</v>
      </c>
    </row>
    <row r="437" spans="1:17" x14ac:dyDescent="0.25">
      <c r="A437" t="s">
        <v>111</v>
      </c>
      <c r="B437" t="s">
        <v>112</v>
      </c>
      <c r="C437">
        <v>160</v>
      </c>
      <c r="D437" t="s">
        <v>264</v>
      </c>
      <c r="E437" s="1">
        <v>43089</v>
      </c>
      <c r="F437" t="s">
        <v>21</v>
      </c>
      <c r="G437" t="s">
        <v>2267</v>
      </c>
      <c r="H437">
        <v>-3.35</v>
      </c>
      <c r="I437" t="s">
        <v>39</v>
      </c>
      <c r="J437">
        <v>-0.92584174658740226</v>
      </c>
      <c r="K437">
        <v>3.1015698510677976</v>
      </c>
      <c r="M437" t="s">
        <v>255</v>
      </c>
      <c r="N437" t="s">
        <v>2273</v>
      </c>
      <c r="O437">
        <v>-0.92584174658740237</v>
      </c>
      <c r="P437">
        <v>-280.40043137146068</v>
      </c>
      <c r="Q437" t="s">
        <v>249</v>
      </c>
    </row>
    <row r="438" spans="1:17" x14ac:dyDescent="0.25">
      <c r="A438" t="s">
        <v>111</v>
      </c>
      <c r="B438" t="s">
        <v>112</v>
      </c>
      <c r="C438">
        <v>160</v>
      </c>
      <c r="D438" t="s">
        <v>264</v>
      </c>
      <c r="E438" s="1">
        <v>43089</v>
      </c>
      <c r="F438" t="s">
        <v>21</v>
      </c>
      <c r="G438" t="s">
        <v>2267</v>
      </c>
      <c r="H438">
        <v>-1.17</v>
      </c>
      <c r="I438" t="s">
        <v>39</v>
      </c>
      <c r="J438">
        <v>0</v>
      </c>
      <c r="M438" t="s">
        <v>170</v>
      </c>
      <c r="N438" t="s">
        <v>2274</v>
      </c>
    </row>
    <row r="439" spans="1:17" x14ac:dyDescent="0.25">
      <c r="A439" t="s">
        <v>111</v>
      </c>
      <c r="B439" t="s">
        <v>112</v>
      </c>
      <c r="C439">
        <v>160</v>
      </c>
      <c r="D439" t="s">
        <v>264</v>
      </c>
      <c r="E439" s="1">
        <v>43089</v>
      </c>
      <c r="F439" t="s">
        <v>21</v>
      </c>
      <c r="G439" t="s">
        <v>2267</v>
      </c>
      <c r="H439">
        <v>-1.17</v>
      </c>
      <c r="I439" t="s">
        <v>39</v>
      </c>
      <c r="J439">
        <v>-0.92584174658740237</v>
      </c>
      <c r="K439">
        <v>1.0832348435072607</v>
      </c>
      <c r="M439" t="s">
        <v>255</v>
      </c>
      <c r="N439" t="s">
        <v>2274</v>
      </c>
      <c r="O439">
        <v>-0.92584174658740226</v>
      </c>
      <c r="P439">
        <v>-279.3171965279534</v>
      </c>
      <c r="Q439" t="s">
        <v>249</v>
      </c>
    </row>
    <row r="440" spans="1:17" x14ac:dyDescent="0.25">
      <c r="A440" t="s">
        <v>111</v>
      </c>
      <c r="B440" t="s">
        <v>112</v>
      </c>
      <c r="C440">
        <v>160</v>
      </c>
      <c r="D440" t="s">
        <v>264</v>
      </c>
      <c r="E440" s="1">
        <v>43089</v>
      </c>
      <c r="F440" t="s">
        <v>21</v>
      </c>
      <c r="G440" t="s">
        <v>2267</v>
      </c>
      <c r="H440">
        <v>-0.34</v>
      </c>
      <c r="I440" t="s">
        <v>39</v>
      </c>
      <c r="J440">
        <v>0</v>
      </c>
      <c r="M440" t="s">
        <v>170</v>
      </c>
      <c r="N440" t="s">
        <v>2275</v>
      </c>
    </row>
    <row r="441" spans="1:17" x14ac:dyDescent="0.25">
      <c r="A441" t="s">
        <v>111</v>
      </c>
      <c r="B441" t="s">
        <v>112</v>
      </c>
      <c r="C441">
        <v>160</v>
      </c>
      <c r="D441" t="s">
        <v>264</v>
      </c>
      <c r="E441" s="1">
        <v>43089</v>
      </c>
      <c r="F441" t="s">
        <v>21</v>
      </c>
      <c r="G441" t="s">
        <v>2267</v>
      </c>
      <c r="H441">
        <v>-0.34</v>
      </c>
      <c r="I441" t="s">
        <v>39</v>
      </c>
      <c r="J441">
        <v>-0.92584174658740226</v>
      </c>
      <c r="K441">
        <v>0.31478619383971679</v>
      </c>
      <c r="M441" t="s">
        <v>255</v>
      </c>
      <c r="N441" t="s">
        <v>2275</v>
      </c>
      <c r="O441">
        <v>-0.92584174658740226</v>
      </c>
      <c r="P441">
        <v>-279.00241033411368</v>
      </c>
      <c r="Q441" t="s">
        <v>249</v>
      </c>
    </row>
    <row r="442" spans="1:17" x14ac:dyDescent="0.25">
      <c r="A442" t="s">
        <v>111</v>
      </c>
      <c r="B442" t="s">
        <v>112</v>
      </c>
      <c r="C442">
        <v>160</v>
      </c>
      <c r="D442" t="s">
        <v>264</v>
      </c>
      <c r="E442" s="1">
        <v>43089</v>
      </c>
      <c r="F442" t="s">
        <v>21</v>
      </c>
      <c r="G442" t="s">
        <v>2267</v>
      </c>
      <c r="H442">
        <v>-1.35</v>
      </c>
      <c r="I442" t="s">
        <v>39</v>
      </c>
      <c r="J442">
        <v>0</v>
      </c>
      <c r="M442" t="s">
        <v>170</v>
      </c>
      <c r="N442" t="s">
        <v>2276</v>
      </c>
    </row>
    <row r="443" spans="1:17" x14ac:dyDescent="0.25">
      <c r="A443" t="s">
        <v>111</v>
      </c>
      <c r="B443" t="s">
        <v>112</v>
      </c>
      <c r="C443">
        <v>160</v>
      </c>
      <c r="D443" t="s">
        <v>264</v>
      </c>
      <c r="E443" s="1">
        <v>43089</v>
      </c>
      <c r="F443" t="s">
        <v>21</v>
      </c>
      <c r="G443" t="s">
        <v>2267</v>
      </c>
      <c r="H443">
        <v>-1.35</v>
      </c>
      <c r="I443" t="s">
        <v>39</v>
      </c>
      <c r="J443">
        <v>-0.92584174658740226</v>
      </c>
      <c r="K443">
        <v>1.2498863578929931</v>
      </c>
      <c r="M443" t="s">
        <v>255</v>
      </c>
      <c r="N443" t="s">
        <v>2276</v>
      </c>
      <c r="O443">
        <v>-0.92584174658740226</v>
      </c>
      <c r="P443">
        <v>-277.75252397622069</v>
      </c>
      <c r="Q443" t="s">
        <v>249</v>
      </c>
    </row>
    <row r="444" spans="1:17" x14ac:dyDescent="0.25">
      <c r="A444" t="s">
        <v>111</v>
      </c>
      <c r="B444" t="s">
        <v>112</v>
      </c>
      <c r="C444">
        <v>160</v>
      </c>
      <c r="D444" t="s">
        <v>264</v>
      </c>
      <c r="E444" s="1">
        <v>43091</v>
      </c>
      <c r="F444" t="s">
        <v>252</v>
      </c>
      <c r="G444" t="s">
        <v>729</v>
      </c>
      <c r="H444">
        <v>-11.2</v>
      </c>
      <c r="I444" t="s">
        <v>39</v>
      </c>
      <c r="J444">
        <v>0</v>
      </c>
      <c r="M444" t="s">
        <v>170</v>
      </c>
      <c r="N444" t="s">
        <v>731</v>
      </c>
      <c r="Q444" t="s">
        <v>254</v>
      </c>
    </row>
    <row r="445" spans="1:17" x14ac:dyDescent="0.25">
      <c r="A445" t="s">
        <v>111</v>
      </c>
      <c r="B445" t="s">
        <v>112</v>
      </c>
      <c r="C445">
        <v>160</v>
      </c>
      <c r="D445" t="s">
        <v>264</v>
      </c>
      <c r="E445" s="1">
        <v>43091</v>
      </c>
      <c r="F445" t="s">
        <v>252</v>
      </c>
      <c r="G445" t="s">
        <v>729</v>
      </c>
      <c r="H445">
        <v>-11.2</v>
      </c>
      <c r="I445" t="s">
        <v>39</v>
      </c>
      <c r="J445">
        <v>0.73743884340800003</v>
      </c>
      <c r="K445">
        <v>-8.26</v>
      </c>
      <c r="L445" t="s">
        <v>609</v>
      </c>
      <c r="M445" t="s">
        <v>171</v>
      </c>
      <c r="N445" t="s">
        <v>731</v>
      </c>
      <c r="O445">
        <v>-0.99034807470990538</v>
      </c>
      <c r="P445">
        <v>-286.01252397622068</v>
      </c>
      <c r="Q445" t="s">
        <v>254</v>
      </c>
    </row>
    <row r="446" spans="1:17" x14ac:dyDescent="0.25">
      <c r="A446" t="s">
        <v>111</v>
      </c>
      <c r="B446" t="s">
        <v>112</v>
      </c>
      <c r="C446">
        <v>160</v>
      </c>
      <c r="D446" t="s">
        <v>264</v>
      </c>
      <c r="E446" s="1">
        <v>43096</v>
      </c>
      <c r="F446" t="s">
        <v>607</v>
      </c>
      <c r="H446">
        <v>-14.84</v>
      </c>
      <c r="I446" t="s">
        <v>39</v>
      </c>
      <c r="J446">
        <v>0.73743999999999998</v>
      </c>
      <c r="K446">
        <v>-10.94</v>
      </c>
      <c r="L446" t="s">
        <v>609</v>
      </c>
      <c r="M446" t="s">
        <v>171</v>
      </c>
      <c r="N446" t="s">
        <v>732</v>
      </c>
      <c r="O446">
        <v>-1.0839265731355696</v>
      </c>
      <c r="P446">
        <v>-296.95252397622068</v>
      </c>
    </row>
    <row r="447" spans="1:17" x14ac:dyDescent="0.25">
      <c r="A447" t="s">
        <v>111</v>
      </c>
      <c r="B447" t="s">
        <v>112</v>
      </c>
      <c r="C447">
        <v>160</v>
      </c>
      <c r="D447" t="s">
        <v>264</v>
      </c>
      <c r="E447" s="1">
        <v>43096</v>
      </c>
      <c r="F447" t="s">
        <v>607</v>
      </c>
      <c r="H447">
        <v>14.84</v>
      </c>
      <c r="I447" t="s">
        <v>39</v>
      </c>
      <c r="J447">
        <v>0.73743999999999998</v>
      </c>
      <c r="K447">
        <v>-10.94</v>
      </c>
      <c r="L447" t="s">
        <v>609</v>
      </c>
      <c r="M447" t="s">
        <v>255</v>
      </c>
      <c r="N447" t="s">
        <v>732</v>
      </c>
      <c r="O447">
        <v>-1.066109847563091</v>
      </c>
      <c r="P447">
        <v>-307.89252397622067</v>
      </c>
      <c r="Q447" t="s">
        <v>249</v>
      </c>
    </row>
    <row r="448" spans="1:17" x14ac:dyDescent="0.25">
      <c r="A448" t="s">
        <v>56</v>
      </c>
      <c r="B448" t="s">
        <v>126</v>
      </c>
      <c r="C448">
        <v>160</v>
      </c>
      <c r="D448" t="s">
        <v>264</v>
      </c>
      <c r="E448" s="1">
        <v>43083</v>
      </c>
      <c r="F448" t="s">
        <v>252</v>
      </c>
      <c r="G448" t="s">
        <v>733</v>
      </c>
      <c r="H448">
        <v>150</v>
      </c>
      <c r="I448" t="s">
        <v>39</v>
      </c>
      <c r="J448">
        <v>0</v>
      </c>
      <c r="M448" t="s">
        <v>170</v>
      </c>
      <c r="N448" t="s">
        <v>735</v>
      </c>
      <c r="Q448" t="s">
        <v>254</v>
      </c>
    </row>
    <row r="449" spans="1:17" x14ac:dyDescent="0.25">
      <c r="A449" t="s">
        <v>56</v>
      </c>
      <c r="B449" t="s">
        <v>126</v>
      </c>
      <c r="C449">
        <v>160</v>
      </c>
      <c r="D449" t="s">
        <v>264</v>
      </c>
      <c r="E449" s="1">
        <v>43083</v>
      </c>
      <c r="F449" t="s">
        <v>252</v>
      </c>
      <c r="G449" t="s">
        <v>733</v>
      </c>
      <c r="H449">
        <v>150</v>
      </c>
      <c r="I449" t="s">
        <v>39</v>
      </c>
      <c r="J449">
        <v>4.1098585817000002E-2</v>
      </c>
      <c r="K449">
        <v>6.16</v>
      </c>
      <c r="L449" t="s">
        <v>609</v>
      </c>
      <c r="M449" t="s">
        <v>171</v>
      </c>
      <c r="N449" t="s">
        <v>735</v>
      </c>
      <c r="O449">
        <v>0.11149486845988216</v>
      </c>
      <c r="P449">
        <v>714.06999999999994</v>
      </c>
      <c r="Q449" t="s">
        <v>254</v>
      </c>
    </row>
    <row r="450" spans="1:17" x14ac:dyDescent="0.25">
      <c r="A450" t="s">
        <v>56</v>
      </c>
      <c r="B450" t="s">
        <v>126</v>
      </c>
      <c r="C450">
        <v>160</v>
      </c>
      <c r="D450" t="s">
        <v>264</v>
      </c>
      <c r="E450" s="1">
        <v>43084</v>
      </c>
      <c r="F450" t="s">
        <v>252</v>
      </c>
      <c r="G450" t="s">
        <v>736</v>
      </c>
      <c r="H450">
        <v>-150</v>
      </c>
      <c r="I450" t="s">
        <v>39</v>
      </c>
      <c r="J450">
        <v>0</v>
      </c>
      <c r="M450" t="s">
        <v>170</v>
      </c>
      <c r="N450" t="s">
        <v>738</v>
      </c>
      <c r="Q450" t="s">
        <v>254</v>
      </c>
    </row>
    <row r="451" spans="1:17" x14ac:dyDescent="0.25">
      <c r="A451" t="s">
        <v>56</v>
      </c>
      <c r="B451" t="s">
        <v>126</v>
      </c>
      <c r="C451">
        <v>160</v>
      </c>
      <c r="D451" t="s">
        <v>264</v>
      </c>
      <c r="E451" s="1">
        <v>43084</v>
      </c>
      <c r="F451" t="s">
        <v>252</v>
      </c>
      <c r="G451" t="s">
        <v>736</v>
      </c>
      <c r="H451">
        <v>-150</v>
      </c>
      <c r="I451" t="s">
        <v>39</v>
      </c>
      <c r="J451">
        <v>0.11149486845999999</v>
      </c>
      <c r="K451">
        <v>-16.72</v>
      </c>
      <c r="L451" t="s">
        <v>609</v>
      </c>
      <c r="M451" t="s">
        <v>171</v>
      </c>
      <c r="N451" t="s">
        <v>738</v>
      </c>
      <c r="O451">
        <v>0.11149554481486158</v>
      </c>
      <c r="P451">
        <v>697.34999999999991</v>
      </c>
      <c r="Q451" t="s">
        <v>254</v>
      </c>
    </row>
    <row r="452" spans="1:17" x14ac:dyDescent="0.25">
      <c r="A452" t="s">
        <v>56</v>
      </c>
      <c r="B452" t="s">
        <v>126</v>
      </c>
      <c r="C452">
        <v>160</v>
      </c>
      <c r="D452" t="s">
        <v>264</v>
      </c>
      <c r="E452" s="1">
        <v>43089</v>
      </c>
      <c r="F452" t="s">
        <v>21</v>
      </c>
      <c r="G452" t="s">
        <v>2131</v>
      </c>
      <c r="H452">
        <v>-0.24</v>
      </c>
      <c r="I452" t="s">
        <v>39</v>
      </c>
      <c r="J452">
        <v>0</v>
      </c>
      <c r="M452" t="s">
        <v>170</v>
      </c>
      <c r="N452" t="s">
        <v>2132</v>
      </c>
    </row>
    <row r="453" spans="1:17" x14ac:dyDescent="0.25">
      <c r="A453" t="s">
        <v>56</v>
      </c>
      <c r="B453" t="s">
        <v>126</v>
      </c>
      <c r="C453">
        <v>160</v>
      </c>
      <c r="D453" t="s">
        <v>264</v>
      </c>
      <c r="E453" s="1">
        <v>43089</v>
      </c>
      <c r="F453" t="s">
        <v>21</v>
      </c>
      <c r="G453" t="s">
        <v>2131</v>
      </c>
      <c r="H453">
        <v>-0.24</v>
      </c>
      <c r="I453" t="s">
        <v>39</v>
      </c>
      <c r="J453">
        <v>0.11149554481486158</v>
      </c>
      <c r="K453">
        <v>-2.6758930755566779E-2</v>
      </c>
      <c r="M453" t="s">
        <v>255</v>
      </c>
      <c r="N453" t="s">
        <v>2132</v>
      </c>
      <c r="O453">
        <v>0.11149554481486157</v>
      </c>
      <c r="P453">
        <v>697.32324106924432</v>
      </c>
      <c r="Q453" t="s">
        <v>249</v>
      </c>
    </row>
    <row r="454" spans="1:17" x14ac:dyDescent="0.25">
      <c r="A454" t="s">
        <v>56</v>
      </c>
      <c r="B454" t="s">
        <v>126</v>
      </c>
      <c r="C454">
        <v>160</v>
      </c>
      <c r="D454" t="s">
        <v>264</v>
      </c>
      <c r="E454" s="1">
        <v>43089</v>
      </c>
      <c r="F454" t="s">
        <v>21</v>
      </c>
      <c r="G454" t="s">
        <v>2131</v>
      </c>
      <c r="H454">
        <v>-101.6</v>
      </c>
      <c r="I454" t="s">
        <v>39</v>
      </c>
      <c r="J454">
        <v>0</v>
      </c>
      <c r="M454" t="s">
        <v>170</v>
      </c>
      <c r="N454" t="s">
        <v>2133</v>
      </c>
    </row>
    <row r="455" spans="1:17" x14ac:dyDescent="0.25">
      <c r="A455" t="s">
        <v>56</v>
      </c>
      <c r="B455" t="s">
        <v>126</v>
      </c>
      <c r="C455">
        <v>160</v>
      </c>
      <c r="D455" t="s">
        <v>264</v>
      </c>
      <c r="E455" s="1">
        <v>43089</v>
      </c>
      <c r="F455" t="s">
        <v>21</v>
      </c>
      <c r="G455" t="s">
        <v>2131</v>
      </c>
      <c r="H455">
        <v>-101.6</v>
      </c>
      <c r="I455" t="s">
        <v>39</v>
      </c>
      <c r="J455">
        <v>0.11149554481486157</v>
      </c>
      <c r="K455">
        <v>-11.327947353189934</v>
      </c>
      <c r="M455" t="s">
        <v>255</v>
      </c>
      <c r="N455" t="s">
        <v>2133</v>
      </c>
      <c r="O455">
        <v>0.11149554481486157</v>
      </c>
      <c r="P455">
        <v>685.99529371605433</v>
      </c>
      <c r="Q455" t="s">
        <v>249</v>
      </c>
    </row>
    <row r="456" spans="1:17" x14ac:dyDescent="0.25">
      <c r="A456" t="s">
        <v>56</v>
      </c>
      <c r="B456" t="s">
        <v>126</v>
      </c>
      <c r="C456">
        <v>160</v>
      </c>
      <c r="D456" t="s">
        <v>264</v>
      </c>
      <c r="E456" s="1">
        <v>43089</v>
      </c>
      <c r="F456" t="s">
        <v>21</v>
      </c>
      <c r="G456" t="s">
        <v>2131</v>
      </c>
      <c r="H456">
        <v>9</v>
      </c>
      <c r="I456" t="s">
        <v>39</v>
      </c>
      <c r="J456">
        <v>0</v>
      </c>
      <c r="M456" t="s">
        <v>170</v>
      </c>
      <c r="N456" t="s">
        <v>2134</v>
      </c>
    </row>
    <row r="457" spans="1:17" x14ac:dyDescent="0.25">
      <c r="A457" t="s">
        <v>56</v>
      </c>
      <c r="B457" t="s">
        <v>126</v>
      </c>
      <c r="C457">
        <v>160</v>
      </c>
      <c r="D457" t="s">
        <v>264</v>
      </c>
      <c r="E457" s="1">
        <v>43089</v>
      </c>
      <c r="F457" t="s">
        <v>21</v>
      </c>
      <c r="G457" t="s">
        <v>2131</v>
      </c>
      <c r="H457">
        <v>9</v>
      </c>
      <c r="I457" t="s">
        <v>39</v>
      </c>
      <c r="J457">
        <v>0</v>
      </c>
      <c r="M457" t="s">
        <v>255</v>
      </c>
      <c r="N457" t="s">
        <v>2134</v>
      </c>
      <c r="O457">
        <v>0.11133268963057975</v>
      </c>
      <c r="P457">
        <v>685.99529371605433</v>
      </c>
      <c r="Q457" t="s">
        <v>249</v>
      </c>
    </row>
    <row r="458" spans="1:17" x14ac:dyDescent="0.25">
      <c r="A458" t="s">
        <v>56</v>
      </c>
      <c r="B458" t="s">
        <v>126</v>
      </c>
      <c r="C458">
        <v>160</v>
      </c>
      <c r="D458" t="s">
        <v>264</v>
      </c>
      <c r="E458" s="1">
        <v>43089</v>
      </c>
      <c r="F458" t="s">
        <v>21</v>
      </c>
      <c r="G458" t="s">
        <v>2131</v>
      </c>
      <c r="H458">
        <v>0.46</v>
      </c>
      <c r="I458" t="s">
        <v>39</v>
      </c>
      <c r="J458">
        <v>0</v>
      </c>
      <c r="M458" t="s">
        <v>170</v>
      </c>
      <c r="N458" t="s">
        <v>2135</v>
      </c>
    </row>
    <row r="459" spans="1:17" x14ac:dyDescent="0.25">
      <c r="A459" t="s">
        <v>56</v>
      </c>
      <c r="B459" t="s">
        <v>126</v>
      </c>
      <c r="C459">
        <v>160</v>
      </c>
      <c r="D459" t="s">
        <v>264</v>
      </c>
      <c r="E459" s="1">
        <v>43089</v>
      </c>
      <c r="F459" t="s">
        <v>21</v>
      </c>
      <c r="G459" t="s">
        <v>2131</v>
      </c>
      <c r="H459">
        <v>0.46</v>
      </c>
      <c r="I459" t="s">
        <v>39</v>
      </c>
      <c r="J459">
        <v>0</v>
      </c>
      <c r="M459" t="s">
        <v>255</v>
      </c>
      <c r="N459" t="s">
        <v>2135</v>
      </c>
      <c r="O459">
        <v>0.11132437869958185</v>
      </c>
      <c r="P459">
        <v>685.99529371605433</v>
      </c>
      <c r="Q459" t="s">
        <v>249</v>
      </c>
    </row>
    <row r="460" spans="1:17" x14ac:dyDescent="0.25">
      <c r="A460" t="s">
        <v>56</v>
      </c>
      <c r="B460" t="s">
        <v>126</v>
      </c>
      <c r="C460">
        <v>160</v>
      </c>
      <c r="D460" t="s">
        <v>264</v>
      </c>
      <c r="E460" s="1">
        <v>43089</v>
      </c>
      <c r="F460" t="s">
        <v>21</v>
      </c>
      <c r="G460" t="s">
        <v>2131</v>
      </c>
      <c r="H460">
        <v>-0.4</v>
      </c>
      <c r="I460" t="s">
        <v>39</v>
      </c>
      <c r="J460">
        <v>0</v>
      </c>
      <c r="M460" t="s">
        <v>170</v>
      </c>
      <c r="N460" t="s">
        <v>2136</v>
      </c>
    </row>
    <row r="461" spans="1:17" x14ac:dyDescent="0.25">
      <c r="A461" t="s">
        <v>56</v>
      </c>
      <c r="B461" t="s">
        <v>126</v>
      </c>
      <c r="C461">
        <v>160</v>
      </c>
      <c r="D461" t="s">
        <v>264</v>
      </c>
      <c r="E461" s="1">
        <v>43089</v>
      </c>
      <c r="F461" t="s">
        <v>21</v>
      </c>
      <c r="G461" t="s">
        <v>2131</v>
      </c>
      <c r="H461">
        <v>-0.4</v>
      </c>
      <c r="I461" t="s">
        <v>39</v>
      </c>
      <c r="J461">
        <v>0.11132437869958185</v>
      </c>
      <c r="K461">
        <v>-4.4529751479832742E-2</v>
      </c>
      <c r="M461" t="s">
        <v>255</v>
      </c>
      <c r="N461" t="s">
        <v>2136</v>
      </c>
      <c r="O461">
        <v>0.11132437869958185</v>
      </c>
      <c r="P461">
        <v>685.95076396457455</v>
      </c>
      <c r="Q461" t="s">
        <v>249</v>
      </c>
    </row>
    <row r="462" spans="1:17" x14ac:dyDescent="0.25">
      <c r="A462" t="s">
        <v>56</v>
      </c>
      <c r="B462" t="s">
        <v>126</v>
      </c>
      <c r="C462">
        <v>160</v>
      </c>
      <c r="D462" t="s">
        <v>264</v>
      </c>
      <c r="E462" s="1">
        <v>43089</v>
      </c>
      <c r="F462" t="s">
        <v>21</v>
      </c>
      <c r="G462" t="s">
        <v>2131</v>
      </c>
      <c r="H462">
        <v>-0.32</v>
      </c>
      <c r="I462" t="s">
        <v>39</v>
      </c>
      <c r="J462">
        <v>0</v>
      </c>
      <c r="M462" t="s">
        <v>170</v>
      </c>
      <c r="N462" t="s">
        <v>2137</v>
      </c>
    </row>
    <row r="463" spans="1:17" x14ac:dyDescent="0.25">
      <c r="A463" t="s">
        <v>56</v>
      </c>
      <c r="B463" t="s">
        <v>126</v>
      </c>
      <c r="C463">
        <v>160</v>
      </c>
      <c r="D463" t="s">
        <v>264</v>
      </c>
      <c r="E463" s="1">
        <v>43089</v>
      </c>
      <c r="F463" t="s">
        <v>21</v>
      </c>
      <c r="G463" t="s">
        <v>2131</v>
      </c>
      <c r="H463">
        <v>-0.32</v>
      </c>
      <c r="I463" t="s">
        <v>39</v>
      </c>
      <c r="J463">
        <v>0.11132437869958185</v>
      </c>
      <c r="K463">
        <v>-3.5623801183866197E-2</v>
      </c>
      <c r="M463" t="s">
        <v>255</v>
      </c>
      <c r="N463" t="s">
        <v>2137</v>
      </c>
      <c r="O463">
        <v>0.11132437869958185</v>
      </c>
      <c r="P463">
        <v>685.91514016339067</v>
      </c>
      <c r="Q463" t="s">
        <v>249</v>
      </c>
    </row>
    <row r="464" spans="1:17" x14ac:dyDescent="0.25">
      <c r="A464" t="s">
        <v>56</v>
      </c>
      <c r="B464" t="s">
        <v>126</v>
      </c>
      <c r="C464">
        <v>160</v>
      </c>
      <c r="D464" t="s">
        <v>264</v>
      </c>
      <c r="E464" s="1">
        <v>43089</v>
      </c>
      <c r="F464" t="s">
        <v>21</v>
      </c>
      <c r="G464" t="s">
        <v>2131</v>
      </c>
      <c r="H464">
        <v>-0.02</v>
      </c>
      <c r="I464" t="s">
        <v>39</v>
      </c>
      <c r="J464">
        <v>0</v>
      </c>
      <c r="M464" t="s">
        <v>170</v>
      </c>
      <c r="N464" t="s">
        <v>2138</v>
      </c>
    </row>
    <row r="465" spans="1:17" x14ac:dyDescent="0.25">
      <c r="A465" t="s">
        <v>56</v>
      </c>
      <c r="B465" t="s">
        <v>126</v>
      </c>
      <c r="C465">
        <v>160</v>
      </c>
      <c r="D465" t="s">
        <v>264</v>
      </c>
      <c r="E465" s="1">
        <v>43089</v>
      </c>
      <c r="F465" t="s">
        <v>21</v>
      </c>
      <c r="G465" t="s">
        <v>2131</v>
      </c>
      <c r="H465">
        <v>-0.02</v>
      </c>
      <c r="I465" t="s">
        <v>39</v>
      </c>
      <c r="J465">
        <v>0.11132437869958185</v>
      </c>
      <c r="K465">
        <v>-2.2264875739916373E-3</v>
      </c>
      <c r="M465" t="s">
        <v>255</v>
      </c>
      <c r="N465" t="s">
        <v>2138</v>
      </c>
      <c r="O465">
        <v>0.11132437869958185</v>
      </c>
      <c r="P465">
        <v>685.91291367581664</v>
      </c>
      <c r="Q465" t="s">
        <v>249</v>
      </c>
    </row>
    <row r="466" spans="1:17" x14ac:dyDescent="0.25">
      <c r="A466" t="s">
        <v>56</v>
      </c>
      <c r="B466" t="s">
        <v>126</v>
      </c>
      <c r="C466">
        <v>160</v>
      </c>
      <c r="D466" t="s">
        <v>264</v>
      </c>
      <c r="E466" s="1">
        <v>43089</v>
      </c>
      <c r="F466" t="s">
        <v>21</v>
      </c>
      <c r="G466" t="s">
        <v>2131</v>
      </c>
      <c r="H466">
        <v>2.04</v>
      </c>
      <c r="I466" t="s">
        <v>39</v>
      </c>
      <c r="J466">
        <v>0</v>
      </c>
      <c r="M466" t="s">
        <v>170</v>
      </c>
      <c r="N466" t="s">
        <v>2139</v>
      </c>
    </row>
    <row r="467" spans="1:17" x14ac:dyDescent="0.25">
      <c r="A467" t="s">
        <v>56</v>
      </c>
      <c r="B467" t="s">
        <v>126</v>
      </c>
      <c r="C467">
        <v>160</v>
      </c>
      <c r="D467" t="s">
        <v>264</v>
      </c>
      <c r="E467" s="1">
        <v>43089</v>
      </c>
      <c r="F467" t="s">
        <v>21</v>
      </c>
      <c r="G467" t="s">
        <v>2131</v>
      </c>
      <c r="H467">
        <v>2.04</v>
      </c>
      <c r="I467" t="s">
        <v>39</v>
      </c>
      <c r="J467">
        <v>0</v>
      </c>
      <c r="M467" t="s">
        <v>255</v>
      </c>
      <c r="N467" t="s">
        <v>2139</v>
      </c>
      <c r="O467">
        <v>0.11128753205209058</v>
      </c>
      <c r="P467">
        <v>685.91291367581664</v>
      </c>
      <c r="Q467" t="s">
        <v>249</v>
      </c>
    </row>
    <row r="468" spans="1:17" x14ac:dyDescent="0.25">
      <c r="A468" t="s">
        <v>56</v>
      </c>
      <c r="B468" t="s">
        <v>126</v>
      </c>
      <c r="C468">
        <v>160</v>
      </c>
      <c r="D468" t="s">
        <v>264</v>
      </c>
      <c r="E468" s="1">
        <v>43089</v>
      </c>
      <c r="F468" t="s">
        <v>21</v>
      </c>
      <c r="G468" t="s">
        <v>2131</v>
      </c>
      <c r="H468">
        <v>-0.42</v>
      </c>
      <c r="I468" t="s">
        <v>39</v>
      </c>
      <c r="J468">
        <v>0</v>
      </c>
      <c r="M468" t="s">
        <v>170</v>
      </c>
      <c r="N468" t="s">
        <v>2140</v>
      </c>
    </row>
    <row r="469" spans="1:17" x14ac:dyDescent="0.25">
      <c r="A469" t="s">
        <v>56</v>
      </c>
      <c r="B469" t="s">
        <v>126</v>
      </c>
      <c r="C469">
        <v>160</v>
      </c>
      <c r="D469" t="s">
        <v>264</v>
      </c>
      <c r="E469" s="1">
        <v>43089</v>
      </c>
      <c r="F469" t="s">
        <v>21</v>
      </c>
      <c r="G469" t="s">
        <v>2131</v>
      </c>
      <c r="H469">
        <v>-0.42</v>
      </c>
      <c r="I469" t="s">
        <v>39</v>
      </c>
      <c r="J469">
        <v>0.11128753205209058</v>
      </c>
      <c r="K469">
        <v>-4.674076346187804E-2</v>
      </c>
      <c r="M469" t="s">
        <v>255</v>
      </c>
      <c r="N469" t="s">
        <v>2140</v>
      </c>
      <c r="O469">
        <v>0.11128753205209058</v>
      </c>
      <c r="P469">
        <v>685.86617291235473</v>
      </c>
      <c r="Q469" t="s">
        <v>249</v>
      </c>
    </row>
    <row r="470" spans="1:17" x14ac:dyDescent="0.25">
      <c r="A470" t="s">
        <v>56</v>
      </c>
      <c r="B470" t="s">
        <v>126</v>
      </c>
      <c r="C470">
        <v>160</v>
      </c>
      <c r="D470" t="s">
        <v>264</v>
      </c>
      <c r="E470" s="1">
        <v>43089</v>
      </c>
      <c r="F470" t="s">
        <v>21</v>
      </c>
      <c r="G470" t="s">
        <v>2131</v>
      </c>
      <c r="H470">
        <v>-1.48</v>
      </c>
      <c r="I470" t="s">
        <v>39</v>
      </c>
      <c r="J470">
        <v>0</v>
      </c>
      <c r="M470" t="s">
        <v>170</v>
      </c>
      <c r="N470" t="s">
        <v>2141</v>
      </c>
    </row>
    <row r="471" spans="1:17" x14ac:dyDescent="0.25">
      <c r="A471" t="s">
        <v>56</v>
      </c>
      <c r="B471" t="s">
        <v>126</v>
      </c>
      <c r="C471">
        <v>160</v>
      </c>
      <c r="D471" t="s">
        <v>264</v>
      </c>
      <c r="E471" s="1">
        <v>43089</v>
      </c>
      <c r="F471" t="s">
        <v>21</v>
      </c>
      <c r="G471" t="s">
        <v>2131</v>
      </c>
      <c r="H471">
        <v>-1.48</v>
      </c>
      <c r="I471" t="s">
        <v>39</v>
      </c>
      <c r="J471">
        <v>0.11128753205209058</v>
      </c>
      <c r="K471">
        <v>-0.16470554743709406</v>
      </c>
      <c r="M471" t="s">
        <v>255</v>
      </c>
      <c r="N471" t="s">
        <v>2141</v>
      </c>
      <c r="O471">
        <v>0.11128753205209056</v>
      </c>
      <c r="P471">
        <v>685.70146736491768</v>
      </c>
      <c r="Q471" t="s">
        <v>249</v>
      </c>
    </row>
    <row r="472" spans="1:17" x14ac:dyDescent="0.25">
      <c r="A472" t="s">
        <v>56</v>
      </c>
      <c r="B472" t="s">
        <v>126</v>
      </c>
      <c r="C472">
        <v>160</v>
      </c>
      <c r="D472" t="s">
        <v>264</v>
      </c>
      <c r="E472" s="1">
        <v>43089</v>
      </c>
      <c r="F472" t="s">
        <v>21</v>
      </c>
      <c r="G472" t="s">
        <v>2131</v>
      </c>
      <c r="H472">
        <v>-0.23</v>
      </c>
      <c r="I472" t="s">
        <v>39</v>
      </c>
      <c r="J472">
        <v>0</v>
      </c>
      <c r="M472" t="s">
        <v>170</v>
      </c>
      <c r="N472" t="s">
        <v>2142</v>
      </c>
    </row>
    <row r="473" spans="1:17" x14ac:dyDescent="0.25">
      <c r="A473" t="s">
        <v>56</v>
      </c>
      <c r="B473" t="s">
        <v>126</v>
      </c>
      <c r="C473">
        <v>160</v>
      </c>
      <c r="D473" t="s">
        <v>264</v>
      </c>
      <c r="E473" s="1">
        <v>43089</v>
      </c>
      <c r="F473" t="s">
        <v>21</v>
      </c>
      <c r="G473" t="s">
        <v>2131</v>
      </c>
      <c r="H473">
        <v>-0.23</v>
      </c>
      <c r="I473" t="s">
        <v>39</v>
      </c>
      <c r="J473">
        <v>0.11128753205209056</v>
      </c>
      <c r="K473">
        <v>-2.5596132371980832E-2</v>
      </c>
      <c r="M473" t="s">
        <v>255</v>
      </c>
      <c r="N473" t="s">
        <v>2142</v>
      </c>
      <c r="O473">
        <v>0.11128753205209055</v>
      </c>
      <c r="P473">
        <v>685.67587123254566</v>
      </c>
      <c r="Q473" t="s">
        <v>249</v>
      </c>
    </row>
    <row r="474" spans="1:17" x14ac:dyDescent="0.25">
      <c r="A474" t="s">
        <v>56</v>
      </c>
      <c r="B474" t="s">
        <v>126</v>
      </c>
      <c r="C474">
        <v>160</v>
      </c>
      <c r="D474" t="s">
        <v>264</v>
      </c>
      <c r="E474" s="1">
        <v>43089</v>
      </c>
      <c r="F474" t="s">
        <v>21</v>
      </c>
      <c r="G474" t="s">
        <v>2131</v>
      </c>
      <c r="H474">
        <v>100</v>
      </c>
      <c r="I474" t="s">
        <v>39</v>
      </c>
      <c r="J474">
        <v>0</v>
      </c>
      <c r="M474" t="s">
        <v>170</v>
      </c>
      <c r="N474" t="s">
        <v>2143</v>
      </c>
    </row>
    <row r="475" spans="1:17" x14ac:dyDescent="0.25">
      <c r="A475" t="s">
        <v>56</v>
      </c>
      <c r="B475" t="s">
        <v>126</v>
      </c>
      <c r="C475">
        <v>160</v>
      </c>
      <c r="D475" t="s">
        <v>264</v>
      </c>
      <c r="E475" s="1">
        <v>43089</v>
      </c>
      <c r="F475" t="s">
        <v>21</v>
      </c>
      <c r="G475" t="s">
        <v>2131</v>
      </c>
      <c r="H475">
        <v>100</v>
      </c>
      <c r="I475" t="s">
        <v>39</v>
      </c>
      <c r="J475">
        <v>0</v>
      </c>
      <c r="M475" t="s">
        <v>255</v>
      </c>
      <c r="N475" t="s">
        <v>2143</v>
      </c>
      <c r="O475">
        <v>0.10951014505494794</v>
      </c>
      <c r="P475">
        <v>685.67587123254566</v>
      </c>
      <c r="Q475" t="s">
        <v>249</v>
      </c>
    </row>
    <row r="476" spans="1:17" x14ac:dyDescent="0.25">
      <c r="A476" t="s">
        <v>56</v>
      </c>
      <c r="B476" t="s">
        <v>126</v>
      </c>
      <c r="C476">
        <v>160</v>
      </c>
      <c r="D476" t="s">
        <v>264</v>
      </c>
      <c r="E476" s="1">
        <v>43089</v>
      </c>
      <c r="F476" t="s">
        <v>21</v>
      </c>
      <c r="G476" t="s">
        <v>2131</v>
      </c>
      <c r="H476">
        <v>-64.599999999999994</v>
      </c>
      <c r="I476" t="s">
        <v>39</v>
      </c>
      <c r="J476">
        <v>0</v>
      </c>
      <c r="M476" t="s">
        <v>170</v>
      </c>
      <c r="N476" t="s">
        <v>2144</v>
      </c>
    </row>
    <row r="477" spans="1:17" x14ac:dyDescent="0.25">
      <c r="A477" t="s">
        <v>56</v>
      </c>
      <c r="B477" t="s">
        <v>126</v>
      </c>
      <c r="C477">
        <v>160</v>
      </c>
      <c r="D477" t="s">
        <v>264</v>
      </c>
      <c r="E477" s="1">
        <v>43089</v>
      </c>
      <c r="F477" t="s">
        <v>21</v>
      </c>
      <c r="G477" t="s">
        <v>2131</v>
      </c>
      <c r="H477">
        <v>-64.599999999999994</v>
      </c>
      <c r="I477" t="s">
        <v>39</v>
      </c>
      <c r="J477">
        <v>0.10951014505494794</v>
      </c>
      <c r="K477">
        <v>-7.074355370549636</v>
      </c>
      <c r="M477" t="s">
        <v>255</v>
      </c>
      <c r="N477" t="s">
        <v>2144</v>
      </c>
      <c r="O477">
        <v>0.10951014505494795</v>
      </c>
      <c r="P477">
        <v>678.60151586199606</v>
      </c>
      <c r="Q477" t="s">
        <v>249</v>
      </c>
    </row>
    <row r="478" spans="1:17" x14ac:dyDescent="0.25">
      <c r="A478" t="s">
        <v>56</v>
      </c>
      <c r="B478" t="s">
        <v>126</v>
      </c>
      <c r="C478">
        <v>160</v>
      </c>
      <c r="D478" t="s">
        <v>264</v>
      </c>
      <c r="E478" s="1">
        <v>43089</v>
      </c>
      <c r="F478" t="s">
        <v>21</v>
      </c>
      <c r="G478" t="s">
        <v>2131</v>
      </c>
      <c r="H478">
        <v>11</v>
      </c>
      <c r="I478" t="s">
        <v>39</v>
      </c>
      <c r="J478">
        <v>0</v>
      </c>
      <c r="M478" t="s">
        <v>170</v>
      </c>
      <c r="N478" t="s">
        <v>2145</v>
      </c>
    </row>
    <row r="479" spans="1:17" x14ac:dyDescent="0.25">
      <c r="A479" t="s">
        <v>56</v>
      </c>
      <c r="B479" t="s">
        <v>126</v>
      </c>
      <c r="C479">
        <v>160</v>
      </c>
      <c r="D479" t="s">
        <v>264</v>
      </c>
      <c r="E479" s="1">
        <v>43089</v>
      </c>
      <c r="F479" t="s">
        <v>21</v>
      </c>
      <c r="G479" t="s">
        <v>2131</v>
      </c>
      <c r="H479">
        <v>11</v>
      </c>
      <c r="I479" t="s">
        <v>39</v>
      </c>
      <c r="J479">
        <v>0</v>
      </c>
      <c r="M479" t="s">
        <v>255</v>
      </c>
      <c r="N479" t="s">
        <v>2145</v>
      </c>
      <c r="O479">
        <v>0.10931609386117176</v>
      </c>
      <c r="P479">
        <v>678.60151586199606</v>
      </c>
      <c r="Q479" t="s">
        <v>249</v>
      </c>
    </row>
    <row r="480" spans="1:17" x14ac:dyDescent="0.25">
      <c r="A480" t="s">
        <v>56</v>
      </c>
      <c r="B480" t="s">
        <v>126</v>
      </c>
      <c r="C480">
        <v>160</v>
      </c>
      <c r="D480" t="s">
        <v>264</v>
      </c>
      <c r="E480" s="1">
        <v>43096</v>
      </c>
      <c r="F480" t="s">
        <v>607</v>
      </c>
      <c r="H480">
        <v>-46.81</v>
      </c>
      <c r="I480" t="s">
        <v>39</v>
      </c>
      <c r="J480">
        <v>0.1115</v>
      </c>
      <c r="K480">
        <v>-5.2200000000000006</v>
      </c>
      <c r="L480" t="s">
        <v>609</v>
      </c>
      <c r="M480" t="s">
        <v>171</v>
      </c>
      <c r="N480" t="s">
        <v>739</v>
      </c>
      <c r="O480">
        <v>0.10929938951385205</v>
      </c>
      <c r="P480">
        <v>673.38151586199604</v>
      </c>
    </row>
    <row r="481" spans="1:17" x14ac:dyDescent="0.25">
      <c r="A481" t="s">
        <v>56</v>
      </c>
      <c r="B481" t="s">
        <v>126</v>
      </c>
      <c r="C481">
        <v>160</v>
      </c>
      <c r="D481" t="s">
        <v>264</v>
      </c>
      <c r="E481" s="1">
        <v>43096</v>
      </c>
      <c r="F481" t="s">
        <v>607</v>
      </c>
      <c r="H481">
        <v>46.81</v>
      </c>
      <c r="I481" t="s">
        <v>39</v>
      </c>
      <c r="J481">
        <v>0.1115</v>
      </c>
      <c r="K481">
        <v>-5.2200000000000006</v>
      </c>
      <c r="L481" t="s">
        <v>609</v>
      </c>
      <c r="M481" t="s">
        <v>255</v>
      </c>
      <c r="N481" t="s">
        <v>739</v>
      </c>
      <c r="O481">
        <v>0.10763431155854759</v>
      </c>
      <c r="P481">
        <v>668.16151586199601</v>
      </c>
      <c r="Q481" t="s">
        <v>249</v>
      </c>
    </row>
    <row r="482" spans="1:17" x14ac:dyDescent="0.25">
      <c r="A482" t="s">
        <v>57</v>
      </c>
      <c r="B482" t="s">
        <v>113</v>
      </c>
      <c r="C482">
        <v>160</v>
      </c>
      <c r="D482" t="s">
        <v>264</v>
      </c>
      <c r="E482" s="1">
        <v>43083</v>
      </c>
      <c r="F482" t="s">
        <v>252</v>
      </c>
      <c r="G482" t="s">
        <v>740</v>
      </c>
      <c r="H482">
        <v>-48</v>
      </c>
      <c r="I482" t="s">
        <v>39</v>
      </c>
      <c r="J482">
        <v>0</v>
      </c>
      <c r="M482" t="s">
        <v>170</v>
      </c>
      <c r="N482" t="s">
        <v>742</v>
      </c>
      <c r="Q482" t="s">
        <v>254</v>
      </c>
    </row>
    <row r="483" spans="1:17" x14ac:dyDescent="0.25">
      <c r="A483" t="s">
        <v>57</v>
      </c>
      <c r="B483" t="s">
        <v>113</v>
      </c>
      <c r="C483">
        <v>160</v>
      </c>
      <c r="D483" t="s">
        <v>264</v>
      </c>
      <c r="E483" s="1">
        <v>43083</v>
      </c>
      <c r="F483" t="s">
        <v>252</v>
      </c>
      <c r="G483" t="s">
        <v>740</v>
      </c>
      <c r="H483">
        <v>-48</v>
      </c>
      <c r="I483" t="s">
        <v>39</v>
      </c>
      <c r="J483">
        <v>1.4868830564319999</v>
      </c>
      <c r="K483">
        <v>-71.37</v>
      </c>
      <c r="L483" t="s">
        <v>609</v>
      </c>
      <c r="M483" t="s">
        <v>171</v>
      </c>
      <c r="N483" t="s">
        <v>742</v>
      </c>
      <c r="O483">
        <v>1.4868834246948586</v>
      </c>
      <c r="P483">
        <v>1561.3614154378242</v>
      </c>
      <c r="Q483" t="s">
        <v>254</v>
      </c>
    </row>
    <row r="484" spans="1:17" x14ac:dyDescent="0.25">
      <c r="A484" t="s">
        <v>57</v>
      </c>
      <c r="B484" t="s">
        <v>113</v>
      </c>
      <c r="C484">
        <v>160</v>
      </c>
      <c r="D484" t="s">
        <v>264</v>
      </c>
      <c r="E484" s="1">
        <v>43089</v>
      </c>
      <c r="F484" t="s">
        <v>21</v>
      </c>
      <c r="G484" t="s">
        <v>2246</v>
      </c>
      <c r="H484">
        <v>-2.84</v>
      </c>
      <c r="I484" t="s">
        <v>39</v>
      </c>
      <c r="J484">
        <v>0</v>
      </c>
      <c r="M484" t="s">
        <v>170</v>
      </c>
      <c r="N484" t="s">
        <v>2247</v>
      </c>
    </row>
    <row r="485" spans="1:17" x14ac:dyDescent="0.25">
      <c r="A485" t="s">
        <v>57</v>
      </c>
      <c r="B485" t="s">
        <v>113</v>
      </c>
      <c r="C485">
        <v>160</v>
      </c>
      <c r="D485" t="s">
        <v>264</v>
      </c>
      <c r="E485" s="1">
        <v>43089</v>
      </c>
      <c r="F485" t="s">
        <v>21</v>
      </c>
      <c r="G485" t="s">
        <v>2246</v>
      </c>
      <c r="H485">
        <v>-2.84</v>
      </c>
      <c r="I485" t="s">
        <v>39</v>
      </c>
      <c r="J485">
        <v>1.4868834246948586</v>
      </c>
      <c r="K485">
        <v>-4.2227489261333977</v>
      </c>
      <c r="M485" t="s">
        <v>255</v>
      </c>
      <c r="N485" t="s">
        <v>2247</v>
      </c>
      <c r="O485">
        <v>1.4868834246948586</v>
      </c>
      <c r="P485">
        <v>1557.1386665116909</v>
      </c>
      <c r="Q485" t="s">
        <v>249</v>
      </c>
    </row>
    <row r="486" spans="1:17" x14ac:dyDescent="0.25">
      <c r="A486" t="s">
        <v>57</v>
      </c>
      <c r="B486" t="s">
        <v>113</v>
      </c>
      <c r="C486">
        <v>160</v>
      </c>
      <c r="D486" t="s">
        <v>264</v>
      </c>
      <c r="E486" s="1">
        <v>43089</v>
      </c>
      <c r="F486" t="s">
        <v>21</v>
      </c>
      <c r="G486" t="s">
        <v>2246</v>
      </c>
      <c r="H486">
        <v>-0.1</v>
      </c>
      <c r="I486" t="s">
        <v>39</v>
      </c>
      <c r="J486">
        <v>0</v>
      </c>
      <c r="M486" t="s">
        <v>170</v>
      </c>
      <c r="N486" t="s">
        <v>2248</v>
      </c>
    </row>
    <row r="487" spans="1:17" x14ac:dyDescent="0.25">
      <c r="A487" t="s">
        <v>57</v>
      </c>
      <c r="B487" t="s">
        <v>113</v>
      </c>
      <c r="C487">
        <v>160</v>
      </c>
      <c r="D487" t="s">
        <v>264</v>
      </c>
      <c r="E487" s="1">
        <v>43089</v>
      </c>
      <c r="F487" t="s">
        <v>21</v>
      </c>
      <c r="G487" t="s">
        <v>2246</v>
      </c>
      <c r="H487">
        <v>-0.1</v>
      </c>
      <c r="I487" t="s">
        <v>39</v>
      </c>
      <c r="J487">
        <v>1.4868834246948586</v>
      </c>
      <c r="K487">
        <v>-0.14868834246948587</v>
      </c>
      <c r="M487" t="s">
        <v>255</v>
      </c>
      <c r="N487" t="s">
        <v>2248</v>
      </c>
      <c r="O487">
        <v>1.4868834246948583</v>
      </c>
      <c r="P487">
        <v>1556.9899781692213</v>
      </c>
      <c r="Q487" t="s">
        <v>249</v>
      </c>
    </row>
    <row r="488" spans="1:17" x14ac:dyDescent="0.25">
      <c r="A488" t="s">
        <v>57</v>
      </c>
      <c r="B488" t="s">
        <v>113</v>
      </c>
      <c r="C488">
        <v>160</v>
      </c>
      <c r="D488" t="s">
        <v>264</v>
      </c>
      <c r="E488" s="1">
        <v>43089</v>
      </c>
      <c r="F488" t="s">
        <v>21</v>
      </c>
      <c r="G488" t="s">
        <v>2246</v>
      </c>
      <c r="H488">
        <v>1.4</v>
      </c>
      <c r="I488" t="s">
        <v>39</v>
      </c>
      <c r="J488">
        <v>0</v>
      </c>
      <c r="M488" t="s">
        <v>170</v>
      </c>
      <c r="N488" t="s">
        <v>2249</v>
      </c>
    </row>
    <row r="489" spans="1:17" x14ac:dyDescent="0.25">
      <c r="A489" t="s">
        <v>57</v>
      </c>
      <c r="B489" t="s">
        <v>113</v>
      </c>
      <c r="C489">
        <v>160</v>
      </c>
      <c r="D489" t="s">
        <v>264</v>
      </c>
      <c r="E489" s="1">
        <v>43089</v>
      </c>
      <c r="F489" t="s">
        <v>21</v>
      </c>
      <c r="G489" t="s">
        <v>2246</v>
      </c>
      <c r="H489">
        <v>1.4</v>
      </c>
      <c r="I489" t="s">
        <v>39</v>
      </c>
      <c r="J489">
        <v>0</v>
      </c>
      <c r="M489" t="s">
        <v>255</v>
      </c>
      <c r="N489" t="s">
        <v>2249</v>
      </c>
      <c r="O489">
        <v>1.4848981719223888</v>
      </c>
      <c r="P489">
        <v>1556.9899781692213</v>
      </c>
      <c r="Q489" t="s">
        <v>249</v>
      </c>
    </row>
    <row r="490" spans="1:17" x14ac:dyDescent="0.25">
      <c r="A490" t="s">
        <v>57</v>
      </c>
      <c r="B490" t="s">
        <v>113</v>
      </c>
      <c r="C490">
        <v>160</v>
      </c>
      <c r="D490" t="s">
        <v>264</v>
      </c>
      <c r="E490" s="1">
        <v>43089</v>
      </c>
      <c r="F490" t="s">
        <v>21</v>
      </c>
      <c r="G490" t="s">
        <v>2246</v>
      </c>
      <c r="H490">
        <v>-0.15</v>
      </c>
      <c r="I490" t="s">
        <v>39</v>
      </c>
      <c r="J490">
        <v>0</v>
      </c>
      <c r="M490" t="s">
        <v>170</v>
      </c>
      <c r="N490" t="s">
        <v>2250</v>
      </c>
    </row>
    <row r="491" spans="1:17" x14ac:dyDescent="0.25">
      <c r="A491" t="s">
        <v>57</v>
      </c>
      <c r="B491" t="s">
        <v>113</v>
      </c>
      <c r="C491">
        <v>160</v>
      </c>
      <c r="D491" t="s">
        <v>264</v>
      </c>
      <c r="E491" s="1">
        <v>43089</v>
      </c>
      <c r="F491" t="s">
        <v>21</v>
      </c>
      <c r="G491" t="s">
        <v>2246</v>
      </c>
      <c r="H491">
        <v>-0.15</v>
      </c>
      <c r="I491" t="s">
        <v>39</v>
      </c>
      <c r="J491">
        <v>1.4848981719223888</v>
      </c>
      <c r="K491">
        <v>-0.22273472578835832</v>
      </c>
      <c r="M491" t="s">
        <v>255</v>
      </c>
      <c r="N491" t="s">
        <v>2250</v>
      </c>
      <c r="O491">
        <v>1.4848981719223888</v>
      </c>
      <c r="P491">
        <v>1556.767243443433</v>
      </c>
      <c r="Q491" t="s">
        <v>249</v>
      </c>
    </row>
    <row r="492" spans="1:17" x14ac:dyDescent="0.25">
      <c r="A492" t="s">
        <v>57</v>
      </c>
      <c r="B492" t="s">
        <v>113</v>
      </c>
      <c r="C492">
        <v>160</v>
      </c>
      <c r="D492" t="s">
        <v>264</v>
      </c>
      <c r="E492" s="1">
        <v>43089</v>
      </c>
      <c r="F492" t="s">
        <v>21</v>
      </c>
      <c r="G492" t="s">
        <v>2246</v>
      </c>
      <c r="H492">
        <v>-0.1</v>
      </c>
      <c r="I492" t="s">
        <v>39</v>
      </c>
      <c r="J492">
        <v>0</v>
      </c>
      <c r="M492" t="s">
        <v>170</v>
      </c>
      <c r="N492" t="s">
        <v>2251</v>
      </c>
    </row>
    <row r="493" spans="1:17" x14ac:dyDescent="0.25">
      <c r="A493" t="s">
        <v>57</v>
      </c>
      <c r="B493" t="s">
        <v>113</v>
      </c>
      <c r="C493">
        <v>160</v>
      </c>
      <c r="D493" t="s">
        <v>264</v>
      </c>
      <c r="E493" s="1">
        <v>43089</v>
      </c>
      <c r="F493" t="s">
        <v>21</v>
      </c>
      <c r="G493" t="s">
        <v>2246</v>
      </c>
      <c r="H493">
        <v>-0.1</v>
      </c>
      <c r="I493" t="s">
        <v>39</v>
      </c>
      <c r="J493">
        <v>1.4848981719223888</v>
      </c>
      <c r="K493">
        <v>-0.14848981719223889</v>
      </c>
      <c r="M493" t="s">
        <v>255</v>
      </c>
      <c r="N493" t="s">
        <v>2251</v>
      </c>
      <c r="O493">
        <v>1.4848981719223888</v>
      </c>
      <c r="P493">
        <v>1556.6187536262407</v>
      </c>
      <c r="Q493" t="s">
        <v>249</v>
      </c>
    </row>
    <row r="494" spans="1:17" x14ac:dyDescent="0.25">
      <c r="A494" t="s">
        <v>57</v>
      </c>
      <c r="B494" t="s">
        <v>113</v>
      </c>
      <c r="C494">
        <v>160</v>
      </c>
      <c r="D494" t="s">
        <v>264</v>
      </c>
      <c r="E494" s="1">
        <v>43089</v>
      </c>
      <c r="F494" t="s">
        <v>21</v>
      </c>
      <c r="G494" t="s">
        <v>2246</v>
      </c>
      <c r="H494">
        <v>2.37</v>
      </c>
      <c r="I494" t="s">
        <v>39</v>
      </c>
      <c r="J494">
        <v>0</v>
      </c>
      <c r="M494" t="s">
        <v>170</v>
      </c>
      <c r="N494" t="s">
        <v>2252</v>
      </c>
    </row>
    <row r="495" spans="1:17" x14ac:dyDescent="0.25">
      <c r="A495" t="s">
        <v>57</v>
      </c>
      <c r="B495" t="s">
        <v>113</v>
      </c>
      <c r="C495">
        <v>160</v>
      </c>
      <c r="D495" t="s">
        <v>264</v>
      </c>
      <c r="E495" s="1">
        <v>43089</v>
      </c>
      <c r="F495" t="s">
        <v>21</v>
      </c>
      <c r="G495" t="s">
        <v>2246</v>
      </c>
      <c r="H495">
        <v>2.37</v>
      </c>
      <c r="I495" t="s">
        <v>39</v>
      </c>
      <c r="J495">
        <v>0</v>
      </c>
      <c r="M495" t="s">
        <v>255</v>
      </c>
      <c r="N495" t="s">
        <v>2252</v>
      </c>
      <c r="O495">
        <v>1.4815486819136745</v>
      </c>
      <c r="P495">
        <v>1556.6187536262407</v>
      </c>
      <c r="Q495" t="s">
        <v>249</v>
      </c>
    </row>
    <row r="496" spans="1:17" x14ac:dyDescent="0.25">
      <c r="A496" t="s">
        <v>57</v>
      </c>
      <c r="B496" t="s">
        <v>113</v>
      </c>
      <c r="C496">
        <v>160</v>
      </c>
      <c r="D496" t="s">
        <v>264</v>
      </c>
      <c r="E496" s="1">
        <v>43089</v>
      </c>
      <c r="F496" t="s">
        <v>21</v>
      </c>
      <c r="G496" t="s">
        <v>2246</v>
      </c>
      <c r="H496">
        <v>-1.24</v>
      </c>
      <c r="I496" t="s">
        <v>39</v>
      </c>
      <c r="J496">
        <v>0</v>
      </c>
      <c r="M496" t="s">
        <v>170</v>
      </c>
      <c r="N496" t="s">
        <v>2253</v>
      </c>
    </row>
    <row r="497" spans="1:17" x14ac:dyDescent="0.25">
      <c r="A497" t="s">
        <v>57</v>
      </c>
      <c r="B497" t="s">
        <v>113</v>
      </c>
      <c r="C497">
        <v>160</v>
      </c>
      <c r="D497" t="s">
        <v>264</v>
      </c>
      <c r="E497" s="1">
        <v>43089</v>
      </c>
      <c r="F497" t="s">
        <v>21</v>
      </c>
      <c r="G497" t="s">
        <v>2246</v>
      </c>
      <c r="H497">
        <v>-1.24</v>
      </c>
      <c r="I497" t="s">
        <v>39</v>
      </c>
      <c r="J497">
        <v>1.4815486819136745</v>
      </c>
      <c r="K497">
        <v>-1.8371203655729564</v>
      </c>
      <c r="M497" t="s">
        <v>255</v>
      </c>
      <c r="N497" t="s">
        <v>2253</v>
      </c>
      <c r="O497">
        <v>1.4815486819136745</v>
      </c>
      <c r="P497">
        <v>1554.7816332606678</v>
      </c>
      <c r="Q497" t="s">
        <v>249</v>
      </c>
    </row>
    <row r="498" spans="1:17" x14ac:dyDescent="0.25">
      <c r="A498" t="s">
        <v>57</v>
      </c>
      <c r="B498" t="s">
        <v>113</v>
      </c>
      <c r="C498">
        <v>160</v>
      </c>
      <c r="D498" t="s">
        <v>264</v>
      </c>
      <c r="E498" s="1">
        <v>43089</v>
      </c>
      <c r="F498" t="s">
        <v>21</v>
      </c>
      <c r="G498" t="s">
        <v>2246</v>
      </c>
      <c r="H498">
        <v>-0.08</v>
      </c>
      <c r="I498" t="s">
        <v>39</v>
      </c>
      <c r="J498">
        <v>0</v>
      </c>
      <c r="M498" t="s">
        <v>170</v>
      </c>
      <c r="N498" t="s">
        <v>2254</v>
      </c>
    </row>
    <row r="499" spans="1:17" x14ac:dyDescent="0.25">
      <c r="A499" t="s">
        <v>57</v>
      </c>
      <c r="B499" t="s">
        <v>113</v>
      </c>
      <c r="C499">
        <v>160</v>
      </c>
      <c r="D499" t="s">
        <v>264</v>
      </c>
      <c r="E499" s="1">
        <v>43089</v>
      </c>
      <c r="F499" t="s">
        <v>21</v>
      </c>
      <c r="G499" t="s">
        <v>2246</v>
      </c>
      <c r="H499">
        <v>-0.08</v>
      </c>
      <c r="I499" t="s">
        <v>39</v>
      </c>
      <c r="J499">
        <v>1.4815486819136745</v>
      </c>
      <c r="K499">
        <v>-0.11852389455309396</v>
      </c>
      <c r="M499" t="s">
        <v>255</v>
      </c>
      <c r="N499" t="s">
        <v>2254</v>
      </c>
      <c r="O499">
        <v>1.4815486819136743</v>
      </c>
      <c r="P499">
        <v>1554.6631093661147</v>
      </c>
      <c r="Q499" t="s">
        <v>249</v>
      </c>
    </row>
    <row r="500" spans="1:17" x14ac:dyDescent="0.25">
      <c r="A500" t="s">
        <v>57</v>
      </c>
      <c r="B500" t="s">
        <v>113</v>
      </c>
      <c r="C500">
        <v>160</v>
      </c>
      <c r="D500" t="s">
        <v>264</v>
      </c>
      <c r="E500" s="1">
        <v>43089</v>
      </c>
      <c r="F500" t="s">
        <v>21</v>
      </c>
      <c r="G500" t="s">
        <v>2246</v>
      </c>
      <c r="H500">
        <v>2.2999999999999998</v>
      </c>
      <c r="I500" t="s">
        <v>39</v>
      </c>
      <c r="J500">
        <v>0</v>
      </c>
      <c r="M500" t="s">
        <v>170</v>
      </c>
      <c r="N500" t="s">
        <v>2255</v>
      </c>
    </row>
    <row r="501" spans="1:17" x14ac:dyDescent="0.25">
      <c r="A501" t="s">
        <v>57</v>
      </c>
      <c r="B501" t="s">
        <v>113</v>
      </c>
      <c r="C501">
        <v>160</v>
      </c>
      <c r="D501" t="s">
        <v>264</v>
      </c>
      <c r="E501" s="1">
        <v>43089</v>
      </c>
      <c r="F501" t="s">
        <v>21</v>
      </c>
      <c r="G501" t="s">
        <v>2246</v>
      </c>
      <c r="H501">
        <v>2.2999999999999998</v>
      </c>
      <c r="I501" t="s">
        <v>39</v>
      </c>
      <c r="J501">
        <v>0</v>
      </c>
      <c r="M501" t="s">
        <v>255</v>
      </c>
      <c r="N501" t="s">
        <v>2255</v>
      </c>
      <c r="O501">
        <v>1.4783084765521934</v>
      </c>
      <c r="P501">
        <v>1554.6631093661147</v>
      </c>
      <c r="Q501" t="s">
        <v>249</v>
      </c>
    </row>
    <row r="502" spans="1:17" x14ac:dyDescent="0.25">
      <c r="A502" t="s">
        <v>57</v>
      </c>
      <c r="B502" t="s">
        <v>113</v>
      </c>
      <c r="C502">
        <v>160</v>
      </c>
      <c r="D502" t="s">
        <v>264</v>
      </c>
      <c r="E502" s="1">
        <v>43089</v>
      </c>
      <c r="F502" t="s">
        <v>21</v>
      </c>
      <c r="G502" t="s">
        <v>2246</v>
      </c>
      <c r="H502">
        <v>1.7</v>
      </c>
      <c r="I502" t="s">
        <v>39</v>
      </c>
      <c r="J502">
        <v>0</v>
      </c>
      <c r="M502" t="s">
        <v>170</v>
      </c>
      <c r="N502" t="s">
        <v>2256</v>
      </c>
    </row>
    <row r="503" spans="1:17" x14ac:dyDescent="0.25">
      <c r="A503" t="s">
        <v>57</v>
      </c>
      <c r="B503" t="s">
        <v>113</v>
      </c>
      <c r="C503">
        <v>160</v>
      </c>
      <c r="D503" t="s">
        <v>264</v>
      </c>
      <c r="E503" s="1">
        <v>43089</v>
      </c>
      <c r="F503" t="s">
        <v>21</v>
      </c>
      <c r="G503" t="s">
        <v>2246</v>
      </c>
      <c r="H503">
        <v>1.7</v>
      </c>
      <c r="I503" t="s">
        <v>39</v>
      </c>
      <c r="J503">
        <v>0</v>
      </c>
      <c r="M503" t="s">
        <v>255</v>
      </c>
      <c r="N503" t="s">
        <v>2256</v>
      </c>
      <c r="O503">
        <v>1.4759226366982618</v>
      </c>
      <c r="P503">
        <v>1554.6631093661147</v>
      </c>
      <c r="Q503" t="s">
        <v>249</v>
      </c>
    </row>
    <row r="504" spans="1:17" x14ac:dyDescent="0.25">
      <c r="A504" t="s">
        <v>57</v>
      </c>
      <c r="B504" t="s">
        <v>113</v>
      </c>
      <c r="C504">
        <v>160</v>
      </c>
      <c r="D504" t="s">
        <v>264</v>
      </c>
      <c r="E504" s="1">
        <v>43089</v>
      </c>
      <c r="F504" t="s">
        <v>21</v>
      </c>
      <c r="G504" t="s">
        <v>2246</v>
      </c>
      <c r="H504">
        <v>2.09</v>
      </c>
      <c r="I504" t="s">
        <v>39</v>
      </c>
      <c r="J504">
        <v>0</v>
      </c>
      <c r="M504" t="s">
        <v>170</v>
      </c>
      <c r="N504" t="s">
        <v>2257</v>
      </c>
    </row>
    <row r="505" spans="1:17" x14ac:dyDescent="0.25">
      <c r="A505" t="s">
        <v>57</v>
      </c>
      <c r="B505" t="s">
        <v>113</v>
      </c>
      <c r="C505">
        <v>160</v>
      </c>
      <c r="D505" t="s">
        <v>264</v>
      </c>
      <c r="E505" s="1">
        <v>43089</v>
      </c>
      <c r="F505" t="s">
        <v>21</v>
      </c>
      <c r="G505" t="s">
        <v>2246</v>
      </c>
      <c r="H505">
        <v>2.09</v>
      </c>
      <c r="I505" t="s">
        <v>39</v>
      </c>
      <c r="J505">
        <v>0</v>
      </c>
      <c r="M505" t="s">
        <v>255</v>
      </c>
      <c r="N505" t="s">
        <v>2257</v>
      </c>
      <c r="O505">
        <v>1.4729999899246895</v>
      </c>
      <c r="P505">
        <v>1554.6631093661147</v>
      </c>
      <c r="Q505" t="s">
        <v>249</v>
      </c>
    </row>
    <row r="506" spans="1:17" x14ac:dyDescent="0.25">
      <c r="A506" t="s">
        <v>57</v>
      </c>
      <c r="B506" t="s">
        <v>113</v>
      </c>
      <c r="C506">
        <v>160</v>
      </c>
      <c r="D506" t="s">
        <v>264</v>
      </c>
      <c r="E506" s="1">
        <v>43096</v>
      </c>
      <c r="F506" t="s">
        <v>607</v>
      </c>
      <c r="H506">
        <v>5.35</v>
      </c>
      <c r="I506" t="s">
        <v>39</v>
      </c>
      <c r="J506">
        <v>1.48688</v>
      </c>
      <c r="K506">
        <v>7.95</v>
      </c>
      <c r="L506" t="s">
        <v>609</v>
      </c>
      <c r="M506" t="s">
        <v>171</v>
      </c>
      <c r="N506" t="s">
        <v>743</v>
      </c>
      <c r="O506">
        <v>1.4730654600496935</v>
      </c>
      <c r="P506">
        <v>1562.6131093661147</v>
      </c>
    </row>
    <row r="507" spans="1:17" x14ac:dyDescent="0.25">
      <c r="A507" t="s">
        <v>57</v>
      </c>
      <c r="B507" t="s">
        <v>113</v>
      </c>
      <c r="C507">
        <v>160</v>
      </c>
      <c r="D507" t="s">
        <v>264</v>
      </c>
      <c r="E507" s="1">
        <v>43096</v>
      </c>
      <c r="F507" t="s">
        <v>607</v>
      </c>
      <c r="H507">
        <v>-5.35</v>
      </c>
      <c r="I507" t="s">
        <v>39</v>
      </c>
      <c r="J507">
        <v>1.4730654600496935</v>
      </c>
      <c r="K507">
        <v>-7.8809002112658595</v>
      </c>
      <c r="L507" t="s">
        <v>609</v>
      </c>
      <c r="M507" t="s">
        <v>255</v>
      </c>
      <c r="N507" t="s">
        <v>743</v>
      </c>
      <c r="O507">
        <v>1.4730654600496933</v>
      </c>
      <c r="P507">
        <v>1554.7322091548488</v>
      </c>
      <c r="Q507" t="s">
        <v>249</v>
      </c>
    </row>
    <row r="508" spans="1:17" x14ac:dyDescent="0.25">
      <c r="A508" t="s">
        <v>97</v>
      </c>
      <c r="B508" t="s">
        <v>98</v>
      </c>
      <c r="C508">
        <v>160</v>
      </c>
      <c r="D508" t="s">
        <v>264</v>
      </c>
      <c r="E508" s="1">
        <v>43075</v>
      </c>
      <c r="F508" t="s">
        <v>252</v>
      </c>
      <c r="G508" t="s">
        <v>662</v>
      </c>
      <c r="H508">
        <v>-300</v>
      </c>
      <c r="I508" t="s">
        <v>39</v>
      </c>
      <c r="J508">
        <v>0</v>
      </c>
      <c r="M508" t="s">
        <v>170</v>
      </c>
      <c r="N508" t="s">
        <v>744</v>
      </c>
      <c r="Q508" t="s">
        <v>254</v>
      </c>
    </row>
    <row r="509" spans="1:17" x14ac:dyDescent="0.25">
      <c r="A509" t="s">
        <v>97</v>
      </c>
      <c r="B509" t="s">
        <v>98</v>
      </c>
      <c r="C509">
        <v>160</v>
      </c>
      <c r="D509" t="s">
        <v>264</v>
      </c>
      <c r="E509" s="1">
        <v>43075</v>
      </c>
      <c r="F509" t="s">
        <v>252</v>
      </c>
      <c r="G509" t="s">
        <v>662</v>
      </c>
      <c r="H509">
        <v>-150</v>
      </c>
      <c r="I509" t="s">
        <v>39</v>
      </c>
      <c r="J509">
        <v>1.3092572470379999</v>
      </c>
      <c r="K509">
        <v>-196.39000000000001</v>
      </c>
      <c r="L509" t="s">
        <v>609</v>
      </c>
      <c r="M509" t="s">
        <v>171</v>
      </c>
      <c r="N509" t="s">
        <v>744</v>
      </c>
      <c r="O509">
        <v>1.3092558912533101</v>
      </c>
      <c r="P509">
        <v>1364.4541196285497</v>
      </c>
      <c r="Q509" t="s">
        <v>254</v>
      </c>
    </row>
    <row r="510" spans="1:17" x14ac:dyDescent="0.25">
      <c r="A510" t="s">
        <v>97</v>
      </c>
      <c r="B510" t="s">
        <v>98</v>
      </c>
      <c r="C510">
        <v>160</v>
      </c>
      <c r="D510" t="s">
        <v>264</v>
      </c>
      <c r="E510" s="1">
        <v>43075</v>
      </c>
      <c r="F510" t="s">
        <v>252</v>
      </c>
      <c r="G510" t="s">
        <v>662</v>
      </c>
      <c r="H510">
        <v>-150</v>
      </c>
      <c r="I510" t="s">
        <v>39</v>
      </c>
      <c r="J510">
        <v>1.3092572470379999</v>
      </c>
      <c r="K510">
        <v>-196.39000000000001</v>
      </c>
      <c r="L510" t="s">
        <v>609</v>
      </c>
      <c r="M510" t="s">
        <v>171</v>
      </c>
      <c r="N510" t="s">
        <v>744</v>
      </c>
      <c r="O510">
        <v>1.3092540795693033</v>
      </c>
      <c r="P510">
        <v>1168.0641196285496</v>
      </c>
      <c r="Q510" t="s">
        <v>254</v>
      </c>
    </row>
    <row r="511" spans="1:17" x14ac:dyDescent="0.25">
      <c r="A511" t="s">
        <v>97</v>
      </c>
      <c r="B511" t="s">
        <v>98</v>
      </c>
      <c r="C511">
        <v>160</v>
      </c>
      <c r="D511" t="s">
        <v>264</v>
      </c>
      <c r="E511" s="1">
        <v>43076</v>
      </c>
      <c r="F511" t="s">
        <v>252</v>
      </c>
      <c r="G511" t="s">
        <v>745</v>
      </c>
      <c r="H511">
        <v>-38.85</v>
      </c>
      <c r="I511" t="s">
        <v>39</v>
      </c>
      <c r="J511">
        <v>0</v>
      </c>
      <c r="M511" t="s">
        <v>170</v>
      </c>
      <c r="N511" t="s">
        <v>747</v>
      </c>
      <c r="Q511" t="s">
        <v>254</v>
      </c>
    </row>
    <row r="512" spans="1:17" x14ac:dyDescent="0.25">
      <c r="A512" t="s">
        <v>97</v>
      </c>
      <c r="B512" t="s">
        <v>98</v>
      </c>
      <c r="C512">
        <v>160</v>
      </c>
      <c r="D512" t="s">
        <v>264</v>
      </c>
      <c r="E512" s="1">
        <v>43076</v>
      </c>
      <c r="F512" t="s">
        <v>252</v>
      </c>
      <c r="G512" t="s">
        <v>745</v>
      </c>
      <c r="H512">
        <v>-24.55</v>
      </c>
      <c r="I512" t="s">
        <v>39</v>
      </c>
      <c r="J512">
        <v>0</v>
      </c>
      <c r="M512" t="s">
        <v>170</v>
      </c>
      <c r="N512" t="s">
        <v>748</v>
      </c>
      <c r="Q512" t="s">
        <v>254</v>
      </c>
    </row>
    <row r="513" spans="1:17" x14ac:dyDescent="0.25">
      <c r="A513" t="s">
        <v>97</v>
      </c>
      <c r="B513" t="s">
        <v>98</v>
      </c>
      <c r="C513">
        <v>160</v>
      </c>
      <c r="D513" t="s">
        <v>264</v>
      </c>
      <c r="E513" s="1">
        <v>43076</v>
      </c>
      <c r="F513" t="s">
        <v>252</v>
      </c>
      <c r="G513" t="s">
        <v>745</v>
      </c>
      <c r="H513">
        <v>-38.85</v>
      </c>
      <c r="I513" t="s">
        <v>39</v>
      </c>
      <c r="J513">
        <v>1.309254079569</v>
      </c>
      <c r="K513">
        <v>-50.86</v>
      </c>
      <c r="L513" t="s">
        <v>609</v>
      </c>
      <c r="M513" t="s">
        <v>171</v>
      </c>
      <c r="N513" t="s">
        <v>747</v>
      </c>
      <c r="O513">
        <v>1.309259377750817</v>
      </c>
      <c r="P513">
        <v>1117.2041196285497</v>
      </c>
      <c r="Q513" t="s">
        <v>254</v>
      </c>
    </row>
    <row r="514" spans="1:17" x14ac:dyDescent="0.25">
      <c r="A514" t="s">
        <v>97</v>
      </c>
      <c r="B514" t="s">
        <v>98</v>
      </c>
      <c r="C514">
        <v>160</v>
      </c>
      <c r="D514" t="s">
        <v>264</v>
      </c>
      <c r="E514" s="1">
        <v>43076</v>
      </c>
      <c r="F514" t="s">
        <v>252</v>
      </c>
      <c r="G514" t="s">
        <v>745</v>
      </c>
      <c r="H514">
        <v>-24.55</v>
      </c>
      <c r="I514" t="s">
        <v>39</v>
      </c>
      <c r="J514">
        <v>1.309254079569</v>
      </c>
      <c r="K514">
        <v>-32.14</v>
      </c>
      <c r="L514" t="s">
        <v>609</v>
      </c>
      <c r="M514" t="s">
        <v>171</v>
      </c>
      <c r="N514" t="s">
        <v>748</v>
      </c>
      <c r="O514">
        <v>1.3092621743671866</v>
      </c>
      <c r="P514">
        <v>1085.0641196285496</v>
      </c>
      <c r="Q514" t="s">
        <v>254</v>
      </c>
    </row>
    <row r="515" spans="1:17" x14ac:dyDescent="0.25">
      <c r="A515" t="s">
        <v>97</v>
      </c>
      <c r="B515" t="s">
        <v>98</v>
      </c>
      <c r="C515">
        <v>160</v>
      </c>
      <c r="D515" t="s">
        <v>264</v>
      </c>
      <c r="E515" s="1">
        <v>43081</v>
      </c>
      <c r="F515" t="s">
        <v>252</v>
      </c>
      <c r="G515" t="s">
        <v>749</v>
      </c>
      <c r="H515">
        <v>-9.7200000000000006</v>
      </c>
      <c r="I515" t="s">
        <v>39</v>
      </c>
      <c r="J515">
        <v>0</v>
      </c>
      <c r="M515" t="s">
        <v>170</v>
      </c>
      <c r="N515" t="s">
        <v>751</v>
      </c>
      <c r="Q515" t="s">
        <v>254</v>
      </c>
    </row>
    <row r="516" spans="1:17" x14ac:dyDescent="0.25">
      <c r="A516" t="s">
        <v>97</v>
      </c>
      <c r="B516" t="s">
        <v>98</v>
      </c>
      <c r="C516">
        <v>160</v>
      </c>
      <c r="D516" t="s">
        <v>264</v>
      </c>
      <c r="E516" s="1">
        <v>43081</v>
      </c>
      <c r="F516" t="s">
        <v>252</v>
      </c>
      <c r="G516" t="s">
        <v>749</v>
      </c>
      <c r="H516">
        <v>-9.7200000000000006</v>
      </c>
      <c r="I516" t="s">
        <v>39</v>
      </c>
      <c r="J516">
        <v>1.3092621743669999</v>
      </c>
      <c r="K516">
        <v>-12.73</v>
      </c>
      <c r="L516" t="s">
        <v>609</v>
      </c>
      <c r="M516" t="s">
        <v>171</v>
      </c>
      <c r="N516" t="s">
        <v>751</v>
      </c>
      <c r="O516">
        <v>1.3092573251960216</v>
      </c>
      <c r="P516">
        <v>1072.3341196285496</v>
      </c>
      <c r="Q516" t="s">
        <v>254</v>
      </c>
    </row>
    <row r="517" spans="1:17" x14ac:dyDescent="0.25">
      <c r="A517" t="s">
        <v>97</v>
      </c>
      <c r="B517" t="s">
        <v>98</v>
      </c>
      <c r="C517">
        <v>160</v>
      </c>
      <c r="D517" t="s">
        <v>264</v>
      </c>
      <c r="E517" s="1">
        <v>43083</v>
      </c>
      <c r="F517" t="s">
        <v>252</v>
      </c>
      <c r="G517" t="s">
        <v>630</v>
      </c>
      <c r="H517">
        <v>-1000</v>
      </c>
      <c r="I517" t="s">
        <v>39</v>
      </c>
      <c r="J517">
        <v>0</v>
      </c>
      <c r="M517" t="s">
        <v>170</v>
      </c>
      <c r="N517" t="s">
        <v>753</v>
      </c>
      <c r="Q517" t="s">
        <v>254</v>
      </c>
    </row>
    <row r="518" spans="1:17" x14ac:dyDescent="0.25">
      <c r="A518" t="s">
        <v>97</v>
      </c>
      <c r="B518" t="s">
        <v>98</v>
      </c>
      <c r="C518">
        <v>160</v>
      </c>
      <c r="D518" t="s">
        <v>264</v>
      </c>
      <c r="E518" s="1">
        <v>43083</v>
      </c>
      <c r="F518" t="s">
        <v>17</v>
      </c>
      <c r="G518" t="s">
        <v>722</v>
      </c>
      <c r="H518">
        <v>1000</v>
      </c>
      <c r="I518" t="s">
        <v>39</v>
      </c>
      <c r="J518">
        <v>0.89424000000000003</v>
      </c>
      <c r="K518">
        <v>894.24</v>
      </c>
      <c r="L518" t="s">
        <v>246</v>
      </c>
      <c r="M518" t="s">
        <v>170</v>
      </c>
      <c r="N518" t="s">
        <v>752</v>
      </c>
      <c r="Q518" t="s">
        <v>254</v>
      </c>
    </row>
    <row r="519" spans="1:17" x14ac:dyDescent="0.25">
      <c r="A519" t="s">
        <v>97</v>
      </c>
      <c r="B519" t="s">
        <v>98</v>
      </c>
      <c r="C519">
        <v>160</v>
      </c>
      <c r="D519" t="s">
        <v>264</v>
      </c>
      <c r="E519" s="1">
        <v>43083</v>
      </c>
      <c r="F519" t="s">
        <v>252</v>
      </c>
      <c r="G519" t="s">
        <v>630</v>
      </c>
      <c r="H519">
        <v>-100</v>
      </c>
      <c r="I519" t="s">
        <v>39</v>
      </c>
      <c r="J519">
        <v>1.161966817458</v>
      </c>
      <c r="K519">
        <v>-116.2</v>
      </c>
      <c r="L519" t="s">
        <v>609</v>
      </c>
      <c r="M519" t="s">
        <v>171</v>
      </c>
      <c r="N519" t="s">
        <v>753</v>
      </c>
      <c r="O519">
        <v>1.3297370377566609</v>
      </c>
      <c r="P519">
        <v>956.13411962854957</v>
      </c>
      <c r="Q519" t="s">
        <v>254</v>
      </c>
    </row>
    <row r="520" spans="1:17" x14ac:dyDescent="0.25">
      <c r="A520" t="s">
        <v>97</v>
      </c>
      <c r="B520" t="s">
        <v>98</v>
      </c>
      <c r="C520">
        <v>160</v>
      </c>
      <c r="D520" t="s">
        <v>264</v>
      </c>
      <c r="E520" s="1">
        <v>43083</v>
      </c>
      <c r="F520" t="s">
        <v>17</v>
      </c>
      <c r="G520" t="s">
        <v>722</v>
      </c>
      <c r="H520">
        <v>100</v>
      </c>
      <c r="I520" t="s">
        <v>39</v>
      </c>
      <c r="J520">
        <v>1.0413000000000001</v>
      </c>
      <c r="K520">
        <v>89.42</v>
      </c>
      <c r="L520" t="s">
        <v>246</v>
      </c>
      <c r="M520" t="s">
        <v>171</v>
      </c>
      <c r="N520" t="s">
        <v>752</v>
      </c>
      <c r="O520">
        <v>1.2765605094116887</v>
      </c>
      <c r="P520">
        <v>1045.5541196285496</v>
      </c>
      <c r="Q520" t="s">
        <v>254</v>
      </c>
    </row>
    <row r="521" spans="1:17" x14ac:dyDescent="0.25">
      <c r="A521" t="s">
        <v>97</v>
      </c>
      <c r="B521" t="s">
        <v>98</v>
      </c>
      <c r="C521">
        <v>160</v>
      </c>
      <c r="D521" t="s">
        <v>264</v>
      </c>
      <c r="E521" s="1">
        <v>43083</v>
      </c>
      <c r="F521" t="s">
        <v>17</v>
      </c>
      <c r="G521" t="s">
        <v>722</v>
      </c>
      <c r="H521">
        <v>150</v>
      </c>
      <c r="I521" t="s">
        <v>39</v>
      </c>
      <c r="J521">
        <v>1.0413333333329999</v>
      </c>
      <c r="K521">
        <v>134.14000000000001</v>
      </c>
      <c r="L521" t="s">
        <v>246</v>
      </c>
      <c r="M521" t="s">
        <v>171</v>
      </c>
      <c r="N521" t="s">
        <v>752</v>
      </c>
      <c r="O521">
        <v>1.2173843387564494</v>
      </c>
      <c r="P521">
        <v>1179.6941196285497</v>
      </c>
      <c r="Q521" t="s">
        <v>254</v>
      </c>
    </row>
    <row r="522" spans="1:17" x14ac:dyDescent="0.25">
      <c r="A522" t="s">
        <v>97</v>
      </c>
      <c r="B522" t="s">
        <v>98</v>
      </c>
      <c r="C522">
        <v>160</v>
      </c>
      <c r="D522" t="s">
        <v>264</v>
      </c>
      <c r="E522" s="1">
        <v>43083</v>
      </c>
      <c r="F522" t="s">
        <v>252</v>
      </c>
      <c r="G522" t="s">
        <v>630</v>
      </c>
      <c r="H522">
        <v>-150</v>
      </c>
      <c r="I522" t="s">
        <v>39</v>
      </c>
      <c r="J522">
        <v>1.161966817458</v>
      </c>
      <c r="K522">
        <v>-174.3</v>
      </c>
      <c r="L522" t="s">
        <v>609</v>
      </c>
      <c r="M522" t="s">
        <v>171</v>
      </c>
      <c r="N522" t="s">
        <v>753</v>
      </c>
      <c r="O522">
        <v>1.2275274951510911</v>
      </c>
      <c r="P522">
        <v>1005.3941196285498</v>
      </c>
      <c r="Q522" t="s">
        <v>254</v>
      </c>
    </row>
    <row r="523" spans="1:17" x14ac:dyDescent="0.25">
      <c r="A523" t="s">
        <v>97</v>
      </c>
      <c r="B523" t="s">
        <v>98</v>
      </c>
      <c r="C523">
        <v>160</v>
      </c>
      <c r="D523" t="s">
        <v>264</v>
      </c>
      <c r="E523" s="1">
        <v>43083</v>
      </c>
      <c r="F523" t="s">
        <v>252</v>
      </c>
      <c r="G523" t="s">
        <v>630</v>
      </c>
      <c r="H523">
        <v>-150</v>
      </c>
      <c r="I523" t="s">
        <v>39</v>
      </c>
      <c r="J523">
        <v>1.161966817458</v>
      </c>
      <c r="K523">
        <v>-174.3</v>
      </c>
      <c r="L523" t="s">
        <v>609</v>
      </c>
      <c r="M523" t="s">
        <v>171</v>
      </c>
      <c r="N523" t="s">
        <v>753</v>
      </c>
      <c r="O523">
        <v>1.2422188802292087</v>
      </c>
      <c r="P523">
        <v>831.09411962854983</v>
      </c>
      <c r="Q523" t="s">
        <v>254</v>
      </c>
    </row>
    <row r="524" spans="1:17" x14ac:dyDescent="0.25">
      <c r="A524" t="s">
        <v>97</v>
      </c>
      <c r="B524" t="s">
        <v>98</v>
      </c>
      <c r="C524">
        <v>160</v>
      </c>
      <c r="D524" t="s">
        <v>264</v>
      </c>
      <c r="E524" s="1">
        <v>43083</v>
      </c>
      <c r="F524" t="s">
        <v>17</v>
      </c>
      <c r="G524" t="s">
        <v>722</v>
      </c>
      <c r="H524">
        <v>150</v>
      </c>
      <c r="I524" t="s">
        <v>39</v>
      </c>
      <c r="J524">
        <v>1.0413333333329999</v>
      </c>
      <c r="K524">
        <v>134.14000000000001</v>
      </c>
      <c r="L524" t="s">
        <v>246</v>
      </c>
      <c r="M524" t="s">
        <v>171</v>
      </c>
      <c r="N524" t="s">
        <v>752</v>
      </c>
      <c r="O524">
        <v>1.1784944808904934</v>
      </c>
      <c r="P524">
        <v>965.23411962854982</v>
      </c>
      <c r="Q524" t="s">
        <v>254</v>
      </c>
    </row>
    <row r="525" spans="1:17" x14ac:dyDescent="0.25">
      <c r="A525" t="s">
        <v>97</v>
      </c>
      <c r="B525" t="s">
        <v>98</v>
      </c>
      <c r="C525">
        <v>160</v>
      </c>
      <c r="D525" t="s">
        <v>264</v>
      </c>
      <c r="E525" s="1">
        <v>43083</v>
      </c>
      <c r="F525" t="s">
        <v>17</v>
      </c>
      <c r="G525" t="s">
        <v>722</v>
      </c>
      <c r="H525">
        <v>150</v>
      </c>
      <c r="I525" t="s">
        <v>39</v>
      </c>
      <c r="J525">
        <v>1.0413333333329999</v>
      </c>
      <c r="K525">
        <v>134.14000000000001</v>
      </c>
      <c r="L525" t="s">
        <v>246</v>
      </c>
      <c r="M525" t="s">
        <v>171</v>
      </c>
      <c r="N525" t="s">
        <v>752</v>
      </c>
      <c r="O525">
        <v>1.134498183386186</v>
      </c>
      <c r="P525">
        <v>1099.3741196285498</v>
      </c>
      <c r="Q525" t="s">
        <v>254</v>
      </c>
    </row>
    <row r="526" spans="1:17" x14ac:dyDescent="0.25">
      <c r="A526" t="s">
        <v>97</v>
      </c>
      <c r="B526" t="s">
        <v>98</v>
      </c>
      <c r="C526">
        <v>160</v>
      </c>
      <c r="D526" t="s">
        <v>264</v>
      </c>
      <c r="E526" s="1">
        <v>43083</v>
      </c>
      <c r="F526" t="s">
        <v>252</v>
      </c>
      <c r="G526" t="s">
        <v>630</v>
      </c>
      <c r="H526">
        <v>-150</v>
      </c>
      <c r="I526" t="s">
        <v>39</v>
      </c>
      <c r="J526">
        <v>1.161966817458</v>
      </c>
      <c r="K526">
        <v>-174.3</v>
      </c>
      <c r="L526" t="s">
        <v>609</v>
      </c>
      <c r="M526" t="s">
        <v>171</v>
      </c>
      <c r="N526" t="s">
        <v>753</v>
      </c>
      <c r="O526">
        <v>1.1294614666298957</v>
      </c>
      <c r="P526">
        <v>925.07411962854985</v>
      </c>
      <c r="Q526" t="s">
        <v>254</v>
      </c>
    </row>
    <row r="527" spans="1:17" x14ac:dyDescent="0.25">
      <c r="A527" t="s">
        <v>97</v>
      </c>
      <c r="B527" t="s">
        <v>98</v>
      </c>
      <c r="C527">
        <v>160</v>
      </c>
      <c r="D527" t="s">
        <v>264</v>
      </c>
      <c r="E527" s="1">
        <v>43083</v>
      </c>
      <c r="F527" t="s">
        <v>252</v>
      </c>
      <c r="G527" t="s">
        <v>630</v>
      </c>
      <c r="H527">
        <v>-150</v>
      </c>
      <c r="I527" t="s">
        <v>39</v>
      </c>
      <c r="J527">
        <v>1.161966817458</v>
      </c>
      <c r="K527">
        <v>-174.3</v>
      </c>
      <c r="L527" t="s">
        <v>609</v>
      </c>
      <c r="M527" t="s">
        <v>171</v>
      </c>
      <c r="N527" t="s">
        <v>753</v>
      </c>
      <c r="O527">
        <v>1.1221662675304165</v>
      </c>
      <c r="P527">
        <v>750.7741196285499</v>
      </c>
      <c r="Q527" t="s">
        <v>254</v>
      </c>
    </row>
    <row r="528" spans="1:17" x14ac:dyDescent="0.25">
      <c r="A528" t="s">
        <v>97</v>
      </c>
      <c r="B528" t="s">
        <v>98</v>
      </c>
      <c r="C528">
        <v>160</v>
      </c>
      <c r="D528" t="s">
        <v>264</v>
      </c>
      <c r="E528" s="1">
        <v>43083</v>
      </c>
      <c r="F528" t="s">
        <v>17</v>
      </c>
      <c r="G528" t="s">
        <v>722</v>
      </c>
      <c r="H528">
        <v>150</v>
      </c>
      <c r="I528" t="s">
        <v>39</v>
      </c>
      <c r="J528">
        <v>1.0413333333329999</v>
      </c>
      <c r="K528">
        <v>134.14000000000001</v>
      </c>
      <c r="L528" t="s">
        <v>246</v>
      </c>
      <c r="M528" t="s">
        <v>171</v>
      </c>
      <c r="N528" t="s">
        <v>752</v>
      </c>
      <c r="O528">
        <v>1.080428452369298</v>
      </c>
      <c r="P528">
        <v>884.91411962854988</v>
      </c>
      <c r="Q528" t="s">
        <v>254</v>
      </c>
    </row>
    <row r="529" spans="1:17" x14ac:dyDescent="0.25">
      <c r="A529" t="s">
        <v>97</v>
      </c>
      <c r="B529" t="s">
        <v>98</v>
      </c>
      <c r="C529">
        <v>160</v>
      </c>
      <c r="D529" t="s">
        <v>264</v>
      </c>
      <c r="E529" s="1">
        <v>43083</v>
      </c>
      <c r="F529" t="s">
        <v>17</v>
      </c>
      <c r="G529" t="s">
        <v>722</v>
      </c>
      <c r="H529">
        <v>150</v>
      </c>
      <c r="I529" t="s">
        <v>39</v>
      </c>
      <c r="J529">
        <v>1.0413333333329999</v>
      </c>
      <c r="K529">
        <v>134.14000000000001</v>
      </c>
      <c r="L529" t="s">
        <v>246</v>
      </c>
      <c r="M529" t="s">
        <v>171</v>
      </c>
      <c r="N529" t="s">
        <v>752</v>
      </c>
      <c r="O529">
        <v>1.0516120280159227</v>
      </c>
      <c r="P529">
        <v>1019.0541196285499</v>
      </c>
      <c r="Q529" t="s">
        <v>254</v>
      </c>
    </row>
    <row r="530" spans="1:17" x14ac:dyDescent="0.25">
      <c r="A530" t="s">
        <v>97</v>
      </c>
      <c r="B530" t="s">
        <v>98</v>
      </c>
      <c r="C530">
        <v>160</v>
      </c>
      <c r="D530" t="s">
        <v>264</v>
      </c>
      <c r="E530" s="1">
        <v>43083</v>
      </c>
      <c r="F530" t="s">
        <v>252</v>
      </c>
      <c r="G530" t="s">
        <v>630</v>
      </c>
      <c r="H530">
        <v>-150</v>
      </c>
      <c r="I530" t="s">
        <v>39</v>
      </c>
      <c r="J530">
        <v>1.161966817458</v>
      </c>
      <c r="K530">
        <v>-174.3</v>
      </c>
      <c r="L530" t="s">
        <v>609</v>
      </c>
      <c r="M530" t="s">
        <v>171</v>
      </c>
      <c r="N530" t="s">
        <v>753</v>
      </c>
      <c r="O530">
        <v>1.0313954381087003</v>
      </c>
      <c r="P530">
        <v>844.75411962854992</v>
      </c>
      <c r="Q530" t="s">
        <v>254</v>
      </c>
    </row>
    <row r="531" spans="1:17" x14ac:dyDescent="0.25">
      <c r="A531" t="s">
        <v>97</v>
      </c>
      <c r="B531" t="s">
        <v>98</v>
      </c>
      <c r="C531">
        <v>160</v>
      </c>
      <c r="D531" t="s">
        <v>264</v>
      </c>
      <c r="E531" s="1">
        <v>43083</v>
      </c>
      <c r="F531" t="s">
        <v>252</v>
      </c>
      <c r="G531" t="s">
        <v>630</v>
      </c>
      <c r="H531">
        <v>-150</v>
      </c>
      <c r="I531" t="s">
        <v>39</v>
      </c>
      <c r="J531">
        <v>1.161966817458</v>
      </c>
      <c r="K531">
        <v>-174.3</v>
      </c>
      <c r="L531" t="s">
        <v>609</v>
      </c>
      <c r="M531" t="s">
        <v>171</v>
      </c>
      <c r="N531" t="s">
        <v>753</v>
      </c>
      <c r="O531">
        <v>1.0021136548316243</v>
      </c>
      <c r="P531">
        <v>670.45411962854996</v>
      </c>
      <c r="Q531" t="s">
        <v>254</v>
      </c>
    </row>
    <row r="532" spans="1:17" x14ac:dyDescent="0.25">
      <c r="A532" t="s">
        <v>97</v>
      </c>
      <c r="B532" t="s">
        <v>98</v>
      </c>
      <c r="C532">
        <v>160</v>
      </c>
      <c r="D532" t="s">
        <v>264</v>
      </c>
      <c r="E532" s="1">
        <v>43083</v>
      </c>
      <c r="F532" t="s">
        <v>17</v>
      </c>
      <c r="G532" t="s">
        <v>722</v>
      </c>
      <c r="H532">
        <v>150</v>
      </c>
      <c r="I532" t="s">
        <v>39</v>
      </c>
      <c r="J532">
        <v>1.0413333333329999</v>
      </c>
      <c r="K532">
        <v>134.12</v>
      </c>
      <c r="L532" t="s">
        <v>246</v>
      </c>
      <c r="M532" t="s">
        <v>171</v>
      </c>
      <c r="N532" t="s">
        <v>752</v>
      </c>
      <c r="O532">
        <v>0.98233800501629942</v>
      </c>
      <c r="P532">
        <v>804.57411962854997</v>
      </c>
      <c r="Q532" t="s">
        <v>254</v>
      </c>
    </row>
    <row r="533" spans="1:17" x14ac:dyDescent="0.25">
      <c r="A533" t="s">
        <v>97</v>
      </c>
      <c r="B533" t="s">
        <v>98</v>
      </c>
      <c r="C533">
        <v>160</v>
      </c>
      <c r="D533" t="s">
        <v>264</v>
      </c>
      <c r="E533" s="1">
        <v>43088</v>
      </c>
      <c r="F533" t="s">
        <v>252</v>
      </c>
      <c r="G533" t="s">
        <v>754</v>
      </c>
      <c r="H533">
        <v>-58.8</v>
      </c>
      <c r="I533" t="s">
        <v>39</v>
      </c>
      <c r="J533">
        <v>0</v>
      </c>
      <c r="M533" t="s">
        <v>170</v>
      </c>
      <c r="N533" t="s">
        <v>756</v>
      </c>
      <c r="Q533" t="s">
        <v>254</v>
      </c>
    </row>
    <row r="534" spans="1:17" x14ac:dyDescent="0.25">
      <c r="A534" t="s">
        <v>97</v>
      </c>
      <c r="B534" t="s">
        <v>98</v>
      </c>
      <c r="C534">
        <v>160</v>
      </c>
      <c r="D534" t="s">
        <v>264</v>
      </c>
      <c r="E534" s="1">
        <v>43088</v>
      </c>
      <c r="F534" t="s">
        <v>252</v>
      </c>
      <c r="G534" t="s">
        <v>761</v>
      </c>
      <c r="H534">
        <v>38.85</v>
      </c>
      <c r="I534" t="s">
        <v>39</v>
      </c>
      <c r="J534">
        <v>0</v>
      </c>
      <c r="M534" t="s">
        <v>170</v>
      </c>
      <c r="N534" t="s">
        <v>763</v>
      </c>
      <c r="Q534" t="s">
        <v>254</v>
      </c>
    </row>
    <row r="535" spans="1:17" x14ac:dyDescent="0.25">
      <c r="A535" t="s">
        <v>97</v>
      </c>
      <c r="B535" t="s">
        <v>98</v>
      </c>
      <c r="C535">
        <v>160</v>
      </c>
      <c r="D535" t="s">
        <v>264</v>
      </c>
      <c r="E535" s="1">
        <v>43088</v>
      </c>
      <c r="F535" t="s">
        <v>252</v>
      </c>
      <c r="G535" t="s">
        <v>761</v>
      </c>
      <c r="H535">
        <v>24.55</v>
      </c>
      <c r="I535" t="s">
        <v>39</v>
      </c>
      <c r="J535">
        <v>0</v>
      </c>
      <c r="M535" t="s">
        <v>170</v>
      </c>
      <c r="N535" t="s">
        <v>764</v>
      </c>
      <c r="Q535" t="s">
        <v>254</v>
      </c>
    </row>
    <row r="536" spans="1:17" x14ac:dyDescent="0.25">
      <c r="A536" t="s">
        <v>97</v>
      </c>
      <c r="B536" t="s">
        <v>98</v>
      </c>
      <c r="C536">
        <v>160</v>
      </c>
      <c r="D536" t="s">
        <v>264</v>
      </c>
      <c r="E536" s="1">
        <v>43088</v>
      </c>
      <c r="F536" t="s">
        <v>252</v>
      </c>
      <c r="G536" t="s">
        <v>757</v>
      </c>
      <c r="H536">
        <v>-38.85</v>
      </c>
      <c r="I536" t="s">
        <v>39</v>
      </c>
      <c r="J536">
        <v>0</v>
      </c>
      <c r="M536" t="s">
        <v>170</v>
      </c>
      <c r="N536" t="s">
        <v>759</v>
      </c>
      <c r="Q536" t="s">
        <v>254</v>
      </c>
    </row>
    <row r="537" spans="1:17" x14ac:dyDescent="0.25">
      <c r="A537" t="s">
        <v>97</v>
      </c>
      <c r="B537" t="s">
        <v>98</v>
      </c>
      <c r="C537">
        <v>160</v>
      </c>
      <c r="D537" t="s">
        <v>264</v>
      </c>
      <c r="E537" s="1">
        <v>43088</v>
      </c>
      <c r="F537" t="s">
        <v>252</v>
      </c>
      <c r="G537" t="s">
        <v>757</v>
      </c>
      <c r="H537">
        <v>-24.55</v>
      </c>
      <c r="I537" t="s">
        <v>39</v>
      </c>
      <c r="J537">
        <v>0</v>
      </c>
      <c r="M537" t="s">
        <v>170</v>
      </c>
      <c r="N537" t="s">
        <v>760</v>
      </c>
      <c r="Q537" t="s">
        <v>254</v>
      </c>
    </row>
    <row r="538" spans="1:17" x14ac:dyDescent="0.25">
      <c r="A538" t="s">
        <v>97</v>
      </c>
      <c r="B538" t="s">
        <v>98</v>
      </c>
      <c r="C538">
        <v>160</v>
      </c>
      <c r="D538" t="s">
        <v>264</v>
      </c>
      <c r="E538" s="1">
        <v>43088</v>
      </c>
      <c r="F538" t="s">
        <v>252</v>
      </c>
      <c r="G538" t="s">
        <v>757</v>
      </c>
      <c r="H538">
        <v>-38.85</v>
      </c>
      <c r="I538" t="s">
        <v>39</v>
      </c>
      <c r="J538">
        <v>1.1732603074510002</v>
      </c>
      <c r="K538">
        <v>-45.58</v>
      </c>
      <c r="L538" t="s">
        <v>609</v>
      </c>
      <c r="M538" t="s">
        <v>171</v>
      </c>
      <c r="N538" t="s">
        <v>759</v>
      </c>
      <c r="O538">
        <v>0.9728324121413372</v>
      </c>
      <c r="P538">
        <v>758.99411962854992</v>
      </c>
      <c r="Q538" t="s">
        <v>254</v>
      </c>
    </row>
    <row r="539" spans="1:17" x14ac:dyDescent="0.25">
      <c r="A539" t="s">
        <v>97</v>
      </c>
      <c r="B539" t="s">
        <v>98</v>
      </c>
      <c r="C539">
        <v>160</v>
      </c>
      <c r="D539" t="s">
        <v>264</v>
      </c>
      <c r="E539" s="1">
        <v>43088</v>
      </c>
      <c r="F539" t="s">
        <v>252</v>
      </c>
      <c r="G539" t="s">
        <v>757</v>
      </c>
      <c r="H539">
        <v>-24.55</v>
      </c>
      <c r="I539" t="s">
        <v>39</v>
      </c>
      <c r="J539">
        <v>1.1732603074510002</v>
      </c>
      <c r="K539">
        <v>-28.8</v>
      </c>
      <c r="L539" t="s">
        <v>609</v>
      </c>
      <c r="M539" t="s">
        <v>171</v>
      </c>
      <c r="N539" t="s">
        <v>760</v>
      </c>
      <c r="O539">
        <v>0.96632539255273664</v>
      </c>
      <c r="P539">
        <v>730.19411962854997</v>
      </c>
      <c r="Q539" t="s">
        <v>254</v>
      </c>
    </row>
    <row r="540" spans="1:17" x14ac:dyDescent="0.25">
      <c r="A540" t="s">
        <v>97</v>
      </c>
      <c r="B540" t="s">
        <v>98</v>
      </c>
      <c r="C540">
        <v>160</v>
      </c>
      <c r="D540" t="s">
        <v>264</v>
      </c>
      <c r="E540" s="1">
        <v>43088</v>
      </c>
      <c r="F540" t="s">
        <v>252</v>
      </c>
      <c r="G540" t="s">
        <v>761</v>
      </c>
      <c r="H540">
        <v>38.85</v>
      </c>
      <c r="I540" t="s">
        <v>39</v>
      </c>
      <c r="J540">
        <v>1.309254079569</v>
      </c>
      <c r="K540">
        <v>50.86</v>
      </c>
      <c r="L540" t="s">
        <v>609</v>
      </c>
      <c r="M540" t="s">
        <v>171</v>
      </c>
      <c r="N540" t="s">
        <v>763</v>
      </c>
      <c r="O540">
        <v>0.9830886727693865</v>
      </c>
      <c r="P540">
        <v>781.05411962854998</v>
      </c>
      <c r="Q540" t="s">
        <v>254</v>
      </c>
    </row>
    <row r="541" spans="1:17" x14ac:dyDescent="0.25">
      <c r="A541" t="s">
        <v>97</v>
      </c>
      <c r="B541" t="s">
        <v>98</v>
      </c>
      <c r="C541">
        <v>160</v>
      </c>
      <c r="D541" t="s">
        <v>264</v>
      </c>
      <c r="E541" s="1">
        <v>43088</v>
      </c>
      <c r="F541" t="s">
        <v>252</v>
      </c>
      <c r="G541" t="s">
        <v>761</v>
      </c>
      <c r="H541">
        <v>24.55</v>
      </c>
      <c r="I541" t="s">
        <v>39</v>
      </c>
      <c r="J541">
        <v>1.309254079569</v>
      </c>
      <c r="K541">
        <v>32.14</v>
      </c>
      <c r="L541" t="s">
        <v>609</v>
      </c>
      <c r="M541" t="s">
        <v>171</v>
      </c>
      <c r="N541" t="s">
        <v>764</v>
      </c>
      <c r="O541">
        <v>0.99286252152342969</v>
      </c>
      <c r="P541">
        <v>813.19411962854997</v>
      </c>
      <c r="Q541" t="s">
        <v>254</v>
      </c>
    </row>
    <row r="542" spans="1:17" x14ac:dyDescent="0.25">
      <c r="A542" t="s">
        <v>97</v>
      </c>
      <c r="B542" t="s">
        <v>98</v>
      </c>
      <c r="C542">
        <v>160</v>
      </c>
      <c r="D542" t="s">
        <v>264</v>
      </c>
      <c r="E542" s="1">
        <v>43088</v>
      </c>
      <c r="F542" t="s">
        <v>252</v>
      </c>
      <c r="G542" t="s">
        <v>754</v>
      </c>
      <c r="H542">
        <v>-50.4</v>
      </c>
      <c r="I542" t="s">
        <v>39</v>
      </c>
      <c r="J542">
        <v>1.161926303512</v>
      </c>
      <c r="K542">
        <v>-58.56</v>
      </c>
      <c r="L542" t="s">
        <v>609</v>
      </c>
      <c r="M542" t="s">
        <v>171</v>
      </c>
      <c r="N542" t="s">
        <v>756</v>
      </c>
      <c r="O542">
        <v>0.98177836129859219</v>
      </c>
      <c r="P542">
        <v>754.63411962855002</v>
      </c>
      <c r="Q542" t="s">
        <v>254</v>
      </c>
    </row>
    <row r="543" spans="1:17" x14ac:dyDescent="0.25">
      <c r="A543" t="s">
        <v>97</v>
      </c>
      <c r="B543" t="s">
        <v>98</v>
      </c>
      <c r="C543">
        <v>160</v>
      </c>
      <c r="D543" t="s">
        <v>264</v>
      </c>
      <c r="E543" s="1">
        <v>43088</v>
      </c>
      <c r="F543" t="s">
        <v>252</v>
      </c>
      <c r="G543" t="s">
        <v>754</v>
      </c>
      <c r="H543">
        <v>-8.4</v>
      </c>
      <c r="I543" t="s">
        <v>39</v>
      </c>
      <c r="J543">
        <v>1.161926303512</v>
      </c>
      <c r="K543">
        <v>-9.76</v>
      </c>
      <c r="L543" t="s">
        <v>609</v>
      </c>
      <c r="M543" t="s">
        <v>171</v>
      </c>
      <c r="N543" t="s">
        <v>756</v>
      </c>
      <c r="O543">
        <v>0.97978811905260166</v>
      </c>
      <c r="P543">
        <v>744.87411962855003</v>
      </c>
      <c r="Q543" t="s">
        <v>254</v>
      </c>
    </row>
    <row r="544" spans="1:17" x14ac:dyDescent="0.25">
      <c r="A544" t="s">
        <v>97</v>
      </c>
      <c r="B544" t="s">
        <v>98</v>
      </c>
      <c r="C544">
        <v>160</v>
      </c>
      <c r="D544" t="s">
        <v>264</v>
      </c>
      <c r="E544" s="1">
        <v>43089</v>
      </c>
      <c r="F544" t="s">
        <v>21</v>
      </c>
      <c r="G544" t="s">
        <v>2240</v>
      </c>
      <c r="H544">
        <v>-9.5400000000000009</v>
      </c>
      <c r="I544" t="s">
        <v>39</v>
      </c>
      <c r="J544">
        <v>0</v>
      </c>
      <c r="M544" t="s">
        <v>170</v>
      </c>
      <c r="N544" t="s">
        <v>2241</v>
      </c>
    </row>
    <row r="545" spans="1:17" x14ac:dyDescent="0.25">
      <c r="A545" t="s">
        <v>97</v>
      </c>
      <c r="B545" t="s">
        <v>98</v>
      </c>
      <c r="C545">
        <v>160</v>
      </c>
      <c r="D545" t="s">
        <v>264</v>
      </c>
      <c r="E545" s="1">
        <v>43089</v>
      </c>
      <c r="F545" t="s">
        <v>21</v>
      </c>
      <c r="G545" t="s">
        <v>2240</v>
      </c>
      <c r="H545">
        <v>-9.5400000000000009</v>
      </c>
      <c r="I545" t="s">
        <v>39</v>
      </c>
      <c r="J545">
        <v>0.97978811905260166</v>
      </c>
      <c r="K545">
        <v>-9.3471786557618213</v>
      </c>
      <c r="M545" t="s">
        <v>255</v>
      </c>
      <c r="N545" t="s">
        <v>2241</v>
      </c>
      <c r="O545">
        <v>0.97978811905260166</v>
      </c>
      <c r="P545">
        <v>735.52694097278822</v>
      </c>
      <c r="Q545" t="s">
        <v>249</v>
      </c>
    </row>
    <row r="546" spans="1:17" x14ac:dyDescent="0.25">
      <c r="A546" t="s">
        <v>97</v>
      </c>
      <c r="B546" t="s">
        <v>98</v>
      </c>
      <c r="C546">
        <v>160</v>
      </c>
      <c r="D546" t="s">
        <v>264</v>
      </c>
      <c r="E546" s="1">
        <v>43089</v>
      </c>
      <c r="F546" t="s">
        <v>21</v>
      </c>
      <c r="G546" t="s">
        <v>2240</v>
      </c>
      <c r="H546">
        <v>-0.85</v>
      </c>
      <c r="I546" t="s">
        <v>39</v>
      </c>
      <c r="J546">
        <v>0</v>
      </c>
      <c r="M546" t="s">
        <v>170</v>
      </c>
      <c r="N546" t="s">
        <v>2242</v>
      </c>
    </row>
    <row r="547" spans="1:17" x14ac:dyDescent="0.25">
      <c r="A547" t="s">
        <v>97</v>
      </c>
      <c r="B547" t="s">
        <v>98</v>
      </c>
      <c r="C547">
        <v>160</v>
      </c>
      <c r="D547" t="s">
        <v>264</v>
      </c>
      <c r="E547" s="1">
        <v>43089</v>
      </c>
      <c r="F547" t="s">
        <v>21</v>
      </c>
      <c r="G547" t="s">
        <v>2240</v>
      </c>
      <c r="H547">
        <v>-0.85</v>
      </c>
      <c r="I547" t="s">
        <v>39</v>
      </c>
      <c r="J547">
        <v>0.97978811905260166</v>
      </c>
      <c r="K547">
        <v>-0.83281990119471139</v>
      </c>
      <c r="M547" t="s">
        <v>255</v>
      </c>
      <c r="N547" t="s">
        <v>2242</v>
      </c>
      <c r="O547">
        <v>0.97978811905260166</v>
      </c>
      <c r="P547">
        <v>734.69412107159349</v>
      </c>
      <c r="Q547" t="s">
        <v>249</v>
      </c>
    </row>
    <row r="548" spans="1:17" x14ac:dyDescent="0.25">
      <c r="A548" t="s">
        <v>97</v>
      </c>
      <c r="B548" t="s">
        <v>98</v>
      </c>
      <c r="C548">
        <v>160</v>
      </c>
      <c r="D548" t="s">
        <v>264</v>
      </c>
      <c r="E548" s="1">
        <v>43089</v>
      </c>
      <c r="F548" t="s">
        <v>21</v>
      </c>
      <c r="G548" t="s">
        <v>2240</v>
      </c>
      <c r="H548">
        <v>-0.4</v>
      </c>
      <c r="I548" t="s">
        <v>39</v>
      </c>
      <c r="J548">
        <v>0</v>
      </c>
      <c r="M548" t="s">
        <v>170</v>
      </c>
      <c r="N548" t="s">
        <v>2243</v>
      </c>
    </row>
    <row r="549" spans="1:17" x14ac:dyDescent="0.25">
      <c r="A549" t="s">
        <v>97</v>
      </c>
      <c r="B549" t="s">
        <v>98</v>
      </c>
      <c r="C549">
        <v>160</v>
      </c>
      <c r="D549" t="s">
        <v>264</v>
      </c>
      <c r="E549" s="1">
        <v>43089</v>
      </c>
      <c r="F549" t="s">
        <v>21</v>
      </c>
      <c r="G549" t="s">
        <v>2240</v>
      </c>
      <c r="H549">
        <v>-0.4</v>
      </c>
      <c r="I549" t="s">
        <v>39</v>
      </c>
      <c r="J549">
        <v>0.97978811905260166</v>
      </c>
      <c r="K549">
        <v>-0.39191524762104069</v>
      </c>
      <c r="M549" t="s">
        <v>255</v>
      </c>
      <c r="N549" t="s">
        <v>2243</v>
      </c>
      <c r="O549">
        <v>0.97978811905260166</v>
      </c>
      <c r="P549">
        <v>734.30220582397249</v>
      </c>
      <c r="Q549" t="s">
        <v>249</v>
      </c>
    </row>
    <row r="550" spans="1:17" x14ac:dyDescent="0.25">
      <c r="A550" t="s">
        <v>97</v>
      </c>
      <c r="B550" t="s">
        <v>98</v>
      </c>
      <c r="C550">
        <v>160</v>
      </c>
      <c r="D550" t="s">
        <v>264</v>
      </c>
      <c r="E550" s="1">
        <v>43089</v>
      </c>
      <c r="F550" t="s">
        <v>21</v>
      </c>
      <c r="G550" t="s">
        <v>2240</v>
      </c>
      <c r="H550">
        <v>-3.9200000000000004</v>
      </c>
      <c r="I550" t="s">
        <v>39</v>
      </c>
      <c r="J550">
        <v>0</v>
      </c>
      <c r="M550" t="s">
        <v>170</v>
      </c>
      <c r="N550" t="s">
        <v>2244</v>
      </c>
    </row>
    <row r="551" spans="1:17" x14ac:dyDescent="0.25">
      <c r="A551" t="s">
        <v>97</v>
      </c>
      <c r="B551" t="s">
        <v>98</v>
      </c>
      <c r="C551">
        <v>160</v>
      </c>
      <c r="D551" t="s">
        <v>264</v>
      </c>
      <c r="E551" s="1">
        <v>43089</v>
      </c>
      <c r="F551" t="s">
        <v>21</v>
      </c>
      <c r="G551" t="s">
        <v>2240</v>
      </c>
      <c r="H551">
        <v>-3.9200000000000004</v>
      </c>
      <c r="I551" t="s">
        <v>39</v>
      </c>
      <c r="J551">
        <v>0.97978811905260166</v>
      </c>
      <c r="K551">
        <v>-3.8407694266861987</v>
      </c>
      <c r="M551" t="s">
        <v>255</v>
      </c>
      <c r="N551" t="s">
        <v>2244</v>
      </c>
      <c r="O551">
        <v>0.97978811905260166</v>
      </c>
      <c r="P551">
        <v>730.46143639728632</v>
      </c>
      <c r="Q551" t="s">
        <v>249</v>
      </c>
    </row>
    <row r="552" spans="1:17" x14ac:dyDescent="0.25">
      <c r="A552" t="s">
        <v>97</v>
      </c>
      <c r="B552" t="s">
        <v>98</v>
      </c>
      <c r="C552">
        <v>160</v>
      </c>
      <c r="D552" t="s">
        <v>264</v>
      </c>
      <c r="E552" s="1">
        <v>43089</v>
      </c>
      <c r="F552" t="s">
        <v>21</v>
      </c>
      <c r="G552" t="s">
        <v>2240</v>
      </c>
      <c r="H552">
        <v>-0.93</v>
      </c>
      <c r="I552" t="s">
        <v>39</v>
      </c>
      <c r="J552">
        <v>0</v>
      </c>
      <c r="M552" t="s">
        <v>170</v>
      </c>
      <c r="N552" t="s">
        <v>2245</v>
      </c>
    </row>
    <row r="553" spans="1:17" x14ac:dyDescent="0.25">
      <c r="A553" t="s">
        <v>97</v>
      </c>
      <c r="B553" t="s">
        <v>98</v>
      </c>
      <c r="C553">
        <v>160</v>
      </c>
      <c r="D553" t="s">
        <v>264</v>
      </c>
      <c r="E553" s="1">
        <v>43089</v>
      </c>
      <c r="F553" t="s">
        <v>21</v>
      </c>
      <c r="G553" t="s">
        <v>2240</v>
      </c>
      <c r="H553">
        <v>-0.93</v>
      </c>
      <c r="I553" t="s">
        <v>39</v>
      </c>
      <c r="J553">
        <v>0.97978811905260166</v>
      </c>
      <c r="K553">
        <v>-0.91120295071891955</v>
      </c>
      <c r="M553" t="s">
        <v>255</v>
      </c>
      <c r="N553" t="s">
        <v>2245</v>
      </c>
      <c r="O553">
        <v>0.97978811905260166</v>
      </c>
      <c r="P553">
        <v>729.5502334465674</v>
      </c>
      <c r="Q553" t="s">
        <v>249</v>
      </c>
    </row>
    <row r="554" spans="1:17" x14ac:dyDescent="0.25">
      <c r="A554" t="s">
        <v>97</v>
      </c>
      <c r="B554" t="s">
        <v>98</v>
      </c>
      <c r="C554">
        <v>160</v>
      </c>
      <c r="D554" t="s">
        <v>264</v>
      </c>
      <c r="E554" s="1">
        <v>43091</v>
      </c>
      <c r="F554" t="s">
        <v>252</v>
      </c>
      <c r="G554" t="s">
        <v>765</v>
      </c>
      <c r="H554">
        <v>-14.75</v>
      </c>
      <c r="I554" t="s">
        <v>39</v>
      </c>
      <c r="J554">
        <v>0</v>
      </c>
      <c r="M554" t="s">
        <v>170</v>
      </c>
      <c r="N554" t="s">
        <v>767</v>
      </c>
      <c r="Q554" t="s">
        <v>254</v>
      </c>
    </row>
    <row r="555" spans="1:17" x14ac:dyDescent="0.25">
      <c r="A555" t="s">
        <v>97</v>
      </c>
      <c r="B555" t="s">
        <v>98</v>
      </c>
      <c r="C555">
        <v>160</v>
      </c>
      <c r="D555" t="s">
        <v>264</v>
      </c>
      <c r="E555" s="1">
        <v>43091</v>
      </c>
      <c r="F555" t="s">
        <v>252</v>
      </c>
      <c r="G555" t="s">
        <v>765</v>
      </c>
      <c r="H555">
        <v>-14.75</v>
      </c>
      <c r="I555" t="s">
        <v>39</v>
      </c>
      <c r="J555">
        <v>1.1732664943029998</v>
      </c>
      <c r="K555">
        <v>-17.309999999999999</v>
      </c>
      <c r="L555" t="s">
        <v>609</v>
      </c>
      <c r="M555" t="s">
        <v>171</v>
      </c>
      <c r="N555" t="s">
        <v>767</v>
      </c>
      <c r="O555">
        <v>0.97587207432563838</v>
      </c>
      <c r="P555">
        <v>712.24023344656746</v>
      </c>
      <c r="Q555" t="s">
        <v>254</v>
      </c>
    </row>
    <row r="556" spans="1:17" x14ac:dyDescent="0.25">
      <c r="A556" t="s">
        <v>97</v>
      </c>
      <c r="B556" t="s">
        <v>98</v>
      </c>
      <c r="C556">
        <v>160</v>
      </c>
      <c r="D556" t="s">
        <v>264</v>
      </c>
      <c r="E556" s="1">
        <v>43096</v>
      </c>
      <c r="F556" t="s">
        <v>607</v>
      </c>
      <c r="H556">
        <v>-15.64</v>
      </c>
      <c r="I556" t="s">
        <v>39</v>
      </c>
      <c r="J556">
        <v>1.17326</v>
      </c>
      <c r="K556">
        <v>-18.350000000000001</v>
      </c>
      <c r="L556" t="s">
        <v>609</v>
      </c>
      <c r="M556" t="s">
        <v>171</v>
      </c>
      <c r="N556" t="s">
        <v>768</v>
      </c>
      <c r="O556">
        <v>0.97154931105216558</v>
      </c>
      <c r="P556">
        <v>693.89023344656744</v>
      </c>
    </row>
    <row r="557" spans="1:17" x14ac:dyDescent="0.25">
      <c r="A557" t="s">
        <v>97</v>
      </c>
      <c r="B557" t="s">
        <v>98</v>
      </c>
      <c r="C557">
        <v>160</v>
      </c>
      <c r="D557" t="s">
        <v>264</v>
      </c>
      <c r="E557" s="1">
        <v>43096</v>
      </c>
      <c r="F557" t="s">
        <v>607</v>
      </c>
      <c r="H557">
        <v>15.64</v>
      </c>
      <c r="I557" t="s">
        <v>39</v>
      </c>
      <c r="J557">
        <v>1.17326</v>
      </c>
      <c r="K557">
        <v>-18.350000000000001</v>
      </c>
      <c r="L557" t="s">
        <v>609</v>
      </c>
      <c r="M557" t="s">
        <v>255</v>
      </c>
      <c r="N557" t="s">
        <v>768</v>
      </c>
      <c r="O557">
        <v>0.92558776933146147</v>
      </c>
      <c r="P557">
        <v>675.54023344656741</v>
      </c>
      <c r="Q557" t="s">
        <v>249</v>
      </c>
    </row>
    <row r="558" spans="1:17" x14ac:dyDescent="0.25">
      <c r="A558" t="s">
        <v>121</v>
      </c>
      <c r="B558" t="s">
        <v>122</v>
      </c>
      <c r="C558">
        <v>160</v>
      </c>
      <c r="D558" t="s">
        <v>264</v>
      </c>
      <c r="E558" s="1">
        <v>43080</v>
      </c>
      <c r="F558" t="s">
        <v>252</v>
      </c>
      <c r="G558" t="s">
        <v>772</v>
      </c>
      <c r="H558">
        <v>-8.5</v>
      </c>
      <c r="I558" t="s">
        <v>39</v>
      </c>
      <c r="J558">
        <v>0</v>
      </c>
      <c r="M558" t="s">
        <v>170</v>
      </c>
      <c r="N558" t="s">
        <v>774</v>
      </c>
      <c r="Q558" t="s">
        <v>254</v>
      </c>
    </row>
    <row r="559" spans="1:17" x14ac:dyDescent="0.25">
      <c r="A559" t="s">
        <v>121</v>
      </c>
      <c r="B559" t="s">
        <v>122</v>
      </c>
      <c r="C559">
        <v>160</v>
      </c>
      <c r="D559" t="s">
        <v>264</v>
      </c>
      <c r="E559" s="1">
        <v>43080</v>
      </c>
      <c r="F559" t="s">
        <v>252</v>
      </c>
      <c r="G559" t="s">
        <v>772</v>
      </c>
      <c r="H559">
        <v>-8.5</v>
      </c>
      <c r="I559" t="s">
        <v>39</v>
      </c>
      <c r="J559">
        <v>1.5426211780329999</v>
      </c>
      <c r="K559">
        <v>-13.11</v>
      </c>
      <c r="L559" t="s">
        <v>609</v>
      </c>
      <c r="M559" t="s">
        <v>171</v>
      </c>
      <c r="N559" t="s">
        <v>774</v>
      </c>
      <c r="O559">
        <v>1.542623460922312</v>
      </c>
      <c r="P559">
        <v>1540.67975536155</v>
      </c>
      <c r="Q559" t="s">
        <v>254</v>
      </c>
    </row>
    <row r="560" spans="1:17" x14ac:dyDescent="0.25">
      <c r="A560" t="s">
        <v>121</v>
      </c>
      <c r="B560" t="s">
        <v>122</v>
      </c>
      <c r="C560">
        <v>160</v>
      </c>
      <c r="D560" t="s">
        <v>264</v>
      </c>
      <c r="E560" s="1">
        <v>43089</v>
      </c>
      <c r="F560" t="s">
        <v>21</v>
      </c>
      <c r="G560" t="s">
        <v>2191</v>
      </c>
      <c r="H560">
        <v>-1.5</v>
      </c>
      <c r="I560" t="s">
        <v>39</v>
      </c>
      <c r="J560">
        <v>0</v>
      </c>
      <c r="M560" t="s">
        <v>170</v>
      </c>
      <c r="N560" t="s">
        <v>2192</v>
      </c>
    </row>
    <row r="561" spans="1:17" x14ac:dyDescent="0.25">
      <c r="A561" t="s">
        <v>121</v>
      </c>
      <c r="B561" t="s">
        <v>122</v>
      </c>
      <c r="C561">
        <v>160</v>
      </c>
      <c r="D561" t="s">
        <v>264</v>
      </c>
      <c r="E561" s="1">
        <v>43089</v>
      </c>
      <c r="F561" t="s">
        <v>21</v>
      </c>
      <c r="G561" t="s">
        <v>2191</v>
      </c>
      <c r="H561">
        <v>-1.5</v>
      </c>
      <c r="I561" t="s">
        <v>39</v>
      </c>
      <c r="J561">
        <v>1.542623460922312</v>
      </c>
      <c r="K561">
        <v>-2.313935191383468</v>
      </c>
      <c r="M561" t="s">
        <v>255</v>
      </c>
      <c r="N561" t="s">
        <v>2192</v>
      </c>
      <c r="O561">
        <v>1.542623460922312</v>
      </c>
      <c r="P561">
        <v>1538.3658201701664</v>
      </c>
      <c r="Q561" t="s">
        <v>249</v>
      </c>
    </row>
    <row r="562" spans="1:17" x14ac:dyDescent="0.25">
      <c r="A562" t="s">
        <v>121</v>
      </c>
      <c r="B562" t="s">
        <v>122</v>
      </c>
      <c r="C562">
        <v>160</v>
      </c>
      <c r="D562" t="s">
        <v>264</v>
      </c>
      <c r="E562" s="1">
        <v>43089</v>
      </c>
      <c r="F562" t="s">
        <v>21</v>
      </c>
      <c r="G562" t="s">
        <v>2191</v>
      </c>
      <c r="H562">
        <v>-29.23</v>
      </c>
      <c r="I562" t="s">
        <v>39</v>
      </c>
      <c r="J562">
        <v>0</v>
      </c>
      <c r="M562" t="s">
        <v>170</v>
      </c>
      <c r="N562" t="s">
        <v>2193</v>
      </c>
    </row>
    <row r="563" spans="1:17" x14ac:dyDescent="0.25">
      <c r="A563" t="s">
        <v>121</v>
      </c>
      <c r="B563" t="s">
        <v>122</v>
      </c>
      <c r="C563">
        <v>160</v>
      </c>
      <c r="D563" t="s">
        <v>264</v>
      </c>
      <c r="E563" s="1">
        <v>43089</v>
      </c>
      <c r="F563" t="s">
        <v>21</v>
      </c>
      <c r="G563" t="s">
        <v>2191</v>
      </c>
      <c r="H563">
        <v>-29.23</v>
      </c>
      <c r="I563" t="s">
        <v>39</v>
      </c>
      <c r="J563">
        <v>1.542623460922312</v>
      </c>
      <c r="K563">
        <v>-45.090883762759177</v>
      </c>
      <c r="M563" t="s">
        <v>255</v>
      </c>
      <c r="N563" t="s">
        <v>2193</v>
      </c>
      <c r="O563">
        <v>1.542623460922312</v>
      </c>
      <c r="P563">
        <v>1493.2749364074073</v>
      </c>
      <c r="Q563" t="s">
        <v>249</v>
      </c>
    </row>
    <row r="564" spans="1:17" x14ac:dyDescent="0.25">
      <c r="A564" t="s">
        <v>121</v>
      </c>
      <c r="B564" t="s">
        <v>122</v>
      </c>
      <c r="C564">
        <v>160</v>
      </c>
      <c r="D564" t="s">
        <v>264</v>
      </c>
      <c r="E564" s="1">
        <v>43089</v>
      </c>
      <c r="F564" t="s">
        <v>21</v>
      </c>
      <c r="G564" t="s">
        <v>2191</v>
      </c>
      <c r="H564">
        <v>-1.2</v>
      </c>
      <c r="I564" t="s">
        <v>39</v>
      </c>
      <c r="J564">
        <v>0</v>
      </c>
      <c r="M564" t="s">
        <v>170</v>
      </c>
      <c r="N564" t="s">
        <v>2194</v>
      </c>
    </row>
    <row r="565" spans="1:17" x14ac:dyDescent="0.25">
      <c r="A565" t="s">
        <v>121</v>
      </c>
      <c r="B565" t="s">
        <v>122</v>
      </c>
      <c r="C565">
        <v>160</v>
      </c>
      <c r="D565" t="s">
        <v>264</v>
      </c>
      <c r="E565" s="1">
        <v>43089</v>
      </c>
      <c r="F565" t="s">
        <v>21</v>
      </c>
      <c r="G565" t="s">
        <v>2191</v>
      </c>
      <c r="H565">
        <v>-1.2</v>
      </c>
      <c r="I565" t="s">
        <v>39</v>
      </c>
      <c r="J565">
        <v>1.542623460922312</v>
      </c>
      <c r="K565">
        <v>-1.8511481531067742</v>
      </c>
      <c r="M565" t="s">
        <v>255</v>
      </c>
      <c r="N565" t="s">
        <v>2194</v>
      </c>
      <c r="O565">
        <v>1.5426234609223122</v>
      </c>
      <c r="P565">
        <v>1491.4237882543005</v>
      </c>
      <c r="Q565" t="s">
        <v>249</v>
      </c>
    </row>
    <row r="566" spans="1:17" x14ac:dyDescent="0.25">
      <c r="A566" t="s">
        <v>121</v>
      </c>
      <c r="B566" t="s">
        <v>122</v>
      </c>
      <c r="C566">
        <v>160</v>
      </c>
      <c r="D566" t="s">
        <v>264</v>
      </c>
      <c r="E566" s="1">
        <v>43096</v>
      </c>
      <c r="F566" t="s">
        <v>607</v>
      </c>
      <c r="H566">
        <v>-31.93</v>
      </c>
      <c r="I566" t="s">
        <v>39</v>
      </c>
      <c r="J566">
        <v>1.5426199999999999</v>
      </c>
      <c r="K566">
        <v>-49.26</v>
      </c>
      <c r="L566" t="s">
        <v>609</v>
      </c>
      <c r="M566" t="s">
        <v>171</v>
      </c>
      <c r="N566" t="s">
        <v>775</v>
      </c>
      <c r="O566">
        <v>1.5426191471143895</v>
      </c>
      <c r="P566">
        <v>1442.1637882543005</v>
      </c>
    </row>
    <row r="567" spans="1:17" x14ac:dyDescent="0.25">
      <c r="A567" t="s">
        <v>121</v>
      </c>
      <c r="B567" t="s">
        <v>122</v>
      </c>
      <c r="C567">
        <v>160</v>
      </c>
      <c r="D567" t="s">
        <v>264</v>
      </c>
      <c r="E567" s="1">
        <v>43096</v>
      </c>
      <c r="F567" t="s">
        <v>607</v>
      </c>
      <c r="H567">
        <v>31.93</v>
      </c>
      <c r="I567" t="s">
        <v>39</v>
      </c>
      <c r="J567">
        <v>1.5426199999999999</v>
      </c>
      <c r="K567">
        <v>-49.26</v>
      </c>
      <c r="L567" t="s">
        <v>609</v>
      </c>
      <c r="M567" t="s">
        <v>255</v>
      </c>
      <c r="N567" t="s">
        <v>775</v>
      </c>
      <c r="O567">
        <v>1.4407213291694341</v>
      </c>
      <c r="P567">
        <v>1392.9037882543005</v>
      </c>
      <c r="Q567" t="s">
        <v>249</v>
      </c>
    </row>
    <row r="568" spans="1:17" x14ac:dyDescent="0.25">
      <c r="A568" t="s">
        <v>106</v>
      </c>
      <c r="B568" t="s">
        <v>107</v>
      </c>
      <c r="C568">
        <v>160</v>
      </c>
      <c r="D568" t="s">
        <v>264</v>
      </c>
      <c r="E568" s="1">
        <v>43080</v>
      </c>
      <c r="F568" t="s">
        <v>252</v>
      </c>
      <c r="G568" t="s">
        <v>776</v>
      </c>
      <c r="H568">
        <v>-20.95</v>
      </c>
      <c r="I568" t="s">
        <v>39</v>
      </c>
      <c r="J568">
        <v>0</v>
      </c>
      <c r="M568" t="s">
        <v>170</v>
      </c>
      <c r="N568" t="s">
        <v>778</v>
      </c>
      <c r="Q568" t="s">
        <v>254</v>
      </c>
    </row>
    <row r="569" spans="1:17" x14ac:dyDescent="0.25">
      <c r="A569" t="s">
        <v>106</v>
      </c>
      <c r="B569" t="s">
        <v>107</v>
      </c>
      <c r="C569">
        <v>160</v>
      </c>
      <c r="D569" t="s">
        <v>264</v>
      </c>
      <c r="E569" s="1">
        <v>43080</v>
      </c>
      <c r="F569" t="s">
        <v>252</v>
      </c>
      <c r="G569" t="s">
        <v>776</v>
      </c>
      <c r="H569">
        <v>-20.95</v>
      </c>
      <c r="I569" t="s">
        <v>39</v>
      </c>
      <c r="J569">
        <v>1.039453452901</v>
      </c>
      <c r="K569">
        <v>-21.78</v>
      </c>
      <c r="L569" t="s">
        <v>609</v>
      </c>
      <c r="M569" t="s">
        <v>171</v>
      </c>
      <c r="N569" t="s">
        <v>778</v>
      </c>
      <c r="O569">
        <v>1.0394513769287164</v>
      </c>
      <c r="P569">
        <v>1727.5162158866801</v>
      </c>
      <c r="Q569" t="s">
        <v>254</v>
      </c>
    </row>
    <row r="570" spans="1:17" x14ac:dyDescent="0.25">
      <c r="A570" t="s">
        <v>106</v>
      </c>
      <c r="B570" t="s">
        <v>107</v>
      </c>
      <c r="C570">
        <v>160</v>
      </c>
      <c r="D570" t="s">
        <v>264</v>
      </c>
      <c r="E570" s="1">
        <v>43081</v>
      </c>
      <c r="F570" t="s">
        <v>252</v>
      </c>
      <c r="G570" t="s">
        <v>779</v>
      </c>
      <c r="H570">
        <v>-450</v>
      </c>
      <c r="I570" t="s">
        <v>39</v>
      </c>
      <c r="J570">
        <v>0</v>
      </c>
      <c r="M570" t="s">
        <v>170</v>
      </c>
      <c r="N570" t="s">
        <v>781</v>
      </c>
      <c r="Q570" t="s">
        <v>254</v>
      </c>
    </row>
    <row r="571" spans="1:17" x14ac:dyDescent="0.25">
      <c r="A571" t="s">
        <v>106</v>
      </c>
      <c r="B571" t="s">
        <v>107</v>
      </c>
      <c r="C571">
        <v>160</v>
      </c>
      <c r="D571" t="s">
        <v>264</v>
      </c>
      <c r="E571" s="1">
        <v>43081</v>
      </c>
      <c r="F571" t="s">
        <v>252</v>
      </c>
      <c r="G571" t="s">
        <v>779</v>
      </c>
      <c r="H571">
        <v>-150</v>
      </c>
      <c r="I571" t="s">
        <v>39</v>
      </c>
      <c r="J571">
        <v>1.0394513769289999</v>
      </c>
      <c r="K571">
        <v>-155.92000000000002</v>
      </c>
      <c r="L571" t="s">
        <v>609</v>
      </c>
      <c r="M571" t="s">
        <v>171</v>
      </c>
      <c r="N571" t="s">
        <v>781</v>
      </c>
      <c r="O571">
        <v>1.0394498600394722</v>
      </c>
      <c r="P571">
        <v>1571.5962158866801</v>
      </c>
      <c r="Q571" t="s">
        <v>254</v>
      </c>
    </row>
    <row r="572" spans="1:17" x14ac:dyDescent="0.25">
      <c r="A572" t="s">
        <v>106</v>
      </c>
      <c r="B572" t="s">
        <v>107</v>
      </c>
      <c r="C572">
        <v>160</v>
      </c>
      <c r="D572" t="s">
        <v>264</v>
      </c>
      <c r="E572" s="1">
        <v>43081</v>
      </c>
      <c r="F572" t="s">
        <v>252</v>
      </c>
      <c r="G572" t="s">
        <v>779</v>
      </c>
      <c r="H572">
        <v>-150</v>
      </c>
      <c r="I572" t="s">
        <v>39</v>
      </c>
      <c r="J572">
        <v>1.0394513769289999</v>
      </c>
      <c r="K572">
        <v>-155.92000000000002</v>
      </c>
      <c r="L572" t="s">
        <v>609</v>
      </c>
      <c r="M572" t="s">
        <v>171</v>
      </c>
      <c r="N572" t="s">
        <v>781</v>
      </c>
      <c r="O572">
        <v>1.0394480090213885</v>
      </c>
      <c r="P572">
        <v>1415.67621588668</v>
      </c>
      <c r="Q572" t="s">
        <v>254</v>
      </c>
    </row>
    <row r="573" spans="1:17" x14ac:dyDescent="0.25">
      <c r="A573" t="s">
        <v>106</v>
      </c>
      <c r="B573" t="s">
        <v>107</v>
      </c>
      <c r="C573">
        <v>160</v>
      </c>
      <c r="D573" t="s">
        <v>264</v>
      </c>
      <c r="E573" s="1">
        <v>43081</v>
      </c>
      <c r="F573" t="s">
        <v>252</v>
      </c>
      <c r="G573" t="s">
        <v>779</v>
      </c>
      <c r="H573">
        <v>-150</v>
      </c>
      <c r="I573" t="s">
        <v>39</v>
      </c>
      <c r="J573">
        <v>1.0394513769289999</v>
      </c>
      <c r="K573">
        <v>-155.92000000000002</v>
      </c>
      <c r="L573" t="s">
        <v>609</v>
      </c>
      <c r="M573" t="s">
        <v>171</v>
      </c>
      <c r="N573" t="s">
        <v>781</v>
      </c>
      <c r="O573">
        <v>1.0394456998116093</v>
      </c>
      <c r="P573">
        <v>1259.7562158866799</v>
      </c>
      <c r="Q573" t="s">
        <v>254</v>
      </c>
    </row>
    <row r="574" spans="1:17" x14ac:dyDescent="0.25">
      <c r="A574" t="s">
        <v>106</v>
      </c>
      <c r="B574" t="s">
        <v>107</v>
      </c>
      <c r="C574">
        <v>160</v>
      </c>
      <c r="D574" t="s">
        <v>264</v>
      </c>
      <c r="E574" s="1">
        <v>43083</v>
      </c>
      <c r="F574" t="s">
        <v>252</v>
      </c>
      <c r="G574" t="s">
        <v>630</v>
      </c>
      <c r="H574">
        <v>-4000</v>
      </c>
      <c r="I574" t="s">
        <v>39</v>
      </c>
      <c r="J574">
        <v>0</v>
      </c>
      <c r="M574" t="s">
        <v>170</v>
      </c>
      <c r="N574" t="s">
        <v>783</v>
      </c>
      <c r="Q574" t="s">
        <v>254</v>
      </c>
    </row>
    <row r="575" spans="1:17" x14ac:dyDescent="0.25">
      <c r="A575" t="s">
        <v>106</v>
      </c>
      <c r="B575" t="s">
        <v>107</v>
      </c>
      <c r="C575">
        <v>160</v>
      </c>
      <c r="D575" t="s">
        <v>264</v>
      </c>
      <c r="E575" s="1">
        <v>43083</v>
      </c>
      <c r="F575" t="s">
        <v>17</v>
      </c>
      <c r="G575" t="s">
        <v>722</v>
      </c>
      <c r="H575">
        <v>4000</v>
      </c>
      <c r="I575" t="s">
        <v>39</v>
      </c>
      <c r="J575">
        <v>1.0044</v>
      </c>
      <c r="K575">
        <v>4017.6</v>
      </c>
      <c r="L575" t="s">
        <v>246</v>
      </c>
      <c r="M575" t="s">
        <v>170</v>
      </c>
      <c r="N575" t="s">
        <v>782</v>
      </c>
      <c r="Q575" t="s">
        <v>254</v>
      </c>
    </row>
    <row r="576" spans="1:17" x14ac:dyDescent="0.25">
      <c r="A576" t="s">
        <v>106</v>
      </c>
      <c r="B576" t="s">
        <v>107</v>
      </c>
      <c r="C576">
        <v>160</v>
      </c>
      <c r="D576" t="s">
        <v>264</v>
      </c>
      <c r="E576" s="1">
        <v>43083</v>
      </c>
      <c r="F576" t="s">
        <v>252</v>
      </c>
      <c r="G576" t="s">
        <v>630</v>
      </c>
      <c r="H576">
        <v>-150</v>
      </c>
      <c r="I576" t="s">
        <v>39</v>
      </c>
      <c r="J576">
        <v>1.139338676673</v>
      </c>
      <c r="K576">
        <v>-170.9</v>
      </c>
      <c r="L576" t="s">
        <v>609</v>
      </c>
      <c r="M576" t="s">
        <v>171</v>
      </c>
      <c r="N576" t="s">
        <v>783</v>
      </c>
      <c r="O576">
        <v>1.0253366127281696</v>
      </c>
      <c r="P576">
        <v>1088.8562158866798</v>
      </c>
      <c r="Q576" t="s">
        <v>254</v>
      </c>
    </row>
    <row r="577" spans="1:17" x14ac:dyDescent="0.25">
      <c r="A577" t="s">
        <v>106</v>
      </c>
      <c r="B577" t="s">
        <v>107</v>
      </c>
      <c r="C577">
        <v>160</v>
      </c>
      <c r="D577" t="s">
        <v>264</v>
      </c>
      <c r="E577" s="1">
        <v>43083</v>
      </c>
      <c r="F577" t="s">
        <v>17</v>
      </c>
      <c r="G577" t="s">
        <v>722</v>
      </c>
      <c r="H577">
        <v>150</v>
      </c>
      <c r="I577" t="s">
        <v>39</v>
      </c>
      <c r="J577">
        <v>1.1696</v>
      </c>
      <c r="K577">
        <v>150.66</v>
      </c>
      <c r="L577" t="s">
        <v>246</v>
      </c>
      <c r="M577" t="s">
        <v>171</v>
      </c>
      <c r="N577" t="s">
        <v>782</v>
      </c>
      <c r="O577">
        <v>1.0227453408859111</v>
      </c>
      <c r="P577">
        <v>1239.5162158866799</v>
      </c>
      <c r="Q577" t="s">
        <v>254</v>
      </c>
    </row>
    <row r="578" spans="1:17" x14ac:dyDescent="0.25">
      <c r="A578" t="s">
        <v>106</v>
      </c>
      <c r="B578" t="s">
        <v>107</v>
      </c>
      <c r="C578">
        <v>160</v>
      </c>
      <c r="D578" t="s">
        <v>264</v>
      </c>
      <c r="E578" s="1">
        <v>43083</v>
      </c>
      <c r="F578" t="s">
        <v>17</v>
      </c>
      <c r="G578" t="s">
        <v>722</v>
      </c>
      <c r="H578">
        <v>150</v>
      </c>
      <c r="I578" t="s">
        <v>39</v>
      </c>
      <c r="J578">
        <v>1.1696</v>
      </c>
      <c r="K578">
        <v>150.66</v>
      </c>
      <c r="L578" t="s">
        <v>246</v>
      </c>
      <c r="M578" t="s">
        <v>171</v>
      </c>
      <c r="N578" t="s">
        <v>782</v>
      </c>
      <c r="O578">
        <v>1.0207248547205696</v>
      </c>
      <c r="P578">
        <v>1390.17621588668</v>
      </c>
      <c r="Q578" t="s">
        <v>254</v>
      </c>
    </row>
    <row r="579" spans="1:17" x14ac:dyDescent="0.25">
      <c r="A579" t="s">
        <v>106</v>
      </c>
      <c r="B579" t="s">
        <v>107</v>
      </c>
      <c r="C579">
        <v>160</v>
      </c>
      <c r="D579" t="s">
        <v>264</v>
      </c>
      <c r="E579" s="1">
        <v>43083</v>
      </c>
      <c r="F579" t="s">
        <v>252</v>
      </c>
      <c r="G579" t="s">
        <v>630</v>
      </c>
      <c r="H579">
        <v>-150</v>
      </c>
      <c r="I579" t="s">
        <v>39</v>
      </c>
      <c r="J579">
        <v>1.139338676673</v>
      </c>
      <c r="K579">
        <v>-170.9</v>
      </c>
      <c r="L579" t="s">
        <v>609</v>
      </c>
      <c r="M579" t="s">
        <v>171</v>
      </c>
      <c r="N579" t="s">
        <v>783</v>
      </c>
      <c r="O579">
        <v>1.0060449819602129</v>
      </c>
      <c r="P579">
        <v>1219.2762158866799</v>
      </c>
      <c r="Q579" t="s">
        <v>254</v>
      </c>
    </row>
    <row r="580" spans="1:17" x14ac:dyDescent="0.25">
      <c r="A580" t="s">
        <v>106</v>
      </c>
      <c r="B580" t="s">
        <v>107</v>
      </c>
      <c r="C580">
        <v>160</v>
      </c>
      <c r="D580" t="s">
        <v>264</v>
      </c>
      <c r="E580" s="1">
        <v>43083</v>
      </c>
      <c r="F580" t="s">
        <v>252</v>
      </c>
      <c r="G580" t="s">
        <v>630</v>
      </c>
      <c r="H580">
        <v>-150</v>
      </c>
      <c r="I580" t="s">
        <v>39</v>
      </c>
      <c r="J580">
        <v>1.139338676673</v>
      </c>
      <c r="K580">
        <v>-170.9</v>
      </c>
      <c r="L580" t="s">
        <v>609</v>
      </c>
      <c r="M580" t="s">
        <v>171</v>
      </c>
      <c r="N580" t="s">
        <v>783</v>
      </c>
      <c r="O580">
        <v>0.98721805724062317</v>
      </c>
      <c r="P580">
        <v>1048.3762158866798</v>
      </c>
      <c r="Q580" t="s">
        <v>254</v>
      </c>
    </row>
    <row r="581" spans="1:17" x14ac:dyDescent="0.25">
      <c r="A581" t="s">
        <v>106</v>
      </c>
      <c r="B581" t="s">
        <v>107</v>
      </c>
      <c r="C581">
        <v>160</v>
      </c>
      <c r="D581" t="s">
        <v>264</v>
      </c>
      <c r="E581" s="1">
        <v>43083</v>
      </c>
      <c r="F581" t="s">
        <v>17</v>
      </c>
      <c r="G581" t="s">
        <v>722</v>
      </c>
      <c r="H581">
        <v>150</v>
      </c>
      <c r="I581" t="s">
        <v>39</v>
      </c>
      <c r="J581">
        <v>1.1696</v>
      </c>
      <c r="K581">
        <v>150.66</v>
      </c>
      <c r="L581" t="s">
        <v>246</v>
      </c>
      <c r="M581" t="s">
        <v>171</v>
      </c>
      <c r="N581" t="s">
        <v>782</v>
      </c>
      <c r="O581">
        <v>0.98934462303451454</v>
      </c>
      <c r="P581">
        <v>1199.0362158866799</v>
      </c>
      <c r="Q581" t="s">
        <v>254</v>
      </c>
    </row>
    <row r="582" spans="1:17" x14ac:dyDescent="0.25">
      <c r="A582" t="s">
        <v>106</v>
      </c>
      <c r="B582" t="s">
        <v>107</v>
      </c>
      <c r="C582">
        <v>160</v>
      </c>
      <c r="D582" t="s">
        <v>264</v>
      </c>
      <c r="E582" s="1">
        <v>43083</v>
      </c>
      <c r="F582" t="s">
        <v>17</v>
      </c>
      <c r="G582" t="s">
        <v>722</v>
      </c>
      <c r="H582">
        <v>150</v>
      </c>
      <c r="I582" t="s">
        <v>39</v>
      </c>
      <c r="J582">
        <v>1.1696</v>
      </c>
      <c r="K582">
        <v>150.66</v>
      </c>
      <c r="L582" t="s">
        <v>246</v>
      </c>
      <c r="M582" t="s">
        <v>171</v>
      </c>
      <c r="N582" t="s">
        <v>782</v>
      </c>
      <c r="O582">
        <v>0.99100276506970142</v>
      </c>
      <c r="P582">
        <v>1349.69621588668</v>
      </c>
      <c r="Q582" t="s">
        <v>254</v>
      </c>
    </row>
    <row r="583" spans="1:17" x14ac:dyDescent="0.25">
      <c r="A583" t="s">
        <v>106</v>
      </c>
      <c r="B583" t="s">
        <v>107</v>
      </c>
      <c r="C583">
        <v>160</v>
      </c>
      <c r="D583" t="s">
        <v>264</v>
      </c>
      <c r="E583" s="1">
        <v>43083</v>
      </c>
      <c r="F583" t="s">
        <v>252</v>
      </c>
      <c r="G583" t="s">
        <v>630</v>
      </c>
      <c r="H583">
        <v>-150</v>
      </c>
      <c r="I583" t="s">
        <v>39</v>
      </c>
      <c r="J583">
        <v>1.139338676673</v>
      </c>
      <c r="K583">
        <v>-170.9</v>
      </c>
      <c r="L583" t="s">
        <v>609</v>
      </c>
      <c r="M583" t="s">
        <v>171</v>
      </c>
      <c r="N583" t="s">
        <v>783</v>
      </c>
      <c r="O583">
        <v>0.97264426410881621</v>
      </c>
      <c r="P583">
        <v>1178.7962158866799</v>
      </c>
      <c r="Q583" t="s">
        <v>254</v>
      </c>
    </row>
    <row r="584" spans="1:17" x14ac:dyDescent="0.25">
      <c r="A584" t="s">
        <v>106</v>
      </c>
      <c r="B584" t="s">
        <v>107</v>
      </c>
      <c r="C584">
        <v>160</v>
      </c>
      <c r="D584" t="s">
        <v>264</v>
      </c>
      <c r="E584" s="1">
        <v>43083</v>
      </c>
      <c r="F584" t="s">
        <v>252</v>
      </c>
      <c r="G584" t="s">
        <v>630</v>
      </c>
      <c r="H584">
        <v>-150</v>
      </c>
      <c r="I584" t="s">
        <v>39</v>
      </c>
      <c r="J584">
        <v>1.139338676673</v>
      </c>
      <c r="K584">
        <v>-170.9</v>
      </c>
      <c r="L584" t="s">
        <v>609</v>
      </c>
      <c r="M584" t="s">
        <v>171</v>
      </c>
      <c r="N584" t="s">
        <v>783</v>
      </c>
      <c r="O584">
        <v>0.94909950175307678</v>
      </c>
      <c r="P584">
        <v>1007.8962158866799</v>
      </c>
      <c r="Q584" t="s">
        <v>254</v>
      </c>
    </row>
    <row r="585" spans="1:17" x14ac:dyDescent="0.25">
      <c r="A585" t="s">
        <v>106</v>
      </c>
      <c r="B585" t="s">
        <v>107</v>
      </c>
      <c r="C585">
        <v>160</v>
      </c>
      <c r="D585" t="s">
        <v>264</v>
      </c>
      <c r="E585" s="1">
        <v>43083</v>
      </c>
      <c r="F585" t="s">
        <v>17</v>
      </c>
      <c r="G585" t="s">
        <v>722</v>
      </c>
      <c r="H585">
        <v>150</v>
      </c>
      <c r="I585" t="s">
        <v>39</v>
      </c>
      <c r="J585">
        <v>1.1696</v>
      </c>
      <c r="K585">
        <v>150.66</v>
      </c>
      <c r="L585" t="s">
        <v>246</v>
      </c>
      <c r="M585" t="s">
        <v>171</v>
      </c>
      <c r="N585" t="s">
        <v>782</v>
      </c>
      <c r="O585">
        <v>0.955943905183118</v>
      </c>
      <c r="P585">
        <v>1158.5562158866799</v>
      </c>
      <c r="Q585" t="s">
        <v>254</v>
      </c>
    </row>
    <row r="586" spans="1:17" x14ac:dyDescent="0.25">
      <c r="A586" t="s">
        <v>106</v>
      </c>
      <c r="B586" t="s">
        <v>107</v>
      </c>
      <c r="C586">
        <v>160</v>
      </c>
      <c r="D586" t="s">
        <v>264</v>
      </c>
      <c r="E586" s="1">
        <v>43083</v>
      </c>
      <c r="F586" t="s">
        <v>17</v>
      </c>
      <c r="G586" t="s">
        <v>722</v>
      </c>
      <c r="H586">
        <v>150</v>
      </c>
      <c r="I586" t="s">
        <v>39</v>
      </c>
      <c r="J586">
        <v>1.1696</v>
      </c>
      <c r="K586">
        <v>150.66</v>
      </c>
      <c r="L586" t="s">
        <v>246</v>
      </c>
      <c r="M586" t="s">
        <v>171</v>
      </c>
      <c r="N586" t="s">
        <v>782</v>
      </c>
      <c r="O586">
        <v>0.96128067541883322</v>
      </c>
      <c r="P586">
        <v>1309.2162158866799</v>
      </c>
      <c r="Q586" t="s">
        <v>254</v>
      </c>
    </row>
    <row r="587" spans="1:17" x14ac:dyDescent="0.25">
      <c r="A587" t="s">
        <v>106</v>
      </c>
      <c r="B587" t="s">
        <v>107</v>
      </c>
      <c r="C587">
        <v>160</v>
      </c>
      <c r="D587" t="s">
        <v>264</v>
      </c>
      <c r="E587" s="1">
        <v>43083</v>
      </c>
      <c r="F587" t="s">
        <v>252</v>
      </c>
      <c r="G587" t="s">
        <v>630</v>
      </c>
      <c r="H587">
        <v>-150</v>
      </c>
      <c r="I587" t="s">
        <v>39</v>
      </c>
      <c r="J587">
        <v>1.139338676673</v>
      </c>
      <c r="K587">
        <v>-170.9</v>
      </c>
      <c r="L587" t="s">
        <v>609</v>
      </c>
      <c r="M587" t="s">
        <v>171</v>
      </c>
      <c r="N587" t="s">
        <v>783</v>
      </c>
      <c r="O587">
        <v>0.93924354625741968</v>
      </c>
      <c r="P587">
        <v>1138.3162158866799</v>
      </c>
      <c r="Q587" t="s">
        <v>254</v>
      </c>
    </row>
    <row r="588" spans="1:17" x14ac:dyDescent="0.25">
      <c r="A588" t="s">
        <v>106</v>
      </c>
      <c r="B588" t="s">
        <v>107</v>
      </c>
      <c r="C588">
        <v>160</v>
      </c>
      <c r="D588" t="s">
        <v>264</v>
      </c>
      <c r="E588" s="1">
        <v>43083</v>
      </c>
      <c r="F588" t="s">
        <v>252</v>
      </c>
      <c r="G588" t="s">
        <v>630</v>
      </c>
      <c r="H588">
        <v>-150</v>
      </c>
      <c r="I588" t="s">
        <v>39</v>
      </c>
      <c r="J588">
        <v>1.139338676673</v>
      </c>
      <c r="K588">
        <v>-170.9</v>
      </c>
      <c r="L588" t="s">
        <v>609</v>
      </c>
      <c r="M588" t="s">
        <v>171</v>
      </c>
      <c r="N588" t="s">
        <v>783</v>
      </c>
      <c r="O588">
        <v>0.91098094626553028</v>
      </c>
      <c r="P588">
        <v>967.41621588667988</v>
      </c>
      <c r="Q588" t="s">
        <v>254</v>
      </c>
    </row>
    <row r="589" spans="1:17" x14ac:dyDescent="0.25">
      <c r="A589" t="s">
        <v>106</v>
      </c>
      <c r="B589" t="s">
        <v>107</v>
      </c>
      <c r="C589">
        <v>160</v>
      </c>
      <c r="D589" t="s">
        <v>264</v>
      </c>
      <c r="E589" s="1">
        <v>43083</v>
      </c>
      <c r="F589" t="s">
        <v>17</v>
      </c>
      <c r="G589" t="s">
        <v>722</v>
      </c>
      <c r="H589">
        <v>150</v>
      </c>
      <c r="I589" t="s">
        <v>39</v>
      </c>
      <c r="J589">
        <v>1.1696</v>
      </c>
      <c r="K589">
        <v>150.66</v>
      </c>
      <c r="L589" t="s">
        <v>246</v>
      </c>
      <c r="M589" t="s">
        <v>171</v>
      </c>
      <c r="N589" t="s">
        <v>782</v>
      </c>
      <c r="O589">
        <v>0.92254318733172147</v>
      </c>
      <c r="P589">
        <v>1118.0762158866798</v>
      </c>
      <c r="Q589" t="s">
        <v>254</v>
      </c>
    </row>
    <row r="590" spans="1:17" x14ac:dyDescent="0.25">
      <c r="A590" t="s">
        <v>106</v>
      </c>
      <c r="B590" t="s">
        <v>107</v>
      </c>
      <c r="C590">
        <v>160</v>
      </c>
      <c r="D590" t="s">
        <v>264</v>
      </c>
      <c r="E590" s="1">
        <v>43083</v>
      </c>
      <c r="F590" t="s">
        <v>17</v>
      </c>
      <c r="G590" t="s">
        <v>722</v>
      </c>
      <c r="H590">
        <v>150</v>
      </c>
      <c r="I590" t="s">
        <v>39</v>
      </c>
      <c r="J590">
        <v>1.1696</v>
      </c>
      <c r="K590">
        <v>150.66</v>
      </c>
      <c r="L590" t="s">
        <v>246</v>
      </c>
      <c r="M590" t="s">
        <v>171</v>
      </c>
      <c r="N590" t="s">
        <v>782</v>
      </c>
      <c r="O590">
        <v>0.93155858576796502</v>
      </c>
      <c r="P590">
        <v>1268.7362158866799</v>
      </c>
      <c r="Q590" t="s">
        <v>254</v>
      </c>
    </row>
    <row r="591" spans="1:17" x14ac:dyDescent="0.25">
      <c r="A591" t="s">
        <v>106</v>
      </c>
      <c r="B591" t="s">
        <v>107</v>
      </c>
      <c r="C591">
        <v>160</v>
      </c>
      <c r="D591" t="s">
        <v>264</v>
      </c>
      <c r="E591" s="1">
        <v>43083</v>
      </c>
      <c r="F591" t="s">
        <v>252</v>
      </c>
      <c r="G591" t="s">
        <v>630</v>
      </c>
      <c r="H591">
        <v>-150</v>
      </c>
      <c r="I591" t="s">
        <v>39</v>
      </c>
      <c r="J591">
        <v>1.139338676673</v>
      </c>
      <c r="K591">
        <v>-170.9</v>
      </c>
      <c r="L591" t="s">
        <v>609</v>
      </c>
      <c r="M591" t="s">
        <v>171</v>
      </c>
      <c r="N591" t="s">
        <v>783</v>
      </c>
      <c r="O591">
        <v>0.90584282840602315</v>
      </c>
      <c r="P591">
        <v>1097.8362158866798</v>
      </c>
      <c r="Q591" t="s">
        <v>254</v>
      </c>
    </row>
    <row r="592" spans="1:17" x14ac:dyDescent="0.25">
      <c r="A592" t="s">
        <v>106</v>
      </c>
      <c r="B592" t="s">
        <v>107</v>
      </c>
      <c r="C592">
        <v>160</v>
      </c>
      <c r="D592" t="s">
        <v>264</v>
      </c>
      <c r="E592" s="1">
        <v>43083</v>
      </c>
      <c r="F592" t="s">
        <v>252</v>
      </c>
      <c r="G592" t="s">
        <v>630</v>
      </c>
      <c r="H592">
        <v>-150</v>
      </c>
      <c r="I592" t="s">
        <v>39</v>
      </c>
      <c r="J592">
        <v>1.139338676673</v>
      </c>
      <c r="K592">
        <v>-170.9</v>
      </c>
      <c r="L592" t="s">
        <v>609</v>
      </c>
      <c r="M592" t="s">
        <v>171</v>
      </c>
      <c r="N592" t="s">
        <v>783</v>
      </c>
      <c r="O592">
        <v>0.87286239077798378</v>
      </c>
      <c r="P592">
        <v>926.93621588667986</v>
      </c>
      <c r="Q592" t="s">
        <v>254</v>
      </c>
    </row>
    <row r="593" spans="1:17" x14ac:dyDescent="0.25">
      <c r="A593" t="s">
        <v>106</v>
      </c>
      <c r="B593" t="s">
        <v>107</v>
      </c>
      <c r="C593">
        <v>160</v>
      </c>
      <c r="D593" t="s">
        <v>264</v>
      </c>
      <c r="E593" s="1">
        <v>43083</v>
      </c>
      <c r="F593" t="s">
        <v>17</v>
      </c>
      <c r="G593" t="s">
        <v>722</v>
      </c>
      <c r="H593">
        <v>150</v>
      </c>
      <c r="I593" t="s">
        <v>39</v>
      </c>
      <c r="J593">
        <v>1.1696</v>
      </c>
      <c r="K593">
        <v>150.66</v>
      </c>
      <c r="L593" t="s">
        <v>246</v>
      </c>
      <c r="M593" t="s">
        <v>171</v>
      </c>
      <c r="N593" t="s">
        <v>782</v>
      </c>
      <c r="O593">
        <v>0.88914246948032494</v>
      </c>
      <c r="P593">
        <v>1077.5962158866798</v>
      </c>
      <c r="Q593" t="s">
        <v>254</v>
      </c>
    </row>
    <row r="594" spans="1:17" x14ac:dyDescent="0.25">
      <c r="A594" t="s">
        <v>106</v>
      </c>
      <c r="B594" t="s">
        <v>107</v>
      </c>
      <c r="C594">
        <v>160</v>
      </c>
      <c r="D594" t="s">
        <v>264</v>
      </c>
      <c r="E594" s="1">
        <v>43083</v>
      </c>
      <c r="F594" t="s">
        <v>17</v>
      </c>
      <c r="G594" t="s">
        <v>722</v>
      </c>
      <c r="H594">
        <v>150</v>
      </c>
      <c r="I594" t="s">
        <v>39</v>
      </c>
      <c r="J594">
        <v>1.1696</v>
      </c>
      <c r="K594">
        <v>150.66</v>
      </c>
      <c r="L594" t="s">
        <v>246</v>
      </c>
      <c r="M594" t="s">
        <v>171</v>
      </c>
      <c r="N594" t="s">
        <v>782</v>
      </c>
      <c r="O594">
        <v>0.90183649611709671</v>
      </c>
      <c r="P594">
        <v>1228.2562158866799</v>
      </c>
      <c r="Q594" t="s">
        <v>254</v>
      </c>
    </row>
    <row r="595" spans="1:17" x14ac:dyDescent="0.25">
      <c r="A595" t="s">
        <v>106</v>
      </c>
      <c r="B595" t="s">
        <v>107</v>
      </c>
      <c r="C595">
        <v>160</v>
      </c>
      <c r="D595" t="s">
        <v>264</v>
      </c>
      <c r="E595" s="1">
        <v>43083</v>
      </c>
      <c r="F595" t="s">
        <v>252</v>
      </c>
      <c r="G595" t="s">
        <v>630</v>
      </c>
      <c r="H595">
        <v>-150</v>
      </c>
      <c r="I595" t="s">
        <v>39</v>
      </c>
      <c r="J595">
        <v>1.139338676673</v>
      </c>
      <c r="K595">
        <v>-170.9</v>
      </c>
      <c r="L595" t="s">
        <v>609</v>
      </c>
      <c r="M595" t="s">
        <v>171</v>
      </c>
      <c r="N595" t="s">
        <v>783</v>
      </c>
      <c r="O595">
        <v>0.87244211055462662</v>
      </c>
      <c r="P595">
        <v>1057.3562158866798</v>
      </c>
      <c r="Q595" t="s">
        <v>254</v>
      </c>
    </row>
    <row r="596" spans="1:17" x14ac:dyDescent="0.25">
      <c r="A596" t="s">
        <v>106</v>
      </c>
      <c r="B596" t="s">
        <v>107</v>
      </c>
      <c r="C596">
        <v>160</v>
      </c>
      <c r="D596" t="s">
        <v>264</v>
      </c>
      <c r="E596" s="1">
        <v>43083</v>
      </c>
      <c r="F596" t="s">
        <v>252</v>
      </c>
      <c r="G596" t="s">
        <v>630</v>
      </c>
      <c r="H596">
        <v>-150</v>
      </c>
      <c r="I596" t="s">
        <v>39</v>
      </c>
      <c r="J596">
        <v>1.139338676673</v>
      </c>
      <c r="K596">
        <v>-170.9</v>
      </c>
      <c r="L596" t="s">
        <v>609</v>
      </c>
      <c r="M596" t="s">
        <v>171</v>
      </c>
      <c r="N596" t="s">
        <v>783</v>
      </c>
      <c r="O596">
        <v>0.83474383529043716</v>
      </c>
      <c r="P596">
        <v>886.45621588667984</v>
      </c>
      <c r="Q596" t="s">
        <v>254</v>
      </c>
    </row>
    <row r="597" spans="1:17" x14ac:dyDescent="0.25">
      <c r="A597" t="s">
        <v>106</v>
      </c>
      <c r="B597" t="s">
        <v>107</v>
      </c>
      <c r="C597">
        <v>160</v>
      </c>
      <c r="D597" t="s">
        <v>264</v>
      </c>
      <c r="E597" s="1">
        <v>43083</v>
      </c>
      <c r="F597" t="s">
        <v>17</v>
      </c>
      <c r="G597" t="s">
        <v>722</v>
      </c>
      <c r="H597">
        <v>150</v>
      </c>
      <c r="I597" t="s">
        <v>39</v>
      </c>
      <c r="J597">
        <v>1.1696</v>
      </c>
      <c r="K597">
        <v>150.66</v>
      </c>
      <c r="L597" t="s">
        <v>246</v>
      </c>
      <c r="M597" t="s">
        <v>171</v>
      </c>
      <c r="N597" t="s">
        <v>782</v>
      </c>
      <c r="O597">
        <v>0.8557417516289284</v>
      </c>
      <c r="P597">
        <v>1037.1162158866798</v>
      </c>
      <c r="Q597" t="s">
        <v>254</v>
      </c>
    </row>
    <row r="598" spans="1:17" x14ac:dyDescent="0.25">
      <c r="A598" t="s">
        <v>106</v>
      </c>
      <c r="B598" t="s">
        <v>107</v>
      </c>
      <c r="C598">
        <v>160</v>
      </c>
      <c r="D598" t="s">
        <v>264</v>
      </c>
      <c r="E598" s="1">
        <v>43083</v>
      </c>
      <c r="F598" t="s">
        <v>17</v>
      </c>
      <c r="G598" t="s">
        <v>722</v>
      </c>
      <c r="H598">
        <v>150</v>
      </c>
      <c r="I598" t="s">
        <v>39</v>
      </c>
      <c r="J598">
        <v>1.1696</v>
      </c>
      <c r="K598">
        <v>150.66</v>
      </c>
      <c r="L598" t="s">
        <v>246</v>
      </c>
      <c r="M598" t="s">
        <v>171</v>
      </c>
      <c r="N598" t="s">
        <v>782</v>
      </c>
      <c r="O598">
        <v>0.87211440646622851</v>
      </c>
      <c r="P598">
        <v>1187.7762158866799</v>
      </c>
      <c r="Q598" t="s">
        <v>254</v>
      </c>
    </row>
    <row r="599" spans="1:17" x14ac:dyDescent="0.25">
      <c r="A599" t="s">
        <v>106</v>
      </c>
      <c r="B599" t="s">
        <v>107</v>
      </c>
      <c r="C599">
        <v>160</v>
      </c>
      <c r="D599" t="s">
        <v>264</v>
      </c>
      <c r="E599" s="1">
        <v>43083</v>
      </c>
      <c r="F599" t="s">
        <v>252</v>
      </c>
      <c r="G599" t="s">
        <v>630</v>
      </c>
      <c r="H599">
        <v>-150</v>
      </c>
      <c r="I599" t="s">
        <v>39</v>
      </c>
      <c r="J599">
        <v>1.139338676673</v>
      </c>
      <c r="K599">
        <v>-170.9</v>
      </c>
      <c r="L599" t="s">
        <v>609</v>
      </c>
      <c r="M599" t="s">
        <v>171</v>
      </c>
      <c r="N599" t="s">
        <v>783</v>
      </c>
      <c r="O599">
        <v>0.83904139270323019</v>
      </c>
      <c r="P599">
        <v>1016.8762158866799</v>
      </c>
      <c r="Q599" t="s">
        <v>254</v>
      </c>
    </row>
    <row r="600" spans="1:17" x14ac:dyDescent="0.25">
      <c r="A600" t="s">
        <v>106</v>
      </c>
      <c r="B600" t="s">
        <v>107</v>
      </c>
      <c r="C600">
        <v>160</v>
      </c>
      <c r="D600" t="s">
        <v>264</v>
      </c>
      <c r="E600" s="1">
        <v>43083</v>
      </c>
      <c r="F600" t="s">
        <v>252</v>
      </c>
      <c r="G600" t="s">
        <v>630</v>
      </c>
      <c r="H600">
        <v>-150</v>
      </c>
      <c r="I600" t="s">
        <v>39</v>
      </c>
      <c r="J600">
        <v>1.139338676673</v>
      </c>
      <c r="K600">
        <v>-170.9</v>
      </c>
      <c r="L600" t="s">
        <v>609</v>
      </c>
      <c r="M600" t="s">
        <v>171</v>
      </c>
      <c r="N600" t="s">
        <v>783</v>
      </c>
      <c r="O600">
        <v>0.79662527980289077</v>
      </c>
      <c r="P600">
        <v>845.97621588667994</v>
      </c>
      <c r="Q600" t="s">
        <v>254</v>
      </c>
    </row>
    <row r="601" spans="1:17" x14ac:dyDescent="0.25">
      <c r="A601" t="s">
        <v>106</v>
      </c>
      <c r="B601" t="s">
        <v>107</v>
      </c>
      <c r="C601">
        <v>160</v>
      </c>
      <c r="D601" t="s">
        <v>264</v>
      </c>
      <c r="E601" s="1">
        <v>43083</v>
      </c>
      <c r="F601" t="s">
        <v>17</v>
      </c>
      <c r="G601" t="s">
        <v>722</v>
      </c>
      <c r="H601">
        <v>150</v>
      </c>
      <c r="I601" t="s">
        <v>39</v>
      </c>
      <c r="J601">
        <v>1.1696</v>
      </c>
      <c r="K601">
        <v>150.66</v>
      </c>
      <c r="L601" t="s">
        <v>246</v>
      </c>
      <c r="M601" t="s">
        <v>171</v>
      </c>
      <c r="N601" t="s">
        <v>782</v>
      </c>
      <c r="O601">
        <v>0.82234103377753198</v>
      </c>
      <c r="P601">
        <v>996.63621588667991</v>
      </c>
      <c r="Q601" t="s">
        <v>254</v>
      </c>
    </row>
    <row r="602" spans="1:17" x14ac:dyDescent="0.25">
      <c r="A602" t="s">
        <v>106</v>
      </c>
      <c r="B602" t="s">
        <v>107</v>
      </c>
      <c r="C602">
        <v>160</v>
      </c>
      <c r="D602" t="s">
        <v>264</v>
      </c>
      <c r="E602" s="1">
        <v>43083</v>
      </c>
      <c r="F602" t="s">
        <v>17</v>
      </c>
      <c r="G602" t="s">
        <v>722</v>
      </c>
      <c r="H602">
        <v>100</v>
      </c>
      <c r="I602" t="s">
        <v>39</v>
      </c>
      <c r="J602">
        <v>1.1696</v>
      </c>
      <c r="K602">
        <v>100.44</v>
      </c>
      <c r="L602" t="s">
        <v>246</v>
      </c>
      <c r="M602" t="s">
        <v>171</v>
      </c>
      <c r="N602" t="s">
        <v>782</v>
      </c>
      <c r="O602">
        <v>0.83621800822186809</v>
      </c>
      <c r="P602">
        <v>1097.0762158866798</v>
      </c>
      <c r="Q602" t="s">
        <v>254</v>
      </c>
    </row>
    <row r="603" spans="1:17" x14ac:dyDescent="0.25">
      <c r="A603" t="s">
        <v>106</v>
      </c>
      <c r="B603" t="s">
        <v>107</v>
      </c>
      <c r="C603">
        <v>160</v>
      </c>
      <c r="D603" t="s">
        <v>264</v>
      </c>
      <c r="E603" s="1">
        <v>43083</v>
      </c>
      <c r="F603" t="s">
        <v>252</v>
      </c>
      <c r="G603" t="s">
        <v>630</v>
      </c>
      <c r="H603">
        <v>-100</v>
      </c>
      <c r="I603" t="s">
        <v>39</v>
      </c>
      <c r="J603">
        <v>1.139338676673</v>
      </c>
      <c r="K603">
        <v>-113.92999999999999</v>
      </c>
      <c r="L603" t="s">
        <v>609</v>
      </c>
      <c r="M603" t="s">
        <v>171</v>
      </c>
      <c r="N603" t="s">
        <v>783</v>
      </c>
      <c r="O603">
        <v>0.81121021154889217</v>
      </c>
      <c r="P603">
        <v>983.1462158866799</v>
      </c>
      <c r="Q603" t="s">
        <v>254</v>
      </c>
    </row>
    <row r="604" spans="1:17" x14ac:dyDescent="0.25">
      <c r="A604" t="s">
        <v>106</v>
      </c>
      <c r="B604" t="s">
        <v>107</v>
      </c>
      <c r="C604">
        <v>160</v>
      </c>
      <c r="D604" t="s">
        <v>264</v>
      </c>
      <c r="E604" s="1">
        <v>43083</v>
      </c>
      <c r="F604" t="s">
        <v>252</v>
      </c>
      <c r="G604" t="s">
        <v>630</v>
      </c>
      <c r="H604">
        <v>-150</v>
      </c>
      <c r="I604" t="s">
        <v>39</v>
      </c>
      <c r="J604">
        <v>1.139338676673</v>
      </c>
      <c r="K604">
        <v>-170.9</v>
      </c>
      <c r="L604" t="s">
        <v>609</v>
      </c>
      <c r="M604" t="s">
        <v>171</v>
      </c>
      <c r="N604" t="s">
        <v>783</v>
      </c>
      <c r="O604">
        <v>0.7648629557763359</v>
      </c>
      <c r="P604">
        <v>812.24621588667992</v>
      </c>
      <c r="Q604" t="s">
        <v>254</v>
      </c>
    </row>
    <row r="605" spans="1:17" x14ac:dyDescent="0.25">
      <c r="A605" t="s">
        <v>106</v>
      </c>
      <c r="B605" t="s">
        <v>107</v>
      </c>
      <c r="C605">
        <v>160</v>
      </c>
      <c r="D605" t="s">
        <v>264</v>
      </c>
      <c r="E605" s="1">
        <v>43083</v>
      </c>
      <c r="F605" t="s">
        <v>17</v>
      </c>
      <c r="G605" t="s">
        <v>722</v>
      </c>
      <c r="H605">
        <v>150</v>
      </c>
      <c r="I605" t="s">
        <v>39</v>
      </c>
      <c r="J605">
        <v>1.1696</v>
      </c>
      <c r="K605">
        <v>150.66</v>
      </c>
      <c r="L605" t="s">
        <v>246</v>
      </c>
      <c r="M605" t="s">
        <v>171</v>
      </c>
      <c r="N605" t="s">
        <v>782</v>
      </c>
      <c r="O605">
        <v>0.79450985262319396</v>
      </c>
      <c r="P605">
        <v>962.90621588667989</v>
      </c>
      <c r="Q605" t="s">
        <v>254</v>
      </c>
    </row>
    <row r="606" spans="1:17" x14ac:dyDescent="0.25">
      <c r="A606" t="s">
        <v>106</v>
      </c>
      <c r="B606" t="s">
        <v>107</v>
      </c>
      <c r="C606">
        <v>160</v>
      </c>
      <c r="D606" t="s">
        <v>264</v>
      </c>
      <c r="E606" s="1">
        <v>43083</v>
      </c>
      <c r="F606" t="s">
        <v>17</v>
      </c>
      <c r="G606" t="s">
        <v>722</v>
      </c>
      <c r="H606">
        <v>150</v>
      </c>
      <c r="I606" t="s">
        <v>39</v>
      </c>
      <c r="J606">
        <v>1.1696</v>
      </c>
      <c r="K606">
        <v>150.66</v>
      </c>
      <c r="L606" t="s">
        <v>246</v>
      </c>
      <c r="M606" t="s">
        <v>171</v>
      </c>
      <c r="N606" t="s">
        <v>782</v>
      </c>
      <c r="O606">
        <v>0.81762635624412039</v>
      </c>
      <c r="P606">
        <v>1113.5662158866799</v>
      </c>
      <c r="Q606" t="s">
        <v>254</v>
      </c>
    </row>
    <row r="607" spans="1:17" x14ac:dyDescent="0.25">
      <c r="A607" t="s">
        <v>106</v>
      </c>
      <c r="B607" t="s">
        <v>107</v>
      </c>
      <c r="C607">
        <v>160</v>
      </c>
      <c r="D607" t="s">
        <v>264</v>
      </c>
      <c r="E607" s="1">
        <v>43083</v>
      </c>
      <c r="F607" t="s">
        <v>252</v>
      </c>
      <c r="G607" t="s">
        <v>630</v>
      </c>
      <c r="H607">
        <v>-150</v>
      </c>
      <c r="I607" t="s">
        <v>39</v>
      </c>
      <c r="J607">
        <v>1.139338676673</v>
      </c>
      <c r="K607">
        <v>-170.9</v>
      </c>
      <c r="L607" t="s">
        <v>609</v>
      </c>
      <c r="M607" t="s">
        <v>171</v>
      </c>
      <c r="N607" t="s">
        <v>783</v>
      </c>
      <c r="O607">
        <v>0.77780949369749564</v>
      </c>
      <c r="P607">
        <v>942.66621588667988</v>
      </c>
      <c r="Q607" t="s">
        <v>254</v>
      </c>
    </row>
    <row r="608" spans="1:17" x14ac:dyDescent="0.25">
      <c r="A608" t="s">
        <v>106</v>
      </c>
      <c r="B608" t="s">
        <v>107</v>
      </c>
      <c r="C608">
        <v>160</v>
      </c>
      <c r="D608" t="s">
        <v>264</v>
      </c>
      <c r="E608" s="1">
        <v>43083</v>
      </c>
      <c r="F608" t="s">
        <v>252</v>
      </c>
      <c r="G608" t="s">
        <v>630</v>
      </c>
      <c r="H608">
        <v>-150</v>
      </c>
      <c r="I608" t="s">
        <v>39</v>
      </c>
      <c r="J608">
        <v>1.139338676673</v>
      </c>
      <c r="K608">
        <v>-170.9</v>
      </c>
      <c r="L608" t="s">
        <v>609</v>
      </c>
      <c r="M608" t="s">
        <v>171</v>
      </c>
      <c r="N608" t="s">
        <v>783</v>
      </c>
      <c r="O608">
        <v>0.72674440028878939</v>
      </c>
      <c r="P608">
        <v>771.7662158866799</v>
      </c>
      <c r="Q608" t="s">
        <v>254</v>
      </c>
    </row>
    <row r="609" spans="1:17" x14ac:dyDescent="0.25">
      <c r="A609" t="s">
        <v>106</v>
      </c>
      <c r="B609" t="s">
        <v>107</v>
      </c>
      <c r="C609">
        <v>160</v>
      </c>
      <c r="D609" t="s">
        <v>264</v>
      </c>
      <c r="E609" s="1">
        <v>43083</v>
      </c>
      <c r="F609" t="s">
        <v>17</v>
      </c>
      <c r="G609" t="s">
        <v>722</v>
      </c>
      <c r="H609">
        <v>150</v>
      </c>
      <c r="I609" t="s">
        <v>39</v>
      </c>
      <c r="J609">
        <v>1.1696</v>
      </c>
      <c r="K609">
        <v>150.66</v>
      </c>
      <c r="L609" t="s">
        <v>246</v>
      </c>
      <c r="M609" t="s">
        <v>171</v>
      </c>
      <c r="N609" t="s">
        <v>782</v>
      </c>
      <c r="O609">
        <v>0.76110913477179742</v>
      </c>
      <c r="P609">
        <v>922.42621588667987</v>
      </c>
      <c r="Q609" t="s">
        <v>254</v>
      </c>
    </row>
    <row r="610" spans="1:17" x14ac:dyDescent="0.25">
      <c r="A610" t="s">
        <v>106</v>
      </c>
      <c r="B610" t="s">
        <v>107</v>
      </c>
      <c r="C610">
        <v>160</v>
      </c>
      <c r="D610" t="s">
        <v>264</v>
      </c>
      <c r="E610" s="1">
        <v>43083</v>
      </c>
      <c r="F610" t="s">
        <v>17</v>
      </c>
      <c r="G610" t="s">
        <v>722</v>
      </c>
      <c r="H610">
        <v>150</v>
      </c>
      <c r="I610" t="s">
        <v>39</v>
      </c>
      <c r="J610">
        <v>1.1696</v>
      </c>
      <c r="K610">
        <v>150.66</v>
      </c>
      <c r="L610" t="s">
        <v>246</v>
      </c>
      <c r="M610" t="s">
        <v>171</v>
      </c>
      <c r="N610" t="s">
        <v>782</v>
      </c>
      <c r="O610">
        <v>0.78790426659325219</v>
      </c>
      <c r="P610">
        <v>1073.0862158866798</v>
      </c>
      <c r="Q610" t="s">
        <v>254</v>
      </c>
    </row>
    <row r="611" spans="1:17" x14ac:dyDescent="0.25">
      <c r="A611" t="s">
        <v>106</v>
      </c>
      <c r="B611" t="s">
        <v>107</v>
      </c>
      <c r="C611">
        <v>160</v>
      </c>
      <c r="D611" t="s">
        <v>264</v>
      </c>
      <c r="E611" s="1">
        <v>43083</v>
      </c>
      <c r="F611" t="s">
        <v>252</v>
      </c>
      <c r="G611" t="s">
        <v>630</v>
      </c>
      <c r="H611">
        <v>-150</v>
      </c>
      <c r="I611" t="s">
        <v>39</v>
      </c>
      <c r="J611">
        <v>1.139338676673</v>
      </c>
      <c r="K611">
        <v>-170.9</v>
      </c>
      <c r="L611" t="s">
        <v>609</v>
      </c>
      <c r="M611" t="s">
        <v>171</v>
      </c>
      <c r="N611" t="s">
        <v>783</v>
      </c>
      <c r="O611">
        <v>0.7444087758460991</v>
      </c>
      <c r="P611">
        <v>902.18621588667986</v>
      </c>
      <c r="Q611" t="s">
        <v>254</v>
      </c>
    </row>
    <row r="612" spans="1:17" x14ac:dyDescent="0.25">
      <c r="A612" t="s">
        <v>106</v>
      </c>
      <c r="B612" t="s">
        <v>107</v>
      </c>
      <c r="C612">
        <v>160</v>
      </c>
      <c r="D612" t="s">
        <v>264</v>
      </c>
      <c r="E612" s="1">
        <v>43083</v>
      </c>
      <c r="F612" t="s">
        <v>252</v>
      </c>
      <c r="G612" t="s">
        <v>630</v>
      </c>
      <c r="H612">
        <v>-150</v>
      </c>
      <c r="I612" t="s">
        <v>39</v>
      </c>
      <c r="J612">
        <v>1.139338676673</v>
      </c>
      <c r="K612">
        <v>-170.9</v>
      </c>
      <c r="L612" t="s">
        <v>609</v>
      </c>
      <c r="M612" t="s">
        <v>171</v>
      </c>
      <c r="N612" t="s">
        <v>783</v>
      </c>
      <c r="O612">
        <v>0.68862584480124289</v>
      </c>
      <c r="P612">
        <v>731.28621588667988</v>
      </c>
      <c r="Q612" t="s">
        <v>254</v>
      </c>
    </row>
    <row r="613" spans="1:17" x14ac:dyDescent="0.25">
      <c r="A613" t="s">
        <v>106</v>
      </c>
      <c r="B613" t="s">
        <v>107</v>
      </c>
      <c r="C613">
        <v>160</v>
      </c>
      <c r="D613" t="s">
        <v>264</v>
      </c>
      <c r="E613" s="1">
        <v>43083</v>
      </c>
      <c r="F613" t="s">
        <v>17</v>
      </c>
      <c r="G613" t="s">
        <v>722</v>
      </c>
      <c r="H613">
        <v>150</v>
      </c>
      <c r="I613" t="s">
        <v>39</v>
      </c>
      <c r="J613">
        <v>1.1696</v>
      </c>
      <c r="K613">
        <v>150.66</v>
      </c>
      <c r="L613" t="s">
        <v>246</v>
      </c>
      <c r="M613" t="s">
        <v>171</v>
      </c>
      <c r="N613" t="s">
        <v>782</v>
      </c>
      <c r="O613">
        <v>0.72770841692040089</v>
      </c>
      <c r="P613">
        <v>881.94621588667985</v>
      </c>
      <c r="Q613" t="s">
        <v>254</v>
      </c>
    </row>
    <row r="614" spans="1:17" x14ac:dyDescent="0.25">
      <c r="A614" t="s">
        <v>106</v>
      </c>
      <c r="B614" t="s">
        <v>107</v>
      </c>
      <c r="C614">
        <v>160</v>
      </c>
      <c r="D614" t="s">
        <v>264</v>
      </c>
      <c r="E614" s="1">
        <v>43083</v>
      </c>
      <c r="F614" t="s">
        <v>17</v>
      </c>
      <c r="G614" t="s">
        <v>722</v>
      </c>
      <c r="H614">
        <v>150</v>
      </c>
      <c r="I614" t="s">
        <v>39</v>
      </c>
      <c r="J614">
        <v>1.1696</v>
      </c>
      <c r="K614">
        <v>150.66</v>
      </c>
      <c r="L614" t="s">
        <v>246</v>
      </c>
      <c r="M614" t="s">
        <v>171</v>
      </c>
      <c r="N614" t="s">
        <v>782</v>
      </c>
      <c r="O614">
        <v>0.75818217694238388</v>
      </c>
      <c r="P614">
        <v>1032.6062158866798</v>
      </c>
      <c r="Q614" t="s">
        <v>254</v>
      </c>
    </row>
    <row r="615" spans="1:17" x14ac:dyDescent="0.25">
      <c r="A615" t="s">
        <v>106</v>
      </c>
      <c r="B615" t="s">
        <v>107</v>
      </c>
      <c r="C615">
        <v>160</v>
      </c>
      <c r="D615" t="s">
        <v>264</v>
      </c>
      <c r="E615" s="1">
        <v>43083</v>
      </c>
      <c r="F615" t="s">
        <v>252</v>
      </c>
      <c r="G615" t="s">
        <v>630</v>
      </c>
      <c r="H615">
        <v>-150</v>
      </c>
      <c r="I615" t="s">
        <v>39</v>
      </c>
      <c r="J615">
        <v>1.139338676673</v>
      </c>
      <c r="K615">
        <v>-170.9</v>
      </c>
      <c r="L615" t="s">
        <v>609</v>
      </c>
      <c r="M615" t="s">
        <v>171</v>
      </c>
      <c r="N615" t="s">
        <v>783</v>
      </c>
      <c r="O615">
        <v>0.71100805799470257</v>
      </c>
      <c r="P615">
        <v>861.70621588667984</v>
      </c>
      <c r="Q615" t="s">
        <v>254</v>
      </c>
    </row>
    <row r="616" spans="1:17" x14ac:dyDescent="0.25">
      <c r="A616" t="s">
        <v>106</v>
      </c>
      <c r="B616" t="s">
        <v>107</v>
      </c>
      <c r="C616">
        <v>160</v>
      </c>
      <c r="D616" t="s">
        <v>264</v>
      </c>
      <c r="E616" s="1">
        <v>43083</v>
      </c>
      <c r="F616" t="s">
        <v>252</v>
      </c>
      <c r="G616" t="s">
        <v>630</v>
      </c>
      <c r="H616">
        <v>-150</v>
      </c>
      <c r="I616" t="s">
        <v>39</v>
      </c>
      <c r="J616">
        <v>1.139338676673</v>
      </c>
      <c r="K616">
        <v>-170.9</v>
      </c>
      <c r="L616" t="s">
        <v>609</v>
      </c>
      <c r="M616" t="s">
        <v>171</v>
      </c>
      <c r="N616" t="s">
        <v>783</v>
      </c>
      <c r="O616">
        <v>0.65050728931369639</v>
      </c>
      <c r="P616">
        <v>690.80621588667987</v>
      </c>
      <c r="Q616" t="s">
        <v>254</v>
      </c>
    </row>
    <row r="617" spans="1:17" x14ac:dyDescent="0.25">
      <c r="A617" t="s">
        <v>106</v>
      </c>
      <c r="B617" t="s">
        <v>107</v>
      </c>
      <c r="C617">
        <v>160</v>
      </c>
      <c r="D617" t="s">
        <v>264</v>
      </c>
      <c r="E617" s="1">
        <v>43083</v>
      </c>
      <c r="F617" t="s">
        <v>17</v>
      </c>
      <c r="G617" t="s">
        <v>722</v>
      </c>
      <c r="H617">
        <v>150</v>
      </c>
      <c r="I617" t="s">
        <v>39</v>
      </c>
      <c r="J617">
        <v>1.1696</v>
      </c>
      <c r="K617">
        <v>150.66</v>
      </c>
      <c r="L617" t="s">
        <v>246</v>
      </c>
      <c r="M617" t="s">
        <v>171</v>
      </c>
      <c r="N617" t="s">
        <v>782</v>
      </c>
      <c r="O617">
        <v>0.69430769906900436</v>
      </c>
      <c r="P617">
        <v>841.46621588667983</v>
      </c>
      <c r="Q617" t="s">
        <v>254</v>
      </c>
    </row>
    <row r="618" spans="1:17" x14ac:dyDescent="0.25">
      <c r="A618" t="s">
        <v>106</v>
      </c>
      <c r="B618" t="s">
        <v>107</v>
      </c>
      <c r="C618">
        <v>160</v>
      </c>
      <c r="D618" t="s">
        <v>264</v>
      </c>
      <c r="E618" s="1">
        <v>43083</v>
      </c>
      <c r="F618" t="s">
        <v>17</v>
      </c>
      <c r="G618" t="s">
        <v>722</v>
      </c>
      <c r="H618">
        <v>150</v>
      </c>
      <c r="I618" t="s">
        <v>39</v>
      </c>
      <c r="J618">
        <v>1.1696</v>
      </c>
      <c r="K618">
        <v>150.66</v>
      </c>
      <c r="L618" t="s">
        <v>246</v>
      </c>
      <c r="M618" t="s">
        <v>171</v>
      </c>
      <c r="N618" t="s">
        <v>782</v>
      </c>
      <c r="O618">
        <v>0.72846008729151568</v>
      </c>
      <c r="P618">
        <v>992.1262158866798</v>
      </c>
      <c r="Q618" t="s">
        <v>254</v>
      </c>
    </row>
    <row r="619" spans="1:17" x14ac:dyDescent="0.25">
      <c r="A619" t="s">
        <v>106</v>
      </c>
      <c r="B619" t="s">
        <v>107</v>
      </c>
      <c r="C619">
        <v>160</v>
      </c>
      <c r="D619" t="s">
        <v>264</v>
      </c>
      <c r="E619" s="1">
        <v>43083</v>
      </c>
      <c r="F619" t="s">
        <v>252</v>
      </c>
      <c r="G619" t="s">
        <v>630</v>
      </c>
      <c r="H619">
        <v>-150</v>
      </c>
      <c r="I619" t="s">
        <v>39</v>
      </c>
      <c r="J619">
        <v>1.139338676673</v>
      </c>
      <c r="K619">
        <v>-170.9</v>
      </c>
      <c r="L619" t="s">
        <v>609</v>
      </c>
      <c r="M619" t="s">
        <v>171</v>
      </c>
      <c r="N619" t="s">
        <v>783</v>
      </c>
      <c r="O619">
        <v>0.67760734014330604</v>
      </c>
      <c r="P619">
        <v>821.22621588667982</v>
      </c>
      <c r="Q619" t="s">
        <v>254</v>
      </c>
    </row>
    <row r="620" spans="1:17" x14ac:dyDescent="0.25">
      <c r="A620" t="s">
        <v>106</v>
      </c>
      <c r="B620" t="s">
        <v>107</v>
      </c>
      <c r="C620">
        <v>160</v>
      </c>
      <c r="D620" t="s">
        <v>264</v>
      </c>
      <c r="E620" s="1">
        <v>43083</v>
      </c>
      <c r="F620" t="s">
        <v>252</v>
      </c>
      <c r="G620" t="s">
        <v>630</v>
      </c>
      <c r="H620">
        <v>-150</v>
      </c>
      <c r="I620" t="s">
        <v>39</v>
      </c>
      <c r="J620">
        <v>1.139338676673</v>
      </c>
      <c r="K620">
        <v>-170.9</v>
      </c>
      <c r="L620" t="s">
        <v>609</v>
      </c>
      <c r="M620" t="s">
        <v>171</v>
      </c>
      <c r="N620" t="s">
        <v>783</v>
      </c>
      <c r="O620">
        <v>0.61238873382614989</v>
      </c>
      <c r="P620">
        <v>650.32621588667985</v>
      </c>
      <c r="Q620" t="s">
        <v>254</v>
      </c>
    </row>
    <row r="621" spans="1:17" x14ac:dyDescent="0.25">
      <c r="A621" t="s">
        <v>106</v>
      </c>
      <c r="B621" t="s">
        <v>107</v>
      </c>
      <c r="C621">
        <v>160</v>
      </c>
      <c r="D621" t="s">
        <v>264</v>
      </c>
      <c r="E621" s="1">
        <v>43083</v>
      </c>
      <c r="F621" t="s">
        <v>17</v>
      </c>
      <c r="G621" t="s">
        <v>722</v>
      </c>
      <c r="H621">
        <v>150</v>
      </c>
      <c r="I621" t="s">
        <v>39</v>
      </c>
      <c r="J621">
        <v>1.1696</v>
      </c>
      <c r="K621">
        <v>150.66</v>
      </c>
      <c r="L621" t="s">
        <v>246</v>
      </c>
      <c r="M621" t="s">
        <v>171</v>
      </c>
      <c r="N621" t="s">
        <v>782</v>
      </c>
      <c r="O621">
        <v>0.66090698121760783</v>
      </c>
      <c r="P621">
        <v>800.98621588667982</v>
      </c>
      <c r="Q621" t="s">
        <v>254</v>
      </c>
    </row>
    <row r="622" spans="1:17" x14ac:dyDescent="0.25">
      <c r="A622" t="s">
        <v>106</v>
      </c>
      <c r="B622" t="s">
        <v>107</v>
      </c>
      <c r="C622">
        <v>160</v>
      </c>
      <c r="D622" t="s">
        <v>264</v>
      </c>
      <c r="E622" s="1">
        <v>43083</v>
      </c>
      <c r="F622" t="s">
        <v>17</v>
      </c>
      <c r="G622" t="s">
        <v>722</v>
      </c>
      <c r="H622">
        <v>150</v>
      </c>
      <c r="I622" t="s">
        <v>39</v>
      </c>
      <c r="J622">
        <v>1.1696</v>
      </c>
      <c r="K622">
        <v>150.66</v>
      </c>
      <c r="L622" t="s">
        <v>246</v>
      </c>
      <c r="M622" t="s">
        <v>171</v>
      </c>
      <c r="N622" t="s">
        <v>782</v>
      </c>
      <c r="O622">
        <v>0.69873799764064737</v>
      </c>
      <c r="P622">
        <v>951.64621588667978</v>
      </c>
      <c r="Q622" t="s">
        <v>254</v>
      </c>
    </row>
    <row r="623" spans="1:17" x14ac:dyDescent="0.25">
      <c r="A623" t="s">
        <v>106</v>
      </c>
      <c r="B623" t="s">
        <v>107</v>
      </c>
      <c r="C623">
        <v>160</v>
      </c>
      <c r="D623" t="s">
        <v>264</v>
      </c>
      <c r="E623" s="1">
        <v>43083</v>
      </c>
      <c r="F623" t="s">
        <v>252</v>
      </c>
      <c r="G623" t="s">
        <v>630</v>
      </c>
      <c r="H623">
        <v>-150</v>
      </c>
      <c r="I623" t="s">
        <v>39</v>
      </c>
      <c r="J623">
        <v>1.139338676673</v>
      </c>
      <c r="K623">
        <v>-170.9</v>
      </c>
      <c r="L623" t="s">
        <v>609</v>
      </c>
      <c r="M623" t="s">
        <v>171</v>
      </c>
      <c r="N623" t="s">
        <v>783</v>
      </c>
      <c r="O623">
        <v>0.6442066222919095</v>
      </c>
      <c r="P623">
        <v>780.74621588667981</v>
      </c>
      <c r="Q623" t="s">
        <v>254</v>
      </c>
    </row>
    <row r="624" spans="1:17" x14ac:dyDescent="0.25">
      <c r="A624" t="s">
        <v>106</v>
      </c>
      <c r="B624" t="s">
        <v>107</v>
      </c>
      <c r="C624">
        <v>160</v>
      </c>
      <c r="D624" t="s">
        <v>264</v>
      </c>
      <c r="E624" s="1">
        <v>43083</v>
      </c>
      <c r="F624" t="s">
        <v>252</v>
      </c>
      <c r="G624" t="s">
        <v>630</v>
      </c>
      <c r="H624">
        <v>-150</v>
      </c>
      <c r="I624" t="s">
        <v>39</v>
      </c>
      <c r="J624">
        <v>1.139338676673</v>
      </c>
      <c r="K624">
        <v>-170.9</v>
      </c>
      <c r="L624" t="s">
        <v>609</v>
      </c>
      <c r="M624" t="s">
        <v>171</v>
      </c>
      <c r="N624" t="s">
        <v>783</v>
      </c>
      <c r="O624">
        <v>0.57427017833860328</v>
      </c>
      <c r="P624">
        <v>609.84621588667983</v>
      </c>
      <c r="Q624" t="s">
        <v>254</v>
      </c>
    </row>
    <row r="625" spans="1:17" x14ac:dyDescent="0.25">
      <c r="A625" t="s">
        <v>106</v>
      </c>
      <c r="B625" t="s">
        <v>107</v>
      </c>
      <c r="C625">
        <v>160</v>
      </c>
      <c r="D625" t="s">
        <v>264</v>
      </c>
      <c r="E625" s="1">
        <v>43083</v>
      </c>
      <c r="F625" t="s">
        <v>17</v>
      </c>
      <c r="G625" t="s">
        <v>722</v>
      </c>
      <c r="H625">
        <v>150</v>
      </c>
      <c r="I625" t="s">
        <v>39</v>
      </c>
      <c r="J625">
        <v>1.1696</v>
      </c>
      <c r="K625">
        <v>150.66</v>
      </c>
      <c r="L625" t="s">
        <v>246</v>
      </c>
      <c r="M625" t="s">
        <v>171</v>
      </c>
      <c r="N625" t="s">
        <v>782</v>
      </c>
      <c r="O625">
        <v>0.62750626336621129</v>
      </c>
      <c r="P625">
        <v>760.5062158866798</v>
      </c>
      <c r="Q625" t="s">
        <v>254</v>
      </c>
    </row>
    <row r="626" spans="1:17" x14ac:dyDescent="0.25">
      <c r="A626" t="s">
        <v>106</v>
      </c>
      <c r="B626" t="s">
        <v>107</v>
      </c>
      <c r="C626">
        <v>160</v>
      </c>
      <c r="D626" t="s">
        <v>264</v>
      </c>
      <c r="E626" s="1">
        <v>43083</v>
      </c>
      <c r="F626" t="s">
        <v>17</v>
      </c>
      <c r="G626" t="s">
        <v>722</v>
      </c>
      <c r="H626">
        <v>150</v>
      </c>
      <c r="I626" t="s">
        <v>39</v>
      </c>
      <c r="J626">
        <v>1.1696</v>
      </c>
      <c r="K626">
        <v>150.66</v>
      </c>
      <c r="L626" t="s">
        <v>246</v>
      </c>
      <c r="M626" t="s">
        <v>171</v>
      </c>
      <c r="N626" t="s">
        <v>782</v>
      </c>
      <c r="O626">
        <v>0.66901590798977917</v>
      </c>
      <c r="P626">
        <v>911.16621588667977</v>
      </c>
      <c r="Q626" t="s">
        <v>254</v>
      </c>
    </row>
    <row r="627" spans="1:17" x14ac:dyDescent="0.25">
      <c r="A627" t="s">
        <v>106</v>
      </c>
      <c r="B627" t="s">
        <v>107</v>
      </c>
      <c r="C627">
        <v>160</v>
      </c>
      <c r="D627" t="s">
        <v>264</v>
      </c>
      <c r="E627" s="1">
        <v>43083</v>
      </c>
      <c r="F627" t="s">
        <v>252</v>
      </c>
      <c r="G627" t="s">
        <v>630</v>
      </c>
      <c r="H627">
        <v>-150</v>
      </c>
      <c r="I627" t="s">
        <v>39</v>
      </c>
      <c r="J627">
        <v>1.139338676673</v>
      </c>
      <c r="K627">
        <v>-170.9</v>
      </c>
      <c r="L627" t="s">
        <v>609</v>
      </c>
      <c r="M627" t="s">
        <v>171</v>
      </c>
      <c r="N627" t="s">
        <v>783</v>
      </c>
      <c r="O627">
        <v>0.61080590444051297</v>
      </c>
      <c r="P627">
        <v>740.26621588667979</v>
      </c>
      <c r="Q627" t="s">
        <v>254</v>
      </c>
    </row>
    <row r="628" spans="1:17" x14ac:dyDescent="0.25">
      <c r="A628" t="s">
        <v>106</v>
      </c>
      <c r="B628" t="s">
        <v>107</v>
      </c>
      <c r="C628">
        <v>160</v>
      </c>
      <c r="D628" t="s">
        <v>264</v>
      </c>
      <c r="E628" s="1">
        <v>43083</v>
      </c>
      <c r="F628" t="s">
        <v>252</v>
      </c>
      <c r="G628" t="s">
        <v>630</v>
      </c>
      <c r="H628">
        <v>-150</v>
      </c>
      <c r="I628" t="s">
        <v>39</v>
      </c>
      <c r="J628">
        <v>1.139338676673</v>
      </c>
      <c r="K628">
        <v>-170.9</v>
      </c>
      <c r="L628" t="s">
        <v>609</v>
      </c>
      <c r="M628" t="s">
        <v>171</v>
      </c>
      <c r="N628" t="s">
        <v>783</v>
      </c>
      <c r="O628">
        <v>0.53615162285105677</v>
      </c>
      <c r="P628">
        <v>569.36621588667981</v>
      </c>
      <c r="Q628" t="s">
        <v>254</v>
      </c>
    </row>
    <row r="629" spans="1:17" x14ac:dyDescent="0.25">
      <c r="A629" t="s">
        <v>106</v>
      </c>
      <c r="B629" t="s">
        <v>107</v>
      </c>
      <c r="C629">
        <v>160</v>
      </c>
      <c r="D629" t="s">
        <v>264</v>
      </c>
      <c r="E629" s="1">
        <v>43083</v>
      </c>
      <c r="F629" t="s">
        <v>17</v>
      </c>
      <c r="G629" t="s">
        <v>722</v>
      </c>
      <c r="H629">
        <v>150</v>
      </c>
      <c r="I629" t="s">
        <v>39</v>
      </c>
      <c r="J629">
        <v>1.169733333333</v>
      </c>
      <c r="K629">
        <v>150.66</v>
      </c>
      <c r="L629" t="s">
        <v>246</v>
      </c>
      <c r="M629" t="s">
        <v>171</v>
      </c>
      <c r="N629" t="s">
        <v>782</v>
      </c>
      <c r="O629">
        <v>0.59410554551481476</v>
      </c>
      <c r="P629">
        <v>720.02621588667978</v>
      </c>
      <c r="Q629" t="s">
        <v>254</v>
      </c>
    </row>
    <row r="630" spans="1:17" x14ac:dyDescent="0.25">
      <c r="A630" t="s">
        <v>106</v>
      </c>
      <c r="B630" t="s">
        <v>107</v>
      </c>
      <c r="C630">
        <v>160</v>
      </c>
      <c r="D630" t="s">
        <v>264</v>
      </c>
      <c r="E630" s="1">
        <v>43089</v>
      </c>
      <c r="F630" t="s">
        <v>21</v>
      </c>
      <c r="G630" t="s">
        <v>2207</v>
      </c>
      <c r="H630">
        <v>-4.8600000000000003</v>
      </c>
      <c r="I630" t="s">
        <v>39</v>
      </c>
      <c r="J630">
        <v>0</v>
      </c>
      <c r="M630" t="s">
        <v>170</v>
      </c>
      <c r="N630" t="s">
        <v>2208</v>
      </c>
    </row>
    <row r="631" spans="1:17" x14ac:dyDescent="0.25">
      <c r="A631" t="s">
        <v>106</v>
      </c>
      <c r="B631" t="s">
        <v>107</v>
      </c>
      <c r="C631">
        <v>160</v>
      </c>
      <c r="D631" t="s">
        <v>264</v>
      </c>
      <c r="E631" s="1">
        <v>43089</v>
      </c>
      <c r="F631" t="s">
        <v>21</v>
      </c>
      <c r="G631" t="s">
        <v>2207</v>
      </c>
      <c r="H631">
        <v>-4.8600000000000003</v>
      </c>
      <c r="I631" t="s">
        <v>39</v>
      </c>
      <c r="J631">
        <v>0.59410554551481476</v>
      </c>
      <c r="K631">
        <v>-2.8873529512019998</v>
      </c>
      <c r="M631" t="s">
        <v>255</v>
      </c>
      <c r="N631" t="s">
        <v>2208</v>
      </c>
      <c r="O631">
        <v>0.59410554551481465</v>
      </c>
      <c r="P631">
        <v>717.13886293547773</v>
      </c>
      <c r="Q631" t="s">
        <v>249</v>
      </c>
    </row>
    <row r="632" spans="1:17" x14ac:dyDescent="0.25">
      <c r="A632" t="s">
        <v>106</v>
      </c>
      <c r="B632" t="s">
        <v>107</v>
      </c>
      <c r="C632">
        <v>160</v>
      </c>
      <c r="D632" t="s">
        <v>264</v>
      </c>
      <c r="E632" s="1">
        <v>43089</v>
      </c>
      <c r="F632" t="s">
        <v>21</v>
      </c>
      <c r="G632" t="s">
        <v>2207</v>
      </c>
      <c r="H632">
        <v>0.87</v>
      </c>
      <c r="I632" t="s">
        <v>39</v>
      </c>
      <c r="J632">
        <v>0</v>
      </c>
      <c r="M632" t="s">
        <v>170</v>
      </c>
      <c r="N632" t="s">
        <v>2209</v>
      </c>
    </row>
    <row r="633" spans="1:17" x14ac:dyDescent="0.25">
      <c r="A633" t="s">
        <v>106</v>
      </c>
      <c r="B633" t="s">
        <v>107</v>
      </c>
      <c r="C633">
        <v>160</v>
      </c>
      <c r="D633" t="s">
        <v>264</v>
      </c>
      <c r="E633" s="1">
        <v>43089</v>
      </c>
      <c r="F633" t="s">
        <v>21</v>
      </c>
      <c r="G633" t="s">
        <v>2207</v>
      </c>
      <c r="H633">
        <v>0.87</v>
      </c>
      <c r="I633" t="s">
        <v>39</v>
      </c>
      <c r="J633">
        <v>0</v>
      </c>
      <c r="M633" t="s">
        <v>255</v>
      </c>
      <c r="N633" t="s">
        <v>2209</v>
      </c>
      <c r="O633">
        <v>0.59367765731934641</v>
      </c>
      <c r="P633">
        <v>717.13886293547773</v>
      </c>
      <c r="Q633" t="s">
        <v>249</v>
      </c>
    </row>
    <row r="634" spans="1:17" x14ac:dyDescent="0.25">
      <c r="A634" t="s">
        <v>106</v>
      </c>
      <c r="B634" t="s">
        <v>107</v>
      </c>
      <c r="C634">
        <v>160</v>
      </c>
      <c r="D634" t="s">
        <v>264</v>
      </c>
      <c r="E634" s="1">
        <v>43089</v>
      </c>
      <c r="F634" t="s">
        <v>21</v>
      </c>
      <c r="G634" t="s">
        <v>2207</v>
      </c>
      <c r="H634">
        <v>-8.35</v>
      </c>
      <c r="I634" t="s">
        <v>39</v>
      </c>
      <c r="J634">
        <v>0</v>
      </c>
      <c r="M634" t="s">
        <v>170</v>
      </c>
      <c r="N634" t="s">
        <v>2210</v>
      </c>
    </row>
    <row r="635" spans="1:17" x14ac:dyDescent="0.25">
      <c r="A635" t="s">
        <v>106</v>
      </c>
      <c r="B635" t="s">
        <v>107</v>
      </c>
      <c r="C635">
        <v>160</v>
      </c>
      <c r="D635" t="s">
        <v>264</v>
      </c>
      <c r="E635" s="1">
        <v>43089</v>
      </c>
      <c r="F635" t="s">
        <v>21</v>
      </c>
      <c r="G635" t="s">
        <v>2207</v>
      </c>
      <c r="H635">
        <v>-8.35</v>
      </c>
      <c r="I635" t="s">
        <v>39</v>
      </c>
      <c r="J635">
        <v>0.59367765731934641</v>
      </c>
      <c r="K635">
        <v>-4.9572084386165427</v>
      </c>
      <c r="M635" t="s">
        <v>255</v>
      </c>
      <c r="N635" t="s">
        <v>2210</v>
      </c>
      <c r="O635">
        <v>0.5936776573193463</v>
      </c>
      <c r="P635">
        <v>712.18165449686114</v>
      </c>
      <c r="Q635" t="s">
        <v>249</v>
      </c>
    </row>
    <row r="636" spans="1:17" x14ac:dyDescent="0.25">
      <c r="A636" t="s">
        <v>106</v>
      </c>
      <c r="B636" t="s">
        <v>107</v>
      </c>
      <c r="C636">
        <v>160</v>
      </c>
      <c r="D636" t="s">
        <v>264</v>
      </c>
      <c r="E636" s="1">
        <v>43096</v>
      </c>
      <c r="F636" t="s">
        <v>607</v>
      </c>
      <c r="H636">
        <v>-10.75</v>
      </c>
      <c r="I636" t="s">
        <v>39</v>
      </c>
      <c r="J636">
        <v>1.1393599999999999</v>
      </c>
      <c r="K636">
        <v>-12.25</v>
      </c>
      <c r="L636" t="s">
        <v>609</v>
      </c>
      <c r="M636" t="s">
        <v>171</v>
      </c>
      <c r="N636" t="s">
        <v>784</v>
      </c>
      <c r="O636">
        <v>0.58874186573428411</v>
      </c>
      <c r="P636">
        <v>699.93165449686114</v>
      </c>
    </row>
    <row r="637" spans="1:17" x14ac:dyDescent="0.25">
      <c r="A637" t="s">
        <v>106</v>
      </c>
      <c r="B637" t="s">
        <v>107</v>
      </c>
      <c r="C637">
        <v>160</v>
      </c>
      <c r="D637" t="s">
        <v>264</v>
      </c>
      <c r="E637" s="1">
        <v>43096</v>
      </c>
      <c r="F637" t="s">
        <v>607</v>
      </c>
      <c r="H637">
        <v>10.75</v>
      </c>
      <c r="I637" t="s">
        <v>39</v>
      </c>
      <c r="J637">
        <v>1.1393599999999999</v>
      </c>
      <c r="K637">
        <v>-12.25</v>
      </c>
      <c r="L637" t="s">
        <v>609</v>
      </c>
      <c r="M637" t="s">
        <v>255</v>
      </c>
      <c r="N637" t="s">
        <v>784</v>
      </c>
      <c r="O637">
        <v>0.57325435307880146</v>
      </c>
      <c r="P637">
        <v>687.68165449686114</v>
      </c>
      <c r="Q637" t="s">
        <v>249</v>
      </c>
    </row>
    <row r="638" spans="1:17" ht="75" x14ac:dyDescent="0.25">
      <c r="A638" t="s">
        <v>400</v>
      </c>
      <c r="B638" s="15" t="s">
        <v>1130</v>
      </c>
      <c r="C638">
        <v>160</v>
      </c>
      <c r="D638" t="s">
        <v>264</v>
      </c>
      <c r="E638" s="1">
        <v>43089</v>
      </c>
      <c r="F638" t="s">
        <v>21</v>
      </c>
      <c r="G638" t="s">
        <v>2295</v>
      </c>
      <c r="H638">
        <v>7.63</v>
      </c>
      <c r="I638" t="s">
        <v>39</v>
      </c>
      <c r="J638">
        <v>0</v>
      </c>
      <c r="M638" t="s">
        <v>170</v>
      </c>
      <c r="N638" t="s">
        <v>2296</v>
      </c>
    </row>
    <row r="639" spans="1:17" ht="75" x14ac:dyDescent="0.25">
      <c r="A639" t="s">
        <v>400</v>
      </c>
      <c r="B639" s="15" t="s">
        <v>1130</v>
      </c>
      <c r="C639">
        <v>160</v>
      </c>
      <c r="D639" t="s">
        <v>264</v>
      </c>
      <c r="E639" s="1">
        <v>43089</v>
      </c>
      <c r="F639" t="s">
        <v>21</v>
      </c>
      <c r="G639" t="s">
        <v>2295</v>
      </c>
      <c r="H639">
        <v>7.63</v>
      </c>
      <c r="I639" t="s">
        <v>39</v>
      </c>
      <c r="J639">
        <v>0</v>
      </c>
      <c r="M639" t="s">
        <v>255</v>
      </c>
      <c r="N639" t="s">
        <v>2296</v>
      </c>
      <c r="O639">
        <v>0</v>
      </c>
      <c r="P639">
        <v>0</v>
      </c>
      <c r="Q639" t="s">
        <v>249</v>
      </c>
    </row>
    <row r="640" spans="1:17" ht="75" x14ac:dyDescent="0.25">
      <c r="A640" t="s">
        <v>400</v>
      </c>
      <c r="B640" s="15" t="s">
        <v>1130</v>
      </c>
      <c r="C640">
        <v>160</v>
      </c>
      <c r="D640" t="s">
        <v>264</v>
      </c>
      <c r="E640" s="1">
        <v>43089</v>
      </c>
      <c r="F640" t="s">
        <v>21</v>
      </c>
      <c r="G640" t="s">
        <v>2295</v>
      </c>
      <c r="H640">
        <v>-10.4</v>
      </c>
      <c r="I640" t="s">
        <v>39</v>
      </c>
      <c r="J640">
        <v>0</v>
      </c>
      <c r="M640" t="s">
        <v>170</v>
      </c>
      <c r="N640" t="s">
        <v>2297</v>
      </c>
    </row>
    <row r="641" spans="1:17" ht="75" x14ac:dyDescent="0.25">
      <c r="A641" t="s">
        <v>400</v>
      </c>
      <c r="B641" s="15" t="s">
        <v>1130</v>
      </c>
      <c r="C641">
        <v>160</v>
      </c>
      <c r="D641" t="s">
        <v>264</v>
      </c>
      <c r="E641" s="1">
        <v>43089</v>
      </c>
      <c r="F641" t="s">
        <v>21</v>
      </c>
      <c r="G641" t="s">
        <v>2295</v>
      </c>
      <c r="H641">
        <v>-10.4</v>
      </c>
      <c r="I641" t="s">
        <v>39</v>
      </c>
      <c r="J641">
        <v>0</v>
      </c>
      <c r="K641">
        <v>0</v>
      </c>
      <c r="M641" t="s">
        <v>255</v>
      </c>
      <c r="N641" t="s">
        <v>2297</v>
      </c>
      <c r="O641">
        <v>0</v>
      </c>
      <c r="P641">
        <v>0</v>
      </c>
      <c r="Q641" t="s">
        <v>249</v>
      </c>
    </row>
    <row r="642" spans="1:17" ht="75" x14ac:dyDescent="0.25">
      <c r="A642" t="s">
        <v>402</v>
      </c>
      <c r="B642" s="15" t="s">
        <v>818</v>
      </c>
      <c r="C642">
        <v>160</v>
      </c>
      <c r="D642" t="s">
        <v>264</v>
      </c>
      <c r="E642" s="1">
        <v>43089</v>
      </c>
      <c r="F642" t="s">
        <v>21</v>
      </c>
      <c r="G642" t="s">
        <v>2298</v>
      </c>
      <c r="H642">
        <v>0.31</v>
      </c>
      <c r="I642" t="s">
        <v>39</v>
      </c>
      <c r="J642">
        <v>0</v>
      </c>
      <c r="M642" t="s">
        <v>170</v>
      </c>
      <c r="N642" t="s">
        <v>2299</v>
      </c>
    </row>
    <row r="643" spans="1:17" ht="75" x14ac:dyDescent="0.25">
      <c r="A643" t="s">
        <v>402</v>
      </c>
      <c r="B643" s="15" t="s">
        <v>818</v>
      </c>
      <c r="C643">
        <v>160</v>
      </c>
      <c r="D643" t="s">
        <v>264</v>
      </c>
      <c r="E643" s="1">
        <v>43089</v>
      </c>
      <c r="F643" t="s">
        <v>21</v>
      </c>
      <c r="G643" t="s">
        <v>2298</v>
      </c>
      <c r="H643">
        <v>0.31</v>
      </c>
      <c r="I643" t="s">
        <v>39</v>
      </c>
      <c r="J643">
        <v>0</v>
      </c>
      <c r="M643" t="s">
        <v>255</v>
      </c>
      <c r="N643" t="s">
        <v>2299</v>
      </c>
      <c r="O643">
        <v>4.0583310475072141</v>
      </c>
      <c r="P643">
        <v>2039.10843482</v>
      </c>
      <c r="Q643" t="s">
        <v>249</v>
      </c>
    </row>
    <row r="644" spans="1:17" ht="75" x14ac:dyDescent="0.25">
      <c r="A644" t="s">
        <v>402</v>
      </c>
      <c r="B644" s="15" t="s">
        <v>818</v>
      </c>
      <c r="C644">
        <v>160</v>
      </c>
      <c r="D644" t="s">
        <v>264</v>
      </c>
      <c r="E644" s="1">
        <v>43089</v>
      </c>
      <c r="F644" t="s">
        <v>21</v>
      </c>
      <c r="G644" t="s">
        <v>2298</v>
      </c>
      <c r="H644">
        <v>4.5</v>
      </c>
      <c r="I644" t="s">
        <v>39</v>
      </c>
      <c r="J644">
        <v>0</v>
      </c>
      <c r="M644" t="s">
        <v>170</v>
      </c>
      <c r="N644" t="s">
        <v>2300</v>
      </c>
    </row>
    <row r="645" spans="1:17" ht="75" x14ac:dyDescent="0.25">
      <c r="A645" t="s">
        <v>402</v>
      </c>
      <c r="B645" s="15" t="s">
        <v>818</v>
      </c>
      <c r="C645">
        <v>160</v>
      </c>
      <c r="D645" t="s">
        <v>264</v>
      </c>
      <c r="E645" s="1">
        <v>43089</v>
      </c>
      <c r="F645" t="s">
        <v>21</v>
      </c>
      <c r="G645" t="s">
        <v>2298</v>
      </c>
      <c r="H645">
        <v>4.5</v>
      </c>
      <c r="I645" t="s">
        <v>39</v>
      </c>
      <c r="J645">
        <v>0</v>
      </c>
      <c r="M645" t="s">
        <v>255</v>
      </c>
      <c r="N645" t="s">
        <v>2300</v>
      </c>
      <c r="O645">
        <v>4.0223068050498076</v>
      </c>
      <c r="P645">
        <v>2039.10843482</v>
      </c>
      <c r="Q645" t="s">
        <v>249</v>
      </c>
    </row>
    <row r="646" spans="1:17" ht="75" x14ac:dyDescent="0.25">
      <c r="A646" t="s">
        <v>402</v>
      </c>
      <c r="B646" s="15" t="s">
        <v>818</v>
      </c>
      <c r="C646">
        <v>160</v>
      </c>
      <c r="D646" t="s">
        <v>264</v>
      </c>
      <c r="E646" s="1">
        <v>43089</v>
      </c>
      <c r="F646" t="s">
        <v>21</v>
      </c>
      <c r="G646" t="s">
        <v>2298</v>
      </c>
      <c r="H646">
        <v>-5.74</v>
      </c>
      <c r="I646" t="s">
        <v>39</v>
      </c>
      <c r="J646">
        <v>0</v>
      </c>
      <c r="M646" t="s">
        <v>170</v>
      </c>
      <c r="N646" t="s">
        <v>2301</v>
      </c>
    </row>
    <row r="647" spans="1:17" ht="75" x14ac:dyDescent="0.25">
      <c r="A647" t="s">
        <v>402</v>
      </c>
      <c r="B647" s="15" t="s">
        <v>818</v>
      </c>
      <c r="C647">
        <v>160</v>
      </c>
      <c r="D647" t="s">
        <v>264</v>
      </c>
      <c r="E647" s="1">
        <v>43089</v>
      </c>
      <c r="F647" t="s">
        <v>21</v>
      </c>
      <c r="G647" t="s">
        <v>2298</v>
      </c>
      <c r="H647">
        <v>-5.74</v>
      </c>
      <c r="I647" t="s">
        <v>39</v>
      </c>
      <c r="J647">
        <v>4.0223068050498076</v>
      </c>
      <c r="K647">
        <v>-23.088041060985898</v>
      </c>
      <c r="M647" t="s">
        <v>255</v>
      </c>
      <c r="N647" t="s">
        <v>2301</v>
      </c>
      <c r="O647">
        <v>4.0223068050498076</v>
      </c>
      <c r="P647">
        <v>2016.020393759014</v>
      </c>
      <c r="Q647" t="s">
        <v>249</v>
      </c>
    </row>
    <row r="648" spans="1:17" ht="75" x14ac:dyDescent="0.25">
      <c r="A648" t="s">
        <v>402</v>
      </c>
      <c r="B648" s="15" t="s">
        <v>818</v>
      </c>
      <c r="C648">
        <v>160</v>
      </c>
      <c r="D648" t="s">
        <v>264</v>
      </c>
      <c r="E648" s="1">
        <v>43096</v>
      </c>
      <c r="F648" t="s">
        <v>607</v>
      </c>
      <c r="H648">
        <v>-0.93</v>
      </c>
      <c r="I648" t="s">
        <v>39</v>
      </c>
      <c r="J648">
        <v>4.0608400000000007</v>
      </c>
      <c r="K648">
        <v>-3.78</v>
      </c>
      <c r="L648" t="s">
        <v>609</v>
      </c>
      <c r="M648" t="s">
        <v>171</v>
      </c>
      <c r="N648" t="s">
        <v>819</v>
      </c>
      <c r="O648">
        <v>4.0222283396478256</v>
      </c>
      <c r="P648">
        <v>2012.2403937590141</v>
      </c>
    </row>
    <row r="649" spans="1:17" ht="75" x14ac:dyDescent="0.25">
      <c r="A649" t="s">
        <v>402</v>
      </c>
      <c r="B649" s="15" t="s">
        <v>818</v>
      </c>
      <c r="C649">
        <v>160</v>
      </c>
      <c r="D649" t="s">
        <v>264</v>
      </c>
      <c r="E649" s="1">
        <v>43096</v>
      </c>
      <c r="F649" t="s">
        <v>607</v>
      </c>
      <c r="H649">
        <v>0.93</v>
      </c>
      <c r="I649" t="s">
        <v>39</v>
      </c>
      <c r="J649">
        <v>4.0608400000000007</v>
      </c>
      <c r="K649">
        <v>-3.78</v>
      </c>
      <c r="L649" t="s">
        <v>609</v>
      </c>
      <c r="M649" t="s">
        <v>255</v>
      </c>
      <c r="N649" t="s">
        <v>819</v>
      </c>
      <c r="O649">
        <v>4.0072233071148098</v>
      </c>
      <c r="P649">
        <v>2008.4603937590141</v>
      </c>
      <c r="Q649" t="s">
        <v>249</v>
      </c>
    </row>
    <row r="650" spans="1:17" x14ac:dyDescent="0.25">
      <c r="A650" t="s">
        <v>59</v>
      </c>
      <c r="B650" t="s">
        <v>93</v>
      </c>
      <c r="C650">
        <v>160</v>
      </c>
      <c r="D650" t="s">
        <v>264</v>
      </c>
      <c r="E650" s="1">
        <v>43075</v>
      </c>
      <c r="F650" t="s">
        <v>21</v>
      </c>
      <c r="G650" t="s">
        <v>1863</v>
      </c>
      <c r="H650">
        <v>1.6</v>
      </c>
      <c r="I650" t="s">
        <v>39</v>
      </c>
      <c r="J650">
        <v>0</v>
      </c>
      <c r="M650" t="s">
        <v>170</v>
      </c>
      <c r="N650" t="s">
        <v>1864</v>
      </c>
    </row>
    <row r="651" spans="1:17" x14ac:dyDescent="0.25">
      <c r="A651" t="s">
        <v>59</v>
      </c>
      <c r="B651" t="s">
        <v>93</v>
      </c>
      <c r="C651">
        <v>160</v>
      </c>
      <c r="D651" t="s">
        <v>264</v>
      </c>
      <c r="E651" s="1">
        <v>43075</v>
      </c>
      <c r="F651" t="s">
        <v>21</v>
      </c>
      <c r="G651" t="s">
        <v>1863</v>
      </c>
      <c r="H651">
        <v>1.6</v>
      </c>
      <c r="I651" t="s">
        <v>39</v>
      </c>
      <c r="J651">
        <v>0</v>
      </c>
      <c r="M651" t="s">
        <v>255</v>
      </c>
      <c r="N651" t="s">
        <v>1864</v>
      </c>
      <c r="O651">
        <v>1.6211939190211289</v>
      </c>
      <c r="P651">
        <v>2768.36694805967</v>
      </c>
      <c r="Q651" t="s">
        <v>249</v>
      </c>
    </row>
    <row r="652" spans="1:17" x14ac:dyDescent="0.25">
      <c r="A652" t="s">
        <v>59</v>
      </c>
      <c r="B652" t="s">
        <v>93</v>
      </c>
      <c r="C652">
        <v>160</v>
      </c>
      <c r="D652" t="s">
        <v>264</v>
      </c>
      <c r="E652" s="1">
        <v>43076</v>
      </c>
      <c r="F652" t="s">
        <v>252</v>
      </c>
      <c r="G652" t="s">
        <v>826</v>
      </c>
      <c r="H652">
        <v>-186.5</v>
      </c>
      <c r="I652" t="s">
        <v>39</v>
      </c>
      <c r="J652">
        <v>0</v>
      </c>
      <c r="M652" t="s">
        <v>170</v>
      </c>
      <c r="N652" t="s">
        <v>828</v>
      </c>
      <c r="Q652" t="s">
        <v>254</v>
      </c>
    </row>
    <row r="653" spans="1:17" x14ac:dyDescent="0.25">
      <c r="A653" t="s">
        <v>59</v>
      </c>
      <c r="B653" t="s">
        <v>93</v>
      </c>
      <c r="C653">
        <v>160</v>
      </c>
      <c r="D653" t="s">
        <v>264</v>
      </c>
      <c r="E653" s="1">
        <v>43076</v>
      </c>
      <c r="F653" t="s">
        <v>21</v>
      </c>
      <c r="G653" t="s">
        <v>1867</v>
      </c>
      <c r="H653">
        <v>1.58</v>
      </c>
      <c r="I653" t="s">
        <v>39</v>
      </c>
      <c r="J653">
        <v>0</v>
      </c>
      <c r="M653" t="s">
        <v>170</v>
      </c>
      <c r="N653" t="s">
        <v>1868</v>
      </c>
    </row>
    <row r="654" spans="1:17" x14ac:dyDescent="0.25">
      <c r="A654" t="s">
        <v>59</v>
      </c>
      <c r="B654" t="s">
        <v>93</v>
      </c>
      <c r="C654">
        <v>160</v>
      </c>
      <c r="D654" t="s">
        <v>264</v>
      </c>
      <c r="E654" s="1">
        <v>43076</v>
      </c>
      <c r="F654" t="s">
        <v>21</v>
      </c>
      <c r="G654" t="s">
        <v>1867</v>
      </c>
      <c r="H654">
        <v>1.58</v>
      </c>
      <c r="I654" t="s">
        <v>39</v>
      </c>
      <c r="J654">
        <v>0</v>
      </c>
      <c r="M654" t="s">
        <v>255</v>
      </c>
      <c r="N654" t="s">
        <v>1868</v>
      </c>
      <c r="O654">
        <v>1.6196952638733375</v>
      </c>
      <c r="P654">
        <v>2768.36694805967</v>
      </c>
      <c r="Q654" t="s">
        <v>249</v>
      </c>
    </row>
    <row r="655" spans="1:17" x14ac:dyDescent="0.25">
      <c r="A655" t="s">
        <v>59</v>
      </c>
      <c r="B655" t="s">
        <v>93</v>
      </c>
      <c r="C655">
        <v>160</v>
      </c>
      <c r="D655" t="s">
        <v>264</v>
      </c>
      <c r="E655" s="1">
        <v>43076</v>
      </c>
      <c r="F655" t="s">
        <v>252</v>
      </c>
      <c r="G655" t="s">
        <v>826</v>
      </c>
      <c r="H655">
        <v>-84.9</v>
      </c>
      <c r="I655" t="s">
        <v>39</v>
      </c>
      <c r="J655">
        <v>1.6227143733390001</v>
      </c>
      <c r="K655">
        <v>-137.77000000000001</v>
      </c>
      <c r="L655" t="s">
        <v>609</v>
      </c>
      <c r="M655" t="s">
        <v>171</v>
      </c>
      <c r="N655" t="s">
        <v>828</v>
      </c>
      <c r="O655">
        <v>1.619536503986154</v>
      </c>
      <c r="P655">
        <v>2630.59694805967</v>
      </c>
      <c r="Q655" t="s">
        <v>254</v>
      </c>
    </row>
    <row r="656" spans="1:17" x14ac:dyDescent="0.25">
      <c r="A656" t="s">
        <v>59</v>
      </c>
      <c r="B656" t="s">
        <v>93</v>
      </c>
      <c r="C656">
        <v>160</v>
      </c>
      <c r="D656" t="s">
        <v>264</v>
      </c>
      <c r="E656" s="1">
        <v>43076</v>
      </c>
      <c r="F656" t="s">
        <v>252</v>
      </c>
      <c r="G656" t="s">
        <v>826</v>
      </c>
      <c r="H656">
        <v>-101.6</v>
      </c>
      <c r="I656" t="s">
        <v>39</v>
      </c>
      <c r="J656">
        <v>1.6227143733390001</v>
      </c>
      <c r="K656">
        <v>-164.87</v>
      </c>
      <c r="L656" t="s">
        <v>609</v>
      </c>
      <c r="M656" t="s">
        <v>171</v>
      </c>
      <c r="N656" t="s">
        <v>828</v>
      </c>
      <c r="O656">
        <v>1.6193230060351549</v>
      </c>
      <c r="P656">
        <v>2465.7269480596701</v>
      </c>
      <c r="Q656" t="s">
        <v>254</v>
      </c>
    </row>
    <row r="657" spans="1:17" x14ac:dyDescent="0.25">
      <c r="A657" t="s">
        <v>59</v>
      </c>
      <c r="B657" t="s">
        <v>93</v>
      </c>
      <c r="C657">
        <v>160</v>
      </c>
      <c r="D657" t="s">
        <v>264</v>
      </c>
      <c r="E657" s="1">
        <v>43080</v>
      </c>
      <c r="F657" t="s">
        <v>252</v>
      </c>
      <c r="G657" t="s">
        <v>776</v>
      </c>
      <c r="H657">
        <v>-71</v>
      </c>
      <c r="I657" t="s">
        <v>39</v>
      </c>
      <c r="J657">
        <v>0</v>
      </c>
      <c r="M657" t="s">
        <v>170</v>
      </c>
      <c r="N657" t="s">
        <v>829</v>
      </c>
      <c r="Q657" t="s">
        <v>254</v>
      </c>
    </row>
    <row r="658" spans="1:17" x14ac:dyDescent="0.25">
      <c r="A658" t="s">
        <v>59</v>
      </c>
      <c r="B658" t="s">
        <v>93</v>
      </c>
      <c r="C658">
        <v>160</v>
      </c>
      <c r="D658" t="s">
        <v>264</v>
      </c>
      <c r="E658" s="1">
        <v>43080</v>
      </c>
      <c r="F658" t="s">
        <v>252</v>
      </c>
      <c r="G658" t="s">
        <v>830</v>
      </c>
      <c r="H658">
        <v>-9.0400000000000009</v>
      </c>
      <c r="I658" t="s">
        <v>39</v>
      </c>
      <c r="J658">
        <v>0</v>
      </c>
      <c r="M658" t="s">
        <v>170</v>
      </c>
      <c r="N658" t="s">
        <v>832</v>
      </c>
      <c r="Q658" t="s">
        <v>254</v>
      </c>
    </row>
    <row r="659" spans="1:17" x14ac:dyDescent="0.25">
      <c r="A659" t="s">
        <v>59</v>
      </c>
      <c r="B659" t="s">
        <v>93</v>
      </c>
      <c r="C659">
        <v>160</v>
      </c>
      <c r="D659" t="s">
        <v>264</v>
      </c>
      <c r="E659" s="1">
        <v>43080</v>
      </c>
      <c r="F659" t="s">
        <v>252</v>
      </c>
      <c r="G659" t="s">
        <v>776</v>
      </c>
      <c r="H659">
        <v>-5.4</v>
      </c>
      <c r="I659" t="s">
        <v>39</v>
      </c>
      <c r="J659">
        <v>1.6227114395250002</v>
      </c>
      <c r="K659">
        <v>-8.76</v>
      </c>
      <c r="L659" t="s">
        <v>609</v>
      </c>
      <c r="M659" t="s">
        <v>171</v>
      </c>
      <c r="N659" t="s">
        <v>829</v>
      </c>
      <c r="O659">
        <v>1.6193126877918327</v>
      </c>
      <c r="P659">
        <v>2456.9669480596699</v>
      </c>
      <c r="Q659" t="s">
        <v>254</v>
      </c>
    </row>
    <row r="660" spans="1:17" x14ac:dyDescent="0.25">
      <c r="A660" t="s">
        <v>59</v>
      </c>
      <c r="B660" t="s">
        <v>93</v>
      </c>
      <c r="C660">
        <v>160</v>
      </c>
      <c r="D660" t="s">
        <v>264</v>
      </c>
      <c r="E660" s="1">
        <v>43080</v>
      </c>
      <c r="F660" t="s">
        <v>252</v>
      </c>
      <c r="G660" t="s">
        <v>776</v>
      </c>
      <c r="H660">
        <v>-60.2</v>
      </c>
      <c r="I660" t="s">
        <v>39</v>
      </c>
      <c r="J660">
        <v>1.6227114395250002</v>
      </c>
      <c r="K660">
        <v>-97.69</v>
      </c>
      <c r="L660" t="s">
        <v>609</v>
      </c>
      <c r="M660" t="s">
        <v>171</v>
      </c>
      <c r="N660" t="s">
        <v>829</v>
      </c>
      <c r="O660">
        <v>1.6191703656326446</v>
      </c>
      <c r="P660">
        <v>2359.2769480596698</v>
      </c>
      <c r="Q660" t="s">
        <v>254</v>
      </c>
    </row>
    <row r="661" spans="1:17" x14ac:dyDescent="0.25">
      <c r="A661" t="s">
        <v>59</v>
      </c>
      <c r="B661" t="s">
        <v>93</v>
      </c>
      <c r="C661">
        <v>160</v>
      </c>
      <c r="D661" t="s">
        <v>264</v>
      </c>
      <c r="E661" s="1">
        <v>43080</v>
      </c>
      <c r="F661" t="s">
        <v>252</v>
      </c>
      <c r="G661" t="s">
        <v>776</v>
      </c>
      <c r="H661">
        <v>-5.4</v>
      </c>
      <c r="I661" t="s">
        <v>39</v>
      </c>
      <c r="J661">
        <v>1.6227114395250002</v>
      </c>
      <c r="K661">
        <v>-8.76</v>
      </c>
      <c r="L661" t="s">
        <v>609</v>
      </c>
      <c r="M661" t="s">
        <v>171</v>
      </c>
      <c r="N661" t="s">
        <v>829</v>
      </c>
      <c r="O661">
        <v>1.6191590133290648</v>
      </c>
      <c r="P661">
        <v>2350.5169480596696</v>
      </c>
      <c r="Q661" t="s">
        <v>254</v>
      </c>
    </row>
    <row r="662" spans="1:17" x14ac:dyDescent="0.25">
      <c r="A662" t="s">
        <v>59</v>
      </c>
      <c r="B662" t="s">
        <v>93</v>
      </c>
      <c r="C662">
        <v>160</v>
      </c>
      <c r="D662" t="s">
        <v>264</v>
      </c>
      <c r="E662" s="1">
        <v>43080</v>
      </c>
      <c r="F662" t="s">
        <v>252</v>
      </c>
      <c r="G662" t="s">
        <v>830</v>
      </c>
      <c r="H662">
        <v>-9.0400000000000009</v>
      </c>
      <c r="I662" t="s">
        <v>39</v>
      </c>
      <c r="J662">
        <v>1.6227118926890001</v>
      </c>
      <c r="K662">
        <v>-14.67</v>
      </c>
      <c r="L662" t="s">
        <v>609</v>
      </c>
      <c r="M662" t="s">
        <v>171</v>
      </c>
      <c r="N662" t="s">
        <v>832</v>
      </c>
      <c r="O662">
        <v>1.6191362756452845</v>
      </c>
      <c r="P662">
        <v>2335.8469480596696</v>
      </c>
      <c r="Q662" t="s">
        <v>254</v>
      </c>
    </row>
    <row r="663" spans="1:17" x14ac:dyDescent="0.25">
      <c r="A663" t="s">
        <v>59</v>
      </c>
      <c r="B663" t="s">
        <v>93</v>
      </c>
      <c r="C663">
        <v>160</v>
      </c>
      <c r="D663" t="s">
        <v>264</v>
      </c>
      <c r="E663" s="1">
        <v>43081</v>
      </c>
      <c r="F663" t="s">
        <v>252</v>
      </c>
      <c r="G663" t="s">
        <v>788</v>
      </c>
      <c r="H663">
        <v>-300</v>
      </c>
      <c r="I663" t="s">
        <v>39</v>
      </c>
      <c r="J663">
        <v>0</v>
      </c>
      <c r="M663" t="s">
        <v>170</v>
      </c>
      <c r="N663" t="s">
        <v>833</v>
      </c>
      <c r="Q663" t="s">
        <v>254</v>
      </c>
    </row>
    <row r="664" spans="1:17" x14ac:dyDescent="0.25">
      <c r="A664" t="s">
        <v>59</v>
      </c>
      <c r="B664" t="s">
        <v>93</v>
      </c>
      <c r="C664">
        <v>160</v>
      </c>
      <c r="D664" t="s">
        <v>264</v>
      </c>
      <c r="E664" s="1">
        <v>43081</v>
      </c>
      <c r="F664" t="s">
        <v>252</v>
      </c>
      <c r="G664" t="s">
        <v>788</v>
      </c>
      <c r="H664">
        <v>-100</v>
      </c>
      <c r="I664" t="s">
        <v>39</v>
      </c>
      <c r="J664">
        <v>1.6227131847549998</v>
      </c>
      <c r="K664">
        <v>-162.27000000000001</v>
      </c>
      <c r="L664" t="s">
        <v>609</v>
      </c>
      <c r="M664" t="s">
        <v>171</v>
      </c>
      <c r="N664" t="s">
        <v>833</v>
      </c>
      <c r="O664">
        <v>1.6188708509735745</v>
      </c>
      <c r="P664">
        <v>2173.5769480596696</v>
      </c>
      <c r="Q664" t="s">
        <v>254</v>
      </c>
    </row>
    <row r="665" spans="1:17" x14ac:dyDescent="0.25">
      <c r="A665" t="s">
        <v>59</v>
      </c>
      <c r="B665" t="s">
        <v>93</v>
      </c>
      <c r="C665">
        <v>160</v>
      </c>
      <c r="D665" t="s">
        <v>264</v>
      </c>
      <c r="E665" s="1">
        <v>43081</v>
      </c>
      <c r="F665" t="s">
        <v>252</v>
      </c>
      <c r="G665" t="s">
        <v>788</v>
      </c>
      <c r="H665">
        <v>-100</v>
      </c>
      <c r="I665" t="s">
        <v>39</v>
      </c>
      <c r="J665">
        <v>1.6227131847549998</v>
      </c>
      <c r="K665">
        <v>-162.27000000000001</v>
      </c>
      <c r="L665" t="s">
        <v>609</v>
      </c>
      <c r="M665" t="s">
        <v>171</v>
      </c>
      <c r="N665" t="s">
        <v>833</v>
      </c>
      <c r="O665">
        <v>1.6185627071658713</v>
      </c>
      <c r="P665">
        <v>2011.3069480596696</v>
      </c>
      <c r="Q665" t="s">
        <v>254</v>
      </c>
    </row>
    <row r="666" spans="1:17" x14ac:dyDescent="0.25">
      <c r="A666" t="s">
        <v>59</v>
      </c>
      <c r="B666" t="s">
        <v>93</v>
      </c>
      <c r="C666">
        <v>160</v>
      </c>
      <c r="D666" t="s">
        <v>264</v>
      </c>
      <c r="E666" s="1">
        <v>43081</v>
      </c>
      <c r="F666" t="s">
        <v>252</v>
      </c>
      <c r="G666" t="s">
        <v>788</v>
      </c>
      <c r="H666">
        <v>-100</v>
      </c>
      <c r="I666" t="s">
        <v>39</v>
      </c>
      <c r="J666">
        <v>1.6227131847549998</v>
      </c>
      <c r="K666">
        <v>-162.27000000000001</v>
      </c>
      <c r="L666" t="s">
        <v>609</v>
      </c>
      <c r="M666" t="s">
        <v>171</v>
      </c>
      <c r="N666" t="s">
        <v>833</v>
      </c>
      <c r="O666">
        <v>1.6182006284161115</v>
      </c>
      <c r="P666">
        <v>1849.0369480596696</v>
      </c>
      <c r="Q666" t="s">
        <v>254</v>
      </c>
    </row>
    <row r="667" spans="1:17" x14ac:dyDescent="0.25">
      <c r="A667" t="s">
        <v>59</v>
      </c>
      <c r="B667" t="s">
        <v>93</v>
      </c>
      <c r="C667">
        <v>160</v>
      </c>
      <c r="D667" t="s">
        <v>264</v>
      </c>
      <c r="E667" s="1">
        <v>43083</v>
      </c>
      <c r="F667" t="s">
        <v>252</v>
      </c>
      <c r="G667" t="s">
        <v>733</v>
      </c>
      <c r="H667">
        <v>100</v>
      </c>
      <c r="I667" t="s">
        <v>39</v>
      </c>
      <c r="J667">
        <v>0</v>
      </c>
      <c r="M667" t="s">
        <v>170</v>
      </c>
      <c r="N667" t="s">
        <v>834</v>
      </c>
      <c r="Q667" t="s">
        <v>254</v>
      </c>
    </row>
    <row r="668" spans="1:17" x14ac:dyDescent="0.25">
      <c r="A668" t="s">
        <v>59</v>
      </c>
      <c r="B668" t="s">
        <v>93</v>
      </c>
      <c r="C668">
        <v>160</v>
      </c>
      <c r="D668" t="s">
        <v>264</v>
      </c>
      <c r="E668" s="1">
        <v>43083</v>
      </c>
      <c r="F668" t="s">
        <v>252</v>
      </c>
      <c r="G668" t="s">
        <v>733</v>
      </c>
      <c r="H668">
        <v>100</v>
      </c>
      <c r="I668" t="s">
        <v>39</v>
      </c>
      <c r="J668">
        <v>2.1136351323139997</v>
      </c>
      <c r="K668">
        <v>211.35999999999999</v>
      </c>
      <c r="L668" t="s">
        <v>609</v>
      </c>
      <c r="M668" t="s">
        <v>171</v>
      </c>
      <c r="N668" t="s">
        <v>834</v>
      </c>
      <c r="O668">
        <v>1.6580669923628295</v>
      </c>
      <c r="P668">
        <v>2060.3969480596697</v>
      </c>
      <c r="Q668" t="s">
        <v>254</v>
      </c>
    </row>
    <row r="669" spans="1:17" x14ac:dyDescent="0.25">
      <c r="A669" t="s">
        <v>59</v>
      </c>
      <c r="B669" t="s">
        <v>93</v>
      </c>
      <c r="C669">
        <v>160</v>
      </c>
      <c r="D669" t="s">
        <v>264</v>
      </c>
      <c r="E669" s="1">
        <v>43084</v>
      </c>
      <c r="F669" t="s">
        <v>252</v>
      </c>
      <c r="G669" t="s">
        <v>736</v>
      </c>
      <c r="H669">
        <v>-100</v>
      </c>
      <c r="I669" t="s">
        <v>39</v>
      </c>
      <c r="J669">
        <v>0</v>
      </c>
      <c r="M669" t="s">
        <v>170</v>
      </c>
      <c r="N669" t="s">
        <v>835</v>
      </c>
      <c r="Q669" t="s">
        <v>254</v>
      </c>
    </row>
    <row r="670" spans="1:17" x14ac:dyDescent="0.25">
      <c r="A670" t="s">
        <v>59</v>
      </c>
      <c r="B670" t="s">
        <v>93</v>
      </c>
      <c r="C670">
        <v>160</v>
      </c>
      <c r="D670" t="s">
        <v>264</v>
      </c>
      <c r="E670" s="1">
        <v>43084</v>
      </c>
      <c r="F670" t="s">
        <v>252</v>
      </c>
      <c r="G670" t="s">
        <v>736</v>
      </c>
      <c r="H670">
        <v>-100</v>
      </c>
      <c r="I670" t="s">
        <v>39</v>
      </c>
      <c r="J670">
        <v>1.6623209501320002</v>
      </c>
      <c r="K670">
        <v>-166.23</v>
      </c>
      <c r="L670" t="s">
        <v>609</v>
      </c>
      <c r="M670" t="s">
        <v>171</v>
      </c>
      <c r="N670" t="s">
        <v>835</v>
      </c>
      <c r="O670">
        <v>1.6576965370495513</v>
      </c>
      <c r="P670">
        <v>1894.1669480596697</v>
      </c>
      <c r="Q670" t="s">
        <v>254</v>
      </c>
    </row>
    <row r="671" spans="1:17" x14ac:dyDescent="0.25">
      <c r="A671" t="s">
        <v>59</v>
      </c>
      <c r="B671" t="s">
        <v>93</v>
      </c>
      <c r="C671">
        <v>160</v>
      </c>
      <c r="D671" t="s">
        <v>264</v>
      </c>
      <c r="E671" s="1">
        <v>43087</v>
      </c>
      <c r="F671" t="s">
        <v>252</v>
      </c>
      <c r="G671" t="s">
        <v>805</v>
      </c>
      <c r="H671">
        <v>300</v>
      </c>
      <c r="I671" t="s">
        <v>39</v>
      </c>
      <c r="J671">
        <v>0</v>
      </c>
      <c r="M671" t="s">
        <v>170</v>
      </c>
      <c r="N671" t="s">
        <v>836</v>
      </c>
      <c r="Q671" t="s">
        <v>254</v>
      </c>
    </row>
    <row r="672" spans="1:17" x14ac:dyDescent="0.25">
      <c r="A672" t="s">
        <v>59</v>
      </c>
      <c r="B672" t="s">
        <v>93</v>
      </c>
      <c r="C672">
        <v>160</v>
      </c>
      <c r="D672" t="s">
        <v>264</v>
      </c>
      <c r="E672" s="1">
        <v>43087</v>
      </c>
      <c r="F672" t="s">
        <v>252</v>
      </c>
      <c r="G672" t="s">
        <v>808</v>
      </c>
      <c r="H672">
        <v>-300</v>
      </c>
      <c r="I672" t="s">
        <v>39</v>
      </c>
      <c r="J672">
        <v>0</v>
      </c>
      <c r="M672" t="s">
        <v>170</v>
      </c>
      <c r="N672" t="s">
        <v>837</v>
      </c>
      <c r="Q672" t="s">
        <v>254</v>
      </c>
    </row>
    <row r="673" spans="1:17" x14ac:dyDescent="0.25">
      <c r="A673" t="s">
        <v>59</v>
      </c>
      <c r="B673" t="s">
        <v>93</v>
      </c>
      <c r="C673">
        <v>160</v>
      </c>
      <c r="D673" t="s">
        <v>264</v>
      </c>
      <c r="E673" s="1">
        <v>43087</v>
      </c>
      <c r="F673" t="s">
        <v>252</v>
      </c>
      <c r="G673" t="s">
        <v>808</v>
      </c>
      <c r="H673">
        <v>-100</v>
      </c>
      <c r="I673" t="s">
        <v>39</v>
      </c>
      <c r="J673">
        <v>1.6540650017430001</v>
      </c>
      <c r="K673">
        <v>-165.41</v>
      </c>
      <c r="L673" t="s">
        <v>609</v>
      </c>
      <c r="M673" t="s">
        <v>171</v>
      </c>
      <c r="N673" t="s">
        <v>837</v>
      </c>
      <c r="O673">
        <v>1.6580414789811249</v>
      </c>
      <c r="P673">
        <v>1728.7569480596696</v>
      </c>
      <c r="Q673" t="s">
        <v>254</v>
      </c>
    </row>
    <row r="674" spans="1:17" x14ac:dyDescent="0.25">
      <c r="A674" t="s">
        <v>59</v>
      </c>
      <c r="B674" t="s">
        <v>93</v>
      </c>
      <c r="C674">
        <v>160</v>
      </c>
      <c r="D674" t="s">
        <v>264</v>
      </c>
      <c r="E674" s="1">
        <v>43087</v>
      </c>
      <c r="F674" t="s">
        <v>252</v>
      </c>
      <c r="G674" t="s">
        <v>805</v>
      </c>
      <c r="H674">
        <v>100</v>
      </c>
      <c r="I674" t="s">
        <v>39</v>
      </c>
      <c r="J674">
        <v>1.6227131847549998</v>
      </c>
      <c r="K674">
        <v>162.27000000000001</v>
      </c>
      <c r="L674" t="s">
        <v>609</v>
      </c>
      <c r="M674" t="s">
        <v>171</v>
      </c>
      <c r="N674" t="s">
        <v>836</v>
      </c>
      <c r="O674">
        <v>1.6549485389749004</v>
      </c>
      <c r="P674">
        <v>1891.0269480596696</v>
      </c>
      <c r="Q674" t="s">
        <v>254</v>
      </c>
    </row>
    <row r="675" spans="1:17" x14ac:dyDescent="0.25">
      <c r="A675" t="s">
        <v>59</v>
      </c>
      <c r="B675" t="s">
        <v>93</v>
      </c>
      <c r="C675">
        <v>160</v>
      </c>
      <c r="D675" t="s">
        <v>264</v>
      </c>
      <c r="E675" s="1">
        <v>43087</v>
      </c>
      <c r="F675" t="s">
        <v>252</v>
      </c>
      <c r="G675" t="s">
        <v>808</v>
      </c>
      <c r="H675">
        <v>-100</v>
      </c>
      <c r="I675" t="s">
        <v>39</v>
      </c>
      <c r="J675">
        <v>1.6540650017430001</v>
      </c>
      <c r="K675">
        <v>-165.41</v>
      </c>
      <c r="L675" t="s">
        <v>609</v>
      </c>
      <c r="M675" t="s">
        <v>171</v>
      </c>
      <c r="N675" t="s">
        <v>837</v>
      </c>
      <c r="O675">
        <v>1.6550299218910178</v>
      </c>
      <c r="P675">
        <v>1725.6169480596695</v>
      </c>
      <c r="Q675" t="s">
        <v>254</v>
      </c>
    </row>
    <row r="676" spans="1:17" x14ac:dyDescent="0.25">
      <c r="A676" t="s">
        <v>59</v>
      </c>
      <c r="B676" t="s">
        <v>93</v>
      </c>
      <c r="C676">
        <v>160</v>
      </c>
      <c r="D676" t="s">
        <v>264</v>
      </c>
      <c r="E676" s="1">
        <v>43087</v>
      </c>
      <c r="F676" t="s">
        <v>252</v>
      </c>
      <c r="G676" t="s">
        <v>805</v>
      </c>
      <c r="H676">
        <v>100</v>
      </c>
      <c r="I676" t="s">
        <v>39</v>
      </c>
      <c r="J676">
        <v>1.6227131847549998</v>
      </c>
      <c r="K676">
        <v>162.27000000000001</v>
      </c>
      <c r="L676" t="s">
        <v>609</v>
      </c>
      <c r="M676" t="s">
        <v>171</v>
      </c>
      <c r="N676" t="s">
        <v>836</v>
      </c>
      <c r="O676">
        <v>1.6522005409002491</v>
      </c>
      <c r="P676">
        <v>1887.8869480596695</v>
      </c>
      <c r="Q676" t="s">
        <v>254</v>
      </c>
    </row>
    <row r="677" spans="1:17" x14ac:dyDescent="0.25">
      <c r="A677" t="s">
        <v>59</v>
      </c>
      <c r="B677" t="s">
        <v>93</v>
      </c>
      <c r="C677">
        <v>160</v>
      </c>
      <c r="D677" t="s">
        <v>264</v>
      </c>
      <c r="E677" s="1">
        <v>43087</v>
      </c>
      <c r="F677" t="s">
        <v>252</v>
      </c>
      <c r="G677" t="s">
        <v>805</v>
      </c>
      <c r="H677">
        <v>100</v>
      </c>
      <c r="I677" t="s">
        <v>39</v>
      </c>
      <c r="J677">
        <v>1.6227131847549998</v>
      </c>
      <c r="K677">
        <v>162.27000000000001</v>
      </c>
      <c r="L677" t="s">
        <v>609</v>
      </c>
      <c r="M677" t="s">
        <v>171</v>
      </c>
      <c r="N677" t="s">
        <v>836</v>
      </c>
      <c r="O677">
        <v>1.6498265384940809</v>
      </c>
      <c r="P677">
        <v>2050.1569480596695</v>
      </c>
      <c r="Q677" t="s">
        <v>254</v>
      </c>
    </row>
    <row r="678" spans="1:17" x14ac:dyDescent="0.25">
      <c r="A678" t="s">
        <v>59</v>
      </c>
      <c r="B678" t="s">
        <v>93</v>
      </c>
      <c r="C678">
        <v>160</v>
      </c>
      <c r="D678" t="s">
        <v>264</v>
      </c>
      <c r="E678" s="1">
        <v>43087</v>
      </c>
      <c r="F678" t="s">
        <v>252</v>
      </c>
      <c r="G678" t="s">
        <v>808</v>
      </c>
      <c r="H678">
        <v>-100</v>
      </c>
      <c r="I678" t="s">
        <v>39</v>
      </c>
      <c r="J678">
        <v>1.6540650017430001</v>
      </c>
      <c r="K678">
        <v>-165.41</v>
      </c>
      <c r="L678" t="s">
        <v>609</v>
      </c>
      <c r="M678" t="s">
        <v>171</v>
      </c>
      <c r="N678" t="s">
        <v>837</v>
      </c>
      <c r="O678">
        <v>1.6494525428255982</v>
      </c>
      <c r="P678">
        <v>1884.7469480596694</v>
      </c>
      <c r="Q678" t="s">
        <v>254</v>
      </c>
    </row>
    <row r="679" spans="1:17" x14ac:dyDescent="0.25">
      <c r="A679" t="s">
        <v>59</v>
      </c>
      <c r="B679" t="s">
        <v>93</v>
      </c>
      <c r="C679">
        <v>160</v>
      </c>
      <c r="D679" t="s">
        <v>264</v>
      </c>
      <c r="E679" s="1">
        <v>43089</v>
      </c>
      <c r="F679" t="s">
        <v>21</v>
      </c>
      <c r="G679" t="s">
        <v>2214</v>
      </c>
      <c r="H679">
        <v>1.24</v>
      </c>
      <c r="I679" t="s">
        <v>39</v>
      </c>
      <c r="J679">
        <v>0</v>
      </c>
      <c r="M679" t="s">
        <v>170</v>
      </c>
      <c r="N679" t="s">
        <v>2215</v>
      </c>
    </row>
    <row r="680" spans="1:17" x14ac:dyDescent="0.25">
      <c r="A680" t="s">
        <v>59</v>
      </c>
      <c r="B680" t="s">
        <v>93</v>
      </c>
      <c r="C680">
        <v>160</v>
      </c>
      <c r="D680" t="s">
        <v>264</v>
      </c>
      <c r="E680" s="1">
        <v>43089</v>
      </c>
      <c r="F680" t="s">
        <v>21</v>
      </c>
      <c r="G680" t="s">
        <v>2214</v>
      </c>
      <c r="H680">
        <v>1.24</v>
      </c>
      <c r="I680" t="s">
        <v>39</v>
      </c>
      <c r="J680">
        <v>0</v>
      </c>
      <c r="M680" t="s">
        <v>255</v>
      </c>
      <c r="N680" t="s">
        <v>2215</v>
      </c>
      <c r="O680">
        <v>1.6476645027578436</v>
      </c>
      <c r="P680">
        <v>1884.7469480596694</v>
      </c>
      <c r="Q680" t="s">
        <v>249</v>
      </c>
    </row>
    <row r="681" spans="1:17" x14ac:dyDescent="0.25">
      <c r="A681" t="s">
        <v>59</v>
      </c>
      <c r="B681" t="s">
        <v>93</v>
      </c>
      <c r="C681">
        <v>160</v>
      </c>
      <c r="D681" t="s">
        <v>264</v>
      </c>
      <c r="E681" s="1">
        <v>43089</v>
      </c>
      <c r="F681" t="s">
        <v>21</v>
      </c>
      <c r="G681" t="s">
        <v>2214</v>
      </c>
      <c r="H681">
        <v>-7.38</v>
      </c>
      <c r="I681" t="s">
        <v>39</v>
      </c>
      <c r="J681">
        <v>0</v>
      </c>
      <c r="M681" t="s">
        <v>170</v>
      </c>
      <c r="N681" t="s">
        <v>2216</v>
      </c>
    </row>
    <row r="682" spans="1:17" x14ac:dyDescent="0.25">
      <c r="A682" t="s">
        <v>59</v>
      </c>
      <c r="B682" t="s">
        <v>93</v>
      </c>
      <c r="C682">
        <v>160</v>
      </c>
      <c r="D682" t="s">
        <v>264</v>
      </c>
      <c r="E682" s="1">
        <v>43089</v>
      </c>
      <c r="F682" t="s">
        <v>21</v>
      </c>
      <c r="G682" t="s">
        <v>2214</v>
      </c>
      <c r="H682">
        <v>-7.38</v>
      </c>
      <c r="I682" t="s">
        <v>39</v>
      </c>
      <c r="J682">
        <v>1.6476645027578436</v>
      </c>
      <c r="K682">
        <v>-12.159764030352886</v>
      </c>
      <c r="M682" t="s">
        <v>255</v>
      </c>
      <c r="N682" t="s">
        <v>2216</v>
      </c>
      <c r="O682">
        <v>1.6476645027578438</v>
      </c>
      <c r="P682">
        <v>1872.5871840293166</v>
      </c>
      <c r="Q682" t="s">
        <v>249</v>
      </c>
    </row>
    <row r="683" spans="1:17" x14ac:dyDescent="0.25">
      <c r="A683" t="s">
        <v>59</v>
      </c>
      <c r="B683" t="s">
        <v>93</v>
      </c>
      <c r="C683">
        <v>160</v>
      </c>
      <c r="D683" t="s">
        <v>264</v>
      </c>
      <c r="E683" s="1">
        <v>43089</v>
      </c>
      <c r="F683" t="s">
        <v>21</v>
      </c>
      <c r="G683" t="s">
        <v>2214</v>
      </c>
      <c r="H683">
        <v>-0.34</v>
      </c>
      <c r="I683" t="s">
        <v>39</v>
      </c>
      <c r="J683">
        <v>0</v>
      </c>
      <c r="M683" t="s">
        <v>170</v>
      </c>
      <c r="N683" t="s">
        <v>2217</v>
      </c>
    </row>
    <row r="684" spans="1:17" x14ac:dyDescent="0.25">
      <c r="A684" t="s">
        <v>59</v>
      </c>
      <c r="B684" t="s">
        <v>93</v>
      </c>
      <c r="C684">
        <v>160</v>
      </c>
      <c r="D684" t="s">
        <v>264</v>
      </c>
      <c r="E684" s="1">
        <v>43089</v>
      </c>
      <c r="F684" t="s">
        <v>21</v>
      </c>
      <c r="G684" t="s">
        <v>2214</v>
      </c>
      <c r="H684">
        <v>-0.34</v>
      </c>
      <c r="I684" t="s">
        <v>39</v>
      </c>
      <c r="J684">
        <v>1.6476645027578438</v>
      </c>
      <c r="K684">
        <v>-0.56020593093766691</v>
      </c>
      <c r="M684" t="s">
        <v>255</v>
      </c>
      <c r="N684" t="s">
        <v>2217</v>
      </c>
      <c r="O684">
        <v>1.6476645027578436</v>
      </c>
      <c r="P684">
        <v>1872.026978098379</v>
      </c>
      <c r="Q684" t="s">
        <v>249</v>
      </c>
    </row>
    <row r="685" spans="1:17" x14ac:dyDescent="0.25">
      <c r="A685" t="s">
        <v>59</v>
      </c>
      <c r="B685" t="s">
        <v>93</v>
      </c>
      <c r="C685">
        <v>160</v>
      </c>
      <c r="D685" t="s">
        <v>264</v>
      </c>
      <c r="E685" s="1">
        <v>43089</v>
      </c>
      <c r="F685" t="s">
        <v>21</v>
      </c>
      <c r="G685" t="s">
        <v>2214</v>
      </c>
      <c r="H685">
        <v>-0.95</v>
      </c>
      <c r="I685" t="s">
        <v>39</v>
      </c>
      <c r="J685">
        <v>0</v>
      </c>
      <c r="M685" t="s">
        <v>170</v>
      </c>
      <c r="N685" t="s">
        <v>2218</v>
      </c>
    </row>
    <row r="686" spans="1:17" x14ac:dyDescent="0.25">
      <c r="A686" t="s">
        <v>59</v>
      </c>
      <c r="B686" t="s">
        <v>93</v>
      </c>
      <c r="C686">
        <v>160</v>
      </c>
      <c r="D686" t="s">
        <v>264</v>
      </c>
      <c r="E686" s="1">
        <v>43089</v>
      </c>
      <c r="F686" t="s">
        <v>21</v>
      </c>
      <c r="G686" t="s">
        <v>2214</v>
      </c>
      <c r="H686">
        <v>-0.95</v>
      </c>
      <c r="I686" t="s">
        <v>39</v>
      </c>
      <c r="J686">
        <v>1.6476645027578436</v>
      </c>
      <c r="K686">
        <v>-1.5652812776199514</v>
      </c>
      <c r="M686" t="s">
        <v>255</v>
      </c>
      <c r="N686" t="s">
        <v>2218</v>
      </c>
      <c r="O686">
        <v>1.6476645027578438</v>
      </c>
      <c r="P686">
        <v>1870.461696820759</v>
      </c>
      <c r="Q686" t="s">
        <v>249</v>
      </c>
    </row>
    <row r="687" spans="1:17" x14ac:dyDescent="0.25">
      <c r="A687" t="s">
        <v>59</v>
      </c>
      <c r="B687" t="s">
        <v>93</v>
      </c>
      <c r="C687">
        <v>160</v>
      </c>
      <c r="D687" t="s">
        <v>264</v>
      </c>
      <c r="E687" s="1">
        <v>43089</v>
      </c>
      <c r="F687" t="s">
        <v>21</v>
      </c>
      <c r="G687" t="s">
        <v>2214</v>
      </c>
      <c r="H687">
        <v>-0.08</v>
      </c>
      <c r="I687" t="s">
        <v>39</v>
      </c>
      <c r="J687">
        <v>0</v>
      </c>
      <c r="M687" t="s">
        <v>170</v>
      </c>
      <c r="N687" t="s">
        <v>2219</v>
      </c>
    </row>
    <row r="688" spans="1:17" x14ac:dyDescent="0.25">
      <c r="A688" t="s">
        <v>59</v>
      </c>
      <c r="B688" t="s">
        <v>93</v>
      </c>
      <c r="C688">
        <v>160</v>
      </c>
      <c r="D688" t="s">
        <v>264</v>
      </c>
      <c r="E688" s="1">
        <v>43089</v>
      </c>
      <c r="F688" t="s">
        <v>21</v>
      </c>
      <c r="G688" t="s">
        <v>2214</v>
      </c>
      <c r="H688">
        <v>-0.08</v>
      </c>
      <c r="I688" t="s">
        <v>39</v>
      </c>
      <c r="J688">
        <v>1.6476645027578438</v>
      </c>
      <c r="K688">
        <v>-0.1318131602206275</v>
      </c>
      <c r="M688" t="s">
        <v>255</v>
      </c>
      <c r="N688" t="s">
        <v>2219</v>
      </c>
      <c r="O688">
        <v>1.6476645027578436</v>
      </c>
      <c r="P688">
        <v>1870.3298836605384</v>
      </c>
      <c r="Q688" t="s">
        <v>249</v>
      </c>
    </row>
    <row r="689" spans="1:17" x14ac:dyDescent="0.25">
      <c r="A689" t="s">
        <v>59</v>
      </c>
      <c r="B689" t="s">
        <v>93</v>
      </c>
      <c r="C689">
        <v>160</v>
      </c>
      <c r="D689" t="s">
        <v>264</v>
      </c>
      <c r="E689" s="1">
        <v>43089</v>
      </c>
      <c r="F689" t="s">
        <v>21</v>
      </c>
      <c r="G689" t="s">
        <v>2214</v>
      </c>
      <c r="H689">
        <v>-2.48</v>
      </c>
      <c r="I689" t="s">
        <v>39</v>
      </c>
      <c r="J689">
        <v>0</v>
      </c>
      <c r="M689" t="s">
        <v>170</v>
      </c>
      <c r="N689" t="s">
        <v>2220</v>
      </c>
    </row>
    <row r="690" spans="1:17" x14ac:dyDescent="0.25">
      <c r="A690" t="s">
        <v>59</v>
      </c>
      <c r="B690" t="s">
        <v>93</v>
      </c>
      <c r="C690">
        <v>160</v>
      </c>
      <c r="D690" t="s">
        <v>264</v>
      </c>
      <c r="E690" s="1">
        <v>43089</v>
      </c>
      <c r="F690" t="s">
        <v>21</v>
      </c>
      <c r="G690" t="s">
        <v>2214</v>
      </c>
      <c r="H690">
        <v>-2.48</v>
      </c>
      <c r="I690" t="s">
        <v>39</v>
      </c>
      <c r="J690">
        <v>1.6476645027578436</v>
      </c>
      <c r="K690">
        <v>-4.086207966839452</v>
      </c>
      <c r="M690" t="s">
        <v>255</v>
      </c>
      <c r="N690" t="s">
        <v>2220</v>
      </c>
      <c r="O690">
        <v>1.6476645027578436</v>
      </c>
      <c r="P690">
        <v>1866.2436756936988</v>
      </c>
      <c r="Q690" t="s">
        <v>249</v>
      </c>
    </row>
    <row r="691" spans="1:17" x14ac:dyDescent="0.25">
      <c r="A691" t="s">
        <v>59</v>
      </c>
      <c r="B691" t="s">
        <v>93</v>
      </c>
      <c r="C691">
        <v>160</v>
      </c>
      <c r="D691" t="s">
        <v>264</v>
      </c>
      <c r="E691" s="1">
        <v>43089</v>
      </c>
      <c r="F691" t="s">
        <v>21</v>
      </c>
      <c r="G691" t="s">
        <v>2214</v>
      </c>
      <c r="H691">
        <v>-0.69</v>
      </c>
      <c r="I691" t="s">
        <v>39</v>
      </c>
      <c r="J691">
        <v>0</v>
      </c>
      <c r="M691" t="s">
        <v>170</v>
      </c>
      <c r="N691" t="s">
        <v>2221</v>
      </c>
    </row>
    <row r="692" spans="1:17" x14ac:dyDescent="0.25">
      <c r="A692" t="s">
        <v>59</v>
      </c>
      <c r="B692" t="s">
        <v>93</v>
      </c>
      <c r="C692">
        <v>160</v>
      </c>
      <c r="D692" t="s">
        <v>264</v>
      </c>
      <c r="E692" s="1">
        <v>43089</v>
      </c>
      <c r="F692" t="s">
        <v>21</v>
      </c>
      <c r="G692" t="s">
        <v>2214</v>
      </c>
      <c r="H692">
        <v>-0.69</v>
      </c>
      <c r="I692" t="s">
        <v>39</v>
      </c>
      <c r="J692">
        <v>1.6476645027578436</v>
      </c>
      <c r="K692">
        <v>-1.136888506902912</v>
      </c>
      <c r="M692" t="s">
        <v>255</v>
      </c>
      <c r="N692" t="s">
        <v>2221</v>
      </c>
      <c r="O692">
        <v>1.6476645027578436</v>
      </c>
      <c r="P692">
        <v>1865.1067871867958</v>
      </c>
      <c r="Q692" t="s">
        <v>249</v>
      </c>
    </row>
    <row r="693" spans="1:17" x14ac:dyDescent="0.25">
      <c r="A693" t="s">
        <v>59</v>
      </c>
      <c r="B693" t="s">
        <v>93</v>
      </c>
      <c r="C693">
        <v>160</v>
      </c>
      <c r="D693" t="s">
        <v>264</v>
      </c>
      <c r="E693" s="1">
        <v>43089</v>
      </c>
      <c r="F693" t="s">
        <v>21</v>
      </c>
      <c r="G693" t="s">
        <v>2214</v>
      </c>
      <c r="H693">
        <v>-0.56000000000000005</v>
      </c>
      <c r="I693" t="s">
        <v>39</v>
      </c>
      <c r="J693">
        <v>0</v>
      </c>
      <c r="M693" t="s">
        <v>170</v>
      </c>
      <c r="N693" t="s">
        <v>2222</v>
      </c>
    </row>
    <row r="694" spans="1:17" x14ac:dyDescent="0.25">
      <c r="A694" t="s">
        <v>59</v>
      </c>
      <c r="B694" t="s">
        <v>93</v>
      </c>
      <c r="C694">
        <v>160</v>
      </c>
      <c r="D694" t="s">
        <v>264</v>
      </c>
      <c r="E694" s="1">
        <v>43089</v>
      </c>
      <c r="F694" t="s">
        <v>21</v>
      </c>
      <c r="G694" t="s">
        <v>2214</v>
      </c>
      <c r="H694">
        <v>-0.56000000000000005</v>
      </c>
      <c r="I694" t="s">
        <v>39</v>
      </c>
      <c r="J694">
        <v>1.6476645027578436</v>
      </c>
      <c r="K694">
        <v>-0.92269212154439251</v>
      </c>
      <c r="M694" t="s">
        <v>255</v>
      </c>
      <c r="N694" t="s">
        <v>2222</v>
      </c>
      <c r="O694">
        <v>1.6476645027578436</v>
      </c>
      <c r="P694">
        <v>1864.1840950652515</v>
      </c>
      <c r="Q694" t="s">
        <v>249</v>
      </c>
    </row>
    <row r="695" spans="1:17" x14ac:dyDescent="0.25">
      <c r="A695" t="s">
        <v>59</v>
      </c>
      <c r="B695" t="s">
        <v>93</v>
      </c>
      <c r="C695">
        <v>160</v>
      </c>
      <c r="D695" t="s">
        <v>264</v>
      </c>
      <c r="E695" s="1">
        <v>43089</v>
      </c>
      <c r="F695" t="s">
        <v>21</v>
      </c>
      <c r="G695" t="s">
        <v>2214</v>
      </c>
      <c r="H695">
        <v>-1.1800000000000002</v>
      </c>
      <c r="I695" t="s">
        <v>39</v>
      </c>
      <c r="J695">
        <v>0</v>
      </c>
      <c r="M695" t="s">
        <v>170</v>
      </c>
      <c r="N695" t="s">
        <v>2223</v>
      </c>
    </row>
    <row r="696" spans="1:17" x14ac:dyDescent="0.25">
      <c r="A696" t="s">
        <v>59</v>
      </c>
      <c r="B696" t="s">
        <v>93</v>
      </c>
      <c r="C696">
        <v>160</v>
      </c>
      <c r="D696" t="s">
        <v>264</v>
      </c>
      <c r="E696" s="1">
        <v>43089</v>
      </c>
      <c r="F696" t="s">
        <v>21</v>
      </c>
      <c r="G696" t="s">
        <v>2214</v>
      </c>
      <c r="H696">
        <v>-1.1800000000000002</v>
      </c>
      <c r="I696" t="s">
        <v>39</v>
      </c>
      <c r="J696">
        <v>1.6476645027578436</v>
      </c>
      <c r="K696">
        <v>-1.9442441132542556</v>
      </c>
      <c r="M696" t="s">
        <v>255</v>
      </c>
      <c r="N696" t="s">
        <v>2223</v>
      </c>
      <c r="O696">
        <v>1.6476645027578438</v>
      </c>
      <c r="P696">
        <v>1862.2398509519974</v>
      </c>
      <c r="Q696" t="s">
        <v>249</v>
      </c>
    </row>
    <row r="697" spans="1:17" x14ac:dyDescent="0.25">
      <c r="A697" t="s">
        <v>59</v>
      </c>
      <c r="B697" t="s">
        <v>93</v>
      </c>
      <c r="C697">
        <v>160</v>
      </c>
      <c r="D697" t="s">
        <v>264</v>
      </c>
      <c r="E697" s="1">
        <v>43089</v>
      </c>
      <c r="F697" t="s">
        <v>21</v>
      </c>
      <c r="G697" t="s">
        <v>2214</v>
      </c>
      <c r="H697">
        <v>-0.87</v>
      </c>
      <c r="I697" t="s">
        <v>39</v>
      </c>
      <c r="J697">
        <v>0</v>
      </c>
      <c r="M697" t="s">
        <v>170</v>
      </c>
      <c r="N697" t="s">
        <v>2224</v>
      </c>
    </row>
    <row r="698" spans="1:17" x14ac:dyDescent="0.25">
      <c r="A698" t="s">
        <v>59</v>
      </c>
      <c r="B698" t="s">
        <v>93</v>
      </c>
      <c r="C698">
        <v>160</v>
      </c>
      <c r="D698" t="s">
        <v>264</v>
      </c>
      <c r="E698" s="1">
        <v>43089</v>
      </c>
      <c r="F698" t="s">
        <v>21</v>
      </c>
      <c r="G698" t="s">
        <v>2214</v>
      </c>
      <c r="H698">
        <v>-0.87</v>
      </c>
      <c r="I698" t="s">
        <v>39</v>
      </c>
      <c r="J698">
        <v>1.6476645027578438</v>
      </c>
      <c r="K698">
        <v>-1.433468117399324</v>
      </c>
      <c r="M698" t="s">
        <v>255</v>
      </c>
      <c r="N698" t="s">
        <v>2224</v>
      </c>
      <c r="O698">
        <v>1.6476645027578436</v>
      </c>
      <c r="P698">
        <v>1860.806382834598</v>
      </c>
      <c r="Q698" t="s">
        <v>249</v>
      </c>
    </row>
    <row r="699" spans="1:17" x14ac:dyDescent="0.25">
      <c r="A699" t="s">
        <v>59</v>
      </c>
      <c r="B699" t="s">
        <v>93</v>
      </c>
      <c r="C699">
        <v>160</v>
      </c>
      <c r="D699" t="s">
        <v>264</v>
      </c>
      <c r="E699" s="1">
        <v>43089</v>
      </c>
      <c r="F699" t="s">
        <v>21</v>
      </c>
      <c r="G699" t="s">
        <v>2214</v>
      </c>
      <c r="H699">
        <v>1.1099999999999999</v>
      </c>
      <c r="I699" t="s">
        <v>39</v>
      </c>
      <c r="J699">
        <v>0</v>
      </c>
      <c r="M699" t="s">
        <v>170</v>
      </c>
      <c r="N699" t="s">
        <v>2225</v>
      </c>
    </row>
    <row r="700" spans="1:17" x14ac:dyDescent="0.25">
      <c r="A700" t="s">
        <v>59</v>
      </c>
      <c r="B700" t="s">
        <v>93</v>
      </c>
      <c r="C700">
        <v>160</v>
      </c>
      <c r="D700" t="s">
        <v>264</v>
      </c>
      <c r="E700" s="1">
        <v>43089</v>
      </c>
      <c r="F700" t="s">
        <v>21</v>
      </c>
      <c r="G700" t="s">
        <v>2214</v>
      </c>
      <c r="H700">
        <v>1.1099999999999999</v>
      </c>
      <c r="I700" t="s">
        <v>39</v>
      </c>
      <c r="J700">
        <v>0</v>
      </c>
      <c r="M700" t="s">
        <v>255</v>
      </c>
      <c r="N700" t="s">
        <v>2225</v>
      </c>
      <c r="O700">
        <v>1.6460466733611669</v>
      </c>
      <c r="P700">
        <v>1860.806382834598</v>
      </c>
      <c r="Q700" t="s">
        <v>249</v>
      </c>
    </row>
    <row r="701" spans="1:17" x14ac:dyDescent="0.25">
      <c r="A701" t="s">
        <v>59</v>
      </c>
      <c r="B701" t="s">
        <v>93</v>
      </c>
      <c r="C701">
        <v>160</v>
      </c>
      <c r="D701" t="s">
        <v>264</v>
      </c>
      <c r="E701" s="1">
        <v>43089</v>
      </c>
      <c r="F701" t="s">
        <v>21</v>
      </c>
      <c r="G701" t="s">
        <v>2214</v>
      </c>
      <c r="H701">
        <v>-5.67</v>
      </c>
      <c r="I701" t="s">
        <v>39</v>
      </c>
      <c r="J701">
        <v>0</v>
      </c>
      <c r="M701" t="s">
        <v>170</v>
      </c>
      <c r="N701" t="s">
        <v>2226</v>
      </c>
    </row>
    <row r="702" spans="1:17" x14ac:dyDescent="0.25">
      <c r="A702" t="s">
        <v>59</v>
      </c>
      <c r="B702" t="s">
        <v>93</v>
      </c>
      <c r="C702">
        <v>160</v>
      </c>
      <c r="D702" t="s">
        <v>264</v>
      </c>
      <c r="E702" s="1">
        <v>43089</v>
      </c>
      <c r="F702" t="s">
        <v>21</v>
      </c>
      <c r="G702" t="s">
        <v>2214</v>
      </c>
      <c r="H702">
        <v>-5.67</v>
      </c>
      <c r="I702" t="s">
        <v>39</v>
      </c>
      <c r="J702">
        <v>1.6460466733611669</v>
      </c>
      <c r="K702">
        <v>-9.3330846379578158</v>
      </c>
      <c r="M702" t="s">
        <v>255</v>
      </c>
      <c r="N702" t="s">
        <v>2226</v>
      </c>
      <c r="O702">
        <v>1.6460466733611669</v>
      </c>
      <c r="P702">
        <v>1851.4732981966401</v>
      </c>
      <c r="Q702" t="s">
        <v>249</v>
      </c>
    </row>
    <row r="703" spans="1:17" x14ac:dyDescent="0.25">
      <c r="A703" t="s">
        <v>59</v>
      </c>
      <c r="B703" t="s">
        <v>93</v>
      </c>
      <c r="C703">
        <v>160</v>
      </c>
      <c r="D703" t="s">
        <v>264</v>
      </c>
      <c r="E703" s="1">
        <v>43089</v>
      </c>
      <c r="F703" t="s">
        <v>21</v>
      </c>
      <c r="G703" t="s">
        <v>2214</v>
      </c>
      <c r="H703">
        <v>-5.32</v>
      </c>
      <c r="I703" t="s">
        <v>39</v>
      </c>
      <c r="J703">
        <v>0</v>
      </c>
      <c r="M703" t="s">
        <v>170</v>
      </c>
      <c r="N703" t="s">
        <v>2227</v>
      </c>
    </row>
    <row r="704" spans="1:17" x14ac:dyDescent="0.25">
      <c r="A704" t="s">
        <v>59</v>
      </c>
      <c r="B704" t="s">
        <v>93</v>
      </c>
      <c r="C704">
        <v>160</v>
      </c>
      <c r="D704" t="s">
        <v>264</v>
      </c>
      <c r="E704" s="1">
        <v>43089</v>
      </c>
      <c r="F704" t="s">
        <v>21</v>
      </c>
      <c r="G704" t="s">
        <v>2214</v>
      </c>
      <c r="H704">
        <v>-5.32</v>
      </c>
      <c r="I704" t="s">
        <v>39</v>
      </c>
      <c r="J704">
        <v>1.6460466733611669</v>
      </c>
      <c r="K704">
        <v>-8.7569683022814093</v>
      </c>
      <c r="M704" t="s">
        <v>255</v>
      </c>
      <c r="N704" t="s">
        <v>2227</v>
      </c>
      <c r="O704">
        <v>1.6460466733611669</v>
      </c>
      <c r="P704">
        <v>1842.7163298943588</v>
      </c>
      <c r="Q704" t="s">
        <v>249</v>
      </c>
    </row>
    <row r="705" spans="1:17" x14ac:dyDescent="0.25">
      <c r="A705" t="s">
        <v>59</v>
      </c>
      <c r="B705" t="s">
        <v>93</v>
      </c>
      <c r="C705">
        <v>160</v>
      </c>
      <c r="D705" t="s">
        <v>264</v>
      </c>
      <c r="E705" s="1">
        <v>43089</v>
      </c>
      <c r="F705" t="s">
        <v>21</v>
      </c>
      <c r="G705" t="s">
        <v>2214</v>
      </c>
      <c r="H705">
        <v>-2.7</v>
      </c>
      <c r="I705" t="s">
        <v>39</v>
      </c>
      <c r="J705">
        <v>0</v>
      </c>
      <c r="M705" t="s">
        <v>170</v>
      </c>
      <c r="N705" t="s">
        <v>2228</v>
      </c>
    </row>
    <row r="706" spans="1:17" x14ac:dyDescent="0.25">
      <c r="A706" t="s">
        <v>59</v>
      </c>
      <c r="B706" t="s">
        <v>93</v>
      </c>
      <c r="C706">
        <v>160</v>
      </c>
      <c r="D706" t="s">
        <v>264</v>
      </c>
      <c r="E706" s="1">
        <v>43089</v>
      </c>
      <c r="F706" t="s">
        <v>21</v>
      </c>
      <c r="G706" t="s">
        <v>2214</v>
      </c>
      <c r="H706">
        <v>-2.7</v>
      </c>
      <c r="I706" t="s">
        <v>39</v>
      </c>
      <c r="J706">
        <v>1.6460466733611669</v>
      </c>
      <c r="K706">
        <v>-4.4443260180751514</v>
      </c>
      <c r="M706" t="s">
        <v>255</v>
      </c>
      <c r="N706" t="s">
        <v>2228</v>
      </c>
      <c r="O706">
        <v>1.6460466733611669</v>
      </c>
      <c r="P706">
        <v>1838.2720038762836</v>
      </c>
      <c r="Q706" t="s">
        <v>249</v>
      </c>
    </row>
    <row r="707" spans="1:17" x14ac:dyDescent="0.25">
      <c r="A707" t="s">
        <v>59</v>
      </c>
      <c r="B707" t="s">
        <v>93</v>
      </c>
      <c r="C707">
        <v>160</v>
      </c>
      <c r="D707" t="s">
        <v>264</v>
      </c>
      <c r="E707" s="1">
        <v>43089</v>
      </c>
      <c r="F707" t="s">
        <v>21</v>
      </c>
      <c r="G707" t="s">
        <v>2214</v>
      </c>
      <c r="H707">
        <v>1.77</v>
      </c>
      <c r="I707" t="s">
        <v>39</v>
      </c>
      <c r="J707">
        <v>0</v>
      </c>
      <c r="M707" t="s">
        <v>170</v>
      </c>
      <c r="N707" t="s">
        <v>2229</v>
      </c>
    </row>
    <row r="708" spans="1:17" x14ac:dyDescent="0.25">
      <c r="A708" t="s">
        <v>59</v>
      </c>
      <c r="B708" t="s">
        <v>93</v>
      </c>
      <c r="C708">
        <v>160</v>
      </c>
      <c r="D708" t="s">
        <v>264</v>
      </c>
      <c r="E708" s="1">
        <v>43089</v>
      </c>
      <c r="F708" t="s">
        <v>21</v>
      </c>
      <c r="G708" t="s">
        <v>2214</v>
      </c>
      <c r="H708">
        <v>1.77</v>
      </c>
      <c r="I708" t="s">
        <v>39</v>
      </c>
      <c r="J708">
        <v>0</v>
      </c>
      <c r="M708" t="s">
        <v>255</v>
      </c>
      <c r="N708" t="s">
        <v>2229</v>
      </c>
      <c r="O708">
        <v>1.643441959569339</v>
      </c>
      <c r="P708">
        <v>1838.2720038762836</v>
      </c>
      <c r="Q708" t="s">
        <v>249</v>
      </c>
    </row>
    <row r="709" spans="1:17" x14ac:dyDescent="0.25">
      <c r="A709" t="s">
        <v>59</v>
      </c>
      <c r="B709" t="s">
        <v>93</v>
      </c>
      <c r="C709">
        <v>160</v>
      </c>
      <c r="D709" t="s">
        <v>264</v>
      </c>
      <c r="E709" s="1">
        <v>43089</v>
      </c>
      <c r="F709" t="s">
        <v>21</v>
      </c>
      <c r="G709" t="s">
        <v>2214</v>
      </c>
      <c r="H709">
        <v>1.3800000000000001</v>
      </c>
      <c r="I709" t="s">
        <v>39</v>
      </c>
      <c r="J709">
        <v>0</v>
      </c>
      <c r="M709" t="s">
        <v>170</v>
      </c>
      <c r="N709" t="s">
        <v>2230</v>
      </c>
    </row>
    <row r="710" spans="1:17" x14ac:dyDescent="0.25">
      <c r="A710" t="s">
        <v>59</v>
      </c>
      <c r="B710" t="s">
        <v>93</v>
      </c>
      <c r="C710">
        <v>160</v>
      </c>
      <c r="D710" t="s">
        <v>264</v>
      </c>
      <c r="E710" s="1">
        <v>43089</v>
      </c>
      <c r="F710" t="s">
        <v>21</v>
      </c>
      <c r="G710" t="s">
        <v>2214</v>
      </c>
      <c r="H710">
        <v>1.3800000000000001</v>
      </c>
      <c r="I710" t="s">
        <v>39</v>
      </c>
      <c r="J710">
        <v>0</v>
      </c>
      <c r="M710" t="s">
        <v>255</v>
      </c>
      <c r="N710" t="s">
        <v>2230</v>
      </c>
      <c r="O710">
        <v>1.6414168777301117</v>
      </c>
      <c r="P710">
        <v>1838.2720038762836</v>
      </c>
      <c r="Q710" t="s">
        <v>249</v>
      </c>
    </row>
    <row r="711" spans="1:17" x14ac:dyDescent="0.25">
      <c r="A711" t="s">
        <v>59</v>
      </c>
      <c r="B711" t="s">
        <v>93</v>
      </c>
      <c r="C711">
        <v>160</v>
      </c>
      <c r="D711" t="s">
        <v>264</v>
      </c>
      <c r="E711" s="1">
        <v>43089</v>
      </c>
      <c r="F711" t="s">
        <v>21</v>
      </c>
      <c r="G711" t="s">
        <v>2214</v>
      </c>
      <c r="H711">
        <v>-4.2</v>
      </c>
      <c r="I711" t="s">
        <v>39</v>
      </c>
      <c r="J711">
        <v>0</v>
      </c>
      <c r="M711" t="s">
        <v>170</v>
      </c>
      <c r="N711" t="s">
        <v>2231</v>
      </c>
    </row>
    <row r="712" spans="1:17" x14ac:dyDescent="0.25">
      <c r="A712" t="s">
        <v>59</v>
      </c>
      <c r="B712" t="s">
        <v>93</v>
      </c>
      <c r="C712">
        <v>160</v>
      </c>
      <c r="D712" t="s">
        <v>264</v>
      </c>
      <c r="E712" s="1">
        <v>43089</v>
      </c>
      <c r="F712" t="s">
        <v>21</v>
      </c>
      <c r="G712" t="s">
        <v>2214</v>
      </c>
      <c r="H712">
        <v>-4.2</v>
      </c>
      <c r="I712" t="s">
        <v>39</v>
      </c>
      <c r="J712">
        <v>1.6414168777301117</v>
      </c>
      <c r="K712">
        <v>-6.8939508864664694</v>
      </c>
      <c r="M712" t="s">
        <v>255</v>
      </c>
      <c r="N712" t="s">
        <v>2231</v>
      </c>
      <c r="O712">
        <v>1.6414168777301117</v>
      </c>
      <c r="P712">
        <v>1831.3780529898172</v>
      </c>
      <c r="Q712" t="s">
        <v>249</v>
      </c>
    </row>
    <row r="713" spans="1:17" x14ac:dyDescent="0.25">
      <c r="A713" t="s">
        <v>59</v>
      </c>
      <c r="B713" t="s">
        <v>93</v>
      </c>
      <c r="C713">
        <v>160</v>
      </c>
      <c r="D713" t="s">
        <v>264</v>
      </c>
      <c r="E713" s="1">
        <v>43089</v>
      </c>
      <c r="F713" t="s">
        <v>21</v>
      </c>
      <c r="G713" t="s">
        <v>2214</v>
      </c>
      <c r="H713">
        <v>10.65</v>
      </c>
      <c r="I713" t="s">
        <v>39</v>
      </c>
      <c r="J713">
        <v>0</v>
      </c>
      <c r="M713" t="s">
        <v>170</v>
      </c>
      <c r="N713" t="s">
        <v>2232</v>
      </c>
    </row>
    <row r="714" spans="1:17" x14ac:dyDescent="0.25">
      <c r="A714" t="s">
        <v>59</v>
      </c>
      <c r="B714" t="s">
        <v>93</v>
      </c>
      <c r="C714">
        <v>160</v>
      </c>
      <c r="D714" t="s">
        <v>264</v>
      </c>
      <c r="E714" s="1">
        <v>43089</v>
      </c>
      <c r="F714" t="s">
        <v>21</v>
      </c>
      <c r="G714" t="s">
        <v>2214</v>
      </c>
      <c r="H714">
        <v>10.65</v>
      </c>
      <c r="I714" t="s">
        <v>39</v>
      </c>
      <c r="J714">
        <v>0</v>
      </c>
      <c r="M714" t="s">
        <v>255</v>
      </c>
      <c r="N714" t="s">
        <v>2232</v>
      </c>
      <c r="O714">
        <v>1.6258971687972241</v>
      </c>
      <c r="P714">
        <v>1831.3780529898172</v>
      </c>
      <c r="Q714" t="s">
        <v>249</v>
      </c>
    </row>
    <row r="715" spans="1:17" x14ac:dyDescent="0.25">
      <c r="A715" t="s">
        <v>59</v>
      </c>
      <c r="B715" t="s">
        <v>93</v>
      </c>
      <c r="C715">
        <v>160</v>
      </c>
      <c r="D715" t="s">
        <v>264</v>
      </c>
      <c r="E715" s="1">
        <v>43089</v>
      </c>
      <c r="F715" t="s">
        <v>21</v>
      </c>
      <c r="G715" t="s">
        <v>2214</v>
      </c>
      <c r="H715">
        <v>1.85</v>
      </c>
      <c r="I715" t="s">
        <v>39</v>
      </c>
      <c r="J715">
        <v>0</v>
      </c>
      <c r="M715" t="s">
        <v>170</v>
      </c>
      <c r="N715" t="s">
        <v>2233</v>
      </c>
    </row>
    <row r="716" spans="1:17" x14ac:dyDescent="0.25">
      <c r="A716" t="s">
        <v>59</v>
      </c>
      <c r="B716" t="s">
        <v>93</v>
      </c>
      <c r="C716">
        <v>160</v>
      </c>
      <c r="D716" t="s">
        <v>264</v>
      </c>
      <c r="E716" s="1">
        <v>43089</v>
      </c>
      <c r="F716" t="s">
        <v>21</v>
      </c>
      <c r="G716" t="s">
        <v>2214</v>
      </c>
      <c r="H716">
        <v>1.85</v>
      </c>
      <c r="I716" t="s">
        <v>39</v>
      </c>
      <c r="J716">
        <v>0</v>
      </c>
      <c r="M716" t="s">
        <v>255</v>
      </c>
      <c r="N716" t="s">
        <v>2233</v>
      </c>
      <c r="O716">
        <v>1.6232311257366119</v>
      </c>
      <c r="P716">
        <v>1831.3780529898172</v>
      </c>
      <c r="Q716" t="s">
        <v>249</v>
      </c>
    </row>
    <row r="717" spans="1:17" x14ac:dyDescent="0.25">
      <c r="A717" t="s">
        <v>59</v>
      </c>
      <c r="B717" t="s">
        <v>93</v>
      </c>
      <c r="C717">
        <v>160</v>
      </c>
      <c r="D717" t="s">
        <v>264</v>
      </c>
      <c r="E717" s="1">
        <v>43089</v>
      </c>
      <c r="F717" t="s">
        <v>21</v>
      </c>
      <c r="G717" t="s">
        <v>2214</v>
      </c>
      <c r="H717">
        <v>0.91</v>
      </c>
      <c r="I717" t="s">
        <v>39</v>
      </c>
      <c r="J717">
        <v>0</v>
      </c>
      <c r="M717" t="s">
        <v>170</v>
      </c>
      <c r="N717" t="s">
        <v>2234</v>
      </c>
    </row>
    <row r="718" spans="1:17" x14ac:dyDescent="0.25">
      <c r="A718" t="s">
        <v>59</v>
      </c>
      <c r="B718" t="s">
        <v>93</v>
      </c>
      <c r="C718">
        <v>160</v>
      </c>
      <c r="D718" t="s">
        <v>264</v>
      </c>
      <c r="E718" s="1">
        <v>43089</v>
      </c>
      <c r="F718" t="s">
        <v>21</v>
      </c>
      <c r="G718" t="s">
        <v>2214</v>
      </c>
      <c r="H718">
        <v>0.91</v>
      </c>
      <c r="I718" t="s">
        <v>39</v>
      </c>
      <c r="J718">
        <v>0</v>
      </c>
      <c r="M718" t="s">
        <v>255</v>
      </c>
      <c r="N718" t="s">
        <v>2234</v>
      </c>
      <c r="O718">
        <v>1.6219229262888724</v>
      </c>
      <c r="P718">
        <v>1831.3780529898172</v>
      </c>
      <c r="Q718" t="s">
        <v>249</v>
      </c>
    </row>
    <row r="719" spans="1:17" x14ac:dyDescent="0.25">
      <c r="A719" t="s">
        <v>59</v>
      </c>
      <c r="B719" t="s">
        <v>93</v>
      </c>
      <c r="C719">
        <v>160</v>
      </c>
      <c r="D719" t="s">
        <v>264</v>
      </c>
      <c r="E719" s="1">
        <v>43089</v>
      </c>
      <c r="F719" t="s">
        <v>21</v>
      </c>
      <c r="G719" t="s">
        <v>2214</v>
      </c>
      <c r="H719">
        <v>-10</v>
      </c>
      <c r="I719" t="s">
        <v>39</v>
      </c>
      <c r="J719">
        <v>0</v>
      </c>
      <c r="M719" t="s">
        <v>170</v>
      </c>
      <c r="N719" t="s">
        <v>2235</v>
      </c>
    </row>
    <row r="720" spans="1:17" x14ac:dyDescent="0.25">
      <c r="A720" t="s">
        <v>59</v>
      </c>
      <c r="B720" t="s">
        <v>93</v>
      </c>
      <c r="C720">
        <v>160</v>
      </c>
      <c r="D720" t="s">
        <v>264</v>
      </c>
      <c r="E720" s="1">
        <v>43089</v>
      </c>
      <c r="F720" t="s">
        <v>21</v>
      </c>
      <c r="G720" t="s">
        <v>2214</v>
      </c>
      <c r="H720">
        <v>-10</v>
      </c>
      <c r="I720" t="s">
        <v>39</v>
      </c>
      <c r="J720">
        <v>1.6219229262888724</v>
      </c>
      <c r="K720">
        <v>-16.219229262888724</v>
      </c>
      <c r="M720" t="s">
        <v>255</v>
      </c>
      <c r="N720" t="s">
        <v>2235</v>
      </c>
      <c r="O720">
        <v>1.6219229262888724</v>
      </c>
      <c r="P720">
        <v>1815.1588237269284</v>
      </c>
      <c r="Q720" t="s">
        <v>249</v>
      </c>
    </row>
    <row r="721" spans="1:17" x14ac:dyDescent="0.25">
      <c r="A721" t="s">
        <v>59</v>
      </c>
      <c r="B721" t="s">
        <v>93</v>
      </c>
      <c r="C721">
        <v>160</v>
      </c>
      <c r="D721" t="s">
        <v>264</v>
      </c>
      <c r="E721" s="1">
        <v>43089</v>
      </c>
      <c r="F721" t="s">
        <v>21</v>
      </c>
      <c r="G721" t="s">
        <v>2214</v>
      </c>
      <c r="H721">
        <v>1.29</v>
      </c>
      <c r="I721" t="s">
        <v>39</v>
      </c>
      <c r="J721">
        <v>0</v>
      </c>
      <c r="M721" t="s">
        <v>170</v>
      </c>
      <c r="N721" t="s">
        <v>2236</v>
      </c>
    </row>
    <row r="722" spans="1:17" x14ac:dyDescent="0.25">
      <c r="A722" t="s">
        <v>59</v>
      </c>
      <c r="B722" t="s">
        <v>93</v>
      </c>
      <c r="C722">
        <v>160</v>
      </c>
      <c r="D722" t="s">
        <v>264</v>
      </c>
      <c r="E722" s="1">
        <v>43089</v>
      </c>
      <c r="F722" t="s">
        <v>21</v>
      </c>
      <c r="G722" t="s">
        <v>2214</v>
      </c>
      <c r="H722">
        <v>1.29</v>
      </c>
      <c r="I722" t="s">
        <v>39</v>
      </c>
      <c r="J722">
        <v>0</v>
      </c>
      <c r="M722" t="s">
        <v>255</v>
      </c>
      <c r="N722" t="s">
        <v>2236</v>
      </c>
      <c r="O722">
        <v>1.6200555355773485</v>
      </c>
      <c r="P722">
        <v>1815.1588237269284</v>
      </c>
      <c r="Q722" t="s">
        <v>249</v>
      </c>
    </row>
    <row r="723" spans="1:17" x14ac:dyDescent="0.25">
      <c r="A723" t="s">
        <v>59</v>
      </c>
      <c r="B723" t="s">
        <v>93</v>
      </c>
      <c r="C723">
        <v>160</v>
      </c>
      <c r="D723" t="s">
        <v>264</v>
      </c>
      <c r="E723" s="1">
        <v>43089</v>
      </c>
      <c r="F723" t="s">
        <v>21</v>
      </c>
      <c r="G723" t="s">
        <v>2214</v>
      </c>
      <c r="H723">
        <v>-0.02</v>
      </c>
      <c r="I723" t="s">
        <v>39</v>
      </c>
      <c r="J723">
        <v>0</v>
      </c>
      <c r="M723" t="s">
        <v>170</v>
      </c>
      <c r="N723" t="s">
        <v>2237</v>
      </c>
    </row>
    <row r="724" spans="1:17" x14ac:dyDescent="0.25">
      <c r="A724" t="s">
        <v>59</v>
      </c>
      <c r="B724" t="s">
        <v>93</v>
      </c>
      <c r="C724">
        <v>160</v>
      </c>
      <c r="D724" t="s">
        <v>264</v>
      </c>
      <c r="E724" s="1">
        <v>43089</v>
      </c>
      <c r="F724" t="s">
        <v>21</v>
      </c>
      <c r="G724" t="s">
        <v>2214</v>
      </c>
      <c r="H724">
        <v>-0.02</v>
      </c>
      <c r="I724" t="s">
        <v>39</v>
      </c>
      <c r="J724">
        <v>1.6200555355773485</v>
      </c>
      <c r="K724">
        <v>-3.2401110711546971E-2</v>
      </c>
      <c r="M724" t="s">
        <v>255</v>
      </c>
      <c r="N724" t="s">
        <v>2237</v>
      </c>
      <c r="O724">
        <v>1.6200555355773485</v>
      </c>
      <c r="P724">
        <v>1815.1264226162168</v>
      </c>
      <c r="Q724" t="s">
        <v>249</v>
      </c>
    </row>
    <row r="725" spans="1:17" x14ac:dyDescent="0.25">
      <c r="A725" t="s">
        <v>59</v>
      </c>
      <c r="B725" t="s">
        <v>93</v>
      </c>
      <c r="C725">
        <v>160</v>
      </c>
      <c r="D725" t="s">
        <v>264</v>
      </c>
      <c r="E725" s="1">
        <v>43089</v>
      </c>
      <c r="F725" t="s">
        <v>21</v>
      </c>
      <c r="G725" t="s">
        <v>2214</v>
      </c>
      <c r="H725">
        <v>-2.6399999999999997</v>
      </c>
      <c r="I725" t="s">
        <v>39</v>
      </c>
      <c r="J725">
        <v>0</v>
      </c>
      <c r="M725" t="s">
        <v>170</v>
      </c>
      <c r="N725" t="s">
        <v>2238</v>
      </c>
    </row>
    <row r="726" spans="1:17" x14ac:dyDescent="0.25">
      <c r="A726" t="s">
        <v>59</v>
      </c>
      <c r="B726" t="s">
        <v>93</v>
      </c>
      <c r="C726">
        <v>160</v>
      </c>
      <c r="D726" t="s">
        <v>264</v>
      </c>
      <c r="E726" s="1">
        <v>43089</v>
      </c>
      <c r="F726" t="s">
        <v>21</v>
      </c>
      <c r="G726" t="s">
        <v>2214</v>
      </c>
      <c r="H726">
        <v>-2.6399999999999997</v>
      </c>
      <c r="I726" t="s">
        <v>39</v>
      </c>
      <c r="J726">
        <v>1.6200555355773485</v>
      </c>
      <c r="K726">
        <v>-4.2769466139241992</v>
      </c>
      <c r="M726" t="s">
        <v>255</v>
      </c>
      <c r="N726" t="s">
        <v>2238</v>
      </c>
      <c r="O726">
        <v>1.6200555355773487</v>
      </c>
      <c r="P726">
        <v>1810.8494760022927</v>
      </c>
      <c r="Q726" t="s">
        <v>249</v>
      </c>
    </row>
    <row r="727" spans="1:17" x14ac:dyDescent="0.25">
      <c r="A727" t="s">
        <v>59</v>
      </c>
      <c r="B727" t="s">
        <v>93</v>
      </c>
      <c r="C727">
        <v>160</v>
      </c>
      <c r="D727" t="s">
        <v>264</v>
      </c>
      <c r="E727" s="1">
        <v>43096</v>
      </c>
      <c r="F727" t="s">
        <v>607</v>
      </c>
      <c r="H727">
        <v>-33.840000000000003</v>
      </c>
      <c r="I727" t="s">
        <v>39</v>
      </c>
      <c r="J727">
        <v>1.6540599999999999</v>
      </c>
      <c r="K727">
        <v>-55.97</v>
      </c>
      <c r="L727" t="s">
        <v>609</v>
      </c>
      <c r="M727" t="s">
        <v>171</v>
      </c>
      <c r="N727" t="s">
        <v>838</v>
      </c>
      <c r="O727">
        <v>1.6189970533173663</v>
      </c>
      <c r="P727">
        <v>1754.8794760022927</v>
      </c>
    </row>
    <row r="728" spans="1:17" x14ac:dyDescent="0.25">
      <c r="A728" t="s">
        <v>59</v>
      </c>
      <c r="B728" t="s">
        <v>93</v>
      </c>
      <c r="C728">
        <v>160</v>
      </c>
      <c r="D728" t="s">
        <v>264</v>
      </c>
      <c r="E728" s="1">
        <v>43096</v>
      </c>
      <c r="F728" t="s">
        <v>607</v>
      </c>
      <c r="H728">
        <v>33.840000000000003</v>
      </c>
      <c r="I728" t="s">
        <v>39</v>
      </c>
      <c r="J728">
        <v>1.6540599999999999</v>
      </c>
      <c r="K728">
        <v>-55.97</v>
      </c>
      <c r="L728" t="s">
        <v>609</v>
      </c>
      <c r="M728" t="s">
        <v>255</v>
      </c>
      <c r="N728" t="s">
        <v>838</v>
      </c>
      <c r="O728">
        <v>1.5199097095129526</v>
      </c>
      <c r="P728">
        <v>1698.9094760022926</v>
      </c>
      <c r="Q728" t="s">
        <v>249</v>
      </c>
    </row>
    <row r="729" spans="1:17" x14ac:dyDescent="0.25">
      <c r="A729" t="s">
        <v>123</v>
      </c>
      <c r="B729" t="s">
        <v>124</v>
      </c>
      <c r="C729">
        <v>160</v>
      </c>
      <c r="D729" t="s">
        <v>264</v>
      </c>
      <c r="E729" s="1">
        <v>43070</v>
      </c>
      <c r="F729" t="s">
        <v>252</v>
      </c>
      <c r="G729" t="s">
        <v>839</v>
      </c>
      <c r="H729">
        <v>-15</v>
      </c>
      <c r="I729" t="s">
        <v>39</v>
      </c>
      <c r="J729">
        <v>0</v>
      </c>
      <c r="M729" t="s">
        <v>170</v>
      </c>
      <c r="N729" t="s">
        <v>841</v>
      </c>
      <c r="Q729" t="s">
        <v>254</v>
      </c>
    </row>
    <row r="730" spans="1:17" x14ac:dyDescent="0.25">
      <c r="A730" t="s">
        <v>123</v>
      </c>
      <c r="B730" t="s">
        <v>124</v>
      </c>
      <c r="C730">
        <v>160</v>
      </c>
      <c r="D730" t="s">
        <v>264</v>
      </c>
      <c r="E730" s="1">
        <v>43070</v>
      </c>
      <c r="F730" t="s">
        <v>252</v>
      </c>
      <c r="G730" t="s">
        <v>839</v>
      </c>
      <c r="H730">
        <v>-15</v>
      </c>
      <c r="I730" t="s">
        <v>39</v>
      </c>
      <c r="J730">
        <v>1.4298654767209997</v>
      </c>
      <c r="K730">
        <v>-21.45</v>
      </c>
      <c r="L730" t="s">
        <v>609</v>
      </c>
      <c r="M730" t="s">
        <v>171</v>
      </c>
      <c r="N730" t="s">
        <v>841</v>
      </c>
      <c r="O730">
        <v>1.4298633617081631</v>
      </c>
      <c r="P730">
        <v>1364.17543887129</v>
      </c>
      <c r="Q730" t="s">
        <v>254</v>
      </c>
    </row>
    <row r="731" spans="1:17" x14ac:dyDescent="0.25">
      <c r="A731" t="s">
        <v>123</v>
      </c>
      <c r="B731" t="s">
        <v>124</v>
      </c>
      <c r="C731">
        <v>160</v>
      </c>
      <c r="D731" t="s">
        <v>264</v>
      </c>
      <c r="E731" s="1">
        <v>43075</v>
      </c>
      <c r="F731" t="s">
        <v>17</v>
      </c>
      <c r="G731" t="s">
        <v>842</v>
      </c>
      <c r="H731">
        <v>500</v>
      </c>
      <c r="I731" t="s">
        <v>39</v>
      </c>
      <c r="J731">
        <v>1.3262400000000001</v>
      </c>
      <c r="K731">
        <v>663.12</v>
      </c>
      <c r="L731" t="s">
        <v>246</v>
      </c>
      <c r="M731" t="s">
        <v>170</v>
      </c>
      <c r="N731" t="s">
        <v>844</v>
      </c>
      <c r="Q731" t="s">
        <v>254</v>
      </c>
    </row>
    <row r="732" spans="1:17" x14ac:dyDescent="0.25">
      <c r="A732" t="s">
        <v>123</v>
      </c>
      <c r="B732" t="s">
        <v>124</v>
      </c>
      <c r="C732">
        <v>160</v>
      </c>
      <c r="D732" t="s">
        <v>264</v>
      </c>
      <c r="E732" s="1">
        <v>43075</v>
      </c>
      <c r="F732" t="s">
        <v>17</v>
      </c>
      <c r="G732" t="s">
        <v>842</v>
      </c>
      <c r="H732">
        <v>100</v>
      </c>
      <c r="I732" t="s">
        <v>39</v>
      </c>
      <c r="J732">
        <v>1.5492000000000001</v>
      </c>
      <c r="K732">
        <v>132.62</v>
      </c>
      <c r="L732" t="s">
        <v>246</v>
      </c>
      <c r="M732" t="s">
        <v>171</v>
      </c>
      <c r="N732" t="s">
        <v>844</v>
      </c>
      <c r="O732">
        <v>1.4200286879981123</v>
      </c>
      <c r="P732">
        <v>1496.7954388712901</v>
      </c>
      <c r="Q732" t="s">
        <v>254</v>
      </c>
    </row>
    <row r="733" spans="1:17" x14ac:dyDescent="0.25">
      <c r="A733" t="s">
        <v>123</v>
      </c>
      <c r="B733" t="s">
        <v>124</v>
      </c>
      <c r="C733">
        <v>160</v>
      </c>
      <c r="D733" t="s">
        <v>264</v>
      </c>
      <c r="E733" s="1">
        <v>43075</v>
      </c>
      <c r="F733" t="s">
        <v>17</v>
      </c>
      <c r="G733" t="s">
        <v>842</v>
      </c>
      <c r="H733">
        <v>100</v>
      </c>
      <c r="I733" t="s">
        <v>39</v>
      </c>
      <c r="J733">
        <v>1.5492000000000001</v>
      </c>
      <c r="K733">
        <v>132.62</v>
      </c>
      <c r="L733" t="s">
        <v>246</v>
      </c>
      <c r="M733" t="s">
        <v>171</v>
      </c>
      <c r="N733" t="s">
        <v>844</v>
      </c>
      <c r="O733">
        <v>1.4118983751895828</v>
      </c>
      <c r="P733">
        <v>1629.41543887129</v>
      </c>
      <c r="Q733" t="s">
        <v>254</v>
      </c>
    </row>
    <row r="734" spans="1:17" x14ac:dyDescent="0.25">
      <c r="A734" t="s">
        <v>123</v>
      </c>
      <c r="B734" t="s">
        <v>124</v>
      </c>
      <c r="C734">
        <v>160</v>
      </c>
      <c r="D734" t="s">
        <v>264</v>
      </c>
      <c r="E734" s="1">
        <v>43075</v>
      </c>
      <c r="F734" t="s">
        <v>17</v>
      </c>
      <c r="G734" t="s">
        <v>842</v>
      </c>
      <c r="H734">
        <v>100</v>
      </c>
      <c r="I734" t="s">
        <v>39</v>
      </c>
      <c r="J734">
        <v>1.5492000000000001</v>
      </c>
      <c r="K734">
        <v>132.62</v>
      </c>
      <c r="L734" t="s">
        <v>246</v>
      </c>
      <c r="M734" t="s">
        <v>171</v>
      </c>
      <c r="N734" t="s">
        <v>844</v>
      </c>
      <c r="O734">
        <v>1.4050647009483517</v>
      </c>
      <c r="P734">
        <v>1762.0354388712899</v>
      </c>
      <c r="Q734" t="s">
        <v>254</v>
      </c>
    </row>
    <row r="735" spans="1:17" x14ac:dyDescent="0.25">
      <c r="A735" t="s">
        <v>123</v>
      </c>
      <c r="B735" t="s">
        <v>124</v>
      </c>
      <c r="C735">
        <v>160</v>
      </c>
      <c r="D735" t="s">
        <v>264</v>
      </c>
      <c r="E735" s="1">
        <v>43075</v>
      </c>
      <c r="F735" t="s">
        <v>17</v>
      </c>
      <c r="G735" t="s">
        <v>842</v>
      </c>
      <c r="H735">
        <v>100</v>
      </c>
      <c r="I735" t="s">
        <v>39</v>
      </c>
      <c r="J735">
        <v>1.5492000000000001</v>
      </c>
      <c r="K735">
        <v>132.62</v>
      </c>
      <c r="L735" t="s">
        <v>246</v>
      </c>
      <c r="M735" t="s">
        <v>171</v>
      </c>
      <c r="N735" t="s">
        <v>844</v>
      </c>
      <c r="O735">
        <v>1.3992403873323855</v>
      </c>
      <c r="P735">
        <v>1894.6554388712898</v>
      </c>
      <c r="Q735" t="s">
        <v>254</v>
      </c>
    </row>
    <row r="736" spans="1:17" x14ac:dyDescent="0.25">
      <c r="A736" t="s">
        <v>123</v>
      </c>
      <c r="B736" t="s">
        <v>124</v>
      </c>
      <c r="C736">
        <v>160</v>
      </c>
      <c r="D736" t="s">
        <v>264</v>
      </c>
      <c r="E736" s="1">
        <v>43075</v>
      </c>
      <c r="F736" t="s">
        <v>17</v>
      </c>
      <c r="G736" t="s">
        <v>842</v>
      </c>
      <c r="H736">
        <v>100</v>
      </c>
      <c r="I736" t="s">
        <v>39</v>
      </c>
      <c r="J736">
        <v>1.5493000000000001</v>
      </c>
      <c r="K736">
        <v>132.64000000000001</v>
      </c>
      <c r="L736" t="s">
        <v>246</v>
      </c>
      <c r="M736" t="s">
        <v>171</v>
      </c>
      <c r="N736" t="s">
        <v>844</v>
      </c>
      <c r="O736">
        <v>1.3942309387998364</v>
      </c>
      <c r="P736">
        <v>2027.2954388712899</v>
      </c>
      <c r="Q736" t="s">
        <v>254</v>
      </c>
    </row>
    <row r="737" spans="1:17" x14ac:dyDescent="0.25">
      <c r="A737" t="s">
        <v>123</v>
      </c>
      <c r="B737" t="s">
        <v>124</v>
      </c>
      <c r="C737">
        <v>160</v>
      </c>
      <c r="D737" t="s">
        <v>264</v>
      </c>
      <c r="E737" s="1">
        <v>43089</v>
      </c>
      <c r="F737" t="s">
        <v>21</v>
      </c>
      <c r="G737" t="s">
        <v>2195</v>
      </c>
      <c r="H737">
        <v>1.5</v>
      </c>
      <c r="I737" t="s">
        <v>39</v>
      </c>
      <c r="J737">
        <v>0</v>
      </c>
      <c r="M737" t="s">
        <v>170</v>
      </c>
      <c r="N737" t="s">
        <v>2196</v>
      </c>
    </row>
    <row r="738" spans="1:17" x14ac:dyDescent="0.25">
      <c r="A738" t="s">
        <v>123</v>
      </c>
      <c r="B738" t="s">
        <v>124</v>
      </c>
      <c r="C738">
        <v>160</v>
      </c>
      <c r="D738" t="s">
        <v>264</v>
      </c>
      <c r="E738" s="1">
        <v>43089</v>
      </c>
      <c r="F738" t="s">
        <v>21</v>
      </c>
      <c r="G738" t="s">
        <v>2195</v>
      </c>
      <c r="H738">
        <v>1.5</v>
      </c>
      <c r="I738" t="s">
        <v>39</v>
      </c>
      <c r="J738">
        <v>0</v>
      </c>
      <c r="M738" t="s">
        <v>255</v>
      </c>
      <c r="N738" t="s">
        <v>2196</v>
      </c>
      <c r="O738">
        <v>1.3927941403111448</v>
      </c>
      <c r="P738">
        <v>2027.2954388712899</v>
      </c>
      <c r="Q738" t="s">
        <v>249</v>
      </c>
    </row>
    <row r="739" spans="1:17" x14ac:dyDescent="0.25">
      <c r="A739" t="s">
        <v>123</v>
      </c>
      <c r="B739" t="s">
        <v>124</v>
      </c>
      <c r="C739">
        <v>160</v>
      </c>
      <c r="D739" t="s">
        <v>264</v>
      </c>
      <c r="E739" s="1">
        <v>43089</v>
      </c>
      <c r="F739" t="s">
        <v>21</v>
      </c>
      <c r="G739" t="s">
        <v>2195</v>
      </c>
      <c r="H739">
        <v>-2.63</v>
      </c>
      <c r="I739" t="s">
        <v>39</v>
      </c>
      <c r="J739">
        <v>0</v>
      </c>
      <c r="M739" t="s">
        <v>170</v>
      </c>
      <c r="N739" t="s">
        <v>2197</v>
      </c>
    </row>
    <row r="740" spans="1:17" x14ac:dyDescent="0.25">
      <c r="A740" t="s">
        <v>123</v>
      </c>
      <c r="B740" t="s">
        <v>124</v>
      </c>
      <c r="C740">
        <v>160</v>
      </c>
      <c r="D740" t="s">
        <v>264</v>
      </c>
      <c r="E740" s="1">
        <v>43089</v>
      </c>
      <c r="F740" t="s">
        <v>21</v>
      </c>
      <c r="G740" t="s">
        <v>2195</v>
      </c>
      <c r="H740">
        <v>-2.63</v>
      </c>
      <c r="I740" t="s">
        <v>39</v>
      </c>
      <c r="J740">
        <v>1.3927941403111448</v>
      </c>
      <c r="K740">
        <v>-3.6630485890183104</v>
      </c>
      <c r="M740" t="s">
        <v>255</v>
      </c>
      <c r="N740" t="s">
        <v>2197</v>
      </c>
      <c r="O740">
        <v>1.392794140311145</v>
      </c>
      <c r="P740">
        <v>2023.6323902822717</v>
      </c>
      <c r="Q740" t="s">
        <v>249</v>
      </c>
    </row>
    <row r="741" spans="1:17" x14ac:dyDescent="0.25">
      <c r="A741" t="s">
        <v>123</v>
      </c>
      <c r="B741" t="s">
        <v>124</v>
      </c>
      <c r="C741">
        <v>160</v>
      </c>
      <c r="D741" t="s">
        <v>264</v>
      </c>
      <c r="E741" s="1">
        <v>43089</v>
      </c>
      <c r="F741" t="s">
        <v>21</v>
      </c>
      <c r="G741" t="s">
        <v>2195</v>
      </c>
      <c r="H741">
        <v>-0.43</v>
      </c>
      <c r="I741" t="s">
        <v>39</v>
      </c>
      <c r="J741">
        <v>0</v>
      </c>
      <c r="M741" t="s">
        <v>170</v>
      </c>
      <c r="N741" t="s">
        <v>2198</v>
      </c>
    </row>
    <row r="742" spans="1:17" x14ac:dyDescent="0.25">
      <c r="A742" t="s">
        <v>123</v>
      </c>
      <c r="B742" t="s">
        <v>124</v>
      </c>
      <c r="C742">
        <v>160</v>
      </c>
      <c r="D742" t="s">
        <v>264</v>
      </c>
      <c r="E742" s="1">
        <v>43089</v>
      </c>
      <c r="F742" t="s">
        <v>21</v>
      </c>
      <c r="G742" t="s">
        <v>2195</v>
      </c>
      <c r="H742">
        <v>-0.43</v>
      </c>
      <c r="I742" t="s">
        <v>39</v>
      </c>
      <c r="J742">
        <v>1.392794140311145</v>
      </c>
      <c r="K742">
        <v>-0.59890148033379231</v>
      </c>
      <c r="M742" t="s">
        <v>255</v>
      </c>
      <c r="N742" t="s">
        <v>2198</v>
      </c>
      <c r="O742">
        <v>1.392794140311145</v>
      </c>
      <c r="P742">
        <v>2023.0334888019379</v>
      </c>
      <c r="Q742" t="s">
        <v>249</v>
      </c>
    </row>
    <row r="743" spans="1:17" x14ac:dyDescent="0.25">
      <c r="A743" t="s">
        <v>123</v>
      </c>
      <c r="B743" t="s">
        <v>124</v>
      </c>
      <c r="C743">
        <v>160</v>
      </c>
      <c r="D743" t="s">
        <v>264</v>
      </c>
      <c r="E743" s="1">
        <v>43089</v>
      </c>
      <c r="F743" t="s">
        <v>21</v>
      </c>
      <c r="G743" t="s">
        <v>2195</v>
      </c>
      <c r="H743">
        <v>-0.96</v>
      </c>
      <c r="I743" t="s">
        <v>39</v>
      </c>
      <c r="J743">
        <v>0</v>
      </c>
      <c r="M743" t="s">
        <v>170</v>
      </c>
      <c r="N743" t="s">
        <v>2199</v>
      </c>
    </row>
    <row r="744" spans="1:17" x14ac:dyDescent="0.25">
      <c r="A744" t="s">
        <v>123</v>
      </c>
      <c r="B744" t="s">
        <v>124</v>
      </c>
      <c r="C744">
        <v>160</v>
      </c>
      <c r="D744" t="s">
        <v>264</v>
      </c>
      <c r="E744" s="1">
        <v>43089</v>
      </c>
      <c r="F744" t="s">
        <v>21</v>
      </c>
      <c r="G744" t="s">
        <v>2195</v>
      </c>
      <c r="H744">
        <v>-0.96</v>
      </c>
      <c r="I744" t="s">
        <v>39</v>
      </c>
      <c r="J744">
        <v>1.392794140311145</v>
      </c>
      <c r="K744">
        <v>-1.3370823746986991</v>
      </c>
      <c r="M744" t="s">
        <v>255</v>
      </c>
      <c r="N744" t="s">
        <v>2199</v>
      </c>
      <c r="O744">
        <v>1.3927941403111452</v>
      </c>
      <c r="P744">
        <v>2021.6964064272393</v>
      </c>
      <c r="Q744" t="s">
        <v>249</v>
      </c>
    </row>
    <row r="745" spans="1:17" x14ac:dyDescent="0.25">
      <c r="A745" t="s">
        <v>123</v>
      </c>
      <c r="B745" t="s">
        <v>124</v>
      </c>
      <c r="C745">
        <v>160</v>
      </c>
      <c r="D745" t="s">
        <v>264</v>
      </c>
      <c r="E745" s="1">
        <v>43089</v>
      </c>
      <c r="F745" t="s">
        <v>21</v>
      </c>
      <c r="G745" t="s">
        <v>2195</v>
      </c>
      <c r="H745">
        <v>-0.11</v>
      </c>
      <c r="I745" t="s">
        <v>39</v>
      </c>
      <c r="J745">
        <v>0</v>
      </c>
      <c r="M745" t="s">
        <v>170</v>
      </c>
      <c r="N745" t="s">
        <v>2200</v>
      </c>
    </row>
    <row r="746" spans="1:17" x14ac:dyDescent="0.25">
      <c r="A746" t="s">
        <v>123</v>
      </c>
      <c r="B746" t="s">
        <v>124</v>
      </c>
      <c r="C746">
        <v>160</v>
      </c>
      <c r="D746" t="s">
        <v>264</v>
      </c>
      <c r="E746" s="1">
        <v>43089</v>
      </c>
      <c r="F746" t="s">
        <v>21</v>
      </c>
      <c r="G746" t="s">
        <v>2195</v>
      </c>
      <c r="H746">
        <v>-0.11</v>
      </c>
      <c r="I746" t="s">
        <v>39</v>
      </c>
      <c r="J746">
        <v>1.3927941403111452</v>
      </c>
      <c r="K746">
        <v>-0.15320735543422598</v>
      </c>
      <c r="M746" t="s">
        <v>255</v>
      </c>
      <c r="N746" t="s">
        <v>2200</v>
      </c>
      <c r="O746">
        <v>1.392794140311145</v>
      </c>
      <c r="P746">
        <v>2021.543199071805</v>
      </c>
      <c r="Q746" t="s">
        <v>249</v>
      </c>
    </row>
    <row r="747" spans="1:17" x14ac:dyDescent="0.25">
      <c r="A747" t="s">
        <v>123</v>
      </c>
      <c r="B747" t="s">
        <v>124</v>
      </c>
      <c r="C747">
        <v>160</v>
      </c>
      <c r="D747" t="s">
        <v>264</v>
      </c>
      <c r="E747" s="1">
        <v>43089</v>
      </c>
      <c r="F747" t="s">
        <v>21</v>
      </c>
      <c r="G747" t="s">
        <v>2195</v>
      </c>
      <c r="H747">
        <v>0.1</v>
      </c>
      <c r="I747" t="s">
        <v>39</v>
      </c>
      <c r="J747">
        <v>0</v>
      </c>
      <c r="M747" t="s">
        <v>170</v>
      </c>
      <c r="N747" t="s">
        <v>2201</v>
      </c>
    </row>
    <row r="748" spans="1:17" x14ac:dyDescent="0.25">
      <c r="A748" t="s">
        <v>123</v>
      </c>
      <c r="B748" t="s">
        <v>124</v>
      </c>
      <c r="C748">
        <v>160</v>
      </c>
      <c r="D748" t="s">
        <v>264</v>
      </c>
      <c r="E748" s="1">
        <v>43089</v>
      </c>
      <c r="F748" t="s">
        <v>21</v>
      </c>
      <c r="G748" t="s">
        <v>2195</v>
      </c>
      <c r="H748">
        <v>0.1</v>
      </c>
      <c r="I748" t="s">
        <v>39</v>
      </c>
      <c r="J748">
        <v>0</v>
      </c>
      <c r="M748" t="s">
        <v>255</v>
      </c>
      <c r="N748" t="s">
        <v>2201</v>
      </c>
      <c r="O748">
        <v>1.3926981867903558</v>
      </c>
      <c r="P748">
        <v>2021.543199071805</v>
      </c>
      <c r="Q748" t="s">
        <v>249</v>
      </c>
    </row>
    <row r="749" spans="1:17" x14ac:dyDescent="0.25">
      <c r="A749" t="s">
        <v>123</v>
      </c>
      <c r="B749" t="s">
        <v>124</v>
      </c>
      <c r="C749">
        <v>160</v>
      </c>
      <c r="D749" t="s">
        <v>264</v>
      </c>
      <c r="E749" s="1">
        <v>43089</v>
      </c>
      <c r="F749" t="s">
        <v>21</v>
      </c>
      <c r="G749" t="s">
        <v>2195</v>
      </c>
      <c r="H749">
        <v>-0.4</v>
      </c>
      <c r="I749" t="s">
        <v>39</v>
      </c>
      <c r="J749">
        <v>0</v>
      </c>
      <c r="M749" t="s">
        <v>170</v>
      </c>
      <c r="N749" t="s">
        <v>2202</v>
      </c>
    </row>
    <row r="750" spans="1:17" x14ac:dyDescent="0.25">
      <c r="A750" t="s">
        <v>123</v>
      </c>
      <c r="B750" t="s">
        <v>124</v>
      </c>
      <c r="C750">
        <v>160</v>
      </c>
      <c r="D750" t="s">
        <v>264</v>
      </c>
      <c r="E750" s="1">
        <v>43089</v>
      </c>
      <c r="F750" t="s">
        <v>21</v>
      </c>
      <c r="G750" t="s">
        <v>2195</v>
      </c>
      <c r="H750">
        <v>-0.4</v>
      </c>
      <c r="I750" t="s">
        <v>39</v>
      </c>
      <c r="J750">
        <v>1.3926981867903558</v>
      </c>
      <c r="K750">
        <v>-0.55707927471614238</v>
      </c>
      <c r="M750" t="s">
        <v>255</v>
      </c>
      <c r="N750" t="s">
        <v>2202</v>
      </c>
      <c r="O750">
        <v>1.3926981867903561</v>
      </c>
      <c r="P750">
        <v>2020.9861197970888</v>
      </c>
      <c r="Q750" t="s">
        <v>249</v>
      </c>
    </row>
    <row r="751" spans="1:17" x14ac:dyDescent="0.25">
      <c r="A751" t="s">
        <v>123</v>
      </c>
      <c r="B751" t="s">
        <v>124</v>
      </c>
      <c r="C751">
        <v>160</v>
      </c>
      <c r="D751" t="s">
        <v>264</v>
      </c>
      <c r="E751" s="1">
        <v>43089</v>
      </c>
      <c r="F751" t="s">
        <v>21</v>
      </c>
      <c r="G751" t="s">
        <v>2195</v>
      </c>
      <c r="H751">
        <v>0.53</v>
      </c>
      <c r="I751" t="s">
        <v>39</v>
      </c>
      <c r="J751">
        <v>0</v>
      </c>
      <c r="M751" t="s">
        <v>170</v>
      </c>
      <c r="N751" t="s">
        <v>2203</v>
      </c>
    </row>
    <row r="752" spans="1:17" x14ac:dyDescent="0.25">
      <c r="A752" t="s">
        <v>123</v>
      </c>
      <c r="B752" t="s">
        <v>124</v>
      </c>
      <c r="C752">
        <v>160</v>
      </c>
      <c r="D752" t="s">
        <v>264</v>
      </c>
      <c r="E752" s="1">
        <v>43089</v>
      </c>
      <c r="F752" t="s">
        <v>21</v>
      </c>
      <c r="G752" t="s">
        <v>2195</v>
      </c>
      <c r="H752">
        <v>0.53</v>
      </c>
      <c r="I752" t="s">
        <v>39</v>
      </c>
      <c r="J752">
        <v>0</v>
      </c>
      <c r="M752" t="s">
        <v>255</v>
      </c>
      <c r="N752" t="s">
        <v>2203</v>
      </c>
      <c r="O752">
        <v>1.3921897137050614</v>
      </c>
      <c r="P752">
        <v>2020.9861197970888</v>
      </c>
      <c r="Q752" t="s">
        <v>249</v>
      </c>
    </row>
    <row r="753" spans="1:17" x14ac:dyDescent="0.25">
      <c r="A753" t="s">
        <v>123</v>
      </c>
      <c r="B753" t="s">
        <v>124</v>
      </c>
      <c r="C753">
        <v>160</v>
      </c>
      <c r="D753" t="s">
        <v>264</v>
      </c>
      <c r="E753" s="1">
        <v>43089</v>
      </c>
      <c r="F753" t="s">
        <v>21</v>
      </c>
      <c r="G753" t="s">
        <v>2195</v>
      </c>
      <c r="H753">
        <v>-0.08</v>
      </c>
      <c r="I753" t="s">
        <v>39</v>
      </c>
      <c r="J753">
        <v>0</v>
      </c>
      <c r="M753" t="s">
        <v>170</v>
      </c>
      <c r="N753" t="s">
        <v>2204</v>
      </c>
    </row>
    <row r="754" spans="1:17" x14ac:dyDescent="0.25">
      <c r="A754" t="s">
        <v>123</v>
      </c>
      <c r="B754" t="s">
        <v>124</v>
      </c>
      <c r="C754">
        <v>160</v>
      </c>
      <c r="D754" t="s">
        <v>264</v>
      </c>
      <c r="E754" s="1">
        <v>43089</v>
      </c>
      <c r="F754" t="s">
        <v>21</v>
      </c>
      <c r="G754" t="s">
        <v>2195</v>
      </c>
      <c r="H754">
        <v>-0.08</v>
      </c>
      <c r="I754" t="s">
        <v>39</v>
      </c>
      <c r="J754">
        <v>1.3921897137050614</v>
      </c>
      <c r="K754">
        <v>-0.11137517709640492</v>
      </c>
      <c r="M754" t="s">
        <v>255</v>
      </c>
      <c r="N754" t="s">
        <v>2204</v>
      </c>
      <c r="O754">
        <v>1.3921897137050614</v>
      </c>
      <c r="P754">
        <v>2020.8747446199925</v>
      </c>
      <c r="Q754" t="s">
        <v>249</v>
      </c>
    </row>
    <row r="755" spans="1:17" x14ac:dyDescent="0.25">
      <c r="A755" t="s">
        <v>123</v>
      </c>
      <c r="B755" t="s">
        <v>124</v>
      </c>
      <c r="C755">
        <v>160</v>
      </c>
      <c r="D755" t="s">
        <v>264</v>
      </c>
      <c r="E755" s="1">
        <v>43089</v>
      </c>
      <c r="F755" t="s">
        <v>21</v>
      </c>
      <c r="G755" t="s">
        <v>2195</v>
      </c>
      <c r="H755">
        <v>-0.46</v>
      </c>
      <c r="I755" t="s">
        <v>39</v>
      </c>
      <c r="J755">
        <v>0</v>
      </c>
      <c r="M755" t="s">
        <v>170</v>
      </c>
      <c r="N755" t="s">
        <v>2205</v>
      </c>
    </row>
    <row r="756" spans="1:17" x14ac:dyDescent="0.25">
      <c r="A756" t="s">
        <v>123</v>
      </c>
      <c r="B756" t="s">
        <v>124</v>
      </c>
      <c r="C756">
        <v>160</v>
      </c>
      <c r="D756" t="s">
        <v>264</v>
      </c>
      <c r="E756" s="1">
        <v>43089</v>
      </c>
      <c r="F756" t="s">
        <v>21</v>
      </c>
      <c r="G756" t="s">
        <v>2195</v>
      </c>
      <c r="H756">
        <v>-0.46</v>
      </c>
      <c r="I756" t="s">
        <v>39</v>
      </c>
      <c r="J756">
        <v>1.3921897137050614</v>
      </c>
      <c r="K756">
        <v>-0.64040726830432826</v>
      </c>
      <c r="M756" t="s">
        <v>255</v>
      </c>
      <c r="N756" t="s">
        <v>2205</v>
      </c>
      <c r="O756">
        <v>1.3921897137050614</v>
      </c>
      <c r="P756">
        <v>2020.2343373516883</v>
      </c>
      <c r="Q756" t="s">
        <v>249</v>
      </c>
    </row>
    <row r="757" spans="1:17" x14ac:dyDescent="0.25">
      <c r="A757" t="s">
        <v>123</v>
      </c>
      <c r="B757" t="s">
        <v>124</v>
      </c>
      <c r="C757">
        <v>160</v>
      </c>
      <c r="D757" t="s">
        <v>264</v>
      </c>
      <c r="E757" s="1">
        <v>43089</v>
      </c>
      <c r="F757" t="s">
        <v>21</v>
      </c>
      <c r="G757" t="s">
        <v>2195</v>
      </c>
      <c r="H757">
        <v>2.69</v>
      </c>
      <c r="I757" t="s">
        <v>39</v>
      </c>
      <c r="J757">
        <v>0</v>
      </c>
      <c r="M757" t="s">
        <v>170</v>
      </c>
      <c r="N757" t="s">
        <v>2206</v>
      </c>
    </row>
    <row r="758" spans="1:17" x14ac:dyDescent="0.25">
      <c r="A758" t="s">
        <v>123</v>
      </c>
      <c r="B758" t="s">
        <v>124</v>
      </c>
      <c r="C758">
        <v>160</v>
      </c>
      <c r="D758" t="s">
        <v>264</v>
      </c>
      <c r="E758" s="1">
        <v>43089</v>
      </c>
      <c r="F758" t="s">
        <v>21</v>
      </c>
      <c r="G758" t="s">
        <v>2195</v>
      </c>
      <c r="H758">
        <v>2.69</v>
      </c>
      <c r="I758" t="s">
        <v>39</v>
      </c>
      <c r="J758">
        <v>0</v>
      </c>
      <c r="M758" t="s">
        <v>255</v>
      </c>
      <c r="N758" t="s">
        <v>2206</v>
      </c>
      <c r="O758">
        <v>1.3896137303717051</v>
      </c>
      <c r="P758">
        <v>2020.2343373516883</v>
      </c>
      <c r="Q758" t="s">
        <v>249</v>
      </c>
    </row>
    <row r="759" spans="1:17" x14ac:dyDescent="0.25">
      <c r="A759" t="s">
        <v>123</v>
      </c>
      <c r="B759" t="s">
        <v>124</v>
      </c>
      <c r="C759">
        <v>160</v>
      </c>
      <c r="D759" t="s">
        <v>264</v>
      </c>
      <c r="E759" s="1">
        <v>43096</v>
      </c>
      <c r="F759" t="s">
        <v>607</v>
      </c>
      <c r="H759">
        <v>-0.25</v>
      </c>
      <c r="I759" t="s">
        <v>39</v>
      </c>
      <c r="J759">
        <v>1.4709100000000002</v>
      </c>
      <c r="K759">
        <v>-0.37</v>
      </c>
      <c r="L759" t="s">
        <v>609</v>
      </c>
      <c r="M759" t="s">
        <v>171</v>
      </c>
      <c r="N759" t="s">
        <v>845</v>
      </c>
      <c r="O759">
        <v>1.3895981846994199</v>
      </c>
      <c r="P759">
        <v>2019.8643373516884</v>
      </c>
    </row>
    <row r="760" spans="1:17" x14ac:dyDescent="0.25">
      <c r="A760" t="s">
        <v>123</v>
      </c>
      <c r="B760" t="s">
        <v>124</v>
      </c>
      <c r="C760">
        <v>160</v>
      </c>
      <c r="D760" t="s">
        <v>264</v>
      </c>
      <c r="E760" s="1">
        <v>43096</v>
      </c>
      <c r="F760" t="s">
        <v>607</v>
      </c>
      <c r="H760">
        <v>0.25</v>
      </c>
      <c r="I760" t="s">
        <v>39</v>
      </c>
      <c r="J760">
        <v>1.4709100000000002</v>
      </c>
      <c r="K760">
        <v>-0.37</v>
      </c>
      <c r="L760" t="s">
        <v>609</v>
      </c>
      <c r="M760" t="s">
        <v>255</v>
      </c>
      <c r="N760" t="s">
        <v>845</v>
      </c>
      <c r="O760">
        <v>1.3891047230048554</v>
      </c>
      <c r="P760">
        <v>2019.4943373516885</v>
      </c>
      <c r="Q760" t="s">
        <v>249</v>
      </c>
    </row>
    <row r="761" spans="1:17" x14ac:dyDescent="0.25">
      <c r="A761" t="s">
        <v>76</v>
      </c>
      <c r="B761" t="s">
        <v>110</v>
      </c>
      <c r="C761">
        <v>160</v>
      </c>
      <c r="D761" t="s">
        <v>264</v>
      </c>
      <c r="E761" s="1">
        <v>43075</v>
      </c>
      <c r="F761" t="s">
        <v>252</v>
      </c>
      <c r="G761" t="s">
        <v>662</v>
      </c>
      <c r="H761">
        <v>-122</v>
      </c>
      <c r="I761" t="s">
        <v>39</v>
      </c>
      <c r="J761">
        <v>0</v>
      </c>
      <c r="M761" t="s">
        <v>170</v>
      </c>
      <c r="N761" t="s">
        <v>846</v>
      </c>
      <c r="Q761" t="s">
        <v>254</v>
      </c>
    </row>
    <row r="762" spans="1:17" x14ac:dyDescent="0.25">
      <c r="A762" t="s">
        <v>76</v>
      </c>
      <c r="B762" t="s">
        <v>110</v>
      </c>
      <c r="C762">
        <v>160</v>
      </c>
      <c r="D762" t="s">
        <v>264</v>
      </c>
      <c r="E762" s="1">
        <v>43075</v>
      </c>
      <c r="F762" t="s">
        <v>252</v>
      </c>
      <c r="G762" t="s">
        <v>662</v>
      </c>
      <c r="H762">
        <v>-22</v>
      </c>
      <c r="I762" t="s">
        <v>39</v>
      </c>
      <c r="J762">
        <v>4.1694609999999996E-6</v>
      </c>
      <c r="K762">
        <v>0</v>
      </c>
      <c r="L762" t="s">
        <v>609</v>
      </c>
      <c r="M762" t="s">
        <v>171</v>
      </c>
      <c r="N762" t="s">
        <v>846</v>
      </c>
      <c r="O762">
        <v>4.0471272305353287E-6</v>
      </c>
      <c r="P762">
        <v>-3.0346169400000001E-3</v>
      </c>
      <c r="Q762" t="s">
        <v>254</v>
      </c>
    </row>
    <row r="763" spans="1:17" x14ac:dyDescent="0.25">
      <c r="A763" t="s">
        <v>76</v>
      </c>
      <c r="B763" t="s">
        <v>110</v>
      </c>
      <c r="C763">
        <v>160</v>
      </c>
      <c r="D763" t="s">
        <v>264</v>
      </c>
      <c r="E763" s="1">
        <v>43075</v>
      </c>
      <c r="F763" t="s">
        <v>252</v>
      </c>
      <c r="G763" t="s">
        <v>662</v>
      </c>
      <c r="H763">
        <v>-100</v>
      </c>
      <c r="I763" t="s">
        <v>39</v>
      </c>
      <c r="J763">
        <v>4.1694609999999996E-6</v>
      </c>
      <c r="K763">
        <v>0</v>
      </c>
      <c r="L763" t="s">
        <v>609</v>
      </c>
      <c r="M763" t="s">
        <v>171</v>
      </c>
      <c r="N763" t="s">
        <v>846</v>
      </c>
      <c r="O763">
        <v>3.5708937657386268E-6</v>
      </c>
      <c r="P763">
        <v>-3.0346169400000001E-3</v>
      </c>
      <c r="Q763" t="s">
        <v>254</v>
      </c>
    </row>
    <row r="764" spans="1:17" x14ac:dyDescent="0.25">
      <c r="A764" t="s">
        <v>76</v>
      </c>
      <c r="B764" t="s">
        <v>110</v>
      </c>
      <c r="C764">
        <v>160</v>
      </c>
      <c r="D764" t="s">
        <v>264</v>
      </c>
      <c r="E764" s="1">
        <v>43081</v>
      </c>
      <c r="F764" t="s">
        <v>252</v>
      </c>
      <c r="G764" t="s">
        <v>847</v>
      </c>
      <c r="H764">
        <v>-14.6</v>
      </c>
      <c r="I764" t="s">
        <v>39</v>
      </c>
      <c r="J764">
        <v>0</v>
      </c>
      <c r="M764" t="s">
        <v>170</v>
      </c>
      <c r="N764" t="s">
        <v>849</v>
      </c>
      <c r="Q764" t="s">
        <v>254</v>
      </c>
    </row>
    <row r="765" spans="1:17" x14ac:dyDescent="0.25">
      <c r="A765" t="s">
        <v>76</v>
      </c>
      <c r="B765" t="s">
        <v>110</v>
      </c>
      <c r="C765">
        <v>160</v>
      </c>
      <c r="D765" t="s">
        <v>264</v>
      </c>
      <c r="E765" s="1">
        <v>43081</v>
      </c>
      <c r="F765" t="s">
        <v>252</v>
      </c>
      <c r="G765" t="s">
        <v>847</v>
      </c>
      <c r="H765">
        <v>-14.6</v>
      </c>
      <c r="I765" t="s">
        <v>39</v>
      </c>
      <c r="J765">
        <v>3.5708940000000002E-6</v>
      </c>
      <c r="K765">
        <v>0</v>
      </c>
      <c r="L765" t="s">
        <v>609</v>
      </c>
      <c r="M765" t="s">
        <v>171</v>
      </c>
      <c r="N765" t="s">
        <v>849</v>
      </c>
      <c r="O765">
        <v>3.5105815922815296E-6</v>
      </c>
      <c r="P765">
        <v>-3.0346169400000001E-3</v>
      </c>
      <c r="Q765" t="s">
        <v>254</v>
      </c>
    </row>
    <row r="766" spans="1:17" x14ac:dyDescent="0.25">
      <c r="A766" t="s">
        <v>76</v>
      </c>
      <c r="B766" t="s">
        <v>110</v>
      </c>
      <c r="C766">
        <v>160</v>
      </c>
      <c r="D766" t="s">
        <v>264</v>
      </c>
      <c r="E766" s="1">
        <v>43089</v>
      </c>
      <c r="F766" t="s">
        <v>21</v>
      </c>
      <c r="G766" t="s">
        <v>2277</v>
      </c>
      <c r="H766">
        <v>-1.92</v>
      </c>
      <c r="I766" t="s">
        <v>39</v>
      </c>
      <c r="J766">
        <v>0</v>
      </c>
      <c r="M766" t="s">
        <v>170</v>
      </c>
      <c r="N766" t="s">
        <v>2278</v>
      </c>
    </row>
    <row r="767" spans="1:17" x14ac:dyDescent="0.25">
      <c r="A767" t="s">
        <v>76</v>
      </c>
      <c r="B767" t="s">
        <v>110</v>
      </c>
      <c r="C767">
        <v>160</v>
      </c>
      <c r="D767" t="s">
        <v>264</v>
      </c>
      <c r="E767" s="1">
        <v>43089</v>
      </c>
      <c r="F767" t="s">
        <v>21</v>
      </c>
      <c r="G767" t="s">
        <v>2277</v>
      </c>
      <c r="H767">
        <v>-1.92</v>
      </c>
      <c r="I767" t="s">
        <v>39</v>
      </c>
      <c r="J767">
        <v>3.5105815922815296E-6</v>
      </c>
      <c r="K767">
        <v>-6.7403166571805369E-6</v>
      </c>
      <c r="M767" t="s">
        <v>255</v>
      </c>
      <c r="N767" t="s">
        <v>2278</v>
      </c>
      <c r="O767">
        <v>3.5105815922815296E-6</v>
      </c>
      <c r="P767">
        <v>-3.0413572566571805E-3</v>
      </c>
      <c r="Q767" t="s">
        <v>249</v>
      </c>
    </row>
    <row r="768" spans="1:17" x14ac:dyDescent="0.25">
      <c r="A768" t="s">
        <v>76</v>
      </c>
      <c r="B768" t="s">
        <v>110</v>
      </c>
      <c r="C768">
        <v>160</v>
      </c>
      <c r="D768" t="s">
        <v>264</v>
      </c>
      <c r="E768" s="1">
        <v>43089</v>
      </c>
      <c r="F768" t="s">
        <v>21</v>
      </c>
      <c r="G768" t="s">
        <v>2277</v>
      </c>
      <c r="H768">
        <v>-0.8</v>
      </c>
      <c r="I768" t="s">
        <v>39</v>
      </c>
      <c r="J768">
        <v>0</v>
      </c>
      <c r="M768" t="s">
        <v>170</v>
      </c>
      <c r="N768" t="s">
        <v>2279</v>
      </c>
    </row>
    <row r="769" spans="1:17" x14ac:dyDescent="0.25">
      <c r="A769" t="s">
        <v>76</v>
      </c>
      <c r="B769" t="s">
        <v>110</v>
      </c>
      <c r="C769">
        <v>160</v>
      </c>
      <c r="D769" t="s">
        <v>264</v>
      </c>
      <c r="E769" s="1">
        <v>43089</v>
      </c>
      <c r="F769" t="s">
        <v>21</v>
      </c>
      <c r="G769" t="s">
        <v>2277</v>
      </c>
      <c r="H769">
        <v>-0.8</v>
      </c>
      <c r="I769" t="s">
        <v>39</v>
      </c>
      <c r="J769">
        <v>3.5105815922815296E-6</v>
      </c>
      <c r="K769">
        <v>-2.808465273825224E-6</v>
      </c>
      <c r="M769" t="s">
        <v>255</v>
      </c>
      <c r="N769" t="s">
        <v>2279</v>
      </c>
      <c r="O769">
        <v>3.5105815922815296E-6</v>
      </c>
      <c r="P769">
        <v>-3.0441657219310056E-3</v>
      </c>
      <c r="Q769" t="s">
        <v>249</v>
      </c>
    </row>
    <row r="770" spans="1:17" x14ac:dyDescent="0.25">
      <c r="A770" t="s">
        <v>76</v>
      </c>
      <c r="B770" t="s">
        <v>110</v>
      </c>
      <c r="C770">
        <v>160</v>
      </c>
      <c r="D770" t="s">
        <v>264</v>
      </c>
      <c r="E770" s="1">
        <v>43089</v>
      </c>
      <c r="F770" t="s">
        <v>21</v>
      </c>
      <c r="G770" t="s">
        <v>2277</v>
      </c>
      <c r="H770">
        <v>-0.6</v>
      </c>
      <c r="I770" t="s">
        <v>39</v>
      </c>
      <c r="J770">
        <v>0</v>
      </c>
      <c r="M770" t="s">
        <v>170</v>
      </c>
      <c r="N770" t="s">
        <v>2280</v>
      </c>
    </row>
    <row r="771" spans="1:17" x14ac:dyDescent="0.25">
      <c r="A771" t="s">
        <v>76</v>
      </c>
      <c r="B771" t="s">
        <v>110</v>
      </c>
      <c r="C771">
        <v>160</v>
      </c>
      <c r="D771" t="s">
        <v>264</v>
      </c>
      <c r="E771" s="1">
        <v>43089</v>
      </c>
      <c r="F771" t="s">
        <v>21</v>
      </c>
      <c r="G771" t="s">
        <v>2277</v>
      </c>
      <c r="H771">
        <v>-0.6</v>
      </c>
      <c r="I771" t="s">
        <v>39</v>
      </c>
      <c r="J771">
        <v>3.5105815922815296E-6</v>
      </c>
      <c r="K771">
        <v>-2.1063489553689179E-6</v>
      </c>
      <c r="M771" t="s">
        <v>255</v>
      </c>
      <c r="N771" t="s">
        <v>2280</v>
      </c>
      <c r="O771">
        <v>3.5105815922815296E-6</v>
      </c>
      <c r="P771">
        <v>-3.0462720708863745E-3</v>
      </c>
      <c r="Q771" t="s">
        <v>249</v>
      </c>
    </row>
    <row r="772" spans="1:17" x14ac:dyDescent="0.25">
      <c r="A772" t="s">
        <v>76</v>
      </c>
      <c r="B772" t="s">
        <v>110</v>
      </c>
      <c r="C772">
        <v>160</v>
      </c>
      <c r="D772" t="s">
        <v>264</v>
      </c>
      <c r="E772" s="1">
        <v>43089</v>
      </c>
      <c r="F772" t="s">
        <v>21</v>
      </c>
      <c r="G772" t="s">
        <v>2277</v>
      </c>
      <c r="H772">
        <v>-1.05</v>
      </c>
      <c r="I772" t="s">
        <v>39</v>
      </c>
      <c r="J772">
        <v>0</v>
      </c>
      <c r="M772" t="s">
        <v>170</v>
      </c>
      <c r="N772" t="s">
        <v>2281</v>
      </c>
    </row>
    <row r="773" spans="1:17" x14ac:dyDescent="0.25">
      <c r="A773" t="s">
        <v>76</v>
      </c>
      <c r="B773" t="s">
        <v>110</v>
      </c>
      <c r="C773">
        <v>160</v>
      </c>
      <c r="D773" t="s">
        <v>264</v>
      </c>
      <c r="E773" s="1">
        <v>43089</v>
      </c>
      <c r="F773" t="s">
        <v>21</v>
      </c>
      <c r="G773" t="s">
        <v>2277</v>
      </c>
      <c r="H773">
        <v>-1.05</v>
      </c>
      <c r="I773" t="s">
        <v>39</v>
      </c>
      <c r="J773">
        <v>3.5105815922815296E-6</v>
      </c>
      <c r="K773">
        <v>-3.6861106718956065E-6</v>
      </c>
      <c r="M773" t="s">
        <v>255</v>
      </c>
      <c r="N773" t="s">
        <v>2281</v>
      </c>
      <c r="O773">
        <v>3.5105815922815296E-6</v>
      </c>
      <c r="P773">
        <v>-3.0499581815582699E-3</v>
      </c>
      <c r="Q773" t="s">
        <v>249</v>
      </c>
    </row>
    <row r="774" spans="1:17" x14ac:dyDescent="0.25">
      <c r="A774" t="s">
        <v>76</v>
      </c>
      <c r="B774" t="s">
        <v>110</v>
      </c>
      <c r="C774">
        <v>160</v>
      </c>
      <c r="D774" t="s">
        <v>264</v>
      </c>
      <c r="E774" s="1">
        <v>43089</v>
      </c>
      <c r="F774" t="s">
        <v>21</v>
      </c>
      <c r="G774" t="s">
        <v>2277</v>
      </c>
      <c r="H774">
        <v>1.45</v>
      </c>
      <c r="I774" t="s">
        <v>39</v>
      </c>
      <c r="J774">
        <v>0</v>
      </c>
      <c r="M774" t="s">
        <v>170</v>
      </c>
      <c r="N774" t="s">
        <v>2282</v>
      </c>
    </row>
    <row r="775" spans="1:17" x14ac:dyDescent="0.25">
      <c r="A775" t="s">
        <v>76</v>
      </c>
      <c r="B775" t="s">
        <v>110</v>
      </c>
      <c r="C775">
        <v>160</v>
      </c>
      <c r="D775" t="s">
        <v>264</v>
      </c>
      <c r="E775" s="1">
        <v>43089</v>
      </c>
      <c r="F775" t="s">
        <v>21</v>
      </c>
      <c r="G775" t="s">
        <v>2277</v>
      </c>
      <c r="H775">
        <v>1.45</v>
      </c>
      <c r="I775" t="s">
        <v>39</v>
      </c>
      <c r="J775">
        <v>0</v>
      </c>
      <c r="M775" t="s">
        <v>255</v>
      </c>
      <c r="N775" t="s">
        <v>2282</v>
      </c>
      <c r="O775">
        <v>3.5164505056359329E-6</v>
      </c>
      <c r="P775">
        <v>-3.0499581815582699E-3</v>
      </c>
      <c r="Q775" t="s">
        <v>249</v>
      </c>
    </row>
    <row r="776" spans="1:17" x14ac:dyDescent="0.25">
      <c r="A776" t="s">
        <v>76</v>
      </c>
      <c r="B776" t="s">
        <v>110</v>
      </c>
      <c r="C776">
        <v>160</v>
      </c>
      <c r="D776" t="s">
        <v>264</v>
      </c>
      <c r="E776" s="1">
        <v>43089</v>
      </c>
      <c r="F776" t="s">
        <v>21</v>
      </c>
      <c r="G776" t="s">
        <v>2277</v>
      </c>
      <c r="H776">
        <v>-1.6</v>
      </c>
      <c r="I776" t="s">
        <v>39</v>
      </c>
      <c r="J776">
        <v>0</v>
      </c>
      <c r="M776" t="s">
        <v>170</v>
      </c>
      <c r="N776" t="s">
        <v>2283</v>
      </c>
    </row>
    <row r="777" spans="1:17" x14ac:dyDescent="0.25">
      <c r="A777" t="s">
        <v>76</v>
      </c>
      <c r="B777" t="s">
        <v>110</v>
      </c>
      <c r="C777">
        <v>160</v>
      </c>
      <c r="D777" t="s">
        <v>264</v>
      </c>
      <c r="E777" s="1">
        <v>43089</v>
      </c>
      <c r="F777" t="s">
        <v>21</v>
      </c>
      <c r="G777" t="s">
        <v>2277</v>
      </c>
      <c r="H777">
        <v>-1.6</v>
      </c>
      <c r="I777" t="s">
        <v>39</v>
      </c>
      <c r="J777">
        <v>3.5164505056359329E-6</v>
      </c>
      <c r="K777">
        <v>-5.6263208090174932E-6</v>
      </c>
      <c r="M777" t="s">
        <v>255</v>
      </c>
      <c r="N777" t="s">
        <v>2283</v>
      </c>
      <c r="O777">
        <v>3.5164505056359333E-6</v>
      </c>
      <c r="P777">
        <v>-3.0555845023672876E-3</v>
      </c>
      <c r="Q777" t="s">
        <v>249</v>
      </c>
    </row>
    <row r="778" spans="1:17" x14ac:dyDescent="0.25">
      <c r="A778" t="s">
        <v>76</v>
      </c>
      <c r="B778" t="s">
        <v>110</v>
      </c>
      <c r="C778">
        <v>160</v>
      </c>
      <c r="D778" t="s">
        <v>264</v>
      </c>
      <c r="E778" s="1">
        <v>43089</v>
      </c>
      <c r="F778" t="s">
        <v>21</v>
      </c>
      <c r="G778" t="s">
        <v>2277</v>
      </c>
      <c r="H778">
        <v>-0.47</v>
      </c>
      <c r="I778" t="s">
        <v>39</v>
      </c>
      <c r="J778">
        <v>0</v>
      </c>
      <c r="M778" t="s">
        <v>170</v>
      </c>
      <c r="N778" t="s">
        <v>2284</v>
      </c>
    </row>
    <row r="779" spans="1:17" x14ac:dyDescent="0.25">
      <c r="A779" t="s">
        <v>76</v>
      </c>
      <c r="B779" t="s">
        <v>110</v>
      </c>
      <c r="C779">
        <v>160</v>
      </c>
      <c r="D779" t="s">
        <v>264</v>
      </c>
      <c r="E779" s="1">
        <v>43089</v>
      </c>
      <c r="F779" t="s">
        <v>21</v>
      </c>
      <c r="G779" t="s">
        <v>2277</v>
      </c>
      <c r="H779">
        <v>-0.47</v>
      </c>
      <c r="I779" t="s">
        <v>39</v>
      </c>
      <c r="J779">
        <v>3.5164505056359333E-6</v>
      </c>
      <c r="K779">
        <v>-1.6527317376488885E-6</v>
      </c>
      <c r="M779" t="s">
        <v>255</v>
      </c>
      <c r="N779" t="s">
        <v>2284</v>
      </c>
      <c r="O779">
        <v>3.5164505056359329E-6</v>
      </c>
      <c r="P779">
        <v>-3.0572372341049364E-3</v>
      </c>
      <c r="Q779" t="s">
        <v>249</v>
      </c>
    </row>
    <row r="780" spans="1:17" x14ac:dyDescent="0.25">
      <c r="A780" t="s">
        <v>76</v>
      </c>
      <c r="B780" t="s">
        <v>110</v>
      </c>
      <c r="C780">
        <v>160</v>
      </c>
      <c r="D780" t="s">
        <v>264</v>
      </c>
      <c r="E780" s="1">
        <v>43089</v>
      </c>
      <c r="F780" t="s">
        <v>21</v>
      </c>
      <c r="G780" t="s">
        <v>2277</v>
      </c>
      <c r="H780">
        <v>-0.69</v>
      </c>
      <c r="I780" t="s">
        <v>39</v>
      </c>
      <c r="J780">
        <v>0</v>
      </c>
      <c r="M780" t="s">
        <v>170</v>
      </c>
      <c r="N780" t="s">
        <v>2285</v>
      </c>
    </row>
    <row r="781" spans="1:17" x14ac:dyDescent="0.25">
      <c r="A781" t="s">
        <v>76</v>
      </c>
      <c r="B781" t="s">
        <v>110</v>
      </c>
      <c r="C781">
        <v>160</v>
      </c>
      <c r="D781" t="s">
        <v>264</v>
      </c>
      <c r="E781" s="1">
        <v>43089</v>
      </c>
      <c r="F781" t="s">
        <v>21</v>
      </c>
      <c r="G781" t="s">
        <v>2277</v>
      </c>
      <c r="H781">
        <v>-0.69</v>
      </c>
      <c r="I781" t="s">
        <v>39</v>
      </c>
      <c r="J781">
        <v>3.5164505056359329E-6</v>
      </c>
      <c r="K781">
        <v>-2.4263508488887935E-6</v>
      </c>
      <c r="M781" t="s">
        <v>255</v>
      </c>
      <c r="N781" t="s">
        <v>2285</v>
      </c>
      <c r="O781">
        <v>3.5164505056359329E-6</v>
      </c>
      <c r="P781">
        <v>-3.0596635849538252E-3</v>
      </c>
      <c r="Q781" t="s">
        <v>249</v>
      </c>
    </row>
    <row r="782" spans="1:17" x14ac:dyDescent="0.25">
      <c r="A782" t="s">
        <v>76</v>
      </c>
      <c r="B782" t="s">
        <v>110</v>
      </c>
      <c r="C782">
        <v>160</v>
      </c>
      <c r="D782" t="s">
        <v>264</v>
      </c>
      <c r="E782" s="1">
        <v>43089</v>
      </c>
      <c r="F782" t="s">
        <v>21</v>
      </c>
      <c r="G782" t="s">
        <v>2277</v>
      </c>
      <c r="H782">
        <v>1</v>
      </c>
      <c r="I782" t="s">
        <v>39</v>
      </c>
      <c r="J782">
        <v>0</v>
      </c>
      <c r="M782" t="s">
        <v>170</v>
      </c>
      <c r="N782" t="s">
        <v>2286</v>
      </c>
    </row>
    <row r="783" spans="1:17" x14ac:dyDescent="0.25">
      <c r="A783" t="s">
        <v>76</v>
      </c>
      <c r="B783" t="s">
        <v>110</v>
      </c>
      <c r="C783">
        <v>160</v>
      </c>
      <c r="D783" t="s">
        <v>264</v>
      </c>
      <c r="E783" s="1">
        <v>43089</v>
      </c>
      <c r="F783" t="s">
        <v>21</v>
      </c>
      <c r="G783" t="s">
        <v>2277</v>
      </c>
      <c r="H783">
        <v>1</v>
      </c>
      <c r="I783" t="s">
        <v>39</v>
      </c>
      <c r="J783">
        <v>0</v>
      </c>
      <c r="M783" t="s">
        <v>255</v>
      </c>
      <c r="N783" t="s">
        <v>2286</v>
      </c>
      <c r="O783">
        <v>3.5204965883716775E-6</v>
      </c>
      <c r="P783">
        <v>-3.0596635849538252E-3</v>
      </c>
      <c r="Q783" t="s">
        <v>249</v>
      </c>
    </row>
    <row r="784" spans="1:17" x14ac:dyDescent="0.25">
      <c r="A784" t="s">
        <v>76</v>
      </c>
      <c r="B784" t="s">
        <v>110</v>
      </c>
      <c r="C784">
        <v>160</v>
      </c>
      <c r="D784" t="s">
        <v>264</v>
      </c>
      <c r="E784" s="1">
        <v>43089</v>
      </c>
      <c r="F784" t="s">
        <v>21</v>
      </c>
      <c r="G784" t="s">
        <v>2277</v>
      </c>
      <c r="H784">
        <v>1.35</v>
      </c>
      <c r="I784" t="s">
        <v>39</v>
      </c>
      <c r="J784">
        <v>0</v>
      </c>
      <c r="M784" t="s">
        <v>170</v>
      </c>
      <c r="N784" t="s">
        <v>2287</v>
      </c>
    </row>
    <row r="785" spans="1:17" x14ac:dyDescent="0.25">
      <c r="A785" t="s">
        <v>76</v>
      </c>
      <c r="B785" t="s">
        <v>110</v>
      </c>
      <c r="C785">
        <v>160</v>
      </c>
      <c r="D785" t="s">
        <v>264</v>
      </c>
      <c r="E785" s="1">
        <v>43089</v>
      </c>
      <c r="F785" t="s">
        <v>21</v>
      </c>
      <c r="G785" t="s">
        <v>2277</v>
      </c>
      <c r="H785">
        <v>1.35</v>
      </c>
      <c r="I785" t="s">
        <v>39</v>
      </c>
      <c r="J785">
        <v>0</v>
      </c>
      <c r="M785" t="s">
        <v>255</v>
      </c>
      <c r="N785" t="s">
        <v>2287</v>
      </c>
      <c r="O785">
        <v>3.5259735925713916E-6</v>
      </c>
      <c r="P785">
        <v>-3.0596635849538252E-3</v>
      </c>
      <c r="Q785" t="s">
        <v>249</v>
      </c>
    </row>
    <row r="786" spans="1:17" x14ac:dyDescent="0.25">
      <c r="A786" t="s">
        <v>76</v>
      </c>
      <c r="B786" t="s">
        <v>110</v>
      </c>
      <c r="C786">
        <v>160</v>
      </c>
      <c r="D786" t="s">
        <v>264</v>
      </c>
      <c r="E786" s="1">
        <v>43089</v>
      </c>
      <c r="F786" t="s">
        <v>21</v>
      </c>
      <c r="G786" t="s">
        <v>2277</v>
      </c>
      <c r="H786">
        <v>1.51</v>
      </c>
      <c r="I786" t="s">
        <v>39</v>
      </c>
      <c r="J786">
        <v>0</v>
      </c>
      <c r="M786" t="s">
        <v>170</v>
      </c>
      <c r="N786" t="s">
        <v>2288</v>
      </c>
    </row>
    <row r="787" spans="1:17" x14ac:dyDescent="0.25">
      <c r="A787" t="s">
        <v>76</v>
      </c>
      <c r="B787" t="s">
        <v>110</v>
      </c>
      <c r="C787">
        <v>160</v>
      </c>
      <c r="D787" t="s">
        <v>264</v>
      </c>
      <c r="E787" s="1">
        <v>43089</v>
      </c>
      <c r="F787" t="s">
        <v>21</v>
      </c>
      <c r="G787" t="s">
        <v>2277</v>
      </c>
      <c r="H787">
        <v>1.51</v>
      </c>
      <c r="I787" t="s">
        <v>39</v>
      </c>
      <c r="J787">
        <v>0</v>
      </c>
      <c r="M787" t="s">
        <v>255</v>
      </c>
      <c r="N787" t="s">
        <v>2288</v>
      </c>
      <c r="O787">
        <v>3.5321199493833407E-6</v>
      </c>
      <c r="P787">
        <v>-3.0596635849538252E-3</v>
      </c>
      <c r="Q787" t="s">
        <v>249</v>
      </c>
    </row>
    <row r="788" spans="1:17" x14ac:dyDescent="0.25">
      <c r="A788" t="s">
        <v>76</v>
      </c>
      <c r="B788" t="s">
        <v>110</v>
      </c>
      <c r="C788">
        <v>160</v>
      </c>
      <c r="D788" t="s">
        <v>264</v>
      </c>
      <c r="E788" s="1">
        <v>43089</v>
      </c>
      <c r="F788" t="s">
        <v>21</v>
      </c>
      <c r="G788" t="s">
        <v>2277</v>
      </c>
      <c r="H788">
        <v>-3.5</v>
      </c>
      <c r="I788" t="s">
        <v>39</v>
      </c>
      <c r="J788">
        <v>0</v>
      </c>
      <c r="M788" t="s">
        <v>170</v>
      </c>
      <c r="N788" t="s">
        <v>2289</v>
      </c>
    </row>
    <row r="789" spans="1:17" x14ac:dyDescent="0.25">
      <c r="A789" t="s">
        <v>76</v>
      </c>
      <c r="B789" t="s">
        <v>110</v>
      </c>
      <c r="C789">
        <v>160</v>
      </c>
      <c r="D789" t="s">
        <v>264</v>
      </c>
      <c r="E789" s="1">
        <v>43089</v>
      </c>
      <c r="F789" t="s">
        <v>21</v>
      </c>
      <c r="G789" t="s">
        <v>2277</v>
      </c>
      <c r="H789">
        <v>-3.5</v>
      </c>
      <c r="I789" t="s">
        <v>39</v>
      </c>
      <c r="J789">
        <v>3.5321199493833407E-6</v>
      </c>
      <c r="K789">
        <v>-1.2362419822841692E-5</v>
      </c>
      <c r="M789" t="s">
        <v>255</v>
      </c>
      <c r="N789" t="s">
        <v>2289</v>
      </c>
      <c r="O789">
        <v>3.5321199493833407E-6</v>
      </c>
      <c r="P789">
        <v>-3.0720260047766667E-3</v>
      </c>
      <c r="Q789" t="s">
        <v>249</v>
      </c>
    </row>
    <row r="790" spans="1:17" x14ac:dyDescent="0.25">
      <c r="A790" t="s">
        <v>76</v>
      </c>
      <c r="B790" t="s">
        <v>110</v>
      </c>
      <c r="C790">
        <v>160</v>
      </c>
      <c r="D790" t="s">
        <v>264</v>
      </c>
      <c r="E790" s="1">
        <v>43089</v>
      </c>
      <c r="F790" t="s">
        <v>21</v>
      </c>
      <c r="G790" t="s">
        <v>2277</v>
      </c>
      <c r="H790">
        <v>-0.5</v>
      </c>
      <c r="I790" t="s">
        <v>39</v>
      </c>
      <c r="J790">
        <v>0</v>
      </c>
      <c r="M790" t="s">
        <v>170</v>
      </c>
      <c r="N790" t="s">
        <v>2290</v>
      </c>
    </row>
    <row r="791" spans="1:17" x14ac:dyDescent="0.25">
      <c r="A791" t="s">
        <v>76</v>
      </c>
      <c r="B791" t="s">
        <v>110</v>
      </c>
      <c r="C791">
        <v>160</v>
      </c>
      <c r="D791" t="s">
        <v>264</v>
      </c>
      <c r="E791" s="1">
        <v>43089</v>
      </c>
      <c r="F791" t="s">
        <v>21</v>
      </c>
      <c r="G791" t="s">
        <v>2277</v>
      </c>
      <c r="H791">
        <v>-0.5</v>
      </c>
      <c r="I791" t="s">
        <v>39</v>
      </c>
      <c r="J791">
        <v>3.5321199493833407E-6</v>
      </c>
      <c r="K791">
        <v>-1.7660599746916704E-6</v>
      </c>
      <c r="M791" t="s">
        <v>255</v>
      </c>
      <c r="N791" t="s">
        <v>2290</v>
      </c>
      <c r="O791">
        <v>3.5321199493833407E-6</v>
      </c>
      <c r="P791">
        <v>-3.0737920647513585E-3</v>
      </c>
      <c r="Q791" t="s">
        <v>249</v>
      </c>
    </row>
    <row r="792" spans="1:17" x14ac:dyDescent="0.25">
      <c r="A792" t="s">
        <v>76</v>
      </c>
      <c r="B792" t="s">
        <v>110</v>
      </c>
      <c r="C792">
        <v>160</v>
      </c>
      <c r="D792" t="s">
        <v>264</v>
      </c>
      <c r="E792" s="1">
        <v>43089</v>
      </c>
      <c r="F792" t="s">
        <v>21</v>
      </c>
      <c r="G792" t="s">
        <v>2277</v>
      </c>
      <c r="H792">
        <v>1</v>
      </c>
      <c r="I792" t="s">
        <v>39</v>
      </c>
      <c r="J792">
        <v>0</v>
      </c>
      <c r="M792" t="s">
        <v>170</v>
      </c>
      <c r="N792" t="s">
        <v>2291</v>
      </c>
    </row>
    <row r="793" spans="1:17" x14ac:dyDescent="0.25">
      <c r="A793" t="s">
        <v>76</v>
      </c>
      <c r="B793" t="s">
        <v>110</v>
      </c>
      <c r="C793">
        <v>160</v>
      </c>
      <c r="D793" t="s">
        <v>264</v>
      </c>
      <c r="E793" s="1">
        <v>43089</v>
      </c>
      <c r="F793" t="s">
        <v>21</v>
      </c>
      <c r="G793" t="s">
        <v>2277</v>
      </c>
      <c r="H793">
        <v>1</v>
      </c>
      <c r="I793" t="s">
        <v>39</v>
      </c>
      <c r="J793">
        <v>0</v>
      </c>
      <c r="M793" t="s">
        <v>255</v>
      </c>
      <c r="N793" t="s">
        <v>2291</v>
      </c>
      <c r="O793">
        <v>3.5361834070583019E-6</v>
      </c>
      <c r="P793">
        <v>-3.0737920647513585E-3</v>
      </c>
      <c r="Q793" t="s">
        <v>249</v>
      </c>
    </row>
    <row r="794" spans="1:17" x14ac:dyDescent="0.25">
      <c r="A794" t="s">
        <v>76</v>
      </c>
      <c r="B794" t="s">
        <v>110</v>
      </c>
      <c r="C794">
        <v>160</v>
      </c>
      <c r="D794" t="s">
        <v>264</v>
      </c>
      <c r="E794" s="1">
        <v>43089</v>
      </c>
      <c r="F794" t="s">
        <v>21</v>
      </c>
      <c r="G794" t="s">
        <v>2277</v>
      </c>
      <c r="H794">
        <v>-2.15</v>
      </c>
      <c r="I794" t="s">
        <v>39</v>
      </c>
      <c r="J794">
        <v>0</v>
      </c>
      <c r="M794" t="s">
        <v>170</v>
      </c>
      <c r="N794" t="s">
        <v>2292</v>
      </c>
    </row>
    <row r="795" spans="1:17" x14ac:dyDescent="0.25">
      <c r="A795" t="s">
        <v>76</v>
      </c>
      <c r="B795" t="s">
        <v>110</v>
      </c>
      <c r="C795">
        <v>160</v>
      </c>
      <c r="D795" t="s">
        <v>264</v>
      </c>
      <c r="E795" s="1">
        <v>43089</v>
      </c>
      <c r="F795" t="s">
        <v>21</v>
      </c>
      <c r="G795" t="s">
        <v>2277</v>
      </c>
      <c r="H795">
        <v>-2.15</v>
      </c>
      <c r="I795" t="s">
        <v>39</v>
      </c>
      <c r="J795">
        <v>3.5361834070583019E-6</v>
      </c>
      <c r="K795">
        <v>-7.6027943251753485E-6</v>
      </c>
      <c r="M795" t="s">
        <v>255</v>
      </c>
      <c r="N795" t="s">
        <v>2292</v>
      </c>
      <c r="O795">
        <v>3.5361834070583019E-6</v>
      </c>
      <c r="P795">
        <v>-3.0813948590765338E-3</v>
      </c>
      <c r="Q795" t="s">
        <v>249</v>
      </c>
    </row>
    <row r="796" spans="1:17" x14ac:dyDescent="0.25">
      <c r="A796" t="s">
        <v>76</v>
      </c>
      <c r="B796" t="s">
        <v>110</v>
      </c>
      <c r="C796">
        <v>160</v>
      </c>
      <c r="D796" t="s">
        <v>264</v>
      </c>
      <c r="E796" s="1">
        <v>43089</v>
      </c>
      <c r="F796" t="s">
        <v>21</v>
      </c>
      <c r="G796" t="s">
        <v>2277</v>
      </c>
      <c r="H796">
        <v>-2.1</v>
      </c>
      <c r="I796" t="s">
        <v>39</v>
      </c>
      <c r="J796">
        <v>0</v>
      </c>
      <c r="M796" t="s">
        <v>170</v>
      </c>
      <c r="N796" t="s">
        <v>2293</v>
      </c>
    </row>
    <row r="797" spans="1:17" x14ac:dyDescent="0.25">
      <c r="A797" t="s">
        <v>76</v>
      </c>
      <c r="B797" t="s">
        <v>110</v>
      </c>
      <c r="C797">
        <v>160</v>
      </c>
      <c r="D797" t="s">
        <v>264</v>
      </c>
      <c r="E797" s="1">
        <v>43089</v>
      </c>
      <c r="F797" t="s">
        <v>21</v>
      </c>
      <c r="G797" t="s">
        <v>2277</v>
      </c>
      <c r="H797">
        <v>-2.1</v>
      </c>
      <c r="I797" t="s">
        <v>39</v>
      </c>
      <c r="J797">
        <v>3.5361834070583019E-6</v>
      </c>
      <c r="K797">
        <v>-7.4259851548224341E-6</v>
      </c>
      <c r="M797" t="s">
        <v>255</v>
      </c>
      <c r="N797" t="s">
        <v>2293</v>
      </c>
      <c r="O797">
        <v>3.5361834070583019E-6</v>
      </c>
      <c r="P797">
        <v>-3.0888208442313562E-3</v>
      </c>
      <c r="Q797" t="s">
        <v>249</v>
      </c>
    </row>
    <row r="798" spans="1:17" x14ac:dyDescent="0.25">
      <c r="A798" t="s">
        <v>76</v>
      </c>
      <c r="B798" t="s">
        <v>110</v>
      </c>
      <c r="C798">
        <v>160</v>
      </c>
      <c r="D798" t="s">
        <v>264</v>
      </c>
      <c r="E798" s="1">
        <v>43089</v>
      </c>
      <c r="F798" t="s">
        <v>21</v>
      </c>
      <c r="G798" t="s">
        <v>2277</v>
      </c>
      <c r="H798">
        <v>-0.48</v>
      </c>
      <c r="I798" t="s">
        <v>39</v>
      </c>
      <c r="J798">
        <v>0</v>
      </c>
      <c r="M798" t="s">
        <v>170</v>
      </c>
      <c r="N798" t="s">
        <v>2294</v>
      </c>
    </row>
    <row r="799" spans="1:17" x14ac:dyDescent="0.25">
      <c r="A799" t="s">
        <v>76</v>
      </c>
      <c r="B799" t="s">
        <v>110</v>
      </c>
      <c r="C799">
        <v>160</v>
      </c>
      <c r="D799" t="s">
        <v>264</v>
      </c>
      <c r="E799" s="1">
        <v>43089</v>
      </c>
      <c r="F799" t="s">
        <v>21</v>
      </c>
      <c r="G799" t="s">
        <v>2277</v>
      </c>
      <c r="H799">
        <v>-0.48</v>
      </c>
      <c r="I799" t="s">
        <v>39</v>
      </c>
      <c r="J799">
        <v>3.5361834070583019E-6</v>
      </c>
      <c r="K799">
        <v>-1.6973680353879847E-6</v>
      </c>
      <c r="M799" t="s">
        <v>255</v>
      </c>
      <c r="N799" t="s">
        <v>2294</v>
      </c>
      <c r="O799">
        <v>3.5361834070583019E-6</v>
      </c>
      <c r="P799">
        <v>-3.0905182122667441E-3</v>
      </c>
      <c r="Q799" t="s">
        <v>249</v>
      </c>
    </row>
    <row r="800" spans="1:17" x14ac:dyDescent="0.25">
      <c r="A800" t="s">
        <v>60</v>
      </c>
      <c r="B800" t="s">
        <v>202</v>
      </c>
      <c r="C800">
        <v>160</v>
      </c>
      <c r="D800" t="s">
        <v>264</v>
      </c>
      <c r="E800" s="1">
        <v>43089</v>
      </c>
      <c r="F800" t="s">
        <v>21</v>
      </c>
      <c r="G800" t="s">
        <v>2129</v>
      </c>
      <c r="H800">
        <v>7</v>
      </c>
      <c r="I800" t="s">
        <v>39</v>
      </c>
      <c r="J800">
        <v>0</v>
      </c>
      <c r="M800" t="s">
        <v>170</v>
      </c>
      <c r="N800" t="s">
        <v>2130</v>
      </c>
    </row>
    <row r="801" spans="1:17" x14ac:dyDescent="0.25">
      <c r="A801" t="s">
        <v>60</v>
      </c>
      <c r="B801" t="s">
        <v>202</v>
      </c>
      <c r="C801">
        <v>160</v>
      </c>
      <c r="D801" t="s">
        <v>264</v>
      </c>
      <c r="E801" s="1">
        <v>43089</v>
      </c>
      <c r="F801" t="s">
        <v>21</v>
      </c>
      <c r="G801" t="s">
        <v>2129</v>
      </c>
      <c r="H801">
        <v>7</v>
      </c>
      <c r="I801" t="s">
        <v>39</v>
      </c>
      <c r="J801">
        <v>0</v>
      </c>
      <c r="M801" t="s">
        <v>255</v>
      </c>
      <c r="N801" t="s">
        <v>2130</v>
      </c>
      <c r="O801">
        <v>0</v>
      </c>
      <c r="P801">
        <v>0</v>
      </c>
      <c r="Q801" t="s">
        <v>249</v>
      </c>
    </row>
    <row r="802" spans="1:17" x14ac:dyDescent="0.25">
      <c r="A802" t="s">
        <v>24</v>
      </c>
      <c r="B802" t="s">
        <v>34</v>
      </c>
      <c r="C802">
        <v>160</v>
      </c>
      <c r="D802" t="s">
        <v>264</v>
      </c>
      <c r="E802" s="1">
        <v>43075</v>
      </c>
      <c r="F802" t="s">
        <v>252</v>
      </c>
      <c r="G802" t="s">
        <v>851</v>
      </c>
      <c r="H802">
        <v>-31.05</v>
      </c>
      <c r="I802" t="s">
        <v>39</v>
      </c>
      <c r="J802">
        <v>0</v>
      </c>
      <c r="M802" t="s">
        <v>170</v>
      </c>
      <c r="N802" t="s">
        <v>853</v>
      </c>
      <c r="Q802" t="s">
        <v>254</v>
      </c>
    </row>
    <row r="803" spans="1:17" x14ac:dyDescent="0.25">
      <c r="A803" t="s">
        <v>24</v>
      </c>
      <c r="B803" t="s">
        <v>34</v>
      </c>
      <c r="C803">
        <v>160</v>
      </c>
      <c r="D803" t="s">
        <v>264</v>
      </c>
      <c r="E803" s="1">
        <v>43075</v>
      </c>
      <c r="F803" t="s">
        <v>252</v>
      </c>
      <c r="G803" t="s">
        <v>851</v>
      </c>
      <c r="H803">
        <v>-31.05</v>
      </c>
      <c r="I803" t="s">
        <v>39</v>
      </c>
      <c r="J803">
        <v>3.9463530865179997</v>
      </c>
      <c r="K803">
        <v>-122.53</v>
      </c>
      <c r="L803" t="s">
        <v>609</v>
      </c>
      <c r="M803" t="s">
        <v>171</v>
      </c>
      <c r="N803" t="s">
        <v>853</v>
      </c>
      <c r="O803">
        <v>3.9463616862893311</v>
      </c>
      <c r="P803">
        <v>1956.4088059779358</v>
      </c>
      <c r="Q803" t="s">
        <v>254</v>
      </c>
    </row>
    <row r="804" spans="1:17" x14ac:dyDescent="0.25">
      <c r="A804" t="s">
        <v>24</v>
      </c>
      <c r="B804" t="s">
        <v>34</v>
      </c>
      <c r="C804">
        <v>160</v>
      </c>
      <c r="D804" t="s">
        <v>264</v>
      </c>
      <c r="E804" s="1">
        <v>43083</v>
      </c>
      <c r="F804" t="s">
        <v>252</v>
      </c>
      <c r="G804" t="s">
        <v>855</v>
      </c>
      <c r="H804">
        <v>150</v>
      </c>
      <c r="I804" t="s">
        <v>39</v>
      </c>
      <c r="J804">
        <v>0</v>
      </c>
      <c r="M804" t="s">
        <v>170</v>
      </c>
      <c r="N804" t="s">
        <v>857</v>
      </c>
      <c r="Q804" t="s">
        <v>254</v>
      </c>
    </row>
    <row r="805" spans="1:17" x14ac:dyDescent="0.25">
      <c r="A805" t="s">
        <v>24</v>
      </c>
      <c r="B805" t="s">
        <v>34</v>
      </c>
      <c r="C805">
        <v>160</v>
      </c>
      <c r="D805" t="s">
        <v>264</v>
      </c>
      <c r="E805" s="1">
        <v>43083</v>
      </c>
      <c r="F805" t="s">
        <v>252</v>
      </c>
      <c r="G805" t="s">
        <v>733</v>
      </c>
      <c r="H805">
        <v>100</v>
      </c>
      <c r="I805" t="s">
        <v>39</v>
      </c>
      <c r="J805">
        <v>0</v>
      </c>
      <c r="M805" t="s">
        <v>170</v>
      </c>
      <c r="N805" t="s">
        <v>854</v>
      </c>
      <c r="Q805" t="s">
        <v>254</v>
      </c>
    </row>
    <row r="806" spans="1:17" x14ac:dyDescent="0.25">
      <c r="A806" t="s">
        <v>24</v>
      </c>
      <c r="B806" t="s">
        <v>34</v>
      </c>
      <c r="C806">
        <v>160</v>
      </c>
      <c r="D806" t="s">
        <v>264</v>
      </c>
      <c r="E806" s="1">
        <v>43083</v>
      </c>
      <c r="F806" t="s">
        <v>252</v>
      </c>
      <c r="G806" t="s">
        <v>733</v>
      </c>
      <c r="H806">
        <v>100</v>
      </c>
      <c r="I806" t="s">
        <v>39</v>
      </c>
      <c r="J806">
        <v>3.9463605711199996</v>
      </c>
      <c r="K806">
        <v>394.64</v>
      </c>
      <c r="L806" t="s">
        <v>609</v>
      </c>
      <c r="M806" t="s">
        <v>171</v>
      </c>
      <c r="N806" t="s">
        <v>854</v>
      </c>
      <c r="O806">
        <v>3.946368117461915</v>
      </c>
      <c r="P806">
        <v>2351.0488059779359</v>
      </c>
      <c r="Q806" t="s">
        <v>254</v>
      </c>
    </row>
    <row r="807" spans="1:17" x14ac:dyDescent="0.25">
      <c r="A807" t="s">
        <v>24</v>
      </c>
      <c r="B807" t="s">
        <v>34</v>
      </c>
      <c r="C807">
        <v>160</v>
      </c>
      <c r="D807" t="s">
        <v>264</v>
      </c>
      <c r="E807" s="1">
        <v>43083</v>
      </c>
      <c r="F807" t="s">
        <v>252</v>
      </c>
      <c r="G807" t="s">
        <v>855</v>
      </c>
      <c r="H807">
        <v>150</v>
      </c>
      <c r="I807" t="s">
        <v>39</v>
      </c>
      <c r="J807">
        <v>3.9463553115060002</v>
      </c>
      <c r="K807">
        <v>591.95000000000005</v>
      </c>
      <c r="L807" t="s">
        <v>609</v>
      </c>
      <c r="M807" t="s">
        <v>171</v>
      </c>
      <c r="N807" t="s">
        <v>857</v>
      </c>
      <c r="O807">
        <v>3.9463611209895224</v>
      </c>
      <c r="P807">
        <v>2942.9988059779362</v>
      </c>
      <c r="Q807" t="s">
        <v>254</v>
      </c>
    </row>
    <row r="808" spans="1:17" x14ac:dyDescent="0.25">
      <c r="A808" t="s">
        <v>24</v>
      </c>
      <c r="B808" t="s">
        <v>34</v>
      </c>
      <c r="C808">
        <v>160</v>
      </c>
      <c r="D808" t="s">
        <v>264</v>
      </c>
      <c r="E808" s="1">
        <v>43084</v>
      </c>
      <c r="F808" t="s">
        <v>252</v>
      </c>
      <c r="G808" t="s">
        <v>858</v>
      </c>
      <c r="H808">
        <v>-150</v>
      </c>
      <c r="I808" t="s">
        <v>39</v>
      </c>
      <c r="J808">
        <v>0</v>
      </c>
      <c r="M808" t="s">
        <v>170</v>
      </c>
      <c r="N808" t="s">
        <v>860</v>
      </c>
      <c r="Q808" t="s">
        <v>254</v>
      </c>
    </row>
    <row r="809" spans="1:17" x14ac:dyDescent="0.25">
      <c r="A809" t="s">
        <v>24</v>
      </c>
      <c r="B809" t="s">
        <v>34</v>
      </c>
      <c r="C809">
        <v>160</v>
      </c>
      <c r="D809" t="s">
        <v>264</v>
      </c>
      <c r="E809" s="1">
        <v>43084</v>
      </c>
      <c r="F809" t="s">
        <v>252</v>
      </c>
      <c r="G809" t="s">
        <v>736</v>
      </c>
      <c r="H809">
        <v>-100</v>
      </c>
      <c r="I809" t="s">
        <v>39</v>
      </c>
      <c r="J809">
        <v>0</v>
      </c>
      <c r="M809" t="s">
        <v>170</v>
      </c>
      <c r="N809" t="s">
        <v>861</v>
      </c>
      <c r="Q809" t="s">
        <v>254</v>
      </c>
    </row>
    <row r="810" spans="1:17" x14ac:dyDescent="0.25">
      <c r="A810" t="s">
        <v>24</v>
      </c>
      <c r="B810" t="s">
        <v>34</v>
      </c>
      <c r="C810">
        <v>160</v>
      </c>
      <c r="D810" t="s">
        <v>264</v>
      </c>
      <c r="E810" s="1">
        <v>43084</v>
      </c>
      <c r="F810" t="s">
        <v>252</v>
      </c>
      <c r="G810" t="s">
        <v>858</v>
      </c>
      <c r="H810">
        <v>-150</v>
      </c>
      <c r="I810" t="s">
        <v>39</v>
      </c>
      <c r="J810">
        <v>3.9463611209900002</v>
      </c>
      <c r="K810">
        <v>-591.95000000000005</v>
      </c>
      <c r="L810" t="s">
        <v>609</v>
      </c>
      <c r="M810" t="s">
        <v>171</v>
      </c>
      <c r="N810" t="s">
        <v>860</v>
      </c>
      <c r="O810">
        <v>3.9463681174619158</v>
      </c>
      <c r="P810">
        <v>2351.0488059779364</v>
      </c>
      <c r="Q810" t="s">
        <v>254</v>
      </c>
    </row>
    <row r="811" spans="1:17" x14ac:dyDescent="0.25">
      <c r="A811" t="s">
        <v>24</v>
      </c>
      <c r="B811" t="s">
        <v>34</v>
      </c>
      <c r="C811">
        <v>160</v>
      </c>
      <c r="D811" t="s">
        <v>264</v>
      </c>
      <c r="E811" s="1">
        <v>43084</v>
      </c>
      <c r="F811" t="s">
        <v>252</v>
      </c>
      <c r="G811" t="s">
        <v>736</v>
      </c>
      <c r="H811">
        <v>-100</v>
      </c>
      <c r="I811" t="s">
        <v>39</v>
      </c>
      <c r="J811">
        <v>3.9463681174619998</v>
      </c>
      <c r="K811">
        <v>-394.64</v>
      </c>
      <c r="L811" t="s">
        <v>609</v>
      </c>
      <c r="M811" t="s">
        <v>171</v>
      </c>
      <c r="N811" t="s">
        <v>861</v>
      </c>
      <c r="O811">
        <v>3.9463616862893325</v>
      </c>
      <c r="P811">
        <v>1956.4088059779365</v>
      </c>
      <c r="Q811" t="s">
        <v>254</v>
      </c>
    </row>
    <row r="812" spans="1:17" x14ac:dyDescent="0.25">
      <c r="A812" t="s">
        <v>24</v>
      </c>
      <c r="B812" t="s">
        <v>34</v>
      </c>
      <c r="C812">
        <v>160</v>
      </c>
      <c r="D812" t="s">
        <v>264</v>
      </c>
      <c r="E812" s="1">
        <v>43089</v>
      </c>
      <c r="F812" t="s">
        <v>21</v>
      </c>
      <c r="G812" t="s">
        <v>2112</v>
      </c>
      <c r="H812">
        <v>1.27</v>
      </c>
      <c r="I812" t="s">
        <v>39</v>
      </c>
      <c r="J812">
        <v>0</v>
      </c>
      <c r="M812" t="s">
        <v>170</v>
      </c>
      <c r="N812" t="s">
        <v>2113</v>
      </c>
    </row>
    <row r="813" spans="1:17" x14ac:dyDescent="0.25">
      <c r="A813" t="s">
        <v>24</v>
      </c>
      <c r="B813" t="s">
        <v>34</v>
      </c>
      <c r="C813">
        <v>160</v>
      </c>
      <c r="D813" t="s">
        <v>264</v>
      </c>
      <c r="E813" s="1">
        <v>43089</v>
      </c>
      <c r="F813" t="s">
        <v>21</v>
      </c>
      <c r="G813" t="s">
        <v>2112</v>
      </c>
      <c r="H813">
        <v>1.27</v>
      </c>
      <c r="I813" t="s">
        <v>39</v>
      </c>
      <c r="J813">
        <v>0</v>
      </c>
      <c r="M813" t="s">
        <v>255</v>
      </c>
      <c r="N813" t="s">
        <v>2113</v>
      </c>
      <c r="O813">
        <v>3.9362778278096182</v>
      </c>
      <c r="P813">
        <v>1956.4088059779365</v>
      </c>
      <c r="Q813" t="s">
        <v>249</v>
      </c>
    </row>
    <row r="814" spans="1:17" x14ac:dyDescent="0.25">
      <c r="A814" t="s">
        <v>24</v>
      </c>
      <c r="B814" t="s">
        <v>34</v>
      </c>
      <c r="C814">
        <v>160</v>
      </c>
      <c r="D814" t="s">
        <v>264</v>
      </c>
      <c r="E814" s="1">
        <v>43089</v>
      </c>
      <c r="F814" t="s">
        <v>21</v>
      </c>
      <c r="G814" t="s">
        <v>2112</v>
      </c>
      <c r="H814">
        <v>3.6799999999999997</v>
      </c>
      <c r="I814" t="s">
        <v>39</v>
      </c>
      <c r="J814">
        <v>0</v>
      </c>
      <c r="M814" t="s">
        <v>170</v>
      </c>
      <c r="N814" t="s">
        <v>2114</v>
      </c>
    </row>
    <row r="815" spans="1:17" x14ac:dyDescent="0.25">
      <c r="A815" t="s">
        <v>24</v>
      </c>
      <c r="B815" t="s">
        <v>34</v>
      </c>
      <c r="C815">
        <v>160</v>
      </c>
      <c r="D815" t="s">
        <v>264</v>
      </c>
      <c r="E815" s="1">
        <v>43089</v>
      </c>
      <c r="F815" t="s">
        <v>21</v>
      </c>
      <c r="G815" t="s">
        <v>2112</v>
      </c>
      <c r="H815">
        <v>3.6799999999999997</v>
      </c>
      <c r="I815" t="s">
        <v>39</v>
      </c>
      <c r="J815">
        <v>0</v>
      </c>
      <c r="M815" t="s">
        <v>255</v>
      </c>
      <c r="N815" t="s">
        <v>2114</v>
      </c>
      <c r="O815">
        <v>3.9073473256998934</v>
      </c>
      <c r="P815">
        <v>1956.4088059779365</v>
      </c>
      <c r="Q815" t="s">
        <v>249</v>
      </c>
    </row>
    <row r="816" spans="1:17" x14ac:dyDescent="0.25">
      <c r="A816" t="s">
        <v>24</v>
      </c>
      <c r="B816" t="s">
        <v>34</v>
      </c>
      <c r="C816">
        <v>160</v>
      </c>
      <c r="D816" t="s">
        <v>264</v>
      </c>
      <c r="E816" s="1">
        <v>43096</v>
      </c>
      <c r="F816" t="s">
        <v>607</v>
      </c>
      <c r="H816">
        <v>4.95</v>
      </c>
      <c r="I816" t="s">
        <v>39</v>
      </c>
      <c r="J816">
        <v>3.9463599999999999</v>
      </c>
      <c r="K816">
        <v>19.53</v>
      </c>
      <c r="L816" t="s">
        <v>609</v>
      </c>
      <c r="M816" t="s">
        <v>171</v>
      </c>
      <c r="N816" t="s">
        <v>862</v>
      </c>
      <c r="O816">
        <v>3.9077203717550413</v>
      </c>
      <c r="P816">
        <v>1975.9388059779365</v>
      </c>
    </row>
    <row r="817" spans="1:17" x14ac:dyDescent="0.25">
      <c r="A817" t="s">
        <v>24</v>
      </c>
      <c r="B817" t="s">
        <v>34</v>
      </c>
      <c r="C817">
        <v>160</v>
      </c>
      <c r="D817" t="s">
        <v>264</v>
      </c>
      <c r="E817" s="1">
        <v>43096</v>
      </c>
      <c r="F817" t="s">
        <v>607</v>
      </c>
      <c r="H817">
        <v>-4.95</v>
      </c>
      <c r="I817" t="s">
        <v>39</v>
      </c>
      <c r="J817">
        <v>3.9077203717550413</v>
      </c>
      <c r="K817">
        <v>-19.343215840187455</v>
      </c>
      <c r="L817" t="s">
        <v>609</v>
      </c>
      <c r="M817" t="s">
        <v>255</v>
      </c>
      <c r="N817" t="s">
        <v>862</v>
      </c>
      <c r="O817">
        <v>3.9077203717550413</v>
      </c>
      <c r="P817">
        <v>1956.595590137749</v>
      </c>
      <c r="Q817" t="s">
        <v>249</v>
      </c>
    </row>
    <row r="818" spans="1:17" x14ac:dyDescent="0.25">
      <c r="A818" t="s">
        <v>77</v>
      </c>
      <c r="B818" t="s">
        <v>204</v>
      </c>
      <c r="C818">
        <v>160</v>
      </c>
      <c r="D818" t="s">
        <v>264</v>
      </c>
      <c r="E818" s="1">
        <v>43083</v>
      </c>
      <c r="F818" t="s">
        <v>252</v>
      </c>
      <c r="G818" t="s">
        <v>855</v>
      </c>
      <c r="H818">
        <v>60</v>
      </c>
      <c r="I818" t="s">
        <v>39</v>
      </c>
      <c r="J818">
        <v>0</v>
      </c>
      <c r="M818" t="s">
        <v>170</v>
      </c>
      <c r="N818" t="s">
        <v>863</v>
      </c>
      <c r="Q818" t="s">
        <v>254</v>
      </c>
    </row>
    <row r="819" spans="1:17" x14ac:dyDescent="0.25">
      <c r="A819" t="s">
        <v>77</v>
      </c>
      <c r="B819" t="s">
        <v>204</v>
      </c>
      <c r="C819">
        <v>160</v>
      </c>
      <c r="D819" t="s">
        <v>264</v>
      </c>
      <c r="E819" s="1">
        <v>43083</v>
      </c>
      <c r="F819" t="s">
        <v>252</v>
      </c>
      <c r="G819" t="s">
        <v>855</v>
      </c>
      <c r="H819">
        <v>60</v>
      </c>
      <c r="I819" t="s">
        <v>39</v>
      </c>
      <c r="J819">
        <v>3.4087941001360003</v>
      </c>
      <c r="K819">
        <v>204.53</v>
      </c>
      <c r="L819" t="s">
        <v>609</v>
      </c>
      <c r="M819" t="s">
        <v>171</v>
      </c>
      <c r="N819" t="s">
        <v>863</v>
      </c>
      <c r="O819">
        <v>3.4088125776530718</v>
      </c>
      <c r="P819">
        <v>3260.46105427361</v>
      </c>
      <c r="Q819" t="s">
        <v>254</v>
      </c>
    </row>
    <row r="820" spans="1:17" x14ac:dyDescent="0.25">
      <c r="A820" t="s">
        <v>77</v>
      </c>
      <c r="B820" t="s">
        <v>204</v>
      </c>
      <c r="C820">
        <v>160</v>
      </c>
      <c r="D820" t="s">
        <v>264</v>
      </c>
      <c r="E820" s="1">
        <v>43084</v>
      </c>
      <c r="F820" t="s">
        <v>252</v>
      </c>
      <c r="G820" t="s">
        <v>858</v>
      </c>
      <c r="H820">
        <v>-60</v>
      </c>
      <c r="I820" t="s">
        <v>39</v>
      </c>
      <c r="J820">
        <v>0</v>
      </c>
      <c r="M820" t="s">
        <v>170</v>
      </c>
      <c r="N820" t="s">
        <v>864</v>
      </c>
      <c r="Q820" t="s">
        <v>254</v>
      </c>
    </row>
    <row r="821" spans="1:17" x14ac:dyDescent="0.25">
      <c r="A821" t="s">
        <v>77</v>
      </c>
      <c r="B821" t="s">
        <v>204</v>
      </c>
      <c r="C821">
        <v>160</v>
      </c>
      <c r="D821" t="s">
        <v>264</v>
      </c>
      <c r="E821" s="1">
        <v>43084</v>
      </c>
      <c r="F821" t="s">
        <v>252</v>
      </c>
      <c r="G821" t="s">
        <v>858</v>
      </c>
      <c r="H821">
        <v>-60</v>
      </c>
      <c r="I821" t="s">
        <v>39</v>
      </c>
      <c r="J821">
        <v>3.4088125776529998</v>
      </c>
      <c r="K821">
        <v>-204.53</v>
      </c>
      <c r="L821" t="s">
        <v>609</v>
      </c>
      <c r="M821" t="s">
        <v>171</v>
      </c>
      <c r="N821" t="s">
        <v>864</v>
      </c>
      <c r="O821">
        <v>3.4088111885079528</v>
      </c>
      <c r="P821">
        <v>3055.9310542736098</v>
      </c>
      <c r="Q821" t="s">
        <v>254</v>
      </c>
    </row>
    <row r="822" spans="1:17" x14ac:dyDescent="0.25">
      <c r="A822" t="s">
        <v>77</v>
      </c>
      <c r="B822" t="s">
        <v>204</v>
      </c>
      <c r="C822">
        <v>160</v>
      </c>
      <c r="D822" t="s">
        <v>264</v>
      </c>
      <c r="E822" s="1">
        <v>43089</v>
      </c>
      <c r="F822" t="s">
        <v>252</v>
      </c>
      <c r="G822" t="s">
        <v>666</v>
      </c>
      <c r="H822">
        <v>-90</v>
      </c>
      <c r="I822" t="s">
        <v>39</v>
      </c>
      <c r="J822">
        <v>0</v>
      </c>
      <c r="M822" t="s">
        <v>170</v>
      </c>
      <c r="N822" t="s">
        <v>865</v>
      </c>
      <c r="Q822" t="s">
        <v>254</v>
      </c>
    </row>
    <row r="823" spans="1:17" x14ac:dyDescent="0.25">
      <c r="A823" t="s">
        <v>77</v>
      </c>
      <c r="B823" t="s">
        <v>204</v>
      </c>
      <c r="C823">
        <v>160</v>
      </c>
      <c r="D823" t="s">
        <v>264</v>
      </c>
      <c r="E823" s="1">
        <v>43089</v>
      </c>
      <c r="F823" t="s">
        <v>21</v>
      </c>
      <c r="G823" t="s">
        <v>2109</v>
      </c>
      <c r="H823">
        <v>1.25</v>
      </c>
      <c r="I823" t="s">
        <v>39</v>
      </c>
      <c r="J823">
        <v>0</v>
      </c>
      <c r="M823" t="s">
        <v>170</v>
      </c>
      <c r="N823" t="s">
        <v>2110</v>
      </c>
    </row>
    <row r="824" spans="1:17" x14ac:dyDescent="0.25">
      <c r="A824" t="s">
        <v>77</v>
      </c>
      <c r="B824" t="s">
        <v>204</v>
      </c>
      <c r="C824">
        <v>160</v>
      </c>
      <c r="D824" t="s">
        <v>264</v>
      </c>
      <c r="E824" s="1">
        <v>43089</v>
      </c>
      <c r="F824" t="s">
        <v>21</v>
      </c>
      <c r="G824" t="s">
        <v>2109</v>
      </c>
      <c r="H824">
        <v>1.25</v>
      </c>
      <c r="I824" t="s">
        <v>39</v>
      </c>
      <c r="J824">
        <v>0</v>
      </c>
      <c r="M824" t="s">
        <v>255</v>
      </c>
      <c r="N824" t="s">
        <v>2110</v>
      </c>
      <c r="O824">
        <v>3.4040647569688098</v>
      </c>
      <c r="P824">
        <v>3055.9310542736098</v>
      </c>
      <c r="Q824" t="s">
        <v>249</v>
      </c>
    </row>
    <row r="825" spans="1:17" x14ac:dyDescent="0.25">
      <c r="A825" t="s">
        <v>77</v>
      </c>
      <c r="B825" t="s">
        <v>204</v>
      </c>
      <c r="C825">
        <v>160</v>
      </c>
      <c r="D825" t="s">
        <v>264</v>
      </c>
      <c r="E825" s="1">
        <v>43089</v>
      </c>
      <c r="F825" t="s">
        <v>21</v>
      </c>
      <c r="G825" t="s">
        <v>2109</v>
      </c>
      <c r="H825">
        <v>1.54</v>
      </c>
      <c r="I825" t="s">
        <v>39</v>
      </c>
      <c r="J825">
        <v>0</v>
      </c>
      <c r="M825" t="s">
        <v>170</v>
      </c>
      <c r="N825" t="s">
        <v>2111</v>
      </c>
    </row>
    <row r="826" spans="1:17" x14ac:dyDescent="0.25">
      <c r="A826" t="s">
        <v>77</v>
      </c>
      <c r="B826" t="s">
        <v>204</v>
      </c>
      <c r="C826">
        <v>160</v>
      </c>
      <c r="D826" t="s">
        <v>264</v>
      </c>
      <c r="E826" s="1">
        <v>43089</v>
      </c>
      <c r="F826" t="s">
        <v>21</v>
      </c>
      <c r="G826" t="s">
        <v>2109</v>
      </c>
      <c r="H826">
        <v>1.54</v>
      </c>
      <c r="I826" t="s">
        <v>39</v>
      </c>
      <c r="J826">
        <v>0</v>
      </c>
      <c r="M826" t="s">
        <v>255</v>
      </c>
      <c r="N826" t="s">
        <v>2111</v>
      </c>
      <c r="O826">
        <v>3.3982352955993305</v>
      </c>
      <c r="P826">
        <v>3055.9310542736098</v>
      </c>
      <c r="Q826" t="s">
        <v>249</v>
      </c>
    </row>
    <row r="827" spans="1:17" x14ac:dyDescent="0.25">
      <c r="A827" t="s">
        <v>77</v>
      </c>
      <c r="B827" t="s">
        <v>204</v>
      </c>
      <c r="C827">
        <v>160</v>
      </c>
      <c r="D827" t="s">
        <v>264</v>
      </c>
      <c r="E827" s="1">
        <v>43089</v>
      </c>
      <c r="F827" t="s">
        <v>252</v>
      </c>
      <c r="G827" t="s">
        <v>666</v>
      </c>
      <c r="H827">
        <v>-90</v>
      </c>
      <c r="I827" t="s">
        <v>39</v>
      </c>
      <c r="J827">
        <v>3.4088111885080004</v>
      </c>
      <c r="K827">
        <v>-306.79000000000002</v>
      </c>
      <c r="L827" t="s">
        <v>609</v>
      </c>
      <c r="M827" t="s">
        <v>171</v>
      </c>
      <c r="N827" t="s">
        <v>865</v>
      </c>
      <c r="O827">
        <v>3.3970628520439532</v>
      </c>
      <c r="P827">
        <v>2749.1410542736098</v>
      </c>
      <c r="Q827" t="s">
        <v>254</v>
      </c>
    </row>
    <row r="828" spans="1:17" x14ac:dyDescent="0.25">
      <c r="A828" t="s">
        <v>77</v>
      </c>
      <c r="B828" t="s">
        <v>204</v>
      </c>
      <c r="C828">
        <v>160</v>
      </c>
      <c r="D828" t="s">
        <v>264</v>
      </c>
      <c r="E828" s="1">
        <v>43096</v>
      </c>
      <c r="F828" t="s">
        <v>607</v>
      </c>
      <c r="H828">
        <v>181.72</v>
      </c>
      <c r="I828" t="s">
        <v>39</v>
      </c>
      <c r="J828">
        <v>3.4088099999999999</v>
      </c>
      <c r="K828">
        <v>619.45000000000005</v>
      </c>
      <c r="L828" t="s">
        <v>609</v>
      </c>
      <c r="M828" t="s">
        <v>171</v>
      </c>
      <c r="N828" t="s">
        <v>866</v>
      </c>
      <c r="O828">
        <v>3.3992180085304695</v>
      </c>
      <c r="P828">
        <v>3368.5910542736101</v>
      </c>
    </row>
    <row r="829" spans="1:17" x14ac:dyDescent="0.25">
      <c r="A829" t="s">
        <v>77</v>
      </c>
      <c r="B829" t="s">
        <v>204</v>
      </c>
      <c r="C829">
        <v>160</v>
      </c>
      <c r="D829" t="s">
        <v>264</v>
      </c>
      <c r="E829" s="1">
        <v>43096</v>
      </c>
      <c r="F829" t="s">
        <v>607</v>
      </c>
      <c r="H829">
        <v>-181.72</v>
      </c>
      <c r="I829" t="s">
        <v>39</v>
      </c>
      <c r="J829">
        <v>3.3992180085304695</v>
      </c>
      <c r="K829">
        <v>-617.70589651015689</v>
      </c>
      <c r="L829" t="s">
        <v>609</v>
      </c>
      <c r="M829" t="s">
        <v>255</v>
      </c>
      <c r="N829" t="s">
        <v>866</v>
      </c>
      <c r="O829">
        <v>3.39921800853047</v>
      </c>
      <c r="P829">
        <v>2750.8851577634532</v>
      </c>
      <c r="Q829" t="s">
        <v>249</v>
      </c>
    </row>
    <row r="830" spans="1:17" x14ac:dyDescent="0.25">
      <c r="A830" t="s">
        <v>63</v>
      </c>
      <c r="B830" t="s">
        <v>95</v>
      </c>
      <c r="C830">
        <v>160</v>
      </c>
      <c r="D830" t="s">
        <v>264</v>
      </c>
      <c r="E830" s="1">
        <v>43070</v>
      </c>
      <c r="F830" t="s">
        <v>17</v>
      </c>
      <c r="G830" t="s">
        <v>872</v>
      </c>
      <c r="H830">
        <v>879.6</v>
      </c>
      <c r="I830" t="s">
        <v>39</v>
      </c>
      <c r="J830">
        <v>2.946236925875398</v>
      </c>
      <c r="K830">
        <v>2591.5100000000002</v>
      </c>
      <c r="L830" t="s">
        <v>246</v>
      </c>
      <c r="M830" t="s">
        <v>170</v>
      </c>
      <c r="N830" t="s">
        <v>874</v>
      </c>
      <c r="Q830" t="s">
        <v>254</v>
      </c>
    </row>
    <row r="831" spans="1:17" x14ac:dyDescent="0.25">
      <c r="A831" t="s">
        <v>63</v>
      </c>
      <c r="B831" t="s">
        <v>95</v>
      </c>
      <c r="C831">
        <v>160</v>
      </c>
      <c r="D831" t="s">
        <v>264</v>
      </c>
      <c r="E831" s="1">
        <v>43070</v>
      </c>
      <c r="F831" t="s">
        <v>17</v>
      </c>
      <c r="G831" t="s">
        <v>872</v>
      </c>
      <c r="H831">
        <v>713</v>
      </c>
      <c r="I831" t="s">
        <v>39</v>
      </c>
      <c r="J831">
        <v>2.9462412342215991</v>
      </c>
      <c r="K831">
        <v>2100.67</v>
      </c>
      <c r="L831" t="s">
        <v>246</v>
      </c>
      <c r="M831" t="s">
        <v>170</v>
      </c>
      <c r="N831" t="s">
        <v>875</v>
      </c>
      <c r="Q831" t="s">
        <v>254</v>
      </c>
    </row>
    <row r="832" spans="1:17" x14ac:dyDescent="0.25">
      <c r="A832" t="s">
        <v>63</v>
      </c>
      <c r="B832" t="s">
        <v>95</v>
      </c>
      <c r="C832">
        <v>160</v>
      </c>
      <c r="D832" t="s">
        <v>264</v>
      </c>
      <c r="E832" s="1">
        <v>43070</v>
      </c>
      <c r="F832" t="s">
        <v>17</v>
      </c>
      <c r="G832" t="s">
        <v>872</v>
      </c>
      <c r="H832">
        <v>109.95</v>
      </c>
      <c r="I832" t="s">
        <v>39</v>
      </c>
      <c r="J832">
        <v>3.4438381082309997</v>
      </c>
      <c r="K832">
        <v>323.94</v>
      </c>
      <c r="L832" t="s">
        <v>246</v>
      </c>
      <c r="M832" t="s">
        <v>171</v>
      </c>
      <c r="N832" t="s">
        <v>874</v>
      </c>
      <c r="O832">
        <v>4.6759966787490974</v>
      </c>
      <c r="P832">
        <v>3030.5134474972906</v>
      </c>
      <c r="Q832" t="s">
        <v>254</v>
      </c>
    </row>
    <row r="833" spans="1:17" x14ac:dyDescent="0.25">
      <c r="A833" t="s">
        <v>63</v>
      </c>
      <c r="B833" t="s">
        <v>95</v>
      </c>
      <c r="C833">
        <v>160</v>
      </c>
      <c r="D833" t="s">
        <v>264</v>
      </c>
      <c r="E833" s="1">
        <v>43070</v>
      </c>
      <c r="F833" t="s">
        <v>17</v>
      </c>
      <c r="G833" t="s">
        <v>872</v>
      </c>
      <c r="H833">
        <v>109.95</v>
      </c>
      <c r="I833" t="s">
        <v>39</v>
      </c>
      <c r="J833">
        <v>3.4438381082309997</v>
      </c>
      <c r="K833">
        <v>323.94</v>
      </c>
      <c r="L833" t="s">
        <v>246</v>
      </c>
      <c r="M833" t="s">
        <v>171</v>
      </c>
      <c r="N833" t="s">
        <v>874</v>
      </c>
      <c r="O833">
        <v>4.4251084328174786</v>
      </c>
      <c r="P833">
        <v>3354.4534474972907</v>
      </c>
      <c r="Q833" t="s">
        <v>254</v>
      </c>
    </row>
    <row r="834" spans="1:17" x14ac:dyDescent="0.25">
      <c r="A834" t="s">
        <v>63</v>
      </c>
      <c r="B834" t="s">
        <v>95</v>
      </c>
      <c r="C834">
        <v>160</v>
      </c>
      <c r="D834" t="s">
        <v>264</v>
      </c>
      <c r="E834" s="1">
        <v>43070</v>
      </c>
      <c r="F834" t="s">
        <v>17</v>
      </c>
      <c r="G834" t="s">
        <v>872</v>
      </c>
      <c r="H834">
        <v>109.95</v>
      </c>
      <c r="I834" t="s">
        <v>39</v>
      </c>
      <c r="J834">
        <v>3.4438381082309997</v>
      </c>
      <c r="K834">
        <v>323.94</v>
      </c>
      <c r="L834" t="s">
        <v>246</v>
      </c>
      <c r="M834" t="s">
        <v>171</v>
      </c>
      <c r="N834" t="s">
        <v>874</v>
      </c>
      <c r="O834">
        <v>4.2377804694669239</v>
      </c>
      <c r="P834">
        <v>3678.3934474972907</v>
      </c>
      <c r="Q834" t="s">
        <v>254</v>
      </c>
    </row>
    <row r="835" spans="1:17" x14ac:dyDescent="0.25">
      <c r="A835" t="s">
        <v>63</v>
      </c>
      <c r="B835" t="s">
        <v>95</v>
      </c>
      <c r="C835">
        <v>160</v>
      </c>
      <c r="D835" t="s">
        <v>264</v>
      </c>
      <c r="E835" s="1">
        <v>43070</v>
      </c>
      <c r="F835" t="s">
        <v>17</v>
      </c>
      <c r="G835" t="s">
        <v>872</v>
      </c>
      <c r="H835">
        <v>109.95</v>
      </c>
      <c r="I835" t="s">
        <v>39</v>
      </c>
      <c r="J835">
        <v>3.4438381082309997</v>
      </c>
      <c r="K835">
        <v>323.94</v>
      </c>
      <c r="L835" t="s">
        <v>246</v>
      </c>
      <c r="M835" t="s">
        <v>171</v>
      </c>
      <c r="N835" t="s">
        <v>874</v>
      </c>
      <c r="O835">
        <v>4.0925747200749418</v>
      </c>
      <c r="P835">
        <v>4002.3334474972908</v>
      </c>
      <c r="Q835" t="s">
        <v>254</v>
      </c>
    </row>
    <row r="836" spans="1:17" x14ac:dyDescent="0.25">
      <c r="A836" t="s">
        <v>63</v>
      </c>
      <c r="B836" t="s">
        <v>95</v>
      </c>
      <c r="C836">
        <v>160</v>
      </c>
      <c r="D836" t="s">
        <v>264</v>
      </c>
      <c r="E836" s="1">
        <v>43070</v>
      </c>
      <c r="F836" t="s">
        <v>17</v>
      </c>
      <c r="G836" t="s">
        <v>872</v>
      </c>
      <c r="H836">
        <v>109.95</v>
      </c>
      <c r="I836" t="s">
        <v>39</v>
      </c>
      <c r="J836">
        <v>3.4438381082309997</v>
      </c>
      <c r="K836">
        <v>323.94</v>
      </c>
      <c r="L836" t="s">
        <v>246</v>
      </c>
      <c r="M836" t="s">
        <v>171</v>
      </c>
      <c r="N836" t="s">
        <v>874</v>
      </c>
      <c r="O836">
        <v>3.9767197789293953</v>
      </c>
      <c r="P836">
        <v>4326.2734474972904</v>
      </c>
      <c r="Q836" t="s">
        <v>254</v>
      </c>
    </row>
    <row r="837" spans="1:17" x14ac:dyDescent="0.25">
      <c r="A837" t="s">
        <v>63</v>
      </c>
      <c r="B837" t="s">
        <v>95</v>
      </c>
      <c r="C837">
        <v>160</v>
      </c>
      <c r="D837" t="s">
        <v>264</v>
      </c>
      <c r="E837" s="1">
        <v>43070</v>
      </c>
      <c r="F837" t="s">
        <v>17</v>
      </c>
      <c r="G837" t="s">
        <v>872</v>
      </c>
      <c r="H837">
        <v>109.95</v>
      </c>
      <c r="I837" t="s">
        <v>39</v>
      </c>
      <c r="J837">
        <v>3.4438381082309997</v>
      </c>
      <c r="K837">
        <v>323.94</v>
      </c>
      <c r="L837" t="s">
        <v>246</v>
      </c>
      <c r="M837" t="s">
        <v>171</v>
      </c>
      <c r="N837" t="s">
        <v>874</v>
      </c>
      <c r="O837">
        <v>3.8821333618543963</v>
      </c>
      <c r="P837">
        <v>4650.21344749729</v>
      </c>
      <c r="Q837" t="s">
        <v>254</v>
      </c>
    </row>
    <row r="838" spans="1:17" x14ac:dyDescent="0.25">
      <c r="A838" t="s">
        <v>63</v>
      </c>
      <c r="B838" t="s">
        <v>95</v>
      </c>
      <c r="C838">
        <v>160</v>
      </c>
      <c r="D838" t="s">
        <v>264</v>
      </c>
      <c r="E838" s="1">
        <v>43070</v>
      </c>
      <c r="F838" t="s">
        <v>17</v>
      </c>
      <c r="G838" t="s">
        <v>872</v>
      </c>
      <c r="H838">
        <v>109.95</v>
      </c>
      <c r="I838" t="s">
        <v>39</v>
      </c>
      <c r="J838">
        <v>3.4438381082309997</v>
      </c>
      <c r="K838">
        <v>323.94</v>
      </c>
      <c r="L838" t="s">
        <v>246</v>
      </c>
      <c r="M838" t="s">
        <v>171</v>
      </c>
      <c r="N838" t="s">
        <v>874</v>
      </c>
      <c r="O838">
        <v>3.8034511756364031</v>
      </c>
      <c r="P838">
        <v>4974.1534474972896</v>
      </c>
      <c r="Q838" t="s">
        <v>254</v>
      </c>
    </row>
    <row r="839" spans="1:17" x14ac:dyDescent="0.25">
      <c r="A839" t="s">
        <v>63</v>
      </c>
      <c r="B839" t="s">
        <v>95</v>
      </c>
      <c r="C839">
        <v>160</v>
      </c>
      <c r="D839" t="s">
        <v>264</v>
      </c>
      <c r="E839" s="1">
        <v>43070</v>
      </c>
      <c r="F839" t="s">
        <v>17</v>
      </c>
      <c r="G839" t="s">
        <v>872</v>
      </c>
      <c r="H839">
        <v>109.95</v>
      </c>
      <c r="I839" t="s">
        <v>39</v>
      </c>
      <c r="J839">
        <v>3.4434743065030005</v>
      </c>
      <c r="K839">
        <v>323.93</v>
      </c>
      <c r="L839" t="s">
        <v>246</v>
      </c>
      <c r="M839" t="s">
        <v>171</v>
      </c>
      <c r="N839" t="s">
        <v>874</v>
      </c>
      <c r="O839">
        <v>3.7369659301691329</v>
      </c>
      <c r="P839">
        <v>5298.0834474972899</v>
      </c>
      <c r="Q839" t="s">
        <v>254</v>
      </c>
    </row>
    <row r="840" spans="1:17" x14ac:dyDescent="0.25">
      <c r="A840" t="s">
        <v>63</v>
      </c>
      <c r="B840" t="s">
        <v>95</v>
      </c>
      <c r="C840">
        <v>160</v>
      </c>
      <c r="D840" t="s">
        <v>264</v>
      </c>
      <c r="E840" s="1">
        <v>43070</v>
      </c>
      <c r="F840" t="s">
        <v>17</v>
      </c>
      <c r="G840" t="s">
        <v>872</v>
      </c>
      <c r="H840">
        <v>106.95</v>
      </c>
      <c r="I840" t="s">
        <v>39</v>
      </c>
      <c r="J840">
        <v>3.443758765778</v>
      </c>
      <c r="K840">
        <v>315.10000000000002</v>
      </c>
      <c r="L840" t="s">
        <v>246</v>
      </c>
      <c r="M840" t="s">
        <v>171</v>
      </c>
      <c r="N840" t="s">
        <v>875</v>
      </c>
      <c r="O840">
        <v>3.6815002607052461</v>
      </c>
      <c r="P840">
        <v>5613.1834474972902</v>
      </c>
      <c r="Q840" t="s">
        <v>254</v>
      </c>
    </row>
    <row r="841" spans="1:17" x14ac:dyDescent="0.25">
      <c r="A841" t="s">
        <v>63</v>
      </c>
      <c r="B841" t="s">
        <v>95</v>
      </c>
      <c r="C841">
        <v>160</v>
      </c>
      <c r="D841" t="s">
        <v>264</v>
      </c>
      <c r="E841" s="1">
        <v>43070</v>
      </c>
      <c r="F841" t="s">
        <v>17</v>
      </c>
      <c r="G841" t="s">
        <v>872</v>
      </c>
      <c r="H841">
        <v>106.95</v>
      </c>
      <c r="I841" t="s">
        <v>39</v>
      </c>
      <c r="J841">
        <v>3.443758765778</v>
      </c>
      <c r="K841">
        <v>315.10000000000002</v>
      </c>
      <c r="L841" t="s">
        <v>246</v>
      </c>
      <c r="M841" t="s">
        <v>171</v>
      </c>
      <c r="N841" t="s">
        <v>875</v>
      </c>
      <c r="O841">
        <v>3.6333058238576217</v>
      </c>
      <c r="P841">
        <v>5928.2834474972906</v>
      </c>
      <c r="Q841" t="s">
        <v>254</v>
      </c>
    </row>
    <row r="842" spans="1:17" x14ac:dyDescent="0.25">
      <c r="A842" t="s">
        <v>63</v>
      </c>
      <c r="B842" t="s">
        <v>95</v>
      </c>
      <c r="C842">
        <v>160</v>
      </c>
      <c r="D842" t="s">
        <v>264</v>
      </c>
      <c r="E842" s="1">
        <v>43070</v>
      </c>
      <c r="F842" t="s">
        <v>17</v>
      </c>
      <c r="G842" t="s">
        <v>872</v>
      </c>
      <c r="H842">
        <v>71.3</v>
      </c>
      <c r="I842" t="s">
        <v>39</v>
      </c>
      <c r="J842">
        <v>3.443758765778</v>
      </c>
      <c r="K842">
        <v>210.07</v>
      </c>
      <c r="L842" t="s">
        <v>246</v>
      </c>
      <c r="M842" t="s">
        <v>171</v>
      </c>
      <c r="N842" t="s">
        <v>875</v>
      </c>
      <c r="O842">
        <v>3.6045412064342983</v>
      </c>
      <c r="P842">
        <v>6138.3534474972903</v>
      </c>
      <c r="Q842" t="s">
        <v>254</v>
      </c>
    </row>
    <row r="843" spans="1:17" x14ac:dyDescent="0.25">
      <c r="A843" t="s">
        <v>63</v>
      </c>
      <c r="B843" t="s">
        <v>95</v>
      </c>
      <c r="C843">
        <v>160</v>
      </c>
      <c r="D843" t="s">
        <v>264</v>
      </c>
      <c r="E843" s="1">
        <v>43070</v>
      </c>
      <c r="F843" t="s">
        <v>17</v>
      </c>
      <c r="G843" t="s">
        <v>872</v>
      </c>
      <c r="H843">
        <v>106.95</v>
      </c>
      <c r="I843" t="s">
        <v>39</v>
      </c>
      <c r="J843">
        <v>3.443758765778</v>
      </c>
      <c r="K843">
        <v>315.10000000000002</v>
      </c>
      <c r="L843" t="s">
        <v>246</v>
      </c>
      <c r="M843" t="s">
        <v>171</v>
      </c>
      <c r="N843" t="s">
        <v>875</v>
      </c>
      <c r="O843">
        <v>3.5656408903791861</v>
      </c>
      <c r="P843">
        <v>6453.4534474972907</v>
      </c>
      <c r="Q843" t="s">
        <v>254</v>
      </c>
    </row>
    <row r="844" spans="1:17" x14ac:dyDescent="0.25">
      <c r="A844" t="s">
        <v>63</v>
      </c>
      <c r="B844" t="s">
        <v>95</v>
      </c>
      <c r="C844">
        <v>160</v>
      </c>
      <c r="D844" t="s">
        <v>264</v>
      </c>
      <c r="E844" s="1">
        <v>43070</v>
      </c>
      <c r="F844" t="s">
        <v>17</v>
      </c>
      <c r="G844" t="s">
        <v>872</v>
      </c>
      <c r="H844">
        <v>106.95</v>
      </c>
      <c r="I844" t="s">
        <v>39</v>
      </c>
      <c r="J844">
        <v>3.443758765778</v>
      </c>
      <c r="K844">
        <v>315.10000000000002</v>
      </c>
      <c r="L844" t="s">
        <v>246</v>
      </c>
      <c r="M844" t="s">
        <v>171</v>
      </c>
      <c r="N844" t="s">
        <v>875</v>
      </c>
      <c r="O844">
        <v>3.5310814343831227</v>
      </c>
      <c r="P844">
        <v>6768.553447497291</v>
      </c>
      <c r="Q844" t="s">
        <v>254</v>
      </c>
    </row>
    <row r="845" spans="1:17" x14ac:dyDescent="0.25">
      <c r="A845" t="s">
        <v>63</v>
      </c>
      <c r="B845" t="s">
        <v>95</v>
      </c>
      <c r="C845">
        <v>160</v>
      </c>
      <c r="D845" t="s">
        <v>264</v>
      </c>
      <c r="E845" s="1">
        <v>43070</v>
      </c>
      <c r="F845" t="s">
        <v>17</v>
      </c>
      <c r="G845" t="s">
        <v>872</v>
      </c>
      <c r="H845">
        <v>106.95</v>
      </c>
      <c r="I845" t="s">
        <v>39</v>
      </c>
      <c r="J845">
        <v>3.443758765778</v>
      </c>
      <c r="K845">
        <v>315.10000000000002</v>
      </c>
      <c r="L845" t="s">
        <v>246</v>
      </c>
      <c r="M845" t="s">
        <v>171</v>
      </c>
      <c r="N845" t="s">
        <v>875</v>
      </c>
      <c r="O845">
        <v>3.5001746454675802</v>
      </c>
      <c r="P845">
        <v>7083.6534474972914</v>
      </c>
      <c r="Q845" t="s">
        <v>254</v>
      </c>
    </row>
    <row r="846" spans="1:17" x14ac:dyDescent="0.25">
      <c r="A846" t="s">
        <v>63</v>
      </c>
      <c r="B846" t="s">
        <v>95</v>
      </c>
      <c r="C846">
        <v>160</v>
      </c>
      <c r="D846" t="s">
        <v>264</v>
      </c>
      <c r="E846" s="1">
        <v>43070</v>
      </c>
      <c r="F846" t="s">
        <v>17</v>
      </c>
      <c r="G846" t="s">
        <v>872</v>
      </c>
      <c r="H846">
        <v>106.95</v>
      </c>
      <c r="I846" t="s">
        <v>39</v>
      </c>
      <c r="J846">
        <v>3.444039270687</v>
      </c>
      <c r="K846">
        <v>315.10000000000002</v>
      </c>
      <c r="L846" t="s">
        <v>246</v>
      </c>
      <c r="M846" t="s">
        <v>171</v>
      </c>
      <c r="N846" t="s">
        <v>875</v>
      </c>
      <c r="O846">
        <v>3.4723705021693254</v>
      </c>
      <c r="P846">
        <v>7398.7534474972917</v>
      </c>
      <c r="Q846" t="s">
        <v>254</v>
      </c>
    </row>
    <row r="847" spans="1:17" x14ac:dyDescent="0.25">
      <c r="A847" t="s">
        <v>63</v>
      </c>
      <c r="B847" t="s">
        <v>95</v>
      </c>
      <c r="C847">
        <v>160</v>
      </c>
      <c r="D847" t="s">
        <v>264</v>
      </c>
      <c r="E847" s="1">
        <v>43075</v>
      </c>
      <c r="F847" t="s">
        <v>21</v>
      </c>
      <c r="G847" t="s">
        <v>1865</v>
      </c>
      <c r="H847">
        <v>0.35</v>
      </c>
      <c r="I847" t="s">
        <v>39</v>
      </c>
      <c r="J847">
        <v>0</v>
      </c>
      <c r="M847" t="s">
        <v>170</v>
      </c>
      <c r="N847" t="s">
        <v>1866</v>
      </c>
    </row>
    <row r="848" spans="1:17" x14ac:dyDescent="0.25">
      <c r="A848" t="s">
        <v>63</v>
      </c>
      <c r="B848" t="s">
        <v>95</v>
      </c>
      <c r="C848">
        <v>160</v>
      </c>
      <c r="D848" t="s">
        <v>264</v>
      </c>
      <c r="E848" s="1">
        <v>43075</v>
      </c>
      <c r="F848" t="s">
        <v>21</v>
      </c>
      <c r="G848" t="s">
        <v>1865</v>
      </c>
      <c r="H848">
        <v>0.35</v>
      </c>
      <c r="I848" t="s">
        <v>39</v>
      </c>
      <c r="J848">
        <v>0</v>
      </c>
      <c r="M848" t="s">
        <v>255</v>
      </c>
      <c r="N848" t="s">
        <v>1866</v>
      </c>
      <c r="O848">
        <v>3.471800219369007</v>
      </c>
      <c r="P848">
        <v>7398.7534474972917</v>
      </c>
      <c r="Q848" t="s">
        <v>249</v>
      </c>
    </row>
    <row r="849" spans="1:17" x14ac:dyDescent="0.25">
      <c r="A849" t="s">
        <v>63</v>
      </c>
      <c r="B849" t="s">
        <v>95</v>
      </c>
      <c r="C849">
        <v>160</v>
      </c>
      <c r="D849" t="s">
        <v>264</v>
      </c>
      <c r="E849" s="1">
        <v>43076</v>
      </c>
      <c r="F849" t="s">
        <v>252</v>
      </c>
      <c r="G849" t="s">
        <v>876</v>
      </c>
      <c r="H849">
        <v>-9</v>
      </c>
      <c r="I849" t="s">
        <v>39</v>
      </c>
      <c r="J849">
        <v>0</v>
      </c>
      <c r="M849" t="s">
        <v>170</v>
      </c>
      <c r="N849" t="s">
        <v>878</v>
      </c>
      <c r="Q849" t="s">
        <v>254</v>
      </c>
    </row>
    <row r="850" spans="1:17" x14ac:dyDescent="0.25">
      <c r="A850" t="s">
        <v>63</v>
      </c>
      <c r="B850" t="s">
        <v>95</v>
      </c>
      <c r="C850">
        <v>160</v>
      </c>
      <c r="D850" t="s">
        <v>264</v>
      </c>
      <c r="E850" s="1">
        <v>43076</v>
      </c>
      <c r="F850" t="s">
        <v>252</v>
      </c>
      <c r="G850" t="s">
        <v>876</v>
      </c>
      <c r="H850">
        <v>-9</v>
      </c>
      <c r="I850" t="s">
        <v>39</v>
      </c>
      <c r="J850">
        <v>5.0294034144699999</v>
      </c>
      <c r="K850">
        <v>-45.26</v>
      </c>
      <c r="L850" t="s">
        <v>609</v>
      </c>
      <c r="M850" t="s">
        <v>171</v>
      </c>
      <c r="N850" t="s">
        <v>878</v>
      </c>
      <c r="O850">
        <v>3.4651964787226288</v>
      </c>
      <c r="P850">
        <v>7353.4934474972915</v>
      </c>
      <c r="Q850" t="s">
        <v>254</v>
      </c>
    </row>
    <row r="851" spans="1:17" x14ac:dyDescent="0.25">
      <c r="A851" t="s">
        <v>63</v>
      </c>
      <c r="B851" t="s">
        <v>95</v>
      </c>
      <c r="C851">
        <v>160</v>
      </c>
      <c r="D851" t="s">
        <v>264</v>
      </c>
      <c r="E851" s="1">
        <v>43080</v>
      </c>
      <c r="F851" t="s">
        <v>252</v>
      </c>
      <c r="G851" t="s">
        <v>879</v>
      </c>
      <c r="H851">
        <v>-4</v>
      </c>
      <c r="I851" t="s">
        <v>39</v>
      </c>
      <c r="J851">
        <v>0</v>
      </c>
      <c r="M851" t="s">
        <v>170</v>
      </c>
      <c r="N851" t="s">
        <v>881</v>
      </c>
      <c r="Q851" t="s">
        <v>254</v>
      </c>
    </row>
    <row r="852" spans="1:17" x14ac:dyDescent="0.25">
      <c r="A852" t="s">
        <v>63</v>
      </c>
      <c r="B852" t="s">
        <v>95</v>
      </c>
      <c r="C852">
        <v>160</v>
      </c>
      <c r="D852" t="s">
        <v>264</v>
      </c>
      <c r="E852" s="1">
        <v>43080</v>
      </c>
      <c r="F852" t="s">
        <v>252</v>
      </c>
      <c r="G852" t="s">
        <v>879</v>
      </c>
      <c r="H852">
        <v>-4</v>
      </c>
      <c r="I852" t="s">
        <v>39</v>
      </c>
      <c r="J852">
        <v>5.0294121657320003</v>
      </c>
      <c r="K852">
        <v>-20.12</v>
      </c>
      <c r="L852" t="s">
        <v>609</v>
      </c>
      <c r="M852" t="s">
        <v>171</v>
      </c>
      <c r="N852" t="s">
        <v>881</v>
      </c>
      <c r="O852">
        <v>3.4622413708027433</v>
      </c>
      <c r="P852">
        <v>7333.3734474972916</v>
      </c>
      <c r="Q852" t="s">
        <v>254</v>
      </c>
    </row>
    <row r="853" spans="1:17" x14ac:dyDescent="0.25">
      <c r="A853" t="s">
        <v>63</v>
      </c>
      <c r="B853" t="s">
        <v>95</v>
      </c>
      <c r="C853">
        <v>160</v>
      </c>
      <c r="D853" t="s">
        <v>264</v>
      </c>
      <c r="E853" s="1">
        <v>43089</v>
      </c>
      <c r="F853" t="s">
        <v>21</v>
      </c>
      <c r="G853" t="s">
        <v>2079</v>
      </c>
      <c r="H853">
        <v>-0.16</v>
      </c>
      <c r="I853" t="s">
        <v>39</v>
      </c>
      <c r="J853">
        <v>0</v>
      </c>
      <c r="M853" t="s">
        <v>170</v>
      </c>
      <c r="N853" t="s">
        <v>2080</v>
      </c>
    </row>
    <row r="854" spans="1:17" x14ac:dyDescent="0.25">
      <c r="A854" t="s">
        <v>63</v>
      </c>
      <c r="B854" t="s">
        <v>95</v>
      </c>
      <c r="C854">
        <v>160</v>
      </c>
      <c r="D854" t="s">
        <v>264</v>
      </c>
      <c r="E854" s="1">
        <v>43089</v>
      </c>
      <c r="F854" t="s">
        <v>21</v>
      </c>
      <c r="G854" t="s">
        <v>2079</v>
      </c>
      <c r="H854">
        <v>-0.16</v>
      </c>
      <c r="I854" t="s">
        <v>39</v>
      </c>
      <c r="J854">
        <v>3.4622413708027433</v>
      </c>
      <c r="K854">
        <v>-0.55395861932843893</v>
      </c>
      <c r="M854" t="s">
        <v>255</v>
      </c>
      <c r="N854" t="s">
        <v>2080</v>
      </c>
      <c r="O854">
        <v>3.4622413708027433</v>
      </c>
      <c r="P854">
        <v>7332.8194888779635</v>
      </c>
      <c r="Q854" t="s">
        <v>249</v>
      </c>
    </row>
    <row r="855" spans="1:17" x14ac:dyDescent="0.25">
      <c r="A855" t="s">
        <v>63</v>
      </c>
      <c r="B855" t="s">
        <v>95</v>
      </c>
      <c r="C855">
        <v>160</v>
      </c>
      <c r="D855" t="s">
        <v>264</v>
      </c>
      <c r="E855" s="1">
        <v>43089</v>
      </c>
      <c r="F855" t="s">
        <v>21</v>
      </c>
      <c r="G855" t="s">
        <v>2079</v>
      </c>
      <c r="H855">
        <v>-0.41</v>
      </c>
      <c r="I855" t="s">
        <v>39</v>
      </c>
      <c r="J855">
        <v>0</v>
      </c>
      <c r="M855" t="s">
        <v>170</v>
      </c>
      <c r="N855" t="s">
        <v>2081</v>
      </c>
    </row>
    <row r="856" spans="1:17" x14ac:dyDescent="0.25">
      <c r="A856" t="s">
        <v>63</v>
      </c>
      <c r="B856" t="s">
        <v>95</v>
      </c>
      <c r="C856">
        <v>160</v>
      </c>
      <c r="D856" t="s">
        <v>264</v>
      </c>
      <c r="E856" s="1">
        <v>43089</v>
      </c>
      <c r="F856" t="s">
        <v>21</v>
      </c>
      <c r="G856" t="s">
        <v>2079</v>
      </c>
      <c r="H856">
        <v>-0.41</v>
      </c>
      <c r="I856" t="s">
        <v>39</v>
      </c>
      <c r="J856">
        <v>3.4622413708027433</v>
      </c>
      <c r="K856">
        <v>-1.4195189620291246</v>
      </c>
      <c r="M856" t="s">
        <v>255</v>
      </c>
      <c r="N856" t="s">
        <v>2081</v>
      </c>
      <c r="O856">
        <v>3.4622413708027429</v>
      </c>
      <c r="P856">
        <v>7331.399969915934</v>
      </c>
      <c r="Q856" t="s">
        <v>249</v>
      </c>
    </row>
    <row r="857" spans="1:17" x14ac:dyDescent="0.25">
      <c r="A857" t="s">
        <v>63</v>
      </c>
      <c r="B857" t="s">
        <v>95</v>
      </c>
      <c r="C857">
        <v>160</v>
      </c>
      <c r="D857" t="s">
        <v>264</v>
      </c>
      <c r="E857" s="1">
        <v>43089</v>
      </c>
      <c r="F857" t="s">
        <v>21</v>
      </c>
      <c r="G857" t="s">
        <v>2079</v>
      </c>
      <c r="H857">
        <v>-2.0300000000000002</v>
      </c>
      <c r="I857" t="s">
        <v>39</v>
      </c>
      <c r="J857">
        <v>0</v>
      </c>
      <c r="M857" t="s">
        <v>170</v>
      </c>
      <c r="N857" t="s">
        <v>2082</v>
      </c>
    </row>
    <row r="858" spans="1:17" x14ac:dyDescent="0.25">
      <c r="A858" t="s">
        <v>63</v>
      </c>
      <c r="B858" t="s">
        <v>95</v>
      </c>
      <c r="C858">
        <v>160</v>
      </c>
      <c r="D858" t="s">
        <v>264</v>
      </c>
      <c r="E858" s="1">
        <v>43089</v>
      </c>
      <c r="F858" t="s">
        <v>21</v>
      </c>
      <c r="G858" t="s">
        <v>2079</v>
      </c>
      <c r="H858">
        <v>-2.0300000000000002</v>
      </c>
      <c r="I858" t="s">
        <v>39</v>
      </c>
      <c r="J858">
        <v>3.4622413708027429</v>
      </c>
      <c r="K858">
        <v>-7.0283499827295692</v>
      </c>
      <c r="M858" t="s">
        <v>255</v>
      </c>
      <c r="N858" t="s">
        <v>2082</v>
      </c>
      <c r="O858">
        <v>3.4622413708027433</v>
      </c>
      <c r="P858">
        <v>7324.3716199332048</v>
      </c>
      <c r="Q858" t="s">
        <v>249</v>
      </c>
    </row>
    <row r="859" spans="1:17" x14ac:dyDescent="0.25">
      <c r="A859" t="s">
        <v>63</v>
      </c>
      <c r="B859" t="s">
        <v>95</v>
      </c>
      <c r="C859">
        <v>160</v>
      </c>
      <c r="D859" t="s">
        <v>264</v>
      </c>
      <c r="E859" s="1">
        <v>43089</v>
      </c>
      <c r="F859" t="s">
        <v>21</v>
      </c>
      <c r="G859" t="s">
        <v>2079</v>
      </c>
      <c r="H859">
        <v>-2.9</v>
      </c>
      <c r="I859" t="s">
        <v>39</v>
      </c>
      <c r="J859">
        <v>0</v>
      </c>
      <c r="M859" t="s">
        <v>170</v>
      </c>
      <c r="N859" t="s">
        <v>2083</v>
      </c>
    </row>
    <row r="860" spans="1:17" x14ac:dyDescent="0.25">
      <c r="A860" t="s">
        <v>63</v>
      </c>
      <c r="B860" t="s">
        <v>95</v>
      </c>
      <c r="C860">
        <v>160</v>
      </c>
      <c r="D860" t="s">
        <v>264</v>
      </c>
      <c r="E860" s="1">
        <v>43089</v>
      </c>
      <c r="F860" t="s">
        <v>21</v>
      </c>
      <c r="G860" t="s">
        <v>2079</v>
      </c>
      <c r="H860">
        <v>-2.9</v>
      </c>
      <c r="I860" t="s">
        <v>39</v>
      </c>
      <c r="J860">
        <v>3.4622413708027433</v>
      </c>
      <c r="K860">
        <v>-10.040499975327956</v>
      </c>
      <c r="M860" t="s">
        <v>255</v>
      </c>
      <c r="N860" t="s">
        <v>2083</v>
      </c>
      <c r="O860">
        <v>3.4622413708027433</v>
      </c>
      <c r="P860">
        <v>7314.3311199578766</v>
      </c>
      <c r="Q860" t="s">
        <v>249</v>
      </c>
    </row>
    <row r="861" spans="1:17" x14ac:dyDescent="0.25">
      <c r="A861" t="s">
        <v>63</v>
      </c>
      <c r="B861" t="s">
        <v>95</v>
      </c>
      <c r="C861">
        <v>160</v>
      </c>
      <c r="D861" t="s">
        <v>264</v>
      </c>
      <c r="E861" s="1">
        <v>43089</v>
      </c>
      <c r="F861" t="s">
        <v>21</v>
      </c>
      <c r="G861" t="s">
        <v>2079</v>
      </c>
      <c r="H861">
        <v>1.8800000000000001</v>
      </c>
      <c r="I861" t="s">
        <v>39</v>
      </c>
      <c r="J861">
        <v>0</v>
      </c>
      <c r="M861" t="s">
        <v>170</v>
      </c>
      <c r="N861" t="s">
        <v>2084</v>
      </c>
    </row>
    <row r="862" spans="1:17" x14ac:dyDescent="0.25">
      <c r="A862" t="s">
        <v>63</v>
      </c>
      <c r="B862" t="s">
        <v>95</v>
      </c>
      <c r="C862">
        <v>160</v>
      </c>
      <c r="D862" t="s">
        <v>264</v>
      </c>
      <c r="E862" s="1">
        <v>43089</v>
      </c>
      <c r="F862" t="s">
        <v>21</v>
      </c>
      <c r="G862" t="s">
        <v>2079</v>
      </c>
      <c r="H862">
        <v>1.8800000000000001</v>
      </c>
      <c r="I862" t="s">
        <v>39</v>
      </c>
      <c r="J862">
        <v>0</v>
      </c>
      <c r="M862" t="s">
        <v>255</v>
      </c>
      <c r="N862" t="s">
        <v>2084</v>
      </c>
      <c r="O862">
        <v>3.459163066076707</v>
      </c>
      <c r="P862">
        <v>7314.3311199578766</v>
      </c>
      <c r="Q862" t="s">
        <v>249</v>
      </c>
    </row>
    <row r="863" spans="1:17" x14ac:dyDescent="0.25">
      <c r="A863" t="s">
        <v>63</v>
      </c>
      <c r="B863" t="s">
        <v>95</v>
      </c>
      <c r="C863">
        <v>160</v>
      </c>
      <c r="D863" t="s">
        <v>264</v>
      </c>
      <c r="E863" s="1">
        <v>43089</v>
      </c>
      <c r="F863" t="s">
        <v>21</v>
      </c>
      <c r="G863" t="s">
        <v>2079</v>
      </c>
      <c r="H863">
        <v>1.6</v>
      </c>
      <c r="I863" t="s">
        <v>39</v>
      </c>
      <c r="J863">
        <v>0</v>
      </c>
      <c r="M863" t="s">
        <v>170</v>
      </c>
      <c r="N863" t="s">
        <v>2085</v>
      </c>
    </row>
    <row r="864" spans="1:17" x14ac:dyDescent="0.25">
      <c r="A864" t="s">
        <v>63</v>
      </c>
      <c r="B864" t="s">
        <v>95</v>
      </c>
      <c r="C864">
        <v>160</v>
      </c>
      <c r="D864" t="s">
        <v>264</v>
      </c>
      <c r="E864" s="1">
        <v>43089</v>
      </c>
      <c r="F864" t="s">
        <v>21</v>
      </c>
      <c r="G864" t="s">
        <v>2079</v>
      </c>
      <c r="H864">
        <v>1.6</v>
      </c>
      <c r="I864" t="s">
        <v>39</v>
      </c>
      <c r="J864">
        <v>0</v>
      </c>
      <c r="M864" t="s">
        <v>255</v>
      </c>
      <c r="N864" t="s">
        <v>2085</v>
      </c>
      <c r="O864">
        <v>3.4565475407157931</v>
      </c>
      <c r="P864">
        <v>7314.3311199578766</v>
      </c>
      <c r="Q864" t="s">
        <v>249</v>
      </c>
    </row>
    <row r="865" spans="1:17" x14ac:dyDescent="0.25">
      <c r="A865" t="s">
        <v>63</v>
      </c>
      <c r="B865" t="s">
        <v>95</v>
      </c>
      <c r="C865">
        <v>160</v>
      </c>
      <c r="D865" t="s">
        <v>264</v>
      </c>
      <c r="E865" s="1">
        <v>43089</v>
      </c>
      <c r="F865" t="s">
        <v>21</v>
      </c>
      <c r="G865" t="s">
        <v>2079</v>
      </c>
      <c r="H865">
        <v>-0.2</v>
      </c>
      <c r="I865" t="s">
        <v>39</v>
      </c>
      <c r="J865">
        <v>0</v>
      </c>
      <c r="M865" t="s">
        <v>170</v>
      </c>
      <c r="N865" t="s">
        <v>2086</v>
      </c>
    </row>
    <row r="866" spans="1:17" x14ac:dyDescent="0.25">
      <c r="A866" t="s">
        <v>63</v>
      </c>
      <c r="B866" t="s">
        <v>95</v>
      </c>
      <c r="C866">
        <v>160</v>
      </c>
      <c r="D866" t="s">
        <v>264</v>
      </c>
      <c r="E866" s="1">
        <v>43089</v>
      </c>
      <c r="F866" t="s">
        <v>21</v>
      </c>
      <c r="G866" t="s">
        <v>2079</v>
      </c>
      <c r="H866">
        <v>-0.2</v>
      </c>
      <c r="I866" t="s">
        <v>39</v>
      </c>
      <c r="J866">
        <v>3.4565475407157931</v>
      </c>
      <c r="K866">
        <v>-0.69130950814315861</v>
      </c>
      <c r="M866" t="s">
        <v>255</v>
      </c>
      <c r="N866" t="s">
        <v>2086</v>
      </c>
      <c r="O866">
        <v>3.4565475407157926</v>
      </c>
      <c r="P866">
        <v>7313.639810449733</v>
      </c>
      <c r="Q866" t="s">
        <v>249</v>
      </c>
    </row>
    <row r="867" spans="1:17" x14ac:dyDescent="0.25">
      <c r="A867" t="s">
        <v>63</v>
      </c>
      <c r="B867" t="s">
        <v>95</v>
      </c>
      <c r="C867">
        <v>160</v>
      </c>
      <c r="D867" t="s">
        <v>264</v>
      </c>
      <c r="E867" s="1">
        <v>43096</v>
      </c>
      <c r="F867" t="s">
        <v>607</v>
      </c>
      <c r="H867">
        <v>-1.8699999999999999</v>
      </c>
      <c r="I867" t="s">
        <v>39</v>
      </c>
      <c r="J867">
        <v>3.8369900000000001</v>
      </c>
      <c r="K867">
        <v>-7.18</v>
      </c>
      <c r="L867" t="s">
        <v>609</v>
      </c>
      <c r="M867" t="s">
        <v>171</v>
      </c>
      <c r="N867" t="s">
        <v>882</v>
      </c>
      <c r="O867">
        <v>3.4562087267561319</v>
      </c>
      <c r="P867">
        <v>7306.4598104497327</v>
      </c>
    </row>
    <row r="868" spans="1:17" x14ac:dyDescent="0.25">
      <c r="A868" t="s">
        <v>63</v>
      </c>
      <c r="B868" t="s">
        <v>95</v>
      </c>
      <c r="C868">
        <v>160</v>
      </c>
      <c r="D868" t="s">
        <v>264</v>
      </c>
      <c r="E868" s="1">
        <v>43096</v>
      </c>
      <c r="F868" t="s">
        <v>607</v>
      </c>
      <c r="H868">
        <v>1.8699999999999999</v>
      </c>
      <c r="I868" t="s">
        <v>39</v>
      </c>
      <c r="J868">
        <v>3.8369900000000001</v>
      </c>
      <c r="K868">
        <v>-7.18</v>
      </c>
      <c r="L868" t="s">
        <v>609</v>
      </c>
      <c r="M868" t="s">
        <v>255</v>
      </c>
      <c r="N868" t="s">
        <v>882</v>
      </c>
      <c r="O868">
        <v>3.449760766418573</v>
      </c>
      <c r="P868">
        <v>7299.2798104497324</v>
      </c>
      <c r="Q868" t="s">
        <v>249</v>
      </c>
    </row>
    <row r="869" spans="1:17" x14ac:dyDescent="0.25">
      <c r="A869" t="s">
        <v>404</v>
      </c>
      <c r="B869" t="s">
        <v>1137</v>
      </c>
      <c r="C869">
        <v>160</v>
      </c>
      <c r="D869" t="s">
        <v>264</v>
      </c>
      <c r="E869" s="1">
        <v>43089</v>
      </c>
      <c r="F869" t="s">
        <v>21</v>
      </c>
      <c r="G869" t="s">
        <v>2146</v>
      </c>
      <c r="H869">
        <v>-126</v>
      </c>
      <c r="I869" t="s">
        <v>37</v>
      </c>
      <c r="J869">
        <v>0</v>
      </c>
      <c r="M869" t="s">
        <v>170</v>
      </c>
      <c r="N869" t="s">
        <v>2148</v>
      </c>
    </row>
    <row r="870" spans="1:17" x14ac:dyDescent="0.25">
      <c r="A870" t="s">
        <v>404</v>
      </c>
      <c r="B870" t="s">
        <v>1137</v>
      </c>
      <c r="C870">
        <v>160</v>
      </c>
      <c r="D870" t="s">
        <v>264</v>
      </c>
      <c r="E870" s="1">
        <v>43089</v>
      </c>
      <c r="F870" t="s">
        <v>21</v>
      </c>
      <c r="G870" t="s">
        <v>2146</v>
      </c>
      <c r="H870">
        <v>-126</v>
      </c>
      <c r="I870" t="s">
        <v>37</v>
      </c>
      <c r="J870">
        <v>0</v>
      </c>
      <c r="K870">
        <v>0</v>
      </c>
      <c r="M870" t="s">
        <v>255</v>
      </c>
      <c r="N870" t="s">
        <v>2148</v>
      </c>
      <c r="O870">
        <v>0</v>
      </c>
      <c r="P870">
        <v>0</v>
      </c>
      <c r="Q870" t="s">
        <v>249</v>
      </c>
    </row>
    <row r="871" spans="1:17" x14ac:dyDescent="0.25">
      <c r="A871" t="s">
        <v>405</v>
      </c>
      <c r="B871" t="s">
        <v>1138</v>
      </c>
      <c r="C871">
        <v>160</v>
      </c>
      <c r="D871" t="s">
        <v>264</v>
      </c>
      <c r="E871" s="1">
        <v>43089</v>
      </c>
      <c r="F871" t="s">
        <v>21</v>
      </c>
      <c r="G871" t="s">
        <v>2146</v>
      </c>
      <c r="H871">
        <v>-156</v>
      </c>
      <c r="I871" t="s">
        <v>37</v>
      </c>
      <c r="J871">
        <v>0</v>
      </c>
      <c r="M871" t="s">
        <v>170</v>
      </c>
      <c r="N871" t="s">
        <v>2149</v>
      </c>
    </row>
    <row r="872" spans="1:17" x14ac:dyDescent="0.25">
      <c r="A872" t="s">
        <v>405</v>
      </c>
      <c r="B872" t="s">
        <v>1138</v>
      </c>
      <c r="C872">
        <v>160</v>
      </c>
      <c r="D872" t="s">
        <v>264</v>
      </c>
      <c r="E872" s="1">
        <v>43089</v>
      </c>
      <c r="F872" t="s">
        <v>21</v>
      </c>
      <c r="G872" t="s">
        <v>2146</v>
      </c>
      <c r="H872">
        <v>-156</v>
      </c>
      <c r="I872" t="s">
        <v>37</v>
      </c>
      <c r="J872">
        <v>0</v>
      </c>
      <c r="K872">
        <v>0</v>
      </c>
      <c r="M872" t="s">
        <v>255</v>
      </c>
      <c r="N872" t="s">
        <v>2149</v>
      </c>
      <c r="O872">
        <v>0</v>
      </c>
      <c r="P872">
        <v>0</v>
      </c>
      <c r="Q872" t="s">
        <v>249</v>
      </c>
    </row>
    <row r="873" spans="1:17" x14ac:dyDescent="0.25">
      <c r="A873" t="s">
        <v>103</v>
      </c>
      <c r="B873" t="s">
        <v>104</v>
      </c>
      <c r="C873">
        <v>160</v>
      </c>
      <c r="D873" t="s">
        <v>264</v>
      </c>
      <c r="E873" s="1">
        <v>43070</v>
      </c>
      <c r="F873" t="s">
        <v>1648</v>
      </c>
      <c r="G873" t="s">
        <v>1649</v>
      </c>
      <c r="H873">
        <v>1</v>
      </c>
      <c r="I873" t="s">
        <v>37</v>
      </c>
      <c r="J873">
        <v>0</v>
      </c>
      <c r="M873" t="s">
        <v>170</v>
      </c>
      <c r="N873" t="s">
        <v>1650</v>
      </c>
    </row>
    <row r="874" spans="1:17" x14ac:dyDescent="0.25">
      <c r="A874" t="s">
        <v>103</v>
      </c>
      <c r="B874" t="s">
        <v>104</v>
      </c>
      <c r="C874">
        <v>160</v>
      </c>
      <c r="D874" t="s">
        <v>264</v>
      </c>
      <c r="E874" s="1">
        <v>43070</v>
      </c>
      <c r="F874" t="s">
        <v>1648</v>
      </c>
      <c r="G874" t="s">
        <v>1649</v>
      </c>
      <c r="H874">
        <v>1</v>
      </c>
      <c r="I874" t="s">
        <v>37</v>
      </c>
      <c r="J874">
        <v>0</v>
      </c>
      <c r="M874" t="s">
        <v>255</v>
      </c>
      <c r="N874" t="s">
        <v>1650</v>
      </c>
      <c r="O874">
        <v>0</v>
      </c>
      <c r="P874">
        <v>0</v>
      </c>
      <c r="Q874" t="s">
        <v>249</v>
      </c>
    </row>
    <row r="875" spans="1:17" x14ac:dyDescent="0.25">
      <c r="A875" t="s">
        <v>103</v>
      </c>
      <c r="B875" t="s">
        <v>104</v>
      </c>
      <c r="C875">
        <v>160</v>
      </c>
      <c r="D875" t="s">
        <v>264</v>
      </c>
      <c r="E875" s="1">
        <v>43075</v>
      </c>
      <c r="F875" t="s">
        <v>252</v>
      </c>
      <c r="G875" t="s">
        <v>885</v>
      </c>
      <c r="H875">
        <v>-1</v>
      </c>
      <c r="I875" t="s">
        <v>37</v>
      </c>
      <c r="J875">
        <v>0</v>
      </c>
      <c r="M875" t="s">
        <v>170</v>
      </c>
      <c r="N875" t="s">
        <v>1477</v>
      </c>
    </row>
    <row r="876" spans="1:17" x14ac:dyDescent="0.25">
      <c r="A876" t="s">
        <v>103</v>
      </c>
      <c r="B876" t="s">
        <v>104</v>
      </c>
      <c r="C876">
        <v>160</v>
      </c>
      <c r="D876" t="s">
        <v>264</v>
      </c>
      <c r="E876" s="1">
        <v>43075</v>
      </c>
      <c r="F876" t="s">
        <v>252</v>
      </c>
      <c r="G876" t="s">
        <v>885</v>
      </c>
      <c r="H876">
        <v>-1</v>
      </c>
      <c r="I876" t="s">
        <v>37</v>
      </c>
      <c r="J876">
        <v>0</v>
      </c>
      <c r="K876">
        <v>0</v>
      </c>
      <c r="M876" t="s">
        <v>255</v>
      </c>
      <c r="N876" t="s">
        <v>1477</v>
      </c>
      <c r="O876">
        <v>0</v>
      </c>
      <c r="P876">
        <v>0</v>
      </c>
      <c r="Q876" t="s">
        <v>249</v>
      </c>
    </row>
    <row r="877" spans="1:17" x14ac:dyDescent="0.25">
      <c r="A877" t="s">
        <v>103</v>
      </c>
      <c r="B877" t="s">
        <v>104</v>
      </c>
      <c r="C877">
        <v>160</v>
      </c>
      <c r="D877" t="s">
        <v>264</v>
      </c>
      <c r="E877" s="1">
        <v>43075</v>
      </c>
      <c r="F877" t="s">
        <v>1648</v>
      </c>
      <c r="G877" t="s">
        <v>1657</v>
      </c>
      <c r="H877">
        <v>16</v>
      </c>
      <c r="I877" t="s">
        <v>37</v>
      </c>
      <c r="J877">
        <v>0</v>
      </c>
      <c r="M877" t="s">
        <v>170</v>
      </c>
      <c r="N877" t="s">
        <v>1658</v>
      </c>
    </row>
    <row r="878" spans="1:17" x14ac:dyDescent="0.25">
      <c r="A878" t="s">
        <v>103</v>
      </c>
      <c r="B878" t="s">
        <v>104</v>
      </c>
      <c r="C878">
        <v>160</v>
      </c>
      <c r="D878" t="s">
        <v>264</v>
      </c>
      <c r="E878" s="1">
        <v>43075</v>
      </c>
      <c r="F878" t="s">
        <v>1648</v>
      </c>
      <c r="G878" t="s">
        <v>1657</v>
      </c>
      <c r="H878">
        <v>16</v>
      </c>
      <c r="I878" t="s">
        <v>37</v>
      </c>
      <c r="J878">
        <v>0</v>
      </c>
      <c r="M878" t="s">
        <v>255</v>
      </c>
      <c r="N878" t="s">
        <v>1658</v>
      </c>
      <c r="O878">
        <v>0</v>
      </c>
      <c r="P878">
        <v>0</v>
      </c>
      <c r="Q878" t="s">
        <v>249</v>
      </c>
    </row>
    <row r="879" spans="1:17" x14ac:dyDescent="0.25">
      <c r="A879" t="s">
        <v>103</v>
      </c>
      <c r="B879" t="s">
        <v>104</v>
      </c>
      <c r="C879">
        <v>160</v>
      </c>
      <c r="D879" t="s">
        <v>264</v>
      </c>
      <c r="E879" s="1">
        <v>43075</v>
      </c>
      <c r="F879" t="s">
        <v>1648</v>
      </c>
      <c r="G879" t="s">
        <v>1659</v>
      </c>
      <c r="H879">
        <v>10</v>
      </c>
      <c r="I879" t="s">
        <v>37</v>
      </c>
      <c r="J879">
        <v>0</v>
      </c>
      <c r="M879" t="s">
        <v>170</v>
      </c>
      <c r="N879" t="s">
        <v>1660</v>
      </c>
    </row>
    <row r="880" spans="1:17" x14ac:dyDescent="0.25">
      <c r="A880" t="s">
        <v>103</v>
      </c>
      <c r="B880" t="s">
        <v>104</v>
      </c>
      <c r="C880">
        <v>160</v>
      </c>
      <c r="D880" t="s">
        <v>264</v>
      </c>
      <c r="E880" s="1">
        <v>43075</v>
      </c>
      <c r="F880" t="s">
        <v>1648</v>
      </c>
      <c r="G880" t="s">
        <v>1659</v>
      </c>
      <c r="H880">
        <v>10</v>
      </c>
      <c r="I880" t="s">
        <v>37</v>
      </c>
      <c r="J880">
        <v>0</v>
      </c>
      <c r="M880" t="s">
        <v>255</v>
      </c>
      <c r="N880" t="s">
        <v>1660</v>
      </c>
      <c r="O880">
        <v>0</v>
      </c>
      <c r="P880">
        <v>0</v>
      </c>
      <c r="Q880" t="s">
        <v>249</v>
      </c>
    </row>
    <row r="881" spans="1:17" x14ac:dyDescent="0.25">
      <c r="A881" t="s">
        <v>103</v>
      </c>
      <c r="B881" t="s">
        <v>104</v>
      </c>
      <c r="C881">
        <v>160</v>
      </c>
      <c r="D881" t="s">
        <v>264</v>
      </c>
      <c r="E881" s="1">
        <v>43075</v>
      </c>
      <c r="F881" t="s">
        <v>1648</v>
      </c>
      <c r="G881" t="s">
        <v>1661</v>
      </c>
      <c r="H881">
        <v>10</v>
      </c>
      <c r="I881" t="s">
        <v>37</v>
      </c>
      <c r="J881">
        <v>0</v>
      </c>
      <c r="M881" t="s">
        <v>170</v>
      </c>
      <c r="N881" t="s">
        <v>1662</v>
      </c>
    </row>
    <row r="882" spans="1:17" x14ac:dyDescent="0.25">
      <c r="A882" t="s">
        <v>103</v>
      </c>
      <c r="B882" t="s">
        <v>104</v>
      </c>
      <c r="C882">
        <v>160</v>
      </c>
      <c r="D882" t="s">
        <v>264</v>
      </c>
      <c r="E882" s="1">
        <v>43075</v>
      </c>
      <c r="F882" t="s">
        <v>1648</v>
      </c>
      <c r="G882" t="s">
        <v>1661</v>
      </c>
      <c r="H882">
        <v>10</v>
      </c>
      <c r="I882" t="s">
        <v>37</v>
      </c>
      <c r="J882">
        <v>0</v>
      </c>
      <c r="M882" t="s">
        <v>255</v>
      </c>
      <c r="N882" t="s">
        <v>1662</v>
      </c>
      <c r="O882">
        <v>0</v>
      </c>
      <c r="P882">
        <v>0</v>
      </c>
      <c r="Q882" t="s">
        <v>249</v>
      </c>
    </row>
    <row r="883" spans="1:17" x14ac:dyDescent="0.25">
      <c r="A883" t="s">
        <v>103</v>
      </c>
      <c r="B883" t="s">
        <v>104</v>
      </c>
      <c r="C883">
        <v>160</v>
      </c>
      <c r="D883" t="s">
        <v>264</v>
      </c>
      <c r="E883" s="1">
        <v>43075</v>
      </c>
      <c r="F883" t="s">
        <v>1648</v>
      </c>
      <c r="G883" t="s">
        <v>1663</v>
      </c>
      <c r="H883">
        <v>2</v>
      </c>
      <c r="I883" t="s">
        <v>37</v>
      </c>
      <c r="J883">
        <v>0</v>
      </c>
      <c r="M883" t="s">
        <v>170</v>
      </c>
      <c r="N883" t="s">
        <v>1664</v>
      </c>
    </row>
    <row r="884" spans="1:17" x14ac:dyDescent="0.25">
      <c r="A884" t="s">
        <v>103</v>
      </c>
      <c r="B884" t="s">
        <v>104</v>
      </c>
      <c r="C884">
        <v>160</v>
      </c>
      <c r="D884" t="s">
        <v>264</v>
      </c>
      <c r="E884" s="1">
        <v>43075</v>
      </c>
      <c r="F884" t="s">
        <v>1648</v>
      </c>
      <c r="G884" t="s">
        <v>1663</v>
      </c>
      <c r="H884">
        <v>2</v>
      </c>
      <c r="I884" t="s">
        <v>37</v>
      </c>
      <c r="J884">
        <v>0</v>
      </c>
      <c r="M884" t="s">
        <v>255</v>
      </c>
      <c r="N884" t="s">
        <v>1664</v>
      </c>
      <c r="O884">
        <v>0</v>
      </c>
      <c r="P884">
        <v>0</v>
      </c>
      <c r="Q884" t="s">
        <v>249</v>
      </c>
    </row>
    <row r="885" spans="1:17" x14ac:dyDescent="0.25">
      <c r="A885" t="s">
        <v>103</v>
      </c>
      <c r="B885" t="s">
        <v>104</v>
      </c>
      <c r="C885">
        <v>160</v>
      </c>
      <c r="D885" t="s">
        <v>264</v>
      </c>
      <c r="E885" s="1">
        <v>43075</v>
      </c>
      <c r="F885" t="s">
        <v>1648</v>
      </c>
      <c r="G885" t="s">
        <v>1665</v>
      </c>
      <c r="H885">
        <v>2</v>
      </c>
      <c r="I885" t="s">
        <v>37</v>
      </c>
      <c r="J885">
        <v>0</v>
      </c>
      <c r="M885" t="s">
        <v>170</v>
      </c>
      <c r="N885" t="s">
        <v>1666</v>
      </c>
    </row>
    <row r="886" spans="1:17" x14ac:dyDescent="0.25">
      <c r="A886" t="s">
        <v>103</v>
      </c>
      <c r="B886" t="s">
        <v>104</v>
      </c>
      <c r="C886">
        <v>160</v>
      </c>
      <c r="D886" t="s">
        <v>264</v>
      </c>
      <c r="E886" s="1">
        <v>43075</v>
      </c>
      <c r="F886" t="s">
        <v>1648</v>
      </c>
      <c r="G886" t="s">
        <v>1665</v>
      </c>
      <c r="H886">
        <v>2</v>
      </c>
      <c r="I886" t="s">
        <v>37</v>
      </c>
      <c r="J886">
        <v>0</v>
      </c>
      <c r="M886" t="s">
        <v>255</v>
      </c>
      <c r="N886" t="s">
        <v>1666</v>
      </c>
      <c r="O886">
        <v>0</v>
      </c>
      <c r="P886">
        <v>0</v>
      </c>
      <c r="Q886" t="s">
        <v>249</v>
      </c>
    </row>
    <row r="887" spans="1:17" x14ac:dyDescent="0.25">
      <c r="A887" t="s">
        <v>103</v>
      </c>
      <c r="B887" t="s">
        <v>104</v>
      </c>
      <c r="C887">
        <v>160</v>
      </c>
      <c r="D887" t="s">
        <v>264</v>
      </c>
      <c r="E887" s="1">
        <v>43075</v>
      </c>
      <c r="F887" t="s">
        <v>1648</v>
      </c>
      <c r="G887" t="s">
        <v>1667</v>
      </c>
      <c r="H887">
        <v>6</v>
      </c>
      <c r="I887" t="s">
        <v>37</v>
      </c>
      <c r="J887">
        <v>0</v>
      </c>
      <c r="M887" t="s">
        <v>170</v>
      </c>
      <c r="N887" t="s">
        <v>1668</v>
      </c>
    </row>
    <row r="888" spans="1:17" x14ac:dyDescent="0.25">
      <c r="A888" t="s">
        <v>103</v>
      </c>
      <c r="B888" t="s">
        <v>104</v>
      </c>
      <c r="C888">
        <v>160</v>
      </c>
      <c r="D888" t="s">
        <v>264</v>
      </c>
      <c r="E888" s="1">
        <v>43075</v>
      </c>
      <c r="F888" t="s">
        <v>1648</v>
      </c>
      <c r="G888" t="s">
        <v>1667</v>
      </c>
      <c r="H888">
        <v>6</v>
      </c>
      <c r="I888" t="s">
        <v>37</v>
      </c>
      <c r="J888">
        <v>0</v>
      </c>
      <c r="M888" t="s">
        <v>255</v>
      </c>
      <c r="N888" t="s">
        <v>1668</v>
      </c>
      <c r="O888">
        <v>0</v>
      </c>
      <c r="P888">
        <v>0</v>
      </c>
      <c r="Q888" t="s">
        <v>249</v>
      </c>
    </row>
    <row r="889" spans="1:17" x14ac:dyDescent="0.25">
      <c r="A889" t="s">
        <v>103</v>
      </c>
      <c r="B889" t="s">
        <v>104</v>
      </c>
      <c r="C889">
        <v>160</v>
      </c>
      <c r="D889" t="s">
        <v>264</v>
      </c>
      <c r="E889" s="1">
        <v>43075</v>
      </c>
      <c r="F889" t="s">
        <v>1648</v>
      </c>
      <c r="G889" t="s">
        <v>1669</v>
      </c>
      <c r="H889">
        <v>8</v>
      </c>
      <c r="I889" t="s">
        <v>37</v>
      </c>
      <c r="J889">
        <v>0</v>
      </c>
      <c r="M889" t="s">
        <v>170</v>
      </c>
      <c r="N889" t="s">
        <v>1670</v>
      </c>
    </row>
    <row r="890" spans="1:17" x14ac:dyDescent="0.25">
      <c r="A890" t="s">
        <v>103</v>
      </c>
      <c r="B890" t="s">
        <v>104</v>
      </c>
      <c r="C890">
        <v>160</v>
      </c>
      <c r="D890" t="s">
        <v>264</v>
      </c>
      <c r="E890" s="1">
        <v>43075</v>
      </c>
      <c r="F890" t="s">
        <v>1648</v>
      </c>
      <c r="G890" t="s">
        <v>1669</v>
      </c>
      <c r="H890">
        <v>8</v>
      </c>
      <c r="I890" t="s">
        <v>37</v>
      </c>
      <c r="J890">
        <v>0</v>
      </c>
      <c r="M890" t="s">
        <v>255</v>
      </c>
      <c r="N890" t="s">
        <v>1670</v>
      </c>
      <c r="O890">
        <v>0</v>
      </c>
      <c r="P890">
        <v>0</v>
      </c>
      <c r="Q890" t="s">
        <v>249</v>
      </c>
    </row>
    <row r="891" spans="1:17" x14ac:dyDescent="0.25">
      <c r="A891" t="s">
        <v>103</v>
      </c>
      <c r="B891" t="s">
        <v>104</v>
      </c>
      <c r="C891">
        <v>160</v>
      </c>
      <c r="D891" t="s">
        <v>264</v>
      </c>
      <c r="E891" s="1">
        <v>43076</v>
      </c>
      <c r="F891" t="s">
        <v>252</v>
      </c>
      <c r="G891" t="s">
        <v>1486</v>
      </c>
      <c r="H891">
        <v>-16</v>
      </c>
      <c r="I891" t="s">
        <v>37</v>
      </c>
      <c r="J891">
        <v>0</v>
      </c>
      <c r="M891" t="s">
        <v>170</v>
      </c>
      <c r="N891" t="s">
        <v>1488</v>
      </c>
    </row>
    <row r="892" spans="1:17" x14ac:dyDescent="0.25">
      <c r="A892" t="s">
        <v>103</v>
      </c>
      <c r="B892" t="s">
        <v>104</v>
      </c>
      <c r="C892">
        <v>160</v>
      </c>
      <c r="D892" t="s">
        <v>264</v>
      </c>
      <c r="E892" s="1">
        <v>43076</v>
      </c>
      <c r="F892" t="s">
        <v>252</v>
      </c>
      <c r="G892" t="s">
        <v>1486</v>
      </c>
      <c r="H892">
        <v>-16</v>
      </c>
      <c r="I892" t="s">
        <v>37</v>
      </c>
      <c r="J892">
        <v>0</v>
      </c>
      <c r="K892">
        <v>0</v>
      </c>
      <c r="M892" t="s">
        <v>255</v>
      </c>
      <c r="N892" t="s">
        <v>1488</v>
      </c>
      <c r="O892">
        <v>0</v>
      </c>
      <c r="P892">
        <v>0</v>
      </c>
      <c r="Q892" t="s">
        <v>249</v>
      </c>
    </row>
    <row r="893" spans="1:17" x14ac:dyDescent="0.25">
      <c r="A893" t="s">
        <v>103</v>
      </c>
      <c r="B893" t="s">
        <v>104</v>
      </c>
      <c r="C893">
        <v>160</v>
      </c>
      <c r="D893" t="s">
        <v>264</v>
      </c>
      <c r="E893" s="1">
        <v>43076</v>
      </c>
      <c r="F893" t="s">
        <v>252</v>
      </c>
      <c r="G893" t="s">
        <v>1486</v>
      </c>
      <c r="H893">
        <v>-10</v>
      </c>
      <c r="I893" t="s">
        <v>37</v>
      </c>
      <c r="J893">
        <v>0</v>
      </c>
      <c r="M893" t="s">
        <v>170</v>
      </c>
      <c r="N893" t="s">
        <v>1489</v>
      </c>
    </row>
    <row r="894" spans="1:17" x14ac:dyDescent="0.25">
      <c r="A894" t="s">
        <v>103</v>
      </c>
      <c r="B894" t="s">
        <v>104</v>
      </c>
      <c r="C894">
        <v>160</v>
      </c>
      <c r="D894" t="s">
        <v>264</v>
      </c>
      <c r="E894" s="1">
        <v>43076</v>
      </c>
      <c r="F894" t="s">
        <v>252</v>
      </c>
      <c r="G894" t="s">
        <v>1486</v>
      </c>
      <c r="H894">
        <v>-10</v>
      </c>
      <c r="I894" t="s">
        <v>37</v>
      </c>
      <c r="J894">
        <v>0</v>
      </c>
      <c r="K894">
        <v>0</v>
      </c>
      <c r="M894" t="s">
        <v>255</v>
      </c>
      <c r="N894" t="s">
        <v>1489</v>
      </c>
      <c r="O894">
        <v>0</v>
      </c>
      <c r="P894">
        <v>0</v>
      </c>
      <c r="Q894" t="s">
        <v>249</v>
      </c>
    </row>
    <row r="895" spans="1:17" x14ac:dyDescent="0.25">
      <c r="A895" t="s">
        <v>103</v>
      </c>
      <c r="B895" t="s">
        <v>104</v>
      </c>
      <c r="C895">
        <v>160</v>
      </c>
      <c r="D895" t="s">
        <v>264</v>
      </c>
      <c r="E895" s="1">
        <v>43076</v>
      </c>
      <c r="F895" t="s">
        <v>252</v>
      </c>
      <c r="G895" t="s">
        <v>1486</v>
      </c>
      <c r="H895">
        <v>-10</v>
      </c>
      <c r="I895" t="s">
        <v>37</v>
      </c>
      <c r="J895">
        <v>0</v>
      </c>
      <c r="M895" t="s">
        <v>170</v>
      </c>
      <c r="N895" t="s">
        <v>1490</v>
      </c>
    </row>
    <row r="896" spans="1:17" x14ac:dyDescent="0.25">
      <c r="A896" t="s">
        <v>103</v>
      </c>
      <c r="B896" t="s">
        <v>104</v>
      </c>
      <c r="C896">
        <v>160</v>
      </c>
      <c r="D896" t="s">
        <v>264</v>
      </c>
      <c r="E896" s="1">
        <v>43076</v>
      </c>
      <c r="F896" t="s">
        <v>252</v>
      </c>
      <c r="G896" t="s">
        <v>1486</v>
      </c>
      <c r="H896">
        <v>-10</v>
      </c>
      <c r="I896" t="s">
        <v>37</v>
      </c>
      <c r="J896">
        <v>0</v>
      </c>
      <c r="K896">
        <v>0</v>
      </c>
      <c r="M896" t="s">
        <v>255</v>
      </c>
      <c r="N896" t="s">
        <v>1490</v>
      </c>
      <c r="O896">
        <v>0</v>
      </c>
      <c r="P896">
        <v>0</v>
      </c>
      <c r="Q896" t="s">
        <v>249</v>
      </c>
    </row>
    <row r="897" spans="1:17" x14ac:dyDescent="0.25">
      <c r="A897" t="s">
        <v>103</v>
      </c>
      <c r="B897" t="s">
        <v>104</v>
      </c>
      <c r="C897">
        <v>160</v>
      </c>
      <c r="D897" t="s">
        <v>264</v>
      </c>
      <c r="E897" s="1">
        <v>43076</v>
      </c>
      <c r="F897" t="s">
        <v>252</v>
      </c>
      <c r="G897" t="s">
        <v>1486</v>
      </c>
      <c r="H897">
        <v>-2</v>
      </c>
      <c r="I897" t="s">
        <v>37</v>
      </c>
      <c r="J897">
        <v>0</v>
      </c>
      <c r="M897" t="s">
        <v>170</v>
      </c>
      <c r="N897" t="s">
        <v>1491</v>
      </c>
    </row>
    <row r="898" spans="1:17" x14ac:dyDescent="0.25">
      <c r="A898" t="s">
        <v>103</v>
      </c>
      <c r="B898" t="s">
        <v>104</v>
      </c>
      <c r="C898">
        <v>160</v>
      </c>
      <c r="D898" t="s">
        <v>264</v>
      </c>
      <c r="E898" s="1">
        <v>43076</v>
      </c>
      <c r="F898" t="s">
        <v>252</v>
      </c>
      <c r="G898" t="s">
        <v>1486</v>
      </c>
      <c r="H898">
        <v>-2</v>
      </c>
      <c r="I898" t="s">
        <v>37</v>
      </c>
      <c r="J898">
        <v>0</v>
      </c>
      <c r="K898">
        <v>0</v>
      </c>
      <c r="M898" t="s">
        <v>255</v>
      </c>
      <c r="N898" t="s">
        <v>1491</v>
      </c>
      <c r="O898">
        <v>0</v>
      </c>
      <c r="P898">
        <v>0</v>
      </c>
      <c r="Q898" t="s">
        <v>249</v>
      </c>
    </row>
    <row r="899" spans="1:17" x14ac:dyDescent="0.25">
      <c r="A899" t="s">
        <v>103</v>
      </c>
      <c r="B899" t="s">
        <v>104</v>
      </c>
      <c r="C899">
        <v>160</v>
      </c>
      <c r="D899" t="s">
        <v>264</v>
      </c>
      <c r="E899" s="1">
        <v>43076</v>
      </c>
      <c r="F899" t="s">
        <v>252</v>
      </c>
      <c r="G899" t="s">
        <v>1486</v>
      </c>
      <c r="H899">
        <v>-2</v>
      </c>
      <c r="I899" t="s">
        <v>37</v>
      </c>
      <c r="J899">
        <v>0</v>
      </c>
      <c r="M899" t="s">
        <v>170</v>
      </c>
      <c r="N899" t="s">
        <v>1492</v>
      </c>
    </row>
    <row r="900" spans="1:17" x14ac:dyDescent="0.25">
      <c r="A900" t="s">
        <v>103</v>
      </c>
      <c r="B900" t="s">
        <v>104</v>
      </c>
      <c r="C900">
        <v>160</v>
      </c>
      <c r="D900" t="s">
        <v>264</v>
      </c>
      <c r="E900" s="1">
        <v>43076</v>
      </c>
      <c r="F900" t="s">
        <v>252</v>
      </c>
      <c r="G900" t="s">
        <v>1486</v>
      </c>
      <c r="H900">
        <v>-2</v>
      </c>
      <c r="I900" t="s">
        <v>37</v>
      </c>
      <c r="J900">
        <v>0</v>
      </c>
      <c r="K900">
        <v>0</v>
      </c>
      <c r="M900" t="s">
        <v>255</v>
      </c>
      <c r="N900" t="s">
        <v>1492</v>
      </c>
      <c r="O900">
        <v>0</v>
      </c>
      <c r="P900">
        <v>0</v>
      </c>
      <c r="Q900" t="s">
        <v>249</v>
      </c>
    </row>
    <row r="901" spans="1:17" x14ac:dyDescent="0.25">
      <c r="A901" t="s">
        <v>103</v>
      </c>
      <c r="B901" t="s">
        <v>104</v>
      </c>
      <c r="C901">
        <v>160</v>
      </c>
      <c r="D901" t="s">
        <v>264</v>
      </c>
      <c r="E901" s="1">
        <v>43076</v>
      </c>
      <c r="F901" t="s">
        <v>252</v>
      </c>
      <c r="G901" t="s">
        <v>1486</v>
      </c>
      <c r="H901">
        <v>-6</v>
      </c>
      <c r="I901" t="s">
        <v>37</v>
      </c>
      <c r="J901">
        <v>0</v>
      </c>
      <c r="M901" t="s">
        <v>170</v>
      </c>
      <c r="N901" t="s">
        <v>1493</v>
      </c>
    </row>
    <row r="902" spans="1:17" x14ac:dyDescent="0.25">
      <c r="A902" t="s">
        <v>103</v>
      </c>
      <c r="B902" t="s">
        <v>104</v>
      </c>
      <c r="C902">
        <v>160</v>
      </c>
      <c r="D902" t="s">
        <v>264</v>
      </c>
      <c r="E902" s="1">
        <v>43076</v>
      </c>
      <c r="F902" t="s">
        <v>252</v>
      </c>
      <c r="G902" t="s">
        <v>1486</v>
      </c>
      <c r="H902">
        <v>-6</v>
      </c>
      <c r="I902" t="s">
        <v>37</v>
      </c>
      <c r="J902">
        <v>0</v>
      </c>
      <c r="K902">
        <v>0</v>
      </c>
      <c r="M902" t="s">
        <v>255</v>
      </c>
      <c r="N902" t="s">
        <v>1493</v>
      </c>
      <c r="O902">
        <v>0</v>
      </c>
      <c r="P902">
        <v>0</v>
      </c>
      <c r="Q902" t="s">
        <v>249</v>
      </c>
    </row>
    <row r="903" spans="1:17" x14ac:dyDescent="0.25">
      <c r="A903" t="s">
        <v>103</v>
      </c>
      <c r="B903" t="s">
        <v>104</v>
      </c>
      <c r="C903">
        <v>160</v>
      </c>
      <c r="D903" t="s">
        <v>264</v>
      </c>
      <c r="E903" s="1">
        <v>43076</v>
      </c>
      <c r="F903" t="s">
        <v>252</v>
      </c>
      <c r="G903" t="s">
        <v>1486</v>
      </c>
      <c r="H903">
        <v>-8</v>
      </c>
      <c r="I903" t="s">
        <v>37</v>
      </c>
      <c r="J903">
        <v>0</v>
      </c>
      <c r="M903" t="s">
        <v>170</v>
      </c>
      <c r="N903" t="s">
        <v>1494</v>
      </c>
    </row>
    <row r="904" spans="1:17" x14ac:dyDescent="0.25">
      <c r="A904" t="s">
        <v>103</v>
      </c>
      <c r="B904" t="s">
        <v>104</v>
      </c>
      <c r="C904">
        <v>160</v>
      </c>
      <c r="D904" t="s">
        <v>264</v>
      </c>
      <c r="E904" s="1">
        <v>43076</v>
      </c>
      <c r="F904" t="s">
        <v>252</v>
      </c>
      <c r="G904" t="s">
        <v>1486</v>
      </c>
      <c r="H904">
        <v>-8</v>
      </c>
      <c r="I904" t="s">
        <v>37</v>
      </c>
      <c r="J904">
        <v>0</v>
      </c>
      <c r="K904">
        <v>0</v>
      </c>
      <c r="M904" t="s">
        <v>255</v>
      </c>
      <c r="N904" t="s">
        <v>1494</v>
      </c>
      <c r="O904">
        <v>0</v>
      </c>
      <c r="P904">
        <v>0</v>
      </c>
      <c r="Q904" t="s">
        <v>249</v>
      </c>
    </row>
    <row r="905" spans="1:17" x14ac:dyDescent="0.25">
      <c r="A905" t="s">
        <v>103</v>
      </c>
      <c r="B905" t="s">
        <v>104</v>
      </c>
      <c r="C905">
        <v>160</v>
      </c>
      <c r="D905" t="s">
        <v>264</v>
      </c>
      <c r="E905" s="1">
        <v>43083</v>
      </c>
      <c r="F905" t="s">
        <v>252</v>
      </c>
      <c r="G905" t="s">
        <v>946</v>
      </c>
      <c r="H905">
        <v>12</v>
      </c>
      <c r="I905" t="s">
        <v>37</v>
      </c>
      <c r="J905">
        <v>0</v>
      </c>
      <c r="M905" t="s">
        <v>170</v>
      </c>
      <c r="N905" t="s">
        <v>1585</v>
      </c>
    </row>
    <row r="906" spans="1:17" x14ac:dyDescent="0.25">
      <c r="A906" t="s">
        <v>103</v>
      </c>
      <c r="B906" t="s">
        <v>104</v>
      </c>
      <c r="C906">
        <v>160</v>
      </c>
      <c r="D906" t="s">
        <v>264</v>
      </c>
      <c r="E906" s="1">
        <v>43083</v>
      </c>
      <c r="F906" t="s">
        <v>252</v>
      </c>
      <c r="G906" t="s">
        <v>946</v>
      </c>
      <c r="H906">
        <v>12</v>
      </c>
      <c r="I906" t="s">
        <v>37</v>
      </c>
      <c r="J906">
        <v>0</v>
      </c>
      <c r="M906" t="s">
        <v>255</v>
      </c>
      <c r="N906" t="s">
        <v>1585</v>
      </c>
      <c r="O906">
        <v>0</v>
      </c>
      <c r="P906">
        <v>0</v>
      </c>
      <c r="Q906" t="s">
        <v>249</v>
      </c>
    </row>
    <row r="907" spans="1:17" x14ac:dyDescent="0.25">
      <c r="A907" t="s">
        <v>103</v>
      </c>
      <c r="B907" t="s">
        <v>104</v>
      </c>
      <c r="C907">
        <v>160</v>
      </c>
      <c r="D907" t="s">
        <v>264</v>
      </c>
      <c r="E907" s="1">
        <v>43084</v>
      </c>
      <c r="F907" t="s">
        <v>252</v>
      </c>
      <c r="G907" t="s">
        <v>959</v>
      </c>
      <c r="H907">
        <v>-12</v>
      </c>
      <c r="I907" t="s">
        <v>37</v>
      </c>
      <c r="J907">
        <v>0</v>
      </c>
      <c r="M907" t="s">
        <v>170</v>
      </c>
      <c r="N907" t="s">
        <v>1590</v>
      </c>
    </row>
    <row r="908" spans="1:17" x14ac:dyDescent="0.25">
      <c r="A908" t="s">
        <v>103</v>
      </c>
      <c r="B908" t="s">
        <v>104</v>
      </c>
      <c r="C908">
        <v>160</v>
      </c>
      <c r="D908" t="s">
        <v>264</v>
      </c>
      <c r="E908" s="1">
        <v>43084</v>
      </c>
      <c r="F908" t="s">
        <v>252</v>
      </c>
      <c r="G908" t="s">
        <v>959</v>
      </c>
      <c r="H908">
        <v>-12</v>
      </c>
      <c r="I908" t="s">
        <v>37</v>
      </c>
      <c r="J908">
        <v>0</v>
      </c>
      <c r="K908">
        <v>0</v>
      </c>
      <c r="M908" t="s">
        <v>255</v>
      </c>
      <c r="N908" t="s">
        <v>1590</v>
      </c>
      <c r="O908">
        <v>0</v>
      </c>
      <c r="P908">
        <v>0</v>
      </c>
      <c r="Q908" t="s">
        <v>249</v>
      </c>
    </row>
    <row r="909" spans="1:17" x14ac:dyDescent="0.25">
      <c r="A909" t="s">
        <v>103</v>
      </c>
      <c r="B909" t="s">
        <v>104</v>
      </c>
      <c r="C909">
        <v>160</v>
      </c>
      <c r="D909" t="s">
        <v>264</v>
      </c>
      <c r="E909" s="1">
        <v>43089</v>
      </c>
      <c r="F909" t="s">
        <v>21</v>
      </c>
      <c r="G909" t="s">
        <v>2146</v>
      </c>
      <c r="H909">
        <v>-21</v>
      </c>
      <c r="I909" t="s">
        <v>37</v>
      </c>
      <c r="J909">
        <v>0</v>
      </c>
      <c r="M909" t="s">
        <v>170</v>
      </c>
      <c r="N909" t="s">
        <v>2150</v>
      </c>
    </row>
    <row r="910" spans="1:17" x14ac:dyDescent="0.25">
      <c r="A910" t="s">
        <v>103</v>
      </c>
      <c r="B910" t="s">
        <v>104</v>
      </c>
      <c r="C910">
        <v>160</v>
      </c>
      <c r="D910" t="s">
        <v>264</v>
      </c>
      <c r="E910" s="1">
        <v>43089</v>
      </c>
      <c r="F910" t="s">
        <v>21</v>
      </c>
      <c r="G910" t="s">
        <v>2146</v>
      </c>
      <c r="H910">
        <v>-21</v>
      </c>
      <c r="I910" t="s">
        <v>37</v>
      </c>
      <c r="J910">
        <v>0</v>
      </c>
      <c r="K910">
        <v>0</v>
      </c>
      <c r="M910" t="s">
        <v>255</v>
      </c>
      <c r="N910" t="s">
        <v>2150</v>
      </c>
      <c r="O910">
        <v>0</v>
      </c>
      <c r="P910">
        <v>0</v>
      </c>
      <c r="Q910" t="s">
        <v>249</v>
      </c>
    </row>
    <row r="911" spans="1:17" x14ac:dyDescent="0.25">
      <c r="A911" t="s">
        <v>129</v>
      </c>
      <c r="B911" t="s">
        <v>130</v>
      </c>
      <c r="C911">
        <v>160</v>
      </c>
      <c r="D911" t="s">
        <v>264</v>
      </c>
      <c r="E911" s="1">
        <v>43070</v>
      </c>
      <c r="F911" t="s">
        <v>927</v>
      </c>
      <c r="G911" t="s">
        <v>1649</v>
      </c>
      <c r="H911">
        <v>-1</v>
      </c>
      <c r="I911" t="s">
        <v>37</v>
      </c>
      <c r="J911">
        <v>0</v>
      </c>
      <c r="M911" t="s">
        <v>170</v>
      </c>
      <c r="N911" t="s">
        <v>1794</v>
      </c>
    </row>
    <row r="912" spans="1:17" x14ac:dyDescent="0.25">
      <c r="A912" t="s">
        <v>129</v>
      </c>
      <c r="B912" t="s">
        <v>130</v>
      </c>
      <c r="C912">
        <v>160</v>
      </c>
      <c r="D912" t="s">
        <v>264</v>
      </c>
      <c r="E912" s="1">
        <v>43070</v>
      </c>
      <c r="F912" t="s">
        <v>927</v>
      </c>
      <c r="G912" t="s">
        <v>1649</v>
      </c>
      <c r="H912">
        <v>-1</v>
      </c>
      <c r="I912" t="s">
        <v>37</v>
      </c>
      <c r="J912">
        <v>0</v>
      </c>
      <c r="K912">
        <v>0</v>
      </c>
      <c r="M912" t="s">
        <v>255</v>
      </c>
      <c r="N912" t="s">
        <v>1794</v>
      </c>
      <c r="O912">
        <v>0</v>
      </c>
      <c r="P912">
        <v>0</v>
      </c>
      <c r="Q912" t="s">
        <v>249</v>
      </c>
    </row>
    <row r="913" spans="1:17" x14ac:dyDescent="0.25">
      <c r="A913" t="s">
        <v>129</v>
      </c>
      <c r="B913" t="s">
        <v>130</v>
      </c>
      <c r="C913">
        <v>160</v>
      </c>
      <c r="D913" t="s">
        <v>264</v>
      </c>
      <c r="E913" s="1">
        <v>43075</v>
      </c>
      <c r="F913" t="s">
        <v>927</v>
      </c>
      <c r="G913" t="s">
        <v>1657</v>
      </c>
      <c r="H913">
        <v>-16</v>
      </c>
      <c r="I913" t="s">
        <v>37</v>
      </c>
      <c r="J913">
        <v>0</v>
      </c>
      <c r="M913" t="s">
        <v>170</v>
      </c>
      <c r="N913" t="s">
        <v>1805</v>
      </c>
    </row>
    <row r="914" spans="1:17" x14ac:dyDescent="0.25">
      <c r="A914" t="s">
        <v>129</v>
      </c>
      <c r="B914" t="s">
        <v>130</v>
      </c>
      <c r="C914">
        <v>160</v>
      </c>
      <c r="D914" t="s">
        <v>264</v>
      </c>
      <c r="E914" s="1">
        <v>43075</v>
      </c>
      <c r="F914" t="s">
        <v>927</v>
      </c>
      <c r="G914" t="s">
        <v>1657</v>
      </c>
      <c r="H914">
        <v>-16</v>
      </c>
      <c r="I914" t="s">
        <v>37</v>
      </c>
      <c r="J914">
        <v>0</v>
      </c>
      <c r="K914">
        <v>0</v>
      </c>
      <c r="M914" t="s">
        <v>255</v>
      </c>
      <c r="N914" t="s">
        <v>1805</v>
      </c>
      <c r="O914">
        <v>0</v>
      </c>
      <c r="P914">
        <v>0</v>
      </c>
      <c r="Q914" t="s">
        <v>249</v>
      </c>
    </row>
    <row r="915" spans="1:17" x14ac:dyDescent="0.25">
      <c r="A915" t="s">
        <v>129</v>
      </c>
      <c r="B915" t="s">
        <v>130</v>
      </c>
      <c r="C915">
        <v>160</v>
      </c>
      <c r="D915" t="s">
        <v>264</v>
      </c>
      <c r="E915" s="1">
        <v>43075</v>
      </c>
      <c r="F915" t="s">
        <v>927</v>
      </c>
      <c r="G915" t="s">
        <v>1659</v>
      </c>
      <c r="H915">
        <v>-10</v>
      </c>
      <c r="I915" t="s">
        <v>37</v>
      </c>
      <c r="J915">
        <v>0</v>
      </c>
      <c r="M915" t="s">
        <v>170</v>
      </c>
      <c r="N915" t="s">
        <v>1807</v>
      </c>
    </row>
    <row r="916" spans="1:17" x14ac:dyDescent="0.25">
      <c r="A916" t="s">
        <v>129</v>
      </c>
      <c r="B916" t="s">
        <v>130</v>
      </c>
      <c r="C916">
        <v>160</v>
      </c>
      <c r="D916" t="s">
        <v>264</v>
      </c>
      <c r="E916" s="1">
        <v>43075</v>
      </c>
      <c r="F916" t="s">
        <v>927</v>
      </c>
      <c r="G916" t="s">
        <v>1659</v>
      </c>
      <c r="H916">
        <v>-10</v>
      </c>
      <c r="I916" t="s">
        <v>37</v>
      </c>
      <c r="J916">
        <v>0</v>
      </c>
      <c r="K916">
        <v>0</v>
      </c>
      <c r="M916" t="s">
        <v>255</v>
      </c>
      <c r="N916" t="s">
        <v>1807</v>
      </c>
      <c r="O916">
        <v>0</v>
      </c>
      <c r="P916">
        <v>0</v>
      </c>
      <c r="Q916" t="s">
        <v>249</v>
      </c>
    </row>
    <row r="917" spans="1:17" x14ac:dyDescent="0.25">
      <c r="A917" t="s">
        <v>129</v>
      </c>
      <c r="B917" t="s">
        <v>130</v>
      </c>
      <c r="C917">
        <v>160</v>
      </c>
      <c r="D917" t="s">
        <v>264</v>
      </c>
      <c r="E917" s="1">
        <v>43075</v>
      </c>
      <c r="F917" t="s">
        <v>927</v>
      </c>
      <c r="G917" t="s">
        <v>1661</v>
      </c>
      <c r="H917">
        <v>-10</v>
      </c>
      <c r="I917" t="s">
        <v>37</v>
      </c>
      <c r="J917">
        <v>0</v>
      </c>
      <c r="M917" t="s">
        <v>170</v>
      </c>
      <c r="N917" t="s">
        <v>1809</v>
      </c>
    </row>
    <row r="918" spans="1:17" x14ac:dyDescent="0.25">
      <c r="A918" t="s">
        <v>129</v>
      </c>
      <c r="B918" t="s">
        <v>130</v>
      </c>
      <c r="C918">
        <v>160</v>
      </c>
      <c r="D918" t="s">
        <v>264</v>
      </c>
      <c r="E918" s="1">
        <v>43075</v>
      </c>
      <c r="F918" t="s">
        <v>927</v>
      </c>
      <c r="G918" t="s">
        <v>1661</v>
      </c>
      <c r="H918">
        <v>-10</v>
      </c>
      <c r="I918" t="s">
        <v>37</v>
      </c>
      <c r="J918">
        <v>0</v>
      </c>
      <c r="K918">
        <v>0</v>
      </c>
      <c r="M918" t="s">
        <v>255</v>
      </c>
      <c r="N918" t="s">
        <v>1809</v>
      </c>
      <c r="O918">
        <v>0</v>
      </c>
      <c r="P918">
        <v>0</v>
      </c>
      <c r="Q918" t="s">
        <v>249</v>
      </c>
    </row>
    <row r="919" spans="1:17" x14ac:dyDescent="0.25">
      <c r="A919" t="s">
        <v>129</v>
      </c>
      <c r="B919" t="s">
        <v>130</v>
      </c>
      <c r="C919">
        <v>160</v>
      </c>
      <c r="D919" t="s">
        <v>264</v>
      </c>
      <c r="E919" s="1">
        <v>43075</v>
      </c>
      <c r="F919" t="s">
        <v>927</v>
      </c>
      <c r="G919" t="s">
        <v>1663</v>
      </c>
      <c r="H919">
        <v>-2</v>
      </c>
      <c r="I919" t="s">
        <v>37</v>
      </c>
      <c r="J919">
        <v>0</v>
      </c>
      <c r="M919" t="s">
        <v>170</v>
      </c>
      <c r="N919" t="s">
        <v>1811</v>
      </c>
    </row>
    <row r="920" spans="1:17" x14ac:dyDescent="0.25">
      <c r="A920" t="s">
        <v>129</v>
      </c>
      <c r="B920" t="s">
        <v>130</v>
      </c>
      <c r="C920">
        <v>160</v>
      </c>
      <c r="D920" t="s">
        <v>264</v>
      </c>
      <c r="E920" s="1">
        <v>43075</v>
      </c>
      <c r="F920" t="s">
        <v>927</v>
      </c>
      <c r="G920" t="s">
        <v>1663</v>
      </c>
      <c r="H920">
        <v>-2</v>
      </c>
      <c r="I920" t="s">
        <v>37</v>
      </c>
      <c r="J920">
        <v>0</v>
      </c>
      <c r="K920">
        <v>0</v>
      </c>
      <c r="M920" t="s">
        <v>255</v>
      </c>
      <c r="N920" t="s">
        <v>1811</v>
      </c>
      <c r="O920">
        <v>0</v>
      </c>
      <c r="P920">
        <v>0</v>
      </c>
      <c r="Q920" t="s">
        <v>249</v>
      </c>
    </row>
    <row r="921" spans="1:17" x14ac:dyDescent="0.25">
      <c r="A921" t="s">
        <v>129</v>
      </c>
      <c r="B921" t="s">
        <v>130</v>
      </c>
      <c r="C921">
        <v>160</v>
      </c>
      <c r="D921" t="s">
        <v>264</v>
      </c>
      <c r="E921" s="1">
        <v>43075</v>
      </c>
      <c r="F921" t="s">
        <v>927</v>
      </c>
      <c r="G921" t="s">
        <v>1665</v>
      </c>
      <c r="H921">
        <v>-2</v>
      </c>
      <c r="I921" t="s">
        <v>37</v>
      </c>
      <c r="J921">
        <v>0</v>
      </c>
      <c r="M921" t="s">
        <v>170</v>
      </c>
      <c r="N921" t="s">
        <v>1813</v>
      </c>
    </row>
    <row r="922" spans="1:17" x14ac:dyDescent="0.25">
      <c r="A922" t="s">
        <v>129</v>
      </c>
      <c r="B922" t="s">
        <v>130</v>
      </c>
      <c r="C922">
        <v>160</v>
      </c>
      <c r="D922" t="s">
        <v>264</v>
      </c>
      <c r="E922" s="1">
        <v>43075</v>
      </c>
      <c r="F922" t="s">
        <v>927</v>
      </c>
      <c r="G922" t="s">
        <v>1665</v>
      </c>
      <c r="H922">
        <v>-2</v>
      </c>
      <c r="I922" t="s">
        <v>37</v>
      </c>
      <c r="J922">
        <v>0</v>
      </c>
      <c r="K922">
        <v>0</v>
      </c>
      <c r="M922" t="s">
        <v>255</v>
      </c>
      <c r="N922" t="s">
        <v>1813</v>
      </c>
      <c r="O922">
        <v>0</v>
      </c>
      <c r="P922">
        <v>0</v>
      </c>
      <c r="Q922" t="s">
        <v>249</v>
      </c>
    </row>
    <row r="923" spans="1:17" x14ac:dyDescent="0.25">
      <c r="A923" t="s">
        <v>129</v>
      </c>
      <c r="B923" t="s">
        <v>130</v>
      </c>
      <c r="C923">
        <v>160</v>
      </c>
      <c r="D923" t="s">
        <v>264</v>
      </c>
      <c r="E923" s="1">
        <v>43075</v>
      </c>
      <c r="F923" t="s">
        <v>927</v>
      </c>
      <c r="G923" t="s">
        <v>1667</v>
      </c>
      <c r="H923">
        <v>-6</v>
      </c>
      <c r="I923" t="s">
        <v>37</v>
      </c>
      <c r="J923">
        <v>0</v>
      </c>
      <c r="M923" t="s">
        <v>170</v>
      </c>
      <c r="N923" t="s">
        <v>1815</v>
      </c>
    </row>
    <row r="924" spans="1:17" x14ac:dyDescent="0.25">
      <c r="A924" t="s">
        <v>129</v>
      </c>
      <c r="B924" t="s">
        <v>130</v>
      </c>
      <c r="C924">
        <v>160</v>
      </c>
      <c r="D924" t="s">
        <v>264</v>
      </c>
      <c r="E924" s="1">
        <v>43075</v>
      </c>
      <c r="F924" t="s">
        <v>927</v>
      </c>
      <c r="G924" t="s">
        <v>1667</v>
      </c>
      <c r="H924">
        <v>-6</v>
      </c>
      <c r="I924" t="s">
        <v>37</v>
      </c>
      <c r="J924">
        <v>0</v>
      </c>
      <c r="K924">
        <v>0</v>
      </c>
      <c r="M924" t="s">
        <v>255</v>
      </c>
      <c r="N924" t="s">
        <v>1815</v>
      </c>
      <c r="O924">
        <v>0</v>
      </c>
      <c r="P924">
        <v>0</v>
      </c>
      <c r="Q924" t="s">
        <v>249</v>
      </c>
    </row>
    <row r="925" spans="1:17" x14ac:dyDescent="0.25">
      <c r="A925" t="s">
        <v>129</v>
      </c>
      <c r="B925" t="s">
        <v>130</v>
      </c>
      <c r="C925">
        <v>160</v>
      </c>
      <c r="D925" t="s">
        <v>264</v>
      </c>
      <c r="E925" s="1">
        <v>43075</v>
      </c>
      <c r="F925" t="s">
        <v>927</v>
      </c>
      <c r="G925" t="s">
        <v>1669</v>
      </c>
      <c r="H925">
        <v>-8</v>
      </c>
      <c r="I925" t="s">
        <v>37</v>
      </c>
      <c r="J925">
        <v>0</v>
      </c>
      <c r="M925" t="s">
        <v>170</v>
      </c>
      <c r="N925" t="s">
        <v>1817</v>
      </c>
    </row>
    <row r="926" spans="1:17" x14ac:dyDescent="0.25">
      <c r="A926" t="s">
        <v>129</v>
      </c>
      <c r="B926" t="s">
        <v>130</v>
      </c>
      <c r="C926">
        <v>160</v>
      </c>
      <c r="D926" t="s">
        <v>264</v>
      </c>
      <c r="E926" s="1">
        <v>43075</v>
      </c>
      <c r="F926" t="s">
        <v>927</v>
      </c>
      <c r="G926" t="s">
        <v>1669</v>
      </c>
      <c r="H926">
        <v>-8</v>
      </c>
      <c r="I926" t="s">
        <v>37</v>
      </c>
      <c r="J926">
        <v>0</v>
      </c>
      <c r="K926">
        <v>0</v>
      </c>
      <c r="M926" t="s">
        <v>255</v>
      </c>
      <c r="N926" t="s">
        <v>1817</v>
      </c>
      <c r="O926">
        <v>0</v>
      </c>
      <c r="P926">
        <v>0</v>
      </c>
      <c r="Q926" t="s">
        <v>249</v>
      </c>
    </row>
    <row r="927" spans="1:17" x14ac:dyDescent="0.25">
      <c r="A927" t="s">
        <v>129</v>
      </c>
      <c r="B927" t="s">
        <v>130</v>
      </c>
      <c r="C927">
        <v>160</v>
      </c>
      <c r="D927" t="s">
        <v>264</v>
      </c>
      <c r="E927" s="1">
        <v>43086</v>
      </c>
      <c r="F927" t="s">
        <v>17</v>
      </c>
      <c r="G927" t="s">
        <v>1730</v>
      </c>
      <c r="H927">
        <v>16</v>
      </c>
      <c r="I927" t="s">
        <v>37</v>
      </c>
      <c r="J927">
        <v>0</v>
      </c>
      <c r="K927">
        <v>0</v>
      </c>
      <c r="M927" t="s">
        <v>170</v>
      </c>
      <c r="N927" t="s">
        <v>1731</v>
      </c>
    </row>
    <row r="928" spans="1:17" x14ac:dyDescent="0.25">
      <c r="A928" t="s">
        <v>129</v>
      </c>
      <c r="B928" t="s">
        <v>130</v>
      </c>
      <c r="C928">
        <v>160</v>
      </c>
      <c r="D928" t="s">
        <v>264</v>
      </c>
      <c r="E928" s="1">
        <v>43086</v>
      </c>
      <c r="F928" t="s">
        <v>17</v>
      </c>
      <c r="G928" t="s">
        <v>1730</v>
      </c>
      <c r="H928">
        <v>16</v>
      </c>
      <c r="I928" t="s">
        <v>37</v>
      </c>
      <c r="J928">
        <v>0</v>
      </c>
      <c r="K928">
        <v>0</v>
      </c>
      <c r="M928" t="s">
        <v>255</v>
      </c>
      <c r="N928" t="s">
        <v>1731</v>
      </c>
      <c r="O928">
        <v>0</v>
      </c>
      <c r="P928">
        <v>0</v>
      </c>
      <c r="Q928" t="s">
        <v>249</v>
      </c>
    </row>
    <row r="929" spans="1:17" x14ac:dyDescent="0.25">
      <c r="A929" t="s">
        <v>129</v>
      </c>
      <c r="B929" t="s">
        <v>130</v>
      </c>
      <c r="C929">
        <v>160</v>
      </c>
      <c r="D929" t="s">
        <v>264</v>
      </c>
      <c r="E929" s="1">
        <v>43086</v>
      </c>
      <c r="F929" t="s">
        <v>17</v>
      </c>
      <c r="G929" t="s">
        <v>1734</v>
      </c>
      <c r="H929">
        <v>10</v>
      </c>
      <c r="I929" t="s">
        <v>37</v>
      </c>
      <c r="J929">
        <v>0</v>
      </c>
      <c r="K929">
        <v>0</v>
      </c>
      <c r="M929" t="s">
        <v>170</v>
      </c>
      <c r="N929" t="s">
        <v>1735</v>
      </c>
    </row>
    <row r="930" spans="1:17" x14ac:dyDescent="0.25">
      <c r="A930" t="s">
        <v>129</v>
      </c>
      <c r="B930" t="s">
        <v>130</v>
      </c>
      <c r="C930">
        <v>160</v>
      </c>
      <c r="D930" t="s">
        <v>264</v>
      </c>
      <c r="E930" s="1">
        <v>43086</v>
      </c>
      <c r="F930" t="s">
        <v>17</v>
      </c>
      <c r="G930" t="s">
        <v>1734</v>
      </c>
      <c r="H930">
        <v>10</v>
      </c>
      <c r="I930" t="s">
        <v>37</v>
      </c>
      <c r="J930">
        <v>0</v>
      </c>
      <c r="K930">
        <v>0</v>
      </c>
      <c r="M930" t="s">
        <v>255</v>
      </c>
      <c r="N930" t="s">
        <v>1735</v>
      </c>
      <c r="O930">
        <v>0</v>
      </c>
      <c r="P930">
        <v>0</v>
      </c>
      <c r="Q930" t="s">
        <v>249</v>
      </c>
    </row>
    <row r="931" spans="1:17" x14ac:dyDescent="0.25">
      <c r="A931" t="s">
        <v>129</v>
      </c>
      <c r="B931" t="s">
        <v>130</v>
      </c>
      <c r="C931">
        <v>160</v>
      </c>
      <c r="D931" t="s">
        <v>264</v>
      </c>
      <c r="E931" s="1">
        <v>43086</v>
      </c>
      <c r="F931" t="s">
        <v>17</v>
      </c>
      <c r="G931" t="s">
        <v>1738</v>
      </c>
      <c r="H931">
        <v>10</v>
      </c>
      <c r="I931" t="s">
        <v>37</v>
      </c>
      <c r="J931">
        <v>0</v>
      </c>
      <c r="K931">
        <v>0</v>
      </c>
      <c r="M931" t="s">
        <v>170</v>
      </c>
      <c r="N931" t="s">
        <v>1739</v>
      </c>
    </row>
    <row r="932" spans="1:17" x14ac:dyDescent="0.25">
      <c r="A932" t="s">
        <v>129</v>
      </c>
      <c r="B932" t="s">
        <v>130</v>
      </c>
      <c r="C932">
        <v>160</v>
      </c>
      <c r="D932" t="s">
        <v>264</v>
      </c>
      <c r="E932" s="1">
        <v>43086</v>
      </c>
      <c r="F932" t="s">
        <v>17</v>
      </c>
      <c r="G932" t="s">
        <v>1738</v>
      </c>
      <c r="H932">
        <v>10</v>
      </c>
      <c r="I932" t="s">
        <v>37</v>
      </c>
      <c r="J932">
        <v>0</v>
      </c>
      <c r="K932">
        <v>0</v>
      </c>
      <c r="M932" t="s">
        <v>255</v>
      </c>
      <c r="N932" t="s">
        <v>1739</v>
      </c>
      <c r="O932">
        <v>0</v>
      </c>
      <c r="P932">
        <v>0</v>
      </c>
      <c r="Q932" t="s">
        <v>249</v>
      </c>
    </row>
    <row r="933" spans="1:17" x14ac:dyDescent="0.25">
      <c r="A933" t="s">
        <v>129</v>
      </c>
      <c r="B933" t="s">
        <v>130</v>
      </c>
      <c r="C933">
        <v>160</v>
      </c>
      <c r="D933" t="s">
        <v>264</v>
      </c>
      <c r="E933" s="1">
        <v>43086</v>
      </c>
      <c r="F933" t="s">
        <v>17</v>
      </c>
      <c r="G933" t="s">
        <v>1742</v>
      </c>
      <c r="H933">
        <v>2</v>
      </c>
      <c r="I933" t="s">
        <v>37</v>
      </c>
      <c r="J933">
        <v>0</v>
      </c>
      <c r="K933">
        <v>0</v>
      </c>
      <c r="M933" t="s">
        <v>170</v>
      </c>
      <c r="N933" t="s">
        <v>1743</v>
      </c>
    </row>
    <row r="934" spans="1:17" x14ac:dyDescent="0.25">
      <c r="A934" t="s">
        <v>129</v>
      </c>
      <c r="B934" t="s">
        <v>130</v>
      </c>
      <c r="C934">
        <v>160</v>
      </c>
      <c r="D934" t="s">
        <v>264</v>
      </c>
      <c r="E934" s="1">
        <v>43086</v>
      </c>
      <c r="F934" t="s">
        <v>17</v>
      </c>
      <c r="G934" t="s">
        <v>1742</v>
      </c>
      <c r="H934">
        <v>2</v>
      </c>
      <c r="I934" t="s">
        <v>37</v>
      </c>
      <c r="J934">
        <v>0</v>
      </c>
      <c r="K934">
        <v>0</v>
      </c>
      <c r="M934" t="s">
        <v>255</v>
      </c>
      <c r="N934" t="s">
        <v>1743</v>
      </c>
      <c r="O934">
        <v>0</v>
      </c>
      <c r="P934">
        <v>0</v>
      </c>
      <c r="Q934" t="s">
        <v>249</v>
      </c>
    </row>
    <row r="935" spans="1:17" x14ac:dyDescent="0.25">
      <c r="A935" t="s">
        <v>129</v>
      </c>
      <c r="B935" t="s">
        <v>130</v>
      </c>
      <c r="C935">
        <v>160</v>
      </c>
      <c r="D935" t="s">
        <v>264</v>
      </c>
      <c r="E935" s="1">
        <v>43086</v>
      </c>
      <c r="F935" t="s">
        <v>17</v>
      </c>
      <c r="G935" t="s">
        <v>1746</v>
      </c>
      <c r="H935">
        <v>2</v>
      </c>
      <c r="I935" t="s">
        <v>37</v>
      </c>
      <c r="J935">
        <v>0</v>
      </c>
      <c r="K935">
        <v>0</v>
      </c>
      <c r="M935" t="s">
        <v>170</v>
      </c>
      <c r="N935" t="s">
        <v>1747</v>
      </c>
    </row>
    <row r="936" spans="1:17" x14ac:dyDescent="0.25">
      <c r="A936" t="s">
        <v>129</v>
      </c>
      <c r="B936" t="s">
        <v>130</v>
      </c>
      <c r="C936">
        <v>160</v>
      </c>
      <c r="D936" t="s">
        <v>264</v>
      </c>
      <c r="E936" s="1">
        <v>43086</v>
      </c>
      <c r="F936" t="s">
        <v>17</v>
      </c>
      <c r="G936" t="s">
        <v>1746</v>
      </c>
      <c r="H936">
        <v>2</v>
      </c>
      <c r="I936" t="s">
        <v>37</v>
      </c>
      <c r="J936">
        <v>0</v>
      </c>
      <c r="K936">
        <v>0</v>
      </c>
      <c r="M936" t="s">
        <v>255</v>
      </c>
      <c r="N936" t="s">
        <v>1747</v>
      </c>
      <c r="O936">
        <v>0</v>
      </c>
      <c r="P936">
        <v>0</v>
      </c>
      <c r="Q936" t="s">
        <v>249</v>
      </c>
    </row>
    <row r="937" spans="1:17" x14ac:dyDescent="0.25">
      <c r="A937" t="s">
        <v>129</v>
      </c>
      <c r="B937" t="s">
        <v>130</v>
      </c>
      <c r="C937">
        <v>160</v>
      </c>
      <c r="D937" t="s">
        <v>264</v>
      </c>
      <c r="E937" s="1">
        <v>43086</v>
      </c>
      <c r="F937" t="s">
        <v>17</v>
      </c>
      <c r="G937" t="s">
        <v>1750</v>
      </c>
      <c r="H937">
        <v>6</v>
      </c>
      <c r="I937" t="s">
        <v>37</v>
      </c>
      <c r="J937">
        <v>0</v>
      </c>
      <c r="K937">
        <v>0</v>
      </c>
      <c r="M937" t="s">
        <v>170</v>
      </c>
      <c r="N937" t="s">
        <v>1751</v>
      </c>
    </row>
    <row r="938" spans="1:17" x14ac:dyDescent="0.25">
      <c r="A938" t="s">
        <v>129</v>
      </c>
      <c r="B938" t="s">
        <v>130</v>
      </c>
      <c r="C938">
        <v>160</v>
      </c>
      <c r="D938" t="s">
        <v>264</v>
      </c>
      <c r="E938" s="1">
        <v>43086</v>
      </c>
      <c r="F938" t="s">
        <v>17</v>
      </c>
      <c r="G938" t="s">
        <v>1750</v>
      </c>
      <c r="H938">
        <v>6</v>
      </c>
      <c r="I938" t="s">
        <v>37</v>
      </c>
      <c r="J938">
        <v>0</v>
      </c>
      <c r="K938">
        <v>0</v>
      </c>
      <c r="M938" t="s">
        <v>255</v>
      </c>
      <c r="N938" t="s">
        <v>1751</v>
      </c>
      <c r="O938">
        <v>0</v>
      </c>
      <c r="P938">
        <v>0</v>
      </c>
      <c r="Q938" t="s">
        <v>249</v>
      </c>
    </row>
    <row r="939" spans="1:17" x14ac:dyDescent="0.25">
      <c r="A939" t="s">
        <v>129</v>
      </c>
      <c r="B939" t="s">
        <v>130</v>
      </c>
      <c r="C939">
        <v>160</v>
      </c>
      <c r="D939" t="s">
        <v>264</v>
      </c>
      <c r="E939" s="1">
        <v>43086</v>
      </c>
      <c r="F939" t="s">
        <v>17</v>
      </c>
      <c r="G939" t="s">
        <v>1754</v>
      </c>
      <c r="H939">
        <v>8</v>
      </c>
      <c r="I939" t="s">
        <v>37</v>
      </c>
      <c r="J939">
        <v>0</v>
      </c>
      <c r="K939">
        <v>0</v>
      </c>
      <c r="M939" t="s">
        <v>170</v>
      </c>
      <c r="N939" t="s">
        <v>1755</v>
      </c>
    </row>
    <row r="940" spans="1:17" x14ac:dyDescent="0.25">
      <c r="A940" t="s">
        <v>129</v>
      </c>
      <c r="B940" t="s">
        <v>130</v>
      </c>
      <c r="C940">
        <v>160</v>
      </c>
      <c r="D940" t="s">
        <v>264</v>
      </c>
      <c r="E940" s="1">
        <v>43086</v>
      </c>
      <c r="F940" t="s">
        <v>17</v>
      </c>
      <c r="G940" t="s">
        <v>1754</v>
      </c>
      <c r="H940">
        <v>8</v>
      </c>
      <c r="I940" t="s">
        <v>37</v>
      </c>
      <c r="J940">
        <v>0</v>
      </c>
      <c r="K940">
        <v>0</v>
      </c>
      <c r="M940" t="s">
        <v>255</v>
      </c>
      <c r="N940" t="s">
        <v>1755</v>
      </c>
      <c r="O940">
        <v>0</v>
      </c>
      <c r="P940">
        <v>0</v>
      </c>
      <c r="Q940" t="s">
        <v>249</v>
      </c>
    </row>
    <row r="941" spans="1:17" x14ac:dyDescent="0.25">
      <c r="A941" t="s">
        <v>131</v>
      </c>
      <c r="B941" t="s">
        <v>132</v>
      </c>
      <c r="C941">
        <v>160</v>
      </c>
      <c r="D941" t="s">
        <v>264</v>
      </c>
      <c r="E941" s="1">
        <v>43070</v>
      </c>
      <c r="F941" t="s">
        <v>927</v>
      </c>
      <c r="G941" t="s">
        <v>1651</v>
      </c>
      <c r="H941">
        <v>-1</v>
      </c>
      <c r="I941" t="s">
        <v>37</v>
      </c>
      <c r="J941">
        <v>0</v>
      </c>
      <c r="M941" t="s">
        <v>170</v>
      </c>
      <c r="N941" t="s">
        <v>1797</v>
      </c>
    </row>
    <row r="942" spans="1:17" x14ac:dyDescent="0.25">
      <c r="A942" t="s">
        <v>131</v>
      </c>
      <c r="B942" t="s">
        <v>132</v>
      </c>
      <c r="C942">
        <v>160</v>
      </c>
      <c r="D942" t="s">
        <v>264</v>
      </c>
      <c r="E942" s="1">
        <v>43070</v>
      </c>
      <c r="F942" t="s">
        <v>927</v>
      </c>
      <c r="G942" t="s">
        <v>1651</v>
      </c>
      <c r="H942">
        <v>-1</v>
      </c>
      <c r="I942" t="s">
        <v>37</v>
      </c>
      <c r="J942">
        <v>0</v>
      </c>
      <c r="K942">
        <v>0</v>
      </c>
      <c r="M942" t="s">
        <v>255</v>
      </c>
      <c r="N942" t="s">
        <v>1797</v>
      </c>
      <c r="O942">
        <v>0</v>
      </c>
      <c r="P942">
        <v>0</v>
      </c>
      <c r="Q942" t="s">
        <v>249</v>
      </c>
    </row>
    <row r="943" spans="1:17" x14ac:dyDescent="0.25">
      <c r="A943" t="s">
        <v>131</v>
      </c>
      <c r="B943" t="s">
        <v>132</v>
      </c>
      <c r="C943">
        <v>160</v>
      </c>
      <c r="D943" t="s">
        <v>264</v>
      </c>
      <c r="E943" s="1">
        <v>43070</v>
      </c>
      <c r="F943" t="s">
        <v>927</v>
      </c>
      <c r="G943" t="s">
        <v>1653</v>
      </c>
      <c r="H943">
        <v>-1</v>
      </c>
      <c r="I943" t="s">
        <v>37</v>
      </c>
      <c r="J943">
        <v>0</v>
      </c>
      <c r="M943" t="s">
        <v>170</v>
      </c>
      <c r="N943" t="s">
        <v>1800</v>
      </c>
    </row>
    <row r="944" spans="1:17" x14ac:dyDescent="0.25">
      <c r="A944" t="s">
        <v>131</v>
      </c>
      <c r="B944" t="s">
        <v>132</v>
      </c>
      <c r="C944">
        <v>160</v>
      </c>
      <c r="D944" t="s">
        <v>264</v>
      </c>
      <c r="E944" s="1">
        <v>43070</v>
      </c>
      <c r="F944" t="s">
        <v>927</v>
      </c>
      <c r="G944" t="s">
        <v>1653</v>
      </c>
      <c r="H944">
        <v>-1</v>
      </c>
      <c r="I944" t="s">
        <v>37</v>
      </c>
      <c r="J944">
        <v>0</v>
      </c>
      <c r="K944">
        <v>0</v>
      </c>
      <c r="M944" t="s">
        <v>255</v>
      </c>
      <c r="N944" t="s">
        <v>1800</v>
      </c>
      <c r="O944">
        <v>0</v>
      </c>
      <c r="P944">
        <v>0</v>
      </c>
      <c r="Q944" t="s">
        <v>249</v>
      </c>
    </row>
    <row r="945" spans="1:17" x14ac:dyDescent="0.25">
      <c r="A945" t="s">
        <v>131</v>
      </c>
      <c r="B945" t="s">
        <v>132</v>
      </c>
      <c r="C945">
        <v>160</v>
      </c>
      <c r="D945" t="s">
        <v>264</v>
      </c>
      <c r="E945" s="1">
        <v>43074</v>
      </c>
      <c r="F945" t="s">
        <v>927</v>
      </c>
      <c r="G945" t="s">
        <v>1655</v>
      </c>
      <c r="H945">
        <v>-4</v>
      </c>
      <c r="I945" t="s">
        <v>37</v>
      </c>
      <c r="J945">
        <v>0</v>
      </c>
      <c r="M945" t="s">
        <v>170</v>
      </c>
      <c r="N945" t="s">
        <v>1803</v>
      </c>
    </row>
    <row r="946" spans="1:17" x14ac:dyDescent="0.25">
      <c r="A946" t="s">
        <v>131</v>
      </c>
      <c r="B946" t="s">
        <v>132</v>
      </c>
      <c r="C946">
        <v>160</v>
      </c>
      <c r="D946" t="s">
        <v>264</v>
      </c>
      <c r="E946" s="1">
        <v>43074</v>
      </c>
      <c r="F946" t="s">
        <v>927</v>
      </c>
      <c r="G946" t="s">
        <v>1655</v>
      </c>
      <c r="H946">
        <v>-4</v>
      </c>
      <c r="I946" t="s">
        <v>37</v>
      </c>
      <c r="J946">
        <v>0</v>
      </c>
      <c r="K946">
        <v>0</v>
      </c>
      <c r="M946" t="s">
        <v>255</v>
      </c>
      <c r="N946" t="s">
        <v>1803</v>
      </c>
      <c r="O946">
        <v>0</v>
      </c>
      <c r="P946">
        <v>0</v>
      </c>
      <c r="Q946" t="s">
        <v>249</v>
      </c>
    </row>
    <row r="947" spans="1:17" x14ac:dyDescent="0.25">
      <c r="A947" t="s">
        <v>131</v>
      </c>
      <c r="B947" t="s">
        <v>132</v>
      </c>
      <c r="C947">
        <v>160</v>
      </c>
      <c r="D947" t="s">
        <v>264</v>
      </c>
      <c r="E947" s="1">
        <v>43075</v>
      </c>
      <c r="F947" t="s">
        <v>927</v>
      </c>
      <c r="G947" t="s">
        <v>1671</v>
      </c>
      <c r="H947">
        <v>-1</v>
      </c>
      <c r="I947" t="s">
        <v>37</v>
      </c>
      <c r="J947">
        <v>0</v>
      </c>
      <c r="M947" t="s">
        <v>170</v>
      </c>
      <c r="N947" t="s">
        <v>1820</v>
      </c>
    </row>
    <row r="948" spans="1:17" x14ac:dyDescent="0.25">
      <c r="A948" t="s">
        <v>131</v>
      </c>
      <c r="B948" t="s">
        <v>132</v>
      </c>
      <c r="C948">
        <v>160</v>
      </c>
      <c r="D948" t="s">
        <v>264</v>
      </c>
      <c r="E948" s="1">
        <v>43075</v>
      </c>
      <c r="F948" t="s">
        <v>927</v>
      </c>
      <c r="G948" t="s">
        <v>1671</v>
      </c>
      <c r="H948">
        <v>-1</v>
      </c>
      <c r="I948" t="s">
        <v>37</v>
      </c>
      <c r="J948">
        <v>0</v>
      </c>
      <c r="K948">
        <v>0</v>
      </c>
      <c r="M948" t="s">
        <v>255</v>
      </c>
      <c r="N948" t="s">
        <v>1820</v>
      </c>
      <c r="O948">
        <v>0</v>
      </c>
      <c r="P948">
        <v>0</v>
      </c>
      <c r="Q948" t="s">
        <v>249</v>
      </c>
    </row>
    <row r="949" spans="1:17" x14ac:dyDescent="0.25">
      <c r="A949" t="s">
        <v>131</v>
      </c>
      <c r="B949" t="s">
        <v>132</v>
      </c>
      <c r="C949">
        <v>160</v>
      </c>
      <c r="D949" t="s">
        <v>264</v>
      </c>
      <c r="E949" s="1">
        <v>43075</v>
      </c>
      <c r="F949" t="s">
        <v>927</v>
      </c>
      <c r="G949" t="s">
        <v>1673</v>
      </c>
      <c r="H949">
        <v>-1</v>
      </c>
      <c r="I949" t="s">
        <v>37</v>
      </c>
      <c r="J949">
        <v>0</v>
      </c>
      <c r="M949" t="s">
        <v>170</v>
      </c>
      <c r="N949" t="s">
        <v>1823</v>
      </c>
    </row>
    <row r="950" spans="1:17" x14ac:dyDescent="0.25">
      <c r="A950" t="s">
        <v>131</v>
      </c>
      <c r="B950" t="s">
        <v>132</v>
      </c>
      <c r="C950">
        <v>160</v>
      </c>
      <c r="D950" t="s">
        <v>264</v>
      </c>
      <c r="E950" s="1">
        <v>43075</v>
      </c>
      <c r="F950" t="s">
        <v>927</v>
      </c>
      <c r="G950" t="s">
        <v>1673</v>
      </c>
      <c r="H950">
        <v>-1</v>
      </c>
      <c r="I950" t="s">
        <v>37</v>
      </c>
      <c r="J950">
        <v>0</v>
      </c>
      <c r="K950">
        <v>0</v>
      </c>
      <c r="M950" t="s">
        <v>255</v>
      </c>
      <c r="N950" t="s">
        <v>1823</v>
      </c>
      <c r="O950">
        <v>0</v>
      </c>
      <c r="P950">
        <v>0</v>
      </c>
      <c r="Q950" t="s">
        <v>249</v>
      </c>
    </row>
    <row r="951" spans="1:17" x14ac:dyDescent="0.25">
      <c r="A951" t="s">
        <v>131</v>
      </c>
      <c r="B951" t="s">
        <v>132</v>
      </c>
      <c r="C951">
        <v>160</v>
      </c>
      <c r="D951" t="s">
        <v>264</v>
      </c>
      <c r="E951" s="1">
        <v>43076</v>
      </c>
      <c r="F951" t="s">
        <v>927</v>
      </c>
      <c r="G951" t="s">
        <v>1675</v>
      </c>
      <c r="H951">
        <v>-1</v>
      </c>
      <c r="I951" t="s">
        <v>37</v>
      </c>
      <c r="J951">
        <v>0</v>
      </c>
      <c r="M951" t="s">
        <v>170</v>
      </c>
      <c r="N951" t="s">
        <v>1826</v>
      </c>
    </row>
    <row r="952" spans="1:17" x14ac:dyDescent="0.25">
      <c r="A952" t="s">
        <v>131</v>
      </c>
      <c r="B952" t="s">
        <v>132</v>
      </c>
      <c r="C952">
        <v>160</v>
      </c>
      <c r="D952" t="s">
        <v>264</v>
      </c>
      <c r="E952" s="1">
        <v>43076</v>
      </c>
      <c r="F952" t="s">
        <v>927</v>
      </c>
      <c r="G952" t="s">
        <v>1675</v>
      </c>
      <c r="H952">
        <v>-1</v>
      </c>
      <c r="I952" t="s">
        <v>37</v>
      </c>
      <c r="J952">
        <v>0</v>
      </c>
      <c r="K952">
        <v>0</v>
      </c>
      <c r="M952" t="s">
        <v>255</v>
      </c>
      <c r="N952" t="s">
        <v>1826</v>
      </c>
      <c r="O952">
        <v>0</v>
      </c>
      <c r="P952">
        <v>0</v>
      </c>
      <c r="Q952" t="s">
        <v>249</v>
      </c>
    </row>
    <row r="953" spans="1:17" x14ac:dyDescent="0.25">
      <c r="A953" t="s">
        <v>131</v>
      </c>
      <c r="B953" t="s">
        <v>132</v>
      </c>
      <c r="C953">
        <v>160</v>
      </c>
      <c r="D953" t="s">
        <v>264</v>
      </c>
      <c r="E953" s="1">
        <v>43081</v>
      </c>
      <c r="F953" t="s">
        <v>927</v>
      </c>
      <c r="G953" t="s">
        <v>1681</v>
      </c>
      <c r="H953">
        <v>-1</v>
      </c>
      <c r="I953" t="s">
        <v>37</v>
      </c>
      <c r="J953">
        <v>0</v>
      </c>
      <c r="M953" t="s">
        <v>170</v>
      </c>
      <c r="N953" t="s">
        <v>1838</v>
      </c>
    </row>
    <row r="954" spans="1:17" x14ac:dyDescent="0.25">
      <c r="A954" t="s">
        <v>131</v>
      </c>
      <c r="B954" t="s">
        <v>132</v>
      </c>
      <c r="C954">
        <v>160</v>
      </c>
      <c r="D954" t="s">
        <v>264</v>
      </c>
      <c r="E954" s="1">
        <v>43081</v>
      </c>
      <c r="F954" t="s">
        <v>927</v>
      </c>
      <c r="G954" t="s">
        <v>1681</v>
      </c>
      <c r="H954">
        <v>-1</v>
      </c>
      <c r="I954" t="s">
        <v>37</v>
      </c>
      <c r="J954">
        <v>0</v>
      </c>
      <c r="K954">
        <v>0</v>
      </c>
      <c r="M954" t="s">
        <v>255</v>
      </c>
      <c r="N954" t="s">
        <v>1838</v>
      </c>
      <c r="O954">
        <v>0</v>
      </c>
      <c r="P954">
        <v>0</v>
      </c>
      <c r="Q954" t="s">
        <v>249</v>
      </c>
    </row>
    <row r="955" spans="1:17" x14ac:dyDescent="0.25">
      <c r="A955" t="s">
        <v>131</v>
      </c>
      <c r="B955" t="s">
        <v>132</v>
      </c>
      <c r="C955">
        <v>160</v>
      </c>
      <c r="D955" t="s">
        <v>264</v>
      </c>
      <c r="E955" s="1">
        <v>43082</v>
      </c>
      <c r="F955" t="s">
        <v>927</v>
      </c>
      <c r="G955" t="s">
        <v>1683</v>
      </c>
      <c r="H955">
        <v>-1</v>
      </c>
      <c r="I955" t="s">
        <v>37</v>
      </c>
      <c r="J955">
        <v>0</v>
      </c>
      <c r="M955" t="s">
        <v>170</v>
      </c>
      <c r="N955" t="s">
        <v>1841</v>
      </c>
    </row>
    <row r="956" spans="1:17" x14ac:dyDescent="0.25">
      <c r="A956" t="s">
        <v>131</v>
      </c>
      <c r="B956" t="s">
        <v>132</v>
      </c>
      <c r="C956">
        <v>160</v>
      </c>
      <c r="D956" t="s">
        <v>264</v>
      </c>
      <c r="E956" s="1">
        <v>43082</v>
      </c>
      <c r="F956" t="s">
        <v>927</v>
      </c>
      <c r="G956" t="s">
        <v>1683</v>
      </c>
      <c r="H956">
        <v>-1</v>
      </c>
      <c r="I956" t="s">
        <v>37</v>
      </c>
      <c r="J956">
        <v>0</v>
      </c>
      <c r="K956">
        <v>0</v>
      </c>
      <c r="M956" t="s">
        <v>255</v>
      </c>
      <c r="N956" t="s">
        <v>1841</v>
      </c>
      <c r="O956">
        <v>0</v>
      </c>
      <c r="P956">
        <v>0</v>
      </c>
      <c r="Q956" t="s">
        <v>249</v>
      </c>
    </row>
    <row r="957" spans="1:17" x14ac:dyDescent="0.25">
      <c r="A957" t="s">
        <v>131</v>
      </c>
      <c r="B957" t="s">
        <v>132</v>
      </c>
      <c r="C957">
        <v>160</v>
      </c>
      <c r="D957" t="s">
        <v>264</v>
      </c>
      <c r="E957" s="1">
        <v>43084</v>
      </c>
      <c r="F957" t="s">
        <v>927</v>
      </c>
      <c r="G957" t="s">
        <v>1692</v>
      </c>
      <c r="H957">
        <v>-1</v>
      </c>
      <c r="I957" t="s">
        <v>37</v>
      </c>
      <c r="J957">
        <v>0</v>
      </c>
      <c r="M957" t="s">
        <v>170</v>
      </c>
      <c r="N957" t="s">
        <v>1854</v>
      </c>
    </row>
    <row r="958" spans="1:17" x14ac:dyDescent="0.25">
      <c r="A958" t="s">
        <v>131</v>
      </c>
      <c r="B958" t="s">
        <v>132</v>
      </c>
      <c r="C958">
        <v>160</v>
      </c>
      <c r="D958" t="s">
        <v>264</v>
      </c>
      <c r="E958" s="1">
        <v>43084</v>
      </c>
      <c r="F958" t="s">
        <v>927</v>
      </c>
      <c r="G958" t="s">
        <v>1692</v>
      </c>
      <c r="H958">
        <v>-1</v>
      </c>
      <c r="I958" t="s">
        <v>37</v>
      </c>
      <c r="J958">
        <v>0</v>
      </c>
      <c r="K958">
        <v>0</v>
      </c>
      <c r="M958" t="s">
        <v>255</v>
      </c>
      <c r="N958" t="s">
        <v>1854</v>
      </c>
      <c r="O958">
        <v>0</v>
      </c>
      <c r="P958">
        <v>0</v>
      </c>
      <c r="Q958" t="s">
        <v>249</v>
      </c>
    </row>
    <row r="959" spans="1:17" x14ac:dyDescent="0.25">
      <c r="A959" t="s">
        <v>131</v>
      </c>
      <c r="B959" t="s">
        <v>132</v>
      </c>
      <c r="C959">
        <v>160</v>
      </c>
      <c r="D959" t="s">
        <v>264</v>
      </c>
      <c r="E959" s="1">
        <v>43088</v>
      </c>
      <c r="F959" t="s">
        <v>927</v>
      </c>
      <c r="G959" t="s">
        <v>1694</v>
      </c>
      <c r="H959">
        <v>-1</v>
      </c>
      <c r="I959" t="s">
        <v>37</v>
      </c>
      <c r="J959">
        <v>0</v>
      </c>
      <c r="M959" t="s">
        <v>170</v>
      </c>
      <c r="N959" t="s">
        <v>1857</v>
      </c>
    </row>
    <row r="960" spans="1:17" x14ac:dyDescent="0.25">
      <c r="A960" t="s">
        <v>131</v>
      </c>
      <c r="B960" t="s">
        <v>132</v>
      </c>
      <c r="C960">
        <v>160</v>
      </c>
      <c r="D960" t="s">
        <v>264</v>
      </c>
      <c r="E960" s="1">
        <v>43088</v>
      </c>
      <c r="F960" t="s">
        <v>927</v>
      </c>
      <c r="G960" t="s">
        <v>1694</v>
      </c>
      <c r="H960">
        <v>-1</v>
      </c>
      <c r="I960" t="s">
        <v>37</v>
      </c>
      <c r="J960">
        <v>0</v>
      </c>
      <c r="K960">
        <v>0</v>
      </c>
      <c r="M960" t="s">
        <v>255</v>
      </c>
      <c r="N960" t="s">
        <v>1857</v>
      </c>
      <c r="O960">
        <v>0</v>
      </c>
      <c r="P960">
        <v>0</v>
      </c>
      <c r="Q960" t="s">
        <v>249</v>
      </c>
    </row>
    <row r="961" spans="1:17" x14ac:dyDescent="0.25">
      <c r="A961" t="s">
        <v>131</v>
      </c>
      <c r="B961" t="s">
        <v>132</v>
      </c>
      <c r="C961">
        <v>160</v>
      </c>
      <c r="D961" t="s">
        <v>264</v>
      </c>
      <c r="E961" s="1">
        <v>43089</v>
      </c>
      <c r="F961" t="s">
        <v>21</v>
      </c>
      <c r="G961" t="s">
        <v>1993</v>
      </c>
      <c r="H961">
        <v>-7</v>
      </c>
      <c r="I961" t="s">
        <v>37</v>
      </c>
      <c r="J961">
        <v>0</v>
      </c>
      <c r="M961" t="s">
        <v>170</v>
      </c>
      <c r="N961" t="s">
        <v>2003</v>
      </c>
    </row>
    <row r="962" spans="1:17" x14ac:dyDescent="0.25">
      <c r="A962" t="s">
        <v>131</v>
      </c>
      <c r="B962" t="s">
        <v>132</v>
      </c>
      <c r="C962">
        <v>160</v>
      </c>
      <c r="D962" t="s">
        <v>264</v>
      </c>
      <c r="E962" s="1">
        <v>43089</v>
      </c>
      <c r="F962" t="s">
        <v>21</v>
      </c>
      <c r="G962" t="s">
        <v>1993</v>
      </c>
      <c r="H962">
        <v>-7</v>
      </c>
      <c r="I962" t="s">
        <v>37</v>
      </c>
      <c r="J962">
        <v>0</v>
      </c>
      <c r="K962">
        <v>0</v>
      </c>
      <c r="M962" t="s">
        <v>255</v>
      </c>
      <c r="N962" t="s">
        <v>2003</v>
      </c>
      <c r="O962">
        <v>0</v>
      </c>
      <c r="P962">
        <v>0</v>
      </c>
      <c r="Q962" t="s">
        <v>249</v>
      </c>
    </row>
    <row r="963" spans="1:17" x14ac:dyDescent="0.25">
      <c r="A963" t="s">
        <v>131</v>
      </c>
      <c r="B963" t="s">
        <v>132</v>
      </c>
      <c r="C963">
        <v>160</v>
      </c>
      <c r="D963" t="s">
        <v>264</v>
      </c>
      <c r="E963" s="1">
        <v>43091</v>
      </c>
      <c r="F963" t="s">
        <v>927</v>
      </c>
      <c r="G963" t="s">
        <v>1697</v>
      </c>
      <c r="H963">
        <v>-1</v>
      </c>
      <c r="I963" t="s">
        <v>37</v>
      </c>
      <c r="J963">
        <v>0</v>
      </c>
      <c r="M963" t="s">
        <v>170</v>
      </c>
      <c r="N963" t="s">
        <v>1861</v>
      </c>
    </row>
    <row r="964" spans="1:17" x14ac:dyDescent="0.25">
      <c r="A964" t="s">
        <v>131</v>
      </c>
      <c r="B964" t="s">
        <v>132</v>
      </c>
      <c r="C964">
        <v>160</v>
      </c>
      <c r="D964" t="s">
        <v>264</v>
      </c>
      <c r="E964" s="1">
        <v>43091</v>
      </c>
      <c r="F964" t="s">
        <v>927</v>
      </c>
      <c r="G964" t="s">
        <v>1697</v>
      </c>
      <c r="H964">
        <v>-1</v>
      </c>
      <c r="I964" t="s">
        <v>37</v>
      </c>
      <c r="J964">
        <v>0</v>
      </c>
      <c r="K964">
        <v>0</v>
      </c>
      <c r="M964" t="s">
        <v>255</v>
      </c>
      <c r="N964" t="s">
        <v>1861</v>
      </c>
      <c r="O964">
        <v>0</v>
      </c>
      <c r="P964">
        <v>0</v>
      </c>
      <c r="Q964" t="s">
        <v>249</v>
      </c>
    </row>
    <row r="965" spans="1:17" x14ac:dyDescent="0.25">
      <c r="A965" t="s">
        <v>134</v>
      </c>
      <c r="B965" t="s">
        <v>135</v>
      </c>
      <c r="C965">
        <v>160</v>
      </c>
      <c r="D965" t="s">
        <v>264</v>
      </c>
      <c r="E965" s="1">
        <v>43080</v>
      </c>
      <c r="F965" t="s">
        <v>927</v>
      </c>
      <c r="G965" t="s">
        <v>1677</v>
      </c>
      <c r="H965">
        <v>-1</v>
      </c>
      <c r="I965" t="s">
        <v>37</v>
      </c>
      <c r="J965">
        <v>0</v>
      </c>
      <c r="M965" t="s">
        <v>170</v>
      </c>
      <c r="N965" t="s">
        <v>1829</v>
      </c>
    </row>
    <row r="966" spans="1:17" x14ac:dyDescent="0.25">
      <c r="A966" t="s">
        <v>134</v>
      </c>
      <c r="B966" t="s">
        <v>135</v>
      </c>
      <c r="C966">
        <v>160</v>
      </c>
      <c r="D966" t="s">
        <v>264</v>
      </c>
      <c r="E966" s="1">
        <v>43080</v>
      </c>
      <c r="F966" t="s">
        <v>927</v>
      </c>
      <c r="G966" t="s">
        <v>1677</v>
      </c>
      <c r="H966">
        <v>-1</v>
      </c>
      <c r="I966" t="s">
        <v>37</v>
      </c>
      <c r="J966">
        <v>0</v>
      </c>
      <c r="K966">
        <v>0</v>
      </c>
      <c r="M966" t="s">
        <v>255</v>
      </c>
      <c r="N966" t="s">
        <v>1829</v>
      </c>
      <c r="O966">
        <v>0</v>
      </c>
      <c r="P966">
        <v>0</v>
      </c>
      <c r="Q966" t="s">
        <v>249</v>
      </c>
    </row>
    <row r="967" spans="1:17" x14ac:dyDescent="0.25">
      <c r="A967" t="s">
        <v>134</v>
      </c>
      <c r="B967" t="s">
        <v>135</v>
      </c>
      <c r="C967">
        <v>160</v>
      </c>
      <c r="D967" t="s">
        <v>264</v>
      </c>
      <c r="E967" s="1">
        <v>43083</v>
      </c>
      <c r="F967" t="s">
        <v>927</v>
      </c>
      <c r="G967" t="s">
        <v>1685</v>
      </c>
      <c r="H967">
        <v>-1</v>
      </c>
      <c r="I967" t="s">
        <v>37</v>
      </c>
      <c r="J967">
        <v>0</v>
      </c>
      <c r="M967" t="s">
        <v>170</v>
      </c>
      <c r="N967" t="s">
        <v>1844</v>
      </c>
    </row>
    <row r="968" spans="1:17" x14ac:dyDescent="0.25">
      <c r="A968" t="s">
        <v>134</v>
      </c>
      <c r="B968" t="s">
        <v>135</v>
      </c>
      <c r="C968">
        <v>160</v>
      </c>
      <c r="D968" t="s">
        <v>264</v>
      </c>
      <c r="E968" s="1">
        <v>43083</v>
      </c>
      <c r="F968" t="s">
        <v>927</v>
      </c>
      <c r="G968" t="s">
        <v>1685</v>
      </c>
      <c r="H968">
        <v>-1</v>
      </c>
      <c r="I968" t="s">
        <v>37</v>
      </c>
      <c r="J968">
        <v>0</v>
      </c>
      <c r="K968">
        <v>0</v>
      </c>
      <c r="M968" t="s">
        <v>255</v>
      </c>
      <c r="N968" t="s">
        <v>1844</v>
      </c>
      <c r="O968">
        <v>0</v>
      </c>
      <c r="P968">
        <v>0</v>
      </c>
      <c r="Q968" t="s">
        <v>249</v>
      </c>
    </row>
    <row r="969" spans="1:17" x14ac:dyDescent="0.25">
      <c r="A969" t="s">
        <v>134</v>
      </c>
      <c r="B969" t="s">
        <v>135</v>
      </c>
      <c r="C969">
        <v>160</v>
      </c>
      <c r="D969" t="s">
        <v>264</v>
      </c>
      <c r="E969" s="1">
        <v>43089</v>
      </c>
      <c r="F969" t="s">
        <v>21</v>
      </c>
      <c r="G969" t="s">
        <v>1993</v>
      </c>
      <c r="H969">
        <v>1</v>
      </c>
      <c r="I969" t="s">
        <v>37</v>
      </c>
      <c r="J969">
        <v>0</v>
      </c>
      <c r="M969" t="s">
        <v>170</v>
      </c>
      <c r="N969" t="s">
        <v>2004</v>
      </c>
    </row>
    <row r="970" spans="1:17" x14ac:dyDescent="0.25">
      <c r="A970" t="s">
        <v>134</v>
      </c>
      <c r="B970" t="s">
        <v>135</v>
      </c>
      <c r="C970">
        <v>160</v>
      </c>
      <c r="D970" t="s">
        <v>264</v>
      </c>
      <c r="E970" s="1">
        <v>43089</v>
      </c>
      <c r="F970" t="s">
        <v>21</v>
      </c>
      <c r="G970" t="s">
        <v>1993</v>
      </c>
      <c r="H970">
        <v>1</v>
      </c>
      <c r="I970" t="s">
        <v>37</v>
      </c>
      <c r="J970">
        <v>0</v>
      </c>
      <c r="M970" t="s">
        <v>255</v>
      </c>
      <c r="N970" t="s">
        <v>2004</v>
      </c>
      <c r="O970">
        <v>0</v>
      </c>
      <c r="P970">
        <v>0</v>
      </c>
      <c r="Q970" t="s">
        <v>249</v>
      </c>
    </row>
    <row r="971" spans="1:17" x14ac:dyDescent="0.25">
      <c r="A971" t="s">
        <v>409</v>
      </c>
      <c r="B971" t="s">
        <v>1147</v>
      </c>
      <c r="C971">
        <v>160</v>
      </c>
      <c r="D971" t="s">
        <v>264</v>
      </c>
      <c r="E971" s="1">
        <v>43089</v>
      </c>
      <c r="F971" t="s">
        <v>21</v>
      </c>
      <c r="G971" t="s">
        <v>1993</v>
      </c>
      <c r="H971">
        <v>-1</v>
      </c>
      <c r="I971" t="s">
        <v>37</v>
      </c>
      <c r="J971">
        <v>0</v>
      </c>
      <c r="M971" t="s">
        <v>170</v>
      </c>
      <c r="N971" t="s">
        <v>2005</v>
      </c>
    </row>
    <row r="972" spans="1:17" x14ac:dyDescent="0.25">
      <c r="A972" t="s">
        <v>409</v>
      </c>
      <c r="B972" t="s">
        <v>1147</v>
      </c>
      <c r="C972">
        <v>160</v>
      </c>
      <c r="D972" t="s">
        <v>264</v>
      </c>
      <c r="E972" s="1">
        <v>43089</v>
      </c>
      <c r="F972" t="s">
        <v>21</v>
      </c>
      <c r="G972" t="s">
        <v>1993</v>
      </c>
      <c r="H972">
        <v>-1</v>
      </c>
      <c r="I972" t="s">
        <v>37</v>
      </c>
      <c r="J972">
        <v>0</v>
      </c>
      <c r="K972">
        <v>0</v>
      </c>
      <c r="M972" t="s">
        <v>255</v>
      </c>
      <c r="N972" t="s">
        <v>2005</v>
      </c>
      <c r="O972">
        <v>0</v>
      </c>
      <c r="P972">
        <v>0</v>
      </c>
      <c r="Q972" t="s">
        <v>249</v>
      </c>
    </row>
    <row r="973" spans="1:17" x14ac:dyDescent="0.25">
      <c r="A973" t="s">
        <v>79</v>
      </c>
      <c r="B973" t="s">
        <v>206</v>
      </c>
      <c r="C973">
        <v>160</v>
      </c>
      <c r="D973" t="s">
        <v>264</v>
      </c>
      <c r="E973" s="1">
        <v>43070</v>
      </c>
      <c r="F973" t="s">
        <v>1648</v>
      </c>
      <c r="G973" t="s">
        <v>1651</v>
      </c>
      <c r="H973">
        <v>1</v>
      </c>
      <c r="I973" t="s">
        <v>37</v>
      </c>
      <c r="J973">
        <v>0</v>
      </c>
      <c r="M973" t="s">
        <v>170</v>
      </c>
      <c r="N973" t="s">
        <v>1652</v>
      </c>
    </row>
    <row r="974" spans="1:17" x14ac:dyDescent="0.25">
      <c r="A974" t="s">
        <v>79</v>
      </c>
      <c r="B974" t="s">
        <v>206</v>
      </c>
      <c r="C974">
        <v>160</v>
      </c>
      <c r="D974" t="s">
        <v>264</v>
      </c>
      <c r="E974" s="1">
        <v>43070</v>
      </c>
      <c r="F974" t="s">
        <v>1648</v>
      </c>
      <c r="G974" t="s">
        <v>1651</v>
      </c>
      <c r="H974">
        <v>1</v>
      </c>
      <c r="I974" t="s">
        <v>37</v>
      </c>
      <c r="J974">
        <v>0</v>
      </c>
      <c r="M974" t="s">
        <v>255</v>
      </c>
      <c r="N974" t="s">
        <v>1652</v>
      </c>
      <c r="O974">
        <v>0</v>
      </c>
      <c r="P974">
        <v>0</v>
      </c>
      <c r="Q974" t="s">
        <v>249</v>
      </c>
    </row>
    <row r="975" spans="1:17" x14ac:dyDescent="0.25">
      <c r="A975" t="s">
        <v>79</v>
      </c>
      <c r="B975" t="s">
        <v>206</v>
      </c>
      <c r="C975">
        <v>160</v>
      </c>
      <c r="D975" t="s">
        <v>264</v>
      </c>
      <c r="E975" s="1">
        <v>43070</v>
      </c>
      <c r="F975" t="s">
        <v>1648</v>
      </c>
      <c r="G975" t="s">
        <v>1653</v>
      </c>
      <c r="H975">
        <v>1</v>
      </c>
      <c r="I975" t="s">
        <v>37</v>
      </c>
      <c r="J975">
        <v>0</v>
      </c>
      <c r="M975" t="s">
        <v>170</v>
      </c>
      <c r="N975" t="s">
        <v>1654</v>
      </c>
    </row>
    <row r="976" spans="1:17" x14ac:dyDescent="0.25">
      <c r="A976" t="s">
        <v>79</v>
      </c>
      <c r="B976" t="s">
        <v>206</v>
      </c>
      <c r="C976">
        <v>160</v>
      </c>
      <c r="D976" t="s">
        <v>264</v>
      </c>
      <c r="E976" s="1">
        <v>43070</v>
      </c>
      <c r="F976" t="s">
        <v>1648</v>
      </c>
      <c r="G976" t="s">
        <v>1653</v>
      </c>
      <c r="H976">
        <v>1</v>
      </c>
      <c r="I976" t="s">
        <v>37</v>
      </c>
      <c r="J976">
        <v>0</v>
      </c>
      <c r="M976" t="s">
        <v>255</v>
      </c>
      <c r="N976" t="s">
        <v>1654</v>
      </c>
      <c r="O976">
        <v>0</v>
      </c>
      <c r="P976">
        <v>0</v>
      </c>
      <c r="Q976" t="s">
        <v>249</v>
      </c>
    </row>
    <row r="977" spans="1:17" x14ac:dyDescent="0.25">
      <c r="A977" t="s">
        <v>79</v>
      </c>
      <c r="B977" t="s">
        <v>206</v>
      </c>
      <c r="C977">
        <v>160</v>
      </c>
      <c r="D977" t="s">
        <v>264</v>
      </c>
      <c r="E977" s="1">
        <v>43074</v>
      </c>
      <c r="F977" t="s">
        <v>1648</v>
      </c>
      <c r="G977" t="s">
        <v>1655</v>
      </c>
      <c r="H977">
        <v>4</v>
      </c>
      <c r="I977" t="s">
        <v>37</v>
      </c>
      <c r="J977">
        <v>0</v>
      </c>
      <c r="M977" t="s">
        <v>170</v>
      </c>
      <c r="N977" t="s">
        <v>1656</v>
      </c>
    </row>
    <row r="978" spans="1:17" x14ac:dyDescent="0.25">
      <c r="A978" t="s">
        <v>79</v>
      </c>
      <c r="B978" t="s">
        <v>206</v>
      </c>
      <c r="C978">
        <v>160</v>
      </c>
      <c r="D978" t="s">
        <v>264</v>
      </c>
      <c r="E978" s="1">
        <v>43074</v>
      </c>
      <c r="F978" t="s">
        <v>1648</v>
      </c>
      <c r="G978" t="s">
        <v>1655</v>
      </c>
      <c r="H978">
        <v>4</v>
      </c>
      <c r="I978" t="s">
        <v>37</v>
      </c>
      <c r="J978">
        <v>0</v>
      </c>
      <c r="M978" t="s">
        <v>255</v>
      </c>
      <c r="N978" t="s">
        <v>1656</v>
      </c>
      <c r="O978">
        <v>0</v>
      </c>
      <c r="P978">
        <v>0</v>
      </c>
      <c r="Q978" t="s">
        <v>249</v>
      </c>
    </row>
    <row r="979" spans="1:17" x14ac:dyDescent="0.25">
      <c r="A979" t="s">
        <v>79</v>
      </c>
      <c r="B979" t="s">
        <v>206</v>
      </c>
      <c r="C979">
        <v>160</v>
      </c>
      <c r="D979" t="s">
        <v>264</v>
      </c>
      <c r="E979" s="1">
        <v>43075</v>
      </c>
      <c r="F979" t="s">
        <v>252</v>
      </c>
      <c r="G979" t="s">
        <v>885</v>
      </c>
      <c r="H979">
        <v>-1</v>
      </c>
      <c r="I979" t="s">
        <v>37</v>
      </c>
      <c r="J979">
        <v>0</v>
      </c>
      <c r="M979" t="s">
        <v>170</v>
      </c>
      <c r="N979" t="s">
        <v>1478</v>
      </c>
    </row>
    <row r="980" spans="1:17" x14ac:dyDescent="0.25">
      <c r="A980" t="s">
        <v>79</v>
      </c>
      <c r="B980" t="s">
        <v>206</v>
      </c>
      <c r="C980">
        <v>160</v>
      </c>
      <c r="D980" t="s">
        <v>264</v>
      </c>
      <c r="E980" s="1">
        <v>43075</v>
      </c>
      <c r="F980" t="s">
        <v>252</v>
      </c>
      <c r="G980" t="s">
        <v>885</v>
      </c>
      <c r="H980">
        <v>-1</v>
      </c>
      <c r="I980" t="s">
        <v>37</v>
      </c>
      <c r="J980">
        <v>0</v>
      </c>
      <c r="K980">
        <v>0</v>
      </c>
      <c r="M980" t="s">
        <v>255</v>
      </c>
      <c r="N980" t="s">
        <v>1478</v>
      </c>
      <c r="O980">
        <v>0</v>
      </c>
      <c r="P980">
        <v>0</v>
      </c>
      <c r="Q980" t="s">
        <v>249</v>
      </c>
    </row>
    <row r="981" spans="1:17" x14ac:dyDescent="0.25">
      <c r="A981" t="s">
        <v>79</v>
      </c>
      <c r="B981" t="s">
        <v>206</v>
      </c>
      <c r="C981">
        <v>160</v>
      </c>
      <c r="D981" t="s">
        <v>264</v>
      </c>
      <c r="E981" s="1">
        <v>43075</v>
      </c>
      <c r="F981" t="s">
        <v>252</v>
      </c>
      <c r="G981" t="s">
        <v>851</v>
      </c>
      <c r="H981">
        <v>-1</v>
      </c>
      <c r="I981" t="s">
        <v>37</v>
      </c>
      <c r="J981">
        <v>0</v>
      </c>
      <c r="M981" t="s">
        <v>170</v>
      </c>
      <c r="N981" t="s">
        <v>1498</v>
      </c>
    </row>
    <row r="982" spans="1:17" x14ac:dyDescent="0.25">
      <c r="A982" t="s">
        <v>79</v>
      </c>
      <c r="B982" t="s">
        <v>206</v>
      </c>
      <c r="C982">
        <v>160</v>
      </c>
      <c r="D982" t="s">
        <v>264</v>
      </c>
      <c r="E982" s="1">
        <v>43075</v>
      </c>
      <c r="F982" t="s">
        <v>252</v>
      </c>
      <c r="G982" t="s">
        <v>851</v>
      </c>
      <c r="H982">
        <v>-1</v>
      </c>
      <c r="I982" t="s">
        <v>37</v>
      </c>
      <c r="J982">
        <v>0</v>
      </c>
      <c r="K982">
        <v>0</v>
      </c>
      <c r="M982" t="s">
        <v>255</v>
      </c>
      <c r="N982" t="s">
        <v>1498</v>
      </c>
      <c r="O982">
        <v>0</v>
      </c>
      <c r="P982">
        <v>0</v>
      </c>
      <c r="Q982" t="s">
        <v>249</v>
      </c>
    </row>
    <row r="983" spans="1:17" x14ac:dyDescent="0.25">
      <c r="A983" t="s">
        <v>79</v>
      </c>
      <c r="B983" t="s">
        <v>206</v>
      </c>
      <c r="C983">
        <v>160</v>
      </c>
      <c r="D983" t="s">
        <v>264</v>
      </c>
      <c r="E983" s="1">
        <v>43075</v>
      </c>
      <c r="F983" t="s">
        <v>1648</v>
      </c>
      <c r="G983" t="s">
        <v>1671</v>
      </c>
      <c r="H983">
        <v>1</v>
      </c>
      <c r="I983" t="s">
        <v>37</v>
      </c>
      <c r="J983">
        <v>0</v>
      </c>
      <c r="M983" t="s">
        <v>170</v>
      </c>
      <c r="N983" t="s">
        <v>1672</v>
      </c>
    </row>
    <row r="984" spans="1:17" x14ac:dyDescent="0.25">
      <c r="A984" t="s">
        <v>79</v>
      </c>
      <c r="B984" t="s">
        <v>206</v>
      </c>
      <c r="C984">
        <v>160</v>
      </c>
      <c r="D984" t="s">
        <v>264</v>
      </c>
      <c r="E984" s="1">
        <v>43075</v>
      </c>
      <c r="F984" t="s">
        <v>1648</v>
      </c>
      <c r="G984" t="s">
        <v>1671</v>
      </c>
      <c r="H984">
        <v>1</v>
      </c>
      <c r="I984" t="s">
        <v>37</v>
      </c>
      <c r="J984">
        <v>0</v>
      </c>
      <c r="M984" t="s">
        <v>255</v>
      </c>
      <c r="N984" t="s">
        <v>1672</v>
      </c>
      <c r="O984">
        <v>0</v>
      </c>
      <c r="P984">
        <v>0</v>
      </c>
      <c r="Q984" t="s">
        <v>249</v>
      </c>
    </row>
    <row r="985" spans="1:17" x14ac:dyDescent="0.25">
      <c r="A985" t="s">
        <v>79</v>
      </c>
      <c r="B985" t="s">
        <v>206</v>
      </c>
      <c r="C985">
        <v>160</v>
      </c>
      <c r="D985" t="s">
        <v>264</v>
      </c>
      <c r="E985" s="1">
        <v>43075</v>
      </c>
      <c r="F985" t="s">
        <v>1648</v>
      </c>
      <c r="G985" t="s">
        <v>1673</v>
      </c>
      <c r="H985">
        <v>1</v>
      </c>
      <c r="I985" t="s">
        <v>37</v>
      </c>
      <c r="J985">
        <v>0</v>
      </c>
      <c r="M985" t="s">
        <v>170</v>
      </c>
      <c r="N985" t="s">
        <v>1674</v>
      </c>
    </row>
    <row r="986" spans="1:17" x14ac:dyDescent="0.25">
      <c r="A986" t="s">
        <v>79</v>
      </c>
      <c r="B986" t="s">
        <v>206</v>
      </c>
      <c r="C986">
        <v>160</v>
      </c>
      <c r="D986" t="s">
        <v>264</v>
      </c>
      <c r="E986" s="1">
        <v>43075</v>
      </c>
      <c r="F986" t="s">
        <v>1648</v>
      </c>
      <c r="G986" t="s">
        <v>1673</v>
      </c>
      <c r="H986">
        <v>1</v>
      </c>
      <c r="I986" t="s">
        <v>37</v>
      </c>
      <c r="J986">
        <v>0</v>
      </c>
      <c r="M986" t="s">
        <v>255</v>
      </c>
      <c r="N986" t="s">
        <v>1674</v>
      </c>
      <c r="O986">
        <v>0</v>
      </c>
      <c r="P986">
        <v>0</v>
      </c>
      <c r="Q986" t="s">
        <v>249</v>
      </c>
    </row>
    <row r="987" spans="1:17" x14ac:dyDescent="0.25">
      <c r="A987" t="s">
        <v>79</v>
      </c>
      <c r="B987" t="s">
        <v>206</v>
      </c>
      <c r="C987">
        <v>160</v>
      </c>
      <c r="D987" t="s">
        <v>264</v>
      </c>
      <c r="E987" s="1">
        <v>43076</v>
      </c>
      <c r="F987" t="s">
        <v>252</v>
      </c>
      <c r="G987" t="s">
        <v>745</v>
      </c>
      <c r="H987">
        <v>-1</v>
      </c>
      <c r="I987" t="s">
        <v>37</v>
      </c>
      <c r="J987">
        <v>0</v>
      </c>
      <c r="M987" t="s">
        <v>170</v>
      </c>
      <c r="N987" t="s">
        <v>1501</v>
      </c>
    </row>
    <row r="988" spans="1:17" x14ac:dyDescent="0.25">
      <c r="A988" t="s">
        <v>79</v>
      </c>
      <c r="B988" t="s">
        <v>206</v>
      </c>
      <c r="C988">
        <v>160</v>
      </c>
      <c r="D988" t="s">
        <v>264</v>
      </c>
      <c r="E988" s="1">
        <v>43076</v>
      </c>
      <c r="F988" t="s">
        <v>252</v>
      </c>
      <c r="G988" t="s">
        <v>745</v>
      </c>
      <c r="H988">
        <v>-1</v>
      </c>
      <c r="I988" t="s">
        <v>37</v>
      </c>
      <c r="J988">
        <v>0</v>
      </c>
      <c r="K988">
        <v>0</v>
      </c>
      <c r="M988" t="s">
        <v>255</v>
      </c>
      <c r="N988" t="s">
        <v>1501</v>
      </c>
      <c r="O988">
        <v>0</v>
      </c>
      <c r="P988">
        <v>0</v>
      </c>
      <c r="Q988" t="s">
        <v>249</v>
      </c>
    </row>
    <row r="989" spans="1:17" x14ac:dyDescent="0.25">
      <c r="A989" t="s">
        <v>79</v>
      </c>
      <c r="B989" t="s">
        <v>206</v>
      </c>
      <c r="C989">
        <v>160</v>
      </c>
      <c r="D989" t="s">
        <v>264</v>
      </c>
      <c r="E989" s="1">
        <v>43076</v>
      </c>
      <c r="F989" t="s">
        <v>252</v>
      </c>
      <c r="G989" t="s">
        <v>826</v>
      </c>
      <c r="H989">
        <v>-4</v>
      </c>
      <c r="I989" t="s">
        <v>37</v>
      </c>
      <c r="J989">
        <v>0</v>
      </c>
      <c r="M989" t="s">
        <v>170</v>
      </c>
      <c r="N989" t="s">
        <v>1509</v>
      </c>
    </row>
    <row r="990" spans="1:17" x14ac:dyDescent="0.25">
      <c r="A990" t="s">
        <v>79</v>
      </c>
      <c r="B990" t="s">
        <v>206</v>
      </c>
      <c r="C990">
        <v>160</v>
      </c>
      <c r="D990" t="s">
        <v>264</v>
      </c>
      <c r="E990" s="1">
        <v>43076</v>
      </c>
      <c r="F990" t="s">
        <v>252</v>
      </c>
      <c r="G990" t="s">
        <v>826</v>
      </c>
      <c r="H990">
        <v>-4</v>
      </c>
      <c r="I990" t="s">
        <v>37</v>
      </c>
      <c r="J990">
        <v>0</v>
      </c>
      <c r="K990">
        <v>0</v>
      </c>
      <c r="M990" t="s">
        <v>255</v>
      </c>
      <c r="N990" t="s">
        <v>1509</v>
      </c>
      <c r="O990">
        <v>0</v>
      </c>
      <c r="P990">
        <v>0</v>
      </c>
      <c r="Q990" t="s">
        <v>249</v>
      </c>
    </row>
    <row r="991" spans="1:17" x14ac:dyDescent="0.25">
      <c r="A991" t="s">
        <v>79</v>
      </c>
      <c r="B991" t="s">
        <v>206</v>
      </c>
      <c r="C991">
        <v>160</v>
      </c>
      <c r="D991" t="s">
        <v>264</v>
      </c>
      <c r="E991" s="1">
        <v>43076</v>
      </c>
      <c r="F991" t="s">
        <v>252</v>
      </c>
      <c r="G991" t="s">
        <v>876</v>
      </c>
      <c r="H991">
        <v>-1</v>
      </c>
      <c r="I991" t="s">
        <v>37</v>
      </c>
      <c r="J991">
        <v>0</v>
      </c>
      <c r="M991" t="s">
        <v>170</v>
      </c>
      <c r="N991" t="s">
        <v>1514</v>
      </c>
    </row>
    <row r="992" spans="1:17" x14ac:dyDescent="0.25">
      <c r="A992" t="s">
        <v>79</v>
      </c>
      <c r="B992" t="s">
        <v>206</v>
      </c>
      <c r="C992">
        <v>160</v>
      </c>
      <c r="D992" t="s">
        <v>264</v>
      </c>
      <c r="E992" s="1">
        <v>43076</v>
      </c>
      <c r="F992" t="s">
        <v>252</v>
      </c>
      <c r="G992" t="s">
        <v>876</v>
      </c>
      <c r="H992">
        <v>-1</v>
      </c>
      <c r="I992" t="s">
        <v>37</v>
      </c>
      <c r="J992">
        <v>0</v>
      </c>
      <c r="K992">
        <v>0</v>
      </c>
      <c r="M992" t="s">
        <v>255</v>
      </c>
      <c r="N992" t="s">
        <v>1514</v>
      </c>
      <c r="O992">
        <v>0</v>
      </c>
      <c r="P992">
        <v>0</v>
      </c>
      <c r="Q992" t="s">
        <v>249</v>
      </c>
    </row>
    <row r="993" spans="1:17" x14ac:dyDescent="0.25">
      <c r="A993" t="s">
        <v>79</v>
      </c>
      <c r="B993" t="s">
        <v>206</v>
      </c>
      <c r="C993">
        <v>160</v>
      </c>
      <c r="D993" t="s">
        <v>264</v>
      </c>
      <c r="E993" s="1">
        <v>43076</v>
      </c>
      <c r="F993" t="s">
        <v>252</v>
      </c>
      <c r="G993" t="s">
        <v>785</v>
      </c>
      <c r="H993">
        <v>0</v>
      </c>
      <c r="I993" t="s">
        <v>37</v>
      </c>
      <c r="J993">
        <v>0</v>
      </c>
      <c r="M993" t="s">
        <v>170</v>
      </c>
      <c r="N993" t="s">
        <v>1522</v>
      </c>
      <c r="Q993" t="s">
        <v>254</v>
      </c>
    </row>
    <row r="994" spans="1:17" x14ac:dyDescent="0.25">
      <c r="A994" t="s">
        <v>79</v>
      </c>
      <c r="B994" t="s">
        <v>206</v>
      </c>
      <c r="C994">
        <v>160</v>
      </c>
      <c r="D994" t="s">
        <v>264</v>
      </c>
      <c r="E994" s="1">
        <v>43076</v>
      </c>
      <c r="F994" t="s">
        <v>1648</v>
      </c>
      <c r="G994" t="s">
        <v>1675</v>
      </c>
      <c r="H994">
        <v>1</v>
      </c>
      <c r="I994" t="s">
        <v>37</v>
      </c>
      <c r="J994">
        <v>0</v>
      </c>
      <c r="M994" t="s">
        <v>170</v>
      </c>
      <c r="N994" t="s">
        <v>1676</v>
      </c>
    </row>
    <row r="995" spans="1:17" x14ac:dyDescent="0.25">
      <c r="A995" t="s">
        <v>79</v>
      </c>
      <c r="B995" t="s">
        <v>206</v>
      </c>
      <c r="C995">
        <v>160</v>
      </c>
      <c r="D995" t="s">
        <v>264</v>
      </c>
      <c r="E995" s="1">
        <v>43076</v>
      </c>
      <c r="F995" t="s">
        <v>1648</v>
      </c>
      <c r="G995" t="s">
        <v>1675</v>
      </c>
      <c r="H995">
        <v>1</v>
      </c>
      <c r="I995" t="s">
        <v>37</v>
      </c>
      <c r="J995">
        <v>0</v>
      </c>
      <c r="M995" t="s">
        <v>255</v>
      </c>
      <c r="N995" t="s">
        <v>1676</v>
      </c>
      <c r="O995">
        <v>0</v>
      </c>
      <c r="P995">
        <v>0</v>
      </c>
      <c r="Q995" t="s">
        <v>249</v>
      </c>
    </row>
    <row r="996" spans="1:17" x14ac:dyDescent="0.25">
      <c r="A996" t="s">
        <v>79</v>
      </c>
      <c r="B996" t="s">
        <v>206</v>
      </c>
      <c r="C996">
        <v>160</v>
      </c>
      <c r="D996" t="s">
        <v>264</v>
      </c>
      <c r="E996" s="1">
        <v>43081</v>
      </c>
      <c r="F996" t="s">
        <v>252</v>
      </c>
      <c r="G996" t="s">
        <v>794</v>
      </c>
      <c r="H996">
        <v>-1</v>
      </c>
      <c r="I996" t="s">
        <v>37</v>
      </c>
      <c r="J996">
        <v>0</v>
      </c>
      <c r="M996" t="s">
        <v>170</v>
      </c>
      <c r="N996" t="s">
        <v>1524</v>
      </c>
    </row>
    <row r="997" spans="1:17" x14ac:dyDescent="0.25">
      <c r="A997" t="s">
        <v>79</v>
      </c>
      <c r="B997" t="s">
        <v>206</v>
      </c>
      <c r="C997">
        <v>160</v>
      </c>
      <c r="D997" t="s">
        <v>264</v>
      </c>
      <c r="E997" s="1">
        <v>43081</v>
      </c>
      <c r="F997" t="s">
        <v>252</v>
      </c>
      <c r="G997" t="s">
        <v>794</v>
      </c>
      <c r="H997">
        <v>-1</v>
      </c>
      <c r="I997" t="s">
        <v>37</v>
      </c>
      <c r="J997">
        <v>0</v>
      </c>
      <c r="K997">
        <v>0</v>
      </c>
      <c r="M997" t="s">
        <v>255</v>
      </c>
      <c r="N997" t="s">
        <v>1524</v>
      </c>
      <c r="O997">
        <v>0</v>
      </c>
      <c r="P997">
        <v>0</v>
      </c>
      <c r="Q997" t="s">
        <v>249</v>
      </c>
    </row>
    <row r="998" spans="1:17" x14ac:dyDescent="0.25">
      <c r="A998" t="s">
        <v>79</v>
      </c>
      <c r="B998" t="s">
        <v>206</v>
      </c>
      <c r="C998">
        <v>160</v>
      </c>
      <c r="D998" t="s">
        <v>264</v>
      </c>
      <c r="E998" s="1">
        <v>43081</v>
      </c>
      <c r="F998" t="s">
        <v>1648</v>
      </c>
      <c r="G998" t="s">
        <v>1681</v>
      </c>
      <c r="H998">
        <v>1</v>
      </c>
      <c r="I998" t="s">
        <v>37</v>
      </c>
      <c r="J998">
        <v>0</v>
      </c>
      <c r="M998" t="s">
        <v>170</v>
      </c>
      <c r="N998" t="s">
        <v>1682</v>
      </c>
    </row>
    <row r="999" spans="1:17" x14ac:dyDescent="0.25">
      <c r="A999" t="s">
        <v>79</v>
      </c>
      <c r="B999" t="s">
        <v>206</v>
      </c>
      <c r="C999">
        <v>160</v>
      </c>
      <c r="D999" t="s">
        <v>264</v>
      </c>
      <c r="E999" s="1">
        <v>43081</v>
      </c>
      <c r="F999" t="s">
        <v>1648</v>
      </c>
      <c r="G999" t="s">
        <v>1681</v>
      </c>
      <c r="H999">
        <v>1</v>
      </c>
      <c r="I999" t="s">
        <v>37</v>
      </c>
      <c r="J999">
        <v>0</v>
      </c>
      <c r="M999" t="s">
        <v>255</v>
      </c>
      <c r="N999" t="s">
        <v>1682</v>
      </c>
      <c r="O999">
        <v>0</v>
      </c>
      <c r="P999">
        <v>0</v>
      </c>
      <c r="Q999" t="s">
        <v>249</v>
      </c>
    </row>
    <row r="1000" spans="1:17" x14ac:dyDescent="0.25">
      <c r="A1000" t="s">
        <v>79</v>
      </c>
      <c r="B1000" t="s">
        <v>206</v>
      </c>
      <c r="C1000">
        <v>160</v>
      </c>
      <c r="D1000" t="s">
        <v>264</v>
      </c>
      <c r="E1000" s="1">
        <v>43082</v>
      </c>
      <c r="F1000" t="s">
        <v>1648</v>
      </c>
      <c r="G1000" t="s">
        <v>1683</v>
      </c>
      <c r="H1000">
        <v>1</v>
      </c>
      <c r="I1000" t="s">
        <v>37</v>
      </c>
      <c r="J1000">
        <v>0</v>
      </c>
      <c r="M1000" t="s">
        <v>170</v>
      </c>
      <c r="N1000" t="s">
        <v>1684</v>
      </c>
    </row>
    <row r="1001" spans="1:17" x14ac:dyDescent="0.25">
      <c r="A1001" t="s">
        <v>79</v>
      </c>
      <c r="B1001" t="s">
        <v>206</v>
      </c>
      <c r="C1001">
        <v>160</v>
      </c>
      <c r="D1001" t="s">
        <v>264</v>
      </c>
      <c r="E1001" s="1">
        <v>43082</v>
      </c>
      <c r="F1001" t="s">
        <v>1648</v>
      </c>
      <c r="G1001" t="s">
        <v>1683</v>
      </c>
      <c r="H1001">
        <v>1</v>
      </c>
      <c r="I1001" t="s">
        <v>37</v>
      </c>
      <c r="J1001">
        <v>0</v>
      </c>
      <c r="M1001" t="s">
        <v>255</v>
      </c>
      <c r="N1001" t="s">
        <v>1684</v>
      </c>
      <c r="O1001">
        <v>0</v>
      </c>
      <c r="P1001">
        <v>0</v>
      </c>
      <c r="Q1001" t="s">
        <v>249</v>
      </c>
    </row>
    <row r="1002" spans="1:17" x14ac:dyDescent="0.25">
      <c r="A1002" t="s">
        <v>79</v>
      </c>
      <c r="B1002" t="s">
        <v>206</v>
      </c>
      <c r="C1002">
        <v>160</v>
      </c>
      <c r="D1002" t="s">
        <v>264</v>
      </c>
      <c r="E1002" s="1">
        <v>43083</v>
      </c>
      <c r="F1002" t="s">
        <v>252</v>
      </c>
      <c r="G1002" t="s">
        <v>800</v>
      </c>
      <c r="H1002">
        <v>-1</v>
      </c>
      <c r="I1002" t="s">
        <v>37</v>
      </c>
      <c r="J1002">
        <v>0</v>
      </c>
      <c r="M1002" t="s">
        <v>170</v>
      </c>
      <c r="N1002" t="s">
        <v>1532</v>
      </c>
    </row>
    <row r="1003" spans="1:17" x14ac:dyDescent="0.25">
      <c r="A1003" t="s">
        <v>79</v>
      </c>
      <c r="B1003" t="s">
        <v>206</v>
      </c>
      <c r="C1003">
        <v>160</v>
      </c>
      <c r="D1003" t="s">
        <v>264</v>
      </c>
      <c r="E1003" s="1">
        <v>43083</v>
      </c>
      <c r="F1003" t="s">
        <v>252</v>
      </c>
      <c r="G1003" t="s">
        <v>800</v>
      </c>
      <c r="H1003">
        <v>-1</v>
      </c>
      <c r="I1003" t="s">
        <v>37</v>
      </c>
      <c r="J1003">
        <v>0</v>
      </c>
      <c r="K1003">
        <v>0</v>
      </c>
      <c r="M1003" t="s">
        <v>255</v>
      </c>
      <c r="N1003" t="s">
        <v>1532</v>
      </c>
      <c r="O1003">
        <v>0</v>
      </c>
      <c r="P1003">
        <v>0</v>
      </c>
      <c r="Q1003" t="s">
        <v>249</v>
      </c>
    </row>
    <row r="1004" spans="1:17" x14ac:dyDescent="0.25">
      <c r="A1004" t="s">
        <v>79</v>
      </c>
      <c r="B1004" t="s">
        <v>206</v>
      </c>
      <c r="C1004">
        <v>160</v>
      </c>
      <c r="D1004" t="s">
        <v>264</v>
      </c>
      <c r="E1004" s="1">
        <v>43083</v>
      </c>
      <c r="F1004" t="s">
        <v>252</v>
      </c>
      <c r="G1004" t="s">
        <v>1553</v>
      </c>
      <c r="H1004">
        <v>-1</v>
      </c>
      <c r="I1004" t="s">
        <v>37</v>
      </c>
      <c r="J1004">
        <v>0</v>
      </c>
      <c r="M1004" t="s">
        <v>170</v>
      </c>
      <c r="N1004" t="s">
        <v>1554</v>
      </c>
    </row>
    <row r="1005" spans="1:17" x14ac:dyDescent="0.25">
      <c r="A1005" t="s">
        <v>79</v>
      </c>
      <c r="B1005" t="s">
        <v>206</v>
      </c>
      <c r="C1005">
        <v>160</v>
      </c>
      <c r="D1005" t="s">
        <v>264</v>
      </c>
      <c r="E1005" s="1">
        <v>43083</v>
      </c>
      <c r="F1005" t="s">
        <v>252</v>
      </c>
      <c r="G1005" t="s">
        <v>1553</v>
      </c>
      <c r="H1005">
        <v>-1</v>
      </c>
      <c r="I1005" t="s">
        <v>37</v>
      </c>
      <c r="J1005">
        <v>0</v>
      </c>
      <c r="K1005">
        <v>0</v>
      </c>
      <c r="M1005" t="s">
        <v>255</v>
      </c>
      <c r="N1005" t="s">
        <v>1554</v>
      </c>
      <c r="O1005">
        <v>0</v>
      </c>
      <c r="P1005">
        <v>0</v>
      </c>
      <c r="Q1005" t="s">
        <v>249</v>
      </c>
    </row>
    <row r="1006" spans="1:17" x14ac:dyDescent="0.25">
      <c r="A1006" t="s">
        <v>79</v>
      </c>
      <c r="B1006" t="s">
        <v>206</v>
      </c>
      <c r="C1006">
        <v>160</v>
      </c>
      <c r="D1006" t="s">
        <v>264</v>
      </c>
      <c r="E1006" s="1">
        <v>43084</v>
      </c>
      <c r="F1006" t="s">
        <v>1648</v>
      </c>
      <c r="G1006" t="s">
        <v>1692</v>
      </c>
      <c r="H1006">
        <v>1</v>
      </c>
      <c r="I1006" t="s">
        <v>37</v>
      </c>
      <c r="J1006">
        <v>0</v>
      </c>
      <c r="M1006" t="s">
        <v>170</v>
      </c>
      <c r="N1006" t="s">
        <v>1693</v>
      </c>
    </row>
    <row r="1007" spans="1:17" x14ac:dyDescent="0.25">
      <c r="A1007" t="s">
        <v>79</v>
      </c>
      <c r="B1007" t="s">
        <v>206</v>
      </c>
      <c r="C1007">
        <v>160</v>
      </c>
      <c r="D1007" t="s">
        <v>264</v>
      </c>
      <c r="E1007" s="1">
        <v>43084</v>
      </c>
      <c r="F1007" t="s">
        <v>1648</v>
      </c>
      <c r="G1007" t="s">
        <v>1692</v>
      </c>
      <c r="H1007">
        <v>1</v>
      </c>
      <c r="I1007" t="s">
        <v>37</v>
      </c>
      <c r="J1007">
        <v>0</v>
      </c>
      <c r="M1007" t="s">
        <v>255</v>
      </c>
      <c r="N1007" t="s">
        <v>1693</v>
      </c>
      <c r="O1007">
        <v>0</v>
      </c>
      <c r="P1007">
        <v>0</v>
      </c>
      <c r="Q1007" t="s">
        <v>249</v>
      </c>
    </row>
    <row r="1008" spans="1:17" x14ac:dyDescent="0.25">
      <c r="A1008" t="s">
        <v>79</v>
      </c>
      <c r="B1008" t="s">
        <v>206</v>
      </c>
      <c r="C1008">
        <v>160</v>
      </c>
      <c r="D1008" t="s">
        <v>264</v>
      </c>
      <c r="E1008" s="1">
        <v>43087</v>
      </c>
      <c r="F1008" t="s">
        <v>252</v>
      </c>
      <c r="G1008" t="s">
        <v>811</v>
      </c>
      <c r="H1008">
        <v>-1</v>
      </c>
      <c r="I1008" t="s">
        <v>37</v>
      </c>
      <c r="J1008">
        <v>0</v>
      </c>
      <c r="M1008" t="s">
        <v>170</v>
      </c>
      <c r="N1008" t="s">
        <v>1613</v>
      </c>
    </row>
    <row r="1009" spans="1:17" x14ac:dyDescent="0.25">
      <c r="A1009" t="s">
        <v>79</v>
      </c>
      <c r="B1009" t="s">
        <v>206</v>
      </c>
      <c r="C1009">
        <v>160</v>
      </c>
      <c r="D1009" t="s">
        <v>264</v>
      </c>
      <c r="E1009" s="1">
        <v>43087</v>
      </c>
      <c r="F1009" t="s">
        <v>252</v>
      </c>
      <c r="G1009" t="s">
        <v>811</v>
      </c>
      <c r="H1009">
        <v>-1</v>
      </c>
      <c r="I1009" t="s">
        <v>37</v>
      </c>
      <c r="J1009">
        <v>0</v>
      </c>
      <c r="K1009">
        <v>0</v>
      </c>
      <c r="M1009" t="s">
        <v>255</v>
      </c>
      <c r="N1009" t="s">
        <v>1613</v>
      </c>
      <c r="O1009">
        <v>0</v>
      </c>
      <c r="P1009">
        <v>0</v>
      </c>
      <c r="Q1009" t="s">
        <v>249</v>
      </c>
    </row>
    <row r="1010" spans="1:17" x14ac:dyDescent="0.25">
      <c r="A1010" t="s">
        <v>79</v>
      </c>
      <c r="B1010" t="s">
        <v>206</v>
      </c>
      <c r="C1010">
        <v>160</v>
      </c>
      <c r="D1010" t="s">
        <v>264</v>
      </c>
      <c r="E1010" s="1">
        <v>43088</v>
      </c>
      <c r="F1010" t="s">
        <v>252</v>
      </c>
      <c r="G1010" t="s">
        <v>761</v>
      </c>
      <c r="H1010">
        <v>1</v>
      </c>
      <c r="I1010" t="s">
        <v>37</v>
      </c>
      <c r="J1010">
        <v>0</v>
      </c>
      <c r="M1010" t="s">
        <v>170</v>
      </c>
      <c r="N1010" t="s">
        <v>1624</v>
      </c>
    </row>
    <row r="1011" spans="1:17" x14ac:dyDescent="0.25">
      <c r="A1011" t="s">
        <v>79</v>
      </c>
      <c r="B1011" t="s">
        <v>206</v>
      </c>
      <c r="C1011">
        <v>160</v>
      </c>
      <c r="D1011" t="s">
        <v>264</v>
      </c>
      <c r="E1011" s="1">
        <v>43088</v>
      </c>
      <c r="F1011" t="s">
        <v>252</v>
      </c>
      <c r="G1011" t="s">
        <v>761</v>
      </c>
      <c r="H1011">
        <v>1</v>
      </c>
      <c r="I1011" t="s">
        <v>37</v>
      </c>
      <c r="J1011">
        <v>0</v>
      </c>
      <c r="M1011" t="s">
        <v>255</v>
      </c>
      <c r="N1011" t="s">
        <v>1624</v>
      </c>
      <c r="O1011">
        <v>0</v>
      </c>
      <c r="P1011">
        <v>0</v>
      </c>
      <c r="Q1011" t="s">
        <v>249</v>
      </c>
    </row>
    <row r="1012" spans="1:17" x14ac:dyDescent="0.25">
      <c r="A1012" t="s">
        <v>79</v>
      </c>
      <c r="B1012" t="s">
        <v>206</v>
      </c>
      <c r="C1012">
        <v>160</v>
      </c>
      <c r="D1012" t="s">
        <v>264</v>
      </c>
      <c r="E1012" s="1">
        <v>43088</v>
      </c>
      <c r="F1012" t="s">
        <v>252</v>
      </c>
      <c r="G1012" t="s">
        <v>757</v>
      </c>
      <c r="H1012">
        <v>-1</v>
      </c>
      <c r="I1012" t="s">
        <v>37</v>
      </c>
      <c r="J1012">
        <v>0</v>
      </c>
      <c r="M1012" t="s">
        <v>170</v>
      </c>
      <c r="N1012" t="s">
        <v>1626</v>
      </c>
    </row>
    <row r="1013" spans="1:17" x14ac:dyDescent="0.25">
      <c r="A1013" t="s">
        <v>79</v>
      </c>
      <c r="B1013" t="s">
        <v>206</v>
      </c>
      <c r="C1013">
        <v>160</v>
      </c>
      <c r="D1013" t="s">
        <v>264</v>
      </c>
      <c r="E1013" s="1">
        <v>43088</v>
      </c>
      <c r="F1013" t="s">
        <v>252</v>
      </c>
      <c r="G1013" t="s">
        <v>757</v>
      </c>
      <c r="H1013">
        <v>-1</v>
      </c>
      <c r="I1013" t="s">
        <v>37</v>
      </c>
      <c r="J1013">
        <v>0</v>
      </c>
      <c r="K1013">
        <v>0</v>
      </c>
      <c r="M1013" t="s">
        <v>255</v>
      </c>
      <c r="N1013" t="s">
        <v>1626</v>
      </c>
      <c r="O1013">
        <v>0</v>
      </c>
      <c r="P1013">
        <v>0</v>
      </c>
      <c r="Q1013" t="s">
        <v>249</v>
      </c>
    </row>
    <row r="1014" spans="1:17" x14ac:dyDescent="0.25">
      <c r="A1014" t="s">
        <v>79</v>
      </c>
      <c r="B1014" t="s">
        <v>206</v>
      </c>
      <c r="C1014">
        <v>160</v>
      </c>
      <c r="D1014" t="s">
        <v>264</v>
      </c>
      <c r="E1014" s="1">
        <v>43088</v>
      </c>
      <c r="F1014" t="s">
        <v>1648</v>
      </c>
      <c r="G1014" t="s">
        <v>1694</v>
      </c>
      <c r="H1014">
        <v>1</v>
      </c>
      <c r="I1014" t="s">
        <v>37</v>
      </c>
      <c r="J1014">
        <v>0</v>
      </c>
      <c r="M1014" t="s">
        <v>170</v>
      </c>
      <c r="N1014" t="s">
        <v>1695</v>
      </c>
    </row>
    <row r="1015" spans="1:17" x14ac:dyDescent="0.25">
      <c r="A1015" t="s">
        <v>79</v>
      </c>
      <c r="B1015" t="s">
        <v>206</v>
      </c>
      <c r="C1015">
        <v>160</v>
      </c>
      <c r="D1015" t="s">
        <v>264</v>
      </c>
      <c r="E1015" s="1">
        <v>43088</v>
      </c>
      <c r="F1015" t="s">
        <v>1648</v>
      </c>
      <c r="G1015" t="s">
        <v>1694</v>
      </c>
      <c r="H1015">
        <v>1</v>
      </c>
      <c r="I1015" t="s">
        <v>37</v>
      </c>
      <c r="J1015">
        <v>0</v>
      </c>
      <c r="M1015" t="s">
        <v>255</v>
      </c>
      <c r="N1015" t="s">
        <v>1695</v>
      </c>
      <c r="O1015">
        <v>0</v>
      </c>
      <c r="P1015">
        <v>0</v>
      </c>
      <c r="Q1015" t="s">
        <v>249</v>
      </c>
    </row>
    <row r="1016" spans="1:17" x14ac:dyDescent="0.25">
      <c r="A1016" t="s">
        <v>79</v>
      </c>
      <c r="B1016" t="s">
        <v>206</v>
      </c>
      <c r="C1016">
        <v>160</v>
      </c>
      <c r="D1016" t="s">
        <v>264</v>
      </c>
      <c r="E1016" s="1">
        <v>43091</v>
      </c>
      <c r="F1016" t="s">
        <v>252</v>
      </c>
      <c r="G1016" t="s">
        <v>765</v>
      </c>
      <c r="H1016">
        <v>-1</v>
      </c>
      <c r="I1016" t="s">
        <v>37</v>
      </c>
      <c r="J1016">
        <v>0</v>
      </c>
      <c r="M1016" t="s">
        <v>170</v>
      </c>
      <c r="N1016" t="s">
        <v>1647</v>
      </c>
    </row>
    <row r="1017" spans="1:17" x14ac:dyDescent="0.25">
      <c r="A1017" t="s">
        <v>79</v>
      </c>
      <c r="B1017" t="s">
        <v>206</v>
      </c>
      <c r="C1017">
        <v>160</v>
      </c>
      <c r="D1017" t="s">
        <v>264</v>
      </c>
      <c r="E1017" s="1">
        <v>43091</v>
      </c>
      <c r="F1017" t="s">
        <v>252</v>
      </c>
      <c r="G1017" t="s">
        <v>765</v>
      </c>
      <c r="H1017">
        <v>-1</v>
      </c>
      <c r="I1017" t="s">
        <v>37</v>
      </c>
      <c r="J1017">
        <v>0</v>
      </c>
      <c r="K1017">
        <v>0</v>
      </c>
      <c r="M1017" t="s">
        <v>255</v>
      </c>
      <c r="N1017" t="s">
        <v>1647</v>
      </c>
      <c r="O1017">
        <v>0</v>
      </c>
      <c r="P1017">
        <v>0</v>
      </c>
      <c r="Q1017" t="s">
        <v>249</v>
      </c>
    </row>
    <row r="1018" spans="1:17" x14ac:dyDescent="0.25">
      <c r="A1018" t="s">
        <v>79</v>
      </c>
      <c r="B1018" t="s">
        <v>206</v>
      </c>
      <c r="C1018">
        <v>160</v>
      </c>
      <c r="D1018" t="s">
        <v>264</v>
      </c>
      <c r="E1018" s="1">
        <v>43091</v>
      </c>
      <c r="F1018" t="s">
        <v>1648</v>
      </c>
      <c r="G1018" t="s">
        <v>1697</v>
      </c>
      <c r="H1018">
        <v>1</v>
      </c>
      <c r="I1018" t="s">
        <v>37</v>
      </c>
      <c r="J1018">
        <v>0</v>
      </c>
      <c r="M1018" t="s">
        <v>170</v>
      </c>
      <c r="N1018" t="s">
        <v>1698</v>
      </c>
    </row>
    <row r="1019" spans="1:17" x14ac:dyDescent="0.25">
      <c r="A1019" t="s">
        <v>79</v>
      </c>
      <c r="B1019" t="s">
        <v>206</v>
      </c>
      <c r="C1019">
        <v>160</v>
      </c>
      <c r="D1019" t="s">
        <v>264</v>
      </c>
      <c r="E1019" s="1">
        <v>43091</v>
      </c>
      <c r="F1019" t="s">
        <v>1648</v>
      </c>
      <c r="G1019" t="s">
        <v>1697</v>
      </c>
      <c r="H1019">
        <v>1</v>
      </c>
      <c r="I1019" t="s">
        <v>37</v>
      </c>
      <c r="J1019">
        <v>0</v>
      </c>
      <c r="M1019" t="s">
        <v>255</v>
      </c>
      <c r="N1019" t="s">
        <v>1698</v>
      </c>
      <c r="O1019">
        <v>0</v>
      </c>
      <c r="P1019">
        <v>0</v>
      </c>
      <c r="Q1019" t="s">
        <v>249</v>
      </c>
    </row>
    <row r="1020" spans="1:17" x14ac:dyDescent="0.25">
      <c r="A1020" t="s">
        <v>108</v>
      </c>
      <c r="B1020" t="s">
        <v>109</v>
      </c>
      <c r="C1020">
        <v>160</v>
      </c>
      <c r="D1020" t="s">
        <v>264</v>
      </c>
      <c r="E1020" s="1">
        <v>43080</v>
      </c>
      <c r="F1020" t="s">
        <v>1648</v>
      </c>
      <c r="G1020" t="s">
        <v>1677</v>
      </c>
      <c r="H1020">
        <v>1</v>
      </c>
      <c r="I1020" t="s">
        <v>37</v>
      </c>
      <c r="J1020">
        <v>0</v>
      </c>
      <c r="M1020" t="s">
        <v>170</v>
      </c>
      <c r="N1020" t="s">
        <v>1678</v>
      </c>
    </row>
    <row r="1021" spans="1:17" x14ac:dyDescent="0.25">
      <c r="A1021" t="s">
        <v>108</v>
      </c>
      <c r="B1021" t="s">
        <v>109</v>
      </c>
      <c r="C1021">
        <v>160</v>
      </c>
      <c r="D1021" t="s">
        <v>264</v>
      </c>
      <c r="E1021" s="1">
        <v>43080</v>
      </c>
      <c r="F1021" t="s">
        <v>1648</v>
      </c>
      <c r="G1021" t="s">
        <v>1677</v>
      </c>
      <c r="H1021">
        <v>1</v>
      </c>
      <c r="I1021" t="s">
        <v>37</v>
      </c>
      <c r="J1021">
        <v>0</v>
      </c>
      <c r="M1021" t="s">
        <v>255</v>
      </c>
      <c r="N1021" t="s">
        <v>1678</v>
      </c>
      <c r="O1021">
        <v>0</v>
      </c>
      <c r="P1021">
        <v>0</v>
      </c>
      <c r="Q1021" t="s">
        <v>249</v>
      </c>
    </row>
    <row r="1022" spans="1:17" x14ac:dyDescent="0.25">
      <c r="A1022" t="s">
        <v>108</v>
      </c>
      <c r="B1022" t="s">
        <v>109</v>
      </c>
      <c r="C1022">
        <v>160</v>
      </c>
      <c r="D1022" t="s">
        <v>264</v>
      </c>
      <c r="E1022" s="1">
        <v>43081</v>
      </c>
      <c r="F1022" t="s">
        <v>252</v>
      </c>
      <c r="G1022" t="s">
        <v>788</v>
      </c>
      <c r="H1022">
        <v>-1</v>
      </c>
      <c r="I1022" t="s">
        <v>37</v>
      </c>
      <c r="J1022">
        <v>0</v>
      </c>
      <c r="M1022" t="s">
        <v>170</v>
      </c>
      <c r="N1022" t="s">
        <v>1526</v>
      </c>
    </row>
    <row r="1023" spans="1:17" x14ac:dyDescent="0.25">
      <c r="A1023" t="s">
        <v>108</v>
      </c>
      <c r="B1023" t="s">
        <v>109</v>
      </c>
      <c r="C1023">
        <v>160</v>
      </c>
      <c r="D1023" t="s">
        <v>264</v>
      </c>
      <c r="E1023" s="1">
        <v>43081</v>
      </c>
      <c r="F1023" t="s">
        <v>252</v>
      </c>
      <c r="G1023" t="s">
        <v>788</v>
      </c>
      <c r="H1023">
        <v>-1</v>
      </c>
      <c r="I1023" t="s">
        <v>37</v>
      </c>
      <c r="J1023">
        <v>0</v>
      </c>
      <c r="K1023">
        <v>0</v>
      </c>
      <c r="M1023" t="s">
        <v>255</v>
      </c>
      <c r="N1023" t="s">
        <v>1526</v>
      </c>
      <c r="O1023">
        <v>0</v>
      </c>
      <c r="P1023">
        <v>0</v>
      </c>
      <c r="Q1023" t="s">
        <v>249</v>
      </c>
    </row>
    <row r="1024" spans="1:17" x14ac:dyDescent="0.25">
      <c r="A1024" t="s">
        <v>108</v>
      </c>
      <c r="B1024" t="s">
        <v>109</v>
      </c>
      <c r="C1024">
        <v>160</v>
      </c>
      <c r="D1024" t="s">
        <v>264</v>
      </c>
      <c r="E1024" s="1">
        <v>43083</v>
      </c>
      <c r="F1024" t="s">
        <v>1648</v>
      </c>
      <c r="G1024" t="s">
        <v>1685</v>
      </c>
      <c r="H1024">
        <v>1</v>
      </c>
      <c r="I1024" t="s">
        <v>37</v>
      </c>
      <c r="J1024">
        <v>0</v>
      </c>
      <c r="M1024" t="s">
        <v>170</v>
      </c>
      <c r="N1024" t="s">
        <v>1686</v>
      </c>
    </row>
    <row r="1025" spans="1:17" x14ac:dyDescent="0.25">
      <c r="A1025" t="s">
        <v>108</v>
      </c>
      <c r="B1025" t="s">
        <v>109</v>
      </c>
      <c r="C1025">
        <v>160</v>
      </c>
      <c r="D1025" t="s">
        <v>264</v>
      </c>
      <c r="E1025" s="1">
        <v>43083</v>
      </c>
      <c r="F1025" t="s">
        <v>1648</v>
      </c>
      <c r="G1025" t="s">
        <v>1685</v>
      </c>
      <c r="H1025">
        <v>1</v>
      </c>
      <c r="I1025" t="s">
        <v>37</v>
      </c>
      <c r="J1025">
        <v>0</v>
      </c>
      <c r="M1025" t="s">
        <v>255</v>
      </c>
      <c r="N1025" t="s">
        <v>1686</v>
      </c>
      <c r="O1025">
        <v>0</v>
      </c>
      <c r="P1025">
        <v>0</v>
      </c>
      <c r="Q1025" t="s">
        <v>249</v>
      </c>
    </row>
    <row r="1026" spans="1:17" x14ac:dyDescent="0.25">
      <c r="A1026" t="s">
        <v>108</v>
      </c>
      <c r="B1026" t="s">
        <v>109</v>
      </c>
      <c r="C1026">
        <v>160</v>
      </c>
      <c r="D1026" t="s">
        <v>264</v>
      </c>
      <c r="E1026" s="1">
        <v>43084</v>
      </c>
      <c r="F1026" t="s">
        <v>252</v>
      </c>
      <c r="G1026" t="s">
        <v>822</v>
      </c>
      <c r="H1026">
        <v>-1</v>
      </c>
      <c r="I1026" t="s">
        <v>37</v>
      </c>
      <c r="J1026">
        <v>0</v>
      </c>
      <c r="M1026" t="s">
        <v>170</v>
      </c>
      <c r="N1026" t="s">
        <v>1565</v>
      </c>
    </row>
    <row r="1027" spans="1:17" x14ac:dyDescent="0.25">
      <c r="A1027" t="s">
        <v>108</v>
      </c>
      <c r="B1027" t="s">
        <v>109</v>
      </c>
      <c r="C1027">
        <v>160</v>
      </c>
      <c r="D1027" t="s">
        <v>264</v>
      </c>
      <c r="E1027" s="1">
        <v>43084</v>
      </c>
      <c r="F1027" t="s">
        <v>252</v>
      </c>
      <c r="G1027" t="s">
        <v>822</v>
      </c>
      <c r="H1027">
        <v>-1</v>
      </c>
      <c r="I1027" t="s">
        <v>37</v>
      </c>
      <c r="J1027">
        <v>0</v>
      </c>
      <c r="K1027">
        <v>0</v>
      </c>
      <c r="M1027" t="s">
        <v>255</v>
      </c>
      <c r="N1027" t="s">
        <v>1565</v>
      </c>
      <c r="O1027">
        <v>0</v>
      </c>
      <c r="P1027">
        <v>0</v>
      </c>
      <c r="Q1027" t="s">
        <v>249</v>
      </c>
    </row>
    <row r="1028" spans="1:17" x14ac:dyDescent="0.25">
      <c r="A1028" t="s">
        <v>108</v>
      </c>
      <c r="B1028" t="s">
        <v>109</v>
      </c>
      <c r="C1028">
        <v>160</v>
      </c>
      <c r="D1028" t="s">
        <v>264</v>
      </c>
      <c r="E1028" s="1">
        <v>43087</v>
      </c>
      <c r="F1028" t="s">
        <v>252</v>
      </c>
      <c r="G1028" t="s">
        <v>805</v>
      </c>
      <c r="H1028">
        <v>1</v>
      </c>
      <c r="I1028" t="s">
        <v>37</v>
      </c>
      <c r="J1028">
        <v>0</v>
      </c>
      <c r="M1028" t="s">
        <v>170</v>
      </c>
      <c r="N1028" t="s">
        <v>1617</v>
      </c>
    </row>
    <row r="1029" spans="1:17" x14ac:dyDescent="0.25">
      <c r="A1029" t="s">
        <v>108</v>
      </c>
      <c r="B1029" t="s">
        <v>109</v>
      </c>
      <c r="C1029">
        <v>160</v>
      </c>
      <c r="D1029" t="s">
        <v>264</v>
      </c>
      <c r="E1029" s="1">
        <v>43087</v>
      </c>
      <c r="F1029" t="s">
        <v>252</v>
      </c>
      <c r="G1029" t="s">
        <v>805</v>
      </c>
      <c r="H1029">
        <v>1</v>
      </c>
      <c r="I1029" t="s">
        <v>37</v>
      </c>
      <c r="J1029">
        <v>0</v>
      </c>
      <c r="M1029" t="s">
        <v>255</v>
      </c>
      <c r="N1029" t="s">
        <v>1617</v>
      </c>
      <c r="O1029">
        <v>0</v>
      </c>
      <c r="P1029">
        <v>0</v>
      </c>
      <c r="Q1029" t="s">
        <v>249</v>
      </c>
    </row>
    <row r="1030" spans="1:17" x14ac:dyDescent="0.25">
      <c r="A1030" t="s">
        <v>108</v>
      </c>
      <c r="B1030" t="s">
        <v>109</v>
      </c>
      <c r="C1030">
        <v>160</v>
      </c>
      <c r="D1030" t="s">
        <v>264</v>
      </c>
      <c r="E1030" s="1">
        <v>43087</v>
      </c>
      <c r="F1030" t="s">
        <v>252</v>
      </c>
      <c r="G1030" t="s">
        <v>808</v>
      </c>
      <c r="H1030">
        <v>-1</v>
      </c>
      <c r="I1030" t="s">
        <v>37</v>
      </c>
      <c r="J1030">
        <v>0</v>
      </c>
      <c r="M1030" t="s">
        <v>170</v>
      </c>
      <c r="N1030" t="s">
        <v>1619</v>
      </c>
    </row>
    <row r="1031" spans="1:17" x14ac:dyDescent="0.25">
      <c r="A1031" t="s">
        <v>108</v>
      </c>
      <c r="B1031" t="s">
        <v>109</v>
      </c>
      <c r="C1031">
        <v>160</v>
      </c>
      <c r="D1031" t="s">
        <v>264</v>
      </c>
      <c r="E1031" s="1">
        <v>43087</v>
      </c>
      <c r="F1031" t="s">
        <v>252</v>
      </c>
      <c r="G1031" t="s">
        <v>808</v>
      </c>
      <c r="H1031">
        <v>-1</v>
      </c>
      <c r="I1031" t="s">
        <v>37</v>
      </c>
      <c r="J1031">
        <v>0</v>
      </c>
      <c r="K1031">
        <v>0</v>
      </c>
      <c r="M1031" t="s">
        <v>255</v>
      </c>
      <c r="N1031" t="s">
        <v>1619</v>
      </c>
      <c r="O1031">
        <v>0</v>
      </c>
      <c r="P1031">
        <v>0</v>
      </c>
      <c r="Q1031" t="s">
        <v>249</v>
      </c>
    </row>
    <row r="1032" spans="1:17" x14ac:dyDescent="0.25">
      <c r="A1032" t="s">
        <v>108</v>
      </c>
      <c r="B1032" t="s">
        <v>109</v>
      </c>
      <c r="C1032">
        <v>160</v>
      </c>
      <c r="D1032" t="s">
        <v>264</v>
      </c>
      <c r="E1032" s="1">
        <v>43089</v>
      </c>
      <c r="F1032" t="s">
        <v>21</v>
      </c>
      <c r="G1032" t="s">
        <v>1993</v>
      </c>
      <c r="H1032">
        <v>-1</v>
      </c>
      <c r="I1032" t="s">
        <v>37</v>
      </c>
      <c r="J1032">
        <v>0</v>
      </c>
      <c r="M1032" t="s">
        <v>170</v>
      </c>
      <c r="N1032" t="s">
        <v>2006</v>
      </c>
    </row>
    <row r="1033" spans="1:17" x14ac:dyDescent="0.25">
      <c r="A1033" t="s">
        <v>108</v>
      </c>
      <c r="B1033" t="s">
        <v>109</v>
      </c>
      <c r="C1033">
        <v>160</v>
      </c>
      <c r="D1033" t="s">
        <v>264</v>
      </c>
      <c r="E1033" s="1">
        <v>43089</v>
      </c>
      <c r="F1033" t="s">
        <v>21</v>
      </c>
      <c r="G1033" t="s">
        <v>1993</v>
      </c>
      <c r="H1033">
        <v>-1</v>
      </c>
      <c r="I1033" t="s">
        <v>37</v>
      </c>
      <c r="J1033">
        <v>0</v>
      </c>
      <c r="K1033">
        <v>0</v>
      </c>
      <c r="M1033" t="s">
        <v>255</v>
      </c>
      <c r="N1033" t="s">
        <v>2006</v>
      </c>
      <c r="O1033">
        <v>0</v>
      </c>
      <c r="P1033">
        <v>0</v>
      </c>
      <c r="Q1033" t="s">
        <v>249</v>
      </c>
    </row>
    <row r="1034" spans="1:17" x14ac:dyDescent="0.25">
      <c r="A1034" t="s">
        <v>411</v>
      </c>
      <c r="B1034" t="s">
        <v>1149</v>
      </c>
      <c r="C1034">
        <v>160</v>
      </c>
      <c r="D1034" t="s">
        <v>264</v>
      </c>
      <c r="E1034" s="1">
        <v>43070</v>
      </c>
      <c r="F1034" t="s">
        <v>927</v>
      </c>
      <c r="G1034" t="s">
        <v>1651</v>
      </c>
      <c r="H1034">
        <v>-2</v>
      </c>
      <c r="I1034" t="s">
        <v>133</v>
      </c>
      <c r="J1034">
        <v>0</v>
      </c>
      <c r="M1034" t="s">
        <v>170</v>
      </c>
      <c r="N1034" t="s">
        <v>1798</v>
      </c>
    </row>
    <row r="1035" spans="1:17" x14ac:dyDescent="0.25">
      <c r="A1035" t="s">
        <v>411</v>
      </c>
      <c r="B1035" t="s">
        <v>1149</v>
      </c>
      <c r="C1035">
        <v>160</v>
      </c>
      <c r="D1035" t="s">
        <v>264</v>
      </c>
      <c r="E1035" s="1">
        <v>43070</v>
      </c>
      <c r="F1035" t="s">
        <v>927</v>
      </c>
      <c r="G1035" t="s">
        <v>1651</v>
      </c>
      <c r="H1035">
        <v>-2</v>
      </c>
      <c r="I1035" t="s">
        <v>133</v>
      </c>
      <c r="J1035">
        <v>0</v>
      </c>
      <c r="K1035">
        <v>0</v>
      </c>
      <c r="M1035" t="s">
        <v>255</v>
      </c>
      <c r="N1035" t="s">
        <v>1798</v>
      </c>
      <c r="O1035">
        <v>0</v>
      </c>
      <c r="P1035">
        <v>0</v>
      </c>
      <c r="Q1035" t="s">
        <v>249</v>
      </c>
    </row>
    <row r="1036" spans="1:17" x14ac:dyDescent="0.25">
      <c r="A1036" t="s">
        <v>411</v>
      </c>
      <c r="B1036" t="s">
        <v>1149</v>
      </c>
      <c r="C1036">
        <v>160</v>
      </c>
      <c r="D1036" t="s">
        <v>264</v>
      </c>
      <c r="E1036" s="1">
        <v>43070</v>
      </c>
      <c r="F1036" t="s">
        <v>927</v>
      </c>
      <c r="G1036" t="s">
        <v>1653</v>
      </c>
      <c r="H1036">
        <v>-2</v>
      </c>
      <c r="I1036" t="s">
        <v>133</v>
      </c>
      <c r="J1036">
        <v>0</v>
      </c>
      <c r="M1036" t="s">
        <v>170</v>
      </c>
      <c r="N1036" t="s">
        <v>1801</v>
      </c>
    </row>
    <row r="1037" spans="1:17" x14ac:dyDescent="0.25">
      <c r="A1037" t="s">
        <v>411</v>
      </c>
      <c r="B1037" t="s">
        <v>1149</v>
      </c>
      <c r="C1037">
        <v>160</v>
      </c>
      <c r="D1037" t="s">
        <v>264</v>
      </c>
      <c r="E1037" s="1">
        <v>43070</v>
      </c>
      <c r="F1037" t="s">
        <v>927</v>
      </c>
      <c r="G1037" t="s">
        <v>1653</v>
      </c>
      <c r="H1037">
        <v>-2</v>
      </c>
      <c r="I1037" t="s">
        <v>133</v>
      </c>
      <c r="J1037">
        <v>0</v>
      </c>
      <c r="K1037">
        <v>0</v>
      </c>
      <c r="M1037" t="s">
        <v>255</v>
      </c>
      <c r="N1037" t="s">
        <v>1801</v>
      </c>
      <c r="O1037">
        <v>0</v>
      </c>
      <c r="P1037">
        <v>0</v>
      </c>
      <c r="Q1037" t="s">
        <v>249</v>
      </c>
    </row>
    <row r="1038" spans="1:17" x14ac:dyDescent="0.25">
      <c r="A1038" t="s">
        <v>411</v>
      </c>
      <c r="B1038" t="s">
        <v>1149</v>
      </c>
      <c r="C1038">
        <v>160</v>
      </c>
      <c r="D1038" t="s">
        <v>264</v>
      </c>
      <c r="E1038" s="1">
        <v>43074</v>
      </c>
      <c r="F1038" t="s">
        <v>927</v>
      </c>
      <c r="G1038" t="s">
        <v>1655</v>
      </c>
      <c r="H1038">
        <v>-8</v>
      </c>
      <c r="I1038" t="s">
        <v>133</v>
      </c>
      <c r="J1038">
        <v>0</v>
      </c>
      <c r="M1038" t="s">
        <v>170</v>
      </c>
      <c r="N1038" t="s">
        <v>1804</v>
      </c>
    </row>
    <row r="1039" spans="1:17" x14ac:dyDescent="0.25">
      <c r="A1039" t="s">
        <v>411</v>
      </c>
      <c r="B1039" t="s">
        <v>1149</v>
      </c>
      <c r="C1039">
        <v>160</v>
      </c>
      <c r="D1039" t="s">
        <v>264</v>
      </c>
      <c r="E1039" s="1">
        <v>43074</v>
      </c>
      <c r="F1039" t="s">
        <v>927</v>
      </c>
      <c r="G1039" t="s">
        <v>1655</v>
      </c>
      <c r="H1039">
        <v>-8</v>
      </c>
      <c r="I1039" t="s">
        <v>133</v>
      </c>
      <c r="J1039">
        <v>0</v>
      </c>
      <c r="K1039">
        <v>0</v>
      </c>
      <c r="M1039" t="s">
        <v>255</v>
      </c>
      <c r="N1039" t="s">
        <v>1804</v>
      </c>
      <c r="O1039">
        <v>0</v>
      </c>
      <c r="P1039">
        <v>0</v>
      </c>
      <c r="Q1039" t="s">
        <v>249</v>
      </c>
    </row>
    <row r="1040" spans="1:17" x14ac:dyDescent="0.25">
      <c r="A1040" t="s">
        <v>411</v>
      </c>
      <c r="B1040" t="s">
        <v>1149</v>
      </c>
      <c r="C1040">
        <v>160</v>
      </c>
      <c r="D1040" t="s">
        <v>264</v>
      </c>
      <c r="E1040" s="1">
        <v>43075</v>
      </c>
      <c r="F1040" t="s">
        <v>927</v>
      </c>
      <c r="G1040" t="s">
        <v>1671</v>
      </c>
      <c r="H1040">
        <v>-2</v>
      </c>
      <c r="I1040" t="s">
        <v>133</v>
      </c>
      <c r="J1040">
        <v>0</v>
      </c>
      <c r="M1040" t="s">
        <v>170</v>
      </c>
      <c r="N1040" t="s">
        <v>1821</v>
      </c>
    </row>
    <row r="1041" spans="1:17" x14ac:dyDescent="0.25">
      <c r="A1041" t="s">
        <v>411</v>
      </c>
      <c r="B1041" t="s">
        <v>1149</v>
      </c>
      <c r="C1041">
        <v>160</v>
      </c>
      <c r="D1041" t="s">
        <v>264</v>
      </c>
      <c r="E1041" s="1">
        <v>43075</v>
      </c>
      <c r="F1041" t="s">
        <v>927</v>
      </c>
      <c r="G1041" t="s">
        <v>1671</v>
      </c>
      <c r="H1041">
        <v>-2</v>
      </c>
      <c r="I1041" t="s">
        <v>133</v>
      </c>
      <c r="J1041">
        <v>0</v>
      </c>
      <c r="K1041">
        <v>0</v>
      </c>
      <c r="M1041" t="s">
        <v>255</v>
      </c>
      <c r="N1041" t="s">
        <v>1821</v>
      </c>
      <c r="O1041">
        <v>0</v>
      </c>
      <c r="P1041">
        <v>0</v>
      </c>
      <c r="Q1041" t="s">
        <v>249</v>
      </c>
    </row>
    <row r="1042" spans="1:17" x14ac:dyDescent="0.25">
      <c r="A1042" t="s">
        <v>411</v>
      </c>
      <c r="B1042" t="s">
        <v>1149</v>
      </c>
      <c r="C1042">
        <v>160</v>
      </c>
      <c r="D1042" t="s">
        <v>264</v>
      </c>
      <c r="E1042" s="1">
        <v>43075</v>
      </c>
      <c r="F1042" t="s">
        <v>927</v>
      </c>
      <c r="G1042" t="s">
        <v>1673</v>
      </c>
      <c r="H1042">
        <v>-2</v>
      </c>
      <c r="I1042" t="s">
        <v>133</v>
      </c>
      <c r="J1042">
        <v>0</v>
      </c>
      <c r="M1042" t="s">
        <v>170</v>
      </c>
      <c r="N1042" t="s">
        <v>1824</v>
      </c>
    </row>
    <row r="1043" spans="1:17" x14ac:dyDescent="0.25">
      <c r="A1043" t="s">
        <v>411</v>
      </c>
      <c r="B1043" t="s">
        <v>1149</v>
      </c>
      <c r="C1043">
        <v>160</v>
      </c>
      <c r="D1043" t="s">
        <v>264</v>
      </c>
      <c r="E1043" s="1">
        <v>43075</v>
      </c>
      <c r="F1043" t="s">
        <v>927</v>
      </c>
      <c r="G1043" t="s">
        <v>1673</v>
      </c>
      <c r="H1043">
        <v>-2</v>
      </c>
      <c r="I1043" t="s">
        <v>133</v>
      </c>
      <c r="J1043">
        <v>0</v>
      </c>
      <c r="K1043">
        <v>0</v>
      </c>
      <c r="M1043" t="s">
        <v>255</v>
      </c>
      <c r="N1043" t="s">
        <v>1824</v>
      </c>
      <c r="O1043">
        <v>0</v>
      </c>
      <c r="P1043">
        <v>0</v>
      </c>
      <c r="Q1043" t="s">
        <v>249</v>
      </c>
    </row>
    <row r="1044" spans="1:17" x14ac:dyDescent="0.25">
      <c r="A1044" t="s">
        <v>411</v>
      </c>
      <c r="B1044" t="s">
        <v>1149</v>
      </c>
      <c r="C1044">
        <v>160</v>
      </c>
      <c r="D1044" t="s">
        <v>264</v>
      </c>
      <c r="E1044" s="1">
        <v>43076</v>
      </c>
      <c r="F1044" t="s">
        <v>927</v>
      </c>
      <c r="G1044" t="s">
        <v>1675</v>
      </c>
      <c r="H1044">
        <v>-2</v>
      </c>
      <c r="I1044" t="s">
        <v>133</v>
      </c>
      <c r="J1044">
        <v>0</v>
      </c>
      <c r="M1044" t="s">
        <v>170</v>
      </c>
      <c r="N1044" t="s">
        <v>1827</v>
      </c>
    </row>
    <row r="1045" spans="1:17" x14ac:dyDescent="0.25">
      <c r="A1045" t="s">
        <v>411</v>
      </c>
      <c r="B1045" t="s">
        <v>1149</v>
      </c>
      <c r="C1045">
        <v>160</v>
      </c>
      <c r="D1045" t="s">
        <v>264</v>
      </c>
      <c r="E1045" s="1">
        <v>43076</v>
      </c>
      <c r="F1045" t="s">
        <v>927</v>
      </c>
      <c r="G1045" t="s">
        <v>1675</v>
      </c>
      <c r="H1045">
        <v>-2</v>
      </c>
      <c r="I1045" t="s">
        <v>133</v>
      </c>
      <c r="J1045">
        <v>0</v>
      </c>
      <c r="K1045">
        <v>0</v>
      </c>
      <c r="M1045" t="s">
        <v>255</v>
      </c>
      <c r="N1045" t="s">
        <v>1827</v>
      </c>
      <c r="O1045">
        <v>0</v>
      </c>
      <c r="P1045">
        <v>0</v>
      </c>
      <c r="Q1045" t="s">
        <v>249</v>
      </c>
    </row>
    <row r="1046" spans="1:17" x14ac:dyDescent="0.25">
      <c r="A1046" t="s">
        <v>411</v>
      </c>
      <c r="B1046" t="s">
        <v>1149</v>
      </c>
      <c r="C1046">
        <v>160</v>
      </c>
      <c r="D1046" t="s">
        <v>264</v>
      </c>
      <c r="E1046" s="1">
        <v>43080</v>
      </c>
      <c r="F1046" t="s">
        <v>927</v>
      </c>
      <c r="G1046" t="s">
        <v>1677</v>
      </c>
      <c r="H1046">
        <v>-10</v>
      </c>
      <c r="I1046" t="s">
        <v>133</v>
      </c>
      <c r="J1046">
        <v>0</v>
      </c>
      <c r="M1046" t="s">
        <v>170</v>
      </c>
      <c r="N1046" t="s">
        <v>1830</v>
      </c>
    </row>
    <row r="1047" spans="1:17" x14ac:dyDescent="0.25">
      <c r="A1047" t="s">
        <v>411</v>
      </c>
      <c r="B1047" t="s">
        <v>1149</v>
      </c>
      <c r="C1047">
        <v>160</v>
      </c>
      <c r="D1047" t="s">
        <v>264</v>
      </c>
      <c r="E1047" s="1">
        <v>43080</v>
      </c>
      <c r="F1047" t="s">
        <v>927</v>
      </c>
      <c r="G1047" t="s">
        <v>1677</v>
      </c>
      <c r="H1047">
        <v>-10</v>
      </c>
      <c r="I1047" t="s">
        <v>133</v>
      </c>
      <c r="J1047">
        <v>0</v>
      </c>
      <c r="K1047">
        <v>0</v>
      </c>
      <c r="M1047" t="s">
        <v>255</v>
      </c>
      <c r="N1047" t="s">
        <v>1830</v>
      </c>
      <c r="O1047">
        <v>0</v>
      </c>
      <c r="P1047">
        <v>0</v>
      </c>
      <c r="Q1047" t="s">
        <v>249</v>
      </c>
    </row>
    <row r="1048" spans="1:17" x14ac:dyDescent="0.25">
      <c r="A1048" t="s">
        <v>411</v>
      </c>
      <c r="B1048" t="s">
        <v>1149</v>
      </c>
      <c r="C1048">
        <v>160</v>
      </c>
      <c r="D1048" t="s">
        <v>264</v>
      </c>
      <c r="E1048" s="1">
        <v>43081</v>
      </c>
      <c r="F1048" t="s">
        <v>927</v>
      </c>
      <c r="G1048" t="s">
        <v>1681</v>
      </c>
      <c r="H1048">
        <v>-2</v>
      </c>
      <c r="I1048" t="s">
        <v>133</v>
      </c>
      <c r="J1048">
        <v>0</v>
      </c>
      <c r="M1048" t="s">
        <v>170</v>
      </c>
      <c r="N1048" t="s">
        <v>1839</v>
      </c>
    </row>
    <row r="1049" spans="1:17" x14ac:dyDescent="0.25">
      <c r="A1049" t="s">
        <v>411</v>
      </c>
      <c r="B1049" t="s">
        <v>1149</v>
      </c>
      <c r="C1049">
        <v>160</v>
      </c>
      <c r="D1049" t="s">
        <v>264</v>
      </c>
      <c r="E1049" s="1">
        <v>43081</v>
      </c>
      <c r="F1049" t="s">
        <v>927</v>
      </c>
      <c r="G1049" t="s">
        <v>1681</v>
      </c>
      <c r="H1049">
        <v>-2</v>
      </c>
      <c r="I1049" t="s">
        <v>133</v>
      </c>
      <c r="J1049">
        <v>0</v>
      </c>
      <c r="K1049">
        <v>0</v>
      </c>
      <c r="M1049" t="s">
        <v>255</v>
      </c>
      <c r="N1049" t="s">
        <v>1839</v>
      </c>
      <c r="O1049">
        <v>0</v>
      </c>
      <c r="P1049">
        <v>0</v>
      </c>
      <c r="Q1049" t="s">
        <v>249</v>
      </c>
    </row>
    <row r="1050" spans="1:17" x14ac:dyDescent="0.25">
      <c r="A1050" t="s">
        <v>411</v>
      </c>
      <c r="B1050" t="s">
        <v>1149</v>
      </c>
      <c r="C1050">
        <v>160</v>
      </c>
      <c r="D1050" t="s">
        <v>264</v>
      </c>
      <c r="E1050" s="1">
        <v>43082</v>
      </c>
      <c r="F1050" t="s">
        <v>927</v>
      </c>
      <c r="G1050" t="s">
        <v>1683</v>
      </c>
      <c r="H1050">
        <v>-2</v>
      </c>
      <c r="I1050" t="s">
        <v>133</v>
      </c>
      <c r="J1050">
        <v>0</v>
      </c>
      <c r="M1050" t="s">
        <v>170</v>
      </c>
      <c r="N1050" t="s">
        <v>1842</v>
      </c>
    </row>
    <row r="1051" spans="1:17" x14ac:dyDescent="0.25">
      <c r="A1051" t="s">
        <v>411</v>
      </c>
      <c r="B1051" t="s">
        <v>1149</v>
      </c>
      <c r="C1051">
        <v>160</v>
      </c>
      <c r="D1051" t="s">
        <v>264</v>
      </c>
      <c r="E1051" s="1">
        <v>43082</v>
      </c>
      <c r="F1051" t="s">
        <v>927</v>
      </c>
      <c r="G1051" t="s">
        <v>1683</v>
      </c>
      <c r="H1051">
        <v>-2</v>
      </c>
      <c r="I1051" t="s">
        <v>133</v>
      </c>
      <c r="J1051">
        <v>0</v>
      </c>
      <c r="K1051">
        <v>0</v>
      </c>
      <c r="M1051" t="s">
        <v>255</v>
      </c>
      <c r="N1051" t="s">
        <v>1842</v>
      </c>
      <c r="O1051">
        <v>0</v>
      </c>
      <c r="P1051">
        <v>0</v>
      </c>
      <c r="Q1051" t="s">
        <v>249</v>
      </c>
    </row>
    <row r="1052" spans="1:17" x14ac:dyDescent="0.25">
      <c r="A1052" t="s">
        <v>411</v>
      </c>
      <c r="B1052" t="s">
        <v>1149</v>
      </c>
      <c r="C1052">
        <v>160</v>
      </c>
      <c r="D1052" t="s">
        <v>264</v>
      </c>
      <c r="E1052" s="1">
        <v>43083</v>
      </c>
      <c r="F1052" t="s">
        <v>927</v>
      </c>
      <c r="G1052" t="s">
        <v>1685</v>
      </c>
      <c r="H1052">
        <v>-10</v>
      </c>
      <c r="I1052" t="s">
        <v>133</v>
      </c>
      <c r="J1052">
        <v>0</v>
      </c>
      <c r="M1052" t="s">
        <v>170</v>
      </c>
      <c r="N1052" t="s">
        <v>1845</v>
      </c>
    </row>
    <row r="1053" spans="1:17" x14ac:dyDescent="0.25">
      <c r="A1053" t="s">
        <v>411</v>
      </c>
      <c r="B1053" t="s">
        <v>1149</v>
      </c>
      <c r="C1053">
        <v>160</v>
      </c>
      <c r="D1053" t="s">
        <v>264</v>
      </c>
      <c r="E1053" s="1">
        <v>43083</v>
      </c>
      <c r="F1053" t="s">
        <v>927</v>
      </c>
      <c r="G1053" t="s">
        <v>1685</v>
      </c>
      <c r="H1053">
        <v>-10</v>
      </c>
      <c r="I1053" t="s">
        <v>133</v>
      </c>
      <c r="J1053">
        <v>0</v>
      </c>
      <c r="K1053">
        <v>0</v>
      </c>
      <c r="M1053" t="s">
        <v>255</v>
      </c>
      <c r="N1053" t="s">
        <v>1845</v>
      </c>
      <c r="O1053">
        <v>0</v>
      </c>
      <c r="P1053">
        <v>0</v>
      </c>
      <c r="Q1053" t="s">
        <v>249</v>
      </c>
    </row>
    <row r="1054" spans="1:17" x14ac:dyDescent="0.25">
      <c r="A1054" t="s">
        <v>411</v>
      </c>
      <c r="B1054" t="s">
        <v>1149</v>
      </c>
      <c r="C1054">
        <v>160</v>
      </c>
      <c r="D1054" t="s">
        <v>264</v>
      </c>
      <c r="E1054" s="1">
        <v>43084</v>
      </c>
      <c r="F1054" t="s">
        <v>927</v>
      </c>
      <c r="G1054" t="s">
        <v>1692</v>
      </c>
      <c r="H1054">
        <v>-2</v>
      </c>
      <c r="I1054" t="s">
        <v>133</v>
      </c>
      <c r="J1054">
        <v>0</v>
      </c>
      <c r="M1054" t="s">
        <v>170</v>
      </c>
      <c r="N1054" t="s">
        <v>1855</v>
      </c>
    </row>
    <row r="1055" spans="1:17" x14ac:dyDescent="0.25">
      <c r="A1055" t="s">
        <v>411</v>
      </c>
      <c r="B1055" t="s">
        <v>1149</v>
      </c>
      <c r="C1055">
        <v>160</v>
      </c>
      <c r="D1055" t="s">
        <v>264</v>
      </c>
      <c r="E1055" s="1">
        <v>43084</v>
      </c>
      <c r="F1055" t="s">
        <v>927</v>
      </c>
      <c r="G1055" t="s">
        <v>1692</v>
      </c>
      <c r="H1055">
        <v>-2</v>
      </c>
      <c r="I1055" t="s">
        <v>133</v>
      </c>
      <c r="J1055">
        <v>0</v>
      </c>
      <c r="K1055">
        <v>0</v>
      </c>
      <c r="M1055" t="s">
        <v>255</v>
      </c>
      <c r="N1055" t="s">
        <v>1855</v>
      </c>
      <c r="O1055">
        <v>0</v>
      </c>
      <c r="P1055">
        <v>0</v>
      </c>
      <c r="Q1055" t="s">
        <v>249</v>
      </c>
    </row>
    <row r="1056" spans="1:17" x14ac:dyDescent="0.25">
      <c r="A1056" t="s">
        <v>411</v>
      </c>
      <c r="B1056" t="s">
        <v>1149</v>
      </c>
      <c r="C1056">
        <v>160</v>
      </c>
      <c r="D1056" t="s">
        <v>264</v>
      </c>
      <c r="E1056" s="1">
        <v>43088</v>
      </c>
      <c r="F1056" t="s">
        <v>927</v>
      </c>
      <c r="G1056" t="s">
        <v>1694</v>
      </c>
      <c r="H1056">
        <v>-2</v>
      </c>
      <c r="I1056" t="s">
        <v>133</v>
      </c>
      <c r="J1056">
        <v>0</v>
      </c>
      <c r="M1056" t="s">
        <v>170</v>
      </c>
      <c r="N1056" t="s">
        <v>1858</v>
      </c>
    </row>
    <row r="1057" spans="1:17" x14ac:dyDescent="0.25">
      <c r="A1057" t="s">
        <v>411</v>
      </c>
      <c r="B1057" t="s">
        <v>1149</v>
      </c>
      <c r="C1057">
        <v>160</v>
      </c>
      <c r="D1057" t="s">
        <v>264</v>
      </c>
      <c r="E1057" s="1">
        <v>43088</v>
      </c>
      <c r="F1057" t="s">
        <v>927</v>
      </c>
      <c r="G1057" t="s">
        <v>1694</v>
      </c>
      <c r="H1057">
        <v>-2</v>
      </c>
      <c r="I1057" t="s">
        <v>133</v>
      </c>
      <c r="J1057">
        <v>0</v>
      </c>
      <c r="K1057">
        <v>0</v>
      </c>
      <c r="M1057" t="s">
        <v>255</v>
      </c>
      <c r="N1057" t="s">
        <v>1858</v>
      </c>
      <c r="O1057">
        <v>0</v>
      </c>
      <c r="P1057">
        <v>0</v>
      </c>
      <c r="Q1057" t="s">
        <v>249</v>
      </c>
    </row>
    <row r="1058" spans="1:17" x14ac:dyDescent="0.25">
      <c r="A1058" t="s">
        <v>411</v>
      </c>
      <c r="B1058" t="s">
        <v>1149</v>
      </c>
      <c r="C1058">
        <v>160</v>
      </c>
      <c r="D1058" t="s">
        <v>264</v>
      </c>
      <c r="E1058" s="1">
        <v>43089</v>
      </c>
      <c r="F1058" t="s">
        <v>21</v>
      </c>
      <c r="G1058" t="s">
        <v>2214</v>
      </c>
      <c r="H1058">
        <v>-42.5</v>
      </c>
      <c r="I1058" t="s">
        <v>133</v>
      </c>
      <c r="J1058">
        <v>0</v>
      </c>
      <c r="M1058" t="s">
        <v>170</v>
      </c>
      <c r="N1058" t="s">
        <v>2239</v>
      </c>
    </row>
    <row r="1059" spans="1:17" x14ac:dyDescent="0.25">
      <c r="A1059" t="s">
        <v>411</v>
      </c>
      <c r="B1059" t="s">
        <v>1149</v>
      </c>
      <c r="C1059">
        <v>160</v>
      </c>
      <c r="D1059" t="s">
        <v>264</v>
      </c>
      <c r="E1059" s="1">
        <v>43089</v>
      </c>
      <c r="F1059" t="s">
        <v>21</v>
      </c>
      <c r="G1059" t="s">
        <v>2214</v>
      </c>
      <c r="H1059">
        <v>-42.5</v>
      </c>
      <c r="I1059" t="s">
        <v>133</v>
      </c>
      <c r="J1059">
        <v>0</v>
      </c>
      <c r="K1059">
        <v>0</v>
      </c>
      <c r="M1059" t="s">
        <v>255</v>
      </c>
      <c r="N1059" t="s">
        <v>2239</v>
      </c>
      <c r="O1059">
        <v>0</v>
      </c>
      <c r="P1059">
        <v>0</v>
      </c>
      <c r="Q1059" t="s">
        <v>249</v>
      </c>
    </row>
    <row r="1060" spans="1:17" x14ac:dyDescent="0.25">
      <c r="A1060" t="s">
        <v>411</v>
      </c>
      <c r="B1060" t="s">
        <v>1149</v>
      </c>
      <c r="C1060">
        <v>160</v>
      </c>
      <c r="D1060" t="s">
        <v>264</v>
      </c>
      <c r="E1060" s="1">
        <v>43091</v>
      </c>
      <c r="F1060" t="s">
        <v>927</v>
      </c>
      <c r="G1060" t="s">
        <v>1697</v>
      </c>
      <c r="H1060">
        <v>-2</v>
      </c>
      <c r="I1060" t="s">
        <v>133</v>
      </c>
      <c r="J1060">
        <v>0</v>
      </c>
      <c r="M1060" t="s">
        <v>170</v>
      </c>
      <c r="N1060" t="s">
        <v>1862</v>
      </c>
    </row>
    <row r="1061" spans="1:17" x14ac:dyDescent="0.25">
      <c r="A1061" t="s">
        <v>411</v>
      </c>
      <c r="B1061" t="s">
        <v>1149</v>
      </c>
      <c r="C1061">
        <v>160</v>
      </c>
      <c r="D1061" t="s">
        <v>264</v>
      </c>
      <c r="E1061" s="1">
        <v>43091</v>
      </c>
      <c r="F1061" t="s">
        <v>927</v>
      </c>
      <c r="G1061" t="s">
        <v>1697</v>
      </c>
      <c r="H1061">
        <v>-2</v>
      </c>
      <c r="I1061" t="s">
        <v>133</v>
      </c>
      <c r="J1061">
        <v>0</v>
      </c>
      <c r="K1061">
        <v>0</v>
      </c>
      <c r="M1061" t="s">
        <v>255</v>
      </c>
      <c r="N1061" t="s">
        <v>1862</v>
      </c>
      <c r="O1061">
        <v>0</v>
      </c>
      <c r="P1061">
        <v>0</v>
      </c>
      <c r="Q1061" t="s">
        <v>249</v>
      </c>
    </row>
    <row r="1062" spans="1:17" x14ac:dyDescent="0.25">
      <c r="A1062" t="s">
        <v>413</v>
      </c>
      <c r="B1062" t="s">
        <v>1151</v>
      </c>
      <c r="C1062">
        <v>160</v>
      </c>
      <c r="D1062" t="s">
        <v>264</v>
      </c>
      <c r="E1062" s="1">
        <v>43081</v>
      </c>
      <c r="F1062" t="s">
        <v>927</v>
      </c>
      <c r="G1062" t="s">
        <v>1679</v>
      </c>
      <c r="H1062">
        <v>-12</v>
      </c>
      <c r="I1062" t="s">
        <v>37</v>
      </c>
      <c r="J1062">
        <v>0</v>
      </c>
      <c r="M1062" t="s">
        <v>170</v>
      </c>
      <c r="N1062" t="s">
        <v>1832</v>
      </c>
    </row>
    <row r="1063" spans="1:17" x14ac:dyDescent="0.25">
      <c r="A1063" t="s">
        <v>413</v>
      </c>
      <c r="B1063" t="s">
        <v>1151</v>
      </c>
      <c r="C1063">
        <v>160</v>
      </c>
      <c r="D1063" t="s">
        <v>264</v>
      </c>
      <c r="E1063" s="1">
        <v>43081</v>
      </c>
      <c r="F1063" t="s">
        <v>927</v>
      </c>
      <c r="G1063" t="s">
        <v>1679</v>
      </c>
      <c r="H1063">
        <v>-12</v>
      </c>
      <c r="I1063" t="s">
        <v>37</v>
      </c>
      <c r="J1063">
        <v>0</v>
      </c>
      <c r="K1063">
        <v>0</v>
      </c>
      <c r="M1063" t="s">
        <v>255</v>
      </c>
      <c r="N1063" t="s">
        <v>1832</v>
      </c>
      <c r="O1063">
        <v>0</v>
      </c>
      <c r="P1063">
        <v>0</v>
      </c>
      <c r="Q1063" t="s">
        <v>249</v>
      </c>
    </row>
    <row r="1064" spans="1:17" x14ac:dyDescent="0.25">
      <c r="A1064" t="s">
        <v>413</v>
      </c>
      <c r="B1064" t="s">
        <v>1151</v>
      </c>
      <c r="C1064">
        <v>160</v>
      </c>
      <c r="D1064" t="s">
        <v>264</v>
      </c>
      <c r="E1064" s="1">
        <v>43089</v>
      </c>
      <c r="F1064" t="s">
        <v>21</v>
      </c>
      <c r="G1064" t="s">
        <v>2146</v>
      </c>
      <c r="H1064">
        <v>94</v>
      </c>
      <c r="I1064" t="s">
        <v>37</v>
      </c>
      <c r="J1064">
        <v>0</v>
      </c>
      <c r="M1064" t="s">
        <v>170</v>
      </c>
      <c r="N1064" t="s">
        <v>2151</v>
      </c>
    </row>
    <row r="1065" spans="1:17" x14ac:dyDescent="0.25">
      <c r="A1065" t="s">
        <v>413</v>
      </c>
      <c r="B1065" t="s">
        <v>1151</v>
      </c>
      <c r="C1065">
        <v>160</v>
      </c>
      <c r="D1065" t="s">
        <v>264</v>
      </c>
      <c r="E1065" s="1">
        <v>43089</v>
      </c>
      <c r="F1065" t="s">
        <v>21</v>
      </c>
      <c r="G1065" t="s">
        <v>2146</v>
      </c>
      <c r="H1065">
        <v>94</v>
      </c>
      <c r="I1065" t="s">
        <v>37</v>
      </c>
      <c r="J1065">
        <v>0</v>
      </c>
      <c r="M1065" t="s">
        <v>255</v>
      </c>
      <c r="N1065" t="s">
        <v>2151</v>
      </c>
      <c r="O1065">
        <v>0</v>
      </c>
      <c r="P1065">
        <v>0</v>
      </c>
      <c r="Q1065" t="s">
        <v>249</v>
      </c>
    </row>
    <row r="1066" spans="1:17" x14ac:dyDescent="0.25">
      <c r="A1066" t="s">
        <v>414</v>
      </c>
      <c r="B1066" t="s">
        <v>1152</v>
      </c>
      <c r="C1066">
        <v>160</v>
      </c>
      <c r="D1066" t="s">
        <v>264</v>
      </c>
      <c r="E1066" s="1">
        <v>43089</v>
      </c>
      <c r="F1066" t="s">
        <v>21</v>
      </c>
      <c r="G1066" t="s">
        <v>2146</v>
      </c>
      <c r="H1066">
        <v>202</v>
      </c>
      <c r="I1066" t="s">
        <v>37</v>
      </c>
      <c r="J1066">
        <v>0</v>
      </c>
      <c r="M1066" t="s">
        <v>170</v>
      </c>
      <c r="N1066" t="s">
        <v>2152</v>
      </c>
    </row>
    <row r="1067" spans="1:17" x14ac:dyDescent="0.25">
      <c r="A1067" t="s">
        <v>414</v>
      </c>
      <c r="B1067" t="s">
        <v>1152</v>
      </c>
      <c r="C1067">
        <v>160</v>
      </c>
      <c r="D1067" t="s">
        <v>264</v>
      </c>
      <c r="E1067" s="1">
        <v>43089</v>
      </c>
      <c r="F1067" t="s">
        <v>21</v>
      </c>
      <c r="G1067" t="s">
        <v>2146</v>
      </c>
      <c r="H1067">
        <v>202</v>
      </c>
      <c r="I1067" t="s">
        <v>37</v>
      </c>
      <c r="J1067">
        <v>0</v>
      </c>
      <c r="M1067" t="s">
        <v>255</v>
      </c>
      <c r="N1067" t="s">
        <v>2152</v>
      </c>
      <c r="O1067">
        <v>0</v>
      </c>
      <c r="P1067">
        <v>0</v>
      </c>
      <c r="Q1067" t="s">
        <v>249</v>
      </c>
    </row>
    <row r="1068" spans="1:17" x14ac:dyDescent="0.25">
      <c r="A1068" t="s">
        <v>415</v>
      </c>
      <c r="B1068" t="s">
        <v>1153</v>
      </c>
      <c r="C1068">
        <v>160</v>
      </c>
      <c r="D1068" t="s">
        <v>264</v>
      </c>
      <c r="E1068" s="1">
        <v>43089</v>
      </c>
      <c r="F1068" t="s">
        <v>21</v>
      </c>
      <c r="G1068" t="s">
        <v>2146</v>
      </c>
      <c r="H1068">
        <v>-4</v>
      </c>
      <c r="I1068" t="s">
        <v>37</v>
      </c>
      <c r="J1068">
        <v>0</v>
      </c>
      <c r="M1068" t="s">
        <v>170</v>
      </c>
      <c r="N1068" t="s">
        <v>2153</v>
      </c>
    </row>
    <row r="1069" spans="1:17" x14ac:dyDescent="0.25">
      <c r="A1069" t="s">
        <v>415</v>
      </c>
      <c r="B1069" t="s">
        <v>1153</v>
      </c>
      <c r="C1069">
        <v>160</v>
      </c>
      <c r="D1069" t="s">
        <v>264</v>
      </c>
      <c r="E1069" s="1">
        <v>43089</v>
      </c>
      <c r="F1069" t="s">
        <v>21</v>
      </c>
      <c r="G1069" t="s">
        <v>2146</v>
      </c>
      <c r="H1069">
        <v>-4</v>
      </c>
      <c r="I1069" t="s">
        <v>37</v>
      </c>
      <c r="J1069">
        <v>0</v>
      </c>
      <c r="K1069">
        <v>0</v>
      </c>
      <c r="M1069" t="s">
        <v>255</v>
      </c>
      <c r="N1069" t="s">
        <v>2153</v>
      </c>
      <c r="O1069">
        <v>0</v>
      </c>
      <c r="P1069">
        <v>0</v>
      </c>
      <c r="Q1069" t="s">
        <v>249</v>
      </c>
    </row>
    <row r="1070" spans="1:17" x14ac:dyDescent="0.25">
      <c r="A1070" t="s">
        <v>416</v>
      </c>
      <c r="B1070" t="s">
        <v>1154</v>
      </c>
      <c r="C1070">
        <v>160</v>
      </c>
      <c r="D1070" t="s">
        <v>264</v>
      </c>
      <c r="E1070" s="1">
        <v>43089</v>
      </c>
      <c r="F1070" t="s">
        <v>21</v>
      </c>
      <c r="G1070" t="s">
        <v>2146</v>
      </c>
      <c r="H1070">
        <v>212</v>
      </c>
      <c r="I1070" t="s">
        <v>37</v>
      </c>
      <c r="J1070">
        <v>0</v>
      </c>
      <c r="M1070" t="s">
        <v>170</v>
      </c>
      <c r="N1070" t="s">
        <v>2154</v>
      </c>
    </row>
    <row r="1071" spans="1:17" x14ac:dyDescent="0.25">
      <c r="A1071" t="s">
        <v>416</v>
      </c>
      <c r="B1071" t="s">
        <v>1154</v>
      </c>
      <c r="C1071">
        <v>160</v>
      </c>
      <c r="D1071" t="s">
        <v>264</v>
      </c>
      <c r="E1071" s="1">
        <v>43089</v>
      </c>
      <c r="F1071" t="s">
        <v>21</v>
      </c>
      <c r="G1071" t="s">
        <v>2146</v>
      </c>
      <c r="H1071">
        <v>212</v>
      </c>
      <c r="I1071" t="s">
        <v>37</v>
      </c>
      <c r="J1071">
        <v>0</v>
      </c>
      <c r="M1071" t="s">
        <v>255</v>
      </c>
      <c r="N1071" t="s">
        <v>2154</v>
      </c>
      <c r="O1071">
        <v>0</v>
      </c>
      <c r="P1071">
        <v>0</v>
      </c>
      <c r="Q1071" t="s">
        <v>249</v>
      </c>
    </row>
    <row r="1072" spans="1:17" x14ac:dyDescent="0.25">
      <c r="A1072" t="s">
        <v>417</v>
      </c>
      <c r="B1072" t="s">
        <v>1155</v>
      </c>
      <c r="C1072">
        <v>160</v>
      </c>
      <c r="D1072" t="s">
        <v>264</v>
      </c>
      <c r="E1072" s="1">
        <v>43089</v>
      </c>
      <c r="F1072" t="s">
        <v>21</v>
      </c>
      <c r="G1072" t="s">
        <v>2146</v>
      </c>
      <c r="H1072">
        <v>275</v>
      </c>
      <c r="I1072" t="s">
        <v>37</v>
      </c>
      <c r="J1072">
        <v>0</v>
      </c>
      <c r="M1072" t="s">
        <v>170</v>
      </c>
      <c r="N1072" t="s">
        <v>2155</v>
      </c>
    </row>
    <row r="1073" spans="1:17" x14ac:dyDescent="0.25">
      <c r="A1073" t="s">
        <v>417</v>
      </c>
      <c r="B1073" t="s">
        <v>1155</v>
      </c>
      <c r="C1073">
        <v>160</v>
      </c>
      <c r="D1073" t="s">
        <v>264</v>
      </c>
      <c r="E1073" s="1">
        <v>43089</v>
      </c>
      <c r="F1073" t="s">
        <v>21</v>
      </c>
      <c r="G1073" t="s">
        <v>2146</v>
      </c>
      <c r="H1073">
        <v>275</v>
      </c>
      <c r="I1073" t="s">
        <v>37</v>
      </c>
      <c r="J1073">
        <v>0</v>
      </c>
      <c r="M1073" t="s">
        <v>255</v>
      </c>
      <c r="N1073" t="s">
        <v>2155</v>
      </c>
      <c r="O1073">
        <v>0</v>
      </c>
      <c r="P1073">
        <v>0</v>
      </c>
      <c r="Q1073" t="s">
        <v>249</v>
      </c>
    </row>
    <row r="1074" spans="1:17" x14ac:dyDescent="0.25">
      <c r="A1074" t="s">
        <v>418</v>
      </c>
      <c r="B1074" t="s">
        <v>1156</v>
      </c>
      <c r="C1074">
        <v>160</v>
      </c>
      <c r="D1074" t="s">
        <v>264</v>
      </c>
      <c r="E1074" s="1">
        <v>43089</v>
      </c>
      <c r="F1074" t="s">
        <v>21</v>
      </c>
      <c r="G1074" t="s">
        <v>2146</v>
      </c>
      <c r="H1074">
        <v>1</v>
      </c>
      <c r="I1074" t="s">
        <v>37</v>
      </c>
      <c r="J1074">
        <v>0</v>
      </c>
      <c r="M1074" t="s">
        <v>170</v>
      </c>
      <c r="N1074" t="s">
        <v>2156</v>
      </c>
    </row>
    <row r="1075" spans="1:17" x14ac:dyDescent="0.25">
      <c r="A1075" t="s">
        <v>418</v>
      </c>
      <c r="B1075" t="s">
        <v>1156</v>
      </c>
      <c r="C1075">
        <v>160</v>
      </c>
      <c r="D1075" t="s">
        <v>264</v>
      </c>
      <c r="E1075" s="1">
        <v>43089</v>
      </c>
      <c r="F1075" t="s">
        <v>21</v>
      </c>
      <c r="G1075" t="s">
        <v>2146</v>
      </c>
      <c r="H1075">
        <v>1</v>
      </c>
      <c r="I1075" t="s">
        <v>37</v>
      </c>
      <c r="J1075">
        <v>0</v>
      </c>
      <c r="M1075" t="s">
        <v>255</v>
      </c>
      <c r="N1075" t="s">
        <v>2156</v>
      </c>
      <c r="O1075">
        <v>0</v>
      </c>
      <c r="P1075">
        <v>0</v>
      </c>
      <c r="Q1075" t="s">
        <v>249</v>
      </c>
    </row>
    <row r="1076" spans="1:17" x14ac:dyDescent="0.25">
      <c r="A1076" t="s">
        <v>146</v>
      </c>
      <c r="B1076" t="s">
        <v>1158</v>
      </c>
      <c r="C1076">
        <v>160</v>
      </c>
      <c r="D1076" t="s">
        <v>264</v>
      </c>
      <c r="E1076" s="1">
        <v>43081</v>
      </c>
      <c r="F1076" t="s">
        <v>1648</v>
      </c>
      <c r="G1076" t="s">
        <v>1679</v>
      </c>
      <c r="H1076">
        <v>12</v>
      </c>
      <c r="I1076" t="s">
        <v>37</v>
      </c>
      <c r="J1076">
        <v>0</v>
      </c>
      <c r="M1076" t="s">
        <v>170</v>
      </c>
      <c r="N1076" t="s">
        <v>1680</v>
      </c>
    </row>
    <row r="1077" spans="1:17" x14ac:dyDescent="0.25">
      <c r="A1077" t="s">
        <v>146</v>
      </c>
      <c r="B1077" t="s">
        <v>1158</v>
      </c>
      <c r="C1077">
        <v>160</v>
      </c>
      <c r="D1077" t="s">
        <v>264</v>
      </c>
      <c r="E1077" s="1">
        <v>43081</v>
      </c>
      <c r="F1077" t="s">
        <v>1648</v>
      </c>
      <c r="G1077" t="s">
        <v>1679</v>
      </c>
      <c r="H1077">
        <v>12</v>
      </c>
      <c r="I1077" t="s">
        <v>37</v>
      </c>
      <c r="J1077">
        <v>0</v>
      </c>
      <c r="M1077" t="s">
        <v>255</v>
      </c>
      <c r="N1077" t="s">
        <v>1680</v>
      </c>
      <c r="O1077">
        <v>0</v>
      </c>
      <c r="P1077">
        <v>0</v>
      </c>
      <c r="Q1077" t="s">
        <v>249</v>
      </c>
    </row>
    <row r="1078" spans="1:17" x14ac:dyDescent="0.25">
      <c r="A1078" t="s">
        <v>146</v>
      </c>
      <c r="B1078" t="s">
        <v>1158</v>
      </c>
      <c r="C1078">
        <v>160</v>
      </c>
      <c r="D1078" t="s">
        <v>264</v>
      </c>
      <c r="E1078" s="1">
        <v>43083</v>
      </c>
      <c r="F1078" t="s">
        <v>252</v>
      </c>
      <c r="G1078" t="s">
        <v>740</v>
      </c>
      <c r="H1078">
        <v>-12</v>
      </c>
      <c r="I1078" t="s">
        <v>37</v>
      </c>
      <c r="J1078">
        <v>0</v>
      </c>
      <c r="M1078" t="s">
        <v>170</v>
      </c>
      <c r="N1078" t="s">
        <v>1530</v>
      </c>
    </row>
    <row r="1079" spans="1:17" x14ac:dyDescent="0.25">
      <c r="A1079" t="s">
        <v>146</v>
      </c>
      <c r="B1079" t="s">
        <v>1158</v>
      </c>
      <c r="C1079">
        <v>160</v>
      </c>
      <c r="D1079" t="s">
        <v>264</v>
      </c>
      <c r="E1079" s="1">
        <v>43083</v>
      </c>
      <c r="F1079" t="s">
        <v>252</v>
      </c>
      <c r="G1079" t="s">
        <v>740</v>
      </c>
      <c r="H1079">
        <v>-12</v>
      </c>
      <c r="I1079" t="s">
        <v>37</v>
      </c>
      <c r="J1079">
        <v>0</v>
      </c>
      <c r="K1079">
        <v>0</v>
      </c>
      <c r="M1079" t="s">
        <v>255</v>
      </c>
      <c r="N1079" t="s">
        <v>1530</v>
      </c>
      <c r="O1079">
        <v>0</v>
      </c>
      <c r="P1079">
        <v>0</v>
      </c>
      <c r="Q1079" t="s">
        <v>249</v>
      </c>
    </row>
    <row r="1080" spans="1:17" x14ac:dyDescent="0.25">
      <c r="A1080" t="s">
        <v>146</v>
      </c>
      <c r="B1080" t="s">
        <v>1158</v>
      </c>
      <c r="C1080">
        <v>160</v>
      </c>
      <c r="D1080" t="s">
        <v>264</v>
      </c>
      <c r="E1080" s="1">
        <v>43089</v>
      </c>
      <c r="F1080" t="s">
        <v>21</v>
      </c>
      <c r="G1080" t="s">
        <v>2146</v>
      </c>
      <c r="H1080">
        <v>-1</v>
      </c>
      <c r="I1080" t="s">
        <v>37</v>
      </c>
      <c r="J1080">
        <v>0</v>
      </c>
      <c r="M1080" t="s">
        <v>170</v>
      </c>
      <c r="N1080" t="s">
        <v>2157</v>
      </c>
    </row>
    <row r="1081" spans="1:17" x14ac:dyDescent="0.25">
      <c r="A1081" t="s">
        <v>146</v>
      </c>
      <c r="B1081" t="s">
        <v>1158</v>
      </c>
      <c r="C1081">
        <v>160</v>
      </c>
      <c r="D1081" t="s">
        <v>264</v>
      </c>
      <c r="E1081" s="1">
        <v>43089</v>
      </c>
      <c r="F1081" t="s">
        <v>21</v>
      </c>
      <c r="G1081" t="s">
        <v>2146</v>
      </c>
      <c r="H1081">
        <v>-1</v>
      </c>
      <c r="I1081" t="s">
        <v>37</v>
      </c>
      <c r="J1081">
        <v>0</v>
      </c>
      <c r="K1081">
        <v>0</v>
      </c>
      <c r="M1081" t="s">
        <v>255</v>
      </c>
      <c r="N1081" t="s">
        <v>2157</v>
      </c>
      <c r="O1081">
        <v>0</v>
      </c>
      <c r="P1081">
        <v>0</v>
      </c>
      <c r="Q1081" t="s">
        <v>249</v>
      </c>
    </row>
    <row r="1082" spans="1:17" x14ac:dyDescent="0.25">
      <c r="A1082" t="s">
        <v>421</v>
      </c>
      <c r="B1082" t="s">
        <v>1165</v>
      </c>
      <c r="C1082">
        <v>160</v>
      </c>
      <c r="D1082" t="s">
        <v>264</v>
      </c>
      <c r="E1082" s="1">
        <v>43089</v>
      </c>
      <c r="F1082" t="s">
        <v>21</v>
      </c>
      <c r="G1082" t="s">
        <v>2146</v>
      </c>
      <c r="H1082">
        <v>-1</v>
      </c>
      <c r="I1082" t="s">
        <v>37</v>
      </c>
      <c r="J1082">
        <v>0</v>
      </c>
      <c r="M1082" t="s">
        <v>170</v>
      </c>
      <c r="N1082" t="s">
        <v>2158</v>
      </c>
    </row>
    <row r="1083" spans="1:17" x14ac:dyDescent="0.25">
      <c r="A1083" t="s">
        <v>421</v>
      </c>
      <c r="B1083" t="s">
        <v>1165</v>
      </c>
      <c r="C1083">
        <v>160</v>
      </c>
      <c r="D1083" t="s">
        <v>264</v>
      </c>
      <c r="E1083" s="1">
        <v>43089</v>
      </c>
      <c r="F1083" t="s">
        <v>21</v>
      </c>
      <c r="G1083" t="s">
        <v>2146</v>
      </c>
      <c r="H1083">
        <v>-1</v>
      </c>
      <c r="I1083" t="s">
        <v>37</v>
      </c>
      <c r="J1083">
        <v>0</v>
      </c>
      <c r="K1083">
        <v>0</v>
      </c>
      <c r="M1083" t="s">
        <v>255</v>
      </c>
      <c r="N1083" t="s">
        <v>2158</v>
      </c>
      <c r="O1083">
        <v>0</v>
      </c>
      <c r="P1083">
        <v>0</v>
      </c>
      <c r="Q1083" t="s">
        <v>249</v>
      </c>
    </row>
    <row r="1084" spans="1:17" x14ac:dyDescent="0.25">
      <c r="A1084" t="s">
        <v>422</v>
      </c>
      <c r="B1084" t="s">
        <v>1166</v>
      </c>
      <c r="C1084">
        <v>160</v>
      </c>
      <c r="D1084" t="s">
        <v>264</v>
      </c>
      <c r="E1084" s="1">
        <v>43081</v>
      </c>
      <c r="F1084" t="s">
        <v>927</v>
      </c>
      <c r="G1084" t="s">
        <v>1679</v>
      </c>
      <c r="H1084">
        <v>-12</v>
      </c>
      <c r="I1084" t="s">
        <v>37</v>
      </c>
      <c r="J1084">
        <v>0</v>
      </c>
      <c r="M1084" t="s">
        <v>170</v>
      </c>
      <c r="N1084" t="s">
        <v>1833</v>
      </c>
    </row>
    <row r="1085" spans="1:17" x14ac:dyDescent="0.25">
      <c r="A1085" t="s">
        <v>422</v>
      </c>
      <c r="B1085" t="s">
        <v>1166</v>
      </c>
      <c r="C1085">
        <v>160</v>
      </c>
      <c r="D1085" t="s">
        <v>264</v>
      </c>
      <c r="E1085" s="1">
        <v>43081</v>
      </c>
      <c r="F1085" t="s">
        <v>927</v>
      </c>
      <c r="G1085" t="s">
        <v>1679</v>
      </c>
      <c r="H1085">
        <v>-12</v>
      </c>
      <c r="I1085" t="s">
        <v>37</v>
      </c>
      <c r="J1085">
        <v>0</v>
      </c>
      <c r="K1085">
        <v>0</v>
      </c>
      <c r="M1085" t="s">
        <v>255</v>
      </c>
      <c r="N1085" t="s">
        <v>1833</v>
      </c>
      <c r="O1085">
        <v>0</v>
      </c>
      <c r="P1085">
        <v>0</v>
      </c>
      <c r="Q1085" t="s">
        <v>249</v>
      </c>
    </row>
    <row r="1086" spans="1:17" x14ac:dyDescent="0.25">
      <c r="A1086" t="s">
        <v>422</v>
      </c>
      <c r="B1086" t="s">
        <v>1166</v>
      </c>
      <c r="C1086">
        <v>160</v>
      </c>
      <c r="D1086" t="s">
        <v>264</v>
      </c>
      <c r="E1086" s="1">
        <v>43089</v>
      </c>
      <c r="F1086" t="s">
        <v>21</v>
      </c>
      <c r="G1086" t="s">
        <v>2146</v>
      </c>
      <c r="H1086">
        <v>40</v>
      </c>
      <c r="I1086" t="s">
        <v>37</v>
      </c>
      <c r="J1086">
        <v>0</v>
      </c>
      <c r="M1086" t="s">
        <v>170</v>
      </c>
      <c r="N1086" t="s">
        <v>2159</v>
      </c>
    </row>
    <row r="1087" spans="1:17" x14ac:dyDescent="0.25">
      <c r="A1087" t="s">
        <v>422</v>
      </c>
      <c r="B1087" t="s">
        <v>1166</v>
      </c>
      <c r="C1087">
        <v>160</v>
      </c>
      <c r="D1087" t="s">
        <v>264</v>
      </c>
      <c r="E1087" s="1">
        <v>43089</v>
      </c>
      <c r="F1087" t="s">
        <v>21</v>
      </c>
      <c r="G1087" t="s">
        <v>2146</v>
      </c>
      <c r="H1087">
        <v>40</v>
      </c>
      <c r="I1087" t="s">
        <v>37</v>
      </c>
      <c r="J1087">
        <v>0</v>
      </c>
      <c r="M1087" t="s">
        <v>255</v>
      </c>
      <c r="N1087" t="s">
        <v>2159</v>
      </c>
      <c r="O1087">
        <v>0</v>
      </c>
      <c r="P1087">
        <v>0</v>
      </c>
      <c r="Q1087" t="s">
        <v>249</v>
      </c>
    </row>
    <row r="1088" spans="1:17" x14ac:dyDescent="0.25">
      <c r="A1088" t="s">
        <v>423</v>
      </c>
      <c r="B1088" t="s">
        <v>1167</v>
      </c>
      <c r="C1088">
        <v>160</v>
      </c>
      <c r="D1088" t="s">
        <v>264</v>
      </c>
      <c r="E1088" s="1">
        <v>43089</v>
      </c>
      <c r="F1088" t="s">
        <v>21</v>
      </c>
      <c r="G1088" t="s">
        <v>2146</v>
      </c>
      <c r="H1088">
        <v>210</v>
      </c>
      <c r="I1088" t="s">
        <v>37</v>
      </c>
      <c r="J1088">
        <v>0</v>
      </c>
      <c r="M1088" t="s">
        <v>170</v>
      </c>
      <c r="N1088" t="s">
        <v>2160</v>
      </c>
    </row>
    <row r="1089" spans="1:17" x14ac:dyDescent="0.25">
      <c r="A1089" t="s">
        <v>423</v>
      </c>
      <c r="B1089" t="s">
        <v>1167</v>
      </c>
      <c r="C1089">
        <v>160</v>
      </c>
      <c r="D1089" t="s">
        <v>264</v>
      </c>
      <c r="E1089" s="1">
        <v>43089</v>
      </c>
      <c r="F1089" t="s">
        <v>21</v>
      </c>
      <c r="G1089" t="s">
        <v>2146</v>
      </c>
      <c r="H1089">
        <v>210</v>
      </c>
      <c r="I1089" t="s">
        <v>37</v>
      </c>
      <c r="J1089">
        <v>0</v>
      </c>
      <c r="M1089" t="s">
        <v>255</v>
      </c>
      <c r="N1089" t="s">
        <v>2160</v>
      </c>
      <c r="O1089">
        <v>0</v>
      </c>
      <c r="P1089">
        <v>0</v>
      </c>
      <c r="Q1089" t="s">
        <v>249</v>
      </c>
    </row>
    <row r="1090" spans="1:17" x14ac:dyDescent="0.25">
      <c r="A1090" t="s">
        <v>424</v>
      </c>
      <c r="B1090" t="s">
        <v>1168</v>
      </c>
      <c r="C1090">
        <v>160</v>
      </c>
      <c r="D1090" t="s">
        <v>264</v>
      </c>
      <c r="E1090" s="1">
        <v>43089</v>
      </c>
      <c r="F1090" t="s">
        <v>21</v>
      </c>
      <c r="G1090" t="s">
        <v>2146</v>
      </c>
      <c r="H1090">
        <v>-2</v>
      </c>
      <c r="I1090" t="s">
        <v>37</v>
      </c>
      <c r="J1090">
        <v>0</v>
      </c>
      <c r="M1090" t="s">
        <v>170</v>
      </c>
      <c r="N1090" t="s">
        <v>2161</v>
      </c>
    </row>
    <row r="1091" spans="1:17" x14ac:dyDescent="0.25">
      <c r="A1091" t="s">
        <v>424</v>
      </c>
      <c r="B1091" t="s">
        <v>1168</v>
      </c>
      <c r="C1091">
        <v>160</v>
      </c>
      <c r="D1091" t="s">
        <v>264</v>
      </c>
      <c r="E1091" s="1">
        <v>43089</v>
      </c>
      <c r="F1091" t="s">
        <v>21</v>
      </c>
      <c r="G1091" t="s">
        <v>2146</v>
      </c>
      <c r="H1091">
        <v>-2</v>
      </c>
      <c r="I1091" t="s">
        <v>37</v>
      </c>
      <c r="J1091">
        <v>0</v>
      </c>
      <c r="K1091">
        <v>0</v>
      </c>
      <c r="M1091" t="s">
        <v>255</v>
      </c>
      <c r="N1091" t="s">
        <v>2161</v>
      </c>
      <c r="O1091">
        <v>0</v>
      </c>
      <c r="P1091">
        <v>0</v>
      </c>
      <c r="Q1091" t="s">
        <v>249</v>
      </c>
    </row>
    <row r="1092" spans="1:17" x14ac:dyDescent="0.25">
      <c r="A1092" t="s">
        <v>425</v>
      </c>
      <c r="B1092" t="s">
        <v>1169</v>
      </c>
      <c r="C1092">
        <v>160</v>
      </c>
      <c r="D1092" t="s">
        <v>264</v>
      </c>
      <c r="E1092" s="1">
        <v>43089</v>
      </c>
      <c r="F1092" t="s">
        <v>21</v>
      </c>
      <c r="G1092" t="s">
        <v>2146</v>
      </c>
      <c r="H1092">
        <v>129</v>
      </c>
      <c r="I1092" t="s">
        <v>37</v>
      </c>
      <c r="J1092">
        <v>0</v>
      </c>
      <c r="M1092" t="s">
        <v>170</v>
      </c>
      <c r="N1092" t="s">
        <v>2162</v>
      </c>
    </row>
    <row r="1093" spans="1:17" x14ac:dyDescent="0.25">
      <c r="A1093" t="s">
        <v>425</v>
      </c>
      <c r="B1093" t="s">
        <v>1169</v>
      </c>
      <c r="C1093">
        <v>160</v>
      </c>
      <c r="D1093" t="s">
        <v>264</v>
      </c>
      <c r="E1093" s="1">
        <v>43089</v>
      </c>
      <c r="F1093" t="s">
        <v>21</v>
      </c>
      <c r="G1093" t="s">
        <v>2146</v>
      </c>
      <c r="H1093">
        <v>129</v>
      </c>
      <c r="I1093" t="s">
        <v>37</v>
      </c>
      <c r="J1093">
        <v>0</v>
      </c>
      <c r="M1093" t="s">
        <v>255</v>
      </c>
      <c r="N1093" t="s">
        <v>2162</v>
      </c>
      <c r="O1093">
        <v>0</v>
      </c>
      <c r="P1093">
        <v>0</v>
      </c>
      <c r="Q1093" t="s">
        <v>249</v>
      </c>
    </row>
    <row r="1094" spans="1:17" x14ac:dyDescent="0.25">
      <c r="A1094" t="s">
        <v>426</v>
      </c>
      <c r="B1094" t="s">
        <v>1170</v>
      </c>
      <c r="C1094">
        <v>160</v>
      </c>
      <c r="D1094" t="s">
        <v>264</v>
      </c>
      <c r="E1094" s="1">
        <v>43089</v>
      </c>
      <c r="F1094" t="s">
        <v>21</v>
      </c>
      <c r="G1094" t="s">
        <v>2146</v>
      </c>
      <c r="H1094">
        <v>321</v>
      </c>
      <c r="I1094" t="s">
        <v>37</v>
      </c>
      <c r="J1094">
        <v>0</v>
      </c>
      <c r="M1094" t="s">
        <v>170</v>
      </c>
      <c r="N1094" t="s">
        <v>2163</v>
      </c>
    </row>
    <row r="1095" spans="1:17" x14ac:dyDescent="0.25">
      <c r="A1095" t="s">
        <v>426</v>
      </c>
      <c r="B1095" t="s">
        <v>1170</v>
      </c>
      <c r="C1095">
        <v>160</v>
      </c>
      <c r="D1095" t="s">
        <v>264</v>
      </c>
      <c r="E1095" s="1">
        <v>43089</v>
      </c>
      <c r="F1095" t="s">
        <v>21</v>
      </c>
      <c r="G1095" t="s">
        <v>2146</v>
      </c>
      <c r="H1095">
        <v>321</v>
      </c>
      <c r="I1095" t="s">
        <v>37</v>
      </c>
      <c r="J1095">
        <v>0</v>
      </c>
      <c r="M1095" t="s">
        <v>255</v>
      </c>
      <c r="N1095" t="s">
        <v>2163</v>
      </c>
      <c r="O1095">
        <v>0</v>
      </c>
      <c r="P1095">
        <v>0</v>
      </c>
      <c r="Q1095" t="s">
        <v>249</v>
      </c>
    </row>
    <row r="1096" spans="1:17" x14ac:dyDescent="0.25">
      <c r="A1096" t="s">
        <v>427</v>
      </c>
      <c r="B1096" t="s">
        <v>1171</v>
      </c>
      <c r="C1096">
        <v>160</v>
      </c>
      <c r="D1096" t="s">
        <v>264</v>
      </c>
      <c r="E1096" s="1">
        <v>43089</v>
      </c>
      <c r="F1096" t="s">
        <v>21</v>
      </c>
      <c r="G1096" t="s">
        <v>2146</v>
      </c>
      <c r="H1096">
        <v>-21</v>
      </c>
      <c r="I1096" t="s">
        <v>37</v>
      </c>
      <c r="J1096">
        <v>0</v>
      </c>
      <c r="M1096" t="s">
        <v>170</v>
      </c>
      <c r="N1096" t="s">
        <v>2164</v>
      </c>
    </row>
    <row r="1097" spans="1:17" x14ac:dyDescent="0.25">
      <c r="A1097" t="s">
        <v>427</v>
      </c>
      <c r="B1097" t="s">
        <v>1171</v>
      </c>
      <c r="C1097">
        <v>160</v>
      </c>
      <c r="D1097" t="s">
        <v>264</v>
      </c>
      <c r="E1097" s="1">
        <v>43089</v>
      </c>
      <c r="F1097" t="s">
        <v>21</v>
      </c>
      <c r="G1097" t="s">
        <v>2146</v>
      </c>
      <c r="H1097">
        <v>-21</v>
      </c>
      <c r="I1097" t="s">
        <v>37</v>
      </c>
      <c r="J1097">
        <v>0</v>
      </c>
      <c r="K1097">
        <v>0</v>
      </c>
      <c r="M1097" t="s">
        <v>255</v>
      </c>
      <c r="N1097" t="s">
        <v>2164</v>
      </c>
      <c r="O1097">
        <v>0</v>
      </c>
      <c r="P1097">
        <v>0</v>
      </c>
      <c r="Q1097" t="s">
        <v>249</v>
      </c>
    </row>
    <row r="1098" spans="1:17" x14ac:dyDescent="0.25">
      <c r="A1098" t="s">
        <v>65</v>
      </c>
      <c r="B1098" t="s">
        <v>1172</v>
      </c>
      <c r="C1098">
        <v>160</v>
      </c>
      <c r="D1098" t="s">
        <v>264</v>
      </c>
      <c r="E1098" s="1">
        <v>43086</v>
      </c>
      <c r="F1098" t="s">
        <v>17</v>
      </c>
      <c r="G1098" t="s">
        <v>1707</v>
      </c>
      <c r="H1098">
        <v>2</v>
      </c>
      <c r="I1098" t="s">
        <v>37</v>
      </c>
      <c r="J1098">
        <v>0</v>
      </c>
      <c r="K1098">
        <v>0</v>
      </c>
      <c r="M1098" t="s">
        <v>170</v>
      </c>
      <c r="N1098" t="s">
        <v>1708</v>
      </c>
    </row>
    <row r="1099" spans="1:17" x14ac:dyDescent="0.25">
      <c r="A1099" t="s">
        <v>65</v>
      </c>
      <c r="B1099" t="s">
        <v>1172</v>
      </c>
      <c r="C1099">
        <v>160</v>
      </c>
      <c r="D1099" t="s">
        <v>264</v>
      </c>
      <c r="E1099" s="1">
        <v>43086</v>
      </c>
      <c r="F1099" t="s">
        <v>17</v>
      </c>
      <c r="G1099" t="s">
        <v>1707</v>
      </c>
      <c r="H1099">
        <v>2</v>
      </c>
      <c r="I1099" t="s">
        <v>37</v>
      </c>
      <c r="J1099">
        <v>0</v>
      </c>
      <c r="K1099">
        <v>0</v>
      </c>
      <c r="M1099" t="s">
        <v>255</v>
      </c>
      <c r="N1099" t="s">
        <v>1708</v>
      </c>
      <c r="O1099">
        <v>0</v>
      </c>
      <c r="P1099">
        <v>0</v>
      </c>
      <c r="Q1099" t="s">
        <v>249</v>
      </c>
    </row>
    <row r="1100" spans="1:17" x14ac:dyDescent="0.25">
      <c r="A1100" t="s">
        <v>65</v>
      </c>
      <c r="B1100" t="s">
        <v>1172</v>
      </c>
      <c r="C1100">
        <v>160</v>
      </c>
      <c r="D1100" t="s">
        <v>264</v>
      </c>
      <c r="E1100" s="1">
        <v>43086</v>
      </c>
      <c r="F1100" t="s">
        <v>17</v>
      </c>
      <c r="G1100" t="s">
        <v>1707</v>
      </c>
      <c r="H1100">
        <v>3</v>
      </c>
      <c r="I1100" t="s">
        <v>37</v>
      </c>
      <c r="J1100">
        <v>0</v>
      </c>
      <c r="K1100">
        <v>0</v>
      </c>
      <c r="M1100" t="s">
        <v>170</v>
      </c>
      <c r="N1100" t="s">
        <v>1709</v>
      </c>
    </row>
    <row r="1101" spans="1:17" x14ac:dyDescent="0.25">
      <c r="A1101" t="s">
        <v>65</v>
      </c>
      <c r="B1101" t="s">
        <v>1172</v>
      </c>
      <c r="C1101">
        <v>160</v>
      </c>
      <c r="D1101" t="s">
        <v>264</v>
      </c>
      <c r="E1101" s="1">
        <v>43086</v>
      </c>
      <c r="F1101" t="s">
        <v>17</v>
      </c>
      <c r="G1101" t="s">
        <v>1707</v>
      </c>
      <c r="H1101">
        <v>3</v>
      </c>
      <c r="I1101" t="s">
        <v>37</v>
      </c>
      <c r="J1101">
        <v>0</v>
      </c>
      <c r="K1101">
        <v>0</v>
      </c>
      <c r="M1101" t="s">
        <v>255</v>
      </c>
      <c r="N1101" t="s">
        <v>1709</v>
      </c>
      <c r="O1101">
        <v>0</v>
      </c>
      <c r="P1101">
        <v>0</v>
      </c>
      <c r="Q1101" t="s">
        <v>249</v>
      </c>
    </row>
    <row r="1102" spans="1:17" x14ac:dyDescent="0.25">
      <c r="A1102" t="s">
        <v>65</v>
      </c>
      <c r="B1102" t="s">
        <v>1172</v>
      </c>
      <c r="C1102">
        <v>160</v>
      </c>
      <c r="D1102" t="s">
        <v>264</v>
      </c>
      <c r="E1102" s="1">
        <v>43089</v>
      </c>
      <c r="F1102" t="s">
        <v>21</v>
      </c>
      <c r="G1102" t="s">
        <v>1967</v>
      </c>
      <c r="H1102">
        <v>-1</v>
      </c>
      <c r="I1102" t="s">
        <v>37</v>
      </c>
      <c r="J1102">
        <v>0</v>
      </c>
      <c r="M1102" t="s">
        <v>170</v>
      </c>
      <c r="N1102" t="s">
        <v>1979</v>
      </c>
    </row>
    <row r="1103" spans="1:17" x14ac:dyDescent="0.25">
      <c r="A1103" t="s">
        <v>65</v>
      </c>
      <c r="B1103" t="s">
        <v>1172</v>
      </c>
      <c r="C1103">
        <v>160</v>
      </c>
      <c r="D1103" t="s">
        <v>264</v>
      </c>
      <c r="E1103" s="1">
        <v>43089</v>
      </c>
      <c r="F1103" t="s">
        <v>21</v>
      </c>
      <c r="G1103" t="s">
        <v>1967</v>
      </c>
      <c r="H1103">
        <v>-1</v>
      </c>
      <c r="I1103" t="s">
        <v>37</v>
      </c>
      <c r="J1103">
        <v>0</v>
      </c>
      <c r="K1103">
        <v>0</v>
      </c>
      <c r="M1103" t="s">
        <v>255</v>
      </c>
      <c r="N1103" t="s">
        <v>1979</v>
      </c>
      <c r="O1103">
        <v>0</v>
      </c>
      <c r="P1103">
        <v>0</v>
      </c>
      <c r="Q1103" t="s">
        <v>249</v>
      </c>
    </row>
    <row r="1104" spans="1:17" x14ac:dyDescent="0.25">
      <c r="A1104" t="s">
        <v>428</v>
      </c>
      <c r="B1104" t="s">
        <v>1173</v>
      </c>
      <c r="C1104">
        <v>160</v>
      </c>
      <c r="D1104" t="s">
        <v>264</v>
      </c>
      <c r="E1104" s="1">
        <v>43075</v>
      </c>
      <c r="F1104" t="s">
        <v>252</v>
      </c>
      <c r="G1104" t="s">
        <v>1482</v>
      </c>
      <c r="H1104">
        <v>-1</v>
      </c>
      <c r="I1104" t="s">
        <v>37</v>
      </c>
      <c r="J1104">
        <v>0</v>
      </c>
      <c r="M1104" t="s">
        <v>170</v>
      </c>
      <c r="N1104" t="s">
        <v>1483</v>
      </c>
    </row>
    <row r="1105" spans="1:17" x14ac:dyDescent="0.25">
      <c r="A1105" t="s">
        <v>428</v>
      </c>
      <c r="B1105" t="s">
        <v>1173</v>
      </c>
      <c r="C1105">
        <v>160</v>
      </c>
      <c r="D1105" t="s">
        <v>264</v>
      </c>
      <c r="E1105" s="1">
        <v>43075</v>
      </c>
      <c r="F1105" t="s">
        <v>252</v>
      </c>
      <c r="G1105" t="s">
        <v>1482</v>
      </c>
      <c r="H1105">
        <v>-1</v>
      </c>
      <c r="I1105" t="s">
        <v>37</v>
      </c>
      <c r="J1105">
        <v>0</v>
      </c>
      <c r="K1105">
        <v>0</v>
      </c>
      <c r="M1105" t="s">
        <v>255</v>
      </c>
      <c r="N1105" t="s">
        <v>1483</v>
      </c>
      <c r="O1105">
        <v>0</v>
      </c>
      <c r="P1105">
        <v>0</v>
      </c>
      <c r="Q1105" t="s">
        <v>249</v>
      </c>
    </row>
    <row r="1106" spans="1:17" x14ac:dyDescent="0.25">
      <c r="A1106" t="s">
        <v>66</v>
      </c>
      <c r="B1106" t="s">
        <v>116</v>
      </c>
      <c r="C1106">
        <v>160</v>
      </c>
      <c r="D1106" t="s">
        <v>289</v>
      </c>
      <c r="E1106" s="1">
        <v>43088</v>
      </c>
      <c r="F1106" t="s">
        <v>21</v>
      </c>
      <c r="G1106" t="s">
        <v>1877</v>
      </c>
      <c r="H1106">
        <v>1</v>
      </c>
      <c r="I1106" t="s">
        <v>37</v>
      </c>
      <c r="J1106">
        <v>0</v>
      </c>
      <c r="M1106" t="s">
        <v>170</v>
      </c>
      <c r="N1106" t="s">
        <v>1878</v>
      </c>
    </row>
    <row r="1107" spans="1:17" x14ac:dyDescent="0.25">
      <c r="A1107" t="s">
        <v>66</v>
      </c>
      <c r="B1107" t="s">
        <v>116</v>
      </c>
      <c r="C1107">
        <v>160</v>
      </c>
      <c r="D1107" t="s">
        <v>289</v>
      </c>
      <c r="E1107" s="1">
        <v>43088</v>
      </c>
      <c r="F1107" t="s">
        <v>21</v>
      </c>
      <c r="G1107" t="s">
        <v>1877</v>
      </c>
      <c r="H1107">
        <v>1</v>
      </c>
      <c r="I1107" t="s">
        <v>37</v>
      </c>
      <c r="J1107">
        <v>0</v>
      </c>
      <c r="M1107" t="s">
        <v>255</v>
      </c>
      <c r="N1107" t="s">
        <v>1878</v>
      </c>
      <c r="O1107">
        <v>0</v>
      </c>
      <c r="P1107">
        <v>0</v>
      </c>
      <c r="Q1107" t="s">
        <v>249</v>
      </c>
    </row>
    <row r="1108" spans="1:17" x14ac:dyDescent="0.25">
      <c r="A1108" t="s">
        <v>66</v>
      </c>
      <c r="B1108" t="s">
        <v>116</v>
      </c>
      <c r="C1108">
        <v>160</v>
      </c>
      <c r="D1108" t="s">
        <v>264</v>
      </c>
      <c r="E1108" s="1">
        <v>43083</v>
      </c>
      <c r="F1108" t="s">
        <v>252</v>
      </c>
      <c r="G1108" t="s">
        <v>1540</v>
      </c>
      <c r="H1108">
        <v>-1</v>
      </c>
      <c r="I1108" t="s">
        <v>37</v>
      </c>
      <c r="J1108">
        <v>0</v>
      </c>
      <c r="M1108" t="s">
        <v>170</v>
      </c>
      <c r="N1108" t="s">
        <v>1541</v>
      </c>
    </row>
    <row r="1109" spans="1:17" x14ac:dyDescent="0.25">
      <c r="A1109" t="s">
        <v>66</v>
      </c>
      <c r="B1109" t="s">
        <v>116</v>
      </c>
      <c r="C1109">
        <v>160</v>
      </c>
      <c r="D1109" t="s">
        <v>264</v>
      </c>
      <c r="E1109" s="1">
        <v>43083</v>
      </c>
      <c r="F1109" t="s">
        <v>252</v>
      </c>
      <c r="G1109" t="s">
        <v>1540</v>
      </c>
      <c r="H1109">
        <v>-1</v>
      </c>
      <c r="I1109" t="s">
        <v>37</v>
      </c>
      <c r="J1109">
        <v>0</v>
      </c>
      <c r="K1109">
        <v>0</v>
      </c>
      <c r="M1109" t="s">
        <v>255</v>
      </c>
      <c r="N1109" t="s">
        <v>1541</v>
      </c>
      <c r="O1109">
        <v>0</v>
      </c>
      <c r="P1109">
        <v>0</v>
      </c>
      <c r="Q1109" t="s">
        <v>249</v>
      </c>
    </row>
    <row r="1110" spans="1:17" x14ac:dyDescent="0.25">
      <c r="A1110" t="s">
        <v>66</v>
      </c>
      <c r="B1110" t="s">
        <v>116</v>
      </c>
      <c r="C1110">
        <v>160</v>
      </c>
      <c r="D1110" t="s">
        <v>264</v>
      </c>
      <c r="E1110" s="1">
        <v>43084</v>
      </c>
      <c r="F1110" t="s">
        <v>252</v>
      </c>
      <c r="G1110" t="s">
        <v>822</v>
      </c>
      <c r="H1110">
        <v>-1</v>
      </c>
      <c r="I1110" t="s">
        <v>37</v>
      </c>
      <c r="J1110">
        <v>0</v>
      </c>
      <c r="M1110" t="s">
        <v>170</v>
      </c>
      <c r="N1110" t="s">
        <v>1566</v>
      </c>
    </row>
    <row r="1111" spans="1:17" x14ac:dyDescent="0.25">
      <c r="A1111" t="s">
        <v>66</v>
      </c>
      <c r="B1111" t="s">
        <v>116</v>
      </c>
      <c r="C1111">
        <v>160</v>
      </c>
      <c r="D1111" t="s">
        <v>264</v>
      </c>
      <c r="E1111" s="1">
        <v>43084</v>
      </c>
      <c r="F1111" t="s">
        <v>252</v>
      </c>
      <c r="G1111" t="s">
        <v>822</v>
      </c>
      <c r="H1111">
        <v>-1</v>
      </c>
      <c r="I1111" t="s">
        <v>37</v>
      </c>
      <c r="J1111">
        <v>0</v>
      </c>
      <c r="K1111">
        <v>0</v>
      </c>
      <c r="M1111" t="s">
        <v>255</v>
      </c>
      <c r="N1111" t="s">
        <v>1566</v>
      </c>
      <c r="O1111">
        <v>0</v>
      </c>
      <c r="P1111">
        <v>0</v>
      </c>
      <c r="Q1111" t="s">
        <v>249</v>
      </c>
    </row>
    <row r="1112" spans="1:17" x14ac:dyDescent="0.25">
      <c r="A1112" t="s">
        <v>66</v>
      </c>
      <c r="B1112" t="s">
        <v>116</v>
      </c>
      <c r="C1112">
        <v>160</v>
      </c>
      <c r="D1112" t="s">
        <v>264</v>
      </c>
      <c r="E1112" s="1">
        <v>43089</v>
      </c>
      <c r="F1112" t="s">
        <v>21</v>
      </c>
      <c r="G1112" t="s">
        <v>1967</v>
      </c>
      <c r="H1112">
        <v>6</v>
      </c>
      <c r="I1112" t="s">
        <v>37</v>
      </c>
      <c r="J1112">
        <v>0</v>
      </c>
      <c r="M1112" t="s">
        <v>170</v>
      </c>
      <c r="N1112" t="s">
        <v>1980</v>
      </c>
    </row>
    <row r="1113" spans="1:17" x14ac:dyDescent="0.25">
      <c r="A1113" t="s">
        <v>66</v>
      </c>
      <c r="B1113" t="s">
        <v>116</v>
      </c>
      <c r="C1113">
        <v>160</v>
      </c>
      <c r="D1113" t="s">
        <v>264</v>
      </c>
      <c r="E1113" s="1">
        <v>43089</v>
      </c>
      <c r="F1113" t="s">
        <v>21</v>
      </c>
      <c r="G1113" t="s">
        <v>1967</v>
      </c>
      <c r="H1113">
        <v>6</v>
      </c>
      <c r="I1113" t="s">
        <v>37</v>
      </c>
      <c r="J1113">
        <v>0</v>
      </c>
      <c r="M1113" t="s">
        <v>255</v>
      </c>
      <c r="N1113" t="s">
        <v>1980</v>
      </c>
      <c r="O1113">
        <v>0</v>
      </c>
      <c r="P1113">
        <v>0</v>
      </c>
      <c r="Q1113" t="s">
        <v>249</v>
      </c>
    </row>
    <row r="1114" spans="1:17" x14ac:dyDescent="0.25">
      <c r="A1114" t="s">
        <v>429</v>
      </c>
      <c r="B1114" t="s">
        <v>1174</v>
      </c>
      <c r="C1114">
        <v>160</v>
      </c>
      <c r="D1114" t="s">
        <v>264</v>
      </c>
      <c r="E1114" s="1">
        <v>43089</v>
      </c>
      <c r="F1114" t="s">
        <v>21</v>
      </c>
      <c r="G1114" t="s">
        <v>1967</v>
      </c>
      <c r="H1114">
        <v>-9</v>
      </c>
      <c r="I1114" t="s">
        <v>37</v>
      </c>
      <c r="J1114">
        <v>0</v>
      </c>
      <c r="M1114" t="s">
        <v>170</v>
      </c>
      <c r="N1114" t="s">
        <v>1981</v>
      </c>
    </row>
    <row r="1115" spans="1:17" x14ac:dyDescent="0.25">
      <c r="A1115" t="s">
        <v>429</v>
      </c>
      <c r="B1115" t="s">
        <v>1174</v>
      </c>
      <c r="C1115">
        <v>160</v>
      </c>
      <c r="D1115" t="s">
        <v>264</v>
      </c>
      <c r="E1115" s="1">
        <v>43089</v>
      </c>
      <c r="F1115" t="s">
        <v>21</v>
      </c>
      <c r="G1115" t="s">
        <v>1967</v>
      </c>
      <c r="H1115">
        <v>-9</v>
      </c>
      <c r="I1115" t="s">
        <v>37</v>
      </c>
      <c r="J1115">
        <v>0</v>
      </c>
      <c r="K1115">
        <v>0</v>
      </c>
      <c r="M1115" t="s">
        <v>255</v>
      </c>
      <c r="N1115" t="s">
        <v>1981</v>
      </c>
      <c r="O1115">
        <v>0</v>
      </c>
      <c r="P1115">
        <v>0</v>
      </c>
      <c r="Q1115" t="s">
        <v>249</v>
      </c>
    </row>
    <row r="1116" spans="1:17" x14ac:dyDescent="0.25">
      <c r="A1116" t="s">
        <v>433</v>
      </c>
      <c r="B1116" t="s">
        <v>1178</v>
      </c>
      <c r="C1116">
        <v>160</v>
      </c>
      <c r="D1116" t="s">
        <v>264</v>
      </c>
      <c r="E1116" s="1">
        <v>43089</v>
      </c>
      <c r="F1116" t="s">
        <v>21</v>
      </c>
      <c r="G1116" t="s">
        <v>1967</v>
      </c>
      <c r="H1116">
        <v>-1</v>
      </c>
      <c r="I1116" t="s">
        <v>37</v>
      </c>
      <c r="J1116">
        <v>0</v>
      </c>
      <c r="M1116" t="s">
        <v>170</v>
      </c>
      <c r="N1116" t="s">
        <v>1982</v>
      </c>
    </row>
    <row r="1117" spans="1:17" x14ac:dyDescent="0.25">
      <c r="A1117" t="s">
        <v>433</v>
      </c>
      <c r="B1117" t="s">
        <v>1178</v>
      </c>
      <c r="C1117">
        <v>160</v>
      </c>
      <c r="D1117" t="s">
        <v>264</v>
      </c>
      <c r="E1117" s="1">
        <v>43089</v>
      </c>
      <c r="F1117" t="s">
        <v>21</v>
      </c>
      <c r="G1117" t="s">
        <v>1967</v>
      </c>
      <c r="H1117">
        <v>-1</v>
      </c>
      <c r="I1117" t="s">
        <v>37</v>
      </c>
      <c r="J1117">
        <v>0</v>
      </c>
      <c r="K1117">
        <v>0</v>
      </c>
      <c r="M1117" t="s">
        <v>255</v>
      </c>
      <c r="N1117" t="s">
        <v>1982</v>
      </c>
      <c r="O1117">
        <v>0</v>
      </c>
      <c r="P1117">
        <v>0</v>
      </c>
      <c r="Q1117" t="s">
        <v>249</v>
      </c>
    </row>
    <row r="1118" spans="1:17" x14ac:dyDescent="0.25">
      <c r="A1118" t="s">
        <v>434</v>
      </c>
      <c r="B1118" t="s">
        <v>1181</v>
      </c>
      <c r="C1118">
        <v>160</v>
      </c>
      <c r="D1118" t="s">
        <v>264</v>
      </c>
      <c r="E1118" s="1">
        <v>43089</v>
      </c>
      <c r="F1118" t="s">
        <v>21</v>
      </c>
      <c r="G1118" t="s">
        <v>2018</v>
      </c>
      <c r="H1118">
        <v>-4</v>
      </c>
      <c r="I1118" t="s">
        <v>37</v>
      </c>
      <c r="J1118">
        <v>0</v>
      </c>
      <c r="M1118" t="s">
        <v>170</v>
      </c>
      <c r="N1118" t="s">
        <v>2022</v>
      </c>
    </row>
    <row r="1119" spans="1:17" x14ac:dyDescent="0.25">
      <c r="A1119" t="s">
        <v>434</v>
      </c>
      <c r="B1119" t="s">
        <v>1181</v>
      </c>
      <c r="C1119">
        <v>160</v>
      </c>
      <c r="D1119" t="s">
        <v>264</v>
      </c>
      <c r="E1119" s="1">
        <v>43089</v>
      </c>
      <c r="F1119" t="s">
        <v>21</v>
      </c>
      <c r="G1119" t="s">
        <v>2018</v>
      </c>
      <c r="H1119">
        <v>-4</v>
      </c>
      <c r="I1119" t="s">
        <v>37</v>
      </c>
      <c r="J1119">
        <v>0</v>
      </c>
      <c r="K1119">
        <v>0</v>
      </c>
      <c r="M1119" t="s">
        <v>255</v>
      </c>
      <c r="N1119" t="s">
        <v>2022</v>
      </c>
      <c r="O1119">
        <v>0</v>
      </c>
      <c r="P1119">
        <v>0</v>
      </c>
      <c r="Q1119" t="s">
        <v>249</v>
      </c>
    </row>
    <row r="1120" spans="1:17" x14ac:dyDescent="0.25">
      <c r="A1120" t="s">
        <v>435</v>
      </c>
      <c r="B1120" t="s">
        <v>1182</v>
      </c>
      <c r="C1120">
        <v>160</v>
      </c>
      <c r="D1120" t="s">
        <v>264</v>
      </c>
      <c r="E1120" s="1">
        <v>43081</v>
      </c>
      <c r="F1120" t="s">
        <v>927</v>
      </c>
      <c r="G1120" t="s">
        <v>1679</v>
      </c>
      <c r="H1120">
        <v>-48</v>
      </c>
      <c r="I1120" t="s">
        <v>37</v>
      </c>
      <c r="J1120">
        <v>0</v>
      </c>
      <c r="M1120" t="s">
        <v>170</v>
      </c>
      <c r="N1120" t="s">
        <v>1834</v>
      </c>
    </row>
    <row r="1121" spans="1:17" x14ac:dyDescent="0.25">
      <c r="A1121" t="s">
        <v>435</v>
      </c>
      <c r="B1121" t="s">
        <v>1182</v>
      </c>
      <c r="C1121">
        <v>160</v>
      </c>
      <c r="D1121" t="s">
        <v>264</v>
      </c>
      <c r="E1121" s="1">
        <v>43081</v>
      </c>
      <c r="F1121" t="s">
        <v>927</v>
      </c>
      <c r="G1121" t="s">
        <v>1679</v>
      </c>
      <c r="H1121">
        <v>-48</v>
      </c>
      <c r="I1121" t="s">
        <v>37</v>
      </c>
      <c r="J1121">
        <v>0</v>
      </c>
      <c r="K1121">
        <v>0</v>
      </c>
      <c r="M1121" t="s">
        <v>255</v>
      </c>
      <c r="N1121" t="s">
        <v>1834</v>
      </c>
      <c r="O1121">
        <v>0</v>
      </c>
      <c r="P1121">
        <v>0</v>
      </c>
      <c r="Q1121" t="s">
        <v>249</v>
      </c>
    </row>
    <row r="1122" spans="1:17" x14ac:dyDescent="0.25">
      <c r="A1122" t="s">
        <v>435</v>
      </c>
      <c r="B1122" t="s">
        <v>1182</v>
      </c>
      <c r="C1122">
        <v>160</v>
      </c>
      <c r="D1122" t="s">
        <v>264</v>
      </c>
      <c r="E1122" s="1">
        <v>43089</v>
      </c>
      <c r="F1122" t="s">
        <v>21</v>
      </c>
      <c r="G1122" t="s">
        <v>2146</v>
      </c>
      <c r="H1122">
        <v>-106</v>
      </c>
      <c r="I1122" t="s">
        <v>37</v>
      </c>
      <c r="J1122">
        <v>0</v>
      </c>
      <c r="M1122" t="s">
        <v>170</v>
      </c>
      <c r="N1122" t="s">
        <v>2165</v>
      </c>
    </row>
    <row r="1123" spans="1:17" x14ac:dyDescent="0.25">
      <c r="A1123" t="s">
        <v>435</v>
      </c>
      <c r="B1123" t="s">
        <v>1182</v>
      </c>
      <c r="C1123">
        <v>160</v>
      </c>
      <c r="D1123" t="s">
        <v>264</v>
      </c>
      <c r="E1123" s="1">
        <v>43089</v>
      </c>
      <c r="F1123" t="s">
        <v>21</v>
      </c>
      <c r="G1123" t="s">
        <v>2146</v>
      </c>
      <c r="H1123">
        <v>-106</v>
      </c>
      <c r="I1123" t="s">
        <v>37</v>
      </c>
      <c r="J1123">
        <v>0</v>
      </c>
      <c r="K1123">
        <v>0</v>
      </c>
      <c r="M1123" t="s">
        <v>255</v>
      </c>
      <c r="N1123" t="s">
        <v>2165</v>
      </c>
      <c r="O1123">
        <v>0</v>
      </c>
      <c r="P1123">
        <v>0</v>
      </c>
      <c r="Q1123" t="s">
        <v>249</v>
      </c>
    </row>
    <row r="1124" spans="1:17" x14ac:dyDescent="0.25">
      <c r="A1124" t="s">
        <v>436</v>
      </c>
      <c r="B1124" t="s">
        <v>1183</v>
      </c>
      <c r="C1124">
        <v>160</v>
      </c>
      <c r="D1124" t="s">
        <v>264</v>
      </c>
      <c r="E1124" s="1">
        <v>43081</v>
      </c>
      <c r="F1124" t="s">
        <v>927</v>
      </c>
      <c r="G1124" t="s">
        <v>1679</v>
      </c>
      <c r="H1124">
        <v>-48</v>
      </c>
      <c r="I1124" t="s">
        <v>37</v>
      </c>
      <c r="J1124">
        <v>0</v>
      </c>
      <c r="M1124" t="s">
        <v>170</v>
      </c>
      <c r="N1124" t="s">
        <v>1835</v>
      </c>
    </row>
    <row r="1125" spans="1:17" x14ac:dyDescent="0.25">
      <c r="A1125" t="s">
        <v>436</v>
      </c>
      <c r="B1125" t="s">
        <v>1183</v>
      </c>
      <c r="C1125">
        <v>160</v>
      </c>
      <c r="D1125" t="s">
        <v>264</v>
      </c>
      <c r="E1125" s="1">
        <v>43081</v>
      </c>
      <c r="F1125" t="s">
        <v>927</v>
      </c>
      <c r="G1125" t="s">
        <v>1679</v>
      </c>
      <c r="H1125">
        <v>-48</v>
      </c>
      <c r="I1125" t="s">
        <v>37</v>
      </c>
      <c r="J1125">
        <v>0</v>
      </c>
      <c r="K1125">
        <v>0</v>
      </c>
      <c r="M1125" t="s">
        <v>255</v>
      </c>
      <c r="N1125" t="s">
        <v>1835</v>
      </c>
      <c r="O1125">
        <v>0</v>
      </c>
      <c r="P1125">
        <v>0</v>
      </c>
      <c r="Q1125" t="s">
        <v>249</v>
      </c>
    </row>
    <row r="1126" spans="1:17" x14ac:dyDescent="0.25">
      <c r="A1126" t="s">
        <v>436</v>
      </c>
      <c r="B1126" t="s">
        <v>1183</v>
      </c>
      <c r="C1126">
        <v>160</v>
      </c>
      <c r="D1126" t="s">
        <v>264</v>
      </c>
      <c r="E1126" s="1">
        <v>43089</v>
      </c>
      <c r="F1126" t="s">
        <v>21</v>
      </c>
      <c r="G1126" t="s">
        <v>2146</v>
      </c>
      <c r="H1126">
        <v>-2</v>
      </c>
      <c r="I1126" t="s">
        <v>37</v>
      </c>
      <c r="J1126">
        <v>0</v>
      </c>
      <c r="M1126" t="s">
        <v>170</v>
      </c>
      <c r="N1126" t="s">
        <v>2166</v>
      </c>
    </row>
    <row r="1127" spans="1:17" x14ac:dyDescent="0.25">
      <c r="A1127" t="s">
        <v>436</v>
      </c>
      <c r="B1127" t="s">
        <v>1183</v>
      </c>
      <c r="C1127">
        <v>160</v>
      </c>
      <c r="D1127" t="s">
        <v>264</v>
      </c>
      <c r="E1127" s="1">
        <v>43089</v>
      </c>
      <c r="F1127" t="s">
        <v>21</v>
      </c>
      <c r="G1127" t="s">
        <v>2146</v>
      </c>
      <c r="H1127">
        <v>-2</v>
      </c>
      <c r="I1127" t="s">
        <v>37</v>
      </c>
      <c r="J1127">
        <v>0</v>
      </c>
      <c r="K1127">
        <v>0</v>
      </c>
      <c r="M1127" t="s">
        <v>255</v>
      </c>
      <c r="N1127" t="s">
        <v>2166</v>
      </c>
      <c r="O1127">
        <v>0</v>
      </c>
      <c r="P1127">
        <v>0</v>
      </c>
      <c r="Q1127" t="s">
        <v>249</v>
      </c>
    </row>
    <row r="1128" spans="1:17" x14ac:dyDescent="0.25">
      <c r="A1128" t="s">
        <v>437</v>
      </c>
      <c r="B1128" t="s">
        <v>1184</v>
      </c>
      <c r="C1128">
        <v>160</v>
      </c>
      <c r="D1128" t="s">
        <v>264</v>
      </c>
      <c r="E1128" s="1">
        <v>43081</v>
      </c>
      <c r="F1128" t="s">
        <v>927</v>
      </c>
      <c r="G1128" t="s">
        <v>1679</v>
      </c>
      <c r="H1128">
        <v>-48</v>
      </c>
      <c r="I1128" t="s">
        <v>37</v>
      </c>
      <c r="J1128">
        <v>0</v>
      </c>
      <c r="M1128" t="s">
        <v>170</v>
      </c>
      <c r="N1128" t="s">
        <v>1836</v>
      </c>
    </row>
    <row r="1129" spans="1:17" x14ac:dyDescent="0.25">
      <c r="A1129" t="s">
        <v>437</v>
      </c>
      <c r="B1129" t="s">
        <v>1184</v>
      </c>
      <c r="C1129">
        <v>160</v>
      </c>
      <c r="D1129" t="s">
        <v>264</v>
      </c>
      <c r="E1129" s="1">
        <v>43081</v>
      </c>
      <c r="F1129" t="s">
        <v>927</v>
      </c>
      <c r="G1129" t="s">
        <v>1679</v>
      </c>
      <c r="H1129">
        <v>-48</v>
      </c>
      <c r="I1129" t="s">
        <v>37</v>
      </c>
      <c r="J1129">
        <v>0</v>
      </c>
      <c r="K1129">
        <v>0</v>
      </c>
      <c r="M1129" t="s">
        <v>255</v>
      </c>
      <c r="N1129" t="s">
        <v>1836</v>
      </c>
      <c r="O1129">
        <v>0</v>
      </c>
      <c r="P1129">
        <v>0</v>
      </c>
      <c r="Q1129" t="s">
        <v>249</v>
      </c>
    </row>
    <row r="1130" spans="1:17" x14ac:dyDescent="0.25">
      <c r="A1130" t="s">
        <v>437</v>
      </c>
      <c r="B1130" t="s">
        <v>1184</v>
      </c>
      <c r="C1130">
        <v>160</v>
      </c>
      <c r="D1130" t="s">
        <v>264</v>
      </c>
      <c r="E1130" s="1">
        <v>43089</v>
      </c>
      <c r="F1130" t="s">
        <v>21</v>
      </c>
      <c r="G1130" t="s">
        <v>2146</v>
      </c>
      <c r="H1130">
        <v>-47</v>
      </c>
      <c r="I1130" t="s">
        <v>37</v>
      </c>
      <c r="J1130">
        <v>0</v>
      </c>
      <c r="M1130" t="s">
        <v>170</v>
      </c>
      <c r="N1130" t="s">
        <v>2167</v>
      </c>
    </row>
    <row r="1131" spans="1:17" x14ac:dyDescent="0.25">
      <c r="A1131" t="s">
        <v>437</v>
      </c>
      <c r="B1131" t="s">
        <v>1184</v>
      </c>
      <c r="C1131">
        <v>160</v>
      </c>
      <c r="D1131" t="s">
        <v>264</v>
      </c>
      <c r="E1131" s="1">
        <v>43089</v>
      </c>
      <c r="F1131" t="s">
        <v>21</v>
      </c>
      <c r="G1131" t="s">
        <v>2146</v>
      </c>
      <c r="H1131">
        <v>-47</v>
      </c>
      <c r="I1131" t="s">
        <v>37</v>
      </c>
      <c r="J1131">
        <v>0</v>
      </c>
      <c r="K1131">
        <v>0</v>
      </c>
      <c r="M1131" t="s">
        <v>255</v>
      </c>
      <c r="N1131" t="s">
        <v>2167</v>
      </c>
      <c r="O1131">
        <v>0</v>
      </c>
      <c r="P1131">
        <v>0</v>
      </c>
      <c r="Q1131" t="s">
        <v>249</v>
      </c>
    </row>
    <row r="1132" spans="1:17" x14ac:dyDescent="0.25">
      <c r="A1132" t="s">
        <v>442</v>
      </c>
      <c r="B1132" t="s">
        <v>1199</v>
      </c>
      <c r="C1132">
        <v>160</v>
      </c>
      <c r="D1132" t="s">
        <v>264</v>
      </c>
      <c r="E1132" s="1">
        <v>43089</v>
      </c>
      <c r="F1132" t="s">
        <v>21</v>
      </c>
      <c r="G1132" t="s">
        <v>1967</v>
      </c>
      <c r="H1132">
        <v>2</v>
      </c>
      <c r="I1132" t="s">
        <v>37</v>
      </c>
      <c r="J1132">
        <v>0</v>
      </c>
      <c r="M1132" t="s">
        <v>170</v>
      </c>
      <c r="N1132" t="s">
        <v>1983</v>
      </c>
    </row>
    <row r="1133" spans="1:17" x14ac:dyDescent="0.25">
      <c r="A1133" t="s">
        <v>442</v>
      </c>
      <c r="B1133" t="s">
        <v>1199</v>
      </c>
      <c r="C1133">
        <v>160</v>
      </c>
      <c r="D1133" t="s">
        <v>264</v>
      </c>
      <c r="E1133" s="1">
        <v>43089</v>
      </c>
      <c r="F1133" t="s">
        <v>21</v>
      </c>
      <c r="G1133" t="s">
        <v>1967</v>
      </c>
      <c r="H1133">
        <v>2</v>
      </c>
      <c r="I1133" t="s">
        <v>37</v>
      </c>
      <c r="J1133">
        <v>0</v>
      </c>
      <c r="M1133" t="s">
        <v>255</v>
      </c>
      <c r="N1133" t="s">
        <v>1983</v>
      </c>
      <c r="O1133">
        <v>0</v>
      </c>
      <c r="P1133">
        <v>0</v>
      </c>
      <c r="Q1133" t="s">
        <v>249</v>
      </c>
    </row>
    <row r="1134" spans="1:17" ht="90" x14ac:dyDescent="0.25">
      <c r="A1134" t="s">
        <v>444</v>
      </c>
      <c r="B1134" s="15" t="s">
        <v>1205</v>
      </c>
      <c r="C1134">
        <v>160</v>
      </c>
      <c r="D1134" t="s">
        <v>264</v>
      </c>
      <c r="E1134" s="1">
        <v>43089</v>
      </c>
      <c r="F1134" t="s">
        <v>21</v>
      </c>
      <c r="G1134" t="s">
        <v>1967</v>
      </c>
      <c r="H1134">
        <v>-3</v>
      </c>
      <c r="I1134" t="s">
        <v>37</v>
      </c>
      <c r="J1134">
        <v>0</v>
      </c>
      <c r="M1134" t="s">
        <v>170</v>
      </c>
      <c r="N1134" t="s">
        <v>1984</v>
      </c>
    </row>
    <row r="1135" spans="1:17" ht="90" x14ac:dyDescent="0.25">
      <c r="A1135" t="s">
        <v>444</v>
      </c>
      <c r="B1135" s="15" t="s">
        <v>1205</v>
      </c>
      <c r="C1135">
        <v>160</v>
      </c>
      <c r="D1135" t="s">
        <v>264</v>
      </c>
      <c r="E1135" s="1">
        <v>43089</v>
      </c>
      <c r="F1135" t="s">
        <v>21</v>
      </c>
      <c r="G1135" t="s">
        <v>1967</v>
      </c>
      <c r="H1135">
        <v>-3</v>
      </c>
      <c r="I1135" t="s">
        <v>37</v>
      </c>
      <c r="J1135">
        <v>0</v>
      </c>
      <c r="K1135">
        <v>0</v>
      </c>
      <c r="M1135" t="s">
        <v>255</v>
      </c>
      <c r="N1135" t="s">
        <v>1984</v>
      </c>
      <c r="O1135">
        <v>0</v>
      </c>
      <c r="P1135">
        <v>0</v>
      </c>
      <c r="Q1135" t="s">
        <v>249</v>
      </c>
    </row>
    <row r="1136" spans="1:17" ht="75" x14ac:dyDescent="0.25">
      <c r="A1136" t="s">
        <v>445</v>
      </c>
      <c r="B1136" s="15" t="s">
        <v>1206</v>
      </c>
      <c r="C1136">
        <v>160</v>
      </c>
      <c r="D1136" t="s">
        <v>264</v>
      </c>
      <c r="E1136" s="1">
        <v>43089</v>
      </c>
      <c r="F1136" t="s">
        <v>21</v>
      </c>
      <c r="G1136" t="s">
        <v>1967</v>
      </c>
      <c r="H1136">
        <v>-0.53</v>
      </c>
      <c r="I1136" t="s">
        <v>120</v>
      </c>
      <c r="J1136">
        <v>0</v>
      </c>
      <c r="M1136" t="s">
        <v>170</v>
      </c>
      <c r="N1136" t="s">
        <v>1985</v>
      </c>
    </row>
    <row r="1137" spans="1:17" ht="75" x14ac:dyDescent="0.25">
      <c r="A1137" t="s">
        <v>445</v>
      </c>
      <c r="B1137" s="15" t="s">
        <v>1206</v>
      </c>
      <c r="C1137">
        <v>160</v>
      </c>
      <c r="D1137" t="s">
        <v>264</v>
      </c>
      <c r="E1137" s="1">
        <v>43089</v>
      </c>
      <c r="F1137" t="s">
        <v>21</v>
      </c>
      <c r="G1137" t="s">
        <v>1967</v>
      </c>
      <c r="H1137">
        <v>-0.53</v>
      </c>
      <c r="I1137" t="s">
        <v>120</v>
      </c>
      <c r="J1137">
        <v>0</v>
      </c>
      <c r="K1137">
        <v>0</v>
      </c>
      <c r="M1137" t="s">
        <v>255</v>
      </c>
      <c r="N1137" t="s">
        <v>1985</v>
      </c>
      <c r="O1137">
        <v>0</v>
      </c>
      <c r="P1137">
        <v>0</v>
      </c>
      <c r="Q1137" t="s">
        <v>249</v>
      </c>
    </row>
    <row r="1138" spans="1:17" x14ac:dyDescent="0.25">
      <c r="A1138" t="s">
        <v>446</v>
      </c>
      <c r="B1138" t="s">
        <v>1229</v>
      </c>
      <c r="C1138">
        <v>160</v>
      </c>
      <c r="D1138" t="s">
        <v>264</v>
      </c>
      <c r="E1138" s="1">
        <v>43089</v>
      </c>
      <c r="F1138" t="s">
        <v>21</v>
      </c>
      <c r="G1138" t="s">
        <v>1967</v>
      </c>
      <c r="H1138">
        <v>-950</v>
      </c>
      <c r="I1138" t="s">
        <v>37</v>
      </c>
      <c r="J1138">
        <v>0</v>
      </c>
      <c r="M1138" t="s">
        <v>170</v>
      </c>
      <c r="N1138" t="s">
        <v>1986</v>
      </c>
    </row>
    <row r="1139" spans="1:17" x14ac:dyDescent="0.25">
      <c r="A1139" t="s">
        <v>446</v>
      </c>
      <c r="B1139" t="s">
        <v>1229</v>
      </c>
      <c r="C1139">
        <v>160</v>
      </c>
      <c r="D1139" t="s">
        <v>264</v>
      </c>
      <c r="E1139" s="1">
        <v>43089</v>
      </c>
      <c r="F1139" t="s">
        <v>21</v>
      </c>
      <c r="G1139" t="s">
        <v>1967</v>
      </c>
      <c r="H1139">
        <v>-950</v>
      </c>
      <c r="I1139" t="s">
        <v>37</v>
      </c>
      <c r="J1139">
        <v>0</v>
      </c>
      <c r="K1139">
        <v>0</v>
      </c>
      <c r="M1139" t="s">
        <v>255</v>
      </c>
      <c r="N1139" t="s">
        <v>1986</v>
      </c>
      <c r="O1139">
        <v>0</v>
      </c>
      <c r="P1139">
        <v>0</v>
      </c>
      <c r="Q1139" t="s">
        <v>249</v>
      </c>
    </row>
    <row r="1140" spans="1:17" x14ac:dyDescent="0.25">
      <c r="A1140" t="s">
        <v>446</v>
      </c>
      <c r="B1140" t="s">
        <v>1229</v>
      </c>
      <c r="C1140">
        <v>160</v>
      </c>
      <c r="D1140" t="s">
        <v>264</v>
      </c>
      <c r="E1140" s="1">
        <v>43091</v>
      </c>
      <c r="F1140" t="s">
        <v>21</v>
      </c>
      <c r="G1140" t="s">
        <v>2331</v>
      </c>
      <c r="H1140">
        <v>718</v>
      </c>
      <c r="I1140" t="s">
        <v>37</v>
      </c>
      <c r="J1140">
        <v>0</v>
      </c>
      <c r="M1140" t="s">
        <v>170</v>
      </c>
      <c r="N1140" t="s">
        <v>2332</v>
      </c>
    </row>
    <row r="1141" spans="1:17" x14ac:dyDescent="0.25">
      <c r="A1141" t="s">
        <v>446</v>
      </c>
      <c r="B1141" t="s">
        <v>1229</v>
      </c>
      <c r="C1141">
        <v>160</v>
      </c>
      <c r="D1141" t="s">
        <v>264</v>
      </c>
      <c r="E1141" s="1">
        <v>43091</v>
      </c>
      <c r="F1141" t="s">
        <v>21</v>
      </c>
      <c r="G1141" t="s">
        <v>2331</v>
      </c>
      <c r="H1141">
        <v>718</v>
      </c>
      <c r="I1141" t="s">
        <v>37</v>
      </c>
      <c r="J1141">
        <v>0</v>
      </c>
      <c r="M1141" t="s">
        <v>255</v>
      </c>
      <c r="N1141" t="s">
        <v>2332</v>
      </c>
      <c r="O1141">
        <v>0</v>
      </c>
      <c r="P1141">
        <v>0</v>
      </c>
      <c r="Q1141" t="s">
        <v>249</v>
      </c>
    </row>
    <row r="1142" spans="1:17" x14ac:dyDescent="0.25">
      <c r="A1142" t="s">
        <v>447</v>
      </c>
      <c r="B1142" t="s">
        <v>1230</v>
      </c>
      <c r="C1142">
        <v>160</v>
      </c>
      <c r="D1142" t="s">
        <v>264</v>
      </c>
      <c r="E1142" s="1">
        <v>43089</v>
      </c>
      <c r="F1142" t="s">
        <v>21</v>
      </c>
      <c r="G1142" t="s">
        <v>1967</v>
      </c>
      <c r="H1142">
        <v>-227</v>
      </c>
      <c r="I1142" t="s">
        <v>37</v>
      </c>
      <c r="J1142">
        <v>0</v>
      </c>
      <c r="M1142" t="s">
        <v>170</v>
      </c>
      <c r="N1142" t="s">
        <v>1987</v>
      </c>
    </row>
    <row r="1143" spans="1:17" x14ac:dyDescent="0.25">
      <c r="A1143" t="s">
        <v>447</v>
      </c>
      <c r="B1143" t="s">
        <v>1230</v>
      </c>
      <c r="C1143">
        <v>160</v>
      </c>
      <c r="D1143" t="s">
        <v>264</v>
      </c>
      <c r="E1143" s="1">
        <v>43089</v>
      </c>
      <c r="F1143" t="s">
        <v>21</v>
      </c>
      <c r="G1143" t="s">
        <v>1967</v>
      </c>
      <c r="H1143">
        <v>-227</v>
      </c>
      <c r="I1143" t="s">
        <v>37</v>
      </c>
      <c r="J1143">
        <v>0</v>
      </c>
      <c r="K1143">
        <v>0</v>
      </c>
      <c r="M1143" t="s">
        <v>255</v>
      </c>
      <c r="N1143" t="s">
        <v>1987</v>
      </c>
      <c r="O1143">
        <v>0</v>
      </c>
      <c r="P1143">
        <v>0</v>
      </c>
      <c r="Q1143" t="s">
        <v>249</v>
      </c>
    </row>
    <row r="1144" spans="1:17" x14ac:dyDescent="0.25">
      <c r="A1144" t="s">
        <v>448</v>
      </c>
      <c r="B1144" t="s">
        <v>1233</v>
      </c>
      <c r="C1144">
        <v>160</v>
      </c>
      <c r="D1144" t="s">
        <v>264</v>
      </c>
      <c r="E1144" s="1">
        <v>43089</v>
      </c>
      <c r="F1144" t="s">
        <v>21</v>
      </c>
      <c r="G1144" t="s">
        <v>1967</v>
      </c>
      <c r="H1144">
        <v>-17</v>
      </c>
      <c r="I1144" t="s">
        <v>37</v>
      </c>
      <c r="J1144">
        <v>0</v>
      </c>
      <c r="M1144" t="s">
        <v>170</v>
      </c>
      <c r="N1144" t="s">
        <v>1988</v>
      </c>
    </row>
    <row r="1145" spans="1:17" x14ac:dyDescent="0.25">
      <c r="A1145" t="s">
        <v>448</v>
      </c>
      <c r="B1145" t="s">
        <v>1233</v>
      </c>
      <c r="C1145">
        <v>160</v>
      </c>
      <c r="D1145" t="s">
        <v>264</v>
      </c>
      <c r="E1145" s="1">
        <v>43089</v>
      </c>
      <c r="F1145" t="s">
        <v>21</v>
      </c>
      <c r="G1145" t="s">
        <v>1967</v>
      </c>
      <c r="H1145">
        <v>-17</v>
      </c>
      <c r="I1145" t="s">
        <v>37</v>
      </c>
      <c r="J1145">
        <v>0</v>
      </c>
      <c r="K1145">
        <v>0</v>
      </c>
      <c r="M1145" t="s">
        <v>255</v>
      </c>
      <c r="N1145" t="s">
        <v>1988</v>
      </c>
      <c r="O1145">
        <v>0</v>
      </c>
      <c r="P1145">
        <v>0</v>
      </c>
      <c r="Q1145" t="s">
        <v>249</v>
      </c>
    </row>
    <row r="1146" spans="1:17" x14ac:dyDescent="0.25">
      <c r="A1146" t="s">
        <v>449</v>
      </c>
      <c r="B1146" t="s">
        <v>1234</v>
      </c>
      <c r="C1146">
        <v>160</v>
      </c>
      <c r="D1146" t="s">
        <v>264</v>
      </c>
      <c r="E1146" s="1">
        <v>43089</v>
      </c>
      <c r="F1146" t="s">
        <v>21</v>
      </c>
      <c r="G1146" t="s">
        <v>1967</v>
      </c>
      <c r="H1146">
        <v>-13</v>
      </c>
      <c r="I1146" t="s">
        <v>37</v>
      </c>
      <c r="J1146">
        <v>0</v>
      </c>
      <c r="M1146" t="s">
        <v>170</v>
      </c>
      <c r="N1146" t="s">
        <v>1989</v>
      </c>
    </row>
    <row r="1147" spans="1:17" x14ac:dyDescent="0.25">
      <c r="A1147" t="s">
        <v>449</v>
      </c>
      <c r="B1147" t="s">
        <v>1234</v>
      </c>
      <c r="C1147">
        <v>160</v>
      </c>
      <c r="D1147" t="s">
        <v>264</v>
      </c>
      <c r="E1147" s="1">
        <v>43089</v>
      </c>
      <c r="F1147" t="s">
        <v>21</v>
      </c>
      <c r="G1147" t="s">
        <v>1967</v>
      </c>
      <c r="H1147">
        <v>-13</v>
      </c>
      <c r="I1147" t="s">
        <v>37</v>
      </c>
      <c r="J1147">
        <v>0</v>
      </c>
      <c r="K1147">
        <v>0</v>
      </c>
      <c r="M1147" t="s">
        <v>255</v>
      </c>
      <c r="N1147" t="s">
        <v>1989</v>
      </c>
      <c r="O1147">
        <v>0</v>
      </c>
      <c r="P1147">
        <v>0</v>
      </c>
      <c r="Q1147" t="s">
        <v>249</v>
      </c>
    </row>
    <row r="1148" spans="1:17" x14ac:dyDescent="0.25">
      <c r="A1148" t="s">
        <v>149</v>
      </c>
      <c r="B1148" t="s">
        <v>209</v>
      </c>
      <c r="C1148">
        <v>160</v>
      </c>
      <c r="D1148" t="s">
        <v>264</v>
      </c>
      <c r="E1148" s="1">
        <v>43089</v>
      </c>
      <c r="F1148" t="s">
        <v>21</v>
      </c>
      <c r="G1148" t="s">
        <v>1967</v>
      </c>
      <c r="H1148">
        <v>-2</v>
      </c>
      <c r="I1148" t="s">
        <v>37</v>
      </c>
      <c r="J1148">
        <v>0</v>
      </c>
      <c r="M1148" t="s">
        <v>170</v>
      </c>
      <c r="N1148" t="s">
        <v>1990</v>
      </c>
    </row>
    <row r="1149" spans="1:17" x14ac:dyDescent="0.25">
      <c r="A1149" t="s">
        <v>149</v>
      </c>
      <c r="B1149" t="s">
        <v>209</v>
      </c>
      <c r="C1149">
        <v>160</v>
      </c>
      <c r="D1149" t="s">
        <v>264</v>
      </c>
      <c r="E1149" s="1">
        <v>43089</v>
      </c>
      <c r="F1149" t="s">
        <v>21</v>
      </c>
      <c r="G1149" t="s">
        <v>1967</v>
      </c>
      <c r="H1149">
        <v>-2</v>
      </c>
      <c r="I1149" t="s">
        <v>37</v>
      </c>
      <c r="J1149">
        <v>0</v>
      </c>
      <c r="K1149">
        <v>0</v>
      </c>
      <c r="M1149" t="s">
        <v>255</v>
      </c>
      <c r="N1149" t="s">
        <v>1990</v>
      </c>
      <c r="O1149">
        <v>0</v>
      </c>
      <c r="P1149">
        <v>0</v>
      </c>
      <c r="Q1149" t="s">
        <v>249</v>
      </c>
    </row>
    <row r="1150" spans="1:17" x14ac:dyDescent="0.25">
      <c r="A1150" t="s">
        <v>451</v>
      </c>
      <c r="B1150" t="s">
        <v>1236</v>
      </c>
      <c r="C1150">
        <v>160</v>
      </c>
      <c r="D1150" t="s">
        <v>264</v>
      </c>
      <c r="E1150" s="1">
        <v>43089</v>
      </c>
      <c r="F1150" t="s">
        <v>21</v>
      </c>
      <c r="G1150" t="s">
        <v>1967</v>
      </c>
      <c r="H1150">
        <v>1</v>
      </c>
      <c r="I1150" t="s">
        <v>37</v>
      </c>
      <c r="J1150">
        <v>0</v>
      </c>
      <c r="M1150" t="s">
        <v>170</v>
      </c>
      <c r="N1150" t="s">
        <v>1991</v>
      </c>
    </row>
    <row r="1151" spans="1:17" x14ac:dyDescent="0.25">
      <c r="A1151" t="s">
        <v>451</v>
      </c>
      <c r="B1151" t="s">
        <v>1236</v>
      </c>
      <c r="C1151">
        <v>160</v>
      </c>
      <c r="D1151" t="s">
        <v>264</v>
      </c>
      <c r="E1151" s="1">
        <v>43089</v>
      </c>
      <c r="F1151" t="s">
        <v>21</v>
      </c>
      <c r="G1151" t="s">
        <v>1967</v>
      </c>
      <c r="H1151">
        <v>1</v>
      </c>
      <c r="I1151" t="s">
        <v>37</v>
      </c>
      <c r="J1151">
        <v>0</v>
      </c>
      <c r="M1151" t="s">
        <v>255</v>
      </c>
      <c r="N1151" t="s">
        <v>1991</v>
      </c>
      <c r="O1151">
        <v>0</v>
      </c>
      <c r="P1151">
        <v>0</v>
      </c>
      <c r="Q1151" t="s">
        <v>249</v>
      </c>
    </row>
    <row r="1152" spans="1:17" x14ac:dyDescent="0.25">
      <c r="A1152" t="s">
        <v>452</v>
      </c>
      <c r="B1152" t="s">
        <v>1239</v>
      </c>
      <c r="C1152">
        <v>160</v>
      </c>
      <c r="D1152" t="s">
        <v>264</v>
      </c>
      <c r="E1152" s="1">
        <v>43089</v>
      </c>
      <c r="F1152" t="s">
        <v>21</v>
      </c>
      <c r="G1152" t="s">
        <v>1967</v>
      </c>
      <c r="H1152">
        <v>6</v>
      </c>
      <c r="I1152" t="s">
        <v>37</v>
      </c>
      <c r="J1152">
        <v>0</v>
      </c>
      <c r="M1152" t="s">
        <v>170</v>
      </c>
      <c r="N1152" t="s">
        <v>1992</v>
      </c>
    </row>
    <row r="1153" spans="1:17" x14ac:dyDescent="0.25">
      <c r="A1153" t="s">
        <v>452</v>
      </c>
      <c r="B1153" t="s">
        <v>1239</v>
      </c>
      <c r="C1153">
        <v>160</v>
      </c>
      <c r="D1153" t="s">
        <v>264</v>
      </c>
      <c r="E1153" s="1">
        <v>43089</v>
      </c>
      <c r="F1153" t="s">
        <v>21</v>
      </c>
      <c r="G1153" t="s">
        <v>1967</v>
      </c>
      <c r="H1153">
        <v>6</v>
      </c>
      <c r="I1153" t="s">
        <v>37</v>
      </c>
      <c r="J1153">
        <v>0</v>
      </c>
      <c r="M1153" t="s">
        <v>255</v>
      </c>
      <c r="N1153" t="s">
        <v>1992</v>
      </c>
      <c r="O1153">
        <v>0</v>
      </c>
      <c r="P1153">
        <v>0</v>
      </c>
      <c r="Q1153" t="s">
        <v>249</v>
      </c>
    </row>
    <row r="1154" spans="1:17" x14ac:dyDescent="0.25">
      <c r="A1154" t="s">
        <v>114</v>
      </c>
      <c r="B1154" t="s">
        <v>115</v>
      </c>
      <c r="C1154">
        <v>160</v>
      </c>
      <c r="D1154" t="s">
        <v>264</v>
      </c>
      <c r="E1154" s="1">
        <v>43084</v>
      </c>
      <c r="F1154" t="s">
        <v>252</v>
      </c>
      <c r="G1154" t="s">
        <v>822</v>
      </c>
      <c r="H1154">
        <v>-2</v>
      </c>
      <c r="I1154" t="s">
        <v>37</v>
      </c>
      <c r="J1154">
        <v>0</v>
      </c>
      <c r="M1154" t="s">
        <v>170</v>
      </c>
      <c r="N1154" t="s">
        <v>1567</v>
      </c>
    </row>
    <row r="1155" spans="1:17" x14ac:dyDescent="0.25">
      <c r="A1155" t="s">
        <v>114</v>
      </c>
      <c r="B1155" t="s">
        <v>115</v>
      </c>
      <c r="C1155">
        <v>160</v>
      </c>
      <c r="D1155" t="s">
        <v>264</v>
      </c>
      <c r="E1155" s="1">
        <v>43084</v>
      </c>
      <c r="F1155" t="s">
        <v>252</v>
      </c>
      <c r="G1155" t="s">
        <v>822</v>
      </c>
      <c r="H1155">
        <v>-2</v>
      </c>
      <c r="I1155" t="s">
        <v>37</v>
      </c>
      <c r="J1155">
        <v>0</v>
      </c>
      <c r="K1155">
        <v>0</v>
      </c>
      <c r="M1155" t="s">
        <v>255</v>
      </c>
      <c r="N1155" t="s">
        <v>1567</v>
      </c>
      <c r="O1155">
        <v>0</v>
      </c>
      <c r="P1155">
        <v>0</v>
      </c>
      <c r="Q1155" t="s">
        <v>249</v>
      </c>
    </row>
    <row r="1156" spans="1:17" x14ac:dyDescent="0.25">
      <c r="A1156" t="s">
        <v>114</v>
      </c>
      <c r="B1156" t="s">
        <v>115</v>
      </c>
      <c r="C1156">
        <v>160</v>
      </c>
      <c r="D1156" t="s">
        <v>264</v>
      </c>
      <c r="E1156" s="1">
        <v>43088</v>
      </c>
      <c r="F1156" t="s">
        <v>927</v>
      </c>
      <c r="G1156" t="s">
        <v>929</v>
      </c>
      <c r="H1156">
        <v>-2</v>
      </c>
      <c r="I1156" t="s">
        <v>37</v>
      </c>
      <c r="J1156">
        <v>0</v>
      </c>
      <c r="M1156" t="s">
        <v>170</v>
      </c>
      <c r="N1156" t="s">
        <v>1852</v>
      </c>
    </row>
    <row r="1157" spans="1:17" x14ac:dyDescent="0.25">
      <c r="A1157" t="s">
        <v>114</v>
      </c>
      <c r="B1157" t="s">
        <v>115</v>
      </c>
      <c r="C1157">
        <v>160</v>
      </c>
      <c r="D1157" t="s">
        <v>264</v>
      </c>
      <c r="E1157" s="1">
        <v>43088</v>
      </c>
      <c r="F1157" t="s">
        <v>927</v>
      </c>
      <c r="G1157" t="s">
        <v>929</v>
      </c>
      <c r="H1157">
        <v>-2</v>
      </c>
      <c r="I1157" t="s">
        <v>37</v>
      </c>
      <c r="J1157">
        <v>0</v>
      </c>
      <c r="K1157">
        <v>0</v>
      </c>
      <c r="M1157" t="s">
        <v>255</v>
      </c>
      <c r="N1157" t="s">
        <v>1852</v>
      </c>
      <c r="O1157">
        <v>0</v>
      </c>
      <c r="P1157">
        <v>0</v>
      </c>
      <c r="Q1157" t="s">
        <v>249</v>
      </c>
    </row>
    <row r="1158" spans="1:17" x14ac:dyDescent="0.25">
      <c r="A1158" t="s">
        <v>114</v>
      </c>
      <c r="B1158" t="s">
        <v>115</v>
      </c>
      <c r="C1158">
        <v>160</v>
      </c>
      <c r="D1158" t="s">
        <v>264</v>
      </c>
      <c r="E1158" s="1">
        <v>43089</v>
      </c>
      <c r="F1158" t="s">
        <v>927</v>
      </c>
      <c r="G1158" t="s">
        <v>932</v>
      </c>
      <c r="H1158">
        <v>-1</v>
      </c>
      <c r="I1158" t="s">
        <v>37</v>
      </c>
      <c r="J1158">
        <v>0</v>
      </c>
      <c r="M1158" t="s">
        <v>170</v>
      </c>
      <c r="N1158" t="s">
        <v>1859</v>
      </c>
    </row>
    <row r="1159" spans="1:17" x14ac:dyDescent="0.25">
      <c r="A1159" t="s">
        <v>114</v>
      </c>
      <c r="B1159" t="s">
        <v>115</v>
      </c>
      <c r="C1159">
        <v>160</v>
      </c>
      <c r="D1159" t="s">
        <v>264</v>
      </c>
      <c r="E1159" s="1">
        <v>43089</v>
      </c>
      <c r="F1159" t="s">
        <v>927</v>
      </c>
      <c r="G1159" t="s">
        <v>932</v>
      </c>
      <c r="H1159">
        <v>-1</v>
      </c>
      <c r="I1159" t="s">
        <v>37</v>
      </c>
      <c r="J1159">
        <v>0</v>
      </c>
      <c r="K1159">
        <v>0</v>
      </c>
      <c r="M1159" t="s">
        <v>255</v>
      </c>
      <c r="N1159" t="s">
        <v>1859</v>
      </c>
      <c r="O1159">
        <v>0</v>
      </c>
      <c r="P1159">
        <v>0</v>
      </c>
      <c r="Q1159" t="s">
        <v>249</v>
      </c>
    </row>
    <row r="1160" spans="1:17" x14ac:dyDescent="0.25">
      <c r="A1160" t="s">
        <v>114</v>
      </c>
      <c r="B1160" t="s">
        <v>115</v>
      </c>
      <c r="C1160">
        <v>160</v>
      </c>
      <c r="D1160" t="s">
        <v>264</v>
      </c>
      <c r="E1160" s="1">
        <v>43089</v>
      </c>
      <c r="F1160" t="s">
        <v>21</v>
      </c>
      <c r="G1160" t="s">
        <v>1993</v>
      </c>
      <c r="H1160">
        <v>4</v>
      </c>
      <c r="I1160" t="s">
        <v>37</v>
      </c>
      <c r="J1160">
        <v>0</v>
      </c>
      <c r="M1160" t="s">
        <v>170</v>
      </c>
      <c r="N1160" t="s">
        <v>2007</v>
      </c>
    </row>
    <row r="1161" spans="1:17" x14ac:dyDescent="0.25">
      <c r="A1161" t="s">
        <v>114</v>
      </c>
      <c r="B1161" t="s">
        <v>115</v>
      </c>
      <c r="C1161">
        <v>160</v>
      </c>
      <c r="D1161" t="s">
        <v>264</v>
      </c>
      <c r="E1161" s="1">
        <v>43089</v>
      </c>
      <c r="F1161" t="s">
        <v>21</v>
      </c>
      <c r="G1161" t="s">
        <v>1993</v>
      </c>
      <c r="H1161">
        <v>4</v>
      </c>
      <c r="I1161" t="s">
        <v>37</v>
      </c>
      <c r="J1161">
        <v>0</v>
      </c>
      <c r="M1161" t="s">
        <v>255</v>
      </c>
      <c r="N1161" t="s">
        <v>2007</v>
      </c>
      <c r="O1161">
        <v>0</v>
      </c>
      <c r="P1161">
        <v>0</v>
      </c>
      <c r="Q1161" t="s">
        <v>249</v>
      </c>
    </row>
    <row r="1162" spans="1:17" x14ac:dyDescent="0.25">
      <c r="A1162" t="s">
        <v>455</v>
      </c>
      <c r="B1162" t="s">
        <v>1242</v>
      </c>
      <c r="C1162">
        <v>160</v>
      </c>
      <c r="D1162" t="s">
        <v>264</v>
      </c>
      <c r="E1162" s="1">
        <v>43083</v>
      </c>
      <c r="F1162" t="s">
        <v>252</v>
      </c>
      <c r="G1162" t="s">
        <v>946</v>
      </c>
      <c r="H1162">
        <v>5</v>
      </c>
      <c r="I1162" t="s">
        <v>37</v>
      </c>
      <c r="J1162">
        <v>0</v>
      </c>
      <c r="M1162" t="s">
        <v>170</v>
      </c>
      <c r="N1162" t="s">
        <v>1586</v>
      </c>
    </row>
    <row r="1163" spans="1:17" x14ac:dyDescent="0.25">
      <c r="A1163" t="s">
        <v>455</v>
      </c>
      <c r="B1163" t="s">
        <v>1242</v>
      </c>
      <c r="C1163">
        <v>160</v>
      </c>
      <c r="D1163" t="s">
        <v>264</v>
      </c>
      <c r="E1163" s="1">
        <v>43083</v>
      </c>
      <c r="F1163" t="s">
        <v>252</v>
      </c>
      <c r="G1163" t="s">
        <v>946</v>
      </c>
      <c r="H1163">
        <v>5</v>
      </c>
      <c r="I1163" t="s">
        <v>37</v>
      </c>
      <c r="J1163">
        <v>0</v>
      </c>
      <c r="M1163" t="s">
        <v>255</v>
      </c>
      <c r="N1163" t="s">
        <v>1586</v>
      </c>
      <c r="O1163">
        <v>0</v>
      </c>
      <c r="P1163">
        <v>0</v>
      </c>
      <c r="Q1163" t="s">
        <v>249</v>
      </c>
    </row>
    <row r="1164" spans="1:17" x14ac:dyDescent="0.25">
      <c r="A1164" t="s">
        <v>455</v>
      </c>
      <c r="B1164" t="s">
        <v>1242</v>
      </c>
      <c r="C1164">
        <v>160</v>
      </c>
      <c r="D1164" t="s">
        <v>264</v>
      </c>
      <c r="E1164" s="1">
        <v>43084</v>
      </c>
      <c r="F1164" t="s">
        <v>252</v>
      </c>
      <c r="G1164" t="s">
        <v>959</v>
      </c>
      <c r="H1164">
        <v>-5</v>
      </c>
      <c r="I1164" t="s">
        <v>37</v>
      </c>
      <c r="J1164">
        <v>0</v>
      </c>
      <c r="M1164" t="s">
        <v>170</v>
      </c>
      <c r="N1164" t="s">
        <v>1591</v>
      </c>
    </row>
    <row r="1165" spans="1:17" x14ac:dyDescent="0.25">
      <c r="A1165" t="s">
        <v>455</v>
      </c>
      <c r="B1165" t="s">
        <v>1242</v>
      </c>
      <c r="C1165">
        <v>160</v>
      </c>
      <c r="D1165" t="s">
        <v>264</v>
      </c>
      <c r="E1165" s="1">
        <v>43084</v>
      </c>
      <c r="F1165" t="s">
        <v>252</v>
      </c>
      <c r="G1165" t="s">
        <v>959</v>
      </c>
      <c r="H1165">
        <v>-5</v>
      </c>
      <c r="I1165" t="s">
        <v>37</v>
      </c>
      <c r="J1165">
        <v>0</v>
      </c>
      <c r="K1165">
        <v>0</v>
      </c>
      <c r="M1165" t="s">
        <v>255</v>
      </c>
      <c r="N1165" t="s">
        <v>1591</v>
      </c>
      <c r="O1165">
        <v>0</v>
      </c>
      <c r="P1165">
        <v>0</v>
      </c>
      <c r="Q1165" t="s">
        <v>249</v>
      </c>
    </row>
    <row r="1166" spans="1:17" x14ac:dyDescent="0.25">
      <c r="A1166" t="s">
        <v>455</v>
      </c>
      <c r="B1166" t="s">
        <v>1242</v>
      </c>
      <c r="C1166">
        <v>160</v>
      </c>
      <c r="D1166" t="s">
        <v>264</v>
      </c>
      <c r="E1166" s="1">
        <v>43089</v>
      </c>
      <c r="F1166" t="s">
        <v>21</v>
      </c>
      <c r="G1166" t="s">
        <v>1993</v>
      </c>
      <c r="H1166">
        <v>6</v>
      </c>
      <c r="I1166" t="s">
        <v>37</v>
      </c>
      <c r="J1166">
        <v>0</v>
      </c>
      <c r="M1166" t="s">
        <v>170</v>
      </c>
      <c r="N1166" t="s">
        <v>2008</v>
      </c>
    </row>
    <row r="1167" spans="1:17" x14ac:dyDescent="0.25">
      <c r="A1167" t="s">
        <v>455</v>
      </c>
      <c r="B1167" t="s">
        <v>1242</v>
      </c>
      <c r="C1167">
        <v>160</v>
      </c>
      <c r="D1167" t="s">
        <v>264</v>
      </c>
      <c r="E1167" s="1">
        <v>43089</v>
      </c>
      <c r="F1167" t="s">
        <v>21</v>
      </c>
      <c r="G1167" t="s">
        <v>1993</v>
      </c>
      <c r="H1167">
        <v>6</v>
      </c>
      <c r="I1167" t="s">
        <v>37</v>
      </c>
      <c r="J1167">
        <v>0</v>
      </c>
      <c r="M1167" t="s">
        <v>255</v>
      </c>
      <c r="N1167" t="s">
        <v>2008</v>
      </c>
      <c r="O1167">
        <v>0</v>
      </c>
      <c r="P1167">
        <v>0</v>
      </c>
      <c r="Q1167" t="s">
        <v>249</v>
      </c>
    </row>
    <row r="1168" spans="1:17" x14ac:dyDescent="0.25">
      <c r="A1168" t="s">
        <v>457</v>
      </c>
      <c r="B1168" t="s">
        <v>1244</v>
      </c>
      <c r="C1168">
        <v>160</v>
      </c>
      <c r="D1168" t="s">
        <v>264</v>
      </c>
      <c r="E1168" s="1">
        <v>43087</v>
      </c>
      <c r="F1168" t="s">
        <v>252</v>
      </c>
      <c r="G1168" t="s">
        <v>1605</v>
      </c>
      <c r="H1168">
        <v>-2</v>
      </c>
      <c r="I1168" t="s">
        <v>37</v>
      </c>
      <c r="J1168">
        <v>0</v>
      </c>
      <c r="M1168" t="s">
        <v>170</v>
      </c>
      <c r="N1168" t="s">
        <v>1606</v>
      </c>
    </row>
    <row r="1169" spans="1:17" x14ac:dyDescent="0.25">
      <c r="A1169" t="s">
        <v>457</v>
      </c>
      <c r="B1169" t="s">
        <v>1244</v>
      </c>
      <c r="C1169">
        <v>160</v>
      </c>
      <c r="D1169" t="s">
        <v>264</v>
      </c>
      <c r="E1169" s="1">
        <v>43087</v>
      </c>
      <c r="F1169" t="s">
        <v>252</v>
      </c>
      <c r="G1169" t="s">
        <v>1605</v>
      </c>
      <c r="H1169">
        <v>-2</v>
      </c>
      <c r="I1169" t="s">
        <v>37</v>
      </c>
      <c r="J1169">
        <v>0</v>
      </c>
      <c r="K1169">
        <v>0</v>
      </c>
      <c r="M1169" t="s">
        <v>255</v>
      </c>
      <c r="N1169" t="s">
        <v>1606</v>
      </c>
      <c r="O1169">
        <v>0</v>
      </c>
      <c r="P1169">
        <v>0</v>
      </c>
      <c r="Q1169" t="s">
        <v>249</v>
      </c>
    </row>
    <row r="1170" spans="1:17" x14ac:dyDescent="0.25">
      <c r="A1170" t="s">
        <v>457</v>
      </c>
      <c r="B1170" t="s">
        <v>1244</v>
      </c>
      <c r="C1170">
        <v>160</v>
      </c>
      <c r="D1170" t="s">
        <v>264</v>
      </c>
      <c r="E1170" s="1">
        <v>43088</v>
      </c>
      <c r="F1170" t="s">
        <v>1648</v>
      </c>
      <c r="G1170" t="s">
        <v>929</v>
      </c>
      <c r="H1170">
        <v>2</v>
      </c>
      <c r="I1170" t="s">
        <v>37</v>
      </c>
      <c r="J1170">
        <v>0</v>
      </c>
      <c r="M1170" t="s">
        <v>170</v>
      </c>
      <c r="N1170" t="s">
        <v>1691</v>
      </c>
    </row>
    <row r="1171" spans="1:17" x14ac:dyDescent="0.25">
      <c r="A1171" t="s">
        <v>457</v>
      </c>
      <c r="B1171" t="s">
        <v>1244</v>
      </c>
      <c r="C1171">
        <v>160</v>
      </c>
      <c r="D1171" t="s">
        <v>264</v>
      </c>
      <c r="E1171" s="1">
        <v>43088</v>
      </c>
      <c r="F1171" t="s">
        <v>1648</v>
      </c>
      <c r="G1171" t="s">
        <v>929</v>
      </c>
      <c r="H1171">
        <v>2</v>
      </c>
      <c r="I1171" t="s">
        <v>37</v>
      </c>
      <c r="J1171">
        <v>0</v>
      </c>
      <c r="M1171" t="s">
        <v>255</v>
      </c>
      <c r="N1171" t="s">
        <v>1691</v>
      </c>
      <c r="O1171">
        <v>0</v>
      </c>
      <c r="P1171">
        <v>0</v>
      </c>
      <c r="Q1171" t="s">
        <v>249</v>
      </c>
    </row>
    <row r="1172" spans="1:17" x14ac:dyDescent="0.25">
      <c r="A1172" t="s">
        <v>457</v>
      </c>
      <c r="B1172" t="s">
        <v>1244</v>
      </c>
      <c r="C1172">
        <v>160</v>
      </c>
      <c r="D1172" t="s">
        <v>264</v>
      </c>
      <c r="E1172" s="1">
        <v>43089</v>
      </c>
      <c r="F1172" t="s">
        <v>252</v>
      </c>
      <c r="G1172" t="s">
        <v>666</v>
      </c>
      <c r="H1172">
        <v>-2</v>
      </c>
      <c r="I1172" t="s">
        <v>37</v>
      </c>
      <c r="J1172">
        <v>0</v>
      </c>
      <c r="M1172" t="s">
        <v>170</v>
      </c>
      <c r="N1172" t="s">
        <v>1480</v>
      </c>
    </row>
    <row r="1173" spans="1:17" x14ac:dyDescent="0.25">
      <c r="A1173" t="s">
        <v>457</v>
      </c>
      <c r="B1173" t="s">
        <v>1244</v>
      </c>
      <c r="C1173">
        <v>160</v>
      </c>
      <c r="D1173" t="s">
        <v>264</v>
      </c>
      <c r="E1173" s="1">
        <v>43089</v>
      </c>
      <c r="F1173" t="s">
        <v>252</v>
      </c>
      <c r="G1173" t="s">
        <v>666</v>
      </c>
      <c r="H1173">
        <v>-2</v>
      </c>
      <c r="I1173" t="s">
        <v>37</v>
      </c>
      <c r="J1173">
        <v>0</v>
      </c>
      <c r="K1173">
        <v>0</v>
      </c>
      <c r="M1173" t="s">
        <v>255</v>
      </c>
      <c r="N1173" t="s">
        <v>1480</v>
      </c>
      <c r="O1173">
        <v>0</v>
      </c>
      <c r="P1173">
        <v>0</v>
      </c>
      <c r="Q1173" t="s">
        <v>249</v>
      </c>
    </row>
    <row r="1174" spans="1:17" x14ac:dyDescent="0.25">
      <c r="A1174" t="s">
        <v>457</v>
      </c>
      <c r="B1174" t="s">
        <v>1244</v>
      </c>
      <c r="C1174">
        <v>160</v>
      </c>
      <c r="D1174" t="s">
        <v>264</v>
      </c>
      <c r="E1174" s="1">
        <v>43089</v>
      </c>
      <c r="F1174" t="s">
        <v>1648</v>
      </c>
      <c r="G1174" t="s">
        <v>932</v>
      </c>
      <c r="H1174">
        <v>1</v>
      </c>
      <c r="I1174" t="s">
        <v>37</v>
      </c>
      <c r="J1174">
        <v>0</v>
      </c>
      <c r="M1174" t="s">
        <v>170</v>
      </c>
      <c r="N1174" t="s">
        <v>1696</v>
      </c>
    </row>
    <row r="1175" spans="1:17" x14ac:dyDescent="0.25">
      <c r="A1175" t="s">
        <v>457</v>
      </c>
      <c r="B1175" t="s">
        <v>1244</v>
      </c>
      <c r="C1175">
        <v>160</v>
      </c>
      <c r="D1175" t="s">
        <v>264</v>
      </c>
      <c r="E1175" s="1">
        <v>43089</v>
      </c>
      <c r="F1175" t="s">
        <v>1648</v>
      </c>
      <c r="G1175" t="s">
        <v>932</v>
      </c>
      <c r="H1175">
        <v>1</v>
      </c>
      <c r="I1175" t="s">
        <v>37</v>
      </c>
      <c r="J1175">
        <v>0</v>
      </c>
      <c r="M1175" t="s">
        <v>255</v>
      </c>
      <c r="N1175" t="s">
        <v>1696</v>
      </c>
      <c r="O1175">
        <v>0</v>
      </c>
      <c r="P1175">
        <v>0</v>
      </c>
      <c r="Q1175" t="s">
        <v>249</v>
      </c>
    </row>
    <row r="1176" spans="1:17" x14ac:dyDescent="0.25">
      <c r="A1176" t="s">
        <v>23</v>
      </c>
      <c r="B1176" t="s">
        <v>883</v>
      </c>
      <c r="C1176">
        <v>160</v>
      </c>
      <c r="D1176" t="s">
        <v>264</v>
      </c>
      <c r="E1176" s="1">
        <v>43075</v>
      </c>
      <c r="F1176" t="s">
        <v>252</v>
      </c>
      <c r="G1176" t="s">
        <v>885</v>
      </c>
      <c r="H1176">
        <v>-2</v>
      </c>
      <c r="I1176" t="s">
        <v>37</v>
      </c>
      <c r="J1176">
        <v>0</v>
      </c>
      <c r="M1176" t="s">
        <v>170</v>
      </c>
      <c r="N1176" t="s">
        <v>887</v>
      </c>
      <c r="Q1176" t="s">
        <v>254</v>
      </c>
    </row>
    <row r="1177" spans="1:17" x14ac:dyDescent="0.25">
      <c r="A1177" t="s">
        <v>23</v>
      </c>
      <c r="B1177" t="s">
        <v>883</v>
      </c>
      <c r="C1177">
        <v>160</v>
      </c>
      <c r="D1177" t="s">
        <v>264</v>
      </c>
      <c r="E1177" s="1">
        <v>43075</v>
      </c>
      <c r="F1177" t="s">
        <v>252</v>
      </c>
      <c r="G1177" t="s">
        <v>851</v>
      </c>
      <c r="H1177">
        <v>-2</v>
      </c>
      <c r="I1177" t="s">
        <v>37</v>
      </c>
      <c r="J1177">
        <v>0</v>
      </c>
      <c r="M1177" t="s">
        <v>170</v>
      </c>
      <c r="N1177" t="s">
        <v>884</v>
      </c>
      <c r="Q1177" t="s">
        <v>254</v>
      </c>
    </row>
    <row r="1178" spans="1:17" x14ac:dyDescent="0.25">
      <c r="A1178" t="s">
        <v>23</v>
      </c>
      <c r="B1178" t="s">
        <v>883</v>
      </c>
      <c r="C1178">
        <v>160</v>
      </c>
      <c r="D1178" t="s">
        <v>264</v>
      </c>
      <c r="E1178" s="1">
        <v>43075</v>
      </c>
      <c r="F1178" t="s">
        <v>252</v>
      </c>
      <c r="G1178" t="s">
        <v>851</v>
      </c>
      <c r="H1178">
        <v>-2</v>
      </c>
      <c r="I1178" t="s">
        <v>37</v>
      </c>
      <c r="J1178">
        <v>2.131750599344</v>
      </c>
      <c r="K1178">
        <v>-4.26</v>
      </c>
      <c r="L1178" t="s">
        <v>609</v>
      </c>
      <c r="M1178" t="s">
        <v>171</v>
      </c>
      <c r="N1178" t="s">
        <v>884</v>
      </c>
      <c r="O1178">
        <v>2.1317573453913758</v>
      </c>
      <c r="P1178">
        <v>1106.3820622581241</v>
      </c>
      <c r="Q1178" t="s">
        <v>254</v>
      </c>
    </row>
    <row r="1179" spans="1:17" x14ac:dyDescent="0.25">
      <c r="A1179" t="s">
        <v>23</v>
      </c>
      <c r="B1179" t="s">
        <v>883</v>
      </c>
      <c r="C1179">
        <v>160</v>
      </c>
      <c r="D1179" t="s">
        <v>264</v>
      </c>
      <c r="E1179" s="1">
        <v>43075</v>
      </c>
      <c r="F1179" t="s">
        <v>252</v>
      </c>
      <c r="G1179" t="s">
        <v>885</v>
      </c>
      <c r="H1179">
        <v>-2</v>
      </c>
      <c r="I1179" t="s">
        <v>37</v>
      </c>
      <c r="J1179">
        <v>2.1317573453910001</v>
      </c>
      <c r="K1179">
        <v>-4.26</v>
      </c>
      <c r="L1179" t="s">
        <v>609</v>
      </c>
      <c r="M1179" t="s">
        <v>171</v>
      </c>
      <c r="N1179" t="s">
        <v>887</v>
      </c>
      <c r="O1179">
        <v>2.131764143632735</v>
      </c>
      <c r="P1179">
        <v>1102.1220622581241</v>
      </c>
      <c r="Q1179" t="s">
        <v>254</v>
      </c>
    </row>
    <row r="1180" spans="1:17" x14ac:dyDescent="0.25">
      <c r="A1180" t="s">
        <v>23</v>
      </c>
      <c r="B1180" t="s">
        <v>883</v>
      </c>
      <c r="C1180">
        <v>160</v>
      </c>
      <c r="D1180" t="s">
        <v>264</v>
      </c>
      <c r="E1180" s="1">
        <v>43076</v>
      </c>
      <c r="F1180" t="s">
        <v>252</v>
      </c>
      <c r="G1180" t="s">
        <v>876</v>
      </c>
      <c r="H1180">
        <v>-2</v>
      </c>
      <c r="I1180" t="s">
        <v>37</v>
      </c>
      <c r="J1180">
        <v>0</v>
      </c>
      <c r="M1180" t="s">
        <v>170</v>
      </c>
      <c r="N1180" t="s">
        <v>888</v>
      </c>
      <c r="Q1180" t="s">
        <v>254</v>
      </c>
    </row>
    <row r="1181" spans="1:17" x14ac:dyDescent="0.25">
      <c r="A1181" t="s">
        <v>23</v>
      </c>
      <c r="B1181" t="s">
        <v>883</v>
      </c>
      <c r="C1181">
        <v>160</v>
      </c>
      <c r="D1181" t="s">
        <v>264</v>
      </c>
      <c r="E1181" s="1">
        <v>43076</v>
      </c>
      <c r="F1181" t="s">
        <v>252</v>
      </c>
      <c r="G1181" t="s">
        <v>876</v>
      </c>
      <c r="H1181">
        <v>-2</v>
      </c>
      <c r="I1181" t="s">
        <v>37</v>
      </c>
      <c r="J1181">
        <v>2.1317641436330002</v>
      </c>
      <c r="K1181">
        <v>-4.26</v>
      </c>
      <c r="L1181" t="s">
        <v>609</v>
      </c>
      <c r="M1181" t="s">
        <v>171</v>
      </c>
      <c r="N1181" t="s">
        <v>888</v>
      </c>
      <c r="O1181">
        <v>2.1317709946759691</v>
      </c>
      <c r="P1181">
        <v>1097.8620622581241</v>
      </c>
      <c r="Q1181" t="s">
        <v>254</v>
      </c>
    </row>
    <row r="1182" spans="1:17" x14ac:dyDescent="0.25">
      <c r="A1182" t="s">
        <v>23</v>
      </c>
      <c r="B1182" t="s">
        <v>883</v>
      </c>
      <c r="C1182">
        <v>160</v>
      </c>
      <c r="D1182" t="s">
        <v>264</v>
      </c>
      <c r="E1182" s="1">
        <v>43080</v>
      </c>
      <c r="F1182" t="s">
        <v>252</v>
      </c>
      <c r="G1182" t="s">
        <v>776</v>
      </c>
      <c r="H1182">
        <v>-11</v>
      </c>
      <c r="I1182" t="s">
        <v>37</v>
      </c>
      <c r="J1182">
        <v>0</v>
      </c>
      <c r="M1182" t="s">
        <v>170</v>
      </c>
      <c r="N1182" t="s">
        <v>893</v>
      </c>
      <c r="Q1182" t="s">
        <v>254</v>
      </c>
    </row>
    <row r="1183" spans="1:17" x14ac:dyDescent="0.25">
      <c r="A1183" t="s">
        <v>23</v>
      </c>
      <c r="B1183" t="s">
        <v>883</v>
      </c>
      <c r="C1183">
        <v>160</v>
      </c>
      <c r="D1183" t="s">
        <v>264</v>
      </c>
      <c r="E1183" s="1">
        <v>43080</v>
      </c>
      <c r="F1183" t="s">
        <v>252</v>
      </c>
      <c r="G1183" t="s">
        <v>776</v>
      </c>
      <c r="H1183">
        <v>-3</v>
      </c>
      <c r="I1183" t="s">
        <v>37</v>
      </c>
      <c r="J1183">
        <v>0</v>
      </c>
      <c r="M1183" t="s">
        <v>170</v>
      </c>
      <c r="N1183" t="s">
        <v>889</v>
      </c>
      <c r="Q1183" t="s">
        <v>254</v>
      </c>
    </row>
    <row r="1184" spans="1:17" x14ac:dyDescent="0.25">
      <c r="A1184" t="s">
        <v>23</v>
      </c>
      <c r="B1184" t="s">
        <v>883</v>
      </c>
      <c r="C1184">
        <v>160</v>
      </c>
      <c r="D1184" t="s">
        <v>264</v>
      </c>
      <c r="E1184" s="1">
        <v>43080</v>
      </c>
      <c r="F1184" t="s">
        <v>252</v>
      </c>
      <c r="G1184" t="s">
        <v>772</v>
      </c>
      <c r="H1184">
        <v>-2</v>
      </c>
      <c r="I1184" t="s">
        <v>37</v>
      </c>
      <c r="J1184">
        <v>0</v>
      </c>
      <c r="M1184" t="s">
        <v>170</v>
      </c>
      <c r="N1184" t="s">
        <v>890</v>
      </c>
      <c r="Q1184" t="s">
        <v>254</v>
      </c>
    </row>
    <row r="1185" spans="1:17" x14ac:dyDescent="0.25">
      <c r="A1185" t="s">
        <v>23</v>
      </c>
      <c r="B1185" t="s">
        <v>883</v>
      </c>
      <c r="C1185">
        <v>160</v>
      </c>
      <c r="D1185" t="s">
        <v>264</v>
      </c>
      <c r="E1185" s="1">
        <v>43080</v>
      </c>
      <c r="F1185" t="s">
        <v>252</v>
      </c>
      <c r="G1185" t="s">
        <v>879</v>
      </c>
      <c r="H1185">
        <v>-1</v>
      </c>
      <c r="I1185" t="s">
        <v>37</v>
      </c>
      <c r="J1185">
        <v>0</v>
      </c>
      <c r="M1185" t="s">
        <v>170</v>
      </c>
      <c r="N1185" t="s">
        <v>891</v>
      </c>
      <c r="Q1185" t="s">
        <v>254</v>
      </c>
    </row>
    <row r="1186" spans="1:17" x14ac:dyDescent="0.25">
      <c r="A1186" t="s">
        <v>23</v>
      </c>
      <c r="B1186" t="s">
        <v>883</v>
      </c>
      <c r="C1186">
        <v>160</v>
      </c>
      <c r="D1186" t="s">
        <v>264</v>
      </c>
      <c r="E1186" s="1">
        <v>43080</v>
      </c>
      <c r="F1186" t="s">
        <v>252</v>
      </c>
      <c r="G1186" t="s">
        <v>785</v>
      </c>
      <c r="H1186">
        <v>-3</v>
      </c>
      <c r="I1186" t="s">
        <v>37</v>
      </c>
      <c r="J1186">
        <v>0</v>
      </c>
      <c r="M1186" t="s">
        <v>170</v>
      </c>
      <c r="N1186" t="s">
        <v>892</v>
      </c>
      <c r="Q1186" t="s">
        <v>254</v>
      </c>
    </row>
    <row r="1187" spans="1:17" x14ac:dyDescent="0.25">
      <c r="A1187" t="s">
        <v>23</v>
      </c>
      <c r="B1187" t="s">
        <v>883</v>
      </c>
      <c r="C1187">
        <v>160</v>
      </c>
      <c r="D1187" t="s">
        <v>264</v>
      </c>
      <c r="E1187" s="1">
        <v>43080</v>
      </c>
      <c r="F1187" t="s">
        <v>252</v>
      </c>
      <c r="G1187" t="s">
        <v>776</v>
      </c>
      <c r="H1187">
        <v>-3</v>
      </c>
      <c r="I1187" t="s">
        <v>37</v>
      </c>
      <c r="J1187">
        <v>2.1317722244759998</v>
      </c>
      <c r="K1187">
        <v>-6.4</v>
      </c>
      <c r="L1187" t="s">
        <v>609</v>
      </c>
      <c r="M1187" t="s">
        <v>171</v>
      </c>
      <c r="N1187" t="s">
        <v>889</v>
      </c>
      <c r="O1187">
        <v>2.1317618403478984</v>
      </c>
      <c r="P1187">
        <v>1091.462062258124</v>
      </c>
      <c r="Q1187" t="s">
        <v>254</v>
      </c>
    </row>
    <row r="1188" spans="1:17" x14ac:dyDescent="0.25">
      <c r="A1188" t="s">
        <v>23</v>
      </c>
      <c r="B1188" t="s">
        <v>883</v>
      </c>
      <c r="C1188">
        <v>160</v>
      </c>
      <c r="D1188" t="s">
        <v>264</v>
      </c>
      <c r="E1188" s="1">
        <v>43080</v>
      </c>
      <c r="F1188" t="s">
        <v>252</v>
      </c>
      <c r="G1188" t="s">
        <v>772</v>
      </c>
      <c r="H1188">
        <v>-2</v>
      </c>
      <c r="I1188" t="s">
        <v>37</v>
      </c>
      <c r="J1188">
        <v>2.1317652881760001</v>
      </c>
      <c r="K1188">
        <v>-4.26</v>
      </c>
      <c r="L1188" t="s">
        <v>609</v>
      </c>
      <c r="M1188" t="s">
        <v>171</v>
      </c>
      <c r="N1188" t="s">
        <v>890</v>
      </c>
      <c r="O1188">
        <v>2.1317687495257331</v>
      </c>
      <c r="P1188">
        <v>1087.202062258124</v>
      </c>
      <c r="Q1188" t="s">
        <v>254</v>
      </c>
    </row>
    <row r="1189" spans="1:17" x14ac:dyDescent="0.25">
      <c r="A1189" t="s">
        <v>23</v>
      </c>
      <c r="B1189" t="s">
        <v>883</v>
      </c>
      <c r="C1189">
        <v>160</v>
      </c>
      <c r="D1189" t="s">
        <v>264</v>
      </c>
      <c r="E1189" s="1">
        <v>43080</v>
      </c>
      <c r="F1189" t="s">
        <v>252</v>
      </c>
      <c r="G1189" t="s">
        <v>879</v>
      </c>
      <c r="H1189">
        <v>-1</v>
      </c>
      <c r="I1189" t="s">
        <v>37</v>
      </c>
      <c r="J1189">
        <v>2.1317618403480001</v>
      </c>
      <c r="K1189">
        <v>-2.13</v>
      </c>
      <c r="L1189" t="s">
        <v>609</v>
      </c>
      <c r="M1189" t="s">
        <v>171</v>
      </c>
      <c r="N1189" t="s">
        <v>891</v>
      </c>
      <c r="O1189">
        <v>2.1317722244756854</v>
      </c>
      <c r="P1189">
        <v>1085.0720622581239</v>
      </c>
      <c r="Q1189" t="s">
        <v>254</v>
      </c>
    </row>
    <row r="1190" spans="1:17" x14ac:dyDescent="0.25">
      <c r="A1190" t="s">
        <v>23</v>
      </c>
      <c r="B1190" t="s">
        <v>883</v>
      </c>
      <c r="C1190">
        <v>160</v>
      </c>
      <c r="D1190" t="s">
        <v>264</v>
      </c>
      <c r="E1190" s="1">
        <v>43080</v>
      </c>
      <c r="F1190" t="s">
        <v>252</v>
      </c>
      <c r="G1190" t="s">
        <v>785</v>
      </c>
      <c r="H1190">
        <v>-3</v>
      </c>
      <c r="I1190" t="s">
        <v>37</v>
      </c>
      <c r="J1190">
        <v>2.1317709946760002</v>
      </c>
      <c r="K1190">
        <v>-6.4</v>
      </c>
      <c r="L1190" t="s">
        <v>609</v>
      </c>
      <c r="M1190" t="s">
        <v>171</v>
      </c>
      <c r="N1190" t="s">
        <v>892</v>
      </c>
      <c r="O1190">
        <v>2.1317629688895727</v>
      </c>
      <c r="P1190">
        <v>1078.6720622581238</v>
      </c>
      <c r="Q1190" t="s">
        <v>254</v>
      </c>
    </row>
    <row r="1191" spans="1:17" x14ac:dyDescent="0.25">
      <c r="A1191" t="s">
        <v>23</v>
      </c>
      <c r="B1191" t="s">
        <v>883</v>
      </c>
      <c r="C1191">
        <v>160</v>
      </c>
      <c r="D1191" t="s">
        <v>264</v>
      </c>
      <c r="E1191" s="1">
        <v>43080</v>
      </c>
      <c r="F1191" t="s">
        <v>252</v>
      </c>
      <c r="G1191" t="s">
        <v>776</v>
      </c>
      <c r="H1191">
        <v>-11</v>
      </c>
      <c r="I1191" t="s">
        <v>37</v>
      </c>
      <c r="J1191">
        <v>2.1317722244759998</v>
      </c>
      <c r="K1191">
        <v>-23.45</v>
      </c>
      <c r="L1191" t="s">
        <v>609</v>
      </c>
      <c r="M1191" t="s">
        <v>171</v>
      </c>
      <c r="N1191" t="s">
        <v>893</v>
      </c>
      <c r="O1191">
        <v>2.1317617419356036</v>
      </c>
      <c r="P1191">
        <v>1055.2220622581237</v>
      </c>
      <c r="Q1191" t="s">
        <v>254</v>
      </c>
    </row>
    <row r="1192" spans="1:17" x14ac:dyDescent="0.25">
      <c r="A1192" t="s">
        <v>23</v>
      </c>
      <c r="B1192" t="s">
        <v>883</v>
      </c>
      <c r="C1192">
        <v>160</v>
      </c>
      <c r="D1192" t="s">
        <v>264</v>
      </c>
      <c r="E1192" s="1">
        <v>43081</v>
      </c>
      <c r="F1192" t="s">
        <v>252</v>
      </c>
      <c r="G1192" t="s">
        <v>847</v>
      </c>
      <c r="H1192">
        <v>-2</v>
      </c>
      <c r="I1192" t="s">
        <v>37</v>
      </c>
      <c r="J1192">
        <v>0</v>
      </c>
      <c r="M1192" t="s">
        <v>170</v>
      </c>
      <c r="N1192" t="s">
        <v>896</v>
      </c>
      <c r="Q1192" t="s">
        <v>254</v>
      </c>
    </row>
    <row r="1193" spans="1:17" x14ac:dyDescent="0.25">
      <c r="A1193" t="s">
        <v>23</v>
      </c>
      <c r="B1193" t="s">
        <v>883</v>
      </c>
      <c r="C1193">
        <v>160</v>
      </c>
      <c r="D1193" t="s">
        <v>264</v>
      </c>
      <c r="E1193" s="1">
        <v>43081</v>
      </c>
      <c r="F1193" t="s">
        <v>252</v>
      </c>
      <c r="G1193" t="s">
        <v>791</v>
      </c>
      <c r="H1193">
        <v>-6</v>
      </c>
      <c r="I1193" t="s">
        <v>37</v>
      </c>
      <c r="J1193">
        <v>0</v>
      </c>
      <c r="M1193" t="s">
        <v>170</v>
      </c>
      <c r="N1193" t="s">
        <v>894</v>
      </c>
      <c r="Q1193" t="s">
        <v>254</v>
      </c>
    </row>
    <row r="1194" spans="1:17" x14ac:dyDescent="0.25">
      <c r="A1194" t="s">
        <v>23</v>
      </c>
      <c r="B1194" t="s">
        <v>883</v>
      </c>
      <c r="C1194">
        <v>160</v>
      </c>
      <c r="D1194" t="s">
        <v>264</v>
      </c>
      <c r="E1194" s="1">
        <v>43081</v>
      </c>
      <c r="F1194" t="s">
        <v>252</v>
      </c>
      <c r="G1194" t="s">
        <v>794</v>
      </c>
      <c r="H1194">
        <v>-1</v>
      </c>
      <c r="I1194" t="s">
        <v>37</v>
      </c>
      <c r="J1194">
        <v>0</v>
      </c>
      <c r="M1194" t="s">
        <v>170</v>
      </c>
      <c r="N1194" t="s">
        <v>895</v>
      </c>
      <c r="Q1194" t="s">
        <v>254</v>
      </c>
    </row>
    <row r="1195" spans="1:17" x14ac:dyDescent="0.25">
      <c r="A1195" t="s">
        <v>23</v>
      </c>
      <c r="B1195" t="s">
        <v>883</v>
      </c>
      <c r="C1195">
        <v>160</v>
      </c>
      <c r="D1195" t="s">
        <v>264</v>
      </c>
      <c r="E1195" s="1">
        <v>43081</v>
      </c>
      <c r="F1195" t="s">
        <v>252</v>
      </c>
      <c r="G1195" t="s">
        <v>749</v>
      </c>
      <c r="H1195">
        <v>-1</v>
      </c>
      <c r="I1195" t="s">
        <v>37</v>
      </c>
      <c r="J1195">
        <v>0</v>
      </c>
      <c r="M1195" t="s">
        <v>170</v>
      </c>
      <c r="N1195" t="s">
        <v>897</v>
      </c>
      <c r="Q1195" t="s">
        <v>254</v>
      </c>
    </row>
    <row r="1196" spans="1:17" x14ac:dyDescent="0.25">
      <c r="A1196" t="s">
        <v>23</v>
      </c>
      <c r="B1196" t="s">
        <v>883</v>
      </c>
      <c r="C1196">
        <v>160</v>
      </c>
      <c r="D1196" t="s">
        <v>264</v>
      </c>
      <c r="E1196" s="1">
        <v>43081</v>
      </c>
      <c r="F1196" t="s">
        <v>252</v>
      </c>
      <c r="G1196" t="s">
        <v>847</v>
      </c>
      <c r="H1196">
        <v>-2</v>
      </c>
      <c r="I1196" t="s">
        <v>37</v>
      </c>
      <c r="J1196">
        <v>2.1317617419359998</v>
      </c>
      <c r="K1196">
        <v>-4.26</v>
      </c>
      <c r="L1196" t="s">
        <v>609</v>
      </c>
      <c r="M1196" t="s">
        <v>171</v>
      </c>
      <c r="N1196" t="s">
        <v>896</v>
      </c>
      <c r="O1196">
        <v>2.1317688889617115</v>
      </c>
      <c r="P1196">
        <v>1050.9620622581238</v>
      </c>
      <c r="Q1196" t="s">
        <v>254</v>
      </c>
    </row>
    <row r="1197" spans="1:17" x14ac:dyDescent="0.25">
      <c r="A1197" t="s">
        <v>23</v>
      </c>
      <c r="B1197" t="s">
        <v>883</v>
      </c>
      <c r="C1197">
        <v>160</v>
      </c>
      <c r="D1197" t="s">
        <v>264</v>
      </c>
      <c r="E1197" s="1">
        <v>43081</v>
      </c>
      <c r="F1197" t="s">
        <v>252</v>
      </c>
      <c r="G1197" t="s">
        <v>791</v>
      </c>
      <c r="H1197">
        <v>-6</v>
      </c>
      <c r="I1197" t="s">
        <v>37</v>
      </c>
      <c r="J1197">
        <v>2.1317688889619997</v>
      </c>
      <c r="K1197">
        <v>-12.79</v>
      </c>
      <c r="L1197" t="s">
        <v>609</v>
      </c>
      <c r="M1197" t="s">
        <v>171</v>
      </c>
      <c r="N1197" t="s">
        <v>894</v>
      </c>
      <c r="O1197">
        <v>2.1317701483739708</v>
      </c>
      <c r="P1197">
        <v>1038.1720622581238</v>
      </c>
      <c r="Q1197" t="s">
        <v>254</v>
      </c>
    </row>
    <row r="1198" spans="1:17" x14ac:dyDescent="0.25">
      <c r="A1198" t="s">
        <v>23</v>
      </c>
      <c r="B1198" t="s">
        <v>883</v>
      </c>
      <c r="C1198">
        <v>160</v>
      </c>
      <c r="D1198" t="s">
        <v>264</v>
      </c>
      <c r="E1198" s="1">
        <v>43081</v>
      </c>
      <c r="F1198" t="s">
        <v>252</v>
      </c>
      <c r="G1198" t="s">
        <v>794</v>
      </c>
      <c r="H1198">
        <v>-1</v>
      </c>
      <c r="I1198" t="s">
        <v>37</v>
      </c>
      <c r="J1198">
        <v>2.1317737906550001</v>
      </c>
      <c r="K1198">
        <v>-2.13</v>
      </c>
      <c r="L1198" t="s">
        <v>609</v>
      </c>
      <c r="M1198" t="s">
        <v>171</v>
      </c>
      <c r="N1198" t="s">
        <v>895</v>
      </c>
      <c r="O1198">
        <v>2.1317737906545755</v>
      </c>
      <c r="P1198">
        <v>1036.0420622581237</v>
      </c>
      <c r="Q1198" t="s">
        <v>254</v>
      </c>
    </row>
    <row r="1199" spans="1:17" x14ac:dyDescent="0.25">
      <c r="A1199" t="s">
        <v>23</v>
      </c>
      <c r="B1199" t="s">
        <v>883</v>
      </c>
      <c r="C1199">
        <v>160</v>
      </c>
      <c r="D1199" t="s">
        <v>264</v>
      </c>
      <c r="E1199" s="1">
        <v>43081</v>
      </c>
      <c r="F1199" t="s">
        <v>252</v>
      </c>
      <c r="G1199" t="s">
        <v>749</v>
      </c>
      <c r="H1199">
        <v>-1</v>
      </c>
      <c r="I1199" t="s">
        <v>37</v>
      </c>
      <c r="J1199">
        <v>2.1317701483739997</v>
      </c>
      <c r="K1199">
        <v>-2.13</v>
      </c>
      <c r="L1199" t="s">
        <v>609</v>
      </c>
      <c r="M1199" t="s">
        <v>171</v>
      </c>
      <c r="N1199" t="s">
        <v>897</v>
      </c>
      <c r="O1199">
        <v>2.1317774479548941</v>
      </c>
      <c r="P1199">
        <v>1033.9120622581236</v>
      </c>
      <c r="Q1199" t="s">
        <v>254</v>
      </c>
    </row>
    <row r="1200" spans="1:17" x14ac:dyDescent="0.25">
      <c r="A1200" t="s">
        <v>23</v>
      </c>
      <c r="B1200" t="s">
        <v>883</v>
      </c>
      <c r="C1200">
        <v>160</v>
      </c>
      <c r="D1200" t="s">
        <v>264</v>
      </c>
      <c r="E1200" s="1">
        <v>43083</v>
      </c>
      <c r="F1200" t="s">
        <v>252</v>
      </c>
      <c r="G1200" t="s">
        <v>800</v>
      </c>
      <c r="H1200">
        <v>-1</v>
      </c>
      <c r="I1200" t="s">
        <v>37</v>
      </c>
      <c r="J1200">
        <v>0</v>
      </c>
      <c r="M1200" t="s">
        <v>170</v>
      </c>
      <c r="N1200" t="s">
        <v>898</v>
      </c>
      <c r="Q1200" t="s">
        <v>254</v>
      </c>
    </row>
    <row r="1201" spans="1:17" x14ac:dyDescent="0.25">
      <c r="A1201" t="s">
        <v>23</v>
      </c>
      <c r="B1201" t="s">
        <v>883</v>
      </c>
      <c r="C1201">
        <v>160</v>
      </c>
      <c r="D1201" t="s">
        <v>264</v>
      </c>
      <c r="E1201" s="1">
        <v>43083</v>
      </c>
      <c r="F1201" t="s">
        <v>252</v>
      </c>
      <c r="G1201" t="s">
        <v>868</v>
      </c>
      <c r="H1201">
        <v>-1</v>
      </c>
      <c r="I1201" t="s">
        <v>37</v>
      </c>
      <c r="J1201">
        <v>0</v>
      </c>
      <c r="M1201" t="s">
        <v>170</v>
      </c>
      <c r="N1201" t="s">
        <v>899</v>
      </c>
      <c r="Q1201" t="s">
        <v>254</v>
      </c>
    </row>
    <row r="1202" spans="1:17" x14ac:dyDescent="0.25">
      <c r="A1202" t="s">
        <v>23</v>
      </c>
      <c r="B1202" t="s">
        <v>883</v>
      </c>
      <c r="C1202">
        <v>160</v>
      </c>
      <c r="D1202" t="s">
        <v>264</v>
      </c>
      <c r="E1202" s="1">
        <v>43083</v>
      </c>
      <c r="F1202" t="s">
        <v>252</v>
      </c>
      <c r="G1202" t="s">
        <v>800</v>
      </c>
      <c r="H1202">
        <v>-1</v>
      </c>
      <c r="I1202" t="s">
        <v>37</v>
      </c>
      <c r="J1202">
        <v>2.1317811203680002</v>
      </c>
      <c r="K1202">
        <v>-2.13</v>
      </c>
      <c r="L1202" t="s">
        <v>609</v>
      </c>
      <c r="M1202" t="s">
        <v>171</v>
      </c>
      <c r="N1202" t="s">
        <v>898</v>
      </c>
      <c r="O1202">
        <v>2.1317811203680237</v>
      </c>
      <c r="P1202">
        <v>1031.7820622581235</v>
      </c>
      <c r="Q1202" t="s">
        <v>254</v>
      </c>
    </row>
    <row r="1203" spans="1:17" x14ac:dyDescent="0.25">
      <c r="A1203" t="s">
        <v>23</v>
      </c>
      <c r="B1203" t="s">
        <v>883</v>
      </c>
      <c r="C1203">
        <v>160</v>
      </c>
      <c r="D1203" t="s">
        <v>264</v>
      </c>
      <c r="E1203" s="1">
        <v>43083</v>
      </c>
      <c r="F1203" t="s">
        <v>252</v>
      </c>
      <c r="G1203" t="s">
        <v>868</v>
      </c>
      <c r="H1203">
        <v>-1</v>
      </c>
      <c r="I1203" t="s">
        <v>37</v>
      </c>
      <c r="J1203">
        <v>2.1317774479549998</v>
      </c>
      <c r="K1203">
        <v>-2.13</v>
      </c>
      <c r="L1203" t="s">
        <v>609</v>
      </c>
      <c r="M1203" t="s">
        <v>171</v>
      </c>
      <c r="N1203" t="s">
        <v>899</v>
      </c>
      <c r="O1203">
        <v>2.1317848079878332</v>
      </c>
      <c r="P1203">
        <v>1029.6520622581234</v>
      </c>
      <c r="Q1203" t="s">
        <v>254</v>
      </c>
    </row>
    <row r="1204" spans="1:17" x14ac:dyDescent="0.25">
      <c r="A1204" t="s">
        <v>23</v>
      </c>
      <c r="B1204" t="s">
        <v>883</v>
      </c>
      <c r="C1204">
        <v>160</v>
      </c>
      <c r="D1204" t="s">
        <v>264</v>
      </c>
      <c r="E1204" s="1">
        <v>43087</v>
      </c>
      <c r="F1204" t="s">
        <v>252</v>
      </c>
      <c r="G1204" t="s">
        <v>811</v>
      </c>
      <c r="H1204">
        <v>-1</v>
      </c>
      <c r="I1204" t="s">
        <v>37</v>
      </c>
      <c r="J1204">
        <v>0</v>
      </c>
      <c r="M1204" t="s">
        <v>170</v>
      </c>
      <c r="N1204" t="s">
        <v>900</v>
      </c>
      <c r="Q1204" t="s">
        <v>254</v>
      </c>
    </row>
    <row r="1205" spans="1:17" x14ac:dyDescent="0.25">
      <c r="A1205" t="s">
        <v>23</v>
      </c>
      <c r="B1205" t="s">
        <v>883</v>
      </c>
      <c r="C1205">
        <v>160</v>
      </c>
      <c r="D1205" t="s">
        <v>264</v>
      </c>
      <c r="E1205" s="1">
        <v>43087</v>
      </c>
      <c r="F1205" t="s">
        <v>252</v>
      </c>
      <c r="G1205" t="s">
        <v>811</v>
      </c>
      <c r="H1205">
        <v>-1</v>
      </c>
      <c r="I1205" t="s">
        <v>37</v>
      </c>
      <c r="J1205">
        <v>2.1317848079880002</v>
      </c>
      <c r="K1205">
        <v>-2.13</v>
      </c>
      <c r="L1205" t="s">
        <v>609</v>
      </c>
      <c r="M1205" t="s">
        <v>171</v>
      </c>
      <c r="N1205" t="s">
        <v>900</v>
      </c>
      <c r="O1205">
        <v>2.1317885109089696</v>
      </c>
      <c r="P1205">
        <v>1027.5220622581232</v>
      </c>
      <c r="Q1205" t="s">
        <v>254</v>
      </c>
    </row>
    <row r="1206" spans="1:17" x14ac:dyDescent="0.25">
      <c r="A1206" t="s">
        <v>23</v>
      </c>
      <c r="B1206" t="s">
        <v>883</v>
      </c>
      <c r="C1206">
        <v>160</v>
      </c>
      <c r="D1206" t="s">
        <v>264</v>
      </c>
      <c r="E1206" s="1">
        <v>43088</v>
      </c>
      <c r="F1206" t="s">
        <v>252</v>
      </c>
      <c r="G1206" t="s">
        <v>754</v>
      </c>
      <c r="H1206">
        <v>-1</v>
      </c>
      <c r="I1206" t="s">
        <v>37</v>
      </c>
      <c r="J1206">
        <v>0</v>
      </c>
      <c r="M1206" t="s">
        <v>170</v>
      </c>
      <c r="N1206" t="s">
        <v>901</v>
      </c>
      <c r="Q1206" t="s">
        <v>254</v>
      </c>
    </row>
    <row r="1207" spans="1:17" x14ac:dyDescent="0.25">
      <c r="A1207" t="s">
        <v>23</v>
      </c>
      <c r="B1207" t="s">
        <v>883</v>
      </c>
      <c r="C1207">
        <v>160</v>
      </c>
      <c r="D1207" t="s">
        <v>264</v>
      </c>
      <c r="E1207" s="1">
        <v>43088</v>
      </c>
      <c r="F1207" t="s">
        <v>252</v>
      </c>
      <c r="G1207" t="s">
        <v>814</v>
      </c>
      <c r="H1207">
        <v>-1</v>
      </c>
      <c r="I1207" t="s">
        <v>37</v>
      </c>
      <c r="J1207">
        <v>0</v>
      </c>
      <c r="M1207" t="s">
        <v>170</v>
      </c>
      <c r="N1207" t="s">
        <v>902</v>
      </c>
      <c r="Q1207" t="s">
        <v>254</v>
      </c>
    </row>
    <row r="1208" spans="1:17" x14ac:dyDescent="0.25">
      <c r="A1208" t="s">
        <v>23</v>
      </c>
      <c r="B1208" t="s">
        <v>883</v>
      </c>
      <c r="C1208">
        <v>160</v>
      </c>
      <c r="D1208" t="s">
        <v>264</v>
      </c>
      <c r="E1208" s="1">
        <v>43088</v>
      </c>
      <c r="F1208" t="s">
        <v>252</v>
      </c>
      <c r="G1208" t="s">
        <v>754</v>
      </c>
      <c r="H1208">
        <v>-1</v>
      </c>
      <c r="I1208" t="s">
        <v>37</v>
      </c>
      <c r="J1208">
        <v>2.1317885109090002</v>
      </c>
      <c r="K1208">
        <v>-2.13</v>
      </c>
      <c r="L1208" t="s">
        <v>609</v>
      </c>
      <c r="M1208" t="s">
        <v>171</v>
      </c>
      <c r="N1208" t="s">
        <v>901</v>
      </c>
      <c r="O1208">
        <v>2.1317922292268672</v>
      </c>
      <c r="P1208">
        <v>1025.3920622581231</v>
      </c>
      <c r="Q1208" t="s">
        <v>254</v>
      </c>
    </row>
    <row r="1209" spans="1:17" x14ac:dyDescent="0.25">
      <c r="A1209" t="s">
        <v>23</v>
      </c>
      <c r="B1209" t="s">
        <v>883</v>
      </c>
      <c r="C1209">
        <v>160</v>
      </c>
      <c r="D1209" t="s">
        <v>264</v>
      </c>
      <c r="E1209" s="1">
        <v>43088</v>
      </c>
      <c r="F1209" t="s">
        <v>252</v>
      </c>
      <c r="G1209" t="s">
        <v>814</v>
      </c>
      <c r="H1209">
        <v>-1</v>
      </c>
      <c r="I1209" t="s">
        <v>37</v>
      </c>
      <c r="J1209">
        <v>2.131792229227</v>
      </c>
      <c r="K1209">
        <v>-2.13</v>
      </c>
      <c r="L1209" t="s">
        <v>609</v>
      </c>
      <c r="M1209" t="s">
        <v>171</v>
      </c>
      <c r="N1209" t="s">
        <v>902</v>
      </c>
      <c r="O1209">
        <v>2.1317959630377565</v>
      </c>
      <c r="P1209">
        <v>1023.2620622581231</v>
      </c>
      <c r="Q1209" t="s">
        <v>254</v>
      </c>
    </row>
    <row r="1210" spans="1:17" x14ac:dyDescent="0.25">
      <c r="A1210" t="s">
        <v>23</v>
      </c>
      <c r="B1210" t="s">
        <v>883</v>
      </c>
      <c r="C1210">
        <v>160</v>
      </c>
      <c r="D1210" t="s">
        <v>264</v>
      </c>
      <c r="E1210" s="1">
        <v>43089</v>
      </c>
      <c r="F1210" t="s">
        <v>252</v>
      </c>
      <c r="G1210" t="s">
        <v>666</v>
      </c>
      <c r="H1210">
        <v>-11</v>
      </c>
      <c r="I1210" t="s">
        <v>37</v>
      </c>
      <c r="J1210">
        <v>0</v>
      </c>
      <c r="M1210" t="s">
        <v>170</v>
      </c>
      <c r="N1210" t="s">
        <v>903</v>
      </c>
      <c r="Q1210" t="s">
        <v>254</v>
      </c>
    </row>
    <row r="1211" spans="1:17" x14ac:dyDescent="0.25">
      <c r="A1211" t="s">
        <v>23</v>
      </c>
      <c r="B1211" t="s">
        <v>883</v>
      </c>
      <c r="C1211">
        <v>160</v>
      </c>
      <c r="D1211" t="s">
        <v>264</v>
      </c>
      <c r="E1211" s="1">
        <v>43089</v>
      </c>
      <c r="F1211" t="s">
        <v>21</v>
      </c>
      <c r="G1211" t="s">
        <v>1993</v>
      </c>
      <c r="H1211">
        <v>-110</v>
      </c>
      <c r="I1211" t="s">
        <v>37</v>
      </c>
      <c r="J1211">
        <v>0</v>
      </c>
      <c r="M1211" t="s">
        <v>170</v>
      </c>
      <c r="N1211" t="s">
        <v>2009</v>
      </c>
    </row>
    <row r="1212" spans="1:17" x14ac:dyDescent="0.25">
      <c r="A1212" t="s">
        <v>23</v>
      </c>
      <c r="B1212" t="s">
        <v>883</v>
      </c>
      <c r="C1212">
        <v>160</v>
      </c>
      <c r="D1212" t="s">
        <v>264</v>
      </c>
      <c r="E1212" s="1">
        <v>43089</v>
      </c>
      <c r="F1212" t="s">
        <v>21</v>
      </c>
      <c r="G1212" t="s">
        <v>1993</v>
      </c>
      <c r="H1212">
        <v>-110</v>
      </c>
      <c r="I1212" t="s">
        <v>37</v>
      </c>
      <c r="J1212">
        <v>2.1317959630377565</v>
      </c>
      <c r="K1212">
        <v>-234.49755593415321</v>
      </c>
      <c r="M1212" t="s">
        <v>255</v>
      </c>
      <c r="N1212" t="s">
        <v>2009</v>
      </c>
      <c r="O1212">
        <v>2.1317959630377565</v>
      </c>
      <c r="P1212">
        <v>788.76450632396995</v>
      </c>
      <c r="Q1212" t="s">
        <v>249</v>
      </c>
    </row>
    <row r="1213" spans="1:17" x14ac:dyDescent="0.25">
      <c r="A1213" t="s">
        <v>23</v>
      </c>
      <c r="B1213" t="s">
        <v>883</v>
      </c>
      <c r="C1213">
        <v>160</v>
      </c>
      <c r="D1213" t="s">
        <v>264</v>
      </c>
      <c r="E1213" s="1">
        <v>43089</v>
      </c>
      <c r="F1213" t="s">
        <v>252</v>
      </c>
      <c r="G1213" t="s">
        <v>666</v>
      </c>
      <c r="H1213">
        <v>-10</v>
      </c>
      <c r="I1213" t="s">
        <v>37</v>
      </c>
      <c r="J1213">
        <v>2.1317959630380003</v>
      </c>
      <c r="K1213">
        <v>-21.32</v>
      </c>
      <c r="L1213" t="s">
        <v>609</v>
      </c>
      <c r="M1213" t="s">
        <v>171</v>
      </c>
      <c r="N1213" t="s">
        <v>903</v>
      </c>
      <c r="O1213">
        <v>2.131790295344361</v>
      </c>
      <c r="P1213">
        <v>767.4445063239699</v>
      </c>
      <c r="Q1213" t="s">
        <v>254</v>
      </c>
    </row>
    <row r="1214" spans="1:17" x14ac:dyDescent="0.25">
      <c r="A1214" t="s">
        <v>23</v>
      </c>
      <c r="B1214" t="s">
        <v>883</v>
      </c>
      <c r="C1214">
        <v>160</v>
      </c>
      <c r="D1214" t="s">
        <v>264</v>
      </c>
      <c r="E1214" s="1">
        <v>43089</v>
      </c>
      <c r="F1214" t="s">
        <v>252</v>
      </c>
      <c r="G1214" t="s">
        <v>666</v>
      </c>
      <c r="H1214">
        <v>-1</v>
      </c>
      <c r="I1214" t="s">
        <v>37</v>
      </c>
      <c r="J1214">
        <v>2.1317959630380003</v>
      </c>
      <c r="K1214">
        <v>-2.13</v>
      </c>
      <c r="L1214" t="s">
        <v>609</v>
      </c>
      <c r="M1214" t="s">
        <v>171</v>
      </c>
      <c r="N1214" t="s">
        <v>903</v>
      </c>
      <c r="O1214">
        <v>2.1317952822394703</v>
      </c>
      <c r="P1214">
        <v>765.31450632396991</v>
      </c>
      <c r="Q1214" t="s">
        <v>254</v>
      </c>
    </row>
    <row r="1215" spans="1:17" x14ac:dyDescent="0.25">
      <c r="A1215" t="s">
        <v>23</v>
      </c>
      <c r="B1215" t="s">
        <v>883</v>
      </c>
      <c r="C1215">
        <v>160</v>
      </c>
      <c r="D1215" t="s">
        <v>264</v>
      </c>
      <c r="E1215" s="1">
        <v>43090</v>
      </c>
      <c r="F1215" t="s">
        <v>21</v>
      </c>
      <c r="G1215" t="s">
        <v>2321</v>
      </c>
      <c r="H1215">
        <v>110</v>
      </c>
      <c r="I1215" t="s">
        <v>37</v>
      </c>
      <c r="J1215">
        <v>0</v>
      </c>
      <c r="M1215" t="s">
        <v>170</v>
      </c>
      <c r="N1215" t="s">
        <v>2322</v>
      </c>
    </row>
    <row r="1216" spans="1:17" x14ac:dyDescent="0.25">
      <c r="A1216" t="s">
        <v>23</v>
      </c>
      <c r="B1216" t="s">
        <v>883</v>
      </c>
      <c r="C1216">
        <v>160</v>
      </c>
      <c r="D1216" t="s">
        <v>264</v>
      </c>
      <c r="E1216" s="1">
        <v>43090</v>
      </c>
      <c r="F1216" t="s">
        <v>21</v>
      </c>
      <c r="G1216" t="s">
        <v>2321</v>
      </c>
      <c r="H1216">
        <v>110</v>
      </c>
      <c r="I1216" t="s">
        <v>37</v>
      </c>
      <c r="J1216">
        <v>0</v>
      </c>
      <c r="M1216" t="s">
        <v>255</v>
      </c>
      <c r="N1216" t="s">
        <v>2322</v>
      </c>
      <c r="O1216">
        <v>1.6318006531427929</v>
      </c>
      <c r="P1216">
        <v>765.31450632396991</v>
      </c>
      <c r="Q1216" t="s">
        <v>249</v>
      </c>
    </row>
    <row r="1217" spans="1:17" x14ac:dyDescent="0.25">
      <c r="A1217" t="s">
        <v>23</v>
      </c>
      <c r="B1217" t="s">
        <v>883</v>
      </c>
      <c r="C1217">
        <v>160</v>
      </c>
      <c r="D1217" t="s">
        <v>264</v>
      </c>
      <c r="E1217" s="1">
        <v>43091</v>
      </c>
      <c r="F1217" t="s">
        <v>252</v>
      </c>
      <c r="G1217" t="s">
        <v>765</v>
      </c>
      <c r="H1217">
        <v>-2</v>
      </c>
      <c r="I1217" t="s">
        <v>37</v>
      </c>
      <c r="J1217">
        <v>0</v>
      </c>
      <c r="M1217" t="s">
        <v>170</v>
      </c>
      <c r="N1217" t="s">
        <v>905</v>
      </c>
      <c r="Q1217" t="s">
        <v>254</v>
      </c>
    </row>
    <row r="1218" spans="1:17" x14ac:dyDescent="0.25">
      <c r="A1218" t="s">
        <v>23</v>
      </c>
      <c r="B1218" t="s">
        <v>883</v>
      </c>
      <c r="C1218">
        <v>160</v>
      </c>
      <c r="D1218" t="s">
        <v>264</v>
      </c>
      <c r="E1218" s="1">
        <v>43091</v>
      </c>
      <c r="F1218" t="s">
        <v>252</v>
      </c>
      <c r="G1218" t="s">
        <v>765</v>
      </c>
      <c r="H1218">
        <v>-2</v>
      </c>
      <c r="I1218" t="s">
        <v>37</v>
      </c>
      <c r="J1218">
        <v>2.131795441915</v>
      </c>
      <c r="K1218">
        <v>-4.26</v>
      </c>
      <c r="L1218" t="s">
        <v>609</v>
      </c>
      <c r="M1218" t="s">
        <v>171</v>
      </c>
      <c r="N1218" t="s">
        <v>905</v>
      </c>
      <c r="O1218">
        <v>1.6296670370962953</v>
      </c>
      <c r="P1218">
        <v>761.05450632396992</v>
      </c>
      <c r="Q1218" t="s">
        <v>254</v>
      </c>
    </row>
    <row r="1219" spans="1:17" x14ac:dyDescent="0.25">
      <c r="A1219" t="s">
        <v>23</v>
      </c>
      <c r="B1219" t="s">
        <v>883</v>
      </c>
      <c r="C1219">
        <v>160</v>
      </c>
      <c r="D1219" t="s">
        <v>264</v>
      </c>
      <c r="E1219" s="1">
        <v>43096</v>
      </c>
      <c r="F1219" t="s">
        <v>607</v>
      </c>
      <c r="H1219">
        <v>10</v>
      </c>
      <c r="I1219" t="s">
        <v>37</v>
      </c>
      <c r="J1219">
        <v>2.1318000000000001</v>
      </c>
      <c r="K1219">
        <v>21.32</v>
      </c>
      <c r="L1219" t="s">
        <v>609</v>
      </c>
      <c r="M1219" t="s">
        <v>171</v>
      </c>
      <c r="N1219" t="s">
        <v>906</v>
      </c>
      <c r="O1219">
        <v>1.6401981264653458</v>
      </c>
      <c r="P1219">
        <v>782.37450632396997</v>
      </c>
    </row>
    <row r="1220" spans="1:17" x14ac:dyDescent="0.25">
      <c r="A1220" t="s">
        <v>23</v>
      </c>
      <c r="B1220" t="s">
        <v>883</v>
      </c>
      <c r="C1220">
        <v>160</v>
      </c>
      <c r="D1220" t="s">
        <v>264</v>
      </c>
      <c r="E1220" s="1">
        <v>43096</v>
      </c>
      <c r="F1220" t="s">
        <v>607</v>
      </c>
      <c r="H1220">
        <v>-10</v>
      </c>
      <c r="I1220" t="s">
        <v>37</v>
      </c>
      <c r="J1220">
        <v>1.6401981264653458</v>
      </c>
      <c r="K1220">
        <v>-16.401981264653458</v>
      </c>
      <c r="L1220" t="s">
        <v>609</v>
      </c>
      <c r="M1220" t="s">
        <v>255</v>
      </c>
      <c r="N1220" t="s">
        <v>906</v>
      </c>
      <c r="O1220">
        <v>1.6401981264653458</v>
      </c>
      <c r="P1220">
        <v>765.97252505931647</v>
      </c>
      <c r="Q1220" t="s">
        <v>249</v>
      </c>
    </row>
    <row r="1221" spans="1:17" x14ac:dyDescent="0.25">
      <c r="A1221" t="s">
        <v>67</v>
      </c>
      <c r="B1221" t="s">
        <v>907</v>
      </c>
      <c r="C1221">
        <v>160</v>
      </c>
      <c r="D1221" t="s">
        <v>262</v>
      </c>
      <c r="E1221" s="1">
        <v>43082</v>
      </c>
      <c r="F1221" t="s">
        <v>252</v>
      </c>
      <c r="G1221" t="s">
        <v>1467</v>
      </c>
      <c r="H1221">
        <v>-56</v>
      </c>
      <c r="I1221" t="s">
        <v>37</v>
      </c>
      <c r="J1221">
        <v>0</v>
      </c>
      <c r="M1221" t="s">
        <v>170</v>
      </c>
      <c r="N1221" t="s">
        <v>1468</v>
      </c>
    </row>
    <row r="1222" spans="1:17" x14ac:dyDescent="0.25">
      <c r="A1222" t="s">
        <v>67</v>
      </c>
      <c r="B1222" t="s">
        <v>907</v>
      </c>
      <c r="C1222">
        <v>160</v>
      </c>
      <c r="D1222" t="s">
        <v>262</v>
      </c>
      <c r="E1222" s="1">
        <v>43082</v>
      </c>
      <c r="F1222" t="s">
        <v>252</v>
      </c>
      <c r="G1222" t="s">
        <v>1467</v>
      </c>
      <c r="H1222">
        <v>-56</v>
      </c>
      <c r="I1222" t="s">
        <v>37</v>
      </c>
      <c r="J1222">
        <v>0</v>
      </c>
      <c r="K1222">
        <v>0</v>
      </c>
      <c r="M1222" t="s">
        <v>255</v>
      </c>
      <c r="N1222" t="s">
        <v>1468</v>
      </c>
      <c r="O1222">
        <v>0</v>
      </c>
      <c r="P1222">
        <v>0</v>
      </c>
      <c r="Q1222" t="s">
        <v>249</v>
      </c>
    </row>
    <row r="1223" spans="1:17" x14ac:dyDescent="0.25">
      <c r="A1223" t="s">
        <v>67</v>
      </c>
      <c r="B1223" t="s">
        <v>907</v>
      </c>
      <c r="C1223">
        <v>160</v>
      </c>
      <c r="D1223" t="s">
        <v>262</v>
      </c>
      <c r="E1223" s="1">
        <v>43082</v>
      </c>
      <c r="F1223" t="s">
        <v>17</v>
      </c>
      <c r="G1223" t="s">
        <v>912</v>
      </c>
      <c r="H1223">
        <v>56</v>
      </c>
      <c r="I1223" t="s">
        <v>37</v>
      </c>
      <c r="J1223">
        <v>3.92625</v>
      </c>
      <c r="K1223">
        <v>219.87</v>
      </c>
      <c r="L1223" t="s">
        <v>246</v>
      </c>
      <c r="M1223" t="s">
        <v>170</v>
      </c>
      <c r="N1223" t="s">
        <v>914</v>
      </c>
      <c r="Q1223" t="s">
        <v>254</v>
      </c>
    </row>
    <row r="1224" spans="1:17" x14ac:dyDescent="0.25">
      <c r="A1224" t="s">
        <v>67</v>
      </c>
      <c r="B1224" t="s">
        <v>907</v>
      </c>
      <c r="C1224">
        <v>160</v>
      </c>
      <c r="D1224" t="s">
        <v>262</v>
      </c>
      <c r="E1224" s="1">
        <v>43082</v>
      </c>
      <c r="F1224" t="s">
        <v>17</v>
      </c>
      <c r="G1224" t="s">
        <v>912</v>
      </c>
      <c r="H1224">
        <v>56</v>
      </c>
      <c r="I1224" t="s">
        <v>37</v>
      </c>
      <c r="J1224">
        <v>4.5719642857139995</v>
      </c>
      <c r="K1224">
        <v>219.86999999999998</v>
      </c>
      <c r="L1224" t="s">
        <v>246</v>
      </c>
      <c r="M1224" t="s">
        <v>171</v>
      </c>
      <c r="N1224" t="s">
        <v>914</v>
      </c>
      <c r="O1224">
        <v>0.20664473684210524</v>
      </c>
      <c r="P1224">
        <v>219.86999999999998</v>
      </c>
      <c r="Q1224" t="s">
        <v>254</v>
      </c>
    </row>
    <row r="1225" spans="1:17" x14ac:dyDescent="0.25">
      <c r="A1225" t="s">
        <v>67</v>
      </c>
      <c r="B1225" t="s">
        <v>907</v>
      </c>
      <c r="C1225">
        <v>160</v>
      </c>
      <c r="D1225" t="s">
        <v>262</v>
      </c>
      <c r="E1225" s="1">
        <v>43096</v>
      </c>
      <c r="F1225" t="s">
        <v>607</v>
      </c>
      <c r="H1225">
        <v>-1120</v>
      </c>
      <c r="I1225" t="s">
        <v>37</v>
      </c>
      <c r="J1225">
        <v>0.2286</v>
      </c>
      <c r="K1225">
        <v>-256.03000000000003</v>
      </c>
      <c r="L1225" t="s">
        <v>609</v>
      </c>
      <c r="M1225" t="s">
        <v>171</v>
      </c>
      <c r="N1225" t="s">
        <v>926</v>
      </c>
      <c r="O1225">
        <v>0.64571428571428668</v>
      </c>
      <c r="P1225">
        <v>-36.160000000000053</v>
      </c>
    </row>
    <row r="1226" spans="1:17" x14ac:dyDescent="0.25">
      <c r="A1226" t="s">
        <v>67</v>
      </c>
      <c r="B1226" t="s">
        <v>907</v>
      </c>
      <c r="C1226">
        <v>160</v>
      </c>
      <c r="D1226" t="s">
        <v>262</v>
      </c>
      <c r="E1226" s="1">
        <v>43096</v>
      </c>
      <c r="F1226" t="s">
        <v>607</v>
      </c>
      <c r="H1226">
        <v>1120</v>
      </c>
      <c r="I1226" t="s">
        <v>37</v>
      </c>
      <c r="J1226">
        <v>0.2286</v>
      </c>
      <c r="K1226">
        <v>-256.03000000000003</v>
      </c>
      <c r="L1226" t="s">
        <v>609</v>
      </c>
      <c r="M1226" t="s">
        <v>255</v>
      </c>
      <c r="N1226" t="s">
        <v>926</v>
      </c>
      <c r="O1226">
        <v>-0.27461466165413539</v>
      </c>
      <c r="P1226">
        <v>-292.19000000000005</v>
      </c>
      <c r="Q1226" t="s">
        <v>249</v>
      </c>
    </row>
    <row r="1227" spans="1:17" x14ac:dyDescent="0.25">
      <c r="A1227" t="s">
        <v>501</v>
      </c>
      <c r="B1227" t="s">
        <v>1316</v>
      </c>
      <c r="C1227">
        <v>160</v>
      </c>
      <c r="D1227" t="s">
        <v>264</v>
      </c>
      <c r="E1227" s="1">
        <v>43088</v>
      </c>
      <c r="F1227" t="s">
        <v>21</v>
      </c>
      <c r="G1227" t="s">
        <v>1889</v>
      </c>
      <c r="H1227">
        <v>-1</v>
      </c>
      <c r="I1227" t="s">
        <v>37</v>
      </c>
      <c r="J1227">
        <v>0</v>
      </c>
      <c r="M1227" t="s">
        <v>170</v>
      </c>
      <c r="N1227" t="s">
        <v>1907</v>
      </c>
    </row>
    <row r="1228" spans="1:17" x14ac:dyDescent="0.25">
      <c r="A1228" t="s">
        <v>501</v>
      </c>
      <c r="B1228" t="s">
        <v>1316</v>
      </c>
      <c r="C1228">
        <v>160</v>
      </c>
      <c r="D1228" t="s">
        <v>264</v>
      </c>
      <c r="E1228" s="1">
        <v>43088</v>
      </c>
      <c r="F1228" t="s">
        <v>21</v>
      </c>
      <c r="G1228" t="s">
        <v>1889</v>
      </c>
      <c r="H1228">
        <v>-1</v>
      </c>
      <c r="I1228" t="s">
        <v>37</v>
      </c>
      <c r="J1228">
        <v>0</v>
      </c>
      <c r="K1228">
        <v>0</v>
      </c>
      <c r="M1228" t="s">
        <v>255</v>
      </c>
      <c r="N1228" t="s">
        <v>1907</v>
      </c>
      <c r="O1228">
        <v>0</v>
      </c>
      <c r="P1228">
        <v>0</v>
      </c>
      <c r="Q1228" t="s">
        <v>249</v>
      </c>
    </row>
    <row r="1229" spans="1:17" x14ac:dyDescent="0.25">
      <c r="A1229" t="s">
        <v>502</v>
      </c>
      <c r="B1229" t="s">
        <v>1317</v>
      </c>
      <c r="C1229">
        <v>160</v>
      </c>
      <c r="D1229" t="s">
        <v>264</v>
      </c>
      <c r="E1229" s="1">
        <v>43089</v>
      </c>
      <c r="F1229" t="s">
        <v>21</v>
      </c>
      <c r="G1229" t="s">
        <v>2087</v>
      </c>
      <c r="H1229">
        <v>-31.9</v>
      </c>
      <c r="I1229" t="s">
        <v>39</v>
      </c>
      <c r="J1229">
        <v>0</v>
      </c>
      <c r="M1229" t="s">
        <v>170</v>
      </c>
      <c r="N1229" t="s">
        <v>2099</v>
      </c>
    </row>
    <row r="1230" spans="1:17" x14ac:dyDescent="0.25">
      <c r="A1230" t="s">
        <v>502</v>
      </c>
      <c r="B1230" t="s">
        <v>1317</v>
      </c>
      <c r="C1230">
        <v>160</v>
      </c>
      <c r="D1230" t="s">
        <v>264</v>
      </c>
      <c r="E1230" s="1">
        <v>43089</v>
      </c>
      <c r="F1230" t="s">
        <v>21</v>
      </c>
      <c r="G1230" t="s">
        <v>2087</v>
      </c>
      <c r="H1230">
        <v>-31.9</v>
      </c>
      <c r="I1230" t="s">
        <v>39</v>
      </c>
      <c r="J1230">
        <v>0</v>
      </c>
      <c r="K1230">
        <v>0</v>
      </c>
      <c r="M1230" t="s">
        <v>255</v>
      </c>
      <c r="N1230" t="s">
        <v>2099</v>
      </c>
      <c r="O1230">
        <v>0</v>
      </c>
      <c r="P1230">
        <v>0</v>
      </c>
      <c r="Q1230" t="s">
        <v>249</v>
      </c>
    </row>
    <row r="1231" spans="1:17" x14ac:dyDescent="0.25">
      <c r="A1231" t="s">
        <v>503</v>
      </c>
      <c r="B1231" t="s">
        <v>1318</v>
      </c>
      <c r="C1231">
        <v>160</v>
      </c>
      <c r="D1231" t="s">
        <v>264</v>
      </c>
      <c r="E1231" s="1">
        <v>43088</v>
      </c>
      <c r="F1231" t="s">
        <v>21</v>
      </c>
      <c r="G1231" t="s">
        <v>1889</v>
      </c>
      <c r="H1231">
        <v>-2</v>
      </c>
      <c r="I1231" t="s">
        <v>37</v>
      </c>
      <c r="J1231">
        <v>0</v>
      </c>
      <c r="M1231" t="s">
        <v>170</v>
      </c>
      <c r="N1231" t="s">
        <v>1908</v>
      </c>
    </row>
    <row r="1232" spans="1:17" x14ac:dyDescent="0.25">
      <c r="A1232" t="s">
        <v>503</v>
      </c>
      <c r="B1232" t="s">
        <v>1318</v>
      </c>
      <c r="C1232">
        <v>160</v>
      </c>
      <c r="D1232" t="s">
        <v>264</v>
      </c>
      <c r="E1232" s="1">
        <v>43088</v>
      </c>
      <c r="F1232" t="s">
        <v>21</v>
      </c>
      <c r="G1232" t="s">
        <v>1889</v>
      </c>
      <c r="H1232">
        <v>-2</v>
      </c>
      <c r="I1232" t="s">
        <v>37</v>
      </c>
      <c r="J1232">
        <v>0</v>
      </c>
      <c r="K1232">
        <v>0</v>
      </c>
      <c r="M1232" t="s">
        <v>255</v>
      </c>
      <c r="N1232" t="s">
        <v>1908</v>
      </c>
      <c r="O1232">
        <v>0</v>
      </c>
      <c r="P1232">
        <v>0</v>
      </c>
      <c r="Q1232" t="s">
        <v>249</v>
      </c>
    </row>
    <row r="1233" spans="1:17" x14ac:dyDescent="0.25">
      <c r="A1233" t="s">
        <v>513</v>
      </c>
      <c r="B1233" t="s">
        <v>1328</v>
      </c>
      <c r="C1233">
        <v>160</v>
      </c>
      <c r="D1233" t="s">
        <v>264</v>
      </c>
      <c r="E1233" s="1">
        <v>43088</v>
      </c>
      <c r="F1233" t="s">
        <v>21</v>
      </c>
      <c r="G1233" t="s">
        <v>1889</v>
      </c>
      <c r="H1233">
        <v>1</v>
      </c>
      <c r="I1233" t="s">
        <v>38</v>
      </c>
      <c r="J1233">
        <v>0</v>
      </c>
      <c r="M1233" t="s">
        <v>170</v>
      </c>
      <c r="N1233" t="s">
        <v>1909</v>
      </c>
    </row>
    <row r="1234" spans="1:17" x14ac:dyDescent="0.25">
      <c r="A1234" t="s">
        <v>513</v>
      </c>
      <c r="B1234" t="s">
        <v>1328</v>
      </c>
      <c r="C1234">
        <v>160</v>
      </c>
      <c r="D1234" t="s">
        <v>264</v>
      </c>
      <c r="E1234" s="1">
        <v>43088</v>
      </c>
      <c r="F1234" t="s">
        <v>21</v>
      </c>
      <c r="G1234" t="s">
        <v>1889</v>
      </c>
      <c r="H1234">
        <v>1</v>
      </c>
      <c r="I1234" t="s">
        <v>38</v>
      </c>
      <c r="J1234">
        <v>0</v>
      </c>
      <c r="M1234" t="s">
        <v>255</v>
      </c>
      <c r="N1234" t="s">
        <v>1909</v>
      </c>
      <c r="O1234">
        <v>0</v>
      </c>
      <c r="P1234">
        <v>0</v>
      </c>
      <c r="Q1234" t="s">
        <v>249</v>
      </c>
    </row>
    <row r="1235" spans="1:17" x14ac:dyDescent="0.25">
      <c r="A1235" t="s">
        <v>515</v>
      </c>
      <c r="B1235" t="s">
        <v>1331</v>
      </c>
      <c r="C1235">
        <v>160</v>
      </c>
      <c r="D1235" t="s">
        <v>264</v>
      </c>
      <c r="E1235" s="1">
        <v>43088</v>
      </c>
      <c r="F1235" t="s">
        <v>21</v>
      </c>
      <c r="G1235" t="s">
        <v>1889</v>
      </c>
      <c r="H1235">
        <v>50</v>
      </c>
      <c r="I1235" t="s">
        <v>39</v>
      </c>
      <c r="J1235">
        <v>0</v>
      </c>
      <c r="M1235" t="s">
        <v>170</v>
      </c>
      <c r="N1235" t="s">
        <v>1910</v>
      </c>
    </row>
    <row r="1236" spans="1:17" x14ac:dyDescent="0.25">
      <c r="A1236" t="s">
        <v>515</v>
      </c>
      <c r="B1236" t="s">
        <v>1331</v>
      </c>
      <c r="C1236">
        <v>160</v>
      </c>
      <c r="D1236" t="s">
        <v>264</v>
      </c>
      <c r="E1236" s="1">
        <v>43088</v>
      </c>
      <c r="F1236" t="s">
        <v>21</v>
      </c>
      <c r="G1236" t="s">
        <v>1889</v>
      </c>
      <c r="H1236">
        <v>50</v>
      </c>
      <c r="I1236" t="s">
        <v>39</v>
      </c>
      <c r="J1236">
        <v>0</v>
      </c>
      <c r="M1236" t="s">
        <v>255</v>
      </c>
      <c r="N1236" t="s">
        <v>1910</v>
      </c>
      <c r="O1236">
        <v>0</v>
      </c>
      <c r="P1236">
        <v>0</v>
      </c>
      <c r="Q1236" t="s">
        <v>249</v>
      </c>
    </row>
    <row r="1237" spans="1:17" x14ac:dyDescent="0.25">
      <c r="A1237" t="s">
        <v>518</v>
      </c>
      <c r="B1237" t="s">
        <v>1334</v>
      </c>
      <c r="C1237">
        <v>160</v>
      </c>
      <c r="D1237" t="s">
        <v>264</v>
      </c>
      <c r="E1237" s="1">
        <v>43089</v>
      </c>
      <c r="F1237" t="s">
        <v>21</v>
      </c>
      <c r="G1237" t="s">
        <v>1993</v>
      </c>
      <c r="H1237">
        <v>-3</v>
      </c>
      <c r="I1237" t="s">
        <v>37</v>
      </c>
      <c r="J1237">
        <v>0</v>
      </c>
      <c r="M1237" t="s">
        <v>170</v>
      </c>
      <c r="N1237" t="s">
        <v>2012</v>
      </c>
    </row>
    <row r="1238" spans="1:17" x14ac:dyDescent="0.25">
      <c r="A1238" t="s">
        <v>518</v>
      </c>
      <c r="B1238" t="s">
        <v>1334</v>
      </c>
      <c r="C1238">
        <v>160</v>
      </c>
      <c r="D1238" t="s">
        <v>264</v>
      </c>
      <c r="E1238" s="1">
        <v>43089</v>
      </c>
      <c r="F1238" t="s">
        <v>21</v>
      </c>
      <c r="G1238" t="s">
        <v>1993</v>
      </c>
      <c r="H1238">
        <v>-3</v>
      </c>
      <c r="I1238" t="s">
        <v>37</v>
      </c>
      <c r="J1238">
        <v>0</v>
      </c>
      <c r="K1238">
        <v>0</v>
      </c>
      <c r="M1238" t="s">
        <v>255</v>
      </c>
      <c r="N1238" t="s">
        <v>2012</v>
      </c>
      <c r="O1238">
        <v>0</v>
      </c>
      <c r="P1238">
        <v>0</v>
      </c>
      <c r="Q1238" t="s">
        <v>249</v>
      </c>
    </row>
    <row r="1239" spans="1:17" x14ac:dyDescent="0.25">
      <c r="A1239" t="s">
        <v>521</v>
      </c>
      <c r="B1239" t="s">
        <v>1337</v>
      </c>
      <c r="C1239">
        <v>160</v>
      </c>
      <c r="D1239" t="s">
        <v>264</v>
      </c>
      <c r="E1239" s="1">
        <v>43075</v>
      </c>
      <c r="F1239" t="s">
        <v>252</v>
      </c>
      <c r="G1239" t="s">
        <v>1505</v>
      </c>
      <c r="H1239">
        <v>-1</v>
      </c>
      <c r="I1239" t="s">
        <v>37</v>
      </c>
      <c r="J1239">
        <v>0</v>
      </c>
      <c r="M1239" t="s">
        <v>170</v>
      </c>
      <c r="N1239" t="s">
        <v>1506</v>
      </c>
    </row>
    <row r="1240" spans="1:17" x14ac:dyDescent="0.25">
      <c r="A1240" t="s">
        <v>521</v>
      </c>
      <c r="B1240" t="s">
        <v>1337</v>
      </c>
      <c r="C1240">
        <v>160</v>
      </c>
      <c r="D1240" t="s">
        <v>264</v>
      </c>
      <c r="E1240" s="1">
        <v>43075</v>
      </c>
      <c r="F1240" t="s">
        <v>252</v>
      </c>
      <c r="G1240" t="s">
        <v>1505</v>
      </c>
      <c r="H1240">
        <v>-1</v>
      </c>
      <c r="I1240" t="s">
        <v>37</v>
      </c>
      <c r="J1240">
        <v>0</v>
      </c>
      <c r="K1240">
        <v>0</v>
      </c>
      <c r="M1240" t="s">
        <v>255</v>
      </c>
      <c r="N1240" t="s">
        <v>1506</v>
      </c>
      <c r="O1240">
        <v>0</v>
      </c>
      <c r="P1240">
        <v>0</v>
      </c>
      <c r="Q1240" t="s">
        <v>249</v>
      </c>
    </row>
    <row r="1241" spans="1:17" x14ac:dyDescent="0.25">
      <c r="A1241" t="s">
        <v>521</v>
      </c>
      <c r="B1241" t="s">
        <v>1337</v>
      </c>
      <c r="C1241">
        <v>160</v>
      </c>
      <c r="D1241" t="s">
        <v>264</v>
      </c>
      <c r="E1241" s="1">
        <v>43075</v>
      </c>
      <c r="F1241" t="s">
        <v>252</v>
      </c>
      <c r="G1241" t="s">
        <v>648</v>
      </c>
      <c r="H1241">
        <v>-1</v>
      </c>
      <c r="I1241" t="s">
        <v>37</v>
      </c>
      <c r="J1241">
        <v>0</v>
      </c>
      <c r="M1241" t="s">
        <v>170</v>
      </c>
      <c r="N1241" t="s">
        <v>1511</v>
      </c>
    </row>
    <row r="1242" spans="1:17" x14ac:dyDescent="0.25">
      <c r="A1242" t="s">
        <v>521</v>
      </c>
      <c r="B1242" t="s">
        <v>1337</v>
      </c>
      <c r="C1242">
        <v>160</v>
      </c>
      <c r="D1242" t="s">
        <v>264</v>
      </c>
      <c r="E1242" s="1">
        <v>43075</v>
      </c>
      <c r="F1242" t="s">
        <v>252</v>
      </c>
      <c r="G1242" t="s">
        <v>648</v>
      </c>
      <c r="H1242">
        <v>-1</v>
      </c>
      <c r="I1242" t="s">
        <v>37</v>
      </c>
      <c r="J1242">
        <v>0</v>
      </c>
      <c r="K1242">
        <v>0</v>
      </c>
      <c r="M1242" t="s">
        <v>255</v>
      </c>
      <c r="N1242" t="s">
        <v>1511</v>
      </c>
      <c r="O1242">
        <v>0</v>
      </c>
      <c r="P1242">
        <v>0</v>
      </c>
      <c r="Q1242" t="s">
        <v>249</v>
      </c>
    </row>
    <row r="1243" spans="1:17" x14ac:dyDescent="0.25">
      <c r="A1243" t="s">
        <v>521</v>
      </c>
      <c r="B1243" t="s">
        <v>1337</v>
      </c>
      <c r="C1243">
        <v>160</v>
      </c>
      <c r="D1243" t="s">
        <v>264</v>
      </c>
      <c r="E1243" s="1">
        <v>43083</v>
      </c>
      <c r="F1243" t="s">
        <v>252</v>
      </c>
      <c r="G1243" t="s">
        <v>651</v>
      </c>
      <c r="H1243">
        <v>1</v>
      </c>
      <c r="I1243" t="s">
        <v>37</v>
      </c>
      <c r="J1243">
        <v>0</v>
      </c>
      <c r="M1243" t="s">
        <v>170</v>
      </c>
      <c r="N1243" t="s">
        <v>1570</v>
      </c>
    </row>
    <row r="1244" spans="1:17" x14ac:dyDescent="0.25">
      <c r="A1244" t="s">
        <v>521</v>
      </c>
      <c r="B1244" t="s">
        <v>1337</v>
      </c>
      <c r="C1244">
        <v>160</v>
      </c>
      <c r="D1244" t="s">
        <v>264</v>
      </c>
      <c r="E1244" s="1">
        <v>43083</v>
      </c>
      <c r="F1244" t="s">
        <v>252</v>
      </c>
      <c r="G1244" t="s">
        <v>651</v>
      </c>
      <c r="H1244">
        <v>1</v>
      </c>
      <c r="I1244" t="s">
        <v>37</v>
      </c>
      <c r="J1244">
        <v>0</v>
      </c>
      <c r="M1244" t="s">
        <v>255</v>
      </c>
      <c r="N1244" t="s">
        <v>1570</v>
      </c>
      <c r="O1244">
        <v>0</v>
      </c>
      <c r="P1244">
        <v>0</v>
      </c>
      <c r="Q1244" t="s">
        <v>249</v>
      </c>
    </row>
    <row r="1245" spans="1:17" x14ac:dyDescent="0.25">
      <c r="A1245" t="s">
        <v>521</v>
      </c>
      <c r="B1245" t="s">
        <v>1337</v>
      </c>
      <c r="C1245">
        <v>160</v>
      </c>
      <c r="D1245" t="s">
        <v>264</v>
      </c>
      <c r="E1245" s="1">
        <v>43084</v>
      </c>
      <c r="F1245" t="s">
        <v>252</v>
      </c>
      <c r="G1245" t="s">
        <v>654</v>
      </c>
      <c r="H1245">
        <v>-1</v>
      </c>
      <c r="I1245" t="s">
        <v>37</v>
      </c>
      <c r="J1245">
        <v>0</v>
      </c>
      <c r="M1245" t="s">
        <v>170</v>
      </c>
      <c r="N1245" t="s">
        <v>1572</v>
      </c>
    </row>
    <row r="1246" spans="1:17" x14ac:dyDescent="0.25">
      <c r="A1246" t="s">
        <v>521</v>
      </c>
      <c r="B1246" t="s">
        <v>1337</v>
      </c>
      <c r="C1246">
        <v>160</v>
      </c>
      <c r="D1246" t="s">
        <v>264</v>
      </c>
      <c r="E1246" s="1">
        <v>43084</v>
      </c>
      <c r="F1246" t="s">
        <v>252</v>
      </c>
      <c r="G1246" t="s">
        <v>654</v>
      </c>
      <c r="H1246">
        <v>-1</v>
      </c>
      <c r="I1246" t="s">
        <v>37</v>
      </c>
      <c r="J1246">
        <v>0</v>
      </c>
      <c r="K1246">
        <v>0</v>
      </c>
      <c r="M1246" t="s">
        <v>255</v>
      </c>
      <c r="N1246" t="s">
        <v>1572</v>
      </c>
      <c r="O1246">
        <v>0</v>
      </c>
      <c r="P1246">
        <v>0</v>
      </c>
      <c r="Q1246" t="s">
        <v>249</v>
      </c>
    </row>
    <row r="1247" spans="1:17" x14ac:dyDescent="0.25">
      <c r="A1247" t="s">
        <v>522</v>
      </c>
      <c r="B1247" t="s">
        <v>1338</v>
      </c>
      <c r="C1247">
        <v>160</v>
      </c>
      <c r="D1247" t="s">
        <v>264</v>
      </c>
      <c r="E1247" s="1">
        <v>43089</v>
      </c>
      <c r="F1247" t="s">
        <v>21</v>
      </c>
      <c r="G1247" t="s">
        <v>2146</v>
      </c>
      <c r="H1247">
        <v>1</v>
      </c>
      <c r="I1247" t="s">
        <v>37</v>
      </c>
      <c r="J1247">
        <v>0</v>
      </c>
      <c r="M1247" t="s">
        <v>170</v>
      </c>
      <c r="N1247" t="s">
        <v>2168</v>
      </c>
    </row>
    <row r="1248" spans="1:17" x14ac:dyDescent="0.25">
      <c r="A1248" t="s">
        <v>522</v>
      </c>
      <c r="B1248" t="s">
        <v>1338</v>
      </c>
      <c r="C1248">
        <v>160</v>
      </c>
      <c r="D1248" t="s">
        <v>264</v>
      </c>
      <c r="E1248" s="1">
        <v>43089</v>
      </c>
      <c r="F1248" t="s">
        <v>21</v>
      </c>
      <c r="G1248" t="s">
        <v>2146</v>
      </c>
      <c r="H1248">
        <v>1</v>
      </c>
      <c r="I1248" t="s">
        <v>37</v>
      </c>
      <c r="J1248">
        <v>0</v>
      </c>
      <c r="M1248" t="s">
        <v>255</v>
      </c>
      <c r="N1248" t="s">
        <v>2168</v>
      </c>
      <c r="O1248">
        <v>0</v>
      </c>
      <c r="P1248">
        <v>0</v>
      </c>
      <c r="Q1248" t="s">
        <v>249</v>
      </c>
    </row>
    <row r="1249" spans="1:17" x14ac:dyDescent="0.25">
      <c r="A1249" t="s">
        <v>542</v>
      </c>
      <c r="B1249" t="s">
        <v>1358</v>
      </c>
      <c r="C1249">
        <v>160</v>
      </c>
      <c r="D1249" t="s">
        <v>264</v>
      </c>
      <c r="E1249" s="1">
        <v>43089</v>
      </c>
      <c r="F1249" t="s">
        <v>21</v>
      </c>
      <c r="G1249" t="s">
        <v>1993</v>
      </c>
      <c r="H1249">
        <v>-20</v>
      </c>
      <c r="I1249" t="s">
        <v>120</v>
      </c>
      <c r="J1249">
        <v>0</v>
      </c>
      <c r="M1249" t="s">
        <v>170</v>
      </c>
      <c r="N1249" t="s">
        <v>2013</v>
      </c>
    </row>
    <row r="1250" spans="1:17" x14ac:dyDescent="0.25">
      <c r="A1250" t="s">
        <v>542</v>
      </c>
      <c r="B1250" t="s">
        <v>1358</v>
      </c>
      <c r="C1250">
        <v>160</v>
      </c>
      <c r="D1250" t="s">
        <v>264</v>
      </c>
      <c r="E1250" s="1">
        <v>43089</v>
      </c>
      <c r="F1250" t="s">
        <v>21</v>
      </c>
      <c r="G1250" t="s">
        <v>1993</v>
      </c>
      <c r="H1250">
        <v>-20</v>
      </c>
      <c r="I1250" t="s">
        <v>120</v>
      </c>
      <c r="J1250">
        <v>0</v>
      </c>
      <c r="K1250">
        <v>0</v>
      </c>
      <c r="M1250" t="s">
        <v>255</v>
      </c>
      <c r="N1250" t="s">
        <v>2013</v>
      </c>
      <c r="O1250">
        <v>0</v>
      </c>
      <c r="P1250">
        <v>0</v>
      </c>
      <c r="Q1250" t="s">
        <v>249</v>
      </c>
    </row>
    <row r="1251" spans="1:17" ht="45" x14ac:dyDescent="0.25">
      <c r="A1251" t="s">
        <v>242</v>
      </c>
      <c r="B1251" s="15" t="s">
        <v>243</v>
      </c>
      <c r="C1251">
        <v>160</v>
      </c>
      <c r="D1251" t="s">
        <v>264</v>
      </c>
      <c r="E1251" s="1">
        <v>43075</v>
      </c>
      <c r="F1251" t="s">
        <v>252</v>
      </c>
      <c r="G1251" t="s">
        <v>659</v>
      </c>
      <c r="H1251">
        <v>-1</v>
      </c>
      <c r="I1251" t="s">
        <v>37</v>
      </c>
      <c r="J1251">
        <v>0</v>
      </c>
      <c r="M1251" t="s">
        <v>170</v>
      </c>
      <c r="N1251" t="s">
        <v>936</v>
      </c>
      <c r="Q1251" t="s">
        <v>254</v>
      </c>
    </row>
    <row r="1252" spans="1:17" ht="45" x14ac:dyDescent="0.25">
      <c r="A1252" t="s">
        <v>242</v>
      </c>
      <c r="B1252" s="15" t="s">
        <v>243</v>
      </c>
      <c r="C1252">
        <v>160</v>
      </c>
      <c r="D1252" t="s">
        <v>264</v>
      </c>
      <c r="E1252" s="1">
        <v>43075</v>
      </c>
      <c r="F1252" t="s">
        <v>252</v>
      </c>
      <c r="G1252" t="s">
        <v>659</v>
      </c>
      <c r="H1252">
        <v>-1</v>
      </c>
      <c r="I1252" t="s">
        <v>37</v>
      </c>
      <c r="J1252">
        <v>6.9298130841120003</v>
      </c>
      <c r="K1252">
        <v>-6.93</v>
      </c>
      <c r="L1252" t="s">
        <v>609</v>
      </c>
      <c r="M1252" t="s">
        <v>171</v>
      </c>
      <c r="N1252" t="s">
        <v>936</v>
      </c>
      <c r="O1252">
        <v>6.9298113207547178</v>
      </c>
      <c r="P1252">
        <v>734.56000000000006</v>
      </c>
      <c r="Q1252" t="s">
        <v>254</v>
      </c>
    </row>
    <row r="1253" spans="1:17" ht="45" x14ac:dyDescent="0.25">
      <c r="A1253" t="s">
        <v>242</v>
      </c>
      <c r="B1253" s="15" t="s">
        <v>243</v>
      </c>
      <c r="C1253">
        <v>160</v>
      </c>
      <c r="D1253" t="s">
        <v>264</v>
      </c>
      <c r="E1253" s="1">
        <v>43084</v>
      </c>
      <c r="F1253" t="s">
        <v>252</v>
      </c>
      <c r="G1253" t="s">
        <v>822</v>
      </c>
      <c r="H1253">
        <v>-1</v>
      </c>
      <c r="I1253" t="s">
        <v>37</v>
      </c>
      <c r="J1253">
        <v>0</v>
      </c>
      <c r="M1253" t="s">
        <v>170</v>
      </c>
      <c r="N1253" t="s">
        <v>937</v>
      </c>
      <c r="Q1253" t="s">
        <v>254</v>
      </c>
    </row>
    <row r="1254" spans="1:17" ht="45" x14ac:dyDescent="0.25">
      <c r="A1254" t="s">
        <v>242</v>
      </c>
      <c r="B1254" s="15" t="s">
        <v>243</v>
      </c>
      <c r="C1254">
        <v>160</v>
      </c>
      <c r="D1254" t="s">
        <v>264</v>
      </c>
      <c r="E1254" s="1">
        <v>43084</v>
      </c>
      <c r="F1254" t="s">
        <v>252</v>
      </c>
      <c r="G1254" t="s">
        <v>822</v>
      </c>
      <c r="H1254">
        <v>-1</v>
      </c>
      <c r="I1254" t="s">
        <v>37</v>
      </c>
      <c r="J1254">
        <v>6.9298113207550003</v>
      </c>
      <c r="K1254">
        <v>-6.93</v>
      </c>
      <c r="L1254" t="s">
        <v>609</v>
      </c>
      <c r="M1254" t="s">
        <v>171</v>
      </c>
      <c r="N1254" t="s">
        <v>937</v>
      </c>
      <c r="O1254">
        <v>6.9298095238095252</v>
      </c>
      <c r="P1254">
        <v>727.63000000000011</v>
      </c>
      <c r="Q1254" t="s">
        <v>254</v>
      </c>
    </row>
    <row r="1255" spans="1:17" ht="45" x14ac:dyDescent="0.25">
      <c r="A1255" t="s">
        <v>242</v>
      </c>
      <c r="B1255" s="15" t="s">
        <v>243</v>
      </c>
      <c r="C1255">
        <v>160</v>
      </c>
      <c r="D1255" t="s">
        <v>264</v>
      </c>
      <c r="E1255" s="1">
        <v>43089</v>
      </c>
      <c r="F1255" t="s">
        <v>252</v>
      </c>
      <c r="G1255" t="s">
        <v>666</v>
      </c>
      <c r="H1255">
        <v>-4</v>
      </c>
      <c r="I1255" t="s">
        <v>37</v>
      </c>
      <c r="J1255">
        <v>0</v>
      </c>
      <c r="M1255" t="s">
        <v>170</v>
      </c>
      <c r="N1255" t="s">
        <v>938</v>
      </c>
      <c r="Q1255" t="s">
        <v>254</v>
      </c>
    </row>
    <row r="1256" spans="1:17" ht="45" x14ac:dyDescent="0.25">
      <c r="A1256" t="s">
        <v>242</v>
      </c>
      <c r="B1256" s="15" t="s">
        <v>243</v>
      </c>
      <c r="C1256">
        <v>160</v>
      </c>
      <c r="D1256" t="s">
        <v>264</v>
      </c>
      <c r="E1256" s="1">
        <v>43089</v>
      </c>
      <c r="F1256" t="s">
        <v>21</v>
      </c>
      <c r="G1256" t="s">
        <v>1993</v>
      </c>
      <c r="H1256">
        <v>-21</v>
      </c>
      <c r="I1256" t="s">
        <v>37</v>
      </c>
      <c r="J1256">
        <v>0</v>
      </c>
      <c r="M1256" t="s">
        <v>170</v>
      </c>
      <c r="N1256" t="s">
        <v>2014</v>
      </c>
    </row>
    <row r="1257" spans="1:17" ht="45" x14ac:dyDescent="0.25">
      <c r="A1257" t="s">
        <v>242</v>
      </c>
      <c r="B1257" s="15" t="s">
        <v>243</v>
      </c>
      <c r="C1257">
        <v>160</v>
      </c>
      <c r="D1257" t="s">
        <v>264</v>
      </c>
      <c r="E1257" s="1">
        <v>43089</v>
      </c>
      <c r="F1257" t="s">
        <v>21</v>
      </c>
      <c r="G1257" t="s">
        <v>1993</v>
      </c>
      <c r="H1257">
        <v>-21</v>
      </c>
      <c r="I1257" t="s">
        <v>37</v>
      </c>
      <c r="J1257">
        <v>6.9298095238095252</v>
      </c>
      <c r="K1257">
        <v>-145.52600000000004</v>
      </c>
      <c r="M1257" t="s">
        <v>255</v>
      </c>
      <c r="N1257" t="s">
        <v>2014</v>
      </c>
      <c r="O1257">
        <v>6.9298095238095243</v>
      </c>
      <c r="P1257">
        <v>582.10400000000004</v>
      </c>
      <c r="Q1257" t="s">
        <v>249</v>
      </c>
    </row>
    <row r="1258" spans="1:17" ht="45" x14ac:dyDescent="0.25">
      <c r="A1258" t="s">
        <v>242</v>
      </c>
      <c r="B1258" s="15" t="s">
        <v>243</v>
      </c>
      <c r="C1258">
        <v>160</v>
      </c>
      <c r="D1258" t="s">
        <v>264</v>
      </c>
      <c r="E1258" s="1">
        <v>43089</v>
      </c>
      <c r="F1258" t="s">
        <v>252</v>
      </c>
      <c r="G1258" t="s">
        <v>666</v>
      </c>
      <c r="H1258">
        <v>-4</v>
      </c>
      <c r="I1258" t="s">
        <v>37</v>
      </c>
      <c r="J1258">
        <v>6.9298095238100004</v>
      </c>
      <c r="K1258">
        <v>-27.72</v>
      </c>
      <c r="L1258" t="s">
        <v>609</v>
      </c>
      <c r="M1258" t="s">
        <v>171</v>
      </c>
      <c r="N1258" t="s">
        <v>938</v>
      </c>
      <c r="O1258">
        <v>6.9298000000000002</v>
      </c>
      <c r="P1258">
        <v>554.38400000000001</v>
      </c>
      <c r="Q1258" t="s">
        <v>254</v>
      </c>
    </row>
    <row r="1259" spans="1:17" ht="45" x14ac:dyDescent="0.25">
      <c r="A1259" t="s">
        <v>242</v>
      </c>
      <c r="B1259" s="15" t="s">
        <v>243</v>
      </c>
      <c r="C1259">
        <v>160</v>
      </c>
      <c r="D1259" t="s">
        <v>264</v>
      </c>
      <c r="E1259" s="1">
        <v>43090</v>
      </c>
      <c r="F1259" t="s">
        <v>21</v>
      </c>
      <c r="G1259" t="s">
        <v>2321</v>
      </c>
      <c r="H1259">
        <v>20</v>
      </c>
      <c r="I1259" t="s">
        <v>37</v>
      </c>
      <c r="J1259">
        <v>0</v>
      </c>
      <c r="M1259" t="s">
        <v>170</v>
      </c>
      <c r="N1259" t="s">
        <v>2323</v>
      </c>
    </row>
    <row r="1260" spans="1:17" ht="45" x14ac:dyDescent="0.25">
      <c r="A1260" t="s">
        <v>242</v>
      </c>
      <c r="B1260" s="15" t="s">
        <v>243</v>
      </c>
      <c r="C1260">
        <v>160</v>
      </c>
      <c r="D1260" t="s">
        <v>264</v>
      </c>
      <c r="E1260" s="1">
        <v>43090</v>
      </c>
      <c r="F1260" t="s">
        <v>21</v>
      </c>
      <c r="G1260" t="s">
        <v>2321</v>
      </c>
      <c r="H1260">
        <v>20</v>
      </c>
      <c r="I1260" t="s">
        <v>37</v>
      </c>
      <c r="J1260">
        <v>0</v>
      </c>
      <c r="M1260" t="s">
        <v>255</v>
      </c>
      <c r="N1260" t="s">
        <v>2323</v>
      </c>
      <c r="O1260">
        <v>5.5438400000000003</v>
      </c>
      <c r="P1260">
        <v>554.38400000000001</v>
      </c>
      <c r="Q1260" t="s">
        <v>249</v>
      </c>
    </row>
    <row r="1261" spans="1:17" ht="45" x14ac:dyDescent="0.25">
      <c r="A1261" t="s">
        <v>242</v>
      </c>
      <c r="B1261" s="15" t="s">
        <v>243</v>
      </c>
      <c r="C1261">
        <v>160</v>
      </c>
      <c r="D1261" t="s">
        <v>264</v>
      </c>
      <c r="E1261" s="1">
        <v>43096</v>
      </c>
      <c r="F1261" t="s">
        <v>607</v>
      </c>
      <c r="H1261">
        <v>3</v>
      </c>
      <c r="I1261" t="s">
        <v>37</v>
      </c>
      <c r="J1261">
        <v>6.9298000000000002</v>
      </c>
      <c r="K1261">
        <v>20.79</v>
      </c>
      <c r="L1261" t="s">
        <v>609</v>
      </c>
      <c r="M1261" t="s">
        <v>171</v>
      </c>
      <c r="N1261" t="s">
        <v>939</v>
      </c>
      <c r="O1261">
        <v>5.5842135922330094</v>
      </c>
      <c r="P1261">
        <v>575.17399999999998</v>
      </c>
    </row>
    <row r="1262" spans="1:17" ht="45" x14ac:dyDescent="0.25">
      <c r="A1262" t="s">
        <v>242</v>
      </c>
      <c r="B1262" s="15" t="s">
        <v>243</v>
      </c>
      <c r="C1262">
        <v>160</v>
      </c>
      <c r="D1262" t="s">
        <v>264</v>
      </c>
      <c r="E1262" s="1">
        <v>43096</v>
      </c>
      <c r="F1262" t="s">
        <v>607</v>
      </c>
      <c r="H1262">
        <v>-3</v>
      </c>
      <c r="I1262" t="s">
        <v>37</v>
      </c>
      <c r="J1262">
        <v>5.5842135922330094</v>
      </c>
      <c r="K1262">
        <v>-16.752640776699028</v>
      </c>
      <c r="L1262" t="s">
        <v>609</v>
      </c>
      <c r="M1262" t="s">
        <v>255</v>
      </c>
      <c r="N1262" t="s">
        <v>939</v>
      </c>
      <c r="O1262">
        <v>5.5842135922330094</v>
      </c>
      <c r="P1262">
        <v>558.4213592233009</v>
      </c>
      <c r="Q1262" t="s">
        <v>249</v>
      </c>
    </row>
    <row r="1263" spans="1:17" x14ac:dyDescent="0.25">
      <c r="A1263" t="s">
        <v>546</v>
      </c>
      <c r="B1263" t="s">
        <v>1363</v>
      </c>
      <c r="C1263">
        <v>160</v>
      </c>
      <c r="D1263" t="s">
        <v>264</v>
      </c>
      <c r="E1263" s="1">
        <v>43089</v>
      </c>
      <c r="F1263" t="s">
        <v>21</v>
      </c>
      <c r="G1263" t="s">
        <v>1993</v>
      </c>
      <c r="H1263">
        <v>-62</v>
      </c>
      <c r="I1263" t="s">
        <v>37</v>
      </c>
      <c r="J1263">
        <v>0</v>
      </c>
      <c r="M1263" t="s">
        <v>170</v>
      </c>
      <c r="N1263" t="s">
        <v>2017</v>
      </c>
    </row>
    <row r="1264" spans="1:17" x14ac:dyDescent="0.25">
      <c r="A1264" t="s">
        <v>546</v>
      </c>
      <c r="B1264" t="s">
        <v>1363</v>
      </c>
      <c r="C1264">
        <v>160</v>
      </c>
      <c r="D1264" t="s">
        <v>264</v>
      </c>
      <c r="E1264" s="1">
        <v>43089</v>
      </c>
      <c r="F1264" t="s">
        <v>21</v>
      </c>
      <c r="G1264" t="s">
        <v>1993</v>
      </c>
      <c r="H1264">
        <v>-62</v>
      </c>
      <c r="I1264" t="s">
        <v>37</v>
      </c>
      <c r="J1264">
        <v>0</v>
      </c>
      <c r="K1264">
        <v>0</v>
      </c>
      <c r="M1264" t="s">
        <v>255</v>
      </c>
      <c r="N1264" t="s">
        <v>2017</v>
      </c>
      <c r="O1264">
        <v>0</v>
      </c>
      <c r="P1264">
        <v>0</v>
      </c>
      <c r="Q1264" t="s">
        <v>249</v>
      </c>
    </row>
    <row r="1265" spans="1:17" x14ac:dyDescent="0.25">
      <c r="A1265" t="s">
        <v>546</v>
      </c>
      <c r="B1265" t="s">
        <v>1363</v>
      </c>
      <c r="C1265">
        <v>160</v>
      </c>
      <c r="D1265" t="s">
        <v>264</v>
      </c>
      <c r="E1265" s="1">
        <v>43090</v>
      </c>
      <c r="F1265" t="s">
        <v>21</v>
      </c>
      <c r="G1265" t="s">
        <v>2321</v>
      </c>
      <c r="H1265">
        <v>68</v>
      </c>
      <c r="I1265" t="s">
        <v>37</v>
      </c>
      <c r="J1265">
        <v>0</v>
      </c>
      <c r="M1265" t="s">
        <v>170</v>
      </c>
      <c r="N1265" t="s">
        <v>2324</v>
      </c>
    </row>
    <row r="1266" spans="1:17" x14ac:dyDescent="0.25">
      <c r="A1266" t="s">
        <v>546</v>
      </c>
      <c r="B1266" t="s">
        <v>1363</v>
      </c>
      <c r="C1266">
        <v>160</v>
      </c>
      <c r="D1266" t="s">
        <v>264</v>
      </c>
      <c r="E1266" s="1">
        <v>43090</v>
      </c>
      <c r="F1266" t="s">
        <v>21</v>
      </c>
      <c r="G1266" t="s">
        <v>2321</v>
      </c>
      <c r="H1266">
        <v>68</v>
      </c>
      <c r="I1266" t="s">
        <v>37</v>
      </c>
      <c r="J1266">
        <v>0</v>
      </c>
      <c r="M1266" t="s">
        <v>255</v>
      </c>
      <c r="N1266" t="s">
        <v>2324</v>
      </c>
      <c r="O1266">
        <v>0</v>
      </c>
      <c r="P1266">
        <v>0</v>
      </c>
      <c r="Q1266" t="s">
        <v>249</v>
      </c>
    </row>
    <row r="1267" spans="1:17" x14ac:dyDescent="0.25">
      <c r="A1267" t="s">
        <v>550</v>
      </c>
      <c r="B1267" t="s">
        <v>1367</v>
      </c>
      <c r="C1267">
        <v>160</v>
      </c>
      <c r="D1267" t="s">
        <v>264</v>
      </c>
      <c r="E1267" s="1">
        <v>43089</v>
      </c>
      <c r="F1267" t="s">
        <v>21</v>
      </c>
      <c r="G1267" t="s">
        <v>2146</v>
      </c>
      <c r="H1267">
        <v>-12</v>
      </c>
      <c r="I1267" t="s">
        <v>37</v>
      </c>
      <c r="J1267">
        <v>0</v>
      </c>
      <c r="M1267" t="s">
        <v>170</v>
      </c>
      <c r="N1267" t="s">
        <v>2169</v>
      </c>
    </row>
    <row r="1268" spans="1:17" x14ac:dyDescent="0.25">
      <c r="A1268" t="s">
        <v>550</v>
      </c>
      <c r="B1268" t="s">
        <v>1367</v>
      </c>
      <c r="C1268">
        <v>160</v>
      </c>
      <c r="D1268" t="s">
        <v>264</v>
      </c>
      <c r="E1268" s="1">
        <v>43089</v>
      </c>
      <c r="F1268" t="s">
        <v>21</v>
      </c>
      <c r="G1268" t="s">
        <v>2146</v>
      </c>
      <c r="H1268">
        <v>-12</v>
      </c>
      <c r="I1268" t="s">
        <v>37</v>
      </c>
      <c r="J1268">
        <v>0</v>
      </c>
      <c r="K1268">
        <v>0</v>
      </c>
      <c r="M1268" t="s">
        <v>255</v>
      </c>
      <c r="N1268" t="s">
        <v>2169</v>
      </c>
      <c r="O1268">
        <v>0</v>
      </c>
      <c r="P1268">
        <v>0</v>
      </c>
      <c r="Q1268" t="s">
        <v>249</v>
      </c>
    </row>
    <row r="1269" spans="1:17" x14ac:dyDescent="0.25">
      <c r="A1269" t="s">
        <v>551</v>
      </c>
      <c r="B1269" t="s">
        <v>1368</v>
      </c>
      <c r="C1269">
        <v>160</v>
      </c>
      <c r="D1269" t="s">
        <v>264</v>
      </c>
      <c r="E1269" s="1">
        <v>43075</v>
      </c>
      <c r="F1269" t="s">
        <v>252</v>
      </c>
      <c r="G1269" t="s">
        <v>1482</v>
      </c>
      <c r="H1269">
        <v>-2</v>
      </c>
      <c r="I1269" t="s">
        <v>37</v>
      </c>
      <c r="J1269">
        <v>0</v>
      </c>
      <c r="M1269" t="s">
        <v>170</v>
      </c>
      <c r="N1269" t="s">
        <v>1484</v>
      </c>
    </row>
    <row r="1270" spans="1:17" x14ac:dyDescent="0.25">
      <c r="A1270" t="s">
        <v>551</v>
      </c>
      <c r="B1270" t="s">
        <v>1368</v>
      </c>
      <c r="C1270">
        <v>160</v>
      </c>
      <c r="D1270" t="s">
        <v>264</v>
      </c>
      <c r="E1270" s="1">
        <v>43075</v>
      </c>
      <c r="F1270" t="s">
        <v>252</v>
      </c>
      <c r="G1270" t="s">
        <v>1482</v>
      </c>
      <c r="H1270">
        <v>-2</v>
      </c>
      <c r="I1270" t="s">
        <v>37</v>
      </c>
      <c r="J1270">
        <v>0</v>
      </c>
      <c r="K1270">
        <v>0</v>
      </c>
      <c r="M1270" t="s">
        <v>255</v>
      </c>
      <c r="N1270" t="s">
        <v>1484</v>
      </c>
      <c r="O1270">
        <v>0</v>
      </c>
      <c r="P1270">
        <v>0</v>
      </c>
      <c r="Q1270" t="s">
        <v>249</v>
      </c>
    </row>
    <row r="1271" spans="1:17" x14ac:dyDescent="0.25">
      <c r="A1271" t="s">
        <v>551</v>
      </c>
      <c r="B1271" t="s">
        <v>1368</v>
      </c>
      <c r="C1271">
        <v>160</v>
      </c>
      <c r="D1271" t="s">
        <v>264</v>
      </c>
      <c r="E1271" s="1">
        <v>43075</v>
      </c>
      <c r="F1271" t="s">
        <v>252</v>
      </c>
      <c r="G1271" t="s">
        <v>1505</v>
      </c>
      <c r="H1271">
        <v>-1</v>
      </c>
      <c r="I1271" t="s">
        <v>37</v>
      </c>
      <c r="J1271">
        <v>0</v>
      </c>
      <c r="M1271" t="s">
        <v>170</v>
      </c>
      <c r="N1271" t="s">
        <v>1507</v>
      </c>
    </row>
    <row r="1272" spans="1:17" x14ac:dyDescent="0.25">
      <c r="A1272" t="s">
        <v>551</v>
      </c>
      <c r="B1272" t="s">
        <v>1368</v>
      </c>
      <c r="C1272">
        <v>160</v>
      </c>
      <c r="D1272" t="s">
        <v>264</v>
      </c>
      <c r="E1272" s="1">
        <v>43075</v>
      </c>
      <c r="F1272" t="s">
        <v>252</v>
      </c>
      <c r="G1272" t="s">
        <v>1505</v>
      </c>
      <c r="H1272">
        <v>-1</v>
      </c>
      <c r="I1272" t="s">
        <v>37</v>
      </c>
      <c r="J1272">
        <v>0</v>
      </c>
      <c r="K1272">
        <v>0</v>
      </c>
      <c r="M1272" t="s">
        <v>255</v>
      </c>
      <c r="N1272" t="s">
        <v>1507</v>
      </c>
      <c r="O1272">
        <v>0</v>
      </c>
      <c r="P1272">
        <v>0</v>
      </c>
      <c r="Q1272" t="s">
        <v>249</v>
      </c>
    </row>
    <row r="1273" spans="1:17" x14ac:dyDescent="0.25">
      <c r="A1273" t="s">
        <v>551</v>
      </c>
      <c r="B1273" t="s">
        <v>1368</v>
      </c>
      <c r="C1273">
        <v>160</v>
      </c>
      <c r="D1273" t="s">
        <v>264</v>
      </c>
      <c r="E1273" s="1">
        <v>43084</v>
      </c>
      <c r="F1273" t="s">
        <v>252</v>
      </c>
      <c r="G1273" t="s">
        <v>822</v>
      </c>
      <c r="H1273">
        <v>-1</v>
      </c>
      <c r="I1273" t="s">
        <v>37</v>
      </c>
      <c r="J1273">
        <v>0</v>
      </c>
      <c r="M1273" t="s">
        <v>170</v>
      </c>
      <c r="N1273" t="s">
        <v>1568</v>
      </c>
    </row>
    <row r="1274" spans="1:17" x14ac:dyDescent="0.25">
      <c r="A1274" t="s">
        <v>551</v>
      </c>
      <c r="B1274" t="s">
        <v>1368</v>
      </c>
      <c r="C1274">
        <v>160</v>
      </c>
      <c r="D1274" t="s">
        <v>264</v>
      </c>
      <c r="E1274" s="1">
        <v>43084</v>
      </c>
      <c r="F1274" t="s">
        <v>252</v>
      </c>
      <c r="G1274" t="s">
        <v>822</v>
      </c>
      <c r="H1274">
        <v>-1</v>
      </c>
      <c r="I1274" t="s">
        <v>37</v>
      </c>
      <c r="J1274">
        <v>0</v>
      </c>
      <c r="K1274">
        <v>0</v>
      </c>
      <c r="M1274" t="s">
        <v>255</v>
      </c>
      <c r="N1274" t="s">
        <v>1568</v>
      </c>
      <c r="O1274">
        <v>0</v>
      </c>
      <c r="P1274">
        <v>0</v>
      </c>
      <c r="Q1274" t="s">
        <v>249</v>
      </c>
    </row>
    <row r="1275" spans="1:17" x14ac:dyDescent="0.25">
      <c r="A1275" t="s">
        <v>551</v>
      </c>
      <c r="B1275" t="s">
        <v>1368</v>
      </c>
      <c r="C1275">
        <v>160</v>
      </c>
      <c r="D1275" t="s">
        <v>264</v>
      </c>
      <c r="E1275" s="1">
        <v>43089</v>
      </c>
      <c r="F1275" t="s">
        <v>21</v>
      </c>
      <c r="G1275" t="s">
        <v>2146</v>
      </c>
      <c r="H1275">
        <v>-7</v>
      </c>
      <c r="I1275" t="s">
        <v>37</v>
      </c>
      <c r="J1275">
        <v>0</v>
      </c>
      <c r="M1275" t="s">
        <v>170</v>
      </c>
      <c r="N1275" t="s">
        <v>2170</v>
      </c>
    </row>
    <row r="1276" spans="1:17" x14ac:dyDescent="0.25">
      <c r="A1276" t="s">
        <v>551</v>
      </c>
      <c r="B1276" t="s">
        <v>1368</v>
      </c>
      <c r="C1276">
        <v>160</v>
      </c>
      <c r="D1276" t="s">
        <v>264</v>
      </c>
      <c r="E1276" s="1">
        <v>43089</v>
      </c>
      <c r="F1276" t="s">
        <v>21</v>
      </c>
      <c r="G1276" t="s">
        <v>2146</v>
      </c>
      <c r="H1276">
        <v>-7</v>
      </c>
      <c r="I1276" t="s">
        <v>37</v>
      </c>
      <c r="J1276">
        <v>0</v>
      </c>
      <c r="K1276">
        <v>0</v>
      </c>
      <c r="M1276" t="s">
        <v>255</v>
      </c>
      <c r="N1276" t="s">
        <v>2170</v>
      </c>
      <c r="O1276">
        <v>0</v>
      </c>
      <c r="P1276">
        <v>0</v>
      </c>
      <c r="Q1276" t="s">
        <v>249</v>
      </c>
    </row>
    <row r="1277" spans="1:17" x14ac:dyDescent="0.25">
      <c r="A1277" t="s">
        <v>105</v>
      </c>
      <c r="B1277" t="s">
        <v>212</v>
      </c>
      <c r="C1277">
        <v>160</v>
      </c>
      <c r="D1277" t="s">
        <v>264</v>
      </c>
      <c r="E1277" s="1">
        <v>43075</v>
      </c>
      <c r="F1277" t="s">
        <v>252</v>
      </c>
      <c r="G1277" t="s">
        <v>1482</v>
      </c>
      <c r="H1277">
        <v>-3</v>
      </c>
      <c r="I1277" t="s">
        <v>37</v>
      </c>
      <c r="J1277">
        <v>0</v>
      </c>
      <c r="M1277" t="s">
        <v>170</v>
      </c>
      <c r="N1277" t="s">
        <v>1485</v>
      </c>
    </row>
    <row r="1278" spans="1:17" x14ac:dyDescent="0.25">
      <c r="A1278" t="s">
        <v>105</v>
      </c>
      <c r="B1278" t="s">
        <v>212</v>
      </c>
      <c r="C1278">
        <v>160</v>
      </c>
      <c r="D1278" t="s">
        <v>264</v>
      </c>
      <c r="E1278" s="1">
        <v>43075</v>
      </c>
      <c r="F1278" t="s">
        <v>252</v>
      </c>
      <c r="G1278" t="s">
        <v>1482</v>
      </c>
      <c r="H1278">
        <v>-3</v>
      </c>
      <c r="I1278" t="s">
        <v>37</v>
      </c>
      <c r="J1278">
        <v>0</v>
      </c>
      <c r="K1278">
        <v>0</v>
      </c>
      <c r="M1278" t="s">
        <v>255</v>
      </c>
      <c r="N1278" t="s">
        <v>1485</v>
      </c>
      <c r="O1278">
        <v>0</v>
      </c>
      <c r="P1278">
        <v>0</v>
      </c>
      <c r="Q1278" t="s">
        <v>249</v>
      </c>
    </row>
    <row r="1279" spans="1:17" x14ac:dyDescent="0.25">
      <c r="A1279" t="s">
        <v>105</v>
      </c>
      <c r="B1279" t="s">
        <v>212</v>
      </c>
      <c r="C1279">
        <v>160</v>
      </c>
      <c r="D1279" t="s">
        <v>264</v>
      </c>
      <c r="E1279" s="1">
        <v>43089</v>
      </c>
      <c r="F1279" t="s">
        <v>21</v>
      </c>
      <c r="G1279" t="s">
        <v>2146</v>
      </c>
      <c r="H1279">
        <v>-13</v>
      </c>
      <c r="I1279" t="s">
        <v>37</v>
      </c>
      <c r="J1279">
        <v>0</v>
      </c>
      <c r="M1279" t="s">
        <v>170</v>
      </c>
      <c r="N1279" t="s">
        <v>2171</v>
      </c>
    </row>
    <row r="1280" spans="1:17" x14ac:dyDescent="0.25">
      <c r="A1280" t="s">
        <v>105</v>
      </c>
      <c r="B1280" t="s">
        <v>212</v>
      </c>
      <c r="C1280">
        <v>160</v>
      </c>
      <c r="D1280" t="s">
        <v>264</v>
      </c>
      <c r="E1280" s="1">
        <v>43089</v>
      </c>
      <c r="F1280" t="s">
        <v>21</v>
      </c>
      <c r="G1280" t="s">
        <v>2146</v>
      </c>
      <c r="H1280">
        <v>-13</v>
      </c>
      <c r="I1280" t="s">
        <v>37</v>
      </c>
      <c r="J1280">
        <v>0</v>
      </c>
      <c r="K1280">
        <v>0</v>
      </c>
      <c r="M1280" t="s">
        <v>255</v>
      </c>
      <c r="N1280" t="s">
        <v>2171</v>
      </c>
      <c r="O1280">
        <v>0</v>
      </c>
      <c r="P1280">
        <v>0</v>
      </c>
      <c r="Q1280" t="s">
        <v>249</v>
      </c>
    </row>
    <row r="1281" spans="1:17" x14ac:dyDescent="0.25">
      <c r="A1281" t="s">
        <v>556</v>
      </c>
      <c r="B1281" t="s">
        <v>1378</v>
      </c>
      <c r="C1281">
        <v>160</v>
      </c>
      <c r="D1281" t="s">
        <v>264</v>
      </c>
      <c r="E1281" s="1">
        <v>43089</v>
      </c>
      <c r="F1281" t="s">
        <v>21</v>
      </c>
      <c r="G1281" t="s">
        <v>2087</v>
      </c>
      <c r="H1281">
        <v>232</v>
      </c>
      <c r="I1281" t="s">
        <v>38</v>
      </c>
      <c r="J1281">
        <v>0</v>
      </c>
      <c r="M1281" t="s">
        <v>170</v>
      </c>
      <c r="N1281" t="s">
        <v>2100</v>
      </c>
    </row>
    <row r="1282" spans="1:17" x14ac:dyDescent="0.25">
      <c r="A1282" t="s">
        <v>556</v>
      </c>
      <c r="B1282" t="s">
        <v>1378</v>
      </c>
      <c r="C1282">
        <v>160</v>
      </c>
      <c r="D1282" t="s">
        <v>264</v>
      </c>
      <c r="E1282" s="1">
        <v>43089</v>
      </c>
      <c r="F1282" t="s">
        <v>21</v>
      </c>
      <c r="G1282" t="s">
        <v>2087</v>
      </c>
      <c r="H1282">
        <v>232</v>
      </c>
      <c r="I1282" t="s">
        <v>38</v>
      </c>
      <c r="J1282">
        <v>0</v>
      </c>
      <c r="M1282" t="s">
        <v>255</v>
      </c>
      <c r="N1282" t="s">
        <v>2100</v>
      </c>
      <c r="O1282">
        <v>0</v>
      </c>
      <c r="P1282">
        <v>0</v>
      </c>
      <c r="Q1282" t="s">
        <v>249</v>
      </c>
    </row>
    <row r="1283" spans="1:17" x14ac:dyDescent="0.25">
      <c r="A1283" t="s">
        <v>564</v>
      </c>
      <c r="B1283" t="s">
        <v>1398</v>
      </c>
      <c r="C1283">
        <v>160</v>
      </c>
      <c r="D1283" t="s">
        <v>264</v>
      </c>
      <c r="E1283" s="1">
        <v>43089</v>
      </c>
      <c r="F1283" t="s">
        <v>21</v>
      </c>
      <c r="G1283" t="s">
        <v>2018</v>
      </c>
      <c r="H1283">
        <v>-2</v>
      </c>
      <c r="I1283" t="s">
        <v>1033</v>
      </c>
      <c r="J1283">
        <v>0</v>
      </c>
      <c r="M1283" t="s">
        <v>170</v>
      </c>
      <c r="N1283" t="s">
        <v>2024</v>
      </c>
    </row>
    <row r="1284" spans="1:17" x14ac:dyDescent="0.25">
      <c r="A1284" t="s">
        <v>564</v>
      </c>
      <c r="B1284" t="s">
        <v>1398</v>
      </c>
      <c r="C1284">
        <v>160</v>
      </c>
      <c r="D1284" t="s">
        <v>264</v>
      </c>
      <c r="E1284" s="1">
        <v>43089</v>
      </c>
      <c r="F1284" t="s">
        <v>21</v>
      </c>
      <c r="G1284" t="s">
        <v>2018</v>
      </c>
      <c r="H1284">
        <v>-2</v>
      </c>
      <c r="I1284" t="s">
        <v>1033</v>
      </c>
      <c r="J1284">
        <v>0</v>
      </c>
      <c r="K1284">
        <v>0</v>
      </c>
      <c r="M1284" t="s">
        <v>255</v>
      </c>
      <c r="N1284" t="s">
        <v>2024</v>
      </c>
      <c r="O1284">
        <v>0</v>
      </c>
      <c r="P1284">
        <v>0</v>
      </c>
      <c r="Q1284" t="s">
        <v>249</v>
      </c>
    </row>
    <row r="1285" spans="1:17" x14ac:dyDescent="0.25">
      <c r="A1285" t="s">
        <v>567</v>
      </c>
      <c r="B1285" t="s">
        <v>1401</v>
      </c>
      <c r="C1285">
        <v>160</v>
      </c>
      <c r="D1285" t="s">
        <v>264</v>
      </c>
      <c r="E1285" s="1">
        <v>43089</v>
      </c>
      <c r="F1285" t="s">
        <v>21</v>
      </c>
      <c r="G1285" t="s">
        <v>2018</v>
      </c>
      <c r="H1285">
        <v>-30</v>
      </c>
      <c r="I1285" t="s">
        <v>37</v>
      </c>
      <c r="J1285">
        <v>0</v>
      </c>
      <c r="M1285" t="s">
        <v>170</v>
      </c>
      <c r="N1285" t="s">
        <v>2025</v>
      </c>
    </row>
    <row r="1286" spans="1:17" x14ac:dyDescent="0.25">
      <c r="A1286" t="s">
        <v>567</v>
      </c>
      <c r="B1286" t="s">
        <v>1401</v>
      </c>
      <c r="C1286">
        <v>160</v>
      </c>
      <c r="D1286" t="s">
        <v>264</v>
      </c>
      <c r="E1286" s="1">
        <v>43089</v>
      </c>
      <c r="F1286" t="s">
        <v>21</v>
      </c>
      <c r="G1286" t="s">
        <v>2018</v>
      </c>
      <c r="H1286">
        <v>-30</v>
      </c>
      <c r="I1286" t="s">
        <v>37</v>
      </c>
      <c r="J1286">
        <v>0</v>
      </c>
      <c r="K1286">
        <v>0</v>
      </c>
      <c r="M1286" t="s">
        <v>255</v>
      </c>
      <c r="N1286" t="s">
        <v>2025</v>
      </c>
      <c r="O1286">
        <v>0</v>
      </c>
      <c r="P1286">
        <v>0</v>
      </c>
      <c r="Q1286" t="s">
        <v>249</v>
      </c>
    </row>
    <row r="1287" spans="1:17" x14ac:dyDescent="0.25">
      <c r="A1287" t="s">
        <v>568</v>
      </c>
      <c r="B1287" t="s">
        <v>1402</v>
      </c>
      <c r="C1287">
        <v>160</v>
      </c>
      <c r="D1287" t="s">
        <v>264</v>
      </c>
      <c r="E1287" s="1">
        <v>43089</v>
      </c>
      <c r="F1287" t="s">
        <v>21</v>
      </c>
      <c r="G1287" t="s">
        <v>2018</v>
      </c>
      <c r="H1287">
        <v>-228</v>
      </c>
      <c r="I1287" t="s">
        <v>1033</v>
      </c>
      <c r="J1287">
        <v>0</v>
      </c>
      <c r="M1287" t="s">
        <v>170</v>
      </c>
      <c r="N1287" t="s">
        <v>2026</v>
      </c>
    </row>
    <row r="1288" spans="1:17" x14ac:dyDescent="0.25">
      <c r="A1288" t="s">
        <v>568</v>
      </c>
      <c r="B1288" t="s">
        <v>1402</v>
      </c>
      <c r="C1288">
        <v>160</v>
      </c>
      <c r="D1288" t="s">
        <v>264</v>
      </c>
      <c r="E1288" s="1">
        <v>43089</v>
      </c>
      <c r="F1288" t="s">
        <v>21</v>
      </c>
      <c r="G1288" t="s">
        <v>2018</v>
      </c>
      <c r="H1288">
        <v>-228</v>
      </c>
      <c r="I1288" t="s">
        <v>1033</v>
      </c>
      <c r="J1288">
        <v>0</v>
      </c>
      <c r="K1288">
        <v>0</v>
      </c>
      <c r="M1288" t="s">
        <v>255</v>
      </c>
      <c r="N1288" t="s">
        <v>2026</v>
      </c>
      <c r="O1288">
        <v>0</v>
      </c>
      <c r="P1288">
        <v>0</v>
      </c>
      <c r="Q1288" t="s">
        <v>249</v>
      </c>
    </row>
    <row r="1289" spans="1:17" x14ac:dyDescent="0.25">
      <c r="A1289" t="s">
        <v>569</v>
      </c>
      <c r="B1289" t="s">
        <v>1403</v>
      </c>
      <c r="C1289">
        <v>160</v>
      </c>
      <c r="D1289" t="s">
        <v>264</v>
      </c>
      <c r="E1289" s="1">
        <v>43089</v>
      </c>
      <c r="F1289" t="s">
        <v>21</v>
      </c>
      <c r="G1289" t="s">
        <v>2018</v>
      </c>
      <c r="H1289">
        <v>-5</v>
      </c>
      <c r="I1289" t="s">
        <v>1033</v>
      </c>
      <c r="J1289">
        <v>0</v>
      </c>
      <c r="M1289" t="s">
        <v>170</v>
      </c>
      <c r="N1289" t="s">
        <v>2027</v>
      </c>
    </row>
    <row r="1290" spans="1:17" x14ac:dyDescent="0.25">
      <c r="A1290" t="s">
        <v>569</v>
      </c>
      <c r="B1290" t="s">
        <v>1403</v>
      </c>
      <c r="C1290">
        <v>160</v>
      </c>
      <c r="D1290" t="s">
        <v>264</v>
      </c>
      <c r="E1290" s="1">
        <v>43089</v>
      </c>
      <c r="F1290" t="s">
        <v>21</v>
      </c>
      <c r="G1290" t="s">
        <v>2018</v>
      </c>
      <c r="H1290">
        <v>-5</v>
      </c>
      <c r="I1290" t="s">
        <v>1033</v>
      </c>
      <c r="J1290">
        <v>0</v>
      </c>
      <c r="K1290">
        <v>0</v>
      </c>
      <c r="M1290" t="s">
        <v>255</v>
      </c>
      <c r="N1290" t="s">
        <v>2027</v>
      </c>
      <c r="O1290">
        <v>0</v>
      </c>
      <c r="P1290">
        <v>0</v>
      </c>
      <c r="Q1290" t="s">
        <v>249</v>
      </c>
    </row>
    <row r="1291" spans="1:17" x14ac:dyDescent="0.25">
      <c r="A1291" t="s">
        <v>570</v>
      </c>
      <c r="B1291" t="s">
        <v>1404</v>
      </c>
      <c r="C1291">
        <v>160</v>
      </c>
      <c r="D1291" t="s">
        <v>264</v>
      </c>
      <c r="E1291" s="1">
        <v>43089</v>
      </c>
      <c r="F1291" t="s">
        <v>21</v>
      </c>
      <c r="G1291" t="s">
        <v>2018</v>
      </c>
      <c r="H1291">
        <v>-39</v>
      </c>
      <c r="I1291" t="s">
        <v>1033</v>
      </c>
      <c r="J1291">
        <v>0</v>
      </c>
      <c r="M1291" t="s">
        <v>170</v>
      </c>
      <c r="N1291" t="s">
        <v>2028</v>
      </c>
    </row>
    <row r="1292" spans="1:17" x14ac:dyDescent="0.25">
      <c r="A1292" t="s">
        <v>570</v>
      </c>
      <c r="B1292" t="s">
        <v>1404</v>
      </c>
      <c r="C1292">
        <v>160</v>
      </c>
      <c r="D1292" t="s">
        <v>264</v>
      </c>
      <c r="E1292" s="1">
        <v>43089</v>
      </c>
      <c r="F1292" t="s">
        <v>21</v>
      </c>
      <c r="G1292" t="s">
        <v>2018</v>
      </c>
      <c r="H1292">
        <v>-39</v>
      </c>
      <c r="I1292" t="s">
        <v>1033</v>
      </c>
      <c r="J1292">
        <v>0</v>
      </c>
      <c r="K1292">
        <v>0</v>
      </c>
      <c r="M1292" t="s">
        <v>255</v>
      </c>
      <c r="N1292" t="s">
        <v>2028</v>
      </c>
      <c r="O1292">
        <v>0</v>
      </c>
      <c r="P1292">
        <v>0</v>
      </c>
      <c r="Q1292" t="s">
        <v>249</v>
      </c>
    </row>
    <row r="1293" spans="1:17" x14ac:dyDescent="0.25">
      <c r="A1293" t="s">
        <v>571</v>
      </c>
      <c r="B1293" t="s">
        <v>1407</v>
      </c>
      <c r="C1293">
        <v>160</v>
      </c>
      <c r="D1293" t="s">
        <v>264</v>
      </c>
      <c r="E1293" s="1">
        <v>43089</v>
      </c>
      <c r="F1293" t="s">
        <v>21</v>
      </c>
      <c r="G1293" t="s">
        <v>2018</v>
      </c>
      <c r="H1293">
        <v>-1</v>
      </c>
      <c r="I1293" t="s">
        <v>37</v>
      </c>
      <c r="J1293">
        <v>0</v>
      </c>
      <c r="M1293" t="s">
        <v>170</v>
      </c>
      <c r="N1293" t="s">
        <v>2029</v>
      </c>
    </row>
    <row r="1294" spans="1:17" x14ac:dyDescent="0.25">
      <c r="A1294" t="s">
        <v>571</v>
      </c>
      <c r="B1294" t="s">
        <v>1407</v>
      </c>
      <c r="C1294">
        <v>160</v>
      </c>
      <c r="D1294" t="s">
        <v>264</v>
      </c>
      <c r="E1294" s="1">
        <v>43089</v>
      </c>
      <c r="F1294" t="s">
        <v>21</v>
      </c>
      <c r="G1294" t="s">
        <v>2018</v>
      </c>
      <c r="H1294">
        <v>-1</v>
      </c>
      <c r="I1294" t="s">
        <v>37</v>
      </c>
      <c r="J1294">
        <v>0</v>
      </c>
      <c r="K1294">
        <v>0</v>
      </c>
      <c r="M1294" t="s">
        <v>255</v>
      </c>
      <c r="N1294" t="s">
        <v>2029</v>
      </c>
      <c r="O1294">
        <v>0</v>
      </c>
      <c r="P1294">
        <v>0</v>
      </c>
      <c r="Q1294" t="s">
        <v>249</v>
      </c>
    </row>
    <row r="1295" spans="1:17" x14ac:dyDescent="0.25">
      <c r="A1295" t="s">
        <v>573</v>
      </c>
      <c r="B1295" t="s">
        <v>1409</v>
      </c>
      <c r="C1295">
        <v>160</v>
      </c>
      <c r="D1295" t="s">
        <v>264</v>
      </c>
      <c r="E1295" s="1">
        <v>43089</v>
      </c>
      <c r="F1295" t="s">
        <v>21</v>
      </c>
      <c r="G1295" t="s">
        <v>2018</v>
      </c>
      <c r="H1295">
        <v>78</v>
      </c>
      <c r="I1295" t="s">
        <v>37</v>
      </c>
      <c r="J1295">
        <v>0</v>
      </c>
      <c r="M1295" t="s">
        <v>170</v>
      </c>
      <c r="N1295" t="s">
        <v>2030</v>
      </c>
    </row>
    <row r="1296" spans="1:17" x14ac:dyDescent="0.25">
      <c r="A1296" t="s">
        <v>573</v>
      </c>
      <c r="B1296" t="s">
        <v>1409</v>
      </c>
      <c r="C1296">
        <v>160</v>
      </c>
      <c r="D1296" t="s">
        <v>264</v>
      </c>
      <c r="E1296" s="1">
        <v>43089</v>
      </c>
      <c r="F1296" t="s">
        <v>21</v>
      </c>
      <c r="G1296" t="s">
        <v>2018</v>
      </c>
      <c r="H1296">
        <v>78</v>
      </c>
      <c r="I1296" t="s">
        <v>37</v>
      </c>
      <c r="J1296">
        <v>0</v>
      </c>
      <c r="M1296" t="s">
        <v>255</v>
      </c>
      <c r="N1296" t="s">
        <v>2030</v>
      </c>
      <c r="O1296">
        <v>0</v>
      </c>
      <c r="P1296">
        <v>0</v>
      </c>
      <c r="Q1296" t="s">
        <v>249</v>
      </c>
    </row>
    <row r="1297" spans="1:17" x14ac:dyDescent="0.25">
      <c r="A1297" t="s">
        <v>575</v>
      </c>
      <c r="B1297" t="s">
        <v>1411</v>
      </c>
      <c r="C1297">
        <v>160</v>
      </c>
      <c r="D1297" t="s">
        <v>264</v>
      </c>
      <c r="E1297" s="1">
        <v>43089</v>
      </c>
      <c r="F1297" t="s">
        <v>21</v>
      </c>
      <c r="G1297" t="s">
        <v>2018</v>
      </c>
      <c r="H1297">
        <v>623</v>
      </c>
      <c r="I1297" t="s">
        <v>37</v>
      </c>
      <c r="J1297">
        <v>0</v>
      </c>
      <c r="M1297" t="s">
        <v>170</v>
      </c>
      <c r="N1297" t="s">
        <v>2031</v>
      </c>
    </row>
    <row r="1298" spans="1:17" x14ac:dyDescent="0.25">
      <c r="A1298" t="s">
        <v>575</v>
      </c>
      <c r="B1298" t="s">
        <v>1411</v>
      </c>
      <c r="C1298">
        <v>160</v>
      </c>
      <c r="D1298" t="s">
        <v>264</v>
      </c>
      <c r="E1298" s="1">
        <v>43089</v>
      </c>
      <c r="F1298" t="s">
        <v>21</v>
      </c>
      <c r="G1298" t="s">
        <v>2018</v>
      </c>
      <c r="H1298">
        <v>623</v>
      </c>
      <c r="I1298" t="s">
        <v>37</v>
      </c>
      <c r="J1298">
        <v>0</v>
      </c>
      <c r="M1298" t="s">
        <v>255</v>
      </c>
      <c r="N1298" t="s">
        <v>2031</v>
      </c>
      <c r="O1298">
        <v>0</v>
      </c>
      <c r="P1298">
        <v>0</v>
      </c>
      <c r="Q1298" t="s">
        <v>249</v>
      </c>
    </row>
    <row r="1299" spans="1:17" x14ac:dyDescent="0.25">
      <c r="A1299" t="s">
        <v>576</v>
      </c>
      <c r="B1299" t="s">
        <v>1412</v>
      </c>
      <c r="C1299">
        <v>160</v>
      </c>
      <c r="D1299" t="s">
        <v>264</v>
      </c>
      <c r="E1299" s="1">
        <v>43089</v>
      </c>
      <c r="F1299" t="s">
        <v>21</v>
      </c>
      <c r="G1299" t="s">
        <v>2018</v>
      </c>
      <c r="H1299">
        <v>33</v>
      </c>
      <c r="I1299" t="s">
        <v>37</v>
      </c>
      <c r="J1299">
        <v>0</v>
      </c>
      <c r="M1299" t="s">
        <v>170</v>
      </c>
      <c r="N1299" t="s">
        <v>2032</v>
      </c>
    </row>
    <row r="1300" spans="1:17" x14ac:dyDescent="0.25">
      <c r="A1300" t="s">
        <v>576</v>
      </c>
      <c r="B1300" t="s">
        <v>1412</v>
      </c>
      <c r="C1300">
        <v>160</v>
      </c>
      <c r="D1300" t="s">
        <v>264</v>
      </c>
      <c r="E1300" s="1">
        <v>43089</v>
      </c>
      <c r="F1300" t="s">
        <v>21</v>
      </c>
      <c r="G1300" t="s">
        <v>2018</v>
      </c>
      <c r="H1300">
        <v>33</v>
      </c>
      <c r="I1300" t="s">
        <v>37</v>
      </c>
      <c r="J1300">
        <v>0</v>
      </c>
      <c r="M1300" t="s">
        <v>255</v>
      </c>
      <c r="N1300" t="s">
        <v>2032</v>
      </c>
      <c r="O1300">
        <v>0</v>
      </c>
      <c r="P1300">
        <v>0</v>
      </c>
      <c r="Q1300" t="s">
        <v>249</v>
      </c>
    </row>
    <row r="1301" spans="1:17" x14ac:dyDescent="0.25">
      <c r="A1301" t="s">
        <v>577</v>
      </c>
      <c r="B1301" t="s">
        <v>1413</v>
      </c>
      <c r="C1301">
        <v>160</v>
      </c>
      <c r="D1301" t="s">
        <v>264</v>
      </c>
      <c r="E1301" s="1">
        <v>43089</v>
      </c>
      <c r="F1301" t="s">
        <v>21</v>
      </c>
      <c r="G1301" t="s">
        <v>2018</v>
      </c>
      <c r="H1301">
        <v>327</v>
      </c>
      <c r="I1301" t="s">
        <v>37</v>
      </c>
      <c r="J1301">
        <v>0</v>
      </c>
      <c r="M1301" t="s">
        <v>170</v>
      </c>
      <c r="N1301" t="s">
        <v>2033</v>
      </c>
    </row>
    <row r="1302" spans="1:17" x14ac:dyDescent="0.25">
      <c r="A1302" t="s">
        <v>577</v>
      </c>
      <c r="B1302" t="s">
        <v>1413</v>
      </c>
      <c r="C1302">
        <v>160</v>
      </c>
      <c r="D1302" t="s">
        <v>264</v>
      </c>
      <c r="E1302" s="1">
        <v>43089</v>
      </c>
      <c r="F1302" t="s">
        <v>21</v>
      </c>
      <c r="G1302" t="s">
        <v>2018</v>
      </c>
      <c r="H1302">
        <v>327</v>
      </c>
      <c r="I1302" t="s">
        <v>37</v>
      </c>
      <c r="J1302">
        <v>0</v>
      </c>
      <c r="M1302" t="s">
        <v>255</v>
      </c>
      <c r="N1302" t="s">
        <v>2033</v>
      </c>
      <c r="O1302">
        <v>0</v>
      </c>
      <c r="P1302">
        <v>0</v>
      </c>
      <c r="Q1302" t="s">
        <v>249</v>
      </c>
    </row>
    <row r="1303" spans="1:17" x14ac:dyDescent="0.25">
      <c r="A1303" t="s">
        <v>578</v>
      </c>
      <c r="B1303" t="s">
        <v>1414</v>
      </c>
      <c r="C1303">
        <v>160</v>
      </c>
      <c r="D1303" t="s">
        <v>264</v>
      </c>
      <c r="E1303" s="1">
        <v>43089</v>
      </c>
      <c r="F1303" t="s">
        <v>21</v>
      </c>
      <c r="G1303" t="s">
        <v>2018</v>
      </c>
      <c r="H1303">
        <v>159</v>
      </c>
      <c r="I1303" t="s">
        <v>37</v>
      </c>
      <c r="J1303">
        <v>0</v>
      </c>
      <c r="M1303" t="s">
        <v>170</v>
      </c>
      <c r="N1303" t="s">
        <v>2034</v>
      </c>
    </row>
    <row r="1304" spans="1:17" x14ac:dyDescent="0.25">
      <c r="A1304" t="s">
        <v>578</v>
      </c>
      <c r="B1304" t="s">
        <v>1414</v>
      </c>
      <c r="C1304">
        <v>160</v>
      </c>
      <c r="D1304" t="s">
        <v>264</v>
      </c>
      <c r="E1304" s="1">
        <v>43089</v>
      </c>
      <c r="F1304" t="s">
        <v>21</v>
      </c>
      <c r="G1304" t="s">
        <v>2018</v>
      </c>
      <c r="H1304">
        <v>159</v>
      </c>
      <c r="I1304" t="s">
        <v>37</v>
      </c>
      <c r="J1304">
        <v>0</v>
      </c>
      <c r="M1304" t="s">
        <v>255</v>
      </c>
      <c r="N1304" t="s">
        <v>2034</v>
      </c>
      <c r="O1304">
        <v>0</v>
      </c>
      <c r="P1304">
        <v>0</v>
      </c>
      <c r="Q1304" t="s">
        <v>249</v>
      </c>
    </row>
    <row r="1305" spans="1:17" ht="75" x14ac:dyDescent="0.25">
      <c r="A1305" t="s">
        <v>579</v>
      </c>
      <c r="B1305" s="15" t="s">
        <v>1415</v>
      </c>
      <c r="C1305">
        <v>160</v>
      </c>
      <c r="D1305" t="s">
        <v>264</v>
      </c>
      <c r="E1305" s="1">
        <v>43089</v>
      </c>
      <c r="F1305" t="s">
        <v>21</v>
      </c>
      <c r="G1305" t="s">
        <v>2018</v>
      </c>
      <c r="H1305">
        <v>-15</v>
      </c>
      <c r="I1305" t="s">
        <v>37</v>
      </c>
      <c r="J1305">
        <v>0</v>
      </c>
      <c r="M1305" t="s">
        <v>170</v>
      </c>
      <c r="N1305" t="s">
        <v>2035</v>
      </c>
    </row>
    <row r="1306" spans="1:17" ht="75" x14ac:dyDescent="0.25">
      <c r="A1306" t="s">
        <v>579</v>
      </c>
      <c r="B1306" s="15" t="s">
        <v>1415</v>
      </c>
      <c r="C1306">
        <v>160</v>
      </c>
      <c r="D1306" t="s">
        <v>264</v>
      </c>
      <c r="E1306" s="1">
        <v>43089</v>
      </c>
      <c r="F1306" t="s">
        <v>21</v>
      </c>
      <c r="G1306" t="s">
        <v>2018</v>
      </c>
      <c r="H1306">
        <v>-15</v>
      </c>
      <c r="I1306" t="s">
        <v>37</v>
      </c>
      <c r="J1306">
        <v>0</v>
      </c>
      <c r="K1306">
        <v>0</v>
      </c>
      <c r="M1306" t="s">
        <v>255</v>
      </c>
      <c r="N1306" t="s">
        <v>2035</v>
      </c>
      <c r="O1306">
        <v>0</v>
      </c>
      <c r="P1306">
        <v>0</v>
      </c>
      <c r="Q1306" t="s">
        <v>249</v>
      </c>
    </row>
    <row r="1307" spans="1:17" x14ac:dyDescent="0.25">
      <c r="A1307" t="s">
        <v>580</v>
      </c>
      <c r="B1307" t="s">
        <v>1416</v>
      </c>
      <c r="C1307">
        <v>160</v>
      </c>
      <c r="D1307" t="s">
        <v>264</v>
      </c>
      <c r="E1307" s="1">
        <v>43089</v>
      </c>
      <c r="F1307" t="s">
        <v>21</v>
      </c>
      <c r="G1307" t="s">
        <v>2018</v>
      </c>
      <c r="H1307">
        <v>-450</v>
      </c>
      <c r="I1307" t="s">
        <v>37</v>
      </c>
      <c r="J1307">
        <v>0</v>
      </c>
      <c r="M1307" t="s">
        <v>170</v>
      </c>
      <c r="N1307" t="s">
        <v>2036</v>
      </c>
    </row>
    <row r="1308" spans="1:17" x14ac:dyDescent="0.25">
      <c r="A1308" t="s">
        <v>580</v>
      </c>
      <c r="B1308" t="s">
        <v>1416</v>
      </c>
      <c r="C1308">
        <v>160</v>
      </c>
      <c r="D1308" t="s">
        <v>264</v>
      </c>
      <c r="E1308" s="1">
        <v>43089</v>
      </c>
      <c r="F1308" t="s">
        <v>21</v>
      </c>
      <c r="G1308" t="s">
        <v>2018</v>
      </c>
      <c r="H1308">
        <v>-450</v>
      </c>
      <c r="I1308" t="s">
        <v>37</v>
      </c>
      <c r="J1308">
        <v>0</v>
      </c>
      <c r="K1308">
        <v>0</v>
      </c>
      <c r="M1308" t="s">
        <v>255</v>
      </c>
      <c r="N1308" t="s">
        <v>2036</v>
      </c>
      <c r="O1308">
        <v>0</v>
      </c>
      <c r="P1308">
        <v>0</v>
      </c>
      <c r="Q1308" t="s">
        <v>249</v>
      </c>
    </row>
    <row r="1309" spans="1:17" x14ac:dyDescent="0.25">
      <c r="A1309" t="s">
        <v>581</v>
      </c>
      <c r="B1309" t="s">
        <v>1417</v>
      </c>
      <c r="C1309">
        <v>160</v>
      </c>
      <c r="D1309" t="s">
        <v>264</v>
      </c>
      <c r="E1309" s="1">
        <v>43089</v>
      </c>
      <c r="F1309" t="s">
        <v>21</v>
      </c>
      <c r="G1309" t="s">
        <v>2018</v>
      </c>
      <c r="H1309">
        <v>999</v>
      </c>
      <c r="I1309" t="s">
        <v>1033</v>
      </c>
      <c r="J1309">
        <v>0</v>
      </c>
      <c r="M1309" t="s">
        <v>170</v>
      </c>
      <c r="N1309" t="s">
        <v>2037</v>
      </c>
    </row>
    <row r="1310" spans="1:17" x14ac:dyDescent="0.25">
      <c r="A1310" t="s">
        <v>581</v>
      </c>
      <c r="B1310" t="s">
        <v>1417</v>
      </c>
      <c r="C1310">
        <v>160</v>
      </c>
      <c r="D1310" t="s">
        <v>264</v>
      </c>
      <c r="E1310" s="1">
        <v>43089</v>
      </c>
      <c r="F1310" t="s">
        <v>21</v>
      </c>
      <c r="G1310" t="s">
        <v>2018</v>
      </c>
      <c r="H1310">
        <v>999</v>
      </c>
      <c r="I1310" t="s">
        <v>1033</v>
      </c>
      <c r="J1310">
        <v>0</v>
      </c>
      <c r="M1310" t="s">
        <v>255</v>
      </c>
      <c r="N1310" t="s">
        <v>2037</v>
      </c>
      <c r="O1310">
        <v>0</v>
      </c>
      <c r="P1310">
        <v>0</v>
      </c>
      <c r="Q1310" t="s">
        <v>249</v>
      </c>
    </row>
    <row r="1311" spans="1:17" x14ac:dyDescent="0.25">
      <c r="A1311" t="s">
        <v>582</v>
      </c>
      <c r="B1311" t="s">
        <v>1418</v>
      </c>
      <c r="C1311">
        <v>160</v>
      </c>
      <c r="D1311" t="s">
        <v>264</v>
      </c>
      <c r="E1311" s="1">
        <v>43089</v>
      </c>
      <c r="F1311" t="s">
        <v>21</v>
      </c>
      <c r="G1311" t="s">
        <v>2018</v>
      </c>
      <c r="H1311">
        <v>998</v>
      </c>
      <c r="I1311" t="s">
        <v>1033</v>
      </c>
      <c r="J1311">
        <v>0</v>
      </c>
      <c r="M1311" t="s">
        <v>170</v>
      </c>
      <c r="N1311" t="s">
        <v>2038</v>
      </c>
    </row>
    <row r="1312" spans="1:17" x14ac:dyDescent="0.25">
      <c r="A1312" t="s">
        <v>582</v>
      </c>
      <c r="B1312" t="s">
        <v>1418</v>
      </c>
      <c r="C1312">
        <v>160</v>
      </c>
      <c r="D1312" t="s">
        <v>264</v>
      </c>
      <c r="E1312" s="1">
        <v>43089</v>
      </c>
      <c r="F1312" t="s">
        <v>21</v>
      </c>
      <c r="G1312" t="s">
        <v>2018</v>
      </c>
      <c r="H1312">
        <v>998</v>
      </c>
      <c r="I1312" t="s">
        <v>1033</v>
      </c>
      <c r="J1312">
        <v>0</v>
      </c>
      <c r="M1312" t="s">
        <v>255</v>
      </c>
      <c r="N1312" t="s">
        <v>2038</v>
      </c>
      <c r="O1312">
        <v>0</v>
      </c>
      <c r="P1312">
        <v>0</v>
      </c>
      <c r="Q1312" t="s">
        <v>249</v>
      </c>
    </row>
    <row r="1313" spans="1:17" x14ac:dyDescent="0.25">
      <c r="A1313" t="s">
        <v>583</v>
      </c>
      <c r="B1313" t="s">
        <v>1419</v>
      </c>
      <c r="C1313">
        <v>160</v>
      </c>
      <c r="D1313" t="s">
        <v>264</v>
      </c>
      <c r="E1313" s="1">
        <v>43089</v>
      </c>
      <c r="F1313" t="s">
        <v>21</v>
      </c>
      <c r="G1313" t="s">
        <v>2018</v>
      </c>
      <c r="H1313">
        <v>999</v>
      </c>
      <c r="I1313" t="s">
        <v>1033</v>
      </c>
      <c r="J1313">
        <v>0</v>
      </c>
      <c r="M1313" t="s">
        <v>170</v>
      </c>
      <c r="N1313" t="s">
        <v>2039</v>
      </c>
    </row>
    <row r="1314" spans="1:17" x14ac:dyDescent="0.25">
      <c r="A1314" t="s">
        <v>583</v>
      </c>
      <c r="B1314" t="s">
        <v>1419</v>
      </c>
      <c r="C1314">
        <v>160</v>
      </c>
      <c r="D1314" t="s">
        <v>264</v>
      </c>
      <c r="E1314" s="1">
        <v>43089</v>
      </c>
      <c r="F1314" t="s">
        <v>21</v>
      </c>
      <c r="G1314" t="s">
        <v>2018</v>
      </c>
      <c r="H1314">
        <v>999</v>
      </c>
      <c r="I1314" t="s">
        <v>1033</v>
      </c>
      <c r="J1314">
        <v>0</v>
      </c>
      <c r="M1314" t="s">
        <v>255</v>
      </c>
      <c r="N1314" t="s">
        <v>2039</v>
      </c>
      <c r="O1314">
        <v>0</v>
      </c>
      <c r="P1314">
        <v>0</v>
      </c>
      <c r="Q1314" t="s">
        <v>249</v>
      </c>
    </row>
    <row r="1315" spans="1:17" x14ac:dyDescent="0.25">
      <c r="A1315" t="s">
        <v>584</v>
      </c>
      <c r="B1315" t="s">
        <v>1420</v>
      </c>
      <c r="C1315">
        <v>160</v>
      </c>
      <c r="D1315" t="s">
        <v>264</v>
      </c>
      <c r="E1315" s="1">
        <v>43089</v>
      </c>
      <c r="F1315" t="s">
        <v>21</v>
      </c>
      <c r="G1315" t="s">
        <v>2018</v>
      </c>
      <c r="H1315">
        <v>2497</v>
      </c>
      <c r="I1315" t="s">
        <v>1033</v>
      </c>
      <c r="J1315">
        <v>0</v>
      </c>
      <c r="M1315" t="s">
        <v>170</v>
      </c>
      <c r="N1315" t="s">
        <v>2040</v>
      </c>
    </row>
    <row r="1316" spans="1:17" x14ac:dyDescent="0.25">
      <c r="A1316" t="s">
        <v>584</v>
      </c>
      <c r="B1316" t="s">
        <v>1420</v>
      </c>
      <c r="C1316">
        <v>160</v>
      </c>
      <c r="D1316" t="s">
        <v>264</v>
      </c>
      <c r="E1316" s="1">
        <v>43089</v>
      </c>
      <c r="F1316" t="s">
        <v>21</v>
      </c>
      <c r="G1316" t="s">
        <v>2018</v>
      </c>
      <c r="H1316">
        <v>2497</v>
      </c>
      <c r="I1316" t="s">
        <v>1033</v>
      </c>
      <c r="J1316">
        <v>0</v>
      </c>
      <c r="M1316" t="s">
        <v>255</v>
      </c>
      <c r="N1316" t="s">
        <v>2040</v>
      </c>
      <c r="O1316">
        <v>0</v>
      </c>
      <c r="P1316">
        <v>0</v>
      </c>
      <c r="Q1316" t="s">
        <v>249</v>
      </c>
    </row>
    <row r="1317" spans="1:17" x14ac:dyDescent="0.25">
      <c r="A1317" t="s">
        <v>585</v>
      </c>
      <c r="B1317" t="s">
        <v>1421</v>
      </c>
      <c r="C1317">
        <v>160</v>
      </c>
      <c r="D1317" t="s">
        <v>264</v>
      </c>
      <c r="E1317" s="1">
        <v>43089</v>
      </c>
      <c r="F1317" t="s">
        <v>21</v>
      </c>
      <c r="G1317" t="s">
        <v>2018</v>
      </c>
      <c r="H1317">
        <v>4479</v>
      </c>
      <c r="I1317" t="s">
        <v>37</v>
      </c>
      <c r="J1317">
        <v>0</v>
      </c>
      <c r="M1317" t="s">
        <v>170</v>
      </c>
      <c r="N1317" t="s">
        <v>2041</v>
      </c>
    </row>
    <row r="1318" spans="1:17" x14ac:dyDescent="0.25">
      <c r="A1318" t="s">
        <v>585</v>
      </c>
      <c r="B1318" t="s">
        <v>1421</v>
      </c>
      <c r="C1318">
        <v>160</v>
      </c>
      <c r="D1318" t="s">
        <v>264</v>
      </c>
      <c r="E1318" s="1">
        <v>43089</v>
      </c>
      <c r="F1318" t="s">
        <v>21</v>
      </c>
      <c r="G1318" t="s">
        <v>2018</v>
      </c>
      <c r="H1318">
        <v>4479</v>
      </c>
      <c r="I1318" t="s">
        <v>37</v>
      </c>
      <c r="J1318">
        <v>0</v>
      </c>
      <c r="M1318" t="s">
        <v>255</v>
      </c>
      <c r="N1318" t="s">
        <v>2041</v>
      </c>
      <c r="O1318">
        <v>0</v>
      </c>
      <c r="P1318">
        <v>0</v>
      </c>
      <c r="Q1318" t="s">
        <v>249</v>
      </c>
    </row>
    <row r="1319" spans="1:17" x14ac:dyDescent="0.25">
      <c r="A1319" t="s">
        <v>586</v>
      </c>
      <c r="B1319" t="s">
        <v>1426</v>
      </c>
      <c r="C1319">
        <v>160</v>
      </c>
      <c r="D1319" t="s">
        <v>264</v>
      </c>
      <c r="E1319" s="1">
        <v>43089</v>
      </c>
      <c r="F1319" t="s">
        <v>21</v>
      </c>
      <c r="G1319" t="s">
        <v>2018</v>
      </c>
      <c r="H1319">
        <v>242</v>
      </c>
      <c r="I1319" t="s">
        <v>37</v>
      </c>
      <c r="J1319">
        <v>0</v>
      </c>
      <c r="M1319" t="s">
        <v>170</v>
      </c>
      <c r="N1319" t="s">
        <v>2042</v>
      </c>
    </row>
    <row r="1320" spans="1:17" x14ac:dyDescent="0.25">
      <c r="A1320" t="s">
        <v>586</v>
      </c>
      <c r="B1320" t="s">
        <v>1426</v>
      </c>
      <c r="C1320">
        <v>160</v>
      </c>
      <c r="D1320" t="s">
        <v>264</v>
      </c>
      <c r="E1320" s="1">
        <v>43089</v>
      </c>
      <c r="F1320" t="s">
        <v>21</v>
      </c>
      <c r="G1320" t="s">
        <v>2018</v>
      </c>
      <c r="H1320">
        <v>242</v>
      </c>
      <c r="I1320" t="s">
        <v>37</v>
      </c>
      <c r="J1320">
        <v>0</v>
      </c>
      <c r="M1320" t="s">
        <v>255</v>
      </c>
      <c r="N1320" t="s">
        <v>2042</v>
      </c>
      <c r="O1320">
        <v>0</v>
      </c>
      <c r="P1320">
        <v>0</v>
      </c>
      <c r="Q1320" t="s">
        <v>249</v>
      </c>
    </row>
    <row r="1321" spans="1:17" x14ac:dyDescent="0.25">
      <c r="A1321" t="s">
        <v>587</v>
      </c>
      <c r="B1321" t="s">
        <v>1427</v>
      </c>
      <c r="C1321">
        <v>160</v>
      </c>
      <c r="D1321" t="s">
        <v>264</v>
      </c>
      <c r="E1321" s="1">
        <v>43089</v>
      </c>
      <c r="F1321" t="s">
        <v>21</v>
      </c>
      <c r="G1321" t="s">
        <v>2018</v>
      </c>
      <c r="H1321">
        <v>-4</v>
      </c>
      <c r="I1321" t="s">
        <v>37</v>
      </c>
      <c r="J1321">
        <v>0</v>
      </c>
      <c r="M1321" t="s">
        <v>170</v>
      </c>
      <c r="N1321" t="s">
        <v>2043</v>
      </c>
    </row>
    <row r="1322" spans="1:17" x14ac:dyDescent="0.25">
      <c r="A1322" t="s">
        <v>587</v>
      </c>
      <c r="B1322" t="s">
        <v>1427</v>
      </c>
      <c r="C1322">
        <v>160</v>
      </c>
      <c r="D1322" t="s">
        <v>264</v>
      </c>
      <c r="E1322" s="1">
        <v>43089</v>
      </c>
      <c r="F1322" t="s">
        <v>21</v>
      </c>
      <c r="G1322" t="s">
        <v>2018</v>
      </c>
      <c r="H1322">
        <v>-4</v>
      </c>
      <c r="I1322" t="s">
        <v>37</v>
      </c>
      <c r="J1322">
        <v>0</v>
      </c>
      <c r="K1322">
        <v>0</v>
      </c>
      <c r="M1322" t="s">
        <v>255</v>
      </c>
      <c r="N1322" t="s">
        <v>2043</v>
      </c>
      <c r="O1322">
        <v>0</v>
      </c>
      <c r="P1322">
        <v>0</v>
      </c>
      <c r="Q1322" t="s">
        <v>249</v>
      </c>
    </row>
    <row r="1323" spans="1:17" x14ac:dyDescent="0.25">
      <c r="A1323" t="s">
        <v>588</v>
      </c>
      <c r="B1323" t="s">
        <v>1428</v>
      </c>
      <c r="C1323">
        <v>160</v>
      </c>
      <c r="D1323" t="s">
        <v>264</v>
      </c>
      <c r="E1323" s="1">
        <v>43089</v>
      </c>
      <c r="F1323" t="s">
        <v>21</v>
      </c>
      <c r="G1323" t="s">
        <v>2018</v>
      </c>
      <c r="H1323">
        <v>-3</v>
      </c>
      <c r="I1323" t="s">
        <v>37</v>
      </c>
      <c r="J1323">
        <v>0</v>
      </c>
      <c r="M1323" t="s">
        <v>170</v>
      </c>
      <c r="N1323" t="s">
        <v>2044</v>
      </c>
    </row>
    <row r="1324" spans="1:17" x14ac:dyDescent="0.25">
      <c r="A1324" t="s">
        <v>588</v>
      </c>
      <c r="B1324" t="s">
        <v>1428</v>
      </c>
      <c r="C1324">
        <v>160</v>
      </c>
      <c r="D1324" t="s">
        <v>264</v>
      </c>
      <c r="E1324" s="1">
        <v>43089</v>
      </c>
      <c r="F1324" t="s">
        <v>21</v>
      </c>
      <c r="G1324" t="s">
        <v>2018</v>
      </c>
      <c r="H1324">
        <v>-3</v>
      </c>
      <c r="I1324" t="s">
        <v>37</v>
      </c>
      <c r="J1324">
        <v>0</v>
      </c>
      <c r="K1324">
        <v>0</v>
      </c>
      <c r="M1324" t="s">
        <v>255</v>
      </c>
      <c r="N1324" t="s">
        <v>2044</v>
      </c>
      <c r="O1324">
        <v>0</v>
      </c>
      <c r="P1324">
        <v>0</v>
      </c>
      <c r="Q1324" t="s">
        <v>249</v>
      </c>
    </row>
    <row r="1325" spans="1:17" x14ac:dyDescent="0.25">
      <c r="A1325" t="s">
        <v>589</v>
      </c>
      <c r="B1325" t="s">
        <v>1431</v>
      </c>
      <c r="C1325">
        <v>160</v>
      </c>
      <c r="D1325" t="s">
        <v>264</v>
      </c>
      <c r="E1325" s="1">
        <v>43089</v>
      </c>
      <c r="F1325" t="s">
        <v>21</v>
      </c>
      <c r="G1325" t="s">
        <v>2018</v>
      </c>
      <c r="H1325">
        <v>-6</v>
      </c>
      <c r="I1325" t="s">
        <v>37</v>
      </c>
      <c r="J1325">
        <v>0</v>
      </c>
      <c r="M1325" t="s">
        <v>170</v>
      </c>
      <c r="N1325" t="s">
        <v>2045</v>
      </c>
    </row>
    <row r="1326" spans="1:17" x14ac:dyDescent="0.25">
      <c r="A1326" t="s">
        <v>589</v>
      </c>
      <c r="B1326" t="s">
        <v>1431</v>
      </c>
      <c r="C1326">
        <v>160</v>
      </c>
      <c r="D1326" t="s">
        <v>264</v>
      </c>
      <c r="E1326" s="1">
        <v>43089</v>
      </c>
      <c r="F1326" t="s">
        <v>21</v>
      </c>
      <c r="G1326" t="s">
        <v>2018</v>
      </c>
      <c r="H1326">
        <v>-6</v>
      </c>
      <c r="I1326" t="s">
        <v>37</v>
      </c>
      <c r="J1326">
        <v>0</v>
      </c>
      <c r="K1326">
        <v>0</v>
      </c>
      <c r="M1326" t="s">
        <v>255</v>
      </c>
      <c r="N1326" t="s">
        <v>2045</v>
      </c>
      <c r="O1326">
        <v>0</v>
      </c>
      <c r="P1326">
        <v>0</v>
      </c>
      <c r="Q1326" t="s">
        <v>249</v>
      </c>
    </row>
    <row r="1327" spans="1:17" x14ac:dyDescent="0.25">
      <c r="A1327" t="s">
        <v>590</v>
      </c>
      <c r="B1327" t="s">
        <v>1432</v>
      </c>
      <c r="C1327">
        <v>160</v>
      </c>
      <c r="D1327" t="s">
        <v>264</v>
      </c>
      <c r="E1327" s="1">
        <v>43080</v>
      </c>
      <c r="F1327" t="s">
        <v>17</v>
      </c>
      <c r="G1327" t="s">
        <v>1722</v>
      </c>
      <c r="H1327">
        <v>120</v>
      </c>
      <c r="I1327" t="s">
        <v>37</v>
      </c>
      <c r="J1327">
        <v>0</v>
      </c>
      <c r="K1327">
        <v>0</v>
      </c>
      <c r="M1327" t="s">
        <v>170</v>
      </c>
      <c r="N1327" t="s">
        <v>1723</v>
      </c>
    </row>
    <row r="1328" spans="1:17" x14ac:dyDescent="0.25">
      <c r="A1328" t="s">
        <v>590</v>
      </c>
      <c r="B1328" t="s">
        <v>1432</v>
      </c>
      <c r="C1328">
        <v>160</v>
      </c>
      <c r="D1328" t="s">
        <v>264</v>
      </c>
      <c r="E1328" s="1">
        <v>43080</v>
      </c>
      <c r="F1328" t="s">
        <v>17</v>
      </c>
      <c r="G1328" t="s">
        <v>1722</v>
      </c>
      <c r="H1328">
        <v>120</v>
      </c>
      <c r="I1328" t="s">
        <v>37</v>
      </c>
      <c r="J1328">
        <v>0</v>
      </c>
      <c r="K1328">
        <v>0</v>
      </c>
      <c r="M1328" t="s">
        <v>255</v>
      </c>
      <c r="N1328" t="s">
        <v>1723</v>
      </c>
      <c r="O1328">
        <v>0</v>
      </c>
      <c r="P1328">
        <v>0</v>
      </c>
      <c r="Q1328" t="s">
        <v>249</v>
      </c>
    </row>
    <row r="1329" spans="1:17" x14ac:dyDescent="0.25">
      <c r="A1329" t="s">
        <v>590</v>
      </c>
      <c r="B1329" t="s">
        <v>1432</v>
      </c>
      <c r="C1329">
        <v>160</v>
      </c>
      <c r="D1329" t="s">
        <v>264</v>
      </c>
      <c r="E1329" s="1">
        <v>43089</v>
      </c>
      <c r="F1329" t="s">
        <v>21</v>
      </c>
      <c r="G1329" t="s">
        <v>2018</v>
      </c>
      <c r="H1329">
        <v>-74</v>
      </c>
      <c r="I1329" t="s">
        <v>37</v>
      </c>
      <c r="J1329">
        <v>0</v>
      </c>
      <c r="M1329" t="s">
        <v>170</v>
      </c>
      <c r="N1329" t="s">
        <v>2046</v>
      </c>
    </row>
    <row r="1330" spans="1:17" x14ac:dyDescent="0.25">
      <c r="A1330" t="s">
        <v>590</v>
      </c>
      <c r="B1330" t="s">
        <v>1432</v>
      </c>
      <c r="C1330">
        <v>160</v>
      </c>
      <c r="D1330" t="s">
        <v>264</v>
      </c>
      <c r="E1330" s="1">
        <v>43089</v>
      </c>
      <c r="F1330" t="s">
        <v>21</v>
      </c>
      <c r="G1330" t="s">
        <v>2018</v>
      </c>
      <c r="H1330">
        <v>-74</v>
      </c>
      <c r="I1330" t="s">
        <v>37</v>
      </c>
      <c r="J1330">
        <v>0</v>
      </c>
      <c r="K1330">
        <v>0</v>
      </c>
      <c r="M1330" t="s">
        <v>255</v>
      </c>
      <c r="N1330" t="s">
        <v>2046</v>
      </c>
      <c r="O1330">
        <v>0</v>
      </c>
      <c r="P1330">
        <v>0</v>
      </c>
      <c r="Q1330" t="s">
        <v>249</v>
      </c>
    </row>
    <row r="1331" spans="1:17" x14ac:dyDescent="0.25">
      <c r="A1331" t="s">
        <v>591</v>
      </c>
      <c r="B1331" t="s">
        <v>1433</v>
      </c>
      <c r="C1331">
        <v>160</v>
      </c>
      <c r="D1331" t="s">
        <v>264</v>
      </c>
      <c r="E1331" s="1">
        <v>43089</v>
      </c>
      <c r="F1331" t="s">
        <v>21</v>
      </c>
      <c r="G1331" t="s">
        <v>2018</v>
      </c>
      <c r="H1331">
        <v>-1</v>
      </c>
      <c r="I1331" t="s">
        <v>37</v>
      </c>
      <c r="J1331">
        <v>0</v>
      </c>
      <c r="M1331" t="s">
        <v>170</v>
      </c>
      <c r="N1331" t="s">
        <v>2047</v>
      </c>
    </row>
    <row r="1332" spans="1:17" x14ac:dyDescent="0.25">
      <c r="A1332" t="s">
        <v>591</v>
      </c>
      <c r="B1332" t="s">
        <v>1433</v>
      </c>
      <c r="C1332">
        <v>160</v>
      </c>
      <c r="D1332" t="s">
        <v>264</v>
      </c>
      <c r="E1332" s="1">
        <v>43089</v>
      </c>
      <c r="F1332" t="s">
        <v>21</v>
      </c>
      <c r="G1332" t="s">
        <v>2018</v>
      </c>
      <c r="H1332">
        <v>-1</v>
      </c>
      <c r="I1332" t="s">
        <v>37</v>
      </c>
      <c r="J1332">
        <v>0</v>
      </c>
      <c r="K1332">
        <v>0</v>
      </c>
      <c r="M1332" t="s">
        <v>255</v>
      </c>
      <c r="N1332" t="s">
        <v>2047</v>
      </c>
      <c r="O1332">
        <v>0</v>
      </c>
      <c r="P1332">
        <v>0</v>
      </c>
      <c r="Q1332" t="s">
        <v>249</v>
      </c>
    </row>
    <row r="1333" spans="1:17" x14ac:dyDescent="0.25">
      <c r="A1333" t="s">
        <v>592</v>
      </c>
      <c r="B1333" t="s">
        <v>1434</v>
      </c>
      <c r="C1333">
        <v>160</v>
      </c>
      <c r="D1333" t="s">
        <v>264</v>
      </c>
      <c r="E1333" s="1">
        <v>43089</v>
      </c>
      <c r="F1333" t="s">
        <v>21</v>
      </c>
      <c r="G1333" t="s">
        <v>2018</v>
      </c>
      <c r="H1333">
        <v>-4</v>
      </c>
      <c r="I1333" t="s">
        <v>37</v>
      </c>
      <c r="J1333">
        <v>0</v>
      </c>
      <c r="M1333" t="s">
        <v>170</v>
      </c>
      <c r="N1333" t="s">
        <v>2048</v>
      </c>
    </row>
    <row r="1334" spans="1:17" x14ac:dyDescent="0.25">
      <c r="A1334" t="s">
        <v>592</v>
      </c>
      <c r="B1334" t="s">
        <v>1434</v>
      </c>
      <c r="C1334">
        <v>160</v>
      </c>
      <c r="D1334" t="s">
        <v>264</v>
      </c>
      <c r="E1334" s="1">
        <v>43089</v>
      </c>
      <c r="F1334" t="s">
        <v>21</v>
      </c>
      <c r="G1334" t="s">
        <v>2018</v>
      </c>
      <c r="H1334">
        <v>-4</v>
      </c>
      <c r="I1334" t="s">
        <v>37</v>
      </c>
      <c r="J1334">
        <v>0</v>
      </c>
      <c r="K1334">
        <v>0</v>
      </c>
      <c r="M1334" t="s">
        <v>255</v>
      </c>
      <c r="N1334" t="s">
        <v>2048</v>
      </c>
      <c r="O1334">
        <v>0</v>
      </c>
      <c r="P1334">
        <v>0</v>
      </c>
      <c r="Q1334" t="s">
        <v>249</v>
      </c>
    </row>
    <row r="1335" spans="1:17" x14ac:dyDescent="0.25">
      <c r="A1335" t="s">
        <v>593</v>
      </c>
      <c r="B1335" t="s">
        <v>1435</v>
      </c>
      <c r="C1335">
        <v>160</v>
      </c>
      <c r="D1335" t="s">
        <v>264</v>
      </c>
      <c r="E1335" s="1">
        <v>43089</v>
      </c>
      <c r="F1335" t="s">
        <v>21</v>
      </c>
      <c r="G1335" t="s">
        <v>2018</v>
      </c>
      <c r="H1335">
        <v>-1</v>
      </c>
      <c r="I1335" t="s">
        <v>37</v>
      </c>
      <c r="J1335">
        <v>0</v>
      </c>
      <c r="M1335" t="s">
        <v>170</v>
      </c>
      <c r="N1335" t="s">
        <v>2049</v>
      </c>
    </row>
    <row r="1336" spans="1:17" x14ac:dyDescent="0.25">
      <c r="A1336" t="s">
        <v>593</v>
      </c>
      <c r="B1336" t="s">
        <v>1435</v>
      </c>
      <c r="C1336">
        <v>160</v>
      </c>
      <c r="D1336" t="s">
        <v>264</v>
      </c>
      <c r="E1336" s="1">
        <v>43089</v>
      </c>
      <c r="F1336" t="s">
        <v>21</v>
      </c>
      <c r="G1336" t="s">
        <v>2018</v>
      </c>
      <c r="H1336">
        <v>-1</v>
      </c>
      <c r="I1336" t="s">
        <v>37</v>
      </c>
      <c r="J1336">
        <v>0</v>
      </c>
      <c r="K1336">
        <v>0</v>
      </c>
      <c r="M1336" t="s">
        <v>255</v>
      </c>
      <c r="N1336" t="s">
        <v>2049</v>
      </c>
      <c r="O1336">
        <v>0</v>
      </c>
      <c r="P1336">
        <v>0</v>
      </c>
      <c r="Q1336" t="s">
        <v>249</v>
      </c>
    </row>
    <row r="1337" spans="1:17" x14ac:dyDescent="0.25">
      <c r="A1337" t="s">
        <v>594</v>
      </c>
      <c r="B1337" t="s">
        <v>1436</v>
      </c>
      <c r="C1337">
        <v>160</v>
      </c>
      <c r="D1337" t="s">
        <v>264</v>
      </c>
      <c r="E1337" s="1">
        <v>43089</v>
      </c>
      <c r="F1337" t="s">
        <v>21</v>
      </c>
      <c r="G1337" t="s">
        <v>2018</v>
      </c>
      <c r="H1337">
        <v>-217</v>
      </c>
      <c r="I1337" t="s">
        <v>37</v>
      </c>
      <c r="J1337">
        <v>0</v>
      </c>
      <c r="M1337" t="s">
        <v>170</v>
      </c>
      <c r="N1337" t="s">
        <v>2050</v>
      </c>
    </row>
    <row r="1338" spans="1:17" x14ac:dyDescent="0.25">
      <c r="A1338" t="s">
        <v>594</v>
      </c>
      <c r="B1338" t="s">
        <v>1436</v>
      </c>
      <c r="C1338">
        <v>160</v>
      </c>
      <c r="D1338" t="s">
        <v>264</v>
      </c>
      <c r="E1338" s="1">
        <v>43089</v>
      </c>
      <c r="F1338" t="s">
        <v>21</v>
      </c>
      <c r="G1338" t="s">
        <v>2018</v>
      </c>
      <c r="H1338">
        <v>-217</v>
      </c>
      <c r="I1338" t="s">
        <v>37</v>
      </c>
      <c r="J1338">
        <v>0</v>
      </c>
      <c r="K1338">
        <v>0</v>
      </c>
      <c r="M1338" t="s">
        <v>255</v>
      </c>
      <c r="N1338" t="s">
        <v>2050</v>
      </c>
      <c r="O1338">
        <v>0</v>
      </c>
      <c r="P1338">
        <v>0</v>
      </c>
      <c r="Q1338" t="s">
        <v>249</v>
      </c>
    </row>
    <row r="1339" spans="1:17" x14ac:dyDescent="0.25">
      <c r="A1339" t="s">
        <v>595</v>
      </c>
      <c r="B1339" t="s">
        <v>1439</v>
      </c>
      <c r="C1339">
        <v>160</v>
      </c>
      <c r="D1339" t="s">
        <v>264</v>
      </c>
      <c r="E1339" s="1">
        <v>43089</v>
      </c>
      <c r="F1339" t="s">
        <v>21</v>
      </c>
      <c r="G1339" t="s">
        <v>2018</v>
      </c>
      <c r="H1339">
        <v>-50</v>
      </c>
      <c r="I1339" t="s">
        <v>38</v>
      </c>
      <c r="J1339">
        <v>0</v>
      </c>
      <c r="M1339" t="s">
        <v>170</v>
      </c>
      <c r="N1339" t="s">
        <v>2051</v>
      </c>
    </row>
    <row r="1340" spans="1:17" x14ac:dyDescent="0.25">
      <c r="A1340" t="s">
        <v>595</v>
      </c>
      <c r="B1340" t="s">
        <v>1439</v>
      </c>
      <c r="C1340">
        <v>160</v>
      </c>
      <c r="D1340" t="s">
        <v>264</v>
      </c>
      <c r="E1340" s="1">
        <v>43089</v>
      </c>
      <c r="F1340" t="s">
        <v>21</v>
      </c>
      <c r="G1340" t="s">
        <v>2018</v>
      </c>
      <c r="H1340">
        <v>-50</v>
      </c>
      <c r="I1340" t="s">
        <v>38</v>
      </c>
      <c r="J1340">
        <v>0</v>
      </c>
      <c r="K1340">
        <v>0</v>
      </c>
      <c r="M1340" t="s">
        <v>255</v>
      </c>
      <c r="N1340" t="s">
        <v>2051</v>
      </c>
      <c r="O1340">
        <v>0</v>
      </c>
      <c r="P1340">
        <v>0</v>
      </c>
      <c r="Q1340" t="s">
        <v>249</v>
      </c>
    </row>
    <row r="1341" spans="1:17" x14ac:dyDescent="0.25">
      <c r="A1341" t="s">
        <v>596</v>
      </c>
      <c r="B1341" t="s">
        <v>1440</v>
      </c>
      <c r="C1341">
        <v>160</v>
      </c>
      <c r="D1341" t="s">
        <v>264</v>
      </c>
      <c r="E1341" s="1">
        <v>43089</v>
      </c>
      <c r="F1341" t="s">
        <v>21</v>
      </c>
      <c r="G1341" t="s">
        <v>2018</v>
      </c>
      <c r="H1341">
        <v>250</v>
      </c>
      <c r="I1341" t="s">
        <v>38</v>
      </c>
      <c r="J1341">
        <v>0</v>
      </c>
      <c r="M1341" t="s">
        <v>170</v>
      </c>
      <c r="N1341" t="s">
        <v>2052</v>
      </c>
    </row>
    <row r="1342" spans="1:17" x14ac:dyDescent="0.25">
      <c r="A1342" t="s">
        <v>596</v>
      </c>
      <c r="B1342" t="s">
        <v>1440</v>
      </c>
      <c r="C1342">
        <v>160</v>
      </c>
      <c r="D1342" t="s">
        <v>264</v>
      </c>
      <c r="E1342" s="1">
        <v>43089</v>
      </c>
      <c r="F1342" t="s">
        <v>21</v>
      </c>
      <c r="G1342" t="s">
        <v>2018</v>
      </c>
      <c r="H1342">
        <v>250</v>
      </c>
      <c r="I1342" t="s">
        <v>38</v>
      </c>
      <c r="J1342">
        <v>0</v>
      </c>
      <c r="M1342" t="s">
        <v>255</v>
      </c>
      <c r="N1342" t="s">
        <v>2052</v>
      </c>
      <c r="O1342">
        <v>0</v>
      </c>
      <c r="P1342">
        <v>0</v>
      </c>
      <c r="Q1342" t="s">
        <v>249</v>
      </c>
    </row>
    <row r="1343" spans="1:17" x14ac:dyDescent="0.25">
      <c r="A1343" t="s">
        <v>597</v>
      </c>
      <c r="B1343" t="s">
        <v>1441</v>
      </c>
      <c r="C1343">
        <v>160</v>
      </c>
      <c r="D1343" t="s">
        <v>264</v>
      </c>
      <c r="E1343" s="1">
        <v>43089</v>
      </c>
      <c r="F1343" t="s">
        <v>21</v>
      </c>
      <c r="G1343" t="s">
        <v>2018</v>
      </c>
      <c r="H1343">
        <v>620</v>
      </c>
      <c r="I1343" t="s">
        <v>38</v>
      </c>
      <c r="J1343">
        <v>0</v>
      </c>
      <c r="M1343" t="s">
        <v>170</v>
      </c>
      <c r="N1343" t="s">
        <v>2053</v>
      </c>
    </row>
    <row r="1344" spans="1:17" x14ac:dyDescent="0.25">
      <c r="A1344" t="s">
        <v>597</v>
      </c>
      <c r="B1344" t="s">
        <v>1441</v>
      </c>
      <c r="C1344">
        <v>160</v>
      </c>
      <c r="D1344" t="s">
        <v>264</v>
      </c>
      <c r="E1344" s="1">
        <v>43089</v>
      </c>
      <c r="F1344" t="s">
        <v>21</v>
      </c>
      <c r="G1344" t="s">
        <v>2018</v>
      </c>
      <c r="H1344">
        <v>620</v>
      </c>
      <c r="I1344" t="s">
        <v>38</v>
      </c>
      <c r="J1344">
        <v>0</v>
      </c>
      <c r="M1344" t="s">
        <v>255</v>
      </c>
      <c r="N1344" t="s">
        <v>2053</v>
      </c>
      <c r="O1344">
        <v>0</v>
      </c>
      <c r="P1344">
        <v>0</v>
      </c>
      <c r="Q1344" t="s">
        <v>249</v>
      </c>
    </row>
    <row r="1345" spans="1:17" x14ac:dyDescent="0.25">
      <c r="A1345" t="s">
        <v>598</v>
      </c>
      <c r="B1345" t="s">
        <v>1444</v>
      </c>
      <c r="C1345">
        <v>160</v>
      </c>
      <c r="D1345" t="s">
        <v>264</v>
      </c>
      <c r="E1345" s="1">
        <v>43089</v>
      </c>
      <c r="F1345" t="s">
        <v>21</v>
      </c>
      <c r="G1345" t="s">
        <v>2018</v>
      </c>
      <c r="H1345">
        <v>-10</v>
      </c>
      <c r="I1345" t="s">
        <v>1033</v>
      </c>
      <c r="J1345">
        <v>0</v>
      </c>
      <c r="M1345" t="s">
        <v>170</v>
      </c>
      <c r="N1345" t="s">
        <v>2054</v>
      </c>
    </row>
    <row r="1346" spans="1:17" x14ac:dyDescent="0.25">
      <c r="A1346" t="s">
        <v>598</v>
      </c>
      <c r="B1346" t="s">
        <v>1444</v>
      </c>
      <c r="C1346">
        <v>160</v>
      </c>
      <c r="D1346" t="s">
        <v>264</v>
      </c>
      <c r="E1346" s="1">
        <v>43089</v>
      </c>
      <c r="F1346" t="s">
        <v>21</v>
      </c>
      <c r="G1346" t="s">
        <v>2018</v>
      </c>
      <c r="H1346">
        <v>-10</v>
      </c>
      <c r="I1346" t="s">
        <v>1033</v>
      </c>
      <c r="J1346">
        <v>0</v>
      </c>
      <c r="K1346">
        <v>0</v>
      </c>
      <c r="M1346" t="s">
        <v>255</v>
      </c>
      <c r="N1346" t="s">
        <v>2054</v>
      </c>
      <c r="O1346">
        <v>0</v>
      </c>
      <c r="P1346">
        <v>0</v>
      </c>
      <c r="Q1346" t="s">
        <v>249</v>
      </c>
    </row>
    <row r="1347" spans="1:17" x14ac:dyDescent="0.25">
      <c r="A1347" t="s">
        <v>599</v>
      </c>
      <c r="B1347" t="s">
        <v>1445</v>
      </c>
      <c r="C1347">
        <v>160</v>
      </c>
      <c r="D1347" t="s">
        <v>264</v>
      </c>
      <c r="E1347" s="1">
        <v>43089</v>
      </c>
      <c r="F1347" t="s">
        <v>21</v>
      </c>
      <c r="G1347" t="s">
        <v>2018</v>
      </c>
      <c r="H1347">
        <v>-7</v>
      </c>
      <c r="I1347" t="s">
        <v>1033</v>
      </c>
      <c r="J1347">
        <v>0</v>
      </c>
      <c r="M1347" t="s">
        <v>170</v>
      </c>
      <c r="N1347" t="s">
        <v>2055</v>
      </c>
    </row>
    <row r="1348" spans="1:17" x14ac:dyDescent="0.25">
      <c r="A1348" t="s">
        <v>599</v>
      </c>
      <c r="B1348" t="s">
        <v>1445</v>
      </c>
      <c r="C1348">
        <v>160</v>
      </c>
      <c r="D1348" t="s">
        <v>264</v>
      </c>
      <c r="E1348" s="1">
        <v>43089</v>
      </c>
      <c r="F1348" t="s">
        <v>21</v>
      </c>
      <c r="G1348" t="s">
        <v>2018</v>
      </c>
      <c r="H1348">
        <v>-7</v>
      </c>
      <c r="I1348" t="s">
        <v>1033</v>
      </c>
      <c r="J1348">
        <v>0</v>
      </c>
      <c r="K1348">
        <v>0</v>
      </c>
      <c r="M1348" t="s">
        <v>255</v>
      </c>
      <c r="N1348" t="s">
        <v>2055</v>
      </c>
      <c r="O1348">
        <v>0</v>
      </c>
      <c r="P1348">
        <v>0</v>
      </c>
      <c r="Q1348" t="s">
        <v>249</v>
      </c>
    </row>
    <row r="1349" spans="1:17" x14ac:dyDescent="0.25">
      <c r="A1349" t="s">
        <v>600</v>
      </c>
      <c r="B1349" t="s">
        <v>1446</v>
      </c>
      <c r="C1349">
        <v>160</v>
      </c>
      <c r="D1349" t="s">
        <v>264</v>
      </c>
      <c r="E1349" s="1">
        <v>43089</v>
      </c>
      <c r="F1349" t="s">
        <v>21</v>
      </c>
      <c r="G1349" t="s">
        <v>2018</v>
      </c>
      <c r="H1349">
        <v>-10</v>
      </c>
      <c r="I1349" t="s">
        <v>1033</v>
      </c>
      <c r="J1349">
        <v>0</v>
      </c>
      <c r="M1349" t="s">
        <v>170</v>
      </c>
      <c r="N1349" t="s">
        <v>2056</v>
      </c>
    </row>
    <row r="1350" spans="1:17" x14ac:dyDescent="0.25">
      <c r="A1350" t="s">
        <v>600</v>
      </c>
      <c r="B1350" t="s">
        <v>1446</v>
      </c>
      <c r="C1350">
        <v>160</v>
      </c>
      <c r="D1350" t="s">
        <v>264</v>
      </c>
      <c r="E1350" s="1">
        <v>43089</v>
      </c>
      <c r="F1350" t="s">
        <v>21</v>
      </c>
      <c r="G1350" t="s">
        <v>2018</v>
      </c>
      <c r="H1350">
        <v>-10</v>
      </c>
      <c r="I1350" t="s">
        <v>1033</v>
      </c>
      <c r="J1350">
        <v>0</v>
      </c>
      <c r="K1350">
        <v>0</v>
      </c>
      <c r="M1350" t="s">
        <v>255</v>
      </c>
      <c r="N1350" t="s">
        <v>2056</v>
      </c>
      <c r="O1350">
        <v>0</v>
      </c>
      <c r="P1350">
        <v>0</v>
      </c>
      <c r="Q1350" t="s">
        <v>249</v>
      </c>
    </row>
    <row r="1351" spans="1:17" x14ac:dyDescent="0.25">
      <c r="A1351" t="s">
        <v>602</v>
      </c>
      <c r="B1351" t="s">
        <v>1448</v>
      </c>
      <c r="C1351">
        <v>160</v>
      </c>
      <c r="D1351" t="s">
        <v>264</v>
      </c>
      <c r="E1351" s="1">
        <v>43089</v>
      </c>
      <c r="F1351" t="s">
        <v>21</v>
      </c>
      <c r="G1351" t="s">
        <v>2018</v>
      </c>
      <c r="H1351">
        <v>-1</v>
      </c>
      <c r="I1351" t="s">
        <v>1033</v>
      </c>
      <c r="J1351">
        <v>0</v>
      </c>
      <c r="M1351" t="s">
        <v>170</v>
      </c>
      <c r="N1351" t="s">
        <v>2057</v>
      </c>
    </row>
    <row r="1352" spans="1:17" x14ac:dyDescent="0.25">
      <c r="A1352" t="s">
        <v>602</v>
      </c>
      <c r="B1352" t="s">
        <v>1448</v>
      </c>
      <c r="C1352">
        <v>160</v>
      </c>
      <c r="D1352" t="s">
        <v>264</v>
      </c>
      <c r="E1352" s="1">
        <v>43089</v>
      </c>
      <c r="F1352" t="s">
        <v>21</v>
      </c>
      <c r="G1352" t="s">
        <v>2018</v>
      </c>
      <c r="H1352">
        <v>-1</v>
      </c>
      <c r="I1352" t="s">
        <v>1033</v>
      </c>
      <c r="J1352">
        <v>0</v>
      </c>
      <c r="K1352">
        <v>0</v>
      </c>
      <c r="M1352" t="s">
        <v>255</v>
      </c>
      <c r="N1352" t="s">
        <v>2057</v>
      </c>
      <c r="O1352">
        <v>0</v>
      </c>
      <c r="P1352">
        <v>0</v>
      </c>
      <c r="Q1352" t="s">
        <v>249</v>
      </c>
    </row>
    <row r="1353" spans="1:17" x14ac:dyDescent="0.25">
      <c r="A1353" t="s">
        <v>603</v>
      </c>
      <c r="B1353" t="s">
        <v>1449</v>
      </c>
      <c r="C1353">
        <v>160</v>
      </c>
      <c r="D1353" t="s">
        <v>264</v>
      </c>
      <c r="E1353" s="1">
        <v>43089</v>
      </c>
      <c r="F1353" t="s">
        <v>21</v>
      </c>
      <c r="G1353" t="s">
        <v>2018</v>
      </c>
      <c r="H1353">
        <v>-24</v>
      </c>
      <c r="I1353" t="s">
        <v>1033</v>
      </c>
      <c r="J1353">
        <v>0</v>
      </c>
      <c r="M1353" t="s">
        <v>170</v>
      </c>
      <c r="N1353" t="s">
        <v>2058</v>
      </c>
    </row>
    <row r="1354" spans="1:17" x14ac:dyDescent="0.25">
      <c r="A1354" t="s">
        <v>603</v>
      </c>
      <c r="B1354" t="s">
        <v>1449</v>
      </c>
      <c r="C1354">
        <v>160</v>
      </c>
      <c r="D1354" t="s">
        <v>264</v>
      </c>
      <c r="E1354" s="1">
        <v>43089</v>
      </c>
      <c r="F1354" t="s">
        <v>21</v>
      </c>
      <c r="G1354" t="s">
        <v>2018</v>
      </c>
      <c r="H1354">
        <v>-24</v>
      </c>
      <c r="I1354" t="s">
        <v>1033</v>
      </c>
      <c r="J1354">
        <v>0</v>
      </c>
      <c r="K1354">
        <v>0</v>
      </c>
      <c r="M1354" t="s">
        <v>255</v>
      </c>
      <c r="N1354" t="s">
        <v>2058</v>
      </c>
      <c r="O1354">
        <v>0</v>
      </c>
      <c r="P1354">
        <v>0</v>
      </c>
      <c r="Q1354" t="s">
        <v>249</v>
      </c>
    </row>
    <row r="1355" spans="1:17" x14ac:dyDescent="0.25">
      <c r="A1355" t="s">
        <v>604</v>
      </c>
      <c r="B1355" t="s">
        <v>1450</v>
      </c>
      <c r="C1355">
        <v>160</v>
      </c>
      <c r="D1355" t="s">
        <v>264</v>
      </c>
      <c r="E1355" s="1">
        <v>43089</v>
      </c>
      <c r="F1355" t="s">
        <v>21</v>
      </c>
      <c r="G1355" t="s">
        <v>2018</v>
      </c>
      <c r="H1355">
        <v>-1</v>
      </c>
      <c r="I1355" t="s">
        <v>1033</v>
      </c>
      <c r="J1355">
        <v>0</v>
      </c>
      <c r="M1355" t="s">
        <v>170</v>
      </c>
      <c r="N1355" t="s">
        <v>2059</v>
      </c>
    </row>
    <row r="1356" spans="1:17" x14ac:dyDescent="0.25">
      <c r="A1356" t="s">
        <v>604</v>
      </c>
      <c r="B1356" t="s">
        <v>1450</v>
      </c>
      <c r="C1356">
        <v>160</v>
      </c>
      <c r="D1356" t="s">
        <v>264</v>
      </c>
      <c r="E1356" s="1">
        <v>43089</v>
      </c>
      <c r="F1356" t="s">
        <v>21</v>
      </c>
      <c r="G1356" t="s">
        <v>2018</v>
      </c>
      <c r="H1356">
        <v>-1</v>
      </c>
      <c r="I1356" t="s">
        <v>1033</v>
      </c>
      <c r="J1356">
        <v>0</v>
      </c>
      <c r="K1356">
        <v>0</v>
      </c>
      <c r="M1356" t="s">
        <v>255</v>
      </c>
      <c r="N1356" t="s">
        <v>2059</v>
      </c>
      <c r="O1356">
        <v>0</v>
      </c>
      <c r="P1356">
        <v>0</v>
      </c>
      <c r="Q1356" t="s">
        <v>249</v>
      </c>
    </row>
    <row r="1357" spans="1:17" x14ac:dyDescent="0.25">
      <c r="A1357" t="s">
        <v>606</v>
      </c>
      <c r="B1357" t="s">
        <v>1452</v>
      </c>
      <c r="C1357">
        <v>160</v>
      </c>
      <c r="D1357" t="s">
        <v>264</v>
      </c>
      <c r="E1357" s="1">
        <v>43089</v>
      </c>
      <c r="F1357" t="s">
        <v>21</v>
      </c>
      <c r="G1357" t="s">
        <v>2018</v>
      </c>
      <c r="H1357">
        <v>-54</v>
      </c>
      <c r="I1357" t="s">
        <v>1033</v>
      </c>
      <c r="J1357">
        <v>0</v>
      </c>
      <c r="M1357" t="s">
        <v>170</v>
      </c>
      <c r="N1357" t="s">
        <v>2060</v>
      </c>
    </row>
    <row r="1358" spans="1:17" x14ac:dyDescent="0.25">
      <c r="A1358" t="s">
        <v>606</v>
      </c>
      <c r="B1358" t="s">
        <v>1452</v>
      </c>
      <c r="C1358">
        <v>160</v>
      </c>
      <c r="D1358" t="s">
        <v>264</v>
      </c>
      <c r="E1358" s="1">
        <v>43089</v>
      </c>
      <c r="F1358" t="s">
        <v>21</v>
      </c>
      <c r="G1358" t="s">
        <v>2018</v>
      </c>
      <c r="H1358">
        <v>-54</v>
      </c>
      <c r="I1358" t="s">
        <v>1033</v>
      </c>
      <c r="J1358">
        <v>0</v>
      </c>
      <c r="K1358">
        <v>0</v>
      </c>
      <c r="M1358" t="s">
        <v>255</v>
      </c>
      <c r="N1358" t="s">
        <v>2060</v>
      </c>
      <c r="O1358">
        <v>0</v>
      </c>
      <c r="P1358">
        <v>0</v>
      </c>
      <c r="Q1358" t="s">
        <v>249</v>
      </c>
    </row>
    <row r="1359" spans="1:17" x14ac:dyDescent="0.25">
      <c r="A1359" t="s">
        <v>19</v>
      </c>
      <c r="B1359" t="s">
        <v>35</v>
      </c>
      <c r="C1359">
        <v>160</v>
      </c>
      <c r="D1359" t="s">
        <v>264</v>
      </c>
      <c r="E1359" s="1">
        <v>43070</v>
      </c>
      <c r="F1359" t="s">
        <v>252</v>
      </c>
      <c r="G1359" t="s">
        <v>839</v>
      </c>
      <c r="H1359">
        <v>-1</v>
      </c>
      <c r="I1359" t="s">
        <v>37</v>
      </c>
      <c r="J1359">
        <v>0</v>
      </c>
      <c r="M1359" t="s">
        <v>170</v>
      </c>
      <c r="N1359" t="s">
        <v>1497</v>
      </c>
    </row>
    <row r="1360" spans="1:17" x14ac:dyDescent="0.25">
      <c r="A1360" t="s">
        <v>19</v>
      </c>
      <c r="B1360" t="s">
        <v>35</v>
      </c>
      <c r="C1360">
        <v>160</v>
      </c>
      <c r="D1360" t="s">
        <v>264</v>
      </c>
      <c r="E1360" s="1">
        <v>43070</v>
      </c>
      <c r="F1360" t="s">
        <v>252</v>
      </c>
      <c r="G1360" t="s">
        <v>839</v>
      </c>
      <c r="H1360">
        <v>-1</v>
      </c>
      <c r="I1360" t="s">
        <v>37</v>
      </c>
      <c r="J1360">
        <v>0</v>
      </c>
      <c r="K1360">
        <v>0</v>
      </c>
      <c r="M1360" t="s">
        <v>255</v>
      </c>
      <c r="N1360" t="s">
        <v>1497</v>
      </c>
      <c r="O1360">
        <v>0</v>
      </c>
      <c r="P1360">
        <v>0</v>
      </c>
      <c r="Q1360" t="s">
        <v>249</v>
      </c>
    </row>
    <row r="1361" spans="1:17" x14ac:dyDescent="0.25">
      <c r="A1361" t="s">
        <v>19</v>
      </c>
      <c r="B1361" t="s">
        <v>35</v>
      </c>
      <c r="C1361">
        <v>160</v>
      </c>
      <c r="D1361" t="s">
        <v>264</v>
      </c>
      <c r="E1361" s="1">
        <v>43070</v>
      </c>
      <c r="F1361" t="s">
        <v>17</v>
      </c>
      <c r="G1361" t="s">
        <v>1712</v>
      </c>
      <c r="H1361">
        <v>1</v>
      </c>
      <c r="I1361" t="s">
        <v>37</v>
      </c>
      <c r="J1361">
        <v>0</v>
      </c>
      <c r="K1361">
        <v>0</v>
      </c>
      <c r="L1361" t="s">
        <v>246</v>
      </c>
      <c r="M1361" t="s">
        <v>170</v>
      </c>
      <c r="N1361" t="s">
        <v>1713</v>
      </c>
    </row>
    <row r="1362" spans="1:17" x14ac:dyDescent="0.25">
      <c r="A1362" t="s">
        <v>19</v>
      </c>
      <c r="B1362" t="s">
        <v>35</v>
      </c>
      <c r="C1362">
        <v>160</v>
      </c>
      <c r="D1362" t="s">
        <v>264</v>
      </c>
      <c r="E1362" s="1">
        <v>43070</v>
      </c>
      <c r="F1362" t="s">
        <v>17</v>
      </c>
      <c r="G1362" t="s">
        <v>1712</v>
      </c>
      <c r="H1362">
        <v>1</v>
      </c>
      <c r="I1362" t="s">
        <v>37</v>
      </c>
      <c r="J1362">
        <v>0</v>
      </c>
      <c r="K1362">
        <v>0</v>
      </c>
      <c r="L1362" t="s">
        <v>246</v>
      </c>
      <c r="M1362" t="s">
        <v>255</v>
      </c>
      <c r="N1362" t="s">
        <v>1713</v>
      </c>
      <c r="O1362">
        <v>0</v>
      </c>
      <c r="P1362">
        <v>0</v>
      </c>
      <c r="Q1362" t="s">
        <v>249</v>
      </c>
    </row>
    <row r="1363" spans="1:17" x14ac:dyDescent="0.25">
      <c r="A1363" t="s">
        <v>19</v>
      </c>
      <c r="B1363" t="s">
        <v>35</v>
      </c>
      <c r="C1363">
        <v>160</v>
      </c>
      <c r="D1363" t="s">
        <v>264</v>
      </c>
      <c r="E1363" s="1">
        <v>43070</v>
      </c>
      <c r="F1363" t="s">
        <v>17</v>
      </c>
      <c r="G1363" t="s">
        <v>1720</v>
      </c>
      <c r="H1363">
        <v>1</v>
      </c>
      <c r="I1363" t="s">
        <v>37</v>
      </c>
      <c r="J1363">
        <v>0</v>
      </c>
      <c r="K1363">
        <v>0</v>
      </c>
      <c r="L1363" t="s">
        <v>246</v>
      </c>
      <c r="M1363" t="s">
        <v>170</v>
      </c>
      <c r="N1363" t="s">
        <v>1721</v>
      </c>
    </row>
    <row r="1364" spans="1:17" x14ac:dyDescent="0.25">
      <c r="A1364" t="s">
        <v>19</v>
      </c>
      <c r="B1364" t="s">
        <v>35</v>
      </c>
      <c r="C1364">
        <v>160</v>
      </c>
      <c r="D1364" t="s">
        <v>264</v>
      </c>
      <c r="E1364" s="1">
        <v>43070</v>
      </c>
      <c r="F1364" t="s">
        <v>17</v>
      </c>
      <c r="G1364" t="s">
        <v>1720</v>
      </c>
      <c r="H1364">
        <v>1</v>
      </c>
      <c r="I1364" t="s">
        <v>37</v>
      </c>
      <c r="J1364">
        <v>0</v>
      </c>
      <c r="K1364">
        <v>0</v>
      </c>
      <c r="L1364" t="s">
        <v>246</v>
      </c>
      <c r="M1364" t="s">
        <v>255</v>
      </c>
      <c r="N1364" t="s">
        <v>1721</v>
      </c>
      <c r="O1364">
        <v>0</v>
      </c>
      <c r="P1364">
        <v>0</v>
      </c>
      <c r="Q1364" t="s">
        <v>249</v>
      </c>
    </row>
    <row r="1365" spans="1:17" x14ac:dyDescent="0.25">
      <c r="A1365" t="s">
        <v>19</v>
      </c>
      <c r="B1365" t="s">
        <v>35</v>
      </c>
      <c r="C1365">
        <v>160</v>
      </c>
      <c r="D1365" t="s">
        <v>264</v>
      </c>
      <c r="E1365" s="1">
        <v>43075</v>
      </c>
      <c r="F1365" t="s">
        <v>252</v>
      </c>
      <c r="G1365" t="s">
        <v>885</v>
      </c>
      <c r="H1365">
        <v>-1</v>
      </c>
      <c r="I1365" t="s">
        <v>37</v>
      </c>
      <c r="J1365">
        <v>0</v>
      </c>
      <c r="M1365" t="s">
        <v>170</v>
      </c>
      <c r="N1365" t="s">
        <v>1479</v>
      </c>
    </row>
    <row r="1366" spans="1:17" x14ac:dyDescent="0.25">
      <c r="A1366" t="s">
        <v>19</v>
      </c>
      <c r="B1366" t="s">
        <v>35</v>
      </c>
      <c r="C1366">
        <v>160</v>
      </c>
      <c r="D1366" t="s">
        <v>264</v>
      </c>
      <c r="E1366" s="1">
        <v>43075</v>
      </c>
      <c r="F1366" t="s">
        <v>252</v>
      </c>
      <c r="G1366" t="s">
        <v>885</v>
      </c>
      <c r="H1366">
        <v>-1</v>
      </c>
      <c r="I1366" t="s">
        <v>37</v>
      </c>
      <c r="J1366">
        <v>0</v>
      </c>
      <c r="K1366">
        <v>0</v>
      </c>
      <c r="M1366" t="s">
        <v>255</v>
      </c>
      <c r="N1366" t="s">
        <v>1479</v>
      </c>
      <c r="O1366">
        <v>0</v>
      </c>
      <c r="P1366">
        <v>0</v>
      </c>
      <c r="Q1366" t="s">
        <v>249</v>
      </c>
    </row>
    <row r="1367" spans="1:17" x14ac:dyDescent="0.25">
      <c r="A1367" t="s">
        <v>19</v>
      </c>
      <c r="B1367" t="s">
        <v>35</v>
      </c>
      <c r="C1367">
        <v>160</v>
      </c>
      <c r="D1367" t="s">
        <v>264</v>
      </c>
      <c r="E1367" s="1">
        <v>43075</v>
      </c>
      <c r="F1367" t="s">
        <v>252</v>
      </c>
      <c r="G1367" t="s">
        <v>659</v>
      </c>
      <c r="H1367">
        <v>-1</v>
      </c>
      <c r="I1367" t="s">
        <v>37</v>
      </c>
      <c r="J1367">
        <v>0</v>
      </c>
      <c r="M1367" t="s">
        <v>170</v>
      </c>
      <c r="N1367" t="s">
        <v>1496</v>
      </c>
    </row>
    <row r="1368" spans="1:17" x14ac:dyDescent="0.25">
      <c r="A1368" t="s">
        <v>19</v>
      </c>
      <c r="B1368" t="s">
        <v>35</v>
      </c>
      <c r="C1368">
        <v>160</v>
      </c>
      <c r="D1368" t="s">
        <v>264</v>
      </c>
      <c r="E1368" s="1">
        <v>43075</v>
      </c>
      <c r="F1368" t="s">
        <v>252</v>
      </c>
      <c r="G1368" t="s">
        <v>659</v>
      </c>
      <c r="H1368">
        <v>-1</v>
      </c>
      <c r="I1368" t="s">
        <v>37</v>
      </c>
      <c r="J1368">
        <v>0</v>
      </c>
      <c r="K1368">
        <v>0</v>
      </c>
      <c r="M1368" t="s">
        <v>255</v>
      </c>
      <c r="N1368" t="s">
        <v>1496</v>
      </c>
      <c r="O1368">
        <v>0</v>
      </c>
      <c r="P1368">
        <v>0</v>
      </c>
      <c r="Q1368" t="s">
        <v>249</v>
      </c>
    </row>
    <row r="1369" spans="1:17" x14ac:dyDescent="0.25">
      <c r="A1369" t="s">
        <v>19</v>
      </c>
      <c r="B1369" t="s">
        <v>35</v>
      </c>
      <c r="C1369">
        <v>160</v>
      </c>
      <c r="D1369" t="s">
        <v>264</v>
      </c>
      <c r="E1369" s="1">
        <v>43075</v>
      </c>
      <c r="F1369" t="s">
        <v>252</v>
      </c>
      <c r="G1369" t="s">
        <v>851</v>
      </c>
      <c r="H1369">
        <v>-1</v>
      </c>
      <c r="I1369" t="s">
        <v>37</v>
      </c>
      <c r="J1369">
        <v>0</v>
      </c>
      <c r="M1369" t="s">
        <v>170</v>
      </c>
      <c r="N1369" t="s">
        <v>1499</v>
      </c>
    </row>
    <row r="1370" spans="1:17" x14ac:dyDescent="0.25">
      <c r="A1370" t="s">
        <v>19</v>
      </c>
      <c r="B1370" t="s">
        <v>35</v>
      </c>
      <c r="C1370">
        <v>160</v>
      </c>
      <c r="D1370" t="s">
        <v>264</v>
      </c>
      <c r="E1370" s="1">
        <v>43075</v>
      </c>
      <c r="F1370" t="s">
        <v>252</v>
      </c>
      <c r="G1370" t="s">
        <v>851</v>
      </c>
      <c r="H1370">
        <v>-1</v>
      </c>
      <c r="I1370" t="s">
        <v>37</v>
      </c>
      <c r="J1370">
        <v>0</v>
      </c>
      <c r="K1370">
        <v>0</v>
      </c>
      <c r="M1370" t="s">
        <v>255</v>
      </c>
      <c r="N1370" t="s">
        <v>1499</v>
      </c>
      <c r="O1370">
        <v>0</v>
      </c>
      <c r="P1370">
        <v>0</v>
      </c>
      <c r="Q1370" t="s">
        <v>249</v>
      </c>
    </row>
    <row r="1371" spans="1:17" x14ac:dyDescent="0.25">
      <c r="A1371" t="s">
        <v>19</v>
      </c>
      <c r="B1371" t="s">
        <v>35</v>
      </c>
      <c r="C1371">
        <v>160</v>
      </c>
      <c r="D1371" t="s">
        <v>264</v>
      </c>
      <c r="E1371" s="1">
        <v>43075</v>
      </c>
      <c r="F1371" t="s">
        <v>252</v>
      </c>
      <c r="G1371" t="s">
        <v>719</v>
      </c>
      <c r="H1371">
        <v>-1</v>
      </c>
      <c r="I1371" t="s">
        <v>37</v>
      </c>
      <c r="J1371">
        <v>0</v>
      </c>
      <c r="M1371" t="s">
        <v>170</v>
      </c>
      <c r="N1371" t="s">
        <v>1503</v>
      </c>
    </row>
    <row r="1372" spans="1:17" x14ac:dyDescent="0.25">
      <c r="A1372" t="s">
        <v>19</v>
      </c>
      <c r="B1372" t="s">
        <v>35</v>
      </c>
      <c r="C1372">
        <v>160</v>
      </c>
      <c r="D1372" t="s">
        <v>264</v>
      </c>
      <c r="E1372" s="1">
        <v>43075</v>
      </c>
      <c r="F1372" t="s">
        <v>252</v>
      </c>
      <c r="G1372" t="s">
        <v>719</v>
      </c>
      <c r="H1372">
        <v>-1</v>
      </c>
      <c r="I1372" t="s">
        <v>37</v>
      </c>
      <c r="J1372">
        <v>0</v>
      </c>
      <c r="K1372">
        <v>0</v>
      </c>
      <c r="M1372" t="s">
        <v>255</v>
      </c>
      <c r="N1372" t="s">
        <v>1503</v>
      </c>
      <c r="O1372">
        <v>0</v>
      </c>
      <c r="P1372">
        <v>0</v>
      </c>
      <c r="Q1372" t="s">
        <v>249</v>
      </c>
    </row>
    <row r="1373" spans="1:17" x14ac:dyDescent="0.25">
      <c r="A1373" t="s">
        <v>19</v>
      </c>
      <c r="B1373" t="s">
        <v>35</v>
      </c>
      <c r="C1373">
        <v>160</v>
      </c>
      <c r="D1373" t="s">
        <v>264</v>
      </c>
      <c r="E1373" s="1">
        <v>43075</v>
      </c>
      <c r="F1373" t="s">
        <v>252</v>
      </c>
      <c r="G1373" t="s">
        <v>662</v>
      </c>
      <c r="H1373">
        <v>-1</v>
      </c>
      <c r="I1373" t="s">
        <v>37</v>
      </c>
      <c r="J1373">
        <v>0</v>
      </c>
      <c r="M1373" t="s">
        <v>170</v>
      </c>
      <c r="N1373" t="s">
        <v>1504</v>
      </c>
    </row>
    <row r="1374" spans="1:17" x14ac:dyDescent="0.25">
      <c r="A1374" t="s">
        <v>19</v>
      </c>
      <c r="B1374" t="s">
        <v>35</v>
      </c>
      <c r="C1374">
        <v>160</v>
      </c>
      <c r="D1374" t="s">
        <v>264</v>
      </c>
      <c r="E1374" s="1">
        <v>43075</v>
      </c>
      <c r="F1374" t="s">
        <v>252</v>
      </c>
      <c r="G1374" t="s">
        <v>662</v>
      </c>
      <c r="H1374">
        <v>-1</v>
      </c>
      <c r="I1374" t="s">
        <v>37</v>
      </c>
      <c r="J1374">
        <v>0</v>
      </c>
      <c r="K1374">
        <v>0</v>
      </c>
      <c r="M1374" t="s">
        <v>255</v>
      </c>
      <c r="N1374" t="s">
        <v>1504</v>
      </c>
      <c r="O1374">
        <v>0</v>
      </c>
      <c r="P1374">
        <v>0</v>
      </c>
      <c r="Q1374" t="s">
        <v>249</v>
      </c>
    </row>
    <row r="1375" spans="1:17" x14ac:dyDescent="0.25">
      <c r="A1375" t="s">
        <v>19</v>
      </c>
      <c r="B1375" t="s">
        <v>35</v>
      </c>
      <c r="C1375">
        <v>160</v>
      </c>
      <c r="D1375" t="s">
        <v>264</v>
      </c>
      <c r="E1375" s="1">
        <v>43075</v>
      </c>
      <c r="F1375" t="s">
        <v>252</v>
      </c>
      <c r="G1375" t="s">
        <v>648</v>
      </c>
      <c r="H1375">
        <v>-1</v>
      </c>
      <c r="I1375" t="s">
        <v>37</v>
      </c>
      <c r="J1375">
        <v>0</v>
      </c>
      <c r="M1375" t="s">
        <v>170</v>
      </c>
      <c r="N1375" t="s">
        <v>1512</v>
      </c>
    </row>
    <row r="1376" spans="1:17" x14ac:dyDescent="0.25">
      <c r="A1376" t="s">
        <v>19</v>
      </c>
      <c r="B1376" t="s">
        <v>35</v>
      </c>
      <c r="C1376">
        <v>160</v>
      </c>
      <c r="D1376" t="s">
        <v>264</v>
      </c>
      <c r="E1376" s="1">
        <v>43075</v>
      </c>
      <c r="F1376" t="s">
        <v>252</v>
      </c>
      <c r="G1376" t="s">
        <v>648</v>
      </c>
      <c r="H1376">
        <v>-1</v>
      </c>
      <c r="I1376" t="s">
        <v>37</v>
      </c>
      <c r="J1376">
        <v>0</v>
      </c>
      <c r="K1376">
        <v>0</v>
      </c>
      <c r="M1376" t="s">
        <v>255</v>
      </c>
      <c r="N1376" t="s">
        <v>1512</v>
      </c>
      <c r="O1376">
        <v>0</v>
      </c>
      <c r="P1376">
        <v>0</v>
      </c>
      <c r="Q1376" t="s">
        <v>249</v>
      </c>
    </row>
    <row r="1377" spans="1:17" x14ac:dyDescent="0.25">
      <c r="A1377" t="s">
        <v>19</v>
      </c>
      <c r="B1377" t="s">
        <v>35</v>
      </c>
      <c r="C1377">
        <v>160</v>
      </c>
      <c r="D1377" t="s">
        <v>264</v>
      </c>
      <c r="E1377" s="1">
        <v>43076</v>
      </c>
      <c r="F1377" t="s">
        <v>252</v>
      </c>
      <c r="G1377" t="s">
        <v>1486</v>
      </c>
      <c r="H1377">
        <v>-1</v>
      </c>
      <c r="I1377" t="s">
        <v>37</v>
      </c>
      <c r="J1377">
        <v>0</v>
      </c>
      <c r="M1377" t="s">
        <v>170</v>
      </c>
      <c r="N1377" t="s">
        <v>1495</v>
      </c>
    </row>
    <row r="1378" spans="1:17" x14ac:dyDescent="0.25">
      <c r="A1378" t="s">
        <v>19</v>
      </c>
      <c r="B1378" t="s">
        <v>35</v>
      </c>
      <c r="C1378">
        <v>160</v>
      </c>
      <c r="D1378" t="s">
        <v>264</v>
      </c>
      <c r="E1378" s="1">
        <v>43076</v>
      </c>
      <c r="F1378" t="s">
        <v>252</v>
      </c>
      <c r="G1378" t="s">
        <v>1486</v>
      </c>
      <c r="H1378">
        <v>-1</v>
      </c>
      <c r="I1378" t="s">
        <v>37</v>
      </c>
      <c r="J1378">
        <v>0</v>
      </c>
      <c r="K1378">
        <v>0</v>
      </c>
      <c r="M1378" t="s">
        <v>255</v>
      </c>
      <c r="N1378" t="s">
        <v>1495</v>
      </c>
      <c r="O1378">
        <v>0</v>
      </c>
      <c r="P1378">
        <v>0</v>
      </c>
      <c r="Q1378" t="s">
        <v>249</v>
      </c>
    </row>
    <row r="1379" spans="1:17" x14ac:dyDescent="0.25">
      <c r="A1379" t="s">
        <v>19</v>
      </c>
      <c r="B1379" t="s">
        <v>35</v>
      </c>
      <c r="C1379">
        <v>160</v>
      </c>
      <c r="D1379" t="s">
        <v>264</v>
      </c>
      <c r="E1379" s="1">
        <v>43076</v>
      </c>
      <c r="F1379" t="s">
        <v>252</v>
      </c>
      <c r="G1379" t="s">
        <v>745</v>
      </c>
      <c r="H1379">
        <v>-1</v>
      </c>
      <c r="I1379" t="s">
        <v>37</v>
      </c>
      <c r="J1379">
        <v>0</v>
      </c>
      <c r="M1379" t="s">
        <v>170</v>
      </c>
      <c r="N1379" t="s">
        <v>1502</v>
      </c>
    </row>
    <row r="1380" spans="1:17" x14ac:dyDescent="0.25">
      <c r="A1380" t="s">
        <v>19</v>
      </c>
      <c r="B1380" t="s">
        <v>35</v>
      </c>
      <c r="C1380">
        <v>160</v>
      </c>
      <c r="D1380" t="s">
        <v>264</v>
      </c>
      <c r="E1380" s="1">
        <v>43076</v>
      </c>
      <c r="F1380" t="s">
        <v>252</v>
      </c>
      <c r="G1380" t="s">
        <v>745</v>
      </c>
      <c r="H1380">
        <v>-1</v>
      </c>
      <c r="I1380" t="s">
        <v>37</v>
      </c>
      <c r="J1380">
        <v>0</v>
      </c>
      <c r="K1380">
        <v>0</v>
      </c>
      <c r="M1380" t="s">
        <v>255</v>
      </c>
      <c r="N1380" t="s">
        <v>1502</v>
      </c>
      <c r="O1380">
        <v>0</v>
      </c>
      <c r="P1380">
        <v>0</v>
      </c>
      <c r="Q1380" t="s">
        <v>249</v>
      </c>
    </row>
    <row r="1381" spans="1:17" x14ac:dyDescent="0.25">
      <c r="A1381" t="s">
        <v>19</v>
      </c>
      <c r="B1381" t="s">
        <v>35</v>
      </c>
      <c r="C1381">
        <v>160</v>
      </c>
      <c r="D1381" t="s">
        <v>264</v>
      </c>
      <c r="E1381" s="1">
        <v>43076</v>
      </c>
      <c r="F1381" t="s">
        <v>252</v>
      </c>
      <c r="G1381" t="s">
        <v>826</v>
      </c>
      <c r="H1381">
        <v>-1</v>
      </c>
      <c r="I1381" t="s">
        <v>37</v>
      </c>
      <c r="J1381">
        <v>0</v>
      </c>
      <c r="M1381" t="s">
        <v>170</v>
      </c>
      <c r="N1381" t="s">
        <v>1510</v>
      </c>
    </row>
    <row r="1382" spans="1:17" x14ac:dyDescent="0.25">
      <c r="A1382" t="s">
        <v>19</v>
      </c>
      <c r="B1382" t="s">
        <v>35</v>
      </c>
      <c r="C1382">
        <v>160</v>
      </c>
      <c r="D1382" t="s">
        <v>264</v>
      </c>
      <c r="E1382" s="1">
        <v>43076</v>
      </c>
      <c r="F1382" t="s">
        <v>252</v>
      </c>
      <c r="G1382" t="s">
        <v>826</v>
      </c>
      <c r="H1382">
        <v>-1</v>
      </c>
      <c r="I1382" t="s">
        <v>37</v>
      </c>
      <c r="J1382">
        <v>0</v>
      </c>
      <c r="K1382">
        <v>0</v>
      </c>
      <c r="M1382" t="s">
        <v>255</v>
      </c>
      <c r="N1382" t="s">
        <v>1510</v>
      </c>
      <c r="O1382">
        <v>0</v>
      </c>
      <c r="P1382">
        <v>0</v>
      </c>
      <c r="Q1382" t="s">
        <v>249</v>
      </c>
    </row>
    <row r="1383" spans="1:17" x14ac:dyDescent="0.25">
      <c r="A1383" t="s">
        <v>19</v>
      </c>
      <c r="B1383" t="s">
        <v>35</v>
      </c>
      <c r="C1383">
        <v>160</v>
      </c>
      <c r="D1383" t="s">
        <v>264</v>
      </c>
      <c r="E1383" s="1">
        <v>43076</v>
      </c>
      <c r="F1383" t="s">
        <v>252</v>
      </c>
      <c r="G1383" t="s">
        <v>876</v>
      </c>
      <c r="H1383">
        <v>-1</v>
      </c>
      <c r="I1383" t="s">
        <v>37</v>
      </c>
      <c r="J1383">
        <v>0</v>
      </c>
      <c r="M1383" t="s">
        <v>170</v>
      </c>
      <c r="N1383" t="s">
        <v>1515</v>
      </c>
    </row>
    <row r="1384" spans="1:17" x14ac:dyDescent="0.25">
      <c r="A1384" t="s">
        <v>19</v>
      </c>
      <c r="B1384" t="s">
        <v>35</v>
      </c>
      <c r="C1384">
        <v>160</v>
      </c>
      <c r="D1384" t="s">
        <v>264</v>
      </c>
      <c r="E1384" s="1">
        <v>43076</v>
      </c>
      <c r="F1384" t="s">
        <v>252</v>
      </c>
      <c r="G1384" t="s">
        <v>876</v>
      </c>
      <c r="H1384">
        <v>-1</v>
      </c>
      <c r="I1384" t="s">
        <v>37</v>
      </c>
      <c r="J1384">
        <v>0</v>
      </c>
      <c r="K1384">
        <v>0</v>
      </c>
      <c r="M1384" t="s">
        <v>255</v>
      </c>
      <c r="N1384" t="s">
        <v>1515</v>
      </c>
      <c r="O1384">
        <v>0</v>
      </c>
      <c r="P1384">
        <v>0</v>
      </c>
      <c r="Q1384" t="s">
        <v>249</v>
      </c>
    </row>
    <row r="1385" spans="1:17" x14ac:dyDescent="0.25">
      <c r="A1385" t="s">
        <v>19</v>
      </c>
      <c r="B1385" t="s">
        <v>35</v>
      </c>
      <c r="C1385">
        <v>160</v>
      </c>
      <c r="D1385" t="s">
        <v>264</v>
      </c>
      <c r="E1385" s="1">
        <v>43076</v>
      </c>
      <c r="F1385" t="s">
        <v>17</v>
      </c>
      <c r="G1385" t="s">
        <v>1716</v>
      </c>
      <c r="H1385">
        <v>1</v>
      </c>
      <c r="I1385" t="s">
        <v>37</v>
      </c>
      <c r="J1385">
        <v>0</v>
      </c>
      <c r="K1385">
        <v>0</v>
      </c>
      <c r="L1385" t="s">
        <v>246</v>
      </c>
      <c r="M1385" t="s">
        <v>170</v>
      </c>
      <c r="N1385" t="s">
        <v>1717</v>
      </c>
    </row>
    <row r="1386" spans="1:17" x14ac:dyDescent="0.25">
      <c r="A1386" t="s">
        <v>19</v>
      </c>
      <c r="B1386" t="s">
        <v>35</v>
      </c>
      <c r="C1386">
        <v>160</v>
      </c>
      <c r="D1386" t="s">
        <v>264</v>
      </c>
      <c r="E1386" s="1">
        <v>43076</v>
      </c>
      <c r="F1386" t="s">
        <v>17</v>
      </c>
      <c r="G1386" t="s">
        <v>1716</v>
      </c>
      <c r="H1386">
        <v>1</v>
      </c>
      <c r="I1386" t="s">
        <v>37</v>
      </c>
      <c r="J1386">
        <v>0</v>
      </c>
      <c r="K1386">
        <v>0</v>
      </c>
      <c r="L1386" t="s">
        <v>246</v>
      </c>
      <c r="M1386" t="s">
        <v>255</v>
      </c>
      <c r="N1386" t="s">
        <v>1717</v>
      </c>
      <c r="O1386">
        <v>0</v>
      </c>
      <c r="P1386">
        <v>0</v>
      </c>
      <c r="Q1386" t="s">
        <v>249</v>
      </c>
    </row>
    <row r="1387" spans="1:17" x14ac:dyDescent="0.25">
      <c r="A1387" t="s">
        <v>19</v>
      </c>
      <c r="B1387" t="s">
        <v>35</v>
      </c>
      <c r="C1387">
        <v>160</v>
      </c>
      <c r="D1387" t="s">
        <v>264</v>
      </c>
      <c r="E1387" s="1">
        <v>43076</v>
      </c>
      <c r="F1387" t="s">
        <v>17</v>
      </c>
      <c r="G1387" t="s">
        <v>1728</v>
      </c>
      <c r="H1387">
        <v>1</v>
      </c>
      <c r="I1387" t="s">
        <v>37</v>
      </c>
      <c r="J1387">
        <v>0</v>
      </c>
      <c r="K1387">
        <v>0</v>
      </c>
      <c r="L1387" t="s">
        <v>246</v>
      </c>
      <c r="M1387" t="s">
        <v>170</v>
      </c>
      <c r="N1387" t="s">
        <v>1729</v>
      </c>
    </row>
    <row r="1388" spans="1:17" x14ac:dyDescent="0.25">
      <c r="A1388" t="s">
        <v>19</v>
      </c>
      <c r="B1388" t="s">
        <v>35</v>
      </c>
      <c r="C1388">
        <v>160</v>
      </c>
      <c r="D1388" t="s">
        <v>264</v>
      </c>
      <c r="E1388" s="1">
        <v>43076</v>
      </c>
      <c r="F1388" t="s">
        <v>17</v>
      </c>
      <c r="G1388" t="s">
        <v>1728</v>
      </c>
      <c r="H1388">
        <v>1</v>
      </c>
      <c r="I1388" t="s">
        <v>37</v>
      </c>
      <c r="J1388">
        <v>0</v>
      </c>
      <c r="K1388">
        <v>0</v>
      </c>
      <c r="L1388" t="s">
        <v>246</v>
      </c>
      <c r="M1388" t="s">
        <v>255</v>
      </c>
      <c r="N1388" t="s">
        <v>1729</v>
      </c>
      <c r="O1388">
        <v>0</v>
      </c>
      <c r="P1388">
        <v>0</v>
      </c>
      <c r="Q1388" t="s">
        <v>249</v>
      </c>
    </row>
    <row r="1389" spans="1:17" x14ac:dyDescent="0.25">
      <c r="A1389" t="s">
        <v>19</v>
      </c>
      <c r="B1389" t="s">
        <v>35</v>
      </c>
      <c r="C1389">
        <v>160</v>
      </c>
      <c r="D1389" t="s">
        <v>264</v>
      </c>
      <c r="E1389" s="1">
        <v>43080</v>
      </c>
      <c r="F1389" t="s">
        <v>252</v>
      </c>
      <c r="G1389" t="s">
        <v>772</v>
      </c>
      <c r="H1389">
        <v>-1</v>
      </c>
      <c r="I1389" t="s">
        <v>37</v>
      </c>
      <c r="J1389">
        <v>0</v>
      </c>
      <c r="M1389" t="s">
        <v>170</v>
      </c>
      <c r="N1389" t="s">
        <v>1520</v>
      </c>
    </row>
    <row r="1390" spans="1:17" x14ac:dyDescent="0.25">
      <c r="A1390" t="s">
        <v>19</v>
      </c>
      <c r="B1390" t="s">
        <v>35</v>
      </c>
      <c r="C1390">
        <v>160</v>
      </c>
      <c r="D1390" t="s">
        <v>264</v>
      </c>
      <c r="E1390" s="1">
        <v>43080</v>
      </c>
      <c r="F1390" t="s">
        <v>252</v>
      </c>
      <c r="G1390" t="s">
        <v>772</v>
      </c>
      <c r="H1390">
        <v>-1</v>
      </c>
      <c r="I1390" t="s">
        <v>37</v>
      </c>
      <c r="J1390">
        <v>0</v>
      </c>
      <c r="K1390">
        <v>0</v>
      </c>
      <c r="M1390" t="s">
        <v>255</v>
      </c>
      <c r="N1390" t="s">
        <v>1520</v>
      </c>
      <c r="O1390">
        <v>0</v>
      </c>
      <c r="P1390">
        <v>0</v>
      </c>
      <c r="Q1390" t="s">
        <v>249</v>
      </c>
    </row>
    <row r="1391" spans="1:17" x14ac:dyDescent="0.25">
      <c r="A1391" t="s">
        <v>19</v>
      </c>
      <c r="B1391" t="s">
        <v>35</v>
      </c>
      <c r="C1391">
        <v>160</v>
      </c>
      <c r="D1391" t="s">
        <v>264</v>
      </c>
      <c r="E1391" s="1">
        <v>43080</v>
      </c>
      <c r="F1391" t="s">
        <v>252</v>
      </c>
      <c r="G1391" t="s">
        <v>879</v>
      </c>
      <c r="H1391">
        <v>-1</v>
      </c>
      <c r="I1391" t="s">
        <v>37</v>
      </c>
      <c r="J1391">
        <v>0</v>
      </c>
      <c r="M1391" t="s">
        <v>170</v>
      </c>
      <c r="N1391" t="s">
        <v>1521</v>
      </c>
    </row>
    <row r="1392" spans="1:17" x14ac:dyDescent="0.25">
      <c r="A1392" t="s">
        <v>19</v>
      </c>
      <c r="B1392" t="s">
        <v>35</v>
      </c>
      <c r="C1392">
        <v>160</v>
      </c>
      <c r="D1392" t="s">
        <v>264</v>
      </c>
      <c r="E1392" s="1">
        <v>43080</v>
      </c>
      <c r="F1392" t="s">
        <v>252</v>
      </c>
      <c r="G1392" t="s">
        <v>879</v>
      </c>
      <c r="H1392">
        <v>-1</v>
      </c>
      <c r="I1392" t="s">
        <v>37</v>
      </c>
      <c r="J1392">
        <v>0</v>
      </c>
      <c r="K1392">
        <v>0</v>
      </c>
      <c r="M1392" t="s">
        <v>255</v>
      </c>
      <c r="N1392" t="s">
        <v>1521</v>
      </c>
      <c r="O1392">
        <v>0</v>
      </c>
      <c r="P1392">
        <v>0</v>
      </c>
      <c r="Q1392" t="s">
        <v>249</v>
      </c>
    </row>
    <row r="1393" spans="1:17" x14ac:dyDescent="0.25">
      <c r="A1393" t="s">
        <v>19</v>
      </c>
      <c r="B1393" t="s">
        <v>35</v>
      </c>
      <c r="C1393">
        <v>160</v>
      </c>
      <c r="D1393" t="s">
        <v>264</v>
      </c>
      <c r="E1393" s="1">
        <v>43081</v>
      </c>
      <c r="F1393" t="s">
        <v>252</v>
      </c>
      <c r="G1393" t="s">
        <v>779</v>
      </c>
      <c r="H1393">
        <v>-1</v>
      </c>
      <c r="I1393" t="s">
        <v>37</v>
      </c>
      <c r="J1393">
        <v>0</v>
      </c>
      <c r="M1393" t="s">
        <v>170</v>
      </c>
      <c r="N1393" t="s">
        <v>1523</v>
      </c>
    </row>
    <row r="1394" spans="1:17" x14ac:dyDescent="0.25">
      <c r="A1394" t="s">
        <v>19</v>
      </c>
      <c r="B1394" t="s">
        <v>35</v>
      </c>
      <c r="C1394">
        <v>160</v>
      </c>
      <c r="D1394" t="s">
        <v>264</v>
      </c>
      <c r="E1394" s="1">
        <v>43081</v>
      </c>
      <c r="F1394" t="s">
        <v>252</v>
      </c>
      <c r="G1394" t="s">
        <v>779</v>
      </c>
      <c r="H1394">
        <v>-1</v>
      </c>
      <c r="I1394" t="s">
        <v>37</v>
      </c>
      <c r="J1394">
        <v>0</v>
      </c>
      <c r="K1394">
        <v>0</v>
      </c>
      <c r="M1394" t="s">
        <v>255</v>
      </c>
      <c r="N1394" t="s">
        <v>1523</v>
      </c>
      <c r="O1394">
        <v>0</v>
      </c>
      <c r="P1394">
        <v>0</v>
      </c>
      <c r="Q1394" t="s">
        <v>249</v>
      </c>
    </row>
    <row r="1395" spans="1:17" x14ac:dyDescent="0.25">
      <c r="A1395" t="s">
        <v>19</v>
      </c>
      <c r="B1395" t="s">
        <v>35</v>
      </c>
      <c r="C1395">
        <v>160</v>
      </c>
      <c r="D1395" t="s">
        <v>264</v>
      </c>
      <c r="E1395" s="1">
        <v>43081</v>
      </c>
      <c r="F1395" t="s">
        <v>252</v>
      </c>
      <c r="G1395" t="s">
        <v>794</v>
      </c>
      <c r="H1395">
        <v>-1</v>
      </c>
      <c r="I1395" t="s">
        <v>37</v>
      </c>
      <c r="J1395">
        <v>0</v>
      </c>
      <c r="M1395" t="s">
        <v>170</v>
      </c>
      <c r="N1395" t="s">
        <v>1525</v>
      </c>
    </row>
    <row r="1396" spans="1:17" x14ac:dyDescent="0.25">
      <c r="A1396" t="s">
        <v>19</v>
      </c>
      <c r="B1396" t="s">
        <v>35</v>
      </c>
      <c r="C1396">
        <v>160</v>
      </c>
      <c r="D1396" t="s">
        <v>264</v>
      </c>
      <c r="E1396" s="1">
        <v>43081</v>
      </c>
      <c r="F1396" t="s">
        <v>252</v>
      </c>
      <c r="G1396" t="s">
        <v>794</v>
      </c>
      <c r="H1396">
        <v>-1</v>
      </c>
      <c r="I1396" t="s">
        <v>37</v>
      </c>
      <c r="J1396">
        <v>0</v>
      </c>
      <c r="K1396">
        <v>0</v>
      </c>
      <c r="M1396" t="s">
        <v>255</v>
      </c>
      <c r="N1396" t="s">
        <v>1525</v>
      </c>
      <c r="O1396">
        <v>0</v>
      </c>
      <c r="P1396">
        <v>0</v>
      </c>
      <c r="Q1396" t="s">
        <v>249</v>
      </c>
    </row>
    <row r="1397" spans="1:17" x14ac:dyDescent="0.25">
      <c r="A1397" t="s">
        <v>19</v>
      </c>
      <c r="B1397" t="s">
        <v>35</v>
      </c>
      <c r="C1397">
        <v>160</v>
      </c>
      <c r="D1397" t="s">
        <v>264</v>
      </c>
      <c r="E1397" s="1">
        <v>43081</v>
      </c>
      <c r="F1397" t="s">
        <v>252</v>
      </c>
      <c r="G1397" t="s">
        <v>788</v>
      </c>
      <c r="H1397">
        <v>-1</v>
      </c>
      <c r="I1397" t="s">
        <v>37</v>
      </c>
      <c r="J1397">
        <v>0</v>
      </c>
      <c r="M1397" t="s">
        <v>170</v>
      </c>
      <c r="N1397" t="s">
        <v>1527</v>
      </c>
    </row>
    <row r="1398" spans="1:17" x14ac:dyDescent="0.25">
      <c r="A1398" t="s">
        <v>19</v>
      </c>
      <c r="B1398" t="s">
        <v>35</v>
      </c>
      <c r="C1398">
        <v>160</v>
      </c>
      <c r="D1398" t="s">
        <v>264</v>
      </c>
      <c r="E1398" s="1">
        <v>43081</v>
      </c>
      <c r="F1398" t="s">
        <v>252</v>
      </c>
      <c r="G1398" t="s">
        <v>788</v>
      </c>
      <c r="H1398">
        <v>-1</v>
      </c>
      <c r="I1398" t="s">
        <v>37</v>
      </c>
      <c r="J1398">
        <v>0</v>
      </c>
      <c r="K1398">
        <v>0</v>
      </c>
      <c r="M1398" t="s">
        <v>255</v>
      </c>
      <c r="N1398" t="s">
        <v>1527</v>
      </c>
      <c r="O1398">
        <v>0</v>
      </c>
      <c r="P1398">
        <v>0</v>
      </c>
      <c r="Q1398" t="s">
        <v>249</v>
      </c>
    </row>
    <row r="1399" spans="1:17" x14ac:dyDescent="0.25">
      <c r="A1399" t="s">
        <v>19</v>
      </c>
      <c r="B1399" t="s">
        <v>35</v>
      </c>
      <c r="C1399">
        <v>160</v>
      </c>
      <c r="D1399" t="s">
        <v>264</v>
      </c>
      <c r="E1399" s="1">
        <v>43081</v>
      </c>
      <c r="F1399" t="s">
        <v>252</v>
      </c>
      <c r="G1399" t="s">
        <v>749</v>
      </c>
      <c r="H1399">
        <v>-1</v>
      </c>
      <c r="I1399" t="s">
        <v>37</v>
      </c>
      <c r="J1399">
        <v>0</v>
      </c>
      <c r="M1399" t="s">
        <v>170</v>
      </c>
      <c r="N1399" t="s">
        <v>1528</v>
      </c>
    </row>
    <row r="1400" spans="1:17" x14ac:dyDescent="0.25">
      <c r="A1400" t="s">
        <v>19</v>
      </c>
      <c r="B1400" t="s">
        <v>35</v>
      </c>
      <c r="C1400">
        <v>160</v>
      </c>
      <c r="D1400" t="s">
        <v>264</v>
      </c>
      <c r="E1400" s="1">
        <v>43081</v>
      </c>
      <c r="F1400" t="s">
        <v>252</v>
      </c>
      <c r="G1400" t="s">
        <v>749</v>
      </c>
      <c r="H1400">
        <v>-1</v>
      </c>
      <c r="I1400" t="s">
        <v>37</v>
      </c>
      <c r="J1400">
        <v>0</v>
      </c>
      <c r="K1400">
        <v>0</v>
      </c>
      <c r="M1400" t="s">
        <v>255</v>
      </c>
      <c r="N1400" t="s">
        <v>1528</v>
      </c>
      <c r="O1400">
        <v>0</v>
      </c>
      <c r="P1400">
        <v>0</v>
      </c>
      <c r="Q1400" t="s">
        <v>249</v>
      </c>
    </row>
    <row r="1401" spans="1:17" x14ac:dyDescent="0.25">
      <c r="A1401" t="s">
        <v>19</v>
      </c>
      <c r="B1401" t="s">
        <v>35</v>
      </c>
      <c r="C1401">
        <v>160</v>
      </c>
      <c r="D1401" t="s">
        <v>264</v>
      </c>
      <c r="E1401" s="1">
        <v>43083</v>
      </c>
      <c r="F1401" t="s">
        <v>252</v>
      </c>
      <c r="G1401" t="s">
        <v>630</v>
      </c>
      <c r="H1401">
        <v>-1</v>
      </c>
      <c r="I1401" t="s">
        <v>37</v>
      </c>
      <c r="J1401">
        <v>0</v>
      </c>
      <c r="M1401" t="s">
        <v>170</v>
      </c>
      <c r="N1401" t="s">
        <v>1475</v>
      </c>
    </row>
    <row r="1402" spans="1:17" x14ac:dyDescent="0.25">
      <c r="A1402" t="s">
        <v>19</v>
      </c>
      <c r="B1402" t="s">
        <v>35</v>
      </c>
      <c r="C1402">
        <v>160</v>
      </c>
      <c r="D1402" t="s">
        <v>264</v>
      </c>
      <c r="E1402" s="1">
        <v>43083</v>
      </c>
      <c r="F1402" t="s">
        <v>252</v>
      </c>
      <c r="G1402" t="s">
        <v>630</v>
      </c>
      <c r="H1402">
        <v>-1</v>
      </c>
      <c r="I1402" t="s">
        <v>37</v>
      </c>
      <c r="J1402">
        <v>0</v>
      </c>
      <c r="K1402">
        <v>0</v>
      </c>
      <c r="M1402" t="s">
        <v>255</v>
      </c>
      <c r="N1402" t="s">
        <v>1475</v>
      </c>
      <c r="O1402">
        <v>0</v>
      </c>
      <c r="P1402">
        <v>0</v>
      </c>
      <c r="Q1402" t="s">
        <v>249</v>
      </c>
    </row>
    <row r="1403" spans="1:17" x14ac:dyDescent="0.25">
      <c r="A1403" t="s">
        <v>19</v>
      </c>
      <c r="B1403" t="s">
        <v>35</v>
      </c>
      <c r="C1403">
        <v>160</v>
      </c>
      <c r="D1403" t="s">
        <v>264</v>
      </c>
      <c r="E1403" s="1">
        <v>43083</v>
      </c>
      <c r="F1403" t="s">
        <v>252</v>
      </c>
      <c r="G1403" t="s">
        <v>868</v>
      </c>
      <c r="H1403">
        <v>-1</v>
      </c>
      <c r="I1403" t="s">
        <v>37</v>
      </c>
      <c r="J1403">
        <v>0</v>
      </c>
      <c r="M1403" t="s">
        <v>170</v>
      </c>
      <c r="N1403" t="s">
        <v>1543</v>
      </c>
    </row>
    <row r="1404" spans="1:17" x14ac:dyDescent="0.25">
      <c r="A1404" t="s">
        <v>19</v>
      </c>
      <c r="B1404" t="s">
        <v>35</v>
      </c>
      <c r="C1404">
        <v>160</v>
      </c>
      <c r="D1404" t="s">
        <v>264</v>
      </c>
      <c r="E1404" s="1">
        <v>43083</v>
      </c>
      <c r="F1404" t="s">
        <v>252</v>
      </c>
      <c r="G1404" t="s">
        <v>868</v>
      </c>
      <c r="H1404">
        <v>-1</v>
      </c>
      <c r="I1404" t="s">
        <v>37</v>
      </c>
      <c r="J1404">
        <v>0</v>
      </c>
      <c r="K1404">
        <v>0</v>
      </c>
      <c r="M1404" t="s">
        <v>255</v>
      </c>
      <c r="N1404" t="s">
        <v>1543</v>
      </c>
      <c r="O1404">
        <v>0</v>
      </c>
      <c r="P1404">
        <v>0</v>
      </c>
      <c r="Q1404" t="s">
        <v>249</v>
      </c>
    </row>
    <row r="1405" spans="1:17" x14ac:dyDescent="0.25">
      <c r="A1405" t="s">
        <v>19</v>
      </c>
      <c r="B1405" t="s">
        <v>35</v>
      </c>
      <c r="C1405">
        <v>160</v>
      </c>
      <c r="D1405" t="s">
        <v>264</v>
      </c>
      <c r="E1405" s="1">
        <v>43083</v>
      </c>
      <c r="F1405" t="s">
        <v>252</v>
      </c>
      <c r="G1405" t="s">
        <v>651</v>
      </c>
      <c r="H1405">
        <v>1</v>
      </c>
      <c r="I1405" t="s">
        <v>37</v>
      </c>
      <c r="J1405">
        <v>0</v>
      </c>
      <c r="M1405" t="s">
        <v>170</v>
      </c>
      <c r="N1405" t="s">
        <v>1571</v>
      </c>
    </row>
    <row r="1406" spans="1:17" x14ac:dyDescent="0.25">
      <c r="A1406" t="s">
        <v>19</v>
      </c>
      <c r="B1406" t="s">
        <v>35</v>
      </c>
      <c r="C1406">
        <v>160</v>
      </c>
      <c r="D1406" t="s">
        <v>264</v>
      </c>
      <c r="E1406" s="1">
        <v>43083</v>
      </c>
      <c r="F1406" t="s">
        <v>252</v>
      </c>
      <c r="G1406" t="s">
        <v>651</v>
      </c>
      <c r="H1406">
        <v>1</v>
      </c>
      <c r="I1406" t="s">
        <v>37</v>
      </c>
      <c r="J1406">
        <v>0</v>
      </c>
      <c r="M1406" t="s">
        <v>255</v>
      </c>
      <c r="N1406" t="s">
        <v>1571</v>
      </c>
      <c r="O1406">
        <v>0</v>
      </c>
      <c r="P1406">
        <v>0</v>
      </c>
      <c r="Q1406" t="s">
        <v>249</v>
      </c>
    </row>
    <row r="1407" spans="1:17" x14ac:dyDescent="0.25">
      <c r="A1407" t="s">
        <v>19</v>
      </c>
      <c r="B1407" t="s">
        <v>35</v>
      </c>
      <c r="C1407">
        <v>160</v>
      </c>
      <c r="D1407" t="s">
        <v>264</v>
      </c>
      <c r="E1407" s="1">
        <v>43083</v>
      </c>
      <c r="F1407" t="s">
        <v>252</v>
      </c>
      <c r="G1407" t="s">
        <v>627</v>
      </c>
      <c r="H1407">
        <v>1</v>
      </c>
      <c r="I1407" t="s">
        <v>37</v>
      </c>
      <c r="J1407">
        <v>0</v>
      </c>
      <c r="M1407" t="s">
        <v>170</v>
      </c>
      <c r="N1407" t="s">
        <v>1576</v>
      </c>
    </row>
    <row r="1408" spans="1:17" x14ac:dyDescent="0.25">
      <c r="A1408" t="s">
        <v>19</v>
      </c>
      <c r="B1408" t="s">
        <v>35</v>
      </c>
      <c r="C1408">
        <v>160</v>
      </c>
      <c r="D1408" t="s">
        <v>264</v>
      </c>
      <c r="E1408" s="1">
        <v>43083</v>
      </c>
      <c r="F1408" t="s">
        <v>252</v>
      </c>
      <c r="G1408" t="s">
        <v>627</v>
      </c>
      <c r="H1408">
        <v>1</v>
      </c>
      <c r="I1408" t="s">
        <v>37</v>
      </c>
      <c r="J1408">
        <v>0</v>
      </c>
      <c r="M1408" t="s">
        <v>255</v>
      </c>
      <c r="N1408" t="s">
        <v>1576</v>
      </c>
      <c r="O1408">
        <v>0</v>
      </c>
      <c r="P1408">
        <v>0</v>
      </c>
      <c r="Q1408" t="s">
        <v>249</v>
      </c>
    </row>
    <row r="1409" spans="1:17" x14ac:dyDescent="0.25">
      <c r="A1409" t="s">
        <v>19</v>
      </c>
      <c r="B1409" t="s">
        <v>35</v>
      </c>
      <c r="C1409">
        <v>160</v>
      </c>
      <c r="D1409" t="s">
        <v>264</v>
      </c>
      <c r="E1409" s="1">
        <v>43083</v>
      </c>
      <c r="F1409" t="s">
        <v>252</v>
      </c>
      <c r="G1409" t="s">
        <v>943</v>
      </c>
      <c r="H1409">
        <v>1</v>
      </c>
      <c r="I1409" t="s">
        <v>37</v>
      </c>
      <c r="J1409">
        <v>0</v>
      </c>
      <c r="M1409" t="s">
        <v>170</v>
      </c>
      <c r="N1409" t="s">
        <v>1580</v>
      </c>
    </row>
    <row r="1410" spans="1:17" x14ac:dyDescent="0.25">
      <c r="A1410" t="s">
        <v>19</v>
      </c>
      <c r="B1410" t="s">
        <v>35</v>
      </c>
      <c r="C1410">
        <v>160</v>
      </c>
      <c r="D1410" t="s">
        <v>264</v>
      </c>
      <c r="E1410" s="1">
        <v>43083</v>
      </c>
      <c r="F1410" t="s">
        <v>252</v>
      </c>
      <c r="G1410" t="s">
        <v>943</v>
      </c>
      <c r="H1410">
        <v>1</v>
      </c>
      <c r="I1410" t="s">
        <v>37</v>
      </c>
      <c r="J1410">
        <v>0</v>
      </c>
      <c r="M1410" t="s">
        <v>255</v>
      </c>
      <c r="N1410" t="s">
        <v>1580</v>
      </c>
      <c r="O1410">
        <v>0</v>
      </c>
      <c r="P1410">
        <v>0</v>
      </c>
      <c r="Q1410" t="s">
        <v>249</v>
      </c>
    </row>
    <row r="1411" spans="1:17" x14ac:dyDescent="0.25">
      <c r="A1411" t="s">
        <v>19</v>
      </c>
      <c r="B1411" t="s">
        <v>35</v>
      </c>
      <c r="C1411">
        <v>160</v>
      </c>
      <c r="D1411" t="s">
        <v>264</v>
      </c>
      <c r="E1411" s="1">
        <v>43083</v>
      </c>
      <c r="F1411" t="s">
        <v>252</v>
      </c>
      <c r="G1411" t="s">
        <v>946</v>
      </c>
      <c r="H1411">
        <v>1</v>
      </c>
      <c r="I1411" t="s">
        <v>37</v>
      </c>
      <c r="J1411">
        <v>0</v>
      </c>
      <c r="M1411" t="s">
        <v>170</v>
      </c>
      <c r="N1411" t="s">
        <v>1587</v>
      </c>
    </row>
    <row r="1412" spans="1:17" x14ac:dyDescent="0.25">
      <c r="A1412" t="s">
        <v>19</v>
      </c>
      <c r="B1412" t="s">
        <v>35</v>
      </c>
      <c r="C1412">
        <v>160</v>
      </c>
      <c r="D1412" t="s">
        <v>264</v>
      </c>
      <c r="E1412" s="1">
        <v>43083</v>
      </c>
      <c r="F1412" t="s">
        <v>252</v>
      </c>
      <c r="G1412" t="s">
        <v>946</v>
      </c>
      <c r="H1412">
        <v>1</v>
      </c>
      <c r="I1412" t="s">
        <v>37</v>
      </c>
      <c r="J1412">
        <v>0</v>
      </c>
      <c r="M1412" t="s">
        <v>255</v>
      </c>
      <c r="N1412" t="s">
        <v>1587</v>
      </c>
      <c r="O1412">
        <v>0</v>
      </c>
      <c r="P1412">
        <v>0</v>
      </c>
      <c r="Q1412" t="s">
        <v>249</v>
      </c>
    </row>
    <row r="1413" spans="1:17" x14ac:dyDescent="0.25">
      <c r="A1413" t="s">
        <v>19</v>
      </c>
      <c r="B1413" t="s">
        <v>35</v>
      </c>
      <c r="C1413">
        <v>160</v>
      </c>
      <c r="D1413" t="s">
        <v>264</v>
      </c>
      <c r="E1413" s="1">
        <v>43083</v>
      </c>
      <c r="F1413" t="s">
        <v>252</v>
      </c>
      <c r="G1413" t="s">
        <v>733</v>
      </c>
      <c r="H1413">
        <v>1</v>
      </c>
      <c r="I1413" t="s">
        <v>37</v>
      </c>
      <c r="J1413">
        <v>0</v>
      </c>
      <c r="M1413" t="s">
        <v>170</v>
      </c>
      <c r="N1413" t="s">
        <v>1598</v>
      </c>
    </row>
    <row r="1414" spans="1:17" x14ac:dyDescent="0.25">
      <c r="A1414" t="s">
        <v>19</v>
      </c>
      <c r="B1414" t="s">
        <v>35</v>
      </c>
      <c r="C1414">
        <v>160</v>
      </c>
      <c r="D1414" t="s">
        <v>264</v>
      </c>
      <c r="E1414" s="1">
        <v>43083</v>
      </c>
      <c r="F1414" t="s">
        <v>252</v>
      </c>
      <c r="G1414" t="s">
        <v>733</v>
      </c>
      <c r="H1414">
        <v>1</v>
      </c>
      <c r="I1414" t="s">
        <v>37</v>
      </c>
      <c r="J1414">
        <v>0</v>
      </c>
      <c r="M1414" t="s">
        <v>255</v>
      </c>
      <c r="N1414" t="s">
        <v>1598</v>
      </c>
      <c r="O1414">
        <v>0</v>
      </c>
      <c r="P1414">
        <v>0</v>
      </c>
      <c r="Q1414" t="s">
        <v>249</v>
      </c>
    </row>
    <row r="1415" spans="1:17" x14ac:dyDescent="0.25">
      <c r="A1415" t="s">
        <v>19</v>
      </c>
      <c r="B1415" t="s">
        <v>35</v>
      </c>
      <c r="C1415">
        <v>160</v>
      </c>
      <c r="D1415" t="s">
        <v>264</v>
      </c>
      <c r="E1415" s="1">
        <v>43083</v>
      </c>
      <c r="F1415" t="s">
        <v>17</v>
      </c>
      <c r="G1415" t="s">
        <v>1699</v>
      </c>
      <c r="H1415">
        <v>1</v>
      </c>
      <c r="I1415" t="s">
        <v>37</v>
      </c>
      <c r="J1415">
        <v>0</v>
      </c>
      <c r="K1415">
        <v>0</v>
      </c>
      <c r="L1415" t="s">
        <v>246</v>
      </c>
      <c r="M1415" t="s">
        <v>170</v>
      </c>
      <c r="N1415" t="s">
        <v>1700</v>
      </c>
    </row>
    <row r="1416" spans="1:17" x14ac:dyDescent="0.25">
      <c r="A1416" t="s">
        <v>19</v>
      </c>
      <c r="B1416" t="s">
        <v>35</v>
      </c>
      <c r="C1416">
        <v>160</v>
      </c>
      <c r="D1416" t="s">
        <v>264</v>
      </c>
      <c r="E1416" s="1">
        <v>43083</v>
      </c>
      <c r="F1416" t="s">
        <v>17</v>
      </c>
      <c r="G1416" t="s">
        <v>1699</v>
      </c>
      <c r="H1416">
        <v>1</v>
      </c>
      <c r="I1416" t="s">
        <v>37</v>
      </c>
      <c r="J1416">
        <v>0</v>
      </c>
      <c r="K1416">
        <v>0</v>
      </c>
      <c r="L1416" t="s">
        <v>246</v>
      </c>
      <c r="M1416" t="s">
        <v>255</v>
      </c>
      <c r="N1416" t="s">
        <v>1700</v>
      </c>
      <c r="O1416">
        <v>0</v>
      </c>
      <c r="P1416">
        <v>0</v>
      </c>
      <c r="Q1416" t="s">
        <v>249</v>
      </c>
    </row>
    <row r="1417" spans="1:17" x14ac:dyDescent="0.25">
      <c r="A1417" t="s">
        <v>19</v>
      </c>
      <c r="B1417" t="s">
        <v>35</v>
      </c>
      <c r="C1417">
        <v>160</v>
      </c>
      <c r="D1417" t="s">
        <v>264</v>
      </c>
      <c r="E1417" s="1">
        <v>43084</v>
      </c>
      <c r="F1417" t="s">
        <v>252</v>
      </c>
      <c r="G1417" t="s">
        <v>822</v>
      </c>
      <c r="H1417">
        <v>-1</v>
      </c>
      <c r="I1417" t="s">
        <v>37</v>
      </c>
      <c r="J1417">
        <v>0</v>
      </c>
      <c r="M1417" t="s">
        <v>170</v>
      </c>
      <c r="N1417" t="s">
        <v>1569</v>
      </c>
    </row>
    <row r="1418" spans="1:17" x14ac:dyDescent="0.25">
      <c r="A1418" t="s">
        <v>19</v>
      </c>
      <c r="B1418" t="s">
        <v>35</v>
      </c>
      <c r="C1418">
        <v>160</v>
      </c>
      <c r="D1418" t="s">
        <v>264</v>
      </c>
      <c r="E1418" s="1">
        <v>43084</v>
      </c>
      <c r="F1418" t="s">
        <v>252</v>
      </c>
      <c r="G1418" t="s">
        <v>822</v>
      </c>
      <c r="H1418">
        <v>-1</v>
      </c>
      <c r="I1418" t="s">
        <v>37</v>
      </c>
      <c r="J1418">
        <v>0</v>
      </c>
      <c r="K1418">
        <v>0</v>
      </c>
      <c r="M1418" t="s">
        <v>255</v>
      </c>
      <c r="N1418" t="s">
        <v>1569</v>
      </c>
      <c r="O1418">
        <v>0</v>
      </c>
      <c r="P1418">
        <v>0</v>
      </c>
      <c r="Q1418" t="s">
        <v>249</v>
      </c>
    </row>
    <row r="1419" spans="1:17" x14ac:dyDescent="0.25">
      <c r="A1419" t="s">
        <v>19</v>
      </c>
      <c r="B1419" t="s">
        <v>35</v>
      </c>
      <c r="C1419">
        <v>160</v>
      </c>
      <c r="D1419" t="s">
        <v>264</v>
      </c>
      <c r="E1419" s="1">
        <v>43084</v>
      </c>
      <c r="F1419" t="s">
        <v>252</v>
      </c>
      <c r="G1419" t="s">
        <v>654</v>
      </c>
      <c r="H1419">
        <v>-1</v>
      </c>
      <c r="I1419" t="s">
        <v>37</v>
      </c>
      <c r="J1419">
        <v>0</v>
      </c>
      <c r="M1419" t="s">
        <v>170</v>
      </c>
      <c r="N1419" t="s">
        <v>1573</v>
      </c>
    </row>
    <row r="1420" spans="1:17" x14ac:dyDescent="0.25">
      <c r="A1420" t="s">
        <v>19</v>
      </c>
      <c r="B1420" t="s">
        <v>35</v>
      </c>
      <c r="C1420">
        <v>160</v>
      </c>
      <c r="D1420" t="s">
        <v>264</v>
      </c>
      <c r="E1420" s="1">
        <v>43084</v>
      </c>
      <c r="F1420" t="s">
        <v>252</v>
      </c>
      <c r="G1420" t="s">
        <v>654</v>
      </c>
      <c r="H1420">
        <v>-1</v>
      </c>
      <c r="I1420" t="s">
        <v>37</v>
      </c>
      <c r="J1420">
        <v>0</v>
      </c>
      <c r="K1420">
        <v>0</v>
      </c>
      <c r="M1420" t="s">
        <v>255</v>
      </c>
      <c r="N1420" t="s">
        <v>1573</v>
      </c>
      <c r="O1420">
        <v>0</v>
      </c>
      <c r="P1420">
        <v>0</v>
      </c>
      <c r="Q1420" t="s">
        <v>249</v>
      </c>
    </row>
    <row r="1421" spans="1:17" x14ac:dyDescent="0.25">
      <c r="A1421" t="s">
        <v>19</v>
      </c>
      <c r="B1421" t="s">
        <v>35</v>
      </c>
      <c r="C1421">
        <v>160</v>
      </c>
      <c r="D1421" t="s">
        <v>264</v>
      </c>
      <c r="E1421" s="1">
        <v>43084</v>
      </c>
      <c r="F1421" t="s">
        <v>252</v>
      </c>
      <c r="G1421" t="s">
        <v>636</v>
      </c>
      <c r="H1421">
        <v>-1</v>
      </c>
      <c r="I1421" t="s">
        <v>37</v>
      </c>
      <c r="J1421">
        <v>0</v>
      </c>
      <c r="M1421" t="s">
        <v>170</v>
      </c>
      <c r="N1421" t="s">
        <v>1578</v>
      </c>
    </row>
    <row r="1422" spans="1:17" x14ac:dyDescent="0.25">
      <c r="A1422" t="s">
        <v>19</v>
      </c>
      <c r="B1422" t="s">
        <v>35</v>
      </c>
      <c r="C1422">
        <v>160</v>
      </c>
      <c r="D1422" t="s">
        <v>264</v>
      </c>
      <c r="E1422" s="1">
        <v>43084</v>
      </c>
      <c r="F1422" t="s">
        <v>252</v>
      </c>
      <c r="G1422" t="s">
        <v>636</v>
      </c>
      <c r="H1422">
        <v>-1</v>
      </c>
      <c r="I1422" t="s">
        <v>37</v>
      </c>
      <c r="J1422">
        <v>0</v>
      </c>
      <c r="K1422">
        <v>0</v>
      </c>
      <c r="M1422" t="s">
        <v>255</v>
      </c>
      <c r="N1422" t="s">
        <v>1578</v>
      </c>
      <c r="O1422">
        <v>0</v>
      </c>
      <c r="P1422">
        <v>0</v>
      </c>
      <c r="Q1422" t="s">
        <v>249</v>
      </c>
    </row>
    <row r="1423" spans="1:17" x14ac:dyDescent="0.25">
      <c r="A1423" t="s">
        <v>19</v>
      </c>
      <c r="B1423" t="s">
        <v>35</v>
      </c>
      <c r="C1423">
        <v>160</v>
      </c>
      <c r="D1423" t="s">
        <v>264</v>
      </c>
      <c r="E1423" s="1">
        <v>43084</v>
      </c>
      <c r="F1423" t="s">
        <v>252</v>
      </c>
      <c r="G1423" t="s">
        <v>963</v>
      </c>
      <c r="H1423">
        <v>-1</v>
      </c>
      <c r="I1423" t="s">
        <v>37</v>
      </c>
      <c r="J1423">
        <v>0</v>
      </c>
      <c r="M1423" t="s">
        <v>170</v>
      </c>
      <c r="N1423" t="s">
        <v>1582</v>
      </c>
    </row>
    <row r="1424" spans="1:17" x14ac:dyDescent="0.25">
      <c r="A1424" t="s">
        <v>19</v>
      </c>
      <c r="B1424" t="s">
        <v>35</v>
      </c>
      <c r="C1424">
        <v>160</v>
      </c>
      <c r="D1424" t="s">
        <v>264</v>
      </c>
      <c r="E1424" s="1">
        <v>43084</v>
      </c>
      <c r="F1424" t="s">
        <v>252</v>
      </c>
      <c r="G1424" t="s">
        <v>963</v>
      </c>
      <c r="H1424">
        <v>-1</v>
      </c>
      <c r="I1424" t="s">
        <v>37</v>
      </c>
      <c r="J1424">
        <v>0</v>
      </c>
      <c r="K1424">
        <v>0</v>
      </c>
      <c r="M1424" t="s">
        <v>255</v>
      </c>
      <c r="N1424" t="s">
        <v>1582</v>
      </c>
      <c r="O1424">
        <v>0</v>
      </c>
      <c r="P1424">
        <v>0</v>
      </c>
      <c r="Q1424" t="s">
        <v>249</v>
      </c>
    </row>
    <row r="1425" spans="1:17" x14ac:dyDescent="0.25">
      <c r="A1425" t="s">
        <v>19</v>
      </c>
      <c r="B1425" t="s">
        <v>35</v>
      </c>
      <c r="C1425">
        <v>160</v>
      </c>
      <c r="D1425" t="s">
        <v>264</v>
      </c>
      <c r="E1425" s="1">
        <v>43084</v>
      </c>
      <c r="F1425" t="s">
        <v>252</v>
      </c>
      <c r="G1425" t="s">
        <v>959</v>
      </c>
      <c r="H1425">
        <v>-1</v>
      </c>
      <c r="I1425" t="s">
        <v>37</v>
      </c>
      <c r="J1425">
        <v>0</v>
      </c>
      <c r="M1425" t="s">
        <v>170</v>
      </c>
      <c r="N1425" t="s">
        <v>1592</v>
      </c>
    </row>
    <row r="1426" spans="1:17" x14ac:dyDescent="0.25">
      <c r="A1426" t="s">
        <v>19</v>
      </c>
      <c r="B1426" t="s">
        <v>35</v>
      </c>
      <c r="C1426">
        <v>160</v>
      </c>
      <c r="D1426" t="s">
        <v>264</v>
      </c>
      <c r="E1426" s="1">
        <v>43084</v>
      </c>
      <c r="F1426" t="s">
        <v>252</v>
      </c>
      <c r="G1426" t="s">
        <v>959</v>
      </c>
      <c r="H1426">
        <v>-1</v>
      </c>
      <c r="I1426" t="s">
        <v>37</v>
      </c>
      <c r="J1426">
        <v>0</v>
      </c>
      <c r="K1426">
        <v>0</v>
      </c>
      <c r="M1426" t="s">
        <v>255</v>
      </c>
      <c r="N1426" t="s">
        <v>1592</v>
      </c>
      <c r="O1426">
        <v>0</v>
      </c>
      <c r="P1426">
        <v>0</v>
      </c>
      <c r="Q1426" t="s">
        <v>249</v>
      </c>
    </row>
    <row r="1427" spans="1:17" x14ac:dyDescent="0.25">
      <c r="A1427" t="s">
        <v>19</v>
      </c>
      <c r="B1427" t="s">
        <v>35</v>
      </c>
      <c r="C1427">
        <v>160</v>
      </c>
      <c r="D1427" t="s">
        <v>264</v>
      </c>
      <c r="E1427" s="1">
        <v>43084</v>
      </c>
      <c r="F1427" t="s">
        <v>252</v>
      </c>
      <c r="G1427" t="s">
        <v>736</v>
      </c>
      <c r="H1427">
        <v>-1</v>
      </c>
      <c r="I1427" t="s">
        <v>37</v>
      </c>
      <c r="J1427">
        <v>0</v>
      </c>
      <c r="M1427" t="s">
        <v>170</v>
      </c>
      <c r="N1427" t="s">
        <v>1600</v>
      </c>
    </row>
    <row r="1428" spans="1:17" x14ac:dyDescent="0.25">
      <c r="A1428" t="s">
        <v>19</v>
      </c>
      <c r="B1428" t="s">
        <v>35</v>
      </c>
      <c r="C1428">
        <v>160</v>
      </c>
      <c r="D1428" t="s">
        <v>264</v>
      </c>
      <c r="E1428" s="1">
        <v>43084</v>
      </c>
      <c r="F1428" t="s">
        <v>252</v>
      </c>
      <c r="G1428" t="s">
        <v>736</v>
      </c>
      <c r="H1428">
        <v>-1</v>
      </c>
      <c r="I1428" t="s">
        <v>37</v>
      </c>
      <c r="J1428">
        <v>0</v>
      </c>
      <c r="K1428">
        <v>0</v>
      </c>
      <c r="M1428" t="s">
        <v>255</v>
      </c>
      <c r="N1428" t="s">
        <v>1600</v>
      </c>
      <c r="O1428">
        <v>0</v>
      </c>
      <c r="P1428">
        <v>0</v>
      </c>
      <c r="Q1428" t="s">
        <v>249</v>
      </c>
    </row>
    <row r="1429" spans="1:17" x14ac:dyDescent="0.25">
      <c r="A1429" t="s">
        <v>19</v>
      </c>
      <c r="B1429" t="s">
        <v>35</v>
      </c>
      <c r="C1429">
        <v>160</v>
      </c>
      <c r="D1429" t="s">
        <v>264</v>
      </c>
      <c r="E1429" s="1">
        <v>43084</v>
      </c>
      <c r="F1429" t="s">
        <v>252</v>
      </c>
      <c r="G1429" t="s">
        <v>1608</v>
      </c>
      <c r="H1429">
        <v>-1</v>
      </c>
      <c r="I1429" t="s">
        <v>37</v>
      </c>
      <c r="J1429">
        <v>0</v>
      </c>
      <c r="M1429" t="s">
        <v>170</v>
      </c>
      <c r="N1429" t="s">
        <v>1611</v>
      </c>
    </row>
    <row r="1430" spans="1:17" x14ac:dyDescent="0.25">
      <c r="A1430" t="s">
        <v>19</v>
      </c>
      <c r="B1430" t="s">
        <v>35</v>
      </c>
      <c r="C1430">
        <v>160</v>
      </c>
      <c r="D1430" t="s">
        <v>264</v>
      </c>
      <c r="E1430" s="1">
        <v>43084</v>
      </c>
      <c r="F1430" t="s">
        <v>252</v>
      </c>
      <c r="G1430" t="s">
        <v>1608</v>
      </c>
      <c r="H1430">
        <v>-1</v>
      </c>
      <c r="I1430" t="s">
        <v>37</v>
      </c>
      <c r="J1430">
        <v>0</v>
      </c>
      <c r="K1430">
        <v>0</v>
      </c>
      <c r="M1430" t="s">
        <v>255</v>
      </c>
      <c r="N1430" t="s">
        <v>1611</v>
      </c>
      <c r="O1430">
        <v>0</v>
      </c>
      <c r="P1430">
        <v>0</v>
      </c>
      <c r="Q1430" t="s">
        <v>249</v>
      </c>
    </row>
    <row r="1431" spans="1:17" x14ac:dyDescent="0.25">
      <c r="A1431" t="s">
        <v>19</v>
      </c>
      <c r="B1431" t="s">
        <v>35</v>
      </c>
      <c r="C1431">
        <v>160</v>
      </c>
      <c r="D1431" t="s">
        <v>264</v>
      </c>
      <c r="E1431" s="1">
        <v>43084</v>
      </c>
      <c r="F1431" t="s">
        <v>252</v>
      </c>
      <c r="G1431" t="s">
        <v>1608</v>
      </c>
      <c r="H1431">
        <v>-1</v>
      </c>
      <c r="I1431" t="s">
        <v>37</v>
      </c>
      <c r="J1431">
        <v>0</v>
      </c>
      <c r="M1431" t="s">
        <v>170</v>
      </c>
      <c r="N1431" t="s">
        <v>1612</v>
      </c>
    </row>
    <row r="1432" spans="1:17" x14ac:dyDescent="0.25">
      <c r="A1432" t="s">
        <v>19</v>
      </c>
      <c r="B1432" t="s">
        <v>35</v>
      </c>
      <c r="C1432">
        <v>160</v>
      </c>
      <c r="D1432" t="s">
        <v>264</v>
      </c>
      <c r="E1432" s="1">
        <v>43084</v>
      </c>
      <c r="F1432" t="s">
        <v>252</v>
      </c>
      <c r="G1432" t="s">
        <v>1608</v>
      </c>
      <c r="H1432">
        <v>-1</v>
      </c>
      <c r="I1432" t="s">
        <v>37</v>
      </c>
      <c r="J1432">
        <v>0</v>
      </c>
      <c r="K1432">
        <v>0</v>
      </c>
      <c r="M1432" t="s">
        <v>255</v>
      </c>
      <c r="N1432" t="s">
        <v>1612</v>
      </c>
      <c r="O1432">
        <v>0</v>
      </c>
      <c r="P1432">
        <v>0</v>
      </c>
      <c r="Q1432" t="s">
        <v>249</v>
      </c>
    </row>
    <row r="1433" spans="1:17" x14ac:dyDescent="0.25">
      <c r="A1433" t="s">
        <v>19</v>
      </c>
      <c r="B1433" t="s">
        <v>35</v>
      </c>
      <c r="C1433">
        <v>160</v>
      </c>
      <c r="D1433" t="s">
        <v>264</v>
      </c>
      <c r="E1433" s="1">
        <v>43087</v>
      </c>
      <c r="F1433" t="s">
        <v>252</v>
      </c>
      <c r="G1433" t="s">
        <v>1605</v>
      </c>
      <c r="H1433">
        <v>-1</v>
      </c>
      <c r="I1433" t="s">
        <v>37</v>
      </c>
      <c r="J1433">
        <v>0</v>
      </c>
      <c r="M1433" t="s">
        <v>170</v>
      </c>
      <c r="N1433" t="s">
        <v>1607</v>
      </c>
    </row>
    <row r="1434" spans="1:17" x14ac:dyDescent="0.25">
      <c r="A1434" t="s">
        <v>19</v>
      </c>
      <c r="B1434" t="s">
        <v>35</v>
      </c>
      <c r="C1434">
        <v>160</v>
      </c>
      <c r="D1434" t="s">
        <v>264</v>
      </c>
      <c r="E1434" s="1">
        <v>43087</v>
      </c>
      <c r="F1434" t="s">
        <v>252</v>
      </c>
      <c r="G1434" t="s">
        <v>1605</v>
      </c>
      <c r="H1434">
        <v>-1</v>
      </c>
      <c r="I1434" t="s">
        <v>37</v>
      </c>
      <c r="J1434">
        <v>0</v>
      </c>
      <c r="K1434">
        <v>0</v>
      </c>
      <c r="M1434" t="s">
        <v>255</v>
      </c>
      <c r="N1434" t="s">
        <v>1607</v>
      </c>
      <c r="O1434">
        <v>0</v>
      </c>
      <c r="P1434">
        <v>0</v>
      </c>
      <c r="Q1434" t="s">
        <v>249</v>
      </c>
    </row>
    <row r="1435" spans="1:17" x14ac:dyDescent="0.25">
      <c r="A1435" t="s">
        <v>19</v>
      </c>
      <c r="B1435" t="s">
        <v>35</v>
      </c>
      <c r="C1435">
        <v>160</v>
      </c>
      <c r="D1435" t="s">
        <v>264</v>
      </c>
      <c r="E1435" s="1">
        <v>43087</v>
      </c>
      <c r="F1435" t="s">
        <v>252</v>
      </c>
      <c r="G1435" t="s">
        <v>811</v>
      </c>
      <c r="H1435">
        <v>-1</v>
      </c>
      <c r="I1435" t="s">
        <v>37</v>
      </c>
      <c r="J1435">
        <v>0</v>
      </c>
      <c r="M1435" t="s">
        <v>170</v>
      </c>
      <c r="N1435" t="s">
        <v>1614</v>
      </c>
    </row>
    <row r="1436" spans="1:17" x14ac:dyDescent="0.25">
      <c r="A1436" t="s">
        <v>19</v>
      </c>
      <c r="B1436" t="s">
        <v>35</v>
      </c>
      <c r="C1436">
        <v>160</v>
      </c>
      <c r="D1436" t="s">
        <v>264</v>
      </c>
      <c r="E1436" s="1">
        <v>43087</v>
      </c>
      <c r="F1436" t="s">
        <v>252</v>
      </c>
      <c r="G1436" t="s">
        <v>811</v>
      </c>
      <c r="H1436">
        <v>-1</v>
      </c>
      <c r="I1436" t="s">
        <v>37</v>
      </c>
      <c r="J1436">
        <v>0</v>
      </c>
      <c r="K1436">
        <v>0</v>
      </c>
      <c r="M1436" t="s">
        <v>255</v>
      </c>
      <c r="N1436" t="s">
        <v>1614</v>
      </c>
      <c r="O1436">
        <v>0</v>
      </c>
      <c r="P1436">
        <v>0</v>
      </c>
      <c r="Q1436" t="s">
        <v>249</v>
      </c>
    </row>
    <row r="1437" spans="1:17" x14ac:dyDescent="0.25">
      <c r="A1437" t="s">
        <v>19</v>
      </c>
      <c r="B1437" t="s">
        <v>35</v>
      </c>
      <c r="C1437">
        <v>160</v>
      </c>
      <c r="D1437" t="s">
        <v>264</v>
      </c>
      <c r="E1437" s="1">
        <v>43087</v>
      </c>
      <c r="F1437" t="s">
        <v>252</v>
      </c>
      <c r="G1437" t="s">
        <v>805</v>
      </c>
      <c r="H1437">
        <v>1</v>
      </c>
      <c r="I1437" t="s">
        <v>37</v>
      </c>
      <c r="J1437">
        <v>0</v>
      </c>
      <c r="M1437" t="s">
        <v>170</v>
      </c>
      <c r="N1437" t="s">
        <v>1618</v>
      </c>
    </row>
    <row r="1438" spans="1:17" x14ac:dyDescent="0.25">
      <c r="A1438" t="s">
        <v>19</v>
      </c>
      <c r="B1438" t="s">
        <v>35</v>
      </c>
      <c r="C1438">
        <v>160</v>
      </c>
      <c r="D1438" t="s">
        <v>264</v>
      </c>
      <c r="E1438" s="1">
        <v>43087</v>
      </c>
      <c r="F1438" t="s">
        <v>252</v>
      </c>
      <c r="G1438" t="s">
        <v>805</v>
      </c>
      <c r="H1438">
        <v>1</v>
      </c>
      <c r="I1438" t="s">
        <v>37</v>
      </c>
      <c r="J1438">
        <v>0</v>
      </c>
      <c r="M1438" t="s">
        <v>255</v>
      </c>
      <c r="N1438" t="s">
        <v>1618</v>
      </c>
      <c r="O1438">
        <v>0</v>
      </c>
      <c r="P1438">
        <v>0</v>
      </c>
      <c r="Q1438" t="s">
        <v>249</v>
      </c>
    </row>
    <row r="1439" spans="1:17" x14ac:dyDescent="0.25">
      <c r="A1439" t="s">
        <v>19</v>
      </c>
      <c r="B1439" t="s">
        <v>35</v>
      </c>
      <c r="C1439">
        <v>160</v>
      </c>
      <c r="D1439" t="s">
        <v>264</v>
      </c>
      <c r="E1439" s="1">
        <v>43087</v>
      </c>
      <c r="F1439" t="s">
        <v>252</v>
      </c>
      <c r="G1439" t="s">
        <v>808</v>
      </c>
      <c r="H1439">
        <v>-1</v>
      </c>
      <c r="I1439" t="s">
        <v>37</v>
      </c>
      <c r="J1439">
        <v>0</v>
      </c>
      <c r="M1439" t="s">
        <v>170</v>
      </c>
      <c r="N1439" t="s">
        <v>1620</v>
      </c>
    </row>
    <row r="1440" spans="1:17" x14ac:dyDescent="0.25">
      <c r="A1440" t="s">
        <v>19</v>
      </c>
      <c r="B1440" t="s">
        <v>35</v>
      </c>
      <c r="C1440">
        <v>160</v>
      </c>
      <c r="D1440" t="s">
        <v>264</v>
      </c>
      <c r="E1440" s="1">
        <v>43087</v>
      </c>
      <c r="F1440" t="s">
        <v>252</v>
      </c>
      <c r="G1440" t="s">
        <v>808</v>
      </c>
      <c r="H1440">
        <v>-1</v>
      </c>
      <c r="I1440" t="s">
        <v>37</v>
      </c>
      <c r="J1440">
        <v>0</v>
      </c>
      <c r="K1440">
        <v>0</v>
      </c>
      <c r="M1440" t="s">
        <v>255</v>
      </c>
      <c r="N1440" t="s">
        <v>1620</v>
      </c>
      <c r="O1440">
        <v>0</v>
      </c>
      <c r="P1440">
        <v>0</v>
      </c>
      <c r="Q1440" t="s">
        <v>249</v>
      </c>
    </row>
    <row r="1441" spans="1:17" x14ac:dyDescent="0.25">
      <c r="A1441" t="s">
        <v>19</v>
      </c>
      <c r="B1441" t="s">
        <v>35</v>
      </c>
      <c r="C1441">
        <v>160</v>
      </c>
      <c r="D1441" t="s">
        <v>264</v>
      </c>
      <c r="E1441" s="1">
        <v>43088</v>
      </c>
      <c r="F1441" t="s">
        <v>252</v>
      </c>
      <c r="G1441" t="s">
        <v>754</v>
      </c>
      <c r="H1441">
        <v>-1</v>
      </c>
      <c r="I1441" t="s">
        <v>37</v>
      </c>
      <c r="J1441">
        <v>0</v>
      </c>
      <c r="M1441" t="s">
        <v>170</v>
      </c>
      <c r="N1441" t="s">
        <v>1615</v>
      </c>
    </row>
    <row r="1442" spans="1:17" x14ac:dyDescent="0.25">
      <c r="A1442" t="s">
        <v>19</v>
      </c>
      <c r="B1442" t="s">
        <v>35</v>
      </c>
      <c r="C1442">
        <v>160</v>
      </c>
      <c r="D1442" t="s">
        <v>264</v>
      </c>
      <c r="E1442" s="1">
        <v>43088</v>
      </c>
      <c r="F1442" t="s">
        <v>252</v>
      </c>
      <c r="G1442" t="s">
        <v>754</v>
      </c>
      <c r="H1442">
        <v>-1</v>
      </c>
      <c r="I1442" t="s">
        <v>37</v>
      </c>
      <c r="J1442">
        <v>0</v>
      </c>
      <c r="K1442">
        <v>0</v>
      </c>
      <c r="M1442" t="s">
        <v>255</v>
      </c>
      <c r="N1442" t="s">
        <v>1615</v>
      </c>
      <c r="O1442">
        <v>0</v>
      </c>
      <c r="P1442">
        <v>0</v>
      </c>
      <c r="Q1442" t="s">
        <v>249</v>
      </c>
    </row>
    <row r="1443" spans="1:17" x14ac:dyDescent="0.25">
      <c r="A1443" t="s">
        <v>19</v>
      </c>
      <c r="B1443" t="s">
        <v>35</v>
      </c>
      <c r="C1443">
        <v>160</v>
      </c>
      <c r="D1443" t="s">
        <v>264</v>
      </c>
      <c r="E1443" s="1">
        <v>43088</v>
      </c>
      <c r="F1443" t="s">
        <v>252</v>
      </c>
      <c r="G1443" t="s">
        <v>814</v>
      </c>
      <c r="H1443">
        <v>-1</v>
      </c>
      <c r="I1443" t="s">
        <v>37</v>
      </c>
      <c r="J1443">
        <v>0</v>
      </c>
      <c r="M1443" t="s">
        <v>170</v>
      </c>
      <c r="N1443" t="s">
        <v>1616</v>
      </c>
    </row>
    <row r="1444" spans="1:17" x14ac:dyDescent="0.25">
      <c r="A1444" t="s">
        <v>19</v>
      </c>
      <c r="B1444" t="s">
        <v>35</v>
      </c>
      <c r="C1444">
        <v>160</v>
      </c>
      <c r="D1444" t="s">
        <v>264</v>
      </c>
      <c r="E1444" s="1">
        <v>43088</v>
      </c>
      <c r="F1444" t="s">
        <v>252</v>
      </c>
      <c r="G1444" t="s">
        <v>814</v>
      </c>
      <c r="H1444">
        <v>-1</v>
      </c>
      <c r="I1444" t="s">
        <v>37</v>
      </c>
      <c r="J1444">
        <v>0</v>
      </c>
      <c r="K1444">
        <v>0</v>
      </c>
      <c r="M1444" t="s">
        <v>255</v>
      </c>
      <c r="N1444" t="s">
        <v>1616</v>
      </c>
      <c r="O1444">
        <v>0</v>
      </c>
      <c r="P1444">
        <v>0</v>
      </c>
      <c r="Q1444" t="s">
        <v>249</v>
      </c>
    </row>
    <row r="1445" spans="1:17" x14ac:dyDescent="0.25">
      <c r="A1445" t="s">
        <v>19</v>
      </c>
      <c r="B1445" t="s">
        <v>35</v>
      </c>
      <c r="C1445">
        <v>160</v>
      </c>
      <c r="D1445" t="s">
        <v>264</v>
      </c>
      <c r="E1445" s="1">
        <v>43088</v>
      </c>
      <c r="F1445" t="s">
        <v>252</v>
      </c>
      <c r="G1445" t="s">
        <v>761</v>
      </c>
      <c r="H1445">
        <v>1</v>
      </c>
      <c r="I1445" t="s">
        <v>37</v>
      </c>
      <c r="J1445">
        <v>0</v>
      </c>
      <c r="M1445" t="s">
        <v>170</v>
      </c>
      <c r="N1445" t="s">
        <v>1625</v>
      </c>
    </row>
    <row r="1446" spans="1:17" x14ac:dyDescent="0.25">
      <c r="A1446" t="s">
        <v>19</v>
      </c>
      <c r="B1446" t="s">
        <v>35</v>
      </c>
      <c r="C1446">
        <v>160</v>
      </c>
      <c r="D1446" t="s">
        <v>264</v>
      </c>
      <c r="E1446" s="1">
        <v>43088</v>
      </c>
      <c r="F1446" t="s">
        <v>252</v>
      </c>
      <c r="G1446" t="s">
        <v>761</v>
      </c>
      <c r="H1446">
        <v>1</v>
      </c>
      <c r="I1446" t="s">
        <v>37</v>
      </c>
      <c r="J1446">
        <v>0</v>
      </c>
      <c r="M1446" t="s">
        <v>255</v>
      </c>
      <c r="N1446" t="s">
        <v>1625</v>
      </c>
      <c r="O1446">
        <v>0</v>
      </c>
      <c r="P1446">
        <v>0</v>
      </c>
      <c r="Q1446" t="s">
        <v>249</v>
      </c>
    </row>
    <row r="1447" spans="1:17" x14ac:dyDescent="0.25">
      <c r="A1447" t="s">
        <v>19</v>
      </c>
      <c r="B1447" t="s">
        <v>35</v>
      </c>
      <c r="C1447">
        <v>160</v>
      </c>
      <c r="D1447" t="s">
        <v>264</v>
      </c>
      <c r="E1447" s="1">
        <v>43088</v>
      </c>
      <c r="F1447" t="s">
        <v>252</v>
      </c>
      <c r="G1447" t="s">
        <v>757</v>
      </c>
      <c r="H1447">
        <v>-1</v>
      </c>
      <c r="I1447" t="s">
        <v>37</v>
      </c>
      <c r="J1447">
        <v>0</v>
      </c>
      <c r="M1447" t="s">
        <v>170</v>
      </c>
      <c r="N1447" t="s">
        <v>1627</v>
      </c>
    </row>
    <row r="1448" spans="1:17" x14ac:dyDescent="0.25">
      <c r="A1448" t="s">
        <v>19</v>
      </c>
      <c r="B1448" t="s">
        <v>35</v>
      </c>
      <c r="C1448">
        <v>160</v>
      </c>
      <c r="D1448" t="s">
        <v>264</v>
      </c>
      <c r="E1448" s="1">
        <v>43088</v>
      </c>
      <c r="F1448" t="s">
        <v>252</v>
      </c>
      <c r="G1448" t="s">
        <v>757</v>
      </c>
      <c r="H1448">
        <v>-1</v>
      </c>
      <c r="I1448" t="s">
        <v>37</v>
      </c>
      <c r="J1448">
        <v>0</v>
      </c>
      <c r="K1448">
        <v>0</v>
      </c>
      <c r="M1448" t="s">
        <v>255</v>
      </c>
      <c r="N1448" t="s">
        <v>1627</v>
      </c>
      <c r="O1448">
        <v>0</v>
      </c>
      <c r="P1448">
        <v>0</v>
      </c>
      <c r="Q1448" t="s">
        <v>249</v>
      </c>
    </row>
    <row r="1449" spans="1:17" x14ac:dyDescent="0.25">
      <c r="A1449" t="s">
        <v>19</v>
      </c>
      <c r="B1449" t="s">
        <v>35</v>
      </c>
      <c r="C1449">
        <v>160</v>
      </c>
      <c r="D1449" t="s">
        <v>264</v>
      </c>
      <c r="E1449" s="1">
        <v>43089</v>
      </c>
      <c r="F1449" t="s">
        <v>252</v>
      </c>
      <c r="G1449" t="s">
        <v>666</v>
      </c>
      <c r="H1449">
        <v>-1</v>
      </c>
      <c r="I1449" t="s">
        <v>37</v>
      </c>
      <c r="J1449">
        <v>0</v>
      </c>
      <c r="M1449" t="s">
        <v>170</v>
      </c>
      <c r="N1449" t="s">
        <v>1481</v>
      </c>
    </row>
    <row r="1450" spans="1:17" x14ac:dyDescent="0.25">
      <c r="A1450" t="s">
        <v>19</v>
      </c>
      <c r="B1450" t="s">
        <v>35</v>
      </c>
      <c r="C1450">
        <v>160</v>
      </c>
      <c r="D1450" t="s">
        <v>264</v>
      </c>
      <c r="E1450" s="1">
        <v>43089</v>
      </c>
      <c r="F1450" t="s">
        <v>252</v>
      </c>
      <c r="G1450" t="s">
        <v>666</v>
      </c>
      <c r="H1450">
        <v>-1</v>
      </c>
      <c r="I1450" t="s">
        <v>37</v>
      </c>
      <c r="J1450">
        <v>0</v>
      </c>
      <c r="K1450">
        <v>0</v>
      </c>
      <c r="M1450" t="s">
        <v>255</v>
      </c>
      <c r="N1450" t="s">
        <v>1481</v>
      </c>
      <c r="O1450">
        <v>0</v>
      </c>
      <c r="P1450">
        <v>0</v>
      </c>
      <c r="Q1450" t="s">
        <v>249</v>
      </c>
    </row>
    <row r="1451" spans="1:17" x14ac:dyDescent="0.25">
      <c r="A1451" t="s">
        <v>19</v>
      </c>
      <c r="B1451" t="s">
        <v>35</v>
      </c>
      <c r="C1451">
        <v>160</v>
      </c>
      <c r="D1451" t="s">
        <v>264</v>
      </c>
      <c r="E1451" s="1">
        <v>43090</v>
      </c>
      <c r="F1451" t="s">
        <v>252</v>
      </c>
      <c r="G1451" t="s">
        <v>1538</v>
      </c>
      <c r="H1451">
        <v>-1</v>
      </c>
      <c r="I1451" t="s">
        <v>37</v>
      </c>
      <c r="J1451">
        <v>0</v>
      </c>
      <c r="M1451" t="s">
        <v>170</v>
      </c>
      <c r="N1451" t="s">
        <v>1539</v>
      </c>
    </row>
    <row r="1452" spans="1:17" x14ac:dyDescent="0.25">
      <c r="A1452" t="s">
        <v>19</v>
      </c>
      <c r="B1452" t="s">
        <v>35</v>
      </c>
      <c r="C1452">
        <v>160</v>
      </c>
      <c r="D1452" t="s">
        <v>264</v>
      </c>
      <c r="E1452" s="1">
        <v>43090</v>
      </c>
      <c r="F1452" t="s">
        <v>252</v>
      </c>
      <c r="G1452" t="s">
        <v>1538</v>
      </c>
      <c r="H1452">
        <v>-1</v>
      </c>
      <c r="I1452" t="s">
        <v>37</v>
      </c>
      <c r="J1452">
        <v>0</v>
      </c>
      <c r="K1452">
        <v>0</v>
      </c>
      <c r="M1452" t="s">
        <v>255</v>
      </c>
      <c r="N1452" t="s">
        <v>1539</v>
      </c>
      <c r="O1452">
        <v>0</v>
      </c>
      <c r="P1452">
        <v>0</v>
      </c>
      <c r="Q1452" t="s">
        <v>249</v>
      </c>
    </row>
    <row r="1453" spans="1:17" x14ac:dyDescent="0.25">
      <c r="A1453" t="s">
        <v>19</v>
      </c>
      <c r="B1453" t="s">
        <v>35</v>
      </c>
      <c r="C1453">
        <v>160</v>
      </c>
      <c r="D1453" t="s">
        <v>264</v>
      </c>
      <c r="E1453" s="1">
        <v>43090</v>
      </c>
      <c r="F1453" t="s">
        <v>252</v>
      </c>
      <c r="G1453" t="s">
        <v>922</v>
      </c>
      <c r="H1453">
        <v>-1</v>
      </c>
      <c r="I1453" t="s">
        <v>37</v>
      </c>
      <c r="J1453">
        <v>0</v>
      </c>
      <c r="M1453" t="s">
        <v>170</v>
      </c>
      <c r="N1453" t="s">
        <v>1621</v>
      </c>
    </row>
    <row r="1454" spans="1:17" x14ac:dyDescent="0.25">
      <c r="A1454" t="s">
        <v>19</v>
      </c>
      <c r="B1454" t="s">
        <v>35</v>
      </c>
      <c r="C1454">
        <v>160</v>
      </c>
      <c r="D1454" t="s">
        <v>264</v>
      </c>
      <c r="E1454" s="1">
        <v>43090</v>
      </c>
      <c r="F1454" t="s">
        <v>252</v>
      </c>
      <c r="G1454" t="s">
        <v>922</v>
      </c>
      <c r="H1454">
        <v>-1</v>
      </c>
      <c r="I1454" t="s">
        <v>37</v>
      </c>
      <c r="J1454">
        <v>0</v>
      </c>
      <c r="K1454">
        <v>0</v>
      </c>
      <c r="M1454" t="s">
        <v>255</v>
      </c>
      <c r="N1454" t="s">
        <v>1621</v>
      </c>
      <c r="O1454">
        <v>0</v>
      </c>
      <c r="P1454">
        <v>0</v>
      </c>
      <c r="Q1454" t="s">
        <v>249</v>
      </c>
    </row>
    <row r="1455" spans="1:17" x14ac:dyDescent="0.25">
      <c r="A1455" t="s">
        <v>19</v>
      </c>
      <c r="B1455" t="s">
        <v>35</v>
      </c>
      <c r="C1455">
        <v>160</v>
      </c>
      <c r="D1455" t="s">
        <v>264</v>
      </c>
      <c r="E1455" s="1">
        <v>43090</v>
      </c>
      <c r="F1455" t="s">
        <v>252</v>
      </c>
      <c r="G1455" t="s">
        <v>639</v>
      </c>
      <c r="H1455">
        <v>1</v>
      </c>
      <c r="I1455" t="s">
        <v>37</v>
      </c>
      <c r="J1455">
        <v>0</v>
      </c>
      <c r="M1455" t="s">
        <v>170</v>
      </c>
      <c r="N1455" t="s">
        <v>1630</v>
      </c>
    </row>
    <row r="1456" spans="1:17" x14ac:dyDescent="0.25">
      <c r="A1456" t="s">
        <v>19</v>
      </c>
      <c r="B1456" t="s">
        <v>35</v>
      </c>
      <c r="C1456">
        <v>160</v>
      </c>
      <c r="D1456" t="s">
        <v>264</v>
      </c>
      <c r="E1456" s="1">
        <v>43090</v>
      </c>
      <c r="F1456" t="s">
        <v>252</v>
      </c>
      <c r="G1456" t="s">
        <v>639</v>
      </c>
      <c r="H1456">
        <v>1</v>
      </c>
      <c r="I1456" t="s">
        <v>37</v>
      </c>
      <c r="J1456">
        <v>0</v>
      </c>
      <c r="M1456" t="s">
        <v>255</v>
      </c>
      <c r="N1456" t="s">
        <v>1630</v>
      </c>
      <c r="O1456">
        <v>0</v>
      </c>
      <c r="P1456">
        <v>0</v>
      </c>
      <c r="Q1456" t="s">
        <v>249</v>
      </c>
    </row>
    <row r="1457" spans="1:17" x14ac:dyDescent="0.25">
      <c r="A1457" t="s">
        <v>19</v>
      </c>
      <c r="B1457" t="s">
        <v>35</v>
      </c>
      <c r="C1457">
        <v>160</v>
      </c>
      <c r="D1457" t="s">
        <v>264</v>
      </c>
      <c r="E1457" s="1">
        <v>43090</v>
      </c>
      <c r="F1457" t="s">
        <v>252</v>
      </c>
      <c r="G1457" t="s">
        <v>642</v>
      </c>
      <c r="H1457">
        <v>-1</v>
      </c>
      <c r="I1457" t="s">
        <v>37</v>
      </c>
      <c r="J1457">
        <v>0</v>
      </c>
      <c r="M1457" t="s">
        <v>170</v>
      </c>
      <c r="N1457" t="s">
        <v>1631</v>
      </c>
    </row>
    <row r="1458" spans="1:17" x14ac:dyDescent="0.25">
      <c r="A1458" t="s">
        <v>19</v>
      </c>
      <c r="B1458" t="s">
        <v>35</v>
      </c>
      <c r="C1458">
        <v>160</v>
      </c>
      <c r="D1458" t="s">
        <v>264</v>
      </c>
      <c r="E1458" s="1">
        <v>43090</v>
      </c>
      <c r="F1458" t="s">
        <v>252</v>
      </c>
      <c r="G1458" t="s">
        <v>642</v>
      </c>
      <c r="H1458">
        <v>-1</v>
      </c>
      <c r="I1458" t="s">
        <v>37</v>
      </c>
      <c r="J1458">
        <v>0</v>
      </c>
      <c r="K1458">
        <v>0</v>
      </c>
      <c r="M1458" t="s">
        <v>255</v>
      </c>
      <c r="N1458" t="s">
        <v>1631</v>
      </c>
      <c r="O1458">
        <v>0</v>
      </c>
      <c r="P1458">
        <v>0</v>
      </c>
      <c r="Q1458" t="s">
        <v>249</v>
      </c>
    </row>
    <row r="1459" spans="1:17" x14ac:dyDescent="0.25">
      <c r="A1459" t="s">
        <v>1424</v>
      </c>
      <c r="B1459" t="s">
        <v>1425</v>
      </c>
      <c r="C1459">
        <v>160</v>
      </c>
      <c r="D1459" t="s">
        <v>264</v>
      </c>
      <c r="E1459" s="1">
        <v>43075</v>
      </c>
      <c r="F1459" t="s">
        <v>252</v>
      </c>
      <c r="G1459" t="s">
        <v>1505</v>
      </c>
      <c r="H1459">
        <v>-1</v>
      </c>
      <c r="I1459" t="s">
        <v>37</v>
      </c>
      <c r="J1459">
        <v>0</v>
      </c>
      <c r="M1459" t="s">
        <v>170</v>
      </c>
      <c r="N1459" t="s">
        <v>1508</v>
      </c>
    </row>
    <row r="1460" spans="1:17" x14ac:dyDescent="0.25">
      <c r="A1460" t="s">
        <v>1424</v>
      </c>
      <c r="B1460" t="s">
        <v>1425</v>
      </c>
      <c r="C1460">
        <v>160</v>
      </c>
      <c r="D1460" t="s">
        <v>264</v>
      </c>
      <c r="E1460" s="1">
        <v>43075</v>
      </c>
      <c r="F1460" t="s">
        <v>252</v>
      </c>
      <c r="G1460" t="s">
        <v>1505</v>
      </c>
      <c r="H1460">
        <v>-1</v>
      </c>
      <c r="I1460" t="s">
        <v>37</v>
      </c>
      <c r="J1460">
        <v>0</v>
      </c>
      <c r="K1460">
        <v>0</v>
      </c>
      <c r="M1460" t="s">
        <v>255</v>
      </c>
      <c r="N1460" t="s">
        <v>1508</v>
      </c>
      <c r="O1460">
        <v>0</v>
      </c>
      <c r="P1460">
        <v>0</v>
      </c>
      <c r="Q1460" t="s">
        <v>249</v>
      </c>
    </row>
    <row r="1461" spans="1:17" x14ac:dyDescent="0.25">
      <c r="A1461" t="s">
        <v>1424</v>
      </c>
      <c r="B1461" t="s">
        <v>1425</v>
      </c>
      <c r="C1461">
        <v>160</v>
      </c>
      <c r="D1461" t="s">
        <v>264</v>
      </c>
      <c r="E1461" s="1">
        <v>43080</v>
      </c>
      <c r="F1461" t="s">
        <v>252</v>
      </c>
      <c r="G1461" t="s">
        <v>830</v>
      </c>
      <c r="H1461">
        <v>-1</v>
      </c>
      <c r="I1461" t="s">
        <v>37</v>
      </c>
      <c r="J1461">
        <v>0</v>
      </c>
      <c r="M1461" t="s">
        <v>170</v>
      </c>
      <c r="N1461" t="s">
        <v>1513</v>
      </c>
    </row>
    <row r="1462" spans="1:17" x14ac:dyDescent="0.25">
      <c r="A1462" t="s">
        <v>1424</v>
      </c>
      <c r="B1462" t="s">
        <v>1425</v>
      </c>
      <c r="C1462">
        <v>160</v>
      </c>
      <c r="D1462" t="s">
        <v>264</v>
      </c>
      <c r="E1462" s="1">
        <v>43080</v>
      </c>
      <c r="F1462" t="s">
        <v>252</v>
      </c>
      <c r="G1462" t="s">
        <v>830</v>
      </c>
      <c r="H1462">
        <v>-1</v>
      </c>
      <c r="I1462" t="s">
        <v>37</v>
      </c>
      <c r="J1462">
        <v>0</v>
      </c>
      <c r="K1462">
        <v>0</v>
      </c>
      <c r="M1462" t="s">
        <v>255</v>
      </c>
      <c r="N1462" t="s">
        <v>1513</v>
      </c>
      <c r="O1462">
        <v>0</v>
      </c>
      <c r="P1462">
        <v>0</v>
      </c>
      <c r="Q1462" t="s">
        <v>249</v>
      </c>
    </row>
    <row r="1463" spans="1:17" x14ac:dyDescent="0.25">
      <c r="A1463" t="s">
        <v>1424</v>
      </c>
      <c r="B1463" t="s">
        <v>1425</v>
      </c>
      <c r="C1463">
        <v>160</v>
      </c>
      <c r="D1463" t="s">
        <v>264</v>
      </c>
      <c r="E1463" s="1">
        <v>43081</v>
      </c>
      <c r="F1463" t="s">
        <v>252</v>
      </c>
      <c r="G1463" t="s">
        <v>797</v>
      </c>
      <c r="H1463">
        <v>-1</v>
      </c>
      <c r="I1463" t="s">
        <v>37</v>
      </c>
      <c r="J1463">
        <v>0</v>
      </c>
      <c r="M1463" t="s">
        <v>170</v>
      </c>
      <c r="N1463" t="s">
        <v>1529</v>
      </c>
    </row>
    <row r="1464" spans="1:17" x14ac:dyDescent="0.25">
      <c r="A1464" t="s">
        <v>1424</v>
      </c>
      <c r="B1464" t="s">
        <v>1425</v>
      </c>
      <c r="C1464">
        <v>160</v>
      </c>
      <c r="D1464" t="s">
        <v>264</v>
      </c>
      <c r="E1464" s="1">
        <v>43081</v>
      </c>
      <c r="F1464" t="s">
        <v>252</v>
      </c>
      <c r="G1464" t="s">
        <v>797</v>
      </c>
      <c r="H1464">
        <v>-1</v>
      </c>
      <c r="I1464" t="s">
        <v>37</v>
      </c>
      <c r="J1464">
        <v>0</v>
      </c>
      <c r="K1464">
        <v>0</v>
      </c>
      <c r="M1464" t="s">
        <v>255</v>
      </c>
      <c r="N1464" t="s">
        <v>1529</v>
      </c>
      <c r="O1464">
        <v>0</v>
      </c>
      <c r="P1464">
        <v>0</v>
      </c>
      <c r="Q1464" t="s">
        <v>249</v>
      </c>
    </row>
    <row r="1465" spans="1:17" x14ac:dyDescent="0.25">
      <c r="A1465" t="s">
        <v>1424</v>
      </c>
      <c r="B1465" t="s">
        <v>1425</v>
      </c>
      <c r="C1465">
        <v>160</v>
      </c>
      <c r="D1465" t="s">
        <v>264</v>
      </c>
      <c r="E1465" s="1">
        <v>43083</v>
      </c>
      <c r="F1465" t="s">
        <v>252</v>
      </c>
      <c r="G1465" t="s">
        <v>740</v>
      </c>
      <c r="H1465">
        <v>-1</v>
      </c>
      <c r="I1465" t="s">
        <v>37</v>
      </c>
      <c r="J1465">
        <v>0</v>
      </c>
      <c r="M1465" t="s">
        <v>170</v>
      </c>
      <c r="N1465" t="s">
        <v>1531</v>
      </c>
    </row>
    <row r="1466" spans="1:17" x14ac:dyDescent="0.25">
      <c r="A1466" t="s">
        <v>1424</v>
      </c>
      <c r="B1466" t="s">
        <v>1425</v>
      </c>
      <c r="C1466">
        <v>160</v>
      </c>
      <c r="D1466" t="s">
        <v>264</v>
      </c>
      <c r="E1466" s="1">
        <v>43083</v>
      </c>
      <c r="F1466" t="s">
        <v>252</v>
      </c>
      <c r="G1466" t="s">
        <v>740</v>
      </c>
      <c r="H1466">
        <v>-1</v>
      </c>
      <c r="I1466" t="s">
        <v>37</v>
      </c>
      <c r="J1466">
        <v>0</v>
      </c>
      <c r="K1466">
        <v>0</v>
      </c>
      <c r="M1466" t="s">
        <v>255</v>
      </c>
      <c r="N1466" t="s">
        <v>1531</v>
      </c>
      <c r="O1466">
        <v>0</v>
      </c>
      <c r="P1466">
        <v>0</v>
      </c>
      <c r="Q1466" t="s">
        <v>249</v>
      </c>
    </row>
    <row r="1467" spans="1:17" x14ac:dyDescent="0.25">
      <c r="A1467" t="s">
        <v>1424</v>
      </c>
      <c r="B1467" t="s">
        <v>1425</v>
      </c>
      <c r="C1467">
        <v>160</v>
      </c>
      <c r="D1467" t="s">
        <v>264</v>
      </c>
      <c r="E1467" s="1">
        <v>43083</v>
      </c>
      <c r="F1467" t="s">
        <v>252</v>
      </c>
      <c r="G1467" t="s">
        <v>1540</v>
      </c>
      <c r="H1467">
        <v>-1</v>
      </c>
      <c r="I1467" t="s">
        <v>37</v>
      </c>
      <c r="J1467">
        <v>0</v>
      </c>
      <c r="M1467" t="s">
        <v>170</v>
      </c>
      <c r="N1467" t="s">
        <v>1542</v>
      </c>
    </row>
    <row r="1468" spans="1:17" x14ac:dyDescent="0.25">
      <c r="A1468" t="s">
        <v>1424</v>
      </c>
      <c r="B1468" t="s">
        <v>1425</v>
      </c>
      <c r="C1468">
        <v>160</v>
      </c>
      <c r="D1468" t="s">
        <v>264</v>
      </c>
      <c r="E1468" s="1">
        <v>43083</v>
      </c>
      <c r="F1468" t="s">
        <v>252</v>
      </c>
      <c r="G1468" t="s">
        <v>1540</v>
      </c>
      <c r="H1468">
        <v>-1</v>
      </c>
      <c r="I1468" t="s">
        <v>37</v>
      </c>
      <c r="J1468">
        <v>0</v>
      </c>
      <c r="K1468">
        <v>0</v>
      </c>
      <c r="M1468" t="s">
        <v>255</v>
      </c>
      <c r="N1468" t="s">
        <v>1542</v>
      </c>
      <c r="O1468">
        <v>0</v>
      </c>
      <c r="P1468">
        <v>0</v>
      </c>
      <c r="Q1468" t="s">
        <v>249</v>
      </c>
    </row>
    <row r="1469" spans="1:17" x14ac:dyDescent="0.25">
      <c r="A1469" t="s">
        <v>1424</v>
      </c>
      <c r="B1469" t="s">
        <v>1425</v>
      </c>
      <c r="C1469">
        <v>160</v>
      </c>
      <c r="D1469" t="s">
        <v>264</v>
      </c>
      <c r="E1469" s="1">
        <v>43087</v>
      </c>
      <c r="F1469" t="s">
        <v>252</v>
      </c>
      <c r="G1469" t="s">
        <v>726</v>
      </c>
      <c r="H1469">
        <v>-1</v>
      </c>
      <c r="I1469" t="s">
        <v>37</v>
      </c>
      <c r="J1469">
        <v>0</v>
      </c>
      <c r="M1469" t="s">
        <v>170</v>
      </c>
      <c r="N1469" t="s">
        <v>1601</v>
      </c>
    </row>
    <row r="1470" spans="1:17" x14ac:dyDescent="0.25">
      <c r="A1470" t="s">
        <v>1424</v>
      </c>
      <c r="B1470" t="s">
        <v>1425</v>
      </c>
      <c r="C1470">
        <v>160</v>
      </c>
      <c r="D1470" t="s">
        <v>264</v>
      </c>
      <c r="E1470" s="1">
        <v>43087</v>
      </c>
      <c r="F1470" t="s">
        <v>252</v>
      </c>
      <c r="G1470" t="s">
        <v>726</v>
      </c>
      <c r="H1470">
        <v>-1</v>
      </c>
      <c r="I1470" t="s">
        <v>37</v>
      </c>
      <c r="J1470">
        <v>0</v>
      </c>
      <c r="K1470">
        <v>0</v>
      </c>
      <c r="M1470" t="s">
        <v>255</v>
      </c>
      <c r="N1470" t="s">
        <v>1601</v>
      </c>
      <c r="O1470">
        <v>0</v>
      </c>
      <c r="P1470">
        <v>0</v>
      </c>
      <c r="Q1470" t="s">
        <v>249</v>
      </c>
    </row>
    <row r="1471" spans="1:17" x14ac:dyDescent="0.25">
      <c r="A1471" t="s">
        <v>1424</v>
      </c>
      <c r="B1471" t="s">
        <v>1425</v>
      </c>
      <c r="C1471">
        <v>160</v>
      </c>
      <c r="D1471" t="s">
        <v>264</v>
      </c>
      <c r="E1471" s="1">
        <v>43090</v>
      </c>
      <c r="F1471" t="s">
        <v>252</v>
      </c>
      <c r="G1471" t="s">
        <v>711</v>
      </c>
      <c r="H1471">
        <v>-1</v>
      </c>
      <c r="I1471" t="s">
        <v>37</v>
      </c>
      <c r="J1471">
        <v>0</v>
      </c>
      <c r="M1471" t="s">
        <v>170</v>
      </c>
      <c r="N1471" t="s">
        <v>1628</v>
      </c>
    </row>
    <row r="1472" spans="1:17" x14ac:dyDescent="0.25">
      <c r="A1472" t="s">
        <v>1424</v>
      </c>
      <c r="B1472" t="s">
        <v>1425</v>
      </c>
      <c r="C1472">
        <v>160</v>
      </c>
      <c r="D1472" t="s">
        <v>264</v>
      </c>
      <c r="E1472" s="1">
        <v>43090</v>
      </c>
      <c r="F1472" t="s">
        <v>252</v>
      </c>
      <c r="G1472" t="s">
        <v>711</v>
      </c>
      <c r="H1472">
        <v>-1</v>
      </c>
      <c r="I1472" t="s">
        <v>37</v>
      </c>
      <c r="J1472">
        <v>0</v>
      </c>
      <c r="K1472">
        <v>0</v>
      </c>
      <c r="M1472" t="s">
        <v>255</v>
      </c>
      <c r="N1472" t="s">
        <v>1628</v>
      </c>
      <c r="O1472">
        <v>0</v>
      </c>
      <c r="P1472">
        <v>0</v>
      </c>
      <c r="Q1472" t="s">
        <v>249</v>
      </c>
    </row>
    <row r="1473" spans="1:17" x14ac:dyDescent="0.25">
      <c r="A1473" t="s">
        <v>1424</v>
      </c>
      <c r="B1473" t="s">
        <v>1425</v>
      </c>
      <c r="C1473">
        <v>160</v>
      </c>
      <c r="D1473" t="s">
        <v>264</v>
      </c>
      <c r="E1473" s="1">
        <v>43091</v>
      </c>
      <c r="F1473" t="s">
        <v>252</v>
      </c>
      <c r="G1473" t="s">
        <v>729</v>
      </c>
      <c r="H1473">
        <v>-1</v>
      </c>
      <c r="I1473" t="s">
        <v>37</v>
      </c>
      <c r="J1473">
        <v>0</v>
      </c>
      <c r="M1473" t="s">
        <v>170</v>
      </c>
      <c r="N1473" t="s">
        <v>1629</v>
      </c>
    </row>
    <row r="1474" spans="1:17" x14ac:dyDescent="0.25">
      <c r="A1474" t="s">
        <v>1424</v>
      </c>
      <c r="B1474" t="s">
        <v>1425</v>
      </c>
      <c r="C1474">
        <v>160</v>
      </c>
      <c r="D1474" t="s">
        <v>264</v>
      </c>
      <c r="E1474" s="1">
        <v>43091</v>
      </c>
      <c r="F1474" t="s">
        <v>252</v>
      </c>
      <c r="G1474" t="s">
        <v>729</v>
      </c>
      <c r="H1474">
        <v>-1</v>
      </c>
      <c r="I1474" t="s">
        <v>37</v>
      </c>
      <c r="J1474">
        <v>0</v>
      </c>
      <c r="K1474">
        <v>0</v>
      </c>
      <c r="M1474" t="s">
        <v>255</v>
      </c>
      <c r="N1474" t="s">
        <v>1629</v>
      </c>
      <c r="O1474">
        <v>0</v>
      </c>
      <c r="P1474">
        <v>0</v>
      </c>
      <c r="Q1474" t="s">
        <v>249</v>
      </c>
    </row>
    <row r="1475" spans="1:17" x14ac:dyDescent="0.25">
      <c r="A1475" t="s">
        <v>1459</v>
      </c>
      <c r="B1475" t="s">
        <v>1460</v>
      </c>
      <c r="C1475">
        <v>160</v>
      </c>
      <c r="D1475" t="s">
        <v>264</v>
      </c>
      <c r="E1475" s="1">
        <v>43070</v>
      </c>
      <c r="F1475" t="s">
        <v>252</v>
      </c>
      <c r="G1475" t="s">
        <v>1516</v>
      </c>
      <c r="H1475">
        <v>1</v>
      </c>
      <c r="I1475" t="s">
        <v>37</v>
      </c>
      <c r="J1475">
        <v>0</v>
      </c>
      <c r="M1475" t="s">
        <v>170</v>
      </c>
      <c r="N1475" t="s">
        <v>1517</v>
      </c>
    </row>
    <row r="1476" spans="1:17" x14ac:dyDescent="0.25">
      <c r="A1476" t="s">
        <v>1459</v>
      </c>
      <c r="B1476" t="s">
        <v>1460</v>
      </c>
      <c r="C1476">
        <v>160</v>
      </c>
      <c r="D1476" t="s">
        <v>264</v>
      </c>
      <c r="E1476" s="1">
        <v>43070</v>
      </c>
      <c r="F1476" t="s">
        <v>252</v>
      </c>
      <c r="G1476" t="s">
        <v>1516</v>
      </c>
      <c r="H1476">
        <v>1</v>
      </c>
      <c r="I1476" t="s">
        <v>37</v>
      </c>
      <c r="J1476">
        <v>0</v>
      </c>
      <c r="M1476" t="s">
        <v>255</v>
      </c>
      <c r="N1476" t="s">
        <v>1517</v>
      </c>
      <c r="O1476">
        <v>0</v>
      </c>
      <c r="P1476">
        <v>0</v>
      </c>
      <c r="Q1476" t="s">
        <v>249</v>
      </c>
    </row>
    <row r="1477" spans="1:17" x14ac:dyDescent="0.25">
      <c r="A1477" t="s">
        <v>1461</v>
      </c>
      <c r="B1477" t="s">
        <v>1462</v>
      </c>
      <c r="C1477">
        <v>160</v>
      </c>
      <c r="D1477" t="s">
        <v>264</v>
      </c>
      <c r="E1477" s="1">
        <v>43074</v>
      </c>
      <c r="F1477" t="s">
        <v>252</v>
      </c>
      <c r="G1477" t="s">
        <v>1518</v>
      </c>
      <c r="H1477">
        <v>-1</v>
      </c>
      <c r="I1477" t="s">
        <v>37</v>
      </c>
      <c r="J1477">
        <v>0</v>
      </c>
      <c r="M1477" t="s">
        <v>170</v>
      </c>
      <c r="N1477" t="s">
        <v>1519</v>
      </c>
    </row>
    <row r="1478" spans="1:17" x14ac:dyDescent="0.25">
      <c r="A1478" t="s">
        <v>1461</v>
      </c>
      <c r="B1478" t="s">
        <v>1462</v>
      </c>
      <c r="C1478">
        <v>160</v>
      </c>
      <c r="D1478" t="s">
        <v>264</v>
      </c>
      <c r="E1478" s="1">
        <v>43074</v>
      </c>
      <c r="F1478" t="s">
        <v>252</v>
      </c>
      <c r="G1478" t="s">
        <v>1518</v>
      </c>
      <c r="H1478">
        <v>-1</v>
      </c>
      <c r="I1478" t="s">
        <v>37</v>
      </c>
      <c r="J1478">
        <v>0</v>
      </c>
      <c r="K1478">
        <v>0</v>
      </c>
      <c r="M1478" t="s">
        <v>255</v>
      </c>
      <c r="N1478" t="s">
        <v>1519</v>
      </c>
      <c r="O1478">
        <v>0</v>
      </c>
      <c r="P1478">
        <v>0</v>
      </c>
      <c r="Q1478" t="s">
        <v>249</v>
      </c>
    </row>
    <row r="1479" spans="1:17" x14ac:dyDescent="0.25">
      <c r="A1479" t="s">
        <v>1463</v>
      </c>
      <c r="B1479" t="s">
        <v>1464</v>
      </c>
      <c r="C1479">
        <v>160</v>
      </c>
      <c r="D1479" t="s">
        <v>264</v>
      </c>
      <c r="E1479" s="1">
        <v>43082</v>
      </c>
      <c r="F1479" t="s">
        <v>252</v>
      </c>
      <c r="G1479" t="s">
        <v>1533</v>
      </c>
      <c r="H1479">
        <v>-1</v>
      </c>
      <c r="I1479" t="s">
        <v>37</v>
      </c>
      <c r="J1479">
        <v>0</v>
      </c>
      <c r="M1479" t="s">
        <v>170</v>
      </c>
      <c r="N1479" t="s">
        <v>1534</v>
      </c>
    </row>
    <row r="1480" spans="1:17" x14ac:dyDescent="0.25">
      <c r="A1480" t="s">
        <v>1463</v>
      </c>
      <c r="B1480" t="s">
        <v>1464</v>
      </c>
      <c r="C1480">
        <v>160</v>
      </c>
      <c r="D1480" t="s">
        <v>264</v>
      </c>
      <c r="E1480" s="1">
        <v>43082</v>
      </c>
      <c r="F1480" t="s">
        <v>252</v>
      </c>
      <c r="G1480" t="s">
        <v>1533</v>
      </c>
      <c r="H1480">
        <v>-1</v>
      </c>
      <c r="I1480" t="s">
        <v>37</v>
      </c>
      <c r="J1480">
        <v>0</v>
      </c>
      <c r="K1480">
        <v>0</v>
      </c>
      <c r="M1480" t="s">
        <v>255</v>
      </c>
      <c r="N1480" t="s">
        <v>1534</v>
      </c>
      <c r="O1480">
        <v>0</v>
      </c>
      <c r="P1480">
        <v>0</v>
      </c>
      <c r="Q1480" t="s">
        <v>249</v>
      </c>
    </row>
    <row r="1481" spans="1:17" x14ac:dyDescent="0.25">
      <c r="A1481" t="s">
        <v>1455</v>
      </c>
      <c r="B1481" t="s">
        <v>1456</v>
      </c>
      <c r="C1481">
        <v>160</v>
      </c>
      <c r="D1481" t="s">
        <v>264</v>
      </c>
      <c r="E1481" s="1">
        <v>43082</v>
      </c>
      <c r="F1481" t="s">
        <v>252</v>
      </c>
      <c r="G1481" t="s">
        <v>1544</v>
      </c>
      <c r="H1481">
        <v>-1</v>
      </c>
      <c r="I1481" t="s">
        <v>37</v>
      </c>
      <c r="J1481">
        <v>0</v>
      </c>
      <c r="M1481" t="s">
        <v>170</v>
      </c>
      <c r="N1481" t="s">
        <v>1545</v>
      </c>
    </row>
    <row r="1482" spans="1:17" x14ac:dyDescent="0.25">
      <c r="A1482" t="s">
        <v>1455</v>
      </c>
      <c r="B1482" t="s">
        <v>1456</v>
      </c>
      <c r="C1482">
        <v>160</v>
      </c>
      <c r="D1482" t="s">
        <v>264</v>
      </c>
      <c r="E1482" s="1">
        <v>43082</v>
      </c>
      <c r="F1482" t="s">
        <v>252</v>
      </c>
      <c r="G1482" t="s">
        <v>1544</v>
      </c>
      <c r="H1482">
        <v>-1</v>
      </c>
      <c r="I1482" t="s">
        <v>37</v>
      </c>
      <c r="J1482">
        <v>0</v>
      </c>
      <c r="K1482">
        <v>0</v>
      </c>
      <c r="M1482" t="s">
        <v>255</v>
      </c>
      <c r="N1482" t="s">
        <v>1545</v>
      </c>
      <c r="O1482">
        <v>0</v>
      </c>
      <c r="P1482">
        <v>0</v>
      </c>
      <c r="Q1482" t="s">
        <v>249</v>
      </c>
    </row>
    <row r="1483" spans="1:17" x14ac:dyDescent="0.25">
      <c r="A1483" t="s">
        <v>224</v>
      </c>
      <c r="B1483" t="s">
        <v>225</v>
      </c>
      <c r="C1483">
        <v>160</v>
      </c>
      <c r="D1483" t="s">
        <v>264</v>
      </c>
      <c r="E1483" s="1">
        <v>43082</v>
      </c>
      <c r="F1483" t="s">
        <v>252</v>
      </c>
      <c r="G1483" t="s">
        <v>1544</v>
      </c>
      <c r="H1483">
        <v>-1</v>
      </c>
      <c r="I1483" t="s">
        <v>37</v>
      </c>
      <c r="J1483">
        <v>0</v>
      </c>
      <c r="M1483" t="s">
        <v>170</v>
      </c>
      <c r="N1483" t="s">
        <v>1546</v>
      </c>
    </row>
    <row r="1484" spans="1:17" x14ac:dyDescent="0.25">
      <c r="A1484" t="s">
        <v>224</v>
      </c>
      <c r="B1484" t="s">
        <v>225</v>
      </c>
      <c r="C1484">
        <v>160</v>
      </c>
      <c r="D1484" t="s">
        <v>264</v>
      </c>
      <c r="E1484" s="1">
        <v>43082</v>
      </c>
      <c r="F1484" t="s">
        <v>252</v>
      </c>
      <c r="G1484" t="s">
        <v>1544</v>
      </c>
      <c r="H1484">
        <v>-1</v>
      </c>
      <c r="I1484" t="s">
        <v>37</v>
      </c>
      <c r="J1484">
        <v>0</v>
      </c>
      <c r="K1484">
        <v>0</v>
      </c>
      <c r="M1484" t="s">
        <v>255</v>
      </c>
      <c r="N1484" t="s">
        <v>1546</v>
      </c>
      <c r="O1484">
        <v>0</v>
      </c>
      <c r="P1484">
        <v>0</v>
      </c>
      <c r="Q1484" t="s">
        <v>249</v>
      </c>
    </row>
    <row r="1485" spans="1:17" x14ac:dyDescent="0.25">
      <c r="A1485" t="s">
        <v>224</v>
      </c>
      <c r="B1485" t="s">
        <v>225</v>
      </c>
      <c r="C1485">
        <v>160</v>
      </c>
      <c r="D1485" t="s">
        <v>264</v>
      </c>
      <c r="E1485" s="1">
        <v>43090</v>
      </c>
      <c r="F1485" t="s">
        <v>252</v>
      </c>
      <c r="G1485" t="s">
        <v>1637</v>
      </c>
      <c r="H1485">
        <v>-1</v>
      </c>
      <c r="I1485" t="s">
        <v>37</v>
      </c>
      <c r="J1485">
        <v>0</v>
      </c>
      <c r="M1485" t="s">
        <v>170</v>
      </c>
      <c r="N1485" t="s">
        <v>1640</v>
      </c>
    </row>
    <row r="1486" spans="1:17" x14ac:dyDescent="0.25">
      <c r="A1486" t="s">
        <v>224</v>
      </c>
      <c r="B1486" t="s">
        <v>225</v>
      </c>
      <c r="C1486">
        <v>160</v>
      </c>
      <c r="D1486" t="s">
        <v>264</v>
      </c>
      <c r="E1486" s="1">
        <v>43090</v>
      </c>
      <c r="F1486" t="s">
        <v>252</v>
      </c>
      <c r="G1486" t="s">
        <v>1637</v>
      </c>
      <c r="H1486">
        <v>-1</v>
      </c>
      <c r="I1486" t="s">
        <v>37</v>
      </c>
      <c r="J1486">
        <v>0</v>
      </c>
      <c r="K1486">
        <v>0</v>
      </c>
      <c r="M1486" t="s">
        <v>255</v>
      </c>
      <c r="N1486" t="s">
        <v>1640</v>
      </c>
      <c r="O1486">
        <v>0</v>
      </c>
      <c r="P1486">
        <v>0</v>
      </c>
      <c r="Q1486" t="s">
        <v>249</v>
      </c>
    </row>
    <row r="1487" spans="1:17" x14ac:dyDescent="0.25">
      <c r="A1487" t="s">
        <v>224</v>
      </c>
      <c r="B1487" t="s">
        <v>225</v>
      </c>
      <c r="C1487">
        <v>160</v>
      </c>
      <c r="D1487" t="s">
        <v>264</v>
      </c>
      <c r="E1487" s="1">
        <v>43090</v>
      </c>
      <c r="F1487" t="s">
        <v>252</v>
      </c>
      <c r="G1487" t="s">
        <v>1641</v>
      </c>
      <c r="H1487">
        <v>-1</v>
      </c>
      <c r="I1487" t="s">
        <v>37</v>
      </c>
      <c r="J1487">
        <v>0</v>
      </c>
      <c r="M1487" t="s">
        <v>170</v>
      </c>
      <c r="N1487" t="s">
        <v>1644</v>
      </c>
    </row>
    <row r="1488" spans="1:17" x14ac:dyDescent="0.25">
      <c r="A1488" t="s">
        <v>224</v>
      </c>
      <c r="B1488" t="s">
        <v>225</v>
      </c>
      <c r="C1488">
        <v>160</v>
      </c>
      <c r="D1488" t="s">
        <v>264</v>
      </c>
      <c r="E1488" s="1">
        <v>43090</v>
      </c>
      <c r="F1488" t="s">
        <v>252</v>
      </c>
      <c r="G1488" t="s">
        <v>1641</v>
      </c>
      <c r="H1488">
        <v>-1</v>
      </c>
      <c r="I1488" t="s">
        <v>37</v>
      </c>
      <c r="J1488">
        <v>0</v>
      </c>
      <c r="K1488">
        <v>0</v>
      </c>
      <c r="M1488" t="s">
        <v>255</v>
      </c>
      <c r="N1488" t="s">
        <v>1644</v>
      </c>
      <c r="O1488">
        <v>0</v>
      </c>
      <c r="P1488">
        <v>0</v>
      </c>
      <c r="Q1488" t="s">
        <v>249</v>
      </c>
    </row>
    <row r="1489" spans="1:17" x14ac:dyDescent="0.25">
      <c r="A1489" t="s">
        <v>222</v>
      </c>
      <c r="B1489" t="s">
        <v>223</v>
      </c>
      <c r="C1489">
        <v>160</v>
      </c>
      <c r="D1489" t="s">
        <v>264</v>
      </c>
      <c r="E1489" s="1">
        <v>43082</v>
      </c>
      <c r="F1489" t="s">
        <v>252</v>
      </c>
      <c r="G1489" t="s">
        <v>1547</v>
      </c>
      <c r="H1489">
        <v>-1</v>
      </c>
      <c r="I1489" t="s">
        <v>37</v>
      </c>
      <c r="J1489">
        <v>0</v>
      </c>
      <c r="M1489" t="s">
        <v>170</v>
      </c>
      <c r="N1489" t="s">
        <v>1548</v>
      </c>
    </row>
    <row r="1490" spans="1:17" x14ac:dyDescent="0.25">
      <c r="A1490" t="s">
        <v>222</v>
      </c>
      <c r="B1490" t="s">
        <v>223</v>
      </c>
      <c r="C1490">
        <v>160</v>
      </c>
      <c r="D1490" t="s">
        <v>264</v>
      </c>
      <c r="E1490" s="1">
        <v>43082</v>
      </c>
      <c r="F1490" t="s">
        <v>252</v>
      </c>
      <c r="G1490" t="s">
        <v>1547</v>
      </c>
      <c r="H1490">
        <v>-1</v>
      </c>
      <c r="I1490" t="s">
        <v>37</v>
      </c>
      <c r="J1490">
        <v>0</v>
      </c>
      <c r="K1490">
        <v>0</v>
      </c>
      <c r="M1490" t="s">
        <v>255</v>
      </c>
      <c r="N1490" t="s">
        <v>1548</v>
      </c>
      <c r="O1490">
        <v>0</v>
      </c>
      <c r="P1490">
        <v>0</v>
      </c>
      <c r="Q1490" t="s">
        <v>249</v>
      </c>
    </row>
    <row r="1491" spans="1:17" x14ac:dyDescent="0.25">
      <c r="A1491" t="s">
        <v>222</v>
      </c>
      <c r="B1491" t="s">
        <v>223</v>
      </c>
      <c r="C1491">
        <v>160</v>
      </c>
      <c r="D1491" t="s">
        <v>264</v>
      </c>
      <c r="E1491" s="1">
        <v>43082</v>
      </c>
      <c r="F1491" t="s">
        <v>252</v>
      </c>
      <c r="G1491" t="s">
        <v>1549</v>
      </c>
      <c r="H1491">
        <v>-1</v>
      </c>
      <c r="I1491" t="s">
        <v>37</v>
      </c>
      <c r="J1491">
        <v>0</v>
      </c>
      <c r="M1491" t="s">
        <v>170</v>
      </c>
      <c r="N1491" t="s">
        <v>1550</v>
      </c>
    </row>
    <row r="1492" spans="1:17" x14ac:dyDescent="0.25">
      <c r="A1492" t="s">
        <v>222</v>
      </c>
      <c r="B1492" t="s">
        <v>223</v>
      </c>
      <c r="C1492">
        <v>160</v>
      </c>
      <c r="D1492" t="s">
        <v>264</v>
      </c>
      <c r="E1492" s="1">
        <v>43082</v>
      </c>
      <c r="F1492" t="s">
        <v>252</v>
      </c>
      <c r="G1492" t="s">
        <v>1549</v>
      </c>
      <c r="H1492">
        <v>-1</v>
      </c>
      <c r="I1492" t="s">
        <v>37</v>
      </c>
      <c r="J1492">
        <v>0</v>
      </c>
      <c r="K1492">
        <v>0</v>
      </c>
      <c r="M1492" t="s">
        <v>255</v>
      </c>
      <c r="N1492" t="s">
        <v>1550</v>
      </c>
      <c r="O1492">
        <v>0</v>
      </c>
      <c r="P1492">
        <v>0</v>
      </c>
      <c r="Q1492" t="s">
        <v>249</v>
      </c>
    </row>
    <row r="1493" spans="1:17" x14ac:dyDescent="0.25">
      <c r="A1493" t="s">
        <v>222</v>
      </c>
      <c r="B1493" t="s">
        <v>223</v>
      </c>
      <c r="C1493">
        <v>160</v>
      </c>
      <c r="D1493" t="s">
        <v>264</v>
      </c>
      <c r="E1493" s="1">
        <v>43082</v>
      </c>
      <c r="F1493" t="s">
        <v>252</v>
      </c>
      <c r="G1493" t="s">
        <v>1551</v>
      </c>
      <c r="H1493">
        <v>-1</v>
      </c>
      <c r="I1493" t="s">
        <v>37</v>
      </c>
      <c r="J1493">
        <v>0</v>
      </c>
      <c r="M1493" t="s">
        <v>170</v>
      </c>
      <c r="N1493" t="s">
        <v>1552</v>
      </c>
    </row>
    <row r="1494" spans="1:17" x14ac:dyDescent="0.25">
      <c r="A1494" t="s">
        <v>222</v>
      </c>
      <c r="B1494" t="s">
        <v>223</v>
      </c>
      <c r="C1494">
        <v>160</v>
      </c>
      <c r="D1494" t="s">
        <v>264</v>
      </c>
      <c r="E1494" s="1">
        <v>43082</v>
      </c>
      <c r="F1494" t="s">
        <v>252</v>
      </c>
      <c r="G1494" t="s">
        <v>1551</v>
      </c>
      <c r="H1494">
        <v>-1</v>
      </c>
      <c r="I1494" t="s">
        <v>37</v>
      </c>
      <c r="J1494">
        <v>0</v>
      </c>
      <c r="K1494">
        <v>0</v>
      </c>
      <c r="M1494" t="s">
        <v>255</v>
      </c>
      <c r="N1494" t="s">
        <v>1552</v>
      </c>
      <c r="O1494">
        <v>0</v>
      </c>
      <c r="P1494">
        <v>0</v>
      </c>
      <c r="Q1494" t="s">
        <v>249</v>
      </c>
    </row>
    <row r="1495" spans="1:17" x14ac:dyDescent="0.25">
      <c r="A1495" t="s">
        <v>222</v>
      </c>
      <c r="B1495" t="s">
        <v>223</v>
      </c>
      <c r="C1495">
        <v>160</v>
      </c>
      <c r="D1495" t="s">
        <v>264</v>
      </c>
      <c r="E1495" s="1">
        <v>43082</v>
      </c>
      <c r="F1495" t="s">
        <v>252</v>
      </c>
      <c r="G1495" t="s">
        <v>1555</v>
      </c>
      <c r="H1495">
        <v>-1</v>
      </c>
      <c r="I1495" t="s">
        <v>37</v>
      </c>
      <c r="J1495">
        <v>0</v>
      </c>
      <c r="M1495" t="s">
        <v>170</v>
      </c>
      <c r="N1495" t="s">
        <v>1556</v>
      </c>
    </row>
    <row r="1496" spans="1:17" x14ac:dyDescent="0.25">
      <c r="A1496" t="s">
        <v>222</v>
      </c>
      <c r="B1496" t="s">
        <v>223</v>
      </c>
      <c r="C1496">
        <v>160</v>
      </c>
      <c r="D1496" t="s">
        <v>264</v>
      </c>
      <c r="E1496" s="1">
        <v>43082</v>
      </c>
      <c r="F1496" t="s">
        <v>252</v>
      </c>
      <c r="G1496" t="s">
        <v>1555</v>
      </c>
      <c r="H1496">
        <v>-1</v>
      </c>
      <c r="I1496" t="s">
        <v>37</v>
      </c>
      <c r="J1496">
        <v>0</v>
      </c>
      <c r="K1496">
        <v>0</v>
      </c>
      <c r="M1496" t="s">
        <v>255</v>
      </c>
      <c r="N1496" t="s">
        <v>1556</v>
      </c>
      <c r="O1496">
        <v>0</v>
      </c>
      <c r="P1496">
        <v>0</v>
      </c>
      <c r="Q1496" t="s">
        <v>249</v>
      </c>
    </row>
    <row r="1497" spans="1:17" x14ac:dyDescent="0.25">
      <c r="A1497" t="s">
        <v>222</v>
      </c>
      <c r="B1497" t="s">
        <v>223</v>
      </c>
      <c r="C1497">
        <v>160</v>
      </c>
      <c r="D1497" t="s">
        <v>264</v>
      </c>
      <c r="E1497" s="1">
        <v>43082</v>
      </c>
      <c r="F1497" t="s">
        <v>252</v>
      </c>
      <c r="G1497" t="s">
        <v>1557</v>
      </c>
      <c r="H1497">
        <v>-1</v>
      </c>
      <c r="I1497" t="s">
        <v>37</v>
      </c>
      <c r="J1497">
        <v>0</v>
      </c>
      <c r="M1497" t="s">
        <v>170</v>
      </c>
      <c r="N1497" t="s">
        <v>1558</v>
      </c>
    </row>
    <row r="1498" spans="1:17" x14ac:dyDescent="0.25">
      <c r="A1498" t="s">
        <v>222</v>
      </c>
      <c r="B1498" t="s">
        <v>223</v>
      </c>
      <c r="C1498">
        <v>160</v>
      </c>
      <c r="D1498" t="s">
        <v>264</v>
      </c>
      <c r="E1498" s="1">
        <v>43082</v>
      </c>
      <c r="F1498" t="s">
        <v>252</v>
      </c>
      <c r="G1498" t="s">
        <v>1557</v>
      </c>
      <c r="H1498">
        <v>-1</v>
      </c>
      <c r="I1498" t="s">
        <v>37</v>
      </c>
      <c r="J1498">
        <v>0</v>
      </c>
      <c r="K1498">
        <v>0</v>
      </c>
      <c r="M1498" t="s">
        <v>255</v>
      </c>
      <c r="N1498" t="s">
        <v>1558</v>
      </c>
      <c r="O1498">
        <v>0</v>
      </c>
      <c r="P1498">
        <v>0</v>
      </c>
      <c r="Q1498" t="s">
        <v>249</v>
      </c>
    </row>
    <row r="1499" spans="1:17" x14ac:dyDescent="0.25">
      <c r="A1499" t="s">
        <v>222</v>
      </c>
      <c r="B1499" t="s">
        <v>223</v>
      </c>
      <c r="C1499">
        <v>160</v>
      </c>
      <c r="D1499" t="s">
        <v>264</v>
      </c>
      <c r="E1499" s="1">
        <v>43082</v>
      </c>
      <c r="F1499" t="s">
        <v>252</v>
      </c>
      <c r="G1499" t="s">
        <v>1559</v>
      </c>
      <c r="H1499">
        <v>-1</v>
      </c>
      <c r="I1499" t="s">
        <v>37</v>
      </c>
      <c r="J1499">
        <v>0</v>
      </c>
      <c r="M1499" t="s">
        <v>170</v>
      </c>
      <c r="N1499" t="s">
        <v>1560</v>
      </c>
    </row>
    <row r="1500" spans="1:17" x14ac:dyDescent="0.25">
      <c r="A1500" t="s">
        <v>222</v>
      </c>
      <c r="B1500" t="s">
        <v>223</v>
      </c>
      <c r="C1500">
        <v>160</v>
      </c>
      <c r="D1500" t="s">
        <v>264</v>
      </c>
      <c r="E1500" s="1">
        <v>43082</v>
      </c>
      <c r="F1500" t="s">
        <v>252</v>
      </c>
      <c r="G1500" t="s">
        <v>1559</v>
      </c>
      <c r="H1500">
        <v>-1</v>
      </c>
      <c r="I1500" t="s">
        <v>37</v>
      </c>
      <c r="J1500">
        <v>0</v>
      </c>
      <c r="K1500">
        <v>0</v>
      </c>
      <c r="M1500" t="s">
        <v>255</v>
      </c>
      <c r="N1500" t="s">
        <v>1560</v>
      </c>
      <c r="O1500">
        <v>0</v>
      </c>
      <c r="P1500">
        <v>0</v>
      </c>
      <c r="Q1500" t="s">
        <v>249</v>
      </c>
    </row>
    <row r="1501" spans="1:17" x14ac:dyDescent="0.25">
      <c r="A1501" t="s">
        <v>222</v>
      </c>
      <c r="B1501" t="s">
        <v>223</v>
      </c>
      <c r="C1501">
        <v>160</v>
      </c>
      <c r="D1501" t="s">
        <v>264</v>
      </c>
      <c r="E1501" s="1">
        <v>43082</v>
      </c>
      <c r="F1501" t="s">
        <v>252</v>
      </c>
      <c r="G1501" t="s">
        <v>1561</v>
      </c>
      <c r="H1501">
        <v>-1</v>
      </c>
      <c r="I1501" t="s">
        <v>37</v>
      </c>
      <c r="J1501">
        <v>0</v>
      </c>
      <c r="M1501" t="s">
        <v>170</v>
      </c>
      <c r="N1501" t="s">
        <v>1562</v>
      </c>
    </row>
    <row r="1502" spans="1:17" x14ac:dyDescent="0.25">
      <c r="A1502" t="s">
        <v>222</v>
      </c>
      <c r="B1502" t="s">
        <v>223</v>
      </c>
      <c r="C1502">
        <v>160</v>
      </c>
      <c r="D1502" t="s">
        <v>264</v>
      </c>
      <c r="E1502" s="1">
        <v>43082</v>
      </c>
      <c r="F1502" t="s">
        <v>252</v>
      </c>
      <c r="G1502" t="s">
        <v>1561</v>
      </c>
      <c r="H1502">
        <v>-1</v>
      </c>
      <c r="I1502" t="s">
        <v>37</v>
      </c>
      <c r="J1502">
        <v>0</v>
      </c>
      <c r="K1502">
        <v>0</v>
      </c>
      <c r="M1502" t="s">
        <v>255</v>
      </c>
      <c r="N1502" t="s">
        <v>1562</v>
      </c>
      <c r="O1502">
        <v>0</v>
      </c>
      <c r="P1502">
        <v>0</v>
      </c>
      <c r="Q1502" t="s">
        <v>249</v>
      </c>
    </row>
    <row r="1503" spans="1:17" x14ac:dyDescent="0.25">
      <c r="A1503" t="s">
        <v>222</v>
      </c>
      <c r="B1503" t="s">
        <v>223</v>
      </c>
      <c r="C1503">
        <v>160</v>
      </c>
      <c r="D1503" t="s">
        <v>264</v>
      </c>
      <c r="E1503" s="1">
        <v>43082</v>
      </c>
      <c r="F1503" t="s">
        <v>252</v>
      </c>
      <c r="G1503" t="s">
        <v>1563</v>
      </c>
      <c r="H1503">
        <v>-1</v>
      </c>
      <c r="I1503" t="s">
        <v>37</v>
      </c>
      <c r="J1503">
        <v>0</v>
      </c>
      <c r="M1503" t="s">
        <v>170</v>
      </c>
      <c r="N1503" t="s">
        <v>1564</v>
      </c>
    </row>
    <row r="1504" spans="1:17" x14ac:dyDescent="0.25">
      <c r="A1504" t="s">
        <v>222</v>
      </c>
      <c r="B1504" t="s">
        <v>223</v>
      </c>
      <c r="C1504">
        <v>160</v>
      </c>
      <c r="D1504" t="s">
        <v>264</v>
      </c>
      <c r="E1504" s="1">
        <v>43082</v>
      </c>
      <c r="F1504" t="s">
        <v>252</v>
      </c>
      <c r="G1504" t="s">
        <v>1563</v>
      </c>
      <c r="H1504">
        <v>-1</v>
      </c>
      <c r="I1504" t="s">
        <v>37</v>
      </c>
      <c r="J1504">
        <v>0</v>
      </c>
      <c r="K1504">
        <v>0</v>
      </c>
      <c r="M1504" t="s">
        <v>255</v>
      </c>
      <c r="N1504" t="s">
        <v>1564</v>
      </c>
      <c r="O1504">
        <v>0</v>
      </c>
      <c r="P1504">
        <v>0</v>
      </c>
      <c r="Q1504" t="s">
        <v>249</v>
      </c>
    </row>
    <row r="1505" spans="1:17" x14ac:dyDescent="0.25">
      <c r="A1505" t="s">
        <v>222</v>
      </c>
      <c r="B1505" t="s">
        <v>223</v>
      </c>
      <c r="C1505">
        <v>160</v>
      </c>
      <c r="D1505" t="s">
        <v>264</v>
      </c>
      <c r="E1505" s="1">
        <v>43100</v>
      </c>
      <c r="F1505" t="s">
        <v>252</v>
      </c>
      <c r="G1505" t="s">
        <v>1645</v>
      </c>
      <c r="H1505">
        <v>-1</v>
      </c>
      <c r="I1505" t="s">
        <v>37</v>
      </c>
      <c r="J1505">
        <v>0</v>
      </c>
      <c r="M1505" t="s">
        <v>170</v>
      </c>
      <c r="N1505" t="s">
        <v>1646</v>
      </c>
    </row>
    <row r="1506" spans="1:17" x14ac:dyDescent="0.25">
      <c r="A1506" t="s">
        <v>222</v>
      </c>
      <c r="B1506" t="s">
        <v>223</v>
      </c>
      <c r="C1506">
        <v>160</v>
      </c>
      <c r="D1506" t="s">
        <v>264</v>
      </c>
      <c r="E1506" s="1">
        <v>43100</v>
      </c>
      <c r="F1506" t="s">
        <v>252</v>
      </c>
      <c r="G1506" t="s">
        <v>1645</v>
      </c>
      <c r="H1506">
        <v>-1</v>
      </c>
      <c r="I1506" t="s">
        <v>37</v>
      </c>
      <c r="J1506">
        <v>0</v>
      </c>
      <c r="K1506">
        <v>0</v>
      </c>
      <c r="M1506" t="s">
        <v>255</v>
      </c>
      <c r="N1506" t="s">
        <v>1646</v>
      </c>
      <c r="O1506">
        <v>0</v>
      </c>
      <c r="P1506">
        <v>0</v>
      </c>
      <c r="Q1506" t="s">
        <v>249</v>
      </c>
    </row>
    <row r="1507" spans="1:17" x14ac:dyDescent="0.25">
      <c r="A1507" t="s">
        <v>994</v>
      </c>
      <c r="B1507" t="s">
        <v>995</v>
      </c>
      <c r="C1507">
        <v>160</v>
      </c>
      <c r="D1507" t="s">
        <v>264</v>
      </c>
      <c r="E1507" s="1">
        <v>43084</v>
      </c>
      <c r="F1507" t="s">
        <v>252</v>
      </c>
      <c r="G1507" t="s">
        <v>1602</v>
      </c>
      <c r="H1507">
        <v>-17940</v>
      </c>
      <c r="I1507" t="s">
        <v>120</v>
      </c>
      <c r="J1507">
        <v>0</v>
      </c>
      <c r="M1507" t="s">
        <v>170</v>
      </c>
      <c r="N1507" t="s">
        <v>1603</v>
      </c>
    </row>
    <row r="1508" spans="1:17" x14ac:dyDescent="0.25">
      <c r="A1508" t="s">
        <v>994</v>
      </c>
      <c r="B1508" t="s">
        <v>995</v>
      </c>
      <c r="C1508">
        <v>160</v>
      </c>
      <c r="D1508" t="s">
        <v>264</v>
      </c>
      <c r="E1508" s="1">
        <v>43084</v>
      </c>
      <c r="F1508" t="s">
        <v>252</v>
      </c>
      <c r="G1508" t="s">
        <v>1602</v>
      </c>
      <c r="H1508">
        <v>-17940</v>
      </c>
      <c r="I1508" t="s">
        <v>120</v>
      </c>
      <c r="J1508">
        <v>0</v>
      </c>
      <c r="K1508">
        <v>0</v>
      </c>
      <c r="M1508" t="s">
        <v>255</v>
      </c>
      <c r="N1508" t="s">
        <v>1603</v>
      </c>
      <c r="O1508">
        <v>0</v>
      </c>
      <c r="P1508">
        <v>0</v>
      </c>
      <c r="Q1508" t="s">
        <v>249</v>
      </c>
    </row>
    <row r="1509" spans="1:17" x14ac:dyDescent="0.25">
      <c r="A1509" t="s">
        <v>994</v>
      </c>
      <c r="B1509" t="s">
        <v>995</v>
      </c>
      <c r="C1509">
        <v>160</v>
      </c>
      <c r="D1509" t="s">
        <v>264</v>
      </c>
      <c r="E1509" s="1">
        <v>43084</v>
      </c>
      <c r="F1509" t="s">
        <v>252</v>
      </c>
      <c r="G1509" t="s">
        <v>1608</v>
      </c>
      <c r="H1509">
        <v>-13820</v>
      </c>
      <c r="I1509" t="s">
        <v>120</v>
      </c>
      <c r="J1509">
        <v>0</v>
      </c>
      <c r="M1509" t="s">
        <v>170</v>
      </c>
      <c r="N1509" t="s">
        <v>1609</v>
      </c>
    </row>
    <row r="1510" spans="1:17" x14ac:dyDescent="0.25">
      <c r="A1510" t="s">
        <v>994</v>
      </c>
      <c r="B1510" t="s">
        <v>995</v>
      </c>
      <c r="C1510">
        <v>160</v>
      </c>
      <c r="D1510" t="s">
        <v>264</v>
      </c>
      <c r="E1510" s="1">
        <v>43084</v>
      </c>
      <c r="F1510" t="s">
        <v>252</v>
      </c>
      <c r="G1510" t="s">
        <v>1608</v>
      </c>
      <c r="H1510">
        <v>-13820</v>
      </c>
      <c r="I1510" t="s">
        <v>120</v>
      </c>
      <c r="J1510">
        <v>0</v>
      </c>
      <c r="K1510">
        <v>0</v>
      </c>
      <c r="M1510" t="s">
        <v>255</v>
      </c>
      <c r="N1510" t="s">
        <v>1609</v>
      </c>
      <c r="O1510">
        <v>0</v>
      </c>
      <c r="P1510">
        <v>0</v>
      </c>
      <c r="Q1510" t="s">
        <v>249</v>
      </c>
    </row>
    <row r="1511" spans="1:17" x14ac:dyDescent="0.25">
      <c r="A1511" t="s">
        <v>186</v>
      </c>
      <c r="B1511" t="s">
        <v>187</v>
      </c>
      <c r="C1511">
        <v>160</v>
      </c>
      <c r="D1511" t="s">
        <v>290</v>
      </c>
      <c r="E1511" s="1">
        <v>43091</v>
      </c>
      <c r="F1511" t="s">
        <v>252</v>
      </c>
      <c r="G1511" t="s">
        <v>693</v>
      </c>
      <c r="H1511">
        <v>-2722.5</v>
      </c>
      <c r="I1511" t="s">
        <v>38</v>
      </c>
      <c r="J1511">
        <v>0</v>
      </c>
      <c r="M1511" t="s">
        <v>170</v>
      </c>
      <c r="N1511" t="s">
        <v>1632</v>
      </c>
    </row>
    <row r="1512" spans="1:17" x14ac:dyDescent="0.25">
      <c r="A1512" t="s">
        <v>186</v>
      </c>
      <c r="B1512" t="s">
        <v>187</v>
      </c>
      <c r="C1512">
        <v>160</v>
      </c>
      <c r="D1512" t="s">
        <v>290</v>
      </c>
      <c r="E1512" s="1">
        <v>43091</v>
      </c>
      <c r="F1512" t="s">
        <v>252</v>
      </c>
      <c r="G1512" t="s">
        <v>693</v>
      </c>
      <c r="H1512">
        <v>-2722.5</v>
      </c>
      <c r="I1512" t="s">
        <v>38</v>
      </c>
      <c r="J1512">
        <v>0</v>
      </c>
      <c r="K1512">
        <v>0</v>
      </c>
      <c r="M1512" t="s">
        <v>255</v>
      </c>
      <c r="N1512" t="s">
        <v>1632</v>
      </c>
      <c r="O1512">
        <v>0</v>
      </c>
      <c r="P1512">
        <v>0</v>
      </c>
      <c r="Q1512" t="s">
        <v>249</v>
      </c>
    </row>
    <row r="1513" spans="1:17" x14ac:dyDescent="0.25">
      <c r="A1513" t="s">
        <v>186</v>
      </c>
      <c r="B1513" t="s">
        <v>187</v>
      </c>
      <c r="C1513">
        <v>160</v>
      </c>
      <c r="D1513" t="s">
        <v>290</v>
      </c>
      <c r="E1513" s="1">
        <v>43091</v>
      </c>
      <c r="F1513" t="s">
        <v>252</v>
      </c>
      <c r="G1513" t="s">
        <v>617</v>
      </c>
      <c r="H1513">
        <v>-533.5</v>
      </c>
      <c r="I1513" t="s">
        <v>38</v>
      </c>
      <c r="J1513">
        <v>0</v>
      </c>
      <c r="M1513" t="s">
        <v>170</v>
      </c>
      <c r="N1513" t="s">
        <v>1635</v>
      </c>
    </row>
    <row r="1514" spans="1:17" x14ac:dyDescent="0.25">
      <c r="A1514" t="s">
        <v>186</v>
      </c>
      <c r="B1514" t="s">
        <v>187</v>
      </c>
      <c r="C1514">
        <v>160</v>
      </c>
      <c r="D1514" t="s">
        <v>290</v>
      </c>
      <c r="E1514" s="1">
        <v>43091</v>
      </c>
      <c r="F1514" t="s">
        <v>252</v>
      </c>
      <c r="G1514" t="s">
        <v>617</v>
      </c>
      <c r="H1514">
        <v>-533.5</v>
      </c>
      <c r="I1514" t="s">
        <v>38</v>
      </c>
      <c r="J1514">
        <v>0</v>
      </c>
      <c r="K1514">
        <v>0</v>
      </c>
      <c r="M1514" t="s">
        <v>255</v>
      </c>
      <c r="N1514" t="s">
        <v>1635</v>
      </c>
      <c r="O1514">
        <v>0</v>
      </c>
      <c r="P1514">
        <v>0</v>
      </c>
      <c r="Q1514" t="s">
        <v>249</v>
      </c>
    </row>
    <row r="1515" spans="1:17" x14ac:dyDescent="0.25">
      <c r="A1515" t="s">
        <v>188</v>
      </c>
      <c r="B1515" t="s">
        <v>189</v>
      </c>
      <c r="C1515">
        <v>160</v>
      </c>
      <c r="D1515" t="s">
        <v>290</v>
      </c>
      <c r="E1515" s="1">
        <v>43091</v>
      </c>
      <c r="F1515" t="s">
        <v>252</v>
      </c>
      <c r="G1515" t="s">
        <v>693</v>
      </c>
      <c r="H1515">
        <v>-1</v>
      </c>
      <c r="I1515" t="s">
        <v>37</v>
      </c>
      <c r="J1515">
        <v>0</v>
      </c>
      <c r="M1515" t="s">
        <v>170</v>
      </c>
      <c r="N1515" t="s">
        <v>1633</v>
      </c>
    </row>
    <row r="1516" spans="1:17" x14ac:dyDescent="0.25">
      <c r="A1516" t="s">
        <v>188</v>
      </c>
      <c r="B1516" t="s">
        <v>189</v>
      </c>
      <c r="C1516">
        <v>160</v>
      </c>
      <c r="D1516" t="s">
        <v>290</v>
      </c>
      <c r="E1516" s="1">
        <v>43091</v>
      </c>
      <c r="F1516" t="s">
        <v>252</v>
      </c>
      <c r="G1516" t="s">
        <v>693</v>
      </c>
      <c r="H1516">
        <v>-1</v>
      </c>
      <c r="I1516" t="s">
        <v>37</v>
      </c>
      <c r="J1516">
        <v>0</v>
      </c>
      <c r="K1516">
        <v>0</v>
      </c>
      <c r="M1516" t="s">
        <v>255</v>
      </c>
      <c r="N1516" t="s">
        <v>1633</v>
      </c>
      <c r="O1516">
        <v>0</v>
      </c>
      <c r="P1516">
        <v>0</v>
      </c>
      <c r="Q1516" t="s">
        <v>249</v>
      </c>
    </row>
    <row r="1517" spans="1:17" x14ac:dyDescent="0.25">
      <c r="A1517" t="s">
        <v>188</v>
      </c>
      <c r="B1517" t="s">
        <v>189</v>
      </c>
      <c r="C1517">
        <v>160</v>
      </c>
      <c r="D1517" t="s">
        <v>290</v>
      </c>
      <c r="E1517" s="1">
        <v>43091</v>
      </c>
      <c r="F1517" t="s">
        <v>252</v>
      </c>
      <c r="G1517" t="s">
        <v>617</v>
      </c>
      <c r="H1517">
        <v>-1</v>
      </c>
      <c r="I1517" t="s">
        <v>37</v>
      </c>
      <c r="J1517">
        <v>0</v>
      </c>
      <c r="M1517" t="s">
        <v>170</v>
      </c>
      <c r="N1517" t="s">
        <v>1636</v>
      </c>
    </row>
    <row r="1518" spans="1:17" x14ac:dyDescent="0.25">
      <c r="A1518" t="s">
        <v>188</v>
      </c>
      <c r="B1518" t="s">
        <v>189</v>
      </c>
      <c r="C1518">
        <v>160</v>
      </c>
      <c r="D1518" t="s">
        <v>290</v>
      </c>
      <c r="E1518" s="1">
        <v>43091</v>
      </c>
      <c r="F1518" t="s">
        <v>252</v>
      </c>
      <c r="G1518" t="s">
        <v>617</v>
      </c>
      <c r="H1518">
        <v>-1</v>
      </c>
      <c r="I1518" t="s">
        <v>37</v>
      </c>
      <c r="J1518">
        <v>0</v>
      </c>
      <c r="K1518">
        <v>0</v>
      </c>
      <c r="M1518" t="s">
        <v>255</v>
      </c>
      <c r="N1518" t="s">
        <v>1636</v>
      </c>
      <c r="O1518">
        <v>0</v>
      </c>
      <c r="P1518">
        <v>0</v>
      </c>
      <c r="Q1518" t="s">
        <v>249</v>
      </c>
    </row>
    <row r="1519" spans="1:17" x14ac:dyDescent="0.25">
      <c r="A1519" t="s">
        <v>19</v>
      </c>
      <c r="B1519" t="s">
        <v>35</v>
      </c>
      <c r="C1519">
        <v>160</v>
      </c>
      <c r="D1519" t="s">
        <v>290</v>
      </c>
      <c r="E1519" s="1">
        <v>43091</v>
      </c>
      <c r="F1519" t="s">
        <v>252</v>
      </c>
      <c r="G1519" t="s">
        <v>614</v>
      </c>
      <c r="H1519">
        <v>-1</v>
      </c>
      <c r="I1519" t="s">
        <v>37</v>
      </c>
      <c r="J1519">
        <v>0</v>
      </c>
      <c r="M1519" t="s">
        <v>170</v>
      </c>
      <c r="N1519" t="s">
        <v>1634</v>
      </c>
    </row>
    <row r="1520" spans="1:17" x14ac:dyDescent="0.25">
      <c r="A1520" t="s">
        <v>19</v>
      </c>
      <c r="B1520" t="s">
        <v>35</v>
      </c>
      <c r="C1520">
        <v>160</v>
      </c>
      <c r="D1520" t="s">
        <v>290</v>
      </c>
      <c r="E1520" s="1">
        <v>43091</v>
      </c>
      <c r="F1520" t="s">
        <v>252</v>
      </c>
      <c r="G1520" t="s">
        <v>614</v>
      </c>
      <c r="H1520">
        <v>-1</v>
      </c>
      <c r="I1520" t="s">
        <v>37</v>
      </c>
      <c r="J1520">
        <v>0</v>
      </c>
      <c r="K1520">
        <v>0</v>
      </c>
      <c r="M1520" t="s">
        <v>255</v>
      </c>
      <c r="N1520" t="s">
        <v>1634</v>
      </c>
      <c r="O1520">
        <v>0</v>
      </c>
      <c r="P1520">
        <v>0</v>
      </c>
      <c r="Q1520" t="s">
        <v>249</v>
      </c>
    </row>
    <row r="1521" spans="1:17" x14ac:dyDescent="0.25">
      <c r="A1521" t="s">
        <v>1453</v>
      </c>
      <c r="B1521" t="s">
        <v>1454</v>
      </c>
      <c r="C1521">
        <v>160</v>
      </c>
      <c r="D1521" t="s">
        <v>264</v>
      </c>
      <c r="E1521" s="1">
        <v>43090</v>
      </c>
      <c r="F1521" t="s">
        <v>252</v>
      </c>
      <c r="G1521" t="s">
        <v>1637</v>
      </c>
      <c r="H1521">
        <v>-1</v>
      </c>
      <c r="I1521" t="s">
        <v>37</v>
      </c>
      <c r="J1521">
        <v>0</v>
      </c>
      <c r="M1521" t="s">
        <v>170</v>
      </c>
      <c r="N1521" t="s">
        <v>1638</v>
      </c>
    </row>
    <row r="1522" spans="1:17" x14ac:dyDescent="0.25">
      <c r="A1522" t="s">
        <v>1453</v>
      </c>
      <c r="B1522" t="s">
        <v>1454</v>
      </c>
      <c r="C1522">
        <v>160</v>
      </c>
      <c r="D1522" t="s">
        <v>264</v>
      </c>
      <c r="E1522" s="1">
        <v>43090</v>
      </c>
      <c r="F1522" t="s">
        <v>252</v>
      </c>
      <c r="G1522" t="s">
        <v>1637</v>
      </c>
      <c r="H1522">
        <v>-1</v>
      </c>
      <c r="I1522" t="s">
        <v>37</v>
      </c>
      <c r="J1522">
        <v>0</v>
      </c>
      <c r="K1522">
        <v>0</v>
      </c>
      <c r="M1522" t="s">
        <v>255</v>
      </c>
      <c r="N1522" t="s">
        <v>1638</v>
      </c>
      <c r="O1522">
        <v>0</v>
      </c>
      <c r="P1522">
        <v>0</v>
      </c>
      <c r="Q1522" t="s">
        <v>249</v>
      </c>
    </row>
    <row r="1523" spans="1:17" x14ac:dyDescent="0.25">
      <c r="A1523" t="s">
        <v>1453</v>
      </c>
      <c r="B1523" t="s">
        <v>1454</v>
      </c>
      <c r="C1523">
        <v>160</v>
      </c>
      <c r="D1523" t="s">
        <v>264</v>
      </c>
      <c r="E1523" s="1">
        <v>43090</v>
      </c>
      <c r="F1523" t="s">
        <v>252</v>
      </c>
      <c r="G1523" t="s">
        <v>1641</v>
      </c>
      <c r="H1523">
        <v>-1</v>
      </c>
      <c r="I1523" t="s">
        <v>37</v>
      </c>
      <c r="J1523">
        <v>0</v>
      </c>
      <c r="M1523" t="s">
        <v>170</v>
      </c>
      <c r="N1523" t="s">
        <v>1642</v>
      </c>
    </row>
    <row r="1524" spans="1:17" x14ac:dyDescent="0.25">
      <c r="A1524" t="s">
        <v>1453</v>
      </c>
      <c r="B1524" t="s">
        <v>1454</v>
      </c>
      <c r="C1524">
        <v>160</v>
      </c>
      <c r="D1524" t="s">
        <v>264</v>
      </c>
      <c r="E1524" s="1">
        <v>43090</v>
      </c>
      <c r="F1524" t="s">
        <v>252</v>
      </c>
      <c r="G1524" t="s">
        <v>1641</v>
      </c>
      <c r="H1524">
        <v>-1</v>
      </c>
      <c r="I1524" t="s">
        <v>37</v>
      </c>
      <c r="J1524">
        <v>0</v>
      </c>
      <c r="K1524">
        <v>0</v>
      </c>
      <c r="M1524" t="s">
        <v>255</v>
      </c>
      <c r="N1524" t="s">
        <v>1642</v>
      </c>
      <c r="O1524">
        <v>0</v>
      </c>
      <c r="P1524">
        <v>0</v>
      </c>
      <c r="Q1524" t="s">
        <v>249</v>
      </c>
    </row>
    <row r="1525" spans="1:17" x14ac:dyDescent="0.25">
      <c r="A1525" t="s">
        <v>1457</v>
      </c>
      <c r="B1525" t="s">
        <v>1458</v>
      </c>
      <c r="C1525">
        <v>160</v>
      </c>
      <c r="D1525" t="s">
        <v>264</v>
      </c>
      <c r="E1525" s="1">
        <v>43090</v>
      </c>
      <c r="F1525" t="s">
        <v>252</v>
      </c>
      <c r="G1525" t="s">
        <v>1637</v>
      </c>
      <c r="H1525">
        <v>-1</v>
      </c>
      <c r="I1525" t="s">
        <v>37</v>
      </c>
      <c r="J1525">
        <v>0</v>
      </c>
      <c r="M1525" t="s">
        <v>170</v>
      </c>
      <c r="N1525" t="s">
        <v>1639</v>
      </c>
    </row>
    <row r="1526" spans="1:17" x14ac:dyDescent="0.25">
      <c r="A1526" t="s">
        <v>1457</v>
      </c>
      <c r="B1526" t="s">
        <v>1458</v>
      </c>
      <c r="C1526">
        <v>160</v>
      </c>
      <c r="D1526" t="s">
        <v>264</v>
      </c>
      <c r="E1526" s="1">
        <v>43090</v>
      </c>
      <c r="F1526" t="s">
        <v>252</v>
      </c>
      <c r="G1526" t="s">
        <v>1637</v>
      </c>
      <c r="H1526">
        <v>-1</v>
      </c>
      <c r="I1526" t="s">
        <v>37</v>
      </c>
      <c r="J1526">
        <v>0</v>
      </c>
      <c r="K1526">
        <v>0</v>
      </c>
      <c r="M1526" t="s">
        <v>255</v>
      </c>
      <c r="N1526" t="s">
        <v>1639</v>
      </c>
      <c r="O1526">
        <v>0</v>
      </c>
      <c r="P1526">
        <v>0</v>
      </c>
      <c r="Q1526" t="s">
        <v>249</v>
      </c>
    </row>
    <row r="1527" spans="1:17" x14ac:dyDescent="0.25">
      <c r="A1527" t="s">
        <v>1457</v>
      </c>
      <c r="B1527" t="s">
        <v>1458</v>
      </c>
      <c r="C1527">
        <v>160</v>
      </c>
      <c r="D1527" t="s">
        <v>264</v>
      </c>
      <c r="E1527" s="1">
        <v>43090</v>
      </c>
      <c r="F1527" t="s">
        <v>252</v>
      </c>
      <c r="G1527" t="s">
        <v>1641</v>
      </c>
      <c r="H1527">
        <v>-1</v>
      </c>
      <c r="I1527" t="s">
        <v>37</v>
      </c>
      <c r="J1527">
        <v>0</v>
      </c>
      <c r="M1527" t="s">
        <v>170</v>
      </c>
      <c r="N1527" t="s">
        <v>1643</v>
      </c>
    </row>
    <row r="1528" spans="1:17" x14ac:dyDescent="0.25">
      <c r="A1528" t="s">
        <v>1457</v>
      </c>
      <c r="B1528" t="s">
        <v>1458</v>
      </c>
      <c r="C1528">
        <v>160</v>
      </c>
      <c r="D1528" t="s">
        <v>264</v>
      </c>
      <c r="E1528" s="1">
        <v>43090</v>
      </c>
      <c r="F1528" t="s">
        <v>252</v>
      </c>
      <c r="G1528" t="s">
        <v>1641</v>
      </c>
      <c r="H1528">
        <v>-1</v>
      </c>
      <c r="I1528" t="s">
        <v>37</v>
      </c>
      <c r="J1528">
        <v>0</v>
      </c>
      <c r="K1528">
        <v>0</v>
      </c>
      <c r="M1528" t="s">
        <v>255</v>
      </c>
      <c r="N1528" t="s">
        <v>1643</v>
      </c>
      <c r="O1528">
        <v>0</v>
      </c>
      <c r="P1528">
        <v>0</v>
      </c>
      <c r="Q1528" t="s">
        <v>249</v>
      </c>
    </row>
    <row r="1529" spans="1:17" x14ac:dyDescent="0.25">
      <c r="A1529" t="s">
        <v>1143</v>
      </c>
      <c r="B1529" t="s">
        <v>1144</v>
      </c>
      <c r="C1529">
        <v>160</v>
      </c>
      <c r="D1529" t="s">
        <v>264</v>
      </c>
      <c r="E1529" s="1">
        <v>43070</v>
      </c>
      <c r="F1529" t="s">
        <v>927</v>
      </c>
      <c r="G1529" t="s">
        <v>1649</v>
      </c>
      <c r="H1529">
        <v>-1</v>
      </c>
      <c r="I1529" t="s">
        <v>37</v>
      </c>
      <c r="J1529">
        <v>0</v>
      </c>
      <c r="M1529" t="s">
        <v>170</v>
      </c>
      <c r="N1529" t="s">
        <v>1795</v>
      </c>
    </row>
    <row r="1530" spans="1:17" x14ac:dyDescent="0.25">
      <c r="A1530" t="s">
        <v>1143</v>
      </c>
      <c r="B1530" t="s">
        <v>1144</v>
      </c>
      <c r="C1530">
        <v>160</v>
      </c>
      <c r="D1530" t="s">
        <v>264</v>
      </c>
      <c r="E1530" s="1">
        <v>43070</v>
      </c>
      <c r="F1530" t="s">
        <v>927</v>
      </c>
      <c r="G1530" t="s">
        <v>1649</v>
      </c>
      <c r="H1530">
        <v>-1</v>
      </c>
      <c r="I1530" t="s">
        <v>37</v>
      </c>
      <c r="J1530">
        <v>0</v>
      </c>
      <c r="K1530">
        <v>0</v>
      </c>
      <c r="M1530" t="s">
        <v>255</v>
      </c>
      <c r="N1530" t="s">
        <v>1795</v>
      </c>
      <c r="O1530">
        <v>0</v>
      </c>
      <c r="P1530">
        <v>0</v>
      </c>
      <c r="Q1530" t="s">
        <v>249</v>
      </c>
    </row>
    <row r="1531" spans="1:17" x14ac:dyDescent="0.25">
      <c r="A1531" t="s">
        <v>1143</v>
      </c>
      <c r="B1531" t="s">
        <v>1144</v>
      </c>
      <c r="C1531">
        <v>160</v>
      </c>
      <c r="D1531" t="s">
        <v>264</v>
      </c>
      <c r="E1531" s="1">
        <v>43075</v>
      </c>
      <c r="F1531" t="s">
        <v>927</v>
      </c>
      <c r="G1531" t="s">
        <v>1657</v>
      </c>
      <c r="H1531">
        <v>-16</v>
      </c>
      <c r="I1531" t="s">
        <v>37</v>
      </c>
      <c r="J1531">
        <v>0</v>
      </c>
      <c r="M1531" t="s">
        <v>170</v>
      </c>
      <c r="N1531" t="s">
        <v>1806</v>
      </c>
    </row>
    <row r="1532" spans="1:17" x14ac:dyDescent="0.25">
      <c r="A1532" t="s">
        <v>1143</v>
      </c>
      <c r="B1532" t="s">
        <v>1144</v>
      </c>
      <c r="C1532">
        <v>160</v>
      </c>
      <c r="D1532" t="s">
        <v>264</v>
      </c>
      <c r="E1532" s="1">
        <v>43075</v>
      </c>
      <c r="F1532" t="s">
        <v>927</v>
      </c>
      <c r="G1532" t="s">
        <v>1657</v>
      </c>
      <c r="H1532">
        <v>-16</v>
      </c>
      <c r="I1532" t="s">
        <v>37</v>
      </c>
      <c r="J1532">
        <v>0</v>
      </c>
      <c r="K1532">
        <v>0</v>
      </c>
      <c r="M1532" t="s">
        <v>255</v>
      </c>
      <c r="N1532" t="s">
        <v>1806</v>
      </c>
      <c r="O1532">
        <v>0</v>
      </c>
      <c r="P1532">
        <v>0</v>
      </c>
      <c r="Q1532" t="s">
        <v>249</v>
      </c>
    </row>
    <row r="1533" spans="1:17" x14ac:dyDescent="0.25">
      <c r="A1533" t="s">
        <v>1143</v>
      </c>
      <c r="B1533" t="s">
        <v>1144</v>
      </c>
      <c r="C1533">
        <v>160</v>
      </c>
      <c r="D1533" t="s">
        <v>264</v>
      </c>
      <c r="E1533" s="1">
        <v>43075</v>
      </c>
      <c r="F1533" t="s">
        <v>927</v>
      </c>
      <c r="G1533" t="s">
        <v>1659</v>
      </c>
      <c r="H1533">
        <v>-10</v>
      </c>
      <c r="I1533" t="s">
        <v>37</v>
      </c>
      <c r="J1533">
        <v>0</v>
      </c>
      <c r="M1533" t="s">
        <v>170</v>
      </c>
      <c r="N1533" t="s">
        <v>1808</v>
      </c>
    </row>
    <row r="1534" spans="1:17" x14ac:dyDescent="0.25">
      <c r="A1534" t="s">
        <v>1143</v>
      </c>
      <c r="B1534" t="s">
        <v>1144</v>
      </c>
      <c r="C1534">
        <v>160</v>
      </c>
      <c r="D1534" t="s">
        <v>264</v>
      </c>
      <c r="E1534" s="1">
        <v>43075</v>
      </c>
      <c r="F1534" t="s">
        <v>927</v>
      </c>
      <c r="G1534" t="s">
        <v>1659</v>
      </c>
      <c r="H1534">
        <v>-10</v>
      </c>
      <c r="I1534" t="s">
        <v>37</v>
      </c>
      <c r="J1534">
        <v>0</v>
      </c>
      <c r="K1534">
        <v>0</v>
      </c>
      <c r="M1534" t="s">
        <v>255</v>
      </c>
      <c r="N1534" t="s">
        <v>1808</v>
      </c>
      <c r="O1534">
        <v>0</v>
      </c>
      <c r="P1534">
        <v>0</v>
      </c>
      <c r="Q1534" t="s">
        <v>249</v>
      </c>
    </row>
    <row r="1535" spans="1:17" x14ac:dyDescent="0.25">
      <c r="A1535" t="s">
        <v>1143</v>
      </c>
      <c r="B1535" t="s">
        <v>1144</v>
      </c>
      <c r="C1535">
        <v>160</v>
      </c>
      <c r="D1535" t="s">
        <v>264</v>
      </c>
      <c r="E1535" s="1">
        <v>43075</v>
      </c>
      <c r="F1535" t="s">
        <v>927</v>
      </c>
      <c r="G1535" t="s">
        <v>1661</v>
      </c>
      <c r="H1535">
        <v>-10</v>
      </c>
      <c r="I1535" t="s">
        <v>37</v>
      </c>
      <c r="J1535">
        <v>0</v>
      </c>
      <c r="M1535" t="s">
        <v>170</v>
      </c>
      <c r="N1535" t="s">
        <v>1810</v>
      </c>
    </row>
    <row r="1536" spans="1:17" x14ac:dyDescent="0.25">
      <c r="A1536" t="s">
        <v>1143</v>
      </c>
      <c r="B1536" t="s">
        <v>1144</v>
      </c>
      <c r="C1536">
        <v>160</v>
      </c>
      <c r="D1536" t="s">
        <v>264</v>
      </c>
      <c r="E1536" s="1">
        <v>43075</v>
      </c>
      <c r="F1536" t="s">
        <v>927</v>
      </c>
      <c r="G1536" t="s">
        <v>1661</v>
      </c>
      <c r="H1536">
        <v>-10</v>
      </c>
      <c r="I1536" t="s">
        <v>37</v>
      </c>
      <c r="J1536">
        <v>0</v>
      </c>
      <c r="K1536">
        <v>0</v>
      </c>
      <c r="M1536" t="s">
        <v>255</v>
      </c>
      <c r="N1536" t="s">
        <v>1810</v>
      </c>
      <c r="O1536">
        <v>0</v>
      </c>
      <c r="P1536">
        <v>0</v>
      </c>
      <c r="Q1536" t="s">
        <v>249</v>
      </c>
    </row>
    <row r="1537" spans="1:17" x14ac:dyDescent="0.25">
      <c r="A1537" t="s">
        <v>1143</v>
      </c>
      <c r="B1537" t="s">
        <v>1144</v>
      </c>
      <c r="C1537">
        <v>160</v>
      </c>
      <c r="D1537" t="s">
        <v>264</v>
      </c>
      <c r="E1537" s="1">
        <v>43075</v>
      </c>
      <c r="F1537" t="s">
        <v>927</v>
      </c>
      <c r="G1537" t="s">
        <v>1663</v>
      </c>
      <c r="H1537">
        <v>-2</v>
      </c>
      <c r="I1537" t="s">
        <v>37</v>
      </c>
      <c r="J1537">
        <v>0</v>
      </c>
      <c r="M1537" t="s">
        <v>170</v>
      </c>
      <c r="N1537" t="s">
        <v>1812</v>
      </c>
    </row>
    <row r="1538" spans="1:17" x14ac:dyDescent="0.25">
      <c r="A1538" t="s">
        <v>1143</v>
      </c>
      <c r="B1538" t="s">
        <v>1144</v>
      </c>
      <c r="C1538">
        <v>160</v>
      </c>
      <c r="D1538" t="s">
        <v>264</v>
      </c>
      <c r="E1538" s="1">
        <v>43075</v>
      </c>
      <c r="F1538" t="s">
        <v>927</v>
      </c>
      <c r="G1538" t="s">
        <v>1663</v>
      </c>
      <c r="H1538">
        <v>-2</v>
      </c>
      <c r="I1538" t="s">
        <v>37</v>
      </c>
      <c r="J1538">
        <v>0</v>
      </c>
      <c r="K1538">
        <v>0</v>
      </c>
      <c r="M1538" t="s">
        <v>255</v>
      </c>
      <c r="N1538" t="s">
        <v>1812</v>
      </c>
      <c r="O1538">
        <v>0</v>
      </c>
      <c r="P1538">
        <v>0</v>
      </c>
      <c r="Q1538" t="s">
        <v>249</v>
      </c>
    </row>
    <row r="1539" spans="1:17" x14ac:dyDescent="0.25">
      <c r="A1539" t="s">
        <v>1143</v>
      </c>
      <c r="B1539" t="s">
        <v>1144</v>
      </c>
      <c r="C1539">
        <v>160</v>
      </c>
      <c r="D1539" t="s">
        <v>264</v>
      </c>
      <c r="E1539" s="1">
        <v>43075</v>
      </c>
      <c r="F1539" t="s">
        <v>927</v>
      </c>
      <c r="G1539" t="s">
        <v>1665</v>
      </c>
      <c r="H1539">
        <v>-2</v>
      </c>
      <c r="I1539" t="s">
        <v>37</v>
      </c>
      <c r="J1539">
        <v>0</v>
      </c>
      <c r="M1539" t="s">
        <v>170</v>
      </c>
      <c r="N1539" t="s">
        <v>1814</v>
      </c>
    </row>
    <row r="1540" spans="1:17" x14ac:dyDescent="0.25">
      <c r="A1540" t="s">
        <v>1143</v>
      </c>
      <c r="B1540" t="s">
        <v>1144</v>
      </c>
      <c r="C1540">
        <v>160</v>
      </c>
      <c r="D1540" t="s">
        <v>264</v>
      </c>
      <c r="E1540" s="1">
        <v>43075</v>
      </c>
      <c r="F1540" t="s">
        <v>927</v>
      </c>
      <c r="G1540" t="s">
        <v>1665</v>
      </c>
      <c r="H1540">
        <v>-2</v>
      </c>
      <c r="I1540" t="s">
        <v>37</v>
      </c>
      <c r="J1540">
        <v>0</v>
      </c>
      <c r="K1540">
        <v>0</v>
      </c>
      <c r="M1540" t="s">
        <v>255</v>
      </c>
      <c r="N1540" t="s">
        <v>1814</v>
      </c>
      <c r="O1540">
        <v>0</v>
      </c>
      <c r="P1540">
        <v>0</v>
      </c>
      <c r="Q1540" t="s">
        <v>249</v>
      </c>
    </row>
    <row r="1541" spans="1:17" x14ac:dyDescent="0.25">
      <c r="A1541" t="s">
        <v>1143</v>
      </c>
      <c r="B1541" t="s">
        <v>1144</v>
      </c>
      <c r="C1541">
        <v>160</v>
      </c>
      <c r="D1541" t="s">
        <v>264</v>
      </c>
      <c r="E1541" s="1">
        <v>43075</v>
      </c>
      <c r="F1541" t="s">
        <v>927</v>
      </c>
      <c r="G1541" t="s">
        <v>1667</v>
      </c>
      <c r="H1541">
        <v>-6</v>
      </c>
      <c r="I1541" t="s">
        <v>37</v>
      </c>
      <c r="J1541">
        <v>0</v>
      </c>
      <c r="M1541" t="s">
        <v>170</v>
      </c>
      <c r="N1541" t="s">
        <v>1816</v>
      </c>
    </row>
    <row r="1542" spans="1:17" x14ac:dyDescent="0.25">
      <c r="A1542" t="s">
        <v>1143</v>
      </c>
      <c r="B1542" t="s">
        <v>1144</v>
      </c>
      <c r="C1542">
        <v>160</v>
      </c>
      <c r="D1542" t="s">
        <v>264</v>
      </c>
      <c r="E1542" s="1">
        <v>43075</v>
      </c>
      <c r="F1542" t="s">
        <v>927</v>
      </c>
      <c r="G1542" t="s">
        <v>1667</v>
      </c>
      <c r="H1542">
        <v>-6</v>
      </c>
      <c r="I1542" t="s">
        <v>37</v>
      </c>
      <c r="J1542">
        <v>0</v>
      </c>
      <c r="K1542">
        <v>0</v>
      </c>
      <c r="M1542" t="s">
        <v>255</v>
      </c>
      <c r="N1542" t="s">
        <v>1816</v>
      </c>
      <c r="O1542">
        <v>0</v>
      </c>
      <c r="P1542">
        <v>0</v>
      </c>
      <c r="Q1542" t="s">
        <v>249</v>
      </c>
    </row>
    <row r="1543" spans="1:17" x14ac:dyDescent="0.25">
      <c r="A1543" t="s">
        <v>1143</v>
      </c>
      <c r="B1543" t="s">
        <v>1144</v>
      </c>
      <c r="C1543">
        <v>160</v>
      </c>
      <c r="D1543" t="s">
        <v>264</v>
      </c>
      <c r="E1543" s="1">
        <v>43075</v>
      </c>
      <c r="F1543" t="s">
        <v>927</v>
      </c>
      <c r="G1543" t="s">
        <v>1669</v>
      </c>
      <c r="H1543">
        <v>-8</v>
      </c>
      <c r="I1543" t="s">
        <v>37</v>
      </c>
      <c r="J1543">
        <v>0</v>
      </c>
      <c r="M1543" t="s">
        <v>170</v>
      </c>
      <c r="N1543" t="s">
        <v>1818</v>
      </c>
    </row>
    <row r="1544" spans="1:17" x14ac:dyDescent="0.25">
      <c r="A1544" t="s">
        <v>1143</v>
      </c>
      <c r="B1544" t="s">
        <v>1144</v>
      </c>
      <c r="C1544">
        <v>160</v>
      </c>
      <c r="D1544" t="s">
        <v>264</v>
      </c>
      <c r="E1544" s="1">
        <v>43075</v>
      </c>
      <c r="F1544" t="s">
        <v>927</v>
      </c>
      <c r="G1544" t="s">
        <v>1669</v>
      </c>
      <c r="H1544">
        <v>-8</v>
      </c>
      <c r="I1544" t="s">
        <v>37</v>
      </c>
      <c r="J1544">
        <v>0</v>
      </c>
      <c r="K1544">
        <v>0</v>
      </c>
      <c r="M1544" t="s">
        <v>255</v>
      </c>
      <c r="N1544" t="s">
        <v>1818</v>
      </c>
      <c r="O1544">
        <v>0</v>
      </c>
      <c r="P1544">
        <v>0</v>
      </c>
      <c r="Q1544" t="s">
        <v>249</v>
      </c>
    </row>
    <row r="1545" spans="1:17" x14ac:dyDescent="0.25">
      <c r="A1545" t="s">
        <v>1143</v>
      </c>
      <c r="B1545" t="s">
        <v>1144</v>
      </c>
      <c r="C1545">
        <v>160</v>
      </c>
      <c r="D1545" t="s">
        <v>264</v>
      </c>
      <c r="E1545" s="1">
        <v>43076</v>
      </c>
      <c r="F1545" t="s">
        <v>17</v>
      </c>
      <c r="G1545" t="s">
        <v>1710</v>
      </c>
      <c r="H1545">
        <v>22</v>
      </c>
      <c r="I1545" t="s">
        <v>37</v>
      </c>
      <c r="J1545">
        <v>0</v>
      </c>
      <c r="K1545">
        <v>0</v>
      </c>
      <c r="M1545" t="s">
        <v>170</v>
      </c>
      <c r="N1545" t="s">
        <v>1711</v>
      </c>
    </row>
    <row r="1546" spans="1:17" x14ac:dyDescent="0.25">
      <c r="A1546" t="s">
        <v>1143</v>
      </c>
      <c r="B1546" t="s">
        <v>1144</v>
      </c>
      <c r="C1546">
        <v>160</v>
      </c>
      <c r="D1546" t="s">
        <v>264</v>
      </c>
      <c r="E1546" s="1">
        <v>43076</v>
      </c>
      <c r="F1546" t="s">
        <v>17</v>
      </c>
      <c r="G1546" t="s">
        <v>1710</v>
      </c>
      <c r="H1546">
        <v>22</v>
      </c>
      <c r="I1546" t="s">
        <v>37</v>
      </c>
      <c r="J1546">
        <v>0</v>
      </c>
      <c r="K1546">
        <v>0</v>
      </c>
      <c r="M1546" t="s">
        <v>255</v>
      </c>
      <c r="N1546" t="s">
        <v>1711</v>
      </c>
      <c r="O1546">
        <v>0</v>
      </c>
      <c r="P1546">
        <v>0</v>
      </c>
      <c r="Q1546" t="s">
        <v>249</v>
      </c>
    </row>
    <row r="1547" spans="1:17" x14ac:dyDescent="0.25">
      <c r="A1547" t="s">
        <v>1143</v>
      </c>
      <c r="B1547" t="s">
        <v>1144</v>
      </c>
      <c r="C1547">
        <v>160</v>
      </c>
      <c r="D1547" t="s">
        <v>264</v>
      </c>
      <c r="E1547" s="1">
        <v>43076</v>
      </c>
      <c r="F1547" t="s">
        <v>17</v>
      </c>
      <c r="G1547" t="s">
        <v>1714</v>
      </c>
      <c r="H1547">
        <v>1</v>
      </c>
      <c r="I1547" t="s">
        <v>37</v>
      </c>
      <c r="J1547">
        <v>0</v>
      </c>
      <c r="K1547">
        <v>0</v>
      </c>
      <c r="M1547" t="s">
        <v>170</v>
      </c>
      <c r="N1547" t="s">
        <v>1715</v>
      </c>
    </row>
    <row r="1548" spans="1:17" x14ac:dyDescent="0.25">
      <c r="A1548" t="s">
        <v>1143</v>
      </c>
      <c r="B1548" t="s">
        <v>1144</v>
      </c>
      <c r="C1548">
        <v>160</v>
      </c>
      <c r="D1548" t="s">
        <v>264</v>
      </c>
      <c r="E1548" s="1">
        <v>43076</v>
      </c>
      <c r="F1548" t="s">
        <v>17</v>
      </c>
      <c r="G1548" t="s">
        <v>1714</v>
      </c>
      <c r="H1548">
        <v>1</v>
      </c>
      <c r="I1548" t="s">
        <v>37</v>
      </c>
      <c r="J1548">
        <v>0</v>
      </c>
      <c r="K1548">
        <v>0</v>
      </c>
      <c r="M1548" t="s">
        <v>255</v>
      </c>
      <c r="N1548" t="s">
        <v>1715</v>
      </c>
      <c r="O1548">
        <v>0</v>
      </c>
      <c r="P1548">
        <v>0</v>
      </c>
      <c r="Q1548" t="s">
        <v>249</v>
      </c>
    </row>
    <row r="1549" spans="1:17" x14ac:dyDescent="0.25">
      <c r="A1549" t="s">
        <v>1143</v>
      </c>
      <c r="B1549" t="s">
        <v>1144</v>
      </c>
      <c r="C1549">
        <v>160</v>
      </c>
      <c r="D1549" t="s">
        <v>264</v>
      </c>
      <c r="E1549" s="1">
        <v>43083</v>
      </c>
      <c r="F1549" t="s">
        <v>17</v>
      </c>
      <c r="G1549" t="s">
        <v>1701</v>
      </c>
      <c r="H1549">
        <v>1</v>
      </c>
      <c r="I1549" t="s">
        <v>37</v>
      </c>
      <c r="J1549">
        <v>0</v>
      </c>
      <c r="K1549">
        <v>0</v>
      </c>
      <c r="M1549" t="s">
        <v>170</v>
      </c>
      <c r="N1549" t="s">
        <v>1702</v>
      </c>
    </row>
    <row r="1550" spans="1:17" x14ac:dyDescent="0.25">
      <c r="A1550" t="s">
        <v>1143</v>
      </c>
      <c r="B1550" t="s">
        <v>1144</v>
      </c>
      <c r="C1550">
        <v>160</v>
      </c>
      <c r="D1550" t="s">
        <v>264</v>
      </c>
      <c r="E1550" s="1">
        <v>43083</v>
      </c>
      <c r="F1550" t="s">
        <v>17</v>
      </c>
      <c r="G1550" t="s">
        <v>1701</v>
      </c>
      <c r="H1550">
        <v>1</v>
      </c>
      <c r="I1550" t="s">
        <v>37</v>
      </c>
      <c r="J1550">
        <v>0</v>
      </c>
      <c r="K1550">
        <v>0</v>
      </c>
      <c r="M1550" t="s">
        <v>255</v>
      </c>
      <c r="N1550" t="s">
        <v>1702</v>
      </c>
      <c r="O1550">
        <v>0</v>
      </c>
      <c r="P1550">
        <v>0</v>
      </c>
      <c r="Q1550" t="s">
        <v>249</v>
      </c>
    </row>
    <row r="1551" spans="1:17" x14ac:dyDescent="0.25">
      <c r="A1551" t="s">
        <v>1143</v>
      </c>
      <c r="B1551" t="s">
        <v>1144</v>
      </c>
      <c r="C1551">
        <v>160</v>
      </c>
      <c r="D1551" t="s">
        <v>264</v>
      </c>
      <c r="E1551" s="1">
        <v>43083</v>
      </c>
      <c r="F1551" t="s">
        <v>17</v>
      </c>
      <c r="G1551" t="s">
        <v>1703</v>
      </c>
      <c r="H1551">
        <v>1</v>
      </c>
      <c r="I1551" t="s">
        <v>37</v>
      </c>
      <c r="J1551">
        <v>0</v>
      </c>
      <c r="K1551">
        <v>0</v>
      </c>
      <c r="M1551" t="s">
        <v>170</v>
      </c>
      <c r="N1551" t="s">
        <v>1704</v>
      </c>
    </row>
    <row r="1552" spans="1:17" x14ac:dyDescent="0.25">
      <c r="A1552" t="s">
        <v>1143</v>
      </c>
      <c r="B1552" t="s">
        <v>1144</v>
      </c>
      <c r="C1552">
        <v>160</v>
      </c>
      <c r="D1552" t="s">
        <v>264</v>
      </c>
      <c r="E1552" s="1">
        <v>43083</v>
      </c>
      <c r="F1552" t="s">
        <v>17</v>
      </c>
      <c r="G1552" t="s">
        <v>1703</v>
      </c>
      <c r="H1552">
        <v>1</v>
      </c>
      <c r="I1552" t="s">
        <v>37</v>
      </c>
      <c r="J1552">
        <v>0</v>
      </c>
      <c r="K1552">
        <v>0</v>
      </c>
      <c r="M1552" t="s">
        <v>255</v>
      </c>
      <c r="N1552" t="s">
        <v>1704</v>
      </c>
      <c r="O1552">
        <v>0</v>
      </c>
      <c r="P1552">
        <v>0</v>
      </c>
      <c r="Q1552" t="s">
        <v>249</v>
      </c>
    </row>
    <row r="1553" spans="1:17" x14ac:dyDescent="0.25">
      <c r="A1553" t="s">
        <v>1143</v>
      </c>
      <c r="B1553" t="s">
        <v>1144</v>
      </c>
      <c r="C1553">
        <v>160</v>
      </c>
      <c r="D1553" t="s">
        <v>264</v>
      </c>
      <c r="E1553" s="1">
        <v>43083</v>
      </c>
      <c r="F1553" t="s">
        <v>17</v>
      </c>
      <c r="G1553" t="s">
        <v>1705</v>
      </c>
      <c r="H1553">
        <v>1</v>
      </c>
      <c r="I1553" t="s">
        <v>37</v>
      </c>
      <c r="J1553">
        <v>0</v>
      </c>
      <c r="K1553">
        <v>0</v>
      </c>
      <c r="M1553" t="s">
        <v>170</v>
      </c>
      <c r="N1553" t="s">
        <v>1706</v>
      </c>
    </row>
    <row r="1554" spans="1:17" x14ac:dyDescent="0.25">
      <c r="A1554" t="s">
        <v>1143</v>
      </c>
      <c r="B1554" t="s">
        <v>1144</v>
      </c>
      <c r="C1554">
        <v>160</v>
      </c>
      <c r="D1554" t="s">
        <v>264</v>
      </c>
      <c r="E1554" s="1">
        <v>43083</v>
      </c>
      <c r="F1554" t="s">
        <v>17</v>
      </c>
      <c r="G1554" t="s">
        <v>1705</v>
      </c>
      <c r="H1554">
        <v>1</v>
      </c>
      <c r="I1554" t="s">
        <v>37</v>
      </c>
      <c r="J1554">
        <v>0</v>
      </c>
      <c r="K1554">
        <v>0</v>
      </c>
      <c r="M1554" t="s">
        <v>255</v>
      </c>
      <c r="N1554" t="s">
        <v>1706</v>
      </c>
      <c r="O1554">
        <v>0</v>
      </c>
      <c r="P1554">
        <v>0</v>
      </c>
      <c r="Q1554" t="s">
        <v>249</v>
      </c>
    </row>
    <row r="1555" spans="1:17" x14ac:dyDescent="0.25">
      <c r="A1555" t="s">
        <v>1143</v>
      </c>
      <c r="B1555" t="s">
        <v>1144</v>
      </c>
      <c r="C1555">
        <v>160</v>
      </c>
      <c r="D1555" t="s">
        <v>264</v>
      </c>
      <c r="E1555" s="1">
        <v>43087</v>
      </c>
      <c r="F1555" t="s">
        <v>17</v>
      </c>
      <c r="G1555" t="s">
        <v>1732</v>
      </c>
      <c r="H1555">
        <v>16</v>
      </c>
      <c r="I1555" t="s">
        <v>37</v>
      </c>
      <c r="J1555">
        <v>0</v>
      </c>
      <c r="K1555">
        <v>0</v>
      </c>
      <c r="M1555" t="s">
        <v>170</v>
      </c>
      <c r="N1555" t="s">
        <v>1733</v>
      </c>
    </row>
    <row r="1556" spans="1:17" x14ac:dyDescent="0.25">
      <c r="A1556" t="s">
        <v>1143</v>
      </c>
      <c r="B1556" t="s">
        <v>1144</v>
      </c>
      <c r="C1556">
        <v>160</v>
      </c>
      <c r="D1556" t="s">
        <v>264</v>
      </c>
      <c r="E1556" s="1">
        <v>43087</v>
      </c>
      <c r="F1556" t="s">
        <v>17</v>
      </c>
      <c r="G1556" t="s">
        <v>1732</v>
      </c>
      <c r="H1556">
        <v>16</v>
      </c>
      <c r="I1556" t="s">
        <v>37</v>
      </c>
      <c r="J1556">
        <v>0</v>
      </c>
      <c r="K1556">
        <v>0</v>
      </c>
      <c r="M1556" t="s">
        <v>255</v>
      </c>
      <c r="N1556" t="s">
        <v>1733</v>
      </c>
      <c r="O1556">
        <v>0</v>
      </c>
      <c r="P1556">
        <v>0</v>
      </c>
      <c r="Q1556" t="s">
        <v>249</v>
      </c>
    </row>
    <row r="1557" spans="1:17" x14ac:dyDescent="0.25">
      <c r="A1557" t="s">
        <v>1143</v>
      </c>
      <c r="B1557" t="s">
        <v>1144</v>
      </c>
      <c r="C1557">
        <v>160</v>
      </c>
      <c r="D1557" t="s">
        <v>264</v>
      </c>
      <c r="E1557" s="1">
        <v>43087</v>
      </c>
      <c r="F1557" t="s">
        <v>17</v>
      </c>
      <c r="G1557" t="s">
        <v>1736</v>
      </c>
      <c r="H1557">
        <v>10</v>
      </c>
      <c r="I1557" t="s">
        <v>37</v>
      </c>
      <c r="J1557">
        <v>0</v>
      </c>
      <c r="K1557">
        <v>0</v>
      </c>
      <c r="M1557" t="s">
        <v>170</v>
      </c>
      <c r="N1557" t="s">
        <v>1737</v>
      </c>
    </row>
    <row r="1558" spans="1:17" x14ac:dyDescent="0.25">
      <c r="A1558" t="s">
        <v>1143</v>
      </c>
      <c r="B1558" t="s">
        <v>1144</v>
      </c>
      <c r="C1558">
        <v>160</v>
      </c>
      <c r="D1558" t="s">
        <v>264</v>
      </c>
      <c r="E1558" s="1">
        <v>43087</v>
      </c>
      <c r="F1558" t="s">
        <v>17</v>
      </c>
      <c r="G1558" t="s">
        <v>1736</v>
      </c>
      <c r="H1558">
        <v>10</v>
      </c>
      <c r="I1558" t="s">
        <v>37</v>
      </c>
      <c r="J1558">
        <v>0</v>
      </c>
      <c r="K1558">
        <v>0</v>
      </c>
      <c r="M1558" t="s">
        <v>255</v>
      </c>
      <c r="N1558" t="s">
        <v>1737</v>
      </c>
      <c r="O1558">
        <v>0</v>
      </c>
      <c r="P1558">
        <v>0</v>
      </c>
      <c r="Q1558" t="s">
        <v>249</v>
      </c>
    </row>
    <row r="1559" spans="1:17" x14ac:dyDescent="0.25">
      <c r="A1559" t="s">
        <v>1143</v>
      </c>
      <c r="B1559" t="s">
        <v>1144</v>
      </c>
      <c r="C1559">
        <v>160</v>
      </c>
      <c r="D1559" t="s">
        <v>264</v>
      </c>
      <c r="E1559" s="1">
        <v>43087</v>
      </c>
      <c r="F1559" t="s">
        <v>17</v>
      </c>
      <c r="G1559" t="s">
        <v>1740</v>
      </c>
      <c r="H1559">
        <v>10</v>
      </c>
      <c r="I1559" t="s">
        <v>37</v>
      </c>
      <c r="J1559">
        <v>0</v>
      </c>
      <c r="K1559">
        <v>0</v>
      </c>
      <c r="M1559" t="s">
        <v>170</v>
      </c>
      <c r="N1559" t="s">
        <v>1741</v>
      </c>
    </row>
    <row r="1560" spans="1:17" x14ac:dyDescent="0.25">
      <c r="A1560" t="s">
        <v>1143</v>
      </c>
      <c r="B1560" t="s">
        <v>1144</v>
      </c>
      <c r="C1560">
        <v>160</v>
      </c>
      <c r="D1560" t="s">
        <v>264</v>
      </c>
      <c r="E1560" s="1">
        <v>43087</v>
      </c>
      <c r="F1560" t="s">
        <v>17</v>
      </c>
      <c r="G1560" t="s">
        <v>1740</v>
      </c>
      <c r="H1560">
        <v>10</v>
      </c>
      <c r="I1560" t="s">
        <v>37</v>
      </c>
      <c r="J1560">
        <v>0</v>
      </c>
      <c r="K1560">
        <v>0</v>
      </c>
      <c r="M1560" t="s">
        <v>255</v>
      </c>
      <c r="N1560" t="s">
        <v>1741</v>
      </c>
      <c r="O1560">
        <v>0</v>
      </c>
      <c r="P1560">
        <v>0</v>
      </c>
      <c r="Q1560" t="s">
        <v>249</v>
      </c>
    </row>
    <row r="1561" spans="1:17" x14ac:dyDescent="0.25">
      <c r="A1561" t="s">
        <v>1143</v>
      </c>
      <c r="B1561" t="s">
        <v>1144</v>
      </c>
      <c r="C1561">
        <v>160</v>
      </c>
      <c r="D1561" t="s">
        <v>264</v>
      </c>
      <c r="E1561" s="1">
        <v>43087</v>
      </c>
      <c r="F1561" t="s">
        <v>17</v>
      </c>
      <c r="G1561" t="s">
        <v>1744</v>
      </c>
      <c r="H1561">
        <v>2</v>
      </c>
      <c r="I1561" t="s">
        <v>37</v>
      </c>
      <c r="J1561">
        <v>0</v>
      </c>
      <c r="K1561">
        <v>0</v>
      </c>
      <c r="M1561" t="s">
        <v>170</v>
      </c>
      <c r="N1561" t="s">
        <v>1745</v>
      </c>
    </row>
    <row r="1562" spans="1:17" x14ac:dyDescent="0.25">
      <c r="A1562" t="s">
        <v>1143</v>
      </c>
      <c r="B1562" t="s">
        <v>1144</v>
      </c>
      <c r="C1562">
        <v>160</v>
      </c>
      <c r="D1562" t="s">
        <v>264</v>
      </c>
      <c r="E1562" s="1">
        <v>43087</v>
      </c>
      <c r="F1562" t="s">
        <v>17</v>
      </c>
      <c r="G1562" t="s">
        <v>1744</v>
      </c>
      <c r="H1562">
        <v>2</v>
      </c>
      <c r="I1562" t="s">
        <v>37</v>
      </c>
      <c r="J1562">
        <v>0</v>
      </c>
      <c r="K1562">
        <v>0</v>
      </c>
      <c r="M1562" t="s">
        <v>255</v>
      </c>
      <c r="N1562" t="s">
        <v>1745</v>
      </c>
      <c r="O1562">
        <v>0</v>
      </c>
      <c r="P1562">
        <v>0</v>
      </c>
      <c r="Q1562" t="s">
        <v>249</v>
      </c>
    </row>
    <row r="1563" spans="1:17" x14ac:dyDescent="0.25">
      <c r="A1563" t="s">
        <v>1143</v>
      </c>
      <c r="B1563" t="s">
        <v>1144</v>
      </c>
      <c r="C1563">
        <v>160</v>
      </c>
      <c r="D1563" t="s">
        <v>264</v>
      </c>
      <c r="E1563" s="1">
        <v>43087</v>
      </c>
      <c r="F1563" t="s">
        <v>17</v>
      </c>
      <c r="G1563" t="s">
        <v>1748</v>
      </c>
      <c r="H1563">
        <v>2</v>
      </c>
      <c r="I1563" t="s">
        <v>37</v>
      </c>
      <c r="J1563">
        <v>0</v>
      </c>
      <c r="K1563">
        <v>0</v>
      </c>
      <c r="M1563" t="s">
        <v>170</v>
      </c>
      <c r="N1563" t="s">
        <v>1749</v>
      </c>
    </row>
    <row r="1564" spans="1:17" x14ac:dyDescent="0.25">
      <c r="A1564" t="s">
        <v>1143</v>
      </c>
      <c r="B1564" t="s">
        <v>1144</v>
      </c>
      <c r="C1564">
        <v>160</v>
      </c>
      <c r="D1564" t="s">
        <v>264</v>
      </c>
      <c r="E1564" s="1">
        <v>43087</v>
      </c>
      <c r="F1564" t="s">
        <v>17</v>
      </c>
      <c r="G1564" t="s">
        <v>1748</v>
      </c>
      <c r="H1564">
        <v>2</v>
      </c>
      <c r="I1564" t="s">
        <v>37</v>
      </c>
      <c r="J1564">
        <v>0</v>
      </c>
      <c r="K1564">
        <v>0</v>
      </c>
      <c r="M1564" t="s">
        <v>255</v>
      </c>
      <c r="N1564" t="s">
        <v>1749</v>
      </c>
      <c r="O1564">
        <v>0</v>
      </c>
      <c r="P1564">
        <v>0</v>
      </c>
      <c r="Q1564" t="s">
        <v>249</v>
      </c>
    </row>
    <row r="1565" spans="1:17" x14ac:dyDescent="0.25">
      <c r="A1565" t="s">
        <v>1143</v>
      </c>
      <c r="B1565" t="s">
        <v>1144</v>
      </c>
      <c r="C1565">
        <v>160</v>
      </c>
      <c r="D1565" t="s">
        <v>264</v>
      </c>
      <c r="E1565" s="1">
        <v>43087</v>
      </c>
      <c r="F1565" t="s">
        <v>17</v>
      </c>
      <c r="G1565" t="s">
        <v>1752</v>
      </c>
      <c r="H1565">
        <v>6</v>
      </c>
      <c r="I1565" t="s">
        <v>37</v>
      </c>
      <c r="J1565">
        <v>0</v>
      </c>
      <c r="K1565">
        <v>0</v>
      </c>
      <c r="M1565" t="s">
        <v>170</v>
      </c>
      <c r="N1565" t="s">
        <v>1753</v>
      </c>
    </row>
    <row r="1566" spans="1:17" x14ac:dyDescent="0.25">
      <c r="A1566" t="s">
        <v>1143</v>
      </c>
      <c r="B1566" t="s">
        <v>1144</v>
      </c>
      <c r="C1566">
        <v>160</v>
      </c>
      <c r="D1566" t="s">
        <v>264</v>
      </c>
      <c r="E1566" s="1">
        <v>43087</v>
      </c>
      <c r="F1566" t="s">
        <v>17</v>
      </c>
      <c r="G1566" t="s">
        <v>1752</v>
      </c>
      <c r="H1566">
        <v>6</v>
      </c>
      <c r="I1566" t="s">
        <v>37</v>
      </c>
      <c r="J1566">
        <v>0</v>
      </c>
      <c r="K1566">
        <v>0</v>
      </c>
      <c r="M1566" t="s">
        <v>255</v>
      </c>
      <c r="N1566" t="s">
        <v>1753</v>
      </c>
      <c r="O1566">
        <v>0</v>
      </c>
      <c r="P1566">
        <v>0</v>
      </c>
      <c r="Q1566" t="s">
        <v>249</v>
      </c>
    </row>
    <row r="1567" spans="1:17" x14ac:dyDescent="0.25">
      <c r="A1567" t="s">
        <v>1143</v>
      </c>
      <c r="B1567" t="s">
        <v>1144</v>
      </c>
      <c r="C1567">
        <v>160</v>
      </c>
      <c r="D1567" t="s">
        <v>264</v>
      </c>
      <c r="E1567" s="1">
        <v>43087</v>
      </c>
      <c r="F1567" t="s">
        <v>17</v>
      </c>
      <c r="G1567" t="s">
        <v>1756</v>
      </c>
      <c r="H1567">
        <v>8</v>
      </c>
      <c r="I1567" t="s">
        <v>37</v>
      </c>
      <c r="J1567">
        <v>0</v>
      </c>
      <c r="K1567">
        <v>0</v>
      </c>
      <c r="M1567" t="s">
        <v>170</v>
      </c>
      <c r="N1567" t="s">
        <v>1757</v>
      </c>
    </row>
    <row r="1568" spans="1:17" x14ac:dyDescent="0.25">
      <c r="A1568" t="s">
        <v>1143</v>
      </c>
      <c r="B1568" t="s">
        <v>1144</v>
      </c>
      <c r="C1568">
        <v>160</v>
      </c>
      <c r="D1568" t="s">
        <v>264</v>
      </c>
      <c r="E1568" s="1">
        <v>43087</v>
      </c>
      <c r="F1568" t="s">
        <v>17</v>
      </c>
      <c r="G1568" t="s">
        <v>1756</v>
      </c>
      <c r="H1568">
        <v>8</v>
      </c>
      <c r="I1568" t="s">
        <v>37</v>
      </c>
      <c r="J1568">
        <v>0</v>
      </c>
      <c r="K1568">
        <v>0</v>
      </c>
      <c r="M1568" t="s">
        <v>255</v>
      </c>
      <c r="N1568" t="s">
        <v>1757</v>
      </c>
      <c r="O1568">
        <v>0</v>
      </c>
      <c r="P1568">
        <v>0</v>
      </c>
      <c r="Q1568" t="s">
        <v>249</v>
      </c>
    </row>
    <row r="1569" spans="1:17" x14ac:dyDescent="0.25">
      <c r="A1569" t="s">
        <v>1311</v>
      </c>
      <c r="B1569" t="s">
        <v>1311</v>
      </c>
      <c r="C1569">
        <v>160</v>
      </c>
      <c r="D1569" t="s">
        <v>264</v>
      </c>
      <c r="E1569" s="1">
        <v>43089</v>
      </c>
      <c r="F1569" t="s">
        <v>17</v>
      </c>
      <c r="G1569" t="s">
        <v>1782</v>
      </c>
      <c r="H1569">
        <v>1</v>
      </c>
      <c r="I1569" t="s">
        <v>37</v>
      </c>
      <c r="J1569">
        <v>0</v>
      </c>
      <c r="K1569">
        <v>0</v>
      </c>
      <c r="M1569" t="s">
        <v>170</v>
      </c>
      <c r="N1569" t="s">
        <v>1783</v>
      </c>
    </row>
    <row r="1570" spans="1:17" x14ac:dyDescent="0.25">
      <c r="A1570" t="s">
        <v>1311</v>
      </c>
      <c r="B1570" t="s">
        <v>1311</v>
      </c>
      <c r="C1570">
        <v>160</v>
      </c>
      <c r="D1570" t="s">
        <v>264</v>
      </c>
      <c r="E1570" s="1">
        <v>43089</v>
      </c>
      <c r="F1570" t="s">
        <v>17</v>
      </c>
      <c r="G1570" t="s">
        <v>1782</v>
      </c>
      <c r="H1570">
        <v>1</v>
      </c>
      <c r="I1570" t="s">
        <v>37</v>
      </c>
      <c r="J1570">
        <v>0</v>
      </c>
      <c r="K1570">
        <v>0</v>
      </c>
      <c r="M1570" t="s">
        <v>255</v>
      </c>
      <c r="N1570" t="s">
        <v>1783</v>
      </c>
      <c r="O1570">
        <v>0</v>
      </c>
      <c r="P1570">
        <v>0</v>
      </c>
      <c r="Q1570" t="s">
        <v>249</v>
      </c>
    </row>
    <row r="1571" spans="1:17" x14ac:dyDescent="0.25">
      <c r="A1571" t="s">
        <v>1311</v>
      </c>
      <c r="B1571" t="s">
        <v>1311</v>
      </c>
      <c r="C1571">
        <v>160</v>
      </c>
      <c r="D1571" t="s">
        <v>264</v>
      </c>
      <c r="E1571" s="1">
        <v>43089</v>
      </c>
      <c r="F1571" t="s">
        <v>17</v>
      </c>
      <c r="G1571" t="s">
        <v>1784</v>
      </c>
      <c r="H1571">
        <v>1</v>
      </c>
      <c r="I1571" t="s">
        <v>37</v>
      </c>
      <c r="J1571">
        <v>0</v>
      </c>
      <c r="K1571">
        <v>0</v>
      </c>
      <c r="M1571" t="s">
        <v>170</v>
      </c>
      <c r="N1571" t="s">
        <v>1785</v>
      </c>
    </row>
    <row r="1572" spans="1:17" x14ac:dyDescent="0.25">
      <c r="A1572" t="s">
        <v>1311</v>
      </c>
      <c r="B1572" t="s">
        <v>1311</v>
      </c>
      <c r="C1572">
        <v>160</v>
      </c>
      <c r="D1572" t="s">
        <v>264</v>
      </c>
      <c r="E1572" s="1">
        <v>43089</v>
      </c>
      <c r="F1572" t="s">
        <v>17</v>
      </c>
      <c r="G1572" t="s">
        <v>1784</v>
      </c>
      <c r="H1572">
        <v>1</v>
      </c>
      <c r="I1572" t="s">
        <v>37</v>
      </c>
      <c r="J1572">
        <v>0</v>
      </c>
      <c r="K1572">
        <v>0</v>
      </c>
      <c r="M1572" t="s">
        <v>255</v>
      </c>
      <c r="N1572" t="s">
        <v>1785</v>
      </c>
      <c r="O1572">
        <v>0</v>
      </c>
      <c r="P1572">
        <v>0</v>
      </c>
      <c r="Q1572" t="s">
        <v>249</v>
      </c>
    </row>
    <row r="1573" spans="1:17" x14ac:dyDescent="0.25">
      <c r="A1573" t="s">
        <v>1311</v>
      </c>
      <c r="B1573" t="s">
        <v>1311</v>
      </c>
      <c r="C1573">
        <v>160</v>
      </c>
      <c r="D1573" t="s">
        <v>264</v>
      </c>
      <c r="E1573" s="1">
        <v>43089</v>
      </c>
      <c r="F1573" t="s">
        <v>17</v>
      </c>
      <c r="G1573" t="s">
        <v>1786</v>
      </c>
      <c r="H1573">
        <v>1</v>
      </c>
      <c r="I1573" t="s">
        <v>37</v>
      </c>
      <c r="J1573">
        <v>0</v>
      </c>
      <c r="K1573">
        <v>0</v>
      </c>
      <c r="M1573" t="s">
        <v>170</v>
      </c>
      <c r="N1573" t="s">
        <v>1787</v>
      </c>
    </row>
    <row r="1574" spans="1:17" x14ac:dyDescent="0.25">
      <c r="A1574" t="s">
        <v>1311</v>
      </c>
      <c r="B1574" t="s">
        <v>1311</v>
      </c>
      <c r="C1574">
        <v>160</v>
      </c>
      <c r="D1574" t="s">
        <v>264</v>
      </c>
      <c r="E1574" s="1">
        <v>43089</v>
      </c>
      <c r="F1574" t="s">
        <v>17</v>
      </c>
      <c r="G1574" t="s">
        <v>1786</v>
      </c>
      <c r="H1574">
        <v>1</v>
      </c>
      <c r="I1574" t="s">
        <v>37</v>
      </c>
      <c r="J1574">
        <v>0</v>
      </c>
      <c r="K1574">
        <v>0</v>
      </c>
      <c r="M1574" t="s">
        <v>255</v>
      </c>
      <c r="N1574" t="s">
        <v>1787</v>
      </c>
      <c r="O1574">
        <v>0</v>
      </c>
      <c r="P1574">
        <v>0</v>
      </c>
      <c r="Q1574" t="s">
        <v>249</v>
      </c>
    </row>
    <row r="1575" spans="1:17" x14ac:dyDescent="0.25">
      <c r="A1575" t="s">
        <v>1145</v>
      </c>
      <c r="B1575" t="s">
        <v>1146</v>
      </c>
      <c r="C1575">
        <v>160</v>
      </c>
      <c r="D1575" t="s">
        <v>264</v>
      </c>
      <c r="E1575" s="1">
        <v>43070</v>
      </c>
      <c r="F1575" t="s">
        <v>927</v>
      </c>
      <c r="G1575" t="s">
        <v>1651</v>
      </c>
      <c r="H1575">
        <v>-1.67E-2</v>
      </c>
      <c r="I1575" t="s">
        <v>190</v>
      </c>
      <c r="J1575">
        <v>0</v>
      </c>
      <c r="M1575" t="s">
        <v>170</v>
      </c>
      <c r="N1575" t="s">
        <v>1796</v>
      </c>
    </row>
    <row r="1576" spans="1:17" x14ac:dyDescent="0.25">
      <c r="A1576" t="s">
        <v>1145</v>
      </c>
      <c r="B1576" t="s">
        <v>1146</v>
      </c>
      <c r="C1576">
        <v>160</v>
      </c>
      <c r="D1576" t="s">
        <v>264</v>
      </c>
      <c r="E1576" s="1">
        <v>43070</v>
      </c>
      <c r="F1576" t="s">
        <v>927</v>
      </c>
      <c r="G1576" t="s">
        <v>1651</v>
      </c>
      <c r="H1576">
        <v>-1.67E-2</v>
      </c>
      <c r="I1576" t="s">
        <v>190</v>
      </c>
      <c r="J1576">
        <v>0</v>
      </c>
      <c r="K1576">
        <v>0</v>
      </c>
      <c r="M1576" t="s">
        <v>255</v>
      </c>
      <c r="N1576" t="s">
        <v>1796</v>
      </c>
      <c r="O1576">
        <v>0</v>
      </c>
      <c r="P1576">
        <v>0</v>
      </c>
      <c r="Q1576" t="s">
        <v>249</v>
      </c>
    </row>
    <row r="1577" spans="1:17" x14ac:dyDescent="0.25">
      <c r="A1577" t="s">
        <v>1145</v>
      </c>
      <c r="B1577" t="s">
        <v>1146</v>
      </c>
      <c r="C1577">
        <v>160</v>
      </c>
      <c r="D1577" t="s">
        <v>264</v>
      </c>
      <c r="E1577" s="1">
        <v>43070</v>
      </c>
      <c r="F1577" t="s">
        <v>927</v>
      </c>
      <c r="G1577" t="s">
        <v>1653</v>
      </c>
      <c r="H1577">
        <v>-1.67E-2</v>
      </c>
      <c r="I1577" t="s">
        <v>190</v>
      </c>
      <c r="J1577">
        <v>0</v>
      </c>
      <c r="M1577" t="s">
        <v>170</v>
      </c>
      <c r="N1577" t="s">
        <v>1799</v>
      </c>
    </row>
    <row r="1578" spans="1:17" x14ac:dyDescent="0.25">
      <c r="A1578" t="s">
        <v>1145</v>
      </c>
      <c r="B1578" t="s">
        <v>1146</v>
      </c>
      <c r="C1578">
        <v>160</v>
      </c>
      <c r="D1578" t="s">
        <v>264</v>
      </c>
      <c r="E1578" s="1">
        <v>43070</v>
      </c>
      <c r="F1578" t="s">
        <v>927</v>
      </c>
      <c r="G1578" t="s">
        <v>1653</v>
      </c>
      <c r="H1578">
        <v>-1.67E-2</v>
      </c>
      <c r="I1578" t="s">
        <v>190</v>
      </c>
      <c r="J1578">
        <v>0</v>
      </c>
      <c r="K1578">
        <v>0</v>
      </c>
      <c r="M1578" t="s">
        <v>255</v>
      </c>
      <c r="N1578" t="s">
        <v>1799</v>
      </c>
      <c r="O1578">
        <v>0</v>
      </c>
      <c r="P1578">
        <v>0</v>
      </c>
      <c r="Q1578" t="s">
        <v>249</v>
      </c>
    </row>
    <row r="1579" spans="1:17" x14ac:dyDescent="0.25">
      <c r="A1579" t="s">
        <v>1145</v>
      </c>
      <c r="B1579" t="s">
        <v>1146</v>
      </c>
      <c r="C1579">
        <v>160</v>
      </c>
      <c r="D1579" t="s">
        <v>264</v>
      </c>
      <c r="E1579" s="1">
        <v>43074</v>
      </c>
      <c r="F1579" t="s">
        <v>927</v>
      </c>
      <c r="G1579" t="s">
        <v>1655</v>
      </c>
      <c r="H1579">
        <v>-6.6600000000000006E-2</v>
      </c>
      <c r="I1579" t="s">
        <v>190</v>
      </c>
      <c r="J1579">
        <v>0</v>
      </c>
      <c r="M1579" t="s">
        <v>170</v>
      </c>
      <c r="N1579" t="s">
        <v>1802</v>
      </c>
    </row>
    <row r="1580" spans="1:17" x14ac:dyDescent="0.25">
      <c r="A1580" t="s">
        <v>1145</v>
      </c>
      <c r="B1580" t="s">
        <v>1146</v>
      </c>
      <c r="C1580">
        <v>160</v>
      </c>
      <c r="D1580" t="s">
        <v>264</v>
      </c>
      <c r="E1580" s="1">
        <v>43074</v>
      </c>
      <c r="F1580" t="s">
        <v>927</v>
      </c>
      <c r="G1580" t="s">
        <v>1655</v>
      </c>
      <c r="H1580">
        <v>-6.6600000000000006E-2</v>
      </c>
      <c r="I1580" t="s">
        <v>190</v>
      </c>
      <c r="J1580">
        <v>0</v>
      </c>
      <c r="K1580">
        <v>0</v>
      </c>
      <c r="M1580" t="s">
        <v>255</v>
      </c>
      <c r="N1580" t="s">
        <v>1802</v>
      </c>
      <c r="O1580">
        <v>0</v>
      </c>
      <c r="P1580">
        <v>0</v>
      </c>
      <c r="Q1580" t="s">
        <v>249</v>
      </c>
    </row>
    <row r="1581" spans="1:17" x14ac:dyDescent="0.25">
      <c r="A1581" t="s">
        <v>1145</v>
      </c>
      <c r="B1581" t="s">
        <v>1146</v>
      </c>
      <c r="C1581">
        <v>160</v>
      </c>
      <c r="D1581" t="s">
        <v>264</v>
      </c>
      <c r="E1581" s="1">
        <v>43075</v>
      </c>
      <c r="F1581" t="s">
        <v>927</v>
      </c>
      <c r="G1581" t="s">
        <v>1671</v>
      </c>
      <c r="H1581">
        <v>-1.67E-2</v>
      </c>
      <c r="I1581" t="s">
        <v>190</v>
      </c>
      <c r="J1581">
        <v>0</v>
      </c>
      <c r="M1581" t="s">
        <v>170</v>
      </c>
      <c r="N1581" t="s">
        <v>1819</v>
      </c>
    </row>
    <row r="1582" spans="1:17" x14ac:dyDescent="0.25">
      <c r="A1582" t="s">
        <v>1145</v>
      </c>
      <c r="B1582" t="s">
        <v>1146</v>
      </c>
      <c r="C1582">
        <v>160</v>
      </c>
      <c r="D1582" t="s">
        <v>264</v>
      </c>
      <c r="E1582" s="1">
        <v>43075</v>
      </c>
      <c r="F1582" t="s">
        <v>927</v>
      </c>
      <c r="G1582" t="s">
        <v>1671</v>
      </c>
      <c r="H1582">
        <v>-1.67E-2</v>
      </c>
      <c r="I1582" t="s">
        <v>190</v>
      </c>
      <c r="J1582">
        <v>0</v>
      </c>
      <c r="K1582">
        <v>0</v>
      </c>
      <c r="M1582" t="s">
        <v>255</v>
      </c>
      <c r="N1582" t="s">
        <v>1819</v>
      </c>
      <c r="O1582">
        <v>0</v>
      </c>
      <c r="P1582">
        <v>0</v>
      </c>
      <c r="Q1582" t="s">
        <v>249</v>
      </c>
    </row>
    <row r="1583" spans="1:17" x14ac:dyDescent="0.25">
      <c r="A1583" t="s">
        <v>1145</v>
      </c>
      <c r="B1583" t="s">
        <v>1146</v>
      </c>
      <c r="C1583">
        <v>160</v>
      </c>
      <c r="D1583" t="s">
        <v>264</v>
      </c>
      <c r="E1583" s="1">
        <v>43075</v>
      </c>
      <c r="F1583" t="s">
        <v>927</v>
      </c>
      <c r="G1583" t="s">
        <v>1673</v>
      </c>
      <c r="H1583">
        <v>-1.67E-2</v>
      </c>
      <c r="I1583" t="s">
        <v>190</v>
      </c>
      <c r="J1583">
        <v>0</v>
      </c>
      <c r="M1583" t="s">
        <v>170</v>
      </c>
      <c r="N1583" t="s">
        <v>1822</v>
      </c>
    </row>
    <row r="1584" spans="1:17" x14ac:dyDescent="0.25">
      <c r="A1584" t="s">
        <v>1145</v>
      </c>
      <c r="B1584" t="s">
        <v>1146</v>
      </c>
      <c r="C1584">
        <v>160</v>
      </c>
      <c r="D1584" t="s">
        <v>264</v>
      </c>
      <c r="E1584" s="1">
        <v>43075</v>
      </c>
      <c r="F1584" t="s">
        <v>927</v>
      </c>
      <c r="G1584" t="s">
        <v>1673</v>
      </c>
      <c r="H1584">
        <v>-1.67E-2</v>
      </c>
      <c r="I1584" t="s">
        <v>190</v>
      </c>
      <c r="J1584">
        <v>0</v>
      </c>
      <c r="K1584">
        <v>0</v>
      </c>
      <c r="M1584" t="s">
        <v>255</v>
      </c>
      <c r="N1584" t="s">
        <v>1822</v>
      </c>
      <c r="O1584">
        <v>0</v>
      </c>
      <c r="P1584">
        <v>0</v>
      </c>
      <c r="Q1584" t="s">
        <v>249</v>
      </c>
    </row>
    <row r="1585" spans="1:17" x14ac:dyDescent="0.25">
      <c r="A1585" t="s">
        <v>1145</v>
      </c>
      <c r="B1585" t="s">
        <v>1146</v>
      </c>
      <c r="C1585">
        <v>160</v>
      </c>
      <c r="D1585" t="s">
        <v>264</v>
      </c>
      <c r="E1585" s="1">
        <v>43076</v>
      </c>
      <c r="F1585" t="s">
        <v>927</v>
      </c>
      <c r="G1585" t="s">
        <v>1675</v>
      </c>
      <c r="H1585">
        <v>-1.67E-2</v>
      </c>
      <c r="I1585" t="s">
        <v>190</v>
      </c>
      <c r="J1585">
        <v>0</v>
      </c>
      <c r="M1585" t="s">
        <v>170</v>
      </c>
      <c r="N1585" t="s">
        <v>1825</v>
      </c>
    </row>
    <row r="1586" spans="1:17" x14ac:dyDescent="0.25">
      <c r="A1586" t="s">
        <v>1145</v>
      </c>
      <c r="B1586" t="s">
        <v>1146</v>
      </c>
      <c r="C1586">
        <v>160</v>
      </c>
      <c r="D1586" t="s">
        <v>264</v>
      </c>
      <c r="E1586" s="1">
        <v>43076</v>
      </c>
      <c r="F1586" t="s">
        <v>927</v>
      </c>
      <c r="G1586" t="s">
        <v>1675</v>
      </c>
      <c r="H1586">
        <v>-1.67E-2</v>
      </c>
      <c r="I1586" t="s">
        <v>190</v>
      </c>
      <c r="J1586">
        <v>0</v>
      </c>
      <c r="K1586">
        <v>0</v>
      </c>
      <c r="M1586" t="s">
        <v>255</v>
      </c>
      <c r="N1586" t="s">
        <v>1825</v>
      </c>
      <c r="O1586">
        <v>0</v>
      </c>
      <c r="P1586">
        <v>0</v>
      </c>
      <c r="Q1586" t="s">
        <v>249</v>
      </c>
    </row>
    <row r="1587" spans="1:17" x14ac:dyDescent="0.25">
      <c r="A1587" t="s">
        <v>1145</v>
      </c>
      <c r="B1587" t="s">
        <v>1146</v>
      </c>
      <c r="C1587">
        <v>160</v>
      </c>
      <c r="D1587" t="s">
        <v>264</v>
      </c>
      <c r="E1587" s="1">
        <v>43080</v>
      </c>
      <c r="F1587" t="s">
        <v>927</v>
      </c>
      <c r="G1587" t="s">
        <v>1677</v>
      </c>
      <c r="H1587">
        <v>-3.3300000000000003E-2</v>
      </c>
      <c r="I1587" t="s">
        <v>190</v>
      </c>
      <c r="J1587">
        <v>0</v>
      </c>
      <c r="M1587" t="s">
        <v>170</v>
      </c>
      <c r="N1587" t="s">
        <v>1828</v>
      </c>
    </row>
    <row r="1588" spans="1:17" x14ac:dyDescent="0.25">
      <c r="A1588" t="s">
        <v>1145</v>
      </c>
      <c r="B1588" t="s">
        <v>1146</v>
      </c>
      <c r="C1588">
        <v>160</v>
      </c>
      <c r="D1588" t="s">
        <v>264</v>
      </c>
      <c r="E1588" s="1">
        <v>43080</v>
      </c>
      <c r="F1588" t="s">
        <v>927</v>
      </c>
      <c r="G1588" t="s">
        <v>1677</v>
      </c>
      <c r="H1588">
        <v>-3.3300000000000003E-2</v>
      </c>
      <c r="I1588" t="s">
        <v>190</v>
      </c>
      <c r="J1588">
        <v>0</v>
      </c>
      <c r="K1588">
        <v>0</v>
      </c>
      <c r="M1588" t="s">
        <v>255</v>
      </c>
      <c r="N1588" t="s">
        <v>1828</v>
      </c>
      <c r="O1588">
        <v>0</v>
      </c>
      <c r="P1588">
        <v>0</v>
      </c>
      <c r="Q1588" t="s">
        <v>249</v>
      </c>
    </row>
    <row r="1589" spans="1:17" x14ac:dyDescent="0.25">
      <c r="A1589" t="s">
        <v>1145</v>
      </c>
      <c r="B1589" t="s">
        <v>1146</v>
      </c>
      <c r="C1589">
        <v>160</v>
      </c>
      <c r="D1589" t="s">
        <v>264</v>
      </c>
      <c r="E1589" s="1">
        <v>43081</v>
      </c>
      <c r="F1589" t="s">
        <v>927</v>
      </c>
      <c r="G1589" t="s">
        <v>1681</v>
      </c>
      <c r="H1589">
        <v>-1.67E-2</v>
      </c>
      <c r="I1589" t="s">
        <v>190</v>
      </c>
      <c r="J1589">
        <v>0</v>
      </c>
      <c r="M1589" t="s">
        <v>170</v>
      </c>
      <c r="N1589" t="s">
        <v>1837</v>
      </c>
    </row>
    <row r="1590" spans="1:17" x14ac:dyDescent="0.25">
      <c r="A1590" t="s">
        <v>1145</v>
      </c>
      <c r="B1590" t="s">
        <v>1146</v>
      </c>
      <c r="C1590">
        <v>160</v>
      </c>
      <c r="D1590" t="s">
        <v>264</v>
      </c>
      <c r="E1590" s="1">
        <v>43081</v>
      </c>
      <c r="F1590" t="s">
        <v>927</v>
      </c>
      <c r="G1590" t="s">
        <v>1681</v>
      </c>
      <c r="H1590">
        <v>-1.67E-2</v>
      </c>
      <c r="I1590" t="s">
        <v>190</v>
      </c>
      <c r="J1590">
        <v>0</v>
      </c>
      <c r="K1590">
        <v>0</v>
      </c>
      <c r="M1590" t="s">
        <v>255</v>
      </c>
      <c r="N1590" t="s">
        <v>1837</v>
      </c>
      <c r="O1590">
        <v>0</v>
      </c>
      <c r="P1590">
        <v>0</v>
      </c>
      <c r="Q1590" t="s">
        <v>249</v>
      </c>
    </row>
    <row r="1591" spans="1:17" x14ac:dyDescent="0.25">
      <c r="A1591" t="s">
        <v>1145</v>
      </c>
      <c r="B1591" t="s">
        <v>1146</v>
      </c>
      <c r="C1591">
        <v>160</v>
      </c>
      <c r="D1591" t="s">
        <v>264</v>
      </c>
      <c r="E1591" s="1">
        <v>43082</v>
      </c>
      <c r="F1591" t="s">
        <v>927</v>
      </c>
      <c r="G1591" t="s">
        <v>1683</v>
      </c>
      <c r="H1591">
        <v>-1.67E-2</v>
      </c>
      <c r="I1591" t="s">
        <v>190</v>
      </c>
      <c r="J1591">
        <v>0</v>
      </c>
      <c r="M1591" t="s">
        <v>170</v>
      </c>
      <c r="N1591" t="s">
        <v>1840</v>
      </c>
    </row>
    <row r="1592" spans="1:17" x14ac:dyDescent="0.25">
      <c r="A1592" t="s">
        <v>1145</v>
      </c>
      <c r="B1592" t="s">
        <v>1146</v>
      </c>
      <c r="C1592">
        <v>160</v>
      </c>
      <c r="D1592" t="s">
        <v>264</v>
      </c>
      <c r="E1592" s="1">
        <v>43082</v>
      </c>
      <c r="F1592" t="s">
        <v>927</v>
      </c>
      <c r="G1592" t="s">
        <v>1683</v>
      </c>
      <c r="H1592">
        <v>-1.67E-2</v>
      </c>
      <c r="I1592" t="s">
        <v>190</v>
      </c>
      <c r="J1592">
        <v>0</v>
      </c>
      <c r="K1592">
        <v>0</v>
      </c>
      <c r="M1592" t="s">
        <v>255</v>
      </c>
      <c r="N1592" t="s">
        <v>1840</v>
      </c>
      <c r="O1592">
        <v>0</v>
      </c>
      <c r="P1592">
        <v>0</v>
      </c>
      <c r="Q1592" t="s">
        <v>249</v>
      </c>
    </row>
    <row r="1593" spans="1:17" x14ac:dyDescent="0.25">
      <c r="A1593" t="s">
        <v>1145</v>
      </c>
      <c r="B1593" t="s">
        <v>1146</v>
      </c>
      <c r="C1593">
        <v>160</v>
      </c>
      <c r="D1593" t="s">
        <v>264</v>
      </c>
      <c r="E1593" s="1">
        <v>43083</v>
      </c>
      <c r="F1593" t="s">
        <v>927</v>
      </c>
      <c r="G1593" t="s">
        <v>1685</v>
      </c>
      <c r="H1593">
        <v>-3.3300000000000003E-2</v>
      </c>
      <c r="I1593" t="s">
        <v>190</v>
      </c>
      <c r="J1593">
        <v>0</v>
      </c>
      <c r="M1593" t="s">
        <v>170</v>
      </c>
      <c r="N1593" t="s">
        <v>1843</v>
      </c>
    </row>
    <row r="1594" spans="1:17" x14ac:dyDescent="0.25">
      <c r="A1594" t="s">
        <v>1145</v>
      </c>
      <c r="B1594" t="s">
        <v>1146</v>
      </c>
      <c r="C1594">
        <v>160</v>
      </c>
      <c r="D1594" t="s">
        <v>264</v>
      </c>
      <c r="E1594" s="1">
        <v>43083</v>
      </c>
      <c r="F1594" t="s">
        <v>927</v>
      </c>
      <c r="G1594" t="s">
        <v>1685</v>
      </c>
      <c r="H1594">
        <v>-3.3300000000000003E-2</v>
      </c>
      <c r="I1594" t="s">
        <v>190</v>
      </c>
      <c r="J1594">
        <v>0</v>
      </c>
      <c r="K1594">
        <v>0</v>
      </c>
      <c r="M1594" t="s">
        <v>255</v>
      </c>
      <c r="N1594" t="s">
        <v>1843</v>
      </c>
      <c r="O1594">
        <v>0</v>
      </c>
      <c r="P1594">
        <v>0</v>
      </c>
      <c r="Q1594" t="s">
        <v>249</v>
      </c>
    </row>
    <row r="1595" spans="1:17" x14ac:dyDescent="0.25">
      <c r="A1595" t="s">
        <v>1145</v>
      </c>
      <c r="B1595" t="s">
        <v>1146</v>
      </c>
      <c r="C1595">
        <v>160</v>
      </c>
      <c r="D1595" t="s">
        <v>264</v>
      </c>
      <c r="E1595" s="1">
        <v>43084</v>
      </c>
      <c r="F1595" t="s">
        <v>927</v>
      </c>
      <c r="G1595" t="s">
        <v>1692</v>
      </c>
      <c r="H1595">
        <v>-1.67E-2</v>
      </c>
      <c r="I1595" t="s">
        <v>190</v>
      </c>
      <c r="J1595">
        <v>0</v>
      </c>
      <c r="M1595" t="s">
        <v>170</v>
      </c>
      <c r="N1595" t="s">
        <v>1853</v>
      </c>
    </row>
    <row r="1596" spans="1:17" x14ac:dyDescent="0.25">
      <c r="A1596" t="s">
        <v>1145</v>
      </c>
      <c r="B1596" t="s">
        <v>1146</v>
      </c>
      <c r="C1596">
        <v>160</v>
      </c>
      <c r="D1596" t="s">
        <v>264</v>
      </c>
      <c r="E1596" s="1">
        <v>43084</v>
      </c>
      <c r="F1596" t="s">
        <v>927</v>
      </c>
      <c r="G1596" t="s">
        <v>1692</v>
      </c>
      <c r="H1596">
        <v>-1.67E-2</v>
      </c>
      <c r="I1596" t="s">
        <v>190</v>
      </c>
      <c r="J1596">
        <v>0</v>
      </c>
      <c r="K1596">
        <v>0</v>
      </c>
      <c r="M1596" t="s">
        <v>255</v>
      </c>
      <c r="N1596" t="s">
        <v>1853</v>
      </c>
      <c r="O1596">
        <v>0</v>
      </c>
      <c r="P1596">
        <v>0</v>
      </c>
      <c r="Q1596" t="s">
        <v>249</v>
      </c>
    </row>
    <row r="1597" spans="1:17" x14ac:dyDescent="0.25">
      <c r="A1597" t="s">
        <v>1145</v>
      </c>
      <c r="B1597" t="s">
        <v>1146</v>
      </c>
      <c r="C1597">
        <v>160</v>
      </c>
      <c r="D1597" t="s">
        <v>264</v>
      </c>
      <c r="E1597" s="1">
        <v>43088</v>
      </c>
      <c r="F1597" t="s">
        <v>927</v>
      </c>
      <c r="G1597" t="s">
        <v>1694</v>
      </c>
      <c r="H1597">
        <v>-1.67E-2</v>
      </c>
      <c r="I1597" t="s">
        <v>190</v>
      </c>
      <c r="J1597">
        <v>0</v>
      </c>
      <c r="M1597" t="s">
        <v>170</v>
      </c>
      <c r="N1597" t="s">
        <v>1856</v>
      </c>
    </row>
    <row r="1598" spans="1:17" x14ac:dyDescent="0.25">
      <c r="A1598" t="s">
        <v>1145</v>
      </c>
      <c r="B1598" t="s">
        <v>1146</v>
      </c>
      <c r="C1598">
        <v>160</v>
      </c>
      <c r="D1598" t="s">
        <v>264</v>
      </c>
      <c r="E1598" s="1">
        <v>43088</v>
      </c>
      <c r="F1598" t="s">
        <v>927</v>
      </c>
      <c r="G1598" t="s">
        <v>1694</v>
      </c>
      <c r="H1598">
        <v>-1.67E-2</v>
      </c>
      <c r="I1598" t="s">
        <v>190</v>
      </c>
      <c r="J1598">
        <v>0</v>
      </c>
      <c r="K1598">
        <v>0</v>
      </c>
      <c r="M1598" t="s">
        <v>255</v>
      </c>
      <c r="N1598" t="s">
        <v>1856</v>
      </c>
      <c r="O1598">
        <v>0</v>
      </c>
      <c r="P1598">
        <v>0</v>
      </c>
      <c r="Q1598" t="s">
        <v>249</v>
      </c>
    </row>
    <row r="1599" spans="1:17" x14ac:dyDescent="0.25">
      <c r="A1599" t="s">
        <v>1145</v>
      </c>
      <c r="B1599" t="s">
        <v>1146</v>
      </c>
      <c r="C1599">
        <v>160</v>
      </c>
      <c r="D1599" t="s">
        <v>264</v>
      </c>
      <c r="E1599" s="1">
        <v>43091</v>
      </c>
      <c r="F1599" t="s">
        <v>927</v>
      </c>
      <c r="G1599" t="s">
        <v>1697</v>
      </c>
      <c r="H1599">
        <v>-1.67E-2</v>
      </c>
      <c r="I1599" t="s">
        <v>190</v>
      </c>
      <c r="J1599">
        <v>0</v>
      </c>
      <c r="M1599" t="s">
        <v>170</v>
      </c>
      <c r="N1599" t="s">
        <v>1860</v>
      </c>
    </row>
    <row r="1600" spans="1:17" x14ac:dyDescent="0.25">
      <c r="A1600" t="s">
        <v>1145</v>
      </c>
      <c r="B1600" t="s">
        <v>1146</v>
      </c>
      <c r="C1600">
        <v>160</v>
      </c>
      <c r="D1600" t="s">
        <v>264</v>
      </c>
      <c r="E1600" s="1">
        <v>43091</v>
      </c>
      <c r="F1600" t="s">
        <v>927</v>
      </c>
      <c r="G1600" t="s">
        <v>1697</v>
      </c>
      <c r="H1600">
        <v>-1.67E-2</v>
      </c>
      <c r="I1600" t="s">
        <v>190</v>
      </c>
      <c r="J1600">
        <v>0</v>
      </c>
      <c r="K1600">
        <v>0</v>
      </c>
      <c r="M1600" t="s">
        <v>255</v>
      </c>
      <c r="N1600" t="s">
        <v>1860</v>
      </c>
      <c r="O1600">
        <v>0</v>
      </c>
      <c r="P1600">
        <v>0</v>
      </c>
      <c r="Q1600" t="s">
        <v>249</v>
      </c>
    </row>
    <row r="1601" spans="1:17" x14ac:dyDescent="0.25">
      <c r="A1601" t="s">
        <v>1442</v>
      </c>
      <c r="B1601" t="s">
        <v>1443</v>
      </c>
      <c r="C1601">
        <v>160</v>
      </c>
      <c r="D1601" t="s">
        <v>264</v>
      </c>
      <c r="E1601" s="1">
        <v>43084</v>
      </c>
      <c r="F1601" t="s">
        <v>927</v>
      </c>
      <c r="G1601" t="s">
        <v>1687</v>
      </c>
      <c r="H1601">
        <v>-718</v>
      </c>
      <c r="I1601" t="s">
        <v>37</v>
      </c>
      <c r="J1601">
        <v>0</v>
      </c>
      <c r="M1601" t="s">
        <v>170</v>
      </c>
      <c r="N1601" t="s">
        <v>1848</v>
      </c>
    </row>
    <row r="1602" spans="1:17" x14ac:dyDescent="0.25">
      <c r="A1602" t="s">
        <v>1442</v>
      </c>
      <c r="B1602" t="s">
        <v>1443</v>
      </c>
      <c r="C1602">
        <v>160</v>
      </c>
      <c r="D1602" t="s">
        <v>264</v>
      </c>
      <c r="E1602" s="1">
        <v>43084</v>
      </c>
      <c r="F1602" t="s">
        <v>927</v>
      </c>
      <c r="G1602" t="s">
        <v>1687</v>
      </c>
      <c r="H1602">
        <v>-718</v>
      </c>
      <c r="I1602" t="s">
        <v>37</v>
      </c>
      <c r="J1602">
        <v>0</v>
      </c>
      <c r="K1602">
        <v>0</v>
      </c>
      <c r="M1602" t="s">
        <v>255</v>
      </c>
      <c r="N1602" t="s">
        <v>1848</v>
      </c>
      <c r="O1602">
        <v>0</v>
      </c>
      <c r="P1602">
        <v>0</v>
      </c>
      <c r="Q1602" t="s">
        <v>249</v>
      </c>
    </row>
    <row r="1603" spans="1:17" x14ac:dyDescent="0.25">
      <c r="A1603" t="s">
        <v>1442</v>
      </c>
      <c r="B1603" t="s">
        <v>1443</v>
      </c>
      <c r="C1603">
        <v>160</v>
      </c>
      <c r="D1603" t="s">
        <v>264</v>
      </c>
      <c r="E1603" s="1">
        <v>43084</v>
      </c>
      <c r="F1603" t="s">
        <v>927</v>
      </c>
      <c r="G1603" t="s">
        <v>1689</v>
      </c>
      <c r="H1603">
        <v>-553</v>
      </c>
      <c r="I1603" t="s">
        <v>37</v>
      </c>
      <c r="J1603">
        <v>0</v>
      </c>
      <c r="M1603" t="s">
        <v>170</v>
      </c>
      <c r="N1603" t="s">
        <v>1851</v>
      </c>
    </row>
    <row r="1604" spans="1:17" x14ac:dyDescent="0.25">
      <c r="A1604" t="s">
        <v>1442</v>
      </c>
      <c r="B1604" t="s">
        <v>1443</v>
      </c>
      <c r="C1604">
        <v>160</v>
      </c>
      <c r="D1604" t="s">
        <v>264</v>
      </c>
      <c r="E1604" s="1">
        <v>43084</v>
      </c>
      <c r="F1604" t="s">
        <v>927</v>
      </c>
      <c r="G1604" t="s">
        <v>1689</v>
      </c>
      <c r="H1604">
        <v>-553</v>
      </c>
      <c r="I1604" t="s">
        <v>37</v>
      </c>
      <c r="J1604">
        <v>0</v>
      </c>
      <c r="K1604">
        <v>0</v>
      </c>
      <c r="M1604" t="s">
        <v>255</v>
      </c>
      <c r="N1604" t="s">
        <v>1851</v>
      </c>
      <c r="O1604">
        <v>0</v>
      </c>
      <c r="P1604">
        <v>0</v>
      </c>
      <c r="Q1604" t="s">
        <v>249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02"/>
  <sheetViews>
    <sheetView workbookViewId="0">
      <selection activeCell="I1" sqref="I1:I1048576"/>
    </sheetView>
  </sheetViews>
  <sheetFormatPr defaultRowHeight="15" x14ac:dyDescent="0.25"/>
  <cols>
    <col min="2" max="2" width="14.7109375" customWidth="1"/>
    <col min="3" max="3" width="12.7109375" customWidth="1"/>
    <col min="4" max="4" width="13.42578125" customWidth="1"/>
    <col min="5" max="5" width="17.28515625" customWidth="1"/>
    <col min="6" max="6" width="12.28515625" customWidth="1"/>
    <col min="7" max="7" width="10.85546875" customWidth="1"/>
    <col min="8" max="8" width="15.5703125" customWidth="1"/>
    <col min="9" max="9" width="18.28515625" customWidth="1"/>
  </cols>
  <sheetData>
    <row r="1" spans="1:9" x14ac:dyDescent="0.25">
      <c r="A1" t="s">
        <v>47</v>
      </c>
      <c r="B1" t="s">
        <v>6</v>
      </c>
      <c r="C1" t="s">
        <v>30</v>
      </c>
      <c r="D1" t="s">
        <v>50</v>
      </c>
      <c r="E1" t="s">
        <v>250</v>
      </c>
      <c r="F1" t="s">
        <v>8</v>
      </c>
      <c r="G1" t="s">
        <v>12</v>
      </c>
      <c r="H1" t="s">
        <v>2364</v>
      </c>
      <c r="I1" t="s">
        <v>2365</v>
      </c>
    </row>
    <row r="2" spans="1:9" x14ac:dyDescent="0.25">
      <c r="A2" s="1">
        <v>43100</v>
      </c>
      <c r="B2" t="s">
        <v>260</v>
      </c>
      <c r="C2" t="s">
        <v>970</v>
      </c>
      <c r="D2" t="s">
        <v>263</v>
      </c>
      <c r="E2" t="s">
        <v>2366</v>
      </c>
      <c r="F2" t="s">
        <v>2367</v>
      </c>
      <c r="G2">
        <v>-28</v>
      </c>
      <c r="H2">
        <v>0</v>
      </c>
      <c r="I2">
        <v>0</v>
      </c>
    </row>
    <row r="3" spans="1:9" x14ac:dyDescent="0.25">
      <c r="A3" s="1">
        <v>43100</v>
      </c>
      <c r="B3" t="s">
        <v>260</v>
      </c>
      <c r="C3" t="s">
        <v>970</v>
      </c>
      <c r="D3" t="s">
        <v>264</v>
      </c>
      <c r="E3" t="s">
        <v>21</v>
      </c>
      <c r="F3" t="s">
        <v>1993</v>
      </c>
      <c r="G3">
        <v>-1</v>
      </c>
      <c r="H3">
        <v>0</v>
      </c>
      <c r="I3">
        <v>0</v>
      </c>
    </row>
    <row r="4" spans="1:9" x14ac:dyDescent="0.25">
      <c r="A4" s="1">
        <v>43100</v>
      </c>
      <c r="B4" t="s">
        <v>267</v>
      </c>
      <c r="C4" t="s">
        <v>974</v>
      </c>
      <c r="D4" t="s">
        <v>264</v>
      </c>
      <c r="E4" t="s">
        <v>21</v>
      </c>
      <c r="F4" t="s">
        <v>2087</v>
      </c>
      <c r="G4">
        <v>15</v>
      </c>
      <c r="H4">
        <v>0</v>
      </c>
      <c r="I4">
        <v>0</v>
      </c>
    </row>
    <row r="5" spans="1:9" x14ac:dyDescent="0.25">
      <c r="A5" s="1">
        <v>43100</v>
      </c>
      <c r="B5" t="s">
        <v>268</v>
      </c>
      <c r="C5" t="s">
        <v>975</v>
      </c>
      <c r="D5" t="s">
        <v>264</v>
      </c>
      <c r="E5" t="s">
        <v>21</v>
      </c>
      <c r="F5" t="s">
        <v>2018</v>
      </c>
      <c r="G5">
        <v>-1</v>
      </c>
      <c r="H5">
        <v>0</v>
      </c>
      <c r="I5">
        <v>0</v>
      </c>
    </row>
    <row r="6" spans="1:9" x14ac:dyDescent="0.25">
      <c r="A6" s="1">
        <v>43100</v>
      </c>
      <c r="B6" t="s">
        <v>270</v>
      </c>
      <c r="C6" t="s">
        <v>978</v>
      </c>
      <c r="D6" t="s">
        <v>264</v>
      </c>
      <c r="E6" t="s">
        <v>21</v>
      </c>
      <c r="F6" t="s">
        <v>1993</v>
      </c>
      <c r="G6">
        <v>-53</v>
      </c>
      <c r="H6">
        <v>0</v>
      </c>
      <c r="I6">
        <v>0</v>
      </c>
    </row>
    <row r="7" spans="1:9" x14ac:dyDescent="0.25">
      <c r="A7" s="1">
        <v>43100</v>
      </c>
      <c r="B7" t="s">
        <v>272</v>
      </c>
      <c r="C7" t="s">
        <v>980</v>
      </c>
      <c r="D7" t="s">
        <v>264</v>
      </c>
      <c r="E7" t="s">
        <v>21</v>
      </c>
      <c r="F7" t="s">
        <v>1993</v>
      </c>
      <c r="G7">
        <v>-87</v>
      </c>
      <c r="H7">
        <v>0</v>
      </c>
      <c r="I7">
        <v>0</v>
      </c>
    </row>
    <row r="8" spans="1:9" x14ac:dyDescent="0.25">
      <c r="A8" s="1">
        <v>43100</v>
      </c>
      <c r="B8" t="s">
        <v>273</v>
      </c>
      <c r="C8" t="s">
        <v>981</v>
      </c>
      <c r="D8" t="s">
        <v>264</v>
      </c>
      <c r="E8" t="s">
        <v>21</v>
      </c>
      <c r="F8" t="s">
        <v>1993</v>
      </c>
      <c r="G8">
        <v>-44.2</v>
      </c>
      <c r="H8">
        <v>0</v>
      </c>
      <c r="I8">
        <v>0</v>
      </c>
    </row>
    <row r="9" spans="1:9" x14ac:dyDescent="0.25">
      <c r="A9" s="1">
        <v>43100</v>
      </c>
      <c r="B9" t="s">
        <v>274</v>
      </c>
      <c r="C9" t="s">
        <v>982</v>
      </c>
      <c r="D9" t="s">
        <v>264</v>
      </c>
      <c r="E9" t="s">
        <v>2368</v>
      </c>
      <c r="F9" t="s">
        <v>2369</v>
      </c>
      <c r="G9">
        <v>477.5</v>
      </c>
      <c r="H9">
        <v>0</v>
      </c>
      <c r="I9">
        <v>0</v>
      </c>
    </row>
    <row r="10" spans="1:9" x14ac:dyDescent="0.25">
      <c r="A10" s="1">
        <v>43100</v>
      </c>
      <c r="B10" t="s">
        <v>275</v>
      </c>
      <c r="C10" t="s">
        <v>983</v>
      </c>
      <c r="D10" t="s">
        <v>264</v>
      </c>
      <c r="E10" t="s">
        <v>21</v>
      </c>
      <c r="F10" t="s">
        <v>1993</v>
      </c>
      <c r="G10">
        <v>-71</v>
      </c>
      <c r="H10">
        <v>0</v>
      </c>
      <c r="I10">
        <v>0</v>
      </c>
    </row>
    <row r="11" spans="1:9" x14ac:dyDescent="0.25">
      <c r="A11" s="1">
        <v>43100</v>
      </c>
      <c r="B11" t="s">
        <v>276</v>
      </c>
      <c r="C11" t="s">
        <v>984</v>
      </c>
      <c r="D11" t="s">
        <v>264</v>
      </c>
      <c r="E11" t="s">
        <v>21</v>
      </c>
      <c r="F11" t="s">
        <v>1993</v>
      </c>
      <c r="G11">
        <v>-20.8</v>
      </c>
      <c r="H11">
        <v>0</v>
      </c>
      <c r="I11">
        <v>0</v>
      </c>
    </row>
    <row r="12" spans="1:9" x14ac:dyDescent="0.25">
      <c r="A12" s="1">
        <v>43100</v>
      </c>
      <c r="B12" t="s">
        <v>277</v>
      </c>
      <c r="C12" t="s">
        <v>985</v>
      </c>
      <c r="D12" t="s">
        <v>264</v>
      </c>
      <c r="E12" t="s">
        <v>21</v>
      </c>
      <c r="F12" t="s">
        <v>1993</v>
      </c>
      <c r="G12">
        <v>-43.2</v>
      </c>
      <c r="H12">
        <v>0</v>
      </c>
      <c r="I12">
        <v>0</v>
      </c>
    </row>
    <row r="13" spans="1:9" x14ac:dyDescent="0.25">
      <c r="A13" s="1">
        <v>43100</v>
      </c>
      <c r="B13" t="s">
        <v>52</v>
      </c>
      <c r="C13" t="s">
        <v>96</v>
      </c>
      <c r="D13" t="s">
        <v>264</v>
      </c>
      <c r="E13" t="s">
        <v>21</v>
      </c>
      <c r="F13" t="s">
        <v>2370</v>
      </c>
      <c r="G13">
        <v>-1210.6500000000001</v>
      </c>
      <c r="H13">
        <v>0</v>
      </c>
      <c r="I13">
        <v>0</v>
      </c>
    </row>
    <row r="14" spans="1:9" ht="75" x14ac:dyDescent="0.25">
      <c r="A14" s="1">
        <v>43100</v>
      </c>
      <c r="B14" t="s">
        <v>136</v>
      </c>
      <c r="C14" s="15" t="s">
        <v>161</v>
      </c>
      <c r="D14" t="s">
        <v>264</v>
      </c>
      <c r="E14" t="s">
        <v>21</v>
      </c>
      <c r="F14" t="s">
        <v>2087</v>
      </c>
      <c r="G14">
        <v>-14.6</v>
      </c>
      <c r="H14">
        <v>0</v>
      </c>
      <c r="I14">
        <v>0</v>
      </c>
    </row>
    <row r="15" spans="1:9" x14ac:dyDescent="0.25">
      <c r="A15" s="1">
        <v>43100</v>
      </c>
      <c r="B15" t="s">
        <v>278</v>
      </c>
      <c r="C15" t="s">
        <v>986</v>
      </c>
      <c r="D15" t="s">
        <v>264</v>
      </c>
      <c r="E15" t="s">
        <v>21</v>
      </c>
      <c r="F15" t="s">
        <v>1967</v>
      </c>
      <c r="G15">
        <v>11.81</v>
      </c>
      <c r="H15">
        <v>0</v>
      </c>
      <c r="I15">
        <v>0</v>
      </c>
    </row>
    <row r="16" spans="1:9" x14ac:dyDescent="0.25">
      <c r="A16" s="1">
        <v>43100</v>
      </c>
      <c r="B16" t="s">
        <v>283</v>
      </c>
      <c r="C16" t="s">
        <v>991</v>
      </c>
      <c r="D16" t="s">
        <v>264</v>
      </c>
      <c r="E16" t="s">
        <v>21</v>
      </c>
      <c r="F16" t="s">
        <v>2087</v>
      </c>
      <c r="G16">
        <v>-32</v>
      </c>
      <c r="H16">
        <v>0</v>
      </c>
      <c r="I16">
        <v>0</v>
      </c>
    </row>
    <row r="17" spans="1:9" x14ac:dyDescent="0.25">
      <c r="A17" s="1">
        <v>43100</v>
      </c>
      <c r="B17" t="s">
        <v>284</v>
      </c>
      <c r="C17" t="s">
        <v>992</v>
      </c>
      <c r="D17" t="s">
        <v>264</v>
      </c>
      <c r="E17" t="s">
        <v>21</v>
      </c>
      <c r="F17" t="s">
        <v>2087</v>
      </c>
      <c r="G17">
        <v>-15.6</v>
      </c>
      <c r="H17">
        <v>0</v>
      </c>
      <c r="I17">
        <v>0</v>
      </c>
    </row>
    <row r="18" spans="1:9" x14ac:dyDescent="0.25">
      <c r="A18" s="1">
        <v>43100</v>
      </c>
      <c r="B18" t="s">
        <v>137</v>
      </c>
      <c r="C18" t="s">
        <v>182</v>
      </c>
      <c r="D18" t="s">
        <v>264</v>
      </c>
      <c r="E18" t="s">
        <v>21</v>
      </c>
      <c r="F18" t="s">
        <v>2087</v>
      </c>
      <c r="G18">
        <v>29.05</v>
      </c>
      <c r="H18">
        <v>0</v>
      </c>
      <c r="I18">
        <v>0</v>
      </c>
    </row>
    <row r="19" spans="1:9" x14ac:dyDescent="0.25">
      <c r="A19" s="1">
        <v>43100</v>
      </c>
      <c r="B19" t="s">
        <v>285</v>
      </c>
      <c r="C19" t="s">
        <v>993</v>
      </c>
      <c r="D19" t="s">
        <v>264</v>
      </c>
      <c r="E19" t="s">
        <v>21</v>
      </c>
      <c r="F19" t="s">
        <v>2087</v>
      </c>
      <c r="G19">
        <v>97.5</v>
      </c>
      <c r="H19">
        <v>0</v>
      </c>
      <c r="I19">
        <v>0</v>
      </c>
    </row>
    <row r="20" spans="1:9" x14ac:dyDescent="0.25">
      <c r="A20" s="1">
        <v>43100</v>
      </c>
      <c r="B20" t="s">
        <v>287</v>
      </c>
      <c r="C20" t="s">
        <v>996</v>
      </c>
      <c r="D20" t="s">
        <v>264</v>
      </c>
      <c r="E20" t="s">
        <v>21</v>
      </c>
      <c r="F20" t="s">
        <v>1911</v>
      </c>
      <c r="G20">
        <v>2</v>
      </c>
      <c r="H20">
        <v>0</v>
      </c>
      <c r="I20">
        <v>0</v>
      </c>
    </row>
    <row r="21" spans="1:9" x14ac:dyDescent="0.25">
      <c r="A21" s="1">
        <v>43100</v>
      </c>
      <c r="B21" t="s">
        <v>53</v>
      </c>
      <c r="C21" t="s">
        <v>997</v>
      </c>
      <c r="D21" t="s">
        <v>290</v>
      </c>
      <c r="E21" t="s">
        <v>21</v>
      </c>
      <c r="F21" t="s">
        <v>1879</v>
      </c>
      <c r="G21">
        <v>1</v>
      </c>
      <c r="H21">
        <v>0</v>
      </c>
      <c r="I21">
        <v>0</v>
      </c>
    </row>
    <row r="22" spans="1:9" x14ac:dyDescent="0.25">
      <c r="A22" s="1">
        <v>43100</v>
      </c>
      <c r="B22" t="s">
        <v>53</v>
      </c>
      <c r="C22" t="s">
        <v>997</v>
      </c>
      <c r="D22" t="s">
        <v>264</v>
      </c>
      <c r="E22" t="s">
        <v>21</v>
      </c>
      <c r="F22" t="s">
        <v>1967</v>
      </c>
      <c r="G22">
        <v>14</v>
      </c>
      <c r="H22">
        <v>0</v>
      </c>
      <c r="I22">
        <v>0</v>
      </c>
    </row>
    <row r="23" spans="1:9" x14ac:dyDescent="0.25">
      <c r="A23" s="1">
        <v>43100</v>
      </c>
      <c r="B23" t="s">
        <v>138</v>
      </c>
      <c r="C23" t="s">
        <v>184</v>
      </c>
      <c r="D23" t="s">
        <v>264</v>
      </c>
      <c r="E23" t="s">
        <v>21</v>
      </c>
      <c r="F23" t="s">
        <v>2087</v>
      </c>
      <c r="G23">
        <v>-750</v>
      </c>
      <c r="H23">
        <v>0</v>
      </c>
      <c r="I23">
        <v>0</v>
      </c>
    </row>
    <row r="24" spans="1:9" x14ac:dyDescent="0.25">
      <c r="A24" s="1">
        <v>43100</v>
      </c>
      <c r="B24" t="s">
        <v>139</v>
      </c>
      <c r="C24" t="s">
        <v>1005</v>
      </c>
      <c r="D24" t="s">
        <v>264</v>
      </c>
      <c r="E24" t="s">
        <v>21</v>
      </c>
      <c r="F24" t="s">
        <v>2087</v>
      </c>
      <c r="G24">
        <v>35</v>
      </c>
      <c r="H24">
        <v>0</v>
      </c>
      <c r="I24">
        <v>0</v>
      </c>
    </row>
    <row r="25" spans="1:9" x14ac:dyDescent="0.25">
      <c r="A25" s="1">
        <v>43100</v>
      </c>
      <c r="B25" t="s">
        <v>185</v>
      </c>
      <c r="C25" t="s">
        <v>1006</v>
      </c>
      <c r="D25" t="s">
        <v>264</v>
      </c>
      <c r="E25" t="s">
        <v>21</v>
      </c>
      <c r="F25" t="s">
        <v>2087</v>
      </c>
      <c r="G25">
        <v>36</v>
      </c>
      <c r="H25">
        <v>0</v>
      </c>
      <c r="I25">
        <v>0</v>
      </c>
    </row>
    <row r="26" spans="1:9" ht="90" x14ac:dyDescent="0.25">
      <c r="A26" s="1">
        <v>43100</v>
      </c>
      <c r="B26" t="s">
        <v>297</v>
      </c>
      <c r="C26" s="15" t="s">
        <v>1016</v>
      </c>
      <c r="D26" t="s">
        <v>264</v>
      </c>
      <c r="E26" t="s">
        <v>21</v>
      </c>
      <c r="F26" t="s">
        <v>2087</v>
      </c>
      <c r="G26">
        <v>-60.45</v>
      </c>
      <c r="H26">
        <v>0</v>
      </c>
      <c r="I26">
        <v>0</v>
      </c>
    </row>
    <row r="27" spans="1:9" x14ac:dyDescent="0.25">
      <c r="A27" s="1">
        <v>43100</v>
      </c>
      <c r="B27" t="s">
        <v>298</v>
      </c>
      <c r="C27" t="s">
        <v>1018</v>
      </c>
      <c r="D27" t="s">
        <v>264</v>
      </c>
      <c r="E27" t="s">
        <v>21</v>
      </c>
      <c r="F27" t="s">
        <v>1993</v>
      </c>
      <c r="G27">
        <v>39.9</v>
      </c>
      <c r="H27">
        <v>0</v>
      </c>
      <c r="I27">
        <v>0</v>
      </c>
    </row>
    <row r="28" spans="1:9" x14ac:dyDescent="0.25">
      <c r="A28" s="1">
        <v>43100</v>
      </c>
      <c r="B28" t="s">
        <v>299</v>
      </c>
      <c r="C28" t="s">
        <v>1019</v>
      </c>
      <c r="D28" t="s">
        <v>264</v>
      </c>
      <c r="E28" t="s">
        <v>21</v>
      </c>
      <c r="F28" t="s">
        <v>1967</v>
      </c>
      <c r="G28">
        <v>-1</v>
      </c>
      <c r="H28">
        <v>0</v>
      </c>
      <c r="I28">
        <v>0</v>
      </c>
    </row>
    <row r="29" spans="1:9" x14ac:dyDescent="0.25">
      <c r="A29" s="1">
        <v>43100</v>
      </c>
      <c r="B29" t="s">
        <v>301</v>
      </c>
      <c r="C29" t="s">
        <v>1021</v>
      </c>
      <c r="D29" t="s">
        <v>264</v>
      </c>
      <c r="E29" t="s">
        <v>21</v>
      </c>
      <c r="F29" t="s">
        <v>1967</v>
      </c>
      <c r="G29">
        <v>-1</v>
      </c>
      <c r="H29">
        <v>0</v>
      </c>
      <c r="I29">
        <v>0</v>
      </c>
    </row>
    <row r="30" spans="1:9" x14ac:dyDescent="0.25">
      <c r="A30" s="1">
        <v>43100</v>
      </c>
      <c r="B30" t="s">
        <v>307</v>
      </c>
      <c r="C30" t="s">
        <v>1025</v>
      </c>
      <c r="D30" t="s">
        <v>264</v>
      </c>
      <c r="E30" t="s">
        <v>2366</v>
      </c>
      <c r="F30" t="s">
        <v>2371</v>
      </c>
      <c r="G30">
        <v>-115</v>
      </c>
      <c r="H30">
        <v>0</v>
      </c>
      <c r="I30">
        <v>0</v>
      </c>
    </row>
    <row r="31" spans="1:9" x14ac:dyDescent="0.25">
      <c r="A31" s="1">
        <v>43100</v>
      </c>
      <c r="B31" t="s">
        <v>140</v>
      </c>
      <c r="C31" t="s">
        <v>1026</v>
      </c>
      <c r="D31" t="s">
        <v>264</v>
      </c>
      <c r="E31" t="s">
        <v>21</v>
      </c>
      <c r="F31" t="s">
        <v>1967</v>
      </c>
      <c r="G31">
        <v>24</v>
      </c>
      <c r="H31">
        <v>0</v>
      </c>
      <c r="I31">
        <v>0</v>
      </c>
    </row>
    <row r="32" spans="1:9" x14ac:dyDescent="0.25">
      <c r="A32" s="1">
        <v>43100</v>
      </c>
      <c r="B32" t="s">
        <v>119</v>
      </c>
      <c r="C32" t="s">
        <v>1027</v>
      </c>
      <c r="D32" t="s">
        <v>264</v>
      </c>
      <c r="E32" t="s">
        <v>2372</v>
      </c>
      <c r="F32" t="s">
        <v>2373</v>
      </c>
      <c r="G32">
        <v>-113</v>
      </c>
      <c r="H32">
        <v>0</v>
      </c>
      <c r="I32">
        <v>0</v>
      </c>
    </row>
    <row r="33" spans="1:9" x14ac:dyDescent="0.25">
      <c r="A33" s="1">
        <v>43100</v>
      </c>
      <c r="B33" t="s">
        <v>54</v>
      </c>
      <c r="C33" t="s">
        <v>159</v>
      </c>
      <c r="D33" t="s">
        <v>264</v>
      </c>
      <c r="E33" t="s">
        <v>21</v>
      </c>
      <c r="F33" t="s">
        <v>1914</v>
      </c>
      <c r="G33">
        <v>-0.30000000000000004</v>
      </c>
      <c r="H33">
        <v>0</v>
      </c>
      <c r="I33">
        <v>0</v>
      </c>
    </row>
    <row r="34" spans="1:9" x14ac:dyDescent="0.25">
      <c r="A34" s="1">
        <v>43100</v>
      </c>
      <c r="B34" t="s">
        <v>315</v>
      </c>
      <c r="C34" t="s">
        <v>31</v>
      </c>
      <c r="D34" t="s">
        <v>264</v>
      </c>
      <c r="E34" t="s">
        <v>21</v>
      </c>
      <c r="F34" t="s">
        <v>1914</v>
      </c>
      <c r="G34">
        <v>9</v>
      </c>
      <c r="H34">
        <v>0</v>
      </c>
      <c r="I34">
        <v>0</v>
      </c>
    </row>
    <row r="35" spans="1:9" x14ac:dyDescent="0.25">
      <c r="A35" s="1">
        <v>43100</v>
      </c>
      <c r="B35" t="s">
        <v>25</v>
      </c>
      <c r="C35" t="s">
        <v>31</v>
      </c>
      <c r="D35" t="s">
        <v>264</v>
      </c>
      <c r="E35" t="s">
        <v>2374</v>
      </c>
      <c r="F35" t="s">
        <v>2375</v>
      </c>
      <c r="G35">
        <v>-600</v>
      </c>
      <c r="H35">
        <v>1.2347759710626822</v>
      </c>
      <c r="I35">
        <v>-740.86558263760935</v>
      </c>
    </row>
    <row r="36" spans="1:9" x14ac:dyDescent="0.25">
      <c r="A36" s="1">
        <v>43100</v>
      </c>
      <c r="B36" t="s">
        <v>317</v>
      </c>
      <c r="C36" t="s">
        <v>125</v>
      </c>
      <c r="D36" t="s">
        <v>264</v>
      </c>
      <c r="E36" t="s">
        <v>21</v>
      </c>
      <c r="F36" t="s">
        <v>1914</v>
      </c>
      <c r="G36">
        <v>22.400000000000002</v>
      </c>
      <c r="H36">
        <v>0</v>
      </c>
      <c r="I36">
        <v>0</v>
      </c>
    </row>
    <row r="37" spans="1:9" x14ac:dyDescent="0.25">
      <c r="A37" s="1">
        <v>43100</v>
      </c>
      <c r="B37" t="s">
        <v>26</v>
      </c>
      <c r="C37" t="s">
        <v>195</v>
      </c>
      <c r="D37" t="s">
        <v>264</v>
      </c>
      <c r="E37" t="s">
        <v>2376</v>
      </c>
      <c r="F37" t="s">
        <v>2073</v>
      </c>
      <c r="G37">
        <v>-14.999999999999998</v>
      </c>
      <c r="H37">
        <v>13.75298116904281</v>
      </c>
      <c r="I37">
        <v>-206.29471753564212</v>
      </c>
    </row>
    <row r="38" spans="1:9" x14ac:dyDescent="0.25">
      <c r="A38" s="1">
        <v>43100</v>
      </c>
      <c r="B38" t="s">
        <v>321</v>
      </c>
      <c r="C38" t="s">
        <v>1041</v>
      </c>
      <c r="D38" t="s">
        <v>264</v>
      </c>
      <c r="E38" t="s">
        <v>252</v>
      </c>
      <c r="F38" t="s">
        <v>847</v>
      </c>
      <c r="G38">
        <v>-1</v>
      </c>
      <c r="H38">
        <v>0</v>
      </c>
      <c r="I38">
        <v>0</v>
      </c>
    </row>
    <row r="39" spans="1:9" x14ac:dyDescent="0.25">
      <c r="A39" s="1">
        <v>43100</v>
      </c>
      <c r="B39" t="s">
        <v>326</v>
      </c>
      <c r="C39" t="s">
        <v>1053</v>
      </c>
      <c r="D39" t="s">
        <v>264</v>
      </c>
      <c r="E39" t="s">
        <v>21</v>
      </c>
      <c r="F39" t="s">
        <v>1958</v>
      </c>
      <c r="G39">
        <v>-170</v>
      </c>
      <c r="H39">
        <v>0</v>
      </c>
      <c r="I39">
        <v>0</v>
      </c>
    </row>
    <row r="40" spans="1:9" x14ac:dyDescent="0.25">
      <c r="A40" s="1">
        <v>43100</v>
      </c>
      <c r="B40" t="s">
        <v>347</v>
      </c>
      <c r="C40" t="s">
        <v>1082</v>
      </c>
      <c r="D40" t="s">
        <v>264</v>
      </c>
      <c r="E40" t="s">
        <v>21</v>
      </c>
      <c r="F40" t="s">
        <v>1889</v>
      </c>
      <c r="G40">
        <v>-41</v>
      </c>
      <c r="H40">
        <v>0</v>
      </c>
      <c r="I40">
        <v>0</v>
      </c>
    </row>
    <row r="41" spans="1:9" x14ac:dyDescent="0.25">
      <c r="A41" s="1">
        <v>43100</v>
      </c>
      <c r="B41" t="s">
        <v>348</v>
      </c>
      <c r="C41" t="s">
        <v>1083</v>
      </c>
      <c r="D41" t="s">
        <v>264</v>
      </c>
      <c r="E41" t="s">
        <v>2377</v>
      </c>
      <c r="F41" t="s">
        <v>2378</v>
      </c>
      <c r="G41">
        <v>-101</v>
      </c>
      <c r="H41">
        <v>0</v>
      </c>
      <c r="I41">
        <v>0</v>
      </c>
    </row>
    <row r="42" spans="1:9" x14ac:dyDescent="0.25">
      <c r="A42" s="1">
        <v>43100</v>
      </c>
      <c r="B42" t="s">
        <v>349</v>
      </c>
      <c r="C42" t="s">
        <v>1084</v>
      </c>
      <c r="D42" t="s">
        <v>264</v>
      </c>
      <c r="E42" t="s">
        <v>21</v>
      </c>
      <c r="F42" t="s">
        <v>1889</v>
      </c>
      <c r="G42">
        <v>-1</v>
      </c>
      <c r="H42">
        <v>0</v>
      </c>
      <c r="I42">
        <v>0</v>
      </c>
    </row>
    <row r="43" spans="1:9" x14ac:dyDescent="0.25">
      <c r="A43" s="1">
        <v>43100</v>
      </c>
      <c r="B43" t="s">
        <v>350</v>
      </c>
      <c r="C43" t="s">
        <v>1085</v>
      </c>
      <c r="D43" t="s">
        <v>264</v>
      </c>
      <c r="E43" t="s">
        <v>21</v>
      </c>
      <c r="F43" t="s">
        <v>1889</v>
      </c>
      <c r="G43">
        <v>-2</v>
      </c>
      <c r="H43">
        <v>0</v>
      </c>
      <c r="I43">
        <v>0</v>
      </c>
    </row>
    <row r="44" spans="1:9" x14ac:dyDescent="0.25">
      <c r="A44" s="1">
        <v>43100</v>
      </c>
      <c r="B44" t="s">
        <v>351</v>
      </c>
      <c r="C44" t="s">
        <v>1086</v>
      </c>
      <c r="D44" t="s">
        <v>264</v>
      </c>
      <c r="E44" t="s">
        <v>21</v>
      </c>
      <c r="F44" t="s">
        <v>1889</v>
      </c>
      <c r="G44">
        <v>32</v>
      </c>
      <c r="H44">
        <v>0</v>
      </c>
      <c r="I44">
        <v>0</v>
      </c>
    </row>
    <row r="45" spans="1:9" x14ac:dyDescent="0.25">
      <c r="A45" s="1">
        <v>43100</v>
      </c>
      <c r="B45" t="s">
        <v>353</v>
      </c>
      <c r="C45" t="s">
        <v>1088</v>
      </c>
      <c r="D45" t="s">
        <v>264</v>
      </c>
      <c r="E45" t="s">
        <v>21</v>
      </c>
      <c r="F45" t="s">
        <v>1889</v>
      </c>
      <c r="G45">
        <v>-12</v>
      </c>
      <c r="H45">
        <v>0</v>
      </c>
      <c r="I45">
        <v>0</v>
      </c>
    </row>
    <row r="46" spans="1:9" x14ac:dyDescent="0.25">
      <c r="A46" s="1">
        <v>43100</v>
      </c>
      <c r="B46" t="s">
        <v>354</v>
      </c>
      <c r="C46" t="s">
        <v>1089</v>
      </c>
      <c r="D46" t="s">
        <v>264</v>
      </c>
      <c r="E46" t="s">
        <v>21</v>
      </c>
      <c r="F46" t="s">
        <v>1889</v>
      </c>
      <c r="G46">
        <v>1</v>
      </c>
      <c r="H46">
        <v>0</v>
      </c>
      <c r="I46">
        <v>0</v>
      </c>
    </row>
    <row r="47" spans="1:9" x14ac:dyDescent="0.25">
      <c r="A47" s="1">
        <v>43100</v>
      </c>
      <c r="B47" t="s">
        <v>355</v>
      </c>
      <c r="C47" t="s">
        <v>1090</v>
      </c>
      <c r="D47" t="s">
        <v>264</v>
      </c>
      <c r="E47" t="s">
        <v>21</v>
      </c>
      <c r="F47" t="s">
        <v>1889</v>
      </c>
      <c r="G47">
        <v>-43</v>
      </c>
      <c r="H47">
        <v>0</v>
      </c>
      <c r="I47">
        <v>0</v>
      </c>
    </row>
    <row r="48" spans="1:9" x14ac:dyDescent="0.25">
      <c r="A48" s="1">
        <v>43100</v>
      </c>
      <c r="B48" t="s">
        <v>358</v>
      </c>
      <c r="C48" t="s">
        <v>1093</v>
      </c>
      <c r="D48" t="s">
        <v>264</v>
      </c>
      <c r="E48" t="s">
        <v>21</v>
      </c>
      <c r="F48" t="s">
        <v>1993</v>
      </c>
      <c r="G48">
        <v>688.43000000000006</v>
      </c>
      <c r="H48">
        <v>0</v>
      </c>
      <c r="I48">
        <v>0</v>
      </c>
    </row>
    <row r="49" spans="1:9" x14ac:dyDescent="0.25">
      <c r="A49" s="1">
        <v>43100</v>
      </c>
      <c r="B49" t="s">
        <v>359</v>
      </c>
      <c r="C49" t="s">
        <v>1094</v>
      </c>
      <c r="D49" t="s">
        <v>264</v>
      </c>
      <c r="E49" t="s">
        <v>21</v>
      </c>
      <c r="F49" t="s">
        <v>1967</v>
      </c>
      <c r="G49">
        <v>2</v>
      </c>
      <c r="H49">
        <v>0</v>
      </c>
      <c r="I49">
        <v>0</v>
      </c>
    </row>
    <row r="50" spans="1:9" x14ac:dyDescent="0.25">
      <c r="A50" s="1">
        <v>43100</v>
      </c>
      <c r="B50" t="s">
        <v>362</v>
      </c>
      <c r="C50" t="s">
        <v>1097</v>
      </c>
      <c r="D50" t="s">
        <v>264</v>
      </c>
      <c r="E50" t="s">
        <v>21</v>
      </c>
      <c r="F50" t="s">
        <v>1967</v>
      </c>
      <c r="G50">
        <v>3</v>
      </c>
      <c r="H50">
        <v>0</v>
      </c>
      <c r="I50">
        <v>0</v>
      </c>
    </row>
    <row r="51" spans="1:9" x14ac:dyDescent="0.25">
      <c r="A51" s="1">
        <v>43100</v>
      </c>
      <c r="B51" t="s">
        <v>366</v>
      </c>
      <c r="C51" t="s">
        <v>1103</v>
      </c>
      <c r="D51" t="s">
        <v>264</v>
      </c>
      <c r="E51" t="s">
        <v>21</v>
      </c>
      <c r="F51" t="s">
        <v>1889</v>
      </c>
      <c r="G51">
        <v>51</v>
      </c>
      <c r="H51">
        <v>0</v>
      </c>
      <c r="I51">
        <v>0</v>
      </c>
    </row>
    <row r="52" spans="1:9" x14ac:dyDescent="0.25">
      <c r="A52" s="1">
        <v>43100</v>
      </c>
      <c r="B52" t="s">
        <v>368</v>
      </c>
      <c r="C52" t="s">
        <v>1105</v>
      </c>
      <c r="D52" t="s">
        <v>264</v>
      </c>
      <c r="E52" t="s">
        <v>21</v>
      </c>
      <c r="F52" t="s">
        <v>1889</v>
      </c>
      <c r="G52">
        <v>-0.85</v>
      </c>
      <c r="H52">
        <v>0</v>
      </c>
      <c r="I52">
        <v>0</v>
      </c>
    </row>
    <row r="53" spans="1:9" x14ac:dyDescent="0.25">
      <c r="A53" s="1">
        <v>43100</v>
      </c>
      <c r="B53" t="s">
        <v>369</v>
      </c>
      <c r="C53" t="s">
        <v>1106</v>
      </c>
      <c r="D53" t="s">
        <v>264</v>
      </c>
      <c r="E53" t="s">
        <v>21</v>
      </c>
      <c r="F53" t="s">
        <v>1889</v>
      </c>
      <c r="G53">
        <v>-130</v>
      </c>
      <c r="H53">
        <v>0</v>
      </c>
      <c r="I53">
        <v>0</v>
      </c>
    </row>
    <row r="54" spans="1:9" x14ac:dyDescent="0.25">
      <c r="A54" s="1">
        <v>43100</v>
      </c>
      <c r="B54" t="s">
        <v>370</v>
      </c>
      <c r="C54" t="s">
        <v>1107</v>
      </c>
      <c r="D54" t="s">
        <v>264</v>
      </c>
      <c r="E54" t="s">
        <v>21</v>
      </c>
      <c r="F54" t="s">
        <v>1889</v>
      </c>
      <c r="G54">
        <v>-20</v>
      </c>
      <c r="H54">
        <v>0</v>
      </c>
      <c r="I54">
        <v>0</v>
      </c>
    </row>
    <row r="55" spans="1:9" x14ac:dyDescent="0.25">
      <c r="A55" s="1">
        <v>43100</v>
      </c>
      <c r="B55" t="s">
        <v>371</v>
      </c>
      <c r="C55" t="s">
        <v>1108</v>
      </c>
      <c r="D55" t="s">
        <v>264</v>
      </c>
      <c r="E55" t="s">
        <v>21</v>
      </c>
      <c r="F55" t="s">
        <v>1889</v>
      </c>
      <c r="G55">
        <v>-7</v>
      </c>
      <c r="H55">
        <v>0</v>
      </c>
      <c r="I55">
        <v>0</v>
      </c>
    </row>
    <row r="56" spans="1:9" x14ac:dyDescent="0.25">
      <c r="A56" s="1">
        <v>43100</v>
      </c>
      <c r="B56" t="s">
        <v>372</v>
      </c>
      <c r="C56" t="s">
        <v>1109</v>
      </c>
      <c r="D56" t="s">
        <v>264</v>
      </c>
      <c r="E56" t="s">
        <v>21</v>
      </c>
      <c r="F56" t="s">
        <v>1889</v>
      </c>
      <c r="G56">
        <v>-85</v>
      </c>
      <c r="H56">
        <v>0</v>
      </c>
      <c r="I56">
        <v>0</v>
      </c>
    </row>
    <row r="57" spans="1:9" x14ac:dyDescent="0.25">
      <c r="A57" s="1">
        <v>43100</v>
      </c>
      <c r="B57" t="s">
        <v>373</v>
      </c>
      <c r="C57" t="s">
        <v>1110</v>
      </c>
      <c r="D57" t="s">
        <v>264</v>
      </c>
      <c r="E57" t="s">
        <v>21</v>
      </c>
      <c r="F57" t="s">
        <v>1889</v>
      </c>
      <c r="G57">
        <v>-3</v>
      </c>
      <c r="H57">
        <v>0</v>
      </c>
      <c r="I57">
        <v>0</v>
      </c>
    </row>
    <row r="58" spans="1:9" x14ac:dyDescent="0.25">
      <c r="A58" s="1">
        <v>43100</v>
      </c>
      <c r="B58" t="s">
        <v>374</v>
      </c>
      <c r="C58" t="s">
        <v>1111</v>
      </c>
      <c r="D58" t="s">
        <v>264</v>
      </c>
      <c r="E58" t="s">
        <v>21</v>
      </c>
      <c r="F58" t="s">
        <v>1889</v>
      </c>
      <c r="G58">
        <v>-36</v>
      </c>
      <c r="H58">
        <v>0</v>
      </c>
      <c r="I58">
        <v>0</v>
      </c>
    </row>
    <row r="59" spans="1:9" x14ac:dyDescent="0.25">
      <c r="A59" s="1">
        <v>43100</v>
      </c>
      <c r="B59" t="s">
        <v>376</v>
      </c>
      <c r="C59" t="s">
        <v>1113</v>
      </c>
      <c r="D59" t="s">
        <v>264</v>
      </c>
      <c r="E59" t="s">
        <v>21</v>
      </c>
      <c r="F59" t="s">
        <v>1889</v>
      </c>
      <c r="G59">
        <v>212</v>
      </c>
      <c r="H59">
        <v>0</v>
      </c>
      <c r="I59">
        <v>0</v>
      </c>
    </row>
    <row r="60" spans="1:9" x14ac:dyDescent="0.25">
      <c r="A60" s="1">
        <v>43100</v>
      </c>
      <c r="B60" t="s">
        <v>378</v>
      </c>
      <c r="C60" t="s">
        <v>32</v>
      </c>
      <c r="D60" t="s">
        <v>290</v>
      </c>
      <c r="E60" t="s">
        <v>21</v>
      </c>
      <c r="F60" t="s">
        <v>1879</v>
      </c>
      <c r="G60">
        <v>12.5</v>
      </c>
      <c r="H60">
        <v>0</v>
      </c>
      <c r="I60">
        <v>0</v>
      </c>
    </row>
    <row r="61" spans="1:9" x14ac:dyDescent="0.25">
      <c r="A61" s="1">
        <v>43100</v>
      </c>
      <c r="B61" t="s">
        <v>382</v>
      </c>
      <c r="C61" t="s">
        <v>32</v>
      </c>
      <c r="D61" t="s">
        <v>290</v>
      </c>
      <c r="E61" t="s">
        <v>21</v>
      </c>
      <c r="F61" t="s">
        <v>1879</v>
      </c>
      <c r="G61">
        <v>-435</v>
      </c>
      <c r="H61">
        <v>0</v>
      </c>
      <c r="I61">
        <v>0</v>
      </c>
    </row>
    <row r="62" spans="1:9" x14ac:dyDescent="0.25">
      <c r="A62" s="1">
        <v>43100</v>
      </c>
      <c r="B62" t="s">
        <v>386</v>
      </c>
      <c r="C62" t="s">
        <v>1115</v>
      </c>
      <c r="D62" t="s">
        <v>264</v>
      </c>
      <c r="E62" t="s">
        <v>21</v>
      </c>
      <c r="F62" t="s">
        <v>2119</v>
      </c>
      <c r="G62">
        <v>-2</v>
      </c>
      <c r="H62">
        <v>0</v>
      </c>
      <c r="I62">
        <v>0</v>
      </c>
    </row>
    <row r="63" spans="1:9" x14ac:dyDescent="0.25">
      <c r="A63" s="1">
        <v>43100</v>
      </c>
      <c r="B63" t="s">
        <v>391</v>
      </c>
      <c r="C63" t="s">
        <v>1120</v>
      </c>
      <c r="D63" t="s">
        <v>264</v>
      </c>
      <c r="E63" t="s">
        <v>21</v>
      </c>
      <c r="F63" t="s">
        <v>2119</v>
      </c>
      <c r="G63">
        <v>-3217.5</v>
      </c>
      <c r="H63">
        <v>0</v>
      </c>
      <c r="I63">
        <v>0</v>
      </c>
    </row>
    <row r="64" spans="1:9" x14ac:dyDescent="0.25">
      <c r="A64" s="1">
        <v>43100</v>
      </c>
      <c r="B64" t="s">
        <v>145</v>
      </c>
      <c r="C64" t="s">
        <v>199</v>
      </c>
      <c r="D64" t="s">
        <v>264</v>
      </c>
      <c r="E64" t="s">
        <v>21</v>
      </c>
      <c r="F64" t="s">
        <v>1911</v>
      </c>
      <c r="G64">
        <v>-204.84</v>
      </c>
      <c r="H64">
        <v>0</v>
      </c>
      <c r="I64">
        <v>0</v>
      </c>
    </row>
    <row r="65" spans="1:9" x14ac:dyDescent="0.25">
      <c r="A65" s="1">
        <v>43100</v>
      </c>
      <c r="B65" t="s">
        <v>74</v>
      </c>
      <c r="C65" t="s">
        <v>200</v>
      </c>
      <c r="D65" t="s">
        <v>262</v>
      </c>
      <c r="E65" t="s">
        <v>2379</v>
      </c>
      <c r="F65" t="s">
        <v>2380</v>
      </c>
      <c r="G65">
        <v>19650</v>
      </c>
      <c r="H65">
        <v>-0.13067166319685383</v>
      </c>
      <c r="I65">
        <v>-2567.698181818178</v>
      </c>
    </row>
    <row r="66" spans="1:9" x14ac:dyDescent="0.25">
      <c r="A66" s="1">
        <v>43100</v>
      </c>
      <c r="B66" t="s">
        <v>101</v>
      </c>
      <c r="C66" t="s">
        <v>102</v>
      </c>
      <c r="D66" t="s">
        <v>264</v>
      </c>
      <c r="E66" t="s">
        <v>2376</v>
      </c>
      <c r="F66" t="s">
        <v>2177</v>
      </c>
      <c r="G66">
        <v>8.8817841970012523E-16</v>
      </c>
      <c r="H66">
        <v>-1.503998875764063E+16</v>
      </c>
      <c r="I66">
        <v>-13.358193447068905</v>
      </c>
    </row>
    <row r="67" spans="1:9" x14ac:dyDescent="0.25">
      <c r="A67" s="1">
        <v>43100</v>
      </c>
      <c r="B67" t="s">
        <v>55</v>
      </c>
      <c r="C67" t="s">
        <v>164</v>
      </c>
      <c r="D67" t="s">
        <v>264</v>
      </c>
      <c r="E67" t="s">
        <v>2376</v>
      </c>
      <c r="F67" t="s">
        <v>2182</v>
      </c>
      <c r="G67">
        <v>-1.1368683772161603E-13</v>
      </c>
      <c r="H67">
        <v>1055385168723236.5</v>
      </c>
      <c r="I67">
        <v>-119.98340241043894</v>
      </c>
    </row>
    <row r="68" spans="1:9" x14ac:dyDescent="0.25">
      <c r="A68" s="1">
        <v>43100</v>
      </c>
      <c r="B68" t="s">
        <v>399</v>
      </c>
      <c r="C68" t="s">
        <v>1129</v>
      </c>
      <c r="D68" t="s">
        <v>264</v>
      </c>
      <c r="E68" t="s">
        <v>21</v>
      </c>
      <c r="F68" t="s">
        <v>2189</v>
      </c>
      <c r="G68">
        <v>-3.22</v>
      </c>
      <c r="H68">
        <v>0</v>
      </c>
      <c r="I68">
        <v>0</v>
      </c>
    </row>
    <row r="69" spans="1:9" x14ac:dyDescent="0.25">
      <c r="A69" s="1">
        <v>43100</v>
      </c>
      <c r="B69" t="s">
        <v>111</v>
      </c>
      <c r="C69" t="s">
        <v>112</v>
      </c>
      <c r="D69" t="s">
        <v>264</v>
      </c>
      <c r="E69" t="s">
        <v>2376</v>
      </c>
      <c r="F69" t="s">
        <v>2381</v>
      </c>
      <c r="G69">
        <v>1.7763568394002505E-15</v>
      </c>
      <c r="H69">
        <v>2962372451616319</v>
      </c>
      <c r="I69">
        <v>5.2622305652795358</v>
      </c>
    </row>
    <row r="70" spans="1:9" x14ac:dyDescent="0.25">
      <c r="A70" s="1">
        <v>43100</v>
      </c>
      <c r="B70" t="s">
        <v>56</v>
      </c>
      <c r="C70" t="s">
        <v>126</v>
      </c>
      <c r="D70" t="s">
        <v>264</v>
      </c>
      <c r="E70" t="s">
        <v>2376</v>
      </c>
      <c r="F70" t="s">
        <v>2131</v>
      </c>
      <c r="G70">
        <v>1.4210854715202004E-14</v>
      </c>
      <c r="H70">
        <v>-1686632128633585.5</v>
      </c>
      <c r="I70">
        <v>-23.968484138003781</v>
      </c>
    </row>
    <row r="71" spans="1:9" x14ac:dyDescent="0.25">
      <c r="A71" s="1">
        <v>43100</v>
      </c>
      <c r="B71" t="s">
        <v>57</v>
      </c>
      <c r="C71" t="s">
        <v>113</v>
      </c>
      <c r="D71" t="s">
        <v>264</v>
      </c>
      <c r="E71" t="s">
        <v>2376</v>
      </c>
      <c r="F71" t="s">
        <v>2246</v>
      </c>
      <c r="G71">
        <v>0</v>
      </c>
      <c r="H71">
        <v>0</v>
      </c>
      <c r="I71">
        <v>-14.57920628297539</v>
      </c>
    </row>
    <row r="72" spans="1:9" x14ac:dyDescent="0.25">
      <c r="A72" s="1">
        <v>43100</v>
      </c>
      <c r="B72" t="s">
        <v>97</v>
      </c>
      <c r="C72" t="s">
        <v>98</v>
      </c>
      <c r="D72" t="s">
        <v>264</v>
      </c>
      <c r="E72" t="s">
        <v>2376</v>
      </c>
      <c r="F72" t="s">
        <v>2240</v>
      </c>
      <c r="G72">
        <v>0</v>
      </c>
      <c r="H72">
        <v>0</v>
      </c>
      <c r="I72">
        <v>-33.673886181982695</v>
      </c>
    </row>
    <row r="73" spans="1:9" x14ac:dyDescent="0.25">
      <c r="A73" s="1">
        <v>43100</v>
      </c>
      <c r="B73" t="s">
        <v>121</v>
      </c>
      <c r="C73" t="s">
        <v>122</v>
      </c>
      <c r="D73" t="s">
        <v>264</v>
      </c>
      <c r="E73" t="s">
        <v>2376</v>
      </c>
      <c r="F73" t="s">
        <v>2191</v>
      </c>
      <c r="G73">
        <v>0</v>
      </c>
      <c r="H73">
        <v>0</v>
      </c>
      <c r="I73">
        <v>-98.515967107249423</v>
      </c>
    </row>
    <row r="74" spans="1:9" x14ac:dyDescent="0.25">
      <c r="A74" s="1">
        <v>43100</v>
      </c>
      <c r="B74" t="s">
        <v>106</v>
      </c>
      <c r="C74" t="s">
        <v>107</v>
      </c>
      <c r="D74" t="s">
        <v>264</v>
      </c>
      <c r="E74" t="s">
        <v>2376</v>
      </c>
      <c r="F74" t="s">
        <v>2207</v>
      </c>
      <c r="G74">
        <v>-1.5899999999999999</v>
      </c>
      <c r="H74">
        <v>12.638088924414181</v>
      </c>
      <c r="I74">
        <v>-20.094561389818544</v>
      </c>
    </row>
    <row r="75" spans="1:9" ht="75" x14ac:dyDescent="0.25">
      <c r="A75" s="1">
        <v>43100</v>
      </c>
      <c r="B75" t="s">
        <v>400</v>
      </c>
      <c r="C75" s="15" t="s">
        <v>1130</v>
      </c>
      <c r="D75" t="s">
        <v>264</v>
      </c>
      <c r="E75" t="s">
        <v>21</v>
      </c>
      <c r="F75" t="s">
        <v>2295</v>
      </c>
      <c r="G75">
        <v>-2.7700000000000005</v>
      </c>
      <c r="H75">
        <v>0</v>
      </c>
      <c r="I75">
        <v>0</v>
      </c>
    </row>
    <row r="76" spans="1:9" ht="75" x14ac:dyDescent="0.25">
      <c r="A76" s="1">
        <v>43100</v>
      </c>
      <c r="B76" t="s">
        <v>402</v>
      </c>
      <c r="C76" s="15" t="s">
        <v>818</v>
      </c>
      <c r="D76" t="s">
        <v>264</v>
      </c>
      <c r="E76" t="s">
        <v>2376</v>
      </c>
      <c r="F76" t="s">
        <v>2298</v>
      </c>
      <c r="G76">
        <v>-5.5511151231257827E-16</v>
      </c>
      <c r="H76">
        <v>4.8401159884172512E+16</v>
      </c>
      <c r="I76">
        <v>-26.868041060985899</v>
      </c>
    </row>
    <row r="77" spans="1:9" x14ac:dyDescent="0.25">
      <c r="A77" s="1">
        <v>43100</v>
      </c>
      <c r="B77" t="s">
        <v>59</v>
      </c>
      <c r="C77" t="s">
        <v>93</v>
      </c>
      <c r="D77" t="s">
        <v>264</v>
      </c>
      <c r="E77" t="s">
        <v>2376</v>
      </c>
      <c r="F77" t="s">
        <v>2382</v>
      </c>
      <c r="G77">
        <v>12.14</v>
      </c>
      <c r="H77">
        <v>-10.697485342452783</v>
      </c>
      <c r="I77">
        <v>-129.8674720573768</v>
      </c>
    </row>
    <row r="78" spans="1:9" x14ac:dyDescent="0.25">
      <c r="A78" s="1">
        <v>43100</v>
      </c>
      <c r="B78" t="s">
        <v>123</v>
      </c>
      <c r="C78" t="s">
        <v>124</v>
      </c>
      <c r="D78" t="s">
        <v>264</v>
      </c>
      <c r="E78" t="s">
        <v>2376</v>
      </c>
      <c r="F78" t="s">
        <v>2195</v>
      </c>
      <c r="G78">
        <v>4.4408920985006262E-16</v>
      </c>
      <c r="H78">
        <v>-1.673335301731573E+16</v>
      </c>
      <c r="I78">
        <v>-7.4311015196019037</v>
      </c>
    </row>
    <row r="79" spans="1:9" x14ac:dyDescent="0.25">
      <c r="A79" s="1">
        <v>43100</v>
      </c>
      <c r="B79" t="s">
        <v>76</v>
      </c>
      <c r="C79" t="s">
        <v>110</v>
      </c>
      <c r="D79" t="s">
        <v>264</v>
      </c>
      <c r="E79" t="s">
        <v>21</v>
      </c>
      <c r="F79" t="s">
        <v>2277</v>
      </c>
      <c r="G79">
        <v>-9.5499999999999989</v>
      </c>
      <c r="H79">
        <v>5.8535363630099059E-6</v>
      </c>
      <c r="I79">
        <v>-5.5901272266744597E-5</v>
      </c>
    </row>
    <row r="80" spans="1:9" x14ac:dyDescent="0.25">
      <c r="A80" s="1">
        <v>43100</v>
      </c>
      <c r="B80" t="s">
        <v>60</v>
      </c>
      <c r="C80" t="s">
        <v>202</v>
      </c>
      <c r="D80" t="s">
        <v>264</v>
      </c>
      <c r="E80" t="s">
        <v>21</v>
      </c>
      <c r="F80" t="s">
        <v>2129</v>
      </c>
      <c r="G80">
        <v>7</v>
      </c>
      <c r="H80">
        <v>0</v>
      </c>
      <c r="I80">
        <v>0</v>
      </c>
    </row>
    <row r="81" spans="1:9" x14ac:dyDescent="0.25">
      <c r="A81" s="1">
        <v>43100</v>
      </c>
      <c r="B81" t="s">
        <v>24</v>
      </c>
      <c r="C81" t="s">
        <v>34</v>
      </c>
      <c r="D81" t="s">
        <v>264</v>
      </c>
      <c r="E81" t="s">
        <v>2376</v>
      </c>
      <c r="F81" t="s">
        <v>2112</v>
      </c>
      <c r="G81">
        <v>-8.8817841970012523E-16</v>
      </c>
      <c r="H81">
        <v>2.1778524912503824E+16</v>
      </c>
      <c r="I81">
        <v>-19.343215840187455</v>
      </c>
    </row>
    <row r="82" spans="1:9" x14ac:dyDescent="0.25">
      <c r="A82" s="1">
        <v>43100</v>
      </c>
      <c r="B82" t="s">
        <v>77</v>
      </c>
      <c r="C82" t="s">
        <v>204</v>
      </c>
      <c r="D82" t="s">
        <v>264</v>
      </c>
      <c r="E82" t="s">
        <v>2376</v>
      </c>
      <c r="F82" t="s">
        <v>2109</v>
      </c>
      <c r="G82">
        <v>-178.93</v>
      </c>
      <c r="H82">
        <v>3.4522209607676571</v>
      </c>
      <c r="I82">
        <v>-617.70589651015689</v>
      </c>
    </row>
    <row r="83" spans="1:9" x14ac:dyDescent="0.25">
      <c r="A83" s="1">
        <v>43100</v>
      </c>
      <c r="B83" t="s">
        <v>63</v>
      </c>
      <c r="C83" t="s">
        <v>95</v>
      </c>
      <c r="D83" t="s">
        <v>264</v>
      </c>
      <c r="E83" t="s">
        <v>2376</v>
      </c>
      <c r="F83" t="s">
        <v>2383</v>
      </c>
      <c r="G83">
        <v>-4.4408920985006262E-16</v>
      </c>
      <c r="H83">
        <v>6.0604122889284056E+16</v>
      </c>
      <c r="I83">
        <v>-26.91363704755825</v>
      </c>
    </row>
    <row r="84" spans="1:9" x14ac:dyDescent="0.25">
      <c r="A84" s="1">
        <v>43100</v>
      </c>
      <c r="B84" t="s">
        <v>404</v>
      </c>
      <c r="C84" t="s">
        <v>1137</v>
      </c>
      <c r="D84" t="s">
        <v>264</v>
      </c>
      <c r="E84" t="s">
        <v>21</v>
      </c>
      <c r="F84" t="s">
        <v>2146</v>
      </c>
      <c r="G84">
        <v>-126</v>
      </c>
      <c r="H84">
        <v>0</v>
      </c>
      <c r="I84">
        <v>0</v>
      </c>
    </row>
    <row r="85" spans="1:9" x14ac:dyDescent="0.25">
      <c r="A85" s="1">
        <v>43100</v>
      </c>
      <c r="B85" t="s">
        <v>405</v>
      </c>
      <c r="C85" t="s">
        <v>1138</v>
      </c>
      <c r="D85" t="s">
        <v>264</v>
      </c>
      <c r="E85" t="s">
        <v>21</v>
      </c>
      <c r="F85" t="s">
        <v>2146</v>
      </c>
      <c r="G85">
        <v>-156</v>
      </c>
      <c r="H85">
        <v>0</v>
      </c>
      <c r="I85">
        <v>0</v>
      </c>
    </row>
    <row r="86" spans="1:9" x14ac:dyDescent="0.25">
      <c r="A86" s="1">
        <v>43100</v>
      </c>
      <c r="B86" t="s">
        <v>103</v>
      </c>
      <c r="C86" t="s">
        <v>104</v>
      </c>
      <c r="D86" t="s">
        <v>264</v>
      </c>
      <c r="E86" t="s">
        <v>2384</v>
      </c>
      <c r="F86" t="s">
        <v>2385</v>
      </c>
      <c r="G86">
        <v>-21</v>
      </c>
      <c r="H86">
        <v>0</v>
      </c>
      <c r="I86">
        <v>0</v>
      </c>
    </row>
    <row r="87" spans="1:9" x14ac:dyDescent="0.25">
      <c r="A87" s="1">
        <v>43100</v>
      </c>
      <c r="B87" t="s">
        <v>129</v>
      </c>
      <c r="C87" t="s">
        <v>130</v>
      </c>
      <c r="D87" t="s">
        <v>264</v>
      </c>
      <c r="E87" t="s">
        <v>2386</v>
      </c>
      <c r="F87" t="s">
        <v>2387</v>
      </c>
      <c r="G87">
        <v>-1</v>
      </c>
      <c r="H87">
        <v>0</v>
      </c>
      <c r="I87">
        <v>0</v>
      </c>
    </row>
    <row r="88" spans="1:9" x14ac:dyDescent="0.25">
      <c r="A88" s="1">
        <v>43100</v>
      </c>
      <c r="B88" t="s">
        <v>131</v>
      </c>
      <c r="C88" t="s">
        <v>132</v>
      </c>
      <c r="D88" t="s">
        <v>264</v>
      </c>
      <c r="E88" t="s">
        <v>2366</v>
      </c>
      <c r="F88" t="s">
        <v>2388</v>
      </c>
      <c r="G88">
        <v>-21</v>
      </c>
      <c r="H88">
        <v>0</v>
      </c>
      <c r="I88">
        <v>0</v>
      </c>
    </row>
    <row r="89" spans="1:9" x14ac:dyDescent="0.25">
      <c r="A89" s="1">
        <v>43100</v>
      </c>
      <c r="B89" t="s">
        <v>134</v>
      </c>
      <c r="C89" t="s">
        <v>135</v>
      </c>
      <c r="D89" t="s">
        <v>264</v>
      </c>
      <c r="E89" t="s">
        <v>2366</v>
      </c>
      <c r="F89" t="s">
        <v>2389</v>
      </c>
      <c r="G89">
        <v>-1</v>
      </c>
      <c r="H89">
        <v>0</v>
      </c>
      <c r="I89">
        <v>0</v>
      </c>
    </row>
    <row r="90" spans="1:9" x14ac:dyDescent="0.25">
      <c r="A90" s="1">
        <v>43100</v>
      </c>
      <c r="B90" t="s">
        <v>409</v>
      </c>
      <c r="C90" t="s">
        <v>1147</v>
      </c>
      <c r="D90" t="s">
        <v>264</v>
      </c>
      <c r="E90" t="s">
        <v>21</v>
      </c>
      <c r="F90" t="s">
        <v>1993</v>
      </c>
      <c r="G90">
        <v>-1</v>
      </c>
      <c r="H90">
        <v>0</v>
      </c>
      <c r="I90">
        <v>0</v>
      </c>
    </row>
    <row r="91" spans="1:9" x14ac:dyDescent="0.25">
      <c r="A91" s="1">
        <v>43100</v>
      </c>
      <c r="B91" t="s">
        <v>79</v>
      </c>
      <c r="C91" t="s">
        <v>206</v>
      </c>
      <c r="D91" t="s">
        <v>264</v>
      </c>
      <c r="E91" t="s">
        <v>2390</v>
      </c>
      <c r="F91" t="s">
        <v>2391</v>
      </c>
      <c r="G91">
        <v>1</v>
      </c>
      <c r="H91">
        <v>0</v>
      </c>
      <c r="I91">
        <v>0</v>
      </c>
    </row>
    <row r="92" spans="1:9" x14ac:dyDescent="0.25">
      <c r="A92" s="1">
        <v>43100</v>
      </c>
      <c r="B92" t="s">
        <v>108</v>
      </c>
      <c r="C92" t="s">
        <v>109</v>
      </c>
      <c r="D92" t="s">
        <v>264</v>
      </c>
      <c r="E92" t="s">
        <v>2384</v>
      </c>
      <c r="F92" t="s">
        <v>2392</v>
      </c>
      <c r="G92">
        <v>-1</v>
      </c>
      <c r="H92">
        <v>0</v>
      </c>
      <c r="I92">
        <v>0</v>
      </c>
    </row>
    <row r="93" spans="1:9" x14ac:dyDescent="0.25">
      <c r="A93" s="1">
        <v>43100</v>
      </c>
      <c r="B93" t="s">
        <v>411</v>
      </c>
      <c r="C93" t="s">
        <v>1149</v>
      </c>
      <c r="D93" t="s">
        <v>264</v>
      </c>
      <c r="E93" t="s">
        <v>2366</v>
      </c>
      <c r="F93" t="s">
        <v>2393</v>
      </c>
      <c r="G93">
        <v>-90.5</v>
      </c>
      <c r="H93">
        <v>0</v>
      </c>
      <c r="I93">
        <v>0</v>
      </c>
    </row>
    <row r="94" spans="1:9" x14ac:dyDescent="0.25">
      <c r="A94" s="1">
        <v>43100</v>
      </c>
      <c r="B94" t="s">
        <v>413</v>
      </c>
      <c r="C94" t="s">
        <v>1151</v>
      </c>
      <c r="D94" t="s">
        <v>264</v>
      </c>
      <c r="E94" t="s">
        <v>2366</v>
      </c>
      <c r="F94" t="s">
        <v>2371</v>
      </c>
      <c r="G94">
        <v>82</v>
      </c>
      <c r="H94">
        <v>0</v>
      </c>
      <c r="I94">
        <v>0</v>
      </c>
    </row>
    <row r="95" spans="1:9" x14ac:dyDescent="0.25">
      <c r="A95" s="1">
        <v>43100</v>
      </c>
      <c r="B95" t="s">
        <v>414</v>
      </c>
      <c r="C95" t="s">
        <v>1152</v>
      </c>
      <c r="D95" t="s">
        <v>264</v>
      </c>
      <c r="E95" t="s">
        <v>21</v>
      </c>
      <c r="F95" t="s">
        <v>2146</v>
      </c>
      <c r="G95">
        <v>202</v>
      </c>
      <c r="H95">
        <v>0</v>
      </c>
      <c r="I95">
        <v>0</v>
      </c>
    </row>
    <row r="96" spans="1:9" x14ac:dyDescent="0.25">
      <c r="A96" s="1">
        <v>43100</v>
      </c>
      <c r="B96" t="s">
        <v>415</v>
      </c>
      <c r="C96" t="s">
        <v>1153</v>
      </c>
      <c r="D96" t="s">
        <v>264</v>
      </c>
      <c r="E96" t="s">
        <v>21</v>
      </c>
      <c r="F96" t="s">
        <v>2146</v>
      </c>
      <c r="G96">
        <v>-4</v>
      </c>
      <c r="H96">
        <v>0</v>
      </c>
      <c r="I96">
        <v>0</v>
      </c>
    </row>
    <row r="97" spans="1:9" x14ac:dyDescent="0.25">
      <c r="A97" s="1">
        <v>43100</v>
      </c>
      <c r="B97" t="s">
        <v>416</v>
      </c>
      <c r="C97" t="s">
        <v>1154</v>
      </c>
      <c r="D97" t="s">
        <v>264</v>
      </c>
      <c r="E97" t="s">
        <v>21</v>
      </c>
      <c r="F97" t="s">
        <v>2146</v>
      </c>
      <c r="G97">
        <v>212</v>
      </c>
      <c r="H97">
        <v>0</v>
      </c>
      <c r="I97">
        <v>0</v>
      </c>
    </row>
    <row r="98" spans="1:9" x14ac:dyDescent="0.25">
      <c r="A98" s="1">
        <v>43100</v>
      </c>
      <c r="B98" t="s">
        <v>417</v>
      </c>
      <c r="C98" t="s">
        <v>1155</v>
      </c>
      <c r="D98" t="s">
        <v>264</v>
      </c>
      <c r="E98" t="s">
        <v>21</v>
      </c>
      <c r="F98" t="s">
        <v>2146</v>
      </c>
      <c r="G98">
        <v>275</v>
      </c>
      <c r="H98">
        <v>0</v>
      </c>
      <c r="I98">
        <v>0</v>
      </c>
    </row>
    <row r="99" spans="1:9" x14ac:dyDescent="0.25">
      <c r="A99" s="1">
        <v>43100</v>
      </c>
      <c r="B99" t="s">
        <v>418</v>
      </c>
      <c r="C99" t="s">
        <v>1156</v>
      </c>
      <c r="D99" t="s">
        <v>264</v>
      </c>
      <c r="E99" t="s">
        <v>21</v>
      </c>
      <c r="F99" t="s">
        <v>2146</v>
      </c>
      <c r="G99">
        <v>1</v>
      </c>
      <c r="H99">
        <v>0</v>
      </c>
      <c r="I99">
        <v>0</v>
      </c>
    </row>
    <row r="100" spans="1:9" x14ac:dyDescent="0.25">
      <c r="A100" s="1">
        <v>43100</v>
      </c>
      <c r="B100" t="s">
        <v>146</v>
      </c>
      <c r="C100" t="s">
        <v>1158</v>
      </c>
      <c r="D100" t="s">
        <v>264</v>
      </c>
      <c r="E100" t="s">
        <v>2384</v>
      </c>
      <c r="F100" t="s">
        <v>2394</v>
      </c>
      <c r="G100">
        <v>-1</v>
      </c>
      <c r="H100">
        <v>0</v>
      </c>
      <c r="I100">
        <v>0</v>
      </c>
    </row>
    <row r="101" spans="1:9" x14ac:dyDescent="0.25">
      <c r="A101" s="1">
        <v>43100</v>
      </c>
      <c r="B101" t="s">
        <v>421</v>
      </c>
      <c r="C101" t="s">
        <v>1165</v>
      </c>
      <c r="D101" t="s">
        <v>264</v>
      </c>
      <c r="E101" t="s">
        <v>21</v>
      </c>
      <c r="F101" t="s">
        <v>2146</v>
      </c>
      <c r="G101">
        <v>-1</v>
      </c>
      <c r="H101">
        <v>0</v>
      </c>
      <c r="I101">
        <v>0</v>
      </c>
    </row>
    <row r="102" spans="1:9" x14ac:dyDescent="0.25">
      <c r="A102" s="1">
        <v>43100</v>
      </c>
      <c r="B102" t="s">
        <v>422</v>
      </c>
      <c r="C102" t="s">
        <v>1166</v>
      </c>
      <c r="D102" t="s">
        <v>264</v>
      </c>
      <c r="E102" t="s">
        <v>2366</v>
      </c>
      <c r="F102" t="s">
        <v>2371</v>
      </c>
      <c r="G102">
        <v>28</v>
      </c>
      <c r="H102">
        <v>0</v>
      </c>
      <c r="I102">
        <v>0</v>
      </c>
    </row>
    <row r="103" spans="1:9" x14ac:dyDescent="0.25">
      <c r="A103" s="1">
        <v>43100</v>
      </c>
      <c r="B103" t="s">
        <v>423</v>
      </c>
      <c r="C103" t="s">
        <v>1167</v>
      </c>
      <c r="D103" t="s">
        <v>264</v>
      </c>
      <c r="E103" t="s">
        <v>21</v>
      </c>
      <c r="F103" t="s">
        <v>2146</v>
      </c>
      <c r="G103">
        <v>210</v>
      </c>
      <c r="H103">
        <v>0</v>
      </c>
      <c r="I103">
        <v>0</v>
      </c>
    </row>
    <row r="104" spans="1:9" x14ac:dyDescent="0.25">
      <c r="A104" s="1">
        <v>43100</v>
      </c>
      <c r="B104" t="s">
        <v>424</v>
      </c>
      <c r="C104" t="s">
        <v>1168</v>
      </c>
      <c r="D104" t="s">
        <v>264</v>
      </c>
      <c r="E104" t="s">
        <v>21</v>
      </c>
      <c r="F104" t="s">
        <v>2146</v>
      </c>
      <c r="G104">
        <v>-2</v>
      </c>
      <c r="H104">
        <v>0</v>
      </c>
      <c r="I104">
        <v>0</v>
      </c>
    </row>
    <row r="105" spans="1:9" x14ac:dyDescent="0.25">
      <c r="A105" s="1">
        <v>43100</v>
      </c>
      <c r="B105" t="s">
        <v>425</v>
      </c>
      <c r="C105" t="s">
        <v>1169</v>
      </c>
      <c r="D105" t="s">
        <v>264</v>
      </c>
      <c r="E105" t="s">
        <v>21</v>
      </c>
      <c r="F105" t="s">
        <v>2146</v>
      </c>
      <c r="G105">
        <v>129</v>
      </c>
      <c r="H105">
        <v>0</v>
      </c>
      <c r="I105">
        <v>0</v>
      </c>
    </row>
    <row r="106" spans="1:9" x14ac:dyDescent="0.25">
      <c r="A106" s="1">
        <v>43100</v>
      </c>
      <c r="B106" t="s">
        <v>426</v>
      </c>
      <c r="C106" t="s">
        <v>1170</v>
      </c>
      <c r="D106" t="s">
        <v>264</v>
      </c>
      <c r="E106" t="s">
        <v>21</v>
      </c>
      <c r="F106" t="s">
        <v>2146</v>
      </c>
      <c r="G106">
        <v>321</v>
      </c>
      <c r="H106">
        <v>0</v>
      </c>
      <c r="I106">
        <v>0</v>
      </c>
    </row>
    <row r="107" spans="1:9" x14ac:dyDescent="0.25">
      <c r="A107" s="1">
        <v>43100</v>
      </c>
      <c r="B107" t="s">
        <v>427</v>
      </c>
      <c r="C107" t="s">
        <v>1171</v>
      </c>
      <c r="D107" t="s">
        <v>264</v>
      </c>
      <c r="E107" t="s">
        <v>21</v>
      </c>
      <c r="F107" t="s">
        <v>2146</v>
      </c>
      <c r="G107">
        <v>-21</v>
      </c>
      <c r="H107">
        <v>0</v>
      </c>
      <c r="I107">
        <v>0</v>
      </c>
    </row>
    <row r="108" spans="1:9" x14ac:dyDescent="0.25">
      <c r="A108" s="1">
        <v>43100</v>
      </c>
      <c r="B108" t="s">
        <v>65</v>
      </c>
      <c r="C108" t="s">
        <v>1172</v>
      </c>
      <c r="D108" t="s">
        <v>264</v>
      </c>
      <c r="E108" t="s">
        <v>2368</v>
      </c>
      <c r="F108" t="s">
        <v>2395</v>
      </c>
      <c r="G108">
        <v>4</v>
      </c>
      <c r="H108">
        <v>0</v>
      </c>
      <c r="I108">
        <v>0</v>
      </c>
    </row>
    <row r="109" spans="1:9" x14ac:dyDescent="0.25">
      <c r="A109" s="1">
        <v>43100</v>
      </c>
      <c r="B109" t="s">
        <v>428</v>
      </c>
      <c r="C109" t="s">
        <v>1173</v>
      </c>
      <c r="D109" t="s">
        <v>264</v>
      </c>
      <c r="E109" t="s">
        <v>252</v>
      </c>
      <c r="F109" t="s">
        <v>1482</v>
      </c>
      <c r="G109">
        <v>-1</v>
      </c>
      <c r="H109">
        <v>0</v>
      </c>
      <c r="I109">
        <v>0</v>
      </c>
    </row>
    <row r="110" spans="1:9" x14ac:dyDescent="0.25">
      <c r="A110" s="1">
        <v>43100</v>
      </c>
      <c r="B110" t="s">
        <v>66</v>
      </c>
      <c r="C110" t="s">
        <v>116</v>
      </c>
      <c r="D110" t="s">
        <v>289</v>
      </c>
      <c r="E110" t="s">
        <v>21</v>
      </c>
      <c r="F110" t="s">
        <v>1877</v>
      </c>
      <c r="G110">
        <v>1</v>
      </c>
      <c r="H110">
        <v>0</v>
      </c>
      <c r="I110">
        <v>0</v>
      </c>
    </row>
    <row r="111" spans="1:9" x14ac:dyDescent="0.25">
      <c r="A111" s="1">
        <v>43100</v>
      </c>
      <c r="B111" t="s">
        <v>66</v>
      </c>
      <c r="C111" t="s">
        <v>116</v>
      </c>
      <c r="D111" t="s">
        <v>264</v>
      </c>
      <c r="E111" t="s">
        <v>2372</v>
      </c>
      <c r="F111" t="s">
        <v>2396</v>
      </c>
      <c r="G111">
        <v>4</v>
      </c>
      <c r="H111">
        <v>0</v>
      </c>
      <c r="I111">
        <v>0</v>
      </c>
    </row>
    <row r="112" spans="1:9" x14ac:dyDescent="0.25">
      <c r="A112" s="1">
        <v>43100</v>
      </c>
      <c r="B112" t="s">
        <v>429</v>
      </c>
      <c r="C112" t="s">
        <v>1174</v>
      </c>
      <c r="D112" t="s">
        <v>264</v>
      </c>
      <c r="E112" t="s">
        <v>21</v>
      </c>
      <c r="F112" t="s">
        <v>1967</v>
      </c>
      <c r="G112">
        <v>-9</v>
      </c>
      <c r="H112">
        <v>0</v>
      </c>
      <c r="I112">
        <v>0</v>
      </c>
    </row>
    <row r="113" spans="1:9" x14ac:dyDescent="0.25">
      <c r="A113" s="1">
        <v>43100</v>
      </c>
      <c r="B113" t="s">
        <v>433</v>
      </c>
      <c r="C113" t="s">
        <v>1178</v>
      </c>
      <c r="D113" t="s">
        <v>264</v>
      </c>
      <c r="E113" t="s">
        <v>21</v>
      </c>
      <c r="F113" t="s">
        <v>1967</v>
      </c>
      <c r="G113">
        <v>-1</v>
      </c>
      <c r="H113">
        <v>0</v>
      </c>
      <c r="I113">
        <v>0</v>
      </c>
    </row>
    <row r="114" spans="1:9" x14ac:dyDescent="0.25">
      <c r="A114" s="1">
        <v>43100</v>
      </c>
      <c r="B114" t="s">
        <v>434</v>
      </c>
      <c r="C114" t="s">
        <v>1181</v>
      </c>
      <c r="D114" t="s">
        <v>264</v>
      </c>
      <c r="E114" t="s">
        <v>21</v>
      </c>
      <c r="F114" t="s">
        <v>2018</v>
      </c>
      <c r="G114">
        <v>-4</v>
      </c>
      <c r="H114">
        <v>0</v>
      </c>
      <c r="I114">
        <v>0</v>
      </c>
    </row>
    <row r="115" spans="1:9" x14ac:dyDescent="0.25">
      <c r="A115" s="1">
        <v>43100</v>
      </c>
      <c r="B115" t="s">
        <v>435</v>
      </c>
      <c r="C115" t="s">
        <v>1182</v>
      </c>
      <c r="D115" t="s">
        <v>264</v>
      </c>
      <c r="E115" t="s">
        <v>2366</v>
      </c>
      <c r="F115" t="s">
        <v>2371</v>
      </c>
      <c r="G115">
        <v>-154</v>
      </c>
      <c r="H115">
        <v>0</v>
      </c>
      <c r="I115">
        <v>0</v>
      </c>
    </row>
    <row r="116" spans="1:9" x14ac:dyDescent="0.25">
      <c r="A116" s="1">
        <v>43100</v>
      </c>
      <c r="B116" t="s">
        <v>436</v>
      </c>
      <c r="C116" t="s">
        <v>1183</v>
      </c>
      <c r="D116" t="s">
        <v>264</v>
      </c>
      <c r="E116" t="s">
        <v>2366</v>
      </c>
      <c r="F116" t="s">
        <v>2371</v>
      </c>
      <c r="G116">
        <v>-50</v>
      </c>
      <c r="H116">
        <v>0</v>
      </c>
      <c r="I116">
        <v>0</v>
      </c>
    </row>
    <row r="117" spans="1:9" x14ac:dyDescent="0.25">
      <c r="A117" s="1">
        <v>43100</v>
      </c>
      <c r="B117" t="s">
        <v>437</v>
      </c>
      <c r="C117" t="s">
        <v>1184</v>
      </c>
      <c r="D117" t="s">
        <v>264</v>
      </c>
      <c r="E117" t="s">
        <v>2366</v>
      </c>
      <c r="F117" t="s">
        <v>2371</v>
      </c>
      <c r="G117">
        <v>-95</v>
      </c>
      <c r="H117">
        <v>0</v>
      </c>
      <c r="I117">
        <v>0</v>
      </c>
    </row>
    <row r="118" spans="1:9" x14ac:dyDescent="0.25">
      <c r="A118" s="1">
        <v>43100</v>
      </c>
      <c r="B118" t="s">
        <v>442</v>
      </c>
      <c r="C118" t="s">
        <v>1199</v>
      </c>
      <c r="D118" t="s">
        <v>264</v>
      </c>
      <c r="E118" t="s">
        <v>21</v>
      </c>
      <c r="F118" t="s">
        <v>1967</v>
      </c>
      <c r="G118">
        <v>2</v>
      </c>
      <c r="H118">
        <v>0</v>
      </c>
      <c r="I118">
        <v>0</v>
      </c>
    </row>
    <row r="119" spans="1:9" ht="90" x14ac:dyDescent="0.25">
      <c r="A119" s="1">
        <v>43100</v>
      </c>
      <c r="B119" t="s">
        <v>444</v>
      </c>
      <c r="C119" s="15" t="s">
        <v>1205</v>
      </c>
      <c r="D119" t="s">
        <v>264</v>
      </c>
      <c r="E119" t="s">
        <v>21</v>
      </c>
      <c r="F119" t="s">
        <v>1967</v>
      </c>
      <c r="G119">
        <v>-3</v>
      </c>
      <c r="H119">
        <v>0</v>
      </c>
      <c r="I119">
        <v>0</v>
      </c>
    </row>
    <row r="120" spans="1:9" ht="75" x14ac:dyDescent="0.25">
      <c r="A120" s="1">
        <v>43100</v>
      </c>
      <c r="B120" t="s">
        <v>445</v>
      </c>
      <c r="C120" s="15" t="s">
        <v>1206</v>
      </c>
      <c r="D120" t="s">
        <v>264</v>
      </c>
      <c r="E120" t="s">
        <v>21</v>
      </c>
      <c r="F120" t="s">
        <v>1967</v>
      </c>
      <c r="G120">
        <v>-0.53</v>
      </c>
      <c r="H120">
        <v>0</v>
      </c>
      <c r="I120">
        <v>0</v>
      </c>
    </row>
    <row r="121" spans="1:9" x14ac:dyDescent="0.25">
      <c r="A121" s="1">
        <v>43100</v>
      </c>
      <c r="B121" t="s">
        <v>446</v>
      </c>
      <c r="C121" t="s">
        <v>1229</v>
      </c>
      <c r="D121" t="s">
        <v>264</v>
      </c>
      <c r="E121" t="s">
        <v>21</v>
      </c>
      <c r="F121" t="s">
        <v>2397</v>
      </c>
      <c r="G121">
        <v>-232</v>
      </c>
      <c r="H121">
        <v>0</v>
      </c>
      <c r="I121">
        <v>0</v>
      </c>
    </row>
    <row r="122" spans="1:9" x14ac:dyDescent="0.25">
      <c r="A122" s="1">
        <v>43100</v>
      </c>
      <c r="B122" t="s">
        <v>447</v>
      </c>
      <c r="C122" t="s">
        <v>1230</v>
      </c>
      <c r="D122" t="s">
        <v>264</v>
      </c>
      <c r="E122" t="s">
        <v>21</v>
      </c>
      <c r="F122" t="s">
        <v>1967</v>
      </c>
      <c r="G122">
        <v>-227</v>
      </c>
      <c r="H122">
        <v>0</v>
      </c>
      <c r="I122">
        <v>0</v>
      </c>
    </row>
    <row r="123" spans="1:9" x14ac:dyDescent="0.25">
      <c r="A123" s="1">
        <v>43100</v>
      </c>
      <c r="B123" t="s">
        <v>448</v>
      </c>
      <c r="C123" t="s">
        <v>1233</v>
      </c>
      <c r="D123" t="s">
        <v>264</v>
      </c>
      <c r="E123" t="s">
        <v>21</v>
      </c>
      <c r="F123" t="s">
        <v>1967</v>
      </c>
      <c r="G123">
        <v>-17</v>
      </c>
      <c r="H123">
        <v>0</v>
      </c>
      <c r="I123">
        <v>0</v>
      </c>
    </row>
    <row r="124" spans="1:9" x14ac:dyDescent="0.25">
      <c r="A124" s="1">
        <v>43100</v>
      </c>
      <c r="B124" t="s">
        <v>449</v>
      </c>
      <c r="C124" t="s">
        <v>1234</v>
      </c>
      <c r="D124" t="s">
        <v>264</v>
      </c>
      <c r="E124" t="s">
        <v>21</v>
      </c>
      <c r="F124" t="s">
        <v>1967</v>
      </c>
      <c r="G124">
        <v>-13</v>
      </c>
      <c r="H124">
        <v>0</v>
      </c>
      <c r="I124">
        <v>0</v>
      </c>
    </row>
    <row r="125" spans="1:9" x14ac:dyDescent="0.25">
      <c r="A125" s="1">
        <v>43100</v>
      </c>
      <c r="B125" t="s">
        <v>149</v>
      </c>
      <c r="C125" t="s">
        <v>209</v>
      </c>
      <c r="D125" t="s">
        <v>264</v>
      </c>
      <c r="E125" t="s">
        <v>21</v>
      </c>
      <c r="F125" t="s">
        <v>1967</v>
      </c>
      <c r="G125">
        <v>-2</v>
      </c>
      <c r="H125">
        <v>0</v>
      </c>
      <c r="I125">
        <v>0</v>
      </c>
    </row>
    <row r="126" spans="1:9" x14ac:dyDescent="0.25">
      <c r="A126" s="1">
        <v>43100</v>
      </c>
      <c r="B126" t="s">
        <v>451</v>
      </c>
      <c r="C126" t="s">
        <v>1236</v>
      </c>
      <c r="D126" t="s">
        <v>264</v>
      </c>
      <c r="E126" t="s">
        <v>21</v>
      </c>
      <c r="F126" t="s">
        <v>1967</v>
      </c>
      <c r="G126">
        <v>1</v>
      </c>
      <c r="H126">
        <v>0</v>
      </c>
      <c r="I126">
        <v>0</v>
      </c>
    </row>
    <row r="127" spans="1:9" x14ac:dyDescent="0.25">
      <c r="A127" s="1">
        <v>43100</v>
      </c>
      <c r="B127" t="s">
        <v>452</v>
      </c>
      <c r="C127" t="s">
        <v>1239</v>
      </c>
      <c r="D127" t="s">
        <v>264</v>
      </c>
      <c r="E127" t="s">
        <v>21</v>
      </c>
      <c r="F127" t="s">
        <v>1967</v>
      </c>
      <c r="G127">
        <v>6</v>
      </c>
      <c r="H127">
        <v>0</v>
      </c>
      <c r="I127">
        <v>0</v>
      </c>
    </row>
    <row r="128" spans="1:9" x14ac:dyDescent="0.25">
      <c r="A128" s="1">
        <v>43100</v>
      </c>
      <c r="B128" t="s">
        <v>114</v>
      </c>
      <c r="C128" t="s">
        <v>115</v>
      </c>
      <c r="D128" t="s">
        <v>264</v>
      </c>
      <c r="E128" t="s">
        <v>2398</v>
      </c>
      <c r="F128" t="s">
        <v>2399</v>
      </c>
      <c r="G128">
        <v>-1</v>
      </c>
      <c r="H128">
        <v>0</v>
      </c>
      <c r="I128">
        <v>0</v>
      </c>
    </row>
    <row r="129" spans="1:9" x14ac:dyDescent="0.25">
      <c r="A129" s="1">
        <v>43100</v>
      </c>
      <c r="B129" t="s">
        <v>455</v>
      </c>
      <c r="C129" t="s">
        <v>1242</v>
      </c>
      <c r="D129" t="s">
        <v>264</v>
      </c>
      <c r="E129" t="s">
        <v>2372</v>
      </c>
      <c r="F129" t="s">
        <v>2400</v>
      </c>
      <c r="G129">
        <v>6</v>
      </c>
      <c r="H129">
        <v>0</v>
      </c>
      <c r="I129">
        <v>0</v>
      </c>
    </row>
    <row r="130" spans="1:9" x14ac:dyDescent="0.25">
      <c r="A130" s="1">
        <v>43100</v>
      </c>
      <c r="B130" t="s">
        <v>457</v>
      </c>
      <c r="C130" t="s">
        <v>1244</v>
      </c>
      <c r="D130" t="s">
        <v>264</v>
      </c>
      <c r="E130" t="s">
        <v>2401</v>
      </c>
      <c r="F130" t="s">
        <v>2402</v>
      </c>
      <c r="G130">
        <v>-1</v>
      </c>
      <c r="H130">
        <v>0</v>
      </c>
      <c r="I130">
        <v>0</v>
      </c>
    </row>
    <row r="131" spans="1:9" x14ac:dyDescent="0.25">
      <c r="A131" s="1">
        <v>43100</v>
      </c>
      <c r="B131" t="s">
        <v>23</v>
      </c>
      <c r="C131" t="s">
        <v>883</v>
      </c>
      <c r="D131" t="s">
        <v>264</v>
      </c>
      <c r="E131" t="s">
        <v>2376</v>
      </c>
      <c r="F131" t="s">
        <v>2403</v>
      </c>
      <c r="G131">
        <v>-10</v>
      </c>
      <c r="H131">
        <v>25.089953719880668</v>
      </c>
      <c r="I131">
        <v>-250.89953719880668</v>
      </c>
    </row>
    <row r="132" spans="1:9" x14ac:dyDescent="0.25">
      <c r="A132" s="1">
        <v>43100</v>
      </c>
      <c r="B132" t="s">
        <v>67</v>
      </c>
      <c r="C132" t="s">
        <v>907</v>
      </c>
      <c r="D132" t="s">
        <v>262</v>
      </c>
      <c r="E132" t="s">
        <v>2404</v>
      </c>
      <c r="F132" t="s">
        <v>1467</v>
      </c>
      <c r="G132">
        <v>1064</v>
      </c>
      <c r="H132">
        <v>-0.24062969924812033</v>
      </c>
      <c r="I132">
        <v>-256.03000000000003</v>
      </c>
    </row>
    <row r="133" spans="1:9" x14ac:dyDescent="0.25">
      <c r="A133" s="1">
        <v>43100</v>
      </c>
      <c r="B133" t="s">
        <v>501</v>
      </c>
      <c r="C133" t="s">
        <v>1316</v>
      </c>
      <c r="D133" t="s">
        <v>264</v>
      </c>
      <c r="E133" t="s">
        <v>21</v>
      </c>
      <c r="F133" t="s">
        <v>1889</v>
      </c>
      <c r="G133">
        <v>-1</v>
      </c>
      <c r="H133">
        <v>0</v>
      </c>
      <c r="I133">
        <v>0</v>
      </c>
    </row>
    <row r="134" spans="1:9" x14ac:dyDescent="0.25">
      <c r="A134" s="1">
        <v>43100</v>
      </c>
      <c r="B134" t="s">
        <v>502</v>
      </c>
      <c r="C134" t="s">
        <v>1317</v>
      </c>
      <c r="D134" t="s">
        <v>264</v>
      </c>
      <c r="E134" t="s">
        <v>21</v>
      </c>
      <c r="F134" t="s">
        <v>2087</v>
      </c>
      <c r="G134">
        <v>-31.9</v>
      </c>
      <c r="H134">
        <v>0</v>
      </c>
      <c r="I134">
        <v>0</v>
      </c>
    </row>
    <row r="135" spans="1:9" x14ac:dyDescent="0.25">
      <c r="A135" s="1">
        <v>43100</v>
      </c>
      <c r="B135" t="s">
        <v>503</v>
      </c>
      <c r="C135" t="s">
        <v>1318</v>
      </c>
      <c r="D135" t="s">
        <v>264</v>
      </c>
      <c r="E135" t="s">
        <v>21</v>
      </c>
      <c r="F135" t="s">
        <v>1889</v>
      </c>
      <c r="G135">
        <v>-2</v>
      </c>
      <c r="H135">
        <v>0</v>
      </c>
      <c r="I135">
        <v>0</v>
      </c>
    </row>
    <row r="136" spans="1:9" x14ac:dyDescent="0.25">
      <c r="A136" s="1">
        <v>43100</v>
      </c>
      <c r="B136" t="s">
        <v>513</v>
      </c>
      <c r="C136" t="s">
        <v>1328</v>
      </c>
      <c r="D136" t="s">
        <v>264</v>
      </c>
      <c r="E136" t="s">
        <v>21</v>
      </c>
      <c r="F136" t="s">
        <v>1889</v>
      </c>
      <c r="G136">
        <v>1</v>
      </c>
      <c r="H136">
        <v>0</v>
      </c>
      <c r="I136">
        <v>0</v>
      </c>
    </row>
    <row r="137" spans="1:9" x14ac:dyDescent="0.25">
      <c r="A137" s="1">
        <v>43100</v>
      </c>
      <c r="B137" t="s">
        <v>515</v>
      </c>
      <c r="C137" t="s">
        <v>1331</v>
      </c>
      <c r="D137" t="s">
        <v>264</v>
      </c>
      <c r="E137" t="s">
        <v>21</v>
      </c>
      <c r="F137" t="s">
        <v>1889</v>
      </c>
      <c r="G137">
        <v>50</v>
      </c>
      <c r="H137">
        <v>0</v>
      </c>
      <c r="I137">
        <v>0</v>
      </c>
    </row>
    <row r="138" spans="1:9" x14ac:dyDescent="0.25">
      <c r="A138" s="1">
        <v>43100</v>
      </c>
      <c r="B138" t="s">
        <v>518</v>
      </c>
      <c r="C138" t="s">
        <v>1334</v>
      </c>
      <c r="D138" t="s">
        <v>264</v>
      </c>
      <c r="E138" t="s">
        <v>21</v>
      </c>
      <c r="F138" t="s">
        <v>1993</v>
      </c>
      <c r="G138">
        <v>-3</v>
      </c>
      <c r="H138">
        <v>0</v>
      </c>
      <c r="I138">
        <v>0</v>
      </c>
    </row>
    <row r="139" spans="1:9" x14ac:dyDescent="0.25">
      <c r="A139" s="1">
        <v>43100</v>
      </c>
      <c r="B139" t="s">
        <v>521</v>
      </c>
      <c r="C139" t="s">
        <v>1337</v>
      </c>
      <c r="D139" t="s">
        <v>264</v>
      </c>
      <c r="E139" t="s">
        <v>252</v>
      </c>
      <c r="F139" t="s">
        <v>2405</v>
      </c>
      <c r="G139">
        <v>-2</v>
      </c>
      <c r="H139">
        <v>0</v>
      </c>
      <c r="I139">
        <v>0</v>
      </c>
    </row>
    <row r="140" spans="1:9" x14ac:dyDescent="0.25">
      <c r="A140" s="1">
        <v>43100</v>
      </c>
      <c r="B140" t="s">
        <v>522</v>
      </c>
      <c r="C140" t="s">
        <v>1338</v>
      </c>
      <c r="D140" t="s">
        <v>264</v>
      </c>
      <c r="E140" t="s">
        <v>21</v>
      </c>
      <c r="F140" t="s">
        <v>2146</v>
      </c>
      <c r="G140">
        <v>1</v>
      </c>
      <c r="H140">
        <v>0</v>
      </c>
      <c r="I140">
        <v>0</v>
      </c>
    </row>
    <row r="141" spans="1:9" x14ac:dyDescent="0.25">
      <c r="A141" s="1">
        <v>43100</v>
      </c>
      <c r="B141" t="s">
        <v>542</v>
      </c>
      <c r="C141" t="s">
        <v>1358</v>
      </c>
      <c r="D141" t="s">
        <v>264</v>
      </c>
      <c r="E141" t="s">
        <v>21</v>
      </c>
      <c r="F141" t="s">
        <v>1993</v>
      </c>
      <c r="G141">
        <v>-20</v>
      </c>
      <c r="H141">
        <v>0</v>
      </c>
      <c r="I141">
        <v>0</v>
      </c>
    </row>
    <row r="142" spans="1:9" ht="45" x14ac:dyDescent="0.25">
      <c r="A142" s="1">
        <v>43100</v>
      </c>
      <c r="B142" t="s">
        <v>242</v>
      </c>
      <c r="C142" s="15" t="s">
        <v>243</v>
      </c>
      <c r="D142" t="s">
        <v>264</v>
      </c>
      <c r="E142" t="s">
        <v>2376</v>
      </c>
      <c r="F142" t="s">
        <v>2403</v>
      </c>
      <c r="G142">
        <v>-4</v>
      </c>
      <c r="H142">
        <v>40.569660194174766</v>
      </c>
      <c r="I142">
        <v>-162.27864077669906</v>
      </c>
    </row>
    <row r="143" spans="1:9" x14ac:dyDescent="0.25">
      <c r="A143" s="1">
        <v>43100</v>
      </c>
      <c r="B143" t="s">
        <v>546</v>
      </c>
      <c r="C143" t="s">
        <v>1363</v>
      </c>
      <c r="D143" t="s">
        <v>264</v>
      </c>
      <c r="E143" t="s">
        <v>21</v>
      </c>
      <c r="F143" t="s">
        <v>2403</v>
      </c>
      <c r="G143">
        <v>6</v>
      </c>
      <c r="H143">
        <v>0</v>
      </c>
      <c r="I143">
        <v>0</v>
      </c>
    </row>
    <row r="144" spans="1:9" x14ac:dyDescent="0.25">
      <c r="A144" s="1">
        <v>43100</v>
      </c>
      <c r="B144" t="s">
        <v>550</v>
      </c>
      <c r="C144" t="s">
        <v>1367</v>
      </c>
      <c r="D144" t="s">
        <v>264</v>
      </c>
      <c r="E144" t="s">
        <v>21</v>
      </c>
      <c r="F144" t="s">
        <v>2146</v>
      </c>
      <c r="G144">
        <v>-12</v>
      </c>
      <c r="H144">
        <v>0</v>
      </c>
      <c r="I144">
        <v>0</v>
      </c>
    </row>
    <row r="145" spans="1:9" x14ac:dyDescent="0.25">
      <c r="A145" s="1">
        <v>43100</v>
      </c>
      <c r="B145" t="s">
        <v>551</v>
      </c>
      <c r="C145" t="s">
        <v>1368</v>
      </c>
      <c r="D145" t="s">
        <v>264</v>
      </c>
      <c r="E145" t="s">
        <v>2372</v>
      </c>
      <c r="F145" t="s">
        <v>2406</v>
      </c>
      <c r="G145">
        <v>-11</v>
      </c>
      <c r="H145">
        <v>0</v>
      </c>
      <c r="I145">
        <v>0</v>
      </c>
    </row>
    <row r="146" spans="1:9" x14ac:dyDescent="0.25">
      <c r="A146" s="1">
        <v>43100</v>
      </c>
      <c r="B146" t="s">
        <v>105</v>
      </c>
      <c r="C146" t="s">
        <v>212</v>
      </c>
      <c r="D146" t="s">
        <v>264</v>
      </c>
      <c r="E146" t="s">
        <v>2372</v>
      </c>
      <c r="F146" t="s">
        <v>2407</v>
      </c>
      <c r="G146">
        <v>-16</v>
      </c>
      <c r="H146">
        <v>0</v>
      </c>
      <c r="I146">
        <v>0</v>
      </c>
    </row>
    <row r="147" spans="1:9" x14ac:dyDescent="0.25">
      <c r="A147" s="1">
        <v>43100</v>
      </c>
      <c r="B147" t="s">
        <v>556</v>
      </c>
      <c r="C147" t="s">
        <v>1378</v>
      </c>
      <c r="D147" t="s">
        <v>264</v>
      </c>
      <c r="E147" t="s">
        <v>21</v>
      </c>
      <c r="F147" t="s">
        <v>2087</v>
      </c>
      <c r="G147">
        <v>232</v>
      </c>
      <c r="H147">
        <v>0</v>
      </c>
      <c r="I147">
        <v>0</v>
      </c>
    </row>
    <row r="148" spans="1:9" x14ac:dyDescent="0.25">
      <c r="A148" s="1">
        <v>43100</v>
      </c>
      <c r="B148" t="s">
        <v>564</v>
      </c>
      <c r="C148" t="s">
        <v>1398</v>
      </c>
      <c r="D148" t="s">
        <v>264</v>
      </c>
      <c r="E148" t="s">
        <v>21</v>
      </c>
      <c r="F148" t="s">
        <v>2018</v>
      </c>
      <c r="G148">
        <v>-2</v>
      </c>
      <c r="H148">
        <v>0</v>
      </c>
      <c r="I148">
        <v>0</v>
      </c>
    </row>
    <row r="149" spans="1:9" x14ac:dyDescent="0.25">
      <c r="A149" s="1">
        <v>43100</v>
      </c>
      <c r="B149" t="s">
        <v>567</v>
      </c>
      <c r="C149" t="s">
        <v>1401</v>
      </c>
      <c r="D149" t="s">
        <v>264</v>
      </c>
      <c r="E149" t="s">
        <v>21</v>
      </c>
      <c r="F149" t="s">
        <v>2018</v>
      </c>
      <c r="G149">
        <v>-30</v>
      </c>
      <c r="H149">
        <v>0</v>
      </c>
      <c r="I149">
        <v>0</v>
      </c>
    </row>
    <row r="150" spans="1:9" x14ac:dyDescent="0.25">
      <c r="A150" s="1">
        <v>43100</v>
      </c>
      <c r="B150" t="s">
        <v>568</v>
      </c>
      <c r="C150" t="s">
        <v>1402</v>
      </c>
      <c r="D150" t="s">
        <v>264</v>
      </c>
      <c r="E150" t="s">
        <v>21</v>
      </c>
      <c r="F150" t="s">
        <v>2018</v>
      </c>
      <c r="G150">
        <v>-228</v>
      </c>
      <c r="H150">
        <v>0</v>
      </c>
      <c r="I150">
        <v>0</v>
      </c>
    </row>
    <row r="151" spans="1:9" x14ac:dyDescent="0.25">
      <c r="A151" s="1">
        <v>43100</v>
      </c>
      <c r="B151" t="s">
        <v>569</v>
      </c>
      <c r="C151" t="s">
        <v>1403</v>
      </c>
      <c r="D151" t="s">
        <v>264</v>
      </c>
      <c r="E151" t="s">
        <v>21</v>
      </c>
      <c r="F151" t="s">
        <v>2018</v>
      </c>
      <c r="G151">
        <v>-5</v>
      </c>
      <c r="H151">
        <v>0</v>
      </c>
      <c r="I151">
        <v>0</v>
      </c>
    </row>
    <row r="152" spans="1:9" x14ac:dyDescent="0.25">
      <c r="A152" s="1">
        <v>43100</v>
      </c>
      <c r="B152" t="s">
        <v>570</v>
      </c>
      <c r="C152" t="s">
        <v>1404</v>
      </c>
      <c r="D152" t="s">
        <v>264</v>
      </c>
      <c r="E152" t="s">
        <v>21</v>
      </c>
      <c r="F152" t="s">
        <v>2018</v>
      </c>
      <c r="G152">
        <v>-39</v>
      </c>
      <c r="H152">
        <v>0</v>
      </c>
      <c r="I152">
        <v>0</v>
      </c>
    </row>
    <row r="153" spans="1:9" x14ac:dyDescent="0.25">
      <c r="A153" s="1">
        <v>43100</v>
      </c>
      <c r="B153" t="s">
        <v>571</v>
      </c>
      <c r="C153" t="s">
        <v>1407</v>
      </c>
      <c r="D153" t="s">
        <v>264</v>
      </c>
      <c r="E153" t="s">
        <v>21</v>
      </c>
      <c r="F153" t="s">
        <v>2018</v>
      </c>
      <c r="G153">
        <v>-1</v>
      </c>
      <c r="H153">
        <v>0</v>
      </c>
      <c r="I153">
        <v>0</v>
      </c>
    </row>
    <row r="154" spans="1:9" x14ac:dyDescent="0.25">
      <c r="A154" s="1">
        <v>43100</v>
      </c>
      <c r="B154" t="s">
        <v>573</v>
      </c>
      <c r="C154" t="s">
        <v>1409</v>
      </c>
      <c r="D154" t="s">
        <v>264</v>
      </c>
      <c r="E154" t="s">
        <v>21</v>
      </c>
      <c r="F154" t="s">
        <v>2018</v>
      </c>
      <c r="G154">
        <v>78</v>
      </c>
      <c r="H154">
        <v>0</v>
      </c>
      <c r="I154">
        <v>0</v>
      </c>
    </row>
    <row r="155" spans="1:9" x14ac:dyDescent="0.25">
      <c r="A155" s="1">
        <v>43100</v>
      </c>
      <c r="B155" t="s">
        <v>575</v>
      </c>
      <c r="C155" t="s">
        <v>1411</v>
      </c>
      <c r="D155" t="s">
        <v>264</v>
      </c>
      <c r="E155" t="s">
        <v>21</v>
      </c>
      <c r="F155" t="s">
        <v>2018</v>
      </c>
      <c r="G155">
        <v>623</v>
      </c>
      <c r="H155">
        <v>0</v>
      </c>
      <c r="I155">
        <v>0</v>
      </c>
    </row>
    <row r="156" spans="1:9" x14ac:dyDescent="0.25">
      <c r="A156" s="1">
        <v>43100</v>
      </c>
      <c r="B156" t="s">
        <v>576</v>
      </c>
      <c r="C156" t="s">
        <v>1412</v>
      </c>
      <c r="D156" t="s">
        <v>264</v>
      </c>
      <c r="E156" t="s">
        <v>21</v>
      </c>
      <c r="F156" t="s">
        <v>2018</v>
      </c>
      <c r="G156">
        <v>33</v>
      </c>
      <c r="H156">
        <v>0</v>
      </c>
      <c r="I156">
        <v>0</v>
      </c>
    </row>
    <row r="157" spans="1:9" x14ac:dyDescent="0.25">
      <c r="A157" s="1">
        <v>43100</v>
      </c>
      <c r="B157" t="s">
        <v>577</v>
      </c>
      <c r="C157" t="s">
        <v>1413</v>
      </c>
      <c r="D157" t="s">
        <v>264</v>
      </c>
      <c r="E157" t="s">
        <v>21</v>
      </c>
      <c r="F157" t="s">
        <v>2018</v>
      </c>
      <c r="G157">
        <v>327</v>
      </c>
      <c r="H157">
        <v>0</v>
      </c>
      <c r="I157">
        <v>0</v>
      </c>
    </row>
    <row r="158" spans="1:9" x14ac:dyDescent="0.25">
      <c r="A158" s="1">
        <v>43100</v>
      </c>
      <c r="B158" t="s">
        <v>578</v>
      </c>
      <c r="C158" t="s">
        <v>1414</v>
      </c>
      <c r="D158" t="s">
        <v>264</v>
      </c>
      <c r="E158" t="s">
        <v>21</v>
      </c>
      <c r="F158" t="s">
        <v>2018</v>
      </c>
      <c r="G158">
        <v>159</v>
      </c>
      <c r="H158">
        <v>0</v>
      </c>
      <c r="I158">
        <v>0</v>
      </c>
    </row>
    <row r="159" spans="1:9" ht="75" x14ac:dyDescent="0.25">
      <c r="A159" s="1">
        <v>43100</v>
      </c>
      <c r="B159" t="s">
        <v>579</v>
      </c>
      <c r="C159" s="15" t="s">
        <v>1415</v>
      </c>
      <c r="D159" t="s">
        <v>264</v>
      </c>
      <c r="E159" t="s">
        <v>21</v>
      </c>
      <c r="F159" t="s">
        <v>2018</v>
      </c>
      <c r="G159">
        <v>-15</v>
      </c>
      <c r="H159">
        <v>0</v>
      </c>
      <c r="I159">
        <v>0</v>
      </c>
    </row>
    <row r="160" spans="1:9" x14ac:dyDescent="0.25">
      <c r="A160" s="1">
        <v>43100</v>
      </c>
      <c r="B160" t="s">
        <v>580</v>
      </c>
      <c r="C160" t="s">
        <v>1416</v>
      </c>
      <c r="D160" t="s">
        <v>264</v>
      </c>
      <c r="E160" t="s">
        <v>21</v>
      </c>
      <c r="F160" t="s">
        <v>2018</v>
      </c>
      <c r="G160">
        <v>-450</v>
      </c>
      <c r="H160">
        <v>0</v>
      </c>
      <c r="I160">
        <v>0</v>
      </c>
    </row>
    <row r="161" spans="1:9" x14ac:dyDescent="0.25">
      <c r="A161" s="1">
        <v>43100</v>
      </c>
      <c r="B161" t="s">
        <v>581</v>
      </c>
      <c r="C161" t="s">
        <v>1417</v>
      </c>
      <c r="D161" t="s">
        <v>264</v>
      </c>
      <c r="E161" t="s">
        <v>21</v>
      </c>
      <c r="F161" t="s">
        <v>2018</v>
      </c>
      <c r="G161">
        <v>999</v>
      </c>
      <c r="H161">
        <v>0</v>
      </c>
      <c r="I161">
        <v>0</v>
      </c>
    </row>
    <row r="162" spans="1:9" x14ac:dyDescent="0.25">
      <c r="A162" s="1">
        <v>43100</v>
      </c>
      <c r="B162" t="s">
        <v>582</v>
      </c>
      <c r="C162" t="s">
        <v>1418</v>
      </c>
      <c r="D162" t="s">
        <v>264</v>
      </c>
      <c r="E162" t="s">
        <v>21</v>
      </c>
      <c r="F162" t="s">
        <v>2018</v>
      </c>
      <c r="G162">
        <v>998</v>
      </c>
      <c r="H162">
        <v>0</v>
      </c>
      <c r="I162">
        <v>0</v>
      </c>
    </row>
    <row r="163" spans="1:9" x14ac:dyDescent="0.25">
      <c r="A163" s="1">
        <v>43100</v>
      </c>
      <c r="B163" t="s">
        <v>583</v>
      </c>
      <c r="C163" t="s">
        <v>1419</v>
      </c>
      <c r="D163" t="s">
        <v>264</v>
      </c>
      <c r="E163" t="s">
        <v>21</v>
      </c>
      <c r="F163" t="s">
        <v>2018</v>
      </c>
      <c r="G163">
        <v>999</v>
      </c>
      <c r="H163">
        <v>0</v>
      </c>
      <c r="I163">
        <v>0</v>
      </c>
    </row>
    <row r="164" spans="1:9" x14ac:dyDescent="0.25">
      <c r="A164" s="1">
        <v>43100</v>
      </c>
      <c r="B164" t="s">
        <v>584</v>
      </c>
      <c r="C164" t="s">
        <v>1420</v>
      </c>
      <c r="D164" t="s">
        <v>264</v>
      </c>
      <c r="E164" t="s">
        <v>21</v>
      </c>
      <c r="F164" t="s">
        <v>2018</v>
      </c>
      <c r="G164">
        <v>2497</v>
      </c>
      <c r="H164">
        <v>0</v>
      </c>
      <c r="I164">
        <v>0</v>
      </c>
    </row>
    <row r="165" spans="1:9" x14ac:dyDescent="0.25">
      <c r="A165" s="1">
        <v>43100</v>
      </c>
      <c r="B165" t="s">
        <v>585</v>
      </c>
      <c r="C165" t="s">
        <v>1421</v>
      </c>
      <c r="D165" t="s">
        <v>264</v>
      </c>
      <c r="E165" t="s">
        <v>21</v>
      </c>
      <c r="F165" t="s">
        <v>2018</v>
      </c>
      <c r="G165">
        <v>4479</v>
      </c>
      <c r="H165">
        <v>0</v>
      </c>
      <c r="I165">
        <v>0</v>
      </c>
    </row>
    <row r="166" spans="1:9" x14ac:dyDescent="0.25">
      <c r="A166" s="1">
        <v>43100</v>
      </c>
      <c r="B166" t="s">
        <v>586</v>
      </c>
      <c r="C166" t="s">
        <v>1426</v>
      </c>
      <c r="D166" t="s">
        <v>264</v>
      </c>
      <c r="E166" t="s">
        <v>21</v>
      </c>
      <c r="F166" t="s">
        <v>2018</v>
      </c>
      <c r="G166">
        <v>242</v>
      </c>
      <c r="H166">
        <v>0</v>
      </c>
      <c r="I166">
        <v>0</v>
      </c>
    </row>
    <row r="167" spans="1:9" x14ac:dyDescent="0.25">
      <c r="A167" s="1">
        <v>43100</v>
      </c>
      <c r="B167" t="s">
        <v>587</v>
      </c>
      <c r="C167" t="s">
        <v>1427</v>
      </c>
      <c r="D167" t="s">
        <v>264</v>
      </c>
      <c r="E167" t="s">
        <v>21</v>
      </c>
      <c r="F167" t="s">
        <v>2018</v>
      </c>
      <c r="G167">
        <v>-4</v>
      </c>
      <c r="H167">
        <v>0</v>
      </c>
      <c r="I167">
        <v>0</v>
      </c>
    </row>
    <row r="168" spans="1:9" x14ac:dyDescent="0.25">
      <c r="A168" s="1">
        <v>43100</v>
      </c>
      <c r="B168" t="s">
        <v>588</v>
      </c>
      <c r="C168" t="s">
        <v>1428</v>
      </c>
      <c r="D168" t="s">
        <v>264</v>
      </c>
      <c r="E168" t="s">
        <v>21</v>
      </c>
      <c r="F168" t="s">
        <v>2018</v>
      </c>
      <c r="G168">
        <v>-3</v>
      </c>
      <c r="H168">
        <v>0</v>
      </c>
      <c r="I168">
        <v>0</v>
      </c>
    </row>
    <row r="169" spans="1:9" x14ac:dyDescent="0.25">
      <c r="A169" s="1">
        <v>43100</v>
      </c>
      <c r="B169" t="s">
        <v>589</v>
      </c>
      <c r="C169" t="s">
        <v>1431</v>
      </c>
      <c r="D169" t="s">
        <v>264</v>
      </c>
      <c r="E169" t="s">
        <v>21</v>
      </c>
      <c r="F169" t="s">
        <v>2018</v>
      </c>
      <c r="G169">
        <v>-6</v>
      </c>
      <c r="H169">
        <v>0</v>
      </c>
      <c r="I169">
        <v>0</v>
      </c>
    </row>
    <row r="170" spans="1:9" x14ac:dyDescent="0.25">
      <c r="A170" s="1">
        <v>43100</v>
      </c>
      <c r="B170" t="s">
        <v>590</v>
      </c>
      <c r="C170" t="s">
        <v>1432</v>
      </c>
      <c r="D170" t="s">
        <v>264</v>
      </c>
      <c r="E170" t="s">
        <v>2368</v>
      </c>
      <c r="F170" t="s">
        <v>2408</v>
      </c>
      <c r="G170">
        <v>46</v>
      </c>
      <c r="H170">
        <v>0</v>
      </c>
      <c r="I170">
        <v>0</v>
      </c>
    </row>
    <row r="171" spans="1:9" x14ac:dyDescent="0.25">
      <c r="A171" s="1">
        <v>43100</v>
      </c>
      <c r="B171" t="s">
        <v>591</v>
      </c>
      <c r="C171" t="s">
        <v>1433</v>
      </c>
      <c r="D171" t="s">
        <v>264</v>
      </c>
      <c r="E171" t="s">
        <v>21</v>
      </c>
      <c r="F171" t="s">
        <v>2018</v>
      </c>
      <c r="G171">
        <v>-1</v>
      </c>
      <c r="H171">
        <v>0</v>
      </c>
      <c r="I171">
        <v>0</v>
      </c>
    </row>
    <row r="172" spans="1:9" x14ac:dyDescent="0.25">
      <c r="A172" s="1">
        <v>43100</v>
      </c>
      <c r="B172" t="s">
        <v>592</v>
      </c>
      <c r="C172" t="s">
        <v>1434</v>
      </c>
      <c r="D172" t="s">
        <v>264</v>
      </c>
      <c r="E172" t="s">
        <v>21</v>
      </c>
      <c r="F172" t="s">
        <v>2018</v>
      </c>
      <c r="G172">
        <v>-4</v>
      </c>
      <c r="H172">
        <v>0</v>
      </c>
      <c r="I172">
        <v>0</v>
      </c>
    </row>
    <row r="173" spans="1:9" x14ac:dyDescent="0.25">
      <c r="A173" s="1">
        <v>43100</v>
      </c>
      <c r="B173" t="s">
        <v>593</v>
      </c>
      <c r="C173" t="s">
        <v>1435</v>
      </c>
      <c r="D173" t="s">
        <v>264</v>
      </c>
      <c r="E173" t="s">
        <v>21</v>
      </c>
      <c r="F173" t="s">
        <v>2018</v>
      </c>
      <c r="G173">
        <v>-1</v>
      </c>
      <c r="H173">
        <v>0</v>
      </c>
      <c r="I173">
        <v>0</v>
      </c>
    </row>
    <row r="174" spans="1:9" x14ac:dyDescent="0.25">
      <c r="A174" s="1">
        <v>43100</v>
      </c>
      <c r="B174" t="s">
        <v>594</v>
      </c>
      <c r="C174" t="s">
        <v>1436</v>
      </c>
      <c r="D174" t="s">
        <v>264</v>
      </c>
      <c r="E174" t="s">
        <v>21</v>
      </c>
      <c r="F174" t="s">
        <v>2018</v>
      </c>
      <c r="G174">
        <v>-217</v>
      </c>
      <c r="H174">
        <v>0</v>
      </c>
      <c r="I174">
        <v>0</v>
      </c>
    </row>
    <row r="175" spans="1:9" x14ac:dyDescent="0.25">
      <c r="A175" s="1">
        <v>43100</v>
      </c>
      <c r="B175" t="s">
        <v>595</v>
      </c>
      <c r="C175" t="s">
        <v>1439</v>
      </c>
      <c r="D175" t="s">
        <v>264</v>
      </c>
      <c r="E175" t="s">
        <v>21</v>
      </c>
      <c r="F175" t="s">
        <v>2018</v>
      </c>
      <c r="G175">
        <v>-50</v>
      </c>
      <c r="H175">
        <v>0</v>
      </c>
      <c r="I175">
        <v>0</v>
      </c>
    </row>
    <row r="176" spans="1:9" x14ac:dyDescent="0.25">
      <c r="A176" s="1">
        <v>43100</v>
      </c>
      <c r="B176" t="s">
        <v>596</v>
      </c>
      <c r="C176" t="s">
        <v>1440</v>
      </c>
      <c r="D176" t="s">
        <v>264</v>
      </c>
      <c r="E176" t="s">
        <v>21</v>
      </c>
      <c r="F176" t="s">
        <v>2018</v>
      </c>
      <c r="G176">
        <v>250</v>
      </c>
      <c r="H176">
        <v>0</v>
      </c>
      <c r="I176">
        <v>0</v>
      </c>
    </row>
    <row r="177" spans="1:9" x14ac:dyDescent="0.25">
      <c r="A177" s="1">
        <v>43100</v>
      </c>
      <c r="B177" t="s">
        <v>597</v>
      </c>
      <c r="C177" t="s">
        <v>1441</v>
      </c>
      <c r="D177" t="s">
        <v>264</v>
      </c>
      <c r="E177" t="s">
        <v>21</v>
      </c>
      <c r="F177" t="s">
        <v>2018</v>
      </c>
      <c r="G177">
        <v>620</v>
      </c>
      <c r="H177">
        <v>0</v>
      </c>
      <c r="I177">
        <v>0</v>
      </c>
    </row>
    <row r="178" spans="1:9" x14ac:dyDescent="0.25">
      <c r="A178" s="1">
        <v>43100</v>
      </c>
      <c r="B178" t="s">
        <v>598</v>
      </c>
      <c r="C178" t="s">
        <v>1444</v>
      </c>
      <c r="D178" t="s">
        <v>264</v>
      </c>
      <c r="E178" t="s">
        <v>21</v>
      </c>
      <c r="F178" t="s">
        <v>2018</v>
      </c>
      <c r="G178">
        <v>-10</v>
      </c>
      <c r="H178">
        <v>0</v>
      </c>
      <c r="I178">
        <v>0</v>
      </c>
    </row>
    <row r="179" spans="1:9" x14ac:dyDescent="0.25">
      <c r="A179" s="1">
        <v>43100</v>
      </c>
      <c r="B179" t="s">
        <v>599</v>
      </c>
      <c r="C179" t="s">
        <v>1445</v>
      </c>
      <c r="D179" t="s">
        <v>264</v>
      </c>
      <c r="E179" t="s">
        <v>21</v>
      </c>
      <c r="F179" t="s">
        <v>2018</v>
      </c>
      <c r="G179">
        <v>-7</v>
      </c>
      <c r="H179">
        <v>0</v>
      </c>
      <c r="I179">
        <v>0</v>
      </c>
    </row>
    <row r="180" spans="1:9" x14ac:dyDescent="0.25">
      <c r="A180" s="1">
        <v>43100</v>
      </c>
      <c r="B180" t="s">
        <v>600</v>
      </c>
      <c r="C180" t="s">
        <v>1446</v>
      </c>
      <c r="D180" t="s">
        <v>264</v>
      </c>
      <c r="E180" t="s">
        <v>21</v>
      </c>
      <c r="F180" t="s">
        <v>2018</v>
      </c>
      <c r="G180">
        <v>-10</v>
      </c>
      <c r="H180">
        <v>0</v>
      </c>
      <c r="I180">
        <v>0</v>
      </c>
    </row>
    <row r="181" spans="1:9" x14ac:dyDescent="0.25">
      <c r="A181" s="1">
        <v>43100</v>
      </c>
      <c r="B181" t="s">
        <v>602</v>
      </c>
      <c r="C181" t="s">
        <v>1448</v>
      </c>
      <c r="D181" t="s">
        <v>264</v>
      </c>
      <c r="E181" t="s">
        <v>21</v>
      </c>
      <c r="F181" t="s">
        <v>2018</v>
      </c>
      <c r="G181">
        <v>-1</v>
      </c>
      <c r="H181">
        <v>0</v>
      </c>
      <c r="I181">
        <v>0</v>
      </c>
    </row>
    <row r="182" spans="1:9" x14ac:dyDescent="0.25">
      <c r="A182" s="1">
        <v>43100</v>
      </c>
      <c r="B182" t="s">
        <v>603</v>
      </c>
      <c r="C182" t="s">
        <v>1449</v>
      </c>
      <c r="D182" t="s">
        <v>264</v>
      </c>
      <c r="E182" t="s">
        <v>21</v>
      </c>
      <c r="F182" t="s">
        <v>2018</v>
      </c>
      <c r="G182">
        <v>-24</v>
      </c>
      <c r="H182">
        <v>0</v>
      </c>
      <c r="I182">
        <v>0</v>
      </c>
    </row>
    <row r="183" spans="1:9" x14ac:dyDescent="0.25">
      <c r="A183" s="1">
        <v>43100</v>
      </c>
      <c r="B183" t="s">
        <v>604</v>
      </c>
      <c r="C183" t="s">
        <v>1450</v>
      </c>
      <c r="D183" t="s">
        <v>264</v>
      </c>
      <c r="E183" t="s">
        <v>21</v>
      </c>
      <c r="F183" t="s">
        <v>2018</v>
      </c>
      <c r="G183">
        <v>-1</v>
      </c>
      <c r="H183">
        <v>0</v>
      </c>
      <c r="I183">
        <v>0</v>
      </c>
    </row>
    <row r="184" spans="1:9" x14ac:dyDescent="0.25">
      <c r="A184" s="1">
        <v>43100</v>
      </c>
      <c r="B184" t="s">
        <v>606</v>
      </c>
      <c r="C184" t="s">
        <v>1452</v>
      </c>
      <c r="D184" t="s">
        <v>264</v>
      </c>
      <c r="E184" t="s">
        <v>21</v>
      </c>
      <c r="F184" t="s">
        <v>2018</v>
      </c>
      <c r="G184">
        <v>-54</v>
      </c>
      <c r="H184">
        <v>0</v>
      </c>
      <c r="I184">
        <v>0</v>
      </c>
    </row>
    <row r="185" spans="1:9" x14ac:dyDescent="0.25">
      <c r="A185" s="1">
        <v>43100</v>
      </c>
      <c r="B185" t="s">
        <v>19</v>
      </c>
      <c r="C185" t="s">
        <v>35</v>
      </c>
      <c r="D185" t="s">
        <v>264</v>
      </c>
      <c r="E185" t="s">
        <v>2409</v>
      </c>
      <c r="F185" t="s">
        <v>2410</v>
      </c>
      <c r="G185">
        <v>-24</v>
      </c>
      <c r="H185">
        <v>0</v>
      </c>
      <c r="I185">
        <v>0</v>
      </c>
    </row>
    <row r="186" spans="1:9" x14ac:dyDescent="0.25">
      <c r="A186" s="1">
        <v>43100</v>
      </c>
      <c r="B186" t="s">
        <v>1424</v>
      </c>
      <c r="C186" t="s">
        <v>1425</v>
      </c>
      <c r="D186" t="s">
        <v>264</v>
      </c>
      <c r="E186" t="s">
        <v>252</v>
      </c>
      <c r="F186" t="s">
        <v>2411</v>
      </c>
      <c r="G186">
        <v>-8</v>
      </c>
      <c r="H186">
        <v>0</v>
      </c>
      <c r="I186">
        <v>0</v>
      </c>
    </row>
    <row r="187" spans="1:9" x14ac:dyDescent="0.25">
      <c r="A187" s="1">
        <v>43100</v>
      </c>
      <c r="B187" t="s">
        <v>1459</v>
      </c>
      <c r="C187" t="s">
        <v>1460</v>
      </c>
      <c r="D187" t="s">
        <v>264</v>
      </c>
      <c r="E187" t="s">
        <v>252</v>
      </c>
      <c r="F187" t="s">
        <v>1516</v>
      </c>
      <c r="G187">
        <v>1</v>
      </c>
      <c r="H187">
        <v>0</v>
      </c>
      <c r="I187">
        <v>0</v>
      </c>
    </row>
    <row r="188" spans="1:9" x14ac:dyDescent="0.25">
      <c r="A188" s="1">
        <v>43100</v>
      </c>
      <c r="B188" t="s">
        <v>1461</v>
      </c>
      <c r="C188" t="s">
        <v>1462</v>
      </c>
      <c r="D188" t="s">
        <v>264</v>
      </c>
      <c r="E188" t="s">
        <v>252</v>
      </c>
      <c r="F188" t="s">
        <v>1518</v>
      </c>
      <c r="G188">
        <v>-1</v>
      </c>
      <c r="H188">
        <v>0</v>
      </c>
      <c r="I188">
        <v>0</v>
      </c>
    </row>
    <row r="189" spans="1:9" x14ac:dyDescent="0.25">
      <c r="A189" s="1">
        <v>43100</v>
      </c>
      <c r="B189" t="s">
        <v>1463</v>
      </c>
      <c r="C189" t="s">
        <v>1464</v>
      </c>
      <c r="D189" t="s">
        <v>264</v>
      </c>
      <c r="E189" t="s">
        <v>252</v>
      </c>
      <c r="F189" t="s">
        <v>1533</v>
      </c>
      <c r="G189">
        <v>-1</v>
      </c>
      <c r="H189">
        <v>0</v>
      </c>
      <c r="I189">
        <v>0</v>
      </c>
    </row>
    <row r="190" spans="1:9" x14ac:dyDescent="0.25">
      <c r="A190" s="1">
        <v>43100</v>
      </c>
      <c r="B190" t="s">
        <v>1455</v>
      </c>
      <c r="C190" t="s">
        <v>1456</v>
      </c>
      <c r="D190" t="s">
        <v>264</v>
      </c>
      <c r="E190" t="s">
        <v>252</v>
      </c>
      <c r="F190" t="s">
        <v>1544</v>
      </c>
      <c r="G190">
        <v>-1</v>
      </c>
      <c r="H190">
        <v>0</v>
      </c>
      <c r="I190">
        <v>0</v>
      </c>
    </row>
    <row r="191" spans="1:9" x14ac:dyDescent="0.25">
      <c r="A191" s="1">
        <v>43100</v>
      </c>
      <c r="B191" t="s">
        <v>224</v>
      </c>
      <c r="C191" t="s">
        <v>225</v>
      </c>
      <c r="D191" t="s">
        <v>264</v>
      </c>
      <c r="E191" t="s">
        <v>252</v>
      </c>
      <c r="F191" t="s">
        <v>2412</v>
      </c>
      <c r="G191">
        <v>-3</v>
      </c>
      <c r="H191">
        <v>0</v>
      </c>
      <c r="I191">
        <v>0</v>
      </c>
    </row>
    <row r="192" spans="1:9" x14ac:dyDescent="0.25">
      <c r="A192" s="1">
        <v>43100</v>
      </c>
      <c r="B192" t="s">
        <v>222</v>
      </c>
      <c r="C192" t="s">
        <v>223</v>
      </c>
      <c r="D192" t="s">
        <v>264</v>
      </c>
      <c r="E192" t="s">
        <v>252</v>
      </c>
      <c r="F192" t="s">
        <v>2413</v>
      </c>
      <c r="G192">
        <v>-9</v>
      </c>
      <c r="H192">
        <v>0</v>
      </c>
      <c r="I192">
        <v>0</v>
      </c>
    </row>
    <row r="193" spans="1:9" x14ac:dyDescent="0.25">
      <c r="A193" s="1">
        <v>43100</v>
      </c>
      <c r="B193" t="s">
        <v>994</v>
      </c>
      <c r="C193" t="s">
        <v>995</v>
      </c>
      <c r="D193" t="s">
        <v>264</v>
      </c>
      <c r="E193" t="s">
        <v>252</v>
      </c>
      <c r="F193" t="s">
        <v>2414</v>
      </c>
      <c r="G193">
        <v>-31760</v>
      </c>
      <c r="H193">
        <v>0</v>
      </c>
      <c r="I193">
        <v>0</v>
      </c>
    </row>
    <row r="194" spans="1:9" x14ac:dyDescent="0.25">
      <c r="A194" s="1">
        <v>43100</v>
      </c>
      <c r="B194" t="s">
        <v>186</v>
      </c>
      <c r="C194" t="s">
        <v>187</v>
      </c>
      <c r="D194" t="s">
        <v>290</v>
      </c>
      <c r="E194" t="s">
        <v>252</v>
      </c>
      <c r="F194" t="s">
        <v>2415</v>
      </c>
      <c r="G194">
        <v>-3256</v>
      </c>
      <c r="H194">
        <v>0</v>
      </c>
      <c r="I194">
        <v>0</v>
      </c>
    </row>
    <row r="195" spans="1:9" x14ac:dyDescent="0.25">
      <c r="A195" s="1">
        <v>43100</v>
      </c>
      <c r="B195" t="s">
        <v>188</v>
      </c>
      <c r="C195" t="s">
        <v>189</v>
      </c>
      <c r="D195" t="s">
        <v>290</v>
      </c>
      <c r="E195" t="s">
        <v>252</v>
      </c>
      <c r="F195" t="s">
        <v>2415</v>
      </c>
      <c r="G195">
        <v>-2</v>
      </c>
      <c r="H195">
        <v>0</v>
      </c>
      <c r="I195">
        <v>0</v>
      </c>
    </row>
    <row r="196" spans="1:9" x14ac:dyDescent="0.25">
      <c r="A196" s="1">
        <v>43100</v>
      </c>
      <c r="B196" t="s">
        <v>19</v>
      </c>
      <c r="C196" t="s">
        <v>35</v>
      </c>
      <c r="D196" t="s">
        <v>290</v>
      </c>
      <c r="E196" t="s">
        <v>252</v>
      </c>
      <c r="F196" t="s">
        <v>614</v>
      </c>
      <c r="G196">
        <v>-1</v>
      </c>
      <c r="H196">
        <v>0</v>
      </c>
      <c r="I196">
        <v>0</v>
      </c>
    </row>
    <row r="197" spans="1:9" x14ac:dyDescent="0.25">
      <c r="A197" s="1">
        <v>43100</v>
      </c>
      <c r="B197" t="s">
        <v>1453</v>
      </c>
      <c r="C197" t="s">
        <v>1454</v>
      </c>
      <c r="D197" t="s">
        <v>264</v>
      </c>
      <c r="E197" t="s">
        <v>252</v>
      </c>
      <c r="F197" t="s">
        <v>2416</v>
      </c>
      <c r="G197">
        <v>-2</v>
      </c>
      <c r="H197">
        <v>0</v>
      </c>
      <c r="I197">
        <v>0</v>
      </c>
    </row>
    <row r="198" spans="1:9" x14ac:dyDescent="0.25">
      <c r="A198" s="1">
        <v>43100</v>
      </c>
      <c r="B198" t="s">
        <v>1457</v>
      </c>
      <c r="C198" t="s">
        <v>1458</v>
      </c>
      <c r="D198" t="s">
        <v>264</v>
      </c>
      <c r="E198" t="s">
        <v>252</v>
      </c>
      <c r="F198" t="s">
        <v>2416</v>
      </c>
      <c r="G198">
        <v>-2</v>
      </c>
      <c r="H198">
        <v>0</v>
      </c>
      <c r="I198">
        <v>0</v>
      </c>
    </row>
    <row r="199" spans="1:9" x14ac:dyDescent="0.25">
      <c r="A199" s="1">
        <v>43100</v>
      </c>
      <c r="B199" t="s">
        <v>1143</v>
      </c>
      <c r="C199" t="s">
        <v>1144</v>
      </c>
      <c r="D199" t="s">
        <v>264</v>
      </c>
      <c r="E199" t="s">
        <v>2386</v>
      </c>
      <c r="F199" t="s">
        <v>2417</v>
      </c>
      <c r="G199">
        <v>25</v>
      </c>
      <c r="H199">
        <v>0</v>
      </c>
      <c r="I199">
        <v>0</v>
      </c>
    </row>
    <row r="200" spans="1:9" x14ac:dyDescent="0.25">
      <c r="A200" s="1">
        <v>43100</v>
      </c>
      <c r="B200" t="s">
        <v>1311</v>
      </c>
      <c r="C200" t="s">
        <v>1311</v>
      </c>
      <c r="D200" t="s">
        <v>264</v>
      </c>
      <c r="E200" t="s">
        <v>17</v>
      </c>
      <c r="F200" t="s">
        <v>2418</v>
      </c>
      <c r="G200">
        <v>3</v>
      </c>
      <c r="H200">
        <v>0</v>
      </c>
      <c r="I200">
        <v>0</v>
      </c>
    </row>
    <row r="201" spans="1:9" x14ac:dyDescent="0.25">
      <c r="A201" s="1">
        <v>43100</v>
      </c>
      <c r="B201" t="s">
        <v>1145</v>
      </c>
      <c r="C201" t="s">
        <v>1146</v>
      </c>
      <c r="D201" t="s">
        <v>264</v>
      </c>
      <c r="E201" t="s">
        <v>927</v>
      </c>
      <c r="F201" t="s">
        <v>2419</v>
      </c>
      <c r="G201">
        <v>-0.30019999999999997</v>
      </c>
      <c r="H201">
        <v>0</v>
      </c>
      <c r="I201">
        <v>0</v>
      </c>
    </row>
    <row r="202" spans="1:9" x14ac:dyDescent="0.25">
      <c r="A202" s="1">
        <v>43100</v>
      </c>
      <c r="B202" t="s">
        <v>1442</v>
      </c>
      <c r="C202" t="s">
        <v>1443</v>
      </c>
      <c r="D202" t="s">
        <v>264</v>
      </c>
      <c r="E202" t="s">
        <v>927</v>
      </c>
      <c r="F202" t="s">
        <v>2420</v>
      </c>
      <c r="G202">
        <v>-1271</v>
      </c>
      <c r="H202">
        <v>0</v>
      </c>
      <c r="I20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868"/>
  <sheetViews>
    <sheetView topLeftCell="A2" workbookViewId="0">
      <selection activeCell="A2" sqref="A2"/>
    </sheetView>
  </sheetViews>
  <sheetFormatPr defaultRowHeight="15" x14ac:dyDescent="0.25"/>
  <cols>
    <col min="1" max="1" width="14.42578125" customWidth="1"/>
    <col min="2" max="2" width="11.5703125" customWidth="1"/>
    <col min="3" max="3" width="14.42578125" customWidth="1"/>
    <col min="4" max="4" width="34.85546875" customWidth="1"/>
    <col min="5" max="5" width="6.7109375" customWidth="1"/>
    <col min="6" max="6" width="13.5703125" customWidth="1"/>
    <col min="7" max="7" width="14.85546875" customWidth="1"/>
    <col min="8" max="8" width="15.7109375" customWidth="1"/>
    <col min="9" max="9" width="11" customWidth="1"/>
    <col min="10" max="10" width="7.140625" customWidth="1"/>
    <col min="11" max="11" width="10.140625" customWidth="1"/>
    <col min="12" max="12" width="21.140625" customWidth="1"/>
    <col min="13" max="13" width="11.140625" customWidth="1"/>
    <col min="14" max="14" width="28.7109375" customWidth="1"/>
    <col min="15" max="15" width="13.5703125" bestFit="1" customWidth="1"/>
  </cols>
  <sheetData>
    <row r="1" spans="1:14" ht="22.5" x14ac:dyDescent="0.3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25">
      <c r="A2" s="3" t="s">
        <v>8</v>
      </c>
      <c r="B2" s="3" t="s">
        <v>9</v>
      </c>
      <c r="C2" s="3" t="s">
        <v>6</v>
      </c>
      <c r="D2" s="3" t="s">
        <v>30</v>
      </c>
      <c r="E2" s="3" t="s">
        <v>49</v>
      </c>
      <c r="F2" s="3" t="s">
        <v>50</v>
      </c>
      <c r="G2" s="5" t="s">
        <v>10</v>
      </c>
      <c r="H2" s="5" t="s">
        <v>11</v>
      </c>
      <c r="I2" s="3" t="s">
        <v>12</v>
      </c>
      <c r="J2" s="3" t="s">
        <v>36</v>
      </c>
      <c r="K2" s="3" t="s">
        <v>7</v>
      </c>
      <c r="L2" s="3" t="s">
        <v>152</v>
      </c>
      <c r="M2" s="3" t="s">
        <v>45</v>
      </c>
      <c r="N2" s="3" t="s">
        <v>92</v>
      </c>
    </row>
    <row r="3" spans="1:14" x14ac:dyDescent="0.25">
      <c r="A3" s="8" t="s">
        <v>252</v>
      </c>
      <c r="B3" s="8" t="s">
        <v>1465</v>
      </c>
      <c r="C3" s="8" t="s">
        <v>19</v>
      </c>
      <c r="D3" s="8" t="s">
        <v>35</v>
      </c>
      <c r="E3" s="8" t="s">
        <v>261</v>
      </c>
      <c r="F3" s="8" t="s">
        <v>262</v>
      </c>
      <c r="G3" s="6">
        <v>43082</v>
      </c>
      <c r="H3" s="6">
        <v>43082</v>
      </c>
      <c r="I3" s="4">
        <v>-1</v>
      </c>
      <c r="J3" s="8" t="s">
        <v>37</v>
      </c>
      <c r="K3" s="8" t="s">
        <v>1466</v>
      </c>
      <c r="L3" s="4" t="str">
        <f>IF(AtlasReport_1_Table_1[[#This Row],[Reference]]="Purchase order",_xll.AtlasFormulas.AtlasFunctions.AtlasTable("UAT",DataAreaId,"T.VendInvoiceTrans","%RecId","","","","","","","ItemId|PurchID|InventTransId",$C3,$B3,$K3),"")</f>
        <v/>
      </c>
      <c r="M3" s="4" t="str">
        <f>IF(AtlasReport_1_Table_1[[#This Row],[Reference]]="Purchase order",_xll.AtlasFormulas.AtlasFunctions.AtlasTable("UAT",DataAreaId,"T.MarkupTrans","%CurrencyCode","","","","","","","MarkupCode|TransRecId|TransTableId","TPP",$L3,"492"),"")</f>
        <v/>
      </c>
      <c r="N3" s="4" t="str">
        <f>IF(AtlasReport_1_Table_1[[#This Row],[Reference]]="Purchase order",_xll.AtlasFormulas.AtlasFunctions.AtlasBalance("UAT",DataAreaId,"T.MarkupTrans","Sum|Posted|0","","","","","","","MarkupCode|TransTableId|TransRecId","TPP","492",$L3),"")</f>
        <v/>
      </c>
    </row>
    <row r="4" spans="1:14" x14ac:dyDescent="0.25">
      <c r="A4" s="8" t="s">
        <v>252</v>
      </c>
      <c r="B4" s="8" t="s">
        <v>1467</v>
      </c>
      <c r="C4" s="8" t="s">
        <v>67</v>
      </c>
      <c r="D4" s="8" t="s">
        <v>907</v>
      </c>
      <c r="E4" s="8" t="s">
        <v>261</v>
      </c>
      <c r="F4" s="8" t="s">
        <v>262</v>
      </c>
      <c r="G4" s="6">
        <v>43081</v>
      </c>
      <c r="H4" s="6">
        <v>43082</v>
      </c>
      <c r="I4" s="4">
        <v>-56</v>
      </c>
      <c r="J4" s="8" t="s">
        <v>37</v>
      </c>
      <c r="K4" s="8" t="s">
        <v>1468</v>
      </c>
      <c r="L4" s="4" t="str">
        <f>IF(AtlasReport_1_Table_1[[#This Row],[Reference]]="Purchase order",_xll.AtlasFormulas.AtlasFunctions.AtlasTable("UAT",DataAreaId,"T.VendInvoiceTrans","%RecId","","","","","","","ItemId|PurchID|InventTransId",$C4,$B4,$K4),"")</f>
        <v/>
      </c>
      <c r="M4" s="4" t="str">
        <f>IF(AtlasReport_1_Table_1[[#This Row],[Reference]]="Purchase order",_xll.AtlasFormulas.AtlasFunctions.AtlasTable("UAT",DataAreaId,"T.MarkupTrans","%CurrencyCode","","","","","","","MarkupCode|TransRecId|TransTableId","TPP",$L4,"492"),"")</f>
        <v/>
      </c>
      <c r="N4" s="4" t="str">
        <f>IF(AtlasReport_1_Table_1[[#This Row],[Reference]]="Purchase order",_xll.AtlasFormulas.AtlasFunctions.AtlasBalance("UAT",DataAreaId,"T.MarkupTrans","Sum|Posted|0","","","","","","","MarkupCode|TransTableId|TransRecId","TPP","492",$L4),"")</f>
        <v/>
      </c>
    </row>
    <row r="5" spans="1:14" x14ac:dyDescent="0.25">
      <c r="A5" s="8" t="s">
        <v>252</v>
      </c>
      <c r="B5" s="8" t="s">
        <v>1469</v>
      </c>
      <c r="C5" s="8" t="s">
        <v>19</v>
      </c>
      <c r="D5" s="8" t="s">
        <v>35</v>
      </c>
      <c r="E5" s="8" t="s">
        <v>261</v>
      </c>
      <c r="F5" s="8" t="s">
        <v>262</v>
      </c>
      <c r="G5" s="6">
        <v>43083</v>
      </c>
      <c r="H5" s="6">
        <v>43087</v>
      </c>
      <c r="I5" s="4">
        <v>-1</v>
      </c>
      <c r="J5" s="8" t="s">
        <v>37</v>
      </c>
      <c r="K5" s="8" t="s">
        <v>1470</v>
      </c>
      <c r="L5" s="4" t="str">
        <f>IF(AtlasReport_1_Table_1[[#This Row],[Reference]]="Purchase order",_xll.AtlasFormulas.AtlasFunctions.AtlasTable("UAT",DataAreaId,"T.VendInvoiceTrans","%RecId","","","","","","","ItemId|PurchID|InventTransId",$C5,$B5,$K5),"")</f>
        <v/>
      </c>
      <c r="M5" s="4" t="str">
        <f>IF(AtlasReport_1_Table_1[[#This Row],[Reference]]="Purchase order",_xll.AtlasFormulas.AtlasFunctions.AtlasTable("UAT",DataAreaId,"T.MarkupTrans","%CurrencyCode","","","","","","","MarkupCode|TransRecId|TransTableId","TPP",$L5,"492"),"")</f>
        <v/>
      </c>
      <c r="N5" s="4" t="str">
        <f>IF(AtlasReport_1_Table_1[[#This Row],[Reference]]="Purchase order",_xll.AtlasFormulas.AtlasFunctions.AtlasBalance("UAT",DataAreaId,"T.MarkupTrans","Sum|Posted|0","","","","","","","MarkupCode|TransTableId|TransRecId","TPP","492",$L5),"")</f>
        <v/>
      </c>
    </row>
    <row r="6" spans="1:14" x14ac:dyDescent="0.25">
      <c r="A6" s="8" t="s">
        <v>252</v>
      </c>
      <c r="B6" s="8" t="s">
        <v>1471</v>
      </c>
      <c r="C6" s="8" t="s">
        <v>74</v>
      </c>
      <c r="D6" s="8" t="s">
        <v>200</v>
      </c>
      <c r="E6" s="8" t="s">
        <v>261</v>
      </c>
      <c r="F6" s="8" t="s">
        <v>262</v>
      </c>
      <c r="G6" s="6">
        <v>43074</v>
      </c>
      <c r="H6" s="6">
        <v>43074</v>
      </c>
      <c r="I6" s="4">
        <v>0</v>
      </c>
      <c r="J6" s="8" t="s">
        <v>39</v>
      </c>
      <c r="K6" s="8" t="s">
        <v>1472</v>
      </c>
      <c r="L6" s="4" t="str">
        <f>IF(AtlasReport_1_Table_1[[#This Row],[Reference]]="Purchase order",_xll.AtlasFormulas.AtlasFunctions.AtlasTable("UAT",DataAreaId,"T.VendInvoiceTrans","%RecId","","","","","","","ItemId|PurchID|InventTransId",$C6,$B6,$K6),"")</f>
        <v/>
      </c>
      <c r="M6" s="4" t="str">
        <f>IF(AtlasReport_1_Table_1[[#This Row],[Reference]]="Purchase order",_xll.AtlasFormulas.AtlasFunctions.AtlasTable("UAT",DataAreaId,"T.MarkupTrans","%CurrencyCode","","","","","","","MarkupCode|TransRecId|TransTableId","TPP",$L6,"492"),"")</f>
        <v/>
      </c>
      <c r="N6" s="4" t="str">
        <f>IF(AtlasReport_1_Table_1[[#This Row],[Reference]]="Purchase order",_xll.AtlasFormulas.AtlasFunctions.AtlasBalance("UAT",DataAreaId,"T.MarkupTrans","Sum|Posted|0","","","","","","","MarkupCode|TransTableId|TransRecId","TPP","492",$L6),"")</f>
        <v/>
      </c>
    </row>
    <row r="7" spans="1:14" x14ac:dyDescent="0.25">
      <c r="A7" s="8" t="s">
        <v>252</v>
      </c>
      <c r="B7" s="8" t="s">
        <v>1471</v>
      </c>
      <c r="C7" s="8" t="s">
        <v>74</v>
      </c>
      <c r="D7" s="8" t="s">
        <v>200</v>
      </c>
      <c r="E7" s="8" t="s">
        <v>261</v>
      </c>
      <c r="F7" s="8" t="s">
        <v>262</v>
      </c>
      <c r="G7" s="6">
        <v>43075</v>
      </c>
      <c r="H7" s="6">
        <v>43076</v>
      </c>
      <c r="I7" s="4">
        <v>-10050</v>
      </c>
      <c r="J7" s="8" t="s">
        <v>39</v>
      </c>
      <c r="K7" s="8" t="s">
        <v>1472</v>
      </c>
      <c r="L7" s="4" t="str">
        <f>IF(AtlasReport_1_Table_1[[#This Row],[Reference]]="Purchase order",_xll.AtlasFormulas.AtlasFunctions.AtlasTable("UAT",DataAreaId,"T.VendInvoiceTrans","%RecId","","","","","","","ItemId|PurchID|InventTransId",$C7,$B7,$K7),"")</f>
        <v/>
      </c>
      <c r="M7" s="4" t="str">
        <f>IF(AtlasReport_1_Table_1[[#This Row],[Reference]]="Purchase order",_xll.AtlasFormulas.AtlasFunctions.AtlasTable("UAT",DataAreaId,"T.MarkupTrans","%CurrencyCode","","","","","","","MarkupCode|TransRecId|TransTableId","TPP",$L7,"492"),"")</f>
        <v/>
      </c>
      <c r="N7" s="4" t="str">
        <f>IF(AtlasReport_1_Table_1[[#This Row],[Reference]]="Purchase order",_xll.AtlasFormulas.AtlasFunctions.AtlasBalance("UAT",DataAreaId,"T.MarkupTrans","Sum|Posted|0","","","","","","","MarkupCode|TransTableId|TransRecId","TPP","492",$L7),"")</f>
        <v/>
      </c>
    </row>
    <row r="8" spans="1:14" x14ac:dyDescent="0.25">
      <c r="A8" s="8" t="s">
        <v>252</v>
      </c>
      <c r="B8" s="8" t="s">
        <v>1473</v>
      </c>
      <c r="C8" s="8" t="s">
        <v>19</v>
      </c>
      <c r="D8" s="8" t="s">
        <v>35</v>
      </c>
      <c r="E8" s="8" t="s">
        <v>261</v>
      </c>
      <c r="F8" s="8" t="s">
        <v>262</v>
      </c>
      <c r="G8" s="6">
        <v>43076</v>
      </c>
      <c r="H8" s="6">
        <v>43076</v>
      </c>
      <c r="I8" s="4">
        <v>-1</v>
      </c>
      <c r="J8" s="8" t="s">
        <v>37</v>
      </c>
      <c r="K8" s="8" t="s">
        <v>1474</v>
      </c>
      <c r="L8" s="4" t="str">
        <f>IF(AtlasReport_1_Table_1[[#This Row],[Reference]]="Purchase order",_xll.AtlasFormulas.AtlasFunctions.AtlasTable("UAT",DataAreaId,"T.VendInvoiceTrans","%RecId","","","","","","","ItemId|PurchID|InventTransId",$C8,$B8,$K8),"")</f>
        <v/>
      </c>
      <c r="M8" s="4" t="str">
        <f>IF(AtlasReport_1_Table_1[[#This Row],[Reference]]="Purchase order",_xll.AtlasFormulas.AtlasFunctions.AtlasTable("UAT",DataAreaId,"T.MarkupTrans","%CurrencyCode","","","","","","","MarkupCode|TransRecId|TransTableId","TPP",$L8,"492"),"")</f>
        <v/>
      </c>
      <c r="N8" s="4" t="str">
        <f>IF(AtlasReport_1_Table_1[[#This Row],[Reference]]="Purchase order",_xll.AtlasFormulas.AtlasFunctions.AtlasBalance("UAT",DataAreaId,"T.MarkupTrans","Sum|Posted|0","","","","","","","MarkupCode|TransTableId|TransRecId","TPP","492",$L8),"")</f>
        <v/>
      </c>
    </row>
    <row r="9" spans="1:14" x14ac:dyDescent="0.25">
      <c r="A9" s="8" t="s">
        <v>252</v>
      </c>
      <c r="B9" s="8" t="s">
        <v>630</v>
      </c>
      <c r="C9" s="8" t="s">
        <v>25</v>
      </c>
      <c r="D9" s="8" t="s">
        <v>31</v>
      </c>
      <c r="E9" s="8" t="s">
        <v>261</v>
      </c>
      <c r="F9" s="8" t="s">
        <v>264</v>
      </c>
      <c r="G9" s="6">
        <v>43083</v>
      </c>
      <c r="H9" s="6">
        <v>43083</v>
      </c>
      <c r="I9" s="4">
        <v>-150</v>
      </c>
      <c r="J9" s="8" t="s">
        <v>38</v>
      </c>
      <c r="K9" s="8" t="s">
        <v>632</v>
      </c>
      <c r="L9" s="4" t="str">
        <f>IF(AtlasReport_1_Table_1[[#This Row],[Reference]]="Purchase order",_xll.AtlasFormulas.AtlasFunctions.AtlasTable("UAT",DataAreaId,"T.VendInvoiceTrans","%RecId","","","","","","","ItemId|PurchID|InventTransId",$C9,$B9,$K9),"")</f>
        <v/>
      </c>
      <c r="M9" s="4" t="str">
        <f>IF(AtlasReport_1_Table_1[[#This Row],[Reference]]="Purchase order",_xll.AtlasFormulas.AtlasFunctions.AtlasTable("UAT",DataAreaId,"T.MarkupTrans","%CurrencyCode","","","","","","","MarkupCode|TransRecId|TransTableId","TPP",$L9,"492"),"")</f>
        <v/>
      </c>
      <c r="N9" s="4" t="str">
        <f>IF(AtlasReport_1_Table_1[[#This Row],[Reference]]="Purchase order",_xll.AtlasFormulas.AtlasFunctions.AtlasBalance("UAT",DataAreaId,"T.MarkupTrans","Sum|Posted|0","","","","","","","MarkupCode|TransTableId|TransRecId","TPP","492",$L9),"")</f>
        <v/>
      </c>
    </row>
    <row r="10" spans="1:14" x14ac:dyDescent="0.25">
      <c r="A10" s="8" t="s">
        <v>252</v>
      </c>
      <c r="B10" s="8" t="s">
        <v>630</v>
      </c>
      <c r="C10" s="8" t="s">
        <v>111</v>
      </c>
      <c r="D10" s="8" t="s">
        <v>112</v>
      </c>
      <c r="E10" s="8" t="s">
        <v>261</v>
      </c>
      <c r="F10" s="8" t="s">
        <v>264</v>
      </c>
      <c r="G10" s="6">
        <v>43083</v>
      </c>
      <c r="H10" s="6">
        <v>43083</v>
      </c>
      <c r="I10" s="4">
        <v>-4100</v>
      </c>
      <c r="J10" s="8" t="s">
        <v>39</v>
      </c>
      <c r="K10" s="8" t="s">
        <v>725</v>
      </c>
      <c r="L10" s="4" t="str">
        <f>IF(AtlasReport_1_Table_1[[#This Row],[Reference]]="Purchase order",_xll.AtlasFormulas.AtlasFunctions.AtlasTable("UAT",DataAreaId,"T.VendInvoiceTrans","%RecId","","","","","","","ItemId|PurchID|InventTransId",$C10,$B10,$K10),"")</f>
        <v/>
      </c>
      <c r="M10" s="4" t="str">
        <f>IF(AtlasReport_1_Table_1[[#This Row],[Reference]]="Purchase order",_xll.AtlasFormulas.AtlasFunctions.AtlasTable("UAT",DataAreaId,"T.MarkupTrans","%CurrencyCode","","","","","","","MarkupCode|TransRecId|TransTableId","TPP",$L10,"492"),"")</f>
        <v/>
      </c>
      <c r="N10" s="4" t="str">
        <f>IF(AtlasReport_1_Table_1[[#This Row],[Reference]]="Purchase order",_xll.AtlasFormulas.AtlasFunctions.AtlasBalance("UAT",DataAreaId,"T.MarkupTrans","Sum|Posted|0","","","","","","","MarkupCode|TransTableId|TransRecId","TPP","492",$L10),"")</f>
        <v/>
      </c>
    </row>
    <row r="11" spans="1:14" x14ac:dyDescent="0.25">
      <c r="A11" s="8" t="s">
        <v>252</v>
      </c>
      <c r="B11" s="8" t="s">
        <v>630</v>
      </c>
      <c r="C11" s="8" t="s">
        <v>97</v>
      </c>
      <c r="D11" s="8" t="s">
        <v>98</v>
      </c>
      <c r="E11" s="8" t="s">
        <v>261</v>
      </c>
      <c r="F11" s="8" t="s">
        <v>264</v>
      </c>
      <c r="G11" s="6">
        <v>43083</v>
      </c>
      <c r="H11" s="6">
        <v>43083</v>
      </c>
      <c r="I11" s="4">
        <v>-1000</v>
      </c>
      <c r="J11" s="8" t="s">
        <v>39</v>
      </c>
      <c r="K11" s="8" t="s">
        <v>753</v>
      </c>
      <c r="L11" s="4" t="str">
        <f>IF(AtlasReport_1_Table_1[[#This Row],[Reference]]="Purchase order",_xll.AtlasFormulas.AtlasFunctions.AtlasTable("UAT",DataAreaId,"T.VendInvoiceTrans","%RecId","","","","","","","ItemId|PurchID|InventTransId",$C11,$B11,$K11),"")</f>
        <v/>
      </c>
      <c r="M11" s="4" t="str">
        <f>IF(AtlasReport_1_Table_1[[#This Row],[Reference]]="Purchase order",_xll.AtlasFormulas.AtlasFunctions.AtlasTable("UAT",DataAreaId,"T.MarkupTrans","%CurrencyCode","","","","","","","MarkupCode|TransRecId|TransTableId","TPP",$L11,"492"),"")</f>
        <v/>
      </c>
      <c r="N11" s="4" t="str">
        <f>IF(AtlasReport_1_Table_1[[#This Row],[Reference]]="Purchase order",_xll.AtlasFormulas.AtlasFunctions.AtlasBalance("UAT",DataAreaId,"T.MarkupTrans","Sum|Posted|0","","","","","","","MarkupCode|TransTableId|TransRecId","TPP","492",$L11),"")</f>
        <v/>
      </c>
    </row>
    <row r="12" spans="1:14" x14ac:dyDescent="0.25">
      <c r="A12" s="8" t="s">
        <v>252</v>
      </c>
      <c r="B12" s="8" t="s">
        <v>630</v>
      </c>
      <c r="C12" s="8" t="s">
        <v>106</v>
      </c>
      <c r="D12" s="8" t="s">
        <v>107</v>
      </c>
      <c r="E12" s="8" t="s">
        <v>261</v>
      </c>
      <c r="F12" s="8" t="s">
        <v>264</v>
      </c>
      <c r="G12" s="6">
        <v>43083</v>
      </c>
      <c r="H12" s="6">
        <v>43083</v>
      </c>
      <c r="I12" s="4">
        <v>-4000</v>
      </c>
      <c r="J12" s="8" t="s">
        <v>39</v>
      </c>
      <c r="K12" s="8" t="s">
        <v>783</v>
      </c>
      <c r="L12" s="4" t="str">
        <f>IF(AtlasReport_1_Table_1[[#This Row],[Reference]]="Purchase order",_xll.AtlasFormulas.AtlasFunctions.AtlasTable("UAT",DataAreaId,"T.VendInvoiceTrans","%RecId","","","","","","","ItemId|PurchID|InventTransId",$C12,$B12,$K12),"")</f>
        <v/>
      </c>
      <c r="M12" s="4" t="str">
        <f>IF(AtlasReport_1_Table_1[[#This Row],[Reference]]="Purchase order",_xll.AtlasFormulas.AtlasFunctions.AtlasTable("UAT",DataAreaId,"T.MarkupTrans","%CurrencyCode","","","","","","","MarkupCode|TransRecId|TransTableId","TPP",$L12,"492"),"")</f>
        <v/>
      </c>
      <c r="N12" s="4" t="str">
        <f>IF(AtlasReport_1_Table_1[[#This Row],[Reference]]="Purchase order",_xll.AtlasFormulas.AtlasFunctions.AtlasBalance("UAT",DataAreaId,"T.MarkupTrans","Sum|Posted|0","","","","","","","MarkupCode|TransTableId|TransRecId","TPP","492",$L12),"")</f>
        <v/>
      </c>
    </row>
    <row r="13" spans="1:14" x14ac:dyDescent="0.25">
      <c r="A13" s="8" t="s">
        <v>252</v>
      </c>
      <c r="B13" s="8" t="s">
        <v>630</v>
      </c>
      <c r="C13" s="8" t="s">
        <v>99</v>
      </c>
      <c r="D13" s="8" t="s">
        <v>100</v>
      </c>
      <c r="E13" s="8" t="s">
        <v>261</v>
      </c>
      <c r="F13" s="8" t="s">
        <v>264</v>
      </c>
      <c r="G13" s="6">
        <v>43083</v>
      </c>
      <c r="H13" s="6">
        <v>43083</v>
      </c>
      <c r="I13" s="4">
        <v>-3000</v>
      </c>
      <c r="J13" s="8" t="s">
        <v>39</v>
      </c>
      <c r="K13" s="8" t="s">
        <v>820</v>
      </c>
      <c r="L13" s="4" t="str">
        <f>IF(AtlasReport_1_Table_1[[#This Row],[Reference]]="Purchase order",_xll.AtlasFormulas.AtlasFunctions.AtlasTable("UAT",DataAreaId,"T.VendInvoiceTrans","%RecId","","","","","","","ItemId|PurchID|InventTransId",$C13,$B13,$K13),"")</f>
        <v/>
      </c>
      <c r="M13" s="4" t="str">
        <f>IF(AtlasReport_1_Table_1[[#This Row],[Reference]]="Purchase order",_xll.AtlasFormulas.AtlasFunctions.AtlasTable("UAT",DataAreaId,"T.MarkupTrans","%CurrencyCode","","","","","","","MarkupCode|TransRecId|TransTableId","TPP",$L13,"492"),"")</f>
        <v/>
      </c>
      <c r="N13" s="4" t="str">
        <f>IF(AtlasReport_1_Table_1[[#This Row],[Reference]]="Purchase order",_xll.AtlasFormulas.AtlasFunctions.AtlasBalance("UAT",DataAreaId,"T.MarkupTrans","Sum|Posted|0","","","","","","","MarkupCode|TransTableId|TransRecId","TPP","492",$L13),"")</f>
        <v/>
      </c>
    </row>
    <row r="14" spans="1:14" x14ac:dyDescent="0.25">
      <c r="A14" s="8" t="s">
        <v>252</v>
      </c>
      <c r="B14" s="8" t="s">
        <v>630</v>
      </c>
      <c r="C14" s="8" t="s">
        <v>19</v>
      </c>
      <c r="D14" s="8" t="s">
        <v>35</v>
      </c>
      <c r="E14" s="8" t="s">
        <v>261</v>
      </c>
      <c r="F14" s="8" t="s">
        <v>264</v>
      </c>
      <c r="G14" s="6">
        <v>43083</v>
      </c>
      <c r="H14" s="6">
        <v>43083</v>
      </c>
      <c r="I14" s="4">
        <v>-1</v>
      </c>
      <c r="J14" s="8" t="s">
        <v>37</v>
      </c>
      <c r="K14" s="8" t="s">
        <v>1475</v>
      </c>
      <c r="L14" s="4" t="str">
        <f>IF(AtlasReport_1_Table_1[[#This Row],[Reference]]="Purchase order",_xll.AtlasFormulas.AtlasFunctions.AtlasTable("UAT",DataAreaId,"T.VendInvoiceTrans","%RecId","","","","","","","ItemId|PurchID|InventTransId",$C14,$B14,$K14),"")</f>
        <v/>
      </c>
      <c r="M14" s="4" t="str">
        <f>IF(AtlasReport_1_Table_1[[#This Row],[Reference]]="Purchase order",_xll.AtlasFormulas.AtlasFunctions.AtlasTable("UAT",DataAreaId,"T.MarkupTrans","%CurrencyCode","","","","","","","MarkupCode|TransRecId|TransTableId","TPP",$L14,"492"),"")</f>
        <v/>
      </c>
      <c r="N14" s="4" t="str">
        <f>IF(AtlasReport_1_Table_1[[#This Row],[Reference]]="Purchase order",_xll.AtlasFormulas.AtlasFunctions.AtlasBalance("UAT",DataAreaId,"T.MarkupTrans","Sum|Posted|0","","","","","","","MarkupCode|TransTableId|TransRecId","TPP","492",$L14),"")</f>
        <v/>
      </c>
    </row>
    <row r="15" spans="1:14" x14ac:dyDescent="0.25">
      <c r="A15" s="8" t="s">
        <v>252</v>
      </c>
      <c r="B15" s="8" t="s">
        <v>885</v>
      </c>
      <c r="C15" s="8" t="s">
        <v>119</v>
      </c>
      <c r="D15" s="8" t="s">
        <v>1027</v>
      </c>
      <c r="E15" s="8" t="s">
        <v>261</v>
      </c>
      <c r="F15" s="8" t="s">
        <v>264</v>
      </c>
      <c r="G15" s="6">
        <v>43070</v>
      </c>
      <c r="H15" s="6">
        <v>43075</v>
      </c>
      <c r="I15" s="4">
        <v>-4</v>
      </c>
      <c r="J15" s="8" t="s">
        <v>37</v>
      </c>
      <c r="K15" s="8" t="s">
        <v>1476</v>
      </c>
      <c r="L15" s="4" t="str">
        <f>IF(AtlasReport_1_Table_1[[#This Row],[Reference]]="Purchase order",_xll.AtlasFormulas.AtlasFunctions.AtlasTable("UAT",DataAreaId,"T.VendInvoiceTrans","%RecId","","","","","","","ItemId|PurchID|InventTransId",$C15,$B15,$K15),"")</f>
        <v/>
      </c>
      <c r="M15" s="4" t="str">
        <f>IF(AtlasReport_1_Table_1[[#This Row],[Reference]]="Purchase order",_xll.AtlasFormulas.AtlasFunctions.AtlasTable("UAT",DataAreaId,"T.MarkupTrans","%CurrencyCode","","","","","","","MarkupCode|TransRecId|TransTableId","TPP",$L15,"492"),"")</f>
        <v/>
      </c>
      <c r="N15" s="4" t="str">
        <f>IF(AtlasReport_1_Table_1[[#This Row],[Reference]]="Purchase order",_xll.AtlasFormulas.AtlasFunctions.AtlasBalance("UAT",DataAreaId,"T.MarkupTrans","Sum|Posted|0","","","","","","","MarkupCode|TransTableId|TransRecId","TPP","492",$L15),"")</f>
        <v/>
      </c>
    </row>
    <row r="16" spans="1:14" x14ac:dyDescent="0.25">
      <c r="A16" s="8" t="s">
        <v>252</v>
      </c>
      <c r="B16" s="8" t="s">
        <v>885</v>
      </c>
      <c r="C16" s="8" t="s">
        <v>103</v>
      </c>
      <c r="D16" s="8" t="s">
        <v>104</v>
      </c>
      <c r="E16" s="8" t="s">
        <v>261</v>
      </c>
      <c r="F16" s="8" t="s">
        <v>264</v>
      </c>
      <c r="G16" s="6">
        <v>43070</v>
      </c>
      <c r="H16" s="6">
        <v>43075</v>
      </c>
      <c r="I16" s="4">
        <v>-1</v>
      </c>
      <c r="J16" s="8" t="s">
        <v>37</v>
      </c>
      <c r="K16" s="8" t="s">
        <v>1477</v>
      </c>
      <c r="L16" s="4" t="str">
        <f>IF(AtlasReport_1_Table_1[[#This Row],[Reference]]="Purchase order",_xll.AtlasFormulas.AtlasFunctions.AtlasTable("UAT",DataAreaId,"T.VendInvoiceTrans","%RecId","","","","","","","ItemId|PurchID|InventTransId",$C16,$B16,$K16),"")</f>
        <v/>
      </c>
      <c r="M16" s="4" t="str">
        <f>IF(AtlasReport_1_Table_1[[#This Row],[Reference]]="Purchase order",_xll.AtlasFormulas.AtlasFunctions.AtlasTable("UAT",DataAreaId,"T.MarkupTrans","%CurrencyCode","","","","","","","MarkupCode|TransRecId|TransTableId","TPP",$L16,"492"),"")</f>
        <v/>
      </c>
      <c r="N16" s="4" t="str">
        <f>IF(AtlasReport_1_Table_1[[#This Row],[Reference]]="Purchase order",_xll.AtlasFormulas.AtlasFunctions.AtlasBalance("UAT",DataAreaId,"T.MarkupTrans","Sum|Posted|0","","","","","","","MarkupCode|TransTableId|TransRecId","TPP","492",$L16),"")</f>
        <v/>
      </c>
    </row>
    <row r="17" spans="1:14" x14ac:dyDescent="0.25">
      <c r="A17" s="8" t="s">
        <v>252</v>
      </c>
      <c r="B17" s="8" t="s">
        <v>885</v>
      </c>
      <c r="C17" s="8" t="s">
        <v>79</v>
      </c>
      <c r="D17" s="8" t="s">
        <v>206</v>
      </c>
      <c r="E17" s="8" t="s">
        <v>261</v>
      </c>
      <c r="F17" s="8" t="s">
        <v>264</v>
      </c>
      <c r="G17" s="6">
        <v>43070</v>
      </c>
      <c r="H17" s="6">
        <v>43075</v>
      </c>
      <c r="I17" s="4">
        <v>-1</v>
      </c>
      <c r="J17" s="8" t="s">
        <v>37</v>
      </c>
      <c r="K17" s="8" t="s">
        <v>1478</v>
      </c>
      <c r="L17" s="4" t="str">
        <f>IF(AtlasReport_1_Table_1[[#This Row],[Reference]]="Purchase order",_xll.AtlasFormulas.AtlasFunctions.AtlasTable("UAT",DataAreaId,"T.VendInvoiceTrans","%RecId","","","","","","","ItemId|PurchID|InventTransId",$C17,$B17,$K17),"")</f>
        <v/>
      </c>
      <c r="M17" s="4" t="str">
        <f>IF(AtlasReport_1_Table_1[[#This Row],[Reference]]="Purchase order",_xll.AtlasFormulas.AtlasFunctions.AtlasTable("UAT",DataAreaId,"T.MarkupTrans","%CurrencyCode","","","","","","","MarkupCode|TransRecId|TransTableId","TPP",$L17,"492"),"")</f>
        <v/>
      </c>
      <c r="N17" s="4" t="str">
        <f>IF(AtlasReport_1_Table_1[[#This Row],[Reference]]="Purchase order",_xll.AtlasFormulas.AtlasFunctions.AtlasBalance("UAT",DataAreaId,"T.MarkupTrans","Sum|Posted|0","","","","","","","MarkupCode|TransTableId|TransRecId","TPP","492",$L17),"")</f>
        <v/>
      </c>
    </row>
    <row r="18" spans="1:14" x14ac:dyDescent="0.25">
      <c r="A18" s="8" t="s">
        <v>252</v>
      </c>
      <c r="B18" s="8" t="s">
        <v>885</v>
      </c>
      <c r="C18" s="8" t="s">
        <v>23</v>
      </c>
      <c r="D18" s="8" t="s">
        <v>883</v>
      </c>
      <c r="E18" s="8" t="s">
        <v>261</v>
      </c>
      <c r="F18" s="8" t="s">
        <v>264</v>
      </c>
      <c r="G18" s="6">
        <v>43070</v>
      </c>
      <c r="H18" s="6">
        <v>43075</v>
      </c>
      <c r="I18" s="4">
        <v>-2</v>
      </c>
      <c r="J18" s="8" t="s">
        <v>37</v>
      </c>
      <c r="K18" s="8" t="s">
        <v>887</v>
      </c>
      <c r="L18" s="4" t="str">
        <f>IF(AtlasReport_1_Table_1[[#This Row],[Reference]]="Purchase order",_xll.AtlasFormulas.AtlasFunctions.AtlasTable("UAT",DataAreaId,"T.VendInvoiceTrans","%RecId","","","","","","","ItemId|PurchID|InventTransId",$C18,$B18,$K18),"")</f>
        <v/>
      </c>
      <c r="M18" s="4" t="str">
        <f>IF(AtlasReport_1_Table_1[[#This Row],[Reference]]="Purchase order",_xll.AtlasFormulas.AtlasFunctions.AtlasTable("UAT",DataAreaId,"T.MarkupTrans","%CurrencyCode","","","","","","","MarkupCode|TransRecId|TransTableId","TPP",$L18,"492"),"")</f>
        <v/>
      </c>
      <c r="N18" s="4" t="str">
        <f>IF(AtlasReport_1_Table_1[[#This Row],[Reference]]="Purchase order",_xll.AtlasFormulas.AtlasFunctions.AtlasBalance("UAT",DataAreaId,"T.MarkupTrans","Sum|Posted|0","","","","","","","MarkupCode|TransTableId|TransRecId","TPP","492",$L18),"")</f>
        <v/>
      </c>
    </row>
    <row r="19" spans="1:14" x14ac:dyDescent="0.25">
      <c r="A19" s="8" t="s">
        <v>252</v>
      </c>
      <c r="B19" s="8" t="s">
        <v>885</v>
      </c>
      <c r="C19" s="8" t="s">
        <v>19</v>
      </c>
      <c r="D19" s="8" t="s">
        <v>35</v>
      </c>
      <c r="E19" s="8" t="s">
        <v>261</v>
      </c>
      <c r="F19" s="8" t="s">
        <v>264</v>
      </c>
      <c r="G19" s="6">
        <v>43070</v>
      </c>
      <c r="H19" s="6">
        <v>43075</v>
      </c>
      <c r="I19" s="4">
        <v>-1</v>
      </c>
      <c r="J19" s="8" t="s">
        <v>37</v>
      </c>
      <c r="K19" s="8" t="s">
        <v>1479</v>
      </c>
      <c r="L19" s="4" t="str">
        <f>IF(AtlasReport_1_Table_1[[#This Row],[Reference]]="Purchase order",_xll.AtlasFormulas.AtlasFunctions.AtlasTable("UAT",DataAreaId,"T.VendInvoiceTrans","%RecId","","","","","","","ItemId|PurchID|InventTransId",$C19,$B19,$K19),"")</f>
        <v/>
      </c>
      <c r="M19" s="4" t="str">
        <f>IF(AtlasReport_1_Table_1[[#This Row],[Reference]]="Purchase order",_xll.AtlasFormulas.AtlasFunctions.AtlasTable("UAT",DataAreaId,"T.MarkupTrans","%CurrencyCode","","","","","","","MarkupCode|TransRecId|TransTableId","TPP",$L19,"492"),"")</f>
        <v/>
      </c>
      <c r="N19" s="4" t="str">
        <f>IF(AtlasReport_1_Table_1[[#This Row],[Reference]]="Purchase order",_xll.AtlasFormulas.AtlasFunctions.AtlasBalance("UAT",DataAreaId,"T.MarkupTrans","Sum|Posted|0","","","","","","","MarkupCode|TransTableId|TransRecId","TPP","492",$L19),"")</f>
        <v/>
      </c>
    </row>
    <row r="20" spans="1:14" x14ac:dyDescent="0.25">
      <c r="A20" s="8" t="s">
        <v>252</v>
      </c>
      <c r="B20" s="8" t="s">
        <v>666</v>
      </c>
      <c r="C20" s="8" t="s">
        <v>26</v>
      </c>
      <c r="D20" s="8" t="s">
        <v>195</v>
      </c>
      <c r="E20" s="8" t="s">
        <v>261</v>
      </c>
      <c r="F20" s="8" t="s">
        <v>264</v>
      </c>
      <c r="G20" s="6">
        <v>43089</v>
      </c>
      <c r="H20" s="6">
        <v>43089</v>
      </c>
      <c r="I20" s="4">
        <v>-15</v>
      </c>
      <c r="J20" s="8" t="s">
        <v>38</v>
      </c>
      <c r="K20" s="8" t="s">
        <v>668</v>
      </c>
      <c r="L20" s="4" t="str">
        <f>IF(AtlasReport_1_Table_1[[#This Row],[Reference]]="Purchase order",_xll.AtlasFormulas.AtlasFunctions.AtlasTable("UAT",DataAreaId,"T.VendInvoiceTrans","%RecId","","","","","","","ItemId|PurchID|InventTransId",$C20,$B20,$K20),"")</f>
        <v/>
      </c>
      <c r="M20" s="4" t="str">
        <f>IF(AtlasReport_1_Table_1[[#This Row],[Reference]]="Purchase order",_xll.AtlasFormulas.AtlasFunctions.AtlasTable("UAT",DataAreaId,"T.MarkupTrans","%CurrencyCode","","","","","","","MarkupCode|TransRecId|TransTableId","TPP",$L20,"492"),"")</f>
        <v/>
      </c>
      <c r="N20" s="4" t="str">
        <f>IF(AtlasReport_1_Table_1[[#This Row],[Reference]]="Purchase order",_xll.AtlasFormulas.AtlasFunctions.AtlasBalance("UAT",DataAreaId,"T.MarkupTrans","Sum|Posted|0","","","","","","","MarkupCode|TransTableId|TransRecId","TPP","492",$L20),"")</f>
        <v/>
      </c>
    </row>
    <row r="21" spans="1:14" x14ac:dyDescent="0.25">
      <c r="A21" s="8" t="s">
        <v>252</v>
      </c>
      <c r="B21" s="8" t="s">
        <v>666</v>
      </c>
      <c r="C21" s="8" t="s">
        <v>77</v>
      </c>
      <c r="D21" s="8" t="s">
        <v>204</v>
      </c>
      <c r="E21" s="8" t="s">
        <v>261</v>
      </c>
      <c r="F21" s="8" t="s">
        <v>264</v>
      </c>
      <c r="G21" s="6">
        <v>43089</v>
      </c>
      <c r="H21" s="6">
        <v>43089</v>
      </c>
      <c r="I21" s="4">
        <v>-90</v>
      </c>
      <c r="J21" s="8" t="s">
        <v>39</v>
      </c>
      <c r="K21" s="8" t="s">
        <v>865</v>
      </c>
      <c r="L21" s="4" t="str">
        <f>IF(AtlasReport_1_Table_1[[#This Row],[Reference]]="Purchase order",_xll.AtlasFormulas.AtlasFunctions.AtlasTable("UAT",DataAreaId,"T.VendInvoiceTrans","%RecId","","","","","","","ItemId|PurchID|InventTransId",$C21,$B21,$K21),"")</f>
        <v/>
      </c>
      <c r="M21" s="4" t="str">
        <f>IF(AtlasReport_1_Table_1[[#This Row],[Reference]]="Purchase order",_xll.AtlasFormulas.AtlasFunctions.AtlasTable("UAT",DataAreaId,"T.MarkupTrans","%CurrencyCode","","","","","","","MarkupCode|TransRecId|TransTableId","TPP",$L21,"492"),"")</f>
        <v/>
      </c>
      <c r="N21" s="4" t="str">
        <f>IF(AtlasReport_1_Table_1[[#This Row],[Reference]]="Purchase order",_xll.AtlasFormulas.AtlasFunctions.AtlasBalance("UAT",DataAreaId,"T.MarkupTrans","Sum|Posted|0","","","","","","","MarkupCode|TransTableId|TransRecId","TPP","492",$L21),"")</f>
        <v/>
      </c>
    </row>
    <row r="22" spans="1:14" x14ac:dyDescent="0.25">
      <c r="A22" s="8" t="s">
        <v>252</v>
      </c>
      <c r="B22" s="8" t="s">
        <v>666</v>
      </c>
      <c r="C22" s="8" t="s">
        <v>457</v>
      </c>
      <c r="D22" s="8" t="s">
        <v>1244</v>
      </c>
      <c r="E22" s="8" t="s">
        <v>261</v>
      </c>
      <c r="F22" s="8" t="s">
        <v>264</v>
      </c>
      <c r="G22" s="6">
        <v>43089</v>
      </c>
      <c r="H22" s="6">
        <v>43089</v>
      </c>
      <c r="I22" s="4">
        <v>-2</v>
      </c>
      <c r="J22" s="8" t="s">
        <v>37</v>
      </c>
      <c r="K22" s="8" t="s">
        <v>1480</v>
      </c>
      <c r="L22" s="4" t="str">
        <f>IF(AtlasReport_1_Table_1[[#This Row],[Reference]]="Purchase order",_xll.AtlasFormulas.AtlasFunctions.AtlasTable("UAT",DataAreaId,"T.VendInvoiceTrans","%RecId","","","","","","","ItemId|PurchID|InventTransId",$C22,$B22,$K22),"")</f>
        <v/>
      </c>
      <c r="M22" s="4" t="str">
        <f>IF(AtlasReport_1_Table_1[[#This Row],[Reference]]="Purchase order",_xll.AtlasFormulas.AtlasFunctions.AtlasTable("UAT",DataAreaId,"T.MarkupTrans","%CurrencyCode","","","","","","","MarkupCode|TransRecId|TransTableId","TPP",$L22,"492"),"")</f>
        <v/>
      </c>
      <c r="N22" s="4" t="str">
        <f>IF(AtlasReport_1_Table_1[[#This Row],[Reference]]="Purchase order",_xll.AtlasFormulas.AtlasFunctions.AtlasBalance("UAT",DataAreaId,"T.MarkupTrans","Sum|Posted|0","","","","","","","MarkupCode|TransTableId|TransRecId","TPP","492",$L22),"")</f>
        <v/>
      </c>
    </row>
    <row r="23" spans="1:14" x14ac:dyDescent="0.25">
      <c r="A23" s="8" t="s">
        <v>252</v>
      </c>
      <c r="B23" s="8" t="s">
        <v>666</v>
      </c>
      <c r="C23" s="8" t="s">
        <v>23</v>
      </c>
      <c r="D23" s="8" t="s">
        <v>883</v>
      </c>
      <c r="E23" s="8" t="s">
        <v>261</v>
      </c>
      <c r="F23" s="8" t="s">
        <v>264</v>
      </c>
      <c r="G23" s="6">
        <v>43089</v>
      </c>
      <c r="H23" s="6">
        <v>43089</v>
      </c>
      <c r="I23" s="4">
        <v>-11</v>
      </c>
      <c r="J23" s="8" t="s">
        <v>37</v>
      </c>
      <c r="K23" s="8" t="s">
        <v>903</v>
      </c>
      <c r="L23" s="4" t="str">
        <f>IF(AtlasReport_1_Table_1[[#This Row],[Reference]]="Purchase order",_xll.AtlasFormulas.AtlasFunctions.AtlasTable("UAT",DataAreaId,"T.VendInvoiceTrans","%RecId","","","","","","","ItemId|PurchID|InventTransId",$C23,$B23,$K23),"")</f>
        <v/>
      </c>
      <c r="M23" s="4" t="str">
        <f>IF(AtlasReport_1_Table_1[[#This Row],[Reference]]="Purchase order",_xll.AtlasFormulas.AtlasFunctions.AtlasTable("UAT",DataAreaId,"T.MarkupTrans","%CurrencyCode","","","","","","","MarkupCode|TransRecId|TransTableId","TPP",$L23,"492"),"")</f>
        <v/>
      </c>
      <c r="N23" s="4" t="str">
        <f>IF(AtlasReport_1_Table_1[[#This Row],[Reference]]="Purchase order",_xll.AtlasFormulas.AtlasFunctions.AtlasBalance("UAT",DataAreaId,"T.MarkupTrans","Sum|Posted|0","","","","","","","MarkupCode|TransTableId|TransRecId","TPP","492",$L23),"")</f>
        <v/>
      </c>
    </row>
    <row r="24" spans="1:14" ht="30" x14ac:dyDescent="0.25">
      <c r="A24" s="8" t="s">
        <v>252</v>
      </c>
      <c r="B24" s="8" t="s">
        <v>666</v>
      </c>
      <c r="C24" s="8" t="s">
        <v>242</v>
      </c>
      <c r="D24" s="11" t="s">
        <v>243</v>
      </c>
      <c r="E24" s="8" t="s">
        <v>261</v>
      </c>
      <c r="F24" s="8" t="s">
        <v>264</v>
      </c>
      <c r="G24" s="6">
        <v>43089</v>
      </c>
      <c r="H24" s="6">
        <v>43089</v>
      </c>
      <c r="I24" s="4">
        <v>-4</v>
      </c>
      <c r="J24" s="8" t="s">
        <v>37</v>
      </c>
      <c r="K24" s="8" t="s">
        <v>938</v>
      </c>
      <c r="L24" s="4" t="str">
        <f>IF(AtlasReport_1_Table_1[[#This Row],[Reference]]="Purchase order",_xll.AtlasFormulas.AtlasFunctions.AtlasTable("UAT",DataAreaId,"T.VendInvoiceTrans","%RecId","","","","","","","ItemId|PurchID|InventTransId",$C24,$B24,$K24),"")</f>
        <v/>
      </c>
      <c r="M24" s="4" t="str">
        <f>IF(AtlasReport_1_Table_1[[#This Row],[Reference]]="Purchase order",_xll.AtlasFormulas.AtlasFunctions.AtlasTable("UAT",DataAreaId,"T.MarkupTrans","%CurrencyCode","","","","","","","MarkupCode|TransRecId|TransTableId","TPP",$L24,"492"),"")</f>
        <v/>
      </c>
      <c r="N24" s="4" t="str">
        <f>IF(AtlasReport_1_Table_1[[#This Row],[Reference]]="Purchase order",_xll.AtlasFormulas.AtlasFunctions.AtlasBalance("UAT",DataAreaId,"T.MarkupTrans","Sum|Posted|0","","","","","","","MarkupCode|TransTableId|TransRecId","TPP","492",$L24),"")</f>
        <v/>
      </c>
    </row>
    <row r="25" spans="1:14" x14ac:dyDescent="0.25">
      <c r="A25" s="8" t="s">
        <v>252</v>
      </c>
      <c r="B25" s="8" t="s">
        <v>666</v>
      </c>
      <c r="C25" s="8" t="s">
        <v>19</v>
      </c>
      <c r="D25" s="8" t="s">
        <v>35</v>
      </c>
      <c r="E25" s="8" t="s">
        <v>261</v>
      </c>
      <c r="F25" s="8" t="s">
        <v>264</v>
      </c>
      <c r="G25" s="6">
        <v>43089</v>
      </c>
      <c r="H25" s="6">
        <v>43089</v>
      </c>
      <c r="I25" s="4">
        <v>-1</v>
      </c>
      <c r="J25" s="8" t="s">
        <v>37</v>
      </c>
      <c r="K25" s="8" t="s">
        <v>1481</v>
      </c>
      <c r="L25" s="4" t="str">
        <f>IF(AtlasReport_1_Table_1[[#This Row],[Reference]]="Purchase order",_xll.AtlasFormulas.AtlasFunctions.AtlasTable("UAT",DataAreaId,"T.VendInvoiceTrans","%RecId","","","","","","","ItemId|PurchID|InventTransId",$C25,$B25,$K25),"")</f>
        <v/>
      </c>
      <c r="M25" s="4" t="str">
        <f>IF(AtlasReport_1_Table_1[[#This Row],[Reference]]="Purchase order",_xll.AtlasFormulas.AtlasFunctions.AtlasTable("UAT",DataAreaId,"T.MarkupTrans","%CurrencyCode","","","","","","","MarkupCode|TransRecId|TransTableId","TPP",$L25,"492"),"")</f>
        <v/>
      </c>
      <c r="N25" s="4" t="str">
        <f>IF(AtlasReport_1_Table_1[[#This Row],[Reference]]="Purchase order",_xll.AtlasFormulas.AtlasFunctions.AtlasBalance("UAT",DataAreaId,"T.MarkupTrans","Sum|Posted|0","","","","","","","MarkupCode|TransTableId|TransRecId","TPP","492",$L25),"")</f>
        <v/>
      </c>
    </row>
    <row r="26" spans="1:14" x14ac:dyDescent="0.25">
      <c r="A26" s="8" t="s">
        <v>252</v>
      </c>
      <c r="B26" s="8" t="s">
        <v>1482</v>
      </c>
      <c r="C26" s="8" t="s">
        <v>428</v>
      </c>
      <c r="D26" s="8" t="s">
        <v>1173</v>
      </c>
      <c r="E26" s="8" t="s">
        <v>261</v>
      </c>
      <c r="F26" s="8" t="s">
        <v>264</v>
      </c>
      <c r="G26" s="6">
        <v>43070</v>
      </c>
      <c r="H26" s="6">
        <v>43075</v>
      </c>
      <c r="I26" s="4">
        <v>-1</v>
      </c>
      <c r="J26" s="8" t="s">
        <v>37</v>
      </c>
      <c r="K26" s="8" t="s">
        <v>1483</v>
      </c>
      <c r="L26" s="4" t="str">
        <f>IF(AtlasReport_1_Table_1[[#This Row],[Reference]]="Purchase order",_xll.AtlasFormulas.AtlasFunctions.AtlasTable("UAT",DataAreaId,"T.VendInvoiceTrans","%RecId","","","","","","","ItemId|PurchID|InventTransId",$C26,$B26,$K26),"")</f>
        <v/>
      </c>
      <c r="M26" s="4" t="str">
        <f>IF(AtlasReport_1_Table_1[[#This Row],[Reference]]="Purchase order",_xll.AtlasFormulas.AtlasFunctions.AtlasTable("UAT",DataAreaId,"T.MarkupTrans","%CurrencyCode","","","","","","","MarkupCode|TransRecId|TransTableId","TPP",$L26,"492"),"")</f>
        <v/>
      </c>
      <c r="N26" s="4" t="str">
        <f>IF(AtlasReport_1_Table_1[[#This Row],[Reference]]="Purchase order",_xll.AtlasFormulas.AtlasFunctions.AtlasBalance("UAT",DataAreaId,"T.MarkupTrans","Sum|Posted|0","","","","","","","MarkupCode|TransTableId|TransRecId","TPP","492",$L26),"")</f>
        <v/>
      </c>
    </row>
    <row r="27" spans="1:14" x14ac:dyDescent="0.25">
      <c r="A27" s="8" t="s">
        <v>252</v>
      </c>
      <c r="B27" s="8" t="s">
        <v>1482</v>
      </c>
      <c r="C27" s="8" t="s">
        <v>551</v>
      </c>
      <c r="D27" s="8" t="s">
        <v>1368</v>
      </c>
      <c r="E27" s="8" t="s">
        <v>261</v>
      </c>
      <c r="F27" s="8" t="s">
        <v>264</v>
      </c>
      <c r="G27" s="6">
        <v>43070</v>
      </c>
      <c r="H27" s="6">
        <v>43075</v>
      </c>
      <c r="I27" s="4">
        <v>-2</v>
      </c>
      <c r="J27" s="8" t="s">
        <v>37</v>
      </c>
      <c r="K27" s="8" t="s">
        <v>1484</v>
      </c>
      <c r="L27" s="4" t="str">
        <f>IF(AtlasReport_1_Table_1[[#This Row],[Reference]]="Purchase order",_xll.AtlasFormulas.AtlasFunctions.AtlasTable("UAT",DataAreaId,"T.VendInvoiceTrans","%RecId","","","","","","","ItemId|PurchID|InventTransId",$C27,$B27,$K27),"")</f>
        <v/>
      </c>
      <c r="M27" s="4" t="str">
        <f>IF(AtlasReport_1_Table_1[[#This Row],[Reference]]="Purchase order",_xll.AtlasFormulas.AtlasFunctions.AtlasTable("UAT",DataAreaId,"T.MarkupTrans","%CurrencyCode","","","","","","","MarkupCode|TransRecId|TransTableId","TPP",$L27,"492"),"")</f>
        <v/>
      </c>
      <c r="N27" s="4" t="str">
        <f>IF(AtlasReport_1_Table_1[[#This Row],[Reference]]="Purchase order",_xll.AtlasFormulas.AtlasFunctions.AtlasBalance("UAT",DataAreaId,"T.MarkupTrans","Sum|Posted|0","","","","","","","MarkupCode|TransTableId|TransRecId","TPP","492",$L27),"")</f>
        <v/>
      </c>
    </row>
    <row r="28" spans="1:14" x14ac:dyDescent="0.25">
      <c r="A28" s="8" t="s">
        <v>252</v>
      </c>
      <c r="B28" s="8" t="s">
        <v>1482</v>
      </c>
      <c r="C28" s="8" t="s">
        <v>105</v>
      </c>
      <c r="D28" s="8" t="s">
        <v>212</v>
      </c>
      <c r="E28" s="8" t="s">
        <v>261</v>
      </c>
      <c r="F28" s="8" t="s">
        <v>264</v>
      </c>
      <c r="G28" s="6">
        <v>43070</v>
      </c>
      <c r="H28" s="6">
        <v>43075</v>
      </c>
      <c r="I28" s="4">
        <v>-3</v>
      </c>
      <c r="J28" s="8" t="s">
        <v>37</v>
      </c>
      <c r="K28" s="8" t="s">
        <v>1485</v>
      </c>
      <c r="L28" s="4" t="str">
        <f>IF(AtlasReport_1_Table_1[[#This Row],[Reference]]="Purchase order",_xll.AtlasFormulas.AtlasFunctions.AtlasTable("UAT",DataAreaId,"T.VendInvoiceTrans","%RecId","","","","","","","ItemId|PurchID|InventTransId",$C28,$B28,$K28),"")</f>
        <v/>
      </c>
      <c r="M28" s="4" t="str">
        <f>IF(AtlasReport_1_Table_1[[#This Row],[Reference]]="Purchase order",_xll.AtlasFormulas.AtlasFunctions.AtlasTable("UAT",DataAreaId,"T.MarkupTrans","%CurrencyCode","","","","","","","MarkupCode|TransRecId|TransTableId","TPP",$L28,"492"),"")</f>
        <v/>
      </c>
      <c r="N28" s="4" t="str">
        <f>IF(AtlasReport_1_Table_1[[#This Row],[Reference]]="Purchase order",_xll.AtlasFormulas.AtlasFunctions.AtlasBalance("UAT",DataAreaId,"T.MarkupTrans","Sum|Posted|0","","","","","","","MarkupCode|TransTableId|TransRecId","TPP","492",$L28),"")</f>
        <v/>
      </c>
    </row>
    <row r="29" spans="1:14" x14ac:dyDescent="0.25">
      <c r="A29" s="8" t="s">
        <v>252</v>
      </c>
      <c r="B29" s="8" t="s">
        <v>1486</v>
      </c>
      <c r="C29" s="8" t="s">
        <v>119</v>
      </c>
      <c r="D29" s="8" t="s">
        <v>1027</v>
      </c>
      <c r="E29" s="8" t="s">
        <v>261</v>
      </c>
      <c r="F29" s="8" t="s">
        <v>264</v>
      </c>
      <c r="G29" s="6">
        <v>43075</v>
      </c>
      <c r="H29" s="6">
        <v>43076</v>
      </c>
      <c r="I29" s="4">
        <v>-94</v>
      </c>
      <c r="J29" s="8" t="s">
        <v>37</v>
      </c>
      <c r="K29" s="8" t="s">
        <v>1487</v>
      </c>
      <c r="L29" s="4" t="str">
        <f>IF(AtlasReport_1_Table_1[[#This Row],[Reference]]="Purchase order",_xll.AtlasFormulas.AtlasFunctions.AtlasTable("UAT",DataAreaId,"T.VendInvoiceTrans","%RecId","","","","","","","ItemId|PurchID|InventTransId",$C29,$B29,$K29),"")</f>
        <v/>
      </c>
      <c r="M29" s="4" t="str">
        <f>IF(AtlasReport_1_Table_1[[#This Row],[Reference]]="Purchase order",_xll.AtlasFormulas.AtlasFunctions.AtlasTable("UAT",DataAreaId,"T.MarkupTrans","%CurrencyCode","","","","","","","MarkupCode|TransRecId|TransTableId","TPP",$L29,"492"),"")</f>
        <v/>
      </c>
      <c r="N29" s="4" t="str">
        <f>IF(AtlasReport_1_Table_1[[#This Row],[Reference]]="Purchase order",_xll.AtlasFormulas.AtlasFunctions.AtlasBalance("UAT",DataAreaId,"T.MarkupTrans","Sum|Posted|0","","","","","","","MarkupCode|TransTableId|TransRecId","TPP","492",$L29),"")</f>
        <v/>
      </c>
    </row>
    <row r="30" spans="1:14" x14ac:dyDescent="0.25">
      <c r="A30" s="8" t="s">
        <v>252</v>
      </c>
      <c r="B30" s="8" t="s">
        <v>1486</v>
      </c>
      <c r="C30" s="8" t="s">
        <v>103</v>
      </c>
      <c r="D30" s="8" t="s">
        <v>104</v>
      </c>
      <c r="E30" s="8" t="s">
        <v>261</v>
      </c>
      <c r="F30" s="8" t="s">
        <v>264</v>
      </c>
      <c r="G30" s="6">
        <v>43075</v>
      </c>
      <c r="H30" s="6">
        <v>43076</v>
      </c>
      <c r="I30" s="4">
        <v>-16</v>
      </c>
      <c r="J30" s="8" t="s">
        <v>37</v>
      </c>
      <c r="K30" s="8" t="s">
        <v>1488</v>
      </c>
      <c r="L30" s="4" t="str">
        <f>IF(AtlasReport_1_Table_1[[#This Row],[Reference]]="Purchase order",_xll.AtlasFormulas.AtlasFunctions.AtlasTable("UAT",DataAreaId,"T.VendInvoiceTrans","%RecId","","","","","","","ItemId|PurchID|InventTransId",$C30,$B30,$K30),"")</f>
        <v/>
      </c>
      <c r="M30" s="4" t="str">
        <f>IF(AtlasReport_1_Table_1[[#This Row],[Reference]]="Purchase order",_xll.AtlasFormulas.AtlasFunctions.AtlasTable("UAT",DataAreaId,"T.MarkupTrans","%CurrencyCode","","","","","","","MarkupCode|TransRecId|TransTableId","TPP",$L30,"492"),"")</f>
        <v/>
      </c>
      <c r="N30" s="4" t="str">
        <f>IF(AtlasReport_1_Table_1[[#This Row],[Reference]]="Purchase order",_xll.AtlasFormulas.AtlasFunctions.AtlasBalance("UAT",DataAreaId,"T.MarkupTrans","Sum|Posted|0","","","","","","","MarkupCode|TransTableId|TransRecId","TPP","492",$L30),"")</f>
        <v/>
      </c>
    </row>
    <row r="31" spans="1:14" x14ac:dyDescent="0.25">
      <c r="A31" s="8" t="s">
        <v>252</v>
      </c>
      <c r="B31" s="8" t="s">
        <v>1486</v>
      </c>
      <c r="C31" s="8" t="s">
        <v>103</v>
      </c>
      <c r="D31" s="8" t="s">
        <v>104</v>
      </c>
      <c r="E31" s="8" t="s">
        <v>261</v>
      </c>
      <c r="F31" s="8" t="s">
        <v>264</v>
      </c>
      <c r="G31" s="6">
        <v>43075</v>
      </c>
      <c r="H31" s="6">
        <v>43076</v>
      </c>
      <c r="I31" s="4">
        <v>-10</v>
      </c>
      <c r="J31" s="8" t="s">
        <v>37</v>
      </c>
      <c r="K31" s="8" t="s">
        <v>1489</v>
      </c>
      <c r="L31" s="4" t="str">
        <f>IF(AtlasReport_1_Table_1[[#This Row],[Reference]]="Purchase order",_xll.AtlasFormulas.AtlasFunctions.AtlasTable("UAT",DataAreaId,"T.VendInvoiceTrans","%RecId","","","","","","","ItemId|PurchID|InventTransId",$C31,$B31,$K31),"")</f>
        <v/>
      </c>
      <c r="M31" s="4" t="str">
        <f>IF(AtlasReport_1_Table_1[[#This Row],[Reference]]="Purchase order",_xll.AtlasFormulas.AtlasFunctions.AtlasTable("UAT",DataAreaId,"T.MarkupTrans","%CurrencyCode","","","","","","","MarkupCode|TransRecId|TransTableId","TPP",$L31,"492"),"")</f>
        <v/>
      </c>
      <c r="N31" s="4" t="str">
        <f>IF(AtlasReport_1_Table_1[[#This Row],[Reference]]="Purchase order",_xll.AtlasFormulas.AtlasFunctions.AtlasBalance("UAT",DataAreaId,"T.MarkupTrans","Sum|Posted|0","","","","","","","MarkupCode|TransTableId|TransRecId","TPP","492",$L31),"")</f>
        <v/>
      </c>
    </row>
    <row r="32" spans="1:14" x14ac:dyDescent="0.25">
      <c r="A32" s="8" t="s">
        <v>252</v>
      </c>
      <c r="B32" s="8" t="s">
        <v>1486</v>
      </c>
      <c r="C32" s="8" t="s">
        <v>103</v>
      </c>
      <c r="D32" s="8" t="s">
        <v>104</v>
      </c>
      <c r="E32" s="8" t="s">
        <v>261</v>
      </c>
      <c r="F32" s="8" t="s">
        <v>264</v>
      </c>
      <c r="G32" s="6">
        <v>43075</v>
      </c>
      <c r="H32" s="6">
        <v>43076</v>
      </c>
      <c r="I32" s="4">
        <v>-10</v>
      </c>
      <c r="J32" s="8" t="s">
        <v>37</v>
      </c>
      <c r="K32" s="8" t="s">
        <v>1490</v>
      </c>
      <c r="L32" s="4" t="str">
        <f>IF(AtlasReport_1_Table_1[[#This Row],[Reference]]="Purchase order",_xll.AtlasFormulas.AtlasFunctions.AtlasTable("UAT",DataAreaId,"T.VendInvoiceTrans","%RecId","","","","","","","ItemId|PurchID|InventTransId",$C32,$B32,$K32),"")</f>
        <v/>
      </c>
      <c r="M32" s="4" t="str">
        <f>IF(AtlasReport_1_Table_1[[#This Row],[Reference]]="Purchase order",_xll.AtlasFormulas.AtlasFunctions.AtlasTable("UAT",DataAreaId,"T.MarkupTrans","%CurrencyCode","","","","","","","MarkupCode|TransRecId|TransTableId","TPP",$L32,"492"),"")</f>
        <v/>
      </c>
      <c r="N32" s="4" t="str">
        <f>IF(AtlasReport_1_Table_1[[#This Row],[Reference]]="Purchase order",_xll.AtlasFormulas.AtlasFunctions.AtlasBalance("UAT",DataAreaId,"T.MarkupTrans","Sum|Posted|0","","","","","","","MarkupCode|TransTableId|TransRecId","TPP","492",$L32),"")</f>
        <v/>
      </c>
    </row>
    <row r="33" spans="1:14" x14ac:dyDescent="0.25">
      <c r="A33" s="8" t="s">
        <v>252</v>
      </c>
      <c r="B33" s="8" t="s">
        <v>1486</v>
      </c>
      <c r="C33" s="8" t="s">
        <v>103</v>
      </c>
      <c r="D33" s="8" t="s">
        <v>104</v>
      </c>
      <c r="E33" s="8" t="s">
        <v>261</v>
      </c>
      <c r="F33" s="8" t="s">
        <v>264</v>
      </c>
      <c r="G33" s="6">
        <v>43075</v>
      </c>
      <c r="H33" s="6">
        <v>43076</v>
      </c>
      <c r="I33" s="4">
        <v>-2</v>
      </c>
      <c r="J33" s="8" t="s">
        <v>37</v>
      </c>
      <c r="K33" s="8" t="s">
        <v>1491</v>
      </c>
      <c r="L33" s="4" t="str">
        <f>IF(AtlasReport_1_Table_1[[#This Row],[Reference]]="Purchase order",_xll.AtlasFormulas.AtlasFunctions.AtlasTable("UAT",DataAreaId,"T.VendInvoiceTrans","%RecId","","","","","","","ItemId|PurchID|InventTransId",$C33,$B33,$K33),"")</f>
        <v/>
      </c>
      <c r="M33" s="4" t="str">
        <f>IF(AtlasReport_1_Table_1[[#This Row],[Reference]]="Purchase order",_xll.AtlasFormulas.AtlasFunctions.AtlasTable("UAT",DataAreaId,"T.MarkupTrans","%CurrencyCode","","","","","","","MarkupCode|TransRecId|TransTableId","TPP",$L33,"492"),"")</f>
        <v/>
      </c>
      <c r="N33" s="4" t="str">
        <f>IF(AtlasReport_1_Table_1[[#This Row],[Reference]]="Purchase order",_xll.AtlasFormulas.AtlasFunctions.AtlasBalance("UAT",DataAreaId,"T.MarkupTrans","Sum|Posted|0","","","","","","","MarkupCode|TransTableId|TransRecId","TPP","492",$L33),"")</f>
        <v/>
      </c>
    </row>
    <row r="34" spans="1:14" x14ac:dyDescent="0.25">
      <c r="A34" s="8" t="s">
        <v>252</v>
      </c>
      <c r="B34" s="8" t="s">
        <v>1486</v>
      </c>
      <c r="C34" s="8" t="s">
        <v>103</v>
      </c>
      <c r="D34" s="8" t="s">
        <v>104</v>
      </c>
      <c r="E34" s="8" t="s">
        <v>261</v>
      </c>
      <c r="F34" s="8" t="s">
        <v>264</v>
      </c>
      <c r="G34" s="6">
        <v>43075</v>
      </c>
      <c r="H34" s="6">
        <v>43076</v>
      </c>
      <c r="I34" s="4">
        <v>-2</v>
      </c>
      <c r="J34" s="8" t="s">
        <v>37</v>
      </c>
      <c r="K34" s="8" t="s">
        <v>1492</v>
      </c>
      <c r="L34" s="4" t="str">
        <f>IF(AtlasReport_1_Table_1[[#This Row],[Reference]]="Purchase order",_xll.AtlasFormulas.AtlasFunctions.AtlasTable("UAT",DataAreaId,"T.VendInvoiceTrans","%RecId","","","","","","","ItemId|PurchID|InventTransId",$C34,$B34,$K34),"")</f>
        <v/>
      </c>
      <c r="M34" s="4" t="str">
        <f>IF(AtlasReport_1_Table_1[[#This Row],[Reference]]="Purchase order",_xll.AtlasFormulas.AtlasFunctions.AtlasTable("UAT",DataAreaId,"T.MarkupTrans","%CurrencyCode","","","","","","","MarkupCode|TransRecId|TransTableId","TPP",$L34,"492"),"")</f>
        <v/>
      </c>
      <c r="N34" s="4" t="str">
        <f>IF(AtlasReport_1_Table_1[[#This Row],[Reference]]="Purchase order",_xll.AtlasFormulas.AtlasFunctions.AtlasBalance("UAT",DataAreaId,"T.MarkupTrans","Sum|Posted|0","","","","","","","MarkupCode|TransTableId|TransRecId","TPP","492",$L34),"")</f>
        <v/>
      </c>
    </row>
    <row r="35" spans="1:14" x14ac:dyDescent="0.25">
      <c r="A35" s="8" t="s">
        <v>252</v>
      </c>
      <c r="B35" s="8" t="s">
        <v>1486</v>
      </c>
      <c r="C35" s="8" t="s">
        <v>103</v>
      </c>
      <c r="D35" s="8" t="s">
        <v>104</v>
      </c>
      <c r="E35" s="8" t="s">
        <v>261</v>
      </c>
      <c r="F35" s="8" t="s">
        <v>264</v>
      </c>
      <c r="G35" s="6">
        <v>43075</v>
      </c>
      <c r="H35" s="6">
        <v>43076</v>
      </c>
      <c r="I35" s="4">
        <v>-6</v>
      </c>
      <c r="J35" s="8" t="s">
        <v>37</v>
      </c>
      <c r="K35" s="8" t="s">
        <v>1493</v>
      </c>
      <c r="L35" s="4" t="str">
        <f>IF(AtlasReport_1_Table_1[[#This Row],[Reference]]="Purchase order",_xll.AtlasFormulas.AtlasFunctions.AtlasTable("UAT",DataAreaId,"T.VendInvoiceTrans","%RecId","","","","","","","ItemId|PurchID|InventTransId",$C35,$B35,$K35),"")</f>
        <v/>
      </c>
      <c r="M35" s="4" t="str">
        <f>IF(AtlasReport_1_Table_1[[#This Row],[Reference]]="Purchase order",_xll.AtlasFormulas.AtlasFunctions.AtlasTable("UAT",DataAreaId,"T.MarkupTrans","%CurrencyCode","","","","","","","MarkupCode|TransRecId|TransTableId","TPP",$L35,"492"),"")</f>
        <v/>
      </c>
      <c r="N35" s="4" t="str">
        <f>IF(AtlasReport_1_Table_1[[#This Row],[Reference]]="Purchase order",_xll.AtlasFormulas.AtlasFunctions.AtlasBalance("UAT",DataAreaId,"T.MarkupTrans","Sum|Posted|0","","","","","","","MarkupCode|TransTableId|TransRecId","TPP","492",$L35),"")</f>
        <v/>
      </c>
    </row>
    <row r="36" spans="1:14" x14ac:dyDescent="0.25">
      <c r="A36" s="8" t="s">
        <v>252</v>
      </c>
      <c r="B36" s="8" t="s">
        <v>1486</v>
      </c>
      <c r="C36" s="8" t="s">
        <v>103</v>
      </c>
      <c r="D36" s="8" t="s">
        <v>104</v>
      </c>
      <c r="E36" s="8" t="s">
        <v>261</v>
      </c>
      <c r="F36" s="8" t="s">
        <v>264</v>
      </c>
      <c r="G36" s="6">
        <v>43075</v>
      </c>
      <c r="H36" s="6">
        <v>43076</v>
      </c>
      <c r="I36" s="4">
        <v>-8</v>
      </c>
      <c r="J36" s="8" t="s">
        <v>37</v>
      </c>
      <c r="K36" s="8" t="s">
        <v>1494</v>
      </c>
      <c r="L36" s="4" t="str">
        <f>IF(AtlasReport_1_Table_1[[#This Row],[Reference]]="Purchase order",_xll.AtlasFormulas.AtlasFunctions.AtlasTable("UAT",DataAreaId,"T.VendInvoiceTrans","%RecId","","","","","","","ItemId|PurchID|InventTransId",$C36,$B36,$K36),"")</f>
        <v/>
      </c>
      <c r="M36" s="4" t="str">
        <f>IF(AtlasReport_1_Table_1[[#This Row],[Reference]]="Purchase order",_xll.AtlasFormulas.AtlasFunctions.AtlasTable("UAT",DataAreaId,"T.MarkupTrans","%CurrencyCode","","","","","","","MarkupCode|TransRecId|TransTableId","TPP",$L36,"492"),"")</f>
        <v/>
      </c>
      <c r="N36" s="4" t="str">
        <f>IF(AtlasReport_1_Table_1[[#This Row],[Reference]]="Purchase order",_xll.AtlasFormulas.AtlasFunctions.AtlasBalance("UAT",DataAreaId,"T.MarkupTrans","Sum|Posted|0","","","","","","","MarkupCode|TransTableId|TransRecId","TPP","492",$L36),"")</f>
        <v/>
      </c>
    </row>
    <row r="37" spans="1:14" x14ac:dyDescent="0.25">
      <c r="A37" s="8" t="s">
        <v>252</v>
      </c>
      <c r="B37" s="8" t="s">
        <v>1486</v>
      </c>
      <c r="C37" s="8" t="s">
        <v>19</v>
      </c>
      <c r="D37" s="8" t="s">
        <v>35</v>
      </c>
      <c r="E37" s="8" t="s">
        <v>261</v>
      </c>
      <c r="F37" s="8" t="s">
        <v>264</v>
      </c>
      <c r="G37" s="6">
        <v>43075</v>
      </c>
      <c r="H37" s="6">
        <v>43076</v>
      </c>
      <c r="I37" s="4">
        <v>-1</v>
      </c>
      <c r="J37" s="8" t="s">
        <v>37</v>
      </c>
      <c r="K37" s="8" t="s">
        <v>1495</v>
      </c>
      <c r="L37" s="4" t="str">
        <f>IF(AtlasReport_1_Table_1[[#This Row],[Reference]]="Purchase order",_xll.AtlasFormulas.AtlasFunctions.AtlasTable("UAT",DataAreaId,"T.VendInvoiceTrans","%RecId","","","","","","","ItemId|PurchID|InventTransId",$C37,$B37,$K37),"")</f>
        <v/>
      </c>
      <c r="M37" s="4" t="str">
        <f>IF(AtlasReport_1_Table_1[[#This Row],[Reference]]="Purchase order",_xll.AtlasFormulas.AtlasFunctions.AtlasTable("UAT",DataAreaId,"T.MarkupTrans","%CurrencyCode","","","","","","","MarkupCode|TransRecId|TransTableId","TPP",$L37,"492"),"")</f>
        <v/>
      </c>
      <c r="N37" s="4" t="str">
        <f>IF(AtlasReport_1_Table_1[[#This Row],[Reference]]="Purchase order",_xll.AtlasFormulas.AtlasFunctions.AtlasBalance("UAT",DataAreaId,"T.MarkupTrans","Sum|Posted|0","","","","","","","MarkupCode|TransTableId|TransRecId","TPP","492",$L37),"")</f>
        <v/>
      </c>
    </row>
    <row r="38" spans="1:14" x14ac:dyDescent="0.25">
      <c r="A38" s="8" t="s">
        <v>252</v>
      </c>
      <c r="B38" s="8" t="s">
        <v>659</v>
      </c>
      <c r="C38" s="8" t="s">
        <v>142</v>
      </c>
      <c r="D38" s="8" t="s">
        <v>165</v>
      </c>
      <c r="E38" s="8" t="s">
        <v>261</v>
      </c>
      <c r="F38" s="8" t="s">
        <v>264</v>
      </c>
      <c r="G38" s="6">
        <v>43070</v>
      </c>
      <c r="H38" s="6">
        <v>43075</v>
      </c>
      <c r="I38" s="4">
        <v>-4.5</v>
      </c>
      <c r="J38" s="8" t="s">
        <v>38</v>
      </c>
      <c r="K38" s="8" t="s">
        <v>661</v>
      </c>
      <c r="L38" s="4" t="str">
        <f>IF(AtlasReport_1_Table_1[[#This Row],[Reference]]="Purchase order",_xll.AtlasFormulas.AtlasFunctions.AtlasTable("UAT",DataAreaId,"T.VendInvoiceTrans","%RecId","","","","","","","ItemId|PurchID|InventTransId",$C38,$B38,$K38),"")</f>
        <v/>
      </c>
      <c r="M38" s="4" t="str">
        <f>IF(AtlasReport_1_Table_1[[#This Row],[Reference]]="Purchase order",_xll.AtlasFormulas.AtlasFunctions.AtlasTable("UAT",DataAreaId,"T.MarkupTrans","%CurrencyCode","","","","","","","MarkupCode|TransRecId|TransTableId","TPP",$L38,"492"),"")</f>
        <v/>
      </c>
      <c r="N38" s="4" t="str">
        <f>IF(AtlasReport_1_Table_1[[#This Row],[Reference]]="Purchase order",_xll.AtlasFormulas.AtlasFunctions.AtlasBalance("UAT",DataAreaId,"T.MarkupTrans","Sum|Posted|0","","","","","","","MarkupCode|TransTableId|TransRecId","TPP","492",$L38),"")</f>
        <v/>
      </c>
    </row>
    <row r="39" spans="1:14" ht="30" x14ac:dyDescent="0.25">
      <c r="A39" s="8" t="s">
        <v>252</v>
      </c>
      <c r="B39" s="8" t="s">
        <v>659</v>
      </c>
      <c r="C39" s="8" t="s">
        <v>242</v>
      </c>
      <c r="D39" s="11" t="s">
        <v>243</v>
      </c>
      <c r="E39" s="8" t="s">
        <v>261</v>
      </c>
      <c r="F39" s="8" t="s">
        <v>264</v>
      </c>
      <c r="G39" s="6">
        <v>43070</v>
      </c>
      <c r="H39" s="6">
        <v>43075</v>
      </c>
      <c r="I39" s="4">
        <v>-1</v>
      </c>
      <c r="J39" s="8" t="s">
        <v>37</v>
      </c>
      <c r="K39" s="8" t="s">
        <v>936</v>
      </c>
      <c r="L39" s="4" t="str">
        <f>IF(AtlasReport_1_Table_1[[#This Row],[Reference]]="Purchase order",_xll.AtlasFormulas.AtlasFunctions.AtlasTable("UAT",DataAreaId,"T.VendInvoiceTrans","%RecId","","","","","","","ItemId|PurchID|InventTransId",$C39,$B39,$K39),"")</f>
        <v/>
      </c>
      <c r="M39" s="4" t="str">
        <f>IF(AtlasReport_1_Table_1[[#This Row],[Reference]]="Purchase order",_xll.AtlasFormulas.AtlasFunctions.AtlasTable("UAT",DataAreaId,"T.MarkupTrans","%CurrencyCode","","","","","","","MarkupCode|TransRecId|TransTableId","TPP",$L39,"492"),"")</f>
        <v/>
      </c>
      <c r="N39" s="4" t="str">
        <f>IF(AtlasReport_1_Table_1[[#This Row],[Reference]]="Purchase order",_xll.AtlasFormulas.AtlasFunctions.AtlasBalance("UAT",DataAreaId,"T.MarkupTrans","Sum|Posted|0","","","","","","","MarkupCode|TransTableId|TransRecId","TPP","492",$L39),"")</f>
        <v/>
      </c>
    </row>
    <row r="40" spans="1:14" x14ac:dyDescent="0.25">
      <c r="A40" s="8" t="s">
        <v>252</v>
      </c>
      <c r="B40" s="8" t="s">
        <v>659</v>
      </c>
      <c r="C40" s="8" t="s">
        <v>19</v>
      </c>
      <c r="D40" s="8" t="s">
        <v>35</v>
      </c>
      <c r="E40" s="8" t="s">
        <v>261</v>
      </c>
      <c r="F40" s="8" t="s">
        <v>264</v>
      </c>
      <c r="G40" s="6">
        <v>43070</v>
      </c>
      <c r="H40" s="6">
        <v>43075</v>
      </c>
      <c r="I40" s="4">
        <v>-1</v>
      </c>
      <c r="J40" s="8" t="s">
        <v>37</v>
      </c>
      <c r="K40" s="8" t="s">
        <v>1496</v>
      </c>
      <c r="L40" s="4" t="str">
        <f>IF(AtlasReport_1_Table_1[[#This Row],[Reference]]="Purchase order",_xll.AtlasFormulas.AtlasFunctions.AtlasTable("UAT",DataAreaId,"T.VendInvoiceTrans","%RecId","","","","","","","ItemId|PurchID|InventTransId",$C40,$B40,$K40),"")</f>
        <v/>
      </c>
      <c r="M40" s="4" t="str">
        <f>IF(AtlasReport_1_Table_1[[#This Row],[Reference]]="Purchase order",_xll.AtlasFormulas.AtlasFunctions.AtlasTable("UAT",DataAreaId,"T.MarkupTrans","%CurrencyCode","","","","","","","MarkupCode|TransRecId|TransTableId","TPP",$L40,"492"),"")</f>
        <v/>
      </c>
      <c r="N40" s="4" t="str">
        <f>IF(AtlasReport_1_Table_1[[#This Row],[Reference]]="Purchase order",_xll.AtlasFormulas.AtlasFunctions.AtlasBalance("UAT",DataAreaId,"T.MarkupTrans","Sum|Posted|0","","","","","","","MarkupCode|TransTableId|TransRecId","TPP","492",$L40),"")</f>
        <v/>
      </c>
    </row>
    <row r="41" spans="1:14" x14ac:dyDescent="0.25">
      <c r="A41" s="8" t="s">
        <v>252</v>
      </c>
      <c r="B41" s="8" t="s">
        <v>839</v>
      </c>
      <c r="C41" s="8" t="s">
        <v>123</v>
      </c>
      <c r="D41" s="8" t="s">
        <v>124</v>
      </c>
      <c r="E41" s="8" t="s">
        <v>261</v>
      </c>
      <c r="F41" s="8" t="s">
        <v>264</v>
      </c>
      <c r="G41" s="6">
        <v>43070</v>
      </c>
      <c r="H41" s="6">
        <v>43070</v>
      </c>
      <c r="I41" s="4">
        <v>-15</v>
      </c>
      <c r="J41" s="8" t="s">
        <v>39</v>
      </c>
      <c r="K41" s="8" t="s">
        <v>841</v>
      </c>
      <c r="L41" s="4" t="str">
        <f>IF(AtlasReport_1_Table_1[[#This Row],[Reference]]="Purchase order",_xll.AtlasFormulas.AtlasFunctions.AtlasTable("UAT",DataAreaId,"T.VendInvoiceTrans","%RecId","","","","","","","ItemId|PurchID|InventTransId",$C41,$B41,$K41),"")</f>
        <v/>
      </c>
      <c r="M41" s="4" t="str">
        <f>IF(AtlasReport_1_Table_1[[#This Row],[Reference]]="Purchase order",_xll.AtlasFormulas.AtlasFunctions.AtlasTable("UAT",DataAreaId,"T.MarkupTrans","%CurrencyCode","","","","","","","MarkupCode|TransRecId|TransTableId","TPP",$L41,"492"),"")</f>
        <v/>
      </c>
      <c r="N41" s="4" t="str">
        <f>IF(AtlasReport_1_Table_1[[#This Row],[Reference]]="Purchase order",_xll.AtlasFormulas.AtlasFunctions.AtlasBalance("UAT",DataAreaId,"T.MarkupTrans","Sum|Posted|0","","","","","","","MarkupCode|TransTableId|TransRecId","TPP","492",$L41),"")</f>
        <v/>
      </c>
    </row>
    <row r="42" spans="1:14" x14ac:dyDescent="0.25">
      <c r="A42" s="8" t="s">
        <v>252</v>
      </c>
      <c r="B42" s="8" t="s">
        <v>839</v>
      </c>
      <c r="C42" s="8" t="s">
        <v>19</v>
      </c>
      <c r="D42" s="8" t="s">
        <v>35</v>
      </c>
      <c r="E42" s="8" t="s">
        <v>261</v>
      </c>
      <c r="F42" s="8" t="s">
        <v>264</v>
      </c>
      <c r="G42" s="6">
        <v>43070</v>
      </c>
      <c r="H42" s="6">
        <v>43070</v>
      </c>
      <c r="I42" s="4">
        <v>-1</v>
      </c>
      <c r="J42" s="8" t="s">
        <v>37</v>
      </c>
      <c r="K42" s="8" t="s">
        <v>1497</v>
      </c>
      <c r="L42" s="4" t="str">
        <f>IF(AtlasReport_1_Table_1[[#This Row],[Reference]]="Purchase order",_xll.AtlasFormulas.AtlasFunctions.AtlasTable("UAT",DataAreaId,"T.VendInvoiceTrans","%RecId","","","","","","","ItemId|PurchID|InventTransId",$C42,$B42,$K42),"")</f>
        <v/>
      </c>
      <c r="M42" s="4" t="str">
        <f>IF(AtlasReport_1_Table_1[[#This Row],[Reference]]="Purchase order",_xll.AtlasFormulas.AtlasFunctions.AtlasTable("UAT",DataAreaId,"T.MarkupTrans","%CurrencyCode","","","","","","","MarkupCode|TransRecId|TransTableId","TPP",$L42,"492"),"")</f>
        <v/>
      </c>
      <c r="N42" s="4" t="str">
        <f>IF(AtlasReport_1_Table_1[[#This Row],[Reference]]="Purchase order",_xll.AtlasFormulas.AtlasFunctions.AtlasBalance("UAT",DataAreaId,"T.MarkupTrans","Sum|Posted|0","","","","","","","MarkupCode|TransTableId|TransRecId","TPP","492",$L42),"")</f>
        <v/>
      </c>
    </row>
    <row r="43" spans="1:14" x14ac:dyDescent="0.25">
      <c r="A43" s="8" t="s">
        <v>252</v>
      </c>
      <c r="B43" s="8" t="s">
        <v>851</v>
      </c>
      <c r="C43" s="8" t="s">
        <v>24</v>
      </c>
      <c r="D43" s="8" t="s">
        <v>34</v>
      </c>
      <c r="E43" s="8" t="s">
        <v>261</v>
      </c>
      <c r="F43" s="8" t="s">
        <v>264</v>
      </c>
      <c r="G43" s="6">
        <v>43070</v>
      </c>
      <c r="H43" s="6">
        <v>43075</v>
      </c>
      <c r="I43" s="4">
        <v>-31.05</v>
      </c>
      <c r="J43" s="8" t="s">
        <v>39</v>
      </c>
      <c r="K43" s="8" t="s">
        <v>853</v>
      </c>
      <c r="L43" s="4" t="str">
        <f>IF(AtlasReport_1_Table_1[[#This Row],[Reference]]="Purchase order",_xll.AtlasFormulas.AtlasFunctions.AtlasTable("UAT",DataAreaId,"T.VendInvoiceTrans","%RecId","","","","","","","ItemId|PurchID|InventTransId",$C43,$B43,$K43),"")</f>
        <v/>
      </c>
      <c r="M43" s="4" t="str">
        <f>IF(AtlasReport_1_Table_1[[#This Row],[Reference]]="Purchase order",_xll.AtlasFormulas.AtlasFunctions.AtlasTable("UAT",DataAreaId,"T.MarkupTrans","%CurrencyCode","","","","","","","MarkupCode|TransRecId|TransTableId","TPP",$L43,"492"),"")</f>
        <v/>
      </c>
      <c r="N43" s="4" t="str">
        <f>IF(AtlasReport_1_Table_1[[#This Row],[Reference]]="Purchase order",_xll.AtlasFormulas.AtlasFunctions.AtlasBalance("UAT",DataAreaId,"T.MarkupTrans","Sum|Posted|0","","","","","","","MarkupCode|TransTableId|TransRecId","TPP","492",$L43),"")</f>
        <v/>
      </c>
    </row>
    <row r="44" spans="1:14" x14ac:dyDescent="0.25">
      <c r="A44" s="8" t="s">
        <v>252</v>
      </c>
      <c r="B44" s="8" t="s">
        <v>851</v>
      </c>
      <c r="C44" s="8" t="s">
        <v>79</v>
      </c>
      <c r="D44" s="8" t="s">
        <v>206</v>
      </c>
      <c r="E44" s="8" t="s">
        <v>261</v>
      </c>
      <c r="F44" s="8" t="s">
        <v>264</v>
      </c>
      <c r="G44" s="6">
        <v>43070</v>
      </c>
      <c r="H44" s="6">
        <v>43075</v>
      </c>
      <c r="I44" s="4">
        <v>-1</v>
      </c>
      <c r="J44" s="8" t="s">
        <v>37</v>
      </c>
      <c r="K44" s="8" t="s">
        <v>1498</v>
      </c>
      <c r="L44" s="4" t="str">
        <f>IF(AtlasReport_1_Table_1[[#This Row],[Reference]]="Purchase order",_xll.AtlasFormulas.AtlasFunctions.AtlasTable("UAT",DataAreaId,"T.VendInvoiceTrans","%RecId","","","","","","","ItemId|PurchID|InventTransId",$C44,$B44,$K44),"")</f>
        <v/>
      </c>
      <c r="M44" s="4" t="str">
        <f>IF(AtlasReport_1_Table_1[[#This Row],[Reference]]="Purchase order",_xll.AtlasFormulas.AtlasFunctions.AtlasTable("UAT",DataAreaId,"T.MarkupTrans","%CurrencyCode","","","","","","","MarkupCode|TransRecId|TransTableId","TPP",$L44,"492"),"")</f>
        <v/>
      </c>
      <c r="N44" s="4" t="str">
        <f>IF(AtlasReport_1_Table_1[[#This Row],[Reference]]="Purchase order",_xll.AtlasFormulas.AtlasFunctions.AtlasBalance("UAT",DataAreaId,"T.MarkupTrans","Sum|Posted|0","","","","","","","MarkupCode|TransTableId|TransRecId","TPP","492",$L44),"")</f>
        <v/>
      </c>
    </row>
    <row r="45" spans="1:14" x14ac:dyDescent="0.25">
      <c r="A45" s="8" t="s">
        <v>252</v>
      </c>
      <c r="B45" s="8" t="s">
        <v>851</v>
      </c>
      <c r="C45" s="8" t="s">
        <v>23</v>
      </c>
      <c r="D45" s="8" t="s">
        <v>883</v>
      </c>
      <c r="E45" s="8" t="s">
        <v>261</v>
      </c>
      <c r="F45" s="8" t="s">
        <v>264</v>
      </c>
      <c r="G45" s="6">
        <v>43070</v>
      </c>
      <c r="H45" s="6">
        <v>43075</v>
      </c>
      <c r="I45" s="4">
        <v>-2</v>
      </c>
      <c r="J45" s="8" t="s">
        <v>37</v>
      </c>
      <c r="K45" s="8" t="s">
        <v>884</v>
      </c>
      <c r="L45" s="4" t="str">
        <f>IF(AtlasReport_1_Table_1[[#This Row],[Reference]]="Purchase order",_xll.AtlasFormulas.AtlasFunctions.AtlasTable("UAT",DataAreaId,"T.VendInvoiceTrans","%RecId","","","","","","","ItemId|PurchID|InventTransId",$C45,$B45,$K45),"")</f>
        <v/>
      </c>
      <c r="M45" s="4" t="str">
        <f>IF(AtlasReport_1_Table_1[[#This Row],[Reference]]="Purchase order",_xll.AtlasFormulas.AtlasFunctions.AtlasTable("UAT",DataAreaId,"T.MarkupTrans","%CurrencyCode","","","","","","","MarkupCode|TransRecId|TransTableId","TPP",$L45,"492"),"")</f>
        <v/>
      </c>
      <c r="N45" s="4" t="str">
        <f>IF(AtlasReport_1_Table_1[[#This Row],[Reference]]="Purchase order",_xll.AtlasFormulas.AtlasFunctions.AtlasBalance("UAT",DataAreaId,"T.MarkupTrans","Sum|Posted|0","","","","","","","MarkupCode|TransTableId|TransRecId","TPP","492",$L45),"")</f>
        <v/>
      </c>
    </row>
    <row r="46" spans="1:14" x14ac:dyDescent="0.25">
      <c r="A46" s="8" t="s">
        <v>252</v>
      </c>
      <c r="B46" s="8" t="s">
        <v>851</v>
      </c>
      <c r="C46" s="8" t="s">
        <v>19</v>
      </c>
      <c r="D46" s="8" t="s">
        <v>35</v>
      </c>
      <c r="E46" s="8" t="s">
        <v>261</v>
      </c>
      <c r="F46" s="8" t="s">
        <v>264</v>
      </c>
      <c r="G46" s="6">
        <v>43070</v>
      </c>
      <c r="H46" s="6">
        <v>43075</v>
      </c>
      <c r="I46" s="4">
        <v>-1</v>
      </c>
      <c r="J46" s="8" t="s">
        <v>37</v>
      </c>
      <c r="K46" s="8" t="s">
        <v>1499</v>
      </c>
      <c r="L46" s="4" t="str">
        <f>IF(AtlasReport_1_Table_1[[#This Row],[Reference]]="Purchase order",_xll.AtlasFormulas.AtlasFunctions.AtlasTable("UAT",DataAreaId,"T.VendInvoiceTrans","%RecId","","","","","","","ItemId|PurchID|InventTransId",$C46,$B46,$K46),"")</f>
        <v/>
      </c>
      <c r="M46" s="4" t="str">
        <f>IF(AtlasReport_1_Table_1[[#This Row],[Reference]]="Purchase order",_xll.AtlasFormulas.AtlasFunctions.AtlasTable("UAT",DataAreaId,"T.MarkupTrans","%CurrencyCode","","","","","","","MarkupCode|TransRecId|TransTableId","TPP",$L46,"492"),"")</f>
        <v/>
      </c>
      <c r="N46" s="4" t="str">
        <f>IF(AtlasReport_1_Table_1[[#This Row],[Reference]]="Purchase order",_xll.AtlasFormulas.AtlasFunctions.AtlasBalance("UAT",DataAreaId,"T.MarkupTrans","Sum|Posted|0","","","","","","","MarkupCode|TransTableId|TransRecId","TPP","492",$L46),"")</f>
        <v/>
      </c>
    </row>
    <row r="47" spans="1:14" x14ac:dyDescent="0.25">
      <c r="A47" s="8" t="s">
        <v>252</v>
      </c>
      <c r="B47" s="8" t="s">
        <v>847</v>
      </c>
      <c r="C47" s="8" t="s">
        <v>321</v>
      </c>
      <c r="D47" s="8" t="s">
        <v>1041</v>
      </c>
      <c r="E47" s="8" t="s">
        <v>261</v>
      </c>
      <c r="F47" s="8" t="s">
        <v>264</v>
      </c>
      <c r="G47" s="6">
        <v>43081</v>
      </c>
      <c r="H47" s="6">
        <v>43081</v>
      </c>
      <c r="I47" s="4">
        <v>-1</v>
      </c>
      <c r="J47" s="8" t="s">
        <v>37</v>
      </c>
      <c r="K47" s="8" t="s">
        <v>1500</v>
      </c>
      <c r="L47" s="4" t="str">
        <f>IF(AtlasReport_1_Table_1[[#This Row],[Reference]]="Purchase order",_xll.AtlasFormulas.AtlasFunctions.AtlasTable("UAT",DataAreaId,"T.VendInvoiceTrans","%RecId","","","","","","","ItemId|PurchID|InventTransId",$C47,$B47,$K47),"")</f>
        <v/>
      </c>
      <c r="M47" s="4" t="str">
        <f>IF(AtlasReport_1_Table_1[[#This Row],[Reference]]="Purchase order",_xll.AtlasFormulas.AtlasFunctions.AtlasTable("UAT",DataAreaId,"T.MarkupTrans","%CurrencyCode","","","","","","","MarkupCode|TransRecId|TransTableId","TPP",$L47,"492"),"")</f>
        <v/>
      </c>
      <c r="N47" s="4" t="str">
        <f>IF(AtlasReport_1_Table_1[[#This Row],[Reference]]="Purchase order",_xll.AtlasFormulas.AtlasFunctions.AtlasBalance("UAT",DataAreaId,"T.MarkupTrans","Sum|Posted|0","","","","","","","MarkupCode|TransTableId|TransRecId","TPP","492",$L47),"")</f>
        <v/>
      </c>
    </row>
    <row r="48" spans="1:14" x14ac:dyDescent="0.25">
      <c r="A48" s="8" t="s">
        <v>252</v>
      </c>
      <c r="B48" s="8" t="s">
        <v>847</v>
      </c>
      <c r="C48" s="8" t="s">
        <v>76</v>
      </c>
      <c r="D48" s="8" t="s">
        <v>110</v>
      </c>
      <c r="E48" s="8" t="s">
        <v>261</v>
      </c>
      <c r="F48" s="8" t="s">
        <v>264</v>
      </c>
      <c r="G48" s="6">
        <v>43081</v>
      </c>
      <c r="H48" s="6">
        <v>43081</v>
      </c>
      <c r="I48" s="4">
        <v>-14.6</v>
      </c>
      <c r="J48" s="8" t="s">
        <v>39</v>
      </c>
      <c r="K48" s="8" t="s">
        <v>849</v>
      </c>
      <c r="L48" s="4" t="str">
        <f>IF(AtlasReport_1_Table_1[[#This Row],[Reference]]="Purchase order",_xll.AtlasFormulas.AtlasFunctions.AtlasTable("UAT",DataAreaId,"T.VendInvoiceTrans","%RecId","","","","","","","ItemId|PurchID|InventTransId",$C48,$B48,$K48),"")</f>
        <v/>
      </c>
      <c r="M48" s="4" t="str">
        <f>IF(AtlasReport_1_Table_1[[#This Row],[Reference]]="Purchase order",_xll.AtlasFormulas.AtlasFunctions.AtlasTable("UAT",DataAreaId,"T.MarkupTrans","%CurrencyCode","","","","","","","MarkupCode|TransRecId|TransTableId","TPP",$L48,"492"),"")</f>
        <v/>
      </c>
      <c r="N48" s="4" t="str">
        <f>IF(AtlasReport_1_Table_1[[#This Row],[Reference]]="Purchase order",_xll.AtlasFormulas.AtlasFunctions.AtlasBalance("UAT",DataAreaId,"T.MarkupTrans","Sum|Posted|0","","","","","","","MarkupCode|TransTableId|TransRecId","TPP","492",$L48),"")</f>
        <v/>
      </c>
    </row>
    <row r="49" spans="1:14" x14ac:dyDescent="0.25">
      <c r="A49" s="8" t="s">
        <v>252</v>
      </c>
      <c r="B49" s="8" t="s">
        <v>847</v>
      </c>
      <c r="C49" s="8" t="s">
        <v>23</v>
      </c>
      <c r="D49" s="8" t="s">
        <v>883</v>
      </c>
      <c r="E49" s="8" t="s">
        <v>261</v>
      </c>
      <c r="F49" s="8" t="s">
        <v>264</v>
      </c>
      <c r="G49" s="6">
        <v>43081</v>
      </c>
      <c r="H49" s="6">
        <v>43081</v>
      </c>
      <c r="I49" s="4">
        <v>-2</v>
      </c>
      <c r="J49" s="8" t="s">
        <v>37</v>
      </c>
      <c r="K49" s="8" t="s">
        <v>896</v>
      </c>
      <c r="L49" s="4" t="str">
        <f>IF(AtlasReport_1_Table_1[[#This Row],[Reference]]="Purchase order",_xll.AtlasFormulas.AtlasFunctions.AtlasTable("UAT",DataAreaId,"T.VendInvoiceTrans","%RecId","","","","","","","ItemId|PurchID|InventTransId",$C49,$B49,$K49),"")</f>
        <v/>
      </c>
      <c r="M49" s="4" t="str">
        <f>IF(AtlasReport_1_Table_1[[#This Row],[Reference]]="Purchase order",_xll.AtlasFormulas.AtlasFunctions.AtlasTable("UAT",DataAreaId,"T.MarkupTrans","%CurrencyCode","","","","","","","MarkupCode|TransRecId|TransTableId","TPP",$L49,"492"),"")</f>
        <v/>
      </c>
      <c r="N49" s="4" t="str">
        <f>IF(AtlasReport_1_Table_1[[#This Row],[Reference]]="Purchase order",_xll.AtlasFormulas.AtlasFunctions.AtlasBalance("UAT",DataAreaId,"T.MarkupTrans","Sum|Posted|0","","","","","","","MarkupCode|TransTableId|TransRecId","TPP","492",$L49),"")</f>
        <v/>
      </c>
    </row>
    <row r="50" spans="1:14" x14ac:dyDescent="0.25">
      <c r="A50" s="8" t="s">
        <v>252</v>
      </c>
      <c r="B50" s="8" t="s">
        <v>847</v>
      </c>
      <c r="C50" s="8" t="s">
        <v>67</v>
      </c>
      <c r="D50" s="8" t="s">
        <v>907</v>
      </c>
      <c r="E50" s="8" t="s">
        <v>261</v>
      </c>
      <c r="F50" s="8" t="s">
        <v>264</v>
      </c>
      <c r="G50" s="6">
        <v>43081</v>
      </c>
      <c r="H50" s="6">
        <v>43081</v>
      </c>
      <c r="I50" s="4">
        <v>-1</v>
      </c>
      <c r="J50" s="8" t="s">
        <v>37</v>
      </c>
      <c r="K50" s="8" t="s">
        <v>911</v>
      </c>
      <c r="L50" s="4" t="str">
        <f>IF(AtlasReport_1_Table_1[[#This Row],[Reference]]="Purchase order",_xll.AtlasFormulas.AtlasFunctions.AtlasTable("UAT",DataAreaId,"T.VendInvoiceTrans","%RecId","","","","","","","ItemId|PurchID|InventTransId",$C50,$B50,$K50),"")</f>
        <v/>
      </c>
      <c r="M50" s="4" t="str">
        <f>IF(AtlasReport_1_Table_1[[#This Row],[Reference]]="Purchase order",_xll.AtlasFormulas.AtlasFunctions.AtlasTable("UAT",DataAreaId,"T.MarkupTrans","%CurrencyCode","","","","","","","MarkupCode|TransRecId|TransTableId","TPP",$L50,"492"),"")</f>
        <v/>
      </c>
      <c r="N50" s="4" t="str">
        <f>IF(AtlasReport_1_Table_1[[#This Row],[Reference]]="Purchase order",_xll.AtlasFormulas.AtlasFunctions.AtlasBalance("UAT",DataAreaId,"T.MarkupTrans","Sum|Posted|0","","","","","","","MarkupCode|TransTableId|TransRecId","TPP","492",$L50),"")</f>
        <v/>
      </c>
    </row>
    <row r="51" spans="1:14" x14ac:dyDescent="0.25">
      <c r="A51" s="8" t="s">
        <v>252</v>
      </c>
      <c r="B51" s="8" t="s">
        <v>745</v>
      </c>
      <c r="C51" s="8" t="s">
        <v>97</v>
      </c>
      <c r="D51" s="8" t="s">
        <v>98</v>
      </c>
      <c r="E51" s="8" t="s">
        <v>261</v>
      </c>
      <c r="F51" s="8" t="s">
        <v>264</v>
      </c>
      <c r="G51" s="6">
        <v>43075</v>
      </c>
      <c r="H51" s="6">
        <v>43076</v>
      </c>
      <c r="I51" s="4">
        <v>-38.85</v>
      </c>
      <c r="J51" s="8" t="s">
        <v>39</v>
      </c>
      <c r="K51" s="8" t="s">
        <v>747</v>
      </c>
      <c r="L51" s="4" t="str">
        <f>IF(AtlasReport_1_Table_1[[#This Row],[Reference]]="Purchase order",_xll.AtlasFormulas.AtlasFunctions.AtlasTable("UAT",DataAreaId,"T.VendInvoiceTrans","%RecId","","","","","","","ItemId|PurchID|InventTransId",$C51,$B51,$K51),"")</f>
        <v/>
      </c>
      <c r="M51" s="4" t="str">
        <f>IF(AtlasReport_1_Table_1[[#This Row],[Reference]]="Purchase order",_xll.AtlasFormulas.AtlasFunctions.AtlasTable("UAT",DataAreaId,"T.MarkupTrans","%CurrencyCode","","","","","","","MarkupCode|TransRecId|TransTableId","TPP",$L51,"492"),"")</f>
        <v/>
      </c>
      <c r="N51" s="4" t="str">
        <f>IF(AtlasReport_1_Table_1[[#This Row],[Reference]]="Purchase order",_xll.AtlasFormulas.AtlasFunctions.AtlasBalance("UAT",DataAreaId,"T.MarkupTrans","Sum|Posted|0","","","","","","","MarkupCode|TransTableId|TransRecId","TPP","492",$L51),"")</f>
        <v/>
      </c>
    </row>
    <row r="52" spans="1:14" x14ac:dyDescent="0.25">
      <c r="A52" s="8" t="s">
        <v>252</v>
      </c>
      <c r="B52" s="8" t="s">
        <v>745</v>
      </c>
      <c r="C52" s="8" t="s">
        <v>97</v>
      </c>
      <c r="D52" s="8" t="s">
        <v>98</v>
      </c>
      <c r="E52" s="8" t="s">
        <v>261</v>
      </c>
      <c r="F52" s="8" t="s">
        <v>264</v>
      </c>
      <c r="G52" s="6">
        <v>43075</v>
      </c>
      <c r="H52" s="6">
        <v>43076</v>
      </c>
      <c r="I52" s="4">
        <v>-24.55</v>
      </c>
      <c r="J52" s="8" t="s">
        <v>39</v>
      </c>
      <c r="K52" s="8" t="s">
        <v>748</v>
      </c>
      <c r="L52" s="4" t="str">
        <f>IF(AtlasReport_1_Table_1[[#This Row],[Reference]]="Purchase order",_xll.AtlasFormulas.AtlasFunctions.AtlasTable("UAT",DataAreaId,"T.VendInvoiceTrans","%RecId","","","","","","","ItemId|PurchID|InventTransId",$C52,$B52,$K52),"")</f>
        <v/>
      </c>
      <c r="M52" s="4" t="str">
        <f>IF(AtlasReport_1_Table_1[[#This Row],[Reference]]="Purchase order",_xll.AtlasFormulas.AtlasFunctions.AtlasTable("UAT",DataAreaId,"T.MarkupTrans","%CurrencyCode","","","","","","","MarkupCode|TransRecId|TransTableId","TPP",$L52,"492"),"")</f>
        <v/>
      </c>
      <c r="N52" s="4" t="str">
        <f>IF(AtlasReport_1_Table_1[[#This Row],[Reference]]="Purchase order",_xll.AtlasFormulas.AtlasFunctions.AtlasBalance("UAT",DataAreaId,"T.MarkupTrans","Sum|Posted|0","","","","","","","MarkupCode|TransTableId|TransRecId","TPP","492",$L52),"")</f>
        <v/>
      </c>
    </row>
    <row r="53" spans="1:14" x14ac:dyDescent="0.25">
      <c r="A53" s="8" t="s">
        <v>252</v>
      </c>
      <c r="B53" s="8" t="s">
        <v>745</v>
      </c>
      <c r="C53" s="8" t="s">
        <v>79</v>
      </c>
      <c r="D53" s="8" t="s">
        <v>206</v>
      </c>
      <c r="E53" s="8" t="s">
        <v>261</v>
      </c>
      <c r="F53" s="8" t="s">
        <v>264</v>
      </c>
      <c r="G53" s="6">
        <v>43075</v>
      </c>
      <c r="H53" s="6">
        <v>43076</v>
      </c>
      <c r="I53" s="4">
        <v>-1</v>
      </c>
      <c r="J53" s="8" t="s">
        <v>37</v>
      </c>
      <c r="K53" s="8" t="s">
        <v>1501</v>
      </c>
      <c r="L53" s="4" t="str">
        <f>IF(AtlasReport_1_Table_1[[#This Row],[Reference]]="Purchase order",_xll.AtlasFormulas.AtlasFunctions.AtlasTable("UAT",DataAreaId,"T.VendInvoiceTrans","%RecId","","","","","","","ItemId|PurchID|InventTransId",$C53,$B53,$K53),"")</f>
        <v/>
      </c>
      <c r="M53" s="4" t="str">
        <f>IF(AtlasReport_1_Table_1[[#This Row],[Reference]]="Purchase order",_xll.AtlasFormulas.AtlasFunctions.AtlasTable("UAT",DataAreaId,"T.MarkupTrans","%CurrencyCode","","","","","","","MarkupCode|TransRecId|TransTableId","TPP",$L53,"492"),"")</f>
        <v/>
      </c>
      <c r="N53" s="4" t="str">
        <f>IF(AtlasReport_1_Table_1[[#This Row],[Reference]]="Purchase order",_xll.AtlasFormulas.AtlasFunctions.AtlasBalance("UAT",DataAreaId,"T.MarkupTrans","Sum|Posted|0","","","","","","","MarkupCode|TransTableId|TransRecId","TPP","492",$L53),"")</f>
        <v/>
      </c>
    </row>
    <row r="54" spans="1:14" x14ac:dyDescent="0.25">
      <c r="A54" s="8" t="s">
        <v>252</v>
      </c>
      <c r="B54" s="8" t="s">
        <v>745</v>
      </c>
      <c r="C54" s="8" t="s">
        <v>67</v>
      </c>
      <c r="D54" s="8" t="s">
        <v>907</v>
      </c>
      <c r="E54" s="8" t="s">
        <v>261</v>
      </c>
      <c r="F54" s="8" t="s">
        <v>264</v>
      </c>
      <c r="G54" s="6">
        <v>43075</v>
      </c>
      <c r="H54" s="6">
        <v>43076</v>
      </c>
      <c r="I54" s="4">
        <v>-2</v>
      </c>
      <c r="J54" s="8" t="s">
        <v>37</v>
      </c>
      <c r="K54" s="8" t="s">
        <v>908</v>
      </c>
      <c r="L54" s="4" t="str">
        <f>IF(AtlasReport_1_Table_1[[#This Row],[Reference]]="Purchase order",_xll.AtlasFormulas.AtlasFunctions.AtlasTable("UAT",DataAreaId,"T.VendInvoiceTrans","%RecId","","","","","","","ItemId|PurchID|InventTransId",$C54,$B54,$K54),"")</f>
        <v/>
      </c>
      <c r="M54" s="4" t="str">
        <f>IF(AtlasReport_1_Table_1[[#This Row],[Reference]]="Purchase order",_xll.AtlasFormulas.AtlasFunctions.AtlasTable("UAT",DataAreaId,"T.MarkupTrans","%CurrencyCode","","","","","","","MarkupCode|TransRecId|TransTableId","TPP",$L54,"492"),"")</f>
        <v/>
      </c>
      <c r="N54" s="4" t="str">
        <f>IF(AtlasReport_1_Table_1[[#This Row],[Reference]]="Purchase order",_xll.AtlasFormulas.AtlasFunctions.AtlasBalance("UAT",DataAreaId,"T.MarkupTrans","Sum|Posted|0","","","","","","","MarkupCode|TransTableId|TransRecId","TPP","492",$L54),"")</f>
        <v/>
      </c>
    </row>
    <row r="55" spans="1:14" x14ac:dyDescent="0.25">
      <c r="A55" s="8" t="s">
        <v>252</v>
      </c>
      <c r="B55" s="8" t="s">
        <v>745</v>
      </c>
      <c r="C55" s="8" t="s">
        <v>19</v>
      </c>
      <c r="D55" s="8" t="s">
        <v>35</v>
      </c>
      <c r="E55" s="8" t="s">
        <v>261</v>
      </c>
      <c r="F55" s="8" t="s">
        <v>264</v>
      </c>
      <c r="G55" s="6">
        <v>43075</v>
      </c>
      <c r="H55" s="6">
        <v>43076</v>
      </c>
      <c r="I55" s="4">
        <v>-1</v>
      </c>
      <c r="J55" s="8" t="s">
        <v>37</v>
      </c>
      <c r="K55" s="8" t="s">
        <v>1502</v>
      </c>
      <c r="L55" s="4" t="str">
        <f>IF(AtlasReport_1_Table_1[[#This Row],[Reference]]="Purchase order",_xll.AtlasFormulas.AtlasFunctions.AtlasTable("UAT",DataAreaId,"T.VendInvoiceTrans","%RecId","","","","","","","ItemId|PurchID|InventTransId",$C55,$B55,$K55),"")</f>
        <v/>
      </c>
      <c r="M55" s="4" t="str">
        <f>IF(AtlasReport_1_Table_1[[#This Row],[Reference]]="Purchase order",_xll.AtlasFormulas.AtlasFunctions.AtlasTable("UAT",DataAreaId,"T.MarkupTrans","%CurrencyCode","","","","","","","MarkupCode|TransRecId|TransTableId","TPP",$L55,"492"),"")</f>
        <v/>
      </c>
      <c r="N55" s="4" t="str">
        <f>IF(AtlasReport_1_Table_1[[#This Row],[Reference]]="Purchase order",_xll.AtlasFormulas.AtlasFunctions.AtlasBalance("UAT",DataAreaId,"T.MarkupTrans","Sum|Posted|0","","","","","","","MarkupCode|TransTableId|TransRecId","TPP","492",$L55),"")</f>
        <v/>
      </c>
    </row>
    <row r="56" spans="1:14" x14ac:dyDescent="0.25">
      <c r="A56" s="8" t="s">
        <v>252</v>
      </c>
      <c r="B56" s="8" t="s">
        <v>719</v>
      </c>
      <c r="C56" s="8" t="s">
        <v>111</v>
      </c>
      <c r="D56" s="8" t="s">
        <v>112</v>
      </c>
      <c r="E56" s="8" t="s">
        <v>261</v>
      </c>
      <c r="F56" s="8" t="s">
        <v>264</v>
      </c>
      <c r="G56" s="6">
        <v>43075</v>
      </c>
      <c r="H56" s="6">
        <v>43075</v>
      </c>
      <c r="I56" s="4">
        <v>-900</v>
      </c>
      <c r="J56" s="8" t="s">
        <v>39</v>
      </c>
      <c r="K56" s="8" t="s">
        <v>721</v>
      </c>
      <c r="L56" s="4" t="str">
        <f>IF(AtlasReport_1_Table_1[[#This Row],[Reference]]="Purchase order",_xll.AtlasFormulas.AtlasFunctions.AtlasTable("UAT",DataAreaId,"T.VendInvoiceTrans","%RecId","","","","","","","ItemId|PurchID|InventTransId",$C56,$B56,$K56),"")</f>
        <v/>
      </c>
      <c r="M56" s="4" t="str">
        <f>IF(AtlasReport_1_Table_1[[#This Row],[Reference]]="Purchase order",_xll.AtlasFormulas.AtlasFunctions.AtlasTable("UAT",DataAreaId,"T.MarkupTrans","%CurrencyCode","","","","","","","MarkupCode|TransRecId|TransTableId","TPP",$L56,"492"),"")</f>
        <v/>
      </c>
      <c r="N56" s="4" t="str">
        <f>IF(AtlasReport_1_Table_1[[#This Row],[Reference]]="Purchase order",_xll.AtlasFormulas.AtlasFunctions.AtlasBalance("UAT",DataAreaId,"T.MarkupTrans","Sum|Posted|0","","","","","","","MarkupCode|TransTableId|TransRecId","TPP","492",$L56),"")</f>
        <v/>
      </c>
    </row>
    <row r="57" spans="1:14" x14ac:dyDescent="0.25">
      <c r="A57" s="8" t="s">
        <v>252</v>
      </c>
      <c r="B57" s="8" t="s">
        <v>719</v>
      </c>
      <c r="C57" s="8" t="s">
        <v>19</v>
      </c>
      <c r="D57" s="8" t="s">
        <v>35</v>
      </c>
      <c r="E57" s="8" t="s">
        <v>261</v>
      </c>
      <c r="F57" s="8" t="s">
        <v>264</v>
      </c>
      <c r="G57" s="6">
        <v>43075</v>
      </c>
      <c r="H57" s="6">
        <v>43075</v>
      </c>
      <c r="I57" s="4">
        <v>-1</v>
      </c>
      <c r="J57" s="8" t="s">
        <v>37</v>
      </c>
      <c r="K57" s="8" t="s">
        <v>1503</v>
      </c>
      <c r="L57" s="4" t="str">
        <f>IF(AtlasReport_1_Table_1[[#This Row],[Reference]]="Purchase order",_xll.AtlasFormulas.AtlasFunctions.AtlasTable("UAT",DataAreaId,"T.VendInvoiceTrans","%RecId","","","","","","","ItemId|PurchID|InventTransId",$C57,$B57,$K57),"")</f>
        <v/>
      </c>
      <c r="M57" s="4" t="str">
        <f>IF(AtlasReport_1_Table_1[[#This Row],[Reference]]="Purchase order",_xll.AtlasFormulas.AtlasFunctions.AtlasTable("UAT",DataAreaId,"T.MarkupTrans","%CurrencyCode","","","","","","","MarkupCode|TransRecId|TransTableId","TPP",$L57,"492"),"")</f>
        <v/>
      </c>
      <c r="N57" s="4" t="str">
        <f>IF(AtlasReport_1_Table_1[[#This Row],[Reference]]="Purchase order",_xll.AtlasFormulas.AtlasFunctions.AtlasBalance("UAT",DataAreaId,"T.MarkupTrans","Sum|Posted|0","","","","","","","MarkupCode|TransTableId|TransRecId","TPP","492",$L57),"")</f>
        <v/>
      </c>
    </row>
    <row r="58" spans="1:14" x14ac:dyDescent="0.25">
      <c r="A58" s="8" t="s">
        <v>252</v>
      </c>
      <c r="B58" s="8" t="s">
        <v>662</v>
      </c>
      <c r="C58" s="8" t="s">
        <v>142</v>
      </c>
      <c r="D58" s="8" t="s">
        <v>165</v>
      </c>
      <c r="E58" s="8" t="s">
        <v>261</v>
      </c>
      <c r="F58" s="8" t="s">
        <v>264</v>
      </c>
      <c r="G58" s="6">
        <v>43075</v>
      </c>
      <c r="H58" s="6">
        <v>43075</v>
      </c>
      <c r="I58" s="4">
        <v>-90</v>
      </c>
      <c r="J58" s="8" t="s">
        <v>38</v>
      </c>
      <c r="K58" s="8" t="s">
        <v>664</v>
      </c>
      <c r="L58" s="4" t="str">
        <f>IF(AtlasReport_1_Table_1[[#This Row],[Reference]]="Purchase order",_xll.AtlasFormulas.AtlasFunctions.AtlasTable("UAT",DataAreaId,"T.VendInvoiceTrans","%RecId","","","","","","","ItemId|PurchID|InventTransId",$C58,$B58,$K58),"")</f>
        <v/>
      </c>
      <c r="M58" s="4" t="str">
        <f>IF(AtlasReport_1_Table_1[[#This Row],[Reference]]="Purchase order",_xll.AtlasFormulas.AtlasFunctions.AtlasTable("UAT",DataAreaId,"T.MarkupTrans","%CurrencyCode","","","","","","","MarkupCode|TransRecId|TransTableId","TPP",$L58,"492"),"")</f>
        <v/>
      </c>
      <c r="N58" s="4" t="str">
        <f>IF(AtlasReport_1_Table_1[[#This Row],[Reference]]="Purchase order",_xll.AtlasFormulas.AtlasFunctions.AtlasBalance("UAT",DataAreaId,"T.MarkupTrans","Sum|Posted|0","","","","","","","MarkupCode|TransTableId|TransRecId","TPP","492",$L58),"")</f>
        <v/>
      </c>
    </row>
    <row r="59" spans="1:14" x14ac:dyDescent="0.25">
      <c r="A59" s="8" t="s">
        <v>252</v>
      </c>
      <c r="B59" s="8" t="s">
        <v>662</v>
      </c>
      <c r="C59" s="8" t="s">
        <v>97</v>
      </c>
      <c r="D59" s="8" t="s">
        <v>98</v>
      </c>
      <c r="E59" s="8" t="s">
        <v>261</v>
      </c>
      <c r="F59" s="8" t="s">
        <v>264</v>
      </c>
      <c r="G59" s="6">
        <v>43075</v>
      </c>
      <c r="H59" s="6">
        <v>43075</v>
      </c>
      <c r="I59" s="4">
        <v>-300</v>
      </c>
      <c r="J59" s="8" t="s">
        <v>39</v>
      </c>
      <c r="K59" s="8" t="s">
        <v>744</v>
      </c>
      <c r="L59" s="4" t="str">
        <f>IF(AtlasReport_1_Table_1[[#This Row],[Reference]]="Purchase order",_xll.AtlasFormulas.AtlasFunctions.AtlasTable("UAT",DataAreaId,"T.VendInvoiceTrans","%RecId","","","","","","","ItemId|PurchID|InventTransId",$C59,$B59,$K59),"")</f>
        <v/>
      </c>
      <c r="M59" s="4" t="str">
        <f>IF(AtlasReport_1_Table_1[[#This Row],[Reference]]="Purchase order",_xll.AtlasFormulas.AtlasFunctions.AtlasTable("UAT",DataAreaId,"T.MarkupTrans","%CurrencyCode","","","","","","","MarkupCode|TransRecId|TransTableId","TPP",$L59,"492"),"")</f>
        <v/>
      </c>
      <c r="N59" s="4" t="str">
        <f>IF(AtlasReport_1_Table_1[[#This Row],[Reference]]="Purchase order",_xll.AtlasFormulas.AtlasFunctions.AtlasBalance("UAT",DataAreaId,"T.MarkupTrans","Sum|Posted|0","","","","","","","MarkupCode|TransTableId|TransRecId","TPP","492",$L59),"")</f>
        <v/>
      </c>
    </row>
    <row r="60" spans="1:14" x14ac:dyDescent="0.25">
      <c r="A60" s="8" t="s">
        <v>252</v>
      </c>
      <c r="B60" s="8" t="s">
        <v>662</v>
      </c>
      <c r="C60" s="8" t="s">
        <v>76</v>
      </c>
      <c r="D60" s="8" t="s">
        <v>110</v>
      </c>
      <c r="E60" s="8" t="s">
        <v>261</v>
      </c>
      <c r="F60" s="8" t="s">
        <v>264</v>
      </c>
      <c r="G60" s="6">
        <v>43075</v>
      </c>
      <c r="H60" s="6">
        <v>43075</v>
      </c>
      <c r="I60" s="4">
        <v>-122</v>
      </c>
      <c r="J60" s="8" t="s">
        <v>39</v>
      </c>
      <c r="K60" s="8" t="s">
        <v>846</v>
      </c>
      <c r="L60" s="4" t="str">
        <f>IF(AtlasReport_1_Table_1[[#This Row],[Reference]]="Purchase order",_xll.AtlasFormulas.AtlasFunctions.AtlasTable("UAT",DataAreaId,"T.VendInvoiceTrans","%RecId","","","","","","","ItemId|PurchID|InventTransId",$C60,$B60,$K60),"")</f>
        <v/>
      </c>
      <c r="M60" s="4" t="str">
        <f>IF(AtlasReport_1_Table_1[[#This Row],[Reference]]="Purchase order",_xll.AtlasFormulas.AtlasFunctions.AtlasTable("UAT",DataAreaId,"T.MarkupTrans","%CurrencyCode","","","","","","","MarkupCode|TransRecId|TransTableId","TPP",$L60,"492"),"")</f>
        <v/>
      </c>
      <c r="N60" s="4" t="str">
        <f>IF(AtlasReport_1_Table_1[[#This Row],[Reference]]="Purchase order",_xll.AtlasFormulas.AtlasFunctions.AtlasBalance("UAT",DataAreaId,"T.MarkupTrans","Sum|Posted|0","","","","","","","MarkupCode|TransTableId|TransRecId","TPP","492",$L60),"")</f>
        <v/>
      </c>
    </row>
    <row r="61" spans="1:14" x14ac:dyDescent="0.25">
      <c r="A61" s="8" t="s">
        <v>252</v>
      </c>
      <c r="B61" s="8" t="s">
        <v>662</v>
      </c>
      <c r="C61" s="8" t="s">
        <v>19</v>
      </c>
      <c r="D61" s="8" t="s">
        <v>35</v>
      </c>
      <c r="E61" s="8" t="s">
        <v>261</v>
      </c>
      <c r="F61" s="8" t="s">
        <v>264</v>
      </c>
      <c r="G61" s="6">
        <v>43075</v>
      </c>
      <c r="H61" s="6">
        <v>43075</v>
      </c>
      <c r="I61" s="4">
        <v>-1</v>
      </c>
      <c r="J61" s="8" t="s">
        <v>37</v>
      </c>
      <c r="K61" s="8" t="s">
        <v>1504</v>
      </c>
      <c r="L61" s="4" t="str">
        <f>IF(AtlasReport_1_Table_1[[#This Row],[Reference]]="Purchase order",_xll.AtlasFormulas.AtlasFunctions.AtlasTable("UAT",DataAreaId,"T.VendInvoiceTrans","%RecId","","","","","","","ItemId|PurchID|InventTransId",$C61,$B61,$K61),"")</f>
        <v/>
      </c>
      <c r="M61" s="4" t="str">
        <f>IF(AtlasReport_1_Table_1[[#This Row],[Reference]]="Purchase order",_xll.AtlasFormulas.AtlasFunctions.AtlasTable("UAT",DataAreaId,"T.MarkupTrans","%CurrencyCode","","","","","","","MarkupCode|TransRecId|TransTableId","TPP",$L61,"492"),"")</f>
        <v/>
      </c>
      <c r="N61" s="4" t="str">
        <f>IF(AtlasReport_1_Table_1[[#This Row],[Reference]]="Purchase order",_xll.AtlasFormulas.AtlasFunctions.AtlasBalance("UAT",DataAreaId,"T.MarkupTrans","Sum|Posted|0","","","","","","","MarkupCode|TransTableId|TransRecId","TPP","492",$L61),"")</f>
        <v/>
      </c>
    </row>
    <row r="62" spans="1:14" x14ac:dyDescent="0.25">
      <c r="A62" s="8" t="s">
        <v>252</v>
      </c>
      <c r="B62" s="8" t="s">
        <v>1505</v>
      </c>
      <c r="C62" s="8" t="s">
        <v>521</v>
      </c>
      <c r="D62" s="8" t="s">
        <v>1337</v>
      </c>
      <c r="E62" s="8" t="s">
        <v>261</v>
      </c>
      <c r="F62" s="8" t="s">
        <v>264</v>
      </c>
      <c r="G62" s="6">
        <v>43074</v>
      </c>
      <c r="H62" s="6">
        <v>43075</v>
      </c>
      <c r="I62" s="4">
        <v>-1</v>
      </c>
      <c r="J62" s="8" t="s">
        <v>37</v>
      </c>
      <c r="K62" s="8" t="s">
        <v>1506</v>
      </c>
      <c r="L62" s="4" t="str">
        <f>IF(AtlasReport_1_Table_1[[#This Row],[Reference]]="Purchase order",_xll.AtlasFormulas.AtlasFunctions.AtlasTable("UAT",DataAreaId,"T.VendInvoiceTrans","%RecId","","","","","","","ItemId|PurchID|InventTransId",$C62,$B62,$K62),"")</f>
        <v/>
      </c>
      <c r="M62" s="4" t="str">
        <f>IF(AtlasReport_1_Table_1[[#This Row],[Reference]]="Purchase order",_xll.AtlasFormulas.AtlasFunctions.AtlasTable("UAT",DataAreaId,"T.MarkupTrans","%CurrencyCode","","","","","","","MarkupCode|TransRecId|TransTableId","TPP",$L62,"492"),"")</f>
        <v/>
      </c>
      <c r="N62" s="4" t="str">
        <f>IF(AtlasReport_1_Table_1[[#This Row],[Reference]]="Purchase order",_xll.AtlasFormulas.AtlasFunctions.AtlasBalance("UAT",DataAreaId,"T.MarkupTrans","Sum|Posted|0","","","","","","","MarkupCode|TransTableId|TransRecId","TPP","492",$L62),"")</f>
        <v/>
      </c>
    </row>
    <row r="63" spans="1:14" x14ac:dyDescent="0.25">
      <c r="A63" s="8" t="s">
        <v>252</v>
      </c>
      <c r="B63" s="8" t="s">
        <v>1505</v>
      </c>
      <c r="C63" s="8" t="s">
        <v>551</v>
      </c>
      <c r="D63" s="8" t="s">
        <v>1368</v>
      </c>
      <c r="E63" s="8" t="s">
        <v>261</v>
      </c>
      <c r="F63" s="8" t="s">
        <v>264</v>
      </c>
      <c r="G63" s="6">
        <v>43074</v>
      </c>
      <c r="H63" s="6">
        <v>43075</v>
      </c>
      <c r="I63" s="4">
        <v>-1</v>
      </c>
      <c r="J63" s="8" t="s">
        <v>37</v>
      </c>
      <c r="K63" s="8" t="s">
        <v>1507</v>
      </c>
      <c r="L63" s="4" t="str">
        <f>IF(AtlasReport_1_Table_1[[#This Row],[Reference]]="Purchase order",_xll.AtlasFormulas.AtlasFunctions.AtlasTable("UAT",DataAreaId,"T.VendInvoiceTrans","%RecId","","","","","","","ItemId|PurchID|InventTransId",$C63,$B63,$K63),"")</f>
        <v/>
      </c>
      <c r="M63" s="4" t="str">
        <f>IF(AtlasReport_1_Table_1[[#This Row],[Reference]]="Purchase order",_xll.AtlasFormulas.AtlasFunctions.AtlasTable("UAT",DataAreaId,"T.MarkupTrans","%CurrencyCode","","","","","","","MarkupCode|TransRecId|TransTableId","TPP",$L63,"492"),"")</f>
        <v/>
      </c>
      <c r="N63" s="4" t="str">
        <f>IF(AtlasReport_1_Table_1[[#This Row],[Reference]]="Purchase order",_xll.AtlasFormulas.AtlasFunctions.AtlasBalance("UAT",DataAreaId,"T.MarkupTrans","Sum|Posted|0","","","","","","","MarkupCode|TransTableId|TransRecId","TPP","492",$L63),"")</f>
        <v/>
      </c>
    </row>
    <row r="64" spans="1:14" x14ac:dyDescent="0.25">
      <c r="A64" s="8" t="s">
        <v>252</v>
      </c>
      <c r="B64" s="8" t="s">
        <v>1505</v>
      </c>
      <c r="C64" s="8" t="s">
        <v>1424</v>
      </c>
      <c r="D64" s="8" t="s">
        <v>1425</v>
      </c>
      <c r="E64" s="8" t="s">
        <v>261</v>
      </c>
      <c r="F64" s="8" t="s">
        <v>264</v>
      </c>
      <c r="G64" s="6">
        <v>43074</v>
      </c>
      <c r="H64" s="6">
        <v>43075</v>
      </c>
      <c r="I64" s="4">
        <v>-1</v>
      </c>
      <c r="J64" s="8" t="s">
        <v>37</v>
      </c>
      <c r="K64" s="8" t="s">
        <v>1508</v>
      </c>
      <c r="L64" s="4" t="str">
        <f>IF(AtlasReport_1_Table_1[[#This Row],[Reference]]="Purchase order",_xll.AtlasFormulas.AtlasFunctions.AtlasTable("UAT",DataAreaId,"T.VendInvoiceTrans","%RecId","","","","","","","ItemId|PurchID|InventTransId",$C64,$B64,$K64),"")</f>
        <v/>
      </c>
      <c r="M64" s="4" t="str">
        <f>IF(AtlasReport_1_Table_1[[#This Row],[Reference]]="Purchase order",_xll.AtlasFormulas.AtlasFunctions.AtlasTable("UAT",DataAreaId,"T.MarkupTrans","%CurrencyCode","","","","","","","MarkupCode|TransRecId|TransTableId","TPP",$L64,"492"),"")</f>
        <v/>
      </c>
      <c r="N64" s="4" t="str">
        <f>IF(AtlasReport_1_Table_1[[#This Row],[Reference]]="Purchase order",_xll.AtlasFormulas.AtlasFunctions.AtlasBalance("UAT",DataAreaId,"T.MarkupTrans","Sum|Posted|0","","","","","","","MarkupCode|TransTableId|TransRecId","TPP","492",$L64),"")</f>
        <v/>
      </c>
    </row>
    <row r="65" spans="1:14" x14ac:dyDescent="0.25">
      <c r="A65" s="8" t="s">
        <v>252</v>
      </c>
      <c r="B65" s="8" t="s">
        <v>826</v>
      </c>
      <c r="C65" s="8" t="s">
        <v>59</v>
      </c>
      <c r="D65" s="8" t="s">
        <v>93</v>
      </c>
      <c r="E65" s="8" t="s">
        <v>261</v>
      </c>
      <c r="F65" s="8" t="s">
        <v>264</v>
      </c>
      <c r="G65" s="6">
        <v>43075</v>
      </c>
      <c r="H65" s="6">
        <v>43076</v>
      </c>
      <c r="I65" s="4">
        <v>-186.5</v>
      </c>
      <c r="J65" s="8" t="s">
        <v>39</v>
      </c>
      <c r="K65" s="8" t="s">
        <v>828</v>
      </c>
      <c r="L65" s="4" t="str">
        <f>IF(AtlasReport_1_Table_1[[#This Row],[Reference]]="Purchase order",_xll.AtlasFormulas.AtlasFunctions.AtlasTable("UAT",DataAreaId,"T.VendInvoiceTrans","%RecId","","","","","","","ItemId|PurchID|InventTransId",$C65,$B65,$K65),"")</f>
        <v/>
      </c>
      <c r="M65" s="4" t="str">
        <f>IF(AtlasReport_1_Table_1[[#This Row],[Reference]]="Purchase order",_xll.AtlasFormulas.AtlasFunctions.AtlasTable("UAT",DataAreaId,"T.MarkupTrans","%CurrencyCode","","","","","","","MarkupCode|TransRecId|TransTableId","TPP",$L65,"492"),"")</f>
        <v/>
      </c>
      <c r="N65" s="4" t="str">
        <f>IF(AtlasReport_1_Table_1[[#This Row],[Reference]]="Purchase order",_xll.AtlasFormulas.AtlasFunctions.AtlasBalance("UAT",DataAreaId,"T.MarkupTrans","Sum|Posted|0","","","","","","","MarkupCode|TransTableId|TransRecId","TPP","492",$L65),"")</f>
        <v/>
      </c>
    </row>
    <row r="66" spans="1:14" x14ac:dyDescent="0.25">
      <c r="A66" s="8" t="s">
        <v>252</v>
      </c>
      <c r="B66" s="8" t="s">
        <v>826</v>
      </c>
      <c r="C66" s="8" t="s">
        <v>79</v>
      </c>
      <c r="D66" s="8" t="s">
        <v>206</v>
      </c>
      <c r="E66" s="8" t="s">
        <v>261</v>
      </c>
      <c r="F66" s="8" t="s">
        <v>264</v>
      </c>
      <c r="G66" s="6">
        <v>43075</v>
      </c>
      <c r="H66" s="6">
        <v>43076</v>
      </c>
      <c r="I66" s="4">
        <v>-4</v>
      </c>
      <c r="J66" s="8" t="s">
        <v>37</v>
      </c>
      <c r="K66" s="8" t="s">
        <v>1509</v>
      </c>
      <c r="L66" s="4" t="str">
        <f>IF(AtlasReport_1_Table_1[[#This Row],[Reference]]="Purchase order",_xll.AtlasFormulas.AtlasFunctions.AtlasTable("UAT",DataAreaId,"T.VendInvoiceTrans","%RecId","","","","","","","ItemId|PurchID|InventTransId",$C66,$B66,$K66),"")</f>
        <v/>
      </c>
      <c r="M66" s="4" t="str">
        <f>IF(AtlasReport_1_Table_1[[#This Row],[Reference]]="Purchase order",_xll.AtlasFormulas.AtlasFunctions.AtlasTable("UAT",DataAreaId,"T.MarkupTrans","%CurrencyCode","","","","","","","MarkupCode|TransRecId|TransTableId","TPP",$L66,"492"),"")</f>
        <v/>
      </c>
      <c r="N66" s="4" t="str">
        <f>IF(AtlasReport_1_Table_1[[#This Row],[Reference]]="Purchase order",_xll.AtlasFormulas.AtlasFunctions.AtlasBalance("UAT",DataAreaId,"T.MarkupTrans","Sum|Posted|0","","","","","","","MarkupCode|TransTableId|TransRecId","TPP","492",$L66),"")</f>
        <v/>
      </c>
    </row>
    <row r="67" spans="1:14" x14ac:dyDescent="0.25">
      <c r="A67" s="8" t="s">
        <v>252</v>
      </c>
      <c r="B67" s="8" t="s">
        <v>826</v>
      </c>
      <c r="C67" s="8" t="s">
        <v>67</v>
      </c>
      <c r="D67" s="8" t="s">
        <v>907</v>
      </c>
      <c r="E67" s="8" t="s">
        <v>261</v>
      </c>
      <c r="F67" s="8" t="s">
        <v>264</v>
      </c>
      <c r="G67" s="6">
        <v>43075</v>
      </c>
      <c r="H67" s="6">
        <v>43076</v>
      </c>
      <c r="I67" s="4">
        <v>-10</v>
      </c>
      <c r="J67" s="8" t="s">
        <v>37</v>
      </c>
      <c r="K67" s="8" t="s">
        <v>909</v>
      </c>
      <c r="L67" s="4" t="str">
        <f>IF(AtlasReport_1_Table_1[[#This Row],[Reference]]="Purchase order",_xll.AtlasFormulas.AtlasFunctions.AtlasTable("UAT",DataAreaId,"T.VendInvoiceTrans","%RecId","","","","","","","ItemId|PurchID|InventTransId",$C67,$B67,$K67),"")</f>
        <v/>
      </c>
      <c r="M67" s="4" t="str">
        <f>IF(AtlasReport_1_Table_1[[#This Row],[Reference]]="Purchase order",_xll.AtlasFormulas.AtlasFunctions.AtlasTable("UAT",DataAreaId,"T.MarkupTrans","%CurrencyCode","","","","","","","MarkupCode|TransRecId|TransTableId","TPP",$L67,"492"),"")</f>
        <v/>
      </c>
      <c r="N67" s="4" t="str">
        <f>IF(AtlasReport_1_Table_1[[#This Row],[Reference]]="Purchase order",_xll.AtlasFormulas.AtlasFunctions.AtlasBalance("UAT",DataAreaId,"T.MarkupTrans","Sum|Posted|0","","","","","","","MarkupCode|TransTableId|TransRecId","TPP","492",$L67),"")</f>
        <v/>
      </c>
    </row>
    <row r="68" spans="1:14" x14ac:dyDescent="0.25">
      <c r="A68" s="8" t="s">
        <v>252</v>
      </c>
      <c r="B68" s="8" t="s">
        <v>826</v>
      </c>
      <c r="C68" s="8" t="s">
        <v>19</v>
      </c>
      <c r="D68" s="8" t="s">
        <v>35</v>
      </c>
      <c r="E68" s="8" t="s">
        <v>261</v>
      </c>
      <c r="F68" s="8" t="s">
        <v>264</v>
      </c>
      <c r="G68" s="6">
        <v>43075</v>
      </c>
      <c r="H68" s="6">
        <v>43076</v>
      </c>
      <c r="I68" s="4">
        <v>-1</v>
      </c>
      <c r="J68" s="8" t="s">
        <v>37</v>
      </c>
      <c r="K68" s="8" t="s">
        <v>1510</v>
      </c>
      <c r="L68" s="4" t="str">
        <f>IF(AtlasReport_1_Table_1[[#This Row],[Reference]]="Purchase order",_xll.AtlasFormulas.AtlasFunctions.AtlasTable("UAT",DataAreaId,"T.VendInvoiceTrans","%RecId","","","","","","","ItemId|PurchID|InventTransId",$C68,$B68,$K68),"")</f>
        <v/>
      </c>
      <c r="M68" s="4" t="str">
        <f>IF(AtlasReport_1_Table_1[[#This Row],[Reference]]="Purchase order",_xll.AtlasFormulas.AtlasFunctions.AtlasTable("UAT",DataAreaId,"T.MarkupTrans","%CurrencyCode","","","","","","","MarkupCode|TransRecId|TransTableId","TPP",$L68,"492"),"")</f>
        <v/>
      </c>
      <c r="N68" s="4" t="str">
        <f>IF(AtlasReport_1_Table_1[[#This Row],[Reference]]="Purchase order",_xll.AtlasFormulas.AtlasFunctions.AtlasBalance("UAT",DataAreaId,"T.MarkupTrans","Sum|Posted|0","","","","","","","MarkupCode|TransTableId|TransRecId","TPP","492",$L68),"")</f>
        <v/>
      </c>
    </row>
    <row r="69" spans="1:14" x14ac:dyDescent="0.25">
      <c r="A69" s="8" t="s">
        <v>252</v>
      </c>
      <c r="B69" s="8" t="s">
        <v>648</v>
      </c>
      <c r="C69" s="8" t="s">
        <v>73</v>
      </c>
      <c r="D69" s="8" t="s">
        <v>125</v>
      </c>
      <c r="E69" s="8" t="s">
        <v>261</v>
      </c>
      <c r="F69" s="8" t="s">
        <v>264</v>
      </c>
      <c r="G69" s="6">
        <v>43074</v>
      </c>
      <c r="H69" s="6">
        <v>43075</v>
      </c>
      <c r="I69" s="4">
        <v>-30</v>
      </c>
      <c r="J69" s="8" t="s">
        <v>38</v>
      </c>
      <c r="K69" s="8" t="s">
        <v>650</v>
      </c>
      <c r="L69" s="4" t="str">
        <f>IF(AtlasReport_1_Table_1[[#This Row],[Reference]]="Purchase order",_xll.AtlasFormulas.AtlasFunctions.AtlasTable("UAT",DataAreaId,"T.VendInvoiceTrans","%RecId","","","","","","","ItemId|PurchID|InventTransId",$C69,$B69,$K69),"")</f>
        <v/>
      </c>
      <c r="M69" s="4" t="str">
        <f>IF(AtlasReport_1_Table_1[[#This Row],[Reference]]="Purchase order",_xll.AtlasFormulas.AtlasFunctions.AtlasTable("UAT",DataAreaId,"T.MarkupTrans","%CurrencyCode","","","","","","","MarkupCode|TransRecId|TransTableId","TPP",$L69,"492"),"")</f>
        <v/>
      </c>
      <c r="N69" s="4" t="str">
        <f>IF(AtlasReport_1_Table_1[[#This Row],[Reference]]="Purchase order",_xll.AtlasFormulas.AtlasFunctions.AtlasBalance("UAT",DataAreaId,"T.MarkupTrans","Sum|Posted|0","","","","","","","MarkupCode|TransTableId|TransRecId","TPP","492",$L69),"")</f>
        <v/>
      </c>
    </row>
    <row r="70" spans="1:14" x14ac:dyDescent="0.25">
      <c r="A70" s="8" t="s">
        <v>252</v>
      </c>
      <c r="B70" s="8" t="s">
        <v>648</v>
      </c>
      <c r="C70" s="8" t="s">
        <v>521</v>
      </c>
      <c r="D70" s="8" t="s">
        <v>1337</v>
      </c>
      <c r="E70" s="8" t="s">
        <v>261</v>
      </c>
      <c r="F70" s="8" t="s">
        <v>264</v>
      </c>
      <c r="G70" s="6">
        <v>43074</v>
      </c>
      <c r="H70" s="6">
        <v>43075</v>
      </c>
      <c r="I70" s="4">
        <v>-1</v>
      </c>
      <c r="J70" s="8" t="s">
        <v>37</v>
      </c>
      <c r="K70" s="8" t="s">
        <v>1511</v>
      </c>
      <c r="L70" s="4" t="str">
        <f>IF(AtlasReport_1_Table_1[[#This Row],[Reference]]="Purchase order",_xll.AtlasFormulas.AtlasFunctions.AtlasTable("UAT",DataAreaId,"T.VendInvoiceTrans","%RecId","","","","","","","ItemId|PurchID|InventTransId",$C70,$B70,$K70),"")</f>
        <v/>
      </c>
      <c r="M70" s="4" t="str">
        <f>IF(AtlasReport_1_Table_1[[#This Row],[Reference]]="Purchase order",_xll.AtlasFormulas.AtlasFunctions.AtlasTable("UAT",DataAreaId,"T.MarkupTrans","%CurrencyCode","","","","","","","MarkupCode|TransRecId|TransTableId","TPP",$L70,"492"),"")</f>
        <v/>
      </c>
      <c r="N70" s="4" t="str">
        <f>IF(AtlasReport_1_Table_1[[#This Row],[Reference]]="Purchase order",_xll.AtlasFormulas.AtlasFunctions.AtlasBalance("UAT",DataAreaId,"T.MarkupTrans","Sum|Posted|0","","","","","","","MarkupCode|TransTableId|TransRecId","TPP","492",$L70),"")</f>
        <v/>
      </c>
    </row>
    <row r="71" spans="1:14" x14ac:dyDescent="0.25">
      <c r="A71" s="8" t="s">
        <v>252</v>
      </c>
      <c r="B71" s="8" t="s">
        <v>648</v>
      </c>
      <c r="C71" s="8" t="s">
        <v>244</v>
      </c>
      <c r="D71" s="8" t="s">
        <v>245</v>
      </c>
      <c r="E71" s="8" t="s">
        <v>261</v>
      </c>
      <c r="F71" s="8" t="s">
        <v>264</v>
      </c>
      <c r="G71" s="6">
        <v>43074</v>
      </c>
      <c r="H71" s="6">
        <v>43075</v>
      </c>
      <c r="I71" s="4">
        <v>-4</v>
      </c>
      <c r="J71" s="8" t="s">
        <v>37</v>
      </c>
      <c r="K71" s="8" t="s">
        <v>941</v>
      </c>
      <c r="L71" s="4" t="str">
        <f>IF(AtlasReport_1_Table_1[[#This Row],[Reference]]="Purchase order",_xll.AtlasFormulas.AtlasFunctions.AtlasTable("UAT",DataAreaId,"T.VendInvoiceTrans","%RecId","","","","","","","ItemId|PurchID|InventTransId",$C71,$B71,$K71),"")</f>
        <v/>
      </c>
      <c r="M71" s="4" t="str">
        <f>IF(AtlasReport_1_Table_1[[#This Row],[Reference]]="Purchase order",_xll.AtlasFormulas.AtlasFunctions.AtlasTable("UAT",DataAreaId,"T.MarkupTrans","%CurrencyCode","","","","","","","MarkupCode|TransRecId|TransTableId","TPP",$L71,"492"),"")</f>
        <v/>
      </c>
      <c r="N71" s="4" t="str">
        <f>IF(AtlasReport_1_Table_1[[#This Row],[Reference]]="Purchase order",_xll.AtlasFormulas.AtlasFunctions.AtlasBalance("UAT",DataAreaId,"T.MarkupTrans","Sum|Posted|0","","","","","","","MarkupCode|TransTableId|TransRecId","TPP","492",$L71),"")</f>
        <v/>
      </c>
    </row>
    <row r="72" spans="1:14" x14ac:dyDescent="0.25">
      <c r="A72" s="8" t="s">
        <v>252</v>
      </c>
      <c r="B72" s="8" t="s">
        <v>648</v>
      </c>
      <c r="C72" s="8" t="s">
        <v>19</v>
      </c>
      <c r="D72" s="8" t="s">
        <v>35</v>
      </c>
      <c r="E72" s="8" t="s">
        <v>261</v>
      </c>
      <c r="F72" s="8" t="s">
        <v>264</v>
      </c>
      <c r="G72" s="6">
        <v>43074</v>
      </c>
      <c r="H72" s="6">
        <v>43075</v>
      </c>
      <c r="I72" s="4">
        <v>-1</v>
      </c>
      <c r="J72" s="8" t="s">
        <v>37</v>
      </c>
      <c r="K72" s="8" t="s">
        <v>1512</v>
      </c>
      <c r="L72" s="4" t="str">
        <f>IF(AtlasReport_1_Table_1[[#This Row],[Reference]]="Purchase order",_xll.AtlasFormulas.AtlasFunctions.AtlasTable("UAT",DataAreaId,"T.VendInvoiceTrans","%RecId","","","","","","","ItemId|PurchID|InventTransId",$C72,$B72,$K72),"")</f>
        <v/>
      </c>
      <c r="M72" s="4" t="str">
        <f>IF(AtlasReport_1_Table_1[[#This Row],[Reference]]="Purchase order",_xll.AtlasFormulas.AtlasFunctions.AtlasTable("UAT",DataAreaId,"T.MarkupTrans","%CurrencyCode","","","","","","","MarkupCode|TransRecId|TransTableId","TPP",$L72,"492"),"")</f>
        <v/>
      </c>
      <c r="N72" s="4" t="str">
        <f>IF(AtlasReport_1_Table_1[[#This Row],[Reference]]="Purchase order",_xll.AtlasFormulas.AtlasFunctions.AtlasBalance("UAT",DataAreaId,"T.MarkupTrans","Sum|Posted|0","","","","","","","MarkupCode|TransTableId|TransRecId","TPP","492",$L72),"")</f>
        <v/>
      </c>
    </row>
    <row r="73" spans="1:14" x14ac:dyDescent="0.25">
      <c r="A73" s="8" t="s">
        <v>252</v>
      </c>
      <c r="B73" s="8" t="s">
        <v>776</v>
      </c>
      <c r="C73" s="8" t="s">
        <v>106</v>
      </c>
      <c r="D73" s="8" t="s">
        <v>107</v>
      </c>
      <c r="E73" s="8" t="s">
        <v>261</v>
      </c>
      <c r="F73" s="8" t="s">
        <v>264</v>
      </c>
      <c r="G73" s="6">
        <v>43076</v>
      </c>
      <c r="H73" s="6">
        <v>43080</v>
      </c>
      <c r="I73" s="4">
        <v>-20.95</v>
      </c>
      <c r="J73" s="8" t="s">
        <v>39</v>
      </c>
      <c r="K73" s="8" t="s">
        <v>778</v>
      </c>
      <c r="L73" s="4" t="str">
        <f>IF(AtlasReport_1_Table_1[[#This Row],[Reference]]="Purchase order",_xll.AtlasFormulas.AtlasFunctions.AtlasTable("UAT",DataAreaId,"T.VendInvoiceTrans","%RecId","","","","","","","ItemId|PurchID|InventTransId",$C73,$B73,$K73),"")</f>
        <v/>
      </c>
      <c r="M73" s="4" t="str">
        <f>IF(AtlasReport_1_Table_1[[#This Row],[Reference]]="Purchase order",_xll.AtlasFormulas.AtlasFunctions.AtlasTable("UAT",DataAreaId,"T.MarkupTrans","%CurrencyCode","","","","","","","MarkupCode|TransRecId|TransTableId","TPP",$L73,"492"),"")</f>
        <v/>
      </c>
      <c r="N73" s="4" t="str">
        <f>IF(AtlasReport_1_Table_1[[#This Row],[Reference]]="Purchase order",_xll.AtlasFormulas.AtlasFunctions.AtlasBalance("UAT",DataAreaId,"T.MarkupTrans","Sum|Posted|0","","","","","","","MarkupCode|TransTableId|TransRecId","TPP","492",$L73),"")</f>
        <v/>
      </c>
    </row>
    <row r="74" spans="1:14" x14ac:dyDescent="0.25">
      <c r="A74" s="8" t="s">
        <v>252</v>
      </c>
      <c r="B74" s="8" t="s">
        <v>776</v>
      </c>
      <c r="C74" s="8" t="s">
        <v>59</v>
      </c>
      <c r="D74" s="8" t="s">
        <v>93</v>
      </c>
      <c r="E74" s="8" t="s">
        <v>261</v>
      </c>
      <c r="F74" s="8" t="s">
        <v>264</v>
      </c>
      <c r="G74" s="6">
        <v>43076</v>
      </c>
      <c r="H74" s="6">
        <v>43080</v>
      </c>
      <c r="I74" s="4">
        <v>-71</v>
      </c>
      <c r="J74" s="8" t="s">
        <v>39</v>
      </c>
      <c r="K74" s="8" t="s">
        <v>829</v>
      </c>
      <c r="L74" s="4" t="str">
        <f>IF(AtlasReport_1_Table_1[[#This Row],[Reference]]="Purchase order",_xll.AtlasFormulas.AtlasFunctions.AtlasTable("UAT",DataAreaId,"T.VendInvoiceTrans","%RecId","","","","","","","ItemId|PurchID|InventTransId",$C74,$B74,$K74),"")</f>
        <v/>
      </c>
      <c r="M74" s="4" t="str">
        <f>IF(AtlasReport_1_Table_1[[#This Row],[Reference]]="Purchase order",_xll.AtlasFormulas.AtlasFunctions.AtlasTable("UAT",DataAreaId,"T.MarkupTrans","%CurrencyCode","","","","","","","MarkupCode|TransRecId|TransTableId","TPP",$L74,"492"),"")</f>
        <v/>
      </c>
      <c r="N74" s="4" t="str">
        <f>IF(AtlasReport_1_Table_1[[#This Row],[Reference]]="Purchase order",_xll.AtlasFormulas.AtlasFunctions.AtlasBalance("UAT",DataAreaId,"T.MarkupTrans","Sum|Posted|0","","","","","","","MarkupCode|TransTableId|TransRecId","TPP","492",$L74),"")</f>
        <v/>
      </c>
    </row>
    <row r="75" spans="1:14" x14ac:dyDescent="0.25">
      <c r="A75" s="8" t="s">
        <v>252</v>
      </c>
      <c r="B75" s="8" t="s">
        <v>776</v>
      </c>
      <c r="C75" s="8" t="s">
        <v>23</v>
      </c>
      <c r="D75" s="8" t="s">
        <v>883</v>
      </c>
      <c r="E75" s="8" t="s">
        <v>261</v>
      </c>
      <c r="F75" s="8" t="s">
        <v>264</v>
      </c>
      <c r="G75" s="6">
        <v>43076</v>
      </c>
      <c r="H75" s="6">
        <v>43080</v>
      </c>
      <c r="I75" s="4">
        <v>-11</v>
      </c>
      <c r="J75" s="8" t="s">
        <v>37</v>
      </c>
      <c r="K75" s="8" t="s">
        <v>893</v>
      </c>
      <c r="L75" s="4" t="str">
        <f>IF(AtlasReport_1_Table_1[[#This Row],[Reference]]="Purchase order",_xll.AtlasFormulas.AtlasFunctions.AtlasTable("UAT",DataAreaId,"T.VendInvoiceTrans","%RecId","","","","","","","ItemId|PurchID|InventTransId",$C75,$B75,$K75),"")</f>
        <v/>
      </c>
      <c r="M75" s="4" t="str">
        <f>IF(AtlasReport_1_Table_1[[#This Row],[Reference]]="Purchase order",_xll.AtlasFormulas.AtlasFunctions.AtlasTable("UAT",DataAreaId,"T.MarkupTrans","%CurrencyCode","","","","","","","MarkupCode|TransRecId|TransTableId","TPP",$L75,"492"),"")</f>
        <v/>
      </c>
      <c r="N75" s="4" t="str">
        <f>IF(AtlasReport_1_Table_1[[#This Row],[Reference]]="Purchase order",_xll.AtlasFormulas.AtlasFunctions.AtlasBalance("UAT",DataAreaId,"T.MarkupTrans","Sum|Posted|0","","","","","","","MarkupCode|TransTableId|TransRecId","TPP","492",$L75),"")</f>
        <v/>
      </c>
    </row>
    <row r="76" spans="1:14" x14ac:dyDescent="0.25">
      <c r="A76" s="8" t="s">
        <v>252</v>
      </c>
      <c r="B76" s="8" t="s">
        <v>776</v>
      </c>
      <c r="C76" s="8" t="s">
        <v>23</v>
      </c>
      <c r="D76" s="8" t="s">
        <v>883</v>
      </c>
      <c r="E76" s="8" t="s">
        <v>261</v>
      </c>
      <c r="F76" s="8" t="s">
        <v>264</v>
      </c>
      <c r="G76" s="6">
        <v>43076</v>
      </c>
      <c r="H76" s="6">
        <v>43080</v>
      </c>
      <c r="I76" s="4">
        <v>-3</v>
      </c>
      <c r="J76" s="8" t="s">
        <v>37</v>
      </c>
      <c r="K76" s="8" t="s">
        <v>889</v>
      </c>
      <c r="L76" s="4" t="str">
        <f>IF(AtlasReport_1_Table_1[[#This Row],[Reference]]="Purchase order",_xll.AtlasFormulas.AtlasFunctions.AtlasTable("UAT",DataAreaId,"T.VendInvoiceTrans","%RecId","","","","","","","ItemId|PurchID|InventTransId",$C76,$B76,$K76),"")</f>
        <v/>
      </c>
      <c r="M76" s="4" t="str">
        <f>IF(AtlasReport_1_Table_1[[#This Row],[Reference]]="Purchase order",_xll.AtlasFormulas.AtlasFunctions.AtlasTable("UAT",DataAreaId,"T.MarkupTrans","%CurrencyCode","","","","","","","MarkupCode|TransRecId|TransTableId","TPP",$L76,"492"),"")</f>
        <v/>
      </c>
      <c r="N76" s="4" t="str">
        <f>IF(AtlasReport_1_Table_1[[#This Row],[Reference]]="Purchase order",_xll.AtlasFormulas.AtlasFunctions.AtlasBalance("UAT",DataAreaId,"T.MarkupTrans","Sum|Posted|0","","","","","","","MarkupCode|TransTableId|TransRecId","TPP","492",$L76),"")</f>
        <v/>
      </c>
    </row>
    <row r="77" spans="1:14" x14ac:dyDescent="0.25">
      <c r="A77" s="8" t="s">
        <v>252</v>
      </c>
      <c r="B77" s="8" t="s">
        <v>830</v>
      </c>
      <c r="C77" s="8" t="s">
        <v>59</v>
      </c>
      <c r="D77" s="8" t="s">
        <v>93</v>
      </c>
      <c r="E77" s="8" t="s">
        <v>261</v>
      </c>
      <c r="F77" s="8" t="s">
        <v>264</v>
      </c>
      <c r="G77" s="6">
        <v>43075</v>
      </c>
      <c r="H77" s="6">
        <v>43080</v>
      </c>
      <c r="I77" s="4">
        <v>-9.0400000000000009</v>
      </c>
      <c r="J77" s="8" t="s">
        <v>39</v>
      </c>
      <c r="K77" s="8" t="s">
        <v>832</v>
      </c>
      <c r="L77" s="4" t="str">
        <f>IF(AtlasReport_1_Table_1[[#This Row],[Reference]]="Purchase order",_xll.AtlasFormulas.AtlasFunctions.AtlasTable("UAT",DataAreaId,"T.VendInvoiceTrans","%RecId","","","","","","","ItemId|PurchID|InventTransId",$C77,$B77,$K77),"")</f>
        <v/>
      </c>
      <c r="M77" s="4" t="str">
        <f>IF(AtlasReport_1_Table_1[[#This Row],[Reference]]="Purchase order",_xll.AtlasFormulas.AtlasFunctions.AtlasTable("UAT",DataAreaId,"T.MarkupTrans","%CurrencyCode","","","","","","","MarkupCode|TransRecId|TransTableId","TPP",$L77,"492"),"")</f>
        <v/>
      </c>
      <c r="N77" s="4" t="str">
        <f>IF(AtlasReport_1_Table_1[[#This Row],[Reference]]="Purchase order",_xll.AtlasFormulas.AtlasFunctions.AtlasBalance("UAT",DataAreaId,"T.MarkupTrans","Sum|Posted|0","","","","","","","MarkupCode|TransTableId|TransRecId","TPP","492",$L77),"")</f>
        <v/>
      </c>
    </row>
    <row r="78" spans="1:14" x14ac:dyDescent="0.25">
      <c r="A78" s="8" t="s">
        <v>252</v>
      </c>
      <c r="B78" s="8" t="s">
        <v>830</v>
      </c>
      <c r="C78" s="8" t="s">
        <v>1424</v>
      </c>
      <c r="D78" s="8" t="s">
        <v>1425</v>
      </c>
      <c r="E78" s="8" t="s">
        <v>261</v>
      </c>
      <c r="F78" s="8" t="s">
        <v>264</v>
      </c>
      <c r="G78" s="6">
        <v>43075</v>
      </c>
      <c r="H78" s="6">
        <v>43080</v>
      </c>
      <c r="I78" s="4">
        <v>-1</v>
      </c>
      <c r="J78" s="8" t="s">
        <v>37</v>
      </c>
      <c r="K78" s="8" t="s">
        <v>1513</v>
      </c>
      <c r="L78" s="4" t="str">
        <f>IF(AtlasReport_1_Table_1[[#This Row],[Reference]]="Purchase order",_xll.AtlasFormulas.AtlasFunctions.AtlasTable("UAT",DataAreaId,"T.VendInvoiceTrans","%RecId","","","","","","","ItemId|PurchID|InventTransId",$C78,$B78,$K78),"")</f>
        <v/>
      </c>
      <c r="M78" s="4" t="str">
        <f>IF(AtlasReport_1_Table_1[[#This Row],[Reference]]="Purchase order",_xll.AtlasFormulas.AtlasFunctions.AtlasTable("UAT",DataAreaId,"T.MarkupTrans","%CurrencyCode","","","","","","","MarkupCode|TransRecId|TransTableId","TPP",$L78,"492"),"")</f>
        <v/>
      </c>
      <c r="N78" s="4" t="str">
        <f>IF(AtlasReport_1_Table_1[[#This Row],[Reference]]="Purchase order",_xll.AtlasFormulas.AtlasFunctions.AtlasBalance("UAT",DataAreaId,"T.MarkupTrans","Sum|Posted|0","","","","","","","MarkupCode|TransTableId|TransRecId","TPP","492",$L78),"")</f>
        <v/>
      </c>
    </row>
    <row r="79" spans="1:14" x14ac:dyDescent="0.25">
      <c r="A79" s="8" t="s">
        <v>252</v>
      </c>
      <c r="B79" s="8" t="s">
        <v>876</v>
      </c>
      <c r="C79" s="8" t="s">
        <v>63</v>
      </c>
      <c r="D79" s="8" t="s">
        <v>95</v>
      </c>
      <c r="E79" s="8" t="s">
        <v>261</v>
      </c>
      <c r="F79" s="8" t="s">
        <v>264</v>
      </c>
      <c r="G79" s="6">
        <v>43075</v>
      </c>
      <c r="H79" s="6">
        <v>43076</v>
      </c>
      <c r="I79" s="4">
        <v>-9</v>
      </c>
      <c r="J79" s="8" t="s">
        <v>39</v>
      </c>
      <c r="K79" s="8" t="s">
        <v>878</v>
      </c>
      <c r="L79" s="4" t="str">
        <f>IF(AtlasReport_1_Table_1[[#This Row],[Reference]]="Purchase order",_xll.AtlasFormulas.AtlasFunctions.AtlasTable("UAT",DataAreaId,"T.VendInvoiceTrans","%RecId","","","","","","","ItemId|PurchID|InventTransId",$C79,$B79,$K79),"")</f>
        <v/>
      </c>
      <c r="M79" s="4" t="str">
        <f>IF(AtlasReport_1_Table_1[[#This Row],[Reference]]="Purchase order",_xll.AtlasFormulas.AtlasFunctions.AtlasTable("UAT",DataAreaId,"T.MarkupTrans","%CurrencyCode","","","","","","","MarkupCode|TransRecId|TransTableId","TPP",$L79,"492"),"")</f>
        <v/>
      </c>
      <c r="N79" s="4" t="str">
        <f>IF(AtlasReport_1_Table_1[[#This Row],[Reference]]="Purchase order",_xll.AtlasFormulas.AtlasFunctions.AtlasBalance("UAT",DataAreaId,"T.MarkupTrans","Sum|Posted|0","","","","","","","MarkupCode|TransTableId|TransRecId","TPP","492",$L79),"")</f>
        <v/>
      </c>
    </row>
    <row r="80" spans="1:14" x14ac:dyDescent="0.25">
      <c r="A80" s="8" t="s">
        <v>252</v>
      </c>
      <c r="B80" s="8" t="s">
        <v>876</v>
      </c>
      <c r="C80" s="8" t="s">
        <v>79</v>
      </c>
      <c r="D80" s="8" t="s">
        <v>206</v>
      </c>
      <c r="E80" s="8" t="s">
        <v>261</v>
      </c>
      <c r="F80" s="8" t="s">
        <v>264</v>
      </c>
      <c r="G80" s="6">
        <v>43075</v>
      </c>
      <c r="H80" s="6">
        <v>43076</v>
      </c>
      <c r="I80" s="4">
        <v>-1</v>
      </c>
      <c r="J80" s="8" t="s">
        <v>37</v>
      </c>
      <c r="K80" s="8" t="s">
        <v>1514</v>
      </c>
      <c r="L80" s="4" t="str">
        <f>IF(AtlasReport_1_Table_1[[#This Row],[Reference]]="Purchase order",_xll.AtlasFormulas.AtlasFunctions.AtlasTable("UAT",DataAreaId,"T.VendInvoiceTrans","%RecId","","","","","","","ItemId|PurchID|InventTransId",$C80,$B80,$K80),"")</f>
        <v/>
      </c>
      <c r="M80" s="4" t="str">
        <f>IF(AtlasReport_1_Table_1[[#This Row],[Reference]]="Purchase order",_xll.AtlasFormulas.AtlasFunctions.AtlasTable("UAT",DataAreaId,"T.MarkupTrans","%CurrencyCode","","","","","","","MarkupCode|TransRecId|TransTableId","TPP",$L80,"492"),"")</f>
        <v/>
      </c>
      <c r="N80" s="4" t="str">
        <f>IF(AtlasReport_1_Table_1[[#This Row],[Reference]]="Purchase order",_xll.AtlasFormulas.AtlasFunctions.AtlasBalance("UAT",DataAreaId,"T.MarkupTrans","Sum|Posted|0","","","","","","","MarkupCode|TransTableId|TransRecId","TPP","492",$L80),"")</f>
        <v/>
      </c>
    </row>
    <row r="81" spans="1:14" x14ac:dyDescent="0.25">
      <c r="A81" s="8" t="s">
        <v>252</v>
      </c>
      <c r="B81" s="8" t="s">
        <v>876</v>
      </c>
      <c r="C81" s="8" t="s">
        <v>23</v>
      </c>
      <c r="D81" s="8" t="s">
        <v>883</v>
      </c>
      <c r="E81" s="8" t="s">
        <v>261</v>
      </c>
      <c r="F81" s="8" t="s">
        <v>264</v>
      </c>
      <c r="G81" s="6">
        <v>43075</v>
      </c>
      <c r="H81" s="6">
        <v>43076</v>
      </c>
      <c r="I81" s="4">
        <v>-2</v>
      </c>
      <c r="J81" s="8" t="s">
        <v>37</v>
      </c>
      <c r="K81" s="8" t="s">
        <v>888</v>
      </c>
      <c r="L81" s="4" t="str">
        <f>IF(AtlasReport_1_Table_1[[#This Row],[Reference]]="Purchase order",_xll.AtlasFormulas.AtlasFunctions.AtlasTable("UAT",DataAreaId,"T.VendInvoiceTrans","%RecId","","","","","","","ItemId|PurchID|InventTransId",$C81,$B81,$K81),"")</f>
        <v/>
      </c>
      <c r="M81" s="4" t="str">
        <f>IF(AtlasReport_1_Table_1[[#This Row],[Reference]]="Purchase order",_xll.AtlasFormulas.AtlasFunctions.AtlasTable("UAT",DataAreaId,"T.MarkupTrans","%CurrencyCode","","","","","","","MarkupCode|TransRecId|TransTableId","TPP",$L81,"492"),"")</f>
        <v/>
      </c>
      <c r="N81" s="4" t="str">
        <f>IF(AtlasReport_1_Table_1[[#This Row],[Reference]]="Purchase order",_xll.AtlasFormulas.AtlasFunctions.AtlasBalance("UAT",DataAreaId,"T.MarkupTrans","Sum|Posted|0","","","","","","","MarkupCode|TransTableId|TransRecId","TPP","492",$L81),"")</f>
        <v/>
      </c>
    </row>
    <row r="82" spans="1:14" x14ac:dyDescent="0.25">
      <c r="A82" s="8" t="s">
        <v>252</v>
      </c>
      <c r="B82" s="8" t="s">
        <v>876</v>
      </c>
      <c r="C82" s="8" t="s">
        <v>19</v>
      </c>
      <c r="D82" s="8" t="s">
        <v>35</v>
      </c>
      <c r="E82" s="8" t="s">
        <v>261</v>
      </c>
      <c r="F82" s="8" t="s">
        <v>264</v>
      </c>
      <c r="G82" s="6">
        <v>43075</v>
      </c>
      <c r="H82" s="6">
        <v>43076</v>
      </c>
      <c r="I82" s="4">
        <v>-1</v>
      </c>
      <c r="J82" s="8" t="s">
        <v>37</v>
      </c>
      <c r="K82" s="8" t="s">
        <v>1515</v>
      </c>
      <c r="L82" s="4" t="str">
        <f>IF(AtlasReport_1_Table_1[[#This Row],[Reference]]="Purchase order",_xll.AtlasFormulas.AtlasFunctions.AtlasTable("UAT",DataAreaId,"T.VendInvoiceTrans","%RecId","","","","","","","ItemId|PurchID|InventTransId",$C82,$B82,$K82),"")</f>
        <v/>
      </c>
      <c r="M82" s="4" t="str">
        <f>IF(AtlasReport_1_Table_1[[#This Row],[Reference]]="Purchase order",_xll.AtlasFormulas.AtlasFunctions.AtlasTable("UAT",DataAreaId,"T.MarkupTrans","%CurrencyCode","","","","","","","MarkupCode|TransRecId|TransTableId","TPP",$L82,"492"),"")</f>
        <v/>
      </c>
      <c r="N82" s="4" t="str">
        <f>IF(AtlasReport_1_Table_1[[#This Row],[Reference]]="Purchase order",_xll.AtlasFormulas.AtlasFunctions.AtlasBalance("UAT",DataAreaId,"T.MarkupTrans","Sum|Posted|0","","","","","","","MarkupCode|TransTableId|TransRecId","TPP","492",$L82),"")</f>
        <v/>
      </c>
    </row>
    <row r="83" spans="1:14" x14ac:dyDescent="0.25">
      <c r="A83" s="8" t="s">
        <v>252</v>
      </c>
      <c r="B83" s="8" t="s">
        <v>1516</v>
      </c>
      <c r="C83" s="8" t="s">
        <v>1459</v>
      </c>
      <c r="D83" s="8" t="s">
        <v>1460</v>
      </c>
      <c r="E83" s="8" t="s">
        <v>261</v>
      </c>
      <c r="F83" s="8" t="s">
        <v>264</v>
      </c>
      <c r="G83" s="6">
        <v>43070</v>
      </c>
      <c r="H83" s="6">
        <v>43070</v>
      </c>
      <c r="I83" s="4">
        <v>1</v>
      </c>
      <c r="J83" s="8" t="s">
        <v>37</v>
      </c>
      <c r="K83" s="8" t="s">
        <v>1517</v>
      </c>
      <c r="L83" s="4" t="str">
        <f>IF(AtlasReport_1_Table_1[[#This Row],[Reference]]="Purchase order",_xll.AtlasFormulas.AtlasFunctions.AtlasTable("UAT",DataAreaId,"T.VendInvoiceTrans","%RecId","","","","","","","ItemId|PurchID|InventTransId",$C83,$B83,$K83),"")</f>
        <v/>
      </c>
      <c r="M83" s="4" t="str">
        <f>IF(AtlasReport_1_Table_1[[#This Row],[Reference]]="Purchase order",_xll.AtlasFormulas.AtlasFunctions.AtlasTable("UAT",DataAreaId,"T.MarkupTrans","%CurrencyCode","","","","","","","MarkupCode|TransRecId|TransTableId","TPP",$L83,"492"),"")</f>
        <v/>
      </c>
      <c r="N83" s="4" t="str">
        <f>IF(AtlasReport_1_Table_1[[#This Row],[Reference]]="Purchase order",_xll.AtlasFormulas.AtlasFunctions.AtlasBalance("UAT",DataAreaId,"T.MarkupTrans","Sum|Posted|0","","","","","","","MarkupCode|TransTableId|TransRecId","TPP","492",$L83),"")</f>
        <v/>
      </c>
    </row>
    <row r="84" spans="1:14" x14ac:dyDescent="0.25">
      <c r="A84" s="8" t="s">
        <v>252</v>
      </c>
      <c r="B84" s="8" t="s">
        <v>1518</v>
      </c>
      <c r="C84" s="8" t="s">
        <v>1461</v>
      </c>
      <c r="D84" s="8" t="s">
        <v>1462</v>
      </c>
      <c r="E84" s="8" t="s">
        <v>261</v>
      </c>
      <c r="F84" s="8" t="s">
        <v>264</v>
      </c>
      <c r="G84" s="6">
        <v>43074</v>
      </c>
      <c r="H84" s="6">
        <v>43074</v>
      </c>
      <c r="I84" s="4">
        <v>-1</v>
      </c>
      <c r="J84" s="8" t="s">
        <v>37</v>
      </c>
      <c r="K84" s="8" t="s">
        <v>1519</v>
      </c>
      <c r="L84" s="4" t="str">
        <f>IF(AtlasReport_1_Table_1[[#This Row],[Reference]]="Purchase order",_xll.AtlasFormulas.AtlasFunctions.AtlasTable("UAT",DataAreaId,"T.VendInvoiceTrans","%RecId","","","","","","","ItemId|PurchID|InventTransId",$C84,$B84,$K84),"")</f>
        <v/>
      </c>
      <c r="M84" s="4" t="str">
        <f>IF(AtlasReport_1_Table_1[[#This Row],[Reference]]="Purchase order",_xll.AtlasFormulas.AtlasFunctions.AtlasTable("UAT",DataAreaId,"T.MarkupTrans","%CurrencyCode","","","","","","","MarkupCode|TransRecId|TransTableId","TPP",$L84,"492"),"")</f>
        <v/>
      </c>
      <c r="N84" s="4" t="str">
        <f>IF(AtlasReport_1_Table_1[[#This Row],[Reference]]="Purchase order",_xll.AtlasFormulas.AtlasFunctions.AtlasBalance("UAT",DataAreaId,"T.MarkupTrans","Sum|Posted|0","","","","","","","MarkupCode|TransTableId|TransRecId","TPP","492",$L84),"")</f>
        <v/>
      </c>
    </row>
    <row r="85" spans="1:14" x14ac:dyDescent="0.25">
      <c r="A85" s="8" t="s">
        <v>252</v>
      </c>
      <c r="B85" s="8" t="s">
        <v>772</v>
      </c>
      <c r="C85" s="8" t="s">
        <v>121</v>
      </c>
      <c r="D85" s="8" t="s">
        <v>122</v>
      </c>
      <c r="E85" s="8" t="s">
        <v>261</v>
      </c>
      <c r="F85" s="8" t="s">
        <v>264</v>
      </c>
      <c r="G85" s="6">
        <v>43076</v>
      </c>
      <c r="H85" s="6">
        <v>43080</v>
      </c>
      <c r="I85" s="4">
        <v>-8.5</v>
      </c>
      <c r="J85" s="8" t="s">
        <v>39</v>
      </c>
      <c r="K85" s="8" t="s">
        <v>774</v>
      </c>
      <c r="L85" s="4" t="str">
        <f>IF(AtlasReport_1_Table_1[[#This Row],[Reference]]="Purchase order",_xll.AtlasFormulas.AtlasFunctions.AtlasTable("UAT",DataAreaId,"T.VendInvoiceTrans","%RecId","","","","","","","ItemId|PurchID|InventTransId",$C85,$B85,$K85),"")</f>
        <v/>
      </c>
      <c r="M85" s="4" t="str">
        <f>IF(AtlasReport_1_Table_1[[#This Row],[Reference]]="Purchase order",_xll.AtlasFormulas.AtlasFunctions.AtlasTable("UAT",DataAreaId,"T.MarkupTrans","%CurrencyCode","","","","","","","MarkupCode|TransRecId|TransTableId","TPP",$L85,"492"),"")</f>
        <v/>
      </c>
      <c r="N85" s="4" t="str">
        <f>IF(AtlasReport_1_Table_1[[#This Row],[Reference]]="Purchase order",_xll.AtlasFormulas.AtlasFunctions.AtlasBalance("UAT",DataAreaId,"T.MarkupTrans","Sum|Posted|0","","","","","","","MarkupCode|TransTableId|TransRecId","TPP","492",$L85),"")</f>
        <v/>
      </c>
    </row>
    <row r="86" spans="1:14" x14ac:dyDescent="0.25">
      <c r="A86" s="8" t="s">
        <v>252</v>
      </c>
      <c r="B86" s="8" t="s">
        <v>772</v>
      </c>
      <c r="C86" s="8" t="s">
        <v>23</v>
      </c>
      <c r="D86" s="8" t="s">
        <v>883</v>
      </c>
      <c r="E86" s="8" t="s">
        <v>261</v>
      </c>
      <c r="F86" s="8" t="s">
        <v>264</v>
      </c>
      <c r="G86" s="6">
        <v>43076</v>
      </c>
      <c r="H86" s="6">
        <v>43080</v>
      </c>
      <c r="I86" s="4">
        <v>-2</v>
      </c>
      <c r="J86" s="8" t="s">
        <v>37</v>
      </c>
      <c r="K86" s="8" t="s">
        <v>890</v>
      </c>
      <c r="L86" s="4" t="str">
        <f>IF(AtlasReport_1_Table_1[[#This Row],[Reference]]="Purchase order",_xll.AtlasFormulas.AtlasFunctions.AtlasTable("UAT",DataAreaId,"T.VendInvoiceTrans","%RecId","","","","","","","ItemId|PurchID|InventTransId",$C86,$B86,$K86),"")</f>
        <v/>
      </c>
      <c r="M86" s="4" t="str">
        <f>IF(AtlasReport_1_Table_1[[#This Row],[Reference]]="Purchase order",_xll.AtlasFormulas.AtlasFunctions.AtlasTable("UAT",DataAreaId,"T.MarkupTrans","%CurrencyCode","","","","","","","MarkupCode|TransRecId|TransTableId","TPP",$L86,"492"),"")</f>
        <v/>
      </c>
      <c r="N86" s="4" t="str">
        <f>IF(AtlasReport_1_Table_1[[#This Row],[Reference]]="Purchase order",_xll.AtlasFormulas.AtlasFunctions.AtlasBalance("UAT",DataAreaId,"T.MarkupTrans","Sum|Posted|0","","","","","","","MarkupCode|TransTableId|TransRecId","TPP","492",$L86),"")</f>
        <v/>
      </c>
    </row>
    <row r="87" spans="1:14" x14ac:dyDescent="0.25">
      <c r="A87" s="8" t="s">
        <v>252</v>
      </c>
      <c r="B87" s="8" t="s">
        <v>772</v>
      </c>
      <c r="C87" s="8" t="s">
        <v>19</v>
      </c>
      <c r="D87" s="8" t="s">
        <v>35</v>
      </c>
      <c r="E87" s="8" t="s">
        <v>261</v>
      </c>
      <c r="F87" s="8" t="s">
        <v>264</v>
      </c>
      <c r="G87" s="6">
        <v>43076</v>
      </c>
      <c r="H87" s="6">
        <v>43080</v>
      </c>
      <c r="I87" s="4">
        <v>-1</v>
      </c>
      <c r="J87" s="8" t="s">
        <v>37</v>
      </c>
      <c r="K87" s="8" t="s">
        <v>1520</v>
      </c>
      <c r="L87" s="4" t="str">
        <f>IF(AtlasReport_1_Table_1[[#This Row],[Reference]]="Purchase order",_xll.AtlasFormulas.AtlasFunctions.AtlasTable("UAT",DataAreaId,"T.VendInvoiceTrans","%RecId","","","","","","","ItemId|PurchID|InventTransId",$C87,$B87,$K87),"")</f>
        <v/>
      </c>
      <c r="M87" s="4" t="str">
        <f>IF(AtlasReport_1_Table_1[[#This Row],[Reference]]="Purchase order",_xll.AtlasFormulas.AtlasFunctions.AtlasTable("UAT",DataAreaId,"T.MarkupTrans","%CurrencyCode","","","","","","","MarkupCode|TransRecId|TransTableId","TPP",$L87,"492"),"")</f>
        <v/>
      </c>
      <c r="N87" s="4" t="str">
        <f>IF(AtlasReport_1_Table_1[[#This Row],[Reference]]="Purchase order",_xll.AtlasFormulas.AtlasFunctions.AtlasBalance("UAT",DataAreaId,"T.MarkupTrans","Sum|Posted|0","","","","","","","MarkupCode|TransTableId|TransRecId","TPP","492",$L87),"")</f>
        <v/>
      </c>
    </row>
    <row r="88" spans="1:14" x14ac:dyDescent="0.25">
      <c r="A88" s="8" t="s">
        <v>252</v>
      </c>
      <c r="B88" s="8" t="s">
        <v>879</v>
      </c>
      <c r="C88" s="8" t="s">
        <v>63</v>
      </c>
      <c r="D88" s="8" t="s">
        <v>95</v>
      </c>
      <c r="E88" s="8" t="s">
        <v>261</v>
      </c>
      <c r="F88" s="8" t="s">
        <v>264</v>
      </c>
      <c r="G88" s="6">
        <v>43076</v>
      </c>
      <c r="H88" s="6">
        <v>43080</v>
      </c>
      <c r="I88" s="4">
        <v>-4</v>
      </c>
      <c r="J88" s="8" t="s">
        <v>39</v>
      </c>
      <c r="K88" s="8" t="s">
        <v>881</v>
      </c>
      <c r="L88" s="4" t="str">
        <f>IF(AtlasReport_1_Table_1[[#This Row],[Reference]]="Purchase order",_xll.AtlasFormulas.AtlasFunctions.AtlasTable("UAT",DataAreaId,"T.VendInvoiceTrans","%RecId","","","","","","","ItemId|PurchID|InventTransId",$C88,$B88,$K88),"")</f>
        <v/>
      </c>
      <c r="M88" s="4" t="str">
        <f>IF(AtlasReport_1_Table_1[[#This Row],[Reference]]="Purchase order",_xll.AtlasFormulas.AtlasFunctions.AtlasTable("UAT",DataAreaId,"T.MarkupTrans","%CurrencyCode","","","","","","","MarkupCode|TransRecId|TransTableId","TPP",$L88,"492"),"")</f>
        <v/>
      </c>
      <c r="N88" s="4" t="str">
        <f>IF(AtlasReport_1_Table_1[[#This Row],[Reference]]="Purchase order",_xll.AtlasFormulas.AtlasFunctions.AtlasBalance("UAT",DataAreaId,"T.MarkupTrans","Sum|Posted|0","","","","","","","MarkupCode|TransTableId|TransRecId","TPP","492",$L88),"")</f>
        <v/>
      </c>
    </row>
    <row r="89" spans="1:14" x14ac:dyDescent="0.25">
      <c r="A89" s="8" t="s">
        <v>252</v>
      </c>
      <c r="B89" s="8" t="s">
        <v>879</v>
      </c>
      <c r="C89" s="8" t="s">
        <v>23</v>
      </c>
      <c r="D89" s="8" t="s">
        <v>883</v>
      </c>
      <c r="E89" s="8" t="s">
        <v>261</v>
      </c>
      <c r="F89" s="8" t="s">
        <v>264</v>
      </c>
      <c r="G89" s="6">
        <v>43076</v>
      </c>
      <c r="H89" s="6">
        <v>43080</v>
      </c>
      <c r="I89" s="4">
        <v>-1</v>
      </c>
      <c r="J89" s="8" t="s">
        <v>37</v>
      </c>
      <c r="K89" s="8" t="s">
        <v>891</v>
      </c>
      <c r="L89" s="4" t="str">
        <f>IF(AtlasReport_1_Table_1[[#This Row],[Reference]]="Purchase order",_xll.AtlasFormulas.AtlasFunctions.AtlasTable("UAT",DataAreaId,"T.VendInvoiceTrans","%RecId","","","","","","","ItemId|PurchID|InventTransId",$C89,$B89,$K89),"")</f>
        <v/>
      </c>
      <c r="M89" s="4" t="str">
        <f>IF(AtlasReport_1_Table_1[[#This Row],[Reference]]="Purchase order",_xll.AtlasFormulas.AtlasFunctions.AtlasTable("UAT",DataAreaId,"T.MarkupTrans","%CurrencyCode","","","","","","","MarkupCode|TransRecId|TransTableId","TPP",$L89,"492"),"")</f>
        <v/>
      </c>
      <c r="N89" s="4" t="str">
        <f>IF(AtlasReport_1_Table_1[[#This Row],[Reference]]="Purchase order",_xll.AtlasFormulas.AtlasFunctions.AtlasBalance("UAT",DataAreaId,"T.MarkupTrans","Sum|Posted|0","","","","","","","MarkupCode|TransTableId|TransRecId","TPP","492",$L89),"")</f>
        <v/>
      </c>
    </row>
    <row r="90" spans="1:14" x14ac:dyDescent="0.25">
      <c r="A90" s="8" t="s">
        <v>252</v>
      </c>
      <c r="B90" s="8" t="s">
        <v>879</v>
      </c>
      <c r="C90" s="8" t="s">
        <v>19</v>
      </c>
      <c r="D90" s="8" t="s">
        <v>35</v>
      </c>
      <c r="E90" s="8" t="s">
        <v>261</v>
      </c>
      <c r="F90" s="8" t="s">
        <v>264</v>
      </c>
      <c r="G90" s="6">
        <v>43076</v>
      </c>
      <c r="H90" s="6">
        <v>43080</v>
      </c>
      <c r="I90" s="4">
        <v>-1</v>
      </c>
      <c r="J90" s="8" t="s">
        <v>37</v>
      </c>
      <c r="K90" s="8" t="s">
        <v>1521</v>
      </c>
      <c r="L90" s="4" t="str">
        <f>IF(AtlasReport_1_Table_1[[#This Row],[Reference]]="Purchase order",_xll.AtlasFormulas.AtlasFunctions.AtlasTable("UAT",DataAreaId,"T.VendInvoiceTrans","%RecId","","","","","","","ItemId|PurchID|InventTransId",$C90,$B90,$K90),"")</f>
        <v/>
      </c>
      <c r="M90" s="4" t="str">
        <f>IF(AtlasReport_1_Table_1[[#This Row],[Reference]]="Purchase order",_xll.AtlasFormulas.AtlasFunctions.AtlasTable("UAT",DataAreaId,"T.MarkupTrans","%CurrencyCode","","","","","","","MarkupCode|TransRecId|TransTableId","TPP",$L90,"492"),"")</f>
        <v/>
      </c>
      <c r="N90" s="4" t="str">
        <f>IF(AtlasReport_1_Table_1[[#This Row],[Reference]]="Purchase order",_xll.AtlasFormulas.AtlasFunctions.AtlasBalance("UAT",DataAreaId,"T.MarkupTrans","Sum|Posted|0","","","","","","","MarkupCode|TransTableId|TransRecId","TPP","492",$L90),"")</f>
        <v/>
      </c>
    </row>
    <row r="91" spans="1:14" x14ac:dyDescent="0.25">
      <c r="A91" s="8" t="s">
        <v>252</v>
      </c>
      <c r="B91" s="8" t="s">
        <v>785</v>
      </c>
      <c r="C91" s="8" t="s">
        <v>58</v>
      </c>
      <c r="D91" s="8" t="s">
        <v>127</v>
      </c>
      <c r="E91" s="8" t="s">
        <v>261</v>
      </c>
      <c r="F91" s="8" t="s">
        <v>264</v>
      </c>
      <c r="G91" s="6">
        <v>43076</v>
      </c>
      <c r="H91" s="6">
        <v>43080</v>
      </c>
      <c r="I91" s="4">
        <v>-35.049999999999997</v>
      </c>
      <c r="J91" s="8" t="s">
        <v>39</v>
      </c>
      <c r="K91" s="8" t="s">
        <v>787</v>
      </c>
      <c r="L91" s="4" t="str">
        <f>IF(AtlasReport_1_Table_1[[#This Row],[Reference]]="Purchase order",_xll.AtlasFormulas.AtlasFunctions.AtlasTable("UAT",DataAreaId,"T.VendInvoiceTrans","%RecId","","","","","","","ItemId|PurchID|InventTransId",$C91,$B91,$K91),"")</f>
        <v/>
      </c>
      <c r="M91" s="4" t="str">
        <f>IF(AtlasReport_1_Table_1[[#This Row],[Reference]]="Purchase order",_xll.AtlasFormulas.AtlasFunctions.AtlasTable("UAT",DataAreaId,"T.MarkupTrans","%CurrencyCode","","","","","","","MarkupCode|TransRecId|TransTableId","TPP",$L91,"492"),"")</f>
        <v/>
      </c>
      <c r="N91" s="4" t="str">
        <f>IF(AtlasReport_1_Table_1[[#This Row],[Reference]]="Purchase order",_xll.AtlasFormulas.AtlasFunctions.AtlasBalance("UAT",DataAreaId,"T.MarkupTrans","Sum|Posted|0","","","","","","","MarkupCode|TransTableId|TransRecId","TPP","492",$L91),"")</f>
        <v/>
      </c>
    </row>
    <row r="92" spans="1:14" x14ac:dyDescent="0.25">
      <c r="A92" s="8" t="s">
        <v>252</v>
      </c>
      <c r="B92" s="8" t="s">
        <v>785</v>
      </c>
      <c r="C92" s="8" t="s">
        <v>79</v>
      </c>
      <c r="D92" s="8" t="s">
        <v>206</v>
      </c>
      <c r="E92" s="8" t="s">
        <v>261</v>
      </c>
      <c r="F92" s="8" t="s">
        <v>264</v>
      </c>
      <c r="G92" s="6">
        <v>43076</v>
      </c>
      <c r="H92" s="6">
        <v>43076</v>
      </c>
      <c r="I92" s="4">
        <v>0</v>
      </c>
      <c r="J92" s="8" t="s">
        <v>37</v>
      </c>
      <c r="K92" s="8" t="s">
        <v>1522</v>
      </c>
      <c r="L92" s="4" t="str">
        <f>IF(AtlasReport_1_Table_1[[#This Row],[Reference]]="Purchase order",_xll.AtlasFormulas.AtlasFunctions.AtlasTable("UAT",DataAreaId,"T.VendInvoiceTrans","%RecId","","","","","","","ItemId|PurchID|InventTransId",$C92,$B92,$K92),"")</f>
        <v/>
      </c>
      <c r="M92" s="4" t="str">
        <f>IF(AtlasReport_1_Table_1[[#This Row],[Reference]]="Purchase order",_xll.AtlasFormulas.AtlasFunctions.AtlasTable("UAT",DataAreaId,"T.MarkupTrans","%CurrencyCode","","","","","","","MarkupCode|TransRecId|TransTableId","TPP",$L92,"492"),"")</f>
        <v/>
      </c>
      <c r="N92" s="4" t="str">
        <f>IF(AtlasReport_1_Table_1[[#This Row],[Reference]]="Purchase order",_xll.AtlasFormulas.AtlasFunctions.AtlasBalance("UAT",DataAreaId,"T.MarkupTrans","Sum|Posted|0","","","","","","","MarkupCode|TransTableId|TransRecId","TPP","492",$L92),"")</f>
        <v/>
      </c>
    </row>
    <row r="93" spans="1:14" x14ac:dyDescent="0.25">
      <c r="A93" s="8" t="s">
        <v>252</v>
      </c>
      <c r="B93" s="8" t="s">
        <v>785</v>
      </c>
      <c r="C93" s="8" t="s">
        <v>23</v>
      </c>
      <c r="D93" s="8" t="s">
        <v>883</v>
      </c>
      <c r="E93" s="8" t="s">
        <v>261</v>
      </c>
      <c r="F93" s="8" t="s">
        <v>264</v>
      </c>
      <c r="G93" s="6">
        <v>43076</v>
      </c>
      <c r="H93" s="6">
        <v>43080</v>
      </c>
      <c r="I93" s="4">
        <v>-3</v>
      </c>
      <c r="J93" s="8" t="s">
        <v>37</v>
      </c>
      <c r="K93" s="8" t="s">
        <v>892</v>
      </c>
      <c r="L93" s="4" t="str">
        <f>IF(AtlasReport_1_Table_1[[#This Row],[Reference]]="Purchase order",_xll.AtlasFormulas.AtlasFunctions.AtlasTable("UAT",DataAreaId,"T.VendInvoiceTrans","%RecId","","","","","","","ItemId|PurchID|InventTransId",$C93,$B93,$K93),"")</f>
        <v/>
      </c>
      <c r="M93" s="4" t="str">
        <f>IF(AtlasReport_1_Table_1[[#This Row],[Reference]]="Purchase order",_xll.AtlasFormulas.AtlasFunctions.AtlasTable("UAT",DataAreaId,"T.MarkupTrans","%CurrencyCode","","","","","","","MarkupCode|TransRecId|TransTableId","TPP",$L93,"492"),"")</f>
        <v/>
      </c>
      <c r="N93" s="4" t="str">
        <f>IF(AtlasReport_1_Table_1[[#This Row],[Reference]]="Purchase order",_xll.AtlasFormulas.AtlasFunctions.AtlasBalance("UAT",DataAreaId,"T.MarkupTrans","Sum|Posted|0","","","","","","","MarkupCode|TransTableId|TransRecId","TPP","492",$L93),"")</f>
        <v/>
      </c>
    </row>
    <row r="94" spans="1:14" x14ac:dyDescent="0.25">
      <c r="A94" s="8" t="s">
        <v>252</v>
      </c>
      <c r="B94" s="8" t="s">
        <v>779</v>
      </c>
      <c r="C94" s="8" t="s">
        <v>106</v>
      </c>
      <c r="D94" s="8" t="s">
        <v>107</v>
      </c>
      <c r="E94" s="8" t="s">
        <v>261</v>
      </c>
      <c r="F94" s="8" t="s">
        <v>264</v>
      </c>
      <c r="G94" s="6">
        <v>43080</v>
      </c>
      <c r="H94" s="6">
        <v>43081</v>
      </c>
      <c r="I94" s="4">
        <v>-450</v>
      </c>
      <c r="J94" s="8" t="s">
        <v>39</v>
      </c>
      <c r="K94" s="8" t="s">
        <v>781</v>
      </c>
      <c r="L94" s="4" t="str">
        <f>IF(AtlasReport_1_Table_1[[#This Row],[Reference]]="Purchase order",_xll.AtlasFormulas.AtlasFunctions.AtlasTable("UAT",DataAreaId,"T.VendInvoiceTrans","%RecId","","","","","","","ItemId|PurchID|InventTransId",$C94,$B94,$K94),"")</f>
        <v/>
      </c>
      <c r="M94" s="4" t="str">
        <f>IF(AtlasReport_1_Table_1[[#This Row],[Reference]]="Purchase order",_xll.AtlasFormulas.AtlasFunctions.AtlasTable("UAT",DataAreaId,"T.MarkupTrans","%CurrencyCode","","","","","","","MarkupCode|TransRecId|TransTableId","TPP",$L94,"492"),"")</f>
        <v/>
      </c>
      <c r="N94" s="4" t="str">
        <f>IF(AtlasReport_1_Table_1[[#This Row],[Reference]]="Purchase order",_xll.AtlasFormulas.AtlasFunctions.AtlasBalance("UAT",DataAreaId,"T.MarkupTrans","Sum|Posted|0","","","","","","","MarkupCode|TransTableId|TransRecId","TPP","492",$L94),"")</f>
        <v/>
      </c>
    </row>
    <row r="95" spans="1:14" x14ac:dyDescent="0.25">
      <c r="A95" s="8" t="s">
        <v>252</v>
      </c>
      <c r="B95" s="8" t="s">
        <v>779</v>
      </c>
      <c r="C95" s="8" t="s">
        <v>19</v>
      </c>
      <c r="D95" s="8" t="s">
        <v>35</v>
      </c>
      <c r="E95" s="8" t="s">
        <v>261</v>
      </c>
      <c r="F95" s="8" t="s">
        <v>264</v>
      </c>
      <c r="G95" s="6">
        <v>43080</v>
      </c>
      <c r="H95" s="6">
        <v>43081</v>
      </c>
      <c r="I95" s="4">
        <v>-1</v>
      </c>
      <c r="J95" s="8" t="s">
        <v>37</v>
      </c>
      <c r="K95" s="8" t="s">
        <v>1523</v>
      </c>
      <c r="L95" s="4" t="str">
        <f>IF(AtlasReport_1_Table_1[[#This Row],[Reference]]="Purchase order",_xll.AtlasFormulas.AtlasFunctions.AtlasTable("UAT",DataAreaId,"T.VendInvoiceTrans","%RecId","","","","","","","ItemId|PurchID|InventTransId",$C95,$B95,$K95),"")</f>
        <v/>
      </c>
      <c r="M95" s="4" t="str">
        <f>IF(AtlasReport_1_Table_1[[#This Row],[Reference]]="Purchase order",_xll.AtlasFormulas.AtlasFunctions.AtlasTable("UAT",DataAreaId,"T.MarkupTrans","%CurrencyCode","","","","","","","MarkupCode|TransRecId|TransTableId","TPP",$L95,"492"),"")</f>
        <v/>
      </c>
      <c r="N95" s="4" t="str">
        <f>IF(AtlasReport_1_Table_1[[#This Row],[Reference]]="Purchase order",_xll.AtlasFormulas.AtlasFunctions.AtlasBalance("UAT",DataAreaId,"T.MarkupTrans","Sum|Posted|0","","","","","","","MarkupCode|TransTableId|TransRecId","TPP","492",$L95),"")</f>
        <v/>
      </c>
    </row>
    <row r="96" spans="1:14" x14ac:dyDescent="0.25">
      <c r="A96" s="8" t="s">
        <v>252</v>
      </c>
      <c r="B96" s="8" t="s">
        <v>791</v>
      </c>
      <c r="C96" s="8" t="s">
        <v>58</v>
      </c>
      <c r="D96" s="8" t="s">
        <v>127</v>
      </c>
      <c r="E96" s="8" t="s">
        <v>261</v>
      </c>
      <c r="F96" s="8" t="s">
        <v>264</v>
      </c>
      <c r="G96" s="6">
        <v>43080</v>
      </c>
      <c r="H96" s="6">
        <v>43081</v>
      </c>
      <c r="I96" s="4">
        <v>-35.6</v>
      </c>
      <c r="J96" s="8" t="s">
        <v>39</v>
      </c>
      <c r="K96" s="8" t="s">
        <v>793</v>
      </c>
      <c r="L96" s="4" t="str">
        <f>IF(AtlasReport_1_Table_1[[#This Row],[Reference]]="Purchase order",_xll.AtlasFormulas.AtlasFunctions.AtlasTable("UAT",DataAreaId,"T.VendInvoiceTrans","%RecId","","","","","","","ItemId|PurchID|InventTransId",$C96,$B96,$K96),"")</f>
        <v/>
      </c>
      <c r="M96" s="4" t="str">
        <f>IF(AtlasReport_1_Table_1[[#This Row],[Reference]]="Purchase order",_xll.AtlasFormulas.AtlasFunctions.AtlasTable("UAT",DataAreaId,"T.MarkupTrans","%CurrencyCode","","","","","","","MarkupCode|TransRecId|TransTableId","TPP",$L96,"492"),"")</f>
        <v/>
      </c>
      <c r="N96" s="4" t="str">
        <f>IF(AtlasReport_1_Table_1[[#This Row],[Reference]]="Purchase order",_xll.AtlasFormulas.AtlasFunctions.AtlasBalance("UAT",DataAreaId,"T.MarkupTrans","Sum|Posted|0","","","","","","","MarkupCode|TransTableId|TransRecId","TPP","492",$L96),"")</f>
        <v/>
      </c>
    </row>
    <row r="97" spans="1:14" x14ac:dyDescent="0.25">
      <c r="A97" s="8" t="s">
        <v>252</v>
      </c>
      <c r="B97" s="8" t="s">
        <v>791</v>
      </c>
      <c r="C97" s="8" t="s">
        <v>23</v>
      </c>
      <c r="D97" s="8" t="s">
        <v>883</v>
      </c>
      <c r="E97" s="8" t="s">
        <v>261</v>
      </c>
      <c r="F97" s="8" t="s">
        <v>264</v>
      </c>
      <c r="G97" s="6">
        <v>43080</v>
      </c>
      <c r="H97" s="6">
        <v>43081</v>
      </c>
      <c r="I97" s="4">
        <v>-6</v>
      </c>
      <c r="J97" s="8" t="s">
        <v>37</v>
      </c>
      <c r="K97" s="8" t="s">
        <v>894</v>
      </c>
      <c r="L97" s="4" t="str">
        <f>IF(AtlasReport_1_Table_1[[#This Row],[Reference]]="Purchase order",_xll.AtlasFormulas.AtlasFunctions.AtlasTable("UAT",DataAreaId,"T.VendInvoiceTrans","%RecId","","","","","","","ItemId|PurchID|InventTransId",$C97,$B97,$K97),"")</f>
        <v/>
      </c>
      <c r="M97" s="4" t="str">
        <f>IF(AtlasReport_1_Table_1[[#This Row],[Reference]]="Purchase order",_xll.AtlasFormulas.AtlasFunctions.AtlasTable("UAT",DataAreaId,"T.MarkupTrans","%CurrencyCode","","","","","","","MarkupCode|TransRecId|TransTableId","TPP",$L97,"492"),"")</f>
        <v/>
      </c>
      <c r="N97" s="4" t="str">
        <f>IF(AtlasReport_1_Table_1[[#This Row],[Reference]]="Purchase order",_xll.AtlasFormulas.AtlasFunctions.AtlasBalance("UAT",DataAreaId,"T.MarkupTrans","Sum|Posted|0","","","","","","","MarkupCode|TransTableId|TransRecId","TPP","492",$L97),"")</f>
        <v/>
      </c>
    </row>
    <row r="98" spans="1:14" x14ac:dyDescent="0.25">
      <c r="A98" s="8" t="s">
        <v>252</v>
      </c>
      <c r="B98" s="8" t="s">
        <v>794</v>
      </c>
      <c r="C98" s="8" t="s">
        <v>58</v>
      </c>
      <c r="D98" s="8" t="s">
        <v>127</v>
      </c>
      <c r="E98" s="8" t="s">
        <v>261</v>
      </c>
      <c r="F98" s="8" t="s">
        <v>264</v>
      </c>
      <c r="G98" s="6">
        <v>43080</v>
      </c>
      <c r="H98" s="6">
        <v>43081</v>
      </c>
      <c r="I98" s="4">
        <v>-3.53</v>
      </c>
      <c r="J98" s="8" t="s">
        <v>39</v>
      </c>
      <c r="K98" s="8" t="s">
        <v>796</v>
      </c>
      <c r="L98" s="4" t="str">
        <f>IF(AtlasReport_1_Table_1[[#This Row],[Reference]]="Purchase order",_xll.AtlasFormulas.AtlasFunctions.AtlasTable("UAT",DataAreaId,"T.VendInvoiceTrans","%RecId","","","","","","","ItemId|PurchID|InventTransId",$C98,$B98,$K98),"")</f>
        <v/>
      </c>
      <c r="M98" s="4" t="str">
        <f>IF(AtlasReport_1_Table_1[[#This Row],[Reference]]="Purchase order",_xll.AtlasFormulas.AtlasFunctions.AtlasTable("UAT",DataAreaId,"T.MarkupTrans","%CurrencyCode","","","","","","","MarkupCode|TransRecId|TransTableId","TPP",$L98,"492"),"")</f>
        <v/>
      </c>
      <c r="N98" s="4" t="str">
        <f>IF(AtlasReport_1_Table_1[[#This Row],[Reference]]="Purchase order",_xll.AtlasFormulas.AtlasFunctions.AtlasBalance("UAT",DataAreaId,"T.MarkupTrans","Sum|Posted|0","","","","","","","MarkupCode|TransTableId|TransRecId","TPP","492",$L98),"")</f>
        <v/>
      </c>
    </row>
    <row r="99" spans="1:14" x14ac:dyDescent="0.25">
      <c r="A99" s="8" t="s">
        <v>252</v>
      </c>
      <c r="B99" s="8" t="s">
        <v>794</v>
      </c>
      <c r="C99" s="8" t="s">
        <v>79</v>
      </c>
      <c r="D99" s="8" t="s">
        <v>206</v>
      </c>
      <c r="E99" s="8" t="s">
        <v>261</v>
      </c>
      <c r="F99" s="8" t="s">
        <v>264</v>
      </c>
      <c r="G99" s="6">
        <v>43080</v>
      </c>
      <c r="H99" s="6">
        <v>43081</v>
      </c>
      <c r="I99" s="4">
        <v>-1</v>
      </c>
      <c r="J99" s="8" t="s">
        <v>37</v>
      </c>
      <c r="K99" s="8" t="s">
        <v>1524</v>
      </c>
      <c r="L99" s="4" t="str">
        <f>IF(AtlasReport_1_Table_1[[#This Row],[Reference]]="Purchase order",_xll.AtlasFormulas.AtlasFunctions.AtlasTable("UAT",DataAreaId,"T.VendInvoiceTrans","%RecId","","","","","","","ItemId|PurchID|InventTransId",$C99,$B99,$K99),"")</f>
        <v/>
      </c>
      <c r="M99" s="4" t="str">
        <f>IF(AtlasReport_1_Table_1[[#This Row],[Reference]]="Purchase order",_xll.AtlasFormulas.AtlasFunctions.AtlasTable("UAT",DataAreaId,"T.MarkupTrans","%CurrencyCode","","","","","","","MarkupCode|TransRecId|TransTableId","TPP",$L99,"492"),"")</f>
        <v/>
      </c>
      <c r="N99" s="4" t="str">
        <f>IF(AtlasReport_1_Table_1[[#This Row],[Reference]]="Purchase order",_xll.AtlasFormulas.AtlasFunctions.AtlasBalance("UAT",DataAreaId,"T.MarkupTrans","Sum|Posted|0","","","","","","","MarkupCode|TransTableId|TransRecId","TPP","492",$L99),"")</f>
        <v/>
      </c>
    </row>
    <row r="100" spans="1:14" x14ac:dyDescent="0.25">
      <c r="A100" s="8" t="s">
        <v>252</v>
      </c>
      <c r="B100" s="8" t="s">
        <v>794</v>
      </c>
      <c r="C100" s="8" t="s">
        <v>23</v>
      </c>
      <c r="D100" s="8" t="s">
        <v>883</v>
      </c>
      <c r="E100" s="8" t="s">
        <v>261</v>
      </c>
      <c r="F100" s="8" t="s">
        <v>264</v>
      </c>
      <c r="G100" s="6">
        <v>43080</v>
      </c>
      <c r="H100" s="6">
        <v>43081</v>
      </c>
      <c r="I100" s="4">
        <v>-1</v>
      </c>
      <c r="J100" s="8" t="s">
        <v>37</v>
      </c>
      <c r="K100" s="8" t="s">
        <v>895</v>
      </c>
      <c r="L100" s="4" t="str">
        <f>IF(AtlasReport_1_Table_1[[#This Row],[Reference]]="Purchase order",_xll.AtlasFormulas.AtlasFunctions.AtlasTable("UAT",DataAreaId,"T.VendInvoiceTrans","%RecId","","","","","","","ItemId|PurchID|InventTransId",$C100,$B100,$K100),"")</f>
        <v/>
      </c>
      <c r="M100" s="4" t="str">
        <f>IF(AtlasReport_1_Table_1[[#This Row],[Reference]]="Purchase order",_xll.AtlasFormulas.AtlasFunctions.AtlasTable("UAT",DataAreaId,"T.MarkupTrans","%CurrencyCode","","","","","","","MarkupCode|TransRecId|TransTableId","TPP",$L100,"492"),"")</f>
        <v/>
      </c>
      <c r="N100" s="4" t="str">
        <f>IF(AtlasReport_1_Table_1[[#This Row],[Reference]]="Purchase order",_xll.AtlasFormulas.AtlasFunctions.AtlasBalance("UAT",DataAreaId,"T.MarkupTrans","Sum|Posted|0","","","","","","","MarkupCode|TransTableId|TransRecId","TPP","492",$L100),"")</f>
        <v/>
      </c>
    </row>
    <row r="101" spans="1:14" x14ac:dyDescent="0.25">
      <c r="A101" s="8" t="s">
        <v>252</v>
      </c>
      <c r="B101" s="8" t="s">
        <v>794</v>
      </c>
      <c r="C101" s="8" t="s">
        <v>19</v>
      </c>
      <c r="D101" s="8" t="s">
        <v>35</v>
      </c>
      <c r="E101" s="8" t="s">
        <v>261</v>
      </c>
      <c r="F101" s="8" t="s">
        <v>264</v>
      </c>
      <c r="G101" s="6">
        <v>43080</v>
      </c>
      <c r="H101" s="6">
        <v>43081</v>
      </c>
      <c r="I101" s="4">
        <v>-1</v>
      </c>
      <c r="J101" s="8" t="s">
        <v>37</v>
      </c>
      <c r="K101" s="8" t="s">
        <v>1525</v>
      </c>
      <c r="L101" s="4" t="str">
        <f>IF(AtlasReport_1_Table_1[[#This Row],[Reference]]="Purchase order",_xll.AtlasFormulas.AtlasFunctions.AtlasTable("UAT",DataAreaId,"T.VendInvoiceTrans","%RecId","","","","","","","ItemId|PurchID|InventTransId",$C101,$B101,$K101),"")</f>
        <v/>
      </c>
      <c r="M101" s="4" t="str">
        <f>IF(AtlasReport_1_Table_1[[#This Row],[Reference]]="Purchase order",_xll.AtlasFormulas.AtlasFunctions.AtlasTable("UAT",DataAreaId,"T.MarkupTrans","%CurrencyCode","","","","","","","MarkupCode|TransRecId|TransTableId","TPP",$L101,"492"),"")</f>
        <v/>
      </c>
      <c r="N101" s="4" t="str">
        <f>IF(AtlasReport_1_Table_1[[#This Row],[Reference]]="Purchase order",_xll.AtlasFormulas.AtlasFunctions.AtlasBalance("UAT",DataAreaId,"T.MarkupTrans","Sum|Posted|0","","","","","","","MarkupCode|TransTableId|TransRecId","TPP","492",$L101),"")</f>
        <v/>
      </c>
    </row>
    <row r="102" spans="1:14" x14ac:dyDescent="0.25">
      <c r="A102" s="8" t="s">
        <v>252</v>
      </c>
      <c r="B102" s="8" t="s">
        <v>788</v>
      </c>
      <c r="C102" s="8" t="s">
        <v>58</v>
      </c>
      <c r="D102" s="8" t="s">
        <v>127</v>
      </c>
      <c r="E102" s="8" t="s">
        <v>261</v>
      </c>
      <c r="F102" s="8" t="s">
        <v>264</v>
      </c>
      <c r="G102" s="6">
        <v>43080</v>
      </c>
      <c r="H102" s="6">
        <v>43081</v>
      </c>
      <c r="I102" s="4">
        <v>-150</v>
      </c>
      <c r="J102" s="8" t="s">
        <v>39</v>
      </c>
      <c r="K102" s="8" t="s">
        <v>790</v>
      </c>
      <c r="L102" s="4" t="str">
        <f>IF(AtlasReport_1_Table_1[[#This Row],[Reference]]="Purchase order",_xll.AtlasFormulas.AtlasFunctions.AtlasTable("UAT",DataAreaId,"T.VendInvoiceTrans","%RecId","","","","","","","ItemId|PurchID|InventTransId",$C102,$B102,$K102),"")</f>
        <v/>
      </c>
      <c r="M102" s="4" t="str">
        <f>IF(AtlasReport_1_Table_1[[#This Row],[Reference]]="Purchase order",_xll.AtlasFormulas.AtlasFunctions.AtlasTable("UAT",DataAreaId,"T.MarkupTrans","%CurrencyCode","","","","","","","MarkupCode|TransRecId|TransTableId","TPP",$L102,"492"),"")</f>
        <v/>
      </c>
      <c r="N102" s="4" t="str">
        <f>IF(AtlasReport_1_Table_1[[#This Row],[Reference]]="Purchase order",_xll.AtlasFormulas.AtlasFunctions.AtlasBalance("UAT",DataAreaId,"T.MarkupTrans","Sum|Posted|0","","","","","","","MarkupCode|TransTableId|TransRecId","TPP","492",$L102),"")</f>
        <v/>
      </c>
    </row>
    <row r="103" spans="1:14" x14ac:dyDescent="0.25">
      <c r="A103" s="8" t="s">
        <v>252</v>
      </c>
      <c r="B103" s="8" t="s">
        <v>788</v>
      </c>
      <c r="C103" s="8" t="s">
        <v>59</v>
      </c>
      <c r="D103" s="8" t="s">
        <v>93</v>
      </c>
      <c r="E103" s="8" t="s">
        <v>261</v>
      </c>
      <c r="F103" s="8" t="s">
        <v>264</v>
      </c>
      <c r="G103" s="6">
        <v>43080</v>
      </c>
      <c r="H103" s="6">
        <v>43081</v>
      </c>
      <c r="I103" s="4">
        <v>-300</v>
      </c>
      <c r="J103" s="8" t="s">
        <v>39</v>
      </c>
      <c r="K103" s="8" t="s">
        <v>833</v>
      </c>
      <c r="L103" s="4" t="str">
        <f>IF(AtlasReport_1_Table_1[[#This Row],[Reference]]="Purchase order",_xll.AtlasFormulas.AtlasFunctions.AtlasTable("UAT",DataAreaId,"T.VendInvoiceTrans","%RecId","","","","","","","ItemId|PurchID|InventTransId",$C103,$B103,$K103),"")</f>
        <v/>
      </c>
      <c r="M103" s="4" t="str">
        <f>IF(AtlasReport_1_Table_1[[#This Row],[Reference]]="Purchase order",_xll.AtlasFormulas.AtlasFunctions.AtlasTable("UAT",DataAreaId,"T.MarkupTrans","%CurrencyCode","","","","","","","MarkupCode|TransRecId|TransTableId","TPP",$L103,"492"),"")</f>
        <v/>
      </c>
      <c r="N103" s="4" t="str">
        <f>IF(AtlasReport_1_Table_1[[#This Row],[Reference]]="Purchase order",_xll.AtlasFormulas.AtlasFunctions.AtlasBalance("UAT",DataAreaId,"T.MarkupTrans","Sum|Posted|0","","","","","","","MarkupCode|TransTableId|TransRecId","TPP","492",$L103),"")</f>
        <v/>
      </c>
    </row>
    <row r="104" spans="1:14" x14ac:dyDescent="0.25">
      <c r="A104" s="8" t="s">
        <v>252</v>
      </c>
      <c r="B104" s="8" t="s">
        <v>788</v>
      </c>
      <c r="C104" s="8" t="s">
        <v>108</v>
      </c>
      <c r="D104" s="8" t="s">
        <v>109</v>
      </c>
      <c r="E104" s="8" t="s">
        <v>261</v>
      </c>
      <c r="F104" s="8" t="s">
        <v>264</v>
      </c>
      <c r="G104" s="6">
        <v>43080</v>
      </c>
      <c r="H104" s="6">
        <v>43081</v>
      </c>
      <c r="I104" s="4">
        <v>-1</v>
      </c>
      <c r="J104" s="8" t="s">
        <v>37</v>
      </c>
      <c r="K104" s="8" t="s">
        <v>1526</v>
      </c>
      <c r="L104" s="4" t="str">
        <f>IF(AtlasReport_1_Table_1[[#This Row],[Reference]]="Purchase order",_xll.AtlasFormulas.AtlasFunctions.AtlasTable("UAT",DataAreaId,"T.VendInvoiceTrans","%RecId","","","","","","","ItemId|PurchID|InventTransId",$C104,$B104,$K104),"")</f>
        <v/>
      </c>
      <c r="M104" s="4" t="str">
        <f>IF(AtlasReport_1_Table_1[[#This Row],[Reference]]="Purchase order",_xll.AtlasFormulas.AtlasFunctions.AtlasTable("UAT",DataAreaId,"T.MarkupTrans","%CurrencyCode","","","","","","","MarkupCode|TransRecId|TransTableId","TPP",$L104,"492"),"")</f>
        <v/>
      </c>
      <c r="N104" s="4" t="str">
        <f>IF(AtlasReport_1_Table_1[[#This Row],[Reference]]="Purchase order",_xll.AtlasFormulas.AtlasFunctions.AtlasBalance("UAT",DataAreaId,"T.MarkupTrans","Sum|Posted|0","","","","","","","MarkupCode|TransTableId|TransRecId","TPP","492",$L104),"")</f>
        <v/>
      </c>
    </row>
    <row r="105" spans="1:14" x14ac:dyDescent="0.25">
      <c r="A105" s="8" t="s">
        <v>252</v>
      </c>
      <c r="B105" s="8" t="s">
        <v>788</v>
      </c>
      <c r="C105" s="8" t="s">
        <v>67</v>
      </c>
      <c r="D105" s="8" t="s">
        <v>907</v>
      </c>
      <c r="E105" s="8" t="s">
        <v>261</v>
      </c>
      <c r="F105" s="8" t="s">
        <v>264</v>
      </c>
      <c r="G105" s="6">
        <v>43080</v>
      </c>
      <c r="H105" s="6">
        <v>43081</v>
      </c>
      <c r="I105" s="4">
        <v>-28</v>
      </c>
      <c r="J105" s="8" t="s">
        <v>37</v>
      </c>
      <c r="K105" s="8" t="s">
        <v>910</v>
      </c>
      <c r="L105" s="4" t="str">
        <f>IF(AtlasReport_1_Table_1[[#This Row],[Reference]]="Purchase order",_xll.AtlasFormulas.AtlasFunctions.AtlasTable("UAT",DataAreaId,"T.VendInvoiceTrans","%RecId","","","","","","","ItemId|PurchID|InventTransId",$C105,$B105,$K105),"")</f>
        <v/>
      </c>
      <c r="M105" s="4" t="str">
        <f>IF(AtlasReport_1_Table_1[[#This Row],[Reference]]="Purchase order",_xll.AtlasFormulas.AtlasFunctions.AtlasTable("UAT",DataAreaId,"T.MarkupTrans","%CurrencyCode","","","","","","","MarkupCode|TransRecId|TransTableId","TPP",$L105,"492"),"")</f>
        <v/>
      </c>
      <c r="N105" s="4" t="str">
        <f>IF(AtlasReport_1_Table_1[[#This Row],[Reference]]="Purchase order",_xll.AtlasFormulas.AtlasFunctions.AtlasBalance("UAT",DataAreaId,"T.MarkupTrans","Sum|Posted|0","","","","","","","MarkupCode|TransTableId|TransRecId","TPP","492",$L105),"")</f>
        <v/>
      </c>
    </row>
    <row r="106" spans="1:14" x14ac:dyDescent="0.25">
      <c r="A106" s="8" t="s">
        <v>252</v>
      </c>
      <c r="B106" s="8" t="s">
        <v>788</v>
      </c>
      <c r="C106" s="8" t="s">
        <v>19</v>
      </c>
      <c r="D106" s="8" t="s">
        <v>35</v>
      </c>
      <c r="E106" s="8" t="s">
        <v>261</v>
      </c>
      <c r="F106" s="8" t="s">
        <v>264</v>
      </c>
      <c r="G106" s="6">
        <v>43080</v>
      </c>
      <c r="H106" s="6">
        <v>43081</v>
      </c>
      <c r="I106" s="4">
        <v>-1</v>
      </c>
      <c r="J106" s="8" t="s">
        <v>37</v>
      </c>
      <c r="K106" s="8" t="s">
        <v>1527</v>
      </c>
      <c r="L106" s="4" t="str">
        <f>IF(AtlasReport_1_Table_1[[#This Row],[Reference]]="Purchase order",_xll.AtlasFormulas.AtlasFunctions.AtlasTable("UAT",DataAreaId,"T.VendInvoiceTrans","%RecId","","","","","","","ItemId|PurchID|InventTransId",$C106,$B106,$K106),"")</f>
        <v/>
      </c>
      <c r="M106" s="4" t="str">
        <f>IF(AtlasReport_1_Table_1[[#This Row],[Reference]]="Purchase order",_xll.AtlasFormulas.AtlasFunctions.AtlasTable("UAT",DataAreaId,"T.MarkupTrans","%CurrencyCode","","","","","","","MarkupCode|TransRecId|TransTableId","TPP",$L106,"492"),"")</f>
        <v/>
      </c>
      <c r="N106" s="4" t="str">
        <f>IF(AtlasReport_1_Table_1[[#This Row],[Reference]]="Purchase order",_xll.AtlasFormulas.AtlasFunctions.AtlasBalance("UAT",DataAreaId,"T.MarkupTrans","Sum|Posted|0","","","","","","","MarkupCode|TransTableId|TransRecId","TPP","492",$L106),"")</f>
        <v/>
      </c>
    </row>
    <row r="107" spans="1:14" x14ac:dyDescent="0.25">
      <c r="A107" s="8" t="s">
        <v>252</v>
      </c>
      <c r="B107" s="8" t="s">
        <v>749</v>
      </c>
      <c r="C107" s="8" t="s">
        <v>97</v>
      </c>
      <c r="D107" s="8" t="s">
        <v>98</v>
      </c>
      <c r="E107" s="8" t="s">
        <v>261</v>
      </c>
      <c r="F107" s="8" t="s">
        <v>264</v>
      </c>
      <c r="G107" s="6">
        <v>43080</v>
      </c>
      <c r="H107" s="6">
        <v>43081</v>
      </c>
      <c r="I107" s="4">
        <v>-9.7200000000000006</v>
      </c>
      <c r="J107" s="8" t="s">
        <v>39</v>
      </c>
      <c r="K107" s="8" t="s">
        <v>751</v>
      </c>
      <c r="L107" s="4" t="str">
        <f>IF(AtlasReport_1_Table_1[[#This Row],[Reference]]="Purchase order",_xll.AtlasFormulas.AtlasFunctions.AtlasTable("UAT",DataAreaId,"T.VendInvoiceTrans","%RecId","","","","","","","ItemId|PurchID|InventTransId",$C107,$B107,$K107),"")</f>
        <v/>
      </c>
      <c r="M107" s="4" t="str">
        <f>IF(AtlasReport_1_Table_1[[#This Row],[Reference]]="Purchase order",_xll.AtlasFormulas.AtlasFunctions.AtlasTable("UAT",DataAreaId,"T.MarkupTrans","%CurrencyCode","","","","","","","MarkupCode|TransRecId|TransTableId","TPP",$L107,"492"),"")</f>
        <v/>
      </c>
      <c r="N107" s="4" t="str">
        <f>IF(AtlasReport_1_Table_1[[#This Row],[Reference]]="Purchase order",_xll.AtlasFormulas.AtlasFunctions.AtlasBalance("UAT",DataAreaId,"T.MarkupTrans","Sum|Posted|0","","","","","","","MarkupCode|TransTableId|TransRecId","TPP","492",$L107),"")</f>
        <v/>
      </c>
    </row>
    <row r="108" spans="1:14" x14ac:dyDescent="0.25">
      <c r="A108" s="8" t="s">
        <v>252</v>
      </c>
      <c r="B108" s="8" t="s">
        <v>749</v>
      </c>
      <c r="C108" s="8" t="s">
        <v>23</v>
      </c>
      <c r="D108" s="8" t="s">
        <v>883</v>
      </c>
      <c r="E108" s="8" t="s">
        <v>261</v>
      </c>
      <c r="F108" s="8" t="s">
        <v>264</v>
      </c>
      <c r="G108" s="6">
        <v>43080</v>
      </c>
      <c r="H108" s="6">
        <v>43081</v>
      </c>
      <c r="I108" s="4">
        <v>-1</v>
      </c>
      <c r="J108" s="8" t="s">
        <v>37</v>
      </c>
      <c r="K108" s="8" t="s">
        <v>897</v>
      </c>
      <c r="L108" s="4" t="str">
        <f>IF(AtlasReport_1_Table_1[[#This Row],[Reference]]="Purchase order",_xll.AtlasFormulas.AtlasFunctions.AtlasTable("UAT",DataAreaId,"T.VendInvoiceTrans","%RecId","","","","","","","ItemId|PurchID|InventTransId",$C108,$B108,$K108),"")</f>
        <v/>
      </c>
      <c r="M108" s="4" t="str">
        <f>IF(AtlasReport_1_Table_1[[#This Row],[Reference]]="Purchase order",_xll.AtlasFormulas.AtlasFunctions.AtlasTable("UAT",DataAreaId,"T.MarkupTrans","%CurrencyCode","","","","","","","MarkupCode|TransRecId|TransTableId","TPP",$L108,"492"),"")</f>
        <v/>
      </c>
      <c r="N108" s="4" t="str">
        <f>IF(AtlasReport_1_Table_1[[#This Row],[Reference]]="Purchase order",_xll.AtlasFormulas.AtlasFunctions.AtlasBalance("UAT",DataAreaId,"T.MarkupTrans","Sum|Posted|0","","","","","","","MarkupCode|TransTableId|TransRecId","TPP","492",$L108),"")</f>
        <v/>
      </c>
    </row>
    <row r="109" spans="1:14" x14ac:dyDescent="0.25">
      <c r="A109" s="8" t="s">
        <v>252</v>
      </c>
      <c r="B109" s="8" t="s">
        <v>749</v>
      </c>
      <c r="C109" s="8" t="s">
        <v>19</v>
      </c>
      <c r="D109" s="8" t="s">
        <v>35</v>
      </c>
      <c r="E109" s="8" t="s">
        <v>261</v>
      </c>
      <c r="F109" s="8" t="s">
        <v>264</v>
      </c>
      <c r="G109" s="6">
        <v>43080</v>
      </c>
      <c r="H109" s="6">
        <v>43081</v>
      </c>
      <c r="I109" s="4">
        <v>-1</v>
      </c>
      <c r="J109" s="8" t="s">
        <v>37</v>
      </c>
      <c r="K109" s="8" t="s">
        <v>1528</v>
      </c>
      <c r="L109" s="4" t="str">
        <f>IF(AtlasReport_1_Table_1[[#This Row],[Reference]]="Purchase order",_xll.AtlasFormulas.AtlasFunctions.AtlasTable("UAT",DataAreaId,"T.VendInvoiceTrans","%RecId","","","","","","","ItemId|PurchID|InventTransId",$C109,$B109,$K109),"")</f>
        <v/>
      </c>
      <c r="M109" s="4" t="str">
        <f>IF(AtlasReport_1_Table_1[[#This Row],[Reference]]="Purchase order",_xll.AtlasFormulas.AtlasFunctions.AtlasTable("UAT",DataAreaId,"T.MarkupTrans","%CurrencyCode","","","","","","","MarkupCode|TransRecId|TransTableId","TPP",$L109,"492"),"")</f>
        <v/>
      </c>
      <c r="N109" s="4" t="str">
        <f>IF(AtlasReport_1_Table_1[[#This Row],[Reference]]="Purchase order",_xll.AtlasFormulas.AtlasFunctions.AtlasBalance("UAT",DataAreaId,"T.MarkupTrans","Sum|Posted|0","","","","","","","MarkupCode|TransTableId|TransRecId","TPP","492",$L109),"")</f>
        <v/>
      </c>
    </row>
    <row r="110" spans="1:14" x14ac:dyDescent="0.25">
      <c r="A110" s="8" t="s">
        <v>252</v>
      </c>
      <c r="B110" s="8" t="s">
        <v>797</v>
      </c>
      <c r="C110" s="8" t="s">
        <v>58</v>
      </c>
      <c r="D110" s="8" t="s">
        <v>127</v>
      </c>
      <c r="E110" s="8" t="s">
        <v>261</v>
      </c>
      <c r="F110" s="8" t="s">
        <v>264</v>
      </c>
      <c r="G110" s="6">
        <v>43080</v>
      </c>
      <c r="H110" s="6">
        <v>43081</v>
      </c>
      <c r="I110" s="4">
        <v>-2.4</v>
      </c>
      <c r="J110" s="8" t="s">
        <v>39</v>
      </c>
      <c r="K110" s="8" t="s">
        <v>799</v>
      </c>
      <c r="L110" s="4" t="str">
        <f>IF(AtlasReport_1_Table_1[[#This Row],[Reference]]="Purchase order",_xll.AtlasFormulas.AtlasFunctions.AtlasTable("UAT",DataAreaId,"T.VendInvoiceTrans","%RecId","","","","","","","ItemId|PurchID|InventTransId",$C110,$B110,$K110),"")</f>
        <v/>
      </c>
      <c r="M110" s="4" t="str">
        <f>IF(AtlasReport_1_Table_1[[#This Row],[Reference]]="Purchase order",_xll.AtlasFormulas.AtlasFunctions.AtlasTable("UAT",DataAreaId,"T.MarkupTrans","%CurrencyCode","","","","","","","MarkupCode|TransRecId|TransTableId","TPP",$L110,"492"),"")</f>
        <v/>
      </c>
      <c r="N110" s="4" t="str">
        <f>IF(AtlasReport_1_Table_1[[#This Row],[Reference]]="Purchase order",_xll.AtlasFormulas.AtlasFunctions.AtlasBalance("UAT",DataAreaId,"T.MarkupTrans","Sum|Posted|0","","","","","","","MarkupCode|TransTableId|TransRecId","TPP","492",$L110),"")</f>
        <v/>
      </c>
    </row>
    <row r="111" spans="1:14" x14ac:dyDescent="0.25">
      <c r="A111" s="8" t="s">
        <v>252</v>
      </c>
      <c r="B111" s="8" t="s">
        <v>797</v>
      </c>
      <c r="C111" s="8" t="s">
        <v>1424</v>
      </c>
      <c r="D111" s="8" t="s">
        <v>1425</v>
      </c>
      <c r="E111" s="8" t="s">
        <v>261</v>
      </c>
      <c r="F111" s="8" t="s">
        <v>264</v>
      </c>
      <c r="G111" s="6">
        <v>43080</v>
      </c>
      <c r="H111" s="6">
        <v>43081</v>
      </c>
      <c r="I111" s="4">
        <v>-1</v>
      </c>
      <c r="J111" s="8" t="s">
        <v>37</v>
      </c>
      <c r="K111" s="8" t="s">
        <v>1529</v>
      </c>
      <c r="L111" s="4" t="str">
        <f>IF(AtlasReport_1_Table_1[[#This Row],[Reference]]="Purchase order",_xll.AtlasFormulas.AtlasFunctions.AtlasTable("UAT",DataAreaId,"T.VendInvoiceTrans","%RecId","","","","","","","ItemId|PurchID|InventTransId",$C111,$B111,$K111),"")</f>
        <v/>
      </c>
      <c r="M111" s="4" t="str">
        <f>IF(AtlasReport_1_Table_1[[#This Row],[Reference]]="Purchase order",_xll.AtlasFormulas.AtlasFunctions.AtlasTable("UAT",DataAreaId,"T.MarkupTrans","%CurrencyCode","","","","","","","MarkupCode|TransRecId|TransTableId","TPP",$L111,"492"),"")</f>
        <v/>
      </c>
      <c r="N111" s="4" t="str">
        <f>IF(AtlasReport_1_Table_1[[#This Row],[Reference]]="Purchase order",_xll.AtlasFormulas.AtlasFunctions.AtlasBalance("UAT",DataAreaId,"T.MarkupTrans","Sum|Posted|0","","","","","","","MarkupCode|TransTableId|TransRecId","TPP","492",$L111),"")</f>
        <v/>
      </c>
    </row>
    <row r="112" spans="1:14" x14ac:dyDescent="0.25">
      <c r="A112" s="8" t="s">
        <v>252</v>
      </c>
      <c r="B112" s="8" t="s">
        <v>740</v>
      </c>
      <c r="C112" s="8" t="s">
        <v>57</v>
      </c>
      <c r="D112" s="8" t="s">
        <v>113</v>
      </c>
      <c r="E112" s="8" t="s">
        <v>261</v>
      </c>
      <c r="F112" s="8" t="s">
        <v>264</v>
      </c>
      <c r="G112" s="6">
        <v>43081</v>
      </c>
      <c r="H112" s="6">
        <v>43083</v>
      </c>
      <c r="I112" s="4">
        <v>-48</v>
      </c>
      <c r="J112" s="8" t="s">
        <v>39</v>
      </c>
      <c r="K112" s="8" t="s">
        <v>742</v>
      </c>
      <c r="L112" s="4" t="str">
        <f>IF(AtlasReport_1_Table_1[[#This Row],[Reference]]="Purchase order",_xll.AtlasFormulas.AtlasFunctions.AtlasTable("UAT",DataAreaId,"T.VendInvoiceTrans","%RecId","","","","","","","ItemId|PurchID|InventTransId",$C112,$B112,$K112),"")</f>
        <v/>
      </c>
      <c r="M112" s="4" t="str">
        <f>IF(AtlasReport_1_Table_1[[#This Row],[Reference]]="Purchase order",_xll.AtlasFormulas.AtlasFunctions.AtlasTable("UAT",DataAreaId,"T.MarkupTrans","%CurrencyCode","","","","","","","MarkupCode|TransRecId|TransTableId","TPP",$L112,"492"),"")</f>
        <v/>
      </c>
      <c r="N112" s="4" t="str">
        <f>IF(AtlasReport_1_Table_1[[#This Row],[Reference]]="Purchase order",_xll.AtlasFormulas.AtlasFunctions.AtlasBalance("UAT",DataAreaId,"T.MarkupTrans","Sum|Posted|0","","","","","","","MarkupCode|TransTableId|TransRecId","TPP","492",$L112),"")</f>
        <v/>
      </c>
    </row>
    <row r="113" spans="1:14" x14ac:dyDescent="0.25">
      <c r="A113" s="8" t="s">
        <v>252</v>
      </c>
      <c r="B113" s="8" t="s">
        <v>740</v>
      </c>
      <c r="C113" s="8" t="s">
        <v>146</v>
      </c>
      <c r="D113" s="8" t="s">
        <v>1158</v>
      </c>
      <c r="E113" s="8" t="s">
        <v>261</v>
      </c>
      <c r="F113" s="8" t="s">
        <v>264</v>
      </c>
      <c r="G113" s="6">
        <v>43081</v>
      </c>
      <c r="H113" s="6">
        <v>43083</v>
      </c>
      <c r="I113" s="4">
        <v>-12</v>
      </c>
      <c r="J113" s="8" t="s">
        <v>37</v>
      </c>
      <c r="K113" s="8" t="s">
        <v>1530</v>
      </c>
      <c r="L113" s="4" t="str">
        <f>IF(AtlasReport_1_Table_1[[#This Row],[Reference]]="Purchase order",_xll.AtlasFormulas.AtlasFunctions.AtlasTable("UAT",DataAreaId,"T.VendInvoiceTrans","%RecId","","","","","","","ItemId|PurchID|InventTransId",$C113,$B113,$K113),"")</f>
        <v/>
      </c>
      <c r="M113" s="4" t="str">
        <f>IF(AtlasReport_1_Table_1[[#This Row],[Reference]]="Purchase order",_xll.AtlasFormulas.AtlasFunctions.AtlasTable("UAT",DataAreaId,"T.MarkupTrans","%CurrencyCode","","","","","","","MarkupCode|TransRecId|TransTableId","TPP",$L113,"492"),"")</f>
        <v/>
      </c>
      <c r="N113" s="4" t="str">
        <f>IF(AtlasReport_1_Table_1[[#This Row],[Reference]]="Purchase order",_xll.AtlasFormulas.AtlasFunctions.AtlasBalance("UAT",DataAreaId,"T.MarkupTrans","Sum|Posted|0","","","","","","","MarkupCode|TransTableId|TransRecId","TPP","492",$L113),"")</f>
        <v/>
      </c>
    </row>
    <row r="114" spans="1:14" x14ac:dyDescent="0.25">
      <c r="A114" s="8" t="s">
        <v>252</v>
      </c>
      <c r="B114" s="8" t="s">
        <v>740</v>
      </c>
      <c r="C114" s="8" t="s">
        <v>1424</v>
      </c>
      <c r="D114" s="8" t="s">
        <v>1425</v>
      </c>
      <c r="E114" s="8" t="s">
        <v>261</v>
      </c>
      <c r="F114" s="8" t="s">
        <v>264</v>
      </c>
      <c r="G114" s="6">
        <v>43081</v>
      </c>
      <c r="H114" s="6">
        <v>43083</v>
      </c>
      <c r="I114" s="4">
        <v>-1</v>
      </c>
      <c r="J114" s="8" t="s">
        <v>37</v>
      </c>
      <c r="K114" s="8" t="s">
        <v>1531</v>
      </c>
      <c r="L114" s="4" t="str">
        <f>IF(AtlasReport_1_Table_1[[#This Row],[Reference]]="Purchase order",_xll.AtlasFormulas.AtlasFunctions.AtlasTable("UAT",DataAreaId,"T.VendInvoiceTrans","%RecId","","","","","","","ItemId|PurchID|InventTransId",$C114,$B114,$K114),"")</f>
        <v/>
      </c>
      <c r="M114" s="4" t="str">
        <f>IF(AtlasReport_1_Table_1[[#This Row],[Reference]]="Purchase order",_xll.AtlasFormulas.AtlasFunctions.AtlasTable("UAT",DataAreaId,"T.MarkupTrans","%CurrencyCode","","","","","","","MarkupCode|TransRecId|TransTableId","TPP",$L114,"492"),"")</f>
        <v/>
      </c>
      <c r="N114" s="4" t="str">
        <f>IF(AtlasReport_1_Table_1[[#This Row],[Reference]]="Purchase order",_xll.AtlasFormulas.AtlasFunctions.AtlasBalance("UAT",DataAreaId,"T.MarkupTrans","Sum|Posted|0","","","","","","","MarkupCode|TransTableId|TransRecId","TPP","492",$L114),"")</f>
        <v/>
      </c>
    </row>
    <row r="115" spans="1:14" x14ac:dyDescent="0.25">
      <c r="A115" s="8" t="s">
        <v>252</v>
      </c>
      <c r="B115" s="8" t="s">
        <v>800</v>
      </c>
      <c r="C115" s="8" t="s">
        <v>58</v>
      </c>
      <c r="D115" s="8" t="s">
        <v>127</v>
      </c>
      <c r="E115" s="8" t="s">
        <v>261</v>
      </c>
      <c r="F115" s="8" t="s">
        <v>264</v>
      </c>
      <c r="G115" s="6">
        <v>43082</v>
      </c>
      <c r="H115" s="6">
        <v>43083</v>
      </c>
      <c r="I115" s="4">
        <v>-2.95</v>
      </c>
      <c r="J115" s="8" t="s">
        <v>39</v>
      </c>
      <c r="K115" s="8" t="s">
        <v>802</v>
      </c>
      <c r="L115" s="4" t="str">
        <f>IF(AtlasReport_1_Table_1[[#This Row],[Reference]]="Purchase order",_xll.AtlasFormulas.AtlasFunctions.AtlasTable("UAT",DataAreaId,"T.VendInvoiceTrans","%RecId","","","","","","","ItemId|PurchID|InventTransId",$C115,$B115,$K115),"")</f>
        <v/>
      </c>
      <c r="M115" s="4" t="str">
        <f>IF(AtlasReport_1_Table_1[[#This Row],[Reference]]="Purchase order",_xll.AtlasFormulas.AtlasFunctions.AtlasTable("UAT",DataAreaId,"T.MarkupTrans","%CurrencyCode","","","","","","","MarkupCode|TransRecId|TransTableId","TPP",$L115,"492"),"")</f>
        <v/>
      </c>
      <c r="N115" s="4" t="str">
        <f>IF(AtlasReport_1_Table_1[[#This Row],[Reference]]="Purchase order",_xll.AtlasFormulas.AtlasFunctions.AtlasBalance("UAT",DataAreaId,"T.MarkupTrans","Sum|Posted|0","","","","","","","MarkupCode|TransTableId|TransRecId","TPP","492",$L115),"")</f>
        <v/>
      </c>
    </row>
    <row r="116" spans="1:14" x14ac:dyDescent="0.25">
      <c r="A116" s="8" t="s">
        <v>252</v>
      </c>
      <c r="B116" s="8" t="s">
        <v>800</v>
      </c>
      <c r="C116" s="8" t="s">
        <v>79</v>
      </c>
      <c r="D116" s="8" t="s">
        <v>206</v>
      </c>
      <c r="E116" s="8" t="s">
        <v>261</v>
      </c>
      <c r="F116" s="8" t="s">
        <v>264</v>
      </c>
      <c r="G116" s="6">
        <v>43082</v>
      </c>
      <c r="H116" s="6">
        <v>43083</v>
      </c>
      <c r="I116" s="4">
        <v>-1</v>
      </c>
      <c r="J116" s="8" t="s">
        <v>37</v>
      </c>
      <c r="K116" s="8" t="s">
        <v>1532</v>
      </c>
      <c r="L116" s="4" t="str">
        <f>IF(AtlasReport_1_Table_1[[#This Row],[Reference]]="Purchase order",_xll.AtlasFormulas.AtlasFunctions.AtlasTable("UAT",DataAreaId,"T.VendInvoiceTrans","%RecId","","","","","","","ItemId|PurchID|InventTransId",$C116,$B116,$K116),"")</f>
        <v/>
      </c>
      <c r="M116" s="4" t="str">
        <f>IF(AtlasReport_1_Table_1[[#This Row],[Reference]]="Purchase order",_xll.AtlasFormulas.AtlasFunctions.AtlasTable("UAT",DataAreaId,"T.MarkupTrans","%CurrencyCode","","","","","","","MarkupCode|TransRecId|TransTableId","TPP",$L116,"492"),"")</f>
        <v/>
      </c>
      <c r="N116" s="4" t="str">
        <f>IF(AtlasReport_1_Table_1[[#This Row],[Reference]]="Purchase order",_xll.AtlasFormulas.AtlasFunctions.AtlasBalance("UAT",DataAreaId,"T.MarkupTrans","Sum|Posted|0","","","","","","","MarkupCode|TransTableId|TransRecId","TPP","492",$L116),"")</f>
        <v/>
      </c>
    </row>
    <row r="117" spans="1:14" x14ac:dyDescent="0.25">
      <c r="A117" s="8" t="s">
        <v>252</v>
      </c>
      <c r="B117" s="8" t="s">
        <v>800</v>
      </c>
      <c r="C117" s="8" t="s">
        <v>23</v>
      </c>
      <c r="D117" s="8" t="s">
        <v>883</v>
      </c>
      <c r="E117" s="8" t="s">
        <v>261</v>
      </c>
      <c r="F117" s="8" t="s">
        <v>264</v>
      </c>
      <c r="G117" s="6">
        <v>43082</v>
      </c>
      <c r="H117" s="6">
        <v>43083</v>
      </c>
      <c r="I117" s="4">
        <v>-1</v>
      </c>
      <c r="J117" s="8" t="s">
        <v>37</v>
      </c>
      <c r="K117" s="8" t="s">
        <v>898</v>
      </c>
      <c r="L117" s="4" t="str">
        <f>IF(AtlasReport_1_Table_1[[#This Row],[Reference]]="Purchase order",_xll.AtlasFormulas.AtlasFunctions.AtlasTable("UAT",DataAreaId,"T.VendInvoiceTrans","%RecId","","","","","","","ItemId|PurchID|InventTransId",$C117,$B117,$K117),"")</f>
        <v/>
      </c>
      <c r="M117" s="4" t="str">
        <f>IF(AtlasReport_1_Table_1[[#This Row],[Reference]]="Purchase order",_xll.AtlasFormulas.AtlasFunctions.AtlasTable("UAT",DataAreaId,"T.MarkupTrans","%CurrencyCode","","","","","","","MarkupCode|TransRecId|TransTableId","TPP",$L117,"492"),"")</f>
        <v/>
      </c>
      <c r="N117" s="4" t="str">
        <f>IF(AtlasReport_1_Table_1[[#This Row],[Reference]]="Purchase order",_xll.AtlasFormulas.AtlasFunctions.AtlasBalance("UAT",DataAreaId,"T.MarkupTrans","Sum|Posted|0","","","","","","","MarkupCode|TransTableId|TransRecId","TPP","492",$L117),"")</f>
        <v/>
      </c>
    </row>
    <row r="118" spans="1:14" x14ac:dyDescent="0.25">
      <c r="A118" s="8" t="s">
        <v>252</v>
      </c>
      <c r="B118" s="8" t="s">
        <v>1533</v>
      </c>
      <c r="C118" s="8" t="s">
        <v>1463</v>
      </c>
      <c r="D118" s="8" t="s">
        <v>1464</v>
      </c>
      <c r="E118" s="8" t="s">
        <v>261</v>
      </c>
      <c r="F118" s="8" t="s">
        <v>264</v>
      </c>
      <c r="G118" s="6">
        <v>43082</v>
      </c>
      <c r="H118" s="6">
        <v>43082</v>
      </c>
      <c r="I118" s="4">
        <v>-1</v>
      </c>
      <c r="J118" s="8" t="s">
        <v>37</v>
      </c>
      <c r="K118" s="8" t="s">
        <v>1534</v>
      </c>
      <c r="L118" s="4" t="str">
        <f>IF(AtlasReport_1_Table_1[[#This Row],[Reference]]="Purchase order",_xll.AtlasFormulas.AtlasFunctions.AtlasTable("UAT",DataAreaId,"T.VendInvoiceTrans","%RecId","","","","","","","ItemId|PurchID|InventTransId",$C118,$B118,$K118),"")</f>
        <v/>
      </c>
      <c r="M118" s="4" t="str">
        <f>IF(AtlasReport_1_Table_1[[#This Row],[Reference]]="Purchase order",_xll.AtlasFormulas.AtlasFunctions.AtlasTable("UAT",DataAreaId,"T.MarkupTrans","%CurrencyCode","","","","","","","MarkupCode|TransRecId|TransTableId","TPP",$L118,"492"),"")</f>
        <v/>
      </c>
      <c r="N118" s="4" t="str">
        <f>IF(AtlasReport_1_Table_1[[#This Row],[Reference]]="Purchase order",_xll.AtlasFormulas.AtlasFunctions.AtlasBalance("UAT",DataAreaId,"T.MarkupTrans","Sum|Posted|0","","","","","","","MarkupCode|TransTableId|TransRecId","TPP","492",$L118),"")</f>
        <v/>
      </c>
    </row>
    <row r="119" spans="1:14" x14ac:dyDescent="0.25">
      <c r="A119" s="8" t="s">
        <v>252</v>
      </c>
      <c r="B119" s="8" t="s">
        <v>1535</v>
      </c>
      <c r="C119" s="8" t="s">
        <v>331</v>
      </c>
      <c r="D119" s="8" t="s">
        <v>675</v>
      </c>
      <c r="E119" s="8" t="s">
        <v>261</v>
      </c>
      <c r="F119" s="8" t="s">
        <v>264</v>
      </c>
      <c r="G119" s="6">
        <v>43090</v>
      </c>
      <c r="H119" s="6">
        <v>43090</v>
      </c>
      <c r="I119" s="4">
        <v>-34</v>
      </c>
      <c r="J119" s="8" t="s">
        <v>37</v>
      </c>
      <c r="K119" s="8" t="s">
        <v>1536</v>
      </c>
      <c r="L119" s="4" t="str">
        <f>IF(AtlasReport_1_Table_1[[#This Row],[Reference]]="Purchase order",_xll.AtlasFormulas.AtlasFunctions.AtlasTable("UAT",DataAreaId,"T.VendInvoiceTrans","%RecId","","","","","","","ItemId|PurchID|InventTransId",$C119,$B119,$K119),"")</f>
        <v/>
      </c>
      <c r="M119" s="4" t="str">
        <f>IF(AtlasReport_1_Table_1[[#This Row],[Reference]]="Purchase order",_xll.AtlasFormulas.AtlasFunctions.AtlasTable("UAT",DataAreaId,"T.MarkupTrans","%CurrencyCode","","","","","","","MarkupCode|TransRecId|TransTableId","TPP",$L119,"492"),"")</f>
        <v/>
      </c>
      <c r="N119" s="4" t="str">
        <f>IF(AtlasReport_1_Table_1[[#This Row],[Reference]]="Purchase order",_xll.AtlasFormulas.AtlasFunctions.AtlasBalance("UAT",DataAreaId,"T.MarkupTrans","Sum|Posted|0","","","","","","","MarkupCode|TransTableId|TransRecId","TPP","492",$L119),"")</f>
        <v/>
      </c>
    </row>
    <row r="120" spans="1:14" x14ac:dyDescent="0.25">
      <c r="A120" s="8" t="s">
        <v>252</v>
      </c>
      <c r="B120" s="8" t="s">
        <v>1535</v>
      </c>
      <c r="C120" s="8" t="s">
        <v>331</v>
      </c>
      <c r="D120" s="8" t="s">
        <v>675</v>
      </c>
      <c r="E120" s="8" t="s">
        <v>261</v>
      </c>
      <c r="F120" s="8" t="s">
        <v>264</v>
      </c>
      <c r="G120" s="6">
        <v>43090</v>
      </c>
      <c r="H120" s="6">
        <v>43090</v>
      </c>
      <c r="I120" s="4">
        <v>-1</v>
      </c>
      <c r="J120" s="8" t="s">
        <v>37</v>
      </c>
      <c r="K120" s="8" t="s">
        <v>1537</v>
      </c>
      <c r="L120" s="4" t="str">
        <f>IF(AtlasReport_1_Table_1[[#This Row],[Reference]]="Purchase order",_xll.AtlasFormulas.AtlasFunctions.AtlasTable("UAT",DataAreaId,"T.VendInvoiceTrans","%RecId","","","","","","","ItemId|PurchID|InventTransId",$C120,$B120,$K120),"")</f>
        <v/>
      </c>
      <c r="M120" s="4" t="str">
        <f>IF(AtlasReport_1_Table_1[[#This Row],[Reference]]="Purchase order",_xll.AtlasFormulas.AtlasFunctions.AtlasTable("UAT",DataAreaId,"T.MarkupTrans","%CurrencyCode","","","","","","","MarkupCode|TransRecId|TransTableId","TPP",$L120,"492"),"")</f>
        <v/>
      </c>
      <c r="N120" s="4" t="str">
        <f>IF(AtlasReport_1_Table_1[[#This Row],[Reference]]="Purchase order",_xll.AtlasFormulas.AtlasFunctions.AtlasBalance("UAT",DataAreaId,"T.MarkupTrans","Sum|Posted|0","","","","","","","MarkupCode|TransTableId|TransRecId","TPP","492",$L120),"")</f>
        <v/>
      </c>
    </row>
    <row r="121" spans="1:14" x14ac:dyDescent="0.25">
      <c r="A121" s="8" t="s">
        <v>252</v>
      </c>
      <c r="B121" s="8" t="s">
        <v>1538</v>
      </c>
      <c r="C121" s="8" t="s">
        <v>19</v>
      </c>
      <c r="D121" s="8" t="s">
        <v>35</v>
      </c>
      <c r="E121" s="8" t="s">
        <v>261</v>
      </c>
      <c r="F121" s="8" t="s">
        <v>264</v>
      </c>
      <c r="G121" s="6">
        <v>43090</v>
      </c>
      <c r="H121" s="6">
        <v>43090</v>
      </c>
      <c r="I121" s="4">
        <v>-1</v>
      </c>
      <c r="J121" s="8" t="s">
        <v>37</v>
      </c>
      <c r="K121" s="8" t="s">
        <v>1539</v>
      </c>
      <c r="L121" s="4" t="str">
        <f>IF(AtlasReport_1_Table_1[[#This Row],[Reference]]="Purchase order",_xll.AtlasFormulas.AtlasFunctions.AtlasTable("UAT",DataAreaId,"T.VendInvoiceTrans","%RecId","","","","","","","ItemId|PurchID|InventTransId",$C121,$B121,$K121),"")</f>
        <v/>
      </c>
      <c r="M121" s="4" t="str">
        <f>IF(AtlasReport_1_Table_1[[#This Row],[Reference]]="Purchase order",_xll.AtlasFormulas.AtlasFunctions.AtlasTable("UAT",DataAreaId,"T.MarkupTrans","%CurrencyCode","","","","","","","MarkupCode|TransRecId|TransTableId","TPP",$L121,"492"),"")</f>
        <v/>
      </c>
      <c r="N121" s="4" t="str">
        <f>IF(AtlasReport_1_Table_1[[#This Row],[Reference]]="Purchase order",_xll.AtlasFormulas.AtlasFunctions.AtlasBalance("UAT",DataAreaId,"T.MarkupTrans","Sum|Posted|0","","","","","","","MarkupCode|TransTableId|TransRecId","TPP","492",$L121),"")</f>
        <v/>
      </c>
    </row>
    <row r="122" spans="1:14" x14ac:dyDescent="0.25">
      <c r="A122" s="8" t="s">
        <v>252</v>
      </c>
      <c r="B122" s="8" t="s">
        <v>1540</v>
      </c>
      <c r="C122" s="8" t="s">
        <v>66</v>
      </c>
      <c r="D122" s="8" t="s">
        <v>116</v>
      </c>
      <c r="E122" s="8" t="s">
        <v>261</v>
      </c>
      <c r="F122" s="8" t="s">
        <v>264</v>
      </c>
      <c r="G122" s="6">
        <v>43082</v>
      </c>
      <c r="H122" s="6">
        <v>43083</v>
      </c>
      <c r="I122" s="4">
        <v>-1</v>
      </c>
      <c r="J122" s="8" t="s">
        <v>37</v>
      </c>
      <c r="K122" s="8" t="s">
        <v>1541</v>
      </c>
      <c r="L122" s="4" t="str">
        <f>IF(AtlasReport_1_Table_1[[#This Row],[Reference]]="Purchase order",_xll.AtlasFormulas.AtlasFunctions.AtlasTable("UAT",DataAreaId,"T.VendInvoiceTrans","%RecId","","","","","","","ItemId|PurchID|InventTransId",$C122,$B122,$K122),"")</f>
        <v/>
      </c>
      <c r="M122" s="4" t="str">
        <f>IF(AtlasReport_1_Table_1[[#This Row],[Reference]]="Purchase order",_xll.AtlasFormulas.AtlasFunctions.AtlasTable("UAT",DataAreaId,"T.MarkupTrans","%CurrencyCode","","","","","","","MarkupCode|TransRecId|TransTableId","TPP",$L122,"492"),"")</f>
        <v/>
      </c>
      <c r="N122" s="4" t="str">
        <f>IF(AtlasReport_1_Table_1[[#This Row],[Reference]]="Purchase order",_xll.AtlasFormulas.AtlasFunctions.AtlasBalance("UAT",DataAreaId,"T.MarkupTrans","Sum|Posted|0","","","","","","","MarkupCode|TransTableId|TransRecId","TPP","492",$L122),"")</f>
        <v/>
      </c>
    </row>
    <row r="123" spans="1:14" x14ac:dyDescent="0.25">
      <c r="A123" s="8" t="s">
        <v>252</v>
      </c>
      <c r="B123" s="8" t="s">
        <v>1540</v>
      </c>
      <c r="C123" s="8" t="s">
        <v>1424</v>
      </c>
      <c r="D123" s="8" t="s">
        <v>1425</v>
      </c>
      <c r="E123" s="8" t="s">
        <v>261</v>
      </c>
      <c r="F123" s="8" t="s">
        <v>264</v>
      </c>
      <c r="G123" s="6">
        <v>43082</v>
      </c>
      <c r="H123" s="6">
        <v>43083</v>
      </c>
      <c r="I123" s="4">
        <v>-1</v>
      </c>
      <c r="J123" s="8" t="s">
        <v>37</v>
      </c>
      <c r="K123" s="8" t="s">
        <v>1542</v>
      </c>
      <c r="L123" s="4" t="str">
        <f>IF(AtlasReport_1_Table_1[[#This Row],[Reference]]="Purchase order",_xll.AtlasFormulas.AtlasFunctions.AtlasTable("UAT",DataAreaId,"T.VendInvoiceTrans","%RecId","","","","","","","ItemId|PurchID|InventTransId",$C123,$B123,$K123),"")</f>
        <v/>
      </c>
      <c r="M123" s="4" t="str">
        <f>IF(AtlasReport_1_Table_1[[#This Row],[Reference]]="Purchase order",_xll.AtlasFormulas.AtlasFunctions.AtlasTable("UAT",DataAreaId,"T.MarkupTrans","%CurrencyCode","","","","","","","MarkupCode|TransRecId|TransTableId","TPP",$L123,"492"),"")</f>
        <v/>
      </c>
      <c r="N123" s="4" t="str">
        <f>IF(AtlasReport_1_Table_1[[#This Row],[Reference]]="Purchase order",_xll.AtlasFormulas.AtlasFunctions.AtlasBalance("UAT",DataAreaId,"T.MarkupTrans","Sum|Posted|0","","","","","","","MarkupCode|TransTableId|TransRecId","TPP","492",$L123),"")</f>
        <v/>
      </c>
    </row>
    <row r="124" spans="1:14" x14ac:dyDescent="0.25">
      <c r="A124" s="8" t="s">
        <v>252</v>
      </c>
      <c r="B124" s="8" t="s">
        <v>868</v>
      </c>
      <c r="C124" s="8" t="s">
        <v>62</v>
      </c>
      <c r="D124" s="8" t="s">
        <v>94</v>
      </c>
      <c r="E124" s="8" t="s">
        <v>261</v>
      </c>
      <c r="F124" s="8" t="s">
        <v>264</v>
      </c>
      <c r="G124" s="6">
        <v>43082</v>
      </c>
      <c r="H124" s="6">
        <v>43083</v>
      </c>
      <c r="I124" s="4">
        <v>-24.6</v>
      </c>
      <c r="J124" s="8" t="s">
        <v>39</v>
      </c>
      <c r="K124" s="8" t="s">
        <v>870</v>
      </c>
      <c r="L124" s="4" t="str">
        <f>IF(AtlasReport_1_Table_1[[#This Row],[Reference]]="Purchase order",_xll.AtlasFormulas.AtlasFunctions.AtlasTable("UAT",DataAreaId,"T.VendInvoiceTrans","%RecId","","","","","","","ItemId|PurchID|InventTransId",$C124,$B124,$K124),"")</f>
        <v/>
      </c>
      <c r="M124" s="4" t="str">
        <f>IF(AtlasReport_1_Table_1[[#This Row],[Reference]]="Purchase order",_xll.AtlasFormulas.AtlasFunctions.AtlasTable("UAT",DataAreaId,"T.MarkupTrans","%CurrencyCode","","","","","","","MarkupCode|TransRecId|TransTableId","TPP",$L124,"492"),"")</f>
        <v/>
      </c>
      <c r="N124" s="4" t="str">
        <f>IF(AtlasReport_1_Table_1[[#This Row],[Reference]]="Purchase order",_xll.AtlasFormulas.AtlasFunctions.AtlasBalance("UAT",DataAreaId,"T.MarkupTrans","Sum|Posted|0","","","","","","","MarkupCode|TransTableId|TransRecId","TPP","492",$L124),"")</f>
        <v/>
      </c>
    </row>
    <row r="125" spans="1:14" x14ac:dyDescent="0.25">
      <c r="A125" s="8" t="s">
        <v>252</v>
      </c>
      <c r="B125" s="8" t="s">
        <v>868</v>
      </c>
      <c r="C125" s="8" t="s">
        <v>23</v>
      </c>
      <c r="D125" s="8" t="s">
        <v>883</v>
      </c>
      <c r="E125" s="8" t="s">
        <v>261</v>
      </c>
      <c r="F125" s="8" t="s">
        <v>264</v>
      </c>
      <c r="G125" s="6">
        <v>43082</v>
      </c>
      <c r="H125" s="6">
        <v>43083</v>
      </c>
      <c r="I125" s="4">
        <v>-1</v>
      </c>
      <c r="J125" s="8" t="s">
        <v>37</v>
      </c>
      <c r="K125" s="8" t="s">
        <v>899</v>
      </c>
      <c r="L125" s="4" t="str">
        <f>IF(AtlasReport_1_Table_1[[#This Row],[Reference]]="Purchase order",_xll.AtlasFormulas.AtlasFunctions.AtlasTable("UAT",DataAreaId,"T.VendInvoiceTrans","%RecId","","","","","","","ItemId|PurchID|InventTransId",$C125,$B125,$K125),"")</f>
        <v/>
      </c>
      <c r="M125" s="4" t="str">
        <f>IF(AtlasReport_1_Table_1[[#This Row],[Reference]]="Purchase order",_xll.AtlasFormulas.AtlasFunctions.AtlasTable("UAT",DataAreaId,"T.MarkupTrans","%CurrencyCode","","","","","","","MarkupCode|TransRecId|TransTableId","TPP",$L125,"492"),"")</f>
        <v/>
      </c>
      <c r="N125" s="4" t="str">
        <f>IF(AtlasReport_1_Table_1[[#This Row],[Reference]]="Purchase order",_xll.AtlasFormulas.AtlasFunctions.AtlasBalance("UAT",DataAreaId,"T.MarkupTrans","Sum|Posted|0","","","","","","","MarkupCode|TransTableId|TransRecId","TPP","492",$L125),"")</f>
        <v/>
      </c>
    </row>
    <row r="126" spans="1:14" x14ac:dyDescent="0.25">
      <c r="A126" s="8" t="s">
        <v>252</v>
      </c>
      <c r="B126" s="8" t="s">
        <v>868</v>
      </c>
      <c r="C126" s="8" t="s">
        <v>67</v>
      </c>
      <c r="D126" s="8" t="s">
        <v>907</v>
      </c>
      <c r="E126" s="8" t="s">
        <v>261</v>
      </c>
      <c r="F126" s="8" t="s">
        <v>264</v>
      </c>
      <c r="G126" s="6">
        <v>43082</v>
      </c>
      <c r="H126" s="6">
        <v>43083</v>
      </c>
      <c r="I126" s="4">
        <v>-1</v>
      </c>
      <c r="J126" s="8" t="s">
        <v>37</v>
      </c>
      <c r="K126" s="8" t="s">
        <v>915</v>
      </c>
      <c r="L126" s="4" t="str">
        <f>IF(AtlasReport_1_Table_1[[#This Row],[Reference]]="Purchase order",_xll.AtlasFormulas.AtlasFunctions.AtlasTable("UAT",DataAreaId,"T.VendInvoiceTrans","%RecId","","","","","","","ItemId|PurchID|InventTransId",$C126,$B126,$K126),"")</f>
        <v/>
      </c>
      <c r="M126" s="4" t="str">
        <f>IF(AtlasReport_1_Table_1[[#This Row],[Reference]]="Purchase order",_xll.AtlasFormulas.AtlasFunctions.AtlasTable("UAT",DataAreaId,"T.MarkupTrans","%CurrencyCode","","","","","","","MarkupCode|TransRecId|TransTableId","TPP",$L126,"492"),"")</f>
        <v/>
      </c>
      <c r="N126" s="4" t="str">
        <f>IF(AtlasReport_1_Table_1[[#This Row],[Reference]]="Purchase order",_xll.AtlasFormulas.AtlasFunctions.AtlasBalance("UAT",DataAreaId,"T.MarkupTrans","Sum|Posted|0","","","","","","","MarkupCode|TransTableId|TransRecId","TPP","492",$L126),"")</f>
        <v/>
      </c>
    </row>
    <row r="127" spans="1:14" x14ac:dyDescent="0.25">
      <c r="A127" s="8" t="s">
        <v>252</v>
      </c>
      <c r="B127" s="8" t="s">
        <v>868</v>
      </c>
      <c r="C127" s="8" t="s">
        <v>19</v>
      </c>
      <c r="D127" s="8" t="s">
        <v>35</v>
      </c>
      <c r="E127" s="8" t="s">
        <v>261</v>
      </c>
      <c r="F127" s="8" t="s">
        <v>264</v>
      </c>
      <c r="G127" s="6">
        <v>43082</v>
      </c>
      <c r="H127" s="6">
        <v>43083</v>
      </c>
      <c r="I127" s="4">
        <v>-1</v>
      </c>
      <c r="J127" s="8" t="s">
        <v>37</v>
      </c>
      <c r="K127" s="8" t="s">
        <v>1543</v>
      </c>
      <c r="L127" s="4" t="str">
        <f>IF(AtlasReport_1_Table_1[[#This Row],[Reference]]="Purchase order",_xll.AtlasFormulas.AtlasFunctions.AtlasTable("UAT",DataAreaId,"T.VendInvoiceTrans","%RecId","","","","","","","ItemId|PurchID|InventTransId",$C127,$B127,$K127),"")</f>
        <v/>
      </c>
      <c r="M127" s="4" t="str">
        <f>IF(AtlasReport_1_Table_1[[#This Row],[Reference]]="Purchase order",_xll.AtlasFormulas.AtlasFunctions.AtlasTable("UAT",DataAreaId,"T.MarkupTrans","%CurrencyCode","","","","","","","MarkupCode|TransRecId|TransTableId","TPP",$L127,"492"),"")</f>
        <v/>
      </c>
      <c r="N127" s="4" t="str">
        <f>IF(AtlasReport_1_Table_1[[#This Row],[Reference]]="Purchase order",_xll.AtlasFormulas.AtlasFunctions.AtlasBalance("UAT",DataAreaId,"T.MarkupTrans","Sum|Posted|0","","","","","","","MarkupCode|TransTableId|TransRecId","TPP","492",$L127),"")</f>
        <v/>
      </c>
    </row>
    <row r="128" spans="1:14" x14ac:dyDescent="0.25">
      <c r="A128" s="8" t="s">
        <v>252</v>
      </c>
      <c r="B128" s="8" t="s">
        <v>1544</v>
      </c>
      <c r="C128" s="8" t="s">
        <v>1455</v>
      </c>
      <c r="D128" s="8" t="s">
        <v>1456</v>
      </c>
      <c r="E128" s="8" t="s">
        <v>261</v>
      </c>
      <c r="F128" s="8" t="s">
        <v>264</v>
      </c>
      <c r="G128" s="6">
        <v>43082</v>
      </c>
      <c r="H128" s="6">
        <v>43082</v>
      </c>
      <c r="I128" s="4">
        <v>-1</v>
      </c>
      <c r="J128" s="8" t="s">
        <v>37</v>
      </c>
      <c r="K128" s="8" t="s">
        <v>1545</v>
      </c>
      <c r="L128" s="4" t="str">
        <f>IF(AtlasReport_1_Table_1[[#This Row],[Reference]]="Purchase order",_xll.AtlasFormulas.AtlasFunctions.AtlasTable("UAT",DataAreaId,"T.VendInvoiceTrans","%RecId","","","","","","","ItemId|PurchID|InventTransId",$C128,$B128,$K128),"")</f>
        <v/>
      </c>
      <c r="M128" s="4" t="str">
        <f>IF(AtlasReport_1_Table_1[[#This Row],[Reference]]="Purchase order",_xll.AtlasFormulas.AtlasFunctions.AtlasTable("UAT",DataAreaId,"T.MarkupTrans","%CurrencyCode","","","","","","","MarkupCode|TransRecId|TransTableId","TPP",$L128,"492"),"")</f>
        <v/>
      </c>
      <c r="N128" s="4" t="str">
        <f>IF(AtlasReport_1_Table_1[[#This Row],[Reference]]="Purchase order",_xll.AtlasFormulas.AtlasFunctions.AtlasBalance("UAT",DataAreaId,"T.MarkupTrans","Sum|Posted|0","","","","","","","MarkupCode|TransTableId|TransRecId","TPP","492",$L128),"")</f>
        <v/>
      </c>
    </row>
    <row r="129" spans="1:14" x14ac:dyDescent="0.25">
      <c r="A129" s="8" t="s">
        <v>252</v>
      </c>
      <c r="B129" s="8" t="s">
        <v>1544</v>
      </c>
      <c r="C129" s="8" t="s">
        <v>224</v>
      </c>
      <c r="D129" s="8" t="s">
        <v>225</v>
      </c>
      <c r="E129" s="8" t="s">
        <v>261</v>
      </c>
      <c r="F129" s="8" t="s">
        <v>264</v>
      </c>
      <c r="G129" s="6">
        <v>43082</v>
      </c>
      <c r="H129" s="6">
        <v>43082</v>
      </c>
      <c r="I129" s="4">
        <v>-1</v>
      </c>
      <c r="J129" s="8" t="s">
        <v>37</v>
      </c>
      <c r="K129" s="8" t="s">
        <v>1546</v>
      </c>
      <c r="L129" s="4" t="str">
        <f>IF(AtlasReport_1_Table_1[[#This Row],[Reference]]="Purchase order",_xll.AtlasFormulas.AtlasFunctions.AtlasTable("UAT",DataAreaId,"T.VendInvoiceTrans","%RecId","","","","","","","ItemId|PurchID|InventTransId",$C129,$B129,$K129),"")</f>
        <v/>
      </c>
      <c r="M129" s="4" t="str">
        <f>IF(AtlasReport_1_Table_1[[#This Row],[Reference]]="Purchase order",_xll.AtlasFormulas.AtlasFunctions.AtlasTable("UAT",DataAreaId,"T.MarkupTrans","%CurrencyCode","","","","","","","MarkupCode|TransRecId|TransTableId","TPP",$L129,"492"),"")</f>
        <v/>
      </c>
      <c r="N129" s="4" t="str">
        <f>IF(AtlasReport_1_Table_1[[#This Row],[Reference]]="Purchase order",_xll.AtlasFormulas.AtlasFunctions.AtlasBalance("UAT",DataAreaId,"T.MarkupTrans","Sum|Posted|0","","","","","","","MarkupCode|TransTableId|TransRecId","TPP","492",$L129),"")</f>
        <v/>
      </c>
    </row>
    <row r="130" spans="1:14" x14ac:dyDescent="0.25">
      <c r="A130" s="8" t="s">
        <v>252</v>
      </c>
      <c r="B130" s="8" t="s">
        <v>1547</v>
      </c>
      <c r="C130" s="8" t="s">
        <v>222</v>
      </c>
      <c r="D130" s="8" t="s">
        <v>223</v>
      </c>
      <c r="E130" s="8" t="s">
        <v>261</v>
      </c>
      <c r="F130" s="8" t="s">
        <v>264</v>
      </c>
      <c r="G130" s="6">
        <v>43082</v>
      </c>
      <c r="H130" s="6">
        <v>43082</v>
      </c>
      <c r="I130" s="4">
        <v>-1</v>
      </c>
      <c r="J130" s="8" t="s">
        <v>37</v>
      </c>
      <c r="K130" s="8" t="s">
        <v>1548</v>
      </c>
      <c r="L130" s="4" t="str">
        <f>IF(AtlasReport_1_Table_1[[#This Row],[Reference]]="Purchase order",_xll.AtlasFormulas.AtlasFunctions.AtlasTable("UAT",DataAreaId,"T.VendInvoiceTrans","%RecId","","","","","","","ItemId|PurchID|InventTransId",$C130,$B130,$K130),"")</f>
        <v/>
      </c>
      <c r="M130" s="4" t="str">
        <f>IF(AtlasReport_1_Table_1[[#This Row],[Reference]]="Purchase order",_xll.AtlasFormulas.AtlasFunctions.AtlasTable("UAT",DataAreaId,"T.MarkupTrans","%CurrencyCode","","","","","","","MarkupCode|TransRecId|TransTableId","TPP",$L130,"492"),"")</f>
        <v/>
      </c>
      <c r="N130" s="4" t="str">
        <f>IF(AtlasReport_1_Table_1[[#This Row],[Reference]]="Purchase order",_xll.AtlasFormulas.AtlasFunctions.AtlasBalance("UAT",DataAreaId,"T.MarkupTrans","Sum|Posted|0","","","","","","","MarkupCode|TransTableId|TransRecId","TPP","492",$L130),"")</f>
        <v/>
      </c>
    </row>
    <row r="131" spans="1:14" x14ac:dyDescent="0.25">
      <c r="A131" s="8" t="s">
        <v>252</v>
      </c>
      <c r="B131" s="8" t="s">
        <v>1549</v>
      </c>
      <c r="C131" s="8" t="s">
        <v>222</v>
      </c>
      <c r="D131" s="8" t="s">
        <v>223</v>
      </c>
      <c r="E131" s="8" t="s">
        <v>261</v>
      </c>
      <c r="F131" s="8" t="s">
        <v>264</v>
      </c>
      <c r="G131" s="6">
        <v>43082</v>
      </c>
      <c r="H131" s="6">
        <v>43082</v>
      </c>
      <c r="I131" s="4">
        <v>-1</v>
      </c>
      <c r="J131" s="8" t="s">
        <v>37</v>
      </c>
      <c r="K131" s="8" t="s">
        <v>1550</v>
      </c>
      <c r="L131" s="4" t="str">
        <f>IF(AtlasReport_1_Table_1[[#This Row],[Reference]]="Purchase order",_xll.AtlasFormulas.AtlasFunctions.AtlasTable("UAT",DataAreaId,"T.VendInvoiceTrans","%RecId","","","","","","","ItemId|PurchID|InventTransId",$C131,$B131,$K131),"")</f>
        <v/>
      </c>
      <c r="M131" s="4" t="str">
        <f>IF(AtlasReport_1_Table_1[[#This Row],[Reference]]="Purchase order",_xll.AtlasFormulas.AtlasFunctions.AtlasTable("UAT",DataAreaId,"T.MarkupTrans","%CurrencyCode","","","","","","","MarkupCode|TransRecId|TransTableId","TPP",$L131,"492"),"")</f>
        <v/>
      </c>
      <c r="N131" s="4" t="str">
        <f>IF(AtlasReport_1_Table_1[[#This Row],[Reference]]="Purchase order",_xll.AtlasFormulas.AtlasFunctions.AtlasBalance("UAT",DataAreaId,"T.MarkupTrans","Sum|Posted|0","","","","","","","MarkupCode|TransTableId|TransRecId","TPP","492",$L131),"")</f>
        <v/>
      </c>
    </row>
    <row r="132" spans="1:14" x14ac:dyDescent="0.25">
      <c r="A132" s="8" t="s">
        <v>252</v>
      </c>
      <c r="B132" s="8" t="s">
        <v>1551</v>
      </c>
      <c r="C132" s="8" t="s">
        <v>222</v>
      </c>
      <c r="D132" s="8" t="s">
        <v>223</v>
      </c>
      <c r="E132" s="8" t="s">
        <v>261</v>
      </c>
      <c r="F132" s="8" t="s">
        <v>264</v>
      </c>
      <c r="G132" s="6">
        <v>43082</v>
      </c>
      <c r="H132" s="6">
        <v>43082</v>
      </c>
      <c r="I132" s="4">
        <v>-1</v>
      </c>
      <c r="J132" s="8" t="s">
        <v>37</v>
      </c>
      <c r="K132" s="8" t="s">
        <v>1552</v>
      </c>
      <c r="L132" s="4" t="str">
        <f>IF(AtlasReport_1_Table_1[[#This Row],[Reference]]="Purchase order",_xll.AtlasFormulas.AtlasFunctions.AtlasTable("UAT",DataAreaId,"T.VendInvoiceTrans","%RecId","","","","","","","ItemId|PurchID|InventTransId",$C132,$B132,$K132),"")</f>
        <v/>
      </c>
      <c r="M132" s="4" t="str">
        <f>IF(AtlasReport_1_Table_1[[#This Row],[Reference]]="Purchase order",_xll.AtlasFormulas.AtlasFunctions.AtlasTable("UAT",DataAreaId,"T.MarkupTrans","%CurrencyCode","","","","","","","MarkupCode|TransRecId|TransTableId","TPP",$L132,"492"),"")</f>
        <v/>
      </c>
      <c r="N132" s="4" t="str">
        <f>IF(AtlasReport_1_Table_1[[#This Row],[Reference]]="Purchase order",_xll.AtlasFormulas.AtlasFunctions.AtlasBalance("UAT",DataAreaId,"T.MarkupTrans","Sum|Posted|0","","","","","","","MarkupCode|TransTableId|TransRecId","TPP","492",$L132),"")</f>
        <v/>
      </c>
    </row>
    <row r="133" spans="1:14" x14ac:dyDescent="0.25">
      <c r="A133" s="8" t="s">
        <v>252</v>
      </c>
      <c r="B133" s="8" t="s">
        <v>1553</v>
      </c>
      <c r="C133" s="8" t="s">
        <v>79</v>
      </c>
      <c r="D133" s="8" t="s">
        <v>206</v>
      </c>
      <c r="E133" s="8" t="s">
        <v>261</v>
      </c>
      <c r="F133" s="8" t="s">
        <v>264</v>
      </c>
      <c r="G133" s="6">
        <v>43082</v>
      </c>
      <c r="H133" s="6">
        <v>43083</v>
      </c>
      <c r="I133" s="4">
        <v>-1</v>
      </c>
      <c r="J133" s="8" t="s">
        <v>37</v>
      </c>
      <c r="K133" s="8" t="s">
        <v>1554</v>
      </c>
      <c r="L133" s="4" t="str">
        <f>IF(AtlasReport_1_Table_1[[#This Row],[Reference]]="Purchase order",_xll.AtlasFormulas.AtlasFunctions.AtlasTable("UAT",DataAreaId,"T.VendInvoiceTrans","%RecId","","","","","","","ItemId|PurchID|InventTransId",$C133,$B133,$K133),"")</f>
        <v/>
      </c>
      <c r="M133" s="4" t="str">
        <f>IF(AtlasReport_1_Table_1[[#This Row],[Reference]]="Purchase order",_xll.AtlasFormulas.AtlasFunctions.AtlasTable("UAT",DataAreaId,"T.MarkupTrans","%CurrencyCode","","","","","","","MarkupCode|TransRecId|TransTableId","TPP",$L133,"492"),"")</f>
        <v/>
      </c>
      <c r="N133" s="4" t="str">
        <f>IF(AtlasReport_1_Table_1[[#This Row],[Reference]]="Purchase order",_xll.AtlasFormulas.AtlasFunctions.AtlasBalance("UAT",DataAreaId,"T.MarkupTrans","Sum|Posted|0","","","","","","","MarkupCode|TransTableId|TransRecId","TPP","492",$L133),"")</f>
        <v/>
      </c>
    </row>
    <row r="134" spans="1:14" x14ac:dyDescent="0.25">
      <c r="A134" s="8" t="s">
        <v>252</v>
      </c>
      <c r="B134" s="8" t="s">
        <v>1555</v>
      </c>
      <c r="C134" s="8" t="s">
        <v>222</v>
      </c>
      <c r="D134" s="8" t="s">
        <v>223</v>
      </c>
      <c r="E134" s="8" t="s">
        <v>261</v>
      </c>
      <c r="F134" s="8" t="s">
        <v>264</v>
      </c>
      <c r="G134" s="6">
        <v>43082</v>
      </c>
      <c r="H134" s="6">
        <v>43082</v>
      </c>
      <c r="I134" s="4">
        <v>-1</v>
      </c>
      <c r="J134" s="8" t="s">
        <v>37</v>
      </c>
      <c r="K134" s="8" t="s">
        <v>1556</v>
      </c>
      <c r="L134" s="4" t="str">
        <f>IF(AtlasReport_1_Table_1[[#This Row],[Reference]]="Purchase order",_xll.AtlasFormulas.AtlasFunctions.AtlasTable("UAT",DataAreaId,"T.VendInvoiceTrans","%RecId","","","","","","","ItemId|PurchID|InventTransId",$C134,$B134,$K134),"")</f>
        <v/>
      </c>
      <c r="M134" s="4" t="str">
        <f>IF(AtlasReport_1_Table_1[[#This Row],[Reference]]="Purchase order",_xll.AtlasFormulas.AtlasFunctions.AtlasTable("UAT",DataAreaId,"T.MarkupTrans","%CurrencyCode","","","","","","","MarkupCode|TransRecId|TransTableId","TPP",$L134,"492"),"")</f>
        <v/>
      </c>
      <c r="N134" s="4" t="str">
        <f>IF(AtlasReport_1_Table_1[[#This Row],[Reference]]="Purchase order",_xll.AtlasFormulas.AtlasFunctions.AtlasBalance("UAT",DataAreaId,"T.MarkupTrans","Sum|Posted|0","","","","","","","MarkupCode|TransTableId|TransRecId","TPP","492",$L134),"")</f>
        <v/>
      </c>
    </row>
    <row r="135" spans="1:14" x14ac:dyDescent="0.25">
      <c r="A135" s="8" t="s">
        <v>252</v>
      </c>
      <c r="B135" s="8" t="s">
        <v>1557</v>
      </c>
      <c r="C135" s="8" t="s">
        <v>222</v>
      </c>
      <c r="D135" s="8" t="s">
        <v>223</v>
      </c>
      <c r="E135" s="8" t="s">
        <v>261</v>
      </c>
      <c r="F135" s="8" t="s">
        <v>264</v>
      </c>
      <c r="G135" s="6">
        <v>43082</v>
      </c>
      <c r="H135" s="6">
        <v>43082</v>
      </c>
      <c r="I135" s="4">
        <v>-1</v>
      </c>
      <c r="J135" s="8" t="s">
        <v>37</v>
      </c>
      <c r="K135" s="8" t="s">
        <v>1558</v>
      </c>
      <c r="L135" s="4" t="str">
        <f>IF(AtlasReport_1_Table_1[[#This Row],[Reference]]="Purchase order",_xll.AtlasFormulas.AtlasFunctions.AtlasTable("UAT",DataAreaId,"T.VendInvoiceTrans","%RecId","","","","","","","ItemId|PurchID|InventTransId",$C135,$B135,$K135),"")</f>
        <v/>
      </c>
      <c r="M135" s="4" t="str">
        <f>IF(AtlasReport_1_Table_1[[#This Row],[Reference]]="Purchase order",_xll.AtlasFormulas.AtlasFunctions.AtlasTable("UAT",DataAreaId,"T.MarkupTrans","%CurrencyCode","","","","","","","MarkupCode|TransRecId|TransTableId","TPP",$L135,"492"),"")</f>
        <v/>
      </c>
      <c r="N135" s="4" t="str">
        <f>IF(AtlasReport_1_Table_1[[#This Row],[Reference]]="Purchase order",_xll.AtlasFormulas.AtlasFunctions.AtlasBalance("UAT",DataAreaId,"T.MarkupTrans","Sum|Posted|0","","","","","","","MarkupCode|TransTableId|TransRecId","TPP","492",$L135),"")</f>
        <v/>
      </c>
    </row>
    <row r="136" spans="1:14" x14ac:dyDescent="0.25">
      <c r="A136" s="8" t="s">
        <v>252</v>
      </c>
      <c r="B136" s="8" t="s">
        <v>1559</v>
      </c>
      <c r="C136" s="8" t="s">
        <v>222</v>
      </c>
      <c r="D136" s="8" t="s">
        <v>223</v>
      </c>
      <c r="E136" s="8" t="s">
        <v>261</v>
      </c>
      <c r="F136" s="8" t="s">
        <v>264</v>
      </c>
      <c r="G136" s="6">
        <v>43082</v>
      </c>
      <c r="H136" s="6">
        <v>43082</v>
      </c>
      <c r="I136" s="4">
        <v>-1</v>
      </c>
      <c r="J136" s="8" t="s">
        <v>37</v>
      </c>
      <c r="K136" s="8" t="s">
        <v>1560</v>
      </c>
      <c r="L136" s="4" t="str">
        <f>IF(AtlasReport_1_Table_1[[#This Row],[Reference]]="Purchase order",_xll.AtlasFormulas.AtlasFunctions.AtlasTable("UAT",DataAreaId,"T.VendInvoiceTrans","%RecId","","","","","","","ItemId|PurchID|InventTransId",$C136,$B136,$K136),"")</f>
        <v/>
      </c>
      <c r="M136" s="4" t="str">
        <f>IF(AtlasReport_1_Table_1[[#This Row],[Reference]]="Purchase order",_xll.AtlasFormulas.AtlasFunctions.AtlasTable("UAT",DataAreaId,"T.MarkupTrans","%CurrencyCode","","","","","","","MarkupCode|TransRecId|TransTableId","TPP",$L136,"492"),"")</f>
        <v/>
      </c>
      <c r="N136" s="4" t="str">
        <f>IF(AtlasReport_1_Table_1[[#This Row],[Reference]]="Purchase order",_xll.AtlasFormulas.AtlasFunctions.AtlasBalance("UAT",DataAreaId,"T.MarkupTrans","Sum|Posted|0","","","","","","","MarkupCode|TransTableId|TransRecId","TPP","492",$L136),"")</f>
        <v/>
      </c>
    </row>
    <row r="137" spans="1:14" x14ac:dyDescent="0.25">
      <c r="A137" s="8" t="s">
        <v>252</v>
      </c>
      <c r="B137" s="8" t="s">
        <v>1561</v>
      </c>
      <c r="C137" s="8" t="s">
        <v>222</v>
      </c>
      <c r="D137" s="8" t="s">
        <v>223</v>
      </c>
      <c r="E137" s="8" t="s">
        <v>261</v>
      </c>
      <c r="F137" s="8" t="s">
        <v>264</v>
      </c>
      <c r="G137" s="6">
        <v>43082</v>
      </c>
      <c r="H137" s="6">
        <v>43082</v>
      </c>
      <c r="I137" s="4">
        <v>-1</v>
      </c>
      <c r="J137" s="8" t="s">
        <v>37</v>
      </c>
      <c r="K137" s="8" t="s">
        <v>1562</v>
      </c>
      <c r="L137" s="4" t="str">
        <f>IF(AtlasReport_1_Table_1[[#This Row],[Reference]]="Purchase order",_xll.AtlasFormulas.AtlasFunctions.AtlasTable("UAT",DataAreaId,"T.VendInvoiceTrans","%RecId","","","","","","","ItemId|PurchID|InventTransId",$C137,$B137,$K137),"")</f>
        <v/>
      </c>
      <c r="M137" s="4" t="str">
        <f>IF(AtlasReport_1_Table_1[[#This Row],[Reference]]="Purchase order",_xll.AtlasFormulas.AtlasFunctions.AtlasTable("UAT",DataAreaId,"T.MarkupTrans","%CurrencyCode","","","","","","","MarkupCode|TransRecId|TransTableId","TPP",$L137,"492"),"")</f>
        <v/>
      </c>
      <c r="N137" s="4" t="str">
        <f>IF(AtlasReport_1_Table_1[[#This Row],[Reference]]="Purchase order",_xll.AtlasFormulas.AtlasFunctions.AtlasBalance("UAT",DataAreaId,"T.MarkupTrans","Sum|Posted|0","","","","","","","MarkupCode|TransTableId|TransRecId","TPP","492",$L137),"")</f>
        <v/>
      </c>
    </row>
    <row r="138" spans="1:14" x14ac:dyDescent="0.25">
      <c r="A138" s="8" t="s">
        <v>252</v>
      </c>
      <c r="B138" s="8" t="s">
        <v>1563</v>
      </c>
      <c r="C138" s="8" t="s">
        <v>222</v>
      </c>
      <c r="D138" s="8" t="s">
        <v>223</v>
      </c>
      <c r="E138" s="8" t="s">
        <v>261</v>
      </c>
      <c r="F138" s="8" t="s">
        <v>264</v>
      </c>
      <c r="G138" s="6">
        <v>43082</v>
      </c>
      <c r="H138" s="6">
        <v>43082</v>
      </c>
      <c r="I138" s="4">
        <v>-1</v>
      </c>
      <c r="J138" s="8" t="s">
        <v>37</v>
      </c>
      <c r="K138" s="8" t="s">
        <v>1564</v>
      </c>
      <c r="L138" s="4" t="str">
        <f>IF(AtlasReport_1_Table_1[[#This Row],[Reference]]="Purchase order",_xll.AtlasFormulas.AtlasFunctions.AtlasTable("UAT",DataAreaId,"T.VendInvoiceTrans","%RecId","","","","","","","ItemId|PurchID|InventTransId",$C138,$B138,$K138),"")</f>
        <v/>
      </c>
      <c r="M138" s="4" t="str">
        <f>IF(AtlasReport_1_Table_1[[#This Row],[Reference]]="Purchase order",_xll.AtlasFormulas.AtlasFunctions.AtlasTable("UAT",DataAreaId,"T.MarkupTrans","%CurrencyCode","","","","","","","MarkupCode|TransRecId|TransTableId","TPP",$L138,"492"),"")</f>
        <v/>
      </c>
      <c r="N138" s="4" t="str">
        <f>IF(AtlasReport_1_Table_1[[#This Row],[Reference]]="Purchase order",_xll.AtlasFormulas.AtlasFunctions.AtlasBalance("UAT",DataAreaId,"T.MarkupTrans","Sum|Posted|0","","","","","","","MarkupCode|TransTableId|TransRecId","TPP","492",$L138),"")</f>
        <v/>
      </c>
    </row>
    <row r="139" spans="1:14" x14ac:dyDescent="0.25">
      <c r="A139" s="8" t="s">
        <v>252</v>
      </c>
      <c r="B139" s="8" t="s">
        <v>822</v>
      </c>
      <c r="C139" s="8" t="s">
        <v>99</v>
      </c>
      <c r="D139" s="8" t="s">
        <v>100</v>
      </c>
      <c r="E139" s="8" t="s">
        <v>261</v>
      </c>
      <c r="F139" s="8" t="s">
        <v>264</v>
      </c>
      <c r="G139" s="6">
        <v>43083</v>
      </c>
      <c r="H139" s="6">
        <v>43084</v>
      </c>
      <c r="I139" s="4">
        <v>-27</v>
      </c>
      <c r="J139" s="8" t="s">
        <v>39</v>
      </c>
      <c r="K139" s="8" t="s">
        <v>824</v>
      </c>
      <c r="L139" s="4" t="str">
        <f>IF(AtlasReport_1_Table_1[[#This Row],[Reference]]="Purchase order",_xll.AtlasFormulas.AtlasFunctions.AtlasTable("UAT",DataAreaId,"T.VendInvoiceTrans","%RecId","","","","","","","ItemId|PurchID|InventTransId",$C139,$B139,$K139),"")</f>
        <v/>
      </c>
      <c r="M139" s="4" t="str">
        <f>IF(AtlasReport_1_Table_1[[#This Row],[Reference]]="Purchase order",_xll.AtlasFormulas.AtlasFunctions.AtlasTable("UAT",DataAreaId,"T.MarkupTrans","%CurrencyCode","","","","","","","MarkupCode|TransRecId|TransTableId","TPP",$L139,"492"),"")</f>
        <v/>
      </c>
      <c r="N139" s="4" t="str">
        <f>IF(AtlasReport_1_Table_1[[#This Row],[Reference]]="Purchase order",_xll.AtlasFormulas.AtlasFunctions.AtlasBalance("UAT",DataAreaId,"T.MarkupTrans","Sum|Posted|0","","","","","","","MarkupCode|TransTableId|TransRecId","TPP","492",$L139),"")</f>
        <v/>
      </c>
    </row>
    <row r="140" spans="1:14" x14ac:dyDescent="0.25">
      <c r="A140" s="8" t="s">
        <v>252</v>
      </c>
      <c r="B140" s="8" t="s">
        <v>822</v>
      </c>
      <c r="C140" s="8" t="s">
        <v>108</v>
      </c>
      <c r="D140" s="8" t="s">
        <v>109</v>
      </c>
      <c r="E140" s="8" t="s">
        <v>261</v>
      </c>
      <c r="F140" s="8" t="s">
        <v>264</v>
      </c>
      <c r="G140" s="6">
        <v>43083</v>
      </c>
      <c r="H140" s="6">
        <v>43084</v>
      </c>
      <c r="I140" s="4">
        <v>-1</v>
      </c>
      <c r="J140" s="8" t="s">
        <v>37</v>
      </c>
      <c r="K140" s="8" t="s">
        <v>1565</v>
      </c>
      <c r="L140" s="4" t="str">
        <f>IF(AtlasReport_1_Table_1[[#This Row],[Reference]]="Purchase order",_xll.AtlasFormulas.AtlasFunctions.AtlasTable("UAT",DataAreaId,"T.VendInvoiceTrans","%RecId","","","","","","","ItemId|PurchID|InventTransId",$C140,$B140,$K140),"")</f>
        <v/>
      </c>
      <c r="M140" s="4" t="str">
        <f>IF(AtlasReport_1_Table_1[[#This Row],[Reference]]="Purchase order",_xll.AtlasFormulas.AtlasFunctions.AtlasTable("UAT",DataAreaId,"T.MarkupTrans","%CurrencyCode","","","","","","","MarkupCode|TransRecId|TransTableId","TPP",$L140,"492"),"")</f>
        <v/>
      </c>
      <c r="N140" s="4" t="str">
        <f>IF(AtlasReport_1_Table_1[[#This Row],[Reference]]="Purchase order",_xll.AtlasFormulas.AtlasFunctions.AtlasBalance("UAT",DataAreaId,"T.MarkupTrans","Sum|Posted|0","","","","","","","MarkupCode|TransTableId|TransRecId","TPP","492",$L140),"")</f>
        <v/>
      </c>
    </row>
    <row r="141" spans="1:14" x14ac:dyDescent="0.25">
      <c r="A141" s="8" t="s">
        <v>252</v>
      </c>
      <c r="B141" s="8" t="s">
        <v>822</v>
      </c>
      <c r="C141" s="8" t="s">
        <v>66</v>
      </c>
      <c r="D141" s="8" t="s">
        <v>116</v>
      </c>
      <c r="E141" s="8" t="s">
        <v>261</v>
      </c>
      <c r="F141" s="8" t="s">
        <v>264</v>
      </c>
      <c r="G141" s="6">
        <v>43083</v>
      </c>
      <c r="H141" s="6">
        <v>43084</v>
      </c>
      <c r="I141" s="4">
        <v>-1</v>
      </c>
      <c r="J141" s="8" t="s">
        <v>37</v>
      </c>
      <c r="K141" s="8" t="s">
        <v>1566</v>
      </c>
      <c r="L141" s="4" t="str">
        <f>IF(AtlasReport_1_Table_1[[#This Row],[Reference]]="Purchase order",_xll.AtlasFormulas.AtlasFunctions.AtlasTable("UAT",DataAreaId,"T.VendInvoiceTrans","%RecId","","","","","","","ItemId|PurchID|InventTransId",$C141,$B141,$K141),"")</f>
        <v/>
      </c>
      <c r="M141" s="4" t="str">
        <f>IF(AtlasReport_1_Table_1[[#This Row],[Reference]]="Purchase order",_xll.AtlasFormulas.AtlasFunctions.AtlasTable("UAT",DataAreaId,"T.MarkupTrans","%CurrencyCode","","","","","","","MarkupCode|TransRecId|TransTableId","TPP",$L141,"492"),"")</f>
        <v/>
      </c>
      <c r="N141" s="4" t="str">
        <f>IF(AtlasReport_1_Table_1[[#This Row],[Reference]]="Purchase order",_xll.AtlasFormulas.AtlasFunctions.AtlasBalance("UAT",DataAreaId,"T.MarkupTrans","Sum|Posted|0","","","","","","","MarkupCode|TransTableId|TransRecId","TPP","492",$L141),"")</f>
        <v/>
      </c>
    </row>
    <row r="142" spans="1:14" x14ac:dyDescent="0.25">
      <c r="A142" s="8" t="s">
        <v>252</v>
      </c>
      <c r="B142" s="8" t="s">
        <v>822</v>
      </c>
      <c r="C142" s="8" t="s">
        <v>114</v>
      </c>
      <c r="D142" s="8" t="s">
        <v>115</v>
      </c>
      <c r="E142" s="8" t="s">
        <v>261</v>
      </c>
      <c r="F142" s="8" t="s">
        <v>264</v>
      </c>
      <c r="G142" s="6">
        <v>43083</v>
      </c>
      <c r="H142" s="6">
        <v>43084</v>
      </c>
      <c r="I142" s="4">
        <v>-2</v>
      </c>
      <c r="J142" s="8" t="s">
        <v>37</v>
      </c>
      <c r="K142" s="8" t="s">
        <v>1567</v>
      </c>
      <c r="L142" s="4" t="str">
        <f>IF(AtlasReport_1_Table_1[[#This Row],[Reference]]="Purchase order",_xll.AtlasFormulas.AtlasFunctions.AtlasTable("UAT",DataAreaId,"T.VendInvoiceTrans","%RecId","","","","","","","ItemId|PurchID|InventTransId",$C142,$B142,$K142),"")</f>
        <v/>
      </c>
      <c r="M142" s="4" t="str">
        <f>IF(AtlasReport_1_Table_1[[#This Row],[Reference]]="Purchase order",_xll.AtlasFormulas.AtlasFunctions.AtlasTable("UAT",DataAreaId,"T.MarkupTrans","%CurrencyCode","","","","","","","MarkupCode|TransRecId|TransTableId","TPP",$L142,"492"),"")</f>
        <v/>
      </c>
      <c r="N142" s="4" t="str">
        <f>IF(AtlasReport_1_Table_1[[#This Row],[Reference]]="Purchase order",_xll.AtlasFormulas.AtlasFunctions.AtlasBalance("UAT",DataAreaId,"T.MarkupTrans","Sum|Posted|0","","","","","","","MarkupCode|TransTableId|TransRecId","TPP","492",$L142),"")</f>
        <v/>
      </c>
    </row>
    <row r="143" spans="1:14" x14ac:dyDescent="0.25">
      <c r="A143" s="8" t="s">
        <v>252</v>
      </c>
      <c r="B143" s="8" t="s">
        <v>822</v>
      </c>
      <c r="C143" s="8" t="s">
        <v>67</v>
      </c>
      <c r="D143" s="8" t="s">
        <v>907</v>
      </c>
      <c r="E143" s="8" t="s">
        <v>261</v>
      </c>
      <c r="F143" s="8" t="s">
        <v>264</v>
      </c>
      <c r="G143" s="6">
        <v>43083</v>
      </c>
      <c r="H143" s="6">
        <v>43084</v>
      </c>
      <c r="I143" s="4">
        <v>-2</v>
      </c>
      <c r="J143" s="8" t="s">
        <v>37</v>
      </c>
      <c r="K143" s="8" t="s">
        <v>916</v>
      </c>
      <c r="L143" s="4" t="str">
        <f>IF(AtlasReport_1_Table_1[[#This Row],[Reference]]="Purchase order",_xll.AtlasFormulas.AtlasFunctions.AtlasTable("UAT",DataAreaId,"T.VendInvoiceTrans","%RecId","","","","","","","ItemId|PurchID|InventTransId",$C143,$B143,$K143),"")</f>
        <v/>
      </c>
      <c r="M143" s="4" t="str">
        <f>IF(AtlasReport_1_Table_1[[#This Row],[Reference]]="Purchase order",_xll.AtlasFormulas.AtlasFunctions.AtlasTable("UAT",DataAreaId,"T.MarkupTrans","%CurrencyCode","","","","","","","MarkupCode|TransRecId|TransTableId","TPP",$L143,"492"),"")</f>
        <v/>
      </c>
      <c r="N143" s="4" t="str">
        <f>IF(AtlasReport_1_Table_1[[#This Row],[Reference]]="Purchase order",_xll.AtlasFormulas.AtlasFunctions.AtlasBalance("UAT",DataAreaId,"T.MarkupTrans","Sum|Posted|0","","","","","","","MarkupCode|TransTableId|TransRecId","TPP","492",$L143),"")</f>
        <v/>
      </c>
    </row>
    <row r="144" spans="1:14" ht="30" x14ac:dyDescent="0.25">
      <c r="A144" s="8" t="s">
        <v>252</v>
      </c>
      <c r="B144" s="8" t="s">
        <v>822</v>
      </c>
      <c r="C144" s="8" t="s">
        <v>242</v>
      </c>
      <c r="D144" s="11" t="s">
        <v>243</v>
      </c>
      <c r="E144" s="8" t="s">
        <v>261</v>
      </c>
      <c r="F144" s="8" t="s">
        <v>264</v>
      </c>
      <c r="G144" s="6">
        <v>43083</v>
      </c>
      <c r="H144" s="6">
        <v>43084</v>
      </c>
      <c r="I144" s="4">
        <v>-1</v>
      </c>
      <c r="J144" s="8" t="s">
        <v>37</v>
      </c>
      <c r="K144" s="8" t="s">
        <v>937</v>
      </c>
      <c r="L144" s="4" t="str">
        <f>IF(AtlasReport_1_Table_1[[#This Row],[Reference]]="Purchase order",_xll.AtlasFormulas.AtlasFunctions.AtlasTable("UAT",DataAreaId,"T.VendInvoiceTrans","%RecId","","","","","","","ItemId|PurchID|InventTransId",$C144,$B144,$K144),"")</f>
        <v/>
      </c>
      <c r="M144" s="4" t="str">
        <f>IF(AtlasReport_1_Table_1[[#This Row],[Reference]]="Purchase order",_xll.AtlasFormulas.AtlasFunctions.AtlasTable("UAT",DataAreaId,"T.MarkupTrans","%CurrencyCode","","","","","","","MarkupCode|TransRecId|TransTableId","TPP",$L144,"492"),"")</f>
        <v/>
      </c>
      <c r="N144" s="4" t="str">
        <f>IF(AtlasReport_1_Table_1[[#This Row],[Reference]]="Purchase order",_xll.AtlasFormulas.AtlasFunctions.AtlasBalance("UAT",DataAreaId,"T.MarkupTrans","Sum|Posted|0","","","","","","","MarkupCode|TransTableId|TransRecId","TPP","492",$L144),"")</f>
        <v/>
      </c>
    </row>
    <row r="145" spans="1:14" x14ac:dyDescent="0.25">
      <c r="A145" s="8" t="s">
        <v>252</v>
      </c>
      <c r="B145" s="8" t="s">
        <v>822</v>
      </c>
      <c r="C145" s="8" t="s">
        <v>551</v>
      </c>
      <c r="D145" s="8" t="s">
        <v>1368</v>
      </c>
      <c r="E145" s="8" t="s">
        <v>261</v>
      </c>
      <c r="F145" s="8" t="s">
        <v>264</v>
      </c>
      <c r="G145" s="6">
        <v>43083</v>
      </c>
      <c r="H145" s="6">
        <v>43084</v>
      </c>
      <c r="I145" s="4">
        <v>-1</v>
      </c>
      <c r="J145" s="8" t="s">
        <v>37</v>
      </c>
      <c r="K145" s="8" t="s">
        <v>1568</v>
      </c>
      <c r="L145" s="4" t="str">
        <f>IF(AtlasReport_1_Table_1[[#This Row],[Reference]]="Purchase order",_xll.AtlasFormulas.AtlasFunctions.AtlasTable("UAT",DataAreaId,"T.VendInvoiceTrans","%RecId","","","","","","","ItemId|PurchID|InventTransId",$C145,$B145,$K145),"")</f>
        <v/>
      </c>
      <c r="M145" s="4" t="str">
        <f>IF(AtlasReport_1_Table_1[[#This Row],[Reference]]="Purchase order",_xll.AtlasFormulas.AtlasFunctions.AtlasTable("UAT",DataAreaId,"T.MarkupTrans","%CurrencyCode","","","","","","","MarkupCode|TransRecId|TransTableId","TPP",$L145,"492"),"")</f>
        <v/>
      </c>
      <c r="N145" s="4" t="str">
        <f>IF(AtlasReport_1_Table_1[[#This Row],[Reference]]="Purchase order",_xll.AtlasFormulas.AtlasFunctions.AtlasBalance("UAT",DataAreaId,"T.MarkupTrans","Sum|Posted|0","","","","","","","MarkupCode|TransTableId|TransRecId","TPP","492",$L145),"")</f>
        <v/>
      </c>
    </row>
    <row r="146" spans="1:14" x14ac:dyDescent="0.25">
      <c r="A146" s="8" t="s">
        <v>252</v>
      </c>
      <c r="B146" s="8" t="s">
        <v>822</v>
      </c>
      <c r="C146" s="8" t="s">
        <v>19</v>
      </c>
      <c r="D146" s="8" t="s">
        <v>35</v>
      </c>
      <c r="E146" s="8" t="s">
        <v>261</v>
      </c>
      <c r="F146" s="8" t="s">
        <v>264</v>
      </c>
      <c r="G146" s="6">
        <v>43083</v>
      </c>
      <c r="H146" s="6">
        <v>43084</v>
      </c>
      <c r="I146" s="4">
        <v>-1</v>
      </c>
      <c r="J146" s="8" t="s">
        <v>37</v>
      </c>
      <c r="K146" s="8" t="s">
        <v>1569</v>
      </c>
      <c r="L146" s="4" t="str">
        <f>IF(AtlasReport_1_Table_1[[#This Row],[Reference]]="Purchase order",_xll.AtlasFormulas.AtlasFunctions.AtlasTable("UAT",DataAreaId,"T.VendInvoiceTrans","%RecId","","","","","","","ItemId|PurchID|InventTransId",$C146,$B146,$K146),"")</f>
        <v/>
      </c>
      <c r="M146" s="4" t="str">
        <f>IF(AtlasReport_1_Table_1[[#This Row],[Reference]]="Purchase order",_xll.AtlasFormulas.AtlasFunctions.AtlasTable("UAT",DataAreaId,"T.MarkupTrans","%CurrencyCode","","","","","","","MarkupCode|TransRecId|TransTableId","TPP",$L146,"492"),"")</f>
        <v/>
      </c>
      <c r="N146" s="4" t="str">
        <f>IF(AtlasReport_1_Table_1[[#This Row],[Reference]]="Purchase order",_xll.AtlasFormulas.AtlasFunctions.AtlasBalance("UAT",DataAreaId,"T.MarkupTrans","Sum|Posted|0","","","","","","","MarkupCode|TransTableId|TransRecId","TPP","492",$L146),"")</f>
        <v/>
      </c>
    </row>
    <row r="147" spans="1:14" x14ac:dyDescent="0.25">
      <c r="A147" s="8" t="s">
        <v>252</v>
      </c>
      <c r="B147" s="8" t="s">
        <v>651</v>
      </c>
      <c r="C147" s="8" t="s">
        <v>73</v>
      </c>
      <c r="D147" s="8" t="s">
        <v>125</v>
      </c>
      <c r="E147" s="8" t="s">
        <v>261</v>
      </c>
      <c r="F147" s="8" t="s">
        <v>264</v>
      </c>
      <c r="G147" s="6">
        <v>43083</v>
      </c>
      <c r="H147" s="6">
        <v>43083</v>
      </c>
      <c r="I147" s="4">
        <v>30</v>
      </c>
      <c r="J147" s="8" t="s">
        <v>38</v>
      </c>
      <c r="K147" s="8" t="s">
        <v>653</v>
      </c>
      <c r="L147" s="4" t="str">
        <f>IF(AtlasReport_1_Table_1[[#This Row],[Reference]]="Purchase order",_xll.AtlasFormulas.AtlasFunctions.AtlasTable("UAT",DataAreaId,"T.VendInvoiceTrans","%RecId","","","","","","","ItemId|PurchID|InventTransId",$C147,$B147,$K147),"")</f>
        <v/>
      </c>
      <c r="M147" s="4" t="str">
        <f>IF(AtlasReport_1_Table_1[[#This Row],[Reference]]="Purchase order",_xll.AtlasFormulas.AtlasFunctions.AtlasTable("UAT",DataAreaId,"T.MarkupTrans","%CurrencyCode","","","","","","","MarkupCode|TransRecId|TransTableId","TPP",$L147,"492"),"")</f>
        <v/>
      </c>
      <c r="N147" s="4" t="str">
        <f>IF(AtlasReport_1_Table_1[[#This Row],[Reference]]="Purchase order",_xll.AtlasFormulas.AtlasFunctions.AtlasBalance("UAT",DataAreaId,"T.MarkupTrans","Sum|Posted|0","","","","","","","MarkupCode|TransTableId|TransRecId","TPP","492",$L147),"")</f>
        <v/>
      </c>
    </row>
    <row r="148" spans="1:14" x14ac:dyDescent="0.25">
      <c r="A148" s="8" t="s">
        <v>252</v>
      </c>
      <c r="B148" s="8" t="s">
        <v>651</v>
      </c>
      <c r="C148" s="8" t="s">
        <v>521</v>
      </c>
      <c r="D148" s="8" t="s">
        <v>1337</v>
      </c>
      <c r="E148" s="8" t="s">
        <v>261</v>
      </c>
      <c r="F148" s="8" t="s">
        <v>264</v>
      </c>
      <c r="G148" s="6">
        <v>43083</v>
      </c>
      <c r="H148" s="6">
        <v>43083</v>
      </c>
      <c r="I148" s="4">
        <v>1</v>
      </c>
      <c r="J148" s="8" t="s">
        <v>37</v>
      </c>
      <c r="K148" s="8" t="s">
        <v>1570</v>
      </c>
      <c r="L148" s="4" t="str">
        <f>IF(AtlasReport_1_Table_1[[#This Row],[Reference]]="Purchase order",_xll.AtlasFormulas.AtlasFunctions.AtlasTable("UAT",DataAreaId,"T.VendInvoiceTrans","%RecId","","","","","","","ItemId|PurchID|InventTransId",$C148,$B148,$K148),"")</f>
        <v/>
      </c>
      <c r="M148" s="4" t="str">
        <f>IF(AtlasReport_1_Table_1[[#This Row],[Reference]]="Purchase order",_xll.AtlasFormulas.AtlasFunctions.AtlasTable("UAT",DataAreaId,"T.MarkupTrans","%CurrencyCode","","","","","","","MarkupCode|TransRecId|TransTableId","TPP",$L148,"492"),"")</f>
        <v/>
      </c>
      <c r="N148" s="4" t="str">
        <f>IF(AtlasReport_1_Table_1[[#This Row],[Reference]]="Purchase order",_xll.AtlasFormulas.AtlasFunctions.AtlasBalance("UAT",DataAreaId,"T.MarkupTrans","Sum|Posted|0","","","","","","","MarkupCode|TransTableId|TransRecId","TPP","492",$L148),"")</f>
        <v/>
      </c>
    </row>
    <row r="149" spans="1:14" x14ac:dyDescent="0.25">
      <c r="A149" s="8" t="s">
        <v>252</v>
      </c>
      <c r="B149" s="8" t="s">
        <v>651</v>
      </c>
      <c r="C149" s="8" t="s">
        <v>244</v>
      </c>
      <c r="D149" s="8" t="s">
        <v>245</v>
      </c>
      <c r="E149" s="8" t="s">
        <v>261</v>
      </c>
      <c r="F149" s="8" t="s">
        <v>264</v>
      </c>
      <c r="G149" s="6">
        <v>43083</v>
      </c>
      <c r="H149" s="6">
        <v>43083</v>
      </c>
      <c r="I149" s="4">
        <v>4</v>
      </c>
      <c r="J149" s="8" t="s">
        <v>37</v>
      </c>
      <c r="K149" s="8" t="s">
        <v>953</v>
      </c>
      <c r="L149" s="4" t="str">
        <f>IF(AtlasReport_1_Table_1[[#This Row],[Reference]]="Purchase order",_xll.AtlasFormulas.AtlasFunctions.AtlasTable("UAT",DataAreaId,"T.VendInvoiceTrans","%RecId","","","","","","","ItemId|PurchID|InventTransId",$C149,$B149,$K149),"")</f>
        <v/>
      </c>
      <c r="M149" s="4" t="str">
        <f>IF(AtlasReport_1_Table_1[[#This Row],[Reference]]="Purchase order",_xll.AtlasFormulas.AtlasFunctions.AtlasTable("UAT",DataAreaId,"T.MarkupTrans","%CurrencyCode","","","","","","","MarkupCode|TransRecId|TransTableId","TPP",$L149,"492"),"")</f>
        <v/>
      </c>
      <c r="N149" s="4" t="str">
        <f>IF(AtlasReport_1_Table_1[[#This Row],[Reference]]="Purchase order",_xll.AtlasFormulas.AtlasFunctions.AtlasBalance("UAT",DataAreaId,"T.MarkupTrans","Sum|Posted|0","","","","","","","MarkupCode|TransTableId|TransRecId","TPP","492",$L149),"")</f>
        <v/>
      </c>
    </row>
    <row r="150" spans="1:14" x14ac:dyDescent="0.25">
      <c r="A150" s="8" t="s">
        <v>252</v>
      </c>
      <c r="B150" s="8" t="s">
        <v>651</v>
      </c>
      <c r="C150" s="8" t="s">
        <v>19</v>
      </c>
      <c r="D150" s="8" t="s">
        <v>35</v>
      </c>
      <c r="E150" s="8" t="s">
        <v>261</v>
      </c>
      <c r="F150" s="8" t="s">
        <v>264</v>
      </c>
      <c r="G150" s="6">
        <v>43083</v>
      </c>
      <c r="H150" s="6">
        <v>43083</v>
      </c>
      <c r="I150" s="4">
        <v>1</v>
      </c>
      <c r="J150" s="8" t="s">
        <v>37</v>
      </c>
      <c r="K150" s="8" t="s">
        <v>1571</v>
      </c>
      <c r="L150" s="4" t="str">
        <f>IF(AtlasReport_1_Table_1[[#This Row],[Reference]]="Purchase order",_xll.AtlasFormulas.AtlasFunctions.AtlasTable("UAT",DataAreaId,"T.VendInvoiceTrans","%RecId","","","","","","","ItemId|PurchID|InventTransId",$C150,$B150,$K150),"")</f>
        <v/>
      </c>
      <c r="M150" s="4" t="str">
        <f>IF(AtlasReport_1_Table_1[[#This Row],[Reference]]="Purchase order",_xll.AtlasFormulas.AtlasFunctions.AtlasTable("UAT",DataAreaId,"T.MarkupTrans","%CurrencyCode","","","","","","","MarkupCode|TransRecId|TransTableId","TPP",$L150,"492"),"")</f>
        <v/>
      </c>
      <c r="N150" s="4" t="str">
        <f>IF(AtlasReport_1_Table_1[[#This Row],[Reference]]="Purchase order",_xll.AtlasFormulas.AtlasFunctions.AtlasBalance("UAT",DataAreaId,"T.MarkupTrans","Sum|Posted|0","","","","","","","MarkupCode|TransTableId|TransRecId","TPP","492",$L150),"")</f>
        <v/>
      </c>
    </row>
    <row r="151" spans="1:14" x14ac:dyDescent="0.25">
      <c r="A151" s="8" t="s">
        <v>252</v>
      </c>
      <c r="B151" s="8" t="s">
        <v>654</v>
      </c>
      <c r="C151" s="8" t="s">
        <v>73</v>
      </c>
      <c r="D151" s="8" t="s">
        <v>125</v>
      </c>
      <c r="E151" s="8" t="s">
        <v>261</v>
      </c>
      <c r="F151" s="8" t="s">
        <v>264</v>
      </c>
      <c r="G151" s="6">
        <v>43083</v>
      </c>
      <c r="H151" s="6">
        <v>43084</v>
      </c>
      <c r="I151" s="4">
        <v>-30</v>
      </c>
      <c r="J151" s="8" t="s">
        <v>38</v>
      </c>
      <c r="K151" s="8" t="s">
        <v>656</v>
      </c>
      <c r="L151" s="4" t="str">
        <f>IF(AtlasReport_1_Table_1[[#This Row],[Reference]]="Purchase order",_xll.AtlasFormulas.AtlasFunctions.AtlasTable("UAT",DataAreaId,"T.VendInvoiceTrans","%RecId","","","","","","","ItemId|PurchID|InventTransId",$C151,$B151,$K151),"")</f>
        <v/>
      </c>
      <c r="M151" s="4" t="str">
        <f>IF(AtlasReport_1_Table_1[[#This Row],[Reference]]="Purchase order",_xll.AtlasFormulas.AtlasFunctions.AtlasTable("UAT",DataAreaId,"T.MarkupTrans","%CurrencyCode","","","","","","","MarkupCode|TransRecId|TransTableId","TPP",$L151,"492"),"")</f>
        <v/>
      </c>
      <c r="N151" s="4" t="str">
        <f>IF(AtlasReport_1_Table_1[[#This Row],[Reference]]="Purchase order",_xll.AtlasFormulas.AtlasFunctions.AtlasBalance("UAT",DataAreaId,"T.MarkupTrans","Sum|Posted|0","","","","","","","MarkupCode|TransTableId|TransRecId","TPP","492",$L151),"")</f>
        <v/>
      </c>
    </row>
    <row r="152" spans="1:14" x14ac:dyDescent="0.25">
      <c r="A152" s="8" t="s">
        <v>252</v>
      </c>
      <c r="B152" s="8" t="s">
        <v>654</v>
      </c>
      <c r="C152" s="8" t="s">
        <v>521</v>
      </c>
      <c r="D152" s="8" t="s">
        <v>1337</v>
      </c>
      <c r="E152" s="8" t="s">
        <v>261</v>
      </c>
      <c r="F152" s="8" t="s">
        <v>264</v>
      </c>
      <c r="G152" s="6">
        <v>43083</v>
      </c>
      <c r="H152" s="6">
        <v>43084</v>
      </c>
      <c r="I152" s="4">
        <v>-1</v>
      </c>
      <c r="J152" s="8" t="s">
        <v>37</v>
      </c>
      <c r="K152" s="8" t="s">
        <v>1572</v>
      </c>
      <c r="L152" s="4" t="str">
        <f>IF(AtlasReport_1_Table_1[[#This Row],[Reference]]="Purchase order",_xll.AtlasFormulas.AtlasFunctions.AtlasTable("UAT",DataAreaId,"T.VendInvoiceTrans","%RecId","","","","","","","ItemId|PurchID|InventTransId",$C152,$B152,$K152),"")</f>
        <v/>
      </c>
      <c r="M152" s="4" t="str">
        <f>IF(AtlasReport_1_Table_1[[#This Row],[Reference]]="Purchase order",_xll.AtlasFormulas.AtlasFunctions.AtlasTable("UAT",DataAreaId,"T.MarkupTrans","%CurrencyCode","","","","","","","MarkupCode|TransRecId|TransTableId","TPP",$L152,"492"),"")</f>
        <v/>
      </c>
      <c r="N152" s="4" t="str">
        <f>IF(AtlasReport_1_Table_1[[#This Row],[Reference]]="Purchase order",_xll.AtlasFormulas.AtlasFunctions.AtlasBalance("UAT",DataAreaId,"T.MarkupTrans","Sum|Posted|0","","","","","","","MarkupCode|TransTableId|TransRecId","TPP","492",$L152),"")</f>
        <v/>
      </c>
    </row>
    <row r="153" spans="1:14" x14ac:dyDescent="0.25">
      <c r="A153" s="8" t="s">
        <v>252</v>
      </c>
      <c r="B153" s="8" t="s">
        <v>654</v>
      </c>
      <c r="C153" s="8" t="s">
        <v>244</v>
      </c>
      <c r="D153" s="8" t="s">
        <v>245</v>
      </c>
      <c r="E153" s="8" t="s">
        <v>261</v>
      </c>
      <c r="F153" s="8" t="s">
        <v>264</v>
      </c>
      <c r="G153" s="6">
        <v>43083</v>
      </c>
      <c r="H153" s="6">
        <v>43084</v>
      </c>
      <c r="I153" s="4">
        <v>-4</v>
      </c>
      <c r="J153" s="8" t="s">
        <v>37</v>
      </c>
      <c r="K153" s="8" t="s">
        <v>962</v>
      </c>
      <c r="L153" s="4" t="str">
        <f>IF(AtlasReport_1_Table_1[[#This Row],[Reference]]="Purchase order",_xll.AtlasFormulas.AtlasFunctions.AtlasTable("UAT",DataAreaId,"T.VendInvoiceTrans","%RecId","","","","","","","ItemId|PurchID|InventTransId",$C153,$B153,$K153),"")</f>
        <v/>
      </c>
      <c r="M153" s="4" t="str">
        <f>IF(AtlasReport_1_Table_1[[#This Row],[Reference]]="Purchase order",_xll.AtlasFormulas.AtlasFunctions.AtlasTable("UAT",DataAreaId,"T.MarkupTrans","%CurrencyCode","","","","","","","MarkupCode|TransRecId|TransTableId","TPP",$L153,"492"),"")</f>
        <v/>
      </c>
      <c r="N153" s="4" t="str">
        <f>IF(AtlasReport_1_Table_1[[#This Row],[Reference]]="Purchase order",_xll.AtlasFormulas.AtlasFunctions.AtlasBalance("UAT",DataAreaId,"T.MarkupTrans","Sum|Posted|0","","","","","","","MarkupCode|TransTableId|TransRecId","TPP","492",$L153),"")</f>
        <v/>
      </c>
    </row>
    <row r="154" spans="1:14" x14ac:dyDescent="0.25">
      <c r="A154" s="8" t="s">
        <v>252</v>
      </c>
      <c r="B154" s="8" t="s">
        <v>654</v>
      </c>
      <c r="C154" s="8" t="s">
        <v>19</v>
      </c>
      <c r="D154" s="8" t="s">
        <v>35</v>
      </c>
      <c r="E154" s="8" t="s">
        <v>261</v>
      </c>
      <c r="F154" s="8" t="s">
        <v>264</v>
      </c>
      <c r="G154" s="6">
        <v>43083</v>
      </c>
      <c r="H154" s="6">
        <v>43084</v>
      </c>
      <c r="I154" s="4">
        <v>-1</v>
      </c>
      <c r="J154" s="8" t="s">
        <v>37</v>
      </c>
      <c r="K154" s="8" t="s">
        <v>1573</v>
      </c>
      <c r="L154" s="4" t="str">
        <f>IF(AtlasReport_1_Table_1[[#This Row],[Reference]]="Purchase order",_xll.AtlasFormulas.AtlasFunctions.AtlasTable("UAT",DataAreaId,"T.VendInvoiceTrans","%RecId","","","","","","","ItemId|PurchID|InventTransId",$C154,$B154,$K154),"")</f>
        <v/>
      </c>
      <c r="M154" s="4" t="str">
        <f>IF(AtlasReport_1_Table_1[[#This Row],[Reference]]="Purchase order",_xll.AtlasFormulas.AtlasFunctions.AtlasTable("UAT",DataAreaId,"T.MarkupTrans","%CurrencyCode","","","","","","","MarkupCode|TransRecId|TransTableId","TPP",$L154,"492"),"")</f>
        <v/>
      </c>
      <c r="N154" s="4" t="str">
        <f>IF(AtlasReport_1_Table_1[[#This Row],[Reference]]="Purchase order",_xll.AtlasFormulas.AtlasFunctions.AtlasBalance("UAT",DataAreaId,"T.MarkupTrans","Sum|Posted|0","","","","","","","MarkupCode|TransTableId|TransRecId","TPP","492",$L154),"")</f>
        <v/>
      </c>
    </row>
    <row r="155" spans="1:14" x14ac:dyDescent="0.25">
      <c r="A155" s="8" t="s">
        <v>252</v>
      </c>
      <c r="B155" s="8" t="s">
        <v>627</v>
      </c>
      <c r="C155" s="8" t="s">
        <v>25</v>
      </c>
      <c r="D155" s="8" t="s">
        <v>31</v>
      </c>
      <c r="E155" s="8" t="s">
        <v>261</v>
      </c>
      <c r="F155" s="8" t="s">
        <v>264</v>
      </c>
      <c r="G155" s="6">
        <v>43083</v>
      </c>
      <c r="H155" s="6">
        <v>43083</v>
      </c>
      <c r="I155" s="4">
        <v>8.0299999999999994</v>
      </c>
      <c r="J155" s="8" t="s">
        <v>38</v>
      </c>
      <c r="K155" s="8" t="s">
        <v>629</v>
      </c>
      <c r="L155" s="4" t="str">
        <f>IF(AtlasReport_1_Table_1[[#This Row],[Reference]]="Purchase order",_xll.AtlasFormulas.AtlasFunctions.AtlasTable("UAT",DataAreaId,"T.VendInvoiceTrans","%RecId","","","","","","","ItemId|PurchID|InventTransId",$C155,$B155,$K155),"")</f>
        <v/>
      </c>
      <c r="M155" s="4" t="str">
        <f>IF(AtlasReport_1_Table_1[[#This Row],[Reference]]="Purchase order",_xll.AtlasFormulas.AtlasFunctions.AtlasTable("UAT",DataAreaId,"T.MarkupTrans","%CurrencyCode","","","","","","","MarkupCode|TransRecId|TransTableId","TPP",$L155,"492"),"")</f>
        <v/>
      </c>
      <c r="N155" s="4" t="str">
        <f>IF(AtlasReport_1_Table_1[[#This Row],[Reference]]="Purchase order",_xll.AtlasFormulas.AtlasFunctions.AtlasBalance("UAT",DataAreaId,"T.MarkupTrans","Sum|Posted|0","","","","","","","MarkupCode|TransTableId|TransRecId","TPP","492",$L155),"")</f>
        <v/>
      </c>
    </row>
    <row r="156" spans="1:14" x14ac:dyDescent="0.25">
      <c r="A156" s="8" t="s">
        <v>252</v>
      </c>
      <c r="B156" s="8" t="s">
        <v>627</v>
      </c>
      <c r="C156" s="8" t="s">
        <v>517</v>
      </c>
      <c r="D156" s="8" t="s">
        <v>1333</v>
      </c>
      <c r="E156" s="8" t="s">
        <v>261</v>
      </c>
      <c r="F156" s="8" t="s">
        <v>264</v>
      </c>
      <c r="G156" s="6">
        <v>43083</v>
      </c>
      <c r="H156" s="6">
        <v>43083</v>
      </c>
      <c r="I156" s="4">
        <v>13</v>
      </c>
      <c r="J156" s="8" t="s">
        <v>39</v>
      </c>
      <c r="K156" s="8" t="s">
        <v>1574</v>
      </c>
      <c r="L156" s="4" t="str">
        <f>IF(AtlasReport_1_Table_1[[#This Row],[Reference]]="Purchase order",_xll.AtlasFormulas.AtlasFunctions.AtlasTable("UAT",DataAreaId,"T.VendInvoiceTrans","%RecId","","","","","","","ItemId|PurchID|InventTransId",$C156,$B156,$K156),"")</f>
        <v/>
      </c>
      <c r="M156" s="4" t="str">
        <f>IF(AtlasReport_1_Table_1[[#This Row],[Reference]]="Purchase order",_xll.AtlasFormulas.AtlasFunctions.AtlasTable("UAT",DataAreaId,"T.MarkupTrans","%CurrencyCode","","","","","","","MarkupCode|TransRecId|TransTableId","TPP",$L156,"492"),"")</f>
        <v/>
      </c>
      <c r="N156" s="4" t="str">
        <f>IF(AtlasReport_1_Table_1[[#This Row],[Reference]]="Purchase order",_xll.AtlasFormulas.AtlasFunctions.AtlasBalance("UAT",DataAreaId,"T.MarkupTrans","Sum|Posted|0","","","","","","","MarkupCode|TransTableId|TransRecId","TPP","492",$L156),"")</f>
        <v/>
      </c>
    </row>
    <row r="157" spans="1:14" x14ac:dyDescent="0.25">
      <c r="A157" s="8" t="s">
        <v>252</v>
      </c>
      <c r="B157" s="8" t="s">
        <v>627</v>
      </c>
      <c r="C157" s="8" t="s">
        <v>244</v>
      </c>
      <c r="D157" s="8" t="s">
        <v>245</v>
      </c>
      <c r="E157" s="8" t="s">
        <v>261</v>
      </c>
      <c r="F157" s="8" t="s">
        <v>264</v>
      </c>
      <c r="G157" s="6">
        <v>43083</v>
      </c>
      <c r="H157" s="6">
        <v>43083</v>
      </c>
      <c r="I157" s="4">
        <v>1</v>
      </c>
      <c r="J157" s="8" t="s">
        <v>37</v>
      </c>
      <c r="K157" s="8" t="s">
        <v>1575</v>
      </c>
      <c r="L157" s="4" t="str">
        <f>IF(AtlasReport_1_Table_1[[#This Row],[Reference]]="Purchase order",_xll.AtlasFormulas.AtlasFunctions.AtlasTable("UAT",DataAreaId,"T.VendInvoiceTrans","%RecId","","","","","","","ItemId|PurchID|InventTransId",$C157,$B157,$K157),"")</f>
        <v/>
      </c>
      <c r="M157" s="4" t="str">
        <f>IF(AtlasReport_1_Table_1[[#This Row],[Reference]]="Purchase order",_xll.AtlasFormulas.AtlasFunctions.AtlasTable("UAT",DataAreaId,"T.MarkupTrans","%CurrencyCode","","","","","","","MarkupCode|TransRecId|TransTableId","TPP",$L157,"492"),"")</f>
        <v/>
      </c>
      <c r="N157" s="4" t="str">
        <f>IF(AtlasReport_1_Table_1[[#This Row],[Reference]]="Purchase order",_xll.AtlasFormulas.AtlasFunctions.AtlasBalance("UAT",DataAreaId,"T.MarkupTrans","Sum|Posted|0","","","","","","","MarkupCode|TransTableId|TransRecId","TPP","492",$L157),"")</f>
        <v/>
      </c>
    </row>
    <row r="158" spans="1:14" x14ac:dyDescent="0.25">
      <c r="A158" s="8" t="s">
        <v>252</v>
      </c>
      <c r="B158" s="8" t="s">
        <v>627</v>
      </c>
      <c r="C158" s="8" t="s">
        <v>19</v>
      </c>
      <c r="D158" s="8" t="s">
        <v>35</v>
      </c>
      <c r="E158" s="8" t="s">
        <v>261</v>
      </c>
      <c r="F158" s="8" t="s">
        <v>264</v>
      </c>
      <c r="G158" s="6">
        <v>43083</v>
      </c>
      <c r="H158" s="6">
        <v>43083</v>
      </c>
      <c r="I158" s="4">
        <v>1</v>
      </c>
      <c r="J158" s="8" t="s">
        <v>37</v>
      </c>
      <c r="K158" s="8" t="s">
        <v>1576</v>
      </c>
      <c r="L158" s="4" t="str">
        <f>IF(AtlasReport_1_Table_1[[#This Row],[Reference]]="Purchase order",_xll.AtlasFormulas.AtlasFunctions.AtlasTable("UAT",DataAreaId,"T.VendInvoiceTrans","%RecId","","","","","","","ItemId|PurchID|InventTransId",$C158,$B158,$K158),"")</f>
        <v/>
      </c>
      <c r="M158" s="4" t="str">
        <f>IF(AtlasReport_1_Table_1[[#This Row],[Reference]]="Purchase order",_xll.AtlasFormulas.AtlasFunctions.AtlasTable("UAT",DataAreaId,"T.MarkupTrans","%CurrencyCode","","","","","","","MarkupCode|TransRecId|TransTableId","TPP",$L158,"492"),"")</f>
        <v/>
      </c>
      <c r="N158" s="4" t="str">
        <f>IF(AtlasReport_1_Table_1[[#This Row],[Reference]]="Purchase order",_xll.AtlasFormulas.AtlasFunctions.AtlasBalance("UAT",DataAreaId,"T.MarkupTrans","Sum|Posted|0","","","","","","","MarkupCode|TransTableId|TransRecId","TPP","492",$L158),"")</f>
        <v/>
      </c>
    </row>
    <row r="159" spans="1:14" x14ac:dyDescent="0.25">
      <c r="A159" s="8" t="s">
        <v>252</v>
      </c>
      <c r="B159" s="8" t="s">
        <v>636</v>
      </c>
      <c r="C159" s="8" t="s">
        <v>25</v>
      </c>
      <c r="D159" s="8" t="s">
        <v>31</v>
      </c>
      <c r="E159" s="8" t="s">
        <v>261</v>
      </c>
      <c r="F159" s="8" t="s">
        <v>264</v>
      </c>
      <c r="G159" s="6">
        <v>43083</v>
      </c>
      <c r="H159" s="6">
        <v>43084</v>
      </c>
      <c r="I159" s="4">
        <v>-8.0299999999999994</v>
      </c>
      <c r="J159" s="8" t="s">
        <v>38</v>
      </c>
      <c r="K159" s="8" t="s">
        <v>638</v>
      </c>
      <c r="L159" s="4" t="str">
        <f>IF(AtlasReport_1_Table_1[[#This Row],[Reference]]="Purchase order",_xll.AtlasFormulas.AtlasFunctions.AtlasTable("UAT",DataAreaId,"T.VendInvoiceTrans","%RecId","","","","","","","ItemId|PurchID|InventTransId",$C159,$B159,$K159),"")</f>
        <v/>
      </c>
      <c r="M159" s="4" t="str">
        <f>IF(AtlasReport_1_Table_1[[#This Row],[Reference]]="Purchase order",_xll.AtlasFormulas.AtlasFunctions.AtlasTable("UAT",DataAreaId,"T.MarkupTrans","%CurrencyCode","","","","","","","MarkupCode|TransRecId|TransTableId","TPP",$L159,"492"),"")</f>
        <v/>
      </c>
      <c r="N159" s="4" t="str">
        <f>IF(AtlasReport_1_Table_1[[#This Row],[Reference]]="Purchase order",_xll.AtlasFormulas.AtlasFunctions.AtlasBalance("UAT",DataAreaId,"T.MarkupTrans","Sum|Posted|0","","","","","","","MarkupCode|TransTableId|TransRecId","TPP","492",$L159),"")</f>
        <v/>
      </c>
    </row>
    <row r="160" spans="1:14" x14ac:dyDescent="0.25">
      <c r="A160" s="8" t="s">
        <v>252</v>
      </c>
      <c r="B160" s="8" t="s">
        <v>636</v>
      </c>
      <c r="C160" s="8" t="s">
        <v>517</v>
      </c>
      <c r="D160" s="8" t="s">
        <v>1333</v>
      </c>
      <c r="E160" s="8" t="s">
        <v>261</v>
      </c>
      <c r="F160" s="8" t="s">
        <v>264</v>
      </c>
      <c r="G160" s="6">
        <v>43083</v>
      </c>
      <c r="H160" s="6">
        <v>43084</v>
      </c>
      <c r="I160" s="4">
        <v>-13</v>
      </c>
      <c r="J160" s="8" t="s">
        <v>39</v>
      </c>
      <c r="K160" s="8" t="s">
        <v>1577</v>
      </c>
      <c r="L160" s="4" t="str">
        <f>IF(AtlasReport_1_Table_1[[#This Row],[Reference]]="Purchase order",_xll.AtlasFormulas.AtlasFunctions.AtlasTable("UAT",DataAreaId,"T.VendInvoiceTrans","%RecId","","","","","","","ItemId|PurchID|InventTransId",$C160,$B160,$K160),"")</f>
        <v/>
      </c>
      <c r="M160" s="4" t="str">
        <f>IF(AtlasReport_1_Table_1[[#This Row],[Reference]]="Purchase order",_xll.AtlasFormulas.AtlasFunctions.AtlasTable("UAT",DataAreaId,"T.MarkupTrans","%CurrencyCode","","","","","","","MarkupCode|TransRecId|TransTableId","TPP",$L160,"492"),"")</f>
        <v/>
      </c>
      <c r="N160" s="4" t="str">
        <f>IF(AtlasReport_1_Table_1[[#This Row],[Reference]]="Purchase order",_xll.AtlasFormulas.AtlasFunctions.AtlasBalance("UAT",DataAreaId,"T.MarkupTrans","Sum|Posted|0","","","","","","","MarkupCode|TransTableId|TransRecId","TPP","492",$L160),"")</f>
        <v/>
      </c>
    </row>
    <row r="161" spans="1:14" x14ac:dyDescent="0.25">
      <c r="A161" s="8" t="s">
        <v>252</v>
      </c>
      <c r="B161" s="8" t="s">
        <v>636</v>
      </c>
      <c r="C161" s="8" t="s">
        <v>244</v>
      </c>
      <c r="D161" s="8" t="s">
        <v>245</v>
      </c>
      <c r="E161" s="8" t="s">
        <v>261</v>
      </c>
      <c r="F161" s="8" t="s">
        <v>264</v>
      </c>
      <c r="G161" s="6">
        <v>43083</v>
      </c>
      <c r="H161" s="6">
        <v>43084</v>
      </c>
      <c r="I161" s="4">
        <v>-1</v>
      </c>
      <c r="J161" s="8" t="s">
        <v>37</v>
      </c>
      <c r="K161" s="8" t="s">
        <v>954</v>
      </c>
      <c r="L161" s="4" t="str">
        <f>IF(AtlasReport_1_Table_1[[#This Row],[Reference]]="Purchase order",_xll.AtlasFormulas.AtlasFunctions.AtlasTable("UAT",DataAreaId,"T.VendInvoiceTrans","%RecId","","","","","","","ItemId|PurchID|InventTransId",$C161,$B161,$K161),"")</f>
        <v/>
      </c>
      <c r="M161" s="4" t="str">
        <f>IF(AtlasReport_1_Table_1[[#This Row],[Reference]]="Purchase order",_xll.AtlasFormulas.AtlasFunctions.AtlasTable("UAT",DataAreaId,"T.MarkupTrans","%CurrencyCode","","","","","","","MarkupCode|TransRecId|TransTableId","TPP",$L161,"492"),"")</f>
        <v/>
      </c>
      <c r="N161" s="4" t="str">
        <f>IF(AtlasReport_1_Table_1[[#This Row],[Reference]]="Purchase order",_xll.AtlasFormulas.AtlasFunctions.AtlasBalance("UAT",DataAreaId,"T.MarkupTrans","Sum|Posted|0","","","","","","","MarkupCode|TransTableId|TransRecId","TPP","492",$L161),"")</f>
        <v/>
      </c>
    </row>
    <row r="162" spans="1:14" x14ac:dyDescent="0.25">
      <c r="A162" s="8" t="s">
        <v>252</v>
      </c>
      <c r="B162" s="8" t="s">
        <v>636</v>
      </c>
      <c r="C162" s="8" t="s">
        <v>19</v>
      </c>
      <c r="D162" s="8" t="s">
        <v>35</v>
      </c>
      <c r="E162" s="8" t="s">
        <v>261</v>
      </c>
      <c r="F162" s="8" t="s">
        <v>264</v>
      </c>
      <c r="G162" s="6">
        <v>43083</v>
      </c>
      <c r="H162" s="6">
        <v>43084</v>
      </c>
      <c r="I162" s="4">
        <v>-1</v>
      </c>
      <c r="J162" s="8" t="s">
        <v>37</v>
      </c>
      <c r="K162" s="8" t="s">
        <v>1578</v>
      </c>
      <c r="L162" s="4" t="str">
        <f>IF(AtlasReport_1_Table_1[[#This Row],[Reference]]="Purchase order",_xll.AtlasFormulas.AtlasFunctions.AtlasTable("UAT",DataAreaId,"T.VendInvoiceTrans","%RecId","","","","","","","ItemId|PurchID|InventTransId",$C162,$B162,$K162),"")</f>
        <v/>
      </c>
      <c r="M162" s="4" t="str">
        <f>IF(AtlasReport_1_Table_1[[#This Row],[Reference]]="Purchase order",_xll.AtlasFormulas.AtlasFunctions.AtlasTable("UAT",DataAreaId,"T.MarkupTrans","%CurrencyCode","","","","","","","MarkupCode|TransRecId|TransTableId","TPP",$L162,"492"),"")</f>
        <v/>
      </c>
      <c r="N162" s="4" t="str">
        <f>IF(AtlasReport_1_Table_1[[#This Row],[Reference]]="Purchase order",_xll.AtlasFormulas.AtlasFunctions.AtlasBalance("UAT",DataAreaId,"T.MarkupTrans","Sum|Posted|0","","","","","","","MarkupCode|TransTableId|TransRecId","TPP","492",$L162),"")</f>
        <v/>
      </c>
    </row>
    <row r="163" spans="1:14" x14ac:dyDescent="0.25">
      <c r="A163" s="8" t="s">
        <v>252</v>
      </c>
      <c r="B163" s="8" t="s">
        <v>943</v>
      </c>
      <c r="C163" s="8" t="s">
        <v>141</v>
      </c>
      <c r="D163" s="8" t="s">
        <v>159</v>
      </c>
      <c r="E163" s="8" t="s">
        <v>261</v>
      </c>
      <c r="F163" s="8" t="s">
        <v>264</v>
      </c>
      <c r="G163" s="6">
        <v>43083</v>
      </c>
      <c r="H163" s="6">
        <v>43083</v>
      </c>
      <c r="I163" s="4">
        <v>120</v>
      </c>
      <c r="J163" s="8" t="s">
        <v>38</v>
      </c>
      <c r="K163" s="8" t="s">
        <v>1579</v>
      </c>
      <c r="L163" s="4" t="str">
        <f>IF(AtlasReport_1_Table_1[[#This Row],[Reference]]="Purchase order",_xll.AtlasFormulas.AtlasFunctions.AtlasTable("UAT",DataAreaId,"T.VendInvoiceTrans","%RecId","","","","","","","ItemId|PurchID|InventTransId",$C163,$B163,$K163),"")</f>
        <v/>
      </c>
      <c r="M163" s="4" t="str">
        <f>IF(AtlasReport_1_Table_1[[#This Row],[Reference]]="Purchase order",_xll.AtlasFormulas.AtlasFunctions.AtlasTable("UAT",DataAreaId,"T.MarkupTrans","%CurrencyCode","","","","","","","MarkupCode|TransRecId|TransTableId","TPP",$L163,"492"),"")</f>
        <v/>
      </c>
      <c r="N163" s="4" t="str">
        <f>IF(AtlasReport_1_Table_1[[#This Row],[Reference]]="Purchase order",_xll.AtlasFormulas.AtlasFunctions.AtlasBalance("UAT",DataAreaId,"T.MarkupTrans","Sum|Posted|0","","","","","","","MarkupCode|TransTableId|TransRecId","TPP","492",$L163),"")</f>
        <v/>
      </c>
    </row>
    <row r="164" spans="1:14" x14ac:dyDescent="0.25">
      <c r="A164" s="8" t="s">
        <v>252</v>
      </c>
      <c r="B164" s="8" t="s">
        <v>943</v>
      </c>
      <c r="C164" s="8" t="s">
        <v>244</v>
      </c>
      <c r="D164" s="8" t="s">
        <v>245</v>
      </c>
      <c r="E164" s="8" t="s">
        <v>261</v>
      </c>
      <c r="F164" s="8" t="s">
        <v>264</v>
      </c>
      <c r="G164" s="6">
        <v>43083</v>
      </c>
      <c r="H164" s="6">
        <v>43083</v>
      </c>
      <c r="I164" s="4">
        <v>18</v>
      </c>
      <c r="J164" s="8" t="s">
        <v>37</v>
      </c>
      <c r="K164" s="8" t="s">
        <v>945</v>
      </c>
      <c r="L164" s="4" t="str">
        <f>IF(AtlasReport_1_Table_1[[#This Row],[Reference]]="Purchase order",_xll.AtlasFormulas.AtlasFunctions.AtlasTable("UAT",DataAreaId,"T.VendInvoiceTrans","%RecId","","","","","","","ItemId|PurchID|InventTransId",$C164,$B164,$K164),"")</f>
        <v/>
      </c>
      <c r="M164" s="4" t="str">
        <f>IF(AtlasReport_1_Table_1[[#This Row],[Reference]]="Purchase order",_xll.AtlasFormulas.AtlasFunctions.AtlasTable("UAT",DataAreaId,"T.MarkupTrans","%CurrencyCode","","","","","","","MarkupCode|TransRecId|TransTableId","TPP",$L164,"492"),"")</f>
        <v/>
      </c>
      <c r="N164" s="4" t="str">
        <f>IF(AtlasReport_1_Table_1[[#This Row],[Reference]]="Purchase order",_xll.AtlasFormulas.AtlasFunctions.AtlasBalance("UAT",DataAreaId,"T.MarkupTrans","Sum|Posted|0","","","","","","","MarkupCode|TransTableId|TransRecId","TPP","492",$L164),"")</f>
        <v/>
      </c>
    </row>
    <row r="165" spans="1:14" x14ac:dyDescent="0.25">
      <c r="A165" s="8" t="s">
        <v>252</v>
      </c>
      <c r="B165" s="8" t="s">
        <v>943</v>
      </c>
      <c r="C165" s="8" t="s">
        <v>19</v>
      </c>
      <c r="D165" s="8" t="s">
        <v>35</v>
      </c>
      <c r="E165" s="8" t="s">
        <v>261</v>
      </c>
      <c r="F165" s="8" t="s">
        <v>264</v>
      </c>
      <c r="G165" s="6">
        <v>43083</v>
      </c>
      <c r="H165" s="6">
        <v>43083</v>
      </c>
      <c r="I165" s="4">
        <v>1</v>
      </c>
      <c r="J165" s="8" t="s">
        <v>37</v>
      </c>
      <c r="K165" s="8" t="s">
        <v>1580</v>
      </c>
      <c r="L165" s="4" t="str">
        <f>IF(AtlasReport_1_Table_1[[#This Row],[Reference]]="Purchase order",_xll.AtlasFormulas.AtlasFunctions.AtlasTable("UAT",DataAreaId,"T.VendInvoiceTrans","%RecId","","","","","","","ItemId|PurchID|InventTransId",$C165,$B165,$K165),"")</f>
        <v/>
      </c>
      <c r="M165" s="4" t="str">
        <f>IF(AtlasReport_1_Table_1[[#This Row],[Reference]]="Purchase order",_xll.AtlasFormulas.AtlasFunctions.AtlasTable("UAT",DataAreaId,"T.MarkupTrans","%CurrencyCode","","","","","","","MarkupCode|TransRecId|TransTableId","TPP",$L165,"492"),"")</f>
        <v/>
      </c>
      <c r="N165" s="4" t="str">
        <f>IF(AtlasReport_1_Table_1[[#This Row],[Reference]]="Purchase order",_xll.AtlasFormulas.AtlasFunctions.AtlasBalance("UAT",DataAreaId,"T.MarkupTrans","Sum|Posted|0","","","","","","","MarkupCode|TransTableId|TransRecId","TPP","492",$L165),"")</f>
        <v/>
      </c>
    </row>
    <row r="166" spans="1:14" x14ac:dyDescent="0.25">
      <c r="A166" s="8" t="s">
        <v>252</v>
      </c>
      <c r="B166" s="8" t="s">
        <v>963</v>
      </c>
      <c r="C166" s="8" t="s">
        <v>141</v>
      </c>
      <c r="D166" s="8" t="s">
        <v>159</v>
      </c>
      <c r="E166" s="8" t="s">
        <v>261</v>
      </c>
      <c r="F166" s="8" t="s">
        <v>264</v>
      </c>
      <c r="G166" s="6">
        <v>43083</v>
      </c>
      <c r="H166" s="6">
        <v>43084</v>
      </c>
      <c r="I166" s="4">
        <v>-120</v>
      </c>
      <c r="J166" s="8" t="s">
        <v>38</v>
      </c>
      <c r="K166" s="8" t="s">
        <v>1581</v>
      </c>
      <c r="L166" s="4" t="str">
        <f>IF(AtlasReport_1_Table_1[[#This Row],[Reference]]="Purchase order",_xll.AtlasFormulas.AtlasFunctions.AtlasTable("UAT",DataAreaId,"T.VendInvoiceTrans","%RecId","","","","","","","ItemId|PurchID|InventTransId",$C166,$B166,$K166),"")</f>
        <v/>
      </c>
      <c r="M166" s="4" t="str">
        <f>IF(AtlasReport_1_Table_1[[#This Row],[Reference]]="Purchase order",_xll.AtlasFormulas.AtlasFunctions.AtlasTable("UAT",DataAreaId,"T.MarkupTrans","%CurrencyCode","","","","","","","MarkupCode|TransRecId|TransTableId","TPP",$L166,"492"),"")</f>
        <v/>
      </c>
      <c r="N166" s="4" t="str">
        <f>IF(AtlasReport_1_Table_1[[#This Row],[Reference]]="Purchase order",_xll.AtlasFormulas.AtlasFunctions.AtlasBalance("UAT",DataAreaId,"T.MarkupTrans","Sum|Posted|0","","","","","","","MarkupCode|TransTableId|TransRecId","TPP","492",$L166),"")</f>
        <v/>
      </c>
    </row>
    <row r="167" spans="1:14" x14ac:dyDescent="0.25">
      <c r="A167" s="8" t="s">
        <v>252</v>
      </c>
      <c r="B167" s="8" t="s">
        <v>963</v>
      </c>
      <c r="C167" s="8" t="s">
        <v>244</v>
      </c>
      <c r="D167" s="8" t="s">
        <v>245</v>
      </c>
      <c r="E167" s="8" t="s">
        <v>261</v>
      </c>
      <c r="F167" s="8" t="s">
        <v>264</v>
      </c>
      <c r="G167" s="6">
        <v>43083</v>
      </c>
      <c r="H167" s="6">
        <v>43084</v>
      </c>
      <c r="I167" s="4">
        <v>-18</v>
      </c>
      <c r="J167" s="8" t="s">
        <v>37</v>
      </c>
      <c r="K167" s="8" t="s">
        <v>965</v>
      </c>
      <c r="L167" s="4" t="str">
        <f>IF(AtlasReport_1_Table_1[[#This Row],[Reference]]="Purchase order",_xll.AtlasFormulas.AtlasFunctions.AtlasTable("UAT",DataAreaId,"T.VendInvoiceTrans","%RecId","","","","","","","ItemId|PurchID|InventTransId",$C167,$B167,$K167),"")</f>
        <v/>
      </c>
      <c r="M167" s="4" t="str">
        <f>IF(AtlasReport_1_Table_1[[#This Row],[Reference]]="Purchase order",_xll.AtlasFormulas.AtlasFunctions.AtlasTable("UAT",DataAreaId,"T.MarkupTrans","%CurrencyCode","","","","","","","MarkupCode|TransRecId|TransTableId","TPP",$L167,"492"),"")</f>
        <v/>
      </c>
      <c r="N167" s="4" t="str">
        <f>IF(AtlasReport_1_Table_1[[#This Row],[Reference]]="Purchase order",_xll.AtlasFormulas.AtlasFunctions.AtlasBalance("UAT",DataAreaId,"T.MarkupTrans","Sum|Posted|0","","","","","","","MarkupCode|TransTableId|TransRecId","TPP","492",$L167),"")</f>
        <v/>
      </c>
    </row>
    <row r="168" spans="1:14" x14ac:dyDescent="0.25">
      <c r="A168" s="8" t="s">
        <v>252</v>
      </c>
      <c r="B168" s="8" t="s">
        <v>963</v>
      </c>
      <c r="C168" s="8" t="s">
        <v>19</v>
      </c>
      <c r="D168" s="8" t="s">
        <v>35</v>
      </c>
      <c r="E168" s="8" t="s">
        <v>261</v>
      </c>
      <c r="F168" s="8" t="s">
        <v>264</v>
      </c>
      <c r="G168" s="6">
        <v>43083</v>
      </c>
      <c r="H168" s="6">
        <v>43084</v>
      </c>
      <c r="I168" s="4">
        <v>-1</v>
      </c>
      <c r="J168" s="8" t="s">
        <v>37</v>
      </c>
      <c r="K168" s="8" t="s">
        <v>1582</v>
      </c>
      <c r="L168" s="4" t="str">
        <f>IF(AtlasReport_1_Table_1[[#This Row],[Reference]]="Purchase order",_xll.AtlasFormulas.AtlasFunctions.AtlasTable("UAT",DataAreaId,"T.VendInvoiceTrans","%RecId","","","","","","","ItemId|PurchID|InventTransId",$C168,$B168,$K168),"")</f>
        <v/>
      </c>
      <c r="M168" s="4" t="str">
        <f>IF(AtlasReport_1_Table_1[[#This Row],[Reference]]="Purchase order",_xll.AtlasFormulas.AtlasFunctions.AtlasTable("UAT",DataAreaId,"T.MarkupTrans","%CurrencyCode","","","","","","","MarkupCode|TransRecId|TransTableId","TPP",$L168,"492"),"")</f>
        <v/>
      </c>
      <c r="N168" s="4" t="str">
        <f>IF(AtlasReport_1_Table_1[[#This Row],[Reference]]="Purchase order",_xll.AtlasFormulas.AtlasFunctions.AtlasBalance("UAT",DataAreaId,"T.MarkupTrans","Sum|Posted|0","","","","","","","MarkupCode|TransTableId|TransRecId","TPP","492",$L168),"")</f>
        <v/>
      </c>
    </row>
    <row r="169" spans="1:14" x14ac:dyDescent="0.25">
      <c r="A169" s="8" t="s">
        <v>252</v>
      </c>
      <c r="B169" s="8" t="s">
        <v>946</v>
      </c>
      <c r="C169" s="8" t="s">
        <v>119</v>
      </c>
      <c r="D169" s="8" t="s">
        <v>1027</v>
      </c>
      <c r="E169" s="8" t="s">
        <v>261</v>
      </c>
      <c r="F169" s="8" t="s">
        <v>264</v>
      </c>
      <c r="G169" s="6">
        <v>43083</v>
      </c>
      <c r="H169" s="6">
        <v>43083</v>
      </c>
      <c r="I169" s="4">
        <v>24</v>
      </c>
      <c r="J169" s="8" t="s">
        <v>37</v>
      </c>
      <c r="K169" s="8" t="s">
        <v>1583</v>
      </c>
      <c r="L169" s="4" t="str">
        <f>IF(AtlasReport_1_Table_1[[#This Row],[Reference]]="Purchase order",_xll.AtlasFormulas.AtlasFunctions.AtlasTable("UAT",DataAreaId,"T.VendInvoiceTrans","%RecId","","","","","","","ItemId|PurchID|InventTransId",$C169,$B169,$K169),"")</f>
        <v/>
      </c>
      <c r="M169" s="4" t="str">
        <f>IF(AtlasReport_1_Table_1[[#This Row],[Reference]]="Purchase order",_xll.AtlasFormulas.AtlasFunctions.AtlasTable("UAT",DataAreaId,"T.MarkupTrans","%CurrencyCode","","","","","","","MarkupCode|TransRecId|TransTableId","TPP",$L169,"492"),"")</f>
        <v/>
      </c>
      <c r="N169" s="4" t="str">
        <f>IF(AtlasReport_1_Table_1[[#This Row],[Reference]]="Purchase order",_xll.AtlasFormulas.AtlasFunctions.AtlasBalance("UAT",DataAreaId,"T.MarkupTrans","Sum|Posted|0","","","","","","","MarkupCode|TransTableId|TransRecId","TPP","492",$L169),"")</f>
        <v/>
      </c>
    </row>
    <row r="170" spans="1:14" x14ac:dyDescent="0.25">
      <c r="A170" s="8" t="s">
        <v>252</v>
      </c>
      <c r="B170" s="8" t="s">
        <v>946</v>
      </c>
      <c r="C170" s="8" t="s">
        <v>143</v>
      </c>
      <c r="D170" s="8" t="s">
        <v>198</v>
      </c>
      <c r="E170" s="8" t="s">
        <v>261</v>
      </c>
      <c r="F170" s="8" t="s">
        <v>264</v>
      </c>
      <c r="G170" s="6">
        <v>43083</v>
      </c>
      <c r="H170" s="6">
        <v>43083</v>
      </c>
      <c r="I170" s="4">
        <v>33.5</v>
      </c>
      <c r="J170" s="8" t="s">
        <v>38</v>
      </c>
      <c r="K170" s="8" t="s">
        <v>1584</v>
      </c>
      <c r="L170" s="4" t="str">
        <f>IF(AtlasReport_1_Table_1[[#This Row],[Reference]]="Purchase order",_xll.AtlasFormulas.AtlasFunctions.AtlasTable("UAT",DataAreaId,"T.VendInvoiceTrans","%RecId","","","","","","","ItemId|PurchID|InventTransId",$C170,$B170,$K170),"")</f>
        <v/>
      </c>
      <c r="M170" s="4" t="str">
        <f>IF(AtlasReport_1_Table_1[[#This Row],[Reference]]="Purchase order",_xll.AtlasFormulas.AtlasFunctions.AtlasTable("UAT",DataAreaId,"T.MarkupTrans","%CurrencyCode","","","","","","","MarkupCode|TransRecId|TransTableId","TPP",$L170,"492"),"")</f>
        <v/>
      </c>
      <c r="N170" s="4" t="str">
        <f>IF(AtlasReport_1_Table_1[[#This Row],[Reference]]="Purchase order",_xll.AtlasFormulas.AtlasFunctions.AtlasBalance("UAT",DataAreaId,"T.MarkupTrans","Sum|Posted|0","","","","","","","MarkupCode|TransTableId|TransRecId","TPP","492",$L170),"")</f>
        <v/>
      </c>
    </row>
    <row r="171" spans="1:14" x14ac:dyDescent="0.25">
      <c r="A171" s="8" t="s">
        <v>252</v>
      </c>
      <c r="B171" s="8" t="s">
        <v>946</v>
      </c>
      <c r="C171" s="8" t="s">
        <v>103</v>
      </c>
      <c r="D171" s="8" t="s">
        <v>104</v>
      </c>
      <c r="E171" s="8" t="s">
        <v>261</v>
      </c>
      <c r="F171" s="8" t="s">
        <v>264</v>
      </c>
      <c r="G171" s="6">
        <v>43083</v>
      </c>
      <c r="H171" s="6">
        <v>43083</v>
      </c>
      <c r="I171" s="4">
        <v>12</v>
      </c>
      <c r="J171" s="8" t="s">
        <v>37</v>
      </c>
      <c r="K171" s="8" t="s">
        <v>1585</v>
      </c>
      <c r="L171" s="4" t="str">
        <f>IF(AtlasReport_1_Table_1[[#This Row],[Reference]]="Purchase order",_xll.AtlasFormulas.AtlasFunctions.AtlasTable("UAT",DataAreaId,"T.VendInvoiceTrans","%RecId","","","","","","","ItemId|PurchID|InventTransId",$C171,$B171,$K171),"")</f>
        <v/>
      </c>
      <c r="M171" s="4" t="str">
        <f>IF(AtlasReport_1_Table_1[[#This Row],[Reference]]="Purchase order",_xll.AtlasFormulas.AtlasFunctions.AtlasTable("UAT",DataAreaId,"T.MarkupTrans","%CurrencyCode","","","","","","","MarkupCode|TransRecId|TransTableId","TPP",$L171,"492"),"")</f>
        <v/>
      </c>
      <c r="N171" s="4" t="str">
        <f>IF(AtlasReport_1_Table_1[[#This Row],[Reference]]="Purchase order",_xll.AtlasFormulas.AtlasFunctions.AtlasBalance("UAT",DataAreaId,"T.MarkupTrans","Sum|Posted|0","","","","","","","MarkupCode|TransTableId|TransRecId","TPP","492",$L171),"")</f>
        <v/>
      </c>
    </row>
    <row r="172" spans="1:14" x14ac:dyDescent="0.25">
      <c r="A172" s="8" t="s">
        <v>252</v>
      </c>
      <c r="B172" s="8" t="s">
        <v>946</v>
      </c>
      <c r="C172" s="8" t="s">
        <v>455</v>
      </c>
      <c r="D172" s="8" t="s">
        <v>1242</v>
      </c>
      <c r="E172" s="8" t="s">
        <v>261</v>
      </c>
      <c r="F172" s="8" t="s">
        <v>264</v>
      </c>
      <c r="G172" s="6">
        <v>43083</v>
      </c>
      <c r="H172" s="6">
        <v>43083</v>
      </c>
      <c r="I172" s="4">
        <v>5</v>
      </c>
      <c r="J172" s="8" t="s">
        <v>37</v>
      </c>
      <c r="K172" s="8" t="s">
        <v>1586</v>
      </c>
      <c r="L172" s="4" t="str">
        <f>IF(AtlasReport_1_Table_1[[#This Row],[Reference]]="Purchase order",_xll.AtlasFormulas.AtlasFunctions.AtlasTable("UAT",DataAreaId,"T.VendInvoiceTrans","%RecId","","","","","","","ItemId|PurchID|InventTransId",$C172,$B172,$K172),"")</f>
        <v/>
      </c>
      <c r="M172" s="4" t="str">
        <f>IF(AtlasReport_1_Table_1[[#This Row],[Reference]]="Purchase order",_xll.AtlasFormulas.AtlasFunctions.AtlasTable("UAT",DataAreaId,"T.MarkupTrans","%CurrencyCode","","","","","","","MarkupCode|TransRecId|TransTableId","TPP",$L172,"492"),"")</f>
        <v/>
      </c>
      <c r="N172" s="4" t="str">
        <f>IF(AtlasReport_1_Table_1[[#This Row],[Reference]]="Purchase order",_xll.AtlasFormulas.AtlasFunctions.AtlasBalance("UAT",DataAreaId,"T.MarkupTrans","Sum|Posted|0","","","","","","","MarkupCode|TransTableId|TransRecId","TPP","492",$L172),"")</f>
        <v/>
      </c>
    </row>
    <row r="173" spans="1:14" x14ac:dyDescent="0.25">
      <c r="A173" s="8" t="s">
        <v>252</v>
      </c>
      <c r="B173" s="8" t="s">
        <v>946</v>
      </c>
      <c r="C173" s="8" t="s">
        <v>244</v>
      </c>
      <c r="D173" s="8" t="s">
        <v>245</v>
      </c>
      <c r="E173" s="8" t="s">
        <v>261</v>
      </c>
      <c r="F173" s="8" t="s">
        <v>264</v>
      </c>
      <c r="G173" s="6">
        <v>43083</v>
      </c>
      <c r="H173" s="6">
        <v>43083</v>
      </c>
      <c r="I173" s="4">
        <v>5</v>
      </c>
      <c r="J173" s="8" t="s">
        <v>37</v>
      </c>
      <c r="K173" s="8" t="s">
        <v>948</v>
      </c>
      <c r="L173" s="4" t="str">
        <f>IF(AtlasReport_1_Table_1[[#This Row],[Reference]]="Purchase order",_xll.AtlasFormulas.AtlasFunctions.AtlasTable("UAT",DataAreaId,"T.VendInvoiceTrans","%RecId","","","","","","","ItemId|PurchID|InventTransId",$C173,$B173,$K173),"")</f>
        <v/>
      </c>
      <c r="M173" s="4" t="str">
        <f>IF(AtlasReport_1_Table_1[[#This Row],[Reference]]="Purchase order",_xll.AtlasFormulas.AtlasFunctions.AtlasTable("UAT",DataAreaId,"T.MarkupTrans","%CurrencyCode","","","","","","","MarkupCode|TransRecId|TransTableId","TPP",$L173,"492"),"")</f>
        <v/>
      </c>
      <c r="N173" s="4" t="str">
        <f>IF(AtlasReport_1_Table_1[[#This Row],[Reference]]="Purchase order",_xll.AtlasFormulas.AtlasFunctions.AtlasBalance("UAT",DataAreaId,"T.MarkupTrans","Sum|Posted|0","","","","","","","MarkupCode|TransTableId|TransRecId","TPP","492",$L173),"")</f>
        <v/>
      </c>
    </row>
    <row r="174" spans="1:14" x14ac:dyDescent="0.25">
      <c r="A174" s="8" t="s">
        <v>252</v>
      </c>
      <c r="B174" s="8" t="s">
        <v>946</v>
      </c>
      <c r="C174" s="8" t="s">
        <v>19</v>
      </c>
      <c r="D174" s="8" t="s">
        <v>35</v>
      </c>
      <c r="E174" s="8" t="s">
        <v>261</v>
      </c>
      <c r="F174" s="8" t="s">
        <v>264</v>
      </c>
      <c r="G174" s="6">
        <v>43083</v>
      </c>
      <c r="H174" s="6">
        <v>43083</v>
      </c>
      <c r="I174" s="4">
        <v>1</v>
      </c>
      <c r="J174" s="8" t="s">
        <v>37</v>
      </c>
      <c r="K174" s="8" t="s">
        <v>1587</v>
      </c>
      <c r="L174" s="4" t="str">
        <f>IF(AtlasReport_1_Table_1[[#This Row],[Reference]]="Purchase order",_xll.AtlasFormulas.AtlasFunctions.AtlasTable("UAT",DataAreaId,"T.VendInvoiceTrans","%RecId","","","","","","","ItemId|PurchID|InventTransId",$C174,$B174,$K174),"")</f>
        <v/>
      </c>
      <c r="M174" s="4" t="str">
        <f>IF(AtlasReport_1_Table_1[[#This Row],[Reference]]="Purchase order",_xll.AtlasFormulas.AtlasFunctions.AtlasTable("UAT",DataAreaId,"T.MarkupTrans","%CurrencyCode","","","","","","","MarkupCode|TransRecId|TransTableId","TPP",$L174,"492"),"")</f>
        <v/>
      </c>
      <c r="N174" s="4" t="str">
        <f>IF(AtlasReport_1_Table_1[[#This Row],[Reference]]="Purchase order",_xll.AtlasFormulas.AtlasFunctions.AtlasBalance("UAT",DataAreaId,"T.MarkupTrans","Sum|Posted|0","","","","","","","MarkupCode|TransTableId|TransRecId","TPP","492",$L174),"")</f>
        <v/>
      </c>
    </row>
    <row r="175" spans="1:14" x14ac:dyDescent="0.25">
      <c r="A175" s="8" t="s">
        <v>252</v>
      </c>
      <c r="B175" s="8" t="s">
        <v>959</v>
      </c>
      <c r="C175" s="8" t="s">
        <v>119</v>
      </c>
      <c r="D175" s="8" t="s">
        <v>1027</v>
      </c>
      <c r="E175" s="8" t="s">
        <v>261</v>
      </c>
      <c r="F175" s="8" t="s">
        <v>264</v>
      </c>
      <c r="G175" s="6">
        <v>43083</v>
      </c>
      <c r="H175" s="6">
        <v>43084</v>
      </c>
      <c r="I175" s="4">
        <v>-24</v>
      </c>
      <c r="J175" s="8" t="s">
        <v>37</v>
      </c>
      <c r="K175" s="8" t="s">
        <v>1588</v>
      </c>
      <c r="L175" s="4" t="str">
        <f>IF(AtlasReport_1_Table_1[[#This Row],[Reference]]="Purchase order",_xll.AtlasFormulas.AtlasFunctions.AtlasTable("UAT",DataAreaId,"T.VendInvoiceTrans","%RecId","","","","","","","ItemId|PurchID|InventTransId",$C175,$B175,$K175),"")</f>
        <v/>
      </c>
      <c r="M175" s="4" t="str">
        <f>IF(AtlasReport_1_Table_1[[#This Row],[Reference]]="Purchase order",_xll.AtlasFormulas.AtlasFunctions.AtlasTable("UAT",DataAreaId,"T.MarkupTrans","%CurrencyCode","","","","","","","MarkupCode|TransRecId|TransTableId","TPP",$L175,"492"),"")</f>
        <v/>
      </c>
      <c r="N175" s="4" t="str">
        <f>IF(AtlasReport_1_Table_1[[#This Row],[Reference]]="Purchase order",_xll.AtlasFormulas.AtlasFunctions.AtlasBalance("UAT",DataAreaId,"T.MarkupTrans","Sum|Posted|0","","","","","","","MarkupCode|TransTableId|TransRecId","TPP","492",$L175),"")</f>
        <v/>
      </c>
    </row>
    <row r="176" spans="1:14" x14ac:dyDescent="0.25">
      <c r="A176" s="8" t="s">
        <v>252</v>
      </c>
      <c r="B176" s="8" t="s">
        <v>959</v>
      </c>
      <c r="C176" s="8" t="s">
        <v>143</v>
      </c>
      <c r="D176" s="8" t="s">
        <v>198</v>
      </c>
      <c r="E176" s="8" t="s">
        <v>261</v>
      </c>
      <c r="F176" s="8" t="s">
        <v>264</v>
      </c>
      <c r="G176" s="6">
        <v>43083</v>
      </c>
      <c r="H176" s="6">
        <v>43084</v>
      </c>
      <c r="I176" s="4">
        <v>-33.5</v>
      </c>
      <c r="J176" s="8" t="s">
        <v>38</v>
      </c>
      <c r="K176" s="8" t="s">
        <v>1589</v>
      </c>
      <c r="L176" s="4" t="str">
        <f>IF(AtlasReport_1_Table_1[[#This Row],[Reference]]="Purchase order",_xll.AtlasFormulas.AtlasFunctions.AtlasTable("UAT",DataAreaId,"T.VendInvoiceTrans","%RecId","","","","","","","ItemId|PurchID|InventTransId",$C176,$B176,$K176),"")</f>
        <v/>
      </c>
      <c r="M176" s="4" t="str">
        <f>IF(AtlasReport_1_Table_1[[#This Row],[Reference]]="Purchase order",_xll.AtlasFormulas.AtlasFunctions.AtlasTable("UAT",DataAreaId,"T.MarkupTrans","%CurrencyCode","","","","","","","MarkupCode|TransRecId|TransTableId","TPP",$L176,"492"),"")</f>
        <v/>
      </c>
      <c r="N176" s="4" t="str">
        <f>IF(AtlasReport_1_Table_1[[#This Row],[Reference]]="Purchase order",_xll.AtlasFormulas.AtlasFunctions.AtlasBalance("UAT",DataAreaId,"T.MarkupTrans","Sum|Posted|0","","","","","","","MarkupCode|TransTableId|TransRecId","TPP","492",$L176),"")</f>
        <v/>
      </c>
    </row>
    <row r="177" spans="1:14" x14ac:dyDescent="0.25">
      <c r="A177" s="8" t="s">
        <v>252</v>
      </c>
      <c r="B177" s="8" t="s">
        <v>959</v>
      </c>
      <c r="C177" s="8" t="s">
        <v>103</v>
      </c>
      <c r="D177" s="8" t="s">
        <v>104</v>
      </c>
      <c r="E177" s="8" t="s">
        <v>261</v>
      </c>
      <c r="F177" s="8" t="s">
        <v>264</v>
      </c>
      <c r="G177" s="6">
        <v>43083</v>
      </c>
      <c r="H177" s="6">
        <v>43084</v>
      </c>
      <c r="I177" s="4">
        <v>-12</v>
      </c>
      <c r="J177" s="8" t="s">
        <v>37</v>
      </c>
      <c r="K177" s="8" t="s">
        <v>1590</v>
      </c>
      <c r="L177" s="4" t="str">
        <f>IF(AtlasReport_1_Table_1[[#This Row],[Reference]]="Purchase order",_xll.AtlasFormulas.AtlasFunctions.AtlasTable("UAT",DataAreaId,"T.VendInvoiceTrans","%RecId","","","","","","","ItemId|PurchID|InventTransId",$C177,$B177,$K177),"")</f>
        <v/>
      </c>
      <c r="M177" s="4" t="str">
        <f>IF(AtlasReport_1_Table_1[[#This Row],[Reference]]="Purchase order",_xll.AtlasFormulas.AtlasFunctions.AtlasTable("UAT",DataAreaId,"T.MarkupTrans","%CurrencyCode","","","","","","","MarkupCode|TransRecId|TransTableId","TPP",$L177,"492"),"")</f>
        <v/>
      </c>
      <c r="N177" s="4" t="str">
        <f>IF(AtlasReport_1_Table_1[[#This Row],[Reference]]="Purchase order",_xll.AtlasFormulas.AtlasFunctions.AtlasBalance("UAT",DataAreaId,"T.MarkupTrans","Sum|Posted|0","","","","","","","MarkupCode|TransTableId|TransRecId","TPP","492",$L177),"")</f>
        <v/>
      </c>
    </row>
    <row r="178" spans="1:14" x14ac:dyDescent="0.25">
      <c r="A178" s="8" t="s">
        <v>252</v>
      </c>
      <c r="B178" s="8" t="s">
        <v>959</v>
      </c>
      <c r="C178" s="8" t="s">
        <v>455</v>
      </c>
      <c r="D178" s="8" t="s">
        <v>1242</v>
      </c>
      <c r="E178" s="8" t="s">
        <v>261</v>
      </c>
      <c r="F178" s="8" t="s">
        <v>264</v>
      </c>
      <c r="G178" s="6">
        <v>43083</v>
      </c>
      <c r="H178" s="6">
        <v>43084</v>
      </c>
      <c r="I178" s="4">
        <v>-5</v>
      </c>
      <c r="J178" s="8" t="s">
        <v>37</v>
      </c>
      <c r="K178" s="8" t="s">
        <v>1591</v>
      </c>
      <c r="L178" s="4" t="str">
        <f>IF(AtlasReport_1_Table_1[[#This Row],[Reference]]="Purchase order",_xll.AtlasFormulas.AtlasFunctions.AtlasTable("UAT",DataAreaId,"T.VendInvoiceTrans","%RecId","","","","","","","ItemId|PurchID|InventTransId",$C178,$B178,$K178),"")</f>
        <v/>
      </c>
      <c r="M178" s="4" t="str">
        <f>IF(AtlasReport_1_Table_1[[#This Row],[Reference]]="Purchase order",_xll.AtlasFormulas.AtlasFunctions.AtlasTable("UAT",DataAreaId,"T.MarkupTrans","%CurrencyCode","","","","","","","MarkupCode|TransRecId|TransTableId","TPP",$L178,"492"),"")</f>
        <v/>
      </c>
      <c r="N178" s="4" t="str">
        <f>IF(AtlasReport_1_Table_1[[#This Row],[Reference]]="Purchase order",_xll.AtlasFormulas.AtlasFunctions.AtlasBalance("UAT",DataAreaId,"T.MarkupTrans","Sum|Posted|0","","","","","","","MarkupCode|TransTableId|TransRecId","TPP","492",$L178),"")</f>
        <v/>
      </c>
    </row>
    <row r="179" spans="1:14" x14ac:dyDescent="0.25">
      <c r="A179" s="8" t="s">
        <v>252</v>
      </c>
      <c r="B179" s="8" t="s">
        <v>959</v>
      </c>
      <c r="C179" s="8" t="s">
        <v>244</v>
      </c>
      <c r="D179" s="8" t="s">
        <v>245</v>
      </c>
      <c r="E179" s="8" t="s">
        <v>261</v>
      </c>
      <c r="F179" s="8" t="s">
        <v>264</v>
      </c>
      <c r="G179" s="6">
        <v>43083</v>
      </c>
      <c r="H179" s="6">
        <v>43084</v>
      </c>
      <c r="I179" s="4">
        <v>-5</v>
      </c>
      <c r="J179" s="8" t="s">
        <v>37</v>
      </c>
      <c r="K179" s="8" t="s">
        <v>961</v>
      </c>
      <c r="L179" s="4" t="str">
        <f>IF(AtlasReport_1_Table_1[[#This Row],[Reference]]="Purchase order",_xll.AtlasFormulas.AtlasFunctions.AtlasTable("UAT",DataAreaId,"T.VendInvoiceTrans","%RecId","","","","","","","ItemId|PurchID|InventTransId",$C179,$B179,$K179),"")</f>
        <v/>
      </c>
      <c r="M179" s="4" t="str">
        <f>IF(AtlasReport_1_Table_1[[#This Row],[Reference]]="Purchase order",_xll.AtlasFormulas.AtlasFunctions.AtlasTable("UAT",DataAreaId,"T.MarkupTrans","%CurrencyCode","","","","","","","MarkupCode|TransRecId|TransTableId","TPP",$L179,"492"),"")</f>
        <v/>
      </c>
      <c r="N179" s="4" t="str">
        <f>IF(AtlasReport_1_Table_1[[#This Row],[Reference]]="Purchase order",_xll.AtlasFormulas.AtlasFunctions.AtlasBalance("UAT",DataAreaId,"T.MarkupTrans","Sum|Posted|0","","","","","","","MarkupCode|TransTableId|TransRecId","TPP","492",$L179),"")</f>
        <v/>
      </c>
    </row>
    <row r="180" spans="1:14" x14ac:dyDescent="0.25">
      <c r="A180" s="8" t="s">
        <v>252</v>
      </c>
      <c r="B180" s="8" t="s">
        <v>959</v>
      </c>
      <c r="C180" s="8" t="s">
        <v>19</v>
      </c>
      <c r="D180" s="8" t="s">
        <v>35</v>
      </c>
      <c r="E180" s="8" t="s">
        <v>261</v>
      </c>
      <c r="F180" s="8" t="s">
        <v>264</v>
      </c>
      <c r="G180" s="6">
        <v>43083</v>
      </c>
      <c r="H180" s="6">
        <v>43084</v>
      </c>
      <c r="I180" s="4">
        <v>-1</v>
      </c>
      <c r="J180" s="8" t="s">
        <v>37</v>
      </c>
      <c r="K180" s="8" t="s">
        <v>1592</v>
      </c>
      <c r="L180" s="4" t="str">
        <f>IF(AtlasReport_1_Table_1[[#This Row],[Reference]]="Purchase order",_xll.AtlasFormulas.AtlasFunctions.AtlasTable("UAT",DataAreaId,"T.VendInvoiceTrans","%RecId","","","","","","","ItemId|PurchID|InventTransId",$C180,$B180,$K180),"")</f>
        <v/>
      </c>
      <c r="M180" s="4" t="str">
        <f>IF(AtlasReport_1_Table_1[[#This Row],[Reference]]="Purchase order",_xll.AtlasFormulas.AtlasFunctions.AtlasTable("UAT",DataAreaId,"T.MarkupTrans","%CurrencyCode","","","","","","","MarkupCode|TransRecId|TransTableId","TPP",$L180,"492"),"")</f>
        <v/>
      </c>
      <c r="N180" s="4" t="str">
        <f>IF(AtlasReport_1_Table_1[[#This Row],[Reference]]="Purchase order",_xll.AtlasFormulas.AtlasFunctions.AtlasBalance("UAT",DataAreaId,"T.MarkupTrans","Sum|Posted|0","","","","","","","MarkupCode|TransTableId|TransRecId","TPP","492",$L180),"")</f>
        <v/>
      </c>
    </row>
    <row r="181" spans="1:14" x14ac:dyDescent="0.25">
      <c r="A181" s="8" t="s">
        <v>252</v>
      </c>
      <c r="B181" s="8" t="s">
        <v>855</v>
      </c>
      <c r="C181" s="8" t="s">
        <v>143</v>
      </c>
      <c r="D181" s="8" t="s">
        <v>198</v>
      </c>
      <c r="E181" s="8" t="s">
        <v>261</v>
      </c>
      <c r="F181" s="8" t="s">
        <v>264</v>
      </c>
      <c r="G181" s="6">
        <v>43083</v>
      </c>
      <c r="H181" s="6">
        <v>43083</v>
      </c>
      <c r="I181" s="4">
        <v>67</v>
      </c>
      <c r="J181" s="8" t="s">
        <v>38</v>
      </c>
      <c r="K181" s="8" t="s">
        <v>1593</v>
      </c>
      <c r="L181" s="4" t="str">
        <f>IF(AtlasReport_1_Table_1[[#This Row],[Reference]]="Purchase order",_xll.AtlasFormulas.AtlasFunctions.AtlasTable("UAT",DataAreaId,"T.VendInvoiceTrans","%RecId","","","","","","","ItemId|PurchID|InventTransId",$C181,$B181,$K181),"")</f>
        <v/>
      </c>
      <c r="M181" s="4" t="str">
        <f>IF(AtlasReport_1_Table_1[[#This Row],[Reference]]="Purchase order",_xll.AtlasFormulas.AtlasFunctions.AtlasTable("UAT",DataAreaId,"T.MarkupTrans","%CurrencyCode","","","","","","","MarkupCode|TransRecId|TransTableId","TPP",$L181,"492"),"")</f>
        <v/>
      </c>
      <c r="N181" s="4" t="str">
        <f>IF(AtlasReport_1_Table_1[[#This Row],[Reference]]="Purchase order",_xll.AtlasFormulas.AtlasFunctions.AtlasBalance("UAT",DataAreaId,"T.MarkupTrans","Sum|Posted|0","","","","","","","MarkupCode|TransTableId|TransRecId","TPP","492",$L181),"")</f>
        <v/>
      </c>
    </row>
    <row r="182" spans="1:14" x14ac:dyDescent="0.25">
      <c r="A182" s="8" t="s">
        <v>252</v>
      </c>
      <c r="B182" s="8" t="s">
        <v>855</v>
      </c>
      <c r="C182" s="8" t="s">
        <v>24</v>
      </c>
      <c r="D182" s="8" t="s">
        <v>34</v>
      </c>
      <c r="E182" s="8" t="s">
        <v>261</v>
      </c>
      <c r="F182" s="8" t="s">
        <v>264</v>
      </c>
      <c r="G182" s="6">
        <v>43083</v>
      </c>
      <c r="H182" s="6">
        <v>43083</v>
      </c>
      <c r="I182" s="4">
        <v>150</v>
      </c>
      <c r="J182" s="8" t="s">
        <v>39</v>
      </c>
      <c r="K182" s="8" t="s">
        <v>857</v>
      </c>
      <c r="L182" s="4" t="str">
        <f>IF(AtlasReport_1_Table_1[[#This Row],[Reference]]="Purchase order",_xll.AtlasFormulas.AtlasFunctions.AtlasTable("UAT",DataAreaId,"T.VendInvoiceTrans","%RecId","","","","","","","ItemId|PurchID|InventTransId",$C182,$B182,$K182),"")</f>
        <v/>
      </c>
      <c r="M182" s="4" t="str">
        <f>IF(AtlasReport_1_Table_1[[#This Row],[Reference]]="Purchase order",_xll.AtlasFormulas.AtlasFunctions.AtlasTable("UAT",DataAreaId,"T.MarkupTrans","%CurrencyCode","","","","","","","MarkupCode|TransRecId|TransTableId","TPP",$L182,"492"),"")</f>
        <v/>
      </c>
      <c r="N182" s="4" t="str">
        <f>IF(AtlasReport_1_Table_1[[#This Row],[Reference]]="Purchase order",_xll.AtlasFormulas.AtlasFunctions.AtlasBalance("UAT",DataAreaId,"T.MarkupTrans","Sum|Posted|0","","","","","","","MarkupCode|TransTableId|TransRecId","TPP","492",$L182),"")</f>
        <v/>
      </c>
    </row>
    <row r="183" spans="1:14" x14ac:dyDescent="0.25">
      <c r="A183" s="8" t="s">
        <v>252</v>
      </c>
      <c r="B183" s="8" t="s">
        <v>855</v>
      </c>
      <c r="C183" s="8" t="s">
        <v>77</v>
      </c>
      <c r="D183" s="8" t="s">
        <v>204</v>
      </c>
      <c r="E183" s="8" t="s">
        <v>261</v>
      </c>
      <c r="F183" s="8" t="s">
        <v>264</v>
      </c>
      <c r="G183" s="6">
        <v>43083</v>
      </c>
      <c r="H183" s="6">
        <v>43083</v>
      </c>
      <c r="I183" s="4">
        <v>60</v>
      </c>
      <c r="J183" s="8" t="s">
        <v>39</v>
      </c>
      <c r="K183" s="8" t="s">
        <v>863</v>
      </c>
      <c r="L183" s="4" t="str">
        <f>IF(AtlasReport_1_Table_1[[#This Row],[Reference]]="Purchase order",_xll.AtlasFormulas.AtlasFunctions.AtlasTable("UAT",DataAreaId,"T.VendInvoiceTrans","%RecId","","","","","","","ItemId|PurchID|InventTransId",$C183,$B183,$K183),"")</f>
        <v/>
      </c>
      <c r="M183" s="4" t="str">
        <f>IF(AtlasReport_1_Table_1[[#This Row],[Reference]]="Purchase order",_xll.AtlasFormulas.AtlasFunctions.AtlasTable("UAT",DataAreaId,"T.MarkupTrans","%CurrencyCode","","","","","","","MarkupCode|TransRecId|TransTableId","TPP",$L183,"492"),"")</f>
        <v/>
      </c>
      <c r="N183" s="4" t="str">
        <f>IF(AtlasReport_1_Table_1[[#This Row],[Reference]]="Purchase order",_xll.AtlasFormulas.AtlasFunctions.AtlasBalance("UAT",DataAreaId,"T.MarkupTrans","Sum|Posted|0","","","","","","","MarkupCode|TransTableId|TransRecId","TPP","492",$L183),"")</f>
        <v/>
      </c>
    </row>
    <row r="184" spans="1:14" x14ac:dyDescent="0.25">
      <c r="A184" s="8" t="s">
        <v>252</v>
      </c>
      <c r="B184" s="8" t="s">
        <v>855</v>
      </c>
      <c r="C184" s="8" t="s">
        <v>244</v>
      </c>
      <c r="D184" s="8" t="s">
        <v>245</v>
      </c>
      <c r="E184" s="8" t="s">
        <v>261</v>
      </c>
      <c r="F184" s="8" t="s">
        <v>264</v>
      </c>
      <c r="G184" s="6">
        <v>43083</v>
      </c>
      <c r="H184" s="6">
        <v>43083</v>
      </c>
      <c r="I184" s="4">
        <v>15</v>
      </c>
      <c r="J184" s="8" t="s">
        <v>37</v>
      </c>
      <c r="K184" s="8" t="s">
        <v>949</v>
      </c>
      <c r="L184" s="4" t="str">
        <f>IF(AtlasReport_1_Table_1[[#This Row],[Reference]]="Purchase order",_xll.AtlasFormulas.AtlasFunctions.AtlasTable("UAT",DataAreaId,"T.VendInvoiceTrans","%RecId","","","","","","","ItemId|PurchID|InventTransId",$C184,$B184,$K184),"")</f>
        <v/>
      </c>
      <c r="M184" s="4" t="str">
        <f>IF(AtlasReport_1_Table_1[[#This Row],[Reference]]="Purchase order",_xll.AtlasFormulas.AtlasFunctions.AtlasTable("UAT",DataAreaId,"T.MarkupTrans","%CurrencyCode","","","","","","","MarkupCode|TransRecId|TransTableId","TPP",$L184,"492"),"")</f>
        <v/>
      </c>
      <c r="N184" s="4" t="str">
        <f>IF(AtlasReport_1_Table_1[[#This Row],[Reference]]="Purchase order",_xll.AtlasFormulas.AtlasFunctions.AtlasBalance("UAT",DataAreaId,"T.MarkupTrans","Sum|Posted|0","","","","","","","MarkupCode|TransTableId|TransRecId","TPP","492",$L184),"")</f>
        <v/>
      </c>
    </row>
    <row r="185" spans="1:14" x14ac:dyDescent="0.25">
      <c r="A185" s="8" t="s">
        <v>252</v>
      </c>
      <c r="B185" s="8" t="s">
        <v>858</v>
      </c>
      <c r="C185" s="8" t="s">
        <v>143</v>
      </c>
      <c r="D185" s="8" t="s">
        <v>198</v>
      </c>
      <c r="E185" s="8" t="s">
        <v>261</v>
      </c>
      <c r="F185" s="8" t="s">
        <v>264</v>
      </c>
      <c r="G185" s="6">
        <v>43083</v>
      </c>
      <c r="H185" s="6">
        <v>43084</v>
      </c>
      <c r="I185" s="4">
        <v>-67</v>
      </c>
      <c r="J185" s="8" t="s">
        <v>38</v>
      </c>
      <c r="K185" s="8" t="s">
        <v>1594</v>
      </c>
      <c r="L185" s="4" t="str">
        <f>IF(AtlasReport_1_Table_1[[#This Row],[Reference]]="Purchase order",_xll.AtlasFormulas.AtlasFunctions.AtlasTable("UAT",DataAreaId,"T.VendInvoiceTrans","%RecId","","","","","","","ItemId|PurchID|InventTransId",$C185,$B185,$K185),"")</f>
        <v/>
      </c>
      <c r="M185" s="4" t="str">
        <f>IF(AtlasReport_1_Table_1[[#This Row],[Reference]]="Purchase order",_xll.AtlasFormulas.AtlasFunctions.AtlasTable("UAT",DataAreaId,"T.MarkupTrans","%CurrencyCode","","","","","","","MarkupCode|TransRecId|TransTableId","TPP",$L185,"492"),"")</f>
        <v/>
      </c>
      <c r="N185" s="4" t="str">
        <f>IF(AtlasReport_1_Table_1[[#This Row],[Reference]]="Purchase order",_xll.AtlasFormulas.AtlasFunctions.AtlasBalance("UAT",DataAreaId,"T.MarkupTrans","Sum|Posted|0","","","","","","","MarkupCode|TransTableId|TransRecId","TPP","492",$L185),"")</f>
        <v/>
      </c>
    </row>
    <row r="186" spans="1:14" x14ac:dyDescent="0.25">
      <c r="A186" s="8" t="s">
        <v>252</v>
      </c>
      <c r="B186" s="8" t="s">
        <v>858</v>
      </c>
      <c r="C186" s="8" t="s">
        <v>24</v>
      </c>
      <c r="D186" s="8" t="s">
        <v>34</v>
      </c>
      <c r="E186" s="8" t="s">
        <v>261</v>
      </c>
      <c r="F186" s="8" t="s">
        <v>264</v>
      </c>
      <c r="G186" s="6">
        <v>43083</v>
      </c>
      <c r="H186" s="6">
        <v>43084</v>
      </c>
      <c r="I186" s="4">
        <v>-150</v>
      </c>
      <c r="J186" s="8" t="s">
        <v>39</v>
      </c>
      <c r="K186" s="8" t="s">
        <v>860</v>
      </c>
      <c r="L186" s="4" t="str">
        <f>IF(AtlasReport_1_Table_1[[#This Row],[Reference]]="Purchase order",_xll.AtlasFormulas.AtlasFunctions.AtlasTable("UAT",DataAreaId,"T.VendInvoiceTrans","%RecId","","","","","","","ItemId|PurchID|InventTransId",$C186,$B186,$K186),"")</f>
        <v/>
      </c>
      <c r="M186" s="4" t="str">
        <f>IF(AtlasReport_1_Table_1[[#This Row],[Reference]]="Purchase order",_xll.AtlasFormulas.AtlasFunctions.AtlasTable("UAT",DataAreaId,"T.MarkupTrans","%CurrencyCode","","","","","","","MarkupCode|TransRecId|TransTableId","TPP",$L186,"492"),"")</f>
        <v/>
      </c>
      <c r="N186" s="4" t="str">
        <f>IF(AtlasReport_1_Table_1[[#This Row],[Reference]]="Purchase order",_xll.AtlasFormulas.AtlasFunctions.AtlasBalance("UAT",DataAreaId,"T.MarkupTrans","Sum|Posted|0","","","","","","","MarkupCode|TransTableId|TransRecId","TPP","492",$L186),"")</f>
        <v/>
      </c>
    </row>
    <row r="187" spans="1:14" x14ac:dyDescent="0.25">
      <c r="A187" s="8" t="s">
        <v>252</v>
      </c>
      <c r="B187" s="8" t="s">
        <v>858</v>
      </c>
      <c r="C187" s="8" t="s">
        <v>77</v>
      </c>
      <c r="D187" s="8" t="s">
        <v>204</v>
      </c>
      <c r="E187" s="8" t="s">
        <v>261</v>
      </c>
      <c r="F187" s="8" t="s">
        <v>264</v>
      </c>
      <c r="G187" s="6">
        <v>43083</v>
      </c>
      <c r="H187" s="6">
        <v>43084</v>
      </c>
      <c r="I187" s="4">
        <v>-60</v>
      </c>
      <c r="J187" s="8" t="s">
        <v>39</v>
      </c>
      <c r="K187" s="8" t="s">
        <v>864</v>
      </c>
      <c r="L187" s="4" t="str">
        <f>IF(AtlasReport_1_Table_1[[#This Row],[Reference]]="Purchase order",_xll.AtlasFormulas.AtlasFunctions.AtlasTable("UAT",DataAreaId,"T.VendInvoiceTrans","%RecId","","","","","","","ItemId|PurchID|InventTransId",$C187,$B187,$K187),"")</f>
        <v/>
      </c>
      <c r="M187" s="4" t="str">
        <f>IF(AtlasReport_1_Table_1[[#This Row],[Reference]]="Purchase order",_xll.AtlasFormulas.AtlasFunctions.AtlasTable("UAT",DataAreaId,"T.MarkupTrans","%CurrencyCode","","","","","","","MarkupCode|TransRecId|TransTableId","TPP",$L187,"492"),"")</f>
        <v/>
      </c>
      <c r="N187" s="4" t="str">
        <f>IF(AtlasReport_1_Table_1[[#This Row],[Reference]]="Purchase order",_xll.AtlasFormulas.AtlasFunctions.AtlasBalance("UAT",DataAreaId,"T.MarkupTrans","Sum|Posted|0","","","","","","","MarkupCode|TransTableId|TransRecId","TPP","492",$L187),"")</f>
        <v/>
      </c>
    </row>
    <row r="188" spans="1:14" x14ac:dyDescent="0.25">
      <c r="A188" s="8" t="s">
        <v>252</v>
      </c>
      <c r="B188" s="8" t="s">
        <v>858</v>
      </c>
      <c r="C188" s="8" t="s">
        <v>244</v>
      </c>
      <c r="D188" s="8" t="s">
        <v>245</v>
      </c>
      <c r="E188" s="8" t="s">
        <v>261</v>
      </c>
      <c r="F188" s="8" t="s">
        <v>264</v>
      </c>
      <c r="G188" s="6">
        <v>43083</v>
      </c>
      <c r="H188" s="6">
        <v>43084</v>
      </c>
      <c r="I188" s="4">
        <v>-15</v>
      </c>
      <c r="J188" s="8" t="s">
        <v>37</v>
      </c>
      <c r="K188" s="8" t="s">
        <v>958</v>
      </c>
      <c r="L188" s="4" t="str">
        <f>IF(AtlasReport_1_Table_1[[#This Row],[Reference]]="Purchase order",_xll.AtlasFormulas.AtlasFunctions.AtlasTable("UAT",DataAreaId,"T.VendInvoiceTrans","%RecId","","","","","","","ItemId|PurchID|InventTransId",$C188,$B188,$K188),"")</f>
        <v/>
      </c>
      <c r="M188" s="4" t="str">
        <f>IF(AtlasReport_1_Table_1[[#This Row],[Reference]]="Purchase order",_xll.AtlasFormulas.AtlasFunctions.AtlasTable("UAT",DataAreaId,"T.MarkupTrans","%CurrencyCode","","","","","","","MarkupCode|TransRecId|TransTableId","TPP",$L188,"492"),"")</f>
        <v/>
      </c>
      <c r="N188" s="4" t="str">
        <f>IF(AtlasReport_1_Table_1[[#This Row],[Reference]]="Purchase order",_xll.AtlasFormulas.AtlasFunctions.AtlasBalance("UAT",DataAreaId,"T.MarkupTrans","Sum|Posted|0","","","","","","","MarkupCode|TransTableId|TransRecId","TPP","492",$L188),"")</f>
        <v/>
      </c>
    </row>
    <row r="189" spans="1:14" x14ac:dyDescent="0.25">
      <c r="A189" s="8" t="s">
        <v>252</v>
      </c>
      <c r="B189" s="8" t="s">
        <v>950</v>
      </c>
      <c r="C189" s="8" t="s">
        <v>144</v>
      </c>
      <c r="D189" s="8" t="s">
        <v>166</v>
      </c>
      <c r="E189" s="8" t="s">
        <v>261</v>
      </c>
      <c r="F189" s="8" t="s">
        <v>264</v>
      </c>
      <c r="G189" s="6">
        <v>43083</v>
      </c>
      <c r="H189" s="6">
        <v>43083</v>
      </c>
      <c r="I189" s="4">
        <v>67</v>
      </c>
      <c r="J189" s="8" t="s">
        <v>38</v>
      </c>
      <c r="K189" s="8" t="s">
        <v>1595</v>
      </c>
      <c r="L189" s="4" t="str">
        <f>IF(AtlasReport_1_Table_1[[#This Row],[Reference]]="Purchase order",_xll.AtlasFormulas.AtlasFunctions.AtlasTable("UAT",DataAreaId,"T.VendInvoiceTrans","%RecId","","","","","","","ItemId|PurchID|InventTransId",$C189,$B189,$K189),"")</f>
        <v/>
      </c>
      <c r="M189" s="4" t="str">
        <f>IF(AtlasReport_1_Table_1[[#This Row],[Reference]]="Purchase order",_xll.AtlasFormulas.AtlasFunctions.AtlasTable("UAT",DataAreaId,"T.MarkupTrans","%CurrencyCode","","","","","","","MarkupCode|TransRecId|TransTableId","TPP",$L189,"492"),"")</f>
        <v/>
      </c>
      <c r="N189" s="4" t="str">
        <f>IF(AtlasReport_1_Table_1[[#This Row],[Reference]]="Purchase order",_xll.AtlasFormulas.AtlasFunctions.AtlasBalance("UAT",DataAreaId,"T.MarkupTrans","Sum|Posted|0","","","","","","","MarkupCode|TransTableId|TransRecId","TPP","492",$L189),"")</f>
        <v/>
      </c>
    </row>
    <row r="190" spans="1:14" x14ac:dyDescent="0.25">
      <c r="A190" s="8" t="s">
        <v>252</v>
      </c>
      <c r="B190" s="8" t="s">
        <v>950</v>
      </c>
      <c r="C190" s="8" t="s">
        <v>244</v>
      </c>
      <c r="D190" s="8" t="s">
        <v>245</v>
      </c>
      <c r="E190" s="8" t="s">
        <v>261</v>
      </c>
      <c r="F190" s="8" t="s">
        <v>264</v>
      </c>
      <c r="G190" s="6">
        <v>43083</v>
      </c>
      <c r="H190" s="6">
        <v>43083</v>
      </c>
      <c r="I190" s="4">
        <v>10</v>
      </c>
      <c r="J190" s="8" t="s">
        <v>37</v>
      </c>
      <c r="K190" s="8" t="s">
        <v>952</v>
      </c>
      <c r="L190" s="4" t="str">
        <f>IF(AtlasReport_1_Table_1[[#This Row],[Reference]]="Purchase order",_xll.AtlasFormulas.AtlasFunctions.AtlasTable("UAT",DataAreaId,"T.VendInvoiceTrans","%RecId","","","","","","","ItemId|PurchID|InventTransId",$C190,$B190,$K190),"")</f>
        <v/>
      </c>
      <c r="M190" s="4" t="str">
        <f>IF(AtlasReport_1_Table_1[[#This Row],[Reference]]="Purchase order",_xll.AtlasFormulas.AtlasFunctions.AtlasTable("UAT",DataAreaId,"T.MarkupTrans","%CurrencyCode","","","","","","","MarkupCode|TransRecId|TransTableId","TPP",$L190,"492"),"")</f>
        <v/>
      </c>
      <c r="N190" s="4" t="str">
        <f>IF(AtlasReport_1_Table_1[[#This Row],[Reference]]="Purchase order",_xll.AtlasFormulas.AtlasFunctions.AtlasBalance("UAT",DataAreaId,"T.MarkupTrans","Sum|Posted|0","","","","","","","MarkupCode|TransTableId|TransRecId","TPP","492",$L190),"")</f>
        <v/>
      </c>
    </row>
    <row r="191" spans="1:14" x14ac:dyDescent="0.25">
      <c r="A191" s="8" t="s">
        <v>252</v>
      </c>
      <c r="B191" s="8" t="s">
        <v>955</v>
      </c>
      <c r="C191" s="8" t="s">
        <v>144</v>
      </c>
      <c r="D191" s="8" t="s">
        <v>166</v>
      </c>
      <c r="E191" s="8" t="s">
        <v>261</v>
      </c>
      <c r="F191" s="8" t="s">
        <v>264</v>
      </c>
      <c r="G191" s="6">
        <v>43083</v>
      </c>
      <c r="H191" s="6">
        <v>43084</v>
      </c>
      <c r="I191" s="4">
        <v>-67</v>
      </c>
      <c r="J191" s="8" t="s">
        <v>38</v>
      </c>
      <c r="K191" s="8" t="s">
        <v>1596</v>
      </c>
      <c r="L191" s="4" t="str">
        <f>IF(AtlasReport_1_Table_1[[#This Row],[Reference]]="Purchase order",_xll.AtlasFormulas.AtlasFunctions.AtlasTable("UAT",DataAreaId,"T.VendInvoiceTrans","%RecId","","","","","","","ItemId|PurchID|InventTransId",$C191,$B191,$K191),"")</f>
        <v/>
      </c>
      <c r="M191" s="4" t="str">
        <f>IF(AtlasReport_1_Table_1[[#This Row],[Reference]]="Purchase order",_xll.AtlasFormulas.AtlasFunctions.AtlasTable("UAT",DataAreaId,"T.MarkupTrans","%CurrencyCode","","","","","","","MarkupCode|TransRecId|TransTableId","TPP",$L191,"492"),"")</f>
        <v/>
      </c>
      <c r="N191" s="4" t="str">
        <f>IF(AtlasReport_1_Table_1[[#This Row],[Reference]]="Purchase order",_xll.AtlasFormulas.AtlasFunctions.AtlasBalance("UAT",DataAreaId,"T.MarkupTrans","Sum|Posted|0","","","","","","","MarkupCode|TransTableId|TransRecId","TPP","492",$L191),"")</f>
        <v/>
      </c>
    </row>
    <row r="192" spans="1:14" x14ac:dyDescent="0.25">
      <c r="A192" s="8" t="s">
        <v>252</v>
      </c>
      <c r="B192" s="8" t="s">
        <v>955</v>
      </c>
      <c r="C192" s="8" t="s">
        <v>244</v>
      </c>
      <c r="D192" s="8" t="s">
        <v>245</v>
      </c>
      <c r="E192" s="8" t="s">
        <v>261</v>
      </c>
      <c r="F192" s="8" t="s">
        <v>264</v>
      </c>
      <c r="G192" s="6">
        <v>43083</v>
      </c>
      <c r="H192" s="6">
        <v>43084</v>
      </c>
      <c r="I192" s="4">
        <v>-10</v>
      </c>
      <c r="J192" s="8" t="s">
        <v>37</v>
      </c>
      <c r="K192" s="8" t="s">
        <v>957</v>
      </c>
      <c r="L192" s="4" t="str">
        <f>IF(AtlasReport_1_Table_1[[#This Row],[Reference]]="Purchase order",_xll.AtlasFormulas.AtlasFunctions.AtlasTable("UAT",DataAreaId,"T.VendInvoiceTrans","%RecId","","","","","","","ItemId|PurchID|InventTransId",$C192,$B192,$K192),"")</f>
        <v/>
      </c>
      <c r="M192" s="4" t="str">
        <f>IF(AtlasReport_1_Table_1[[#This Row],[Reference]]="Purchase order",_xll.AtlasFormulas.AtlasFunctions.AtlasTable("UAT",DataAreaId,"T.MarkupTrans","%CurrencyCode","","","","","","","MarkupCode|TransRecId|TransTableId","TPP",$L192,"492"),"")</f>
        <v/>
      </c>
      <c r="N192" s="4" t="str">
        <f>IF(AtlasReport_1_Table_1[[#This Row],[Reference]]="Purchase order",_xll.AtlasFormulas.AtlasFunctions.AtlasBalance("UAT",DataAreaId,"T.MarkupTrans","Sum|Posted|0","","","","","","","MarkupCode|TransTableId|TransRecId","TPP","492",$L192),"")</f>
        <v/>
      </c>
    </row>
    <row r="193" spans="1:14" x14ac:dyDescent="0.25">
      <c r="A193" s="8" t="s">
        <v>252</v>
      </c>
      <c r="B193" s="8" t="s">
        <v>733</v>
      </c>
      <c r="C193" s="8" t="s">
        <v>143</v>
      </c>
      <c r="D193" s="8" t="s">
        <v>198</v>
      </c>
      <c r="E193" s="8" t="s">
        <v>261</v>
      </c>
      <c r="F193" s="8" t="s">
        <v>264</v>
      </c>
      <c r="G193" s="6">
        <v>43083</v>
      </c>
      <c r="H193" s="6">
        <v>43083</v>
      </c>
      <c r="I193" s="4">
        <v>67</v>
      </c>
      <c r="J193" s="8" t="s">
        <v>38</v>
      </c>
      <c r="K193" s="8" t="s">
        <v>1597</v>
      </c>
      <c r="L193" s="4" t="str">
        <f>IF(AtlasReport_1_Table_1[[#This Row],[Reference]]="Purchase order",_xll.AtlasFormulas.AtlasFunctions.AtlasTable("UAT",DataAreaId,"T.VendInvoiceTrans","%RecId","","","","","","","ItemId|PurchID|InventTransId",$C193,$B193,$K193),"")</f>
        <v/>
      </c>
      <c r="M193" s="4" t="str">
        <f>IF(AtlasReport_1_Table_1[[#This Row],[Reference]]="Purchase order",_xll.AtlasFormulas.AtlasFunctions.AtlasTable("UAT",DataAreaId,"T.MarkupTrans","%CurrencyCode","","","","","","","MarkupCode|TransRecId|TransTableId","TPP",$L193,"492"),"")</f>
        <v/>
      </c>
      <c r="N193" s="4" t="str">
        <f>IF(AtlasReport_1_Table_1[[#This Row],[Reference]]="Purchase order",_xll.AtlasFormulas.AtlasFunctions.AtlasBalance("UAT",DataAreaId,"T.MarkupTrans","Sum|Posted|0","","","","","","","MarkupCode|TransTableId|TransRecId","TPP","492",$L193),"")</f>
        <v/>
      </c>
    </row>
    <row r="194" spans="1:14" x14ac:dyDescent="0.25">
      <c r="A194" s="8" t="s">
        <v>252</v>
      </c>
      <c r="B194" s="8" t="s">
        <v>733</v>
      </c>
      <c r="C194" s="8" t="s">
        <v>56</v>
      </c>
      <c r="D194" s="8" t="s">
        <v>126</v>
      </c>
      <c r="E194" s="8" t="s">
        <v>261</v>
      </c>
      <c r="F194" s="8" t="s">
        <v>264</v>
      </c>
      <c r="G194" s="6">
        <v>43083</v>
      </c>
      <c r="H194" s="6">
        <v>43083</v>
      </c>
      <c r="I194" s="4">
        <v>150</v>
      </c>
      <c r="J194" s="8" t="s">
        <v>39</v>
      </c>
      <c r="K194" s="8" t="s">
        <v>735</v>
      </c>
      <c r="L194" s="4" t="str">
        <f>IF(AtlasReport_1_Table_1[[#This Row],[Reference]]="Purchase order",_xll.AtlasFormulas.AtlasFunctions.AtlasTable("UAT",DataAreaId,"T.VendInvoiceTrans","%RecId","","","","","","","ItemId|PurchID|InventTransId",$C194,$B194,$K194),"")</f>
        <v/>
      </c>
      <c r="M194" s="4" t="str">
        <f>IF(AtlasReport_1_Table_1[[#This Row],[Reference]]="Purchase order",_xll.AtlasFormulas.AtlasFunctions.AtlasTable("UAT",DataAreaId,"T.MarkupTrans","%CurrencyCode","","","","","","","MarkupCode|TransRecId|TransTableId","TPP",$L194,"492"),"")</f>
        <v/>
      </c>
      <c r="N194" s="4" t="str">
        <f>IF(AtlasReport_1_Table_1[[#This Row],[Reference]]="Purchase order",_xll.AtlasFormulas.AtlasFunctions.AtlasBalance("UAT",DataAreaId,"T.MarkupTrans","Sum|Posted|0","","","","","","","MarkupCode|TransTableId|TransRecId","TPP","492",$L194),"")</f>
        <v/>
      </c>
    </row>
    <row r="195" spans="1:14" x14ac:dyDescent="0.25">
      <c r="A195" s="8" t="s">
        <v>252</v>
      </c>
      <c r="B195" s="8" t="s">
        <v>733</v>
      </c>
      <c r="C195" s="8" t="s">
        <v>29</v>
      </c>
      <c r="D195" s="8" t="s">
        <v>33</v>
      </c>
      <c r="E195" s="8" t="s">
        <v>261</v>
      </c>
      <c r="F195" s="8" t="s">
        <v>264</v>
      </c>
      <c r="G195" s="6">
        <v>43083</v>
      </c>
      <c r="H195" s="6">
        <v>43083</v>
      </c>
      <c r="I195" s="4">
        <v>150</v>
      </c>
      <c r="J195" s="8" t="s">
        <v>39</v>
      </c>
      <c r="K195" s="8" t="s">
        <v>769</v>
      </c>
      <c r="L195" s="4" t="str">
        <f>IF(AtlasReport_1_Table_1[[#This Row],[Reference]]="Purchase order",_xll.AtlasFormulas.AtlasFunctions.AtlasTable("UAT",DataAreaId,"T.VendInvoiceTrans","%RecId","","","","","","","ItemId|PurchID|InventTransId",$C195,$B195,$K195),"")</f>
        <v/>
      </c>
      <c r="M195" s="4" t="str">
        <f>IF(AtlasReport_1_Table_1[[#This Row],[Reference]]="Purchase order",_xll.AtlasFormulas.AtlasFunctions.AtlasTable("UAT",DataAreaId,"T.MarkupTrans","%CurrencyCode","","","","","","","MarkupCode|TransRecId|TransTableId","TPP",$L195,"492"),"")</f>
        <v/>
      </c>
      <c r="N195" s="4" t="str">
        <f>IF(AtlasReport_1_Table_1[[#This Row],[Reference]]="Purchase order",_xll.AtlasFormulas.AtlasFunctions.AtlasBalance("UAT",DataAreaId,"T.MarkupTrans","Sum|Posted|0","","","","","","","MarkupCode|TransTableId|TransRecId","TPP","492",$L195),"")</f>
        <v/>
      </c>
    </row>
    <row r="196" spans="1:14" x14ac:dyDescent="0.25">
      <c r="A196" s="8" t="s">
        <v>252</v>
      </c>
      <c r="B196" s="8" t="s">
        <v>733</v>
      </c>
      <c r="C196" s="8" t="s">
        <v>58</v>
      </c>
      <c r="D196" s="8" t="s">
        <v>127</v>
      </c>
      <c r="E196" s="8" t="s">
        <v>261</v>
      </c>
      <c r="F196" s="8" t="s">
        <v>264</v>
      </c>
      <c r="G196" s="6">
        <v>43083</v>
      </c>
      <c r="H196" s="6">
        <v>43083</v>
      </c>
      <c r="I196" s="4">
        <v>150</v>
      </c>
      <c r="J196" s="8" t="s">
        <v>39</v>
      </c>
      <c r="K196" s="8" t="s">
        <v>803</v>
      </c>
      <c r="L196" s="4" t="str">
        <f>IF(AtlasReport_1_Table_1[[#This Row],[Reference]]="Purchase order",_xll.AtlasFormulas.AtlasFunctions.AtlasTable("UAT",DataAreaId,"T.VendInvoiceTrans","%RecId","","","","","","","ItemId|PurchID|InventTransId",$C196,$B196,$K196),"")</f>
        <v/>
      </c>
      <c r="M196" s="4" t="str">
        <f>IF(AtlasReport_1_Table_1[[#This Row],[Reference]]="Purchase order",_xll.AtlasFormulas.AtlasFunctions.AtlasTable("UAT",DataAreaId,"T.MarkupTrans","%CurrencyCode","","","","","","","MarkupCode|TransRecId|TransTableId","TPP",$L196,"492"),"")</f>
        <v/>
      </c>
      <c r="N196" s="4" t="str">
        <f>IF(AtlasReport_1_Table_1[[#This Row],[Reference]]="Purchase order",_xll.AtlasFormulas.AtlasFunctions.AtlasBalance("UAT",DataAreaId,"T.MarkupTrans","Sum|Posted|0","","","","","","","MarkupCode|TransTableId|TransRecId","TPP","492",$L196),"")</f>
        <v/>
      </c>
    </row>
    <row r="197" spans="1:14" x14ac:dyDescent="0.25">
      <c r="A197" s="8" t="s">
        <v>252</v>
      </c>
      <c r="B197" s="8" t="s">
        <v>733</v>
      </c>
      <c r="C197" s="8" t="s">
        <v>59</v>
      </c>
      <c r="D197" s="8" t="s">
        <v>93</v>
      </c>
      <c r="E197" s="8" t="s">
        <v>261</v>
      </c>
      <c r="F197" s="8" t="s">
        <v>264</v>
      </c>
      <c r="G197" s="6">
        <v>43083</v>
      </c>
      <c r="H197" s="6">
        <v>43083</v>
      </c>
      <c r="I197" s="4">
        <v>100</v>
      </c>
      <c r="J197" s="8" t="s">
        <v>39</v>
      </c>
      <c r="K197" s="8" t="s">
        <v>834</v>
      </c>
      <c r="L197" s="4" t="str">
        <f>IF(AtlasReport_1_Table_1[[#This Row],[Reference]]="Purchase order",_xll.AtlasFormulas.AtlasFunctions.AtlasTable("UAT",DataAreaId,"T.VendInvoiceTrans","%RecId","","","","","","","ItemId|PurchID|InventTransId",$C197,$B197,$K197),"")</f>
        <v/>
      </c>
      <c r="M197" s="4" t="str">
        <f>IF(AtlasReport_1_Table_1[[#This Row],[Reference]]="Purchase order",_xll.AtlasFormulas.AtlasFunctions.AtlasTable("UAT",DataAreaId,"T.MarkupTrans","%CurrencyCode","","","","","","","MarkupCode|TransRecId|TransTableId","TPP",$L197,"492"),"")</f>
        <v/>
      </c>
      <c r="N197" s="4" t="str">
        <f>IF(AtlasReport_1_Table_1[[#This Row],[Reference]]="Purchase order",_xll.AtlasFormulas.AtlasFunctions.AtlasBalance("UAT",DataAreaId,"T.MarkupTrans","Sum|Posted|0","","","","","","","MarkupCode|TransTableId|TransRecId","TPP","492",$L197),"")</f>
        <v/>
      </c>
    </row>
    <row r="198" spans="1:14" x14ac:dyDescent="0.25">
      <c r="A198" s="8" t="s">
        <v>252</v>
      </c>
      <c r="B198" s="8" t="s">
        <v>733</v>
      </c>
      <c r="C198" s="8" t="s">
        <v>24</v>
      </c>
      <c r="D198" s="8" t="s">
        <v>34</v>
      </c>
      <c r="E198" s="8" t="s">
        <v>261</v>
      </c>
      <c r="F198" s="8" t="s">
        <v>264</v>
      </c>
      <c r="G198" s="6">
        <v>43083</v>
      </c>
      <c r="H198" s="6">
        <v>43083</v>
      </c>
      <c r="I198" s="4">
        <v>100</v>
      </c>
      <c r="J198" s="8" t="s">
        <v>39</v>
      </c>
      <c r="K198" s="8" t="s">
        <v>854</v>
      </c>
      <c r="L198" s="4" t="str">
        <f>IF(AtlasReport_1_Table_1[[#This Row],[Reference]]="Purchase order",_xll.AtlasFormulas.AtlasFunctions.AtlasTable("UAT",DataAreaId,"T.VendInvoiceTrans","%RecId","","","","","","","ItemId|PurchID|InventTransId",$C198,$B198,$K198),"")</f>
        <v/>
      </c>
      <c r="M198" s="4" t="str">
        <f>IF(AtlasReport_1_Table_1[[#This Row],[Reference]]="Purchase order",_xll.AtlasFormulas.AtlasFunctions.AtlasTable("UAT",DataAreaId,"T.MarkupTrans","%CurrencyCode","","","","","","","MarkupCode|TransRecId|TransTableId","TPP",$L198,"492"),"")</f>
        <v/>
      </c>
      <c r="N198" s="4" t="str">
        <f>IF(AtlasReport_1_Table_1[[#This Row],[Reference]]="Purchase order",_xll.AtlasFormulas.AtlasFunctions.AtlasBalance("UAT",DataAreaId,"T.MarkupTrans","Sum|Posted|0","","","","","","","MarkupCode|TransTableId|TransRecId","TPP","492",$L198),"")</f>
        <v/>
      </c>
    </row>
    <row r="199" spans="1:14" x14ac:dyDescent="0.25">
      <c r="A199" s="8" t="s">
        <v>252</v>
      </c>
      <c r="B199" s="8" t="s">
        <v>733</v>
      </c>
      <c r="C199" s="8" t="s">
        <v>244</v>
      </c>
      <c r="D199" s="8" t="s">
        <v>245</v>
      </c>
      <c r="E199" s="8" t="s">
        <v>261</v>
      </c>
      <c r="F199" s="8" t="s">
        <v>264</v>
      </c>
      <c r="G199" s="6">
        <v>43083</v>
      </c>
      <c r="H199" s="6">
        <v>43083</v>
      </c>
      <c r="I199" s="4">
        <v>12</v>
      </c>
      <c r="J199" s="8" t="s">
        <v>37</v>
      </c>
      <c r="K199" s="8" t="s">
        <v>942</v>
      </c>
      <c r="L199" s="4" t="str">
        <f>IF(AtlasReport_1_Table_1[[#This Row],[Reference]]="Purchase order",_xll.AtlasFormulas.AtlasFunctions.AtlasTable("UAT",DataAreaId,"T.VendInvoiceTrans","%RecId","","","","","","","ItemId|PurchID|InventTransId",$C199,$B199,$K199),"")</f>
        <v/>
      </c>
      <c r="M199" s="4" t="str">
        <f>IF(AtlasReport_1_Table_1[[#This Row],[Reference]]="Purchase order",_xll.AtlasFormulas.AtlasFunctions.AtlasTable("UAT",DataAreaId,"T.MarkupTrans","%CurrencyCode","","","","","","","MarkupCode|TransRecId|TransTableId","TPP",$L199,"492"),"")</f>
        <v/>
      </c>
      <c r="N199" s="4" t="str">
        <f>IF(AtlasReport_1_Table_1[[#This Row],[Reference]]="Purchase order",_xll.AtlasFormulas.AtlasFunctions.AtlasBalance("UAT",DataAreaId,"T.MarkupTrans","Sum|Posted|0","","","","","","","MarkupCode|TransTableId|TransRecId","TPP","492",$L199),"")</f>
        <v/>
      </c>
    </row>
    <row r="200" spans="1:14" x14ac:dyDescent="0.25">
      <c r="A200" s="8" t="s">
        <v>252</v>
      </c>
      <c r="B200" s="8" t="s">
        <v>733</v>
      </c>
      <c r="C200" s="8" t="s">
        <v>19</v>
      </c>
      <c r="D200" s="8" t="s">
        <v>35</v>
      </c>
      <c r="E200" s="8" t="s">
        <v>261</v>
      </c>
      <c r="F200" s="8" t="s">
        <v>264</v>
      </c>
      <c r="G200" s="6">
        <v>43083</v>
      </c>
      <c r="H200" s="6">
        <v>43083</v>
      </c>
      <c r="I200" s="4">
        <v>1</v>
      </c>
      <c r="J200" s="8" t="s">
        <v>37</v>
      </c>
      <c r="K200" s="8" t="s">
        <v>1598</v>
      </c>
      <c r="L200" s="4" t="str">
        <f>IF(AtlasReport_1_Table_1[[#This Row],[Reference]]="Purchase order",_xll.AtlasFormulas.AtlasFunctions.AtlasTable("UAT",DataAreaId,"T.VendInvoiceTrans","%RecId","","","","","","","ItemId|PurchID|InventTransId",$C200,$B200,$K200),"")</f>
        <v/>
      </c>
      <c r="M200" s="4" t="str">
        <f>IF(AtlasReport_1_Table_1[[#This Row],[Reference]]="Purchase order",_xll.AtlasFormulas.AtlasFunctions.AtlasTable("UAT",DataAreaId,"T.MarkupTrans","%CurrencyCode","","","","","","","MarkupCode|TransRecId|TransTableId","TPP",$L200,"492"),"")</f>
        <v/>
      </c>
      <c r="N200" s="4" t="str">
        <f>IF(AtlasReport_1_Table_1[[#This Row],[Reference]]="Purchase order",_xll.AtlasFormulas.AtlasFunctions.AtlasBalance("UAT",DataAreaId,"T.MarkupTrans","Sum|Posted|0","","","","","","","MarkupCode|TransTableId|TransRecId","TPP","492",$L200),"")</f>
        <v/>
      </c>
    </row>
    <row r="201" spans="1:14" x14ac:dyDescent="0.25">
      <c r="A201" s="8" t="s">
        <v>252</v>
      </c>
      <c r="B201" s="8" t="s">
        <v>736</v>
      </c>
      <c r="C201" s="8" t="s">
        <v>143</v>
      </c>
      <c r="D201" s="8" t="s">
        <v>198</v>
      </c>
      <c r="E201" s="8" t="s">
        <v>261</v>
      </c>
      <c r="F201" s="8" t="s">
        <v>264</v>
      </c>
      <c r="G201" s="6">
        <v>43083</v>
      </c>
      <c r="H201" s="6">
        <v>43084</v>
      </c>
      <c r="I201" s="4">
        <v>-67</v>
      </c>
      <c r="J201" s="8" t="s">
        <v>38</v>
      </c>
      <c r="K201" s="8" t="s">
        <v>1599</v>
      </c>
      <c r="L201" s="4" t="str">
        <f>IF(AtlasReport_1_Table_1[[#This Row],[Reference]]="Purchase order",_xll.AtlasFormulas.AtlasFunctions.AtlasTable("UAT",DataAreaId,"T.VendInvoiceTrans","%RecId","","","","","","","ItemId|PurchID|InventTransId",$C201,$B201,$K201),"")</f>
        <v/>
      </c>
      <c r="M201" s="4" t="str">
        <f>IF(AtlasReport_1_Table_1[[#This Row],[Reference]]="Purchase order",_xll.AtlasFormulas.AtlasFunctions.AtlasTable("UAT",DataAreaId,"T.MarkupTrans","%CurrencyCode","","","","","","","MarkupCode|TransRecId|TransTableId","TPP",$L201,"492"),"")</f>
        <v/>
      </c>
      <c r="N201" s="4" t="str">
        <f>IF(AtlasReport_1_Table_1[[#This Row],[Reference]]="Purchase order",_xll.AtlasFormulas.AtlasFunctions.AtlasBalance("UAT",DataAreaId,"T.MarkupTrans","Sum|Posted|0","","","","","","","MarkupCode|TransTableId|TransRecId","TPP","492",$L201),"")</f>
        <v/>
      </c>
    </row>
    <row r="202" spans="1:14" x14ac:dyDescent="0.25">
      <c r="A202" s="8" t="s">
        <v>252</v>
      </c>
      <c r="B202" s="8" t="s">
        <v>736</v>
      </c>
      <c r="C202" s="8" t="s">
        <v>56</v>
      </c>
      <c r="D202" s="8" t="s">
        <v>126</v>
      </c>
      <c r="E202" s="8" t="s">
        <v>261</v>
      </c>
      <c r="F202" s="8" t="s">
        <v>264</v>
      </c>
      <c r="G202" s="6">
        <v>43083</v>
      </c>
      <c r="H202" s="6">
        <v>43084</v>
      </c>
      <c r="I202" s="4">
        <v>-150</v>
      </c>
      <c r="J202" s="8" t="s">
        <v>39</v>
      </c>
      <c r="K202" s="8" t="s">
        <v>738</v>
      </c>
      <c r="L202" s="4" t="str">
        <f>IF(AtlasReport_1_Table_1[[#This Row],[Reference]]="Purchase order",_xll.AtlasFormulas.AtlasFunctions.AtlasTable("UAT",DataAreaId,"T.VendInvoiceTrans","%RecId","","","","","","","ItemId|PurchID|InventTransId",$C202,$B202,$K202),"")</f>
        <v/>
      </c>
      <c r="M202" s="4" t="str">
        <f>IF(AtlasReport_1_Table_1[[#This Row],[Reference]]="Purchase order",_xll.AtlasFormulas.AtlasFunctions.AtlasTable("UAT",DataAreaId,"T.MarkupTrans","%CurrencyCode","","","","","","","MarkupCode|TransRecId|TransTableId","TPP",$L202,"492"),"")</f>
        <v/>
      </c>
      <c r="N202" s="4" t="str">
        <f>IF(AtlasReport_1_Table_1[[#This Row],[Reference]]="Purchase order",_xll.AtlasFormulas.AtlasFunctions.AtlasBalance("UAT",DataAreaId,"T.MarkupTrans","Sum|Posted|0","","","","","","","MarkupCode|TransTableId|TransRecId","TPP","492",$L202),"")</f>
        <v/>
      </c>
    </row>
    <row r="203" spans="1:14" x14ac:dyDescent="0.25">
      <c r="A203" s="8" t="s">
        <v>252</v>
      </c>
      <c r="B203" s="8" t="s">
        <v>736</v>
      </c>
      <c r="C203" s="8" t="s">
        <v>29</v>
      </c>
      <c r="D203" s="8" t="s">
        <v>33</v>
      </c>
      <c r="E203" s="8" t="s">
        <v>261</v>
      </c>
      <c r="F203" s="8" t="s">
        <v>264</v>
      </c>
      <c r="G203" s="6">
        <v>43083</v>
      </c>
      <c r="H203" s="6">
        <v>43084</v>
      </c>
      <c r="I203" s="4">
        <v>-150</v>
      </c>
      <c r="J203" s="8" t="s">
        <v>39</v>
      </c>
      <c r="K203" s="8" t="s">
        <v>770</v>
      </c>
      <c r="L203" s="4" t="str">
        <f>IF(AtlasReport_1_Table_1[[#This Row],[Reference]]="Purchase order",_xll.AtlasFormulas.AtlasFunctions.AtlasTable("UAT",DataAreaId,"T.VendInvoiceTrans","%RecId","","","","","","","ItemId|PurchID|InventTransId",$C203,$B203,$K203),"")</f>
        <v/>
      </c>
      <c r="M203" s="4" t="str">
        <f>IF(AtlasReport_1_Table_1[[#This Row],[Reference]]="Purchase order",_xll.AtlasFormulas.AtlasFunctions.AtlasTable("UAT",DataAreaId,"T.MarkupTrans","%CurrencyCode","","","","","","","MarkupCode|TransRecId|TransTableId","TPP",$L203,"492"),"")</f>
        <v/>
      </c>
      <c r="N203" s="4" t="str">
        <f>IF(AtlasReport_1_Table_1[[#This Row],[Reference]]="Purchase order",_xll.AtlasFormulas.AtlasFunctions.AtlasBalance("UAT",DataAreaId,"T.MarkupTrans","Sum|Posted|0","","","","","","","MarkupCode|TransTableId|TransRecId","TPP","492",$L203),"")</f>
        <v/>
      </c>
    </row>
    <row r="204" spans="1:14" x14ac:dyDescent="0.25">
      <c r="A204" s="8" t="s">
        <v>252</v>
      </c>
      <c r="B204" s="8" t="s">
        <v>736</v>
      </c>
      <c r="C204" s="8" t="s">
        <v>58</v>
      </c>
      <c r="D204" s="8" t="s">
        <v>127</v>
      </c>
      <c r="E204" s="8" t="s">
        <v>261</v>
      </c>
      <c r="F204" s="8" t="s">
        <v>264</v>
      </c>
      <c r="G204" s="6">
        <v>43083</v>
      </c>
      <c r="H204" s="6">
        <v>43084</v>
      </c>
      <c r="I204" s="4">
        <v>-150</v>
      </c>
      <c r="J204" s="8" t="s">
        <v>39</v>
      </c>
      <c r="K204" s="8" t="s">
        <v>804</v>
      </c>
      <c r="L204" s="4" t="str">
        <f>IF(AtlasReport_1_Table_1[[#This Row],[Reference]]="Purchase order",_xll.AtlasFormulas.AtlasFunctions.AtlasTable("UAT",DataAreaId,"T.VendInvoiceTrans","%RecId","","","","","","","ItemId|PurchID|InventTransId",$C204,$B204,$K204),"")</f>
        <v/>
      </c>
      <c r="M204" s="4" t="str">
        <f>IF(AtlasReport_1_Table_1[[#This Row],[Reference]]="Purchase order",_xll.AtlasFormulas.AtlasFunctions.AtlasTable("UAT",DataAreaId,"T.MarkupTrans","%CurrencyCode","","","","","","","MarkupCode|TransRecId|TransTableId","TPP",$L204,"492"),"")</f>
        <v/>
      </c>
      <c r="N204" s="4" t="str">
        <f>IF(AtlasReport_1_Table_1[[#This Row],[Reference]]="Purchase order",_xll.AtlasFormulas.AtlasFunctions.AtlasBalance("UAT",DataAreaId,"T.MarkupTrans","Sum|Posted|0","","","","","","","MarkupCode|TransTableId|TransRecId","TPP","492",$L204),"")</f>
        <v/>
      </c>
    </row>
    <row r="205" spans="1:14" x14ac:dyDescent="0.25">
      <c r="A205" s="8" t="s">
        <v>252</v>
      </c>
      <c r="B205" s="8" t="s">
        <v>736</v>
      </c>
      <c r="C205" s="8" t="s">
        <v>59</v>
      </c>
      <c r="D205" s="8" t="s">
        <v>93</v>
      </c>
      <c r="E205" s="8" t="s">
        <v>261</v>
      </c>
      <c r="F205" s="8" t="s">
        <v>264</v>
      </c>
      <c r="G205" s="6">
        <v>43083</v>
      </c>
      <c r="H205" s="6">
        <v>43084</v>
      </c>
      <c r="I205" s="4">
        <v>-100</v>
      </c>
      <c r="J205" s="8" t="s">
        <v>39</v>
      </c>
      <c r="K205" s="8" t="s">
        <v>835</v>
      </c>
      <c r="L205" s="4" t="str">
        <f>IF(AtlasReport_1_Table_1[[#This Row],[Reference]]="Purchase order",_xll.AtlasFormulas.AtlasFunctions.AtlasTable("UAT",DataAreaId,"T.VendInvoiceTrans","%RecId","","","","","","","ItemId|PurchID|InventTransId",$C205,$B205,$K205),"")</f>
        <v/>
      </c>
      <c r="M205" s="4" t="str">
        <f>IF(AtlasReport_1_Table_1[[#This Row],[Reference]]="Purchase order",_xll.AtlasFormulas.AtlasFunctions.AtlasTable("UAT",DataAreaId,"T.MarkupTrans","%CurrencyCode","","","","","","","MarkupCode|TransRecId|TransTableId","TPP",$L205,"492"),"")</f>
        <v/>
      </c>
      <c r="N205" s="4" t="str">
        <f>IF(AtlasReport_1_Table_1[[#This Row],[Reference]]="Purchase order",_xll.AtlasFormulas.AtlasFunctions.AtlasBalance("UAT",DataAreaId,"T.MarkupTrans","Sum|Posted|0","","","","","","","MarkupCode|TransTableId|TransRecId","TPP","492",$L205),"")</f>
        <v/>
      </c>
    </row>
    <row r="206" spans="1:14" x14ac:dyDescent="0.25">
      <c r="A206" s="8" t="s">
        <v>252</v>
      </c>
      <c r="B206" s="8" t="s">
        <v>736</v>
      </c>
      <c r="C206" s="8" t="s">
        <v>24</v>
      </c>
      <c r="D206" s="8" t="s">
        <v>34</v>
      </c>
      <c r="E206" s="8" t="s">
        <v>261</v>
      </c>
      <c r="F206" s="8" t="s">
        <v>264</v>
      </c>
      <c r="G206" s="6">
        <v>43083</v>
      </c>
      <c r="H206" s="6">
        <v>43084</v>
      </c>
      <c r="I206" s="4">
        <v>-100</v>
      </c>
      <c r="J206" s="8" t="s">
        <v>39</v>
      </c>
      <c r="K206" s="8" t="s">
        <v>861</v>
      </c>
      <c r="L206" s="4" t="str">
        <f>IF(AtlasReport_1_Table_1[[#This Row],[Reference]]="Purchase order",_xll.AtlasFormulas.AtlasFunctions.AtlasTable("UAT",DataAreaId,"T.VendInvoiceTrans","%RecId","","","","","","","ItemId|PurchID|InventTransId",$C206,$B206,$K206),"")</f>
        <v/>
      </c>
      <c r="M206" s="4" t="str">
        <f>IF(AtlasReport_1_Table_1[[#This Row],[Reference]]="Purchase order",_xll.AtlasFormulas.AtlasFunctions.AtlasTable("UAT",DataAreaId,"T.MarkupTrans","%CurrencyCode","","","","","","","MarkupCode|TransRecId|TransTableId","TPP",$L206,"492"),"")</f>
        <v/>
      </c>
      <c r="N206" s="4" t="str">
        <f>IF(AtlasReport_1_Table_1[[#This Row],[Reference]]="Purchase order",_xll.AtlasFormulas.AtlasFunctions.AtlasBalance("UAT",DataAreaId,"T.MarkupTrans","Sum|Posted|0","","","","","","","MarkupCode|TransTableId|TransRecId","TPP","492",$L206),"")</f>
        <v/>
      </c>
    </row>
    <row r="207" spans="1:14" x14ac:dyDescent="0.25">
      <c r="A207" s="8" t="s">
        <v>252</v>
      </c>
      <c r="B207" s="8" t="s">
        <v>736</v>
      </c>
      <c r="C207" s="8" t="s">
        <v>244</v>
      </c>
      <c r="D207" s="8" t="s">
        <v>245</v>
      </c>
      <c r="E207" s="8" t="s">
        <v>261</v>
      </c>
      <c r="F207" s="8" t="s">
        <v>264</v>
      </c>
      <c r="G207" s="6">
        <v>43083</v>
      </c>
      <c r="H207" s="6">
        <v>43084</v>
      </c>
      <c r="I207" s="4">
        <v>-12</v>
      </c>
      <c r="J207" s="8" t="s">
        <v>37</v>
      </c>
      <c r="K207" s="8" t="s">
        <v>966</v>
      </c>
      <c r="L207" s="4" t="str">
        <f>IF(AtlasReport_1_Table_1[[#This Row],[Reference]]="Purchase order",_xll.AtlasFormulas.AtlasFunctions.AtlasTable("UAT",DataAreaId,"T.VendInvoiceTrans","%RecId","","","","","","","ItemId|PurchID|InventTransId",$C207,$B207,$K207),"")</f>
        <v/>
      </c>
      <c r="M207" s="4" t="str">
        <f>IF(AtlasReport_1_Table_1[[#This Row],[Reference]]="Purchase order",_xll.AtlasFormulas.AtlasFunctions.AtlasTable("UAT",DataAreaId,"T.MarkupTrans","%CurrencyCode","","","","","","","MarkupCode|TransRecId|TransTableId","TPP",$L207,"492"),"")</f>
        <v/>
      </c>
      <c r="N207" s="4" t="str">
        <f>IF(AtlasReport_1_Table_1[[#This Row],[Reference]]="Purchase order",_xll.AtlasFormulas.AtlasFunctions.AtlasBalance("UAT",DataAreaId,"T.MarkupTrans","Sum|Posted|0","","","","","","","MarkupCode|TransTableId|TransRecId","TPP","492",$L207),"")</f>
        <v/>
      </c>
    </row>
    <row r="208" spans="1:14" x14ac:dyDescent="0.25">
      <c r="A208" s="8" t="s">
        <v>252</v>
      </c>
      <c r="B208" s="8" t="s">
        <v>736</v>
      </c>
      <c r="C208" s="8" t="s">
        <v>19</v>
      </c>
      <c r="D208" s="8" t="s">
        <v>35</v>
      </c>
      <c r="E208" s="8" t="s">
        <v>261</v>
      </c>
      <c r="F208" s="8" t="s">
        <v>264</v>
      </c>
      <c r="G208" s="6">
        <v>43083</v>
      </c>
      <c r="H208" s="6">
        <v>43084</v>
      </c>
      <c r="I208" s="4">
        <v>-1</v>
      </c>
      <c r="J208" s="8" t="s">
        <v>37</v>
      </c>
      <c r="K208" s="8" t="s">
        <v>1600</v>
      </c>
      <c r="L208" s="4" t="str">
        <f>IF(AtlasReport_1_Table_1[[#This Row],[Reference]]="Purchase order",_xll.AtlasFormulas.AtlasFunctions.AtlasTable("UAT",DataAreaId,"T.VendInvoiceTrans","%RecId","","","","","","","ItemId|PurchID|InventTransId",$C208,$B208,$K208),"")</f>
        <v/>
      </c>
      <c r="M208" s="4" t="str">
        <f>IF(AtlasReport_1_Table_1[[#This Row],[Reference]]="Purchase order",_xll.AtlasFormulas.AtlasFunctions.AtlasTable("UAT",DataAreaId,"T.MarkupTrans","%CurrencyCode","","","","","","","MarkupCode|TransRecId|TransTableId","TPP",$L208,"492"),"")</f>
        <v/>
      </c>
      <c r="N208" s="4" t="str">
        <f>IF(AtlasReport_1_Table_1[[#This Row],[Reference]]="Purchase order",_xll.AtlasFormulas.AtlasFunctions.AtlasBalance("UAT",DataAreaId,"T.MarkupTrans","Sum|Posted|0","","","","","","","MarkupCode|TransTableId|TransRecId","TPP","492",$L208),"")</f>
        <v/>
      </c>
    </row>
    <row r="209" spans="1:14" x14ac:dyDescent="0.25">
      <c r="A209" s="8" t="s">
        <v>252</v>
      </c>
      <c r="B209" s="8" t="s">
        <v>726</v>
      </c>
      <c r="C209" s="8" t="s">
        <v>111</v>
      </c>
      <c r="D209" s="8" t="s">
        <v>112</v>
      </c>
      <c r="E209" s="8" t="s">
        <v>261</v>
      </c>
      <c r="F209" s="8" t="s">
        <v>264</v>
      </c>
      <c r="G209" s="6">
        <v>43084</v>
      </c>
      <c r="H209" s="6">
        <v>43087</v>
      </c>
      <c r="I209" s="4">
        <v>-8</v>
      </c>
      <c r="J209" s="8" t="s">
        <v>39</v>
      </c>
      <c r="K209" s="8" t="s">
        <v>728</v>
      </c>
      <c r="L209" s="4" t="str">
        <f>IF(AtlasReport_1_Table_1[[#This Row],[Reference]]="Purchase order",_xll.AtlasFormulas.AtlasFunctions.AtlasTable("UAT",DataAreaId,"T.VendInvoiceTrans","%RecId","","","","","","","ItemId|PurchID|InventTransId",$C209,$B209,$K209),"")</f>
        <v/>
      </c>
      <c r="M209" s="4" t="str">
        <f>IF(AtlasReport_1_Table_1[[#This Row],[Reference]]="Purchase order",_xll.AtlasFormulas.AtlasFunctions.AtlasTable("UAT",DataAreaId,"T.MarkupTrans","%CurrencyCode","","","","","","","MarkupCode|TransRecId|TransTableId","TPP",$L209,"492"),"")</f>
        <v/>
      </c>
      <c r="N209" s="4" t="str">
        <f>IF(AtlasReport_1_Table_1[[#This Row],[Reference]]="Purchase order",_xll.AtlasFormulas.AtlasFunctions.AtlasBalance("UAT",DataAreaId,"T.MarkupTrans","Sum|Posted|0","","","","","","","MarkupCode|TransTableId|TransRecId","TPP","492",$L209),"")</f>
        <v/>
      </c>
    </row>
    <row r="210" spans="1:14" x14ac:dyDescent="0.25">
      <c r="A210" s="8" t="s">
        <v>252</v>
      </c>
      <c r="B210" s="8" t="s">
        <v>726</v>
      </c>
      <c r="C210" s="8" t="s">
        <v>1424</v>
      </c>
      <c r="D210" s="8" t="s">
        <v>1425</v>
      </c>
      <c r="E210" s="8" t="s">
        <v>261</v>
      </c>
      <c r="F210" s="8" t="s">
        <v>264</v>
      </c>
      <c r="G210" s="6">
        <v>43084</v>
      </c>
      <c r="H210" s="6">
        <v>43087</v>
      </c>
      <c r="I210" s="4">
        <v>-1</v>
      </c>
      <c r="J210" s="8" t="s">
        <v>37</v>
      </c>
      <c r="K210" s="8" t="s">
        <v>1601</v>
      </c>
      <c r="L210" s="4" t="str">
        <f>IF(AtlasReport_1_Table_1[[#This Row],[Reference]]="Purchase order",_xll.AtlasFormulas.AtlasFunctions.AtlasTable("UAT",DataAreaId,"T.VendInvoiceTrans","%RecId","","","","","","","ItemId|PurchID|InventTransId",$C210,$B210,$K210),"")</f>
        <v/>
      </c>
      <c r="M210" s="4" t="str">
        <f>IF(AtlasReport_1_Table_1[[#This Row],[Reference]]="Purchase order",_xll.AtlasFormulas.AtlasFunctions.AtlasTable("UAT",DataAreaId,"T.MarkupTrans","%CurrencyCode","","","","","","","MarkupCode|TransRecId|TransTableId","TPP",$L210,"492"),"")</f>
        <v/>
      </c>
      <c r="N210" s="4" t="str">
        <f>IF(AtlasReport_1_Table_1[[#This Row],[Reference]]="Purchase order",_xll.AtlasFormulas.AtlasFunctions.AtlasBalance("UAT",DataAreaId,"T.MarkupTrans","Sum|Posted|0","","","","","","","MarkupCode|TransTableId|TransRecId","TPP","492",$L210),"")</f>
        <v/>
      </c>
    </row>
    <row r="211" spans="1:14" x14ac:dyDescent="0.25">
      <c r="A211" s="8" t="s">
        <v>252</v>
      </c>
      <c r="B211" s="8" t="s">
        <v>1602</v>
      </c>
      <c r="C211" s="8" t="s">
        <v>994</v>
      </c>
      <c r="D211" s="8" t="s">
        <v>995</v>
      </c>
      <c r="E211" s="8" t="s">
        <v>261</v>
      </c>
      <c r="F211" s="8" t="s">
        <v>264</v>
      </c>
      <c r="G211" s="6">
        <v>43084</v>
      </c>
      <c r="H211" s="6">
        <v>43084</v>
      </c>
      <c r="I211" s="4">
        <v>-17940</v>
      </c>
      <c r="J211" s="8" t="s">
        <v>120</v>
      </c>
      <c r="K211" s="8" t="s">
        <v>1603</v>
      </c>
      <c r="L211" s="4" t="str">
        <f>IF(AtlasReport_1_Table_1[[#This Row],[Reference]]="Purchase order",_xll.AtlasFormulas.AtlasFunctions.AtlasTable("UAT",DataAreaId,"T.VendInvoiceTrans","%RecId","","","","","","","ItemId|PurchID|InventTransId",$C211,$B211,$K211),"")</f>
        <v/>
      </c>
      <c r="M211" s="4" t="str">
        <f>IF(AtlasReport_1_Table_1[[#This Row],[Reference]]="Purchase order",_xll.AtlasFormulas.AtlasFunctions.AtlasTable("UAT",DataAreaId,"T.MarkupTrans","%CurrencyCode","","","","","","","MarkupCode|TransRecId|TransTableId","TPP",$L211,"492"),"")</f>
        <v/>
      </c>
      <c r="N211" s="4" t="str">
        <f>IF(AtlasReport_1_Table_1[[#This Row],[Reference]]="Purchase order",_xll.AtlasFormulas.AtlasFunctions.AtlasBalance("UAT",DataAreaId,"T.MarkupTrans","Sum|Posted|0","","","","","","","MarkupCode|TransTableId|TransRecId","TPP","492",$L211),"")</f>
        <v/>
      </c>
    </row>
    <row r="212" spans="1:14" x14ac:dyDescent="0.25">
      <c r="A212" s="8" t="s">
        <v>252</v>
      </c>
      <c r="B212" s="8" t="s">
        <v>1602</v>
      </c>
      <c r="C212" s="8" t="s">
        <v>292</v>
      </c>
      <c r="D212" s="8" t="s">
        <v>1009</v>
      </c>
      <c r="E212" s="8" t="s">
        <v>261</v>
      </c>
      <c r="F212" s="8" t="s">
        <v>264</v>
      </c>
      <c r="G212" s="6">
        <v>43084</v>
      </c>
      <c r="H212" s="6">
        <v>43084</v>
      </c>
      <c r="I212" s="4">
        <v>-17940</v>
      </c>
      <c r="J212" s="8" t="s">
        <v>120</v>
      </c>
      <c r="K212" s="8" t="s">
        <v>1604</v>
      </c>
      <c r="L212" s="4" t="str">
        <f>IF(AtlasReport_1_Table_1[[#This Row],[Reference]]="Purchase order",_xll.AtlasFormulas.AtlasFunctions.AtlasTable("UAT",DataAreaId,"T.VendInvoiceTrans","%RecId","","","","","","","ItemId|PurchID|InventTransId",$C212,$B212,$K212),"")</f>
        <v/>
      </c>
      <c r="M212" s="4" t="str">
        <f>IF(AtlasReport_1_Table_1[[#This Row],[Reference]]="Purchase order",_xll.AtlasFormulas.AtlasFunctions.AtlasTable("UAT",DataAreaId,"T.MarkupTrans","%CurrencyCode","","","","","","","MarkupCode|TransRecId|TransTableId","TPP",$L212,"492"),"")</f>
        <v/>
      </c>
      <c r="N212" s="4" t="str">
        <f>IF(AtlasReport_1_Table_1[[#This Row],[Reference]]="Purchase order",_xll.AtlasFormulas.AtlasFunctions.AtlasBalance("UAT",DataAreaId,"T.MarkupTrans","Sum|Posted|0","","","","","","","MarkupCode|TransTableId|TransRecId","TPP","492",$L212),"")</f>
        <v/>
      </c>
    </row>
    <row r="213" spans="1:14" x14ac:dyDescent="0.25">
      <c r="A213" s="8" t="s">
        <v>252</v>
      </c>
      <c r="B213" s="8" t="s">
        <v>1605</v>
      </c>
      <c r="C213" s="8" t="s">
        <v>457</v>
      </c>
      <c r="D213" s="8" t="s">
        <v>1244</v>
      </c>
      <c r="E213" s="8" t="s">
        <v>261</v>
      </c>
      <c r="F213" s="8" t="s">
        <v>264</v>
      </c>
      <c r="G213" s="6">
        <v>43084</v>
      </c>
      <c r="H213" s="6">
        <v>43087</v>
      </c>
      <c r="I213" s="4">
        <v>-2</v>
      </c>
      <c r="J213" s="8" t="s">
        <v>37</v>
      </c>
      <c r="K213" s="8" t="s">
        <v>1606</v>
      </c>
      <c r="L213" s="4" t="str">
        <f>IF(AtlasReport_1_Table_1[[#This Row],[Reference]]="Purchase order",_xll.AtlasFormulas.AtlasFunctions.AtlasTable("UAT",DataAreaId,"T.VendInvoiceTrans","%RecId","","","","","","","ItemId|PurchID|InventTransId",$C213,$B213,$K213),"")</f>
        <v/>
      </c>
      <c r="M213" s="4" t="str">
        <f>IF(AtlasReport_1_Table_1[[#This Row],[Reference]]="Purchase order",_xll.AtlasFormulas.AtlasFunctions.AtlasTable("UAT",DataAreaId,"T.MarkupTrans","%CurrencyCode","","","","","","","MarkupCode|TransRecId|TransTableId","TPP",$L213,"492"),"")</f>
        <v/>
      </c>
      <c r="N213" s="4" t="str">
        <f>IF(AtlasReport_1_Table_1[[#This Row],[Reference]]="Purchase order",_xll.AtlasFormulas.AtlasFunctions.AtlasBalance("UAT",DataAreaId,"T.MarkupTrans","Sum|Posted|0","","","","","","","MarkupCode|TransTableId|TransRecId","TPP","492",$L213),"")</f>
        <v/>
      </c>
    </row>
    <row r="214" spans="1:14" x14ac:dyDescent="0.25">
      <c r="A214" s="8" t="s">
        <v>252</v>
      </c>
      <c r="B214" s="8" t="s">
        <v>1605</v>
      </c>
      <c r="C214" s="8" t="s">
        <v>19</v>
      </c>
      <c r="D214" s="8" t="s">
        <v>35</v>
      </c>
      <c r="E214" s="8" t="s">
        <v>261</v>
      </c>
      <c r="F214" s="8" t="s">
        <v>264</v>
      </c>
      <c r="G214" s="6">
        <v>43084</v>
      </c>
      <c r="H214" s="6">
        <v>43087</v>
      </c>
      <c r="I214" s="4">
        <v>-1</v>
      </c>
      <c r="J214" s="8" t="s">
        <v>37</v>
      </c>
      <c r="K214" s="8" t="s">
        <v>1607</v>
      </c>
      <c r="L214" s="4" t="str">
        <f>IF(AtlasReport_1_Table_1[[#This Row],[Reference]]="Purchase order",_xll.AtlasFormulas.AtlasFunctions.AtlasTable("UAT",DataAreaId,"T.VendInvoiceTrans","%RecId","","","","","","","ItemId|PurchID|InventTransId",$C214,$B214,$K214),"")</f>
        <v/>
      </c>
      <c r="M214" s="4" t="str">
        <f>IF(AtlasReport_1_Table_1[[#This Row],[Reference]]="Purchase order",_xll.AtlasFormulas.AtlasFunctions.AtlasTable("UAT",DataAreaId,"T.MarkupTrans","%CurrencyCode","","","","","","","MarkupCode|TransRecId|TransTableId","TPP",$L214,"492"),"")</f>
        <v/>
      </c>
      <c r="N214" s="4" t="str">
        <f>IF(AtlasReport_1_Table_1[[#This Row],[Reference]]="Purchase order",_xll.AtlasFormulas.AtlasFunctions.AtlasBalance("UAT",DataAreaId,"T.MarkupTrans","Sum|Posted|0","","","","","","","MarkupCode|TransTableId|TransRecId","TPP","492",$L214),"")</f>
        <v/>
      </c>
    </row>
    <row r="215" spans="1:14" x14ac:dyDescent="0.25">
      <c r="A215" s="8" t="s">
        <v>252</v>
      </c>
      <c r="B215" s="8" t="s">
        <v>1608</v>
      </c>
      <c r="C215" s="8" t="s">
        <v>994</v>
      </c>
      <c r="D215" s="8" t="s">
        <v>995</v>
      </c>
      <c r="E215" s="8" t="s">
        <v>261</v>
      </c>
      <c r="F215" s="8" t="s">
        <v>264</v>
      </c>
      <c r="G215" s="6">
        <v>43084</v>
      </c>
      <c r="H215" s="6">
        <v>43084</v>
      </c>
      <c r="I215" s="4">
        <v>-13820</v>
      </c>
      <c r="J215" s="8" t="s">
        <v>120</v>
      </c>
      <c r="K215" s="8" t="s">
        <v>1609</v>
      </c>
      <c r="L215" s="4" t="str">
        <f>IF(AtlasReport_1_Table_1[[#This Row],[Reference]]="Purchase order",_xll.AtlasFormulas.AtlasFunctions.AtlasTable("UAT",DataAreaId,"T.VendInvoiceTrans","%RecId","","","","","","","ItemId|PurchID|InventTransId",$C215,$B215,$K215),"")</f>
        <v/>
      </c>
      <c r="M215" s="4" t="str">
        <f>IF(AtlasReport_1_Table_1[[#This Row],[Reference]]="Purchase order",_xll.AtlasFormulas.AtlasFunctions.AtlasTable("UAT",DataAreaId,"T.MarkupTrans","%CurrencyCode","","","","","","","MarkupCode|TransRecId|TransTableId","TPP",$L215,"492"),"")</f>
        <v/>
      </c>
      <c r="N215" s="4" t="str">
        <f>IF(AtlasReport_1_Table_1[[#This Row],[Reference]]="Purchase order",_xll.AtlasFormulas.AtlasFunctions.AtlasBalance("UAT",DataAreaId,"T.MarkupTrans","Sum|Posted|0","","","","","","","MarkupCode|TransTableId|TransRecId","TPP","492",$L215),"")</f>
        <v/>
      </c>
    </row>
    <row r="216" spans="1:14" x14ac:dyDescent="0.25">
      <c r="A216" s="8" t="s">
        <v>252</v>
      </c>
      <c r="B216" s="8" t="s">
        <v>1608</v>
      </c>
      <c r="C216" s="8" t="s">
        <v>292</v>
      </c>
      <c r="D216" s="8" t="s">
        <v>1009</v>
      </c>
      <c r="E216" s="8" t="s">
        <v>261</v>
      </c>
      <c r="F216" s="8" t="s">
        <v>264</v>
      </c>
      <c r="G216" s="6">
        <v>43084</v>
      </c>
      <c r="H216" s="6">
        <v>43084</v>
      </c>
      <c r="I216" s="4">
        <v>-13820</v>
      </c>
      <c r="J216" s="8" t="s">
        <v>120</v>
      </c>
      <c r="K216" s="8" t="s">
        <v>1610</v>
      </c>
      <c r="L216" s="4" t="str">
        <f>IF(AtlasReport_1_Table_1[[#This Row],[Reference]]="Purchase order",_xll.AtlasFormulas.AtlasFunctions.AtlasTable("UAT",DataAreaId,"T.VendInvoiceTrans","%RecId","","","","","","","ItemId|PurchID|InventTransId",$C216,$B216,$K216),"")</f>
        <v/>
      </c>
      <c r="M216" s="4" t="str">
        <f>IF(AtlasReport_1_Table_1[[#This Row],[Reference]]="Purchase order",_xll.AtlasFormulas.AtlasFunctions.AtlasTable("UAT",DataAreaId,"T.MarkupTrans","%CurrencyCode","","","","","","","MarkupCode|TransRecId|TransTableId","TPP",$L216,"492"),"")</f>
        <v/>
      </c>
      <c r="N216" s="4" t="str">
        <f>IF(AtlasReport_1_Table_1[[#This Row],[Reference]]="Purchase order",_xll.AtlasFormulas.AtlasFunctions.AtlasBalance("UAT",DataAreaId,"T.MarkupTrans","Sum|Posted|0","","","","","","","MarkupCode|TransTableId|TransRecId","TPP","492",$L216),"")</f>
        <v/>
      </c>
    </row>
    <row r="217" spans="1:14" x14ac:dyDescent="0.25">
      <c r="A217" s="8" t="s">
        <v>252</v>
      </c>
      <c r="B217" s="8" t="s">
        <v>1608</v>
      </c>
      <c r="C217" s="8" t="s">
        <v>19</v>
      </c>
      <c r="D217" s="8" t="s">
        <v>35</v>
      </c>
      <c r="E217" s="8" t="s">
        <v>261</v>
      </c>
      <c r="F217" s="8" t="s">
        <v>264</v>
      </c>
      <c r="G217" s="6">
        <v>43084</v>
      </c>
      <c r="H217" s="6">
        <v>43084</v>
      </c>
      <c r="I217" s="4">
        <v>-1</v>
      </c>
      <c r="J217" s="8" t="s">
        <v>37</v>
      </c>
      <c r="K217" s="8" t="s">
        <v>1611</v>
      </c>
      <c r="L217" s="4" t="str">
        <f>IF(AtlasReport_1_Table_1[[#This Row],[Reference]]="Purchase order",_xll.AtlasFormulas.AtlasFunctions.AtlasTable("UAT",DataAreaId,"T.VendInvoiceTrans","%RecId","","","","","","","ItemId|PurchID|InventTransId",$C217,$B217,$K217),"")</f>
        <v/>
      </c>
      <c r="M217" s="4" t="str">
        <f>IF(AtlasReport_1_Table_1[[#This Row],[Reference]]="Purchase order",_xll.AtlasFormulas.AtlasFunctions.AtlasTable("UAT",DataAreaId,"T.MarkupTrans","%CurrencyCode","","","","","","","MarkupCode|TransRecId|TransTableId","TPP",$L217,"492"),"")</f>
        <v/>
      </c>
      <c r="N217" s="4" t="str">
        <f>IF(AtlasReport_1_Table_1[[#This Row],[Reference]]="Purchase order",_xll.AtlasFormulas.AtlasFunctions.AtlasBalance("UAT",DataAreaId,"T.MarkupTrans","Sum|Posted|0","","","","","","","MarkupCode|TransTableId|TransRecId","TPP","492",$L217),"")</f>
        <v/>
      </c>
    </row>
    <row r="218" spans="1:14" x14ac:dyDescent="0.25">
      <c r="A218" s="8" t="s">
        <v>252</v>
      </c>
      <c r="B218" s="8" t="s">
        <v>1608</v>
      </c>
      <c r="C218" s="8" t="s">
        <v>19</v>
      </c>
      <c r="D218" s="8" t="s">
        <v>35</v>
      </c>
      <c r="E218" s="8" t="s">
        <v>261</v>
      </c>
      <c r="F218" s="8" t="s">
        <v>264</v>
      </c>
      <c r="G218" s="6">
        <v>43084</v>
      </c>
      <c r="H218" s="6">
        <v>43084</v>
      </c>
      <c r="I218" s="4">
        <v>-1</v>
      </c>
      <c r="J218" s="8" t="s">
        <v>37</v>
      </c>
      <c r="K218" s="8" t="s">
        <v>1612</v>
      </c>
      <c r="L218" s="4" t="str">
        <f>IF(AtlasReport_1_Table_1[[#This Row],[Reference]]="Purchase order",_xll.AtlasFormulas.AtlasFunctions.AtlasTable("UAT",DataAreaId,"T.VendInvoiceTrans","%RecId","","","","","","","ItemId|PurchID|InventTransId",$C218,$B218,$K218),"")</f>
        <v/>
      </c>
      <c r="M218" s="4" t="str">
        <f>IF(AtlasReport_1_Table_1[[#This Row],[Reference]]="Purchase order",_xll.AtlasFormulas.AtlasFunctions.AtlasTable("UAT",DataAreaId,"T.MarkupTrans","%CurrencyCode","","","","","","","MarkupCode|TransRecId|TransTableId","TPP",$L218,"492"),"")</f>
        <v/>
      </c>
      <c r="N218" s="4" t="str">
        <f>IF(AtlasReport_1_Table_1[[#This Row],[Reference]]="Purchase order",_xll.AtlasFormulas.AtlasFunctions.AtlasBalance("UAT",DataAreaId,"T.MarkupTrans","Sum|Posted|0","","","","","","","MarkupCode|TransTableId|TransRecId","TPP","492",$L218),"")</f>
        <v/>
      </c>
    </row>
    <row r="219" spans="1:14" x14ac:dyDescent="0.25">
      <c r="A219" s="8" t="s">
        <v>252</v>
      </c>
      <c r="B219" s="8" t="s">
        <v>811</v>
      </c>
      <c r="C219" s="8" t="s">
        <v>58</v>
      </c>
      <c r="D219" s="8" t="s">
        <v>127</v>
      </c>
      <c r="E219" s="8" t="s">
        <v>261</v>
      </c>
      <c r="F219" s="8" t="s">
        <v>264</v>
      </c>
      <c r="G219" s="6">
        <v>43084</v>
      </c>
      <c r="H219" s="6">
        <v>43087</v>
      </c>
      <c r="I219" s="4">
        <v>-5.85</v>
      </c>
      <c r="J219" s="8" t="s">
        <v>39</v>
      </c>
      <c r="K219" s="8" t="s">
        <v>813</v>
      </c>
      <c r="L219" s="4" t="str">
        <f>IF(AtlasReport_1_Table_1[[#This Row],[Reference]]="Purchase order",_xll.AtlasFormulas.AtlasFunctions.AtlasTable("UAT",DataAreaId,"T.VendInvoiceTrans","%RecId","","","","","","","ItemId|PurchID|InventTransId",$C219,$B219,$K219),"")</f>
        <v/>
      </c>
      <c r="M219" s="4" t="str">
        <f>IF(AtlasReport_1_Table_1[[#This Row],[Reference]]="Purchase order",_xll.AtlasFormulas.AtlasFunctions.AtlasTable("UAT",DataAreaId,"T.MarkupTrans","%CurrencyCode","","","","","","","MarkupCode|TransRecId|TransTableId","TPP",$L219,"492"),"")</f>
        <v/>
      </c>
      <c r="N219" s="4" t="str">
        <f>IF(AtlasReport_1_Table_1[[#This Row],[Reference]]="Purchase order",_xll.AtlasFormulas.AtlasFunctions.AtlasBalance("UAT",DataAreaId,"T.MarkupTrans","Sum|Posted|0","","","","","","","MarkupCode|TransTableId|TransRecId","TPP","492",$L219),"")</f>
        <v/>
      </c>
    </row>
    <row r="220" spans="1:14" x14ac:dyDescent="0.25">
      <c r="A220" s="8" t="s">
        <v>252</v>
      </c>
      <c r="B220" s="8" t="s">
        <v>811</v>
      </c>
      <c r="C220" s="8" t="s">
        <v>79</v>
      </c>
      <c r="D220" s="8" t="s">
        <v>206</v>
      </c>
      <c r="E220" s="8" t="s">
        <v>261</v>
      </c>
      <c r="F220" s="8" t="s">
        <v>264</v>
      </c>
      <c r="G220" s="6">
        <v>43084</v>
      </c>
      <c r="H220" s="6">
        <v>43087</v>
      </c>
      <c r="I220" s="4">
        <v>-1</v>
      </c>
      <c r="J220" s="8" t="s">
        <v>37</v>
      </c>
      <c r="K220" s="8" t="s">
        <v>1613</v>
      </c>
      <c r="L220" s="4" t="str">
        <f>IF(AtlasReport_1_Table_1[[#This Row],[Reference]]="Purchase order",_xll.AtlasFormulas.AtlasFunctions.AtlasTable("UAT",DataAreaId,"T.VendInvoiceTrans","%RecId","","","","","","","ItemId|PurchID|InventTransId",$C220,$B220,$K220),"")</f>
        <v/>
      </c>
      <c r="M220" s="4" t="str">
        <f>IF(AtlasReport_1_Table_1[[#This Row],[Reference]]="Purchase order",_xll.AtlasFormulas.AtlasFunctions.AtlasTable("UAT",DataAreaId,"T.MarkupTrans","%CurrencyCode","","","","","","","MarkupCode|TransRecId|TransTableId","TPP",$L220,"492"),"")</f>
        <v/>
      </c>
      <c r="N220" s="4" t="str">
        <f>IF(AtlasReport_1_Table_1[[#This Row],[Reference]]="Purchase order",_xll.AtlasFormulas.AtlasFunctions.AtlasBalance("UAT",DataAreaId,"T.MarkupTrans","Sum|Posted|0","","","","","","","MarkupCode|TransTableId|TransRecId","TPP","492",$L220),"")</f>
        <v/>
      </c>
    </row>
    <row r="221" spans="1:14" x14ac:dyDescent="0.25">
      <c r="A221" s="8" t="s">
        <v>252</v>
      </c>
      <c r="B221" s="8" t="s">
        <v>811</v>
      </c>
      <c r="C221" s="8" t="s">
        <v>23</v>
      </c>
      <c r="D221" s="8" t="s">
        <v>883</v>
      </c>
      <c r="E221" s="8" t="s">
        <v>261</v>
      </c>
      <c r="F221" s="8" t="s">
        <v>264</v>
      </c>
      <c r="G221" s="6">
        <v>43084</v>
      </c>
      <c r="H221" s="6">
        <v>43087</v>
      </c>
      <c r="I221" s="4">
        <v>-1</v>
      </c>
      <c r="J221" s="8" t="s">
        <v>37</v>
      </c>
      <c r="K221" s="8" t="s">
        <v>900</v>
      </c>
      <c r="L221" s="4" t="str">
        <f>IF(AtlasReport_1_Table_1[[#This Row],[Reference]]="Purchase order",_xll.AtlasFormulas.AtlasFunctions.AtlasTable("UAT",DataAreaId,"T.VendInvoiceTrans","%RecId","","","","","","","ItemId|PurchID|InventTransId",$C221,$B221,$K221),"")</f>
        <v/>
      </c>
      <c r="M221" s="4" t="str">
        <f>IF(AtlasReport_1_Table_1[[#This Row],[Reference]]="Purchase order",_xll.AtlasFormulas.AtlasFunctions.AtlasTable("UAT",DataAreaId,"T.MarkupTrans","%CurrencyCode","","","","","","","MarkupCode|TransRecId|TransTableId","TPP",$L221,"492"),"")</f>
        <v/>
      </c>
      <c r="N221" s="4" t="str">
        <f>IF(AtlasReport_1_Table_1[[#This Row],[Reference]]="Purchase order",_xll.AtlasFormulas.AtlasFunctions.AtlasBalance("UAT",DataAreaId,"T.MarkupTrans","Sum|Posted|0","","","","","","","MarkupCode|TransTableId|TransRecId","TPP","492",$L221),"")</f>
        <v/>
      </c>
    </row>
    <row r="222" spans="1:14" x14ac:dyDescent="0.25">
      <c r="A222" s="8" t="s">
        <v>252</v>
      </c>
      <c r="B222" s="8" t="s">
        <v>811</v>
      </c>
      <c r="C222" s="8" t="s">
        <v>19</v>
      </c>
      <c r="D222" s="8" t="s">
        <v>35</v>
      </c>
      <c r="E222" s="8" t="s">
        <v>261</v>
      </c>
      <c r="F222" s="8" t="s">
        <v>264</v>
      </c>
      <c r="G222" s="6">
        <v>43084</v>
      </c>
      <c r="H222" s="6">
        <v>43087</v>
      </c>
      <c r="I222" s="4">
        <v>-1</v>
      </c>
      <c r="J222" s="8" t="s">
        <v>37</v>
      </c>
      <c r="K222" s="8" t="s">
        <v>1614</v>
      </c>
      <c r="L222" s="4" t="str">
        <f>IF(AtlasReport_1_Table_1[[#This Row],[Reference]]="Purchase order",_xll.AtlasFormulas.AtlasFunctions.AtlasTable("UAT",DataAreaId,"T.VendInvoiceTrans","%RecId","","","","","","","ItemId|PurchID|InventTransId",$C222,$B222,$K222),"")</f>
        <v/>
      </c>
      <c r="M222" s="4" t="str">
        <f>IF(AtlasReport_1_Table_1[[#This Row],[Reference]]="Purchase order",_xll.AtlasFormulas.AtlasFunctions.AtlasTable("UAT",DataAreaId,"T.MarkupTrans","%CurrencyCode","","","","","","","MarkupCode|TransRecId|TransTableId","TPP",$L222,"492"),"")</f>
        <v/>
      </c>
      <c r="N222" s="4" t="str">
        <f>IF(AtlasReport_1_Table_1[[#This Row],[Reference]]="Purchase order",_xll.AtlasFormulas.AtlasFunctions.AtlasBalance("UAT",DataAreaId,"T.MarkupTrans","Sum|Posted|0","","","","","","","MarkupCode|TransTableId|TransRecId","TPP","492",$L222),"")</f>
        <v/>
      </c>
    </row>
    <row r="223" spans="1:14" x14ac:dyDescent="0.25">
      <c r="A223" s="8" t="s">
        <v>252</v>
      </c>
      <c r="B223" s="8" t="s">
        <v>754</v>
      </c>
      <c r="C223" s="8" t="s">
        <v>97</v>
      </c>
      <c r="D223" s="8" t="s">
        <v>98</v>
      </c>
      <c r="E223" s="8" t="s">
        <v>261</v>
      </c>
      <c r="F223" s="8" t="s">
        <v>264</v>
      </c>
      <c r="G223" s="6">
        <v>43087</v>
      </c>
      <c r="H223" s="6">
        <v>43088</v>
      </c>
      <c r="I223" s="4">
        <v>-58.8</v>
      </c>
      <c r="J223" s="8" t="s">
        <v>39</v>
      </c>
      <c r="K223" s="8" t="s">
        <v>756</v>
      </c>
      <c r="L223" s="4" t="str">
        <f>IF(AtlasReport_1_Table_1[[#This Row],[Reference]]="Purchase order",_xll.AtlasFormulas.AtlasFunctions.AtlasTable("UAT",DataAreaId,"T.VendInvoiceTrans","%RecId","","","","","","","ItemId|PurchID|InventTransId",$C223,$B223,$K223),"")</f>
        <v/>
      </c>
      <c r="M223" s="4" t="str">
        <f>IF(AtlasReport_1_Table_1[[#This Row],[Reference]]="Purchase order",_xll.AtlasFormulas.AtlasFunctions.AtlasTable("UAT",DataAreaId,"T.MarkupTrans","%CurrencyCode","","","","","","","MarkupCode|TransRecId|TransTableId","TPP",$L223,"492"),"")</f>
        <v/>
      </c>
      <c r="N223" s="4" t="str">
        <f>IF(AtlasReport_1_Table_1[[#This Row],[Reference]]="Purchase order",_xll.AtlasFormulas.AtlasFunctions.AtlasBalance("UAT",DataAreaId,"T.MarkupTrans","Sum|Posted|0","","","","","","","MarkupCode|TransTableId|TransRecId","TPP","492",$L223),"")</f>
        <v/>
      </c>
    </row>
    <row r="224" spans="1:14" x14ac:dyDescent="0.25">
      <c r="A224" s="8" t="s">
        <v>252</v>
      </c>
      <c r="B224" s="8" t="s">
        <v>754</v>
      </c>
      <c r="C224" s="8" t="s">
        <v>23</v>
      </c>
      <c r="D224" s="8" t="s">
        <v>883</v>
      </c>
      <c r="E224" s="8" t="s">
        <v>261</v>
      </c>
      <c r="F224" s="8" t="s">
        <v>264</v>
      </c>
      <c r="G224" s="6">
        <v>43087</v>
      </c>
      <c r="H224" s="6">
        <v>43088</v>
      </c>
      <c r="I224" s="4">
        <v>-1</v>
      </c>
      <c r="J224" s="8" t="s">
        <v>37</v>
      </c>
      <c r="K224" s="8" t="s">
        <v>901</v>
      </c>
      <c r="L224" s="4" t="str">
        <f>IF(AtlasReport_1_Table_1[[#This Row],[Reference]]="Purchase order",_xll.AtlasFormulas.AtlasFunctions.AtlasTable("UAT",DataAreaId,"T.VendInvoiceTrans","%RecId","","","","","","","ItemId|PurchID|InventTransId",$C224,$B224,$K224),"")</f>
        <v/>
      </c>
      <c r="M224" s="4" t="str">
        <f>IF(AtlasReport_1_Table_1[[#This Row],[Reference]]="Purchase order",_xll.AtlasFormulas.AtlasFunctions.AtlasTable("UAT",DataAreaId,"T.MarkupTrans","%CurrencyCode","","","","","","","MarkupCode|TransRecId|TransTableId","TPP",$L224,"492"),"")</f>
        <v/>
      </c>
      <c r="N224" s="4" t="str">
        <f>IF(AtlasReport_1_Table_1[[#This Row],[Reference]]="Purchase order",_xll.AtlasFormulas.AtlasFunctions.AtlasBalance("UAT",DataAreaId,"T.MarkupTrans","Sum|Posted|0","","","","","","","MarkupCode|TransTableId|TransRecId","TPP","492",$L224),"")</f>
        <v/>
      </c>
    </row>
    <row r="225" spans="1:14" x14ac:dyDescent="0.25">
      <c r="A225" s="8" t="s">
        <v>252</v>
      </c>
      <c r="B225" s="8" t="s">
        <v>754</v>
      </c>
      <c r="C225" s="8" t="s">
        <v>67</v>
      </c>
      <c r="D225" s="8" t="s">
        <v>907</v>
      </c>
      <c r="E225" s="8" t="s">
        <v>261</v>
      </c>
      <c r="F225" s="8" t="s">
        <v>264</v>
      </c>
      <c r="G225" s="6">
        <v>43087</v>
      </c>
      <c r="H225" s="6">
        <v>43088</v>
      </c>
      <c r="I225" s="4">
        <v>-2</v>
      </c>
      <c r="J225" s="8" t="s">
        <v>37</v>
      </c>
      <c r="K225" s="8" t="s">
        <v>921</v>
      </c>
      <c r="L225" s="4" t="str">
        <f>IF(AtlasReport_1_Table_1[[#This Row],[Reference]]="Purchase order",_xll.AtlasFormulas.AtlasFunctions.AtlasTable("UAT",DataAreaId,"T.VendInvoiceTrans","%RecId","","","","","","","ItemId|PurchID|InventTransId",$C225,$B225,$K225),"")</f>
        <v/>
      </c>
      <c r="M225" s="4" t="str">
        <f>IF(AtlasReport_1_Table_1[[#This Row],[Reference]]="Purchase order",_xll.AtlasFormulas.AtlasFunctions.AtlasTable("UAT",DataAreaId,"T.MarkupTrans","%CurrencyCode","","","","","","","MarkupCode|TransRecId|TransTableId","TPP",$L225,"492"),"")</f>
        <v/>
      </c>
      <c r="N225" s="4" t="str">
        <f>IF(AtlasReport_1_Table_1[[#This Row],[Reference]]="Purchase order",_xll.AtlasFormulas.AtlasFunctions.AtlasBalance("UAT",DataAreaId,"T.MarkupTrans","Sum|Posted|0","","","","","","","MarkupCode|TransTableId|TransRecId","TPP","492",$L225),"")</f>
        <v/>
      </c>
    </row>
    <row r="226" spans="1:14" x14ac:dyDescent="0.25">
      <c r="A226" s="8" t="s">
        <v>252</v>
      </c>
      <c r="B226" s="8" t="s">
        <v>754</v>
      </c>
      <c r="C226" s="8" t="s">
        <v>19</v>
      </c>
      <c r="D226" s="8" t="s">
        <v>35</v>
      </c>
      <c r="E226" s="8" t="s">
        <v>261</v>
      </c>
      <c r="F226" s="8" t="s">
        <v>264</v>
      </c>
      <c r="G226" s="6">
        <v>43087</v>
      </c>
      <c r="H226" s="6">
        <v>43088</v>
      </c>
      <c r="I226" s="4">
        <v>-1</v>
      </c>
      <c r="J226" s="8" t="s">
        <v>37</v>
      </c>
      <c r="K226" s="8" t="s">
        <v>1615</v>
      </c>
      <c r="L226" s="4" t="str">
        <f>IF(AtlasReport_1_Table_1[[#This Row],[Reference]]="Purchase order",_xll.AtlasFormulas.AtlasFunctions.AtlasTable("UAT",DataAreaId,"T.VendInvoiceTrans","%RecId","","","","","","","ItemId|PurchID|InventTransId",$C226,$B226,$K226),"")</f>
        <v/>
      </c>
      <c r="M226" s="4" t="str">
        <f>IF(AtlasReport_1_Table_1[[#This Row],[Reference]]="Purchase order",_xll.AtlasFormulas.AtlasFunctions.AtlasTable("UAT",DataAreaId,"T.MarkupTrans","%CurrencyCode","","","","","","","MarkupCode|TransRecId|TransTableId","TPP",$L226,"492"),"")</f>
        <v/>
      </c>
      <c r="N226" s="4" t="str">
        <f>IF(AtlasReport_1_Table_1[[#This Row],[Reference]]="Purchase order",_xll.AtlasFormulas.AtlasFunctions.AtlasBalance("UAT",DataAreaId,"T.MarkupTrans","Sum|Posted|0","","","","","","","MarkupCode|TransTableId|TransRecId","TPP","492",$L226),"")</f>
        <v/>
      </c>
    </row>
    <row r="227" spans="1:14" x14ac:dyDescent="0.25">
      <c r="A227" s="8" t="s">
        <v>252</v>
      </c>
      <c r="B227" s="8" t="s">
        <v>814</v>
      </c>
      <c r="C227" s="8" t="s">
        <v>58</v>
      </c>
      <c r="D227" s="8" t="s">
        <v>127</v>
      </c>
      <c r="E227" s="8" t="s">
        <v>261</v>
      </c>
      <c r="F227" s="8" t="s">
        <v>264</v>
      </c>
      <c r="G227" s="6">
        <v>43087</v>
      </c>
      <c r="H227" s="6">
        <v>43088</v>
      </c>
      <c r="I227" s="4">
        <v>-5.2799999999999994</v>
      </c>
      <c r="J227" s="8" t="s">
        <v>39</v>
      </c>
      <c r="K227" s="8" t="s">
        <v>816</v>
      </c>
      <c r="L227" s="4" t="str">
        <f>IF(AtlasReport_1_Table_1[[#This Row],[Reference]]="Purchase order",_xll.AtlasFormulas.AtlasFunctions.AtlasTable("UAT",DataAreaId,"T.VendInvoiceTrans","%RecId","","","","","","","ItemId|PurchID|InventTransId",$C227,$B227,$K227),"")</f>
        <v/>
      </c>
      <c r="M227" s="4" t="str">
        <f>IF(AtlasReport_1_Table_1[[#This Row],[Reference]]="Purchase order",_xll.AtlasFormulas.AtlasFunctions.AtlasTable("UAT",DataAreaId,"T.MarkupTrans","%CurrencyCode","","","","","","","MarkupCode|TransRecId|TransTableId","TPP",$L227,"492"),"")</f>
        <v/>
      </c>
      <c r="N227" s="4" t="str">
        <f>IF(AtlasReport_1_Table_1[[#This Row],[Reference]]="Purchase order",_xll.AtlasFormulas.AtlasFunctions.AtlasBalance("UAT",DataAreaId,"T.MarkupTrans","Sum|Posted|0","","","","","","","MarkupCode|TransTableId|TransRecId","TPP","492",$L227),"")</f>
        <v/>
      </c>
    </row>
    <row r="228" spans="1:14" x14ac:dyDescent="0.25">
      <c r="A228" s="8" t="s">
        <v>252</v>
      </c>
      <c r="B228" s="8" t="s">
        <v>814</v>
      </c>
      <c r="C228" s="8" t="s">
        <v>23</v>
      </c>
      <c r="D228" s="8" t="s">
        <v>883</v>
      </c>
      <c r="E228" s="8" t="s">
        <v>261</v>
      </c>
      <c r="F228" s="8" t="s">
        <v>264</v>
      </c>
      <c r="G228" s="6">
        <v>43087</v>
      </c>
      <c r="H228" s="6">
        <v>43088</v>
      </c>
      <c r="I228" s="4">
        <v>-1</v>
      </c>
      <c r="J228" s="8" t="s">
        <v>37</v>
      </c>
      <c r="K228" s="8" t="s">
        <v>902</v>
      </c>
      <c r="L228" s="4" t="str">
        <f>IF(AtlasReport_1_Table_1[[#This Row],[Reference]]="Purchase order",_xll.AtlasFormulas.AtlasFunctions.AtlasTable("UAT",DataAreaId,"T.VendInvoiceTrans","%RecId","","","","","","","ItemId|PurchID|InventTransId",$C228,$B228,$K228),"")</f>
        <v/>
      </c>
      <c r="M228" s="4" t="str">
        <f>IF(AtlasReport_1_Table_1[[#This Row],[Reference]]="Purchase order",_xll.AtlasFormulas.AtlasFunctions.AtlasTable("UAT",DataAreaId,"T.MarkupTrans","%CurrencyCode","","","","","","","MarkupCode|TransRecId|TransTableId","TPP",$L228,"492"),"")</f>
        <v/>
      </c>
      <c r="N228" s="4" t="str">
        <f>IF(AtlasReport_1_Table_1[[#This Row],[Reference]]="Purchase order",_xll.AtlasFormulas.AtlasFunctions.AtlasBalance("UAT",DataAreaId,"T.MarkupTrans","Sum|Posted|0","","","","","","","MarkupCode|TransTableId|TransRecId","TPP","492",$L228),"")</f>
        <v/>
      </c>
    </row>
    <row r="229" spans="1:14" x14ac:dyDescent="0.25">
      <c r="A229" s="8" t="s">
        <v>252</v>
      </c>
      <c r="B229" s="8" t="s">
        <v>814</v>
      </c>
      <c r="C229" s="8" t="s">
        <v>19</v>
      </c>
      <c r="D229" s="8" t="s">
        <v>35</v>
      </c>
      <c r="E229" s="8" t="s">
        <v>261</v>
      </c>
      <c r="F229" s="8" t="s">
        <v>264</v>
      </c>
      <c r="G229" s="6">
        <v>43087</v>
      </c>
      <c r="H229" s="6">
        <v>43088</v>
      </c>
      <c r="I229" s="4">
        <v>-1</v>
      </c>
      <c r="J229" s="8" t="s">
        <v>37</v>
      </c>
      <c r="K229" s="8" t="s">
        <v>1616</v>
      </c>
      <c r="L229" s="4" t="str">
        <f>IF(AtlasReport_1_Table_1[[#This Row],[Reference]]="Purchase order",_xll.AtlasFormulas.AtlasFunctions.AtlasTable("UAT",DataAreaId,"T.VendInvoiceTrans","%RecId","","","","","","","ItemId|PurchID|InventTransId",$C229,$B229,$K229),"")</f>
        <v/>
      </c>
      <c r="M229" s="4" t="str">
        <f>IF(AtlasReport_1_Table_1[[#This Row],[Reference]]="Purchase order",_xll.AtlasFormulas.AtlasFunctions.AtlasTable("UAT",DataAreaId,"T.MarkupTrans","%CurrencyCode","","","","","","","MarkupCode|TransRecId|TransTableId","TPP",$L229,"492"),"")</f>
        <v/>
      </c>
      <c r="N229" s="4" t="str">
        <f>IF(AtlasReport_1_Table_1[[#This Row],[Reference]]="Purchase order",_xll.AtlasFormulas.AtlasFunctions.AtlasBalance("UAT",DataAreaId,"T.MarkupTrans","Sum|Posted|0","","","","","","","MarkupCode|TransTableId|TransRecId","TPP","492",$L229),"")</f>
        <v/>
      </c>
    </row>
    <row r="230" spans="1:14" x14ac:dyDescent="0.25">
      <c r="A230" s="8" t="s">
        <v>252</v>
      </c>
      <c r="B230" s="8" t="s">
        <v>805</v>
      </c>
      <c r="C230" s="8" t="s">
        <v>58</v>
      </c>
      <c r="D230" s="8" t="s">
        <v>127</v>
      </c>
      <c r="E230" s="8" t="s">
        <v>261</v>
      </c>
      <c r="F230" s="8" t="s">
        <v>264</v>
      </c>
      <c r="G230" s="6">
        <v>43087</v>
      </c>
      <c r="H230" s="6">
        <v>43087</v>
      </c>
      <c r="I230" s="4">
        <v>150</v>
      </c>
      <c r="J230" s="8" t="s">
        <v>39</v>
      </c>
      <c r="K230" s="8" t="s">
        <v>807</v>
      </c>
      <c r="L230" s="4" t="str">
        <f>IF(AtlasReport_1_Table_1[[#This Row],[Reference]]="Purchase order",_xll.AtlasFormulas.AtlasFunctions.AtlasTable("UAT",DataAreaId,"T.VendInvoiceTrans","%RecId","","","","","","","ItemId|PurchID|InventTransId",$C230,$B230,$K230),"")</f>
        <v/>
      </c>
      <c r="M230" s="4" t="str">
        <f>IF(AtlasReport_1_Table_1[[#This Row],[Reference]]="Purchase order",_xll.AtlasFormulas.AtlasFunctions.AtlasTable("UAT",DataAreaId,"T.MarkupTrans","%CurrencyCode","","","","","","","MarkupCode|TransRecId|TransTableId","TPP",$L230,"492"),"")</f>
        <v/>
      </c>
      <c r="N230" s="4" t="str">
        <f>IF(AtlasReport_1_Table_1[[#This Row],[Reference]]="Purchase order",_xll.AtlasFormulas.AtlasFunctions.AtlasBalance("UAT",DataAreaId,"T.MarkupTrans","Sum|Posted|0","","","","","","","MarkupCode|TransTableId|TransRecId","TPP","492",$L230),"")</f>
        <v/>
      </c>
    </row>
    <row r="231" spans="1:14" x14ac:dyDescent="0.25">
      <c r="A231" s="8" t="s">
        <v>252</v>
      </c>
      <c r="B231" s="8" t="s">
        <v>805</v>
      </c>
      <c r="C231" s="8" t="s">
        <v>59</v>
      </c>
      <c r="D231" s="8" t="s">
        <v>93</v>
      </c>
      <c r="E231" s="8" t="s">
        <v>261</v>
      </c>
      <c r="F231" s="8" t="s">
        <v>264</v>
      </c>
      <c r="G231" s="6">
        <v>43087</v>
      </c>
      <c r="H231" s="6">
        <v>43087</v>
      </c>
      <c r="I231" s="4">
        <v>300</v>
      </c>
      <c r="J231" s="8" t="s">
        <v>39</v>
      </c>
      <c r="K231" s="8" t="s">
        <v>836</v>
      </c>
      <c r="L231" s="4" t="str">
        <f>IF(AtlasReport_1_Table_1[[#This Row],[Reference]]="Purchase order",_xll.AtlasFormulas.AtlasFunctions.AtlasTable("UAT",DataAreaId,"T.VendInvoiceTrans","%RecId","","","","","","","ItemId|PurchID|InventTransId",$C231,$B231,$K231),"")</f>
        <v/>
      </c>
      <c r="M231" s="4" t="str">
        <f>IF(AtlasReport_1_Table_1[[#This Row],[Reference]]="Purchase order",_xll.AtlasFormulas.AtlasFunctions.AtlasTable("UAT",DataAreaId,"T.MarkupTrans","%CurrencyCode","","","","","","","MarkupCode|TransRecId|TransTableId","TPP",$L231,"492"),"")</f>
        <v/>
      </c>
      <c r="N231" s="4" t="str">
        <f>IF(AtlasReport_1_Table_1[[#This Row],[Reference]]="Purchase order",_xll.AtlasFormulas.AtlasFunctions.AtlasBalance("UAT",DataAreaId,"T.MarkupTrans","Sum|Posted|0","","","","","","","MarkupCode|TransTableId|TransRecId","TPP","492",$L231),"")</f>
        <v/>
      </c>
    </row>
    <row r="232" spans="1:14" x14ac:dyDescent="0.25">
      <c r="A232" s="8" t="s">
        <v>252</v>
      </c>
      <c r="B232" s="8" t="s">
        <v>805</v>
      </c>
      <c r="C232" s="8" t="s">
        <v>108</v>
      </c>
      <c r="D232" s="8" t="s">
        <v>109</v>
      </c>
      <c r="E232" s="8" t="s">
        <v>261</v>
      </c>
      <c r="F232" s="8" t="s">
        <v>264</v>
      </c>
      <c r="G232" s="6">
        <v>43087</v>
      </c>
      <c r="H232" s="6">
        <v>43087</v>
      </c>
      <c r="I232" s="4">
        <v>1</v>
      </c>
      <c r="J232" s="8" t="s">
        <v>37</v>
      </c>
      <c r="K232" s="8" t="s">
        <v>1617</v>
      </c>
      <c r="L232" s="4" t="str">
        <f>IF(AtlasReport_1_Table_1[[#This Row],[Reference]]="Purchase order",_xll.AtlasFormulas.AtlasFunctions.AtlasTable("UAT",DataAreaId,"T.VendInvoiceTrans","%RecId","","","","","","","ItemId|PurchID|InventTransId",$C232,$B232,$K232),"")</f>
        <v/>
      </c>
      <c r="M232" s="4" t="str">
        <f>IF(AtlasReport_1_Table_1[[#This Row],[Reference]]="Purchase order",_xll.AtlasFormulas.AtlasFunctions.AtlasTable("UAT",DataAreaId,"T.MarkupTrans","%CurrencyCode","","","","","","","MarkupCode|TransRecId|TransTableId","TPP",$L232,"492"),"")</f>
        <v/>
      </c>
      <c r="N232" s="4" t="str">
        <f>IF(AtlasReport_1_Table_1[[#This Row],[Reference]]="Purchase order",_xll.AtlasFormulas.AtlasFunctions.AtlasBalance("UAT",DataAreaId,"T.MarkupTrans","Sum|Posted|0","","","","","","","MarkupCode|TransTableId|TransRecId","TPP","492",$L232),"")</f>
        <v/>
      </c>
    </row>
    <row r="233" spans="1:14" x14ac:dyDescent="0.25">
      <c r="A233" s="8" t="s">
        <v>252</v>
      </c>
      <c r="B233" s="8" t="s">
        <v>805</v>
      </c>
      <c r="C233" s="8" t="s">
        <v>67</v>
      </c>
      <c r="D233" s="8" t="s">
        <v>907</v>
      </c>
      <c r="E233" s="8" t="s">
        <v>261</v>
      </c>
      <c r="F233" s="8" t="s">
        <v>264</v>
      </c>
      <c r="G233" s="6">
        <v>43087</v>
      </c>
      <c r="H233" s="6">
        <v>43087</v>
      </c>
      <c r="I233" s="4">
        <v>28</v>
      </c>
      <c r="J233" s="8" t="s">
        <v>37</v>
      </c>
      <c r="K233" s="8" t="s">
        <v>917</v>
      </c>
      <c r="L233" s="4" t="str">
        <f>IF(AtlasReport_1_Table_1[[#This Row],[Reference]]="Purchase order",_xll.AtlasFormulas.AtlasFunctions.AtlasTable("UAT",DataAreaId,"T.VendInvoiceTrans","%RecId","","","","","","","ItemId|PurchID|InventTransId",$C233,$B233,$K233),"")</f>
        <v/>
      </c>
      <c r="M233" s="4" t="str">
        <f>IF(AtlasReport_1_Table_1[[#This Row],[Reference]]="Purchase order",_xll.AtlasFormulas.AtlasFunctions.AtlasTable("UAT",DataAreaId,"T.MarkupTrans","%CurrencyCode","","","","","","","MarkupCode|TransRecId|TransTableId","TPP",$L233,"492"),"")</f>
        <v/>
      </c>
      <c r="N233" s="4" t="str">
        <f>IF(AtlasReport_1_Table_1[[#This Row],[Reference]]="Purchase order",_xll.AtlasFormulas.AtlasFunctions.AtlasBalance("UAT",DataAreaId,"T.MarkupTrans","Sum|Posted|0","","","","","","","MarkupCode|TransTableId|TransRecId","TPP","492",$L233),"")</f>
        <v/>
      </c>
    </row>
    <row r="234" spans="1:14" x14ac:dyDescent="0.25">
      <c r="A234" s="8" t="s">
        <v>252</v>
      </c>
      <c r="B234" s="8" t="s">
        <v>805</v>
      </c>
      <c r="C234" s="8" t="s">
        <v>19</v>
      </c>
      <c r="D234" s="8" t="s">
        <v>35</v>
      </c>
      <c r="E234" s="8" t="s">
        <v>261</v>
      </c>
      <c r="F234" s="8" t="s">
        <v>264</v>
      </c>
      <c r="G234" s="6">
        <v>43087</v>
      </c>
      <c r="H234" s="6">
        <v>43087</v>
      </c>
      <c r="I234" s="4">
        <v>1</v>
      </c>
      <c r="J234" s="8" t="s">
        <v>37</v>
      </c>
      <c r="K234" s="8" t="s">
        <v>1618</v>
      </c>
      <c r="L234" s="4" t="str">
        <f>IF(AtlasReport_1_Table_1[[#This Row],[Reference]]="Purchase order",_xll.AtlasFormulas.AtlasFunctions.AtlasTable("UAT",DataAreaId,"T.VendInvoiceTrans","%RecId","","","","","","","ItemId|PurchID|InventTransId",$C234,$B234,$K234),"")</f>
        <v/>
      </c>
      <c r="M234" s="4" t="str">
        <f>IF(AtlasReport_1_Table_1[[#This Row],[Reference]]="Purchase order",_xll.AtlasFormulas.AtlasFunctions.AtlasTable("UAT",DataAreaId,"T.MarkupTrans","%CurrencyCode","","","","","","","MarkupCode|TransRecId|TransTableId","TPP",$L234,"492"),"")</f>
        <v/>
      </c>
      <c r="N234" s="4" t="str">
        <f>IF(AtlasReport_1_Table_1[[#This Row],[Reference]]="Purchase order",_xll.AtlasFormulas.AtlasFunctions.AtlasBalance("UAT",DataAreaId,"T.MarkupTrans","Sum|Posted|0","","","","","","","MarkupCode|TransTableId|TransRecId","TPP","492",$L234),"")</f>
        <v/>
      </c>
    </row>
    <row r="235" spans="1:14" x14ac:dyDescent="0.25">
      <c r="A235" s="8" t="s">
        <v>252</v>
      </c>
      <c r="B235" s="8" t="s">
        <v>808</v>
      </c>
      <c r="C235" s="8" t="s">
        <v>58</v>
      </c>
      <c r="D235" s="8" t="s">
        <v>127</v>
      </c>
      <c r="E235" s="8" t="s">
        <v>261</v>
      </c>
      <c r="F235" s="8" t="s">
        <v>264</v>
      </c>
      <c r="G235" s="6">
        <v>43087</v>
      </c>
      <c r="H235" s="6">
        <v>43087</v>
      </c>
      <c r="I235" s="4">
        <v>-150</v>
      </c>
      <c r="J235" s="8" t="s">
        <v>39</v>
      </c>
      <c r="K235" s="8" t="s">
        <v>810</v>
      </c>
      <c r="L235" s="4" t="str">
        <f>IF(AtlasReport_1_Table_1[[#This Row],[Reference]]="Purchase order",_xll.AtlasFormulas.AtlasFunctions.AtlasTable("UAT",DataAreaId,"T.VendInvoiceTrans","%RecId","","","","","","","ItemId|PurchID|InventTransId",$C235,$B235,$K235),"")</f>
        <v/>
      </c>
      <c r="M235" s="4" t="str">
        <f>IF(AtlasReport_1_Table_1[[#This Row],[Reference]]="Purchase order",_xll.AtlasFormulas.AtlasFunctions.AtlasTable("UAT",DataAreaId,"T.MarkupTrans","%CurrencyCode","","","","","","","MarkupCode|TransRecId|TransTableId","TPP",$L235,"492"),"")</f>
        <v/>
      </c>
      <c r="N235" s="4" t="str">
        <f>IF(AtlasReport_1_Table_1[[#This Row],[Reference]]="Purchase order",_xll.AtlasFormulas.AtlasFunctions.AtlasBalance("UAT",DataAreaId,"T.MarkupTrans","Sum|Posted|0","","","","","","","MarkupCode|TransTableId|TransRecId","TPP","492",$L235),"")</f>
        <v/>
      </c>
    </row>
    <row r="236" spans="1:14" x14ac:dyDescent="0.25">
      <c r="A236" s="8" t="s">
        <v>252</v>
      </c>
      <c r="B236" s="8" t="s">
        <v>808</v>
      </c>
      <c r="C236" s="8" t="s">
        <v>59</v>
      </c>
      <c r="D236" s="8" t="s">
        <v>93</v>
      </c>
      <c r="E236" s="8" t="s">
        <v>261</v>
      </c>
      <c r="F236" s="8" t="s">
        <v>264</v>
      </c>
      <c r="G236" s="6">
        <v>43087</v>
      </c>
      <c r="H236" s="6">
        <v>43087</v>
      </c>
      <c r="I236" s="4">
        <v>-300</v>
      </c>
      <c r="J236" s="8" t="s">
        <v>39</v>
      </c>
      <c r="K236" s="8" t="s">
        <v>837</v>
      </c>
      <c r="L236" s="4" t="str">
        <f>IF(AtlasReport_1_Table_1[[#This Row],[Reference]]="Purchase order",_xll.AtlasFormulas.AtlasFunctions.AtlasTable("UAT",DataAreaId,"T.VendInvoiceTrans","%RecId","","","","","","","ItemId|PurchID|InventTransId",$C236,$B236,$K236),"")</f>
        <v/>
      </c>
      <c r="M236" s="4" t="str">
        <f>IF(AtlasReport_1_Table_1[[#This Row],[Reference]]="Purchase order",_xll.AtlasFormulas.AtlasFunctions.AtlasTable("UAT",DataAreaId,"T.MarkupTrans","%CurrencyCode","","","","","","","MarkupCode|TransRecId|TransTableId","TPP",$L236,"492"),"")</f>
        <v/>
      </c>
      <c r="N236" s="4" t="str">
        <f>IF(AtlasReport_1_Table_1[[#This Row],[Reference]]="Purchase order",_xll.AtlasFormulas.AtlasFunctions.AtlasBalance("UAT",DataAreaId,"T.MarkupTrans","Sum|Posted|0","","","","","","","MarkupCode|TransTableId|TransRecId","TPP","492",$L236),"")</f>
        <v/>
      </c>
    </row>
    <row r="237" spans="1:14" x14ac:dyDescent="0.25">
      <c r="A237" s="8" t="s">
        <v>252</v>
      </c>
      <c r="B237" s="8" t="s">
        <v>808</v>
      </c>
      <c r="C237" s="8" t="s">
        <v>108</v>
      </c>
      <c r="D237" s="8" t="s">
        <v>109</v>
      </c>
      <c r="E237" s="8" t="s">
        <v>261</v>
      </c>
      <c r="F237" s="8" t="s">
        <v>264</v>
      </c>
      <c r="G237" s="6">
        <v>43087</v>
      </c>
      <c r="H237" s="6">
        <v>43087</v>
      </c>
      <c r="I237" s="4">
        <v>-1</v>
      </c>
      <c r="J237" s="8" t="s">
        <v>37</v>
      </c>
      <c r="K237" s="8" t="s">
        <v>1619</v>
      </c>
      <c r="L237" s="4" t="str">
        <f>IF(AtlasReport_1_Table_1[[#This Row],[Reference]]="Purchase order",_xll.AtlasFormulas.AtlasFunctions.AtlasTable("UAT",DataAreaId,"T.VendInvoiceTrans","%RecId","","","","","","","ItemId|PurchID|InventTransId",$C237,$B237,$K237),"")</f>
        <v/>
      </c>
      <c r="M237" s="4" t="str">
        <f>IF(AtlasReport_1_Table_1[[#This Row],[Reference]]="Purchase order",_xll.AtlasFormulas.AtlasFunctions.AtlasTable("UAT",DataAreaId,"T.MarkupTrans","%CurrencyCode","","","","","","","MarkupCode|TransRecId|TransTableId","TPP",$L237,"492"),"")</f>
        <v/>
      </c>
      <c r="N237" s="4" t="str">
        <f>IF(AtlasReport_1_Table_1[[#This Row],[Reference]]="Purchase order",_xll.AtlasFormulas.AtlasFunctions.AtlasBalance("UAT",DataAreaId,"T.MarkupTrans","Sum|Posted|0","","","","","","","MarkupCode|TransTableId|TransRecId","TPP","492",$L237),"")</f>
        <v/>
      </c>
    </row>
    <row r="238" spans="1:14" x14ac:dyDescent="0.25">
      <c r="A238" s="8" t="s">
        <v>252</v>
      </c>
      <c r="B238" s="8" t="s">
        <v>808</v>
      </c>
      <c r="C238" s="8" t="s">
        <v>67</v>
      </c>
      <c r="D238" s="8" t="s">
        <v>907</v>
      </c>
      <c r="E238" s="8" t="s">
        <v>261</v>
      </c>
      <c r="F238" s="8" t="s">
        <v>264</v>
      </c>
      <c r="G238" s="6">
        <v>43087</v>
      </c>
      <c r="H238" s="6">
        <v>43087</v>
      </c>
      <c r="I238" s="4">
        <v>-28</v>
      </c>
      <c r="J238" s="8" t="s">
        <v>37</v>
      </c>
      <c r="K238" s="8" t="s">
        <v>918</v>
      </c>
      <c r="L238" s="4" t="str">
        <f>IF(AtlasReport_1_Table_1[[#This Row],[Reference]]="Purchase order",_xll.AtlasFormulas.AtlasFunctions.AtlasTable("UAT",DataAreaId,"T.VendInvoiceTrans","%RecId","","","","","","","ItemId|PurchID|InventTransId",$C238,$B238,$K238),"")</f>
        <v/>
      </c>
      <c r="M238" s="4" t="str">
        <f>IF(AtlasReport_1_Table_1[[#This Row],[Reference]]="Purchase order",_xll.AtlasFormulas.AtlasFunctions.AtlasTable("UAT",DataAreaId,"T.MarkupTrans","%CurrencyCode","","","","","","","MarkupCode|TransRecId|TransTableId","TPP",$L238,"492"),"")</f>
        <v/>
      </c>
      <c r="N238" s="4" t="str">
        <f>IF(AtlasReport_1_Table_1[[#This Row],[Reference]]="Purchase order",_xll.AtlasFormulas.AtlasFunctions.AtlasBalance("UAT",DataAreaId,"T.MarkupTrans","Sum|Posted|0","","","","","","","MarkupCode|TransTableId|TransRecId","TPP","492",$L238),"")</f>
        <v/>
      </c>
    </row>
    <row r="239" spans="1:14" x14ac:dyDescent="0.25">
      <c r="A239" s="8" t="s">
        <v>252</v>
      </c>
      <c r="B239" s="8" t="s">
        <v>808</v>
      </c>
      <c r="C239" s="8" t="s">
        <v>19</v>
      </c>
      <c r="D239" s="8" t="s">
        <v>35</v>
      </c>
      <c r="E239" s="8" t="s">
        <v>261</v>
      </c>
      <c r="F239" s="8" t="s">
        <v>264</v>
      </c>
      <c r="G239" s="6">
        <v>43087</v>
      </c>
      <c r="H239" s="6">
        <v>43087</v>
      </c>
      <c r="I239" s="4">
        <v>-1</v>
      </c>
      <c r="J239" s="8" t="s">
        <v>37</v>
      </c>
      <c r="K239" s="8" t="s">
        <v>1620</v>
      </c>
      <c r="L239" s="4" t="str">
        <f>IF(AtlasReport_1_Table_1[[#This Row],[Reference]]="Purchase order",_xll.AtlasFormulas.AtlasFunctions.AtlasTable("UAT",DataAreaId,"T.VendInvoiceTrans","%RecId","","","","","","","ItemId|PurchID|InventTransId",$C239,$B239,$K239),"")</f>
        <v/>
      </c>
      <c r="M239" s="4" t="str">
        <f>IF(AtlasReport_1_Table_1[[#This Row],[Reference]]="Purchase order",_xll.AtlasFormulas.AtlasFunctions.AtlasTable("UAT",DataAreaId,"T.MarkupTrans","%CurrencyCode","","","","","","","MarkupCode|TransRecId|TransTableId","TPP",$L239,"492"),"")</f>
        <v/>
      </c>
      <c r="N239" s="4" t="str">
        <f>IF(AtlasReport_1_Table_1[[#This Row],[Reference]]="Purchase order",_xll.AtlasFormulas.AtlasFunctions.AtlasBalance("UAT",DataAreaId,"T.MarkupTrans","Sum|Posted|0","","","","","","","MarkupCode|TransTableId|TransRecId","TPP","492",$L239),"")</f>
        <v/>
      </c>
    </row>
    <row r="240" spans="1:14" x14ac:dyDescent="0.25">
      <c r="A240" s="8" t="s">
        <v>252</v>
      </c>
      <c r="B240" s="8" t="s">
        <v>922</v>
      </c>
      <c r="C240" s="8" t="s">
        <v>67</v>
      </c>
      <c r="D240" s="8" t="s">
        <v>907</v>
      </c>
      <c r="E240" s="8" t="s">
        <v>261</v>
      </c>
      <c r="F240" s="8" t="s">
        <v>264</v>
      </c>
      <c r="G240" s="6">
        <v>43088</v>
      </c>
      <c r="H240" s="6">
        <v>43090</v>
      </c>
      <c r="I240" s="4">
        <v>-5</v>
      </c>
      <c r="J240" s="8" t="s">
        <v>37</v>
      </c>
      <c r="K240" s="8" t="s">
        <v>924</v>
      </c>
      <c r="L240" s="4" t="str">
        <f>IF(AtlasReport_1_Table_1[[#This Row],[Reference]]="Purchase order",_xll.AtlasFormulas.AtlasFunctions.AtlasTable("UAT",DataAreaId,"T.VendInvoiceTrans","%RecId","","","","","","","ItemId|PurchID|InventTransId",$C240,$B240,$K240),"")</f>
        <v/>
      </c>
      <c r="M240" s="4" t="str">
        <f>IF(AtlasReport_1_Table_1[[#This Row],[Reference]]="Purchase order",_xll.AtlasFormulas.AtlasFunctions.AtlasTable("UAT",DataAreaId,"T.MarkupTrans","%CurrencyCode","","","","","","","MarkupCode|TransRecId|TransTableId","TPP",$L240,"492"),"")</f>
        <v/>
      </c>
      <c r="N240" s="4" t="str">
        <f>IF(AtlasReport_1_Table_1[[#This Row],[Reference]]="Purchase order",_xll.AtlasFormulas.AtlasFunctions.AtlasBalance("UAT",DataAreaId,"T.MarkupTrans","Sum|Posted|0","","","","","","","MarkupCode|TransTableId|TransRecId","TPP","492",$L240),"")</f>
        <v/>
      </c>
    </row>
    <row r="241" spans="1:14" x14ac:dyDescent="0.25">
      <c r="A241" s="8" t="s">
        <v>252</v>
      </c>
      <c r="B241" s="8" t="s">
        <v>922</v>
      </c>
      <c r="C241" s="8" t="s">
        <v>19</v>
      </c>
      <c r="D241" s="8" t="s">
        <v>35</v>
      </c>
      <c r="E241" s="8" t="s">
        <v>261</v>
      </c>
      <c r="F241" s="8" t="s">
        <v>264</v>
      </c>
      <c r="G241" s="6">
        <v>43088</v>
      </c>
      <c r="H241" s="6">
        <v>43090</v>
      </c>
      <c r="I241" s="4">
        <v>-1</v>
      </c>
      <c r="J241" s="8" t="s">
        <v>37</v>
      </c>
      <c r="K241" s="8" t="s">
        <v>1621</v>
      </c>
      <c r="L241" s="4" t="str">
        <f>IF(AtlasReport_1_Table_1[[#This Row],[Reference]]="Purchase order",_xll.AtlasFormulas.AtlasFunctions.AtlasTable("UAT",DataAreaId,"T.VendInvoiceTrans","%RecId","","","","","","","ItemId|PurchID|InventTransId",$C241,$B241,$K241),"")</f>
        <v/>
      </c>
      <c r="M241" s="4" t="str">
        <f>IF(AtlasReport_1_Table_1[[#This Row],[Reference]]="Purchase order",_xll.AtlasFormulas.AtlasFunctions.AtlasTable("UAT",DataAreaId,"T.MarkupTrans","%CurrencyCode","","","","","","","MarkupCode|TransRecId|TransTableId","TPP",$L241,"492"),"")</f>
        <v/>
      </c>
      <c r="N241" s="4" t="str">
        <f>IF(AtlasReport_1_Table_1[[#This Row],[Reference]]="Purchase order",_xll.AtlasFormulas.AtlasFunctions.AtlasBalance("UAT",DataAreaId,"T.MarkupTrans","Sum|Posted|0","","","","","","","MarkupCode|TransTableId|TransRecId","TPP","492",$L241),"")</f>
        <v/>
      </c>
    </row>
    <row r="242" spans="1:14" x14ac:dyDescent="0.25">
      <c r="A242" s="8" t="s">
        <v>252</v>
      </c>
      <c r="B242" s="8" t="s">
        <v>1622</v>
      </c>
      <c r="C242" s="8" t="s">
        <v>19</v>
      </c>
      <c r="D242" s="8" t="s">
        <v>35</v>
      </c>
      <c r="E242" s="8" t="s">
        <v>261</v>
      </c>
      <c r="F242" s="8" t="s">
        <v>262</v>
      </c>
      <c r="G242" s="6">
        <v>43088</v>
      </c>
      <c r="H242" s="6">
        <v>43088</v>
      </c>
      <c r="I242" s="4">
        <v>1</v>
      </c>
      <c r="J242" s="8" t="s">
        <v>37</v>
      </c>
      <c r="K242" s="8" t="s">
        <v>1623</v>
      </c>
      <c r="L242" s="4" t="str">
        <f>IF(AtlasReport_1_Table_1[[#This Row],[Reference]]="Purchase order",_xll.AtlasFormulas.AtlasFunctions.AtlasTable("UAT",DataAreaId,"T.VendInvoiceTrans","%RecId","","","","","","","ItemId|PurchID|InventTransId",$C242,$B242,$K242),"")</f>
        <v/>
      </c>
      <c r="M242" s="4" t="str">
        <f>IF(AtlasReport_1_Table_1[[#This Row],[Reference]]="Purchase order",_xll.AtlasFormulas.AtlasFunctions.AtlasTable("UAT",DataAreaId,"T.MarkupTrans","%CurrencyCode","","","","","","","MarkupCode|TransRecId|TransTableId","TPP",$L242,"492"),"")</f>
        <v/>
      </c>
      <c r="N242" s="4" t="str">
        <f>IF(AtlasReport_1_Table_1[[#This Row],[Reference]]="Purchase order",_xll.AtlasFormulas.AtlasFunctions.AtlasBalance("UAT",DataAreaId,"T.MarkupTrans","Sum|Posted|0","","","","","","","MarkupCode|TransTableId|TransRecId","TPP","492",$L242),"")</f>
        <v/>
      </c>
    </row>
    <row r="243" spans="1:14" x14ac:dyDescent="0.25">
      <c r="A243" s="8" t="s">
        <v>252</v>
      </c>
      <c r="B243" s="8" t="s">
        <v>761</v>
      </c>
      <c r="C243" s="8" t="s">
        <v>97</v>
      </c>
      <c r="D243" s="8" t="s">
        <v>98</v>
      </c>
      <c r="E243" s="8" t="s">
        <v>261</v>
      </c>
      <c r="F243" s="8" t="s">
        <v>264</v>
      </c>
      <c r="G243" s="6">
        <v>43088</v>
      </c>
      <c r="H243" s="6">
        <v>43088</v>
      </c>
      <c r="I243" s="4">
        <v>38.85</v>
      </c>
      <c r="J243" s="8" t="s">
        <v>39</v>
      </c>
      <c r="K243" s="8" t="s">
        <v>763</v>
      </c>
      <c r="L243" s="4" t="str">
        <f>IF(AtlasReport_1_Table_1[[#This Row],[Reference]]="Purchase order",_xll.AtlasFormulas.AtlasFunctions.AtlasTable("UAT",DataAreaId,"T.VendInvoiceTrans","%RecId","","","","","","","ItemId|PurchID|InventTransId",$C243,$B243,$K243),"")</f>
        <v/>
      </c>
      <c r="M243" s="4" t="str">
        <f>IF(AtlasReport_1_Table_1[[#This Row],[Reference]]="Purchase order",_xll.AtlasFormulas.AtlasFunctions.AtlasTable("UAT",DataAreaId,"T.MarkupTrans","%CurrencyCode","","","","","","","MarkupCode|TransRecId|TransTableId","TPP",$L243,"492"),"")</f>
        <v/>
      </c>
      <c r="N243" s="4" t="str">
        <f>IF(AtlasReport_1_Table_1[[#This Row],[Reference]]="Purchase order",_xll.AtlasFormulas.AtlasFunctions.AtlasBalance("UAT",DataAreaId,"T.MarkupTrans","Sum|Posted|0","","","","","","","MarkupCode|TransTableId|TransRecId","TPP","492",$L243),"")</f>
        <v/>
      </c>
    </row>
    <row r="244" spans="1:14" x14ac:dyDescent="0.25">
      <c r="A244" s="8" t="s">
        <v>252</v>
      </c>
      <c r="B244" s="8" t="s">
        <v>761</v>
      </c>
      <c r="C244" s="8" t="s">
        <v>97</v>
      </c>
      <c r="D244" s="8" t="s">
        <v>98</v>
      </c>
      <c r="E244" s="8" t="s">
        <v>261</v>
      </c>
      <c r="F244" s="8" t="s">
        <v>264</v>
      </c>
      <c r="G244" s="6">
        <v>43088</v>
      </c>
      <c r="H244" s="6">
        <v>43088</v>
      </c>
      <c r="I244" s="4">
        <v>24.55</v>
      </c>
      <c r="J244" s="8" t="s">
        <v>39</v>
      </c>
      <c r="K244" s="8" t="s">
        <v>764</v>
      </c>
      <c r="L244" s="4" t="str">
        <f>IF(AtlasReport_1_Table_1[[#This Row],[Reference]]="Purchase order",_xll.AtlasFormulas.AtlasFunctions.AtlasTable("UAT",DataAreaId,"T.VendInvoiceTrans","%RecId","","","","","","","ItemId|PurchID|InventTransId",$C244,$B244,$K244),"")</f>
        <v/>
      </c>
      <c r="M244" s="4" t="str">
        <f>IF(AtlasReport_1_Table_1[[#This Row],[Reference]]="Purchase order",_xll.AtlasFormulas.AtlasFunctions.AtlasTable("UAT",DataAreaId,"T.MarkupTrans","%CurrencyCode","","","","","","","MarkupCode|TransRecId|TransTableId","TPP",$L244,"492"),"")</f>
        <v/>
      </c>
      <c r="N244" s="4" t="str">
        <f>IF(AtlasReport_1_Table_1[[#This Row],[Reference]]="Purchase order",_xll.AtlasFormulas.AtlasFunctions.AtlasBalance("UAT",DataAreaId,"T.MarkupTrans","Sum|Posted|0","","","","","","","MarkupCode|TransTableId|TransRecId","TPP","492",$L244),"")</f>
        <v/>
      </c>
    </row>
    <row r="245" spans="1:14" x14ac:dyDescent="0.25">
      <c r="A245" s="8" t="s">
        <v>252</v>
      </c>
      <c r="B245" s="8" t="s">
        <v>761</v>
      </c>
      <c r="C245" s="8" t="s">
        <v>79</v>
      </c>
      <c r="D245" s="8" t="s">
        <v>206</v>
      </c>
      <c r="E245" s="8" t="s">
        <v>261</v>
      </c>
      <c r="F245" s="8" t="s">
        <v>264</v>
      </c>
      <c r="G245" s="6">
        <v>43088</v>
      </c>
      <c r="H245" s="6">
        <v>43088</v>
      </c>
      <c r="I245" s="4">
        <v>1</v>
      </c>
      <c r="J245" s="8" t="s">
        <v>37</v>
      </c>
      <c r="K245" s="8" t="s">
        <v>1624</v>
      </c>
      <c r="L245" s="4" t="str">
        <f>IF(AtlasReport_1_Table_1[[#This Row],[Reference]]="Purchase order",_xll.AtlasFormulas.AtlasFunctions.AtlasTable("UAT",DataAreaId,"T.VendInvoiceTrans","%RecId","","","","","","","ItemId|PurchID|InventTransId",$C245,$B245,$K245),"")</f>
        <v/>
      </c>
      <c r="M245" s="4" t="str">
        <f>IF(AtlasReport_1_Table_1[[#This Row],[Reference]]="Purchase order",_xll.AtlasFormulas.AtlasFunctions.AtlasTable("UAT",DataAreaId,"T.MarkupTrans","%CurrencyCode","","","","","","","MarkupCode|TransRecId|TransTableId","TPP",$L245,"492"),"")</f>
        <v/>
      </c>
      <c r="N245" s="4" t="str">
        <f>IF(AtlasReport_1_Table_1[[#This Row],[Reference]]="Purchase order",_xll.AtlasFormulas.AtlasFunctions.AtlasBalance("UAT",DataAreaId,"T.MarkupTrans","Sum|Posted|0","","","","","","","MarkupCode|TransTableId|TransRecId","TPP","492",$L245),"")</f>
        <v/>
      </c>
    </row>
    <row r="246" spans="1:14" x14ac:dyDescent="0.25">
      <c r="A246" s="8" t="s">
        <v>252</v>
      </c>
      <c r="B246" s="8" t="s">
        <v>761</v>
      </c>
      <c r="C246" s="8" t="s">
        <v>67</v>
      </c>
      <c r="D246" s="8" t="s">
        <v>907</v>
      </c>
      <c r="E246" s="8" t="s">
        <v>261</v>
      </c>
      <c r="F246" s="8" t="s">
        <v>264</v>
      </c>
      <c r="G246" s="6">
        <v>43088</v>
      </c>
      <c r="H246" s="6">
        <v>43088</v>
      </c>
      <c r="I246" s="4">
        <v>2</v>
      </c>
      <c r="J246" s="8" t="s">
        <v>37</v>
      </c>
      <c r="K246" s="8" t="s">
        <v>919</v>
      </c>
      <c r="L246" s="4" t="str">
        <f>IF(AtlasReport_1_Table_1[[#This Row],[Reference]]="Purchase order",_xll.AtlasFormulas.AtlasFunctions.AtlasTable("UAT",DataAreaId,"T.VendInvoiceTrans","%RecId","","","","","","","ItemId|PurchID|InventTransId",$C246,$B246,$K246),"")</f>
        <v/>
      </c>
      <c r="M246" s="4" t="str">
        <f>IF(AtlasReport_1_Table_1[[#This Row],[Reference]]="Purchase order",_xll.AtlasFormulas.AtlasFunctions.AtlasTable("UAT",DataAreaId,"T.MarkupTrans","%CurrencyCode","","","","","","","MarkupCode|TransRecId|TransTableId","TPP",$L246,"492"),"")</f>
        <v/>
      </c>
      <c r="N246" s="4" t="str">
        <f>IF(AtlasReport_1_Table_1[[#This Row],[Reference]]="Purchase order",_xll.AtlasFormulas.AtlasFunctions.AtlasBalance("UAT",DataAreaId,"T.MarkupTrans","Sum|Posted|0","","","","","","","MarkupCode|TransTableId|TransRecId","TPP","492",$L246),"")</f>
        <v/>
      </c>
    </row>
    <row r="247" spans="1:14" x14ac:dyDescent="0.25">
      <c r="A247" s="8" t="s">
        <v>252</v>
      </c>
      <c r="B247" s="8" t="s">
        <v>761</v>
      </c>
      <c r="C247" s="8" t="s">
        <v>19</v>
      </c>
      <c r="D247" s="8" t="s">
        <v>35</v>
      </c>
      <c r="E247" s="8" t="s">
        <v>261</v>
      </c>
      <c r="F247" s="8" t="s">
        <v>264</v>
      </c>
      <c r="G247" s="6">
        <v>43088</v>
      </c>
      <c r="H247" s="6">
        <v>43088</v>
      </c>
      <c r="I247" s="4">
        <v>1</v>
      </c>
      <c r="J247" s="8" t="s">
        <v>37</v>
      </c>
      <c r="K247" s="8" t="s">
        <v>1625</v>
      </c>
      <c r="L247" s="4" t="str">
        <f>IF(AtlasReport_1_Table_1[[#This Row],[Reference]]="Purchase order",_xll.AtlasFormulas.AtlasFunctions.AtlasTable("UAT",DataAreaId,"T.VendInvoiceTrans","%RecId","","","","","","","ItemId|PurchID|InventTransId",$C247,$B247,$K247),"")</f>
        <v/>
      </c>
      <c r="M247" s="4" t="str">
        <f>IF(AtlasReport_1_Table_1[[#This Row],[Reference]]="Purchase order",_xll.AtlasFormulas.AtlasFunctions.AtlasTable("UAT",DataAreaId,"T.MarkupTrans","%CurrencyCode","","","","","","","MarkupCode|TransRecId|TransTableId","TPP",$L247,"492"),"")</f>
        <v/>
      </c>
      <c r="N247" s="4" t="str">
        <f>IF(AtlasReport_1_Table_1[[#This Row],[Reference]]="Purchase order",_xll.AtlasFormulas.AtlasFunctions.AtlasBalance("UAT",DataAreaId,"T.MarkupTrans","Sum|Posted|0","","","","","","","MarkupCode|TransTableId|TransRecId","TPP","492",$L247),"")</f>
        <v/>
      </c>
    </row>
    <row r="248" spans="1:14" x14ac:dyDescent="0.25">
      <c r="A248" s="8" t="s">
        <v>252</v>
      </c>
      <c r="B248" s="8" t="s">
        <v>757</v>
      </c>
      <c r="C248" s="8" t="s">
        <v>97</v>
      </c>
      <c r="D248" s="8" t="s">
        <v>98</v>
      </c>
      <c r="E248" s="8" t="s">
        <v>261</v>
      </c>
      <c r="F248" s="8" t="s">
        <v>264</v>
      </c>
      <c r="G248" s="6">
        <v>43088</v>
      </c>
      <c r="H248" s="6">
        <v>43088</v>
      </c>
      <c r="I248" s="4">
        <v>-38.85</v>
      </c>
      <c r="J248" s="8" t="s">
        <v>39</v>
      </c>
      <c r="K248" s="8" t="s">
        <v>759</v>
      </c>
      <c r="L248" s="4" t="str">
        <f>IF(AtlasReport_1_Table_1[[#This Row],[Reference]]="Purchase order",_xll.AtlasFormulas.AtlasFunctions.AtlasTable("UAT",DataAreaId,"T.VendInvoiceTrans","%RecId","","","","","","","ItemId|PurchID|InventTransId",$C248,$B248,$K248),"")</f>
        <v/>
      </c>
      <c r="M248" s="4" t="str">
        <f>IF(AtlasReport_1_Table_1[[#This Row],[Reference]]="Purchase order",_xll.AtlasFormulas.AtlasFunctions.AtlasTable("UAT",DataAreaId,"T.MarkupTrans","%CurrencyCode","","","","","","","MarkupCode|TransRecId|TransTableId","TPP",$L248,"492"),"")</f>
        <v/>
      </c>
      <c r="N248" s="4" t="str">
        <f>IF(AtlasReport_1_Table_1[[#This Row],[Reference]]="Purchase order",_xll.AtlasFormulas.AtlasFunctions.AtlasBalance("UAT",DataAreaId,"T.MarkupTrans","Sum|Posted|0","","","","","","","MarkupCode|TransTableId|TransRecId","TPP","492",$L248),"")</f>
        <v/>
      </c>
    </row>
    <row r="249" spans="1:14" x14ac:dyDescent="0.25">
      <c r="A249" s="8" t="s">
        <v>252</v>
      </c>
      <c r="B249" s="8" t="s">
        <v>757</v>
      </c>
      <c r="C249" s="8" t="s">
        <v>97</v>
      </c>
      <c r="D249" s="8" t="s">
        <v>98</v>
      </c>
      <c r="E249" s="8" t="s">
        <v>261</v>
      </c>
      <c r="F249" s="8" t="s">
        <v>264</v>
      </c>
      <c r="G249" s="6">
        <v>43088</v>
      </c>
      <c r="H249" s="6">
        <v>43088</v>
      </c>
      <c r="I249" s="4">
        <v>-24.55</v>
      </c>
      <c r="J249" s="8" t="s">
        <v>39</v>
      </c>
      <c r="K249" s="8" t="s">
        <v>760</v>
      </c>
      <c r="L249" s="4" t="str">
        <f>IF(AtlasReport_1_Table_1[[#This Row],[Reference]]="Purchase order",_xll.AtlasFormulas.AtlasFunctions.AtlasTable("UAT",DataAreaId,"T.VendInvoiceTrans","%RecId","","","","","","","ItemId|PurchID|InventTransId",$C249,$B249,$K249),"")</f>
        <v/>
      </c>
      <c r="M249" s="4" t="str">
        <f>IF(AtlasReport_1_Table_1[[#This Row],[Reference]]="Purchase order",_xll.AtlasFormulas.AtlasFunctions.AtlasTable("UAT",DataAreaId,"T.MarkupTrans","%CurrencyCode","","","","","","","MarkupCode|TransRecId|TransTableId","TPP",$L249,"492"),"")</f>
        <v/>
      </c>
      <c r="N249" s="4" t="str">
        <f>IF(AtlasReport_1_Table_1[[#This Row],[Reference]]="Purchase order",_xll.AtlasFormulas.AtlasFunctions.AtlasBalance("UAT",DataAreaId,"T.MarkupTrans","Sum|Posted|0","","","","","","","MarkupCode|TransTableId|TransRecId","TPP","492",$L249),"")</f>
        <v/>
      </c>
    </row>
    <row r="250" spans="1:14" x14ac:dyDescent="0.25">
      <c r="A250" s="8" t="s">
        <v>252</v>
      </c>
      <c r="B250" s="8" t="s">
        <v>757</v>
      </c>
      <c r="C250" s="8" t="s">
        <v>79</v>
      </c>
      <c r="D250" s="8" t="s">
        <v>206</v>
      </c>
      <c r="E250" s="8" t="s">
        <v>261</v>
      </c>
      <c r="F250" s="8" t="s">
        <v>264</v>
      </c>
      <c r="G250" s="6">
        <v>43088</v>
      </c>
      <c r="H250" s="6">
        <v>43088</v>
      </c>
      <c r="I250" s="4">
        <v>-1</v>
      </c>
      <c r="J250" s="8" t="s">
        <v>37</v>
      </c>
      <c r="K250" s="8" t="s">
        <v>1626</v>
      </c>
      <c r="L250" s="4" t="str">
        <f>IF(AtlasReport_1_Table_1[[#This Row],[Reference]]="Purchase order",_xll.AtlasFormulas.AtlasFunctions.AtlasTable("UAT",DataAreaId,"T.VendInvoiceTrans","%RecId","","","","","","","ItemId|PurchID|InventTransId",$C250,$B250,$K250),"")</f>
        <v/>
      </c>
      <c r="M250" s="4" t="str">
        <f>IF(AtlasReport_1_Table_1[[#This Row],[Reference]]="Purchase order",_xll.AtlasFormulas.AtlasFunctions.AtlasTable("UAT",DataAreaId,"T.MarkupTrans","%CurrencyCode","","","","","","","MarkupCode|TransRecId|TransTableId","TPP",$L250,"492"),"")</f>
        <v/>
      </c>
      <c r="N250" s="4" t="str">
        <f>IF(AtlasReport_1_Table_1[[#This Row],[Reference]]="Purchase order",_xll.AtlasFormulas.AtlasFunctions.AtlasBalance("UAT",DataAreaId,"T.MarkupTrans","Sum|Posted|0","","","","","","","MarkupCode|TransTableId|TransRecId","TPP","492",$L250),"")</f>
        <v/>
      </c>
    </row>
    <row r="251" spans="1:14" x14ac:dyDescent="0.25">
      <c r="A251" s="8" t="s">
        <v>252</v>
      </c>
      <c r="B251" s="8" t="s">
        <v>757</v>
      </c>
      <c r="C251" s="8" t="s">
        <v>67</v>
      </c>
      <c r="D251" s="8" t="s">
        <v>907</v>
      </c>
      <c r="E251" s="8" t="s">
        <v>261</v>
      </c>
      <c r="F251" s="8" t="s">
        <v>264</v>
      </c>
      <c r="G251" s="6">
        <v>43088</v>
      </c>
      <c r="H251" s="6">
        <v>43088</v>
      </c>
      <c r="I251" s="4">
        <v>-2</v>
      </c>
      <c r="J251" s="8" t="s">
        <v>37</v>
      </c>
      <c r="K251" s="8" t="s">
        <v>920</v>
      </c>
      <c r="L251" s="4" t="str">
        <f>IF(AtlasReport_1_Table_1[[#This Row],[Reference]]="Purchase order",_xll.AtlasFormulas.AtlasFunctions.AtlasTable("UAT",DataAreaId,"T.VendInvoiceTrans","%RecId","","","","","","","ItemId|PurchID|InventTransId",$C251,$B251,$K251),"")</f>
        <v/>
      </c>
      <c r="M251" s="4" t="str">
        <f>IF(AtlasReport_1_Table_1[[#This Row],[Reference]]="Purchase order",_xll.AtlasFormulas.AtlasFunctions.AtlasTable("UAT",DataAreaId,"T.MarkupTrans","%CurrencyCode","","","","","","","MarkupCode|TransRecId|TransTableId","TPP",$L251,"492"),"")</f>
        <v/>
      </c>
      <c r="N251" s="4" t="str">
        <f>IF(AtlasReport_1_Table_1[[#This Row],[Reference]]="Purchase order",_xll.AtlasFormulas.AtlasFunctions.AtlasBalance("UAT",DataAreaId,"T.MarkupTrans","Sum|Posted|0","","","","","","","MarkupCode|TransTableId|TransRecId","TPP","492",$L251),"")</f>
        <v/>
      </c>
    </row>
    <row r="252" spans="1:14" x14ac:dyDescent="0.25">
      <c r="A252" s="8" t="s">
        <v>252</v>
      </c>
      <c r="B252" s="8" t="s">
        <v>757</v>
      </c>
      <c r="C252" s="8" t="s">
        <v>19</v>
      </c>
      <c r="D252" s="8" t="s">
        <v>35</v>
      </c>
      <c r="E252" s="8" t="s">
        <v>261</v>
      </c>
      <c r="F252" s="8" t="s">
        <v>264</v>
      </c>
      <c r="G252" s="6">
        <v>43088</v>
      </c>
      <c r="H252" s="6">
        <v>43088</v>
      </c>
      <c r="I252" s="4">
        <v>-1</v>
      </c>
      <c r="J252" s="8" t="s">
        <v>37</v>
      </c>
      <c r="K252" s="8" t="s">
        <v>1627</v>
      </c>
      <c r="L252" s="4" t="str">
        <f>IF(AtlasReport_1_Table_1[[#This Row],[Reference]]="Purchase order",_xll.AtlasFormulas.AtlasFunctions.AtlasTable("UAT",DataAreaId,"T.VendInvoiceTrans","%RecId","","","","","","","ItemId|PurchID|InventTransId",$C252,$B252,$K252),"")</f>
        <v/>
      </c>
      <c r="M252" s="4" t="str">
        <f>IF(AtlasReport_1_Table_1[[#This Row],[Reference]]="Purchase order",_xll.AtlasFormulas.AtlasFunctions.AtlasTable("UAT",DataAreaId,"T.MarkupTrans","%CurrencyCode","","","","","","","MarkupCode|TransRecId|TransTableId","TPP",$L252,"492"),"")</f>
        <v/>
      </c>
      <c r="N252" s="4" t="str">
        <f>IF(AtlasReport_1_Table_1[[#This Row],[Reference]]="Purchase order",_xll.AtlasFormulas.AtlasFunctions.AtlasBalance("UAT",DataAreaId,"T.MarkupTrans","Sum|Posted|0","","","","","","","MarkupCode|TransTableId|TransRecId","TPP","492",$L252),"")</f>
        <v/>
      </c>
    </row>
    <row r="253" spans="1:14" x14ac:dyDescent="0.25">
      <c r="A253" s="8" t="s">
        <v>252</v>
      </c>
      <c r="B253" s="8" t="s">
        <v>711</v>
      </c>
      <c r="C253" s="8" t="s">
        <v>75</v>
      </c>
      <c r="D253" s="8" t="s">
        <v>201</v>
      </c>
      <c r="E253" s="8" t="s">
        <v>261</v>
      </c>
      <c r="F253" s="8" t="s">
        <v>264</v>
      </c>
      <c r="G253" s="6">
        <v>43089</v>
      </c>
      <c r="H253" s="6">
        <v>43090</v>
      </c>
      <c r="I253" s="4">
        <v>-24</v>
      </c>
      <c r="J253" s="8" t="s">
        <v>39</v>
      </c>
      <c r="K253" s="8" t="s">
        <v>713</v>
      </c>
      <c r="L253" s="4" t="str">
        <f>IF(AtlasReport_1_Table_1[[#This Row],[Reference]]="Purchase order",_xll.AtlasFormulas.AtlasFunctions.AtlasTable("UAT",DataAreaId,"T.VendInvoiceTrans","%RecId","","","","","","","ItemId|PurchID|InventTransId",$C253,$B253,$K253),"")</f>
        <v/>
      </c>
      <c r="M253" s="4" t="str">
        <f>IF(AtlasReport_1_Table_1[[#This Row],[Reference]]="Purchase order",_xll.AtlasFormulas.AtlasFunctions.AtlasTable("UAT",DataAreaId,"T.MarkupTrans","%CurrencyCode","","","","","","","MarkupCode|TransRecId|TransTableId","TPP",$L253,"492"),"")</f>
        <v/>
      </c>
      <c r="N253" s="4" t="str">
        <f>IF(AtlasReport_1_Table_1[[#This Row],[Reference]]="Purchase order",_xll.AtlasFormulas.AtlasFunctions.AtlasBalance("UAT",DataAreaId,"T.MarkupTrans","Sum|Posted|0","","","","","","","MarkupCode|TransTableId|TransRecId","TPP","492",$L253),"")</f>
        <v/>
      </c>
    </row>
    <row r="254" spans="1:14" x14ac:dyDescent="0.25">
      <c r="A254" s="8" t="s">
        <v>252</v>
      </c>
      <c r="B254" s="8" t="s">
        <v>711</v>
      </c>
      <c r="C254" s="8" t="s">
        <v>23</v>
      </c>
      <c r="D254" s="8" t="s">
        <v>883</v>
      </c>
      <c r="E254" s="8" t="s">
        <v>261</v>
      </c>
      <c r="F254" s="8" t="s">
        <v>289</v>
      </c>
      <c r="G254" s="6">
        <v>43090</v>
      </c>
      <c r="H254" s="6">
        <v>43090</v>
      </c>
      <c r="I254" s="4">
        <v>-2</v>
      </c>
      <c r="J254" s="8" t="s">
        <v>37</v>
      </c>
      <c r="K254" s="8" t="s">
        <v>904</v>
      </c>
      <c r="L254" s="4" t="str">
        <f>IF(AtlasReport_1_Table_1[[#This Row],[Reference]]="Purchase order",_xll.AtlasFormulas.AtlasFunctions.AtlasTable("UAT",DataAreaId,"T.VendInvoiceTrans","%RecId","","","","","","","ItemId|PurchID|InventTransId",$C254,$B254,$K254),"")</f>
        <v/>
      </c>
      <c r="M254" s="4" t="str">
        <f>IF(AtlasReport_1_Table_1[[#This Row],[Reference]]="Purchase order",_xll.AtlasFormulas.AtlasFunctions.AtlasTable("UAT",DataAreaId,"T.MarkupTrans","%CurrencyCode","","","","","","","MarkupCode|TransRecId|TransTableId","TPP",$L254,"492"),"")</f>
        <v/>
      </c>
      <c r="N254" s="4" t="str">
        <f>IF(AtlasReport_1_Table_1[[#This Row],[Reference]]="Purchase order",_xll.AtlasFormulas.AtlasFunctions.AtlasBalance("UAT",DataAreaId,"T.MarkupTrans","Sum|Posted|0","","","","","","","MarkupCode|TransTableId|TransRecId","TPP","492",$L254),"")</f>
        <v/>
      </c>
    </row>
    <row r="255" spans="1:14" x14ac:dyDescent="0.25">
      <c r="A255" s="8" t="s">
        <v>252</v>
      </c>
      <c r="B255" s="8" t="s">
        <v>711</v>
      </c>
      <c r="C255" s="8" t="s">
        <v>1424</v>
      </c>
      <c r="D255" s="8" t="s">
        <v>1425</v>
      </c>
      <c r="E255" s="8" t="s">
        <v>261</v>
      </c>
      <c r="F255" s="8" t="s">
        <v>264</v>
      </c>
      <c r="G255" s="6">
        <v>43089</v>
      </c>
      <c r="H255" s="6">
        <v>43090</v>
      </c>
      <c r="I255" s="4">
        <v>-1</v>
      </c>
      <c r="J255" s="8" t="s">
        <v>37</v>
      </c>
      <c r="K255" s="8" t="s">
        <v>1628</v>
      </c>
      <c r="L255" s="4" t="str">
        <f>IF(AtlasReport_1_Table_1[[#This Row],[Reference]]="Purchase order",_xll.AtlasFormulas.AtlasFunctions.AtlasTable("UAT",DataAreaId,"T.VendInvoiceTrans","%RecId","","","","","","","ItemId|PurchID|InventTransId",$C255,$B255,$K255),"")</f>
        <v/>
      </c>
      <c r="M255" s="4" t="str">
        <f>IF(AtlasReport_1_Table_1[[#This Row],[Reference]]="Purchase order",_xll.AtlasFormulas.AtlasFunctions.AtlasTable("UAT",DataAreaId,"T.MarkupTrans","%CurrencyCode","","","","","","","MarkupCode|TransRecId|TransTableId","TPP",$L255,"492"),"")</f>
        <v/>
      </c>
      <c r="N255" s="4" t="str">
        <f>IF(AtlasReport_1_Table_1[[#This Row],[Reference]]="Purchase order",_xll.AtlasFormulas.AtlasFunctions.AtlasBalance("UAT",DataAreaId,"T.MarkupTrans","Sum|Posted|0","","","","","","","MarkupCode|TransTableId|TransRecId","TPP","492",$L255),"")</f>
        <v/>
      </c>
    </row>
    <row r="256" spans="1:14" x14ac:dyDescent="0.25">
      <c r="A256" s="8" t="s">
        <v>252</v>
      </c>
      <c r="B256" s="8" t="s">
        <v>729</v>
      </c>
      <c r="C256" s="8" t="s">
        <v>111</v>
      </c>
      <c r="D256" s="8" t="s">
        <v>112</v>
      </c>
      <c r="E256" s="8" t="s">
        <v>261</v>
      </c>
      <c r="F256" s="8" t="s">
        <v>264</v>
      </c>
      <c r="G256" s="6">
        <v>43090</v>
      </c>
      <c r="H256" s="6">
        <v>43091</v>
      </c>
      <c r="I256" s="4">
        <v>-11.2</v>
      </c>
      <c r="J256" s="8" t="s">
        <v>39</v>
      </c>
      <c r="K256" s="8" t="s">
        <v>731</v>
      </c>
      <c r="L256" s="4" t="str">
        <f>IF(AtlasReport_1_Table_1[[#This Row],[Reference]]="Purchase order",_xll.AtlasFormulas.AtlasFunctions.AtlasTable("UAT",DataAreaId,"T.VendInvoiceTrans","%RecId","","","","","","","ItemId|PurchID|InventTransId",$C256,$B256,$K256),"")</f>
        <v/>
      </c>
      <c r="M256" s="4" t="str">
        <f>IF(AtlasReport_1_Table_1[[#This Row],[Reference]]="Purchase order",_xll.AtlasFormulas.AtlasFunctions.AtlasTable("UAT",DataAreaId,"T.MarkupTrans","%CurrencyCode","","","","","","","MarkupCode|TransRecId|TransTableId","TPP",$L256,"492"),"")</f>
        <v/>
      </c>
      <c r="N256" s="4" t="str">
        <f>IF(AtlasReport_1_Table_1[[#This Row],[Reference]]="Purchase order",_xll.AtlasFormulas.AtlasFunctions.AtlasBalance("UAT",DataAreaId,"T.MarkupTrans","Sum|Posted|0","","","","","","","MarkupCode|TransTableId|TransRecId","TPP","492",$L256),"")</f>
        <v/>
      </c>
    </row>
    <row r="257" spans="1:14" x14ac:dyDescent="0.25">
      <c r="A257" s="8" t="s">
        <v>252</v>
      </c>
      <c r="B257" s="8" t="s">
        <v>729</v>
      </c>
      <c r="C257" s="8" t="s">
        <v>1424</v>
      </c>
      <c r="D257" s="8" t="s">
        <v>1425</v>
      </c>
      <c r="E257" s="8" t="s">
        <v>261</v>
      </c>
      <c r="F257" s="8" t="s">
        <v>264</v>
      </c>
      <c r="G257" s="6">
        <v>43090</v>
      </c>
      <c r="H257" s="6">
        <v>43091</v>
      </c>
      <c r="I257" s="4">
        <v>-1</v>
      </c>
      <c r="J257" s="8" t="s">
        <v>37</v>
      </c>
      <c r="K257" s="8" t="s">
        <v>1629</v>
      </c>
      <c r="L257" s="4" t="str">
        <f>IF(AtlasReport_1_Table_1[[#This Row],[Reference]]="Purchase order",_xll.AtlasFormulas.AtlasFunctions.AtlasTable("UAT",DataAreaId,"T.VendInvoiceTrans","%RecId","","","","","","","ItemId|PurchID|InventTransId",$C257,$B257,$K257),"")</f>
        <v/>
      </c>
      <c r="M257" s="4" t="str">
        <f>IF(AtlasReport_1_Table_1[[#This Row],[Reference]]="Purchase order",_xll.AtlasFormulas.AtlasFunctions.AtlasTable("UAT",DataAreaId,"T.MarkupTrans","%CurrencyCode","","","","","","","MarkupCode|TransRecId|TransTableId","TPP",$L257,"492"),"")</f>
        <v/>
      </c>
      <c r="N257" s="4" t="str">
        <f>IF(AtlasReport_1_Table_1[[#This Row],[Reference]]="Purchase order",_xll.AtlasFormulas.AtlasFunctions.AtlasBalance("UAT",DataAreaId,"T.MarkupTrans","Sum|Posted|0","","","","","","","MarkupCode|TransTableId|TransRecId","TPP","492",$L257),"")</f>
        <v/>
      </c>
    </row>
    <row r="258" spans="1:14" x14ac:dyDescent="0.25">
      <c r="A258" s="8" t="s">
        <v>252</v>
      </c>
      <c r="B258" s="8" t="s">
        <v>639</v>
      </c>
      <c r="C258" s="8" t="s">
        <v>25</v>
      </c>
      <c r="D258" s="8" t="s">
        <v>31</v>
      </c>
      <c r="E258" s="8" t="s">
        <v>261</v>
      </c>
      <c r="F258" s="8" t="s">
        <v>264</v>
      </c>
      <c r="G258" s="6">
        <v>43090</v>
      </c>
      <c r="H258" s="6">
        <v>43090</v>
      </c>
      <c r="I258" s="4">
        <v>210</v>
      </c>
      <c r="J258" s="8" t="s">
        <v>38</v>
      </c>
      <c r="K258" s="8" t="s">
        <v>641</v>
      </c>
      <c r="L258" s="4" t="str">
        <f>IF(AtlasReport_1_Table_1[[#This Row],[Reference]]="Purchase order",_xll.AtlasFormulas.AtlasFunctions.AtlasTable("UAT",DataAreaId,"T.VendInvoiceTrans","%RecId","","","","","","","ItemId|PurchID|InventTransId",$C258,$B258,$K258),"")</f>
        <v/>
      </c>
      <c r="M258" s="4" t="str">
        <f>IF(AtlasReport_1_Table_1[[#This Row],[Reference]]="Purchase order",_xll.AtlasFormulas.AtlasFunctions.AtlasTable("UAT",DataAreaId,"T.MarkupTrans","%CurrencyCode","","","","","","","MarkupCode|TransRecId|TransTableId","TPP",$L258,"492"),"")</f>
        <v/>
      </c>
      <c r="N258" s="4" t="str">
        <f>IF(AtlasReport_1_Table_1[[#This Row],[Reference]]="Purchase order",_xll.AtlasFormulas.AtlasFunctions.AtlasBalance("UAT",DataAreaId,"T.MarkupTrans","Sum|Posted|0","","","","","","","MarkupCode|TransTableId|TransRecId","TPP","492",$L258),"")</f>
        <v/>
      </c>
    </row>
    <row r="259" spans="1:14" x14ac:dyDescent="0.25">
      <c r="A259" s="8" t="s">
        <v>252</v>
      </c>
      <c r="B259" s="8" t="s">
        <v>639</v>
      </c>
      <c r="C259" s="8" t="s">
        <v>244</v>
      </c>
      <c r="D259" s="8" t="s">
        <v>245</v>
      </c>
      <c r="E259" s="8" t="s">
        <v>261</v>
      </c>
      <c r="F259" s="8" t="s">
        <v>264</v>
      </c>
      <c r="G259" s="6">
        <v>43090</v>
      </c>
      <c r="H259" s="6">
        <v>43090</v>
      </c>
      <c r="I259" s="4">
        <v>9</v>
      </c>
      <c r="J259" s="8" t="s">
        <v>37</v>
      </c>
      <c r="K259" s="8" t="s">
        <v>968</v>
      </c>
      <c r="L259" s="4" t="str">
        <f>IF(AtlasReport_1_Table_1[[#This Row],[Reference]]="Purchase order",_xll.AtlasFormulas.AtlasFunctions.AtlasTable("UAT",DataAreaId,"T.VendInvoiceTrans","%RecId","","","","","","","ItemId|PurchID|InventTransId",$C259,$B259,$K259),"")</f>
        <v/>
      </c>
      <c r="M259" s="4" t="str">
        <f>IF(AtlasReport_1_Table_1[[#This Row],[Reference]]="Purchase order",_xll.AtlasFormulas.AtlasFunctions.AtlasTable("UAT",DataAreaId,"T.MarkupTrans","%CurrencyCode","","","","","","","MarkupCode|TransRecId|TransTableId","TPP",$L259,"492"),"")</f>
        <v/>
      </c>
      <c r="N259" s="4" t="str">
        <f>IF(AtlasReport_1_Table_1[[#This Row],[Reference]]="Purchase order",_xll.AtlasFormulas.AtlasFunctions.AtlasBalance("UAT",DataAreaId,"T.MarkupTrans","Sum|Posted|0","","","","","","","MarkupCode|TransTableId|TransRecId","TPP","492",$L259),"")</f>
        <v/>
      </c>
    </row>
    <row r="260" spans="1:14" x14ac:dyDescent="0.25">
      <c r="A260" s="8" t="s">
        <v>252</v>
      </c>
      <c r="B260" s="8" t="s">
        <v>639</v>
      </c>
      <c r="C260" s="8" t="s">
        <v>19</v>
      </c>
      <c r="D260" s="8" t="s">
        <v>35</v>
      </c>
      <c r="E260" s="8" t="s">
        <v>261</v>
      </c>
      <c r="F260" s="8" t="s">
        <v>264</v>
      </c>
      <c r="G260" s="6">
        <v>43090</v>
      </c>
      <c r="H260" s="6">
        <v>43090</v>
      </c>
      <c r="I260" s="4">
        <v>1</v>
      </c>
      <c r="J260" s="8" t="s">
        <v>37</v>
      </c>
      <c r="K260" s="8" t="s">
        <v>1630</v>
      </c>
      <c r="L260" s="4" t="str">
        <f>IF(AtlasReport_1_Table_1[[#This Row],[Reference]]="Purchase order",_xll.AtlasFormulas.AtlasFunctions.AtlasTable("UAT",DataAreaId,"T.VendInvoiceTrans","%RecId","","","","","","","ItemId|PurchID|InventTransId",$C260,$B260,$K260),"")</f>
        <v/>
      </c>
      <c r="M260" s="4" t="str">
        <f>IF(AtlasReport_1_Table_1[[#This Row],[Reference]]="Purchase order",_xll.AtlasFormulas.AtlasFunctions.AtlasTable("UAT",DataAreaId,"T.MarkupTrans","%CurrencyCode","","","","","","","MarkupCode|TransRecId|TransTableId","TPP",$L260,"492"),"")</f>
        <v/>
      </c>
      <c r="N260" s="4" t="str">
        <f>IF(AtlasReport_1_Table_1[[#This Row],[Reference]]="Purchase order",_xll.AtlasFormulas.AtlasFunctions.AtlasBalance("UAT",DataAreaId,"T.MarkupTrans","Sum|Posted|0","","","","","","","MarkupCode|TransTableId|TransRecId","TPP","492",$L260),"")</f>
        <v/>
      </c>
    </row>
    <row r="261" spans="1:14" x14ac:dyDescent="0.25">
      <c r="A261" s="8" t="s">
        <v>252</v>
      </c>
      <c r="B261" s="8" t="s">
        <v>642</v>
      </c>
      <c r="C261" s="8" t="s">
        <v>25</v>
      </c>
      <c r="D261" s="8" t="s">
        <v>31</v>
      </c>
      <c r="E261" s="8" t="s">
        <v>261</v>
      </c>
      <c r="F261" s="8" t="s">
        <v>264</v>
      </c>
      <c r="G261" s="6">
        <v>43090</v>
      </c>
      <c r="H261" s="6">
        <v>43090</v>
      </c>
      <c r="I261" s="4">
        <v>-210</v>
      </c>
      <c r="J261" s="8" t="s">
        <v>38</v>
      </c>
      <c r="K261" s="8" t="s">
        <v>644</v>
      </c>
      <c r="L261" s="4" t="str">
        <f>IF(AtlasReport_1_Table_1[[#This Row],[Reference]]="Purchase order",_xll.AtlasFormulas.AtlasFunctions.AtlasTable("UAT",DataAreaId,"T.VendInvoiceTrans","%RecId","","","","","","","ItemId|PurchID|InventTransId",$C261,$B261,$K261),"")</f>
        <v/>
      </c>
      <c r="M261" s="4" t="str">
        <f>IF(AtlasReport_1_Table_1[[#This Row],[Reference]]="Purchase order",_xll.AtlasFormulas.AtlasFunctions.AtlasTable("UAT",DataAreaId,"T.MarkupTrans","%CurrencyCode","","","","","","","MarkupCode|TransRecId|TransTableId","TPP",$L261,"492"),"")</f>
        <v/>
      </c>
      <c r="N261" s="4" t="str">
        <f>IF(AtlasReport_1_Table_1[[#This Row],[Reference]]="Purchase order",_xll.AtlasFormulas.AtlasFunctions.AtlasBalance("UAT",DataAreaId,"T.MarkupTrans","Sum|Posted|0","","","","","","","MarkupCode|TransTableId|TransRecId","TPP","492",$L261),"")</f>
        <v/>
      </c>
    </row>
    <row r="262" spans="1:14" x14ac:dyDescent="0.25">
      <c r="A262" s="8" t="s">
        <v>252</v>
      </c>
      <c r="B262" s="8" t="s">
        <v>642</v>
      </c>
      <c r="C262" s="8" t="s">
        <v>244</v>
      </c>
      <c r="D262" s="8" t="s">
        <v>245</v>
      </c>
      <c r="E262" s="8" t="s">
        <v>261</v>
      </c>
      <c r="F262" s="8" t="s">
        <v>264</v>
      </c>
      <c r="G262" s="6">
        <v>43090</v>
      </c>
      <c r="H262" s="6">
        <v>43090</v>
      </c>
      <c r="I262" s="4">
        <v>-9</v>
      </c>
      <c r="J262" s="8" t="s">
        <v>37</v>
      </c>
      <c r="K262" s="8" t="s">
        <v>967</v>
      </c>
      <c r="L262" s="4" t="str">
        <f>IF(AtlasReport_1_Table_1[[#This Row],[Reference]]="Purchase order",_xll.AtlasFormulas.AtlasFunctions.AtlasTable("UAT",DataAreaId,"T.VendInvoiceTrans","%RecId","","","","","","","ItemId|PurchID|InventTransId",$C262,$B262,$K262),"")</f>
        <v/>
      </c>
      <c r="M262" s="4" t="str">
        <f>IF(AtlasReport_1_Table_1[[#This Row],[Reference]]="Purchase order",_xll.AtlasFormulas.AtlasFunctions.AtlasTable("UAT",DataAreaId,"T.MarkupTrans","%CurrencyCode","","","","","","","MarkupCode|TransRecId|TransTableId","TPP",$L262,"492"),"")</f>
        <v/>
      </c>
      <c r="N262" s="4" t="str">
        <f>IF(AtlasReport_1_Table_1[[#This Row],[Reference]]="Purchase order",_xll.AtlasFormulas.AtlasFunctions.AtlasBalance("UAT",DataAreaId,"T.MarkupTrans","Sum|Posted|0","","","","","","","MarkupCode|TransTableId|TransRecId","TPP","492",$L262),"")</f>
        <v/>
      </c>
    </row>
    <row r="263" spans="1:14" x14ac:dyDescent="0.25">
      <c r="A263" s="8" t="s">
        <v>252</v>
      </c>
      <c r="B263" s="8" t="s">
        <v>642</v>
      </c>
      <c r="C263" s="8" t="s">
        <v>19</v>
      </c>
      <c r="D263" s="8" t="s">
        <v>35</v>
      </c>
      <c r="E263" s="8" t="s">
        <v>261</v>
      </c>
      <c r="F263" s="8" t="s">
        <v>264</v>
      </c>
      <c r="G263" s="6">
        <v>43090</v>
      </c>
      <c r="H263" s="6">
        <v>43090</v>
      </c>
      <c r="I263" s="4">
        <v>-1</v>
      </c>
      <c r="J263" s="8" t="s">
        <v>37</v>
      </c>
      <c r="K263" s="8" t="s">
        <v>1631</v>
      </c>
      <c r="L263" s="4" t="str">
        <f>IF(AtlasReport_1_Table_1[[#This Row],[Reference]]="Purchase order",_xll.AtlasFormulas.AtlasFunctions.AtlasTable("UAT",DataAreaId,"T.VendInvoiceTrans","%RecId","","","","","","","ItemId|PurchID|InventTransId",$C263,$B263,$K263),"")</f>
        <v/>
      </c>
      <c r="M263" s="4" t="str">
        <f>IF(AtlasReport_1_Table_1[[#This Row],[Reference]]="Purchase order",_xll.AtlasFormulas.AtlasFunctions.AtlasTable("UAT",DataAreaId,"T.MarkupTrans","%CurrencyCode","","","","","","","MarkupCode|TransRecId|TransTableId","TPP",$L263,"492"),"")</f>
        <v/>
      </c>
      <c r="N263" s="4" t="str">
        <f>IF(AtlasReport_1_Table_1[[#This Row],[Reference]]="Purchase order",_xll.AtlasFormulas.AtlasFunctions.AtlasBalance("UAT",DataAreaId,"T.MarkupTrans","Sum|Posted|0","","","","","","","MarkupCode|TransTableId|TransRecId","TPP","492",$L263),"")</f>
        <v/>
      </c>
    </row>
    <row r="264" spans="1:14" x14ac:dyDescent="0.25">
      <c r="A264" s="8" t="s">
        <v>252</v>
      </c>
      <c r="B264" s="8" t="s">
        <v>693</v>
      </c>
      <c r="C264" s="8" t="s">
        <v>186</v>
      </c>
      <c r="D264" s="8" t="s">
        <v>187</v>
      </c>
      <c r="E264" s="8" t="s">
        <v>261</v>
      </c>
      <c r="F264" s="8" t="s">
        <v>290</v>
      </c>
      <c r="G264" s="6">
        <v>43091</v>
      </c>
      <c r="H264" s="6">
        <v>43091</v>
      </c>
      <c r="I264" s="4">
        <v>-2722.5</v>
      </c>
      <c r="J264" s="8" t="s">
        <v>38</v>
      </c>
      <c r="K264" s="8" t="s">
        <v>1632</v>
      </c>
      <c r="L264" s="4" t="str">
        <f>IF(AtlasReport_1_Table_1[[#This Row],[Reference]]="Purchase order",_xll.AtlasFormulas.AtlasFunctions.AtlasTable("UAT",DataAreaId,"T.VendInvoiceTrans","%RecId","","","","","","","ItemId|PurchID|InventTransId",$C264,$B264,$K264),"")</f>
        <v/>
      </c>
      <c r="M264" s="4" t="str">
        <f>IF(AtlasReport_1_Table_1[[#This Row],[Reference]]="Purchase order",_xll.AtlasFormulas.AtlasFunctions.AtlasTable("UAT",DataAreaId,"T.MarkupTrans","%CurrencyCode","","","","","","","MarkupCode|TransRecId|TransTableId","TPP",$L264,"492"),"")</f>
        <v/>
      </c>
      <c r="N264" s="4" t="str">
        <f>IF(AtlasReport_1_Table_1[[#This Row],[Reference]]="Purchase order",_xll.AtlasFormulas.AtlasFunctions.AtlasBalance("UAT",DataAreaId,"T.MarkupTrans","Sum|Posted|0","","","","","","","MarkupCode|TransTableId|TransRecId","TPP","492",$L264),"")</f>
        <v/>
      </c>
    </row>
    <row r="265" spans="1:14" x14ac:dyDescent="0.25">
      <c r="A265" s="8" t="s">
        <v>252</v>
      </c>
      <c r="B265" s="8" t="s">
        <v>693</v>
      </c>
      <c r="C265" s="8" t="s">
        <v>188</v>
      </c>
      <c r="D265" s="8" t="s">
        <v>189</v>
      </c>
      <c r="E265" s="8" t="s">
        <v>261</v>
      </c>
      <c r="F265" s="8" t="s">
        <v>290</v>
      </c>
      <c r="G265" s="6">
        <v>43091</v>
      </c>
      <c r="H265" s="6">
        <v>43091</v>
      </c>
      <c r="I265" s="4">
        <v>-1</v>
      </c>
      <c r="J265" s="8" t="s">
        <v>37</v>
      </c>
      <c r="K265" s="8" t="s">
        <v>1633</v>
      </c>
      <c r="L265" s="4" t="str">
        <f>IF(AtlasReport_1_Table_1[[#This Row],[Reference]]="Purchase order",_xll.AtlasFormulas.AtlasFunctions.AtlasTable("UAT",DataAreaId,"T.VendInvoiceTrans","%RecId","","","","","","","ItemId|PurchID|InventTransId",$C265,$B265,$K265),"")</f>
        <v/>
      </c>
      <c r="M265" s="4" t="str">
        <f>IF(AtlasReport_1_Table_1[[#This Row],[Reference]]="Purchase order",_xll.AtlasFormulas.AtlasFunctions.AtlasTable("UAT",DataAreaId,"T.MarkupTrans","%CurrencyCode","","","","","","","MarkupCode|TransRecId|TransTableId","TPP",$L265,"492"),"")</f>
        <v/>
      </c>
      <c r="N265" s="4" t="str">
        <f>IF(AtlasReport_1_Table_1[[#This Row],[Reference]]="Purchase order",_xll.AtlasFormulas.AtlasFunctions.AtlasBalance("UAT",DataAreaId,"T.MarkupTrans","Sum|Posted|0","","","","","","","MarkupCode|TransTableId|TransRecId","TPP","492",$L265),"")</f>
        <v/>
      </c>
    </row>
    <row r="266" spans="1:14" x14ac:dyDescent="0.25">
      <c r="A266" s="8" t="s">
        <v>252</v>
      </c>
      <c r="B266" s="8" t="s">
        <v>693</v>
      </c>
      <c r="C266" s="8" t="s">
        <v>15</v>
      </c>
      <c r="D266" s="8" t="s">
        <v>32</v>
      </c>
      <c r="E266" s="8" t="s">
        <v>261</v>
      </c>
      <c r="F266" s="8" t="s">
        <v>290</v>
      </c>
      <c r="G266" s="6">
        <v>43091</v>
      </c>
      <c r="H266" s="6">
        <v>43091</v>
      </c>
      <c r="I266" s="4">
        <v>-1455</v>
      </c>
      <c r="J266" s="8" t="s">
        <v>38</v>
      </c>
      <c r="K266" s="8" t="s">
        <v>695</v>
      </c>
      <c r="L266" s="4" t="str">
        <f>IF(AtlasReport_1_Table_1[[#This Row],[Reference]]="Purchase order",_xll.AtlasFormulas.AtlasFunctions.AtlasTable("UAT",DataAreaId,"T.VendInvoiceTrans","%RecId","","","","","","","ItemId|PurchID|InventTransId",$C266,$B266,$K266),"")</f>
        <v/>
      </c>
      <c r="M266" s="4" t="str">
        <f>IF(AtlasReport_1_Table_1[[#This Row],[Reference]]="Purchase order",_xll.AtlasFormulas.AtlasFunctions.AtlasTable("UAT",DataAreaId,"T.MarkupTrans","%CurrencyCode","","","","","","","MarkupCode|TransRecId|TransTableId","TPP",$L266,"492"),"")</f>
        <v/>
      </c>
      <c r="N266" s="4" t="str">
        <f>IF(AtlasReport_1_Table_1[[#This Row],[Reference]]="Purchase order",_xll.AtlasFormulas.AtlasFunctions.AtlasBalance("UAT",DataAreaId,"T.MarkupTrans","Sum|Posted|0","","","","","","","MarkupCode|TransTableId|TransRecId","TPP","492",$L266),"")</f>
        <v/>
      </c>
    </row>
    <row r="267" spans="1:14" x14ac:dyDescent="0.25">
      <c r="A267" s="8" t="s">
        <v>252</v>
      </c>
      <c r="B267" s="8" t="s">
        <v>693</v>
      </c>
      <c r="C267" s="8" t="s">
        <v>15</v>
      </c>
      <c r="D267" s="8" t="s">
        <v>32</v>
      </c>
      <c r="E267" s="8" t="s">
        <v>261</v>
      </c>
      <c r="F267" s="8" t="s">
        <v>290</v>
      </c>
      <c r="G267" s="6">
        <v>43091</v>
      </c>
      <c r="H267" s="6">
        <v>43091</v>
      </c>
      <c r="I267" s="4">
        <v>-145.5</v>
      </c>
      <c r="J267" s="8" t="s">
        <v>38</v>
      </c>
      <c r="K267" s="8" t="s">
        <v>696</v>
      </c>
      <c r="L267" s="4" t="str">
        <f>IF(AtlasReport_1_Table_1[[#This Row],[Reference]]="Purchase order",_xll.AtlasFormulas.AtlasFunctions.AtlasTable("UAT",DataAreaId,"T.VendInvoiceTrans","%RecId","","","","","","","ItemId|PurchID|InventTransId",$C267,$B267,$K267),"")</f>
        <v/>
      </c>
      <c r="M267" s="4" t="str">
        <f>IF(AtlasReport_1_Table_1[[#This Row],[Reference]]="Purchase order",_xll.AtlasFormulas.AtlasFunctions.AtlasTable("UAT",DataAreaId,"T.MarkupTrans","%CurrencyCode","","","","","","","MarkupCode|TransRecId|TransTableId","TPP",$L267,"492"),"")</f>
        <v/>
      </c>
      <c r="N267" s="4" t="str">
        <f>IF(AtlasReport_1_Table_1[[#This Row],[Reference]]="Purchase order",_xll.AtlasFormulas.AtlasFunctions.AtlasBalance("UAT",DataAreaId,"T.MarkupTrans","Sum|Posted|0","","","","","","","MarkupCode|TransTableId|TransRecId","TPP","492",$L267),"")</f>
        <v/>
      </c>
    </row>
    <row r="268" spans="1:14" x14ac:dyDescent="0.25">
      <c r="A268" s="8" t="s">
        <v>252</v>
      </c>
      <c r="B268" s="8" t="s">
        <v>693</v>
      </c>
      <c r="C268" s="8" t="s">
        <v>16</v>
      </c>
      <c r="D268" s="8" t="s">
        <v>32</v>
      </c>
      <c r="E268" s="8" t="s">
        <v>261</v>
      </c>
      <c r="F268" s="8" t="s">
        <v>290</v>
      </c>
      <c r="G268" s="6">
        <v>43091</v>
      </c>
      <c r="H268" s="6">
        <v>43091</v>
      </c>
      <c r="I268" s="4">
        <v>-1267.5</v>
      </c>
      <c r="J268" s="8" t="s">
        <v>38</v>
      </c>
      <c r="K268" s="8" t="s">
        <v>700</v>
      </c>
      <c r="L268" s="4" t="str">
        <f>IF(AtlasReport_1_Table_1[[#This Row],[Reference]]="Purchase order",_xll.AtlasFormulas.AtlasFunctions.AtlasTable("UAT",DataAreaId,"T.VendInvoiceTrans","%RecId","","","","","","","ItemId|PurchID|InventTransId",$C268,$B268,$K268),"")</f>
        <v/>
      </c>
      <c r="M268" s="4" t="str">
        <f>IF(AtlasReport_1_Table_1[[#This Row],[Reference]]="Purchase order",_xll.AtlasFormulas.AtlasFunctions.AtlasTable("UAT",DataAreaId,"T.MarkupTrans","%CurrencyCode","","","","","","","MarkupCode|TransRecId|TransTableId","TPP",$L268,"492"),"")</f>
        <v/>
      </c>
      <c r="N268" s="4" t="str">
        <f>IF(AtlasReport_1_Table_1[[#This Row],[Reference]]="Purchase order",_xll.AtlasFormulas.AtlasFunctions.AtlasBalance("UAT",DataAreaId,"T.MarkupTrans","Sum|Posted|0","","","","","","","MarkupCode|TransTableId|TransRecId","TPP","492",$L268),"")</f>
        <v/>
      </c>
    </row>
    <row r="269" spans="1:14" x14ac:dyDescent="0.25">
      <c r="A269" s="8" t="s">
        <v>252</v>
      </c>
      <c r="B269" s="8" t="s">
        <v>614</v>
      </c>
      <c r="C269" s="8" t="s">
        <v>20</v>
      </c>
      <c r="D269" s="8" t="s">
        <v>191</v>
      </c>
      <c r="E269" s="8" t="s">
        <v>261</v>
      </c>
      <c r="F269" s="8" t="s">
        <v>290</v>
      </c>
      <c r="G269" s="6">
        <v>43091</v>
      </c>
      <c r="H269" s="6">
        <v>43091</v>
      </c>
      <c r="I269" s="4">
        <v>-339.5</v>
      </c>
      <c r="J269" s="8" t="s">
        <v>38</v>
      </c>
      <c r="K269" s="8" t="s">
        <v>616</v>
      </c>
      <c r="L269" s="4" t="str">
        <f>IF(AtlasReport_1_Table_1[[#This Row],[Reference]]="Purchase order",_xll.AtlasFormulas.AtlasFunctions.AtlasTable("UAT",DataAreaId,"T.VendInvoiceTrans","%RecId","","","","","","","ItemId|PurchID|InventTransId",$C269,$B269,$K269),"")</f>
        <v/>
      </c>
      <c r="M269" s="4" t="str">
        <f>IF(AtlasReport_1_Table_1[[#This Row],[Reference]]="Purchase order",_xll.AtlasFormulas.AtlasFunctions.AtlasTable("UAT",DataAreaId,"T.MarkupTrans","%CurrencyCode","","","","","","","MarkupCode|TransRecId|TransTableId","TPP",$L269,"492"),"")</f>
        <v/>
      </c>
      <c r="N269" s="4" t="str">
        <f>IF(AtlasReport_1_Table_1[[#This Row],[Reference]]="Purchase order",_xll.AtlasFormulas.AtlasFunctions.AtlasBalance("UAT",DataAreaId,"T.MarkupTrans","Sum|Posted|0","","","","","","","MarkupCode|TransTableId|TransRecId","TPP","492",$L269),"")</f>
        <v/>
      </c>
    </row>
    <row r="270" spans="1:14" x14ac:dyDescent="0.25">
      <c r="A270" s="8" t="s">
        <v>252</v>
      </c>
      <c r="B270" s="8" t="s">
        <v>614</v>
      </c>
      <c r="C270" s="8" t="s">
        <v>19</v>
      </c>
      <c r="D270" s="8" t="s">
        <v>35</v>
      </c>
      <c r="E270" s="8" t="s">
        <v>261</v>
      </c>
      <c r="F270" s="8" t="s">
        <v>290</v>
      </c>
      <c r="G270" s="6">
        <v>43091</v>
      </c>
      <c r="H270" s="6">
        <v>43091</v>
      </c>
      <c r="I270" s="4">
        <v>-1</v>
      </c>
      <c r="J270" s="8" t="s">
        <v>37</v>
      </c>
      <c r="K270" s="8" t="s">
        <v>1634</v>
      </c>
      <c r="L270" s="4" t="str">
        <f>IF(AtlasReport_1_Table_1[[#This Row],[Reference]]="Purchase order",_xll.AtlasFormulas.AtlasFunctions.AtlasTable("UAT",DataAreaId,"T.VendInvoiceTrans","%RecId","","","","","","","ItemId|PurchID|InventTransId",$C270,$B270,$K270),"")</f>
        <v/>
      </c>
      <c r="M270" s="4" t="str">
        <f>IF(AtlasReport_1_Table_1[[#This Row],[Reference]]="Purchase order",_xll.AtlasFormulas.AtlasFunctions.AtlasTable("UAT",DataAreaId,"T.MarkupTrans","%CurrencyCode","","","","","","","MarkupCode|TransRecId|TransTableId","TPP",$L270,"492"),"")</f>
        <v/>
      </c>
      <c r="N270" s="4" t="str">
        <f>IF(AtlasReport_1_Table_1[[#This Row],[Reference]]="Purchase order",_xll.AtlasFormulas.AtlasFunctions.AtlasBalance("UAT",DataAreaId,"T.MarkupTrans","Sum|Posted|0","","","","","","","MarkupCode|TransTableId|TransRecId","TPP","492",$L270),"")</f>
        <v/>
      </c>
    </row>
    <row r="271" spans="1:14" x14ac:dyDescent="0.25">
      <c r="A271" s="8" t="s">
        <v>252</v>
      </c>
      <c r="B271" s="8" t="s">
        <v>617</v>
      </c>
      <c r="C271" s="8" t="s">
        <v>186</v>
      </c>
      <c r="D271" s="8" t="s">
        <v>187</v>
      </c>
      <c r="E271" s="8" t="s">
        <v>261</v>
      </c>
      <c r="F271" s="8" t="s">
        <v>290</v>
      </c>
      <c r="G271" s="6">
        <v>43091</v>
      </c>
      <c r="H271" s="6">
        <v>43091</v>
      </c>
      <c r="I271" s="4">
        <v>-533.5</v>
      </c>
      <c r="J271" s="8" t="s">
        <v>38</v>
      </c>
      <c r="K271" s="8" t="s">
        <v>1635</v>
      </c>
      <c r="L271" s="4" t="str">
        <f>IF(AtlasReport_1_Table_1[[#This Row],[Reference]]="Purchase order",_xll.AtlasFormulas.AtlasFunctions.AtlasTable("UAT",DataAreaId,"T.VendInvoiceTrans","%RecId","","","","","","","ItemId|PurchID|InventTransId",$C271,$B271,$K271),"")</f>
        <v/>
      </c>
      <c r="M271" s="4" t="str">
        <f>IF(AtlasReport_1_Table_1[[#This Row],[Reference]]="Purchase order",_xll.AtlasFormulas.AtlasFunctions.AtlasTable("UAT",DataAreaId,"T.MarkupTrans","%CurrencyCode","","","","","","","MarkupCode|TransRecId|TransTableId","TPP",$L271,"492"),"")</f>
        <v/>
      </c>
      <c r="N271" s="4" t="str">
        <f>IF(AtlasReport_1_Table_1[[#This Row],[Reference]]="Purchase order",_xll.AtlasFormulas.AtlasFunctions.AtlasBalance("UAT",DataAreaId,"T.MarkupTrans","Sum|Posted|0","","","","","","","MarkupCode|TransTableId|TransRecId","TPP","492",$L271),"")</f>
        <v/>
      </c>
    </row>
    <row r="272" spans="1:14" x14ac:dyDescent="0.25">
      <c r="A272" s="8" t="s">
        <v>252</v>
      </c>
      <c r="B272" s="8" t="s">
        <v>617</v>
      </c>
      <c r="C272" s="8" t="s">
        <v>188</v>
      </c>
      <c r="D272" s="8" t="s">
        <v>189</v>
      </c>
      <c r="E272" s="8" t="s">
        <v>261</v>
      </c>
      <c r="F272" s="8" t="s">
        <v>290</v>
      </c>
      <c r="G272" s="6">
        <v>43091</v>
      </c>
      <c r="H272" s="6">
        <v>43091</v>
      </c>
      <c r="I272" s="4">
        <v>-1</v>
      </c>
      <c r="J272" s="8" t="s">
        <v>37</v>
      </c>
      <c r="K272" s="8" t="s">
        <v>1636</v>
      </c>
      <c r="L272" s="4" t="str">
        <f>IF(AtlasReport_1_Table_1[[#This Row],[Reference]]="Purchase order",_xll.AtlasFormulas.AtlasFunctions.AtlasTable("UAT",DataAreaId,"T.VendInvoiceTrans","%RecId","","","","","","","ItemId|PurchID|InventTransId",$C272,$B272,$K272),"")</f>
        <v/>
      </c>
      <c r="M272" s="4" t="str">
        <f>IF(AtlasReport_1_Table_1[[#This Row],[Reference]]="Purchase order",_xll.AtlasFormulas.AtlasFunctions.AtlasTable("UAT",DataAreaId,"T.MarkupTrans","%CurrencyCode","","","","","","","MarkupCode|TransRecId|TransTableId","TPP",$L272,"492"),"")</f>
        <v/>
      </c>
      <c r="N272" s="4" t="str">
        <f>IF(AtlasReport_1_Table_1[[#This Row],[Reference]]="Purchase order",_xll.AtlasFormulas.AtlasFunctions.AtlasBalance("UAT",DataAreaId,"T.MarkupTrans","Sum|Posted|0","","","","","","","MarkupCode|TransTableId|TransRecId","TPP","492",$L272),"")</f>
        <v/>
      </c>
    </row>
    <row r="273" spans="1:14" x14ac:dyDescent="0.25">
      <c r="A273" s="8" t="s">
        <v>252</v>
      </c>
      <c r="B273" s="8" t="s">
        <v>617</v>
      </c>
      <c r="C273" s="8" t="s">
        <v>20</v>
      </c>
      <c r="D273" s="8" t="s">
        <v>191</v>
      </c>
      <c r="E273" s="8" t="s">
        <v>261</v>
      </c>
      <c r="F273" s="8" t="s">
        <v>290</v>
      </c>
      <c r="G273" s="6">
        <v>43091</v>
      </c>
      <c r="H273" s="6">
        <v>43091</v>
      </c>
      <c r="I273" s="4">
        <v>-533.5</v>
      </c>
      <c r="J273" s="8" t="s">
        <v>38</v>
      </c>
      <c r="K273" s="8" t="s">
        <v>619</v>
      </c>
      <c r="L273" s="4" t="str">
        <f>IF(AtlasReport_1_Table_1[[#This Row],[Reference]]="Purchase order",_xll.AtlasFormulas.AtlasFunctions.AtlasTable("UAT",DataAreaId,"T.VendInvoiceTrans","%RecId","","","","","","","ItemId|PurchID|InventTransId",$C273,$B273,$K273),"")</f>
        <v/>
      </c>
      <c r="M273" s="4" t="str">
        <f>IF(AtlasReport_1_Table_1[[#This Row],[Reference]]="Purchase order",_xll.AtlasFormulas.AtlasFunctions.AtlasTable("UAT",DataAreaId,"T.MarkupTrans","%CurrencyCode","","","","","","","MarkupCode|TransRecId|TransTableId","TPP",$L273,"492"),"")</f>
        <v/>
      </c>
      <c r="N273" s="4" t="str">
        <f>IF(AtlasReport_1_Table_1[[#This Row],[Reference]]="Purchase order",_xll.AtlasFormulas.AtlasFunctions.AtlasBalance("UAT",DataAreaId,"T.MarkupTrans","Sum|Posted|0","","","","","","","MarkupCode|TransTableId|TransRecId","TPP","492",$L273),"")</f>
        <v/>
      </c>
    </row>
    <row r="274" spans="1:14" x14ac:dyDescent="0.25">
      <c r="A274" s="8" t="s">
        <v>252</v>
      </c>
      <c r="B274" s="8" t="s">
        <v>1637</v>
      </c>
      <c r="C274" s="8" t="s">
        <v>1453</v>
      </c>
      <c r="D274" s="8" t="s">
        <v>1454</v>
      </c>
      <c r="E274" s="8" t="s">
        <v>261</v>
      </c>
      <c r="F274" s="8" t="s">
        <v>264</v>
      </c>
      <c r="G274" s="6">
        <v>43090</v>
      </c>
      <c r="H274" s="6">
        <v>43090</v>
      </c>
      <c r="I274" s="4">
        <v>-1</v>
      </c>
      <c r="J274" s="8" t="s">
        <v>37</v>
      </c>
      <c r="K274" s="8" t="s">
        <v>1638</v>
      </c>
      <c r="L274" s="4" t="str">
        <f>IF(AtlasReport_1_Table_1[[#This Row],[Reference]]="Purchase order",_xll.AtlasFormulas.AtlasFunctions.AtlasTable("UAT",DataAreaId,"T.VendInvoiceTrans","%RecId","","","","","","","ItemId|PurchID|InventTransId",$C274,$B274,$K274),"")</f>
        <v/>
      </c>
      <c r="M274" s="4" t="str">
        <f>IF(AtlasReport_1_Table_1[[#This Row],[Reference]]="Purchase order",_xll.AtlasFormulas.AtlasFunctions.AtlasTable("UAT",DataAreaId,"T.MarkupTrans","%CurrencyCode","","","","","","","MarkupCode|TransRecId|TransTableId","TPP",$L274,"492"),"")</f>
        <v/>
      </c>
      <c r="N274" s="4" t="str">
        <f>IF(AtlasReport_1_Table_1[[#This Row],[Reference]]="Purchase order",_xll.AtlasFormulas.AtlasFunctions.AtlasBalance("UAT",DataAreaId,"T.MarkupTrans","Sum|Posted|0","","","","","","","MarkupCode|TransTableId|TransRecId","TPP","492",$L274),"")</f>
        <v/>
      </c>
    </row>
    <row r="275" spans="1:14" x14ac:dyDescent="0.25">
      <c r="A275" s="8" t="s">
        <v>252</v>
      </c>
      <c r="B275" s="8" t="s">
        <v>1637</v>
      </c>
      <c r="C275" s="8" t="s">
        <v>1457</v>
      </c>
      <c r="D275" s="8" t="s">
        <v>1458</v>
      </c>
      <c r="E275" s="8" t="s">
        <v>261</v>
      </c>
      <c r="F275" s="8" t="s">
        <v>264</v>
      </c>
      <c r="G275" s="6">
        <v>43090</v>
      </c>
      <c r="H275" s="6">
        <v>43090</v>
      </c>
      <c r="I275" s="4">
        <v>-1</v>
      </c>
      <c r="J275" s="8" t="s">
        <v>37</v>
      </c>
      <c r="K275" s="8" t="s">
        <v>1639</v>
      </c>
      <c r="L275" s="4" t="str">
        <f>IF(AtlasReport_1_Table_1[[#This Row],[Reference]]="Purchase order",_xll.AtlasFormulas.AtlasFunctions.AtlasTable("UAT",DataAreaId,"T.VendInvoiceTrans","%RecId","","","","","","","ItemId|PurchID|InventTransId",$C275,$B275,$K275),"")</f>
        <v/>
      </c>
      <c r="M275" s="4" t="str">
        <f>IF(AtlasReport_1_Table_1[[#This Row],[Reference]]="Purchase order",_xll.AtlasFormulas.AtlasFunctions.AtlasTable("UAT",DataAreaId,"T.MarkupTrans","%CurrencyCode","","","","","","","MarkupCode|TransRecId|TransTableId","TPP",$L275,"492"),"")</f>
        <v/>
      </c>
      <c r="N275" s="4" t="str">
        <f>IF(AtlasReport_1_Table_1[[#This Row],[Reference]]="Purchase order",_xll.AtlasFormulas.AtlasFunctions.AtlasBalance("UAT",DataAreaId,"T.MarkupTrans","Sum|Posted|0","","","","","","","MarkupCode|TransTableId|TransRecId","TPP","492",$L275),"")</f>
        <v/>
      </c>
    </row>
    <row r="276" spans="1:14" x14ac:dyDescent="0.25">
      <c r="A276" s="8" t="s">
        <v>252</v>
      </c>
      <c r="B276" s="8" t="s">
        <v>1637</v>
      </c>
      <c r="C276" s="8" t="s">
        <v>224</v>
      </c>
      <c r="D276" s="8" t="s">
        <v>225</v>
      </c>
      <c r="E276" s="8" t="s">
        <v>261</v>
      </c>
      <c r="F276" s="8" t="s">
        <v>264</v>
      </c>
      <c r="G276" s="6">
        <v>43090</v>
      </c>
      <c r="H276" s="6">
        <v>43090</v>
      </c>
      <c r="I276" s="4">
        <v>-1</v>
      </c>
      <c r="J276" s="8" t="s">
        <v>37</v>
      </c>
      <c r="K276" s="8" t="s">
        <v>1640</v>
      </c>
      <c r="L276" s="4" t="str">
        <f>IF(AtlasReport_1_Table_1[[#This Row],[Reference]]="Purchase order",_xll.AtlasFormulas.AtlasFunctions.AtlasTable("UAT",DataAreaId,"T.VendInvoiceTrans","%RecId","","","","","","","ItemId|PurchID|InventTransId",$C276,$B276,$K276),"")</f>
        <v/>
      </c>
      <c r="M276" s="4" t="str">
        <f>IF(AtlasReport_1_Table_1[[#This Row],[Reference]]="Purchase order",_xll.AtlasFormulas.AtlasFunctions.AtlasTable("UAT",DataAreaId,"T.MarkupTrans","%CurrencyCode","","","","","","","MarkupCode|TransRecId|TransTableId","TPP",$L276,"492"),"")</f>
        <v/>
      </c>
      <c r="N276" s="4" t="str">
        <f>IF(AtlasReport_1_Table_1[[#This Row],[Reference]]="Purchase order",_xll.AtlasFormulas.AtlasFunctions.AtlasBalance("UAT",DataAreaId,"T.MarkupTrans","Sum|Posted|0","","","","","","","MarkupCode|TransTableId|TransRecId","TPP","492",$L276),"")</f>
        <v/>
      </c>
    </row>
    <row r="277" spans="1:14" x14ac:dyDescent="0.25">
      <c r="A277" s="8" t="s">
        <v>252</v>
      </c>
      <c r="B277" s="8" t="s">
        <v>1641</v>
      </c>
      <c r="C277" s="8" t="s">
        <v>1453</v>
      </c>
      <c r="D277" s="8" t="s">
        <v>1454</v>
      </c>
      <c r="E277" s="8" t="s">
        <v>261</v>
      </c>
      <c r="F277" s="8" t="s">
        <v>264</v>
      </c>
      <c r="G277" s="6">
        <v>43090</v>
      </c>
      <c r="H277" s="6">
        <v>43090</v>
      </c>
      <c r="I277" s="4">
        <v>-1</v>
      </c>
      <c r="J277" s="8" t="s">
        <v>37</v>
      </c>
      <c r="K277" s="8" t="s">
        <v>1642</v>
      </c>
      <c r="L277" s="4" t="str">
        <f>IF(AtlasReport_1_Table_1[[#This Row],[Reference]]="Purchase order",_xll.AtlasFormulas.AtlasFunctions.AtlasTable("UAT",DataAreaId,"T.VendInvoiceTrans","%RecId","","","","","","","ItemId|PurchID|InventTransId",$C277,$B277,$K277),"")</f>
        <v/>
      </c>
      <c r="M277" s="4" t="str">
        <f>IF(AtlasReport_1_Table_1[[#This Row],[Reference]]="Purchase order",_xll.AtlasFormulas.AtlasFunctions.AtlasTable("UAT",DataAreaId,"T.MarkupTrans","%CurrencyCode","","","","","","","MarkupCode|TransRecId|TransTableId","TPP",$L277,"492"),"")</f>
        <v/>
      </c>
      <c r="N277" s="4" t="str">
        <f>IF(AtlasReport_1_Table_1[[#This Row],[Reference]]="Purchase order",_xll.AtlasFormulas.AtlasFunctions.AtlasBalance("UAT",DataAreaId,"T.MarkupTrans","Sum|Posted|0","","","","","","","MarkupCode|TransTableId|TransRecId","TPP","492",$L277),"")</f>
        <v/>
      </c>
    </row>
    <row r="278" spans="1:14" x14ac:dyDescent="0.25">
      <c r="A278" s="8" t="s">
        <v>252</v>
      </c>
      <c r="B278" s="8" t="s">
        <v>1641</v>
      </c>
      <c r="C278" s="8" t="s">
        <v>1457</v>
      </c>
      <c r="D278" s="8" t="s">
        <v>1458</v>
      </c>
      <c r="E278" s="8" t="s">
        <v>261</v>
      </c>
      <c r="F278" s="8" t="s">
        <v>264</v>
      </c>
      <c r="G278" s="6">
        <v>43090</v>
      </c>
      <c r="H278" s="6">
        <v>43090</v>
      </c>
      <c r="I278" s="4">
        <v>-1</v>
      </c>
      <c r="J278" s="8" t="s">
        <v>37</v>
      </c>
      <c r="K278" s="8" t="s">
        <v>1643</v>
      </c>
      <c r="L278" s="4" t="str">
        <f>IF(AtlasReport_1_Table_1[[#This Row],[Reference]]="Purchase order",_xll.AtlasFormulas.AtlasFunctions.AtlasTable("UAT",DataAreaId,"T.VendInvoiceTrans","%RecId","","","","","","","ItemId|PurchID|InventTransId",$C278,$B278,$K278),"")</f>
        <v/>
      </c>
      <c r="M278" s="4" t="str">
        <f>IF(AtlasReport_1_Table_1[[#This Row],[Reference]]="Purchase order",_xll.AtlasFormulas.AtlasFunctions.AtlasTable("UAT",DataAreaId,"T.MarkupTrans","%CurrencyCode","","","","","","","MarkupCode|TransRecId|TransTableId","TPP",$L278,"492"),"")</f>
        <v/>
      </c>
      <c r="N278" s="4" t="str">
        <f>IF(AtlasReport_1_Table_1[[#This Row],[Reference]]="Purchase order",_xll.AtlasFormulas.AtlasFunctions.AtlasBalance("UAT",DataAreaId,"T.MarkupTrans","Sum|Posted|0","","","","","","","MarkupCode|TransTableId|TransRecId","TPP","492",$L278),"")</f>
        <v/>
      </c>
    </row>
    <row r="279" spans="1:14" x14ac:dyDescent="0.25">
      <c r="A279" s="8" t="s">
        <v>252</v>
      </c>
      <c r="B279" s="8" t="s">
        <v>1641</v>
      </c>
      <c r="C279" s="8" t="s">
        <v>224</v>
      </c>
      <c r="D279" s="8" t="s">
        <v>225</v>
      </c>
      <c r="E279" s="8" t="s">
        <v>261</v>
      </c>
      <c r="F279" s="8" t="s">
        <v>264</v>
      </c>
      <c r="G279" s="6">
        <v>43090</v>
      </c>
      <c r="H279" s="6">
        <v>43090</v>
      </c>
      <c r="I279" s="4">
        <v>-1</v>
      </c>
      <c r="J279" s="8" t="s">
        <v>37</v>
      </c>
      <c r="K279" s="8" t="s">
        <v>1644</v>
      </c>
      <c r="L279" s="4" t="str">
        <f>IF(AtlasReport_1_Table_1[[#This Row],[Reference]]="Purchase order",_xll.AtlasFormulas.AtlasFunctions.AtlasTable("UAT",DataAreaId,"T.VendInvoiceTrans","%RecId","","","","","","","ItemId|PurchID|InventTransId",$C279,$B279,$K279),"")</f>
        <v/>
      </c>
      <c r="M279" s="4" t="str">
        <f>IF(AtlasReport_1_Table_1[[#This Row],[Reference]]="Purchase order",_xll.AtlasFormulas.AtlasFunctions.AtlasTable("UAT",DataAreaId,"T.MarkupTrans","%CurrencyCode","","","","","","","MarkupCode|TransRecId|TransTableId","TPP",$L279,"492"),"")</f>
        <v/>
      </c>
      <c r="N279" s="4" t="str">
        <f>IF(AtlasReport_1_Table_1[[#This Row],[Reference]]="Purchase order",_xll.AtlasFormulas.AtlasFunctions.AtlasBalance("UAT",DataAreaId,"T.MarkupTrans","Sum|Posted|0","","","","","","","MarkupCode|TransTableId|TransRecId","TPP","492",$L279),"")</f>
        <v/>
      </c>
    </row>
    <row r="280" spans="1:14" x14ac:dyDescent="0.25">
      <c r="A280" s="8" t="s">
        <v>252</v>
      </c>
      <c r="B280" s="8" t="s">
        <v>1645</v>
      </c>
      <c r="C280" s="8" t="s">
        <v>222</v>
      </c>
      <c r="D280" s="8" t="s">
        <v>223</v>
      </c>
      <c r="E280" s="8" t="s">
        <v>261</v>
      </c>
      <c r="F280" s="8" t="s">
        <v>264</v>
      </c>
      <c r="G280" s="6">
        <v>43100</v>
      </c>
      <c r="H280" s="6">
        <v>43100</v>
      </c>
      <c r="I280" s="4">
        <v>-1</v>
      </c>
      <c r="J280" s="8" t="s">
        <v>37</v>
      </c>
      <c r="K280" s="8" t="s">
        <v>1646</v>
      </c>
      <c r="L280" s="4" t="str">
        <f>IF(AtlasReport_1_Table_1[[#This Row],[Reference]]="Purchase order",_xll.AtlasFormulas.AtlasFunctions.AtlasTable("UAT",DataAreaId,"T.VendInvoiceTrans","%RecId","","","","","","","ItemId|PurchID|InventTransId",$C280,$B280,$K280),"")</f>
        <v/>
      </c>
      <c r="M280" s="4" t="str">
        <f>IF(AtlasReport_1_Table_1[[#This Row],[Reference]]="Purchase order",_xll.AtlasFormulas.AtlasFunctions.AtlasTable("UAT",DataAreaId,"T.MarkupTrans","%CurrencyCode","","","","","","","MarkupCode|TransRecId|TransTableId","TPP",$L280,"492"),"")</f>
        <v/>
      </c>
      <c r="N280" s="4" t="str">
        <f>IF(AtlasReport_1_Table_1[[#This Row],[Reference]]="Purchase order",_xll.AtlasFormulas.AtlasFunctions.AtlasBalance("UAT",DataAreaId,"T.MarkupTrans","Sum|Posted|0","","","","","","","MarkupCode|TransTableId|TransRecId","TPP","492",$L280),"")</f>
        <v/>
      </c>
    </row>
    <row r="281" spans="1:14" x14ac:dyDescent="0.25">
      <c r="A281" s="8" t="s">
        <v>252</v>
      </c>
      <c r="B281" s="8" t="s">
        <v>765</v>
      </c>
      <c r="C281" s="8" t="s">
        <v>97</v>
      </c>
      <c r="D281" s="8" t="s">
        <v>98</v>
      </c>
      <c r="E281" s="8" t="s">
        <v>261</v>
      </c>
      <c r="F281" s="8" t="s">
        <v>264</v>
      </c>
      <c r="G281" s="6">
        <v>43091</v>
      </c>
      <c r="H281" s="6">
        <v>43091</v>
      </c>
      <c r="I281" s="4">
        <v>-14.75</v>
      </c>
      <c r="J281" s="8" t="s">
        <v>39</v>
      </c>
      <c r="K281" s="8" t="s">
        <v>767</v>
      </c>
      <c r="L281" s="4" t="str">
        <f>IF(AtlasReport_1_Table_1[[#This Row],[Reference]]="Purchase order",_xll.AtlasFormulas.AtlasFunctions.AtlasTable("UAT",DataAreaId,"T.VendInvoiceTrans","%RecId","","","","","","","ItemId|PurchID|InventTransId",$C281,$B281,$K281),"")</f>
        <v/>
      </c>
      <c r="M281" s="4" t="str">
        <f>IF(AtlasReport_1_Table_1[[#This Row],[Reference]]="Purchase order",_xll.AtlasFormulas.AtlasFunctions.AtlasTable("UAT",DataAreaId,"T.MarkupTrans","%CurrencyCode","","","","","","","MarkupCode|TransRecId|TransTableId","TPP",$L281,"492"),"")</f>
        <v/>
      </c>
      <c r="N281" s="4" t="str">
        <f>IF(AtlasReport_1_Table_1[[#This Row],[Reference]]="Purchase order",_xll.AtlasFormulas.AtlasFunctions.AtlasBalance("UAT",DataAreaId,"T.MarkupTrans","Sum|Posted|0","","","","","","","MarkupCode|TransTableId|TransRecId","TPP","492",$L281),"")</f>
        <v/>
      </c>
    </row>
    <row r="282" spans="1:14" x14ac:dyDescent="0.25">
      <c r="A282" s="8" t="s">
        <v>252</v>
      </c>
      <c r="B282" s="8" t="s">
        <v>765</v>
      </c>
      <c r="C282" s="8" t="s">
        <v>79</v>
      </c>
      <c r="D282" s="8" t="s">
        <v>206</v>
      </c>
      <c r="E282" s="8" t="s">
        <v>261</v>
      </c>
      <c r="F282" s="8" t="s">
        <v>264</v>
      </c>
      <c r="G282" s="6">
        <v>43091</v>
      </c>
      <c r="H282" s="6">
        <v>43091</v>
      </c>
      <c r="I282" s="4">
        <v>-1</v>
      </c>
      <c r="J282" s="8" t="s">
        <v>37</v>
      </c>
      <c r="K282" s="8" t="s">
        <v>1647</v>
      </c>
      <c r="L282" s="4" t="str">
        <f>IF(AtlasReport_1_Table_1[[#This Row],[Reference]]="Purchase order",_xll.AtlasFormulas.AtlasFunctions.AtlasTable("UAT",DataAreaId,"T.VendInvoiceTrans","%RecId","","","","","","","ItemId|PurchID|InventTransId",$C282,$B282,$K282),"")</f>
        <v/>
      </c>
      <c r="M282" s="4" t="str">
        <f>IF(AtlasReport_1_Table_1[[#This Row],[Reference]]="Purchase order",_xll.AtlasFormulas.AtlasFunctions.AtlasTable("UAT",DataAreaId,"T.MarkupTrans","%CurrencyCode","","","","","","","MarkupCode|TransRecId|TransTableId","TPP",$L282,"492"),"")</f>
        <v/>
      </c>
      <c r="N282" s="4" t="str">
        <f>IF(AtlasReport_1_Table_1[[#This Row],[Reference]]="Purchase order",_xll.AtlasFormulas.AtlasFunctions.AtlasBalance("UAT",DataAreaId,"T.MarkupTrans","Sum|Posted|0","","","","","","","MarkupCode|TransTableId|TransRecId","TPP","492",$L282),"")</f>
        <v/>
      </c>
    </row>
    <row r="283" spans="1:14" x14ac:dyDescent="0.25">
      <c r="A283" s="8" t="s">
        <v>252</v>
      </c>
      <c r="B283" s="8" t="s">
        <v>765</v>
      </c>
      <c r="C283" s="8" t="s">
        <v>23</v>
      </c>
      <c r="D283" s="8" t="s">
        <v>883</v>
      </c>
      <c r="E283" s="8" t="s">
        <v>261</v>
      </c>
      <c r="F283" s="8" t="s">
        <v>264</v>
      </c>
      <c r="G283" s="6">
        <v>43091</v>
      </c>
      <c r="H283" s="6">
        <v>43091</v>
      </c>
      <c r="I283" s="4">
        <v>-2</v>
      </c>
      <c r="J283" s="8" t="s">
        <v>37</v>
      </c>
      <c r="K283" s="8" t="s">
        <v>905</v>
      </c>
      <c r="L283" s="4" t="str">
        <f>IF(AtlasReport_1_Table_1[[#This Row],[Reference]]="Purchase order",_xll.AtlasFormulas.AtlasFunctions.AtlasTable("UAT",DataAreaId,"T.VendInvoiceTrans","%RecId","","","","","","","ItemId|PurchID|InventTransId",$C283,$B283,$K283),"")</f>
        <v/>
      </c>
      <c r="M283" s="4" t="str">
        <f>IF(AtlasReport_1_Table_1[[#This Row],[Reference]]="Purchase order",_xll.AtlasFormulas.AtlasFunctions.AtlasTable("UAT",DataAreaId,"T.MarkupTrans","%CurrencyCode","","","","","","","MarkupCode|TransRecId|TransTableId","TPP",$L283,"492"),"")</f>
        <v/>
      </c>
      <c r="N283" s="4" t="str">
        <f>IF(AtlasReport_1_Table_1[[#This Row],[Reference]]="Purchase order",_xll.AtlasFormulas.AtlasFunctions.AtlasBalance("UAT",DataAreaId,"T.MarkupTrans","Sum|Posted|0","","","","","","","MarkupCode|TransTableId|TransRecId","TPP","492",$L283),"")</f>
        <v/>
      </c>
    </row>
    <row r="284" spans="1:14" x14ac:dyDescent="0.25">
      <c r="A284" s="8" t="s">
        <v>1648</v>
      </c>
      <c r="B284" s="8" t="s">
        <v>1649</v>
      </c>
      <c r="C284" s="8" t="s">
        <v>103</v>
      </c>
      <c r="D284" s="8" t="s">
        <v>104</v>
      </c>
      <c r="E284" s="8" t="s">
        <v>261</v>
      </c>
      <c r="F284" s="8" t="s">
        <v>264</v>
      </c>
      <c r="G284" s="6">
        <v>43070</v>
      </c>
      <c r="H284" s="6">
        <v>43070</v>
      </c>
      <c r="I284" s="4">
        <v>1</v>
      </c>
      <c r="J284" s="8" t="s">
        <v>37</v>
      </c>
      <c r="K284" s="8" t="s">
        <v>1650</v>
      </c>
      <c r="L284" s="4" t="str">
        <f>IF(AtlasReport_1_Table_1[[#This Row],[Reference]]="Purchase order",_xll.AtlasFormulas.AtlasFunctions.AtlasTable("UAT",DataAreaId,"T.VendInvoiceTrans","%RecId","","","","","","","ItemId|PurchID|InventTransId",$C284,$B284,$K284),"")</f>
        <v/>
      </c>
      <c r="M284" s="4" t="str">
        <f>IF(AtlasReport_1_Table_1[[#This Row],[Reference]]="Purchase order",_xll.AtlasFormulas.AtlasFunctions.AtlasTable("UAT",DataAreaId,"T.MarkupTrans","%CurrencyCode","","","","","","","MarkupCode|TransRecId|TransTableId","TPP",$L284,"492"),"")</f>
        <v/>
      </c>
      <c r="N284" s="4" t="str">
        <f>IF(AtlasReport_1_Table_1[[#This Row],[Reference]]="Purchase order",_xll.AtlasFormulas.AtlasFunctions.AtlasBalance("UAT",DataAreaId,"T.MarkupTrans","Sum|Posted|0","","","","","","","MarkupCode|TransTableId|TransRecId","TPP","492",$L284),"")</f>
        <v/>
      </c>
    </row>
    <row r="285" spans="1:14" x14ac:dyDescent="0.25">
      <c r="A285" s="8" t="s">
        <v>1648</v>
      </c>
      <c r="B285" s="8" t="s">
        <v>1651</v>
      </c>
      <c r="C285" s="8" t="s">
        <v>79</v>
      </c>
      <c r="D285" s="8" t="s">
        <v>206</v>
      </c>
      <c r="E285" s="8" t="s">
        <v>261</v>
      </c>
      <c r="F285" s="8" t="s">
        <v>264</v>
      </c>
      <c r="G285" s="6">
        <v>43070</v>
      </c>
      <c r="H285" s="6">
        <v>43070</v>
      </c>
      <c r="I285" s="4">
        <v>1</v>
      </c>
      <c r="J285" s="8" t="s">
        <v>37</v>
      </c>
      <c r="K285" s="8" t="s">
        <v>1652</v>
      </c>
      <c r="L285" s="4" t="str">
        <f>IF(AtlasReport_1_Table_1[[#This Row],[Reference]]="Purchase order",_xll.AtlasFormulas.AtlasFunctions.AtlasTable("UAT",DataAreaId,"T.VendInvoiceTrans","%RecId","","","","","","","ItemId|PurchID|InventTransId",$C285,$B285,$K285),"")</f>
        <v/>
      </c>
      <c r="M285" s="4" t="str">
        <f>IF(AtlasReport_1_Table_1[[#This Row],[Reference]]="Purchase order",_xll.AtlasFormulas.AtlasFunctions.AtlasTable("UAT",DataAreaId,"T.MarkupTrans","%CurrencyCode","","","","","","","MarkupCode|TransRecId|TransTableId","TPP",$L285,"492"),"")</f>
        <v/>
      </c>
      <c r="N285" s="4" t="str">
        <f>IF(AtlasReport_1_Table_1[[#This Row],[Reference]]="Purchase order",_xll.AtlasFormulas.AtlasFunctions.AtlasBalance("UAT",DataAreaId,"T.MarkupTrans","Sum|Posted|0","","","","","","","MarkupCode|TransTableId|TransRecId","TPP","492",$L285),"")</f>
        <v/>
      </c>
    </row>
    <row r="286" spans="1:14" x14ac:dyDescent="0.25">
      <c r="A286" s="8" t="s">
        <v>1648</v>
      </c>
      <c r="B286" s="8" t="s">
        <v>1653</v>
      </c>
      <c r="C286" s="8" t="s">
        <v>79</v>
      </c>
      <c r="D286" s="8" t="s">
        <v>206</v>
      </c>
      <c r="E286" s="8" t="s">
        <v>261</v>
      </c>
      <c r="F286" s="8" t="s">
        <v>264</v>
      </c>
      <c r="G286" s="6">
        <v>43070</v>
      </c>
      <c r="H286" s="6">
        <v>43070</v>
      </c>
      <c r="I286" s="4">
        <v>1</v>
      </c>
      <c r="J286" s="8" t="s">
        <v>37</v>
      </c>
      <c r="K286" s="8" t="s">
        <v>1654</v>
      </c>
      <c r="L286" s="4" t="str">
        <f>IF(AtlasReport_1_Table_1[[#This Row],[Reference]]="Purchase order",_xll.AtlasFormulas.AtlasFunctions.AtlasTable("UAT",DataAreaId,"T.VendInvoiceTrans","%RecId","","","","","","","ItemId|PurchID|InventTransId",$C286,$B286,$K286),"")</f>
        <v/>
      </c>
      <c r="M286" s="4" t="str">
        <f>IF(AtlasReport_1_Table_1[[#This Row],[Reference]]="Purchase order",_xll.AtlasFormulas.AtlasFunctions.AtlasTable("UAT",DataAreaId,"T.MarkupTrans","%CurrencyCode","","","","","","","MarkupCode|TransRecId|TransTableId","TPP",$L286,"492"),"")</f>
        <v/>
      </c>
      <c r="N286" s="4" t="str">
        <f>IF(AtlasReport_1_Table_1[[#This Row],[Reference]]="Purchase order",_xll.AtlasFormulas.AtlasFunctions.AtlasBalance("UAT",DataAreaId,"T.MarkupTrans","Sum|Posted|0","","","","","","","MarkupCode|TransTableId|TransRecId","TPP","492",$L286),"")</f>
        <v/>
      </c>
    </row>
    <row r="287" spans="1:14" x14ac:dyDescent="0.25">
      <c r="A287" s="8" t="s">
        <v>1648</v>
      </c>
      <c r="B287" s="8" t="s">
        <v>1655</v>
      </c>
      <c r="C287" s="8" t="s">
        <v>79</v>
      </c>
      <c r="D287" s="8" t="s">
        <v>206</v>
      </c>
      <c r="E287" s="8" t="s">
        <v>261</v>
      </c>
      <c r="F287" s="8" t="s">
        <v>264</v>
      </c>
      <c r="G287" s="6">
        <v>43074</v>
      </c>
      <c r="H287" s="6">
        <v>43074</v>
      </c>
      <c r="I287" s="4">
        <v>4</v>
      </c>
      <c r="J287" s="8" t="s">
        <v>37</v>
      </c>
      <c r="K287" s="8" t="s">
        <v>1656</v>
      </c>
      <c r="L287" s="4" t="str">
        <f>IF(AtlasReport_1_Table_1[[#This Row],[Reference]]="Purchase order",_xll.AtlasFormulas.AtlasFunctions.AtlasTable("UAT",DataAreaId,"T.VendInvoiceTrans","%RecId","","","","","","","ItemId|PurchID|InventTransId",$C287,$B287,$K287),"")</f>
        <v/>
      </c>
      <c r="M287" s="4" t="str">
        <f>IF(AtlasReport_1_Table_1[[#This Row],[Reference]]="Purchase order",_xll.AtlasFormulas.AtlasFunctions.AtlasTable("UAT",DataAreaId,"T.MarkupTrans","%CurrencyCode","","","","","","","MarkupCode|TransRecId|TransTableId","TPP",$L287,"492"),"")</f>
        <v/>
      </c>
      <c r="N287" s="4" t="str">
        <f>IF(AtlasReport_1_Table_1[[#This Row],[Reference]]="Purchase order",_xll.AtlasFormulas.AtlasFunctions.AtlasBalance("UAT",DataAreaId,"T.MarkupTrans","Sum|Posted|0","","","","","","","MarkupCode|TransTableId|TransRecId","TPP","492",$L287),"")</f>
        <v/>
      </c>
    </row>
    <row r="288" spans="1:14" x14ac:dyDescent="0.25">
      <c r="A288" s="8" t="s">
        <v>1648</v>
      </c>
      <c r="B288" s="8" t="s">
        <v>1657</v>
      </c>
      <c r="C288" s="8" t="s">
        <v>103</v>
      </c>
      <c r="D288" s="8" t="s">
        <v>104</v>
      </c>
      <c r="E288" s="8" t="s">
        <v>261</v>
      </c>
      <c r="F288" s="8" t="s">
        <v>264</v>
      </c>
      <c r="G288" s="6">
        <v>43075</v>
      </c>
      <c r="H288" s="6">
        <v>43075</v>
      </c>
      <c r="I288" s="4">
        <v>16</v>
      </c>
      <c r="J288" s="8" t="s">
        <v>37</v>
      </c>
      <c r="K288" s="8" t="s">
        <v>1658</v>
      </c>
      <c r="L288" s="4" t="str">
        <f>IF(AtlasReport_1_Table_1[[#This Row],[Reference]]="Purchase order",_xll.AtlasFormulas.AtlasFunctions.AtlasTable("UAT",DataAreaId,"T.VendInvoiceTrans","%RecId","","","","","","","ItemId|PurchID|InventTransId",$C288,$B288,$K288),"")</f>
        <v/>
      </c>
      <c r="M288" s="4" t="str">
        <f>IF(AtlasReport_1_Table_1[[#This Row],[Reference]]="Purchase order",_xll.AtlasFormulas.AtlasFunctions.AtlasTable("UAT",DataAreaId,"T.MarkupTrans","%CurrencyCode","","","","","","","MarkupCode|TransRecId|TransTableId","TPP",$L288,"492"),"")</f>
        <v/>
      </c>
      <c r="N288" s="4" t="str">
        <f>IF(AtlasReport_1_Table_1[[#This Row],[Reference]]="Purchase order",_xll.AtlasFormulas.AtlasFunctions.AtlasBalance("UAT",DataAreaId,"T.MarkupTrans","Sum|Posted|0","","","","","","","MarkupCode|TransTableId|TransRecId","TPP","492",$L288),"")</f>
        <v/>
      </c>
    </row>
    <row r="289" spans="1:14" x14ac:dyDescent="0.25">
      <c r="A289" s="8" t="s">
        <v>1648</v>
      </c>
      <c r="B289" s="8" t="s">
        <v>1659</v>
      </c>
      <c r="C289" s="8" t="s">
        <v>103</v>
      </c>
      <c r="D289" s="8" t="s">
        <v>104</v>
      </c>
      <c r="E289" s="8" t="s">
        <v>261</v>
      </c>
      <c r="F289" s="8" t="s">
        <v>264</v>
      </c>
      <c r="G289" s="6">
        <v>43075</v>
      </c>
      <c r="H289" s="6">
        <v>43075</v>
      </c>
      <c r="I289" s="4">
        <v>10</v>
      </c>
      <c r="J289" s="8" t="s">
        <v>37</v>
      </c>
      <c r="K289" s="8" t="s">
        <v>1660</v>
      </c>
      <c r="L289" s="4" t="str">
        <f>IF(AtlasReport_1_Table_1[[#This Row],[Reference]]="Purchase order",_xll.AtlasFormulas.AtlasFunctions.AtlasTable("UAT",DataAreaId,"T.VendInvoiceTrans","%RecId","","","","","","","ItemId|PurchID|InventTransId",$C289,$B289,$K289),"")</f>
        <v/>
      </c>
      <c r="M289" s="4" t="str">
        <f>IF(AtlasReport_1_Table_1[[#This Row],[Reference]]="Purchase order",_xll.AtlasFormulas.AtlasFunctions.AtlasTable("UAT",DataAreaId,"T.MarkupTrans","%CurrencyCode","","","","","","","MarkupCode|TransRecId|TransTableId","TPP",$L289,"492"),"")</f>
        <v/>
      </c>
      <c r="N289" s="4" t="str">
        <f>IF(AtlasReport_1_Table_1[[#This Row],[Reference]]="Purchase order",_xll.AtlasFormulas.AtlasFunctions.AtlasBalance("UAT",DataAreaId,"T.MarkupTrans","Sum|Posted|0","","","","","","","MarkupCode|TransTableId|TransRecId","TPP","492",$L289),"")</f>
        <v/>
      </c>
    </row>
    <row r="290" spans="1:14" x14ac:dyDescent="0.25">
      <c r="A290" s="8" t="s">
        <v>1648</v>
      </c>
      <c r="B290" s="8" t="s">
        <v>1661</v>
      </c>
      <c r="C290" s="8" t="s">
        <v>103</v>
      </c>
      <c r="D290" s="8" t="s">
        <v>104</v>
      </c>
      <c r="E290" s="8" t="s">
        <v>261</v>
      </c>
      <c r="F290" s="8" t="s">
        <v>264</v>
      </c>
      <c r="G290" s="6">
        <v>43075</v>
      </c>
      <c r="H290" s="6">
        <v>43075</v>
      </c>
      <c r="I290" s="4">
        <v>10</v>
      </c>
      <c r="J290" s="8" t="s">
        <v>37</v>
      </c>
      <c r="K290" s="8" t="s">
        <v>1662</v>
      </c>
      <c r="L290" s="4" t="str">
        <f>IF(AtlasReport_1_Table_1[[#This Row],[Reference]]="Purchase order",_xll.AtlasFormulas.AtlasFunctions.AtlasTable("UAT",DataAreaId,"T.VendInvoiceTrans","%RecId","","","","","","","ItemId|PurchID|InventTransId",$C290,$B290,$K290),"")</f>
        <v/>
      </c>
      <c r="M290" s="4" t="str">
        <f>IF(AtlasReport_1_Table_1[[#This Row],[Reference]]="Purchase order",_xll.AtlasFormulas.AtlasFunctions.AtlasTable("UAT",DataAreaId,"T.MarkupTrans","%CurrencyCode","","","","","","","MarkupCode|TransRecId|TransTableId","TPP",$L290,"492"),"")</f>
        <v/>
      </c>
      <c r="N290" s="4" t="str">
        <f>IF(AtlasReport_1_Table_1[[#This Row],[Reference]]="Purchase order",_xll.AtlasFormulas.AtlasFunctions.AtlasBalance("UAT",DataAreaId,"T.MarkupTrans","Sum|Posted|0","","","","","","","MarkupCode|TransTableId|TransRecId","TPP","492",$L290),"")</f>
        <v/>
      </c>
    </row>
    <row r="291" spans="1:14" x14ac:dyDescent="0.25">
      <c r="A291" s="8" t="s">
        <v>1648</v>
      </c>
      <c r="B291" s="8" t="s">
        <v>1663</v>
      </c>
      <c r="C291" s="8" t="s">
        <v>103</v>
      </c>
      <c r="D291" s="8" t="s">
        <v>104</v>
      </c>
      <c r="E291" s="8" t="s">
        <v>261</v>
      </c>
      <c r="F291" s="8" t="s">
        <v>264</v>
      </c>
      <c r="G291" s="6">
        <v>43075</v>
      </c>
      <c r="H291" s="6">
        <v>43075</v>
      </c>
      <c r="I291" s="4">
        <v>2</v>
      </c>
      <c r="J291" s="8" t="s">
        <v>37</v>
      </c>
      <c r="K291" s="8" t="s">
        <v>1664</v>
      </c>
      <c r="L291" s="4" t="str">
        <f>IF(AtlasReport_1_Table_1[[#This Row],[Reference]]="Purchase order",_xll.AtlasFormulas.AtlasFunctions.AtlasTable("UAT",DataAreaId,"T.VendInvoiceTrans","%RecId","","","","","","","ItemId|PurchID|InventTransId",$C291,$B291,$K291),"")</f>
        <v/>
      </c>
      <c r="M291" s="4" t="str">
        <f>IF(AtlasReport_1_Table_1[[#This Row],[Reference]]="Purchase order",_xll.AtlasFormulas.AtlasFunctions.AtlasTable("UAT",DataAreaId,"T.MarkupTrans","%CurrencyCode","","","","","","","MarkupCode|TransRecId|TransTableId","TPP",$L291,"492"),"")</f>
        <v/>
      </c>
      <c r="N291" s="4" t="str">
        <f>IF(AtlasReport_1_Table_1[[#This Row],[Reference]]="Purchase order",_xll.AtlasFormulas.AtlasFunctions.AtlasBalance("UAT",DataAreaId,"T.MarkupTrans","Sum|Posted|0","","","","","","","MarkupCode|TransTableId|TransRecId","TPP","492",$L291),"")</f>
        <v/>
      </c>
    </row>
    <row r="292" spans="1:14" x14ac:dyDescent="0.25">
      <c r="A292" s="8" t="s">
        <v>1648</v>
      </c>
      <c r="B292" s="8" t="s">
        <v>1665</v>
      </c>
      <c r="C292" s="8" t="s">
        <v>103</v>
      </c>
      <c r="D292" s="8" t="s">
        <v>104</v>
      </c>
      <c r="E292" s="8" t="s">
        <v>261</v>
      </c>
      <c r="F292" s="8" t="s">
        <v>264</v>
      </c>
      <c r="G292" s="6">
        <v>43075</v>
      </c>
      <c r="H292" s="6">
        <v>43075</v>
      </c>
      <c r="I292" s="4">
        <v>2</v>
      </c>
      <c r="J292" s="8" t="s">
        <v>37</v>
      </c>
      <c r="K292" s="8" t="s">
        <v>1666</v>
      </c>
      <c r="L292" s="4" t="str">
        <f>IF(AtlasReport_1_Table_1[[#This Row],[Reference]]="Purchase order",_xll.AtlasFormulas.AtlasFunctions.AtlasTable("UAT",DataAreaId,"T.VendInvoiceTrans","%RecId","","","","","","","ItemId|PurchID|InventTransId",$C292,$B292,$K292),"")</f>
        <v/>
      </c>
      <c r="M292" s="4" t="str">
        <f>IF(AtlasReport_1_Table_1[[#This Row],[Reference]]="Purchase order",_xll.AtlasFormulas.AtlasFunctions.AtlasTable("UAT",DataAreaId,"T.MarkupTrans","%CurrencyCode","","","","","","","MarkupCode|TransRecId|TransTableId","TPP",$L292,"492"),"")</f>
        <v/>
      </c>
      <c r="N292" s="4" t="str">
        <f>IF(AtlasReport_1_Table_1[[#This Row],[Reference]]="Purchase order",_xll.AtlasFormulas.AtlasFunctions.AtlasBalance("UAT",DataAreaId,"T.MarkupTrans","Sum|Posted|0","","","","","","","MarkupCode|TransTableId|TransRecId","TPP","492",$L292),"")</f>
        <v/>
      </c>
    </row>
    <row r="293" spans="1:14" x14ac:dyDescent="0.25">
      <c r="A293" s="8" t="s">
        <v>1648</v>
      </c>
      <c r="B293" s="8" t="s">
        <v>1667</v>
      </c>
      <c r="C293" s="8" t="s">
        <v>103</v>
      </c>
      <c r="D293" s="8" t="s">
        <v>104</v>
      </c>
      <c r="E293" s="8" t="s">
        <v>261</v>
      </c>
      <c r="F293" s="8" t="s">
        <v>264</v>
      </c>
      <c r="G293" s="6">
        <v>43075</v>
      </c>
      <c r="H293" s="6">
        <v>43075</v>
      </c>
      <c r="I293" s="4">
        <v>6</v>
      </c>
      <c r="J293" s="8" t="s">
        <v>37</v>
      </c>
      <c r="K293" s="8" t="s">
        <v>1668</v>
      </c>
      <c r="L293" s="4" t="str">
        <f>IF(AtlasReport_1_Table_1[[#This Row],[Reference]]="Purchase order",_xll.AtlasFormulas.AtlasFunctions.AtlasTable("UAT",DataAreaId,"T.VendInvoiceTrans","%RecId","","","","","","","ItemId|PurchID|InventTransId",$C293,$B293,$K293),"")</f>
        <v/>
      </c>
      <c r="M293" s="4" t="str">
        <f>IF(AtlasReport_1_Table_1[[#This Row],[Reference]]="Purchase order",_xll.AtlasFormulas.AtlasFunctions.AtlasTable("UAT",DataAreaId,"T.MarkupTrans","%CurrencyCode","","","","","","","MarkupCode|TransRecId|TransTableId","TPP",$L293,"492"),"")</f>
        <v/>
      </c>
      <c r="N293" s="4" t="str">
        <f>IF(AtlasReport_1_Table_1[[#This Row],[Reference]]="Purchase order",_xll.AtlasFormulas.AtlasFunctions.AtlasBalance("UAT",DataAreaId,"T.MarkupTrans","Sum|Posted|0","","","","","","","MarkupCode|TransTableId|TransRecId","TPP","492",$L293),"")</f>
        <v/>
      </c>
    </row>
    <row r="294" spans="1:14" x14ac:dyDescent="0.25">
      <c r="A294" s="8" t="s">
        <v>1648</v>
      </c>
      <c r="B294" s="8" t="s">
        <v>1669</v>
      </c>
      <c r="C294" s="8" t="s">
        <v>103</v>
      </c>
      <c r="D294" s="8" t="s">
        <v>104</v>
      </c>
      <c r="E294" s="8" t="s">
        <v>261</v>
      </c>
      <c r="F294" s="8" t="s">
        <v>264</v>
      </c>
      <c r="G294" s="6">
        <v>43075</v>
      </c>
      <c r="H294" s="6">
        <v>43075</v>
      </c>
      <c r="I294" s="4">
        <v>8</v>
      </c>
      <c r="J294" s="8" t="s">
        <v>37</v>
      </c>
      <c r="K294" s="8" t="s">
        <v>1670</v>
      </c>
      <c r="L294" s="4" t="str">
        <f>IF(AtlasReport_1_Table_1[[#This Row],[Reference]]="Purchase order",_xll.AtlasFormulas.AtlasFunctions.AtlasTable("UAT",DataAreaId,"T.VendInvoiceTrans","%RecId","","","","","","","ItemId|PurchID|InventTransId",$C294,$B294,$K294),"")</f>
        <v/>
      </c>
      <c r="M294" s="4" t="str">
        <f>IF(AtlasReport_1_Table_1[[#This Row],[Reference]]="Purchase order",_xll.AtlasFormulas.AtlasFunctions.AtlasTable("UAT",DataAreaId,"T.MarkupTrans","%CurrencyCode","","","","","","","MarkupCode|TransRecId|TransTableId","TPP",$L294,"492"),"")</f>
        <v/>
      </c>
      <c r="N294" s="4" t="str">
        <f>IF(AtlasReport_1_Table_1[[#This Row],[Reference]]="Purchase order",_xll.AtlasFormulas.AtlasFunctions.AtlasBalance("UAT",DataAreaId,"T.MarkupTrans","Sum|Posted|0","","","","","","","MarkupCode|TransTableId|TransRecId","TPP","492",$L294),"")</f>
        <v/>
      </c>
    </row>
    <row r="295" spans="1:14" x14ac:dyDescent="0.25">
      <c r="A295" s="8" t="s">
        <v>1648</v>
      </c>
      <c r="B295" s="8" t="s">
        <v>1671</v>
      </c>
      <c r="C295" s="8" t="s">
        <v>79</v>
      </c>
      <c r="D295" s="8" t="s">
        <v>206</v>
      </c>
      <c r="E295" s="8" t="s">
        <v>261</v>
      </c>
      <c r="F295" s="8" t="s">
        <v>264</v>
      </c>
      <c r="G295" s="6">
        <v>43075</v>
      </c>
      <c r="H295" s="6">
        <v>43075</v>
      </c>
      <c r="I295" s="4">
        <v>1</v>
      </c>
      <c r="J295" s="8" t="s">
        <v>37</v>
      </c>
      <c r="K295" s="8" t="s">
        <v>1672</v>
      </c>
      <c r="L295" s="4" t="str">
        <f>IF(AtlasReport_1_Table_1[[#This Row],[Reference]]="Purchase order",_xll.AtlasFormulas.AtlasFunctions.AtlasTable("UAT",DataAreaId,"T.VendInvoiceTrans","%RecId","","","","","","","ItemId|PurchID|InventTransId",$C295,$B295,$K295),"")</f>
        <v/>
      </c>
      <c r="M295" s="4" t="str">
        <f>IF(AtlasReport_1_Table_1[[#This Row],[Reference]]="Purchase order",_xll.AtlasFormulas.AtlasFunctions.AtlasTable("UAT",DataAreaId,"T.MarkupTrans","%CurrencyCode","","","","","","","MarkupCode|TransRecId|TransTableId","TPP",$L295,"492"),"")</f>
        <v/>
      </c>
      <c r="N295" s="4" t="str">
        <f>IF(AtlasReport_1_Table_1[[#This Row],[Reference]]="Purchase order",_xll.AtlasFormulas.AtlasFunctions.AtlasBalance("UAT",DataAreaId,"T.MarkupTrans","Sum|Posted|0","","","","","","","MarkupCode|TransTableId|TransRecId","TPP","492",$L295),"")</f>
        <v/>
      </c>
    </row>
    <row r="296" spans="1:14" x14ac:dyDescent="0.25">
      <c r="A296" s="8" t="s">
        <v>1648</v>
      </c>
      <c r="B296" s="8" t="s">
        <v>1673</v>
      </c>
      <c r="C296" s="8" t="s">
        <v>79</v>
      </c>
      <c r="D296" s="8" t="s">
        <v>206</v>
      </c>
      <c r="E296" s="8" t="s">
        <v>261</v>
      </c>
      <c r="F296" s="8" t="s">
        <v>264</v>
      </c>
      <c r="G296" s="6">
        <v>43075</v>
      </c>
      <c r="H296" s="6">
        <v>43075</v>
      </c>
      <c r="I296" s="4">
        <v>1</v>
      </c>
      <c r="J296" s="8" t="s">
        <v>37</v>
      </c>
      <c r="K296" s="8" t="s">
        <v>1674</v>
      </c>
      <c r="L296" s="4" t="str">
        <f>IF(AtlasReport_1_Table_1[[#This Row],[Reference]]="Purchase order",_xll.AtlasFormulas.AtlasFunctions.AtlasTable("UAT",DataAreaId,"T.VendInvoiceTrans","%RecId","","","","","","","ItemId|PurchID|InventTransId",$C296,$B296,$K296),"")</f>
        <v/>
      </c>
      <c r="M296" s="4" t="str">
        <f>IF(AtlasReport_1_Table_1[[#This Row],[Reference]]="Purchase order",_xll.AtlasFormulas.AtlasFunctions.AtlasTable("UAT",DataAreaId,"T.MarkupTrans","%CurrencyCode","","","","","","","MarkupCode|TransRecId|TransTableId","TPP",$L296,"492"),"")</f>
        <v/>
      </c>
      <c r="N296" s="4" t="str">
        <f>IF(AtlasReport_1_Table_1[[#This Row],[Reference]]="Purchase order",_xll.AtlasFormulas.AtlasFunctions.AtlasBalance("UAT",DataAreaId,"T.MarkupTrans","Sum|Posted|0","","","","","","","MarkupCode|TransTableId|TransRecId","TPP","492",$L296),"")</f>
        <v/>
      </c>
    </row>
    <row r="297" spans="1:14" x14ac:dyDescent="0.25">
      <c r="A297" s="8" t="s">
        <v>1648</v>
      </c>
      <c r="B297" s="8" t="s">
        <v>1675</v>
      </c>
      <c r="C297" s="8" t="s">
        <v>79</v>
      </c>
      <c r="D297" s="8" t="s">
        <v>206</v>
      </c>
      <c r="E297" s="8" t="s">
        <v>261</v>
      </c>
      <c r="F297" s="8" t="s">
        <v>264</v>
      </c>
      <c r="G297" s="6">
        <v>43076</v>
      </c>
      <c r="H297" s="6">
        <v>43076</v>
      </c>
      <c r="I297" s="4">
        <v>1</v>
      </c>
      <c r="J297" s="8" t="s">
        <v>37</v>
      </c>
      <c r="K297" s="8" t="s">
        <v>1676</v>
      </c>
      <c r="L297" s="4" t="str">
        <f>IF(AtlasReport_1_Table_1[[#This Row],[Reference]]="Purchase order",_xll.AtlasFormulas.AtlasFunctions.AtlasTable("UAT",DataAreaId,"T.VendInvoiceTrans","%RecId","","","","","","","ItemId|PurchID|InventTransId",$C297,$B297,$K297),"")</f>
        <v/>
      </c>
      <c r="M297" s="4" t="str">
        <f>IF(AtlasReport_1_Table_1[[#This Row],[Reference]]="Purchase order",_xll.AtlasFormulas.AtlasFunctions.AtlasTable("UAT",DataAreaId,"T.MarkupTrans","%CurrencyCode","","","","","","","MarkupCode|TransRecId|TransTableId","TPP",$L297,"492"),"")</f>
        <v/>
      </c>
      <c r="N297" s="4" t="str">
        <f>IF(AtlasReport_1_Table_1[[#This Row],[Reference]]="Purchase order",_xll.AtlasFormulas.AtlasFunctions.AtlasBalance("UAT",DataAreaId,"T.MarkupTrans","Sum|Posted|0","","","","","","","MarkupCode|TransTableId|TransRecId","TPP","492",$L297),"")</f>
        <v/>
      </c>
    </row>
    <row r="298" spans="1:14" x14ac:dyDescent="0.25">
      <c r="A298" s="8" t="s">
        <v>1648</v>
      </c>
      <c r="B298" s="8" t="s">
        <v>1677</v>
      </c>
      <c r="C298" s="8" t="s">
        <v>108</v>
      </c>
      <c r="D298" s="8" t="s">
        <v>109</v>
      </c>
      <c r="E298" s="8" t="s">
        <v>261</v>
      </c>
      <c r="F298" s="8" t="s">
        <v>264</v>
      </c>
      <c r="G298" s="6">
        <v>43080</v>
      </c>
      <c r="H298" s="6">
        <v>43080</v>
      </c>
      <c r="I298" s="4">
        <v>1</v>
      </c>
      <c r="J298" s="8" t="s">
        <v>37</v>
      </c>
      <c r="K298" s="8" t="s">
        <v>1678</v>
      </c>
      <c r="L298" s="4" t="str">
        <f>IF(AtlasReport_1_Table_1[[#This Row],[Reference]]="Purchase order",_xll.AtlasFormulas.AtlasFunctions.AtlasTable("UAT",DataAreaId,"T.VendInvoiceTrans","%RecId","","","","","","","ItemId|PurchID|InventTransId",$C298,$B298,$K298),"")</f>
        <v/>
      </c>
      <c r="M298" s="4" t="str">
        <f>IF(AtlasReport_1_Table_1[[#This Row],[Reference]]="Purchase order",_xll.AtlasFormulas.AtlasFunctions.AtlasTable("UAT",DataAreaId,"T.MarkupTrans","%CurrencyCode","","","","","","","MarkupCode|TransRecId|TransTableId","TPP",$L298,"492"),"")</f>
        <v/>
      </c>
      <c r="N298" s="4" t="str">
        <f>IF(AtlasReport_1_Table_1[[#This Row],[Reference]]="Purchase order",_xll.AtlasFormulas.AtlasFunctions.AtlasBalance("UAT",DataAreaId,"T.MarkupTrans","Sum|Posted|0","","","","","","","MarkupCode|TransTableId|TransRecId","TPP","492",$L298),"")</f>
        <v/>
      </c>
    </row>
    <row r="299" spans="1:14" x14ac:dyDescent="0.25">
      <c r="A299" s="8" t="s">
        <v>1648</v>
      </c>
      <c r="B299" s="8" t="s">
        <v>1679</v>
      </c>
      <c r="C299" s="8" t="s">
        <v>146</v>
      </c>
      <c r="D299" s="8" t="s">
        <v>1158</v>
      </c>
      <c r="E299" s="8" t="s">
        <v>261</v>
      </c>
      <c r="F299" s="8" t="s">
        <v>264</v>
      </c>
      <c r="G299" s="6">
        <v>43081</v>
      </c>
      <c r="H299" s="6">
        <v>43081</v>
      </c>
      <c r="I299" s="4">
        <v>12</v>
      </c>
      <c r="J299" s="8" t="s">
        <v>37</v>
      </c>
      <c r="K299" s="8" t="s">
        <v>1680</v>
      </c>
      <c r="L299" s="4" t="str">
        <f>IF(AtlasReport_1_Table_1[[#This Row],[Reference]]="Purchase order",_xll.AtlasFormulas.AtlasFunctions.AtlasTable("UAT",DataAreaId,"T.VendInvoiceTrans","%RecId","","","","","","","ItemId|PurchID|InventTransId",$C299,$B299,$K299),"")</f>
        <v/>
      </c>
      <c r="M299" s="4" t="str">
        <f>IF(AtlasReport_1_Table_1[[#This Row],[Reference]]="Purchase order",_xll.AtlasFormulas.AtlasFunctions.AtlasTable("UAT",DataAreaId,"T.MarkupTrans","%CurrencyCode","","","","","","","MarkupCode|TransRecId|TransTableId","TPP",$L299,"492"),"")</f>
        <v/>
      </c>
      <c r="N299" s="4" t="str">
        <f>IF(AtlasReport_1_Table_1[[#This Row],[Reference]]="Purchase order",_xll.AtlasFormulas.AtlasFunctions.AtlasBalance("UAT",DataAreaId,"T.MarkupTrans","Sum|Posted|0","","","","","","","MarkupCode|TransTableId|TransRecId","TPP","492",$L299),"")</f>
        <v/>
      </c>
    </row>
    <row r="300" spans="1:14" x14ac:dyDescent="0.25">
      <c r="A300" s="8" t="s">
        <v>1648</v>
      </c>
      <c r="B300" s="8" t="s">
        <v>1681</v>
      </c>
      <c r="C300" s="8" t="s">
        <v>79</v>
      </c>
      <c r="D300" s="8" t="s">
        <v>206</v>
      </c>
      <c r="E300" s="8" t="s">
        <v>261</v>
      </c>
      <c r="F300" s="8" t="s">
        <v>264</v>
      </c>
      <c r="G300" s="6">
        <v>43081</v>
      </c>
      <c r="H300" s="6">
        <v>43081</v>
      </c>
      <c r="I300" s="4">
        <v>1</v>
      </c>
      <c r="J300" s="8" t="s">
        <v>37</v>
      </c>
      <c r="K300" s="8" t="s">
        <v>1682</v>
      </c>
      <c r="L300" s="4" t="str">
        <f>IF(AtlasReport_1_Table_1[[#This Row],[Reference]]="Purchase order",_xll.AtlasFormulas.AtlasFunctions.AtlasTable("UAT",DataAreaId,"T.VendInvoiceTrans","%RecId","","","","","","","ItemId|PurchID|InventTransId",$C300,$B300,$K300),"")</f>
        <v/>
      </c>
      <c r="M300" s="4" t="str">
        <f>IF(AtlasReport_1_Table_1[[#This Row],[Reference]]="Purchase order",_xll.AtlasFormulas.AtlasFunctions.AtlasTable("UAT",DataAreaId,"T.MarkupTrans","%CurrencyCode","","","","","","","MarkupCode|TransRecId|TransTableId","TPP",$L300,"492"),"")</f>
        <v/>
      </c>
      <c r="N300" s="4" t="str">
        <f>IF(AtlasReport_1_Table_1[[#This Row],[Reference]]="Purchase order",_xll.AtlasFormulas.AtlasFunctions.AtlasBalance("UAT",DataAreaId,"T.MarkupTrans","Sum|Posted|0","","","","","","","MarkupCode|TransTableId|TransRecId","TPP","492",$L300),"")</f>
        <v/>
      </c>
    </row>
    <row r="301" spans="1:14" x14ac:dyDescent="0.25">
      <c r="A301" s="8" t="s">
        <v>1648</v>
      </c>
      <c r="B301" s="8" t="s">
        <v>1683</v>
      </c>
      <c r="C301" s="8" t="s">
        <v>79</v>
      </c>
      <c r="D301" s="8" t="s">
        <v>206</v>
      </c>
      <c r="E301" s="8" t="s">
        <v>261</v>
      </c>
      <c r="F301" s="8" t="s">
        <v>264</v>
      </c>
      <c r="G301" s="6">
        <v>43082</v>
      </c>
      <c r="H301" s="6">
        <v>43082</v>
      </c>
      <c r="I301" s="4">
        <v>1</v>
      </c>
      <c r="J301" s="8" t="s">
        <v>37</v>
      </c>
      <c r="K301" s="8" t="s">
        <v>1684</v>
      </c>
      <c r="L301" s="4" t="str">
        <f>IF(AtlasReport_1_Table_1[[#This Row],[Reference]]="Purchase order",_xll.AtlasFormulas.AtlasFunctions.AtlasTable("UAT",DataAreaId,"T.VendInvoiceTrans","%RecId","","","","","","","ItemId|PurchID|InventTransId",$C301,$B301,$K301),"")</f>
        <v/>
      </c>
      <c r="M301" s="4" t="str">
        <f>IF(AtlasReport_1_Table_1[[#This Row],[Reference]]="Purchase order",_xll.AtlasFormulas.AtlasFunctions.AtlasTable("UAT",DataAreaId,"T.MarkupTrans","%CurrencyCode","","","","","","","MarkupCode|TransRecId|TransTableId","TPP",$L301,"492"),"")</f>
        <v/>
      </c>
      <c r="N301" s="4" t="str">
        <f>IF(AtlasReport_1_Table_1[[#This Row],[Reference]]="Purchase order",_xll.AtlasFormulas.AtlasFunctions.AtlasBalance("UAT",DataAreaId,"T.MarkupTrans","Sum|Posted|0","","","","","","","MarkupCode|TransTableId|TransRecId","TPP","492",$L301),"")</f>
        <v/>
      </c>
    </row>
    <row r="302" spans="1:14" x14ac:dyDescent="0.25">
      <c r="A302" s="8" t="s">
        <v>1648</v>
      </c>
      <c r="B302" s="8" t="s">
        <v>1685</v>
      </c>
      <c r="C302" s="8" t="s">
        <v>108</v>
      </c>
      <c r="D302" s="8" t="s">
        <v>109</v>
      </c>
      <c r="E302" s="8" t="s">
        <v>261</v>
      </c>
      <c r="F302" s="8" t="s">
        <v>264</v>
      </c>
      <c r="G302" s="6">
        <v>43083</v>
      </c>
      <c r="H302" s="6">
        <v>43083</v>
      </c>
      <c r="I302" s="4">
        <v>1</v>
      </c>
      <c r="J302" s="8" t="s">
        <v>37</v>
      </c>
      <c r="K302" s="8" t="s">
        <v>1686</v>
      </c>
      <c r="L302" s="4" t="str">
        <f>IF(AtlasReport_1_Table_1[[#This Row],[Reference]]="Purchase order",_xll.AtlasFormulas.AtlasFunctions.AtlasTable("UAT",DataAreaId,"T.VendInvoiceTrans","%RecId","","","","","","","ItemId|PurchID|InventTransId",$C302,$B302,$K302),"")</f>
        <v/>
      </c>
      <c r="M302" s="4" t="str">
        <f>IF(AtlasReport_1_Table_1[[#This Row],[Reference]]="Purchase order",_xll.AtlasFormulas.AtlasFunctions.AtlasTable("UAT",DataAreaId,"T.MarkupTrans","%CurrencyCode","","","","","","","MarkupCode|TransRecId|TransTableId","TPP",$L302,"492"),"")</f>
        <v/>
      </c>
      <c r="N302" s="4" t="str">
        <f>IF(AtlasReport_1_Table_1[[#This Row],[Reference]]="Purchase order",_xll.AtlasFormulas.AtlasFunctions.AtlasBalance("UAT",DataAreaId,"T.MarkupTrans","Sum|Posted|0","","","","","","","MarkupCode|TransTableId|TransRecId","TPP","492",$L302),"")</f>
        <v/>
      </c>
    </row>
    <row r="303" spans="1:14" x14ac:dyDescent="0.25">
      <c r="A303" s="8" t="s">
        <v>1648</v>
      </c>
      <c r="B303" s="8" t="s">
        <v>1687</v>
      </c>
      <c r="C303" s="8" t="s">
        <v>292</v>
      </c>
      <c r="D303" s="8" t="s">
        <v>1009</v>
      </c>
      <c r="E303" s="8" t="s">
        <v>261</v>
      </c>
      <c r="F303" s="8" t="s">
        <v>264</v>
      </c>
      <c r="G303" s="6">
        <v>43084</v>
      </c>
      <c r="H303" s="6">
        <v>43084</v>
      </c>
      <c r="I303" s="4">
        <v>17940</v>
      </c>
      <c r="J303" s="8" t="s">
        <v>120</v>
      </c>
      <c r="K303" s="8" t="s">
        <v>1688</v>
      </c>
      <c r="L303" s="4" t="str">
        <f>IF(AtlasReport_1_Table_1[[#This Row],[Reference]]="Purchase order",_xll.AtlasFormulas.AtlasFunctions.AtlasTable("UAT",DataAreaId,"T.VendInvoiceTrans","%RecId","","","","","","","ItemId|PurchID|InventTransId",$C303,$B303,$K303),"")</f>
        <v/>
      </c>
      <c r="M303" s="4" t="str">
        <f>IF(AtlasReport_1_Table_1[[#This Row],[Reference]]="Purchase order",_xll.AtlasFormulas.AtlasFunctions.AtlasTable("UAT",DataAreaId,"T.MarkupTrans","%CurrencyCode","","","","","","","MarkupCode|TransRecId|TransTableId","TPP",$L303,"492"),"")</f>
        <v/>
      </c>
      <c r="N303" s="4" t="str">
        <f>IF(AtlasReport_1_Table_1[[#This Row],[Reference]]="Purchase order",_xll.AtlasFormulas.AtlasFunctions.AtlasBalance("UAT",DataAreaId,"T.MarkupTrans","Sum|Posted|0","","","","","","","MarkupCode|TransTableId|TransRecId","TPP","492",$L303),"")</f>
        <v/>
      </c>
    </row>
    <row r="304" spans="1:14" x14ac:dyDescent="0.25">
      <c r="A304" s="8" t="s">
        <v>1648</v>
      </c>
      <c r="B304" s="8" t="s">
        <v>1689</v>
      </c>
      <c r="C304" s="8" t="s">
        <v>292</v>
      </c>
      <c r="D304" s="8" t="s">
        <v>1009</v>
      </c>
      <c r="E304" s="8" t="s">
        <v>261</v>
      </c>
      <c r="F304" s="8" t="s">
        <v>264</v>
      </c>
      <c r="G304" s="6">
        <v>43084</v>
      </c>
      <c r="H304" s="6">
        <v>43084</v>
      </c>
      <c r="I304" s="4">
        <v>13820</v>
      </c>
      <c r="J304" s="8" t="s">
        <v>120</v>
      </c>
      <c r="K304" s="8" t="s">
        <v>1690</v>
      </c>
      <c r="L304" s="4" t="str">
        <f>IF(AtlasReport_1_Table_1[[#This Row],[Reference]]="Purchase order",_xll.AtlasFormulas.AtlasFunctions.AtlasTable("UAT",DataAreaId,"T.VendInvoiceTrans","%RecId","","","","","","","ItemId|PurchID|InventTransId",$C304,$B304,$K304),"")</f>
        <v/>
      </c>
      <c r="M304" s="4" t="str">
        <f>IF(AtlasReport_1_Table_1[[#This Row],[Reference]]="Purchase order",_xll.AtlasFormulas.AtlasFunctions.AtlasTable("UAT",DataAreaId,"T.MarkupTrans","%CurrencyCode","","","","","","","MarkupCode|TransRecId|TransTableId","TPP",$L304,"492"),"")</f>
        <v/>
      </c>
      <c r="N304" s="4" t="str">
        <f>IF(AtlasReport_1_Table_1[[#This Row],[Reference]]="Purchase order",_xll.AtlasFormulas.AtlasFunctions.AtlasBalance("UAT",DataAreaId,"T.MarkupTrans","Sum|Posted|0","","","","","","","MarkupCode|TransTableId|TransRecId","TPP","492",$L304),"")</f>
        <v/>
      </c>
    </row>
    <row r="305" spans="1:14" x14ac:dyDescent="0.25">
      <c r="A305" s="8" t="s">
        <v>1648</v>
      </c>
      <c r="B305" s="8" t="s">
        <v>929</v>
      </c>
      <c r="C305" s="8" t="s">
        <v>457</v>
      </c>
      <c r="D305" s="8" t="s">
        <v>1244</v>
      </c>
      <c r="E305" s="8" t="s">
        <v>261</v>
      </c>
      <c r="F305" s="8" t="s">
        <v>264</v>
      </c>
      <c r="G305" s="6">
        <v>43084</v>
      </c>
      <c r="H305" s="6">
        <v>43088</v>
      </c>
      <c r="I305" s="4">
        <v>2</v>
      </c>
      <c r="J305" s="8" t="s">
        <v>37</v>
      </c>
      <c r="K305" s="8" t="s">
        <v>1691</v>
      </c>
      <c r="L305" s="4" t="str">
        <f>IF(AtlasReport_1_Table_1[[#This Row],[Reference]]="Purchase order",_xll.AtlasFormulas.AtlasFunctions.AtlasTable("UAT",DataAreaId,"T.VendInvoiceTrans","%RecId","","","","","","","ItemId|PurchID|InventTransId",$C305,$B305,$K305),"")</f>
        <v/>
      </c>
      <c r="M305" s="4" t="str">
        <f>IF(AtlasReport_1_Table_1[[#This Row],[Reference]]="Purchase order",_xll.AtlasFormulas.AtlasFunctions.AtlasTable("UAT",DataAreaId,"T.MarkupTrans","%CurrencyCode","","","","","","","MarkupCode|TransRecId|TransTableId","TPP",$L305,"492"),"")</f>
        <v/>
      </c>
      <c r="N305" s="4" t="str">
        <f>IF(AtlasReport_1_Table_1[[#This Row],[Reference]]="Purchase order",_xll.AtlasFormulas.AtlasFunctions.AtlasBalance("UAT",DataAreaId,"T.MarkupTrans","Sum|Posted|0","","","","","","","MarkupCode|TransTableId|TransRecId","TPP","492",$L305),"")</f>
        <v/>
      </c>
    </row>
    <row r="306" spans="1:14" x14ac:dyDescent="0.25">
      <c r="A306" s="8" t="s">
        <v>1648</v>
      </c>
      <c r="B306" s="8" t="s">
        <v>1692</v>
      </c>
      <c r="C306" s="8" t="s">
        <v>79</v>
      </c>
      <c r="D306" s="8" t="s">
        <v>206</v>
      </c>
      <c r="E306" s="8" t="s">
        <v>261</v>
      </c>
      <c r="F306" s="8" t="s">
        <v>264</v>
      </c>
      <c r="G306" s="6">
        <v>43084</v>
      </c>
      <c r="H306" s="6">
        <v>43084</v>
      </c>
      <c r="I306" s="4">
        <v>1</v>
      </c>
      <c r="J306" s="8" t="s">
        <v>37</v>
      </c>
      <c r="K306" s="8" t="s">
        <v>1693</v>
      </c>
      <c r="L306" s="4" t="str">
        <f>IF(AtlasReport_1_Table_1[[#This Row],[Reference]]="Purchase order",_xll.AtlasFormulas.AtlasFunctions.AtlasTable("UAT",DataAreaId,"T.VendInvoiceTrans","%RecId","","","","","","","ItemId|PurchID|InventTransId",$C306,$B306,$K306),"")</f>
        <v/>
      </c>
      <c r="M306" s="4" t="str">
        <f>IF(AtlasReport_1_Table_1[[#This Row],[Reference]]="Purchase order",_xll.AtlasFormulas.AtlasFunctions.AtlasTable("UAT",DataAreaId,"T.MarkupTrans","%CurrencyCode","","","","","","","MarkupCode|TransRecId|TransTableId","TPP",$L306,"492"),"")</f>
        <v/>
      </c>
      <c r="N306" s="4" t="str">
        <f>IF(AtlasReport_1_Table_1[[#This Row],[Reference]]="Purchase order",_xll.AtlasFormulas.AtlasFunctions.AtlasBalance("UAT",DataAreaId,"T.MarkupTrans","Sum|Posted|0","","","","","","","MarkupCode|TransTableId|TransRecId","TPP","492",$L306),"")</f>
        <v/>
      </c>
    </row>
    <row r="307" spans="1:14" x14ac:dyDescent="0.25">
      <c r="A307" s="8" t="s">
        <v>1648</v>
      </c>
      <c r="B307" s="8" t="s">
        <v>1694</v>
      </c>
      <c r="C307" s="8" t="s">
        <v>79</v>
      </c>
      <c r="D307" s="8" t="s">
        <v>206</v>
      </c>
      <c r="E307" s="8" t="s">
        <v>261</v>
      </c>
      <c r="F307" s="8" t="s">
        <v>264</v>
      </c>
      <c r="G307" s="6">
        <v>43088</v>
      </c>
      <c r="H307" s="6">
        <v>43088</v>
      </c>
      <c r="I307" s="4">
        <v>1</v>
      </c>
      <c r="J307" s="8" t="s">
        <v>37</v>
      </c>
      <c r="K307" s="8" t="s">
        <v>1695</v>
      </c>
      <c r="L307" s="4" t="str">
        <f>IF(AtlasReport_1_Table_1[[#This Row],[Reference]]="Purchase order",_xll.AtlasFormulas.AtlasFunctions.AtlasTable("UAT",DataAreaId,"T.VendInvoiceTrans","%RecId","","","","","","","ItemId|PurchID|InventTransId",$C307,$B307,$K307),"")</f>
        <v/>
      </c>
      <c r="M307" s="4" t="str">
        <f>IF(AtlasReport_1_Table_1[[#This Row],[Reference]]="Purchase order",_xll.AtlasFormulas.AtlasFunctions.AtlasTable("UAT",DataAreaId,"T.MarkupTrans","%CurrencyCode","","","","","","","MarkupCode|TransRecId|TransTableId","TPP",$L307,"492"),"")</f>
        <v/>
      </c>
      <c r="N307" s="4" t="str">
        <f>IF(AtlasReport_1_Table_1[[#This Row],[Reference]]="Purchase order",_xll.AtlasFormulas.AtlasFunctions.AtlasBalance("UAT",DataAreaId,"T.MarkupTrans","Sum|Posted|0","","","","","","","MarkupCode|TransTableId|TransRecId","TPP","492",$L307),"")</f>
        <v/>
      </c>
    </row>
    <row r="308" spans="1:14" x14ac:dyDescent="0.25">
      <c r="A308" s="8" t="s">
        <v>1648</v>
      </c>
      <c r="B308" s="8" t="s">
        <v>932</v>
      </c>
      <c r="C308" s="8" t="s">
        <v>457</v>
      </c>
      <c r="D308" s="8" t="s">
        <v>1244</v>
      </c>
      <c r="E308" s="8" t="s">
        <v>261</v>
      </c>
      <c r="F308" s="8" t="s">
        <v>264</v>
      </c>
      <c r="G308" s="6">
        <v>43089</v>
      </c>
      <c r="H308" s="6">
        <v>43089</v>
      </c>
      <c r="I308" s="4">
        <v>1</v>
      </c>
      <c r="J308" s="8" t="s">
        <v>37</v>
      </c>
      <c r="K308" s="8" t="s">
        <v>1696</v>
      </c>
      <c r="L308" s="4" t="str">
        <f>IF(AtlasReport_1_Table_1[[#This Row],[Reference]]="Purchase order",_xll.AtlasFormulas.AtlasFunctions.AtlasTable("UAT",DataAreaId,"T.VendInvoiceTrans","%RecId","","","","","","","ItemId|PurchID|InventTransId",$C308,$B308,$K308),"")</f>
        <v/>
      </c>
      <c r="M308" s="4" t="str">
        <f>IF(AtlasReport_1_Table_1[[#This Row],[Reference]]="Purchase order",_xll.AtlasFormulas.AtlasFunctions.AtlasTable("UAT",DataAreaId,"T.MarkupTrans","%CurrencyCode","","","","","","","MarkupCode|TransRecId|TransTableId","TPP",$L308,"492"),"")</f>
        <v/>
      </c>
      <c r="N308" s="4" t="str">
        <f>IF(AtlasReport_1_Table_1[[#This Row],[Reference]]="Purchase order",_xll.AtlasFormulas.AtlasFunctions.AtlasBalance("UAT",DataAreaId,"T.MarkupTrans","Sum|Posted|0","","","","","","","MarkupCode|TransTableId|TransRecId","TPP","492",$L308),"")</f>
        <v/>
      </c>
    </row>
    <row r="309" spans="1:14" x14ac:dyDescent="0.25">
      <c r="A309" s="8" t="s">
        <v>1648</v>
      </c>
      <c r="B309" s="8" t="s">
        <v>1697</v>
      </c>
      <c r="C309" s="8" t="s">
        <v>79</v>
      </c>
      <c r="D309" s="8" t="s">
        <v>206</v>
      </c>
      <c r="E309" s="8" t="s">
        <v>261</v>
      </c>
      <c r="F309" s="8" t="s">
        <v>264</v>
      </c>
      <c r="G309" s="6">
        <v>43091</v>
      </c>
      <c r="H309" s="6">
        <v>43091</v>
      </c>
      <c r="I309" s="4">
        <v>1</v>
      </c>
      <c r="J309" s="8" t="s">
        <v>37</v>
      </c>
      <c r="K309" s="8" t="s">
        <v>1698</v>
      </c>
      <c r="L309" s="4" t="str">
        <f>IF(AtlasReport_1_Table_1[[#This Row],[Reference]]="Purchase order",_xll.AtlasFormulas.AtlasFunctions.AtlasTable("UAT",DataAreaId,"T.VendInvoiceTrans","%RecId","","","","","","","ItemId|PurchID|InventTransId",$C309,$B309,$K309),"")</f>
        <v/>
      </c>
      <c r="M309" s="4" t="str">
        <f>IF(AtlasReport_1_Table_1[[#This Row],[Reference]]="Purchase order",_xll.AtlasFormulas.AtlasFunctions.AtlasTable("UAT",DataAreaId,"T.MarkupTrans","%CurrencyCode","","","","","","","MarkupCode|TransRecId|TransTableId","TPP",$L309,"492"),"")</f>
        <v/>
      </c>
      <c r="N309" s="4" t="str">
        <f>IF(AtlasReport_1_Table_1[[#This Row],[Reference]]="Purchase order",_xll.AtlasFormulas.AtlasFunctions.AtlasBalance("UAT",DataAreaId,"T.MarkupTrans","Sum|Posted|0","","","","","","","MarkupCode|TransTableId|TransRecId","TPP","492",$L309),"")</f>
        <v/>
      </c>
    </row>
    <row r="310" spans="1:14" x14ac:dyDescent="0.25">
      <c r="A310" s="8" t="s">
        <v>17</v>
      </c>
      <c r="B310" s="8" t="s">
        <v>722</v>
      </c>
      <c r="C310" s="8" t="s">
        <v>111</v>
      </c>
      <c r="D310" s="8" t="s">
        <v>112</v>
      </c>
      <c r="E310" s="8" t="s">
        <v>261</v>
      </c>
      <c r="F310" s="8" t="s">
        <v>264</v>
      </c>
      <c r="G310" s="6">
        <v>43083</v>
      </c>
      <c r="H310" s="6">
        <v>43083</v>
      </c>
      <c r="I310" s="4">
        <v>4100</v>
      </c>
      <c r="J310" s="8" t="s">
        <v>39</v>
      </c>
      <c r="K310" s="8" t="s">
        <v>724</v>
      </c>
      <c r="L310" s="4" t="str">
        <f>IF(AtlasReport_1_Table_1[[#This Row],[Reference]]="Purchase order",_xll.AtlasFormulas.AtlasFunctions.AtlasTable("UAT",DataAreaId,"T.VendInvoiceTrans","%RecId","","","","","","","ItemId|PurchID|InventTransId",$C310,$B310,$K310),"")</f>
        <v>5637298121</v>
      </c>
      <c r="M310" s="4" t="str">
        <f>IF(AtlasReport_1_Table_1[[#This Row],[Reference]]="Purchase order",_xll.AtlasFormulas.AtlasFunctions.AtlasTable("UAT",DataAreaId,"T.MarkupTrans","%CurrencyCode","","","","","","","MarkupCode|TransRecId|TransTableId","TPP",$L310,"492"),"")</f>
        <v>EUR</v>
      </c>
      <c r="N310" s="4">
        <f>IF(AtlasReport_1_Table_1[[#This Row],[Reference]]="Purchase order",_xll.AtlasFormulas.AtlasFunctions.AtlasBalance("UAT",DataAreaId,"T.MarkupTrans","Sum|Posted|0","","","","","","","MarkupCode|TransTableId|TransRecId","TPP","492",$L310),"")</f>
        <v>2612.52</v>
      </c>
    </row>
    <row r="311" spans="1:14" x14ac:dyDescent="0.25">
      <c r="A311" s="8" t="s">
        <v>17</v>
      </c>
      <c r="B311" s="8" t="s">
        <v>722</v>
      </c>
      <c r="C311" s="8" t="s">
        <v>97</v>
      </c>
      <c r="D311" s="8" t="s">
        <v>98</v>
      </c>
      <c r="E311" s="8" t="s">
        <v>261</v>
      </c>
      <c r="F311" s="8" t="s">
        <v>264</v>
      </c>
      <c r="G311" s="6">
        <v>43083</v>
      </c>
      <c r="H311" s="6">
        <v>43083</v>
      </c>
      <c r="I311" s="4">
        <v>1000</v>
      </c>
      <c r="J311" s="8" t="s">
        <v>39</v>
      </c>
      <c r="K311" s="8" t="s">
        <v>752</v>
      </c>
      <c r="L311" s="4" t="str">
        <f>IF(AtlasReport_1_Table_1[[#This Row],[Reference]]="Purchase order",_xll.AtlasFormulas.AtlasFunctions.AtlasTable("UAT",DataAreaId,"T.VendInvoiceTrans","%RecId","","","","","","","ItemId|PurchID|InventTransId",$C311,$B311,$K311),"")</f>
        <v>5637298124</v>
      </c>
      <c r="M311" s="4" t="str">
        <f>IF(AtlasReport_1_Table_1[[#This Row],[Reference]]="Purchase order",_xll.AtlasFormulas.AtlasFunctions.AtlasTable("UAT",DataAreaId,"T.MarkupTrans","%CurrencyCode","","","","","","","MarkupCode|TransRecId|TransTableId","TPP",$L311,"492"),"")</f>
        <v>EUR</v>
      </c>
      <c r="N311" s="4">
        <f>IF(AtlasReport_1_Table_1[[#This Row],[Reference]]="Purchase order",_xll.AtlasFormulas.AtlasFunctions.AtlasBalance("UAT",DataAreaId,"T.MarkupTrans","Sum|Posted|0","","","","","","","MarkupCode|TransTableId|TransRecId","TPP","492",$L311),"")</f>
        <v>894.24</v>
      </c>
    </row>
    <row r="312" spans="1:14" x14ac:dyDescent="0.25">
      <c r="A312" s="8" t="s">
        <v>17</v>
      </c>
      <c r="B312" s="8" t="s">
        <v>722</v>
      </c>
      <c r="C312" s="8" t="s">
        <v>106</v>
      </c>
      <c r="D312" s="8" t="s">
        <v>107</v>
      </c>
      <c r="E312" s="8" t="s">
        <v>261</v>
      </c>
      <c r="F312" s="8" t="s">
        <v>264</v>
      </c>
      <c r="G312" s="6">
        <v>43083</v>
      </c>
      <c r="H312" s="6">
        <v>43083</v>
      </c>
      <c r="I312" s="4">
        <v>4000</v>
      </c>
      <c r="J312" s="8" t="s">
        <v>39</v>
      </c>
      <c r="K312" s="8" t="s">
        <v>782</v>
      </c>
      <c r="L312" s="4" t="str">
        <f>IF(AtlasReport_1_Table_1[[#This Row],[Reference]]="Purchase order",_xll.AtlasFormulas.AtlasFunctions.AtlasTable("UAT",DataAreaId,"T.VendInvoiceTrans","%RecId","","","","","","","ItemId|PurchID|InventTransId",$C312,$B312,$K312),"")</f>
        <v>5637298122</v>
      </c>
      <c r="M312" s="4" t="str">
        <f>IF(AtlasReport_1_Table_1[[#This Row],[Reference]]="Purchase order",_xll.AtlasFormulas.AtlasFunctions.AtlasTable("UAT",DataAreaId,"T.MarkupTrans","%CurrencyCode","","","","","","","MarkupCode|TransRecId|TransTableId","TPP",$L312,"492"),"")</f>
        <v>EUR</v>
      </c>
      <c r="N312" s="4">
        <f>IF(AtlasReport_1_Table_1[[#This Row],[Reference]]="Purchase order",_xll.AtlasFormulas.AtlasFunctions.AtlasBalance("UAT",DataAreaId,"T.MarkupTrans","Sum|Posted|0","","","","","","","MarkupCode|TransTableId|TransRecId","TPP","492",$L312),"")</f>
        <v>4017.6</v>
      </c>
    </row>
    <row r="313" spans="1:14" x14ac:dyDescent="0.25">
      <c r="A313" s="8" t="s">
        <v>17</v>
      </c>
      <c r="B313" s="8" t="s">
        <v>722</v>
      </c>
      <c r="C313" s="8" t="s">
        <v>99</v>
      </c>
      <c r="D313" s="8" t="s">
        <v>100</v>
      </c>
      <c r="E313" s="8" t="s">
        <v>261</v>
      </c>
      <c r="F313" s="8" t="s">
        <v>264</v>
      </c>
      <c r="G313" s="6">
        <v>43083</v>
      </c>
      <c r="H313" s="6">
        <v>43083</v>
      </c>
      <c r="I313" s="4">
        <v>3000</v>
      </c>
      <c r="J313" s="8" t="s">
        <v>39</v>
      </c>
      <c r="K313" s="8" t="s">
        <v>821</v>
      </c>
      <c r="L313" s="4" t="str">
        <f>IF(AtlasReport_1_Table_1[[#This Row],[Reference]]="Purchase order",_xll.AtlasFormulas.AtlasFunctions.AtlasTable("UAT",DataAreaId,"T.VendInvoiceTrans","%RecId","","","","","","","ItemId|PurchID|InventTransId",$C313,$B313,$K313),"")</f>
        <v>5637298123</v>
      </c>
      <c r="M313" s="4" t="str">
        <f>IF(AtlasReport_1_Table_1[[#This Row],[Reference]]="Purchase order",_xll.AtlasFormulas.AtlasFunctions.AtlasTable("UAT",DataAreaId,"T.MarkupTrans","%CurrencyCode","","","","","","","MarkupCode|TransRecId|TransTableId","TPP",$L313,"492"),"")</f>
        <v>EUR</v>
      </c>
      <c r="N313" s="4">
        <f>IF(AtlasReport_1_Table_1[[#This Row],[Reference]]="Purchase order",_xll.AtlasFormulas.AtlasFunctions.AtlasBalance("UAT",DataAreaId,"T.MarkupTrans","Sum|Posted|0","","","","","","","MarkupCode|TransTableId|TransRecId","TPP","492",$L313),"")</f>
        <v>3350.16</v>
      </c>
    </row>
    <row r="314" spans="1:14" x14ac:dyDescent="0.25">
      <c r="A314" s="8" t="s">
        <v>17</v>
      </c>
      <c r="B314" s="8" t="s">
        <v>1699</v>
      </c>
      <c r="C314" s="8" t="s">
        <v>19</v>
      </c>
      <c r="D314" s="8" t="s">
        <v>35</v>
      </c>
      <c r="E314" s="8" t="s">
        <v>261</v>
      </c>
      <c r="F314" s="8" t="s">
        <v>264</v>
      </c>
      <c r="G314" s="6">
        <v>43083</v>
      </c>
      <c r="H314" s="6">
        <v>43083</v>
      </c>
      <c r="I314" s="4">
        <v>1</v>
      </c>
      <c r="J314" s="8" t="s">
        <v>37</v>
      </c>
      <c r="K314" s="8" t="s">
        <v>1700</v>
      </c>
      <c r="L314" s="4" t="str">
        <f>IF(AtlasReport_1_Table_1[[#This Row],[Reference]]="Purchase order",_xll.AtlasFormulas.AtlasFunctions.AtlasTable("UAT",DataAreaId,"T.VendInvoiceTrans","%RecId","","","","","","","ItemId|PurchID|InventTransId",$C314,$B314,$K314),"")</f>
        <v>5637298119</v>
      </c>
      <c r="M314" s="4" t="str">
        <f>IF(AtlasReport_1_Table_1[[#This Row],[Reference]]="Purchase order",_xll.AtlasFormulas.AtlasFunctions.AtlasTable("UAT",DataAreaId,"T.MarkupTrans","%CurrencyCode","","","","","","","MarkupCode|TransRecId|TransTableId","TPP",$L314,"492"),"")</f>
        <v>EUR</v>
      </c>
      <c r="N314" s="4">
        <f>IF(AtlasReport_1_Table_1[[#This Row],[Reference]]="Purchase order",_xll.AtlasFormulas.AtlasFunctions.AtlasBalance("UAT",DataAreaId,"T.MarkupTrans","Sum|Posted|0","","","","","","","MarkupCode|TransTableId|TransRecId","TPP","492",$L314),"")</f>
        <v>0</v>
      </c>
    </row>
    <row r="315" spans="1:14" x14ac:dyDescent="0.25">
      <c r="A315" s="8" t="s">
        <v>17</v>
      </c>
      <c r="B315" s="8" t="s">
        <v>1701</v>
      </c>
      <c r="C315" s="8" t="s">
        <v>1143</v>
      </c>
      <c r="D315" s="8" t="s">
        <v>1144</v>
      </c>
      <c r="E315" s="8" t="s">
        <v>261</v>
      </c>
      <c r="F315" s="8" t="s">
        <v>264</v>
      </c>
      <c r="G315" s="6">
        <v>43054</v>
      </c>
      <c r="H315" s="6">
        <v>43083</v>
      </c>
      <c r="I315" s="4">
        <v>1</v>
      </c>
      <c r="J315" s="8" t="s">
        <v>37</v>
      </c>
      <c r="K315" s="8" t="s">
        <v>1702</v>
      </c>
      <c r="L315" s="4" t="str">
        <f>IF(AtlasReport_1_Table_1[[#This Row],[Reference]]="Purchase order",_xll.AtlasFormulas.AtlasFunctions.AtlasTable("UAT",DataAreaId,"T.VendInvoiceTrans","%RecId","","","","","","","ItemId|PurchID|InventTransId",$C315,$B315,$K315),"")</f>
        <v>5637298101</v>
      </c>
      <c r="M315" s="4" t="str">
        <f>IF(AtlasReport_1_Table_1[[#This Row],[Reference]]="Purchase order",_xll.AtlasFormulas.AtlasFunctions.AtlasTable("UAT",DataAreaId,"T.MarkupTrans","%CurrencyCode","","","","","","","MarkupCode|TransRecId|TransTableId","TPP",$L315,"492"),"")</f>
        <v/>
      </c>
      <c r="N315" s="4">
        <f>IF(AtlasReport_1_Table_1[[#This Row],[Reference]]="Purchase order",_xll.AtlasFormulas.AtlasFunctions.AtlasBalance("UAT",DataAreaId,"T.MarkupTrans","Sum|Posted|0","","","","","","","MarkupCode|TransTableId|TransRecId","TPP","492",$L315),"")</f>
        <v>0</v>
      </c>
    </row>
    <row r="316" spans="1:14" x14ac:dyDescent="0.25">
      <c r="A316" s="8" t="s">
        <v>17</v>
      </c>
      <c r="B316" s="8" t="s">
        <v>1703</v>
      </c>
      <c r="C316" s="8" t="s">
        <v>1143</v>
      </c>
      <c r="D316" s="8" t="s">
        <v>1144</v>
      </c>
      <c r="E316" s="8" t="s">
        <v>261</v>
      </c>
      <c r="F316" s="8" t="s">
        <v>264</v>
      </c>
      <c r="G316" s="6">
        <v>43054</v>
      </c>
      <c r="H316" s="6">
        <v>43083</v>
      </c>
      <c r="I316" s="4">
        <v>1</v>
      </c>
      <c r="J316" s="8" t="s">
        <v>37</v>
      </c>
      <c r="K316" s="8" t="s">
        <v>1704</v>
      </c>
      <c r="L316" s="4" t="str">
        <f>IF(AtlasReport_1_Table_1[[#This Row],[Reference]]="Purchase order",_xll.AtlasFormulas.AtlasFunctions.AtlasTable("UAT",DataAreaId,"T.VendInvoiceTrans","%RecId","","","","","","","ItemId|PurchID|InventTransId",$C316,$B316,$K316),"")</f>
        <v/>
      </c>
      <c r="M316" s="4" t="str">
        <f>IF(AtlasReport_1_Table_1[[#This Row],[Reference]]="Purchase order",_xll.AtlasFormulas.AtlasFunctions.AtlasTable("UAT",DataAreaId,"T.MarkupTrans","%CurrencyCode","","","","","","","MarkupCode|TransRecId|TransTableId","TPP",$L316,"492"),"")</f>
        <v/>
      </c>
      <c r="N316" s="4">
        <f>IF(AtlasReport_1_Table_1[[#This Row],[Reference]]="Purchase order",_xll.AtlasFormulas.AtlasFunctions.AtlasBalance("UAT",DataAreaId,"T.MarkupTrans","Sum|Posted|0","","","","","","","MarkupCode|TransTableId|TransRecId","TPP","492",$L316),"")</f>
        <v>0</v>
      </c>
    </row>
    <row r="317" spans="1:14" x14ac:dyDescent="0.25">
      <c r="A317" s="8" t="s">
        <v>17</v>
      </c>
      <c r="B317" s="8" t="s">
        <v>1705</v>
      </c>
      <c r="C317" s="8" t="s">
        <v>1143</v>
      </c>
      <c r="D317" s="8" t="s">
        <v>1144</v>
      </c>
      <c r="E317" s="8" t="s">
        <v>261</v>
      </c>
      <c r="F317" s="8" t="s">
        <v>264</v>
      </c>
      <c r="G317" s="6">
        <v>43054</v>
      </c>
      <c r="H317" s="6">
        <v>43083</v>
      </c>
      <c r="I317" s="4">
        <v>1</v>
      </c>
      <c r="J317" s="8" t="s">
        <v>37</v>
      </c>
      <c r="K317" s="8" t="s">
        <v>1706</v>
      </c>
      <c r="L317" s="4" t="str">
        <f>IF(AtlasReport_1_Table_1[[#This Row],[Reference]]="Purchase order",_xll.AtlasFormulas.AtlasFunctions.AtlasTable("UAT",DataAreaId,"T.VendInvoiceTrans","%RecId","","","","","","","ItemId|PurchID|InventTransId",$C317,$B317,$K317),"")</f>
        <v/>
      </c>
      <c r="M317" s="4" t="str">
        <f>IF(AtlasReport_1_Table_1[[#This Row],[Reference]]="Purchase order",_xll.AtlasFormulas.AtlasFunctions.AtlasTable("UAT",DataAreaId,"T.MarkupTrans","%CurrencyCode","","","","","","","MarkupCode|TransRecId|TransTableId","TPP",$L317,"492"),"")</f>
        <v/>
      </c>
      <c r="N317" s="4">
        <f>IF(AtlasReport_1_Table_1[[#This Row],[Reference]]="Purchase order",_xll.AtlasFormulas.AtlasFunctions.AtlasBalance("UAT",DataAreaId,"T.MarkupTrans","Sum|Posted|0","","","","","","","MarkupCode|TransTableId|TransRecId","TPP","492",$L317),"")</f>
        <v>0</v>
      </c>
    </row>
    <row r="318" spans="1:14" x14ac:dyDescent="0.25">
      <c r="A318" s="8" t="s">
        <v>17</v>
      </c>
      <c r="B318" s="8" t="s">
        <v>1707</v>
      </c>
      <c r="C318" s="8" t="s">
        <v>65</v>
      </c>
      <c r="D318" s="8" t="s">
        <v>1172</v>
      </c>
      <c r="E318" s="8" t="s">
        <v>261</v>
      </c>
      <c r="F318" s="8" t="s">
        <v>264</v>
      </c>
      <c r="G318" s="6">
        <v>43069</v>
      </c>
      <c r="H318" s="6">
        <v>43086</v>
      </c>
      <c r="I318" s="4">
        <v>2</v>
      </c>
      <c r="J318" s="8" t="s">
        <v>37</v>
      </c>
      <c r="K318" s="8" t="s">
        <v>1708</v>
      </c>
      <c r="L318" s="4" t="str">
        <f>IF(AtlasReport_1_Table_1[[#This Row],[Reference]]="Purchase order",_xll.AtlasFormulas.AtlasFunctions.AtlasTable("UAT",DataAreaId,"T.VendInvoiceTrans","%RecId","","","","","","","ItemId|PurchID|InventTransId",$C318,$B318,$K318),"")</f>
        <v>5637298414</v>
      </c>
      <c r="M318" s="4" t="str">
        <f>IF(AtlasReport_1_Table_1[[#This Row],[Reference]]="Purchase order",_xll.AtlasFormulas.AtlasFunctions.AtlasTable("UAT",DataAreaId,"T.MarkupTrans","%CurrencyCode","","","","","","","MarkupCode|TransRecId|TransTableId","TPP",$L318,"492"),"")</f>
        <v/>
      </c>
      <c r="N318" s="4">
        <f>IF(AtlasReport_1_Table_1[[#This Row],[Reference]]="Purchase order",_xll.AtlasFormulas.AtlasFunctions.AtlasBalance("UAT",DataAreaId,"T.MarkupTrans","Sum|Posted|0","","","","","","","MarkupCode|TransTableId|TransRecId","TPP","492",$L318),"")</f>
        <v>0</v>
      </c>
    </row>
    <row r="319" spans="1:14" x14ac:dyDescent="0.25">
      <c r="A319" s="8" t="s">
        <v>17</v>
      </c>
      <c r="B319" s="8" t="s">
        <v>1707</v>
      </c>
      <c r="C319" s="8" t="s">
        <v>65</v>
      </c>
      <c r="D319" s="8" t="s">
        <v>1172</v>
      </c>
      <c r="E319" s="8" t="s">
        <v>261</v>
      </c>
      <c r="F319" s="8" t="s">
        <v>264</v>
      </c>
      <c r="G319" s="6">
        <v>43080</v>
      </c>
      <c r="H319" s="6">
        <v>43086</v>
      </c>
      <c r="I319" s="4">
        <v>3</v>
      </c>
      <c r="J319" s="8" t="s">
        <v>37</v>
      </c>
      <c r="K319" s="8" t="s">
        <v>1709</v>
      </c>
      <c r="L319" s="4" t="str">
        <f>IF(AtlasReport_1_Table_1[[#This Row],[Reference]]="Purchase order",_xll.AtlasFormulas.AtlasFunctions.AtlasTable("UAT",DataAreaId,"T.VendInvoiceTrans","%RecId","","","","","","","ItemId|PurchID|InventTransId",$C319,$B319,$K319),"")</f>
        <v>5637298415</v>
      </c>
      <c r="M319" s="4" t="str">
        <f>IF(AtlasReport_1_Table_1[[#This Row],[Reference]]="Purchase order",_xll.AtlasFormulas.AtlasFunctions.AtlasTable("UAT",DataAreaId,"T.MarkupTrans","%CurrencyCode","","","","","","","MarkupCode|TransRecId|TransTableId","TPP",$L319,"492"),"")</f>
        <v/>
      </c>
      <c r="N319" s="4">
        <f>IF(AtlasReport_1_Table_1[[#This Row],[Reference]]="Purchase order",_xll.AtlasFormulas.AtlasFunctions.AtlasBalance("UAT",DataAreaId,"T.MarkupTrans","Sum|Posted|0","","","","","","","MarkupCode|TransTableId|TransRecId","TPP","492",$L319),"")</f>
        <v>0</v>
      </c>
    </row>
    <row r="320" spans="1:14" x14ac:dyDescent="0.25">
      <c r="A320" s="8" t="s">
        <v>17</v>
      </c>
      <c r="B320" s="8" t="s">
        <v>1710</v>
      </c>
      <c r="C320" s="8" t="s">
        <v>1143</v>
      </c>
      <c r="D320" s="8" t="s">
        <v>1144</v>
      </c>
      <c r="E320" s="8" t="s">
        <v>261</v>
      </c>
      <c r="F320" s="8" t="s">
        <v>264</v>
      </c>
      <c r="G320" s="6">
        <v>43066</v>
      </c>
      <c r="H320" s="6">
        <v>43076</v>
      </c>
      <c r="I320" s="4">
        <v>22</v>
      </c>
      <c r="J320" s="8" t="s">
        <v>37</v>
      </c>
      <c r="K320" s="8" t="s">
        <v>1711</v>
      </c>
      <c r="L320" s="4" t="str">
        <f>IF(AtlasReport_1_Table_1[[#This Row],[Reference]]="Purchase order",_xll.AtlasFormulas.AtlasFunctions.AtlasTable("UAT",DataAreaId,"T.VendInvoiceTrans","%RecId","","","","","","","ItemId|PurchID|InventTransId",$C320,$B320,$K320),"")</f>
        <v>5637298100</v>
      </c>
      <c r="M320" s="4" t="str">
        <f>IF(AtlasReport_1_Table_1[[#This Row],[Reference]]="Purchase order",_xll.AtlasFormulas.AtlasFunctions.AtlasTable("UAT",DataAreaId,"T.MarkupTrans","%CurrencyCode","","","","","","","MarkupCode|TransRecId|TransTableId","TPP",$L320,"492"),"")</f>
        <v/>
      </c>
      <c r="N320" s="4">
        <f>IF(AtlasReport_1_Table_1[[#This Row],[Reference]]="Purchase order",_xll.AtlasFormulas.AtlasFunctions.AtlasBalance("UAT",DataAreaId,"T.MarkupTrans","Sum|Posted|0","","","","","","","MarkupCode|TransTableId|TransRecId","TPP","492",$L320),"")</f>
        <v>0</v>
      </c>
    </row>
    <row r="321" spans="1:14" x14ac:dyDescent="0.25">
      <c r="A321" s="8" t="s">
        <v>17</v>
      </c>
      <c r="B321" s="8" t="s">
        <v>633</v>
      </c>
      <c r="C321" s="8" t="s">
        <v>25</v>
      </c>
      <c r="D321" s="8" t="s">
        <v>31</v>
      </c>
      <c r="E321" s="8" t="s">
        <v>261</v>
      </c>
      <c r="F321" s="8" t="s">
        <v>264</v>
      </c>
      <c r="G321" s="6">
        <v>43083</v>
      </c>
      <c r="H321" s="6">
        <v>43083</v>
      </c>
      <c r="I321" s="4">
        <v>150</v>
      </c>
      <c r="J321" s="8" t="s">
        <v>38</v>
      </c>
      <c r="K321" s="8" t="s">
        <v>635</v>
      </c>
      <c r="L321" s="4" t="str">
        <f>IF(AtlasReport_1_Table_1[[#This Row],[Reference]]="Purchase order",_xll.AtlasFormulas.AtlasFunctions.AtlasTable("UAT",DataAreaId,"T.VendInvoiceTrans","%RecId","","","","","","","ItemId|PurchID|InventTransId",$C321,$B321,$K321),"")</f>
        <v>5637298120</v>
      </c>
      <c r="M321" s="4" t="str">
        <f>IF(AtlasReport_1_Table_1[[#This Row],[Reference]]="Purchase order",_xll.AtlasFormulas.AtlasFunctions.AtlasTable("UAT",DataAreaId,"T.MarkupTrans","%CurrencyCode","","","","","","","MarkupCode|TransRecId|TransTableId","TPP",$L321,"492"),"")</f>
        <v>EUR</v>
      </c>
      <c r="N321" s="4">
        <f>IF(AtlasReport_1_Table_1[[#This Row],[Reference]]="Purchase order",_xll.AtlasFormulas.AtlasFunctions.AtlasBalance("UAT",DataAreaId,"T.MarkupTrans","Sum|Posted|0","","","","","","","MarkupCode|TransTableId|TransRecId","TPP","492",$L321),"")</f>
        <v>106.35</v>
      </c>
    </row>
    <row r="322" spans="1:14" x14ac:dyDescent="0.25">
      <c r="A322" s="8" t="s">
        <v>17</v>
      </c>
      <c r="B322" s="8" t="s">
        <v>872</v>
      </c>
      <c r="C322" s="8" t="s">
        <v>63</v>
      </c>
      <c r="D322" s="8" t="s">
        <v>95</v>
      </c>
      <c r="E322" s="8" t="s">
        <v>261</v>
      </c>
      <c r="F322" s="8" t="s">
        <v>264</v>
      </c>
      <c r="G322" s="6">
        <v>43084</v>
      </c>
      <c r="H322" s="6">
        <v>43070</v>
      </c>
      <c r="I322" s="4">
        <v>879.6</v>
      </c>
      <c r="J322" s="8" t="s">
        <v>39</v>
      </c>
      <c r="K322" s="8" t="s">
        <v>874</v>
      </c>
      <c r="L322" s="4" t="str">
        <f>IF(AtlasReport_1_Table_1[[#This Row],[Reference]]="Purchase order",_xll.AtlasFormulas.AtlasFunctions.AtlasTable("UAT",DataAreaId,"T.VendInvoiceTrans","%RecId","","","","","","","ItemId|PurchID|InventTransId",$C322,$B322,$K322),"")</f>
        <v>5637298139</v>
      </c>
      <c r="M322" s="4" t="str">
        <f>IF(AtlasReport_1_Table_1[[#This Row],[Reference]]="Purchase order",_xll.AtlasFormulas.AtlasFunctions.AtlasTable("UAT",DataAreaId,"T.MarkupTrans","%CurrencyCode","","","","","","","MarkupCode|TransRecId|TransTableId","TPP",$L322,"492"),"")</f>
        <v>EUR</v>
      </c>
      <c r="N322" s="4">
        <f>IF(AtlasReport_1_Table_1[[#This Row],[Reference]]="Purchase order",_xll.AtlasFormulas.AtlasFunctions.AtlasBalance("UAT",DataAreaId,"T.MarkupTrans","Sum|Posted|0","","","","","","","MarkupCode|TransTableId|TransRecId","TPP","492",$L322),"")</f>
        <v>2591.5100000000002</v>
      </c>
    </row>
    <row r="323" spans="1:14" x14ac:dyDescent="0.25">
      <c r="A323" s="8" t="s">
        <v>17</v>
      </c>
      <c r="B323" s="8" t="s">
        <v>872</v>
      </c>
      <c r="C323" s="8" t="s">
        <v>63</v>
      </c>
      <c r="D323" s="8" t="s">
        <v>95</v>
      </c>
      <c r="E323" s="8" t="s">
        <v>261</v>
      </c>
      <c r="F323" s="8" t="s">
        <v>264</v>
      </c>
      <c r="G323" s="6">
        <v>43084</v>
      </c>
      <c r="H323" s="6">
        <v>43070</v>
      </c>
      <c r="I323" s="4">
        <v>713</v>
      </c>
      <c r="J323" s="8" t="s">
        <v>39</v>
      </c>
      <c r="K323" s="8" t="s">
        <v>875</v>
      </c>
      <c r="L323" s="4" t="str">
        <f>IF(AtlasReport_1_Table_1[[#This Row],[Reference]]="Purchase order",_xll.AtlasFormulas.AtlasFunctions.AtlasTable("UAT",DataAreaId,"T.VendInvoiceTrans","%RecId","","","","","","","ItemId|PurchID|InventTransId",$C323,$B323,$K323),"")</f>
        <v>5637298140</v>
      </c>
      <c r="M323" s="4" t="str">
        <f>IF(AtlasReport_1_Table_1[[#This Row],[Reference]]="Purchase order",_xll.AtlasFormulas.AtlasFunctions.AtlasTable("UAT",DataAreaId,"T.MarkupTrans","%CurrencyCode","","","","","","","MarkupCode|TransRecId|TransTableId","TPP",$L323,"492"),"")</f>
        <v>EUR</v>
      </c>
      <c r="N323" s="4">
        <f>IF(AtlasReport_1_Table_1[[#This Row],[Reference]]="Purchase order",_xll.AtlasFormulas.AtlasFunctions.AtlasBalance("UAT",DataAreaId,"T.MarkupTrans","Sum|Posted|0","","","","","","","MarkupCode|TransTableId|TransRecId","TPP","492",$L323),"")</f>
        <v>2100.67</v>
      </c>
    </row>
    <row r="324" spans="1:14" x14ac:dyDescent="0.25">
      <c r="A324" s="8" t="s">
        <v>17</v>
      </c>
      <c r="B324" s="8" t="s">
        <v>1712</v>
      </c>
      <c r="C324" s="8" t="s">
        <v>19</v>
      </c>
      <c r="D324" s="8" t="s">
        <v>35</v>
      </c>
      <c r="E324" s="8" t="s">
        <v>261</v>
      </c>
      <c r="F324" s="8" t="s">
        <v>264</v>
      </c>
      <c r="G324" s="6">
        <v>43084</v>
      </c>
      <c r="H324" s="6">
        <v>43070</v>
      </c>
      <c r="I324" s="4">
        <v>1</v>
      </c>
      <c r="J324" s="8" t="s">
        <v>37</v>
      </c>
      <c r="K324" s="8" t="s">
        <v>1713</v>
      </c>
      <c r="L324" s="4" t="str">
        <f>IF(AtlasReport_1_Table_1[[#This Row],[Reference]]="Purchase order",_xll.AtlasFormulas.AtlasFunctions.AtlasTable("UAT",DataAreaId,"T.VendInvoiceTrans","%RecId","","","","","","","ItemId|PurchID|InventTransId",$C324,$B324,$K324),"")</f>
        <v>5637298138</v>
      </c>
      <c r="M324" s="4" t="str">
        <f>IF(AtlasReport_1_Table_1[[#This Row],[Reference]]="Purchase order",_xll.AtlasFormulas.AtlasFunctions.AtlasTable("UAT",DataAreaId,"T.MarkupTrans","%CurrencyCode","","","","","","","MarkupCode|TransRecId|TransTableId","TPP",$L324,"492"),"")</f>
        <v>EUR</v>
      </c>
      <c r="N324" s="4">
        <f>IF(AtlasReport_1_Table_1[[#This Row],[Reference]]="Purchase order",_xll.AtlasFormulas.AtlasFunctions.AtlasBalance("UAT",DataAreaId,"T.MarkupTrans","Sum|Posted|0","","","","","","","MarkupCode|TransTableId|TransRecId","TPP","492",$L324),"")</f>
        <v>0</v>
      </c>
    </row>
    <row r="325" spans="1:14" x14ac:dyDescent="0.25">
      <c r="A325" s="8" t="s">
        <v>17</v>
      </c>
      <c r="B325" s="8" t="s">
        <v>1714</v>
      </c>
      <c r="C325" s="8" t="s">
        <v>1143</v>
      </c>
      <c r="D325" s="8" t="s">
        <v>1144</v>
      </c>
      <c r="E325" s="8" t="s">
        <v>261</v>
      </c>
      <c r="F325" s="8" t="s">
        <v>264</v>
      </c>
      <c r="G325" s="6">
        <v>43069</v>
      </c>
      <c r="H325" s="6">
        <v>43076</v>
      </c>
      <c r="I325" s="4">
        <v>1</v>
      </c>
      <c r="J325" s="8" t="s">
        <v>37</v>
      </c>
      <c r="K325" s="8" t="s">
        <v>1715</v>
      </c>
      <c r="L325" s="4" t="str">
        <f>IF(AtlasReport_1_Table_1[[#This Row],[Reference]]="Purchase order",_xll.AtlasFormulas.AtlasFunctions.AtlasTable("UAT",DataAreaId,"T.VendInvoiceTrans","%RecId","","","","","","","ItemId|PurchID|InventTransId",$C325,$B325,$K325),"")</f>
        <v>5637298099</v>
      </c>
      <c r="M325" s="4" t="str">
        <f>IF(AtlasReport_1_Table_1[[#This Row],[Reference]]="Purchase order",_xll.AtlasFormulas.AtlasFunctions.AtlasTable("UAT",DataAreaId,"T.MarkupTrans","%CurrencyCode","","","","","","","MarkupCode|TransRecId|TransTableId","TPP",$L325,"492"),"")</f>
        <v/>
      </c>
      <c r="N325" s="4">
        <f>IF(AtlasReport_1_Table_1[[#This Row],[Reference]]="Purchase order",_xll.AtlasFormulas.AtlasFunctions.AtlasBalance("UAT",DataAreaId,"T.MarkupTrans","Sum|Posted|0","","","","","","","MarkupCode|TransTableId|TransRecId","TPP","492",$L325),"")</f>
        <v>0</v>
      </c>
    </row>
    <row r="326" spans="1:14" x14ac:dyDescent="0.25">
      <c r="A326" s="8" t="s">
        <v>17</v>
      </c>
      <c r="B326" s="8" t="s">
        <v>842</v>
      </c>
      <c r="C326" s="8" t="s">
        <v>123</v>
      </c>
      <c r="D326" s="8" t="s">
        <v>124</v>
      </c>
      <c r="E326" s="8" t="s">
        <v>261</v>
      </c>
      <c r="F326" s="8" t="s">
        <v>264</v>
      </c>
      <c r="G326" s="6">
        <v>43083</v>
      </c>
      <c r="H326" s="6">
        <v>43075</v>
      </c>
      <c r="I326" s="4">
        <v>500</v>
      </c>
      <c r="J326" s="8" t="s">
        <v>39</v>
      </c>
      <c r="K326" s="8" t="s">
        <v>844</v>
      </c>
      <c r="L326" s="4" t="str">
        <f>IF(AtlasReport_1_Table_1[[#This Row],[Reference]]="Purchase order",_xll.AtlasFormulas.AtlasFunctions.AtlasTable("UAT",DataAreaId,"T.VendInvoiceTrans","%RecId","","","","","","","ItemId|PurchID|InventTransId",$C326,$B326,$K326),"")</f>
        <v>5637298126</v>
      </c>
      <c r="M326" s="4" t="str">
        <f>IF(AtlasReport_1_Table_1[[#This Row],[Reference]]="Purchase order",_xll.AtlasFormulas.AtlasFunctions.AtlasTable("UAT",DataAreaId,"T.MarkupTrans","%CurrencyCode","","","","","","","MarkupCode|TransRecId|TransTableId","TPP",$L326,"492"),"")</f>
        <v>EUR</v>
      </c>
      <c r="N326" s="4">
        <f>IF(AtlasReport_1_Table_1[[#This Row],[Reference]]="Purchase order",_xll.AtlasFormulas.AtlasFunctions.AtlasBalance("UAT",DataAreaId,"T.MarkupTrans","Sum|Posted|0","","","","","","","MarkupCode|TransTableId|TransRecId","TPP","492",$L326),"")</f>
        <v>663.12</v>
      </c>
    </row>
    <row r="327" spans="1:14" x14ac:dyDescent="0.25">
      <c r="A327" s="8" t="s">
        <v>17</v>
      </c>
      <c r="B327" s="8" t="s">
        <v>1716</v>
      </c>
      <c r="C327" s="8" t="s">
        <v>19</v>
      </c>
      <c r="D327" s="8" t="s">
        <v>35</v>
      </c>
      <c r="E327" s="8" t="s">
        <v>261</v>
      </c>
      <c r="F327" s="8" t="s">
        <v>264</v>
      </c>
      <c r="G327" s="6">
        <v>43083</v>
      </c>
      <c r="H327" s="6">
        <v>43076</v>
      </c>
      <c r="I327" s="4">
        <v>1</v>
      </c>
      <c r="J327" s="8" t="s">
        <v>37</v>
      </c>
      <c r="K327" s="8" t="s">
        <v>1717</v>
      </c>
      <c r="L327" s="4" t="str">
        <f>IF(AtlasReport_1_Table_1[[#This Row],[Reference]]="Purchase order",_xll.AtlasFormulas.AtlasFunctions.AtlasTable("UAT",DataAreaId,"T.VendInvoiceTrans","%RecId","","","","","","","ItemId|PurchID|InventTransId",$C327,$B327,$K327),"")</f>
        <v>5637298125</v>
      </c>
      <c r="M327" s="4" t="str">
        <f>IF(AtlasReport_1_Table_1[[#This Row],[Reference]]="Purchase order",_xll.AtlasFormulas.AtlasFunctions.AtlasTable("UAT",DataAreaId,"T.MarkupTrans","%CurrencyCode","","","","","","","MarkupCode|TransRecId|TransTableId","TPP",$L327,"492"),"")</f>
        <v>EUR</v>
      </c>
      <c r="N327" s="4">
        <f>IF(AtlasReport_1_Table_1[[#This Row],[Reference]]="Purchase order",_xll.AtlasFormulas.AtlasFunctions.AtlasBalance("UAT",DataAreaId,"T.MarkupTrans","Sum|Posted|0","","","","","","","MarkupCode|TransTableId|TransRecId","TPP","492",$L327),"")</f>
        <v>0</v>
      </c>
    </row>
    <row r="328" spans="1:14" x14ac:dyDescent="0.25">
      <c r="A328" s="8" t="s">
        <v>17</v>
      </c>
      <c r="B328" s="8" t="s">
        <v>1718</v>
      </c>
      <c r="C328" s="8" t="s">
        <v>25</v>
      </c>
      <c r="D328" s="8" t="s">
        <v>31</v>
      </c>
      <c r="E328" s="8" t="s">
        <v>261</v>
      </c>
      <c r="F328" s="8" t="s">
        <v>264</v>
      </c>
      <c r="G328" s="6">
        <v>43082</v>
      </c>
      <c r="H328" s="6">
        <v>43070</v>
      </c>
      <c r="I328" s="4">
        <v>1080</v>
      </c>
      <c r="J328" s="8" t="s">
        <v>38</v>
      </c>
      <c r="K328" s="8" t="s">
        <v>1719</v>
      </c>
      <c r="L328" s="4" t="str">
        <f>IF(AtlasReport_1_Table_1[[#This Row],[Reference]]="Purchase order",_xll.AtlasFormulas.AtlasFunctions.AtlasTable("UAT",DataAreaId,"T.VendInvoiceTrans","%RecId","","","","","","","ItemId|PurchID|InventTransId",$C328,$B328,$K328),"")</f>
        <v>5637298096</v>
      </c>
      <c r="M328" s="4" t="str">
        <f>IF(AtlasReport_1_Table_1[[#This Row],[Reference]]="Purchase order",_xll.AtlasFormulas.AtlasFunctions.AtlasTable("UAT",DataAreaId,"T.MarkupTrans","%CurrencyCode","","","","","","","MarkupCode|TransRecId|TransTableId","TPP",$L328,"492"),"")</f>
        <v>EUR</v>
      </c>
      <c r="N328" s="4">
        <f>IF(AtlasReport_1_Table_1[[#This Row],[Reference]]="Purchase order",_xll.AtlasFormulas.AtlasFunctions.AtlasBalance("UAT",DataAreaId,"T.MarkupTrans","Sum|Posted|0","","","","","","","MarkupCode|TransTableId|TransRecId","TPP","492",$L328),"")</f>
        <v>0</v>
      </c>
    </row>
    <row r="329" spans="1:14" x14ac:dyDescent="0.25">
      <c r="A329" s="8" t="s">
        <v>17</v>
      </c>
      <c r="B329" s="8" t="s">
        <v>1720</v>
      </c>
      <c r="C329" s="8" t="s">
        <v>19</v>
      </c>
      <c r="D329" s="8" t="s">
        <v>35</v>
      </c>
      <c r="E329" s="8" t="s">
        <v>261</v>
      </c>
      <c r="F329" s="8" t="s">
        <v>264</v>
      </c>
      <c r="G329" s="6">
        <v>43082</v>
      </c>
      <c r="H329" s="6">
        <v>43070</v>
      </c>
      <c r="I329" s="4">
        <v>1</v>
      </c>
      <c r="J329" s="8" t="s">
        <v>37</v>
      </c>
      <c r="K329" s="8" t="s">
        <v>1721</v>
      </c>
      <c r="L329" s="4" t="str">
        <f>IF(AtlasReport_1_Table_1[[#This Row],[Reference]]="Purchase order",_xll.AtlasFormulas.AtlasFunctions.AtlasTable("UAT",DataAreaId,"T.VendInvoiceTrans","%RecId","","","","","","","ItemId|PurchID|InventTransId",$C329,$B329,$K329),"")</f>
        <v>5637298097</v>
      </c>
      <c r="M329" s="4" t="str">
        <f>IF(AtlasReport_1_Table_1[[#This Row],[Reference]]="Purchase order",_xll.AtlasFormulas.AtlasFunctions.AtlasTable("UAT",DataAreaId,"T.MarkupTrans","%CurrencyCode","","","","","","","MarkupCode|TransRecId|TransTableId","TPP",$L329,"492"),"")</f>
        <v>EUR</v>
      </c>
      <c r="N329" s="4">
        <f>IF(AtlasReport_1_Table_1[[#This Row],[Reference]]="Purchase order",_xll.AtlasFormulas.AtlasFunctions.AtlasBalance("UAT",DataAreaId,"T.MarkupTrans","Sum|Posted|0","","","","","","","MarkupCode|TransTableId|TransRecId","TPP","492",$L329),"")</f>
        <v>0</v>
      </c>
    </row>
    <row r="330" spans="1:14" x14ac:dyDescent="0.25">
      <c r="A330" s="8" t="s">
        <v>17</v>
      </c>
      <c r="B330" s="8" t="s">
        <v>1722</v>
      </c>
      <c r="C330" s="8" t="s">
        <v>590</v>
      </c>
      <c r="D330" s="8" t="s">
        <v>1432</v>
      </c>
      <c r="E330" s="8" t="s">
        <v>261</v>
      </c>
      <c r="F330" s="8" t="s">
        <v>264</v>
      </c>
      <c r="G330" s="6">
        <v>43075</v>
      </c>
      <c r="H330" s="6">
        <v>43080</v>
      </c>
      <c r="I330" s="4">
        <v>120</v>
      </c>
      <c r="J330" s="8" t="s">
        <v>37</v>
      </c>
      <c r="K330" s="8" t="s">
        <v>1723</v>
      </c>
      <c r="L330" s="4" t="str">
        <f>IF(AtlasReport_1_Table_1[[#This Row],[Reference]]="Purchase order",_xll.AtlasFormulas.AtlasFunctions.AtlasTable("UAT",DataAreaId,"T.VendInvoiceTrans","%RecId","","","","","","","ItemId|PurchID|InventTransId",$C330,$B330,$K330),"")</f>
        <v>5637298098</v>
      </c>
      <c r="M330" s="4" t="str">
        <f>IF(AtlasReport_1_Table_1[[#This Row],[Reference]]="Purchase order",_xll.AtlasFormulas.AtlasFunctions.AtlasTable("UAT",DataAreaId,"T.MarkupTrans","%CurrencyCode","","","","","","","MarkupCode|TransRecId|TransTableId","TPP",$L330,"492"),"")</f>
        <v/>
      </c>
      <c r="N330" s="4">
        <f>IF(AtlasReport_1_Table_1[[#This Row],[Reference]]="Purchase order",_xll.AtlasFormulas.AtlasFunctions.AtlasBalance("UAT",DataAreaId,"T.MarkupTrans","Sum|Posted|0","","","","","","","MarkupCode|TransTableId|TransRecId","TPP","492",$L330),"")</f>
        <v>0</v>
      </c>
    </row>
    <row r="331" spans="1:14" x14ac:dyDescent="0.25">
      <c r="A331" s="8" t="s">
        <v>17</v>
      </c>
      <c r="B331" s="8" t="s">
        <v>1724</v>
      </c>
      <c r="C331" s="8" t="s">
        <v>274</v>
      </c>
      <c r="D331" s="8" t="s">
        <v>982</v>
      </c>
      <c r="E331" s="8" t="s">
        <v>261</v>
      </c>
      <c r="F331" s="8" t="s">
        <v>264</v>
      </c>
      <c r="G331" s="6">
        <v>43083</v>
      </c>
      <c r="H331" s="6">
        <v>43077</v>
      </c>
      <c r="I331" s="4">
        <v>480</v>
      </c>
      <c r="J331" s="8" t="s">
        <v>120</v>
      </c>
      <c r="K331" s="8" t="s">
        <v>1725</v>
      </c>
      <c r="L331" s="4" t="str">
        <f>IF(AtlasReport_1_Table_1[[#This Row],[Reference]]="Purchase order",_xll.AtlasFormulas.AtlasFunctions.AtlasTable("UAT",DataAreaId,"T.VendInvoiceTrans","%RecId","","","","","","","ItemId|PurchID|InventTransId",$C331,$B331,$K331),"")</f>
        <v>5637298137</v>
      </c>
      <c r="M331" s="4" t="str">
        <f>IF(AtlasReport_1_Table_1[[#This Row],[Reference]]="Purchase order",_xll.AtlasFormulas.AtlasFunctions.AtlasTable("UAT",DataAreaId,"T.MarkupTrans","%CurrencyCode","","","","","","","MarkupCode|TransRecId|TransTableId","TPP",$L331,"492"),"")</f>
        <v/>
      </c>
      <c r="N331" s="4">
        <f>IF(AtlasReport_1_Table_1[[#This Row],[Reference]]="Purchase order",_xll.AtlasFormulas.AtlasFunctions.AtlasBalance("UAT",DataAreaId,"T.MarkupTrans","Sum|Posted|0","","","","","","","MarkupCode|TransTableId|TransRecId","TPP","492",$L331),"")</f>
        <v>0</v>
      </c>
    </row>
    <row r="332" spans="1:14" x14ac:dyDescent="0.25">
      <c r="A332" s="8" t="s">
        <v>17</v>
      </c>
      <c r="B332" s="8" t="s">
        <v>705</v>
      </c>
      <c r="C332" s="8" t="s">
        <v>74</v>
      </c>
      <c r="D332" s="8" t="s">
        <v>200</v>
      </c>
      <c r="E332" s="8" t="s">
        <v>261</v>
      </c>
      <c r="F332" s="8" t="s">
        <v>262</v>
      </c>
      <c r="G332" s="6">
        <v>43074</v>
      </c>
      <c r="H332" s="6">
        <v>43074</v>
      </c>
      <c r="I332" s="4">
        <v>0</v>
      </c>
      <c r="J332" s="8" t="s">
        <v>39</v>
      </c>
      <c r="K332" s="8" t="s">
        <v>707</v>
      </c>
      <c r="L332" s="4" t="str">
        <f>IF(AtlasReport_1_Table_1[[#This Row],[Reference]]="Purchase order",_xll.AtlasFormulas.AtlasFunctions.AtlasTable("UAT",DataAreaId,"T.VendInvoiceTrans","%RecId","","","","","","","ItemId|PurchID|InventTransId",$C332,$B332,$K332),"")</f>
        <v>5637298106</v>
      </c>
      <c r="M332" s="4" t="str">
        <f>IF(AtlasReport_1_Table_1[[#This Row],[Reference]]="Purchase order",_xll.AtlasFormulas.AtlasFunctions.AtlasTable("UAT",DataAreaId,"T.MarkupTrans","%CurrencyCode","","","","","","","MarkupCode|TransRecId|TransTableId","TPP",$L332,"492"),"")</f>
        <v>EUR</v>
      </c>
      <c r="N332" s="4">
        <f>IF(AtlasReport_1_Table_1[[#This Row],[Reference]]="Purchase order",_xll.AtlasFormulas.AtlasFunctions.AtlasBalance("UAT",DataAreaId,"T.MarkupTrans","Sum|Posted|0","","","","","","","MarkupCode|TransTableId|TransRecId","TPP","492",$L332),"")</f>
        <v>3039.12</v>
      </c>
    </row>
    <row r="333" spans="1:14" x14ac:dyDescent="0.25">
      <c r="A333" s="8" t="s">
        <v>17</v>
      </c>
      <c r="B333" s="8" t="s">
        <v>705</v>
      </c>
      <c r="C333" s="8" t="s">
        <v>74</v>
      </c>
      <c r="D333" s="8" t="s">
        <v>200</v>
      </c>
      <c r="E333" s="8" t="s">
        <v>261</v>
      </c>
      <c r="F333" s="8" t="s">
        <v>262</v>
      </c>
      <c r="G333" s="6">
        <v>43075</v>
      </c>
      <c r="H333" s="6">
        <v>43075</v>
      </c>
      <c r="I333" s="4">
        <v>10050</v>
      </c>
      <c r="J333" s="8" t="s">
        <v>39</v>
      </c>
      <c r="K333" s="8" t="s">
        <v>707</v>
      </c>
      <c r="L333" s="4" t="str">
        <f>IF(AtlasReport_1_Table_1[[#This Row],[Reference]]="Purchase order",_xll.AtlasFormulas.AtlasFunctions.AtlasTable("UAT",DataAreaId,"T.VendInvoiceTrans","%RecId","","","","","","","ItemId|PurchID|InventTransId",$C333,$B333,$K333),"")</f>
        <v>5637298106</v>
      </c>
      <c r="M333" s="4" t="str">
        <f>IF(AtlasReport_1_Table_1[[#This Row],[Reference]]="Purchase order",_xll.AtlasFormulas.AtlasFunctions.AtlasTable("UAT",DataAreaId,"T.MarkupTrans","%CurrencyCode","","","","","","","MarkupCode|TransRecId|TransTableId","TPP",$L333,"492"),"")</f>
        <v>EUR</v>
      </c>
      <c r="N333" s="4">
        <f>IF(AtlasReport_1_Table_1[[#This Row],[Reference]]="Purchase order",_xll.AtlasFormulas.AtlasFunctions.AtlasBalance("UAT",DataAreaId,"T.MarkupTrans","Sum|Posted|0","","","","","","","MarkupCode|TransTableId|TransRecId","TPP","492",$L333),"")</f>
        <v>3039.12</v>
      </c>
    </row>
    <row r="334" spans="1:14" x14ac:dyDescent="0.25">
      <c r="A334" s="8" t="s">
        <v>17</v>
      </c>
      <c r="B334" s="8" t="s">
        <v>1726</v>
      </c>
      <c r="C334" s="8" t="s">
        <v>19</v>
      </c>
      <c r="D334" s="8" t="s">
        <v>35</v>
      </c>
      <c r="E334" s="8" t="s">
        <v>261</v>
      </c>
      <c r="F334" s="8" t="s">
        <v>262</v>
      </c>
      <c r="G334" s="6">
        <v>43076</v>
      </c>
      <c r="H334" s="6">
        <v>43076</v>
      </c>
      <c r="I334" s="4">
        <v>1</v>
      </c>
      <c r="J334" s="8" t="s">
        <v>37</v>
      </c>
      <c r="K334" s="8" t="s">
        <v>1727</v>
      </c>
      <c r="L334" s="4" t="str">
        <f>IF(AtlasReport_1_Table_1[[#This Row],[Reference]]="Purchase order",_xll.AtlasFormulas.AtlasFunctions.AtlasTable("UAT",DataAreaId,"T.VendInvoiceTrans","%RecId","","","","","","","ItemId|PurchID|InventTransId",$C334,$B334,$K334),"")</f>
        <v>5637298105</v>
      </c>
      <c r="M334" s="4" t="str">
        <f>IF(AtlasReport_1_Table_1[[#This Row],[Reference]]="Purchase order",_xll.AtlasFormulas.AtlasFunctions.AtlasTable("UAT",DataAreaId,"T.MarkupTrans","%CurrencyCode","","","","","","","MarkupCode|TransRecId|TransTableId","TPP",$L334,"492"),"")</f>
        <v>EUR</v>
      </c>
      <c r="N334" s="4">
        <f>IF(AtlasReport_1_Table_1[[#This Row],[Reference]]="Purchase order",_xll.AtlasFormulas.AtlasFunctions.AtlasBalance("UAT",DataAreaId,"T.MarkupTrans","Sum|Posted|0","","","","","","","MarkupCode|TransTableId|TransRecId","TPP","492",$L334),"")</f>
        <v>0</v>
      </c>
    </row>
    <row r="335" spans="1:14" x14ac:dyDescent="0.25">
      <c r="A335" s="8" t="s">
        <v>17</v>
      </c>
      <c r="B335" s="8" t="s">
        <v>716</v>
      </c>
      <c r="C335" s="8" t="s">
        <v>111</v>
      </c>
      <c r="D335" s="8" t="s">
        <v>112</v>
      </c>
      <c r="E335" s="8" t="s">
        <v>261</v>
      </c>
      <c r="F335" s="8" t="s">
        <v>264</v>
      </c>
      <c r="G335" s="6">
        <v>43075</v>
      </c>
      <c r="H335" s="6">
        <v>43075</v>
      </c>
      <c r="I335" s="4">
        <v>900</v>
      </c>
      <c r="J335" s="8" t="s">
        <v>39</v>
      </c>
      <c r="K335" s="8" t="s">
        <v>718</v>
      </c>
      <c r="L335" s="4" t="str">
        <f>IF(AtlasReport_1_Table_1[[#This Row],[Reference]]="Purchase order",_xll.AtlasFormulas.AtlasFunctions.AtlasTable("UAT",DataAreaId,"T.VendInvoiceTrans","%RecId","","","","","","","ItemId|PurchID|InventTransId",$C335,$B335,$K335),"")</f>
        <v>5637298107</v>
      </c>
      <c r="M335" s="4" t="str">
        <f>IF(AtlasReport_1_Table_1[[#This Row],[Reference]]="Purchase order",_xll.AtlasFormulas.AtlasFunctions.AtlasTable("UAT",DataAreaId,"T.MarkupTrans","%CurrencyCode","","","","","","","MarkupCode|TransRecId|TransTableId","TPP",$L335,"492"),"")</f>
        <v>EUR</v>
      </c>
      <c r="N335" s="4">
        <f>IF(AtlasReport_1_Table_1[[#This Row],[Reference]]="Purchase order",_xll.AtlasFormulas.AtlasFunctions.AtlasBalance("UAT",DataAreaId,"T.MarkupTrans","Sum|Posted|0","","","","","","","MarkupCode|TransTableId|TransRecId","TPP","492",$L335),"")</f>
        <v>573.48</v>
      </c>
    </row>
    <row r="336" spans="1:14" x14ac:dyDescent="0.25">
      <c r="A336" s="8" t="s">
        <v>17</v>
      </c>
      <c r="B336" s="8" t="s">
        <v>1728</v>
      </c>
      <c r="C336" s="8" t="s">
        <v>19</v>
      </c>
      <c r="D336" s="8" t="s">
        <v>35</v>
      </c>
      <c r="E336" s="8" t="s">
        <v>261</v>
      </c>
      <c r="F336" s="8" t="s">
        <v>264</v>
      </c>
      <c r="G336" s="6">
        <v>43076</v>
      </c>
      <c r="H336" s="6">
        <v>43076</v>
      </c>
      <c r="I336" s="4">
        <v>1</v>
      </c>
      <c r="J336" s="8" t="s">
        <v>37</v>
      </c>
      <c r="K336" s="8" t="s">
        <v>1729</v>
      </c>
      <c r="L336" s="4" t="str">
        <f>IF(AtlasReport_1_Table_1[[#This Row],[Reference]]="Purchase order",_xll.AtlasFormulas.AtlasFunctions.AtlasTable("UAT",DataAreaId,"T.VendInvoiceTrans","%RecId","","","","","","","ItemId|PurchID|InventTransId",$C336,$B336,$K336),"")</f>
        <v>5637298104</v>
      </c>
      <c r="M336" s="4" t="str">
        <f>IF(AtlasReport_1_Table_1[[#This Row],[Reference]]="Purchase order",_xll.AtlasFormulas.AtlasFunctions.AtlasTable("UAT",DataAreaId,"T.MarkupTrans","%CurrencyCode","","","","","","","MarkupCode|TransRecId|TransTableId","TPP",$L336,"492"),"")</f>
        <v>EUR</v>
      </c>
      <c r="N336" s="4">
        <f>IF(AtlasReport_1_Table_1[[#This Row],[Reference]]="Purchase order",_xll.AtlasFormulas.AtlasFunctions.AtlasBalance("UAT",DataAreaId,"T.MarkupTrans","Sum|Posted|0","","","","","","","MarkupCode|TransTableId|TransRecId","TPP","492",$L336),"")</f>
        <v>0</v>
      </c>
    </row>
    <row r="337" spans="1:14" x14ac:dyDescent="0.25">
      <c r="A337" s="8" t="s">
        <v>17</v>
      </c>
      <c r="B337" s="8" t="s">
        <v>1730</v>
      </c>
      <c r="C337" s="8" t="s">
        <v>129</v>
      </c>
      <c r="D337" s="8" t="s">
        <v>130</v>
      </c>
      <c r="E337" s="8" t="s">
        <v>261</v>
      </c>
      <c r="F337" s="8" t="s">
        <v>264</v>
      </c>
      <c r="G337" s="6">
        <v>43074</v>
      </c>
      <c r="H337" s="6">
        <v>43086</v>
      </c>
      <c r="I337" s="4">
        <v>16</v>
      </c>
      <c r="J337" s="8" t="s">
        <v>37</v>
      </c>
      <c r="K337" s="8" t="s">
        <v>1731</v>
      </c>
      <c r="L337" s="4" t="str">
        <f>IF(AtlasReport_1_Table_1[[#This Row],[Reference]]="Purchase order",_xll.AtlasFormulas.AtlasFunctions.AtlasTable("UAT",DataAreaId,"T.VendInvoiceTrans","%RecId","","","","","","","ItemId|PurchID|InventTransId",$C337,$B337,$K337),"")</f>
        <v>5637298407</v>
      </c>
      <c r="M337" s="4" t="str">
        <f>IF(AtlasReport_1_Table_1[[#This Row],[Reference]]="Purchase order",_xll.AtlasFormulas.AtlasFunctions.AtlasTable("UAT",DataAreaId,"T.MarkupTrans","%CurrencyCode","","","","","","","MarkupCode|TransRecId|TransTableId","TPP",$L337,"492"),"")</f>
        <v/>
      </c>
      <c r="N337" s="4">
        <f>IF(AtlasReport_1_Table_1[[#This Row],[Reference]]="Purchase order",_xll.AtlasFormulas.AtlasFunctions.AtlasBalance("UAT",DataAreaId,"T.MarkupTrans","Sum|Posted|0","","","","","","","MarkupCode|TransTableId|TransRecId","TPP","492",$L337),"")</f>
        <v>0</v>
      </c>
    </row>
    <row r="338" spans="1:14" x14ac:dyDescent="0.25">
      <c r="A338" s="8" t="s">
        <v>17</v>
      </c>
      <c r="B338" s="8" t="s">
        <v>1732</v>
      </c>
      <c r="C338" s="8" t="s">
        <v>1143</v>
      </c>
      <c r="D338" s="8" t="s">
        <v>1144</v>
      </c>
      <c r="E338" s="8" t="s">
        <v>261</v>
      </c>
      <c r="F338" s="8" t="s">
        <v>264</v>
      </c>
      <c r="G338" s="6">
        <v>43074</v>
      </c>
      <c r="H338" s="6">
        <v>43087</v>
      </c>
      <c r="I338" s="4">
        <v>16</v>
      </c>
      <c r="J338" s="8" t="s">
        <v>37</v>
      </c>
      <c r="K338" s="8" t="s">
        <v>1733</v>
      </c>
      <c r="L338" s="4" t="str">
        <f>IF(AtlasReport_1_Table_1[[#This Row],[Reference]]="Purchase order",_xll.AtlasFormulas.AtlasFunctions.AtlasTable("UAT",DataAreaId,"T.VendInvoiceTrans","%RecId","","","","","","","ItemId|PurchID|InventTransId",$C338,$B338,$K338),"")</f>
        <v>5637298145</v>
      </c>
      <c r="M338" s="4" t="str">
        <f>IF(AtlasReport_1_Table_1[[#This Row],[Reference]]="Purchase order",_xll.AtlasFormulas.AtlasFunctions.AtlasTable("UAT",DataAreaId,"T.MarkupTrans","%CurrencyCode","","","","","","","MarkupCode|TransRecId|TransTableId","TPP",$L338,"492"),"")</f>
        <v/>
      </c>
      <c r="N338" s="4">
        <f>IF(AtlasReport_1_Table_1[[#This Row],[Reference]]="Purchase order",_xll.AtlasFormulas.AtlasFunctions.AtlasBalance("UAT",DataAreaId,"T.MarkupTrans","Sum|Posted|0","","","","","","","MarkupCode|TransTableId|TransRecId","TPP","492",$L338),"")</f>
        <v>0</v>
      </c>
    </row>
    <row r="339" spans="1:14" x14ac:dyDescent="0.25">
      <c r="A339" s="8" t="s">
        <v>17</v>
      </c>
      <c r="B339" s="8" t="s">
        <v>1734</v>
      </c>
      <c r="C339" s="8" t="s">
        <v>129</v>
      </c>
      <c r="D339" s="8" t="s">
        <v>130</v>
      </c>
      <c r="E339" s="8" t="s">
        <v>261</v>
      </c>
      <c r="F339" s="8" t="s">
        <v>264</v>
      </c>
      <c r="G339" s="6">
        <v>43074</v>
      </c>
      <c r="H339" s="6">
        <v>43086</v>
      </c>
      <c r="I339" s="4">
        <v>10</v>
      </c>
      <c r="J339" s="8" t="s">
        <v>37</v>
      </c>
      <c r="K339" s="8" t="s">
        <v>1735</v>
      </c>
      <c r="L339" s="4" t="str">
        <f>IF(AtlasReport_1_Table_1[[#This Row],[Reference]]="Purchase order",_xll.AtlasFormulas.AtlasFunctions.AtlasTable("UAT",DataAreaId,"T.VendInvoiceTrans","%RecId","","","","","","","ItemId|PurchID|InventTransId",$C339,$B339,$K339),"")</f>
        <v/>
      </c>
      <c r="M339" s="4" t="str">
        <f>IF(AtlasReport_1_Table_1[[#This Row],[Reference]]="Purchase order",_xll.AtlasFormulas.AtlasFunctions.AtlasTable("UAT",DataAreaId,"T.MarkupTrans","%CurrencyCode","","","","","","","MarkupCode|TransRecId|TransTableId","TPP",$L339,"492"),"")</f>
        <v/>
      </c>
      <c r="N339" s="4">
        <f>IF(AtlasReport_1_Table_1[[#This Row],[Reference]]="Purchase order",_xll.AtlasFormulas.AtlasFunctions.AtlasBalance("UAT",DataAreaId,"T.MarkupTrans","Sum|Posted|0","","","","","","","MarkupCode|TransTableId|TransRecId","TPP","492",$L339),"")</f>
        <v>0</v>
      </c>
    </row>
    <row r="340" spans="1:14" x14ac:dyDescent="0.25">
      <c r="A340" s="8" t="s">
        <v>17</v>
      </c>
      <c r="B340" s="8" t="s">
        <v>1736</v>
      </c>
      <c r="C340" s="8" t="s">
        <v>1143</v>
      </c>
      <c r="D340" s="8" t="s">
        <v>1144</v>
      </c>
      <c r="E340" s="8" t="s">
        <v>261</v>
      </c>
      <c r="F340" s="8" t="s">
        <v>264</v>
      </c>
      <c r="G340" s="6">
        <v>43074</v>
      </c>
      <c r="H340" s="6">
        <v>43087</v>
      </c>
      <c r="I340" s="4">
        <v>10</v>
      </c>
      <c r="J340" s="8" t="s">
        <v>37</v>
      </c>
      <c r="K340" s="8" t="s">
        <v>1737</v>
      </c>
      <c r="L340" s="4" t="str">
        <f>IF(AtlasReport_1_Table_1[[#This Row],[Reference]]="Purchase order",_xll.AtlasFormulas.AtlasFunctions.AtlasTable("UAT",DataAreaId,"T.VendInvoiceTrans","%RecId","","","","","","","ItemId|PurchID|InventTransId",$C340,$B340,$K340),"")</f>
        <v/>
      </c>
      <c r="M340" s="4" t="str">
        <f>IF(AtlasReport_1_Table_1[[#This Row],[Reference]]="Purchase order",_xll.AtlasFormulas.AtlasFunctions.AtlasTable("UAT",DataAreaId,"T.MarkupTrans","%CurrencyCode","","","","","","","MarkupCode|TransRecId|TransTableId","TPP",$L340,"492"),"")</f>
        <v/>
      </c>
      <c r="N340" s="4">
        <f>IF(AtlasReport_1_Table_1[[#This Row],[Reference]]="Purchase order",_xll.AtlasFormulas.AtlasFunctions.AtlasBalance("UAT",DataAreaId,"T.MarkupTrans","Sum|Posted|0","","","","","","","MarkupCode|TransTableId|TransRecId","TPP","492",$L340),"")</f>
        <v>0</v>
      </c>
    </row>
    <row r="341" spans="1:14" x14ac:dyDescent="0.25">
      <c r="A341" s="8" t="s">
        <v>17</v>
      </c>
      <c r="B341" s="8" t="s">
        <v>1738</v>
      </c>
      <c r="C341" s="8" t="s">
        <v>129</v>
      </c>
      <c r="D341" s="8" t="s">
        <v>130</v>
      </c>
      <c r="E341" s="8" t="s">
        <v>261</v>
      </c>
      <c r="F341" s="8" t="s">
        <v>264</v>
      </c>
      <c r="G341" s="6">
        <v>43074</v>
      </c>
      <c r="H341" s="6">
        <v>43086</v>
      </c>
      <c r="I341" s="4">
        <v>10</v>
      </c>
      <c r="J341" s="8" t="s">
        <v>37</v>
      </c>
      <c r="K341" s="8" t="s">
        <v>1739</v>
      </c>
      <c r="L341" s="4" t="str">
        <f>IF(AtlasReport_1_Table_1[[#This Row],[Reference]]="Purchase order",_xll.AtlasFormulas.AtlasFunctions.AtlasTable("UAT",DataAreaId,"T.VendInvoiceTrans","%RecId","","","","","","","ItemId|PurchID|InventTransId",$C341,$B341,$K341),"")</f>
        <v/>
      </c>
      <c r="M341" s="4" t="str">
        <f>IF(AtlasReport_1_Table_1[[#This Row],[Reference]]="Purchase order",_xll.AtlasFormulas.AtlasFunctions.AtlasTable("UAT",DataAreaId,"T.MarkupTrans","%CurrencyCode","","","","","","","MarkupCode|TransRecId|TransTableId","TPP",$L341,"492"),"")</f>
        <v/>
      </c>
      <c r="N341" s="4">
        <f>IF(AtlasReport_1_Table_1[[#This Row],[Reference]]="Purchase order",_xll.AtlasFormulas.AtlasFunctions.AtlasBalance("UAT",DataAreaId,"T.MarkupTrans","Sum|Posted|0","","","","","","","MarkupCode|TransTableId|TransRecId","TPP","492",$L341),"")</f>
        <v>0</v>
      </c>
    </row>
    <row r="342" spans="1:14" x14ac:dyDescent="0.25">
      <c r="A342" s="8" t="s">
        <v>17</v>
      </c>
      <c r="B342" s="8" t="s">
        <v>1740</v>
      </c>
      <c r="C342" s="8" t="s">
        <v>1143</v>
      </c>
      <c r="D342" s="8" t="s">
        <v>1144</v>
      </c>
      <c r="E342" s="8" t="s">
        <v>261</v>
      </c>
      <c r="F342" s="8" t="s">
        <v>264</v>
      </c>
      <c r="G342" s="6">
        <v>43074</v>
      </c>
      <c r="H342" s="6">
        <v>43087</v>
      </c>
      <c r="I342" s="4">
        <v>10</v>
      </c>
      <c r="J342" s="8" t="s">
        <v>37</v>
      </c>
      <c r="K342" s="8" t="s">
        <v>1741</v>
      </c>
      <c r="L342" s="4" t="str">
        <f>IF(AtlasReport_1_Table_1[[#This Row],[Reference]]="Purchase order",_xll.AtlasFormulas.AtlasFunctions.AtlasTable("UAT",DataAreaId,"T.VendInvoiceTrans","%RecId","","","","","","","ItemId|PurchID|InventTransId",$C342,$B342,$K342),"")</f>
        <v/>
      </c>
      <c r="M342" s="4" t="str">
        <f>IF(AtlasReport_1_Table_1[[#This Row],[Reference]]="Purchase order",_xll.AtlasFormulas.AtlasFunctions.AtlasTable("UAT",DataAreaId,"T.MarkupTrans","%CurrencyCode","","","","","","","MarkupCode|TransRecId|TransTableId","TPP",$L342,"492"),"")</f>
        <v/>
      </c>
      <c r="N342" s="4">
        <f>IF(AtlasReport_1_Table_1[[#This Row],[Reference]]="Purchase order",_xll.AtlasFormulas.AtlasFunctions.AtlasBalance("UAT",DataAreaId,"T.MarkupTrans","Sum|Posted|0","","","","","","","MarkupCode|TransTableId|TransRecId","TPP","492",$L342),"")</f>
        <v>0</v>
      </c>
    </row>
    <row r="343" spans="1:14" x14ac:dyDescent="0.25">
      <c r="A343" s="8" t="s">
        <v>17</v>
      </c>
      <c r="B343" s="8" t="s">
        <v>1742</v>
      </c>
      <c r="C343" s="8" t="s">
        <v>129</v>
      </c>
      <c r="D343" s="8" t="s">
        <v>130</v>
      </c>
      <c r="E343" s="8" t="s">
        <v>261</v>
      </c>
      <c r="F343" s="8" t="s">
        <v>264</v>
      </c>
      <c r="G343" s="6">
        <v>43074</v>
      </c>
      <c r="H343" s="6">
        <v>43086</v>
      </c>
      <c r="I343" s="4">
        <v>2</v>
      </c>
      <c r="J343" s="8" t="s">
        <v>37</v>
      </c>
      <c r="K343" s="8" t="s">
        <v>1743</v>
      </c>
      <c r="L343" s="4" t="str">
        <f>IF(AtlasReport_1_Table_1[[#This Row],[Reference]]="Purchase order",_xll.AtlasFormulas.AtlasFunctions.AtlasTable("UAT",DataAreaId,"T.VendInvoiceTrans","%RecId","","","","","","","ItemId|PurchID|InventTransId",$C343,$B343,$K343),"")</f>
        <v/>
      </c>
      <c r="M343" s="4" t="str">
        <f>IF(AtlasReport_1_Table_1[[#This Row],[Reference]]="Purchase order",_xll.AtlasFormulas.AtlasFunctions.AtlasTable("UAT",DataAreaId,"T.MarkupTrans","%CurrencyCode","","","","","","","MarkupCode|TransRecId|TransTableId","TPP",$L343,"492"),"")</f>
        <v/>
      </c>
      <c r="N343" s="4">
        <f>IF(AtlasReport_1_Table_1[[#This Row],[Reference]]="Purchase order",_xll.AtlasFormulas.AtlasFunctions.AtlasBalance("UAT",DataAreaId,"T.MarkupTrans","Sum|Posted|0","","","","","","","MarkupCode|TransTableId|TransRecId","TPP","492",$L343),"")</f>
        <v>0</v>
      </c>
    </row>
    <row r="344" spans="1:14" x14ac:dyDescent="0.25">
      <c r="A344" s="8" t="s">
        <v>17</v>
      </c>
      <c r="B344" s="8" t="s">
        <v>1744</v>
      </c>
      <c r="C344" s="8" t="s">
        <v>1143</v>
      </c>
      <c r="D344" s="8" t="s">
        <v>1144</v>
      </c>
      <c r="E344" s="8" t="s">
        <v>261</v>
      </c>
      <c r="F344" s="8" t="s">
        <v>264</v>
      </c>
      <c r="G344" s="6">
        <v>43074</v>
      </c>
      <c r="H344" s="6">
        <v>43087</v>
      </c>
      <c r="I344" s="4">
        <v>2</v>
      </c>
      <c r="J344" s="8" t="s">
        <v>37</v>
      </c>
      <c r="K344" s="8" t="s">
        <v>1745</v>
      </c>
      <c r="L344" s="4" t="str">
        <f>IF(AtlasReport_1_Table_1[[#This Row],[Reference]]="Purchase order",_xll.AtlasFormulas.AtlasFunctions.AtlasTable("UAT",DataAreaId,"T.VendInvoiceTrans","%RecId","","","","","","","ItemId|PurchID|InventTransId",$C344,$B344,$K344),"")</f>
        <v>5637298400</v>
      </c>
      <c r="M344" s="4" t="str">
        <f>IF(AtlasReport_1_Table_1[[#This Row],[Reference]]="Purchase order",_xll.AtlasFormulas.AtlasFunctions.AtlasTable("UAT",DataAreaId,"T.MarkupTrans","%CurrencyCode","","","","","","","MarkupCode|TransRecId|TransTableId","TPP",$L344,"492"),"")</f>
        <v/>
      </c>
      <c r="N344" s="4">
        <f>IF(AtlasReport_1_Table_1[[#This Row],[Reference]]="Purchase order",_xll.AtlasFormulas.AtlasFunctions.AtlasBalance("UAT",DataAreaId,"T.MarkupTrans","Sum|Posted|0","","","","","","","MarkupCode|TransTableId|TransRecId","TPP","492",$L344),"")</f>
        <v>0</v>
      </c>
    </row>
    <row r="345" spans="1:14" x14ac:dyDescent="0.25">
      <c r="A345" s="8" t="s">
        <v>17</v>
      </c>
      <c r="B345" s="8" t="s">
        <v>1746</v>
      </c>
      <c r="C345" s="8" t="s">
        <v>129</v>
      </c>
      <c r="D345" s="8" t="s">
        <v>130</v>
      </c>
      <c r="E345" s="8" t="s">
        <v>261</v>
      </c>
      <c r="F345" s="8" t="s">
        <v>264</v>
      </c>
      <c r="G345" s="6">
        <v>43074</v>
      </c>
      <c r="H345" s="6">
        <v>43086</v>
      </c>
      <c r="I345" s="4">
        <v>2</v>
      </c>
      <c r="J345" s="8" t="s">
        <v>37</v>
      </c>
      <c r="K345" s="8" t="s">
        <v>1747</v>
      </c>
      <c r="L345" s="4" t="str">
        <f>IF(AtlasReport_1_Table_1[[#This Row],[Reference]]="Purchase order",_xll.AtlasFormulas.AtlasFunctions.AtlasTable("UAT",DataAreaId,"T.VendInvoiceTrans","%RecId","","","","","","","ItemId|PurchID|InventTransId",$C345,$B345,$K345),"")</f>
        <v/>
      </c>
      <c r="M345" s="4" t="str">
        <f>IF(AtlasReport_1_Table_1[[#This Row],[Reference]]="Purchase order",_xll.AtlasFormulas.AtlasFunctions.AtlasTable("UAT",DataAreaId,"T.MarkupTrans","%CurrencyCode","","","","","","","MarkupCode|TransRecId|TransTableId","TPP",$L345,"492"),"")</f>
        <v/>
      </c>
      <c r="N345" s="4">
        <f>IF(AtlasReport_1_Table_1[[#This Row],[Reference]]="Purchase order",_xll.AtlasFormulas.AtlasFunctions.AtlasBalance("UAT",DataAreaId,"T.MarkupTrans","Sum|Posted|0","","","","","","","MarkupCode|TransTableId|TransRecId","TPP","492",$L345),"")</f>
        <v>0</v>
      </c>
    </row>
    <row r="346" spans="1:14" x14ac:dyDescent="0.25">
      <c r="A346" s="8" t="s">
        <v>17</v>
      </c>
      <c r="B346" s="8" t="s">
        <v>1748</v>
      </c>
      <c r="C346" s="8" t="s">
        <v>1143</v>
      </c>
      <c r="D346" s="8" t="s">
        <v>1144</v>
      </c>
      <c r="E346" s="8" t="s">
        <v>261</v>
      </c>
      <c r="F346" s="8" t="s">
        <v>264</v>
      </c>
      <c r="G346" s="6">
        <v>43074</v>
      </c>
      <c r="H346" s="6">
        <v>43087</v>
      </c>
      <c r="I346" s="4">
        <v>2</v>
      </c>
      <c r="J346" s="8" t="s">
        <v>37</v>
      </c>
      <c r="K346" s="8" t="s">
        <v>1749</v>
      </c>
      <c r="L346" s="4" t="str">
        <f>IF(AtlasReport_1_Table_1[[#This Row],[Reference]]="Purchase order",_xll.AtlasFormulas.AtlasFunctions.AtlasTable("UAT",DataAreaId,"T.VendInvoiceTrans","%RecId","","","","","","","ItemId|PurchID|InventTransId",$C346,$B346,$K346),"")</f>
        <v/>
      </c>
      <c r="M346" s="4" t="str">
        <f>IF(AtlasReport_1_Table_1[[#This Row],[Reference]]="Purchase order",_xll.AtlasFormulas.AtlasFunctions.AtlasTable("UAT",DataAreaId,"T.MarkupTrans","%CurrencyCode","","","","","","","MarkupCode|TransRecId|TransTableId","TPP",$L346,"492"),"")</f>
        <v/>
      </c>
      <c r="N346" s="4">
        <f>IF(AtlasReport_1_Table_1[[#This Row],[Reference]]="Purchase order",_xll.AtlasFormulas.AtlasFunctions.AtlasBalance("UAT",DataAreaId,"T.MarkupTrans","Sum|Posted|0","","","","","","","MarkupCode|TransTableId|TransRecId","TPP","492",$L346),"")</f>
        <v>0</v>
      </c>
    </row>
    <row r="347" spans="1:14" x14ac:dyDescent="0.25">
      <c r="A347" s="8" t="s">
        <v>17</v>
      </c>
      <c r="B347" s="8" t="s">
        <v>1750</v>
      </c>
      <c r="C347" s="8" t="s">
        <v>129</v>
      </c>
      <c r="D347" s="8" t="s">
        <v>130</v>
      </c>
      <c r="E347" s="8" t="s">
        <v>261</v>
      </c>
      <c r="F347" s="8" t="s">
        <v>264</v>
      </c>
      <c r="G347" s="6">
        <v>43074</v>
      </c>
      <c r="H347" s="6">
        <v>43086</v>
      </c>
      <c r="I347" s="4">
        <v>6</v>
      </c>
      <c r="J347" s="8" t="s">
        <v>37</v>
      </c>
      <c r="K347" s="8" t="s">
        <v>1751</v>
      </c>
      <c r="L347" s="4" t="str">
        <f>IF(AtlasReport_1_Table_1[[#This Row],[Reference]]="Purchase order",_xll.AtlasFormulas.AtlasFunctions.AtlasTable("UAT",DataAreaId,"T.VendInvoiceTrans","%RecId","","","","","","","ItemId|PurchID|InventTransId",$C347,$B347,$K347),"")</f>
        <v/>
      </c>
      <c r="M347" s="4" t="str">
        <f>IF(AtlasReport_1_Table_1[[#This Row],[Reference]]="Purchase order",_xll.AtlasFormulas.AtlasFunctions.AtlasTable("UAT",DataAreaId,"T.MarkupTrans","%CurrencyCode","","","","","","","MarkupCode|TransRecId|TransTableId","TPP",$L347,"492"),"")</f>
        <v/>
      </c>
      <c r="N347" s="4">
        <f>IF(AtlasReport_1_Table_1[[#This Row],[Reference]]="Purchase order",_xll.AtlasFormulas.AtlasFunctions.AtlasBalance("UAT",DataAreaId,"T.MarkupTrans","Sum|Posted|0","","","","","","","MarkupCode|TransTableId|TransRecId","TPP","492",$L347),"")</f>
        <v>0</v>
      </c>
    </row>
    <row r="348" spans="1:14" x14ac:dyDescent="0.25">
      <c r="A348" s="8" t="s">
        <v>17</v>
      </c>
      <c r="B348" s="8" t="s">
        <v>1752</v>
      </c>
      <c r="C348" s="8" t="s">
        <v>1143</v>
      </c>
      <c r="D348" s="8" t="s">
        <v>1144</v>
      </c>
      <c r="E348" s="8" t="s">
        <v>261</v>
      </c>
      <c r="F348" s="8" t="s">
        <v>264</v>
      </c>
      <c r="G348" s="6">
        <v>43075</v>
      </c>
      <c r="H348" s="6">
        <v>43087</v>
      </c>
      <c r="I348" s="4">
        <v>6</v>
      </c>
      <c r="J348" s="8" t="s">
        <v>37</v>
      </c>
      <c r="K348" s="8" t="s">
        <v>1753</v>
      </c>
      <c r="L348" s="4" t="str">
        <f>IF(AtlasReport_1_Table_1[[#This Row],[Reference]]="Purchase order",_xll.AtlasFormulas.AtlasFunctions.AtlasTable("UAT",DataAreaId,"T.VendInvoiceTrans","%RecId","","","","","","","ItemId|PurchID|InventTransId",$C348,$B348,$K348),"")</f>
        <v>5637298399</v>
      </c>
      <c r="M348" s="4" t="str">
        <f>IF(AtlasReport_1_Table_1[[#This Row],[Reference]]="Purchase order",_xll.AtlasFormulas.AtlasFunctions.AtlasTable("UAT",DataAreaId,"T.MarkupTrans","%CurrencyCode","","","","","","","MarkupCode|TransRecId|TransTableId","TPP",$L348,"492"),"")</f>
        <v/>
      </c>
      <c r="N348" s="4">
        <f>IF(AtlasReport_1_Table_1[[#This Row],[Reference]]="Purchase order",_xll.AtlasFormulas.AtlasFunctions.AtlasBalance("UAT",DataAreaId,"T.MarkupTrans","Sum|Posted|0","","","","","","","MarkupCode|TransTableId|TransRecId","TPP","492",$L348),"")</f>
        <v>0</v>
      </c>
    </row>
    <row r="349" spans="1:14" x14ac:dyDescent="0.25">
      <c r="A349" s="8" t="s">
        <v>17</v>
      </c>
      <c r="B349" s="8" t="s">
        <v>1754</v>
      </c>
      <c r="C349" s="8" t="s">
        <v>129</v>
      </c>
      <c r="D349" s="8" t="s">
        <v>130</v>
      </c>
      <c r="E349" s="8" t="s">
        <v>261</v>
      </c>
      <c r="F349" s="8" t="s">
        <v>264</v>
      </c>
      <c r="G349" s="6">
        <v>43075</v>
      </c>
      <c r="H349" s="6">
        <v>43086</v>
      </c>
      <c r="I349" s="4">
        <v>8</v>
      </c>
      <c r="J349" s="8" t="s">
        <v>37</v>
      </c>
      <c r="K349" s="8" t="s">
        <v>1755</v>
      </c>
      <c r="L349" s="4" t="str">
        <f>IF(AtlasReport_1_Table_1[[#This Row],[Reference]]="Purchase order",_xll.AtlasFormulas.AtlasFunctions.AtlasTable("UAT",DataAreaId,"T.VendInvoiceTrans","%RecId","","","","","","","ItemId|PurchID|InventTransId",$C349,$B349,$K349),"")</f>
        <v/>
      </c>
      <c r="M349" s="4" t="str">
        <f>IF(AtlasReport_1_Table_1[[#This Row],[Reference]]="Purchase order",_xll.AtlasFormulas.AtlasFunctions.AtlasTable("UAT",DataAreaId,"T.MarkupTrans","%CurrencyCode","","","","","","","MarkupCode|TransRecId|TransTableId","TPP",$L349,"492"),"")</f>
        <v/>
      </c>
      <c r="N349" s="4">
        <f>IF(AtlasReport_1_Table_1[[#This Row],[Reference]]="Purchase order",_xll.AtlasFormulas.AtlasFunctions.AtlasBalance("UAT",DataAreaId,"T.MarkupTrans","Sum|Posted|0","","","","","","","MarkupCode|TransTableId|TransRecId","TPP","492",$L349),"")</f>
        <v>0</v>
      </c>
    </row>
    <row r="350" spans="1:14" x14ac:dyDescent="0.25">
      <c r="A350" s="8" t="s">
        <v>17</v>
      </c>
      <c r="B350" s="8" t="s">
        <v>1756</v>
      </c>
      <c r="C350" s="8" t="s">
        <v>1143</v>
      </c>
      <c r="D350" s="8" t="s">
        <v>1144</v>
      </c>
      <c r="E350" s="8" t="s">
        <v>261</v>
      </c>
      <c r="F350" s="8" t="s">
        <v>264</v>
      </c>
      <c r="G350" s="6">
        <v>43075</v>
      </c>
      <c r="H350" s="6">
        <v>43087</v>
      </c>
      <c r="I350" s="4">
        <v>8</v>
      </c>
      <c r="J350" s="8" t="s">
        <v>37</v>
      </c>
      <c r="K350" s="8" t="s">
        <v>1757</v>
      </c>
      <c r="L350" s="4" t="str">
        <f>IF(AtlasReport_1_Table_1[[#This Row],[Reference]]="Purchase order",_xll.AtlasFormulas.AtlasFunctions.AtlasTable("UAT",DataAreaId,"T.VendInvoiceTrans","%RecId","","","","","","","ItemId|PurchID|InventTransId",$C350,$B350,$K350),"")</f>
        <v/>
      </c>
      <c r="M350" s="4" t="str">
        <f>IF(AtlasReport_1_Table_1[[#This Row],[Reference]]="Purchase order",_xll.AtlasFormulas.AtlasFunctions.AtlasTable("UAT",DataAreaId,"T.MarkupTrans","%CurrencyCode","","","","","","","MarkupCode|TransRecId|TransTableId","TPP",$L350,"492"),"")</f>
        <v/>
      </c>
      <c r="N350" s="4">
        <f>IF(AtlasReport_1_Table_1[[#This Row],[Reference]]="Purchase order",_xll.AtlasFormulas.AtlasFunctions.AtlasBalance("UAT",DataAreaId,"T.MarkupTrans","Sum|Posted|0","","","","","","","MarkupCode|TransTableId|TransRecId","TPP","492",$L350),"")</f>
        <v>0</v>
      </c>
    </row>
    <row r="351" spans="1:14" x14ac:dyDescent="0.25">
      <c r="A351" s="8" t="s">
        <v>17</v>
      </c>
      <c r="B351" s="8" t="s">
        <v>1758</v>
      </c>
      <c r="C351" s="8" t="s">
        <v>19</v>
      </c>
      <c r="D351" s="8" t="s">
        <v>35</v>
      </c>
      <c r="E351" s="8" t="s">
        <v>261</v>
      </c>
      <c r="F351" s="8" t="s">
        <v>262</v>
      </c>
      <c r="G351" s="6">
        <v>43082</v>
      </c>
      <c r="H351" s="6">
        <v>43082</v>
      </c>
      <c r="I351" s="4">
        <v>1</v>
      </c>
      <c r="J351" s="8" t="s">
        <v>37</v>
      </c>
      <c r="K351" s="8" t="s">
        <v>1759</v>
      </c>
      <c r="L351" s="4" t="str">
        <f>IF(AtlasReport_1_Table_1[[#This Row],[Reference]]="Purchase order",_xll.AtlasFormulas.AtlasFunctions.AtlasTable("UAT",DataAreaId,"T.VendInvoiceTrans","%RecId","","","","","","","ItemId|PurchID|InventTransId",$C351,$B351,$K351),"")</f>
        <v>5637298127</v>
      </c>
      <c r="M351" s="4" t="str">
        <f>IF(AtlasReport_1_Table_1[[#This Row],[Reference]]="Purchase order",_xll.AtlasFormulas.AtlasFunctions.AtlasTable("UAT",DataAreaId,"T.MarkupTrans","%CurrencyCode","","","","","","","MarkupCode|TransRecId|TransTableId","TPP",$L351,"492"),"")</f>
        <v>EUR</v>
      </c>
      <c r="N351" s="4">
        <f>IF(AtlasReport_1_Table_1[[#This Row],[Reference]]="Purchase order",_xll.AtlasFormulas.AtlasFunctions.AtlasBalance("UAT",DataAreaId,"T.MarkupTrans","Sum|Posted|0","","","","","","","MarkupCode|TransTableId|TransRecId","TPP","492",$L351),"")</f>
        <v>0</v>
      </c>
    </row>
    <row r="352" spans="1:14" x14ac:dyDescent="0.25">
      <c r="A352" s="8" t="s">
        <v>17</v>
      </c>
      <c r="B352" s="8" t="s">
        <v>1760</v>
      </c>
      <c r="C352" s="8" t="s">
        <v>20</v>
      </c>
      <c r="D352" s="8" t="s">
        <v>191</v>
      </c>
      <c r="E352" s="8" t="s">
        <v>261</v>
      </c>
      <c r="F352" s="8" t="s">
        <v>262</v>
      </c>
      <c r="G352" s="6">
        <v>43080</v>
      </c>
      <c r="H352" s="6">
        <v>43080</v>
      </c>
      <c r="I352" s="4">
        <v>-291</v>
      </c>
      <c r="J352" s="8" t="s">
        <v>38</v>
      </c>
      <c r="K352" s="8" t="s">
        <v>1761</v>
      </c>
      <c r="L352" s="4" t="str">
        <f>IF(AtlasReport_1_Table_1[[#This Row],[Reference]]="Purchase order",_xll.AtlasFormulas.AtlasFunctions.AtlasTable("UAT",DataAreaId,"T.VendInvoiceTrans","%RecId","","","","","","","ItemId|PurchID|InventTransId",$C352,$B352,$K352),"")</f>
        <v>5637298110</v>
      </c>
      <c r="M352" s="4" t="str">
        <f>IF(AtlasReport_1_Table_1[[#This Row],[Reference]]="Purchase order",_xll.AtlasFormulas.AtlasFunctions.AtlasTable("UAT",DataAreaId,"T.MarkupTrans","%CurrencyCode","","","","","","","MarkupCode|TransRecId|TransTableId","TPP",$L352,"492"),"")</f>
        <v>EUR</v>
      </c>
      <c r="N352" s="4">
        <f>IF(AtlasReport_1_Table_1[[#This Row],[Reference]]="Purchase order",_xll.AtlasFormulas.AtlasFunctions.AtlasBalance("UAT",DataAreaId,"T.MarkupTrans","Sum|Posted|0","","","","","","","MarkupCode|TransTableId|TransRecId","TPP","492",$L352),"")</f>
        <v>0</v>
      </c>
    </row>
    <row r="353" spans="1:14" x14ac:dyDescent="0.25">
      <c r="A353" s="8" t="s">
        <v>17</v>
      </c>
      <c r="B353" s="8" t="s">
        <v>1760</v>
      </c>
      <c r="C353" s="8" t="s">
        <v>71</v>
      </c>
      <c r="D353" s="8" t="s">
        <v>191</v>
      </c>
      <c r="E353" s="8" t="s">
        <v>261</v>
      </c>
      <c r="F353" s="8" t="s">
        <v>262</v>
      </c>
      <c r="G353" s="6">
        <v>43080</v>
      </c>
      <c r="H353" s="6">
        <v>43080</v>
      </c>
      <c r="I353" s="4">
        <v>-2475</v>
      </c>
      <c r="J353" s="8" t="s">
        <v>38</v>
      </c>
      <c r="K353" s="8" t="s">
        <v>1762</v>
      </c>
      <c r="L353" s="4" t="str">
        <f>IF(AtlasReport_1_Table_1[[#This Row],[Reference]]="Purchase order",_xll.AtlasFormulas.AtlasFunctions.AtlasTable("UAT",DataAreaId,"T.VendInvoiceTrans","%RecId","","","","","","","ItemId|PurchID|InventTransId",$C353,$B353,$K353),"")</f>
        <v>5637298111</v>
      </c>
      <c r="M353" s="4" t="str">
        <f>IF(AtlasReport_1_Table_1[[#This Row],[Reference]]="Purchase order",_xll.AtlasFormulas.AtlasFunctions.AtlasTable("UAT",DataAreaId,"T.MarkupTrans","%CurrencyCode","","","","","","","MarkupCode|TransRecId|TransTableId","TPP",$L353,"492"),"")</f>
        <v>EUR</v>
      </c>
      <c r="N353" s="4">
        <f>IF(AtlasReport_1_Table_1[[#This Row],[Reference]]="Purchase order",_xll.AtlasFormulas.AtlasFunctions.AtlasBalance("UAT",DataAreaId,"T.MarkupTrans","Sum|Posted|0","","","","","","","MarkupCode|TransTableId|TransRecId","TPP","492",$L353),"")</f>
        <v>0</v>
      </c>
    </row>
    <row r="354" spans="1:14" x14ac:dyDescent="0.25">
      <c r="A354" s="8" t="s">
        <v>17</v>
      </c>
      <c r="B354" s="8" t="s">
        <v>1763</v>
      </c>
      <c r="C354" s="8" t="s">
        <v>19</v>
      </c>
      <c r="D354" s="8" t="s">
        <v>35</v>
      </c>
      <c r="E354" s="8" t="s">
        <v>261</v>
      </c>
      <c r="F354" s="8" t="s">
        <v>262</v>
      </c>
      <c r="G354" s="6">
        <v>43080</v>
      </c>
      <c r="H354" s="6">
        <v>43080</v>
      </c>
      <c r="I354" s="4">
        <v>-1</v>
      </c>
      <c r="J354" s="8" t="s">
        <v>37</v>
      </c>
      <c r="K354" s="8" t="s">
        <v>1764</v>
      </c>
      <c r="L354" s="4" t="str">
        <f>IF(AtlasReport_1_Table_1[[#This Row],[Reference]]="Purchase order",_xll.AtlasFormulas.AtlasFunctions.AtlasTable("UAT",DataAreaId,"T.VendInvoiceTrans","%RecId","","","","","","","ItemId|PurchID|InventTransId",$C354,$B354,$K354),"")</f>
        <v>5637298108</v>
      </c>
      <c r="M354" s="4" t="str">
        <f>IF(AtlasReport_1_Table_1[[#This Row],[Reference]]="Purchase order",_xll.AtlasFormulas.AtlasFunctions.AtlasTable("UAT",DataAreaId,"T.MarkupTrans","%CurrencyCode","","","","","","","MarkupCode|TransRecId|TransTableId","TPP",$L354,"492"),"")</f>
        <v>EUR</v>
      </c>
      <c r="N354" s="4">
        <f>IF(AtlasReport_1_Table_1[[#This Row],[Reference]]="Purchase order",_xll.AtlasFormulas.AtlasFunctions.AtlasBalance("UAT",DataAreaId,"T.MarkupTrans","Sum|Posted|0","","","","","","","MarkupCode|TransTableId|TransRecId","TPP","492",$L354),"")</f>
        <v>0</v>
      </c>
    </row>
    <row r="355" spans="1:14" x14ac:dyDescent="0.25">
      <c r="A355" s="8" t="s">
        <v>17</v>
      </c>
      <c r="B355" s="8" t="s">
        <v>1765</v>
      </c>
      <c r="C355" s="8" t="s">
        <v>20</v>
      </c>
      <c r="D355" s="8" t="s">
        <v>191</v>
      </c>
      <c r="E355" s="8" t="s">
        <v>261</v>
      </c>
      <c r="F355" s="8" t="s">
        <v>262</v>
      </c>
      <c r="G355" s="6">
        <v>43080</v>
      </c>
      <c r="H355" s="6">
        <v>43080</v>
      </c>
      <c r="I355" s="4">
        <v>291</v>
      </c>
      <c r="J355" s="8" t="s">
        <v>38</v>
      </c>
      <c r="K355" s="8" t="s">
        <v>1766</v>
      </c>
      <c r="L355" s="4" t="str">
        <f>IF(AtlasReport_1_Table_1[[#This Row],[Reference]]="Purchase order",_xll.AtlasFormulas.AtlasFunctions.AtlasTable("UAT",DataAreaId,"T.VendInvoiceTrans","%RecId","","","","","","","ItemId|PurchID|InventTransId",$C355,$B355,$K355),"")</f>
        <v>5637298112</v>
      </c>
      <c r="M355" s="4" t="str">
        <f>IF(AtlasReport_1_Table_1[[#This Row],[Reference]]="Purchase order",_xll.AtlasFormulas.AtlasFunctions.AtlasTable("UAT",DataAreaId,"T.MarkupTrans","%CurrencyCode","","","","","","","MarkupCode|TransRecId|TransTableId","TPP",$L355,"492"),"")</f>
        <v>EUR</v>
      </c>
      <c r="N355" s="4">
        <f>IF(AtlasReport_1_Table_1[[#This Row],[Reference]]="Purchase order",_xll.AtlasFormulas.AtlasFunctions.AtlasBalance("UAT",DataAreaId,"T.MarkupTrans","Sum|Posted|0","","","","","","","MarkupCode|TransTableId|TransRecId","TPP","492",$L355),"")</f>
        <v>0</v>
      </c>
    </row>
    <row r="356" spans="1:14" x14ac:dyDescent="0.25">
      <c r="A356" s="8" t="s">
        <v>17</v>
      </c>
      <c r="B356" s="8" t="s">
        <v>1765</v>
      </c>
      <c r="C356" s="8" t="s">
        <v>71</v>
      </c>
      <c r="D356" s="8" t="s">
        <v>191</v>
      </c>
      <c r="E356" s="8" t="s">
        <v>261</v>
      </c>
      <c r="F356" s="8" t="s">
        <v>262</v>
      </c>
      <c r="G356" s="6">
        <v>43080</v>
      </c>
      <c r="H356" s="6">
        <v>43080</v>
      </c>
      <c r="I356" s="4">
        <v>2475</v>
      </c>
      <c r="J356" s="8" t="s">
        <v>38</v>
      </c>
      <c r="K356" s="8" t="s">
        <v>1767</v>
      </c>
      <c r="L356" s="4" t="str">
        <f>IF(AtlasReport_1_Table_1[[#This Row],[Reference]]="Purchase order",_xll.AtlasFormulas.AtlasFunctions.AtlasTable("UAT",DataAreaId,"T.VendInvoiceTrans","%RecId","","","","","","","ItemId|PurchID|InventTransId",$C356,$B356,$K356),"")</f>
        <v>5637298113</v>
      </c>
      <c r="M356" s="4" t="str">
        <f>IF(AtlasReport_1_Table_1[[#This Row],[Reference]]="Purchase order",_xll.AtlasFormulas.AtlasFunctions.AtlasTable("UAT",DataAreaId,"T.MarkupTrans","%CurrencyCode","","","","","","","MarkupCode|TransRecId|TransTableId","TPP",$L356,"492"),"")</f>
        <v>EUR</v>
      </c>
      <c r="N356" s="4">
        <f>IF(AtlasReport_1_Table_1[[#This Row],[Reference]]="Purchase order",_xll.AtlasFormulas.AtlasFunctions.AtlasBalance("UAT",DataAreaId,"T.MarkupTrans","Sum|Posted|0","","","","","","","MarkupCode|TransTableId|TransRecId","TPP","492",$L356),"")</f>
        <v>0</v>
      </c>
    </row>
    <row r="357" spans="1:14" x14ac:dyDescent="0.25">
      <c r="A357" s="8" t="s">
        <v>17</v>
      </c>
      <c r="B357" s="8" t="s">
        <v>1768</v>
      </c>
      <c r="C357" s="8" t="s">
        <v>19</v>
      </c>
      <c r="D357" s="8" t="s">
        <v>35</v>
      </c>
      <c r="E357" s="8" t="s">
        <v>261</v>
      </c>
      <c r="F357" s="8" t="s">
        <v>262</v>
      </c>
      <c r="G357" s="6">
        <v>43080</v>
      </c>
      <c r="H357" s="6">
        <v>43080</v>
      </c>
      <c r="I357" s="4">
        <v>1</v>
      </c>
      <c r="J357" s="8" t="s">
        <v>37</v>
      </c>
      <c r="K357" s="8" t="s">
        <v>1769</v>
      </c>
      <c r="L357" s="4" t="str">
        <f>IF(AtlasReport_1_Table_1[[#This Row],[Reference]]="Purchase order",_xll.AtlasFormulas.AtlasFunctions.AtlasTable("UAT",DataAreaId,"T.VendInvoiceTrans","%RecId","","","","","","","ItemId|PurchID|InventTransId",$C357,$B357,$K357),"")</f>
        <v>5637298109</v>
      </c>
      <c r="M357" s="4" t="str">
        <f>IF(AtlasReport_1_Table_1[[#This Row],[Reference]]="Purchase order",_xll.AtlasFormulas.AtlasFunctions.AtlasTable("UAT",DataAreaId,"T.MarkupTrans","%CurrencyCode","","","","","","","MarkupCode|TransRecId|TransTableId","TPP",$L357,"492"),"")</f>
        <v>EUR</v>
      </c>
      <c r="N357" s="4">
        <f>IF(AtlasReport_1_Table_1[[#This Row],[Reference]]="Purchase order",_xll.AtlasFormulas.AtlasFunctions.AtlasBalance("UAT",DataAreaId,"T.MarkupTrans","Sum|Posted|0","","","","","","","MarkupCode|TransTableId|TransRecId","TPP","492",$L357),"")</f>
        <v>0</v>
      </c>
    </row>
    <row r="358" spans="1:14" x14ac:dyDescent="0.25">
      <c r="A358" s="8" t="s">
        <v>17</v>
      </c>
      <c r="B358" s="8" t="s">
        <v>912</v>
      </c>
      <c r="C358" s="8" t="s">
        <v>67</v>
      </c>
      <c r="D358" s="8" t="s">
        <v>907</v>
      </c>
      <c r="E358" s="8" t="s">
        <v>261</v>
      </c>
      <c r="F358" s="8" t="s">
        <v>262</v>
      </c>
      <c r="G358" s="6">
        <v>43081</v>
      </c>
      <c r="H358" s="6">
        <v>43082</v>
      </c>
      <c r="I358" s="4">
        <v>56</v>
      </c>
      <c r="J358" s="8" t="s">
        <v>37</v>
      </c>
      <c r="K358" s="8" t="s">
        <v>914</v>
      </c>
      <c r="L358" s="4" t="str">
        <f>IF(AtlasReport_1_Table_1[[#This Row],[Reference]]="Purchase order",_xll.AtlasFormulas.AtlasFunctions.AtlasTable("UAT",DataAreaId,"T.VendInvoiceTrans","%RecId","","","","","","","ItemId|PurchID|InventTransId",$C358,$B358,$K358),"")</f>
        <v>5637298128</v>
      </c>
      <c r="M358" s="4" t="str">
        <f>IF(AtlasReport_1_Table_1[[#This Row],[Reference]]="Purchase order",_xll.AtlasFormulas.AtlasFunctions.AtlasTable("UAT",DataAreaId,"T.MarkupTrans","%CurrencyCode","","","","","","","MarkupCode|TransRecId|TransTableId","TPP",$L358,"492"),"")</f>
        <v>EUR</v>
      </c>
      <c r="N358" s="4">
        <f>IF(AtlasReport_1_Table_1[[#This Row],[Reference]]="Purchase order",_xll.AtlasFormulas.AtlasFunctions.AtlasBalance("UAT",DataAreaId,"T.MarkupTrans","Sum|Posted|0","","","","","","","MarkupCode|TransTableId|TransRecId","TPP","492",$L358),"")</f>
        <v>219.87</v>
      </c>
    </row>
    <row r="359" spans="1:14" x14ac:dyDescent="0.25">
      <c r="A359" s="8" t="s">
        <v>17</v>
      </c>
      <c r="B359" s="8" t="s">
        <v>674</v>
      </c>
      <c r="C359" s="8" t="s">
        <v>331</v>
      </c>
      <c r="D359" s="8" t="s">
        <v>675</v>
      </c>
      <c r="E359" s="8" t="s">
        <v>261</v>
      </c>
      <c r="F359" s="8" t="s">
        <v>264</v>
      </c>
      <c r="G359" s="6">
        <v>43090</v>
      </c>
      <c r="H359" s="6">
        <v>43089</v>
      </c>
      <c r="I359" s="4">
        <v>35</v>
      </c>
      <c r="J359" s="8" t="s">
        <v>37</v>
      </c>
      <c r="K359" s="8" t="s">
        <v>678</v>
      </c>
      <c r="L359" s="4" t="str">
        <f>IF(AtlasReport_1_Table_1[[#This Row],[Reference]]="Purchase order",_xll.AtlasFormulas.AtlasFunctions.AtlasTable("UAT",DataAreaId,"T.VendInvoiceTrans","%RecId","","","","","","","ItemId|PurchID|InventTransId",$C359,$B359,$K359),"")</f>
        <v>5637298406</v>
      </c>
      <c r="M359" s="4" t="str">
        <f>IF(AtlasReport_1_Table_1[[#This Row],[Reference]]="Purchase order",_xll.AtlasFormulas.AtlasFunctions.AtlasTable("UAT",DataAreaId,"T.MarkupTrans","%CurrencyCode","","","","","","","MarkupCode|TransRecId|TransTableId","TPP",$L359,"492"),"")</f>
        <v>USD</v>
      </c>
      <c r="N359" s="4">
        <f>IF(AtlasReport_1_Table_1[[#This Row],[Reference]]="Purchase order",_xll.AtlasFormulas.AtlasFunctions.AtlasBalance("UAT",DataAreaId,"T.MarkupTrans","Sum|Posted|0","","","","","","","MarkupCode|TransTableId|TransRecId","TPP","492",$L359),"")</f>
        <v>854.58</v>
      </c>
    </row>
    <row r="360" spans="1:14" x14ac:dyDescent="0.25">
      <c r="A360" s="8" t="s">
        <v>17</v>
      </c>
      <c r="B360" s="8" t="s">
        <v>1770</v>
      </c>
      <c r="C360" s="8" t="s">
        <v>19</v>
      </c>
      <c r="D360" s="8" t="s">
        <v>35</v>
      </c>
      <c r="E360" s="8" t="s">
        <v>261</v>
      </c>
      <c r="F360" s="8" t="s">
        <v>262</v>
      </c>
      <c r="G360" s="6">
        <v>43087</v>
      </c>
      <c r="H360" s="6">
        <v>43083</v>
      </c>
      <c r="I360" s="4">
        <v>-1</v>
      </c>
      <c r="J360" s="8" t="s">
        <v>37</v>
      </c>
      <c r="K360" s="8" t="s">
        <v>1771</v>
      </c>
      <c r="L360" s="4" t="str">
        <f>IF(AtlasReport_1_Table_1[[#This Row],[Reference]]="Purchase order",_xll.AtlasFormulas.AtlasFunctions.AtlasTable("UAT",DataAreaId,"T.VendInvoiceTrans","%RecId","","","","","","","ItemId|PurchID|InventTransId",$C360,$B360,$K360),"")</f>
        <v>5637298142</v>
      </c>
      <c r="M360" s="4" t="str">
        <f>IF(AtlasReport_1_Table_1[[#This Row],[Reference]]="Purchase order",_xll.AtlasFormulas.AtlasFunctions.AtlasTable("UAT",DataAreaId,"T.MarkupTrans","%CurrencyCode","","","","","","","MarkupCode|TransRecId|TransTableId","TPP",$L360,"492"),"")</f>
        <v>EUR</v>
      </c>
      <c r="N360" s="4">
        <f>IF(AtlasReport_1_Table_1[[#This Row],[Reference]]="Purchase order",_xll.AtlasFormulas.AtlasFunctions.AtlasBalance("UAT",DataAreaId,"T.MarkupTrans","Sum|Posted|0","","","","","","","MarkupCode|TransTableId|TransRecId","TPP","492",$L360),"")</f>
        <v>0</v>
      </c>
    </row>
    <row r="361" spans="1:14" x14ac:dyDescent="0.25">
      <c r="A361" s="8" t="s">
        <v>17</v>
      </c>
      <c r="B361" s="8" t="s">
        <v>1772</v>
      </c>
      <c r="C361" s="8" t="s">
        <v>19</v>
      </c>
      <c r="D361" s="8" t="s">
        <v>35</v>
      </c>
      <c r="E361" s="8" t="s">
        <v>261</v>
      </c>
      <c r="F361" s="8" t="s">
        <v>262</v>
      </c>
      <c r="G361" s="6">
        <v>43083</v>
      </c>
      <c r="H361" s="6">
        <v>43083</v>
      </c>
      <c r="I361" s="4">
        <v>1</v>
      </c>
      <c r="J361" s="8" t="s">
        <v>37</v>
      </c>
      <c r="K361" s="8" t="s">
        <v>1773</v>
      </c>
      <c r="L361" s="4" t="str">
        <f>IF(AtlasReport_1_Table_1[[#This Row],[Reference]]="Purchase order",_xll.AtlasFormulas.AtlasFunctions.AtlasTable("UAT",DataAreaId,"T.VendInvoiceTrans","%RecId","","","","","","","ItemId|PurchID|InventTransId",$C361,$B361,$K361),"")</f>
        <v>5637298143</v>
      </c>
      <c r="M361" s="4" t="str">
        <f>IF(AtlasReport_1_Table_1[[#This Row],[Reference]]="Purchase order",_xll.AtlasFormulas.AtlasFunctions.AtlasTable("UAT",DataAreaId,"T.MarkupTrans","%CurrencyCode","","","","","","","MarkupCode|TransRecId|TransTableId","TPP",$L361,"492"),"")</f>
        <v>EUR</v>
      </c>
      <c r="N361" s="4">
        <f>IF(AtlasReport_1_Table_1[[#This Row],[Reference]]="Purchase order",_xll.AtlasFormulas.AtlasFunctions.AtlasBalance("UAT",DataAreaId,"T.MarkupTrans","Sum|Posted|0","","","","","","","MarkupCode|TransTableId|TransRecId","TPP","492",$L361),"")</f>
        <v>0</v>
      </c>
    </row>
    <row r="362" spans="1:14" x14ac:dyDescent="0.25">
      <c r="A362" s="8" t="s">
        <v>17</v>
      </c>
      <c r="B362" s="8" t="s">
        <v>1774</v>
      </c>
      <c r="C362" s="8" t="s">
        <v>19</v>
      </c>
      <c r="D362" s="8" t="s">
        <v>35</v>
      </c>
      <c r="E362" s="8" t="s">
        <v>261</v>
      </c>
      <c r="F362" s="8" t="s">
        <v>262</v>
      </c>
      <c r="G362" s="6">
        <v>43087</v>
      </c>
      <c r="H362" s="6">
        <v>43087</v>
      </c>
      <c r="I362" s="4">
        <v>1</v>
      </c>
      <c r="J362" s="8" t="s">
        <v>37</v>
      </c>
      <c r="K362" s="8" t="s">
        <v>1775</v>
      </c>
      <c r="L362" s="4" t="str">
        <f>IF(AtlasReport_1_Table_1[[#This Row],[Reference]]="Purchase order",_xll.AtlasFormulas.AtlasFunctions.AtlasTable("UAT",DataAreaId,"T.VendInvoiceTrans","%RecId","","","","","","","ItemId|PurchID|InventTransId",$C362,$B362,$K362),"")</f>
        <v>5637298141</v>
      </c>
      <c r="M362" s="4" t="str">
        <f>IF(AtlasReport_1_Table_1[[#This Row],[Reference]]="Purchase order",_xll.AtlasFormulas.AtlasFunctions.AtlasTable("UAT",DataAreaId,"T.MarkupTrans","%CurrencyCode","","","","","","","MarkupCode|TransRecId|TransTableId","TPP",$L362,"492"),"")</f>
        <v>EUR</v>
      </c>
      <c r="N362" s="4">
        <f>IF(AtlasReport_1_Table_1[[#This Row],[Reference]]="Purchase order",_xll.AtlasFormulas.AtlasFunctions.AtlasBalance("UAT",DataAreaId,"T.MarkupTrans","Sum|Posted|0","","","","","","","MarkupCode|TransTableId|TransRecId","TPP","492",$L362),"")</f>
        <v>0</v>
      </c>
    </row>
    <row r="363" spans="1:14" x14ac:dyDescent="0.25">
      <c r="A363" s="8" t="s">
        <v>17</v>
      </c>
      <c r="B363" s="8" t="s">
        <v>1776</v>
      </c>
      <c r="C363" s="8" t="s">
        <v>972</v>
      </c>
      <c r="D363" s="8" t="s">
        <v>973</v>
      </c>
      <c r="E363" s="8" t="s">
        <v>261</v>
      </c>
      <c r="F363" s="8" t="s">
        <v>264</v>
      </c>
      <c r="G363" s="6">
        <v>43084</v>
      </c>
      <c r="H363" s="6">
        <v>43081</v>
      </c>
      <c r="I363" s="4">
        <v>17940</v>
      </c>
      <c r="J363" s="8" t="s">
        <v>120</v>
      </c>
      <c r="K363" s="8" t="s">
        <v>1777</v>
      </c>
      <c r="L363" s="4" t="str">
        <f>IF(AtlasReport_1_Table_1[[#This Row],[Reference]]="Purchase order",_xll.AtlasFormulas.AtlasFunctions.AtlasTable("UAT",DataAreaId,"T.VendInvoiceTrans","%RecId","","","","","","","ItemId|PurchID|InventTransId",$C363,$B363,$K363),"")</f>
        <v>5637298136</v>
      </c>
      <c r="M363" s="4" t="str">
        <f>IF(AtlasReport_1_Table_1[[#This Row],[Reference]]="Purchase order",_xll.AtlasFormulas.AtlasFunctions.AtlasTable("UAT",DataAreaId,"T.MarkupTrans","%CurrencyCode","","","","","","","MarkupCode|TransRecId|TransTableId","TPP",$L363,"492"),"")</f>
        <v/>
      </c>
      <c r="N363" s="4">
        <f>IF(AtlasReport_1_Table_1[[#This Row],[Reference]]="Purchase order",_xll.AtlasFormulas.AtlasFunctions.AtlasBalance("UAT",DataAreaId,"T.MarkupTrans","Sum|Posted|0","","","","","","","MarkupCode|TransTableId|TransRecId","TPP","492",$L363),"")</f>
        <v>0</v>
      </c>
    </row>
    <row r="364" spans="1:14" x14ac:dyDescent="0.25">
      <c r="A364" s="8" t="s">
        <v>17</v>
      </c>
      <c r="B364" s="8" t="s">
        <v>1778</v>
      </c>
      <c r="C364" s="8" t="s">
        <v>972</v>
      </c>
      <c r="D364" s="8" t="s">
        <v>973</v>
      </c>
      <c r="E364" s="8" t="s">
        <v>261</v>
      </c>
      <c r="F364" s="8" t="s">
        <v>264</v>
      </c>
      <c r="G364" s="6">
        <v>43084</v>
      </c>
      <c r="H364" s="6">
        <v>43081</v>
      </c>
      <c r="I364" s="4">
        <v>13820</v>
      </c>
      <c r="J364" s="8" t="s">
        <v>120</v>
      </c>
      <c r="K364" s="8" t="s">
        <v>1779</v>
      </c>
      <c r="L364" s="4" t="str">
        <f>IF(AtlasReport_1_Table_1[[#This Row],[Reference]]="Purchase order",_xll.AtlasFormulas.AtlasFunctions.AtlasTable("UAT",DataAreaId,"T.VendInvoiceTrans","%RecId","","","","","","","ItemId|PurchID|InventTransId",$C364,$B364,$K364),"")</f>
        <v>5637298135</v>
      </c>
      <c r="M364" s="4" t="str">
        <f>IF(AtlasReport_1_Table_1[[#This Row],[Reference]]="Purchase order",_xll.AtlasFormulas.AtlasFunctions.AtlasTable("UAT",DataAreaId,"T.MarkupTrans","%CurrencyCode","","","","","","","MarkupCode|TransRecId|TransTableId","TPP",$L364,"492"),"")</f>
        <v/>
      </c>
      <c r="N364" s="4">
        <f>IF(AtlasReport_1_Table_1[[#This Row],[Reference]]="Purchase order",_xll.AtlasFormulas.AtlasFunctions.AtlasBalance("UAT",DataAreaId,"T.MarkupTrans","Sum|Posted|0","","","","","","","MarkupCode|TransTableId|TransRecId","TPP","492",$L364),"")</f>
        <v>0</v>
      </c>
    </row>
    <row r="365" spans="1:14" x14ac:dyDescent="0.25">
      <c r="A365" s="8" t="s">
        <v>17</v>
      </c>
      <c r="B365" s="8" t="s">
        <v>1780</v>
      </c>
      <c r="C365" s="8" t="s">
        <v>19</v>
      </c>
      <c r="D365" s="8" t="s">
        <v>35</v>
      </c>
      <c r="E365" s="8" t="s">
        <v>261</v>
      </c>
      <c r="F365" s="8" t="s">
        <v>262</v>
      </c>
      <c r="G365" s="6">
        <v>43087</v>
      </c>
      <c r="H365" s="6">
        <v>43087</v>
      </c>
      <c r="I365" s="4">
        <v>-1</v>
      </c>
      <c r="J365" s="8" t="s">
        <v>37</v>
      </c>
      <c r="K365" s="8" t="s">
        <v>1781</v>
      </c>
      <c r="L365" s="4" t="str">
        <f>IF(AtlasReport_1_Table_1[[#This Row],[Reference]]="Purchase order",_xll.AtlasFormulas.AtlasFunctions.AtlasTable("UAT",DataAreaId,"T.VendInvoiceTrans","%RecId","","","","","","","ItemId|PurchID|InventTransId",$C365,$B365,$K365),"")</f>
        <v>5637298144</v>
      </c>
      <c r="M365" s="4" t="str">
        <f>IF(AtlasReport_1_Table_1[[#This Row],[Reference]]="Purchase order",_xll.AtlasFormulas.AtlasFunctions.AtlasTable("UAT",DataAreaId,"T.MarkupTrans","%CurrencyCode","","","","","","","MarkupCode|TransRecId|TransTableId","TPP",$L365,"492"),"")</f>
        <v>EUR</v>
      </c>
      <c r="N365" s="4">
        <f>IF(AtlasReport_1_Table_1[[#This Row],[Reference]]="Purchase order",_xll.AtlasFormulas.AtlasFunctions.AtlasBalance("UAT",DataAreaId,"T.MarkupTrans","Sum|Posted|0","","","","","","","MarkupCode|TransTableId|TransRecId","TPP","492",$L365),"")</f>
        <v>0</v>
      </c>
    </row>
    <row r="366" spans="1:14" x14ac:dyDescent="0.25">
      <c r="A366" s="8" t="s">
        <v>17</v>
      </c>
      <c r="B366" s="8" t="s">
        <v>1782</v>
      </c>
      <c r="C366" s="8" t="s">
        <v>1311</v>
      </c>
      <c r="D366" s="8" t="s">
        <v>1311</v>
      </c>
      <c r="E366" s="8" t="s">
        <v>261</v>
      </c>
      <c r="F366" s="8" t="s">
        <v>264</v>
      </c>
      <c r="G366" s="6">
        <v>43090</v>
      </c>
      <c r="H366" s="6">
        <v>43089</v>
      </c>
      <c r="I366" s="4">
        <v>1</v>
      </c>
      <c r="J366" s="8" t="s">
        <v>37</v>
      </c>
      <c r="K366" s="8" t="s">
        <v>1783</v>
      </c>
      <c r="L366" s="4" t="str">
        <f>IF(AtlasReport_1_Table_1[[#This Row],[Reference]]="Purchase order",_xll.AtlasFormulas.AtlasFunctions.AtlasTable("UAT",DataAreaId,"T.VendInvoiceTrans","%RecId","","","","","","","ItemId|PurchID|InventTransId",$C366,$B366,$K366),"")</f>
        <v>5637298416</v>
      </c>
      <c r="M366" s="4" t="str">
        <f>IF(AtlasReport_1_Table_1[[#This Row],[Reference]]="Purchase order",_xll.AtlasFormulas.AtlasFunctions.AtlasTable("UAT",DataAreaId,"T.MarkupTrans","%CurrencyCode","","","","","","","MarkupCode|TransRecId|TransTableId","TPP",$L366,"492"),"")</f>
        <v/>
      </c>
      <c r="N366" s="4">
        <f>IF(AtlasReport_1_Table_1[[#This Row],[Reference]]="Purchase order",_xll.AtlasFormulas.AtlasFunctions.AtlasBalance("UAT",DataAreaId,"T.MarkupTrans","Sum|Posted|0","","","","","","","MarkupCode|TransTableId|TransRecId","TPP","492",$L366),"")</f>
        <v>0</v>
      </c>
    </row>
    <row r="367" spans="1:14" x14ac:dyDescent="0.25">
      <c r="A367" s="8" t="s">
        <v>17</v>
      </c>
      <c r="B367" s="8" t="s">
        <v>1784</v>
      </c>
      <c r="C367" s="8" t="s">
        <v>1311</v>
      </c>
      <c r="D367" s="8" t="s">
        <v>1311</v>
      </c>
      <c r="E367" s="8" t="s">
        <v>261</v>
      </c>
      <c r="F367" s="8" t="s">
        <v>264</v>
      </c>
      <c r="G367" s="6">
        <v>43090</v>
      </c>
      <c r="H367" s="6">
        <v>43089</v>
      </c>
      <c r="I367" s="4">
        <v>1</v>
      </c>
      <c r="J367" s="8" t="s">
        <v>37</v>
      </c>
      <c r="K367" s="8" t="s">
        <v>1785</v>
      </c>
      <c r="L367" s="4" t="str">
        <f>IF(AtlasReport_1_Table_1[[#This Row],[Reference]]="Purchase order",_xll.AtlasFormulas.AtlasFunctions.AtlasTable("UAT",DataAreaId,"T.VendInvoiceTrans","%RecId","","","","","","","ItemId|PurchID|InventTransId",$C367,$B367,$K367),"")</f>
        <v>5637298417</v>
      </c>
      <c r="M367" s="4" t="str">
        <f>IF(AtlasReport_1_Table_1[[#This Row],[Reference]]="Purchase order",_xll.AtlasFormulas.AtlasFunctions.AtlasTable("UAT",DataAreaId,"T.MarkupTrans","%CurrencyCode","","","","","","","MarkupCode|TransRecId|TransTableId","TPP",$L367,"492"),"")</f>
        <v/>
      </c>
      <c r="N367" s="4">
        <f>IF(AtlasReport_1_Table_1[[#This Row],[Reference]]="Purchase order",_xll.AtlasFormulas.AtlasFunctions.AtlasBalance("UAT",DataAreaId,"T.MarkupTrans","Sum|Posted|0","","","","","","","MarkupCode|TransTableId|TransRecId","TPP","492",$L367),"")</f>
        <v>0</v>
      </c>
    </row>
    <row r="368" spans="1:14" x14ac:dyDescent="0.25">
      <c r="A368" s="8" t="s">
        <v>17</v>
      </c>
      <c r="B368" s="8" t="s">
        <v>1786</v>
      </c>
      <c r="C368" s="8" t="s">
        <v>1311</v>
      </c>
      <c r="D368" s="8" t="s">
        <v>1311</v>
      </c>
      <c r="E368" s="8" t="s">
        <v>261</v>
      </c>
      <c r="F368" s="8" t="s">
        <v>264</v>
      </c>
      <c r="G368" s="6">
        <v>43090</v>
      </c>
      <c r="H368" s="6">
        <v>43089</v>
      </c>
      <c r="I368" s="4">
        <v>1</v>
      </c>
      <c r="J368" s="8" t="s">
        <v>37</v>
      </c>
      <c r="K368" s="8" t="s">
        <v>1787</v>
      </c>
      <c r="L368" s="4" t="str">
        <f>IF(AtlasReport_1_Table_1[[#This Row],[Reference]]="Purchase order",_xll.AtlasFormulas.AtlasFunctions.AtlasTable("UAT",DataAreaId,"T.VendInvoiceTrans","%RecId","","","","","","","ItemId|PurchID|InventTransId",$C368,$B368,$K368),"")</f>
        <v>5637298418</v>
      </c>
      <c r="M368" s="4" t="str">
        <f>IF(AtlasReport_1_Table_1[[#This Row],[Reference]]="Purchase order",_xll.AtlasFormulas.AtlasFunctions.AtlasTable("UAT",DataAreaId,"T.MarkupTrans","%CurrencyCode","","","","","","","MarkupCode|TransRecId|TransTableId","TPP",$L368,"492"),"")</f>
        <v/>
      </c>
      <c r="N368" s="4">
        <f>IF(AtlasReport_1_Table_1[[#This Row],[Reference]]="Purchase order",_xll.AtlasFormulas.AtlasFunctions.AtlasBalance("UAT",DataAreaId,"T.MarkupTrans","Sum|Posted|0","","","","","","","MarkupCode|TransTableId|TransRecId","TPP","492",$L368),"")</f>
        <v>0</v>
      </c>
    </row>
    <row r="369" spans="1:14" x14ac:dyDescent="0.25">
      <c r="A369" s="8" t="s">
        <v>253</v>
      </c>
      <c r="B369" s="8" t="s">
        <v>1788</v>
      </c>
      <c r="C369" s="8" t="s">
        <v>29</v>
      </c>
      <c r="D369" s="8" t="s">
        <v>33</v>
      </c>
      <c r="E369" s="8" t="s">
        <v>261</v>
      </c>
      <c r="F369" s="8" t="s">
        <v>264</v>
      </c>
      <c r="G369" s="6">
        <v>43073</v>
      </c>
      <c r="H369" s="6">
        <v>43073</v>
      </c>
      <c r="I369" s="4">
        <v>1.3599999999999999</v>
      </c>
      <c r="J369" s="8" t="s">
        <v>39</v>
      </c>
      <c r="K369" s="8" t="s">
        <v>1789</v>
      </c>
      <c r="L369" s="4" t="str">
        <f>IF(AtlasReport_1_Table_1[[#This Row],[Reference]]="Purchase order",_xll.AtlasFormulas.AtlasFunctions.AtlasTable("UAT",DataAreaId,"T.VendInvoiceTrans","%RecId","","","","","","","ItemId|PurchID|InventTransId",$C369,$B369,$K369),"")</f>
        <v/>
      </c>
      <c r="M369" s="4" t="str">
        <f>IF(AtlasReport_1_Table_1[[#This Row],[Reference]]="Purchase order",_xll.AtlasFormulas.AtlasFunctions.AtlasTable("UAT",DataAreaId,"T.MarkupTrans","%CurrencyCode","","","","","","","MarkupCode|TransRecId|TransTableId","TPP",$L369,"492"),"")</f>
        <v/>
      </c>
      <c r="N369" s="4" t="str">
        <f>IF(AtlasReport_1_Table_1[[#This Row],[Reference]]="Purchase order",_xll.AtlasFormulas.AtlasFunctions.AtlasBalance("UAT",DataAreaId,"T.MarkupTrans","Sum|Posted|0","","","","","","","MarkupCode|TransTableId|TransRecId","TPP","492",$L369),"")</f>
        <v/>
      </c>
    </row>
    <row r="370" spans="1:14" x14ac:dyDescent="0.25">
      <c r="A370" s="8" t="s">
        <v>253</v>
      </c>
      <c r="B370" s="8" t="s">
        <v>1790</v>
      </c>
      <c r="C370" s="8" t="s">
        <v>29</v>
      </c>
      <c r="D370" s="8" t="s">
        <v>33</v>
      </c>
      <c r="E370" s="8" t="s">
        <v>261</v>
      </c>
      <c r="F370" s="8" t="s">
        <v>264</v>
      </c>
      <c r="G370" s="6">
        <v>43073</v>
      </c>
      <c r="H370" s="6">
        <v>43073</v>
      </c>
      <c r="I370" s="4">
        <v>-2.7199999999999998</v>
      </c>
      <c r="J370" s="8" t="s">
        <v>39</v>
      </c>
      <c r="K370" s="8" t="s">
        <v>1791</v>
      </c>
      <c r="L370" s="4" t="str">
        <f>IF(AtlasReport_1_Table_1[[#This Row],[Reference]]="Purchase order",_xll.AtlasFormulas.AtlasFunctions.AtlasTable("UAT",DataAreaId,"T.VendInvoiceTrans","%RecId","","","","","","","ItemId|PurchID|InventTransId",$C370,$B370,$K370),"")</f>
        <v/>
      </c>
      <c r="M370" s="4" t="str">
        <f>IF(AtlasReport_1_Table_1[[#This Row],[Reference]]="Purchase order",_xll.AtlasFormulas.AtlasFunctions.AtlasTable("UAT",DataAreaId,"T.MarkupTrans","%CurrencyCode","","","","","","","MarkupCode|TransRecId|TransTableId","TPP",$L370,"492"),"")</f>
        <v/>
      </c>
      <c r="N370" s="4" t="str">
        <f>IF(AtlasReport_1_Table_1[[#This Row],[Reference]]="Purchase order",_xll.AtlasFormulas.AtlasFunctions.AtlasBalance("UAT",DataAreaId,"T.MarkupTrans","Sum|Posted|0","","","","","","","MarkupCode|TransTableId|TransRecId","TPP","492",$L370),"")</f>
        <v/>
      </c>
    </row>
    <row r="371" spans="1:14" x14ac:dyDescent="0.25">
      <c r="A371" s="8" t="s">
        <v>253</v>
      </c>
      <c r="B371" s="8" t="s">
        <v>1792</v>
      </c>
      <c r="C371" s="8" t="s">
        <v>348</v>
      </c>
      <c r="D371" s="8" t="s">
        <v>1083</v>
      </c>
      <c r="E371" s="8" t="s">
        <v>261</v>
      </c>
      <c r="F371" s="8" t="s">
        <v>264</v>
      </c>
      <c r="G371" s="6">
        <v>43075</v>
      </c>
      <c r="H371" s="6">
        <v>43075</v>
      </c>
      <c r="I371" s="4">
        <v>-75</v>
      </c>
      <c r="J371" s="8" t="s">
        <v>37</v>
      </c>
      <c r="K371" s="8" t="s">
        <v>1793</v>
      </c>
      <c r="L371" s="4" t="str">
        <f>IF(AtlasReport_1_Table_1[[#This Row],[Reference]]="Purchase order",_xll.AtlasFormulas.AtlasFunctions.AtlasTable("UAT",DataAreaId,"T.VendInvoiceTrans","%RecId","","","","","","","ItemId|PurchID|InventTransId",$C371,$B371,$K371),"")</f>
        <v/>
      </c>
      <c r="M371" s="4" t="str">
        <f>IF(AtlasReport_1_Table_1[[#This Row],[Reference]]="Purchase order",_xll.AtlasFormulas.AtlasFunctions.AtlasTable("UAT",DataAreaId,"T.MarkupTrans","%CurrencyCode","","","","","","","MarkupCode|TransRecId|TransTableId","TPP",$L371,"492"),"")</f>
        <v/>
      </c>
      <c r="N371" s="4" t="str">
        <f>IF(AtlasReport_1_Table_1[[#This Row],[Reference]]="Purchase order",_xll.AtlasFormulas.AtlasFunctions.AtlasBalance("UAT",DataAreaId,"T.MarkupTrans","Sum|Posted|0","","","","","","","MarkupCode|TransTableId|TransRecId","TPP","492",$L371),"")</f>
        <v/>
      </c>
    </row>
    <row r="372" spans="1:14" x14ac:dyDescent="0.25">
      <c r="A372" s="8" t="s">
        <v>927</v>
      </c>
      <c r="B372" s="8" t="s">
        <v>1649</v>
      </c>
      <c r="C372" s="8" t="s">
        <v>129</v>
      </c>
      <c r="D372" s="8" t="s">
        <v>130</v>
      </c>
      <c r="E372" s="8" t="s">
        <v>261</v>
      </c>
      <c r="F372" s="8" t="s">
        <v>264</v>
      </c>
      <c r="G372" s="6">
        <v>43070</v>
      </c>
      <c r="H372" s="6">
        <v>43070</v>
      </c>
      <c r="I372" s="4">
        <v>-1</v>
      </c>
      <c r="J372" s="8" t="s">
        <v>37</v>
      </c>
      <c r="K372" s="8" t="s">
        <v>1794</v>
      </c>
      <c r="L372" s="4" t="str">
        <f>IF(AtlasReport_1_Table_1[[#This Row],[Reference]]="Purchase order",_xll.AtlasFormulas.AtlasFunctions.AtlasTable("UAT",DataAreaId,"T.VendInvoiceTrans","%RecId","","","","","","","ItemId|PurchID|InventTransId",$C372,$B372,$K372),"")</f>
        <v/>
      </c>
      <c r="M372" s="4" t="str">
        <f>IF(AtlasReport_1_Table_1[[#This Row],[Reference]]="Purchase order",_xll.AtlasFormulas.AtlasFunctions.AtlasTable("UAT",DataAreaId,"T.MarkupTrans","%CurrencyCode","","","","","","","MarkupCode|TransRecId|TransTableId","TPP",$L372,"492"),"")</f>
        <v/>
      </c>
      <c r="N372" s="4" t="str">
        <f>IF(AtlasReport_1_Table_1[[#This Row],[Reference]]="Purchase order",_xll.AtlasFormulas.AtlasFunctions.AtlasBalance("UAT",DataAreaId,"T.MarkupTrans","Sum|Posted|0","","","","","","","MarkupCode|TransTableId|TransRecId","TPP","492",$L372),"")</f>
        <v/>
      </c>
    </row>
    <row r="373" spans="1:14" x14ac:dyDescent="0.25">
      <c r="A373" s="8" t="s">
        <v>927</v>
      </c>
      <c r="B373" s="8" t="s">
        <v>1649</v>
      </c>
      <c r="C373" s="8" t="s">
        <v>1143</v>
      </c>
      <c r="D373" s="8" t="s">
        <v>1144</v>
      </c>
      <c r="E373" s="8" t="s">
        <v>261</v>
      </c>
      <c r="F373" s="8" t="s">
        <v>264</v>
      </c>
      <c r="G373" s="6">
        <v>43070</v>
      </c>
      <c r="H373" s="6">
        <v>43070</v>
      </c>
      <c r="I373" s="4">
        <v>-1</v>
      </c>
      <c r="J373" s="8" t="s">
        <v>37</v>
      </c>
      <c r="K373" s="8" t="s">
        <v>1795</v>
      </c>
      <c r="L373" s="4" t="str">
        <f>IF(AtlasReport_1_Table_1[[#This Row],[Reference]]="Purchase order",_xll.AtlasFormulas.AtlasFunctions.AtlasTable("UAT",DataAreaId,"T.VendInvoiceTrans","%RecId","","","","","","","ItemId|PurchID|InventTransId",$C373,$B373,$K373),"")</f>
        <v/>
      </c>
      <c r="M373" s="4" t="str">
        <f>IF(AtlasReport_1_Table_1[[#This Row],[Reference]]="Purchase order",_xll.AtlasFormulas.AtlasFunctions.AtlasTable("UAT",DataAreaId,"T.MarkupTrans","%CurrencyCode","","","","","","","MarkupCode|TransRecId|TransTableId","TPP",$L373,"492"),"")</f>
        <v/>
      </c>
      <c r="N373" s="4" t="str">
        <f>IF(AtlasReport_1_Table_1[[#This Row],[Reference]]="Purchase order",_xll.AtlasFormulas.AtlasFunctions.AtlasBalance("UAT",DataAreaId,"T.MarkupTrans","Sum|Posted|0","","","","","","","MarkupCode|TransTableId|TransRecId","TPP","492",$L373),"")</f>
        <v/>
      </c>
    </row>
    <row r="374" spans="1:14" x14ac:dyDescent="0.25">
      <c r="A374" s="8" t="s">
        <v>927</v>
      </c>
      <c r="B374" s="8" t="s">
        <v>1651</v>
      </c>
      <c r="C374" s="8" t="s">
        <v>1145</v>
      </c>
      <c r="D374" s="8" t="s">
        <v>1146</v>
      </c>
      <c r="E374" s="8" t="s">
        <v>261</v>
      </c>
      <c r="F374" s="8" t="s">
        <v>264</v>
      </c>
      <c r="G374" s="6">
        <v>43070</v>
      </c>
      <c r="H374" s="6">
        <v>43070</v>
      </c>
      <c r="I374" s="4">
        <v>-1.67E-2</v>
      </c>
      <c r="J374" s="8" t="s">
        <v>190</v>
      </c>
      <c r="K374" s="8" t="s">
        <v>1796</v>
      </c>
      <c r="L374" s="4" t="str">
        <f>IF(AtlasReport_1_Table_1[[#This Row],[Reference]]="Purchase order",_xll.AtlasFormulas.AtlasFunctions.AtlasTable("UAT",DataAreaId,"T.VendInvoiceTrans","%RecId","","","","","","","ItemId|PurchID|InventTransId",$C374,$B374,$K374),"")</f>
        <v/>
      </c>
      <c r="M374" s="4" t="str">
        <f>IF(AtlasReport_1_Table_1[[#This Row],[Reference]]="Purchase order",_xll.AtlasFormulas.AtlasFunctions.AtlasTable("UAT",DataAreaId,"T.MarkupTrans","%CurrencyCode","","","","","","","MarkupCode|TransRecId|TransTableId","TPP",$L374,"492"),"")</f>
        <v/>
      </c>
      <c r="N374" s="4" t="str">
        <f>IF(AtlasReport_1_Table_1[[#This Row],[Reference]]="Purchase order",_xll.AtlasFormulas.AtlasFunctions.AtlasBalance("UAT",DataAreaId,"T.MarkupTrans","Sum|Posted|0","","","","","","","MarkupCode|TransTableId|TransRecId","TPP","492",$L374),"")</f>
        <v/>
      </c>
    </row>
    <row r="375" spans="1:14" x14ac:dyDescent="0.25">
      <c r="A375" s="8" t="s">
        <v>927</v>
      </c>
      <c r="B375" s="8" t="s">
        <v>1651</v>
      </c>
      <c r="C375" s="8" t="s">
        <v>131</v>
      </c>
      <c r="D375" s="8" t="s">
        <v>132</v>
      </c>
      <c r="E375" s="8" t="s">
        <v>261</v>
      </c>
      <c r="F375" s="8" t="s">
        <v>264</v>
      </c>
      <c r="G375" s="6">
        <v>43070</v>
      </c>
      <c r="H375" s="6">
        <v>43070</v>
      </c>
      <c r="I375" s="4">
        <v>-1</v>
      </c>
      <c r="J375" s="8" t="s">
        <v>37</v>
      </c>
      <c r="K375" s="8" t="s">
        <v>1797</v>
      </c>
      <c r="L375" s="4" t="str">
        <f>IF(AtlasReport_1_Table_1[[#This Row],[Reference]]="Purchase order",_xll.AtlasFormulas.AtlasFunctions.AtlasTable("UAT",DataAreaId,"T.VendInvoiceTrans","%RecId","","","","","","","ItemId|PurchID|InventTransId",$C375,$B375,$K375),"")</f>
        <v/>
      </c>
      <c r="M375" s="4" t="str">
        <f>IF(AtlasReport_1_Table_1[[#This Row],[Reference]]="Purchase order",_xll.AtlasFormulas.AtlasFunctions.AtlasTable("UAT",DataAreaId,"T.MarkupTrans","%CurrencyCode","","","","","","","MarkupCode|TransRecId|TransTableId","TPP",$L375,"492"),"")</f>
        <v/>
      </c>
      <c r="N375" s="4" t="str">
        <f>IF(AtlasReport_1_Table_1[[#This Row],[Reference]]="Purchase order",_xll.AtlasFormulas.AtlasFunctions.AtlasBalance("UAT",DataAreaId,"T.MarkupTrans","Sum|Posted|0","","","","","","","MarkupCode|TransTableId|TransRecId","TPP","492",$L375),"")</f>
        <v/>
      </c>
    </row>
    <row r="376" spans="1:14" x14ac:dyDescent="0.25">
      <c r="A376" s="8" t="s">
        <v>927</v>
      </c>
      <c r="B376" s="8" t="s">
        <v>1651</v>
      </c>
      <c r="C376" s="8" t="s">
        <v>411</v>
      </c>
      <c r="D376" s="8" t="s">
        <v>1149</v>
      </c>
      <c r="E376" s="8" t="s">
        <v>261</v>
      </c>
      <c r="F376" s="8" t="s">
        <v>264</v>
      </c>
      <c r="G376" s="6">
        <v>43070</v>
      </c>
      <c r="H376" s="6">
        <v>43070</v>
      </c>
      <c r="I376" s="4">
        <v>-2</v>
      </c>
      <c r="J376" s="8" t="s">
        <v>133</v>
      </c>
      <c r="K376" s="8" t="s">
        <v>1798</v>
      </c>
      <c r="L376" s="4" t="str">
        <f>IF(AtlasReport_1_Table_1[[#This Row],[Reference]]="Purchase order",_xll.AtlasFormulas.AtlasFunctions.AtlasTable("UAT",DataAreaId,"T.VendInvoiceTrans","%RecId","","","","","","","ItemId|PurchID|InventTransId",$C376,$B376,$K376),"")</f>
        <v/>
      </c>
      <c r="M376" s="4" t="str">
        <f>IF(AtlasReport_1_Table_1[[#This Row],[Reference]]="Purchase order",_xll.AtlasFormulas.AtlasFunctions.AtlasTable("UAT",DataAreaId,"T.MarkupTrans","%CurrencyCode","","","","","","","MarkupCode|TransRecId|TransTableId","TPP",$L376,"492"),"")</f>
        <v/>
      </c>
      <c r="N376" s="4" t="str">
        <f>IF(AtlasReport_1_Table_1[[#This Row],[Reference]]="Purchase order",_xll.AtlasFormulas.AtlasFunctions.AtlasBalance("UAT",DataAreaId,"T.MarkupTrans","Sum|Posted|0","","","","","","","MarkupCode|TransTableId|TransRecId","TPP","492",$L376),"")</f>
        <v/>
      </c>
    </row>
    <row r="377" spans="1:14" x14ac:dyDescent="0.25">
      <c r="A377" s="8" t="s">
        <v>927</v>
      </c>
      <c r="B377" s="8" t="s">
        <v>1653</v>
      </c>
      <c r="C377" s="8" t="s">
        <v>1145</v>
      </c>
      <c r="D377" s="8" t="s">
        <v>1146</v>
      </c>
      <c r="E377" s="8" t="s">
        <v>261</v>
      </c>
      <c r="F377" s="8" t="s">
        <v>264</v>
      </c>
      <c r="G377" s="6">
        <v>43070</v>
      </c>
      <c r="H377" s="6">
        <v>43070</v>
      </c>
      <c r="I377" s="4">
        <v>-1.67E-2</v>
      </c>
      <c r="J377" s="8" t="s">
        <v>190</v>
      </c>
      <c r="K377" s="8" t="s">
        <v>1799</v>
      </c>
      <c r="L377" s="4" t="str">
        <f>IF(AtlasReport_1_Table_1[[#This Row],[Reference]]="Purchase order",_xll.AtlasFormulas.AtlasFunctions.AtlasTable("UAT",DataAreaId,"T.VendInvoiceTrans","%RecId","","","","","","","ItemId|PurchID|InventTransId",$C377,$B377,$K377),"")</f>
        <v/>
      </c>
      <c r="M377" s="4" t="str">
        <f>IF(AtlasReport_1_Table_1[[#This Row],[Reference]]="Purchase order",_xll.AtlasFormulas.AtlasFunctions.AtlasTable("UAT",DataAreaId,"T.MarkupTrans","%CurrencyCode","","","","","","","MarkupCode|TransRecId|TransTableId","TPP",$L377,"492"),"")</f>
        <v/>
      </c>
      <c r="N377" s="4" t="str">
        <f>IF(AtlasReport_1_Table_1[[#This Row],[Reference]]="Purchase order",_xll.AtlasFormulas.AtlasFunctions.AtlasBalance("UAT",DataAreaId,"T.MarkupTrans","Sum|Posted|0","","","","","","","MarkupCode|TransTableId|TransRecId","TPP","492",$L377),"")</f>
        <v/>
      </c>
    </row>
    <row r="378" spans="1:14" x14ac:dyDescent="0.25">
      <c r="A378" s="8" t="s">
        <v>927</v>
      </c>
      <c r="B378" s="8" t="s">
        <v>1653</v>
      </c>
      <c r="C378" s="8" t="s">
        <v>131</v>
      </c>
      <c r="D378" s="8" t="s">
        <v>132</v>
      </c>
      <c r="E378" s="8" t="s">
        <v>261</v>
      </c>
      <c r="F378" s="8" t="s">
        <v>264</v>
      </c>
      <c r="G378" s="6">
        <v>43070</v>
      </c>
      <c r="H378" s="6">
        <v>43070</v>
      </c>
      <c r="I378" s="4">
        <v>-1</v>
      </c>
      <c r="J378" s="8" t="s">
        <v>37</v>
      </c>
      <c r="K378" s="8" t="s">
        <v>1800</v>
      </c>
      <c r="L378" s="4" t="str">
        <f>IF(AtlasReport_1_Table_1[[#This Row],[Reference]]="Purchase order",_xll.AtlasFormulas.AtlasFunctions.AtlasTable("UAT",DataAreaId,"T.VendInvoiceTrans","%RecId","","","","","","","ItemId|PurchID|InventTransId",$C378,$B378,$K378),"")</f>
        <v/>
      </c>
      <c r="M378" s="4" t="str">
        <f>IF(AtlasReport_1_Table_1[[#This Row],[Reference]]="Purchase order",_xll.AtlasFormulas.AtlasFunctions.AtlasTable("UAT",DataAreaId,"T.MarkupTrans","%CurrencyCode","","","","","","","MarkupCode|TransRecId|TransTableId","TPP",$L378,"492"),"")</f>
        <v/>
      </c>
      <c r="N378" s="4" t="str">
        <f>IF(AtlasReport_1_Table_1[[#This Row],[Reference]]="Purchase order",_xll.AtlasFormulas.AtlasFunctions.AtlasBalance("UAT",DataAreaId,"T.MarkupTrans","Sum|Posted|0","","","","","","","MarkupCode|TransTableId|TransRecId","TPP","492",$L378),"")</f>
        <v/>
      </c>
    </row>
    <row r="379" spans="1:14" x14ac:dyDescent="0.25">
      <c r="A379" s="8" t="s">
        <v>927</v>
      </c>
      <c r="B379" s="8" t="s">
        <v>1653</v>
      </c>
      <c r="C379" s="8" t="s">
        <v>411</v>
      </c>
      <c r="D379" s="8" t="s">
        <v>1149</v>
      </c>
      <c r="E379" s="8" t="s">
        <v>261</v>
      </c>
      <c r="F379" s="8" t="s">
        <v>264</v>
      </c>
      <c r="G379" s="6">
        <v>43070</v>
      </c>
      <c r="H379" s="6">
        <v>43070</v>
      </c>
      <c r="I379" s="4">
        <v>-2</v>
      </c>
      <c r="J379" s="8" t="s">
        <v>133</v>
      </c>
      <c r="K379" s="8" t="s">
        <v>1801</v>
      </c>
      <c r="L379" s="4" t="str">
        <f>IF(AtlasReport_1_Table_1[[#This Row],[Reference]]="Purchase order",_xll.AtlasFormulas.AtlasFunctions.AtlasTable("UAT",DataAreaId,"T.VendInvoiceTrans","%RecId","","","","","","","ItemId|PurchID|InventTransId",$C379,$B379,$K379),"")</f>
        <v/>
      </c>
      <c r="M379" s="4" t="str">
        <f>IF(AtlasReport_1_Table_1[[#This Row],[Reference]]="Purchase order",_xll.AtlasFormulas.AtlasFunctions.AtlasTable("UAT",DataAreaId,"T.MarkupTrans","%CurrencyCode","","","","","","","MarkupCode|TransRecId|TransTableId","TPP",$L379,"492"),"")</f>
        <v/>
      </c>
      <c r="N379" s="4" t="str">
        <f>IF(AtlasReport_1_Table_1[[#This Row],[Reference]]="Purchase order",_xll.AtlasFormulas.AtlasFunctions.AtlasBalance("UAT",DataAreaId,"T.MarkupTrans","Sum|Posted|0","","","","","","","MarkupCode|TransTableId|TransRecId","TPP","492",$L379),"")</f>
        <v/>
      </c>
    </row>
    <row r="380" spans="1:14" x14ac:dyDescent="0.25">
      <c r="A380" s="8" t="s">
        <v>927</v>
      </c>
      <c r="B380" s="8" t="s">
        <v>1655</v>
      </c>
      <c r="C380" s="8" t="s">
        <v>1145</v>
      </c>
      <c r="D380" s="8" t="s">
        <v>1146</v>
      </c>
      <c r="E380" s="8" t="s">
        <v>261</v>
      </c>
      <c r="F380" s="8" t="s">
        <v>264</v>
      </c>
      <c r="G380" s="6">
        <v>43074</v>
      </c>
      <c r="H380" s="6">
        <v>43074</v>
      </c>
      <c r="I380" s="4">
        <v>-6.6600000000000006E-2</v>
      </c>
      <c r="J380" s="8" t="s">
        <v>190</v>
      </c>
      <c r="K380" s="8" t="s">
        <v>1802</v>
      </c>
      <c r="L380" s="4" t="str">
        <f>IF(AtlasReport_1_Table_1[[#This Row],[Reference]]="Purchase order",_xll.AtlasFormulas.AtlasFunctions.AtlasTable("UAT",DataAreaId,"T.VendInvoiceTrans","%RecId","","","","","","","ItemId|PurchID|InventTransId",$C380,$B380,$K380),"")</f>
        <v/>
      </c>
      <c r="M380" s="4" t="str">
        <f>IF(AtlasReport_1_Table_1[[#This Row],[Reference]]="Purchase order",_xll.AtlasFormulas.AtlasFunctions.AtlasTable("UAT",DataAreaId,"T.MarkupTrans","%CurrencyCode","","","","","","","MarkupCode|TransRecId|TransTableId","TPP",$L380,"492"),"")</f>
        <v/>
      </c>
      <c r="N380" s="4" t="str">
        <f>IF(AtlasReport_1_Table_1[[#This Row],[Reference]]="Purchase order",_xll.AtlasFormulas.AtlasFunctions.AtlasBalance("UAT",DataAreaId,"T.MarkupTrans","Sum|Posted|0","","","","","","","MarkupCode|TransTableId|TransRecId","TPP","492",$L380),"")</f>
        <v/>
      </c>
    </row>
    <row r="381" spans="1:14" x14ac:dyDescent="0.25">
      <c r="A381" s="8" t="s">
        <v>927</v>
      </c>
      <c r="B381" s="8" t="s">
        <v>1655</v>
      </c>
      <c r="C381" s="8" t="s">
        <v>131</v>
      </c>
      <c r="D381" s="8" t="s">
        <v>132</v>
      </c>
      <c r="E381" s="8" t="s">
        <v>261</v>
      </c>
      <c r="F381" s="8" t="s">
        <v>264</v>
      </c>
      <c r="G381" s="6">
        <v>43074</v>
      </c>
      <c r="H381" s="6">
        <v>43074</v>
      </c>
      <c r="I381" s="4">
        <v>-4</v>
      </c>
      <c r="J381" s="8" t="s">
        <v>37</v>
      </c>
      <c r="K381" s="8" t="s">
        <v>1803</v>
      </c>
      <c r="L381" s="4" t="str">
        <f>IF(AtlasReport_1_Table_1[[#This Row],[Reference]]="Purchase order",_xll.AtlasFormulas.AtlasFunctions.AtlasTable("UAT",DataAreaId,"T.VendInvoiceTrans","%RecId","","","","","","","ItemId|PurchID|InventTransId",$C381,$B381,$K381),"")</f>
        <v/>
      </c>
      <c r="M381" s="4" t="str">
        <f>IF(AtlasReport_1_Table_1[[#This Row],[Reference]]="Purchase order",_xll.AtlasFormulas.AtlasFunctions.AtlasTable("UAT",DataAreaId,"T.MarkupTrans","%CurrencyCode","","","","","","","MarkupCode|TransRecId|TransTableId","TPP",$L381,"492"),"")</f>
        <v/>
      </c>
      <c r="N381" s="4" t="str">
        <f>IF(AtlasReport_1_Table_1[[#This Row],[Reference]]="Purchase order",_xll.AtlasFormulas.AtlasFunctions.AtlasBalance("UAT",DataAreaId,"T.MarkupTrans","Sum|Posted|0","","","","","","","MarkupCode|TransTableId|TransRecId","TPP","492",$L381),"")</f>
        <v/>
      </c>
    </row>
    <row r="382" spans="1:14" x14ac:dyDescent="0.25">
      <c r="A382" s="8" t="s">
        <v>927</v>
      </c>
      <c r="B382" s="8" t="s">
        <v>1655</v>
      </c>
      <c r="C382" s="8" t="s">
        <v>411</v>
      </c>
      <c r="D382" s="8" t="s">
        <v>1149</v>
      </c>
      <c r="E382" s="8" t="s">
        <v>261</v>
      </c>
      <c r="F382" s="8" t="s">
        <v>264</v>
      </c>
      <c r="G382" s="6">
        <v>43074</v>
      </c>
      <c r="H382" s="6">
        <v>43074</v>
      </c>
      <c r="I382" s="4">
        <v>-8</v>
      </c>
      <c r="J382" s="8" t="s">
        <v>133</v>
      </c>
      <c r="K382" s="8" t="s">
        <v>1804</v>
      </c>
      <c r="L382" s="4" t="str">
        <f>IF(AtlasReport_1_Table_1[[#This Row],[Reference]]="Purchase order",_xll.AtlasFormulas.AtlasFunctions.AtlasTable("UAT",DataAreaId,"T.VendInvoiceTrans","%RecId","","","","","","","ItemId|PurchID|InventTransId",$C382,$B382,$K382),"")</f>
        <v/>
      </c>
      <c r="M382" s="4" t="str">
        <f>IF(AtlasReport_1_Table_1[[#This Row],[Reference]]="Purchase order",_xll.AtlasFormulas.AtlasFunctions.AtlasTable("UAT",DataAreaId,"T.MarkupTrans","%CurrencyCode","","","","","","","MarkupCode|TransRecId|TransTableId","TPP",$L382,"492"),"")</f>
        <v/>
      </c>
      <c r="N382" s="4" t="str">
        <f>IF(AtlasReport_1_Table_1[[#This Row],[Reference]]="Purchase order",_xll.AtlasFormulas.AtlasFunctions.AtlasBalance("UAT",DataAreaId,"T.MarkupTrans","Sum|Posted|0","","","","","","","MarkupCode|TransTableId|TransRecId","TPP","492",$L382),"")</f>
        <v/>
      </c>
    </row>
    <row r="383" spans="1:14" x14ac:dyDescent="0.25">
      <c r="A383" s="8" t="s">
        <v>927</v>
      </c>
      <c r="B383" s="8" t="s">
        <v>1657</v>
      </c>
      <c r="C383" s="8" t="s">
        <v>129</v>
      </c>
      <c r="D383" s="8" t="s">
        <v>130</v>
      </c>
      <c r="E383" s="8" t="s">
        <v>261</v>
      </c>
      <c r="F383" s="8" t="s">
        <v>264</v>
      </c>
      <c r="G383" s="6">
        <v>43075</v>
      </c>
      <c r="H383" s="6">
        <v>43075</v>
      </c>
      <c r="I383" s="4">
        <v>-16</v>
      </c>
      <c r="J383" s="8" t="s">
        <v>37</v>
      </c>
      <c r="K383" s="8" t="s">
        <v>1805</v>
      </c>
      <c r="L383" s="4" t="str">
        <f>IF(AtlasReport_1_Table_1[[#This Row],[Reference]]="Purchase order",_xll.AtlasFormulas.AtlasFunctions.AtlasTable("UAT",DataAreaId,"T.VendInvoiceTrans","%RecId","","","","","","","ItemId|PurchID|InventTransId",$C383,$B383,$K383),"")</f>
        <v/>
      </c>
      <c r="M383" s="4" t="str">
        <f>IF(AtlasReport_1_Table_1[[#This Row],[Reference]]="Purchase order",_xll.AtlasFormulas.AtlasFunctions.AtlasTable("UAT",DataAreaId,"T.MarkupTrans","%CurrencyCode","","","","","","","MarkupCode|TransRecId|TransTableId","TPP",$L383,"492"),"")</f>
        <v/>
      </c>
      <c r="N383" s="4" t="str">
        <f>IF(AtlasReport_1_Table_1[[#This Row],[Reference]]="Purchase order",_xll.AtlasFormulas.AtlasFunctions.AtlasBalance("UAT",DataAreaId,"T.MarkupTrans","Sum|Posted|0","","","","","","","MarkupCode|TransTableId|TransRecId","TPP","492",$L383),"")</f>
        <v/>
      </c>
    </row>
    <row r="384" spans="1:14" x14ac:dyDescent="0.25">
      <c r="A384" s="8" t="s">
        <v>927</v>
      </c>
      <c r="B384" s="8" t="s">
        <v>1657</v>
      </c>
      <c r="C384" s="8" t="s">
        <v>1143</v>
      </c>
      <c r="D384" s="8" t="s">
        <v>1144</v>
      </c>
      <c r="E384" s="8" t="s">
        <v>261</v>
      </c>
      <c r="F384" s="8" t="s">
        <v>264</v>
      </c>
      <c r="G384" s="6">
        <v>43075</v>
      </c>
      <c r="H384" s="6">
        <v>43075</v>
      </c>
      <c r="I384" s="4">
        <v>-16</v>
      </c>
      <c r="J384" s="8" t="s">
        <v>37</v>
      </c>
      <c r="K384" s="8" t="s">
        <v>1806</v>
      </c>
      <c r="L384" s="4" t="str">
        <f>IF(AtlasReport_1_Table_1[[#This Row],[Reference]]="Purchase order",_xll.AtlasFormulas.AtlasFunctions.AtlasTable("UAT",DataAreaId,"T.VendInvoiceTrans","%RecId","","","","","","","ItemId|PurchID|InventTransId",$C384,$B384,$K384),"")</f>
        <v/>
      </c>
      <c r="M384" s="4" t="str">
        <f>IF(AtlasReport_1_Table_1[[#This Row],[Reference]]="Purchase order",_xll.AtlasFormulas.AtlasFunctions.AtlasTable("UAT",DataAreaId,"T.MarkupTrans","%CurrencyCode","","","","","","","MarkupCode|TransRecId|TransTableId","TPP",$L384,"492"),"")</f>
        <v/>
      </c>
      <c r="N384" s="4" t="str">
        <f>IF(AtlasReport_1_Table_1[[#This Row],[Reference]]="Purchase order",_xll.AtlasFormulas.AtlasFunctions.AtlasBalance("UAT",DataAreaId,"T.MarkupTrans","Sum|Posted|0","","","","","","","MarkupCode|TransTableId|TransRecId","TPP","492",$L384),"")</f>
        <v/>
      </c>
    </row>
    <row r="385" spans="1:14" x14ac:dyDescent="0.25">
      <c r="A385" s="8" t="s">
        <v>927</v>
      </c>
      <c r="B385" s="8" t="s">
        <v>1659</v>
      </c>
      <c r="C385" s="8" t="s">
        <v>129</v>
      </c>
      <c r="D385" s="8" t="s">
        <v>130</v>
      </c>
      <c r="E385" s="8" t="s">
        <v>261</v>
      </c>
      <c r="F385" s="8" t="s">
        <v>264</v>
      </c>
      <c r="G385" s="6">
        <v>43075</v>
      </c>
      <c r="H385" s="6">
        <v>43075</v>
      </c>
      <c r="I385" s="4">
        <v>-10</v>
      </c>
      <c r="J385" s="8" t="s">
        <v>37</v>
      </c>
      <c r="K385" s="8" t="s">
        <v>1807</v>
      </c>
      <c r="L385" s="4" t="str">
        <f>IF(AtlasReport_1_Table_1[[#This Row],[Reference]]="Purchase order",_xll.AtlasFormulas.AtlasFunctions.AtlasTable("UAT",DataAreaId,"T.VendInvoiceTrans","%RecId","","","","","","","ItemId|PurchID|InventTransId",$C385,$B385,$K385),"")</f>
        <v/>
      </c>
      <c r="M385" s="4" t="str">
        <f>IF(AtlasReport_1_Table_1[[#This Row],[Reference]]="Purchase order",_xll.AtlasFormulas.AtlasFunctions.AtlasTable("UAT",DataAreaId,"T.MarkupTrans","%CurrencyCode","","","","","","","MarkupCode|TransRecId|TransTableId","TPP",$L385,"492"),"")</f>
        <v/>
      </c>
      <c r="N385" s="4" t="str">
        <f>IF(AtlasReport_1_Table_1[[#This Row],[Reference]]="Purchase order",_xll.AtlasFormulas.AtlasFunctions.AtlasBalance("UAT",DataAreaId,"T.MarkupTrans","Sum|Posted|0","","","","","","","MarkupCode|TransTableId|TransRecId","TPP","492",$L385),"")</f>
        <v/>
      </c>
    </row>
    <row r="386" spans="1:14" x14ac:dyDescent="0.25">
      <c r="A386" s="8" t="s">
        <v>927</v>
      </c>
      <c r="B386" s="8" t="s">
        <v>1659</v>
      </c>
      <c r="C386" s="8" t="s">
        <v>1143</v>
      </c>
      <c r="D386" s="8" t="s">
        <v>1144</v>
      </c>
      <c r="E386" s="8" t="s">
        <v>261</v>
      </c>
      <c r="F386" s="8" t="s">
        <v>264</v>
      </c>
      <c r="G386" s="6">
        <v>43075</v>
      </c>
      <c r="H386" s="6">
        <v>43075</v>
      </c>
      <c r="I386" s="4">
        <v>-10</v>
      </c>
      <c r="J386" s="8" t="s">
        <v>37</v>
      </c>
      <c r="K386" s="8" t="s">
        <v>1808</v>
      </c>
      <c r="L386" s="4" t="str">
        <f>IF(AtlasReport_1_Table_1[[#This Row],[Reference]]="Purchase order",_xll.AtlasFormulas.AtlasFunctions.AtlasTable("UAT",DataAreaId,"T.VendInvoiceTrans","%RecId","","","","","","","ItemId|PurchID|InventTransId",$C386,$B386,$K386),"")</f>
        <v/>
      </c>
      <c r="M386" s="4" t="str">
        <f>IF(AtlasReport_1_Table_1[[#This Row],[Reference]]="Purchase order",_xll.AtlasFormulas.AtlasFunctions.AtlasTable("UAT",DataAreaId,"T.MarkupTrans","%CurrencyCode","","","","","","","MarkupCode|TransRecId|TransTableId","TPP",$L386,"492"),"")</f>
        <v/>
      </c>
      <c r="N386" s="4" t="str">
        <f>IF(AtlasReport_1_Table_1[[#This Row],[Reference]]="Purchase order",_xll.AtlasFormulas.AtlasFunctions.AtlasBalance("UAT",DataAreaId,"T.MarkupTrans","Sum|Posted|0","","","","","","","MarkupCode|TransTableId|TransRecId","TPP","492",$L386),"")</f>
        <v/>
      </c>
    </row>
    <row r="387" spans="1:14" x14ac:dyDescent="0.25">
      <c r="A387" s="8" t="s">
        <v>927</v>
      </c>
      <c r="B387" s="8" t="s">
        <v>1661</v>
      </c>
      <c r="C387" s="8" t="s">
        <v>129</v>
      </c>
      <c r="D387" s="8" t="s">
        <v>130</v>
      </c>
      <c r="E387" s="8" t="s">
        <v>261</v>
      </c>
      <c r="F387" s="8" t="s">
        <v>264</v>
      </c>
      <c r="G387" s="6">
        <v>43075</v>
      </c>
      <c r="H387" s="6">
        <v>43075</v>
      </c>
      <c r="I387" s="4">
        <v>-10</v>
      </c>
      <c r="J387" s="8" t="s">
        <v>37</v>
      </c>
      <c r="K387" s="8" t="s">
        <v>1809</v>
      </c>
      <c r="L387" s="4" t="str">
        <f>IF(AtlasReport_1_Table_1[[#This Row],[Reference]]="Purchase order",_xll.AtlasFormulas.AtlasFunctions.AtlasTable("UAT",DataAreaId,"T.VendInvoiceTrans","%RecId","","","","","","","ItemId|PurchID|InventTransId",$C387,$B387,$K387),"")</f>
        <v/>
      </c>
      <c r="M387" s="4" t="str">
        <f>IF(AtlasReport_1_Table_1[[#This Row],[Reference]]="Purchase order",_xll.AtlasFormulas.AtlasFunctions.AtlasTable("UAT",DataAreaId,"T.MarkupTrans","%CurrencyCode","","","","","","","MarkupCode|TransRecId|TransTableId","TPP",$L387,"492"),"")</f>
        <v/>
      </c>
      <c r="N387" s="4" t="str">
        <f>IF(AtlasReport_1_Table_1[[#This Row],[Reference]]="Purchase order",_xll.AtlasFormulas.AtlasFunctions.AtlasBalance("UAT",DataAreaId,"T.MarkupTrans","Sum|Posted|0","","","","","","","MarkupCode|TransTableId|TransRecId","TPP","492",$L387),"")</f>
        <v/>
      </c>
    </row>
    <row r="388" spans="1:14" x14ac:dyDescent="0.25">
      <c r="A388" s="8" t="s">
        <v>927</v>
      </c>
      <c r="B388" s="8" t="s">
        <v>1661</v>
      </c>
      <c r="C388" s="8" t="s">
        <v>1143</v>
      </c>
      <c r="D388" s="8" t="s">
        <v>1144</v>
      </c>
      <c r="E388" s="8" t="s">
        <v>261</v>
      </c>
      <c r="F388" s="8" t="s">
        <v>264</v>
      </c>
      <c r="G388" s="6">
        <v>43075</v>
      </c>
      <c r="H388" s="6">
        <v>43075</v>
      </c>
      <c r="I388" s="4">
        <v>-10</v>
      </c>
      <c r="J388" s="8" t="s">
        <v>37</v>
      </c>
      <c r="K388" s="8" t="s">
        <v>1810</v>
      </c>
      <c r="L388" s="4" t="str">
        <f>IF(AtlasReport_1_Table_1[[#This Row],[Reference]]="Purchase order",_xll.AtlasFormulas.AtlasFunctions.AtlasTable("UAT",DataAreaId,"T.VendInvoiceTrans","%RecId","","","","","","","ItemId|PurchID|InventTransId",$C388,$B388,$K388),"")</f>
        <v/>
      </c>
      <c r="M388" s="4" t="str">
        <f>IF(AtlasReport_1_Table_1[[#This Row],[Reference]]="Purchase order",_xll.AtlasFormulas.AtlasFunctions.AtlasTable("UAT",DataAreaId,"T.MarkupTrans","%CurrencyCode","","","","","","","MarkupCode|TransRecId|TransTableId","TPP",$L388,"492"),"")</f>
        <v/>
      </c>
      <c r="N388" s="4" t="str">
        <f>IF(AtlasReport_1_Table_1[[#This Row],[Reference]]="Purchase order",_xll.AtlasFormulas.AtlasFunctions.AtlasBalance("UAT",DataAreaId,"T.MarkupTrans","Sum|Posted|0","","","","","","","MarkupCode|TransTableId|TransRecId","TPP","492",$L388),"")</f>
        <v/>
      </c>
    </row>
    <row r="389" spans="1:14" x14ac:dyDescent="0.25">
      <c r="A389" s="8" t="s">
        <v>927</v>
      </c>
      <c r="B389" s="8" t="s">
        <v>1663</v>
      </c>
      <c r="C389" s="8" t="s">
        <v>129</v>
      </c>
      <c r="D389" s="8" t="s">
        <v>130</v>
      </c>
      <c r="E389" s="8" t="s">
        <v>261</v>
      </c>
      <c r="F389" s="8" t="s">
        <v>264</v>
      </c>
      <c r="G389" s="6">
        <v>43075</v>
      </c>
      <c r="H389" s="6">
        <v>43075</v>
      </c>
      <c r="I389" s="4">
        <v>-2</v>
      </c>
      <c r="J389" s="8" t="s">
        <v>37</v>
      </c>
      <c r="K389" s="8" t="s">
        <v>1811</v>
      </c>
      <c r="L389" s="4" t="str">
        <f>IF(AtlasReport_1_Table_1[[#This Row],[Reference]]="Purchase order",_xll.AtlasFormulas.AtlasFunctions.AtlasTable("UAT",DataAreaId,"T.VendInvoiceTrans","%RecId","","","","","","","ItemId|PurchID|InventTransId",$C389,$B389,$K389),"")</f>
        <v/>
      </c>
      <c r="M389" s="4" t="str">
        <f>IF(AtlasReport_1_Table_1[[#This Row],[Reference]]="Purchase order",_xll.AtlasFormulas.AtlasFunctions.AtlasTable("UAT",DataAreaId,"T.MarkupTrans","%CurrencyCode","","","","","","","MarkupCode|TransRecId|TransTableId","TPP",$L389,"492"),"")</f>
        <v/>
      </c>
      <c r="N389" s="4" t="str">
        <f>IF(AtlasReport_1_Table_1[[#This Row],[Reference]]="Purchase order",_xll.AtlasFormulas.AtlasFunctions.AtlasBalance("UAT",DataAreaId,"T.MarkupTrans","Sum|Posted|0","","","","","","","MarkupCode|TransTableId|TransRecId","TPP","492",$L389),"")</f>
        <v/>
      </c>
    </row>
    <row r="390" spans="1:14" x14ac:dyDescent="0.25">
      <c r="A390" s="8" t="s">
        <v>927</v>
      </c>
      <c r="B390" s="8" t="s">
        <v>1663</v>
      </c>
      <c r="C390" s="8" t="s">
        <v>1143</v>
      </c>
      <c r="D390" s="8" t="s">
        <v>1144</v>
      </c>
      <c r="E390" s="8" t="s">
        <v>261</v>
      </c>
      <c r="F390" s="8" t="s">
        <v>264</v>
      </c>
      <c r="G390" s="6">
        <v>43075</v>
      </c>
      <c r="H390" s="6">
        <v>43075</v>
      </c>
      <c r="I390" s="4">
        <v>-2</v>
      </c>
      <c r="J390" s="8" t="s">
        <v>37</v>
      </c>
      <c r="K390" s="8" t="s">
        <v>1812</v>
      </c>
      <c r="L390" s="4" t="str">
        <f>IF(AtlasReport_1_Table_1[[#This Row],[Reference]]="Purchase order",_xll.AtlasFormulas.AtlasFunctions.AtlasTable("UAT",DataAreaId,"T.VendInvoiceTrans","%RecId","","","","","","","ItemId|PurchID|InventTransId",$C390,$B390,$K390),"")</f>
        <v/>
      </c>
      <c r="M390" s="4" t="str">
        <f>IF(AtlasReport_1_Table_1[[#This Row],[Reference]]="Purchase order",_xll.AtlasFormulas.AtlasFunctions.AtlasTable("UAT",DataAreaId,"T.MarkupTrans","%CurrencyCode","","","","","","","MarkupCode|TransRecId|TransTableId","TPP",$L390,"492"),"")</f>
        <v/>
      </c>
      <c r="N390" s="4" t="str">
        <f>IF(AtlasReport_1_Table_1[[#This Row],[Reference]]="Purchase order",_xll.AtlasFormulas.AtlasFunctions.AtlasBalance("UAT",DataAreaId,"T.MarkupTrans","Sum|Posted|0","","","","","","","MarkupCode|TransTableId|TransRecId","TPP","492",$L390),"")</f>
        <v/>
      </c>
    </row>
    <row r="391" spans="1:14" x14ac:dyDescent="0.25">
      <c r="A391" s="8" t="s">
        <v>927</v>
      </c>
      <c r="B391" s="8" t="s">
        <v>1665</v>
      </c>
      <c r="C391" s="8" t="s">
        <v>129</v>
      </c>
      <c r="D391" s="8" t="s">
        <v>130</v>
      </c>
      <c r="E391" s="8" t="s">
        <v>261</v>
      </c>
      <c r="F391" s="8" t="s">
        <v>264</v>
      </c>
      <c r="G391" s="6">
        <v>43075</v>
      </c>
      <c r="H391" s="6">
        <v>43075</v>
      </c>
      <c r="I391" s="4">
        <v>-2</v>
      </c>
      <c r="J391" s="8" t="s">
        <v>37</v>
      </c>
      <c r="K391" s="8" t="s">
        <v>1813</v>
      </c>
      <c r="L391" s="4" t="str">
        <f>IF(AtlasReport_1_Table_1[[#This Row],[Reference]]="Purchase order",_xll.AtlasFormulas.AtlasFunctions.AtlasTable("UAT",DataAreaId,"T.VendInvoiceTrans","%RecId","","","","","","","ItemId|PurchID|InventTransId",$C391,$B391,$K391),"")</f>
        <v/>
      </c>
      <c r="M391" s="4" t="str">
        <f>IF(AtlasReport_1_Table_1[[#This Row],[Reference]]="Purchase order",_xll.AtlasFormulas.AtlasFunctions.AtlasTable("UAT",DataAreaId,"T.MarkupTrans","%CurrencyCode","","","","","","","MarkupCode|TransRecId|TransTableId","TPP",$L391,"492"),"")</f>
        <v/>
      </c>
      <c r="N391" s="4" t="str">
        <f>IF(AtlasReport_1_Table_1[[#This Row],[Reference]]="Purchase order",_xll.AtlasFormulas.AtlasFunctions.AtlasBalance("UAT",DataAreaId,"T.MarkupTrans","Sum|Posted|0","","","","","","","MarkupCode|TransTableId|TransRecId","TPP","492",$L391),"")</f>
        <v/>
      </c>
    </row>
    <row r="392" spans="1:14" x14ac:dyDescent="0.25">
      <c r="A392" s="8" t="s">
        <v>927</v>
      </c>
      <c r="B392" s="8" t="s">
        <v>1665</v>
      </c>
      <c r="C392" s="8" t="s">
        <v>1143</v>
      </c>
      <c r="D392" s="8" t="s">
        <v>1144</v>
      </c>
      <c r="E392" s="8" t="s">
        <v>261</v>
      </c>
      <c r="F392" s="8" t="s">
        <v>264</v>
      </c>
      <c r="G392" s="6">
        <v>43075</v>
      </c>
      <c r="H392" s="6">
        <v>43075</v>
      </c>
      <c r="I392" s="4">
        <v>-2</v>
      </c>
      <c r="J392" s="8" t="s">
        <v>37</v>
      </c>
      <c r="K392" s="8" t="s">
        <v>1814</v>
      </c>
      <c r="L392" s="4" t="str">
        <f>IF(AtlasReport_1_Table_1[[#This Row],[Reference]]="Purchase order",_xll.AtlasFormulas.AtlasFunctions.AtlasTable("UAT",DataAreaId,"T.VendInvoiceTrans","%RecId","","","","","","","ItemId|PurchID|InventTransId",$C392,$B392,$K392),"")</f>
        <v/>
      </c>
      <c r="M392" s="4" t="str">
        <f>IF(AtlasReport_1_Table_1[[#This Row],[Reference]]="Purchase order",_xll.AtlasFormulas.AtlasFunctions.AtlasTable("UAT",DataAreaId,"T.MarkupTrans","%CurrencyCode","","","","","","","MarkupCode|TransRecId|TransTableId","TPP",$L392,"492"),"")</f>
        <v/>
      </c>
      <c r="N392" s="4" t="str">
        <f>IF(AtlasReport_1_Table_1[[#This Row],[Reference]]="Purchase order",_xll.AtlasFormulas.AtlasFunctions.AtlasBalance("UAT",DataAreaId,"T.MarkupTrans","Sum|Posted|0","","","","","","","MarkupCode|TransTableId|TransRecId","TPP","492",$L392),"")</f>
        <v/>
      </c>
    </row>
    <row r="393" spans="1:14" x14ac:dyDescent="0.25">
      <c r="A393" s="8" t="s">
        <v>927</v>
      </c>
      <c r="B393" s="8" t="s">
        <v>1667</v>
      </c>
      <c r="C393" s="8" t="s">
        <v>129</v>
      </c>
      <c r="D393" s="8" t="s">
        <v>130</v>
      </c>
      <c r="E393" s="8" t="s">
        <v>261</v>
      </c>
      <c r="F393" s="8" t="s">
        <v>264</v>
      </c>
      <c r="G393" s="6">
        <v>43075</v>
      </c>
      <c r="H393" s="6">
        <v>43075</v>
      </c>
      <c r="I393" s="4">
        <v>-6</v>
      </c>
      <c r="J393" s="8" t="s">
        <v>37</v>
      </c>
      <c r="K393" s="8" t="s">
        <v>1815</v>
      </c>
      <c r="L393" s="4" t="str">
        <f>IF(AtlasReport_1_Table_1[[#This Row],[Reference]]="Purchase order",_xll.AtlasFormulas.AtlasFunctions.AtlasTable("UAT",DataAreaId,"T.VendInvoiceTrans","%RecId","","","","","","","ItemId|PurchID|InventTransId",$C393,$B393,$K393),"")</f>
        <v/>
      </c>
      <c r="M393" s="4" t="str">
        <f>IF(AtlasReport_1_Table_1[[#This Row],[Reference]]="Purchase order",_xll.AtlasFormulas.AtlasFunctions.AtlasTable("UAT",DataAreaId,"T.MarkupTrans","%CurrencyCode","","","","","","","MarkupCode|TransRecId|TransTableId","TPP",$L393,"492"),"")</f>
        <v/>
      </c>
      <c r="N393" s="4" t="str">
        <f>IF(AtlasReport_1_Table_1[[#This Row],[Reference]]="Purchase order",_xll.AtlasFormulas.AtlasFunctions.AtlasBalance("UAT",DataAreaId,"T.MarkupTrans","Sum|Posted|0","","","","","","","MarkupCode|TransTableId|TransRecId","TPP","492",$L393),"")</f>
        <v/>
      </c>
    </row>
    <row r="394" spans="1:14" x14ac:dyDescent="0.25">
      <c r="A394" s="8" t="s">
        <v>927</v>
      </c>
      <c r="B394" s="8" t="s">
        <v>1667</v>
      </c>
      <c r="C394" s="8" t="s">
        <v>1143</v>
      </c>
      <c r="D394" s="8" t="s">
        <v>1144</v>
      </c>
      <c r="E394" s="8" t="s">
        <v>261</v>
      </c>
      <c r="F394" s="8" t="s">
        <v>264</v>
      </c>
      <c r="G394" s="6">
        <v>43075</v>
      </c>
      <c r="H394" s="6">
        <v>43075</v>
      </c>
      <c r="I394" s="4">
        <v>-6</v>
      </c>
      <c r="J394" s="8" t="s">
        <v>37</v>
      </c>
      <c r="K394" s="8" t="s">
        <v>1816</v>
      </c>
      <c r="L394" s="4" t="str">
        <f>IF(AtlasReport_1_Table_1[[#This Row],[Reference]]="Purchase order",_xll.AtlasFormulas.AtlasFunctions.AtlasTable("UAT",DataAreaId,"T.VendInvoiceTrans","%RecId","","","","","","","ItemId|PurchID|InventTransId",$C394,$B394,$K394),"")</f>
        <v/>
      </c>
      <c r="M394" s="4" t="str">
        <f>IF(AtlasReport_1_Table_1[[#This Row],[Reference]]="Purchase order",_xll.AtlasFormulas.AtlasFunctions.AtlasTable("UAT",DataAreaId,"T.MarkupTrans","%CurrencyCode","","","","","","","MarkupCode|TransRecId|TransTableId","TPP",$L394,"492"),"")</f>
        <v/>
      </c>
      <c r="N394" s="4" t="str">
        <f>IF(AtlasReport_1_Table_1[[#This Row],[Reference]]="Purchase order",_xll.AtlasFormulas.AtlasFunctions.AtlasBalance("UAT",DataAreaId,"T.MarkupTrans","Sum|Posted|0","","","","","","","MarkupCode|TransTableId|TransRecId","TPP","492",$L394),"")</f>
        <v/>
      </c>
    </row>
    <row r="395" spans="1:14" x14ac:dyDescent="0.25">
      <c r="A395" s="8" t="s">
        <v>927</v>
      </c>
      <c r="B395" s="8" t="s">
        <v>1669</v>
      </c>
      <c r="C395" s="8" t="s">
        <v>129</v>
      </c>
      <c r="D395" s="8" t="s">
        <v>130</v>
      </c>
      <c r="E395" s="8" t="s">
        <v>261</v>
      </c>
      <c r="F395" s="8" t="s">
        <v>264</v>
      </c>
      <c r="G395" s="6">
        <v>43075</v>
      </c>
      <c r="H395" s="6">
        <v>43075</v>
      </c>
      <c r="I395" s="4">
        <v>-8</v>
      </c>
      <c r="J395" s="8" t="s">
        <v>37</v>
      </c>
      <c r="K395" s="8" t="s">
        <v>1817</v>
      </c>
      <c r="L395" s="4" t="str">
        <f>IF(AtlasReport_1_Table_1[[#This Row],[Reference]]="Purchase order",_xll.AtlasFormulas.AtlasFunctions.AtlasTable("UAT",DataAreaId,"T.VendInvoiceTrans","%RecId","","","","","","","ItemId|PurchID|InventTransId",$C395,$B395,$K395),"")</f>
        <v/>
      </c>
      <c r="M395" s="4" t="str">
        <f>IF(AtlasReport_1_Table_1[[#This Row],[Reference]]="Purchase order",_xll.AtlasFormulas.AtlasFunctions.AtlasTable("UAT",DataAreaId,"T.MarkupTrans","%CurrencyCode","","","","","","","MarkupCode|TransRecId|TransTableId","TPP",$L395,"492"),"")</f>
        <v/>
      </c>
      <c r="N395" s="4" t="str">
        <f>IF(AtlasReport_1_Table_1[[#This Row],[Reference]]="Purchase order",_xll.AtlasFormulas.AtlasFunctions.AtlasBalance("UAT",DataAreaId,"T.MarkupTrans","Sum|Posted|0","","","","","","","MarkupCode|TransTableId|TransRecId","TPP","492",$L395),"")</f>
        <v/>
      </c>
    </row>
    <row r="396" spans="1:14" x14ac:dyDescent="0.25">
      <c r="A396" s="8" t="s">
        <v>927</v>
      </c>
      <c r="B396" s="8" t="s">
        <v>1669</v>
      </c>
      <c r="C396" s="8" t="s">
        <v>1143</v>
      </c>
      <c r="D396" s="8" t="s">
        <v>1144</v>
      </c>
      <c r="E396" s="8" t="s">
        <v>261</v>
      </c>
      <c r="F396" s="8" t="s">
        <v>264</v>
      </c>
      <c r="G396" s="6">
        <v>43075</v>
      </c>
      <c r="H396" s="6">
        <v>43075</v>
      </c>
      <c r="I396" s="4">
        <v>-8</v>
      </c>
      <c r="J396" s="8" t="s">
        <v>37</v>
      </c>
      <c r="K396" s="8" t="s">
        <v>1818</v>
      </c>
      <c r="L396" s="4" t="str">
        <f>IF(AtlasReport_1_Table_1[[#This Row],[Reference]]="Purchase order",_xll.AtlasFormulas.AtlasFunctions.AtlasTable("UAT",DataAreaId,"T.VendInvoiceTrans","%RecId","","","","","","","ItemId|PurchID|InventTransId",$C396,$B396,$K396),"")</f>
        <v/>
      </c>
      <c r="M396" s="4" t="str">
        <f>IF(AtlasReport_1_Table_1[[#This Row],[Reference]]="Purchase order",_xll.AtlasFormulas.AtlasFunctions.AtlasTable("UAT",DataAreaId,"T.MarkupTrans","%CurrencyCode","","","","","","","MarkupCode|TransRecId|TransTableId","TPP",$L396,"492"),"")</f>
        <v/>
      </c>
      <c r="N396" s="4" t="str">
        <f>IF(AtlasReport_1_Table_1[[#This Row],[Reference]]="Purchase order",_xll.AtlasFormulas.AtlasFunctions.AtlasBalance("UAT",DataAreaId,"T.MarkupTrans","Sum|Posted|0","","","","","","","MarkupCode|TransTableId|TransRecId","TPP","492",$L396),"")</f>
        <v/>
      </c>
    </row>
    <row r="397" spans="1:14" x14ac:dyDescent="0.25">
      <c r="A397" s="8" t="s">
        <v>927</v>
      </c>
      <c r="B397" s="8" t="s">
        <v>1671</v>
      </c>
      <c r="C397" s="8" t="s">
        <v>1145</v>
      </c>
      <c r="D397" s="8" t="s">
        <v>1146</v>
      </c>
      <c r="E397" s="8" t="s">
        <v>261</v>
      </c>
      <c r="F397" s="8" t="s">
        <v>264</v>
      </c>
      <c r="G397" s="6">
        <v>43075</v>
      </c>
      <c r="H397" s="6">
        <v>43075</v>
      </c>
      <c r="I397" s="4">
        <v>-1.67E-2</v>
      </c>
      <c r="J397" s="8" t="s">
        <v>190</v>
      </c>
      <c r="K397" s="8" t="s">
        <v>1819</v>
      </c>
      <c r="L397" s="4" t="str">
        <f>IF(AtlasReport_1_Table_1[[#This Row],[Reference]]="Purchase order",_xll.AtlasFormulas.AtlasFunctions.AtlasTable("UAT",DataAreaId,"T.VendInvoiceTrans","%RecId","","","","","","","ItemId|PurchID|InventTransId",$C397,$B397,$K397),"")</f>
        <v/>
      </c>
      <c r="M397" s="4" t="str">
        <f>IF(AtlasReport_1_Table_1[[#This Row],[Reference]]="Purchase order",_xll.AtlasFormulas.AtlasFunctions.AtlasTable("UAT",DataAreaId,"T.MarkupTrans","%CurrencyCode","","","","","","","MarkupCode|TransRecId|TransTableId","TPP",$L397,"492"),"")</f>
        <v/>
      </c>
      <c r="N397" s="4" t="str">
        <f>IF(AtlasReport_1_Table_1[[#This Row],[Reference]]="Purchase order",_xll.AtlasFormulas.AtlasFunctions.AtlasBalance("UAT",DataAreaId,"T.MarkupTrans","Sum|Posted|0","","","","","","","MarkupCode|TransTableId|TransRecId","TPP","492",$L397),"")</f>
        <v/>
      </c>
    </row>
    <row r="398" spans="1:14" x14ac:dyDescent="0.25">
      <c r="A398" s="8" t="s">
        <v>927</v>
      </c>
      <c r="B398" s="8" t="s">
        <v>1671</v>
      </c>
      <c r="C398" s="8" t="s">
        <v>131</v>
      </c>
      <c r="D398" s="8" t="s">
        <v>132</v>
      </c>
      <c r="E398" s="8" t="s">
        <v>261</v>
      </c>
      <c r="F398" s="8" t="s">
        <v>264</v>
      </c>
      <c r="G398" s="6">
        <v>43075</v>
      </c>
      <c r="H398" s="6">
        <v>43075</v>
      </c>
      <c r="I398" s="4">
        <v>-1</v>
      </c>
      <c r="J398" s="8" t="s">
        <v>37</v>
      </c>
      <c r="K398" s="8" t="s">
        <v>1820</v>
      </c>
      <c r="L398" s="4" t="str">
        <f>IF(AtlasReport_1_Table_1[[#This Row],[Reference]]="Purchase order",_xll.AtlasFormulas.AtlasFunctions.AtlasTable("UAT",DataAreaId,"T.VendInvoiceTrans","%RecId","","","","","","","ItemId|PurchID|InventTransId",$C398,$B398,$K398),"")</f>
        <v/>
      </c>
      <c r="M398" s="4" t="str">
        <f>IF(AtlasReport_1_Table_1[[#This Row],[Reference]]="Purchase order",_xll.AtlasFormulas.AtlasFunctions.AtlasTable("UAT",DataAreaId,"T.MarkupTrans","%CurrencyCode","","","","","","","MarkupCode|TransRecId|TransTableId","TPP",$L398,"492"),"")</f>
        <v/>
      </c>
      <c r="N398" s="4" t="str">
        <f>IF(AtlasReport_1_Table_1[[#This Row],[Reference]]="Purchase order",_xll.AtlasFormulas.AtlasFunctions.AtlasBalance("UAT",DataAreaId,"T.MarkupTrans","Sum|Posted|0","","","","","","","MarkupCode|TransTableId|TransRecId","TPP","492",$L398),"")</f>
        <v/>
      </c>
    </row>
    <row r="399" spans="1:14" x14ac:dyDescent="0.25">
      <c r="A399" s="8" t="s">
        <v>927</v>
      </c>
      <c r="B399" s="8" t="s">
        <v>1671</v>
      </c>
      <c r="C399" s="8" t="s">
        <v>411</v>
      </c>
      <c r="D399" s="8" t="s">
        <v>1149</v>
      </c>
      <c r="E399" s="8" t="s">
        <v>261</v>
      </c>
      <c r="F399" s="8" t="s">
        <v>264</v>
      </c>
      <c r="G399" s="6">
        <v>43075</v>
      </c>
      <c r="H399" s="6">
        <v>43075</v>
      </c>
      <c r="I399" s="4">
        <v>-2</v>
      </c>
      <c r="J399" s="8" t="s">
        <v>133</v>
      </c>
      <c r="K399" s="8" t="s">
        <v>1821</v>
      </c>
      <c r="L399" s="4" t="str">
        <f>IF(AtlasReport_1_Table_1[[#This Row],[Reference]]="Purchase order",_xll.AtlasFormulas.AtlasFunctions.AtlasTable("UAT",DataAreaId,"T.VendInvoiceTrans","%RecId","","","","","","","ItemId|PurchID|InventTransId",$C399,$B399,$K399),"")</f>
        <v/>
      </c>
      <c r="M399" s="4" t="str">
        <f>IF(AtlasReport_1_Table_1[[#This Row],[Reference]]="Purchase order",_xll.AtlasFormulas.AtlasFunctions.AtlasTable("UAT",DataAreaId,"T.MarkupTrans","%CurrencyCode","","","","","","","MarkupCode|TransRecId|TransTableId","TPP",$L399,"492"),"")</f>
        <v/>
      </c>
      <c r="N399" s="4" t="str">
        <f>IF(AtlasReport_1_Table_1[[#This Row],[Reference]]="Purchase order",_xll.AtlasFormulas.AtlasFunctions.AtlasBalance("UAT",DataAreaId,"T.MarkupTrans","Sum|Posted|0","","","","","","","MarkupCode|TransTableId|TransRecId","TPP","492",$L399),"")</f>
        <v/>
      </c>
    </row>
    <row r="400" spans="1:14" x14ac:dyDescent="0.25">
      <c r="A400" s="8" t="s">
        <v>927</v>
      </c>
      <c r="B400" s="8" t="s">
        <v>1673</v>
      </c>
      <c r="C400" s="8" t="s">
        <v>1145</v>
      </c>
      <c r="D400" s="8" t="s">
        <v>1146</v>
      </c>
      <c r="E400" s="8" t="s">
        <v>261</v>
      </c>
      <c r="F400" s="8" t="s">
        <v>264</v>
      </c>
      <c r="G400" s="6">
        <v>43075</v>
      </c>
      <c r="H400" s="6">
        <v>43075</v>
      </c>
      <c r="I400" s="4">
        <v>-1.67E-2</v>
      </c>
      <c r="J400" s="8" t="s">
        <v>190</v>
      </c>
      <c r="K400" s="8" t="s">
        <v>1822</v>
      </c>
      <c r="L400" s="4" t="str">
        <f>IF(AtlasReport_1_Table_1[[#This Row],[Reference]]="Purchase order",_xll.AtlasFormulas.AtlasFunctions.AtlasTable("UAT",DataAreaId,"T.VendInvoiceTrans","%RecId","","","","","","","ItemId|PurchID|InventTransId",$C400,$B400,$K400),"")</f>
        <v/>
      </c>
      <c r="M400" s="4" t="str">
        <f>IF(AtlasReport_1_Table_1[[#This Row],[Reference]]="Purchase order",_xll.AtlasFormulas.AtlasFunctions.AtlasTable("UAT",DataAreaId,"T.MarkupTrans","%CurrencyCode","","","","","","","MarkupCode|TransRecId|TransTableId","TPP",$L400,"492"),"")</f>
        <v/>
      </c>
      <c r="N400" s="4" t="str">
        <f>IF(AtlasReport_1_Table_1[[#This Row],[Reference]]="Purchase order",_xll.AtlasFormulas.AtlasFunctions.AtlasBalance("UAT",DataAreaId,"T.MarkupTrans","Sum|Posted|0","","","","","","","MarkupCode|TransTableId|TransRecId","TPP","492",$L400),"")</f>
        <v/>
      </c>
    </row>
    <row r="401" spans="1:14" x14ac:dyDescent="0.25">
      <c r="A401" s="8" t="s">
        <v>927</v>
      </c>
      <c r="B401" s="8" t="s">
        <v>1673</v>
      </c>
      <c r="C401" s="8" t="s">
        <v>131</v>
      </c>
      <c r="D401" s="8" t="s">
        <v>132</v>
      </c>
      <c r="E401" s="8" t="s">
        <v>261</v>
      </c>
      <c r="F401" s="8" t="s">
        <v>264</v>
      </c>
      <c r="G401" s="6">
        <v>43075</v>
      </c>
      <c r="H401" s="6">
        <v>43075</v>
      </c>
      <c r="I401" s="4">
        <v>-1</v>
      </c>
      <c r="J401" s="8" t="s">
        <v>37</v>
      </c>
      <c r="K401" s="8" t="s">
        <v>1823</v>
      </c>
      <c r="L401" s="4" t="str">
        <f>IF(AtlasReport_1_Table_1[[#This Row],[Reference]]="Purchase order",_xll.AtlasFormulas.AtlasFunctions.AtlasTable("UAT",DataAreaId,"T.VendInvoiceTrans","%RecId","","","","","","","ItemId|PurchID|InventTransId",$C401,$B401,$K401),"")</f>
        <v/>
      </c>
      <c r="M401" s="4" t="str">
        <f>IF(AtlasReport_1_Table_1[[#This Row],[Reference]]="Purchase order",_xll.AtlasFormulas.AtlasFunctions.AtlasTable("UAT",DataAreaId,"T.MarkupTrans","%CurrencyCode","","","","","","","MarkupCode|TransRecId|TransTableId","TPP",$L401,"492"),"")</f>
        <v/>
      </c>
      <c r="N401" s="4" t="str">
        <f>IF(AtlasReport_1_Table_1[[#This Row],[Reference]]="Purchase order",_xll.AtlasFormulas.AtlasFunctions.AtlasBalance("UAT",DataAreaId,"T.MarkupTrans","Sum|Posted|0","","","","","","","MarkupCode|TransTableId|TransRecId","TPP","492",$L401),"")</f>
        <v/>
      </c>
    </row>
    <row r="402" spans="1:14" x14ac:dyDescent="0.25">
      <c r="A402" s="8" t="s">
        <v>927</v>
      </c>
      <c r="B402" s="8" t="s">
        <v>1673</v>
      </c>
      <c r="C402" s="8" t="s">
        <v>411</v>
      </c>
      <c r="D402" s="8" t="s">
        <v>1149</v>
      </c>
      <c r="E402" s="8" t="s">
        <v>261</v>
      </c>
      <c r="F402" s="8" t="s">
        <v>264</v>
      </c>
      <c r="G402" s="6">
        <v>43075</v>
      </c>
      <c r="H402" s="6">
        <v>43075</v>
      </c>
      <c r="I402" s="4">
        <v>-2</v>
      </c>
      <c r="J402" s="8" t="s">
        <v>133</v>
      </c>
      <c r="K402" s="8" t="s">
        <v>1824</v>
      </c>
      <c r="L402" s="4" t="str">
        <f>IF(AtlasReport_1_Table_1[[#This Row],[Reference]]="Purchase order",_xll.AtlasFormulas.AtlasFunctions.AtlasTable("UAT",DataAreaId,"T.VendInvoiceTrans","%RecId","","","","","","","ItemId|PurchID|InventTransId",$C402,$B402,$K402),"")</f>
        <v/>
      </c>
      <c r="M402" s="4" t="str">
        <f>IF(AtlasReport_1_Table_1[[#This Row],[Reference]]="Purchase order",_xll.AtlasFormulas.AtlasFunctions.AtlasTable("UAT",DataAreaId,"T.MarkupTrans","%CurrencyCode","","","","","","","MarkupCode|TransRecId|TransTableId","TPP",$L402,"492"),"")</f>
        <v/>
      </c>
      <c r="N402" s="4" t="str">
        <f>IF(AtlasReport_1_Table_1[[#This Row],[Reference]]="Purchase order",_xll.AtlasFormulas.AtlasFunctions.AtlasBalance("UAT",DataAreaId,"T.MarkupTrans","Sum|Posted|0","","","","","","","MarkupCode|TransTableId|TransRecId","TPP","492",$L402),"")</f>
        <v/>
      </c>
    </row>
    <row r="403" spans="1:14" x14ac:dyDescent="0.25">
      <c r="A403" s="8" t="s">
        <v>927</v>
      </c>
      <c r="B403" s="8" t="s">
        <v>1675</v>
      </c>
      <c r="C403" s="8" t="s">
        <v>1145</v>
      </c>
      <c r="D403" s="8" t="s">
        <v>1146</v>
      </c>
      <c r="E403" s="8" t="s">
        <v>261</v>
      </c>
      <c r="F403" s="8" t="s">
        <v>264</v>
      </c>
      <c r="G403" s="6">
        <v>43076</v>
      </c>
      <c r="H403" s="6">
        <v>43076</v>
      </c>
      <c r="I403" s="4">
        <v>-1.67E-2</v>
      </c>
      <c r="J403" s="8" t="s">
        <v>190</v>
      </c>
      <c r="K403" s="8" t="s">
        <v>1825</v>
      </c>
      <c r="L403" s="4" t="str">
        <f>IF(AtlasReport_1_Table_1[[#This Row],[Reference]]="Purchase order",_xll.AtlasFormulas.AtlasFunctions.AtlasTable("UAT",DataAreaId,"T.VendInvoiceTrans","%RecId","","","","","","","ItemId|PurchID|InventTransId",$C403,$B403,$K403),"")</f>
        <v/>
      </c>
      <c r="M403" s="4" t="str">
        <f>IF(AtlasReport_1_Table_1[[#This Row],[Reference]]="Purchase order",_xll.AtlasFormulas.AtlasFunctions.AtlasTable("UAT",DataAreaId,"T.MarkupTrans","%CurrencyCode","","","","","","","MarkupCode|TransRecId|TransTableId","TPP",$L403,"492"),"")</f>
        <v/>
      </c>
      <c r="N403" s="4" t="str">
        <f>IF(AtlasReport_1_Table_1[[#This Row],[Reference]]="Purchase order",_xll.AtlasFormulas.AtlasFunctions.AtlasBalance("UAT",DataAreaId,"T.MarkupTrans","Sum|Posted|0","","","","","","","MarkupCode|TransTableId|TransRecId","TPP","492",$L403),"")</f>
        <v/>
      </c>
    </row>
    <row r="404" spans="1:14" x14ac:dyDescent="0.25">
      <c r="A404" s="8" t="s">
        <v>927</v>
      </c>
      <c r="B404" s="8" t="s">
        <v>1675</v>
      </c>
      <c r="C404" s="8" t="s">
        <v>131</v>
      </c>
      <c r="D404" s="8" t="s">
        <v>132</v>
      </c>
      <c r="E404" s="8" t="s">
        <v>261</v>
      </c>
      <c r="F404" s="8" t="s">
        <v>264</v>
      </c>
      <c r="G404" s="6">
        <v>43076</v>
      </c>
      <c r="H404" s="6">
        <v>43076</v>
      </c>
      <c r="I404" s="4">
        <v>-1</v>
      </c>
      <c r="J404" s="8" t="s">
        <v>37</v>
      </c>
      <c r="K404" s="8" t="s">
        <v>1826</v>
      </c>
      <c r="L404" s="4" t="str">
        <f>IF(AtlasReport_1_Table_1[[#This Row],[Reference]]="Purchase order",_xll.AtlasFormulas.AtlasFunctions.AtlasTable("UAT",DataAreaId,"T.VendInvoiceTrans","%RecId","","","","","","","ItemId|PurchID|InventTransId",$C404,$B404,$K404),"")</f>
        <v/>
      </c>
      <c r="M404" s="4" t="str">
        <f>IF(AtlasReport_1_Table_1[[#This Row],[Reference]]="Purchase order",_xll.AtlasFormulas.AtlasFunctions.AtlasTable("UAT",DataAreaId,"T.MarkupTrans","%CurrencyCode","","","","","","","MarkupCode|TransRecId|TransTableId","TPP",$L404,"492"),"")</f>
        <v/>
      </c>
      <c r="N404" s="4" t="str">
        <f>IF(AtlasReport_1_Table_1[[#This Row],[Reference]]="Purchase order",_xll.AtlasFormulas.AtlasFunctions.AtlasBalance("UAT",DataAreaId,"T.MarkupTrans","Sum|Posted|0","","","","","","","MarkupCode|TransTableId|TransRecId","TPP","492",$L404),"")</f>
        <v/>
      </c>
    </row>
    <row r="405" spans="1:14" x14ac:dyDescent="0.25">
      <c r="A405" s="8" t="s">
        <v>927</v>
      </c>
      <c r="B405" s="8" t="s">
        <v>1675</v>
      </c>
      <c r="C405" s="8" t="s">
        <v>411</v>
      </c>
      <c r="D405" s="8" t="s">
        <v>1149</v>
      </c>
      <c r="E405" s="8" t="s">
        <v>261</v>
      </c>
      <c r="F405" s="8" t="s">
        <v>264</v>
      </c>
      <c r="G405" s="6">
        <v>43076</v>
      </c>
      <c r="H405" s="6">
        <v>43076</v>
      </c>
      <c r="I405" s="4">
        <v>-2</v>
      </c>
      <c r="J405" s="8" t="s">
        <v>133</v>
      </c>
      <c r="K405" s="8" t="s">
        <v>1827</v>
      </c>
      <c r="L405" s="4" t="str">
        <f>IF(AtlasReport_1_Table_1[[#This Row],[Reference]]="Purchase order",_xll.AtlasFormulas.AtlasFunctions.AtlasTable("UAT",DataAreaId,"T.VendInvoiceTrans","%RecId","","","","","","","ItemId|PurchID|InventTransId",$C405,$B405,$K405),"")</f>
        <v/>
      </c>
      <c r="M405" s="4" t="str">
        <f>IF(AtlasReport_1_Table_1[[#This Row],[Reference]]="Purchase order",_xll.AtlasFormulas.AtlasFunctions.AtlasTable("UAT",DataAreaId,"T.MarkupTrans","%CurrencyCode","","","","","","","MarkupCode|TransRecId|TransTableId","TPP",$L405,"492"),"")</f>
        <v/>
      </c>
      <c r="N405" s="4" t="str">
        <f>IF(AtlasReport_1_Table_1[[#This Row],[Reference]]="Purchase order",_xll.AtlasFormulas.AtlasFunctions.AtlasBalance("UAT",DataAreaId,"T.MarkupTrans","Sum|Posted|0","","","","","","","MarkupCode|TransTableId|TransRecId","TPP","492",$L405),"")</f>
        <v/>
      </c>
    </row>
    <row r="406" spans="1:14" x14ac:dyDescent="0.25">
      <c r="A406" s="8" t="s">
        <v>927</v>
      </c>
      <c r="B406" s="8" t="s">
        <v>1677</v>
      </c>
      <c r="C406" s="8" t="s">
        <v>1145</v>
      </c>
      <c r="D406" s="8" t="s">
        <v>1146</v>
      </c>
      <c r="E406" s="8" t="s">
        <v>261</v>
      </c>
      <c r="F406" s="8" t="s">
        <v>264</v>
      </c>
      <c r="G406" s="6">
        <v>43080</v>
      </c>
      <c r="H406" s="6">
        <v>43080</v>
      </c>
      <c r="I406" s="4">
        <v>-3.3300000000000003E-2</v>
      </c>
      <c r="J406" s="8" t="s">
        <v>190</v>
      </c>
      <c r="K406" s="8" t="s">
        <v>1828</v>
      </c>
      <c r="L406" s="4" t="str">
        <f>IF(AtlasReport_1_Table_1[[#This Row],[Reference]]="Purchase order",_xll.AtlasFormulas.AtlasFunctions.AtlasTable("UAT",DataAreaId,"T.VendInvoiceTrans","%RecId","","","","","","","ItemId|PurchID|InventTransId",$C406,$B406,$K406),"")</f>
        <v/>
      </c>
      <c r="M406" s="4" t="str">
        <f>IF(AtlasReport_1_Table_1[[#This Row],[Reference]]="Purchase order",_xll.AtlasFormulas.AtlasFunctions.AtlasTable("UAT",DataAreaId,"T.MarkupTrans","%CurrencyCode","","","","","","","MarkupCode|TransRecId|TransTableId","TPP",$L406,"492"),"")</f>
        <v/>
      </c>
      <c r="N406" s="4" t="str">
        <f>IF(AtlasReport_1_Table_1[[#This Row],[Reference]]="Purchase order",_xll.AtlasFormulas.AtlasFunctions.AtlasBalance("UAT",DataAreaId,"T.MarkupTrans","Sum|Posted|0","","","","","","","MarkupCode|TransTableId|TransRecId","TPP","492",$L406),"")</f>
        <v/>
      </c>
    </row>
    <row r="407" spans="1:14" x14ac:dyDescent="0.25">
      <c r="A407" s="8" t="s">
        <v>927</v>
      </c>
      <c r="B407" s="8" t="s">
        <v>1677</v>
      </c>
      <c r="C407" s="8" t="s">
        <v>134</v>
      </c>
      <c r="D407" s="8" t="s">
        <v>135</v>
      </c>
      <c r="E407" s="8" t="s">
        <v>261</v>
      </c>
      <c r="F407" s="8" t="s">
        <v>264</v>
      </c>
      <c r="G407" s="6">
        <v>43080</v>
      </c>
      <c r="H407" s="6">
        <v>43080</v>
      </c>
      <c r="I407" s="4">
        <v>-1</v>
      </c>
      <c r="J407" s="8" t="s">
        <v>37</v>
      </c>
      <c r="K407" s="8" t="s">
        <v>1829</v>
      </c>
      <c r="L407" s="4" t="str">
        <f>IF(AtlasReport_1_Table_1[[#This Row],[Reference]]="Purchase order",_xll.AtlasFormulas.AtlasFunctions.AtlasTable("UAT",DataAreaId,"T.VendInvoiceTrans","%RecId","","","","","","","ItemId|PurchID|InventTransId",$C407,$B407,$K407),"")</f>
        <v/>
      </c>
      <c r="M407" s="4" t="str">
        <f>IF(AtlasReport_1_Table_1[[#This Row],[Reference]]="Purchase order",_xll.AtlasFormulas.AtlasFunctions.AtlasTable("UAT",DataAreaId,"T.MarkupTrans","%CurrencyCode","","","","","","","MarkupCode|TransRecId|TransTableId","TPP",$L407,"492"),"")</f>
        <v/>
      </c>
      <c r="N407" s="4" t="str">
        <f>IF(AtlasReport_1_Table_1[[#This Row],[Reference]]="Purchase order",_xll.AtlasFormulas.AtlasFunctions.AtlasBalance("UAT",DataAreaId,"T.MarkupTrans","Sum|Posted|0","","","","","","","MarkupCode|TransTableId|TransRecId","TPP","492",$L407),"")</f>
        <v/>
      </c>
    </row>
    <row r="408" spans="1:14" x14ac:dyDescent="0.25">
      <c r="A408" s="8" t="s">
        <v>927</v>
      </c>
      <c r="B408" s="8" t="s">
        <v>1677</v>
      </c>
      <c r="C408" s="8" t="s">
        <v>411</v>
      </c>
      <c r="D408" s="8" t="s">
        <v>1149</v>
      </c>
      <c r="E408" s="8" t="s">
        <v>261</v>
      </c>
      <c r="F408" s="8" t="s">
        <v>264</v>
      </c>
      <c r="G408" s="6">
        <v>43080</v>
      </c>
      <c r="H408" s="6">
        <v>43080</v>
      </c>
      <c r="I408" s="4">
        <v>-10</v>
      </c>
      <c r="J408" s="8" t="s">
        <v>133</v>
      </c>
      <c r="K408" s="8" t="s">
        <v>1830</v>
      </c>
      <c r="L408" s="4" t="str">
        <f>IF(AtlasReport_1_Table_1[[#This Row],[Reference]]="Purchase order",_xll.AtlasFormulas.AtlasFunctions.AtlasTable("UAT",DataAreaId,"T.VendInvoiceTrans","%RecId","","","","","","","ItemId|PurchID|InventTransId",$C408,$B408,$K408),"")</f>
        <v/>
      </c>
      <c r="M408" s="4" t="str">
        <f>IF(AtlasReport_1_Table_1[[#This Row],[Reference]]="Purchase order",_xll.AtlasFormulas.AtlasFunctions.AtlasTable("UAT",DataAreaId,"T.MarkupTrans","%CurrencyCode","","","","","","","MarkupCode|TransRecId|TransTableId","TPP",$L408,"492"),"")</f>
        <v/>
      </c>
      <c r="N408" s="4" t="str">
        <f>IF(AtlasReport_1_Table_1[[#This Row],[Reference]]="Purchase order",_xll.AtlasFormulas.AtlasFunctions.AtlasBalance("UAT",DataAreaId,"T.MarkupTrans","Sum|Posted|0","","","","","","","MarkupCode|TransTableId|TransRecId","TPP","492",$L408),"")</f>
        <v/>
      </c>
    </row>
    <row r="409" spans="1:14" x14ac:dyDescent="0.25">
      <c r="A409" s="8" t="s">
        <v>927</v>
      </c>
      <c r="B409" s="8" t="s">
        <v>1679</v>
      </c>
      <c r="C409" s="8" t="s">
        <v>307</v>
      </c>
      <c r="D409" s="8" t="s">
        <v>1025</v>
      </c>
      <c r="E409" s="8" t="s">
        <v>261</v>
      </c>
      <c r="F409" s="8" t="s">
        <v>264</v>
      </c>
      <c r="G409" s="6">
        <v>43081</v>
      </c>
      <c r="H409" s="6">
        <v>43081</v>
      </c>
      <c r="I409" s="4">
        <v>-12</v>
      </c>
      <c r="J409" s="8" t="s">
        <v>37</v>
      </c>
      <c r="K409" s="8" t="s">
        <v>1831</v>
      </c>
      <c r="L409" s="4" t="str">
        <f>IF(AtlasReport_1_Table_1[[#This Row],[Reference]]="Purchase order",_xll.AtlasFormulas.AtlasFunctions.AtlasTable("UAT",DataAreaId,"T.VendInvoiceTrans","%RecId","","","","","","","ItemId|PurchID|InventTransId",$C409,$B409,$K409),"")</f>
        <v/>
      </c>
      <c r="M409" s="4" t="str">
        <f>IF(AtlasReport_1_Table_1[[#This Row],[Reference]]="Purchase order",_xll.AtlasFormulas.AtlasFunctions.AtlasTable("UAT",DataAreaId,"T.MarkupTrans","%CurrencyCode","","","","","","","MarkupCode|TransRecId|TransTableId","TPP",$L409,"492"),"")</f>
        <v/>
      </c>
      <c r="N409" s="4" t="str">
        <f>IF(AtlasReport_1_Table_1[[#This Row],[Reference]]="Purchase order",_xll.AtlasFormulas.AtlasFunctions.AtlasBalance("UAT",DataAreaId,"T.MarkupTrans","Sum|Posted|0","","","","","","","MarkupCode|TransTableId|TransRecId","TPP","492",$L409),"")</f>
        <v/>
      </c>
    </row>
    <row r="410" spans="1:14" x14ac:dyDescent="0.25">
      <c r="A410" s="8" t="s">
        <v>927</v>
      </c>
      <c r="B410" s="8" t="s">
        <v>1679</v>
      </c>
      <c r="C410" s="8" t="s">
        <v>413</v>
      </c>
      <c r="D410" s="8" t="s">
        <v>1151</v>
      </c>
      <c r="E410" s="8" t="s">
        <v>261</v>
      </c>
      <c r="F410" s="8" t="s">
        <v>264</v>
      </c>
      <c r="G410" s="6">
        <v>43081</v>
      </c>
      <c r="H410" s="6">
        <v>43081</v>
      </c>
      <c r="I410" s="4">
        <v>-12</v>
      </c>
      <c r="J410" s="8" t="s">
        <v>37</v>
      </c>
      <c r="K410" s="8" t="s">
        <v>1832</v>
      </c>
      <c r="L410" s="4" t="str">
        <f>IF(AtlasReport_1_Table_1[[#This Row],[Reference]]="Purchase order",_xll.AtlasFormulas.AtlasFunctions.AtlasTable("UAT",DataAreaId,"T.VendInvoiceTrans","%RecId","","","","","","","ItemId|PurchID|InventTransId",$C410,$B410,$K410),"")</f>
        <v/>
      </c>
      <c r="M410" s="4" t="str">
        <f>IF(AtlasReport_1_Table_1[[#This Row],[Reference]]="Purchase order",_xll.AtlasFormulas.AtlasFunctions.AtlasTable("UAT",DataAreaId,"T.MarkupTrans","%CurrencyCode","","","","","","","MarkupCode|TransRecId|TransTableId","TPP",$L410,"492"),"")</f>
        <v/>
      </c>
      <c r="N410" s="4" t="str">
        <f>IF(AtlasReport_1_Table_1[[#This Row],[Reference]]="Purchase order",_xll.AtlasFormulas.AtlasFunctions.AtlasBalance("UAT",DataAreaId,"T.MarkupTrans","Sum|Posted|0","","","","","","","MarkupCode|TransTableId|TransRecId","TPP","492",$L410),"")</f>
        <v/>
      </c>
    </row>
    <row r="411" spans="1:14" x14ac:dyDescent="0.25">
      <c r="A411" s="8" t="s">
        <v>927</v>
      </c>
      <c r="B411" s="8" t="s">
        <v>1679</v>
      </c>
      <c r="C411" s="8" t="s">
        <v>422</v>
      </c>
      <c r="D411" s="8" t="s">
        <v>1166</v>
      </c>
      <c r="E411" s="8" t="s">
        <v>261</v>
      </c>
      <c r="F411" s="8" t="s">
        <v>264</v>
      </c>
      <c r="G411" s="6">
        <v>43081</v>
      </c>
      <c r="H411" s="6">
        <v>43081</v>
      </c>
      <c r="I411" s="4">
        <v>-12</v>
      </c>
      <c r="J411" s="8" t="s">
        <v>37</v>
      </c>
      <c r="K411" s="8" t="s">
        <v>1833</v>
      </c>
      <c r="L411" s="4" t="str">
        <f>IF(AtlasReport_1_Table_1[[#This Row],[Reference]]="Purchase order",_xll.AtlasFormulas.AtlasFunctions.AtlasTable("UAT",DataAreaId,"T.VendInvoiceTrans","%RecId","","","","","","","ItemId|PurchID|InventTransId",$C411,$B411,$K411),"")</f>
        <v/>
      </c>
      <c r="M411" s="4" t="str">
        <f>IF(AtlasReport_1_Table_1[[#This Row],[Reference]]="Purchase order",_xll.AtlasFormulas.AtlasFunctions.AtlasTable("UAT",DataAreaId,"T.MarkupTrans","%CurrencyCode","","","","","","","MarkupCode|TransRecId|TransTableId","TPP",$L411,"492"),"")</f>
        <v/>
      </c>
      <c r="N411" s="4" t="str">
        <f>IF(AtlasReport_1_Table_1[[#This Row],[Reference]]="Purchase order",_xll.AtlasFormulas.AtlasFunctions.AtlasBalance("UAT",DataAreaId,"T.MarkupTrans","Sum|Posted|0","","","","","","","MarkupCode|TransTableId|TransRecId","TPP","492",$L411),"")</f>
        <v/>
      </c>
    </row>
    <row r="412" spans="1:14" x14ac:dyDescent="0.25">
      <c r="A412" s="8" t="s">
        <v>927</v>
      </c>
      <c r="B412" s="8" t="s">
        <v>1679</v>
      </c>
      <c r="C412" s="8" t="s">
        <v>435</v>
      </c>
      <c r="D412" s="8" t="s">
        <v>1182</v>
      </c>
      <c r="E412" s="8" t="s">
        <v>261</v>
      </c>
      <c r="F412" s="8" t="s">
        <v>264</v>
      </c>
      <c r="G412" s="6">
        <v>43081</v>
      </c>
      <c r="H412" s="6">
        <v>43081</v>
      </c>
      <c r="I412" s="4">
        <v>-48</v>
      </c>
      <c r="J412" s="8" t="s">
        <v>37</v>
      </c>
      <c r="K412" s="8" t="s">
        <v>1834</v>
      </c>
      <c r="L412" s="4" t="str">
        <f>IF(AtlasReport_1_Table_1[[#This Row],[Reference]]="Purchase order",_xll.AtlasFormulas.AtlasFunctions.AtlasTable("UAT",DataAreaId,"T.VendInvoiceTrans","%RecId","","","","","","","ItemId|PurchID|InventTransId",$C412,$B412,$K412),"")</f>
        <v/>
      </c>
      <c r="M412" s="4" t="str">
        <f>IF(AtlasReport_1_Table_1[[#This Row],[Reference]]="Purchase order",_xll.AtlasFormulas.AtlasFunctions.AtlasTable("UAT",DataAreaId,"T.MarkupTrans","%CurrencyCode","","","","","","","MarkupCode|TransRecId|TransTableId","TPP",$L412,"492"),"")</f>
        <v/>
      </c>
      <c r="N412" s="4" t="str">
        <f>IF(AtlasReport_1_Table_1[[#This Row],[Reference]]="Purchase order",_xll.AtlasFormulas.AtlasFunctions.AtlasBalance("UAT",DataAreaId,"T.MarkupTrans","Sum|Posted|0","","","","","","","MarkupCode|TransTableId|TransRecId","TPP","492",$L412),"")</f>
        <v/>
      </c>
    </row>
    <row r="413" spans="1:14" x14ac:dyDescent="0.25">
      <c r="A413" s="8" t="s">
        <v>927</v>
      </c>
      <c r="B413" s="8" t="s">
        <v>1679</v>
      </c>
      <c r="C413" s="8" t="s">
        <v>436</v>
      </c>
      <c r="D413" s="8" t="s">
        <v>1183</v>
      </c>
      <c r="E413" s="8" t="s">
        <v>261</v>
      </c>
      <c r="F413" s="8" t="s">
        <v>264</v>
      </c>
      <c r="G413" s="6">
        <v>43081</v>
      </c>
      <c r="H413" s="6">
        <v>43081</v>
      </c>
      <c r="I413" s="4">
        <v>-48</v>
      </c>
      <c r="J413" s="8" t="s">
        <v>37</v>
      </c>
      <c r="K413" s="8" t="s">
        <v>1835</v>
      </c>
      <c r="L413" s="4" t="str">
        <f>IF(AtlasReport_1_Table_1[[#This Row],[Reference]]="Purchase order",_xll.AtlasFormulas.AtlasFunctions.AtlasTable("UAT",DataAreaId,"T.VendInvoiceTrans","%RecId","","","","","","","ItemId|PurchID|InventTransId",$C413,$B413,$K413),"")</f>
        <v/>
      </c>
      <c r="M413" s="4" t="str">
        <f>IF(AtlasReport_1_Table_1[[#This Row],[Reference]]="Purchase order",_xll.AtlasFormulas.AtlasFunctions.AtlasTable("UAT",DataAreaId,"T.MarkupTrans","%CurrencyCode","","","","","","","MarkupCode|TransRecId|TransTableId","TPP",$L413,"492"),"")</f>
        <v/>
      </c>
      <c r="N413" s="4" t="str">
        <f>IF(AtlasReport_1_Table_1[[#This Row],[Reference]]="Purchase order",_xll.AtlasFormulas.AtlasFunctions.AtlasBalance("UAT",DataAreaId,"T.MarkupTrans","Sum|Posted|0","","","","","","","MarkupCode|TransTableId|TransRecId","TPP","492",$L413),"")</f>
        <v/>
      </c>
    </row>
    <row r="414" spans="1:14" x14ac:dyDescent="0.25">
      <c r="A414" s="8" t="s">
        <v>927</v>
      </c>
      <c r="B414" s="8" t="s">
        <v>1679</v>
      </c>
      <c r="C414" s="8" t="s">
        <v>437</v>
      </c>
      <c r="D414" s="8" t="s">
        <v>1184</v>
      </c>
      <c r="E414" s="8" t="s">
        <v>261</v>
      </c>
      <c r="F414" s="8" t="s">
        <v>264</v>
      </c>
      <c r="G414" s="6">
        <v>43081</v>
      </c>
      <c r="H414" s="6">
        <v>43081</v>
      </c>
      <c r="I414" s="4">
        <v>-48</v>
      </c>
      <c r="J414" s="8" t="s">
        <v>37</v>
      </c>
      <c r="K414" s="8" t="s">
        <v>1836</v>
      </c>
      <c r="L414" s="4" t="str">
        <f>IF(AtlasReport_1_Table_1[[#This Row],[Reference]]="Purchase order",_xll.AtlasFormulas.AtlasFunctions.AtlasTable("UAT",DataAreaId,"T.VendInvoiceTrans","%RecId","","","","","","","ItemId|PurchID|InventTransId",$C414,$B414,$K414),"")</f>
        <v/>
      </c>
      <c r="M414" s="4" t="str">
        <f>IF(AtlasReport_1_Table_1[[#This Row],[Reference]]="Purchase order",_xll.AtlasFormulas.AtlasFunctions.AtlasTable("UAT",DataAreaId,"T.MarkupTrans","%CurrencyCode","","","","","","","MarkupCode|TransRecId|TransTableId","TPP",$L414,"492"),"")</f>
        <v/>
      </c>
      <c r="N414" s="4" t="str">
        <f>IF(AtlasReport_1_Table_1[[#This Row],[Reference]]="Purchase order",_xll.AtlasFormulas.AtlasFunctions.AtlasBalance("UAT",DataAreaId,"T.MarkupTrans","Sum|Posted|0","","","","","","","MarkupCode|TransTableId|TransRecId","TPP","492",$L414),"")</f>
        <v/>
      </c>
    </row>
    <row r="415" spans="1:14" x14ac:dyDescent="0.25">
      <c r="A415" s="8" t="s">
        <v>927</v>
      </c>
      <c r="B415" s="8" t="s">
        <v>1681</v>
      </c>
      <c r="C415" s="8" t="s">
        <v>1145</v>
      </c>
      <c r="D415" s="8" t="s">
        <v>1146</v>
      </c>
      <c r="E415" s="8" t="s">
        <v>261</v>
      </c>
      <c r="F415" s="8" t="s">
        <v>264</v>
      </c>
      <c r="G415" s="6">
        <v>43081</v>
      </c>
      <c r="H415" s="6">
        <v>43081</v>
      </c>
      <c r="I415" s="4">
        <v>-1.67E-2</v>
      </c>
      <c r="J415" s="8" t="s">
        <v>190</v>
      </c>
      <c r="K415" s="8" t="s">
        <v>1837</v>
      </c>
      <c r="L415" s="4" t="str">
        <f>IF(AtlasReport_1_Table_1[[#This Row],[Reference]]="Purchase order",_xll.AtlasFormulas.AtlasFunctions.AtlasTable("UAT",DataAreaId,"T.VendInvoiceTrans","%RecId","","","","","","","ItemId|PurchID|InventTransId",$C415,$B415,$K415),"")</f>
        <v/>
      </c>
      <c r="M415" s="4" t="str">
        <f>IF(AtlasReport_1_Table_1[[#This Row],[Reference]]="Purchase order",_xll.AtlasFormulas.AtlasFunctions.AtlasTable("UAT",DataAreaId,"T.MarkupTrans","%CurrencyCode","","","","","","","MarkupCode|TransRecId|TransTableId","TPP",$L415,"492"),"")</f>
        <v/>
      </c>
      <c r="N415" s="4" t="str">
        <f>IF(AtlasReport_1_Table_1[[#This Row],[Reference]]="Purchase order",_xll.AtlasFormulas.AtlasFunctions.AtlasBalance("UAT",DataAreaId,"T.MarkupTrans","Sum|Posted|0","","","","","","","MarkupCode|TransTableId|TransRecId","TPP","492",$L415),"")</f>
        <v/>
      </c>
    </row>
    <row r="416" spans="1:14" x14ac:dyDescent="0.25">
      <c r="A416" s="8" t="s">
        <v>927</v>
      </c>
      <c r="B416" s="8" t="s">
        <v>1681</v>
      </c>
      <c r="C416" s="8" t="s">
        <v>131</v>
      </c>
      <c r="D416" s="8" t="s">
        <v>132</v>
      </c>
      <c r="E416" s="8" t="s">
        <v>261</v>
      </c>
      <c r="F416" s="8" t="s">
        <v>264</v>
      </c>
      <c r="G416" s="6">
        <v>43081</v>
      </c>
      <c r="H416" s="6">
        <v>43081</v>
      </c>
      <c r="I416" s="4">
        <v>-1</v>
      </c>
      <c r="J416" s="8" t="s">
        <v>37</v>
      </c>
      <c r="K416" s="8" t="s">
        <v>1838</v>
      </c>
      <c r="L416" s="4" t="str">
        <f>IF(AtlasReport_1_Table_1[[#This Row],[Reference]]="Purchase order",_xll.AtlasFormulas.AtlasFunctions.AtlasTable("UAT",DataAreaId,"T.VendInvoiceTrans","%RecId","","","","","","","ItemId|PurchID|InventTransId",$C416,$B416,$K416),"")</f>
        <v/>
      </c>
      <c r="M416" s="4" t="str">
        <f>IF(AtlasReport_1_Table_1[[#This Row],[Reference]]="Purchase order",_xll.AtlasFormulas.AtlasFunctions.AtlasTable("UAT",DataAreaId,"T.MarkupTrans","%CurrencyCode","","","","","","","MarkupCode|TransRecId|TransTableId","TPP",$L416,"492"),"")</f>
        <v/>
      </c>
      <c r="N416" s="4" t="str">
        <f>IF(AtlasReport_1_Table_1[[#This Row],[Reference]]="Purchase order",_xll.AtlasFormulas.AtlasFunctions.AtlasBalance("UAT",DataAreaId,"T.MarkupTrans","Sum|Posted|0","","","","","","","MarkupCode|TransTableId|TransRecId","TPP","492",$L416),"")</f>
        <v/>
      </c>
    </row>
    <row r="417" spans="1:14" x14ac:dyDescent="0.25">
      <c r="A417" s="8" t="s">
        <v>927</v>
      </c>
      <c r="B417" s="8" t="s">
        <v>1681</v>
      </c>
      <c r="C417" s="8" t="s">
        <v>411</v>
      </c>
      <c r="D417" s="8" t="s">
        <v>1149</v>
      </c>
      <c r="E417" s="8" t="s">
        <v>261</v>
      </c>
      <c r="F417" s="8" t="s">
        <v>264</v>
      </c>
      <c r="G417" s="6">
        <v>43081</v>
      </c>
      <c r="H417" s="6">
        <v>43081</v>
      </c>
      <c r="I417" s="4">
        <v>-2</v>
      </c>
      <c r="J417" s="8" t="s">
        <v>133</v>
      </c>
      <c r="K417" s="8" t="s">
        <v>1839</v>
      </c>
      <c r="L417" s="4" t="str">
        <f>IF(AtlasReport_1_Table_1[[#This Row],[Reference]]="Purchase order",_xll.AtlasFormulas.AtlasFunctions.AtlasTable("UAT",DataAreaId,"T.VendInvoiceTrans","%RecId","","","","","","","ItemId|PurchID|InventTransId",$C417,$B417,$K417),"")</f>
        <v/>
      </c>
      <c r="M417" s="4" t="str">
        <f>IF(AtlasReport_1_Table_1[[#This Row],[Reference]]="Purchase order",_xll.AtlasFormulas.AtlasFunctions.AtlasTable("UAT",DataAreaId,"T.MarkupTrans","%CurrencyCode","","","","","","","MarkupCode|TransRecId|TransTableId","TPP",$L417,"492"),"")</f>
        <v/>
      </c>
      <c r="N417" s="4" t="str">
        <f>IF(AtlasReport_1_Table_1[[#This Row],[Reference]]="Purchase order",_xll.AtlasFormulas.AtlasFunctions.AtlasBalance("UAT",DataAreaId,"T.MarkupTrans","Sum|Posted|0","","","","","","","MarkupCode|TransTableId|TransRecId","TPP","492",$L417),"")</f>
        <v/>
      </c>
    </row>
    <row r="418" spans="1:14" x14ac:dyDescent="0.25">
      <c r="A418" s="8" t="s">
        <v>927</v>
      </c>
      <c r="B418" s="8" t="s">
        <v>1683</v>
      </c>
      <c r="C418" s="8" t="s">
        <v>1145</v>
      </c>
      <c r="D418" s="8" t="s">
        <v>1146</v>
      </c>
      <c r="E418" s="8" t="s">
        <v>261</v>
      </c>
      <c r="F418" s="8" t="s">
        <v>264</v>
      </c>
      <c r="G418" s="6">
        <v>43082</v>
      </c>
      <c r="H418" s="6">
        <v>43082</v>
      </c>
      <c r="I418" s="4">
        <v>-1.67E-2</v>
      </c>
      <c r="J418" s="8" t="s">
        <v>190</v>
      </c>
      <c r="K418" s="8" t="s">
        <v>1840</v>
      </c>
      <c r="L418" s="4" t="str">
        <f>IF(AtlasReport_1_Table_1[[#This Row],[Reference]]="Purchase order",_xll.AtlasFormulas.AtlasFunctions.AtlasTable("UAT",DataAreaId,"T.VendInvoiceTrans","%RecId","","","","","","","ItemId|PurchID|InventTransId",$C418,$B418,$K418),"")</f>
        <v/>
      </c>
      <c r="M418" s="4" t="str">
        <f>IF(AtlasReport_1_Table_1[[#This Row],[Reference]]="Purchase order",_xll.AtlasFormulas.AtlasFunctions.AtlasTable("UAT",DataAreaId,"T.MarkupTrans","%CurrencyCode","","","","","","","MarkupCode|TransRecId|TransTableId","TPP",$L418,"492"),"")</f>
        <v/>
      </c>
      <c r="N418" s="4" t="str">
        <f>IF(AtlasReport_1_Table_1[[#This Row],[Reference]]="Purchase order",_xll.AtlasFormulas.AtlasFunctions.AtlasBalance("UAT",DataAreaId,"T.MarkupTrans","Sum|Posted|0","","","","","","","MarkupCode|TransTableId|TransRecId","TPP","492",$L418),"")</f>
        <v/>
      </c>
    </row>
    <row r="419" spans="1:14" x14ac:dyDescent="0.25">
      <c r="A419" s="8" t="s">
        <v>927</v>
      </c>
      <c r="B419" s="8" t="s">
        <v>1683</v>
      </c>
      <c r="C419" s="8" t="s">
        <v>131</v>
      </c>
      <c r="D419" s="8" t="s">
        <v>132</v>
      </c>
      <c r="E419" s="8" t="s">
        <v>261</v>
      </c>
      <c r="F419" s="8" t="s">
        <v>264</v>
      </c>
      <c r="G419" s="6">
        <v>43082</v>
      </c>
      <c r="H419" s="6">
        <v>43082</v>
      </c>
      <c r="I419" s="4">
        <v>-1</v>
      </c>
      <c r="J419" s="8" t="s">
        <v>37</v>
      </c>
      <c r="K419" s="8" t="s">
        <v>1841</v>
      </c>
      <c r="L419" s="4" t="str">
        <f>IF(AtlasReport_1_Table_1[[#This Row],[Reference]]="Purchase order",_xll.AtlasFormulas.AtlasFunctions.AtlasTable("UAT",DataAreaId,"T.VendInvoiceTrans","%RecId","","","","","","","ItemId|PurchID|InventTransId",$C419,$B419,$K419),"")</f>
        <v/>
      </c>
      <c r="M419" s="4" t="str">
        <f>IF(AtlasReport_1_Table_1[[#This Row],[Reference]]="Purchase order",_xll.AtlasFormulas.AtlasFunctions.AtlasTable("UAT",DataAreaId,"T.MarkupTrans","%CurrencyCode","","","","","","","MarkupCode|TransRecId|TransTableId","TPP",$L419,"492"),"")</f>
        <v/>
      </c>
      <c r="N419" s="4" t="str">
        <f>IF(AtlasReport_1_Table_1[[#This Row],[Reference]]="Purchase order",_xll.AtlasFormulas.AtlasFunctions.AtlasBalance("UAT",DataAreaId,"T.MarkupTrans","Sum|Posted|0","","","","","","","MarkupCode|TransTableId|TransRecId","TPP","492",$L419),"")</f>
        <v/>
      </c>
    </row>
    <row r="420" spans="1:14" x14ac:dyDescent="0.25">
      <c r="A420" s="8" t="s">
        <v>927</v>
      </c>
      <c r="B420" s="8" t="s">
        <v>1683</v>
      </c>
      <c r="C420" s="8" t="s">
        <v>411</v>
      </c>
      <c r="D420" s="8" t="s">
        <v>1149</v>
      </c>
      <c r="E420" s="8" t="s">
        <v>261</v>
      </c>
      <c r="F420" s="8" t="s">
        <v>264</v>
      </c>
      <c r="G420" s="6">
        <v>43082</v>
      </c>
      <c r="H420" s="6">
        <v>43082</v>
      </c>
      <c r="I420" s="4">
        <v>-2</v>
      </c>
      <c r="J420" s="8" t="s">
        <v>133</v>
      </c>
      <c r="K420" s="8" t="s">
        <v>1842</v>
      </c>
      <c r="L420" s="4" t="str">
        <f>IF(AtlasReport_1_Table_1[[#This Row],[Reference]]="Purchase order",_xll.AtlasFormulas.AtlasFunctions.AtlasTable("UAT",DataAreaId,"T.VendInvoiceTrans","%RecId","","","","","","","ItemId|PurchID|InventTransId",$C420,$B420,$K420),"")</f>
        <v/>
      </c>
      <c r="M420" s="4" t="str">
        <f>IF(AtlasReport_1_Table_1[[#This Row],[Reference]]="Purchase order",_xll.AtlasFormulas.AtlasFunctions.AtlasTable("UAT",DataAreaId,"T.MarkupTrans","%CurrencyCode","","","","","","","MarkupCode|TransRecId|TransTableId","TPP",$L420,"492"),"")</f>
        <v/>
      </c>
      <c r="N420" s="4" t="str">
        <f>IF(AtlasReport_1_Table_1[[#This Row],[Reference]]="Purchase order",_xll.AtlasFormulas.AtlasFunctions.AtlasBalance("UAT",DataAreaId,"T.MarkupTrans","Sum|Posted|0","","","","","","","MarkupCode|TransTableId|TransRecId","TPP","492",$L420),"")</f>
        <v/>
      </c>
    </row>
    <row r="421" spans="1:14" x14ac:dyDescent="0.25">
      <c r="A421" s="8" t="s">
        <v>927</v>
      </c>
      <c r="B421" s="8" t="s">
        <v>1685</v>
      </c>
      <c r="C421" s="8" t="s">
        <v>1145</v>
      </c>
      <c r="D421" s="8" t="s">
        <v>1146</v>
      </c>
      <c r="E421" s="8" t="s">
        <v>261</v>
      </c>
      <c r="F421" s="8" t="s">
        <v>264</v>
      </c>
      <c r="G421" s="6">
        <v>43083</v>
      </c>
      <c r="H421" s="6">
        <v>43083</v>
      </c>
      <c r="I421" s="4">
        <v>-3.3300000000000003E-2</v>
      </c>
      <c r="J421" s="8" t="s">
        <v>190</v>
      </c>
      <c r="K421" s="8" t="s">
        <v>1843</v>
      </c>
      <c r="L421" s="4" t="str">
        <f>IF(AtlasReport_1_Table_1[[#This Row],[Reference]]="Purchase order",_xll.AtlasFormulas.AtlasFunctions.AtlasTable("UAT",DataAreaId,"T.VendInvoiceTrans","%RecId","","","","","","","ItemId|PurchID|InventTransId",$C421,$B421,$K421),"")</f>
        <v/>
      </c>
      <c r="M421" s="4" t="str">
        <f>IF(AtlasReport_1_Table_1[[#This Row],[Reference]]="Purchase order",_xll.AtlasFormulas.AtlasFunctions.AtlasTable("UAT",DataAreaId,"T.MarkupTrans","%CurrencyCode","","","","","","","MarkupCode|TransRecId|TransTableId","TPP",$L421,"492"),"")</f>
        <v/>
      </c>
      <c r="N421" s="4" t="str">
        <f>IF(AtlasReport_1_Table_1[[#This Row],[Reference]]="Purchase order",_xll.AtlasFormulas.AtlasFunctions.AtlasBalance("UAT",DataAreaId,"T.MarkupTrans","Sum|Posted|0","","","","","","","MarkupCode|TransTableId|TransRecId","TPP","492",$L421),"")</f>
        <v/>
      </c>
    </row>
    <row r="422" spans="1:14" x14ac:dyDescent="0.25">
      <c r="A422" s="8" t="s">
        <v>927</v>
      </c>
      <c r="B422" s="8" t="s">
        <v>1685</v>
      </c>
      <c r="C422" s="8" t="s">
        <v>134</v>
      </c>
      <c r="D422" s="8" t="s">
        <v>135</v>
      </c>
      <c r="E422" s="8" t="s">
        <v>261</v>
      </c>
      <c r="F422" s="8" t="s">
        <v>264</v>
      </c>
      <c r="G422" s="6">
        <v>43083</v>
      </c>
      <c r="H422" s="6">
        <v>43083</v>
      </c>
      <c r="I422" s="4">
        <v>-1</v>
      </c>
      <c r="J422" s="8" t="s">
        <v>37</v>
      </c>
      <c r="K422" s="8" t="s">
        <v>1844</v>
      </c>
      <c r="L422" s="4" t="str">
        <f>IF(AtlasReport_1_Table_1[[#This Row],[Reference]]="Purchase order",_xll.AtlasFormulas.AtlasFunctions.AtlasTable("UAT",DataAreaId,"T.VendInvoiceTrans","%RecId","","","","","","","ItemId|PurchID|InventTransId",$C422,$B422,$K422),"")</f>
        <v/>
      </c>
      <c r="M422" s="4" t="str">
        <f>IF(AtlasReport_1_Table_1[[#This Row],[Reference]]="Purchase order",_xll.AtlasFormulas.AtlasFunctions.AtlasTable("UAT",DataAreaId,"T.MarkupTrans","%CurrencyCode","","","","","","","MarkupCode|TransRecId|TransTableId","TPP",$L422,"492"),"")</f>
        <v/>
      </c>
      <c r="N422" s="4" t="str">
        <f>IF(AtlasReport_1_Table_1[[#This Row],[Reference]]="Purchase order",_xll.AtlasFormulas.AtlasFunctions.AtlasBalance("UAT",DataAreaId,"T.MarkupTrans","Sum|Posted|0","","","","","","","MarkupCode|TransTableId|TransRecId","TPP","492",$L422),"")</f>
        <v/>
      </c>
    </row>
    <row r="423" spans="1:14" x14ac:dyDescent="0.25">
      <c r="A423" s="8" t="s">
        <v>927</v>
      </c>
      <c r="B423" s="8" t="s">
        <v>1685</v>
      </c>
      <c r="C423" s="8" t="s">
        <v>411</v>
      </c>
      <c r="D423" s="8" t="s">
        <v>1149</v>
      </c>
      <c r="E423" s="8" t="s">
        <v>261</v>
      </c>
      <c r="F423" s="8" t="s">
        <v>264</v>
      </c>
      <c r="G423" s="6">
        <v>43083</v>
      </c>
      <c r="H423" s="6">
        <v>43083</v>
      </c>
      <c r="I423" s="4">
        <v>-10</v>
      </c>
      <c r="J423" s="8" t="s">
        <v>133</v>
      </c>
      <c r="K423" s="8" t="s">
        <v>1845</v>
      </c>
      <c r="L423" s="4" t="str">
        <f>IF(AtlasReport_1_Table_1[[#This Row],[Reference]]="Purchase order",_xll.AtlasFormulas.AtlasFunctions.AtlasTable("UAT",DataAreaId,"T.VendInvoiceTrans","%RecId","","","","","","","ItemId|PurchID|InventTransId",$C423,$B423,$K423),"")</f>
        <v/>
      </c>
      <c r="M423" s="4" t="str">
        <f>IF(AtlasReport_1_Table_1[[#This Row],[Reference]]="Purchase order",_xll.AtlasFormulas.AtlasFunctions.AtlasTable("UAT",DataAreaId,"T.MarkupTrans","%CurrencyCode","","","","","","","MarkupCode|TransRecId|TransTableId","TPP",$L423,"492"),"")</f>
        <v/>
      </c>
      <c r="N423" s="4" t="str">
        <f>IF(AtlasReport_1_Table_1[[#This Row],[Reference]]="Purchase order",_xll.AtlasFormulas.AtlasFunctions.AtlasBalance("UAT",DataAreaId,"T.MarkupTrans","Sum|Posted|0","","","","","","","MarkupCode|TransTableId|TransRecId","TPP","492",$L423),"")</f>
        <v/>
      </c>
    </row>
    <row r="424" spans="1:14" x14ac:dyDescent="0.25">
      <c r="A424" s="8" t="s">
        <v>927</v>
      </c>
      <c r="B424" s="8" t="s">
        <v>1687</v>
      </c>
      <c r="C424" s="8" t="s">
        <v>260</v>
      </c>
      <c r="D424" s="8" t="s">
        <v>970</v>
      </c>
      <c r="E424" s="8" t="s">
        <v>261</v>
      </c>
      <c r="F424" s="8" t="s">
        <v>263</v>
      </c>
      <c r="G424" s="6">
        <v>43084</v>
      </c>
      <c r="H424" s="6">
        <v>43084</v>
      </c>
      <c r="I424" s="4">
        <v>-18</v>
      </c>
      <c r="J424" s="8" t="s">
        <v>37</v>
      </c>
      <c r="K424" s="8" t="s">
        <v>1846</v>
      </c>
      <c r="L424" s="4" t="str">
        <f>IF(AtlasReport_1_Table_1[[#This Row],[Reference]]="Purchase order",_xll.AtlasFormulas.AtlasFunctions.AtlasTable("UAT",DataAreaId,"T.VendInvoiceTrans","%RecId","","","","","","","ItemId|PurchID|InventTransId",$C424,$B424,$K424),"")</f>
        <v/>
      </c>
      <c r="M424" s="4" t="str">
        <f>IF(AtlasReport_1_Table_1[[#This Row],[Reference]]="Purchase order",_xll.AtlasFormulas.AtlasFunctions.AtlasTable("UAT",DataAreaId,"T.MarkupTrans","%CurrencyCode","","","","","","","MarkupCode|TransRecId|TransTableId","TPP",$L424,"492"),"")</f>
        <v/>
      </c>
      <c r="N424" s="4" t="str">
        <f>IF(AtlasReport_1_Table_1[[#This Row],[Reference]]="Purchase order",_xll.AtlasFormulas.AtlasFunctions.AtlasBalance("UAT",DataAreaId,"T.MarkupTrans","Sum|Posted|0","","","","","","","MarkupCode|TransTableId|TransRecId","TPP","492",$L424),"")</f>
        <v/>
      </c>
    </row>
    <row r="425" spans="1:14" x14ac:dyDescent="0.25">
      <c r="A425" s="8" t="s">
        <v>927</v>
      </c>
      <c r="B425" s="8" t="s">
        <v>1687</v>
      </c>
      <c r="C425" s="8" t="s">
        <v>972</v>
      </c>
      <c r="D425" s="8" t="s">
        <v>973</v>
      </c>
      <c r="E425" s="8" t="s">
        <v>261</v>
      </c>
      <c r="F425" s="8" t="s">
        <v>264</v>
      </c>
      <c r="G425" s="6">
        <v>43084</v>
      </c>
      <c r="H425" s="6">
        <v>43084</v>
      </c>
      <c r="I425" s="4">
        <v>-17940</v>
      </c>
      <c r="J425" s="8" t="s">
        <v>120</v>
      </c>
      <c r="K425" s="8" t="s">
        <v>1847</v>
      </c>
      <c r="L425" s="4" t="str">
        <f>IF(AtlasReport_1_Table_1[[#This Row],[Reference]]="Purchase order",_xll.AtlasFormulas.AtlasFunctions.AtlasTable("UAT",DataAreaId,"T.VendInvoiceTrans","%RecId","","","","","","","ItemId|PurchID|InventTransId",$C425,$B425,$K425),"")</f>
        <v/>
      </c>
      <c r="M425" s="4" t="str">
        <f>IF(AtlasReport_1_Table_1[[#This Row],[Reference]]="Purchase order",_xll.AtlasFormulas.AtlasFunctions.AtlasTable("UAT",DataAreaId,"T.MarkupTrans","%CurrencyCode","","","","","","","MarkupCode|TransRecId|TransTableId","TPP",$L425,"492"),"")</f>
        <v/>
      </c>
      <c r="N425" s="4" t="str">
        <f>IF(AtlasReport_1_Table_1[[#This Row],[Reference]]="Purchase order",_xll.AtlasFormulas.AtlasFunctions.AtlasBalance("UAT",DataAreaId,"T.MarkupTrans","Sum|Posted|0","","","","","","","MarkupCode|TransTableId|TransRecId","TPP","492",$L425),"")</f>
        <v/>
      </c>
    </row>
    <row r="426" spans="1:14" x14ac:dyDescent="0.25">
      <c r="A426" s="8" t="s">
        <v>927</v>
      </c>
      <c r="B426" s="8" t="s">
        <v>1687</v>
      </c>
      <c r="C426" s="8" t="s">
        <v>1442</v>
      </c>
      <c r="D426" s="8" t="s">
        <v>1443</v>
      </c>
      <c r="E426" s="8" t="s">
        <v>261</v>
      </c>
      <c r="F426" s="8" t="s">
        <v>264</v>
      </c>
      <c r="G426" s="6">
        <v>43084</v>
      </c>
      <c r="H426" s="6">
        <v>43084</v>
      </c>
      <c r="I426" s="4">
        <v>-718</v>
      </c>
      <c r="J426" s="8" t="s">
        <v>37</v>
      </c>
      <c r="K426" s="8" t="s">
        <v>1848</v>
      </c>
      <c r="L426" s="4" t="str">
        <f>IF(AtlasReport_1_Table_1[[#This Row],[Reference]]="Purchase order",_xll.AtlasFormulas.AtlasFunctions.AtlasTable("UAT",DataAreaId,"T.VendInvoiceTrans","%RecId","","","","","","","ItemId|PurchID|InventTransId",$C426,$B426,$K426),"")</f>
        <v/>
      </c>
      <c r="M426" s="4" t="str">
        <f>IF(AtlasReport_1_Table_1[[#This Row],[Reference]]="Purchase order",_xll.AtlasFormulas.AtlasFunctions.AtlasTable("UAT",DataAreaId,"T.MarkupTrans","%CurrencyCode","","","","","","","MarkupCode|TransRecId|TransTableId","TPP",$L426,"492"),"")</f>
        <v/>
      </c>
      <c r="N426" s="4" t="str">
        <f>IF(AtlasReport_1_Table_1[[#This Row],[Reference]]="Purchase order",_xll.AtlasFormulas.AtlasFunctions.AtlasBalance("UAT",DataAreaId,"T.MarkupTrans","Sum|Posted|0","","","","","","","MarkupCode|TransTableId|TransRecId","TPP","492",$L426),"")</f>
        <v/>
      </c>
    </row>
    <row r="427" spans="1:14" x14ac:dyDescent="0.25">
      <c r="A427" s="8" t="s">
        <v>927</v>
      </c>
      <c r="B427" s="8" t="s">
        <v>1689</v>
      </c>
      <c r="C427" s="8" t="s">
        <v>260</v>
      </c>
      <c r="D427" s="8" t="s">
        <v>970</v>
      </c>
      <c r="E427" s="8" t="s">
        <v>261</v>
      </c>
      <c r="F427" s="8" t="s">
        <v>263</v>
      </c>
      <c r="G427" s="6">
        <v>43084</v>
      </c>
      <c r="H427" s="6">
        <v>43084</v>
      </c>
      <c r="I427" s="4">
        <v>-14</v>
      </c>
      <c r="J427" s="8" t="s">
        <v>37</v>
      </c>
      <c r="K427" s="8" t="s">
        <v>1849</v>
      </c>
      <c r="L427" s="4" t="str">
        <f>IF(AtlasReport_1_Table_1[[#This Row],[Reference]]="Purchase order",_xll.AtlasFormulas.AtlasFunctions.AtlasTable("UAT",DataAreaId,"T.VendInvoiceTrans","%RecId","","","","","","","ItemId|PurchID|InventTransId",$C427,$B427,$K427),"")</f>
        <v/>
      </c>
      <c r="M427" s="4" t="str">
        <f>IF(AtlasReport_1_Table_1[[#This Row],[Reference]]="Purchase order",_xll.AtlasFormulas.AtlasFunctions.AtlasTable("UAT",DataAreaId,"T.MarkupTrans","%CurrencyCode","","","","","","","MarkupCode|TransRecId|TransTableId","TPP",$L427,"492"),"")</f>
        <v/>
      </c>
      <c r="N427" s="4" t="str">
        <f>IF(AtlasReport_1_Table_1[[#This Row],[Reference]]="Purchase order",_xll.AtlasFormulas.AtlasFunctions.AtlasBalance("UAT",DataAreaId,"T.MarkupTrans","Sum|Posted|0","","","","","","","MarkupCode|TransTableId|TransRecId","TPP","492",$L427),"")</f>
        <v/>
      </c>
    </row>
    <row r="428" spans="1:14" x14ac:dyDescent="0.25">
      <c r="A428" s="8" t="s">
        <v>927</v>
      </c>
      <c r="B428" s="8" t="s">
        <v>1689</v>
      </c>
      <c r="C428" s="8" t="s">
        <v>972</v>
      </c>
      <c r="D428" s="8" t="s">
        <v>973</v>
      </c>
      <c r="E428" s="8" t="s">
        <v>261</v>
      </c>
      <c r="F428" s="8" t="s">
        <v>264</v>
      </c>
      <c r="G428" s="6">
        <v>43084</v>
      </c>
      <c r="H428" s="6">
        <v>43084</v>
      </c>
      <c r="I428" s="4">
        <v>-13820</v>
      </c>
      <c r="J428" s="8" t="s">
        <v>120</v>
      </c>
      <c r="K428" s="8" t="s">
        <v>1850</v>
      </c>
      <c r="L428" s="4" t="str">
        <f>IF(AtlasReport_1_Table_1[[#This Row],[Reference]]="Purchase order",_xll.AtlasFormulas.AtlasFunctions.AtlasTable("UAT",DataAreaId,"T.VendInvoiceTrans","%RecId","","","","","","","ItemId|PurchID|InventTransId",$C428,$B428,$K428),"")</f>
        <v/>
      </c>
      <c r="M428" s="4" t="str">
        <f>IF(AtlasReport_1_Table_1[[#This Row],[Reference]]="Purchase order",_xll.AtlasFormulas.AtlasFunctions.AtlasTable("UAT",DataAreaId,"T.MarkupTrans","%CurrencyCode","","","","","","","MarkupCode|TransRecId|TransTableId","TPP",$L428,"492"),"")</f>
        <v/>
      </c>
      <c r="N428" s="4" t="str">
        <f>IF(AtlasReport_1_Table_1[[#This Row],[Reference]]="Purchase order",_xll.AtlasFormulas.AtlasFunctions.AtlasBalance("UAT",DataAreaId,"T.MarkupTrans","Sum|Posted|0","","","","","","","MarkupCode|TransTableId|TransRecId","TPP","492",$L428),"")</f>
        <v/>
      </c>
    </row>
    <row r="429" spans="1:14" x14ac:dyDescent="0.25">
      <c r="A429" s="8" t="s">
        <v>927</v>
      </c>
      <c r="B429" s="8" t="s">
        <v>1689</v>
      </c>
      <c r="C429" s="8" t="s">
        <v>1442</v>
      </c>
      <c r="D429" s="8" t="s">
        <v>1443</v>
      </c>
      <c r="E429" s="8" t="s">
        <v>261</v>
      </c>
      <c r="F429" s="8" t="s">
        <v>264</v>
      </c>
      <c r="G429" s="6">
        <v>43084</v>
      </c>
      <c r="H429" s="6">
        <v>43084</v>
      </c>
      <c r="I429" s="4">
        <v>-553</v>
      </c>
      <c r="J429" s="8" t="s">
        <v>37</v>
      </c>
      <c r="K429" s="8" t="s">
        <v>1851</v>
      </c>
      <c r="L429" s="4" t="str">
        <f>IF(AtlasReport_1_Table_1[[#This Row],[Reference]]="Purchase order",_xll.AtlasFormulas.AtlasFunctions.AtlasTable("UAT",DataAreaId,"T.VendInvoiceTrans","%RecId","","","","","","","ItemId|PurchID|InventTransId",$C429,$B429,$K429),"")</f>
        <v/>
      </c>
      <c r="M429" s="4" t="str">
        <f>IF(AtlasReport_1_Table_1[[#This Row],[Reference]]="Purchase order",_xll.AtlasFormulas.AtlasFunctions.AtlasTable("UAT",DataAreaId,"T.MarkupTrans","%CurrencyCode","","","","","","","MarkupCode|TransRecId|TransTableId","TPP",$L429,"492"),"")</f>
        <v/>
      </c>
      <c r="N429" s="4" t="str">
        <f>IF(AtlasReport_1_Table_1[[#This Row],[Reference]]="Purchase order",_xll.AtlasFormulas.AtlasFunctions.AtlasBalance("UAT",DataAreaId,"T.MarkupTrans","Sum|Posted|0","","","","","","","MarkupCode|TransTableId|TransRecId","TPP","492",$L429),"")</f>
        <v/>
      </c>
    </row>
    <row r="430" spans="1:14" x14ac:dyDescent="0.25">
      <c r="A430" s="8" t="s">
        <v>927</v>
      </c>
      <c r="B430" s="8" t="s">
        <v>929</v>
      </c>
      <c r="C430" s="8" t="s">
        <v>114</v>
      </c>
      <c r="D430" s="8" t="s">
        <v>115</v>
      </c>
      <c r="E430" s="8" t="s">
        <v>261</v>
      </c>
      <c r="F430" s="8" t="s">
        <v>264</v>
      </c>
      <c r="G430" s="6">
        <v>43084</v>
      </c>
      <c r="H430" s="6">
        <v>43088</v>
      </c>
      <c r="I430" s="4">
        <v>-2</v>
      </c>
      <c r="J430" s="8" t="s">
        <v>37</v>
      </c>
      <c r="K430" s="8" t="s">
        <v>1852</v>
      </c>
      <c r="L430" s="4" t="str">
        <f>IF(AtlasReport_1_Table_1[[#This Row],[Reference]]="Purchase order",_xll.AtlasFormulas.AtlasFunctions.AtlasTable("UAT",DataAreaId,"T.VendInvoiceTrans","%RecId","","","","","","","ItemId|PurchID|InventTransId",$C430,$B430,$K430),"")</f>
        <v/>
      </c>
      <c r="M430" s="4" t="str">
        <f>IF(AtlasReport_1_Table_1[[#This Row],[Reference]]="Purchase order",_xll.AtlasFormulas.AtlasFunctions.AtlasTable("UAT",DataAreaId,"T.MarkupTrans","%CurrencyCode","","","","","","","MarkupCode|TransRecId|TransTableId","TPP",$L430,"492"),"")</f>
        <v/>
      </c>
      <c r="N430" s="4" t="str">
        <f>IF(AtlasReport_1_Table_1[[#This Row],[Reference]]="Purchase order",_xll.AtlasFormulas.AtlasFunctions.AtlasBalance("UAT",DataAreaId,"T.MarkupTrans","Sum|Posted|0","","","","","","","MarkupCode|TransTableId|TransRecId","TPP","492",$L430),"")</f>
        <v/>
      </c>
    </row>
    <row r="431" spans="1:14" x14ac:dyDescent="0.25">
      <c r="A431" s="8" t="s">
        <v>927</v>
      </c>
      <c r="B431" s="8" t="s">
        <v>929</v>
      </c>
      <c r="C431" s="8" t="s">
        <v>28</v>
      </c>
      <c r="D431" s="8" t="s">
        <v>928</v>
      </c>
      <c r="E431" s="8" t="s">
        <v>261</v>
      </c>
      <c r="F431" s="8" t="s">
        <v>264</v>
      </c>
      <c r="G431" s="6">
        <v>43084</v>
      </c>
      <c r="H431" s="6">
        <v>43088</v>
      </c>
      <c r="I431" s="4">
        <v>-2</v>
      </c>
      <c r="J431" s="8" t="s">
        <v>37</v>
      </c>
      <c r="K431" s="8" t="s">
        <v>931</v>
      </c>
      <c r="L431" s="4" t="str">
        <f>IF(AtlasReport_1_Table_1[[#This Row],[Reference]]="Purchase order",_xll.AtlasFormulas.AtlasFunctions.AtlasTable("UAT",DataAreaId,"T.VendInvoiceTrans","%RecId","","","","","","","ItemId|PurchID|InventTransId",$C431,$B431,$K431),"")</f>
        <v/>
      </c>
      <c r="M431" s="4" t="str">
        <f>IF(AtlasReport_1_Table_1[[#This Row],[Reference]]="Purchase order",_xll.AtlasFormulas.AtlasFunctions.AtlasTable("UAT",DataAreaId,"T.MarkupTrans","%CurrencyCode","","","","","","","MarkupCode|TransRecId|TransTableId","TPP",$L431,"492"),"")</f>
        <v/>
      </c>
      <c r="N431" s="4" t="str">
        <f>IF(AtlasReport_1_Table_1[[#This Row],[Reference]]="Purchase order",_xll.AtlasFormulas.AtlasFunctions.AtlasBalance("UAT",DataAreaId,"T.MarkupTrans","Sum|Posted|0","","","","","","","MarkupCode|TransTableId|TransRecId","TPP","492",$L431),"")</f>
        <v/>
      </c>
    </row>
    <row r="432" spans="1:14" x14ac:dyDescent="0.25">
      <c r="A432" s="8" t="s">
        <v>927</v>
      </c>
      <c r="B432" s="8" t="s">
        <v>1692</v>
      </c>
      <c r="C432" s="8" t="s">
        <v>1145</v>
      </c>
      <c r="D432" s="8" t="s">
        <v>1146</v>
      </c>
      <c r="E432" s="8" t="s">
        <v>261</v>
      </c>
      <c r="F432" s="8" t="s">
        <v>264</v>
      </c>
      <c r="G432" s="6">
        <v>43084</v>
      </c>
      <c r="H432" s="6">
        <v>43084</v>
      </c>
      <c r="I432" s="4">
        <v>-1.67E-2</v>
      </c>
      <c r="J432" s="8" t="s">
        <v>190</v>
      </c>
      <c r="K432" s="8" t="s">
        <v>1853</v>
      </c>
      <c r="L432" s="4" t="str">
        <f>IF(AtlasReport_1_Table_1[[#This Row],[Reference]]="Purchase order",_xll.AtlasFormulas.AtlasFunctions.AtlasTable("UAT",DataAreaId,"T.VendInvoiceTrans","%RecId","","","","","","","ItemId|PurchID|InventTransId",$C432,$B432,$K432),"")</f>
        <v/>
      </c>
      <c r="M432" s="4" t="str">
        <f>IF(AtlasReport_1_Table_1[[#This Row],[Reference]]="Purchase order",_xll.AtlasFormulas.AtlasFunctions.AtlasTable("UAT",DataAreaId,"T.MarkupTrans","%CurrencyCode","","","","","","","MarkupCode|TransRecId|TransTableId","TPP",$L432,"492"),"")</f>
        <v/>
      </c>
      <c r="N432" s="4" t="str">
        <f>IF(AtlasReport_1_Table_1[[#This Row],[Reference]]="Purchase order",_xll.AtlasFormulas.AtlasFunctions.AtlasBalance("UAT",DataAreaId,"T.MarkupTrans","Sum|Posted|0","","","","","","","MarkupCode|TransTableId|TransRecId","TPP","492",$L432),"")</f>
        <v/>
      </c>
    </row>
    <row r="433" spans="1:14" x14ac:dyDescent="0.25">
      <c r="A433" s="8" t="s">
        <v>927</v>
      </c>
      <c r="B433" s="8" t="s">
        <v>1692</v>
      </c>
      <c r="C433" s="8" t="s">
        <v>131</v>
      </c>
      <c r="D433" s="8" t="s">
        <v>132</v>
      </c>
      <c r="E433" s="8" t="s">
        <v>261</v>
      </c>
      <c r="F433" s="8" t="s">
        <v>264</v>
      </c>
      <c r="G433" s="6">
        <v>43084</v>
      </c>
      <c r="H433" s="6">
        <v>43084</v>
      </c>
      <c r="I433" s="4">
        <v>-1</v>
      </c>
      <c r="J433" s="8" t="s">
        <v>37</v>
      </c>
      <c r="K433" s="8" t="s">
        <v>1854</v>
      </c>
      <c r="L433" s="4" t="str">
        <f>IF(AtlasReport_1_Table_1[[#This Row],[Reference]]="Purchase order",_xll.AtlasFormulas.AtlasFunctions.AtlasTable("UAT",DataAreaId,"T.VendInvoiceTrans","%RecId","","","","","","","ItemId|PurchID|InventTransId",$C433,$B433,$K433),"")</f>
        <v/>
      </c>
      <c r="M433" s="4" t="str">
        <f>IF(AtlasReport_1_Table_1[[#This Row],[Reference]]="Purchase order",_xll.AtlasFormulas.AtlasFunctions.AtlasTable("UAT",DataAreaId,"T.MarkupTrans","%CurrencyCode","","","","","","","MarkupCode|TransRecId|TransTableId","TPP",$L433,"492"),"")</f>
        <v/>
      </c>
      <c r="N433" s="4" t="str">
        <f>IF(AtlasReport_1_Table_1[[#This Row],[Reference]]="Purchase order",_xll.AtlasFormulas.AtlasFunctions.AtlasBalance("UAT",DataAreaId,"T.MarkupTrans","Sum|Posted|0","","","","","","","MarkupCode|TransTableId|TransRecId","TPP","492",$L433),"")</f>
        <v/>
      </c>
    </row>
    <row r="434" spans="1:14" x14ac:dyDescent="0.25">
      <c r="A434" s="8" t="s">
        <v>927</v>
      </c>
      <c r="B434" s="8" t="s">
        <v>1692</v>
      </c>
      <c r="C434" s="8" t="s">
        <v>411</v>
      </c>
      <c r="D434" s="8" t="s">
        <v>1149</v>
      </c>
      <c r="E434" s="8" t="s">
        <v>261</v>
      </c>
      <c r="F434" s="8" t="s">
        <v>264</v>
      </c>
      <c r="G434" s="6">
        <v>43084</v>
      </c>
      <c r="H434" s="6">
        <v>43084</v>
      </c>
      <c r="I434" s="4">
        <v>-2</v>
      </c>
      <c r="J434" s="8" t="s">
        <v>133</v>
      </c>
      <c r="K434" s="8" t="s">
        <v>1855</v>
      </c>
      <c r="L434" s="4" t="str">
        <f>IF(AtlasReport_1_Table_1[[#This Row],[Reference]]="Purchase order",_xll.AtlasFormulas.AtlasFunctions.AtlasTable("UAT",DataAreaId,"T.VendInvoiceTrans","%RecId","","","","","","","ItemId|PurchID|InventTransId",$C434,$B434,$K434),"")</f>
        <v/>
      </c>
      <c r="M434" s="4" t="str">
        <f>IF(AtlasReport_1_Table_1[[#This Row],[Reference]]="Purchase order",_xll.AtlasFormulas.AtlasFunctions.AtlasTable("UAT",DataAreaId,"T.MarkupTrans","%CurrencyCode","","","","","","","MarkupCode|TransRecId|TransTableId","TPP",$L434,"492"),"")</f>
        <v/>
      </c>
      <c r="N434" s="4" t="str">
        <f>IF(AtlasReport_1_Table_1[[#This Row],[Reference]]="Purchase order",_xll.AtlasFormulas.AtlasFunctions.AtlasBalance("UAT",DataAreaId,"T.MarkupTrans","Sum|Posted|0","","","","","","","MarkupCode|TransTableId|TransRecId","TPP","492",$L434),"")</f>
        <v/>
      </c>
    </row>
    <row r="435" spans="1:14" x14ac:dyDescent="0.25">
      <c r="A435" s="8" t="s">
        <v>927</v>
      </c>
      <c r="B435" s="8" t="s">
        <v>1694</v>
      </c>
      <c r="C435" s="8" t="s">
        <v>1145</v>
      </c>
      <c r="D435" s="8" t="s">
        <v>1146</v>
      </c>
      <c r="E435" s="8" t="s">
        <v>261</v>
      </c>
      <c r="F435" s="8" t="s">
        <v>264</v>
      </c>
      <c r="G435" s="6">
        <v>43088</v>
      </c>
      <c r="H435" s="6">
        <v>43088</v>
      </c>
      <c r="I435" s="4">
        <v>-1.67E-2</v>
      </c>
      <c r="J435" s="8" t="s">
        <v>190</v>
      </c>
      <c r="K435" s="8" t="s">
        <v>1856</v>
      </c>
      <c r="L435" s="4" t="str">
        <f>IF(AtlasReport_1_Table_1[[#This Row],[Reference]]="Purchase order",_xll.AtlasFormulas.AtlasFunctions.AtlasTable("UAT",DataAreaId,"T.VendInvoiceTrans","%RecId","","","","","","","ItemId|PurchID|InventTransId",$C435,$B435,$K435),"")</f>
        <v/>
      </c>
      <c r="M435" s="4" t="str">
        <f>IF(AtlasReport_1_Table_1[[#This Row],[Reference]]="Purchase order",_xll.AtlasFormulas.AtlasFunctions.AtlasTable("UAT",DataAreaId,"T.MarkupTrans","%CurrencyCode","","","","","","","MarkupCode|TransRecId|TransTableId","TPP",$L435,"492"),"")</f>
        <v/>
      </c>
      <c r="N435" s="4" t="str">
        <f>IF(AtlasReport_1_Table_1[[#This Row],[Reference]]="Purchase order",_xll.AtlasFormulas.AtlasFunctions.AtlasBalance("UAT",DataAreaId,"T.MarkupTrans","Sum|Posted|0","","","","","","","MarkupCode|TransTableId|TransRecId","TPP","492",$L435),"")</f>
        <v/>
      </c>
    </row>
    <row r="436" spans="1:14" x14ac:dyDescent="0.25">
      <c r="A436" s="8" t="s">
        <v>927</v>
      </c>
      <c r="B436" s="8" t="s">
        <v>1694</v>
      </c>
      <c r="C436" s="8" t="s">
        <v>131</v>
      </c>
      <c r="D436" s="8" t="s">
        <v>132</v>
      </c>
      <c r="E436" s="8" t="s">
        <v>261</v>
      </c>
      <c r="F436" s="8" t="s">
        <v>264</v>
      </c>
      <c r="G436" s="6">
        <v>43088</v>
      </c>
      <c r="H436" s="6">
        <v>43088</v>
      </c>
      <c r="I436" s="4">
        <v>-1</v>
      </c>
      <c r="J436" s="8" t="s">
        <v>37</v>
      </c>
      <c r="K436" s="8" t="s">
        <v>1857</v>
      </c>
      <c r="L436" s="4" t="str">
        <f>IF(AtlasReport_1_Table_1[[#This Row],[Reference]]="Purchase order",_xll.AtlasFormulas.AtlasFunctions.AtlasTable("UAT",DataAreaId,"T.VendInvoiceTrans","%RecId","","","","","","","ItemId|PurchID|InventTransId",$C436,$B436,$K436),"")</f>
        <v/>
      </c>
      <c r="M436" s="4" t="str">
        <f>IF(AtlasReport_1_Table_1[[#This Row],[Reference]]="Purchase order",_xll.AtlasFormulas.AtlasFunctions.AtlasTable("UAT",DataAreaId,"T.MarkupTrans","%CurrencyCode","","","","","","","MarkupCode|TransRecId|TransTableId","TPP",$L436,"492"),"")</f>
        <v/>
      </c>
      <c r="N436" s="4" t="str">
        <f>IF(AtlasReport_1_Table_1[[#This Row],[Reference]]="Purchase order",_xll.AtlasFormulas.AtlasFunctions.AtlasBalance("UAT",DataAreaId,"T.MarkupTrans","Sum|Posted|0","","","","","","","MarkupCode|TransTableId|TransRecId","TPP","492",$L436),"")</f>
        <v/>
      </c>
    </row>
    <row r="437" spans="1:14" x14ac:dyDescent="0.25">
      <c r="A437" s="8" t="s">
        <v>927</v>
      </c>
      <c r="B437" s="8" t="s">
        <v>1694</v>
      </c>
      <c r="C437" s="8" t="s">
        <v>411</v>
      </c>
      <c r="D437" s="8" t="s">
        <v>1149</v>
      </c>
      <c r="E437" s="8" t="s">
        <v>261</v>
      </c>
      <c r="F437" s="8" t="s">
        <v>264</v>
      </c>
      <c r="G437" s="6">
        <v>43088</v>
      </c>
      <c r="H437" s="6">
        <v>43088</v>
      </c>
      <c r="I437" s="4">
        <v>-2</v>
      </c>
      <c r="J437" s="8" t="s">
        <v>133</v>
      </c>
      <c r="K437" s="8" t="s">
        <v>1858</v>
      </c>
      <c r="L437" s="4" t="str">
        <f>IF(AtlasReport_1_Table_1[[#This Row],[Reference]]="Purchase order",_xll.AtlasFormulas.AtlasFunctions.AtlasTable("UAT",DataAreaId,"T.VendInvoiceTrans","%RecId","","","","","","","ItemId|PurchID|InventTransId",$C437,$B437,$K437),"")</f>
        <v/>
      </c>
      <c r="M437" s="4" t="str">
        <f>IF(AtlasReport_1_Table_1[[#This Row],[Reference]]="Purchase order",_xll.AtlasFormulas.AtlasFunctions.AtlasTable("UAT",DataAreaId,"T.MarkupTrans","%CurrencyCode","","","","","","","MarkupCode|TransRecId|TransTableId","TPP",$L437,"492"),"")</f>
        <v/>
      </c>
      <c r="N437" s="4" t="str">
        <f>IF(AtlasReport_1_Table_1[[#This Row],[Reference]]="Purchase order",_xll.AtlasFormulas.AtlasFunctions.AtlasBalance("UAT",DataAreaId,"T.MarkupTrans","Sum|Posted|0","","","","","","","MarkupCode|TransTableId|TransRecId","TPP","492",$L437),"")</f>
        <v/>
      </c>
    </row>
    <row r="438" spans="1:14" x14ac:dyDescent="0.25">
      <c r="A438" s="8" t="s">
        <v>927</v>
      </c>
      <c r="B438" s="8" t="s">
        <v>932</v>
      </c>
      <c r="C438" s="8" t="s">
        <v>114</v>
      </c>
      <c r="D438" s="8" t="s">
        <v>115</v>
      </c>
      <c r="E438" s="8" t="s">
        <v>261</v>
      </c>
      <c r="F438" s="8" t="s">
        <v>264</v>
      </c>
      <c r="G438" s="6">
        <v>43089</v>
      </c>
      <c r="H438" s="6">
        <v>43089</v>
      </c>
      <c r="I438" s="4">
        <v>-1</v>
      </c>
      <c r="J438" s="8" t="s">
        <v>37</v>
      </c>
      <c r="K438" s="8" t="s">
        <v>1859</v>
      </c>
      <c r="L438" s="4" t="str">
        <f>IF(AtlasReport_1_Table_1[[#This Row],[Reference]]="Purchase order",_xll.AtlasFormulas.AtlasFunctions.AtlasTable("UAT",DataAreaId,"T.VendInvoiceTrans","%RecId","","","","","","","ItemId|PurchID|InventTransId",$C438,$B438,$K438),"")</f>
        <v/>
      </c>
      <c r="M438" s="4" t="str">
        <f>IF(AtlasReport_1_Table_1[[#This Row],[Reference]]="Purchase order",_xll.AtlasFormulas.AtlasFunctions.AtlasTable("UAT",DataAreaId,"T.MarkupTrans","%CurrencyCode","","","","","","","MarkupCode|TransRecId|TransTableId","TPP",$L438,"492"),"")</f>
        <v/>
      </c>
      <c r="N438" s="4" t="str">
        <f>IF(AtlasReport_1_Table_1[[#This Row],[Reference]]="Purchase order",_xll.AtlasFormulas.AtlasFunctions.AtlasBalance("UAT",DataAreaId,"T.MarkupTrans","Sum|Posted|0","","","","","","","MarkupCode|TransTableId|TransRecId","TPP","492",$L438),"")</f>
        <v/>
      </c>
    </row>
    <row r="439" spans="1:14" x14ac:dyDescent="0.25">
      <c r="A439" s="8" t="s">
        <v>927</v>
      </c>
      <c r="B439" s="8" t="s">
        <v>932</v>
      </c>
      <c r="C439" s="8" t="s">
        <v>28</v>
      </c>
      <c r="D439" s="8" t="s">
        <v>928</v>
      </c>
      <c r="E439" s="8" t="s">
        <v>261</v>
      </c>
      <c r="F439" s="8" t="s">
        <v>264</v>
      </c>
      <c r="G439" s="6">
        <v>43089</v>
      </c>
      <c r="H439" s="6">
        <v>43089</v>
      </c>
      <c r="I439" s="4">
        <v>-1</v>
      </c>
      <c r="J439" s="8" t="s">
        <v>37</v>
      </c>
      <c r="K439" s="8" t="s">
        <v>934</v>
      </c>
      <c r="L439" s="4" t="str">
        <f>IF(AtlasReport_1_Table_1[[#This Row],[Reference]]="Purchase order",_xll.AtlasFormulas.AtlasFunctions.AtlasTable("UAT",DataAreaId,"T.VendInvoiceTrans","%RecId","","","","","","","ItemId|PurchID|InventTransId",$C439,$B439,$K439),"")</f>
        <v/>
      </c>
      <c r="M439" s="4" t="str">
        <f>IF(AtlasReport_1_Table_1[[#This Row],[Reference]]="Purchase order",_xll.AtlasFormulas.AtlasFunctions.AtlasTable("UAT",DataAreaId,"T.MarkupTrans","%CurrencyCode","","","","","","","MarkupCode|TransRecId|TransTableId","TPP",$L439,"492"),"")</f>
        <v/>
      </c>
      <c r="N439" s="4" t="str">
        <f>IF(AtlasReport_1_Table_1[[#This Row],[Reference]]="Purchase order",_xll.AtlasFormulas.AtlasFunctions.AtlasBalance("UAT",DataAreaId,"T.MarkupTrans","Sum|Posted|0","","","","","","","MarkupCode|TransTableId|TransRecId","TPP","492",$L439),"")</f>
        <v/>
      </c>
    </row>
    <row r="440" spans="1:14" x14ac:dyDescent="0.25">
      <c r="A440" s="8" t="s">
        <v>927</v>
      </c>
      <c r="B440" s="8" t="s">
        <v>1697</v>
      </c>
      <c r="C440" s="8" t="s">
        <v>1145</v>
      </c>
      <c r="D440" s="8" t="s">
        <v>1146</v>
      </c>
      <c r="E440" s="8" t="s">
        <v>261</v>
      </c>
      <c r="F440" s="8" t="s">
        <v>264</v>
      </c>
      <c r="G440" s="6">
        <v>43091</v>
      </c>
      <c r="H440" s="6">
        <v>43091</v>
      </c>
      <c r="I440" s="4">
        <v>-1.67E-2</v>
      </c>
      <c r="J440" s="8" t="s">
        <v>190</v>
      </c>
      <c r="K440" s="8" t="s">
        <v>1860</v>
      </c>
      <c r="L440" s="4" t="str">
        <f>IF(AtlasReport_1_Table_1[[#This Row],[Reference]]="Purchase order",_xll.AtlasFormulas.AtlasFunctions.AtlasTable("UAT",DataAreaId,"T.VendInvoiceTrans","%RecId","","","","","","","ItemId|PurchID|InventTransId",$C440,$B440,$K440),"")</f>
        <v/>
      </c>
      <c r="M440" s="4" t="str">
        <f>IF(AtlasReport_1_Table_1[[#This Row],[Reference]]="Purchase order",_xll.AtlasFormulas.AtlasFunctions.AtlasTable("UAT",DataAreaId,"T.MarkupTrans","%CurrencyCode","","","","","","","MarkupCode|TransRecId|TransTableId","TPP",$L440,"492"),"")</f>
        <v/>
      </c>
      <c r="N440" s="4" t="str">
        <f>IF(AtlasReport_1_Table_1[[#This Row],[Reference]]="Purchase order",_xll.AtlasFormulas.AtlasFunctions.AtlasBalance("UAT",DataAreaId,"T.MarkupTrans","Sum|Posted|0","","","","","","","MarkupCode|TransTableId|TransRecId","TPP","492",$L440),"")</f>
        <v/>
      </c>
    </row>
    <row r="441" spans="1:14" x14ac:dyDescent="0.25">
      <c r="A441" s="8" t="s">
        <v>927</v>
      </c>
      <c r="B441" s="8" t="s">
        <v>1697</v>
      </c>
      <c r="C441" s="8" t="s">
        <v>131</v>
      </c>
      <c r="D441" s="8" t="s">
        <v>132</v>
      </c>
      <c r="E441" s="8" t="s">
        <v>261</v>
      </c>
      <c r="F441" s="8" t="s">
        <v>264</v>
      </c>
      <c r="G441" s="6">
        <v>43091</v>
      </c>
      <c r="H441" s="6">
        <v>43091</v>
      </c>
      <c r="I441" s="4">
        <v>-1</v>
      </c>
      <c r="J441" s="8" t="s">
        <v>37</v>
      </c>
      <c r="K441" s="8" t="s">
        <v>1861</v>
      </c>
      <c r="L441" s="4" t="str">
        <f>IF(AtlasReport_1_Table_1[[#This Row],[Reference]]="Purchase order",_xll.AtlasFormulas.AtlasFunctions.AtlasTable("UAT",DataAreaId,"T.VendInvoiceTrans","%RecId","","","","","","","ItemId|PurchID|InventTransId",$C441,$B441,$K441),"")</f>
        <v/>
      </c>
      <c r="M441" s="4" t="str">
        <f>IF(AtlasReport_1_Table_1[[#This Row],[Reference]]="Purchase order",_xll.AtlasFormulas.AtlasFunctions.AtlasTable("UAT",DataAreaId,"T.MarkupTrans","%CurrencyCode","","","","","","","MarkupCode|TransRecId|TransTableId","TPP",$L441,"492"),"")</f>
        <v/>
      </c>
      <c r="N441" s="4" t="str">
        <f>IF(AtlasReport_1_Table_1[[#This Row],[Reference]]="Purchase order",_xll.AtlasFormulas.AtlasFunctions.AtlasBalance("UAT",DataAreaId,"T.MarkupTrans","Sum|Posted|0","","","","","","","MarkupCode|TransTableId|TransRecId","TPP","492",$L441),"")</f>
        <v/>
      </c>
    </row>
    <row r="442" spans="1:14" x14ac:dyDescent="0.25">
      <c r="A442" s="8" t="s">
        <v>927</v>
      </c>
      <c r="B442" s="8" t="s">
        <v>1697</v>
      </c>
      <c r="C442" s="8" t="s">
        <v>411</v>
      </c>
      <c r="D442" s="8" t="s">
        <v>1149</v>
      </c>
      <c r="E442" s="8" t="s">
        <v>261</v>
      </c>
      <c r="F442" s="8" t="s">
        <v>264</v>
      </c>
      <c r="G442" s="6">
        <v>43091</v>
      </c>
      <c r="H442" s="6">
        <v>43091</v>
      </c>
      <c r="I442" s="4">
        <v>-2</v>
      </c>
      <c r="J442" s="8" t="s">
        <v>133</v>
      </c>
      <c r="K442" s="8" t="s">
        <v>1862</v>
      </c>
      <c r="L442" s="4" t="str">
        <f>IF(AtlasReport_1_Table_1[[#This Row],[Reference]]="Purchase order",_xll.AtlasFormulas.AtlasFunctions.AtlasTable("UAT",DataAreaId,"T.VendInvoiceTrans","%RecId","","","","","","","ItemId|PurchID|InventTransId",$C442,$B442,$K442),"")</f>
        <v/>
      </c>
      <c r="M442" s="4" t="str">
        <f>IF(AtlasReport_1_Table_1[[#This Row],[Reference]]="Purchase order",_xll.AtlasFormulas.AtlasFunctions.AtlasTable("UAT",DataAreaId,"T.MarkupTrans","%CurrencyCode","","","","","","","MarkupCode|TransRecId|TransTableId","TPP",$L442,"492"),"")</f>
        <v/>
      </c>
      <c r="N442" s="4" t="str">
        <f>IF(AtlasReport_1_Table_1[[#This Row],[Reference]]="Purchase order",_xll.AtlasFormulas.AtlasFunctions.AtlasBalance("UAT",DataAreaId,"T.MarkupTrans","Sum|Posted|0","","","","","","","MarkupCode|TransTableId|TransRecId","TPP","492",$L442),"")</f>
        <v/>
      </c>
    </row>
    <row r="443" spans="1:14" x14ac:dyDescent="0.25">
      <c r="A443" s="8" t="s">
        <v>21</v>
      </c>
      <c r="B443" s="8" t="s">
        <v>1863</v>
      </c>
      <c r="C443" s="8" t="s">
        <v>59</v>
      </c>
      <c r="D443" s="8" t="s">
        <v>93</v>
      </c>
      <c r="E443" s="8" t="s">
        <v>261</v>
      </c>
      <c r="F443" s="8" t="s">
        <v>264</v>
      </c>
      <c r="G443" s="6">
        <v>43075</v>
      </c>
      <c r="H443" s="6">
        <v>43075</v>
      </c>
      <c r="I443" s="4">
        <v>1.6</v>
      </c>
      <c r="J443" s="8" t="s">
        <v>39</v>
      </c>
      <c r="K443" s="8" t="s">
        <v>1864</v>
      </c>
      <c r="L443" s="4" t="str">
        <f>IF(AtlasReport_1_Table_1[[#This Row],[Reference]]="Purchase order",_xll.AtlasFormulas.AtlasFunctions.AtlasTable("UAT",DataAreaId,"T.VendInvoiceTrans","%RecId","","","","","","","ItemId|PurchID|InventTransId",$C443,$B443,$K443),"")</f>
        <v/>
      </c>
      <c r="M443" s="4" t="str">
        <f>IF(AtlasReport_1_Table_1[[#This Row],[Reference]]="Purchase order",_xll.AtlasFormulas.AtlasFunctions.AtlasTable("UAT",DataAreaId,"T.MarkupTrans","%CurrencyCode","","","","","","","MarkupCode|TransRecId|TransTableId","TPP",$L443,"492"),"")</f>
        <v/>
      </c>
      <c r="N443" s="4" t="str">
        <f>IF(AtlasReport_1_Table_1[[#This Row],[Reference]]="Purchase order",_xll.AtlasFormulas.AtlasFunctions.AtlasBalance("UAT",DataAreaId,"T.MarkupTrans","Sum|Posted|0","","","","","","","MarkupCode|TransTableId|TransRecId","TPP","492",$L443),"")</f>
        <v/>
      </c>
    </row>
    <row r="444" spans="1:14" x14ac:dyDescent="0.25">
      <c r="A444" s="8" t="s">
        <v>21</v>
      </c>
      <c r="B444" s="8" t="s">
        <v>1865</v>
      </c>
      <c r="C444" s="8" t="s">
        <v>63</v>
      </c>
      <c r="D444" s="8" t="s">
        <v>95</v>
      </c>
      <c r="E444" s="8" t="s">
        <v>261</v>
      </c>
      <c r="F444" s="8" t="s">
        <v>264</v>
      </c>
      <c r="G444" s="6">
        <v>43075</v>
      </c>
      <c r="H444" s="6">
        <v>43075</v>
      </c>
      <c r="I444" s="4">
        <v>0.35</v>
      </c>
      <c r="J444" s="8" t="s">
        <v>39</v>
      </c>
      <c r="K444" s="8" t="s">
        <v>1866</v>
      </c>
      <c r="L444" s="4" t="str">
        <f>IF(AtlasReport_1_Table_1[[#This Row],[Reference]]="Purchase order",_xll.AtlasFormulas.AtlasFunctions.AtlasTable("UAT",DataAreaId,"T.VendInvoiceTrans","%RecId","","","","","","","ItemId|PurchID|InventTransId",$C444,$B444,$K444),"")</f>
        <v/>
      </c>
      <c r="M444" s="4" t="str">
        <f>IF(AtlasReport_1_Table_1[[#This Row],[Reference]]="Purchase order",_xll.AtlasFormulas.AtlasFunctions.AtlasTable("UAT",DataAreaId,"T.MarkupTrans","%CurrencyCode","","","","","","","MarkupCode|TransRecId|TransTableId","TPP",$L444,"492"),"")</f>
        <v/>
      </c>
      <c r="N444" s="4" t="str">
        <f>IF(AtlasReport_1_Table_1[[#This Row],[Reference]]="Purchase order",_xll.AtlasFormulas.AtlasFunctions.AtlasBalance("UAT",DataAreaId,"T.MarkupTrans","Sum|Posted|0","","","","","","","MarkupCode|TransTableId|TransRecId","TPP","492",$L444),"")</f>
        <v/>
      </c>
    </row>
    <row r="445" spans="1:14" x14ac:dyDescent="0.25">
      <c r="A445" s="8" t="s">
        <v>21</v>
      </c>
      <c r="B445" s="8" t="s">
        <v>1867</v>
      </c>
      <c r="C445" s="8" t="s">
        <v>59</v>
      </c>
      <c r="D445" s="8" t="s">
        <v>93</v>
      </c>
      <c r="E445" s="8" t="s">
        <v>261</v>
      </c>
      <c r="F445" s="8" t="s">
        <v>264</v>
      </c>
      <c r="G445" s="6">
        <v>43076</v>
      </c>
      <c r="H445" s="6">
        <v>43076</v>
      </c>
      <c r="I445" s="4">
        <v>1.58</v>
      </c>
      <c r="J445" s="8" t="s">
        <v>39</v>
      </c>
      <c r="K445" s="8" t="s">
        <v>1868</v>
      </c>
      <c r="L445" s="4" t="str">
        <f>IF(AtlasReport_1_Table_1[[#This Row],[Reference]]="Purchase order",_xll.AtlasFormulas.AtlasFunctions.AtlasTable("UAT",DataAreaId,"T.VendInvoiceTrans","%RecId","","","","","","","ItemId|PurchID|InventTransId",$C445,$B445,$K445),"")</f>
        <v/>
      </c>
      <c r="M445" s="4" t="str">
        <f>IF(AtlasReport_1_Table_1[[#This Row],[Reference]]="Purchase order",_xll.AtlasFormulas.AtlasFunctions.AtlasTable("UAT",DataAreaId,"T.MarkupTrans","%CurrencyCode","","","","","","","MarkupCode|TransRecId|TransTableId","TPP",$L445,"492"),"")</f>
        <v/>
      </c>
      <c r="N445" s="4" t="str">
        <f>IF(AtlasReport_1_Table_1[[#This Row],[Reference]]="Purchase order",_xll.AtlasFormulas.AtlasFunctions.AtlasBalance("UAT",DataAreaId,"T.MarkupTrans","Sum|Posted|0","","","","","","","MarkupCode|TransTableId|TransRecId","TPP","492",$L445),"")</f>
        <v/>
      </c>
    </row>
    <row r="446" spans="1:14" x14ac:dyDescent="0.25">
      <c r="A446" s="8" t="s">
        <v>21</v>
      </c>
      <c r="B446" s="8" t="s">
        <v>1869</v>
      </c>
      <c r="C446" s="8" t="s">
        <v>111</v>
      </c>
      <c r="D446" s="8" t="s">
        <v>112</v>
      </c>
      <c r="E446" s="8" t="s">
        <v>261</v>
      </c>
      <c r="F446" s="8" t="s">
        <v>264</v>
      </c>
      <c r="G446" s="6">
        <v>43084</v>
      </c>
      <c r="H446" s="6">
        <v>43084</v>
      </c>
      <c r="I446" s="4">
        <v>2.66</v>
      </c>
      <c r="J446" s="8" t="s">
        <v>39</v>
      </c>
      <c r="K446" s="8" t="s">
        <v>1870</v>
      </c>
      <c r="L446" s="4" t="str">
        <f>IF(AtlasReport_1_Table_1[[#This Row],[Reference]]="Purchase order",_xll.AtlasFormulas.AtlasFunctions.AtlasTable("UAT",DataAreaId,"T.VendInvoiceTrans","%RecId","","","","","","","ItemId|PurchID|InventTransId",$C446,$B446,$K446),"")</f>
        <v/>
      </c>
      <c r="M446" s="4" t="str">
        <f>IF(AtlasReport_1_Table_1[[#This Row],[Reference]]="Purchase order",_xll.AtlasFormulas.AtlasFunctions.AtlasTable("UAT",DataAreaId,"T.MarkupTrans","%CurrencyCode","","","","","","","MarkupCode|TransRecId|TransTableId","TPP",$L446,"492"),"")</f>
        <v/>
      </c>
      <c r="N446" s="4" t="str">
        <f>IF(AtlasReport_1_Table_1[[#This Row],[Reference]]="Purchase order",_xll.AtlasFormulas.AtlasFunctions.AtlasBalance("UAT",DataAreaId,"T.MarkupTrans","Sum|Posted|0","","","","","","","MarkupCode|TransTableId|TransRecId","TPP","492",$L446),"")</f>
        <v/>
      </c>
    </row>
    <row r="447" spans="1:14" x14ac:dyDescent="0.25">
      <c r="A447" s="8" t="s">
        <v>21</v>
      </c>
      <c r="B447" s="8" t="s">
        <v>1871</v>
      </c>
      <c r="C447" s="8" t="s">
        <v>58</v>
      </c>
      <c r="D447" s="8" t="s">
        <v>127</v>
      </c>
      <c r="E447" s="8" t="s">
        <v>261</v>
      </c>
      <c r="F447" s="8" t="s">
        <v>264</v>
      </c>
      <c r="G447" s="6">
        <v>43084</v>
      </c>
      <c r="H447" s="6">
        <v>43084</v>
      </c>
      <c r="I447" s="4">
        <v>2.4</v>
      </c>
      <c r="J447" s="8" t="s">
        <v>39</v>
      </c>
      <c r="K447" s="8" t="s">
        <v>1872</v>
      </c>
      <c r="L447" s="4" t="str">
        <f>IF(AtlasReport_1_Table_1[[#This Row],[Reference]]="Purchase order",_xll.AtlasFormulas.AtlasFunctions.AtlasTable("UAT",DataAreaId,"T.VendInvoiceTrans","%RecId","","","","","","","ItemId|PurchID|InventTransId",$C447,$B447,$K447),"")</f>
        <v/>
      </c>
      <c r="M447" s="4" t="str">
        <f>IF(AtlasReport_1_Table_1[[#This Row],[Reference]]="Purchase order",_xll.AtlasFormulas.AtlasFunctions.AtlasTable("UAT",DataAreaId,"T.MarkupTrans","%CurrencyCode","","","","","","","MarkupCode|TransRecId|TransTableId","TPP",$L447,"492"),"")</f>
        <v/>
      </c>
      <c r="N447" s="4" t="str">
        <f>IF(AtlasReport_1_Table_1[[#This Row],[Reference]]="Purchase order",_xll.AtlasFormulas.AtlasFunctions.AtlasBalance("UAT",DataAreaId,"T.MarkupTrans","Sum|Posted|0","","","","","","","MarkupCode|TransTableId|TransRecId","TPP","492",$L447),"")</f>
        <v/>
      </c>
    </row>
    <row r="448" spans="1:14" x14ac:dyDescent="0.25">
      <c r="A448" s="8" t="s">
        <v>21</v>
      </c>
      <c r="B448" s="8" t="s">
        <v>1873</v>
      </c>
      <c r="C448" s="8" t="s">
        <v>58</v>
      </c>
      <c r="D448" s="8" t="s">
        <v>127</v>
      </c>
      <c r="E448" s="8" t="s">
        <v>261</v>
      </c>
      <c r="F448" s="8" t="s">
        <v>264</v>
      </c>
      <c r="G448" s="6">
        <v>43087</v>
      </c>
      <c r="H448" s="6">
        <v>43087</v>
      </c>
      <c r="I448" s="4">
        <v>2.09</v>
      </c>
      <c r="J448" s="8" t="s">
        <v>39</v>
      </c>
      <c r="K448" s="8" t="s">
        <v>1874</v>
      </c>
      <c r="L448" s="4" t="str">
        <f>IF(AtlasReport_1_Table_1[[#This Row],[Reference]]="Purchase order",_xll.AtlasFormulas.AtlasFunctions.AtlasTable("UAT",DataAreaId,"T.VendInvoiceTrans","%RecId","","","","","","","ItemId|PurchID|InventTransId",$C448,$B448,$K448),"")</f>
        <v/>
      </c>
      <c r="M448" s="4" t="str">
        <f>IF(AtlasReport_1_Table_1[[#This Row],[Reference]]="Purchase order",_xll.AtlasFormulas.AtlasFunctions.AtlasTable("UAT",DataAreaId,"T.MarkupTrans","%CurrencyCode","","","","","","","MarkupCode|TransRecId|TransTableId","TPP",$L448,"492"),"")</f>
        <v/>
      </c>
      <c r="N448" s="4" t="str">
        <f>IF(AtlasReport_1_Table_1[[#This Row],[Reference]]="Purchase order",_xll.AtlasFormulas.AtlasFunctions.AtlasBalance("UAT",DataAreaId,"T.MarkupTrans","Sum|Posted|0","","","","","","","MarkupCode|TransTableId|TransRecId","TPP","492",$L448),"")</f>
        <v/>
      </c>
    </row>
    <row r="449" spans="1:14" x14ac:dyDescent="0.25">
      <c r="A449" s="8" t="s">
        <v>21</v>
      </c>
      <c r="B449" s="8" t="s">
        <v>1875</v>
      </c>
      <c r="C449" s="8" t="s">
        <v>260</v>
      </c>
      <c r="D449" s="8" t="s">
        <v>970</v>
      </c>
      <c r="E449" s="8" t="s">
        <v>261</v>
      </c>
      <c r="F449" s="8" t="s">
        <v>263</v>
      </c>
      <c r="G449" s="6">
        <v>43088</v>
      </c>
      <c r="H449" s="6">
        <v>43088</v>
      </c>
      <c r="I449" s="4">
        <v>4</v>
      </c>
      <c r="J449" s="8" t="s">
        <v>37</v>
      </c>
      <c r="K449" s="8" t="s">
        <v>1876</v>
      </c>
      <c r="L449" s="4" t="str">
        <f>IF(AtlasReport_1_Table_1[[#This Row],[Reference]]="Purchase order",_xll.AtlasFormulas.AtlasFunctions.AtlasTable("UAT",DataAreaId,"T.VendInvoiceTrans","%RecId","","","","","","","ItemId|PurchID|InventTransId",$C449,$B449,$K449),"")</f>
        <v/>
      </c>
      <c r="M449" s="4" t="str">
        <f>IF(AtlasReport_1_Table_1[[#This Row],[Reference]]="Purchase order",_xll.AtlasFormulas.AtlasFunctions.AtlasTable("UAT",DataAreaId,"T.MarkupTrans","%CurrencyCode","","","","","","","MarkupCode|TransRecId|TransTableId","TPP",$L449,"492"),"")</f>
        <v/>
      </c>
      <c r="N449" s="4" t="str">
        <f>IF(AtlasReport_1_Table_1[[#This Row],[Reference]]="Purchase order",_xll.AtlasFormulas.AtlasFunctions.AtlasBalance("UAT",DataAreaId,"T.MarkupTrans","Sum|Posted|0","","","","","","","MarkupCode|TransTableId|TransRecId","TPP","492",$L449),"")</f>
        <v/>
      </c>
    </row>
    <row r="450" spans="1:14" x14ac:dyDescent="0.25">
      <c r="A450" s="8" t="s">
        <v>21</v>
      </c>
      <c r="B450" s="8" t="s">
        <v>1877</v>
      </c>
      <c r="C450" s="8" t="s">
        <v>66</v>
      </c>
      <c r="D450" s="8" t="s">
        <v>116</v>
      </c>
      <c r="E450" s="8" t="s">
        <v>261</v>
      </c>
      <c r="F450" s="8" t="s">
        <v>289</v>
      </c>
      <c r="G450" s="6">
        <v>43088</v>
      </c>
      <c r="H450" s="6">
        <v>43088</v>
      </c>
      <c r="I450" s="4">
        <v>1</v>
      </c>
      <c r="J450" s="8" t="s">
        <v>37</v>
      </c>
      <c r="K450" s="8" t="s">
        <v>1878</v>
      </c>
      <c r="L450" s="4" t="str">
        <f>IF(AtlasReport_1_Table_1[[#This Row],[Reference]]="Purchase order",_xll.AtlasFormulas.AtlasFunctions.AtlasTable("UAT",DataAreaId,"T.VendInvoiceTrans","%RecId","","","","","","","ItemId|PurchID|InventTransId",$C450,$B450,$K450),"")</f>
        <v/>
      </c>
      <c r="M450" s="4" t="str">
        <f>IF(AtlasReport_1_Table_1[[#This Row],[Reference]]="Purchase order",_xll.AtlasFormulas.AtlasFunctions.AtlasTable("UAT",DataAreaId,"T.MarkupTrans","%CurrencyCode","","","","","","","MarkupCode|TransRecId|TransTableId","TPP",$L450,"492"),"")</f>
        <v/>
      </c>
      <c r="N450" s="4" t="str">
        <f>IF(AtlasReport_1_Table_1[[#This Row],[Reference]]="Purchase order",_xll.AtlasFormulas.AtlasFunctions.AtlasBalance("UAT",DataAreaId,"T.MarkupTrans","Sum|Posted|0","","","","","","","MarkupCode|TransTableId|TransRecId","TPP","492",$L450),"")</f>
        <v/>
      </c>
    </row>
    <row r="451" spans="1:14" x14ac:dyDescent="0.25">
      <c r="A451" s="8" t="s">
        <v>21</v>
      </c>
      <c r="B451" s="8" t="s">
        <v>1879</v>
      </c>
      <c r="C451" s="8" t="s">
        <v>53</v>
      </c>
      <c r="D451" s="8" t="s">
        <v>997</v>
      </c>
      <c r="E451" s="8" t="s">
        <v>261</v>
      </c>
      <c r="F451" s="8" t="s">
        <v>290</v>
      </c>
      <c r="G451" s="6">
        <v>43088</v>
      </c>
      <c r="H451" s="6">
        <v>43088</v>
      </c>
      <c r="I451" s="4">
        <v>1</v>
      </c>
      <c r="J451" s="8" t="s">
        <v>37</v>
      </c>
      <c r="K451" s="8" t="s">
        <v>1880</v>
      </c>
      <c r="L451" s="4" t="str">
        <f>IF(AtlasReport_1_Table_1[[#This Row],[Reference]]="Purchase order",_xll.AtlasFormulas.AtlasFunctions.AtlasTable("UAT",DataAreaId,"T.VendInvoiceTrans","%RecId","","","","","","","ItemId|PurchID|InventTransId",$C451,$B451,$K451),"")</f>
        <v/>
      </c>
      <c r="M451" s="4" t="str">
        <f>IF(AtlasReport_1_Table_1[[#This Row],[Reference]]="Purchase order",_xll.AtlasFormulas.AtlasFunctions.AtlasTable("UAT",DataAreaId,"T.MarkupTrans","%CurrencyCode","","","","","","","MarkupCode|TransRecId|TransTableId","TPP",$L451,"492"),"")</f>
        <v/>
      </c>
      <c r="N451" s="4" t="str">
        <f>IF(AtlasReport_1_Table_1[[#This Row],[Reference]]="Purchase order",_xll.AtlasFormulas.AtlasFunctions.AtlasBalance("UAT",DataAreaId,"T.MarkupTrans","Sum|Posted|0","","","","","","","MarkupCode|TransTableId|TransRecId","TPP","492",$L451),"")</f>
        <v/>
      </c>
    </row>
    <row r="452" spans="1:14" x14ac:dyDescent="0.25">
      <c r="A452" s="8" t="s">
        <v>21</v>
      </c>
      <c r="B452" s="8" t="s">
        <v>1879</v>
      </c>
      <c r="C452" s="8" t="s">
        <v>20</v>
      </c>
      <c r="D452" s="8" t="s">
        <v>191</v>
      </c>
      <c r="E452" s="8" t="s">
        <v>261</v>
      </c>
      <c r="F452" s="8" t="s">
        <v>290</v>
      </c>
      <c r="G452" s="6">
        <v>43088</v>
      </c>
      <c r="H452" s="6">
        <v>43088</v>
      </c>
      <c r="I452" s="4">
        <v>-0.25</v>
      </c>
      <c r="J452" s="8" t="s">
        <v>38</v>
      </c>
      <c r="K452" s="8" t="s">
        <v>1881</v>
      </c>
      <c r="L452" s="4" t="str">
        <f>IF(AtlasReport_1_Table_1[[#This Row],[Reference]]="Purchase order",_xll.AtlasFormulas.AtlasFunctions.AtlasTable("UAT",DataAreaId,"T.VendInvoiceTrans","%RecId","","","","","","","ItemId|PurchID|InventTransId",$C452,$B452,$K452),"")</f>
        <v/>
      </c>
      <c r="M452" s="4" t="str">
        <f>IF(AtlasReport_1_Table_1[[#This Row],[Reference]]="Purchase order",_xll.AtlasFormulas.AtlasFunctions.AtlasTable("UAT",DataAreaId,"T.MarkupTrans","%CurrencyCode","","","","","","","MarkupCode|TransRecId|TransTableId","TPP",$L452,"492"),"")</f>
        <v/>
      </c>
      <c r="N452" s="4" t="str">
        <f>IF(AtlasReport_1_Table_1[[#This Row],[Reference]]="Purchase order",_xll.AtlasFormulas.AtlasFunctions.AtlasBalance("UAT",DataAreaId,"T.MarkupTrans","Sum|Posted|0","","","","","","","MarkupCode|TransTableId|TransRecId","TPP","492",$L452),"")</f>
        <v/>
      </c>
    </row>
    <row r="453" spans="1:14" x14ac:dyDescent="0.25">
      <c r="A453" s="8" t="s">
        <v>21</v>
      </c>
      <c r="B453" s="8" t="s">
        <v>1879</v>
      </c>
      <c r="C453" s="8" t="s">
        <v>71</v>
      </c>
      <c r="D453" s="8" t="s">
        <v>191</v>
      </c>
      <c r="E453" s="8" t="s">
        <v>261</v>
      </c>
      <c r="F453" s="8" t="s">
        <v>290</v>
      </c>
      <c r="G453" s="6">
        <v>43088</v>
      </c>
      <c r="H453" s="6">
        <v>43088</v>
      </c>
      <c r="I453" s="4">
        <v>118.5</v>
      </c>
      <c r="J453" s="8" t="s">
        <v>38</v>
      </c>
      <c r="K453" s="8" t="s">
        <v>1882</v>
      </c>
      <c r="L453" s="4" t="str">
        <f>IF(AtlasReport_1_Table_1[[#This Row],[Reference]]="Purchase order",_xll.AtlasFormulas.AtlasFunctions.AtlasTable("UAT",DataAreaId,"T.VendInvoiceTrans","%RecId","","","","","","","ItemId|PurchID|InventTransId",$C453,$B453,$K453),"")</f>
        <v/>
      </c>
      <c r="M453" s="4" t="str">
        <f>IF(AtlasReport_1_Table_1[[#This Row],[Reference]]="Purchase order",_xll.AtlasFormulas.AtlasFunctions.AtlasTable("UAT",DataAreaId,"T.MarkupTrans","%CurrencyCode","","","","","","","MarkupCode|TransRecId|TransTableId","TPP",$L453,"492"),"")</f>
        <v/>
      </c>
      <c r="N453" s="4" t="str">
        <f>IF(AtlasReport_1_Table_1[[#This Row],[Reference]]="Purchase order",_xll.AtlasFormulas.AtlasFunctions.AtlasBalance("UAT",DataAreaId,"T.MarkupTrans","Sum|Posted|0","","","","","","","MarkupCode|TransTableId|TransRecId","TPP","492",$L453),"")</f>
        <v/>
      </c>
    </row>
    <row r="454" spans="1:14" x14ac:dyDescent="0.25">
      <c r="A454" s="8" t="s">
        <v>21</v>
      </c>
      <c r="B454" s="8" t="s">
        <v>1879</v>
      </c>
      <c r="C454" s="8" t="s">
        <v>18</v>
      </c>
      <c r="D454" s="8" t="s">
        <v>191</v>
      </c>
      <c r="E454" s="8" t="s">
        <v>261</v>
      </c>
      <c r="F454" s="8" t="s">
        <v>290</v>
      </c>
      <c r="G454" s="6">
        <v>43088</v>
      </c>
      <c r="H454" s="6">
        <v>43088</v>
      </c>
      <c r="I454" s="4">
        <v>48.75</v>
      </c>
      <c r="J454" s="8" t="s">
        <v>38</v>
      </c>
      <c r="K454" s="8" t="s">
        <v>1883</v>
      </c>
      <c r="L454" s="4" t="str">
        <f>IF(AtlasReport_1_Table_1[[#This Row],[Reference]]="Purchase order",_xll.AtlasFormulas.AtlasFunctions.AtlasTable("UAT",DataAreaId,"T.VendInvoiceTrans","%RecId","","","","","","","ItemId|PurchID|InventTransId",$C454,$B454,$K454),"")</f>
        <v/>
      </c>
      <c r="M454" s="4" t="str">
        <f>IF(AtlasReport_1_Table_1[[#This Row],[Reference]]="Purchase order",_xll.AtlasFormulas.AtlasFunctions.AtlasTable("UAT",DataAreaId,"T.MarkupTrans","%CurrencyCode","","","","","","","MarkupCode|TransRecId|TransTableId","TPP",$L454,"492"),"")</f>
        <v/>
      </c>
      <c r="N454" s="4" t="str">
        <f>IF(AtlasReport_1_Table_1[[#This Row],[Reference]]="Purchase order",_xll.AtlasFormulas.AtlasFunctions.AtlasBalance("UAT",DataAreaId,"T.MarkupTrans","Sum|Posted|0","","","","","","","MarkupCode|TransTableId|TransRecId","TPP","492",$L454),"")</f>
        <v/>
      </c>
    </row>
    <row r="455" spans="1:14" x14ac:dyDescent="0.25">
      <c r="A455" s="8" t="s">
        <v>21</v>
      </c>
      <c r="B455" s="8" t="s">
        <v>1879</v>
      </c>
      <c r="C455" s="8" t="s">
        <v>378</v>
      </c>
      <c r="D455" s="8" t="s">
        <v>32</v>
      </c>
      <c r="E455" s="8" t="s">
        <v>261</v>
      </c>
      <c r="F455" s="8" t="s">
        <v>290</v>
      </c>
      <c r="G455" s="6">
        <v>43088</v>
      </c>
      <c r="H455" s="6">
        <v>43088</v>
      </c>
      <c r="I455" s="4">
        <v>12.5</v>
      </c>
      <c r="J455" s="8" t="s">
        <v>38</v>
      </c>
      <c r="K455" s="8" t="s">
        <v>1884</v>
      </c>
      <c r="L455" s="4" t="str">
        <f>IF(AtlasReport_1_Table_1[[#This Row],[Reference]]="Purchase order",_xll.AtlasFormulas.AtlasFunctions.AtlasTable("UAT",DataAreaId,"T.VendInvoiceTrans","%RecId","","","","","","","ItemId|PurchID|InventTransId",$C455,$B455,$K455),"")</f>
        <v/>
      </c>
      <c r="M455" s="4" t="str">
        <f>IF(AtlasReport_1_Table_1[[#This Row],[Reference]]="Purchase order",_xll.AtlasFormulas.AtlasFunctions.AtlasTable("UAT",DataAreaId,"T.MarkupTrans","%CurrencyCode","","","","","","","MarkupCode|TransRecId|TransTableId","TPP",$L455,"492"),"")</f>
        <v/>
      </c>
      <c r="N455" s="4" t="str">
        <f>IF(AtlasReport_1_Table_1[[#This Row],[Reference]]="Purchase order",_xll.AtlasFormulas.AtlasFunctions.AtlasBalance("UAT",DataAreaId,"T.MarkupTrans","Sum|Posted|0","","","","","","","MarkupCode|TransTableId|TransRecId","TPP","492",$L455),"")</f>
        <v/>
      </c>
    </row>
    <row r="456" spans="1:14" x14ac:dyDescent="0.25">
      <c r="A456" s="8" t="s">
        <v>21</v>
      </c>
      <c r="B456" s="8" t="s">
        <v>1879</v>
      </c>
      <c r="C456" s="8" t="s">
        <v>382</v>
      </c>
      <c r="D456" s="8" t="s">
        <v>32</v>
      </c>
      <c r="E456" s="8" t="s">
        <v>261</v>
      </c>
      <c r="F456" s="8" t="s">
        <v>290</v>
      </c>
      <c r="G456" s="6">
        <v>43088</v>
      </c>
      <c r="H456" s="6">
        <v>43088</v>
      </c>
      <c r="I456" s="4">
        <v>-435</v>
      </c>
      <c r="J456" s="8" t="s">
        <v>38</v>
      </c>
      <c r="K456" s="8" t="s">
        <v>1885</v>
      </c>
      <c r="L456" s="4" t="str">
        <f>IF(AtlasReport_1_Table_1[[#This Row],[Reference]]="Purchase order",_xll.AtlasFormulas.AtlasFunctions.AtlasTable("UAT",DataAreaId,"T.VendInvoiceTrans","%RecId","","","","","","","ItemId|PurchID|InventTransId",$C456,$B456,$K456),"")</f>
        <v/>
      </c>
      <c r="M456" s="4" t="str">
        <f>IF(AtlasReport_1_Table_1[[#This Row],[Reference]]="Purchase order",_xll.AtlasFormulas.AtlasFunctions.AtlasTable("UAT",DataAreaId,"T.MarkupTrans","%CurrencyCode","","","","","","","MarkupCode|TransRecId|TransTableId","TPP",$L456,"492"),"")</f>
        <v/>
      </c>
      <c r="N456" s="4" t="str">
        <f>IF(AtlasReport_1_Table_1[[#This Row],[Reference]]="Purchase order",_xll.AtlasFormulas.AtlasFunctions.AtlasBalance("UAT",DataAreaId,"T.MarkupTrans","Sum|Posted|0","","","","","","","MarkupCode|TransTableId|TransRecId","TPP","492",$L456),"")</f>
        <v/>
      </c>
    </row>
    <row r="457" spans="1:14" x14ac:dyDescent="0.25">
      <c r="A457" s="8" t="s">
        <v>21</v>
      </c>
      <c r="B457" s="8" t="s">
        <v>1879</v>
      </c>
      <c r="C457" s="8" t="s">
        <v>15</v>
      </c>
      <c r="D457" s="8" t="s">
        <v>32</v>
      </c>
      <c r="E457" s="8" t="s">
        <v>261</v>
      </c>
      <c r="F457" s="8" t="s">
        <v>290</v>
      </c>
      <c r="G457" s="6">
        <v>43088</v>
      </c>
      <c r="H457" s="6">
        <v>43088</v>
      </c>
      <c r="I457" s="4">
        <v>205.65</v>
      </c>
      <c r="J457" s="8" t="s">
        <v>38</v>
      </c>
      <c r="K457" s="8" t="s">
        <v>1886</v>
      </c>
      <c r="L457" s="4" t="str">
        <f>IF(AtlasReport_1_Table_1[[#This Row],[Reference]]="Purchase order",_xll.AtlasFormulas.AtlasFunctions.AtlasTable("UAT",DataAreaId,"T.VendInvoiceTrans","%RecId","","","","","","","ItemId|PurchID|InventTransId",$C457,$B457,$K457),"")</f>
        <v/>
      </c>
      <c r="M457" s="4" t="str">
        <f>IF(AtlasReport_1_Table_1[[#This Row],[Reference]]="Purchase order",_xll.AtlasFormulas.AtlasFunctions.AtlasTable("UAT",DataAreaId,"T.MarkupTrans","%CurrencyCode","","","","","","","MarkupCode|TransRecId|TransTableId","TPP",$L457,"492"),"")</f>
        <v/>
      </c>
      <c r="N457" s="4" t="str">
        <f>IF(AtlasReport_1_Table_1[[#This Row],[Reference]]="Purchase order",_xll.AtlasFormulas.AtlasFunctions.AtlasBalance("UAT",DataAreaId,"T.MarkupTrans","Sum|Posted|0","","","","","","","MarkupCode|TransTableId|TransRecId","TPP","492",$L457),"")</f>
        <v/>
      </c>
    </row>
    <row r="458" spans="1:14" x14ac:dyDescent="0.25">
      <c r="A458" s="8" t="s">
        <v>21</v>
      </c>
      <c r="B458" s="8" t="s">
        <v>1879</v>
      </c>
      <c r="C458" s="8" t="s">
        <v>27</v>
      </c>
      <c r="D458" s="8" t="s">
        <v>32</v>
      </c>
      <c r="E458" s="8" t="s">
        <v>261</v>
      </c>
      <c r="F458" s="8" t="s">
        <v>290</v>
      </c>
      <c r="G458" s="6">
        <v>43088</v>
      </c>
      <c r="H458" s="6">
        <v>43088</v>
      </c>
      <c r="I458" s="4">
        <v>9</v>
      </c>
      <c r="J458" s="8" t="s">
        <v>38</v>
      </c>
      <c r="K458" s="8" t="s">
        <v>1887</v>
      </c>
      <c r="L458" s="4" t="str">
        <f>IF(AtlasReport_1_Table_1[[#This Row],[Reference]]="Purchase order",_xll.AtlasFormulas.AtlasFunctions.AtlasTable("UAT",DataAreaId,"T.VendInvoiceTrans","%RecId","","","","","","","ItemId|PurchID|InventTransId",$C458,$B458,$K458),"")</f>
        <v/>
      </c>
      <c r="M458" s="4" t="str">
        <f>IF(AtlasReport_1_Table_1[[#This Row],[Reference]]="Purchase order",_xll.AtlasFormulas.AtlasFunctions.AtlasTable("UAT",DataAreaId,"T.MarkupTrans","%CurrencyCode","","","","","","","MarkupCode|TransRecId|TransTableId","TPP",$L458,"492"),"")</f>
        <v/>
      </c>
      <c r="N458" s="4" t="str">
        <f>IF(AtlasReport_1_Table_1[[#This Row],[Reference]]="Purchase order",_xll.AtlasFormulas.AtlasFunctions.AtlasBalance("UAT",DataAreaId,"T.MarkupTrans","Sum|Posted|0","","","","","","","MarkupCode|TransTableId|TransRecId","TPP","492",$L458),"")</f>
        <v/>
      </c>
    </row>
    <row r="459" spans="1:14" x14ac:dyDescent="0.25">
      <c r="A459" s="8" t="s">
        <v>21</v>
      </c>
      <c r="B459" s="8" t="s">
        <v>1879</v>
      </c>
      <c r="C459" s="8" t="s">
        <v>16</v>
      </c>
      <c r="D459" s="8" t="s">
        <v>32</v>
      </c>
      <c r="E459" s="8" t="s">
        <v>261</v>
      </c>
      <c r="F459" s="8" t="s">
        <v>290</v>
      </c>
      <c r="G459" s="6">
        <v>43088</v>
      </c>
      <c r="H459" s="6">
        <v>43088</v>
      </c>
      <c r="I459" s="4">
        <v>-1140.75</v>
      </c>
      <c r="J459" s="8" t="s">
        <v>38</v>
      </c>
      <c r="K459" s="8" t="s">
        <v>1888</v>
      </c>
      <c r="L459" s="4" t="str">
        <f>IF(AtlasReport_1_Table_1[[#This Row],[Reference]]="Purchase order",_xll.AtlasFormulas.AtlasFunctions.AtlasTable("UAT",DataAreaId,"T.VendInvoiceTrans","%RecId","","","","","","","ItemId|PurchID|InventTransId",$C459,$B459,$K459),"")</f>
        <v/>
      </c>
      <c r="M459" s="4" t="str">
        <f>IF(AtlasReport_1_Table_1[[#This Row],[Reference]]="Purchase order",_xll.AtlasFormulas.AtlasFunctions.AtlasTable("UAT",DataAreaId,"T.MarkupTrans","%CurrencyCode","","","","","","","MarkupCode|TransRecId|TransTableId","TPP",$L459,"492"),"")</f>
        <v/>
      </c>
      <c r="N459" s="4" t="str">
        <f>IF(AtlasReport_1_Table_1[[#This Row],[Reference]]="Purchase order",_xll.AtlasFormulas.AtlasFunctions.AtlasBalance("UAT",DataAreaId,"T.MarkupTrans","Sum|Posted|0","","","","","","","MarkupCode|TransTableId|TransRecId","TPP","492",$L459),"")</f>
        <v/>
      </c>
    </row>
    <row r="460" spans="1:14" x14ac:dyDescent="0.25">
      <c r="A460" s="8" t="s">
        <v>21</v>
      </c>
      <c r="B460" s="8" t="s">
        <v>1889</v>
      </c>
      <c r="C460" s="8" t="s">
        <v>347</v>
      </c>
      <c r="D460" s="8" t="s">
        <v>1082</v>
      </c>
      <c r="E460" s="8" t="s">
        <v>261</v>
      </c>
      <c r="F460" s="8" t="s">
        <v>264</v>
      </c>
      <c r="G460" s="6">
        <v>43088</v>
      </c>
      <c r="H460" s="6">
        <v>43088</v>
      </c>
      <c r="I460" s="4">
        <v>-41</v>
      </c>
      <c r="J460" s="8" t="s">
        <v>37</v>
      </c>
      <c r="K460" s="8" t="s">
        <v>1890</v>
      </c>
      <c r="L460" s="4" t="str">
        <f>IF(AtlasReport_1_Table_1[[#This Row],[Reference]]="Purchase order",_xll.AtlasFormulas.AtlasFunctions.AtlasTable("UAT",DataAreaId,"T.VendInvoiceTrans","%RecId","","","","","","","ItemId|PurchID|InventTransId",$C460,$B460,$K460),"")</f>
        <v/>
      </c>
      <c r="M460" s="4" t="str">
        <f>IF(AtlasReport_1_Table_1[[#This Row],[Reference]]="Purchase order",_xll.AtlasFormulas.AtlasFunctions.AtlasTable("UAT",DataAreaId,"T.MarkupTrans","%CurrencyCode","","","","","","","MarkupCode|TransRecId|TransTableId","TPP",$L460,"492"),"")</f>
        <v/>
      </c>
      <c r="N460" s="4" t="str">
        <f>IF(AtlasReport_1_Table_1[[#This Row],[Reference]]="Purchase order",_xll.AtlasFormulas.AtlasFunctions.AtlasBalance("UAT",DataAreaId,"T.MarkupTrans","Sum|Posted|0","","","","","","","MarkupCode|TransTableId|TransRecId","TPP","492",$L460),"")</f>
        <v/>
      </c>
    </row>
    <row r="461" spans="1:14" x14ac:dyDescent="0.25">
      <c r="A461" s="8" t="s">
        <v>21</v>
      </c>
      <c r="B461" s="8" t="s">
        <v>1889</v>
      </c>
      <c r="C461" s="8" t="s">
        <v>348</v>
      </c>
      <c r="D461" s="8" t="s">
        <v>1083</v>
      </c>
      <c r="E461" s="8" t="s">
        <v>261</v>
      </c>
      <c r="F461" s="8" t="s">
        <v>264</v>
      </c>
      <c r="G461" s="6">
        <v>43088</v>
      </c>
      <c r="H461" s="6">
        <v>43088</v>
      </c>
      <c r="I461" s="4">
        <v>-26</v>
      </c>
      <c r="J461" s="8" t="s">
        <v>37</v>
      </c>
      <c r="K461" s="8" t="s">
        <v>1891</v>
      </c>
      <c r="L461" s="4" t="str">
        <f>IF(AtlasReport_1_Table_1[[#This Row],[Reference]]="Purchase order",_xll.AtlasFormulas.AtlasFunctions.AtlasTable("UAT",DataAreaId,"T.VendInvoiceTrans","%RecId","","","","","","","ItemId|PurchID|InventTransId",$C461,$B461,$K461),"")</f>
        <v/>
      </c>
      <c r="M461" s="4" t="str">
        <f>IF(AtlasReport_1_Table_1[[#This Row],[Reference]]="Purchase order",_xll.AtlasFormulas.AtlasFunctions.AtlasTable("UAT",DataAreaId,"T.MarkupTrans","%CurrencyCode","","","","","","","MarkupCode|TransRecId|TransTableId","TPP",$L461,"492"),"")</f>
        <v/>
      </c>
      <c r="N461" s="4" t="str">
        <f>IF(AtlasReport_1_Table_1[[#This Row],[Reference]]="Purchase order",_xll.AtlasFormulas.AtlasFunctions.AtlasBalance("UAT",DataAreaId,"T.MarkupTrans","Sum|Posted|0","","","","","","","MarkupCode|TransTableId|TransRecId","TPP","492",$L461),"")</f>
        <v/>
      </c>
    </row>
    <row r="462" spans="1:14" x14ac:dyDescent="0.25">
      <c r="A462" s="8" t="s">
        <v>21</v>
      </c>
      <c r="B462" s="8" t="s">
        <v>1889</v>
      </c>
      <c r="C462" s="8" t="s">
        <v>349</v>
      </c>
      <c r="D462" s="8" t="s">
        <v>1084</v>
      </c>
      <c r="E462" s="8" t="s">
        <v>261</v>
      </c>
      <c r="F462" s="8" t="s">
        <v>264</v>
      </c>
      <c r="G462" s="6">
        <v>43088</v>
      </c>
      <c r="H462" s="6">
        <v>43088</v>
      </c>
      <c r="I462" s="4">
        <v>-1</v>
      </c>
      <c r="J462" s="8" t="s">
        <v>37</v>
      </c>
      <c r="K462" s="8" t="s">
        <v>1892</v>
      </c>
      <c r="L462" s="4" t="str">
        <f>IF(AtlasReport_1_Table_1[[#This Row],[Reference]]="Purchase order",_xll.AtlasFormulas.AtlasFunctions.AtlasTable("UAT",DataAreaId,"T.VendInvoiceTrans","%RecId","","","","","","","ItemId|PurchID|InventTransId",$C462,$B462,$K462),"")</f>
        <v/>
      </c>
      <c r="M462" s="4" t="str">
        <f>IF(AtlasReport_1_Table_1[[#This Row],[Reference]]="Purchase order",_xll.AtlasFormulas.AtlasFunctions.AtlasTable("UAT",DataAreaId,"T.MarkupTrans","%CurrencyCode","","","","","","","MarkupCode|TransRecId|TransTableId","TPP",$L462,"492"),"")</f>
        <v/>
      </c>
      <c r="N462" s="4" t="str">
        <f>IF(AtlasReport_1_Table_1[[#This Row],[Reference]]="Purchase order",_xll.AtlasFormulas.AtlasFunctions.AtlasBalance("UAT",DataAreaId,"T.MarkupTrans","Sum|Posted|0","","","","","","","MarkupCode|TransTableId|TransRecId","TPP","492",$L462),"")</f>
        <v/>
      </c>
    </row>
    <row r="463" spans="1:14" x14ac:dyDescent="0.25">
      <c r="A463" s="8" t="s">
        <v>21</v>
      </c>
      <c r="B463" s="8" t="s">
        <v>1889</v>
      </c>
      <c r="C463" s="8" t="s">
        <v>350</v>
      </c>
      <c r="D463" s="8" t="s">
        <v>1085</v>
      </c>
      <c r="E463" s="8" t="s">
        <v>261</v>
      </c>
      <c r="F463" s="8" t="s">
        <v>264</v>
      </c>
      <c r="G463" s="6">
        <v>43088</v>
      </c>
      <c r="H463" s="6">
        <v>43088</v>
      </c>
      <c r="I463" s="4">
        <v>-2</v>
      </c>
      <c r="J463" s="8" t="s">
        <v>37</v>
      </c>
      <c r="K463" s="8" t="s">
        <v>1893</v>
      </c>
      <c r="L463" s="4" t="str">
        <f>IF(AtlasReport_1_Table_1[[#This Row],[Reference]]="Purchase order",_xll.AtlasFormulas.AtlasFunctions.AtlasTable("UAT",DataAreaId,"T.VendInvoiceTrans","%RecId","","","","","","","ItemId|PurchID|InventTransId",$C463,$B463,$K463),"")</f>
        <v/>
      </c>
      <c r="M463" s="4" t="str">
        <f>IF(AtlasReport_1_Table_1[[#This Row],[Reference]]="Purchase order",_xll.AtlasFormulas.AtlasFunctions.AtlasTable("UAT",DataAreaId,"T.MarkupTrans","%CurrencyCode","","","","","","","MarkupCode|TransRecId|TransTableId","TPP",$L463,"492"),"")</f>
        <v/>
      </c>
      <c r="N463" s="4" t="str">
        <f>IF(AtlasReport_1_Table_1[[#This Row],[Reference]]="Purchase order",_xll.AtlasFormulas.AtlasFunctions.AtlasBalance("UAT",DataAreaId,"T.MarkupTrans","Sum|Posted|0","","","","","","","MarkupCode|TransTableId|TransRecId","TPP","492",$L463),"")</f>
        <v/>
      </c>
    </row>
    <row r="464" spans="1:14" x14ac:dyDescent="0.25">
      <c r="A464" s="8" t="s">
        <v>21</v>
      </c>
      <c r="B464" s="8" t="s">
        <v>1889</v>
      </c>
      <c r="C464" s="8" t="s">
        <v>351</v>
      </c>
      <c r="D464" s="8" t="s">
        <v>1086</v>
      </c>
      <c r="E464" s="8" t="s">
        <v>261</v>
      </c>
      <c r="F464" s="8" t="s">
        <v>264</v>
      </c>
      <c r="G464" s="6">
        <v>43088</v>
      </c>
      <c r="H464" s="6">
        <v>43088</v>
      </c>
      <c r="I464" s="4">
        <v>32</v>
      </c>
      <c r="J464" s="8" t="s">
        <v>37</v>
      </c>
      <c r="K464" s="8" t="s">
        <v>1894</v>
      </c>
      <c r="L464" s="4" t="str">
        <f>IF(AtlasReport_1_Table_1[[#This Row],[Reference]]="Purchase order",_xll.AtlasFormulas.AtlasFunctions.AtlasTable("UAT",DataAreaId,"T.VendInvoiceTrans","%RecId","","","","","","","ItemId|PurchID|InventTransId",$C464,$B464,$K464),"")</f>
        <v/>
      </c>
      <c r="M464" s="4" t="str">
        <f>IF(AtlasReport_1_Table_1[[#This Row],[Reference]]="Purchase order",_xll.AtlasFormulas.AtlasFunctions.AtlasTable("UAT",DataAreaId,"T.MarkupTrans","%CurrencyCode","","","","","","","MarkupCode|TransRecId|TransTableId","TPP",$L464,"492"),"")</f>
        <v/>
      </c>
      <c r="N464" s="4" t="str">
        <f>IF(AtlasReport_1_Table_1[[#This Row],[Reference]]="Purchase order",_xll.AtlasFormulas.AtlasFunctions.AtlasBalance("UAT",DataAreaId,"T.MarkupTrans","Sum|Posted|0","","","","","","","MarkupCode|TransTableId|TransRecId","TPP","492",$L464),"")</f>
        <v/>
      </c>
    </row>
    <row r="465" spans="1:14" x14ac:dyDescent="0.25">
      <c r="A465" s="8" t="s">
        <v>21</v>
      </c>
      <c r="B465" s="8" t="s">
        <v>1889</v>
      </c>
      <c r="C465" s="8" t="s">
        <v>353</v>
      </c>
      <c r="D465" s="8" t="s">
        <v>1088</v>
      </c>
      <c r="E465" s="8" t="s">
        <v>261</v>
      </c>
      <c r="F465" s="8" t="s">
        <v>264</v>
      </c>
      <c r="G465" s="6">
        <v>43088</v>
      </c>
      <c r="H465" s="6">
        <v>43088</v>
      </c>
      <c r="I465" s="4">
        <v>-12</v>
      </c>
      <c r="J465" s="8" t="s">
        <v>37</v>
      </c>
      <c r="K465" s="8" t="s">
        <v>1895</v>
      </c>
      <c r="L465" s="4" t="str">
        <f>IF(AtlasReport_1_Table_1[[#This Row],[Reference]]="Purchase order",_xll.AtlasFormulas.AtlasFunctions.AtlasTable("UAT",DataAreaId,"T.VendInvoiceTrans","%RecId","","","","","","","ItemId|PurchID|InventTransId",$C465,$B465,$K465),"")</f>
        <v/>
      </c>
      <c r="M465" s="4" t="str">
        <f>IF(AtlasReport_1_Table_1[[#This Row],[Reference]]="Purchase order",_xll.AtlasFormulas.AtlasFunctions.AtlasTable("UAT",DataAreaId,"T.MarkupTrans","%CurrencyCode","","","","","","","MarkupCode|TransRecId|TransTableId","TPP",$L465,"492"),"")</f>
        <v/>
      </c>
      <c r="N465" s="4" t="str">
        <f>IF(AtlasReport_1_Table_1[[#This Row],[Reference]]="Purchase order",_xll.AtlasFormulas.AtlasFunctions.AtlasBalance("UAT",DataAreaId,"T.MarkupTrans","Sum|Posted|0","","","","","","","MarkupCode|TransTableId|TransRecId","TPP","492",$L465),"")</f>
        <v/>
      </c>
    </row>
    <row r="466" spans="1:14" x14ac:dyDescent="0.25">
      <c r="A466" s="8" t="s">
        <v>21</v>
      </c>
      <c r="B466" s="8" t="s">
        <v>1889</v>
      </c>
      <c r="C466" s="8" t="s">
        <v>354</v>
      </c>
      <c r="D466" s="8" t="s">
        <v>1089</v>
      </c>
      <c r="E466" s="8" t="s">
        <v>261</v>
      </c>
      <c r="F466" s="8" t="s">
        <v>264</v>
      </c>
      <c r="G466" s="6">
        <v>43088</v>
      </c>
      <c r="H466" s="6">
        <v>43088</v>
      </c>
      <c r="I466" s="4">
        <v>1</v>
      </c>
      <c r="J466" s="8" t="s">
        <v>37</v>
      </c>
      <c r="K466" s="8" t="s">
        <v>1896</v>
      </c>
      <c r="L466" s="4" t="str">
        <f>IF(AtlasReport_1_Table_1[[#This Row],[Reference]]="Purchase order",_xll.AtlasFormulas.AtlasFunctions.AtlasTable("UAT",DataAreaId,"T.VendInvoiceTrans","%RecId","","","","","","","ItemId|PurchID|InventTransId",$C466,$B466,$K466),"")</f>
        <v/>
      </c>
      <c r="M466" s="4" t="str">
        <f>IF(AtlasReport_1_Table_1[[#This Row],[Reference]]="Purchase order",_xll.AtlasFormulas.AtlasFunctions.AtlasTable("UAT",DataAreaId,"T.MarkupTrans","%CurrencyCode","","","","","","","MarkupCode|TransRecId|TransTableId","TPP",$L466,"492"),"")</f>
        <v/>
      </c>
      <c r="N466" s="4" t="str">
        <f>IF(AtlasReport_1_Table_1[[#This Row],[Reference]]="Purchase order",_xll.AtlasFormulas.AtlasFunctions.AtlasBalance("UAT",DataAreaId,"T.MarkupTrans","Sum|Posted|0","","","","","","","MarkupCode|TransTableId|TransRecId","TPP","492",$L466),"")</f>
        <v/>
      </c>
    </row>
    <row r="467" spans="1:14" x14ac:dyDescent="0.25">
      <c r="A467" s="8" t="s">
        <v>21</v>
      </c>
      <c r="B467" s="8" t="s">
        <v>1889</v>
      </c>
      <c r="C467" s="8" t="s">
        <v>355</v>
      </c>
      <c r="D467" s="8" t="s">
        <v>1090</v>
      </c>
      <c r="E467" s="8" t="s">
        <v>261</v>
      </c>
      <c r="F467" s="8" t="s">
        <v>264</v>
      </c>
      <c r="G467" s="6">
        <v>43088</v>
      </c>
      <c r="H467" s="6">
        <v>43088</v>
      </c>
      <c r="I467" s="4">
        <v>-43</v>
      </c>
      <c r="J467" s="8" t="s">
        <v>37</v>
      </c>
      <c r="K467" s="8" t="s">
        <v>1897</v>
      </c>
      <c r="L467" s="4" t="str">
        <f>IF(AtlasReport_1_Table_1[[#This Row],[Reference]]="Purchase order",_xll.AtlasFormulas.AtlasFunctions.AtlasTable("UAT",DataAreaId,"T.VendInvoiceTrans","%RecId","","","","","","","ItemId|PurchID|InventTransId",$C467,$B467,$K467),"")</f>
        <v/>
      </c>
      <c r="M467" s="4" t="str">
        <f>IF(AtlasReport_1_Table_1[[#This Row],[Reference]]="Purchase order",_xll.AtlasFormulas.AtlasFunctions.AtlasTable("UAT",DataAreaId,"T.MarkupTrans","%CurrencyCode","","","","","","","MarkupCode|TransRecId|TransTableId","TPP",$L467,"492"),"")</f>
        <v/>
      </c>
      <c r="N467" s="4" t="str">
        <f>IF(AtlasReport_1_Table_1[[#This Row],[Reference]]="Purchase order",_xll.AtlasFormulas.AtlasFunctions.AtlasBalance("UAT",DataAreaId,"T.MarkupTrans","Sum|Posted|0","","","","","","","MarkupCode|TransTableId|TransRecId","TPP","492",$L467),"")</f>
        <v/>
      </c>
    </row>
    <row r="468" spans="1:14" x14ac:dyDescent="0.25">
      <c r="A468" s="8" t="s">
        <v>21</v>
      </c>
      <c r="B468" s="8" t="s">
        <v>1889</v>
      </c>
      <c r="C468" s="8" t="s">
        <v>366</v>
      </c>
      <c r="D468" s="8" t="s">
        <v>1103</v>
      </c>
      <c r="E468" s="8" t="s">
        <v>261</v>
      </c>
      <c r="F468" s="8" t="s">
        <v>264</v>
      </c>
      <c r="G468" s="6">
        <v>43088</v>
      </c>
      <c r="H468" s="6">
        <v>43088</v>
      </c>
      <c r="I468" s="4">
        <v>51</v>
      </c>
      <c r="J468" s="8" t="s">
        <v>37</v>
      </c>
      <c r="K468" s="8" t="s">
        <v>1898</v>
      </c>
      <c r="L468" s="4" t="str">
        <f>IF(AtlasReport_1_Table_1[[#This Row],[Reference]]="Purchase order",_xll.AtlasFormulas.AtlasFunctions.AtlasTable("UAT",DataAreaId,"T.VendInvoiceTrans","%RecId","","","","","","","ItemId|PurchID|InventTransId",$C468,$B468,$K468),"")</f>
        <v/>
      </c>
      <c r="M468" s="4" t="str">
        <f>IF(AtlasReport_1_Table_1[[#This Row],[Reference]]="Purchase order",_xll.AtlasFormulas.AtlasFunctions.AtlasTable("UAT",DataAreaId,"T.MarkupTrans","%CurrencyCode","","","","","","","MarkupCode|TransRecId|TransTableId","TPP",$L468,"492"),"")</f>
        <v/>
      </c>
      <c r="N468" s="4" t="str">
        <f>IF(AtlasReport_1_Table_1[[#This Row],[Reference]]="Purchase order",_xll.AtlasFormulas.AtlasFunctions.AtlasBalance("UAT",DataAreaId,"T.MarkupTrans","Sum|Posted|0","","","","","","","MarkupCode|TransTableId|TransRecId","TPP","492",$L468),"")</f>
        <v/>
      </c>
    </row>
    <row r="469" spans="1:14" x14ac:dyDescent="0.25">
      <c r="A469" s="8" t="s">
        <v>21</v>
      </c>
      <c r="B469" s="8" t="s">
        <v>1889</v>
      </c>
      <c r="C469" s="8" t="s">
        <v>368</v>
      </c>
      <c r="D469" s="8" t="s">
        <v>1105</v>
      </c>
      <c r="E469" s="8" t="s">
        <v>261</v>
      </c>
      <c r="F469" s="8" t="s">
        <v>264</v>
      </c>
      <c r="G469" s="6">
        <v>43088</v>
      </c>
      <c r="H469" s="6">
        <v>43088</v>
      </c>
      <c r="I469" s="4">
        <v>-0.85</v>
      </c>
      <c r="J469" s="8" t="s">
        <v>39</v>
      </c>
      <c r="K469" s="8" t="s">
        <v>1899</v>
      </c>
      <c r="L469" s="4" t="str">
        <f>IF(AtlasReport_1_Table_1[[#This Row],[Reference]]="Purchase order",_xll.AtlasFormulas.AtlasFunctions.AtlasTable("UAT",DataAreaId,"T.VendInvoiceTrans","%RecId","","","","","","","ItemId|PurchID|InventTransId",$C469,$B469,$K469),"")</f>
        <v/>
      </c>
      <c r="M469" s="4" t="str">
        <f>IF(AtlasReport_1_Table_1[[#This Row],[Reference]]="Purchase order",_xll.AtlasFormulas.AtlasFunctions.AtlasTable("UAT",DataAreaId,"T.MarkupTrans","%CurrencyCode","","","","","","","MarkupCode|TransRecId|TransTableId","TPP",$L469,"492"),"")</f>
        <v/>
      </c>
      <c r="N469" s="4" t="str">
        <f>IF(AtlasReport_1_Table_1[[#This Row],[Reference]]="Purchase order",_xll.AtlasFormulas.AtlasFunctions.AtlasBalance("UAT",DataAreaId,"T.MarkupTrans","Sum|Posted|0","","","","","","","MarkupCode|TransTableId|TransRecId","TPP","492",$L469),"")</f>
        <v/>
      </c>
    </row>
    <row r="470" spans="1:14" x14ac:dyDescent="0.25">
      <c r="A470" s="8" t="s">
        <v>21</v>
      </c>
      <c r="B470" s="8" t="s">
        <v>1889</v>
      </c>
      <c r="C470" s="8" t="s">
        <v>369</v>
      </c>
      <c r="D470" s="8" t="s">
        <v>1106</v>
      </c>
      <c r="E470" s="8" t="s">
        <v>261</v>
      </c>
      <c r="F470" s="8" t="s">
        <v>264</v>
      </c>
      <c r="G470" s="6">
        <v>43088</v>
      </c>
      <c r="H470" s="6">
        <v>43088</v>
      </c>
      <c r="I470" s="4">
        <v>-130</v>
      </c>
      <c r="J470" s="8" t="s">
        <v>37</v>
      </c>
      <c r="K470" s="8" t="s">
        <v>1900</v>
      </c>
      <c r="L470" s="4" t="str">
        <f>IF(AtlasReport_1_Table_1[[#This Row],[Reference]]="Purchase order",_xll.AtlasFormulas.AtlasFunctions.AtlasTable("UAT",DataAreaId,"T.VendInvoiceTrans","%RecId","","","","","","","ItemId|PurchID|InventTransId",$C470,$B470,$K470),"")</f>
        <v/>
      </c>
      <c r="M470" s="4" t="str">
        <f>IF(AtlasReport_1_Table_1[[#This Row],[Reference]]="Purchase order",_xll.AtlasFormulas.AtlasFunctions.AtlasTable("UAT",DataAreaId,"T.MarkupTrans","%CurrencyCode","","","","","","","MarkupCode|TransRecId|TransTableId","TPP",$L470,"492"),"")</f>
        <v/>
      </c>
      <c r="N470" s="4" t="str">
        <f>IF(AtlasReport_1_Table_1[[#This Row],[Reference]]="Purchase order",_xll.AtlasFormulas.AtlasFunctions.AtlasBalance("UAT",DataAreaId,"T.MarkupTrans","Sum|Posted|0","","","","","","","MarkupCode|TransTableId|TransRecId","TPP","492",$L470),"")</f>
        <v/>
      </c>
    </row>
    <row r="471" spans="1:14" x14ac:dyDescent="0.25">
      <c r="A471" s="8" t="s">
        <v>21</v>
      </c>
      <c r="B471" s="8" t="s">
        <v>1889</v>
      </c>
      <c r="C471" s="8" t="s">
        <v>370</v>
      </c>
      <c r="D471" s="8" t="s">
        <v>1107</v>
      </c>
      <c r="E471" s="8" t="s">
        <v>261</v>
      </c>
      <c r="F471" s="8" t="s">
        <v>264</v>
      </c>
      <c r="G471" s="6">
        <v>43088</v>
      </c>
      <c r="H471" s="6">
        <v>43088</v>
      </c>
      <c r="I471" s="4">
        <v>-20</v>
      </c>
      <c r="J471" s="8" t="s">
        <v>37</v>
      </c>
      <c r="K471" s="8" t="s">
        <v>1901</v>
      </c>
      <c r="L471" s="4" t="str">
        <f>IF(AtlasReport_1_Table_1[[#This Row],[Reference]]="Purchase order",_xll.AtlasFormulas.AtlasFunctions.AtlasTable("UAT",DataAreaId,"T.VendInvoiceTrans","%RecId","","","","","","","ItemId|PurchID|InventTransId",$C471,$B471,$K471),"")</f>
        <v/>
      </c>
      <c r="M471" s="4" t="str">
        <f>IF(AtlasReport_1_Table_1[[#This Row],[Reference]]="Purchase order",_xll.AtlasFormulas.AtlasFunctions.AtlasTable("UAT",DataAreaId,"T.MarkupTrans","%CurrencyCode","","","","","","","MarkupCode|TransRecId|TransTableId","TPP",$L471,"492"),"")</f>
        <v/>
      </c>
      <c r="N471" s="4" t="str">
        <f>IF(AtlasReport_1_Table_1[[#This Row],[Reference]]="Purchase order",_xll.AtlasFormulas.AtlasFunctions.AtlasBalance("UAT",DataAreaId,"T.MarkupTrans","Sum|Posted|0","","","","","","","MarkupCode|TransTableId|TransRecId","TPP","492",$L471),"")</f>
        <v/>
      </c>
    </row>
    <row r="472" spans="1:14" x14ac:dyDescent="0.25">
      <c r="A472" s="8" t="s">
        <v>21</v>
      </c>
      <c r="B472" s="8" t="s">
        <v>1889</v>
      </c>
      <c r="C472" s="8" t="s">
        <v>371</v>
      </c>
      <c r="D472" s="8" t="s">
        <v>1108</v>
      </c>
      <c r="E472" s="8" t="s">
        <v>261</v>
      </c>
      <c r="F472" s="8" t="s">
        <v>264</v>
      </c>
      <c r="G472" s="6">
        <v>43088</v>
      </c>
      <c r="H472" s="6">
        <v>43088</v>
      </c>
      <c r="I472" s="4">
        <v>-7</v>
      </c>
      <c r="J472" s="8" t="s">
        <v>37</v>
      </c>
      <c r="K472" s="8" t="s">
        <v>1902</v>
      </c>
      <c r="L472" s="4" t="str">
        <f>IF(AtlasReport_1_Table_1[[#This Row],[Reference]]="Purchase order",_xll.AtlasFormulas.AtlasFunctions.AtlasTable("UAT",DataAreaId,"T.VendInvoiceTrans","%RecId","","","","","","","ItemId|PurchID|InventTransId",$C472,$B472,$K472),"")</f>
        <v/>
      </c>
      <c r="M472" s="4" t="str">
        <f>IF(AtlasReport_1_Table_1[[#This Row],[Reference]]="Purchase order",_xll.AtlasFormulas.AtlasFunctions.AtlasTable("UAT",DataAreaId,"T.MarkupTrans","%CurrencyCode","","","","","","","MarkupCode|TransRecId|TransTableId","TPP",$L472,"492"),"")</f>
        <v/>
      </c>
      <c r="N472" s="4" t="str">
        <f>IF(AtlasReport_1_Table_1[[#This Row],[Reference]]="Purchase order",_xll.AtlasFormulas.AtlasFunctions.AtlasBalance("UAT",DataAreaId,"T.MarkupTrans","Sum|Posted|0","","","","","","","MarkupCode|TransTableId|TransRecId","TPP","492",$L472),"")</f>
        <v/>
      </c>
    </row>
    <row r="473" spans="1:14" x14ac:dyDescent="0.25">
      <c r="A473" s="8" t="s">
        <v>21</v>
      </c>
      <c r="B473" s="8" t="s">
        <v>1889</v>
      </c>
      <c r="C473" s="8" t="s">
        <v>372</v>
      </c>
      <c r="D473" s="8" t="s">
        <v>1109</v>
      </c>
      <c r="E473" s="8" t="s">
        <v>261</v>
      </c>
      <c r="F473" s="8" t="s">
        <v>264</v>
      </c>
      <c r="G473" s="6">
        <v>43088</v>
      </c>
      <c r="H473" s="6">
        <v>43088</v>
      </c>
      <c r="I473" s="4">
        <v>-85</v>
      </c>
      <c r="J473" s="8" t="s">
        <v>37</v>
      </c>
      <c r="K473" s="8" t="s">
        <v>1903</v>
      </c>
      <c r="L473" s="4" t="str">
        <f>IF(AtlasReport_1_Table_1[[#This Row],[Reference]]="Purchase order",_xll.AtlasFormulas.AtlasFunctions.AtlasTable("UAT",DataAreaId,"T.VendInvoiceTrans","%RecId","","","","","","","ItemId|PurchID|InventTransId",$C473,$B473,$K473),"")</f>
        <v/>
      </c>
      <c r="M473" s="4" t="str">
        <f>IF(AtlasReport_1_Table_1[[#This Row],[Reference]]="Purchase order",_xll.AtlasFormulas.AtlasFunctions.AtlasTable("UAT",DataAreaId,"T.MarkupTrans","%CurrencyCode","","","","","","","MarkupCode|TransRecId|TransTableId","TPP",$L473,"492"),"")</f>
        <v/>
      </c>
      <c r="N473" s="4" t="str">
        <f>IF(AtlasReport_1_Table_1[[#This Row],[Reference]]="Purchase order",_xll.AtlasFormulas.AtlasFunctions.AtlasBalance("UAT",DataAreaId,"T.MarkupTrans","Sum|Posted|0","","","","","","","MarkupCode|TransTableId|TransRecId","TPP","492",$L473),"")</f>
        <v/>
      </c>
    </row>
    <row r="474" spans="1:14" x14ac:dyDescent="0.25">
      <c r="A474" s="8" t="s">
        <v>21</v>
      </c>
      <c r="B474" s="8" t="s">
        <v>1889</v>
      </c>
      <c r="C474" s="8" t="s">
        <v>373</v>
      </c>
      <c r="D474" s="8" t="s">
        <v>1110</v>
      </c>
      <c r="E474" s="8" t="s">
        <v>261</v>
      </c>
      <c r="F474" s="8" t="s">
        <v>264</v>
      </c>
      <c r="G474" s="6">
        <v>43088</v>
      </c>
      <c r="H474" s="6">
        <v>43088</v>
      </c>
      <c r="I474" s="4">
        <v>-3</v>
      </c>
      <c r="J474" s="8" t="s">
        <v>37</v>
      </c>
      <c r="K474" s="8" t="s">
        <v>1904</v>
      </c>
      <c r="L474" s="4" t="str">
        <f>IF(AtlasReport_1_Table_1[[#This Row],[Reference]]="Purchase order",_xll.AtlasFormulas.AtlasFunctions.AtlasTable("UAT",DataAreaId,"T.VendInvoiceTrans","%RecId","","","","","","","ItemId|PurchID|InventTransId",$C474,$B474,$K474),"")</f>
        <v/>
      </c>
      <c r="M474" s="4" t="str">
        <f>IF(AtlasReport_1_Table_1[[#This Row],[Reference]]="Purchase order",_xll.AtlasFormulas.AtlasFunctions.AtlasTable("UAT",DataAreaId,"T.MarkupTrans","%CurrencyCode","","","","","","","MarkupCode|TransRecId|TransTableId","TPP",$L474,"492"),"")</f>
        <v/>
      </c>
      <c r="N474" s="4" t="str">
        <f>IF(AtlasReport_1_Table_1[[#This Row],[Reference]]="Purchase order",_xll.AtlasFormulas.AtlasFunctions.AtlasBalance("UAT",DataAreaId,"T.MarkupTrans","Sum|Posted|0","","","","","","","MarkupCode|TransTableId|TransRecId","TPP","492",$L474),"")</f>
        <v/>
      </c>
    </row>
    <row r="475" spans="1:14" x14ac:dyDescent="0.25">
      <c r="A475" s="8" t="s">
        <v>21</v>
      </c>
      <c r="B475" s="8" t="s">
        <v>1889</v>
      </c>
      <c r="C475" s="8" t="s">
        <v>374</v>
      </c>
      <c r="D475" s="8" t="s">
        <v>1111</v>
      </c>
      <c r="E475" s="8" t="s">
        <v>261</v>
      </c>
      <c r="F475" s="8" t="s">
        <v>264</v>
      </c>
      <c r="G475" s="6">
        <v>43088</v>
      </c>
      <c r="H475" s="6">
        <v>43088</v>
      </c>
      <c r="I475" s="4">
        <v>-36</v>
      </c>
      <c r="J475" s="8" t="s">
        <v>37</v>
      </c>
      <c r="K475" s="8" t="s">
        <v>1905</v>
      </c>
      <c r="L475" s="4" t="str">
        <f>IF(AtlasReport_1_Table_1[[#This Row],[Reference]]="Purchase order",_xll.AtlasFormulas.AtlasFunctions.AtlasTable("UAT",DataAreaId,"T.VendInvoiceTrans","%RecId","","","","","","","ItemId|PurchID|InventTransId",$C475,$B475,$K475),"")</f>
        <v/>
      </c>
      <c r="M475" s="4" t="str">
        <f>IF(AtlasReport_1_Table_1[[#This Row],[Reference]]="Purchase order",_xll.AtlasFormulas.AtlasFunctions.AtlasTable("UAT",DataAreaId,"T.MarkupTrans","%CurrencyCode","","","","","","","MarkupCode|TransRecId|TransTableId","TPP",$L475,"492"),"")</f>
        <v/>
      </c>
      <c r="N475" s="4" t="str">
        <f>IF(AtlasReport_1_Table_1[[#This Row],[Reference]]="Purchase order",_xll.AtlasFormulas.AtlasFunctions.AtlasBalance("UAT",DataAreaId,"T.MarkupTrans","Sum|Posted|0","","","","","","","MarkupCode|TransTableId|TransRecId","TPP","492",$L475),"")</f>
        <v/>
      </c>
    </row>
    <row r="476" spans="1:14" x14ac:dyDescent="0.25">
      <c r="A476" s="8" t="s">
        <v>21</v>
      </c>
      <c r="B476" s="8" t="s">
        <v>1889</v>
      </c>
      <c r="C476" s="8" t="s">
        <v>376</v>
      </c>
      <c r="D476" s="8" t="s">
        <v>1113</v>
      </c>
      <c r="E476" s="8" t="s">
        <v>261</v>
      </c>
      <c r="F476" s="8" t="s">
        <v>264</v>
      </c>
      <c r="G476" s="6">
        <v>43088</v>
      </c>
      <c r="H476" s="6">
        <v>43088</v>
      </c>
      <c r="I476" s="4">
        <v>212</v>
      </c>
      <c r="J476" s="8" t="s">
        <v>37</v>
      </c>
      <c r="K476" s="8" t="s">
        <v>1906</v>
      </c>
      <c r="L476" s="4" t="str">
        <f>IF(AtlasReport_1_Table_1[[#This Row],[Reference]]="Purchase order",_xll.AtlasFormulas.AtlasFunctions.AtlasTable("UAT",DataAreaId,"T.VendInvoiceTrans","%RecId","","","","","","","ItemId|PurchID|InventTransId",$C476,$B476,$K476),"")</f>
        <v/>
      </c>
      <c r="M476" s="4" t="str">
        <f>IF(AtlasReport_1_Table_1[[#This Row],[Reference]]="Purchase order",_xll.AtlasFormulas.AtlasFunctions.AtlasTable("UAT",DataAreaId,"T.MarkupTrans","%CurrencyCode","","","","","","","MarkupCode|TransRecId|TransTableId","TPP",$L476,"492"),"")</f>
        <v/>
      </c>
      <c r="N476" s="4" t="str">
        <f>IF(AtlasReport_1_Table_1[[#This Row],[Reference]]="Purchase order",_xll.AtlasFormulas.AtlasFunctions.AtlasBalance("UAT",DataAreaId,"T.MarkupTrans","Sum|Posted|0","","","","","","","MarkupCode|TransTableId|TransRecId","TPP","492",$L476),"")</f>
        <v/>
      </c>
    </row>
    <row r="477" spans="1:14" x14ac:dyDescent="0.25">
      <c r="A477" s="8" t="s">
        <v>21</v>
      </c>
      <c r="B477" s="8" t="s">
        <v>1889</v>
      </c>
      <c r="C477" s="8" t="s">
        <v>501</v>
      </c>
      <c r="D477" s="8" t="s">
        <v>1316</v>
      </c>
      <c r="E477" s="8" t="s">
        <v>261</v>
      </c>
      <c r="F477" s="8" t="s">
        <v>264</v>
      </c>
      <c r="G477" s="6">
        <v>43088</v>
      </c>
      <c r="H477" s="6">
        <v>43088</v>
      </c>
      <c r="I477" s="4">
        <v>-1</v>
      </c>
      <c r="J477" s="8" t="s">
        <v>37</v>
      </c>
      <c r="K477" s="8" t="s">
        <v>1907</v>
      </c>
      <c r="L477" s="4" t="str">
        <f>IF(AtlasReport_1_Table_1[[#This Row],[Reference]]="Purchase order",_xll.AtlasFormulas.AtlasFunctions.AtlasTable("UAT",DataAreaId,"T.VendInvoiceTrans","%RecId","","","","","","","ItemId|PurchID|InventTransId",$C477,$B477,$K477),"")</f>
        <v/>
      </c>
      <c r="M477" s="4" t="str">
        <f>IF(AtlasReport_1_Table_1[[#This Row],[Reference]]="Purchase order",_xll.AtlasFormulas.AtlasFunctions.AtlasTable("UAT",DataAreaId,"T.MarkupTrans","%CurrencyCode","","","","","","","MarkupCode|TransRecId|TransTableId","TPP",$L477,"492"),"")</f>
        <v/>
      </c>
      <c r="N477" s="4" t="str">
        <f>IF(AtlasReport_1_Table_1[[#This Row],[Reference]]="Purchase order",_xll.AtlasFormulas.AtlasFunctions.AtlasBalance("UAT",DataAreaId,"T.MarkupTrans","Sum|Posted|0","","","","","","","MarkupCode|TransTableId|TransRecId","TPP","492",$L477),"")</f>
        <v/>
      </c>
    </row>
    <row r="478" spans="1:14" x14ac:dyDescent="0.25">
      <c r="A478" s="8" t="s">
        <v>21</v>
      </c>
      <c r="B478" s="8" t="s">
        <v>1889</v>
      </c>
      <c r="C478" s="8" t="s">
        <v>503</v>
      </c>
      <c r="D478" s="8" t="s">
        <v>1318</v>
      </c>
      <c r="E478" s="8" t="s">
        <v>261</v>
      </c>
      <c r="F478" s="8" t="s">
        <v>264</v>
      </c>
      <c r="G478" s="6">
        <v>43088</v>
      </c>
      <c r="H478" s="6">
        <v>43088</v>
      </c>
      <c r="I478" s="4">
        <v>-2</v>
      </c>
      <c r="J478" s="8" t="s">
        <v>37</v>
      </c>
      <c r="K478" s="8" t="s">
        <v>1908</v>
      </c>
      <c r="L478" s="4" t="str">
        <f>IF(AtlasReport_1_Table_1[[#This Row],[Reference]]="Purchase order",_xll.AtlasFormulas.AtlasFunctions.AtlasTable("UAT",DataAreaId,"T.VendInvoiceTrans","%RecId","","","","","","","ItemId|PurchID|InventTransId",$C478,$B478,$K478),"")</f>
        <v/>
      </c>
      <c r="M478" s="4" t="str">
        <f>IF(AtlasReport_1_Table_1[[#This Row],[Reference]]="Purchase order",_xll.AtlasFormulas.AtlasFunctions.AtlasTable("UAT",DataAreaId,"T.MarkupTrans","%CurrencyCode","","","","","","","MarkupCode|TransRecId|TransTableId","TPP",$L478,"492"),"")</f>
        <v/>
      </c>
      <c r="N478" s="4" t="str">
        <f>IF(AtlasReport_1_Table_1[[#This Row],[Reference]]="Purchase order",_xll.AtlasFormulas.AtlasFunctions.AtlasBalance("UAT",DataAreaId,"T.MarkupTrans","Sum|Posted|0","","","","","","","MarkupCode|TransTableId|TransRecId","TPP","492",$L478),"")</f>
        <v/>
      </c>
    </row>
    <row r="479" spans="1:14" x14ac:dyDescent="0.25">
      <c r="A479" s="8" t="s">
        <v>21</v>
      </c>
      <c r="B479" s="8" t="s">
        <v>1889</v>
      </c>
      <c r="C479" s="8" t="s">
        <v>513</v>
      </c>
      <c r="D479" s="8" t="s">
        <v>1328</v>
      </c>
      <c r="E479" s="8" t="s">
        <v>261</v>
      </c>
      <c r="F479" s="8" t="s">
        <v>264</v>
      </c>
      <c r="G479" s="6">
        <v>43088</v>
      </c>
      <c r="H479" s="6">
        <v>43088</v>
      </c>
      <c r="I479" s="4">
        <v>1</v>
      </c>
      <c r="J479" s="8" t="s">
        <v>38</v>
      </c>
      <c r="K479" s="8" t="s">
        <v>1909</v>
      </c>
      <c r="L479" s="4" t="str">
        <f>IF(AtlasReport_1_Table_1[[#This Row],[Reference]]="Purchase order",_xll.AtlasFormulas.AtlasFunctions.AtlasTable("UAT",DataAreaId,"T.VendInvoiceTrans","%RecId","","","","","","","ItemId|PurchID|InventTransId",$C479,$B479,$K479),"")</f>
        <v/>
      </c>
      <c r="M479" s="4" t="str">
        <f>IF(AtlasReport_1_Table_1[[#This Row],[Reference]]="Purchase order",_xll.AtlasFormulas.AtlasFunctions.AtlasTable("UAT",DataAreaId,"T.MarkupTrans","%CurrencyCode","","","","","","","MarkupCode|TransRecId|TransTableId","TPP",$L479,"492"),"")</f>
        <v/>
      </c>
      <c r="N479" s="4" t="str">
        <f>IF(AtlasReport_1_Table_1[[#This Row],[Reference]]="Purchase order",_xll.AtlasFormulas.AtlasFunctions.AtlasBalance("UAT",DataAreaId,"T.MarkupTrans","Sum|Posted|0","","","","","","","MarkupCode|TransTableId|TransRecId","TPP","492",$L479),"")</f>
        <v/>
      </c>
    </row>
    <row r="480" spans="1:14" x14ac:dyDescent="0.25">
      <c r="A480" s="8" t="s">
        <v>21</v>
      </c>
      <c r="B480" s="8" t="s">
        <v>1889</v>
      </c>
      <c r="C480" s="8" t="s">
        <v>515</v>
      </c>
      <c r="D480" s="8" t="s">
        <v>1331</v>
      </c>
      <c r="E480" s="8" t="s">
        <v>261</v>
      </c>
      <c r="F480" s="8" t="s">
        <v>264</v>
      </c>
      <c r="G480" s="6">
        <v>43088</v>
      </c>
      <c r="H480" s="6">
        <v>43088</v>
      </c>
      <c r="I480" s="4">
        <v>50</v>
      </c>
      <c r="J480" s="8" t="s">
        <v>39</v>
      </c>
      <c r="K480" s="8" t="s">
        <v>1910</v>
      </c>
      <c r="L480" s="4" t="str">
        <f>IF(AtlasReport_1_Table_1[[#This Row],[Reference]]="Purchase order",_xll.AtlasFormulas.AtlasFunctions.AtlasTable("UAT",DataAreaId,"T.VendInvoiceTrans","%RecId","","","","","","","ItemId|PurchID|InventTransId",$C480,$B480,$K480),"")</f>
        <v/>
      </c>
      <c r="M480" s="4" t="str">
        <f>IF(AtlasReport_1_Table_1[[#This Row],[Reference]]="Purchase order",_xll.AtlasFormulas.AtlasFunctions.AtlasTable("UAT",DataAreaId,"T.MarkupTrans","%CurrencyCode","","","","","","","MarkupCode|TransRecId|TransTableId","TPP",$L480,"492"),"")</f>
        <v/>
      </c>
      <c r="N480" s="4" t="str">
        <f>IF(AtlasReport_1_Table_1[[#This Row],[Reference]]="Purchase order",_xll.AtlasFormulas.AtlasFunctions.AtlasBalance("UAT",DataAreaId,"T.MarkupTrans","Sum|Posted|0","","","","","","","MarkupCode|TransTableId|TransRecId","TPP","492",$L480),"")</f>
        <v/>
      </c>
    </row>
    <row r="481" spans="1:14" x14ac:dyDescent="0.25">
      <c r="A481" s="8" t="s">
        <v>21</v>
      </c>
      <c r="B481" s="8" t="s">
        <v>1911</v>
      </c>
      <c r="C481" s="8" t="s">
        <v>287</v>
      </c>
      <c r="D481" s="8" t="s">
        <v>996</v>
      </c>
      <c r="E481" s="8" t="s">
        <v>261</v>
      </c>
      <c r="F481" s="8" t="s">
        <v>264</v>
      </c>
      <c r="G481" s="6">
        <v>43089</v>
      </c>
      <c r="H481" s="6">
        <v>43089</v>
      </c>
      <c r="I481" s="4">
        <v>2</v>
      </c>
      <c r="J481" s="8" t="s">
        <v>38</v>
      </c>
      <c r="K481" s="8" t="s">
        <v>1912</v>
      </c>
      <c r="L481" s="4" t="str">
        <f>IF(AtlasReport_1_Table_1[[#This Row],[Reference]]="Purchase order",_xll.AtlasFormulas.AtlasFunctions.AtlasTable("UAT",DataAreaId,"T.VendInvoiceTrans","%RecId","","","","","","","ItemId|PurchID|InventTransId",$C481,$B481,$K481),"")</f>
        <v/>
      </c>
      <c r="M481" s="4" t="str">
        <f>IF(AtlasReport_1_Table_1[[#This Row],[Reference]]="Purchase order",_xll.AtlasFormulas.AtlasFunctions.AtlasTable("UAT",DataAreaId,"T.MarkupTrans","%CurrencyCode","","","","","","","MarkupCode|TransRecId|TransTableId","TPP",$L481,"492"),"")</f>
        <v/>
      </c>
      <c r="N481" s="4" t="str">
        <f>IF(AtlasReport_1_Table_1[[#This Row],[Reference]]="Purchase order",_xll.AtlasFormulas.AtlasFunctions.AtlasBalance("UAT",DataAreaId,"T.MarkupTrans","Sum|Posted|0","","","","","","","MarkupCode|TransTableId|TransRecId","TPP","492",$L481),"")</f>
        <v/>
      </c>
    </row>
    <row r="482" spans="1:14" x14ac:dyDescent="0.25">
      <c r="A482" s="8" t="s">
        <v>21</v>
      </c>
      <c r="B482" s="8" t="s">
        <v>1911</v>
      </c>
      <c r="C482" s="8" t="s">
        <v>145</v>
      </c>
      <c r="D482" s="8" t="s">
        <v>199</v>
      </c>
      <c r="E482" s="8" t="s">
        <v>261</v>
      </c>
      <c r="F482" s="8" t="s">
        <v>264</v>
      </c>
      <c r="G482" s="6">
        <v>43089</v>
      </c>
      <c r="H482" s="6">
        <v>43089</v>
      </c>
      <c r="I482" s="4">
        <v>-204.84</v>
      </c>
      <c r="J482" s="8" t="s">
        <v>38</v>
      </c>
      <c r="K482" s="8" t="s">
        <v>1913</v>
      </c>
      <c r="L482" s="4" t="str">
        <f>IF(AtlasReport_1_Table_1[[#This Row],[Reference]]="Purchase order",_xll.AtlasFormulas.AtlasFunctions.AtlasTable("UAT",DataAreaId,"T.VendInvoiceTrans","%RecId","","","","","","","ItemId|PurchID|InventTransId",$C482,$B482,$K482),"")</f>
        <v/>
      </c>
      <c r="M482" s="4" t="str">
        <f>IF(AtlasReport_1_Table_1[[#This Row],[Reference]]="Purchase order",_xll.AtlasFormulas.AtlasFunctions.AtlasTable("UAT",DataAreaId,"T.MarkupTrans","%CurrencyCode","","","","","","","MarkupCode|TransRecId|TransTableId","TPP",$L482,"492"),"")</f>
        <v/>
      </c>
      <c r="N482" s="4" t="str">
        <f>IF(AtlasReport_1_Table_1[[#This Row],[Reference]]="Purchase order",_xll.AtlasFormulas.AtlasFunctions.AtlasBalance("UAT",DataAreaId,"T.MarkupTrans","Sum|Posted|0","","","","","","","MarkupCode|TransTableId|TransRecId","TPP","492",$L482),"")</f>
        <v/>
      </c>
    </row>
    <row r="483" spans="1:14" x14ac:dyDescent="0.25">
      <c r="A483" s="8" t="s">
        <v>21</v>
      </c>
      <c r="B483" s="8" t="s">
        <v>1914</v>
      </c>
      <c r="C483" s="8" t="s">
        <v>54</v>
      </c>
      <c r="D483" s="8" t="s">
        <v>159</v>
      </c>
      <c r="E483" s="8" t="s">
        <v>261</v>
      </c>
      <c r="F483" s="8" t="s">
        <v>264</v>
      </c>
      <c r="G483" s="6">
        <v>43089</v>
      </c>
      <c r="H483" s="6">
        <v>43089</v>
      </c>
      <c r="I483" s="4">
        <v>0.5</v>
      </c>
      <c r="J483" s="8" t="s">
        <v>38</v>
      </c>
      <c r="K483" s="8" t="s">
        <v>1915</v>
      </c>
      <c r="L483" s="4" t="str">
        <f>IF(AtlasReport_1_Table_1[[#This Row],[Reference]]="Purchase order",_xll.AtlasFormulas.AtlasFunctions.AtlasTable("UAT",DataAreaId,"T.VendInvoiceTrans","%RecId","","","","","","","ItemId|PurchID|InventTransId",$C483,$B483,$K483),"")</f>
        <v/>
      </c>
      <c r="M483" s="4" t="str">
        <f>IF(AtlasReport_1_Table_1[[#This Row],[Reference]]="Purchase order",_xll.AtlasFormulas.AtlasFunctions.AtlasTable("UAT",DataAreaId,"T.MarkupTrans","%CurrencyCode","","","","","","","MarkupCode|TransRecId|TransTableId","TPP",$L483,"492"),"")</f>
        <v/>
      </c>
      <c r="N483" s="4" t="str">
        <f>IF(AtlasReport_1_Table_1[[#This Row],[Reference]]="Purchase order",_xll.AtlasFormulas.AtlasFunctions.AtlasBalance("UAT",DataAreaId,"T.MarkupTrans","Sum|Posted|0","","","","","","","MarkupCode|TransTableId|TransRecId","TPP","492",$L483),"")</f>
        <v/>
      </c>
    </row>
    <row r="484" spans="1:14" x14ac:dyDescent="0.25">
      <c r="A484" s="8" t="s">
        <v>21</v>
      </c>
      <c r="B484" s="8" t="s">
        <v>1914</v>
      </c>
      <c r="C484" s="8" t="s">
        <v>54</v>
      </c>
      <c r="D484" s="8" t="s">
        <v>159</v>
      </c>
      <c r="E484" s="8" t="s">
        <v>261</v>
      </c>
      <c r="F484" s="8" t="s">
        <v>264</v>
      </c>
      <c r="G484" s="6">
        <v>43089</v>
      </c>
      <c r="H484" s="6">
        <v>43089</v>
      </c>
      <c r="I484" s="4">
        <v>-0.8</v>
      </c>
      <c r="J484" s="8" t="s">
        <v>38</v>
      </c>
      <c r="K484" s="8" t="s">
        <v>1916</v>
      </c>
      <c r="L484" s="4" t="str">
        <f>IF(AtlasReport_1_Table_1[[#This Row],[Reference]]="Purchase order",_xll.AtlasFormulas.AtlasFunctions.AtlasTable("UAT",DataAreaId,"T.VendInvoiceTrans","%RecId","","","","","","","ItemId|PurchID|InventTransId",$C484,$B484,$K484),"")</f>
        <v/>
      </c>
      <c r="M484" s="4" t="str">
        <f>IF(AtlasReport_1_Table_1[[#This Row],[Reference]]="Purchase order",_xll.AtlasFormulas.AtlasFunctions.AtlasTable("UAT",DataAreaId,"T.MarkupTrans","%CurrencyCode","","","","","","","MarkupCode|TransRecId|TransTableId","TPP",$L484,"492"),"")</f>
        <v/>
      </c>
      <c r="N484" s="4" t="str">
        <f>IF(AtlasReport_1_Table_1[[#This Row],[Reference]]="Purchase order",_xll.AtlasFormulas.AtlasFunctions.AtlasBalance("UAT",DataAreaId,"T.MarkupTrans","Sum|Posted|0","","","","","","","MarkupCode|TransTableId|TransRecId","TPP","492",$L484),"")</f>
        <v/>
      </c>
    </row>
    <row r="485" spans="1:14" x14ac:dyDescent="0.25">
      <c r="A485" s="8" t="s">
        <v>21</v>
      </c>
      <c r="B485" s="8" t="s">
        <v>1914</v>
      </c>
      <c r="C485" s="8" t="s">
        <v>315</v>
      </c>
      <c r="D485" s="8" t="s">
        <v>31</v>
      </c>
      <c r="E485" s="8" t="s">
        <v>261</v>
      </c>
      <c r="F485" s="8" t="s">
        <v>264</v>
      </c>
      <c r="G485" s="6">
        <v>43089</v>
      </c>
      <c r="H485" s="6">
        <v>43089</v>
      </c>
      <c r="I485" s="4">
        <v>5</v>
      </c>
      <c r="J485" s="8" t="s">
        <v>38</v>
      </c>
      <c r="K485" s="8" t="s">
        <v>1917</v>
      </c>
      <c r="L485" s="4" t="str">
        <f>IF(AtlasReport_1_Table_1[[#This Row],[Reference]]="Purchase order",_xll.AtlasFormulas.AtlasFunctions.AtlasTable("UAT",DataAreaId,"T.VendInvoiceTrans","%RecId","","","","","","","ItemId|PurchID|InventTransId",$C485,$B485,$K485),"")</f>
        <v/>
      </c>
      <c r="M485" s="4" t="str">
        <f>IF(AtlasReport_1_Table_1[[#This Row],[Reference]]="Purchase order",_xll.AtlasFormulas.AtlasFunctions.AtlasTable("UAT",DataAreaId,"T.MarkupTrans","%CurrencyCode","","","","","","","MarkupCode|TransRecId|TransTableId","TPP",$L485,"492"),"")</f>
        <v/>
      </c>
      <c r="N485" s="4" t="str">
        <f>IF(AtlasReport_1_Table_1[[#This Row],[Reference]]="Purchase order",_xll.AtlasFormulas.AtlasFunctions.AtlasBalance("UAT",DataAreaId,"T.MarkupTrans","Sum|Posted|0","","","","","","","MarkupCode|TransTableId|TransRecId","TPP","492",$L485),"")</f>
        <v/>
      </c>
    </row>
    <row r="486" spans="1:14" x14ac:dyDescent="0.25">
      <c r="A486" s="8" t="s">
        <v>21</v>
      </c>
      <c r="B486" s="8" t="s">
        <v>1914</v>
      </c>
      <c r="C486" s="8" t="s">
        <v>315</v>
      </c>
      <c r="D486" s="8" t="s">
        <v>31</v>
      </c>
      <c r="E486" s="8" t="s">
        <v>261</v>
      </c>
      <c r="F486" s="8" t="s">
        <v>264</v>
      </c>
      <c r="G486" s="6">
        <v>43089</v>
      </c>
      <c r="H486" s="6">
        <v>43089</v>
      </c>
      <c r="I486" s="4">
        <v>4</v>
      </c>
      <c r="J486" s="8" t="s">
        <v>38</v>
      </c>
      <c r="K486" s="8" t="s">
        <v>1918</v>
      </c>
      <c r="L486" s="4" t="str">
        <f>IF(AtlasReport_1_Table_1[[#This Row],[Reference]]="Purchase order",_xll.AtlasFormulas.AtlasFunctions.AtlasTable("UAT",DataAreaId,"T.VendInvoiceTrans","%RecId","","","","","","","ItemId|PurchID|InventTransId",$C486,$B486,$K486),"")</f>
        <v/>
      </c>
      <c r="M486" s="4" t="str">
        <f>IF(AtlasReport_1_Table_1[[#This Row],[Reference]]="Purchase order",_xll.AtlasFormulas.AtlasFunctions.AtlasTable("UAT",DataAreaId,"T.MarkupTrans","%CurrencyCode","","","","","","","MarkupCode|TransRecId|TransTableId","TPP",$L486,"492"),"")</f>
        <v/>
      </c>
      <c r="N486" s="4" t="str">
        <f>IF(AtlasReport_1_Table_1[[#This Row],[Reference]]="Purchase order",_xll.AtlasFormulas.AtlasFunctions.AtlasBalance("UAT",DataAreaId,"T.MarkupTrans","Sum|Posted|0","","","","","","","MarkupCode|TransTableId|TransRecId","TPP","492",$L486),"")</f>
        <v/>
      </c>
    </row>
    <row r="487" spans="1:14" x14ac:dyDescent="0.25">
      <c r="A487" s="8" t="s">
        <v>21</v>
      </c>
      <c r="B487" s="8" t="s">
        <v>1914</v>
      </c>
      <c r="C487" s="8" t="s">
        <v>25</v>
      </c>
      <c r="D487" s="8" t="s">
        <v>31</v>
      </c>
      <c r="E487" s="8" t="s">
        <v>261</v>
      </c>
      <c r="F487" s="8" t="s">
        <v>264</v>
      </c>
      <c r="G487" s="6">
        <v>43089</v>
      </c>
      <c r="H487" s="6">
        <v>43089</v>
      </c>
      <c r="I487" s="4">
        <v>3.4</v>
      </c>
      <c r="J487" s="8" t="s">
        <v>38</v>
      </c>
      <c r="K487" s="8" t="s">
        <v>1919</v>
      </c>
      <c r="L487" s="4" t="str">
        <f>IF(AtlasReport_1_Table_1[[#This Row],[Reference]]="Purchase order",_xll.AtlasFormulas.AtlasFunctions.AtlasTable("UAT",DataAreaId,"T.VendInvoiceTrans","%RecId","","","","","","","ItemId|PurchID|InventTransId",$C487,$B487,$K487),"")</f>
        <v/>
      </c>
      <c r="M487" s="4" t="str">
        <f>IF(AtlasReport_1_Table_1[[#This Row],[Reference]]="Purchase order",_xll.AtlasFormulas.AtlasFunctions.AtlasTable("UAT",DataAreaId,"T.MarkupTrans","%CurrencyCode","","","","","","","MarkupCode|TransRecId|TransTableId","TPP",$L487,"492"),"")</f>
        <v/>
      </c>
      <c r="N487" s="4" t="str">
        <f>IF(AtlasReport_1_Table_1[[#This Row],[Reference]]="Purchase order",_xll.AtlasFormulas.AtlasFunctions.AtlasBalance("UAT",DataAreaId,"T.MarkupTrans","Sum|Posted|0","","","","","","","MarkupCode|TransTableId|TransRecId","TPP","492",$L487),"")</f>
        <v/>
      </c>
    </row>
    <row r="488" spans="1:14" x14ac:dyDescent="0.25">
      <c r="A488" s="8" t="s">
        <v>21</v>
      </c>
      <c r="B488" s="8" t="s">
        <v>1914</v>
      </c>
      <c r="C488" s="8" t="s">
        <v>25</v>
      </c>
      <c r="D488" s="8" t="s">
        <v>31</v>
      </c>
      <c r="E488" s="8" t="s">
        <v>261</v>
      </c>
      <c r="F488" s="8" t="s">
        <v>264</v>
      </c>
      <c r="G488" s="6">
        <v>43089</v>
      </c>
      <c r="H488" s="6">
        <v>43089</v>
      </c>
      <c r="I488" s="4">
        <v>26.4</v>
      </c>
      <c r="J488" s="8" t="s">
        <v>38</v>
      </c>
      <c r="K488" s="8" t="s">
        <v>1920</v>
      </c>
      <c r="L488" s="4" t="str">
        <f>IF(AtlasReport_1_Table_1[[#This Row],[Reference]]="Purchase order",_xll.AtlasFormulas.AtlasFunctions.AtlasTable("UAT",DataAreaId,"T.VendInvoiceTrans","%RecId","","","","","","","ItemId|PurchID|InventTransId",$C488,$B488,$K488),"")</f>
        <v/>
      </c>
      <c r="M488" s="4" t="str">
        <f>IF(AtlasReport_1_Table_1[[#This Row],[Reference]]="Purchase order",_xll.AtlasFormulas.AtlasFunctions.AtlasTable("UAT",DataAreaId,"T.MarkupTrans","%CurrencyCode","","","","","","","MarkupCode|TransRecId|TransTableId","TPP",$L488,"492"),"")</f>
        <v/>
      </c>
      <c r="N488" s="4" t="str">
        <f>IF(AtlasReport_1_Table_1[[#This Row],[Reference]]="Purchase order",_xll.AtlasFormulas.AtlasFunctions.AtlasBalance("UAT",DataAreaId,"T.MarkupTrans","Sum|Posted|0","","","","","","","MarkupCode|TransTableId|TransRecId","TPP","492",$L488),"")</f>
        <v/>
      </c>
    </row>
    <row r="489" spans="1:14" x14ac:dyDescent="0.25">
      <c r="A489" s="8" t="s">
        <v>21</v>
      </c>
      <c r="B489" s="8" t="s">
        <v>1914</v>
      </c>
      <c r="C489" s="8" t="s">
        <v>25</v>
      </c>
      <c r="D489" s="8" t="s">
        <v>31</v>
      </c>
      <c r="E489" s="8" t="s">
        <v>261</v>
      </c>
      <c r="F489" s="8" t="s">
        <v>264</v>
      </c>
      <c r="G489" s="6">
        <v>43089</v>
      </c>
      <c r="H489" s="6">
        <v>43089</v>
      </c>
      <c r="I489" s="4">
        <v>24</v>
      </c>
      <c r="J489" s="8" t="s">
        <v>38</v>
      </c>
      <c r="K489" s="8" t="s">
        <v>1921</v>
      </c>
      <c r="L489" s="4" t="str">
        <f>IF(AtlasReport_1_Table_1[[#This Row],[Reference]]="Purchase order",_xll.AtlasFormulas.AtlasFunctions.AtlasTable("UAT",DataAreaId,"T.VendInvoiceTrans","%RecId","","","","","","","ItemId|PurchID|InventTransId",$C489,$B489,$K489),"")</f>
        <v/>
      </c>
      <c r="M489" s="4" t="str">
        <f>IF(AtlasReport_1_Table_1[[#This Row],[Reference]]="Purchase order",_xll.AtlasFormulas.AtlasFunctions.AtlasTable("UAT",DataAreaId,"T.MarkupTrans","%CurrencyCode","","","","","","","MarkupCode|TransRecId|TransTableId","TPP",$L489,"492"),"")</f>
        <v/>
      </c>
      <c r="N489" s="4" t="str">
        <f>IF(AtlasReport_1_Table_1[[#This Row],[Reference]]="Purchase order",_xll.AtlasFormulas.AtlasFunctions.AtlasBalance("UAT",DataAreaId,"T.MarkupTrans","Sum|Posted|0","","","","","","","MarkupCode|TransTableId|TransRecId","TPP","492",$L489),"")</f>
        <v/>
      </c>
    </row>
    <row r="490" spans="1:14" x14ac:dyDescent="0.25">
      <c r="A490" s="8" t="s">
        <v>21</v>
      </c>
      <c r="B490" s="8" t="s">
        <v>1914</v>
      </c>
      <c r="C490" s="8" t="s">
        <v>25</v>
      </c>
      <c r="D490" s="8" t="s">
        <v>31</v>
      </c>
      <c r="E490" s="8" t="s">
        <v>261</v>
      </c>
      <c r="F490" s="8" t="s">
        <v>264</v>
      </c>
      <c r="G490" s="6">
        <v>43089</v>
      </c>
      <c r="H490" s="6">
        <v>43089</v>
      </c>
      <c r="I490" s="4">
        <v>-24</v>
      </c>
      <c r="J490" s="8" t="s">
        <v>38</v>
      </c>
      <c r="K490" s="8" t="s">
        <v>1922</v>
      </c>
      <c r="L490" s="4" t="str">
        <f>IF(AtlasReport_1_Table_1[[#This Row],[Reference]]="Purchase order",_xll.AtlasFormulas.AtlasFunctions.AtlasTable("UAT",DataAreaId,"T.VendInvoiceTrans","%RecId","","","","","","","ItemId|PurchID|InventTransId",$C490,$B490,$K490),"")</f>
        <v/>
      </c>
      <c r="M490" s="4" t="str">
        <f>IF(AtlasReport_1_Table_1[[#This Row],[Reference]]="Purchase order",_xll.AtlasFormulas.AtlasFunctions.AtlasTable("UAT",DataAreaId,"T.MarkupTrans","%CurrencyCode","","","","","","","MarkupCode|TransRecId|TransTableId","TPP",$L490,"492"),"")</f>
        <v/>
      </c>
      <c r="N490" s="4" t="str">
        <f>IF(AtlasReport_1_Table_1[[#This Row],[Reference]]="Purchase order",_xll.AtlasFormulas.AtlasFunctions.AtlasBalance("UAT",DataAreaId,"T.MarkupTrans","Sum|Posted|0","","","","","","","MarkupCode|TransTableId|TransRecId","TPP","492",$L490),"")</f>
        <v/>
      </c>
    </row>
    <row r="491" spans="1:14" x14ac:dyDescent="0.25">
      <c r="A491" s="8" t="s">
        <v>21</v>
      </c>
      <c r="B491" s="8" t="s">
        <v>1914</v>
      </c>
      <c r="C491" s="8" t="s">
        <v>25</v>
      </c>
      <c r="D491" s="8" t="s">
        <v>31</v>
      </c>
      <c r="E491" s="8" t="s">
        <v>261</v>
      </c>
      <c r="F491" s="8" t="s">
        <v>264</v>
      </c>
      <c r="G491" s="6">
        <v>43089</v>
      </c>
      <c r="H491" s="6">
        <v>43089</v>
      </c>
      <c r="I491" s="4">
        <v>-26.4</v>
      </c>
      <c r="J491" s="8" t="s">
        <v>38</v>
      </c>
      <c r="K491" s="8" t="s">
        <v>1923</v>
      </c>
      <c r="L491" s="4" t="str">
        <f>IF(AtlasReport_1_Table_1[[#This Row],[Reference]]="Purchase order",_xll.AtlasFormulas.AtlasFunctions.AtlasTable("UAT",DataAreaId,"T.VendInvoiceTrans","%RecId","","","","","","","ItemId|PurchID|InventTransId",$C491,$B491,$K491),"")</f>
        <v/>
      </c>
      <c r="M491" s="4" t="str">
        <f>IF(AtlasReport_1_Table_1[[#This Row],[Reference]]="Purchase order",_xll.AtlasFormulas.AtlasFunctions.AtlasTable("UAT",DataAreaId,"T.MarkupTrans","%CurrencyCode","","","","","","","MarkupCode|TransRecId|TransTableId","TPP",$L491,"492"),"")</f>
        <v/>
      </c>
      <c r="N491" s="4" t="str">
        <f>IF(AtlasReport_1_Table_1[[#This Row],[Reference]]="Purchase order",_xll.AtlasFormulas.AtlasFunctions.AtlasBalance("UAT",DataAreaId,"T.MarkupTrans","Sum|Posted|0","","","","","","","MarkupCode|TransTableId|TransRecId","TPP","492",$L491),"")</f>
        <v/>
      </c>
    </row>
    <row r="492" spans="1:14" x14ac:dyDescent="0.25">
      <c r="A492" s="8" t="s">
        <v>21</v>
      </c>
      <c r="B492" s="8" t="s">
        <v>1914</v>
      </c>
      <c r="C492" s="8" t="s">
        <v>25</v>
      </c>
      <c r="D492" s="8" t="s">
        <v>31</v>
      </c>
      <c r="E492" s="8" t="s">
        <v>261</v>
      </c>
      <c r="F492" s="8" t="s">
        <v>264</v>
      </c>
      <c r="G492" s="6">
        <v>43089</v>
      </c>
      <c r="H492" s="6">
        <v>43089</v>
      </c>
      <c r="I492" s="4">
        <v>-7.9700000000000006</v>
      </c>
      <c r="J492" s="8" t="s">
        <v>38</v>
      </c>
      <c r="K492" s="8" t="s">
        <v>1924</v>
      </c>
      <c r="L492" s="4" t="str">
        <f>IF(AtlasReport_1_Table_1[[#This Row],[Reference]]="Purchase order",_xll.AtlasFormulas.AtlasFunctions.AtlasTable("UAT",DataAreaId,"T.VendInvoiceTrans","%RecId","","","","","","","ItemId|PurchID|InventTransId",$C492,$B492,$K492),"")</f>
        <v/>
      </c>
      <c r="M492" s="4" t="str">
        <f>IF(AtlasReport_1_Table_1[[#This Row],[Reference]]="Purchase order",_xll.AtlasFormulas.AtlasFunctions.AtlasTable("UAT",DataAreaId,"T.MarkupTrans","%CurrencyCode","","","","","","","MarkupCode|TransRecId|TransTableId","TPP",$L492,"492"),"")</f>
        <v/>
      </c>
      <c r="N492" s="4" t="str">
        <f>IF(AtlasReport_1_Table_1[[#This Row],[Reference]]="Purchase order",_xll.AtlasFormulas.AtlasFunctions.AtlasBalance("UAT",DataAreaId,"T.MarkupTrans","Sum|Posted|0","","","","","","","MarkupCode|TransTableId|TransRecId","TPP","492",$L492),"")</f>
        <v/>
      </c>
    </row>
    <row r="493" spans="1:14" x14ac:dyDescent="0.25">
      <c r="A493" s="8" t="s">
        <v>21</v>
      </c>
      <c r="B493" s="8" t="s">
        <v>1914</v>
      </c>
      <c r="C493" s="8" t="s">
        <v>25</v>
      </c>
      <c r="D493" s="8" t="s">
        <v>31</v>
      </c>
      <c r="E493" s="8" t="s">
        <v>261</v>
      </c>
      <c r="F493" s="8" t="s">
        <v>264</v>
      </c>
      <c r="G493" s="6">
        <v>43089</v>
      </c>
      <c r="H493" s="6">
        <v>43089</v>
      </c>
      <c r="I493" s="4">
        <v>-2.7</v>
      </c>
      <c r="J493" s="8" t="s">
        <v>38</v>
      </c>
      <c r="K493" s="8" t="s">
        <v>1925</v>
      </c>
      <c r="L493" s="4" t="str">
        <f>IF(AtlasReport_1_Table_1[[#This Row],[Reference]]="Purchase order",_xll.AtlasFormulas.AtlasFunctions.AtlasTable("UAT",DataAreaId,"T.VendInvoiceTrans","%RecId","","","","","","","ItemId|PurchID|InventTransId",$C493,$B493,$K493),"")</f>
        <v/>
      </c>
      <c r="M493" s="4" t="str">
        <f>IF(AtlasReport_1_Table_1[[#This Row],[Reference]]="Purchase order",_xll.AtlasFormulas.AtlasFunctions.AtlasTable("UAT",DataAreaId,"T.MarkupTrans","%CurrencyCode","","","","","","","MarkupCode|TransRecId|TransTableId","TPP",$L493,"492"),"")</f>
        <v/>
      </c>
      <c r="N493" s="4" t="str">
        <f>IF(AtlasReport_1_Table_1[[#This Row],[Reference]]="Purchase order",_xll.AtlasFormulas.AtlasFunctions.AtlasBalance("UAT",DataAreaId,"T.MarkupTrans","Sum|Posted|0","","","","","","","MarkupCode|TransTableId|TransRecId","TPP","492",$L493),"")</f>
        <v/>
      </c>
    </row>
    <row r="494" spans="1:14" x14ac:dyDescent="0.25">
      <c r="A494" s="8" t="s">
        <v>21</v>
      </c>
      <c r="B494" s="8" t="s">
        <v>1914</v>
      </c>
      <c r="C494" s="8" t="s">
        <v>25</v>
      </c>
      <c r="D494" s="8" t="s">
        <v>31</v>
      </c>
      <c r="E494" s="8" t="s">
        <v>261</v>
      </c>
      <c r="F494" s="8" t="s">
        <v>264</v>
      </c>
      <c r="G494" s="6">
        <v>43089</v>
      </c>
      <c r="H494" s="6">
        <v>43089</v>
      </c>
      <c r="I494" s="4">
        <v>5.95</v>
      </c>
      <c r="J494" s="8" t="s">
        <v>38</v>
      </c>
      <c r="K494" s="8" t="s">
        <v>1926</v>
      </c>
      <c r="L494" s="4" t="str">
        <f>IF(AtlasReport_1_Table_1[[#This Row],[Reference]]="Purchase order",_xll.AtlasFormulas.AtlasFunctions.AtlasTable("UAT",DataAreaId,"T.VendInvoiceTrans","%RecId","","","","","","","ItemId|PurchID|InventTransId",$C494,$B494,$K494),"")</f>
        <v/>
      </c>
      <c r="M494" s="4" t="str">
        <f>IF(AtlasReport_1_Table_1[[#This Row],[Reference]]="Purchase order",_xll.AtlasFormulas.AtlasFunctions.AtlasTable("UAT",DataAreaId,"T.MarkupTrans","%CurrencyCode","","","","","","","MarkupCode|TransRecId|TransTableId","TPP",$L494,"492"),"")</f>
        <v/>
      </c>
      <c r="N494" s="4" t="str">
        <f>IF(AtlasReport_1_Table_1[[#This Row],[Reference]]="Purchase order",_xll.AtlasFormulas.AtlasFunctions.AtlasBalance("UAT",DataAreaId,"T.MarkupTrans","Sum|Posted|0","","","","","","","MarkupCode|TransTableId|TransRecId","TPP","492",$L494),"")</f>
        <v/>
      </c>
    </row>
    <row r="495" spans="1:14" x14ac:dyDescent="0.25">
      <c r="A495" s="8" t="s">
        <v>21</v>
      </c>
      <c r="B495" s="8" t="s">
        <v>1914</v>
      </c>
      <c r="C495" s="8" t="s">
        <v>25</v>
      </c>
      <c r="D495" s="8" t="s">
        <v>31</v>
      </c>
      <c r="E495" s="8" t="s">
        <v>261</v>
      </c>
      <c r="F495" s="8" t="s">
        <v>264</v>
      </c>
      <c r="G495" s="6">
        <v>43089</v>
      </c>
      <c r="H495" s="6">
        <v>43089</v>
      </c>
      <c r="I495" s="4">
        <v>-0.25</v>
      </c>
      <c r="J495" s="8" t="s">
        <v>38</v>
      </c>
      <c r="K495" s="8" t="s">
        <v>1927</v>
      </c>
      <c r="L495" s="4" t="str">
        <f>IF(AtlasReport_1_Table_1[[#This Row],[Reference]]="Purchase order",_xll.AtlasFormulas.AtlasFunctions.AtlasTable("UAT",DataAreaId,"T.VendInvoiceTrans","%RecId","","","","","","","ItemId|PurchID|InventTransId",$C495,$B495,$K495),"")</f>
        <v/>
      </c>
      <c r="M495" s="4" t="str">
        <f>IF(AtlasReport_1_Table_1[[#This Row],[Reference]]="Purchase order",_xll.AtlasFormulas.AtlasFunctions.AtlasTable("UAT",DataAreaId,"T.MarkupTrans","%CurrencyCode","","","","","","","MarkupCode|TransRecId|TransTableId","TPP",$L495,"492"),"")</f>
        <v/>
      </c>
      <c r="N495" s="4" t="str">
        <f>IF(AtlasReport_1_Table_1[[#This Row],[Reference]]="Purchase order",_xll.AtlasFormulas.AtlasFunctions.AtlasBalance("UAT",DataAreaId,"T.MarkupTrans","Sum|Posted|0","","","","","","","MarkupCode|TransTableId|TransRecId","TPP","492",$L495),"")</f>
        <v/>
      </c>
    </row>
    <row r="496" spans="1:14" x14ac:dyDescent="0.25">
      <c r="A496" s="8" t="s">
        <v>21</v>
      </c>
      <c r="B496" s="8" t="s">
        <v>1914</v>
      </c>
      <c r="C496" s="8" t="s">
        <v>25</v>
      </c>
      <c r="D496" s="8" t="s">
        <v>31</v>
      </c>
      <c r="E496" s="8" t="s">
        <v>261</v>
      </c>
      <c r="F496" s="8" t="s">
        <v>264</v>
      </c>
      <c r="G496" s="6">
        <v>43089</v>
      </c>
      <c r="H496" s="6">
        <v>43089</v>
      </c>
      <c r="I496" s="4">
        <v>-0.16</v>
      </c>
      <c r="J496" s="8" t="s">
        <v>38</v>
      </c>
      <c r="K496" s="8" t="s">
        <v>1928</v>
      </c>
      <c r="L496" s="4" t="str">
        <f>IF(AtlasReport_1_Table_1[[#This Row],[Reference]]="Purchase order",_xll.AtlasFormulas.AtlasFunctions.AtlasTable("UAT",DataAreaId,"T.VendInvoiceTrans","%RecId","","","","","","","ItemId|PurchID|InventTransId",$C496,$B496,$K496),"")</f>
        <v/>
      </c>
      <c r="M496" s="4" t="str">
        <f>IF(AtlasReport_1_Table_1[[#This Row],[Reference]]="Purchase order",_xll.AtlasFormulas.AtlasFunctions.AtlasTable("UAT",DataAreaId,"T.MarkupTrans","%CurrencyCode","","","","","","","MarkupCode|TransRecId|TransTableId","TPP",$L496,"492"),"")</f>
        <v/>
      </c>
      <c r="N496" s="4" t="str">
        <f>IF(AtlasReport_1_Table_1[[#This Row],[Reference]]="Purchase order",_xll.AtlasFormulas.AtlasFunctions.AtlasBalance("UAT",DataAreaId,"T.MarkupTrans","Sum|Posted|0","","","","","","","MarkupCode|TransTableId|TransRecId","TPP","492",$L496),"")</f>
        <v/>
      </c>
    </row>
    <row r="497" spans="1:14" x14ac:dyDescent="0.25">
      <c r="A497" s="8" t="s">
        <v>21</v>
      </c>
      <c r="B497" s="8" t="s">
        <v>1914</v>
      </c>
      <c r="C497" s="8" t="s">
        <v>25</v>
      </c>
      <c r="D497" s="8" t="s">
        <v>31</v>
      </c>
      <c r="E497" s="8" t="s">
        <v>261</v>
      </c>
      <c r="F497" s="8" t="s">
        <v>264</v>
      </c>
      <c r="G497" s="6">
        <v>43089</v>
      </c>
      <c r="H497" s="6">
        <v>43089</v>
      </c>
      <c r="I497" s="4">
        <v>-0.3</v>
      </c>
      <c r="J497" s="8" t="s">
        <v>38</v>
      </c>
      <c r="K497" s="8" t="s">
        <v>1929</v>
      </c>
      <c r="L497" s="4" t="str">
        <f>IF(AtlasReport_1_Table_1[[#This Row],[Reference]]="Purchase order",_xll.AtlasFormulas.AtlasFunctions.AtlasTable("UAT",DataAreaId,"T.VendInvoiceTrans","%RecId","","","","","","","ItemId|PurchID|InventTransId",$C497,$B497,$K497),"")</f>
        <v/>
      </c>
      <c r="M497" s="4" t="str">
        <f>IF(AtlasReport_1_Table_1[[#This Row],[Reference]]="Purchase order",_xll.AtlasFormulas.AtlasFunctions.AtlasTable("UAT",DataAreaId,"T.MarkupTrans","%CurrencyCode","","","","","","","MarkupCode|TransRecId|TransTableId","TPP",$L497,"492"),"")</f>
        <v/>
      </c>
      <c r="N497" s="4" t="str">
        <f>IF(AtlasReport_1_Table_1[[#This Row],[Reference]]="Purchase order",_xll.AtlasFormulas.AtlasFunctions.AtlasBalance("UAT",DataAreaId,"T.MarkupTrans","Sum|Posted|0","","","","","","","MarkupCode|TransTableId|TransRecId","TPP","492",$L497),"")</f>
        <v/>
      </c>
    </row>
    <row r="498" spans="1:14" x14ac:dyDescent="0.25">
      <c r="A498" s="8" t="s">
        <v>21</v>
      </c>
      <c r="B498" s="8" t="s">
        <v>1914</v>
      </c>
      <c r="C498" s="8" t="s">
        <v>25</v>
      </c>
      <c r="D498" s="8" t="s">
        <v>31</v>
      </c>
      <c r="E498" s="8" t="s">
        <v>261</v>
      </c>
      <c r="F498" s="8" t="s">
        <v>264</v>
      </c>
      <c r="G498" s="6">
        <v>43089</v>
      </c>
      <c r="H498" s="6">
        <v>43089</v>
      </c>
      <c r="I498" s="4">
        <v>-0.3</v>
      </c>
      <c r="J498" s="8" t="s">
        <v>38</v>
      </c>
      <c r="K498" s="8" t="s">
        <v>1930</v>
      </c>
      <c r="L498" s="4" t="str">
        <f>IF(AtlasReport_1_Table_1[[#This Row],[Reference]]="Purchase order",_xll.AtlasFormulas.AtlasFunctions.AtlasTable("UAT",DataAreaId,"T.VendInvoiceTrans","%RecId","","","","","","","ItemId|PurchID|InventTransId",$C498,$B498,$K498),"")</f>
        <v/>
      </c>
      <c r="M498" s="4" t="str">
        <f>IF(AtlasReport_1_Table_1[[#This Row],[Reference]]="Purchase order",_xll.AtlasFormulas.AtlasFunctions.AtlasTable("UAT",DataAreaId,"T.MarkupTrans","%CurrencyCode","","","","","","","MarkupCode|TransRecId|TransTableId","TPP",$L498,"492"),"")</f>
        <v/>
      </c>
      <c r="N498" s="4" t="str">
        <f>IF(AtlasReport_1_Table_1[[#This Row],[Reference]]="Purchase order",_xll.AtlasFormulas.AtlasFunctions.AtlasBalance("UAT",DataAreaId,"T.MarkupTrans","Sum|Posted|0","","","","","","","MarkupCode|TransTableId|TransRecId","TPP","492",$L498),"")</f>
        <v/>
      </c>
    </row>
    <row r="499" spans="1:14" x14ac:dyDescent="0.25">
      <c r="A499" s="8" t="s">
        <v>21</v>
      </c>
      <c r="B499" s="8" t="s">
        <v>1914</v>
      </c>
      <c r="C499" s="8" t="s">
        <v>25</v>
      </c>
      <c r="D499" s="8" t="s">
        <v>31</v>
      </c>
      <c r="E499" s="8" t="s">
        <v>261</v>
      </c>
      <c r="F499" s="8" t="s">
        <v>264</v>
      </c>
      <c r="G499" s="6">
        <v>43089</v>
      </c>
      <c r="H499" s="6">
        <v>43089</v>
      </c>
      <c r="I499" s="4">
        <v>-0.13</v>
      </c>
      <c r="J499" s="8" t="s">
        <v>38</v>
      </c>
      <c r="K499" s="8" t="s">
        <v>1931</v>
      </c>
      <c r="L499" s="4" t="str">
        <f>IF(AtlasReport_1_Table_1[[#This Row],[Reference]]="Purchase order",_xll.AtlasFormulas.AtlasFunctions.AtlasTable("UAT",DataAreaId,"T.VendInvoiceTrans","%RecId","","","","","","","ItemId|PurchID|InventTransId",$C499,$B499,$K499),"")</f>
        <v/>
      </c>
      <c r="M499" s="4" t="str">
        <f>IF(AtlasReport_1_Table_1[[#This Row],[Reference]]="Purchase order",_xll.AtlasFormulas.AtlasFunctions.AtlasTable("UAT",DataAreaId,"T.MarkupTrans","%CurrencyCode","","","","","","","MarkupCode|TransRecId|TransTableId","TPP",$L499,"492"),"")</f>
        <v/>
      </c>
      <c r="N499" s="4" t="str">
        <f>IF(AtlasReport_1_Table_1[[#This Row],[Reference]]="Purchase order",_xll.AtlasFormulas.AtlasFunctions.AtlasBalance("UAT",DataAreaId,"T.MarkupTrans","Sum|Posted|0","","","","","","","MarkupCode|TransTableId|TransRecId","TPP","492",$L499),"")</f>
        <v/>
      </c>
    </row>
    <row r="500" spans="1:14" x14ac:dyDescent="0.25">
      <c r="A500" s="8" t="s">
        <v>21</v>
      </c>
      <c r="B500" s="8" t="s">
        <v>1914</v>
      </c>
      <c r="C500" s="8" t="s">
        <v>72</v>
      </c>
      <c r="D500" s="8" t="s">
        <v>31</v>
      </c>
      <c r="E500" s="8" t="s">
        <v>261</v>
      </c>
      <c r="F500" s="8" t="s">
        <v>264</v>
      </c>
      <c r="G500" s="6">
        <v>43089</v>
      </c>
      <c r="H500" s="6">
        <v>43089</v>
      </c>
      <c r="I500" s="4">
        <v>-0.6</v>
      </c>
      <c r="J500" s="8" t="s">
        <v>38</v>
      </c>
      <c r="K500" s="8" t="s">
        <v>1932</v>
      </c>
      <c r="L500" s="4" t="str">
        <f>IF(AtlasReport_1_Table_1[[#This Row],[Reference]]="Purchase order",_xll.AtlasFormulas.AtlasFunctions.AtlasTable("UAT",DataAreaId,"T.VendInvoiceTrans","%RecId","","","","","","","ItemId|PurchID|InventTransId",$C500,$B500,$K500),"")</f>
        <v/>
      </c>
      <c r="M500" s="4" t="str">
        <f>IF(AtlasReport_1_Table_1[[#This Row],[Reference]]="Purchase order",_xll.AtlasFormulas.AtlasFunctions.AtlasTable("UAT",DataAreaId,"T.MarkupTrans","%CurrencyCode","","","","","","","MarkupCode|TransRecId|TransTableId","TPP",$L500,"492"),"")</f>
        <v/>
      </c>
      <c r="N500" s="4" t="str">
        <f>IF(AtlasReport_1_Table_1[[#This Row],[Reference]]="Purchase order",_xll.AtlasFormulas.AtlasFunctions.AtlasBalance("UAT",DataAreaId,"T.MarkupTrans","Sum|Posted|0","","","","","","","MarkupCode|TransTableId|TransRecId","TPP","492",$L500),"")</f>
        <v/>
      </c>
    </row>
    <row r="501" spans="1:14" x14ac:dyDescent="0.25">
      <c r="A501" s="8" t="s">
        <v>21</v>
      </c>
      <c r="B501" s="8" t="s">
        <v>1914</v>
      </c>
      <c r="C501" s="8" t="s">
        <v>72</v>
      </c>
      <c r="D501" s="8" t="s">
        <v>31</v>
      </c>
      <c r="E501" s="8" t="s">
        <v>261</v>
      </c>
      <c r="F501" s="8" t="s">
        <v>264</v>
      </c>
      <c r="G501" s="6">
        <v>43089</v>
      </c>
      <c r="H501" s="6">
        <v>43089</v>
      </c>
      <c r="I501" s="4">
        <v>3.72</v>
      </c>
      <c r="J501" s="8" t="s">
        <v>38</v>
      </c>
      <c r="K501" s="8" t="s">
        <v>1933</v>
      </c>
      <c r="L501" s="4" t="str">
        <f>IF(AtlasReport_1_Table_1[[#This Row],[Reference]]="Purchase order",_xll.AtlasFormulas.AtlasFunctions.AtlasTable("UAT",DataAreaId,"T.VendInvoiceTrans","%RecId","","","","","","","ItemId|PurchID|InventTransId",$C501,$B501,$K501),"")</f>
        <v/>
      </c>
      <c r="M501" s="4" t="str">
        <f>IF(AtlasReport_1_Table_1[[#This Row],[Reference]]="Purchase order",_xll.AtlasFormulas.AtlasFunctions.AtlasTable("UAT",DataAreaId,"T.MarkupTrans","%CurrencyCode","","","","","","","MarkupCode|TransRecId|TransTableId","TPP",$L501,"492"),"")</f>
        <v/>
      </c>
      <c r="N501" s="4" t="str">
        <f>IF(AtlasReport_1_Table_1[[#This Row],[Reference]]="Purchase order",_xll.AtlasFormulas.AtlasFunctions.AtlasBalance("UAT",DataAreaId,"T.MarkupTrans","Sum|Posted|0","","","","","","","MarkupCode|TransTableId|TransRecId","TPP","492",$L501),"")</f>
        <v/>
      </c>
    </row>
    <row r="502" spans="1:14" x14ac:dyDescent="0.25">
      <c r="A502" s="8" t="s">
        <v>21</v>
      </c>
      <c r="B502" s="8" t="s">
        <v>1914</v>
      </c>
      <c r="C502" s="8" t="s">
        <v>72</v>
      </c>
      <c r="D502" s="8" t="s">
        <v>31</v>
      </c>
      <c r="E502" s="8" t="s">
        <v>261</v>
      </c>
      <c r="F502" s="8" t="s">
        <v>264</v>
      </c>
      <c r="G502" s="6">
        <v>43089</v>
      </c>
      <c r="H502" s="6">
        <v>43089</v>
      </c>
      <c r="I502" s="4">
        <v>-0.6</v>
      </c>
      <c r="J502" s="8" t="s">
        <v>38</v>
      </c>
      <c r="K502" s="8" t="s">
        <v>1934</v>
      </c>
      <c r="L502" s="4" t="str">
        <f>IF(AtlasReport_1_Table_1[[#This Row],[Reference]]="Purchase order",_xll.AtlasFormulas.AtlasFunctions.AtlasTable("UAT",DataAreaId,"T.VendInvoiceTrans","%RecId","","","","","","","ItemId|PurchID|InventTransId",$C502,$B502,$K502),"")</f>
        <v/>
      </c>
      <c r="M502" s="4" t="str">
        <f>IF(AtlasReport_1_Table_1[[#This Row],[Reference]]="Purchase order",_xll.AtlasFormulas.AtlasFunctions.AtlasTable("UAT",DataAreaId,"T.MarkupTrans","%CurrencyCode","","","","","","","MarkupCode|TransRecId|TransTableId","TPP",$L502,"492"),"")</f>
        <v/>
      </c>
      <c r="N502" s="4" t="str">
        <f>IF(AtlasReport_1_Table_1[[#This Row],[Reference]]="Purchase order",_xll.AtlasFormulas.AtlasFunctions.AtlasBalance("UAT",DataAreaId,"T.MarkupTrans","Sum|Posted|0","","","","","","","MarkupCode|TransTableId|TransRecId","TPP","492",$L502),"")</f>
        <v/>
      </c>
    </row>
    <row r="503" spans="1:14" x14ac:dyDescent="0.25">
      <c r="A503" s="8" t="s">
        <v>21</v>
      </c>
      <c r="B503" s="8" t="s">
        <v>1914</v>
      </c>
      <c r="C503" s="8" t="s">
        <v>72</v>
      </c>
      <c r="D503" s="8" t="s">
        <v>31</v>
      </c>
      <c r="E503" s="8" t="s">
        <v>261</v>
      </c>
      <c r="F503" s="8" t="s">
        <v>264</v>
      </c>
      <c r="G503" s="6">
        <v>43089</v>
      </c>
      <c r="H503" s="6">
        <v>43089</v>
      </c>
      <c r="I503" s="4">
        <v>-0.6</v>
      </c>
      <c r="J503" s="8" t="s">
        <v>38</v>
      </c>
      <c r="K503" s="8" t="s">
        <v>1935</v>
      </c>
      <c r="L503" s="4" t="str">
        <f>IF(AtlasReport_1_Table_1[[#This Row],[Reference]]="Purchase order",_xll.AtlasFormulas.AtlasFunctions.AtlasTable("UAT",DataAreaId,"T.VendInvoiceTrans","%RecId","","","","","","","ItemId|PurchID|InventTransId",$C503,$B503,$K503),"")</f>
        <v/>
      </c>
      <c r="M503" s="4" t="str">
        <f>IF(AtlasReport_1_Table_1[[#This Row],[Reference]]="Purchase order",_xll.AtlasFormulas.AtlasFunctions.AtlasTable("UAT",DataAreaId,"T.MarkupTrans","%CurrencyCode","","","","","","","MarkupCode|TransRecId|TransTableId","TPP",$L503,"492"),"")</f>
        <v/>
      </c>
      <c r="N503" s="4" t="str">
        <f>IF(AtlasReport_1_Table_1[[#This Row],[Reference]]="Purchase order",_xll.AtlasFormulas.AtlasFunctions.AtlasBalance("UAT",DataAreaId,"T.MarkupTrans","Sum|Posted|0","","","","","","","MarkupCode|TransTableId|TransRecId","TPP","492",$L503),"")</f>
        <v/>
      </c>
    </row>
    <row r="504" spans="1:14" x14ac:dyDescent="0.25">
      <c r="A504" s="8" t="s">
        <v>21</v>
      </c>
      <c r="B504" s="8" t="s">
        <v>1914</v>
      </c>
      <c r="C504" s="8" t="s">
        <v>72</v>
      </c>
      <c r="D504" s="8" t="s">
        <v>31</v>
      </c>
      <c r="E504" s="8" t="s">
        <v>261</v>
      </c>
      <c r="F504" s="8" t="s">
        <v>264</v>
      </c>
      <c r="G504" s="6">
        <v>43089</v>
      </c>
      <c r="H504" s="6">
        <v>43089</v>
      </c>
      <c r="I504" s="4">
        <v>-0.6</v>
      </c>
      <c r="J504" s="8" t="s">
        <v>38</v>
      </c>
      <c r="K504" s="8" t="s">
        <v>1936</v>
      </c>
      <c r="L504" s="4" t="str">
        <f>IF(AtlasReport_1_Table_1[[#This Row],[Reference]]="Purchase order",_xll.AtlasFormulas.AtlasFunctions.AtlasTable("UAT",DataAreaId,"T.VendInvoiceTrans","%RecId","","","","","","","ItemId|PurchID|InventTransId",$C504,$B504,$K504),"")</f>
        <v/>
      </c>
      <c r="M504" s="4" t="str">
        <f>IF(AtlasReport_1_Table_1[[#This Row],[Reference]]="Purchase order",_xll.AtlasFormulas.AtlasFunctions.AtlasTable("UAT",DataAreaId,"T.MarkupTrans","%CurrencyCode","","","","","","","MarkupCode|TransRecId|TransTableId","TPP",$L504,"492"),"")</f>
        <v/>
      </c>
      <c r="N504" s="4" t="str">
        <f>IF(AtlasReport_1_Table_1[[#This Row],[Reference]]="Purchase order",_xll.AtlasFormulas.AtlasFunctions.AtlasBalance("UAT",DataAreaId,"T.MarkupTrans","Sum|Posted|0","","","","","","","MarkupCode|TransTableId|TransRecId","TPP","492",$L504),"")</f>
        <v/>
      </c>
    </row>
    <row r="505" spans="1:14" x14ac:dyDescent="0.25">
      <c r="A505" s="8" t="s">
        <v>21</v>
      </c>
      <c r="B505" s="8" t="s">
        <v>1914</v>
      </c>
      <c r="C505" s="8" t="s">
        <v>72</v>
      </c>
      <c r="D505" s="8" t="s">
        <v>31</v>
      </c>
      <c r="E505" s="8" t="s">
        <v>261</v>
      </c>
      <c r="F505" s="8" t="s">
        <v>264</v>
      </c>
      <c r="G505" s="6">
        <v>43089</v>
      </c>
      <c r="H505" s="6">
        <v>43089</v>
      </c>
      <c r="I505" s="4">
        <v>3.6</v>
      </c>
      <c r="J505" s="8" t="s">
        <v>38</v>
      </c>
      <c r="K505" s="8" t="s">
        <v>1937</v>
      </c>
      <c r="L505" s="4" t="str">
        <f>IF(AtlasReport_1_Table_1[[#This Row],[Reference]]="Purchase order",_xll.AtlasFormulas.AtlasFunctions.AtlasTable("UAT",DataAreaId,"T.VendInvoiceTrans","%RecId","","","","","","","ItemId|PurchID|InventTransId",$C505,$B505,$K505),"")</f>
        <v/>
      </c>
      <c r="M505" s="4" t="str">
        <f>IF(AtlasReport_1_Table_1[[#This Row],[Reference]]="Purchase order",_xll.AtlasFormulas.AtlasFunctions.AtlasTable("UAT",DataAreaId,"T.MarkupTrans","%CurrencyCode","","","","","","","MarkupCode|TransRecId|TransTableId","TPP",$L505,"492"),"")</f>
        <v/>
      </c>
      <c r="N505" s="4" t="str">
        <f>IF(AtlasReport_1_Table_1[[#This Row],[Reference]]="Purchase order",_xll.AtlasFormulas.AtlasFunctions.AtlasBalance("UAT",DataAreaId,"T.MarkupTrans","Sum|Posted|0","","","","","","","MarkupCode|TransTableId|TransRecId","TPP","492",$L505),"")</f>
        <v/>
      </c>
    </row>
    <row r="506" spans="1:14" x14ac:dyDescent="0.25">
      <c r="A506" s="8" t="s">
        <v>21</v>
      </c>
      <c r="B506" s="8" t="s">
        <v>1914</v>
      </c>
      <c r="C506" s="8" t="s">
        <v>317</v>
      </c>
      <c r="D506" s="8" t="s">
        <v>125</v>
      </c>
      <c r="E506" s="8" t="s">
        <v>261</v>
      </c>
      <c r="F506" s="8" t="s">
        <v>264</v>
      </c>
      <c r="G506" s="6">
        <v>43089</v>
      </c>
      <c r="H506" s="6">
        <v>43089</v>
      </c>
      <c r="I506" s="4">
        <v>8.1</v>
      </c>
      <c r="J506" s="8" t="s">
        <v>38</v>
      </c>
      <c r="K506" s="8" t="s">
        <v>1938</v>
      </c>
      <c r="L506" s="4" t="str">
        <f>IF(AtlasReport_1_Table_1[[#This Row],[Reference]]="Purchase order",_xll.AtlasFormulas.AtlasFunctions.AtlasTable("UAT",DataAreaId,"T.VendInvoiceTrans","%RecId","","","","","","","ItemId|PurchID|InventTransId",$C506,$B506,$K506),"")</f>
        <v/>
      </c>
      <c r="M506" s="4" t="str">
        <f>IF(AtlasReport_1_Table_1[[#This Row],[Reference]]="Purchase order",_xll.AtlasFormulas.AtlasFunctions.AtlasTable("UAT",DataAreaId,"T.MarkupTrans","%CurrencyCode","","","","","","","MarkupCode|TransRecId|TransTableId","TPP",$L506,"492"),"")</f>
        <v/>
      </c>
      <c r="N506" s="4" t="str">
        <f>IF(AtlasReport_1_Table_1[[#This Row],[Reference]]="Purchase order",_xll.AtlasFormulas.AtlasFunctions.AtlasBalance("UAT",DataAreaId,"T.MarkupTrans","Sum|Posted|0","","","","","","","MarkupCode|TransTableId|TransRecId","TPP","492",$L506),"")</f>
        <v/>
      </c>
    </row>
    <row r="507" spans="1:14" x14ac:dyDescent="0.25">
      <c r="A507" s="8" t="s">
        <v>21</v>
      </c>
      <c r="B507" s="8" t="s">
        <v>1914</v>
      </c>
      <c r="C507" s="8" t="s">
        <v>317</v>
      </c>
      <c r="D507" s="8" t="s">
        <v>125</v>
      </c>
      <c r="E507" s="8" t="s">
        <v>261</v>
      </c>
      <c r="F507" s="8" t="s">
        <v>264</v>
      </c>
      <c r="G507" s="6">
        <v>43089</v>
      </c>
      <c r="H507" s="6">
        <v>43089</v>
      </c>
      <c r="I507" s="4">
        <v>6</v>
      </c>
      <c r="J507" s="8" t="s">
        <v>38</v>
      </c>
      <c r="K507" s="8" t="s">
        <v>1939</v>
      </c>
      <c r="L507" s="4" t="str">
        <f>IF(AtlasReport_1_Table_1[[#This Row],[Reference]]="Purchase order",_xll.AtlasFormulas.AtlasFunctions.AtlasTable("UAT",DataAreaId,"T.VendInvoiceTrans","%RecId","","","","","","","ItemId|PurchID|InventTransId",$C507,$B507,$K507),"")</f>
        <v/>
      </c>
      <c r="M507" s="4" t="str">
        <f>IF(AtlasReport_1_Table_1[[#This Row],[Reference]]="Purchase order",_xll.AtlasFormulas.AtlasFunctions.AtlasTable("UAT",DataAreaId,"T.MarkupTrans","%CurrencyCode","","","","","","","MarkupCode|TransRecId|TransTableId","TPP",$L507,"492"),"")</f>
        <v/>
      </c>
      <c r="N507" s="4" t="str">
        <f>IF(AtlasReport_1_Table_1[[#This Row],[Reference]]="Purchase order",_xll.AtlasFormulas.AtlasFunctions.AtlasBalance("UAT",DataAreaId,"T.MarkupTrans","Sum|Posted|0","","","","","","","MarkupCode|TransTableId|TransRecId","TPP","492",$L507),"")</f>
        <v/>
      </c>
    </row>
    <row r="508" spans="1:14" x14ac:dyDescent="0.25">
      <c r="A508" s="8" t="s">
        <v>21</v>
      </c>
      <c r="B508" s="8" t="s">
        <v>1914</v>
      </c>
      <c r="C508" s="8" t="s">
        <v>317</v>
      </c>
      <c r="D508" s="8" t="s">
        <v>125</v>
      </c>
      <c r="E508" s="8" t="s">
        <v>261</v>
      </c>
      <c r="F508" s="8" t="s">
        <v>264</v>
      </c>
      <c r="G508" s="6">
        <v>43089</v>
      </c>
      <c r="H508" s="6">
        <v>43089</v>
      </c>
      <c r="I508" s="4">
        <v>6.2</v>
      </c>
      <c r="J508" s="8" t="s">
        <v>38</v>
      </c>
      <c r="K508" s="8" t="s">
        <v>1940</v>
      </c>
      <c r="L508" s="4" t="str">
        <f>IF(AtlasReport_1_Table_1[[#This Row],[Reference]]="Purchase order",_xll.AtlasFormulas.AtlasFunctions.AtlasTable("UAT",DataAreaId,"T.VendInvoiceTrans","%RecId","","","","","","","ItemId|PurchID|InventTransId",$C508,$B508,$K508),"")</f>
        <v/>
      </c>
      <c r="M508" s="4" t="str">
        <f>IF(AtlasReport_1_Table_1[[#This Row],[Reference]]="Purchase order",_xll.AtlasFormulas.AtlasFunctions.AtlasTable("UAT",DataAreaId,"T.MarkupTrans","%CurrencyCode","","","","","","","MarkupCode|TransRecId|TransTableId","TPP",$L508,"492"),"")</f>
        <v/>
      </c>
      <c r="N508" s="4" t="str">
        <f>IF(AtlasReport_1_Table_1[[#This Row],[Reference]]="Purchase order",_xll.AtlasFormulas.AtlasFunctions.AtlasBalance("UAT",DataAreaId,"T.MarkupTrans","Sum|Posted|0","","","","","","","MarkupCode|TransTableId|TransRecId","TPP","492",$L508),"")</f>
        <v/>
      </c>
    </row>
    <row r="509" spans="1:14" x14ac:dyDescent="0.25">
      <c r="A509" s="8" t="s">
        <v>21</v>
      </c>
      <c r="B509" s="8" t="s">
        <v>1914</v>
      </c>
      <c r="C509" s="8" t="s">
        <v>317</v>
      </c>
      <c r="D509" s="8" t="s">
        <v>125</v>
      </c>
      <c r="E509" s="8" t="s">
        <v>261</v>
      </c>
      <c r="F509" s="8" t="s">
        <v>264</v>
      </c>
      <c r="G509" s="6">
        <v>43089</v>
      </c>
      <c r="H509" s="6">
        <v>43089</v>
      </c>
      <c r="I509" s="4">
        <v>1</v>
      </c>
      <c r="J509" s="8" t="s">
        <v>38</v>
      </c>
      <c r="K509" s="8" t="s">
        <v>1941</v>
      </c>
      <c r="L509" s="4" t="str">
        <f>IF(AtlasReport_1_Table_1[[#This Row],[Reference]]="Purchase order",_xll.AtlasFormulas.AtlasFunctions.AtlasTable("UAT",DataAreaId,"T.VendInvoiceTrans","%RecId","","","","","","","ItemId|PurchID|InventTransId",$C509,$B509,$K509),"")</f>
        <v/>
      </c>
      <c r="M509" s="4" t="str">
        <f>IF(AtlasReport_1_Table_1[[#This Row],[Reference]]="Purchase order",_xll.AtlasFormulas.AtlasFunctions.AtlasTable("UAT",DataAreaId,"T.MarkupTrans","%CurrencyCode","","","","","","","MarkupCode|TransRecId|TransTableId","TPP",$L509,"492"),"")</f>
        <v/>
      </c>
      <c r="N509" s="4" t="str">
        <f>IF(AtlasReport_1_Table_1[[#This Row],[Reference]]="Purchase order",_xll.AtlasFormulas.AtlasFunctions.AtlasBalance("UAT",DataAreaId,"T.MarkupTrans","Sum|Posted|0","","","","","","","MarkupCode|TransTableId|TransRecId","TPP","492",$L509),"")</f>
        <v/>
      </c>
    </row>
    <row r="510" spans="1:14" x14ac:dyDescent="0.25">
      <c r="A510" s="8" t="s">
        <v>21</v>
      </c>
      <c r="B510" s="8" t="s">
        <v>1914</v>
      </c>
      <c r="C510" s="8" t="s">
        <v>317</v>
      </c>
      <c r="D510" s="8" t="s">
        <v>125</v>
      </c>
      <c r="E510" s="8" t="s">
        <v>261</v>
      </c>
      <c r="F510" s="8" t="s">
        <v>264</v>
      </c>
      <c r="G510" s="6">
        <v>43089</v>
      </c>
      <c r="H510" s="6">
        <v>43089</v>
      </c>
      <c r="I510" s="4">
        <v>1.1000000000000001</v>
      </c>
      <c r="J510" s="8" t="s">
        <v>38</v>
      </c>
      <c r="K510" s="8" t="s">
        <v>1942</v>
      </c>
      <c r="L510" s="4" t="str">
        <f>IF(AtlasReport_1_Table_1[[#This Row],[Reference]]="Purchase order",_xll.AtlasFormulas.AtlasFunctions.AtlasTable("UAT",DataAreaId,"T.VendInvoiceTrans","%RecId","","","","","","","ItemId|PurchID|InventTransId",$C510,$B510,$K510),"")</f>
        <v/>
      </c>
      <c r="M510" s="4" t="str">
        <f>IF(AtlasReport_1_Table_1[[#This Row],[Reference]]="Purchase order",_xll.AtlasFormulas.AtlasFunctions.AtlasTable("UAT",DataAreaId,"T.MarkupTrans","%CurrencyCode","","","","","","","MarkupCode|TransRecId|TransTableId","TPP",$L510,"492"),"")</f>
        <v/>
      </c>
      <c r="N510" s="4" t="str">
        <f>IF(AtlasReport_1_Table_1[[#This Row],[Reference]]="Purchase order",_xll.AtlasFormulas.AtlasFunctions.AtlasBalance("UAT",DataAreaId,"T.MarkupTrans","Sum|Posted|0","","","","","","","MarkupCode|TransTableId|TransRecId","TPP","492",$L510),"")</f>
        <v/>
      </c>
    </row>
    <row r="511" spans="1:14" x14ac:dyDescent="0.25">
      <c r="A511" s="8" t="s">
        <v>21</v>
      </c>
      <c r="B511" s="8" t="s">
        <v>1914</v>
      </c>
      <c r="C511" s="8" t="s">
        <v>73</v>
      </c>
      <c r="D511" s="8" t="s">
        <v>125</v>
      </c>
      <c r="E511" s="8" t="s">
        <v>261</v>
      </c>
      <c r="F511" s="8" t="s">
        <v>264</v>
      </c>
      <c r="G511" s="6">
        <v>43089</v>
      </c>
      <c r="H511" s="6">
        <v>43089</v>
      </c>
      <c r="I511" s="4">
        <v>-30</v>
      </c>
      <c r="J511" s="8" t="s">
        <v>38</v>
      </c>
      <c r="K511" s="8" t="s">
        <v>1943</v>
      </c>
      <c r="L511" s="4" t="str">
        <f>IF(AtlasReport_1_Table_1[[#This Row],[Reference]]="Purchase order",_xll.AtlasFormulas.AtlasFunctions.AtlasTable("UAT",DataAreaId,"T.VendInvoiceTrans","%RecId","","","","","","","ItemId|PurchID|InventTransId",$C511,$B511,$K511),"")</f>
        <v/>
      </c>
      <c r="M511" s="4" t="str">
        <f>IF(AtlasReport_1_Table_1[[#This Row],[Reference]]="Purchase order",_xll.AtlasFormulas.AtlasFunctions.AtlasTable("UAT",DataAreaId,"T.MarkupTrans","%CurrencyCode","","","","","","","MarkupCode|TransRecId|TransTableId","TPP",$L511,"492"),"")</f>
        <v/>
      </c>
      <c r="N511" s="4" t="str">
        <f>IF(AtlasReport_1_Table_1[[#This Row],[Reference]]="Purchase order",_xll.AtlasFormulas.AtlasFunctions.AtlasBalance("UAT",DataAreaId,"T.MarkupTrans","Sum|Posted|0","","","","","","","MarkupCode|TransTableId|TransRecId","TPP","492",$L511),"")</f>
        <v/>
      </c>
    </row>
    <row r="512" spans="1:14" x14ac:dyDescent="0.25">
      <c r="A512" s="8" t="s">
        <v>21</v>
      </c>
      <c r="B512" s="8" t="s">
        <v>1914</v>
      </c>
      <c r="C512" s="8" t="s">
        <v>73</v>
      </c>
      <c r="D512" s="8" t="s">
        <v>125</v>
      </c>
      <c r="E512" s="8" t="s">
        <v>261</v>
      </c>
      <c r="F512" s="8" t="s">
        <v>264</v>
      </c>
      <c r="G512" s="6">
        <v>43089</v>
      </c>
      <c r="H512" s="6">
        <v>43089</v>
      </c>
      <c r="I512" s="4">
        <v>-30</v>
      </c>
      <c r="J512" s="8" t="s">
        <v>38</v>
      </c>
      <c r="K512" s="8" t="s">
        <v>1944</v>
      </c>
      <c r="L512" s="4" t="str">
        <f>IF(AtlasReport_1_Table_1[[#This Row],[Reference]]="Purchase order",_xll.AtlasFormulas.AtlasFunctions.AtlasTable("UAT",DataAreaId,"T.VendInvoiceTrans","%RecId","","","","","","","ItemId|PurchID|InventTransId",$C512,$B512,$K512),"")</f>
        <v/>
      </c>
      <c r="M512" s="4" t="str">
        <f>IF(AtlasReport_1_Table_1[[#This Row],[Reference]]="Purchase order",_xll.AtlasFormulas.AtlasFunctions.AtlasTable("UAT",DataAreaId,"T.MarkupTrans","%CurrencyCode","","","","","","","MarkupCode|TransRecId|TransTableId","TPP",$L512,"492"),"")</f>
        <v/>
      </c>
      <c r="N512" s="4" t="str">
        <f>IF(AtlasReport_1_Table_1[[#This Row],[Reference]]="Purchase order",_xll.AtlasFormulas.AtlasFunctions.AtlasBalance("UAT",DataAreaId,"T.MarkupTrans","Sum|Posted|0","","","","","","","MarkupCode|TransTableId|TransRecId","TPP","492",$L512),"")</f>
        <v/>
      </c>
    </row>
    <row r="513" spans="1:14" x14ac:dyDescent="0.25">
      <c r="A513" s="8" t="s">
        <v>21</v>
      </c>
      <c r="B513" s="8" t="s">
        <v>1914</v>
      </c>
      <c r="C513" s="8" t="s">
        <v>73</v>
      </c>
      <c r="D513" s="8" t="s">
        <v>125</v>
      </c>
      <c r="E513" s="8" t="s">
        <v>261</v>
      </c>
      <c r="F513" s="8" t="s">
        <v>264</v>
      </c>
      <c r="G513" s="6">
        <v>43089</v>
      </c>
      <c r="H513" s="6">
        <v>43089</v>
      </c>
      <c r="I513" s="4">
        <v>1.4</v>
      </c>
      <c r="J513" s="8" t="s">
        <v>38</v>
      </c>
      <c r="K513" s="8" t="s">
        <v>1945</v>
      </c>
      <c r="L513" s="4" t="str">
        <f>IF(AtlasReport_1_Table_1[[#This Row],[Reference]]="Purchase order",_xll.AtlasFormulas.AtlasFunctions.AtlasTable("UAT",DataAreaId,"T.VendInvoiceTrans","%RecId","","","","","","","ItemId|PurchID|InventTransId",$C513,$B513,$K513),"")</f>
        <v/>
      </c>
      <c r="M513" s="4" t="str">
        <f>IF(AtlasReport_1_Table_1[[#This Row],[Reference]]="Purchase order",_xll.AtlasFormulas.AtlasFunctions.AtlasTable("UAT",DataAreaId,"T.MarkupTrans","%CurrencyCode","","","","","","","MarkupCode|TransRecId|TransTableId","TPP",$L513,"492"),"")</f>
        <v/>
      </c>
      <c r="N513" s="4" t="str">
        <f>IF(AtlasReport_1_Table_1[[#This Row],[Reference]]="Purchase order",_xll.AtlasFormulas.AtlasFunctions.AtlasBalance("UAT",DataAreaId,"T.MarkupTrans","Sum|Posted|0","","","","","","","MarkupCode|TransTableId|TransRecId","TPP","492",$L513),"")</f>
        <v/>
      </c>
    </row>
    <row r="514" spans="1:14" x14ac:dyDescent="0.25">
      <c r="A514" s="8" t="s">
        <v>21</v>
      </c>
      <c r="B514" s="8" t="s">
        <v>1914</v>
      </c>
      <c r="C514" s="8" t="s">
        <v>73</v>
      </c>
      <c r="D514" s="8" t="s">
        <v>125</v>
      </c>
      <c r="E514" s="8" t="s">
        <v>261</v>
      </c>
      <c r="F514" s="8" t="s">
        <v>264</v>
      </c>
      <c r="G514" s="6">
        <v>43089</v>
      </c>
      <c r="H514" s="6">
        <v>43089</v>
      </c>
      <c r="I514" s="4">
        <v>-0.45</v>
      </c>
      <c r="J514" s="8" t="s">
        <v>38</v>
      </c>
      <c r="K514" s="8" t="s">
        <v>1946</v>
      </c>
      <c r="L514" s="4" t="str">
        <f>IF(AtlasReport_1_Table_1[[#This Row],[Reference]]="Purchase order",_xll.AtlasFormulas.AtlasFunctions.AtlasTable("UAT",DataAreaId,"T.VendInvoiceTrans","%RecId","","","","","","","ItemId|PurchID|InventTransId",$C514,$B514,$K514),"")</f>
        <v/>
      </c>
      <c r="M514" s="4" t="str">
        <f>IF(AtlasReport_1_Table_1[[#This Row],[Reference]]="Purchase order",_xll.AtlasFormulas.AtlasFunctions.AtlasTable("UAT",DataAreaId,"T.MarkupTrans","%CurrencyCode","","","","","","","MarkupCode|TransRecId|TransTableId","TPP",$L514,"492"),"")</f>
        <v/>
      </c>
      <c r="N514" s="4" t="str">
        <f>IF(AtlasReport_1_Table_1[[#This Row],[Reference]]="Purchase order",_xll.AtlasFormulas.AtlasFunctions.AtlasBalance("UAT",DataAreaId,"T.MarkupTrans","Sum|Posted|0","","","","","","","MarkupCode|TransTableId|TransRecId","TPP","492",$L514),"")</f>
        <v/>
      </c>
    </row>
    <row r="515" spans="1:14" x14ac:dyDescent="0.25">
      <c r="A515" s="8" t="s">
        <v>21</v>
      </c>
      <c r="B515" s="8" t="s">
        <v>1914</v>
      </c>
      <c r="C515" s="8" t="s">
        <v>73</v>
      </c>
      <c r="D515" s="8" t="s">
        <v>125</v>
      </c>
      <c r="E515" s="8" t="s">
        <v>261</v>
      </c>
      <c r="F515" s="8" t="s">
        <v>264</v>
      </c>
      <c r="G515" s="6">
        <v>43089</v>
      </c>
      <c r="H515" s="6">
        <v>43089</v>
      </c>
      <c r="I515" s="4">
        <v>0.6</v>
      </c>
      <c r="J515" s="8" t="s">
        <v>38</v>
      </c>
      <c r="K515" s="8" t="s">
        <v>1947</v>
      </c>
      <c r="L515" s="4" t="str">
        <f>IF(AtlasReport_1_Table_1[[#This Row],[Reference]]="Purchase order",_xll.AtlasFormulas.AtlasFunctions.AtlasTable("UAT",DataAreaId,"T.VendInvoiceTrans","%RecId","","","","","","","ItemId|PurchID|InventTransId",$C515,$B515,$K515),"")</f>
        <v/>
      </c>
      <c r="M515" s="4" t="str">
        <f>IF(AtlasReport_1_Table_1[[#This Row],[Reference]]="Purchase order",_xll.AtlasFormulas.AtlasFunctions.AtlasTable("UAT",DataAreaId,"T.MarkupTrans","%CurrencyCode","","","","","","","MarkupCode|TransRecId|TransTableId","TPP",$L515,"492"),"")</f>
        <v/>
      </c>
      <c r="N515" s="4" t="str">
        <f>IF(AtlasReport_1_Table_1[[#This Row],[Reference]]="Purchase order",_xll.AtlasFormulas.AtlasFunctions.AtlasBalance("UAT",DataAreaId,"T.MarkupTrans","Sum|Posted|0","","","","","","","MarkupCode|TransTableId|TransRecId","TPP","492",$L515),"")</f>
        <v/>
      </c>
    </row>
    <row r="516" spans="1:14" x14ac:dyDescent="0.25">
      <c r="A516" s="8" t="s">
        <v>21</v>
      </c>
      <c r="B516" s="8" t="s">
        <v>1914</v>
      </c>
      <c r="C516" s="8" t="s">
        <v>73</v>
      </c>
      <c r="D516" s="8" t="s">
        <v>125</v>
      </c>
      <c r="E516" s="8" t="s">
        <v>261</v>
      </c>
      <c r="F516" s="8" t="s">
        <v>264</v>
      </c>
      <c r="G516" s="6">
        <v>43089</v>
      </c>
      <c r="H516" s="6">
        <v>43089</v>
      </c>
      <c r="I516" s="4">
        <v>7.15</v>
      </c>
      <c r="J516" s="8" t="s">
        <v>38</v>
      </c>
      <c r="K516" s="8" t="s">
        <v>1948</v>
      </c>
      <c r="L516" s="4" t="str">
        <f>IF(AtlasReport_1_Table_1[[#This Row],[Reference]]="Purchase order",_xll.AtlasFormulas.AtlasFunctions.AtlasTable("UAT",DataAreaId,"T.VendInvoiceTrans","%RecId","","","","","","","ItemId|PurchID|InventTransId",$C516,$B516,$K516),"")</f>
        <v/>
      </c>
      <c r="M516" s="4" t="str">
        <f>IF(AtlasReport_1_Table_1[[#This Row],[Reference]]="Purchase order",_xll.AtlasFormulas.AtlasFunctions.AtlasTable("UAT",DataAreaId,"T.MarkupTrans","%CurrencyCode","","","","","","","MarkupCode|TransRecId|TransTableId","TPP",$L516,"492"),"")</f>
        <v/>
      </c>
      <c r="N516" s="4" t="str">
        <f>IF(AtlasReport_1_Table_1[[#This Row],[Reference]]="Purchase order",_xll.AtlasFormulas.AtlasFunctions.AtlasBalance("UAT",DataAreaId,"T.MarkupTrans","Sum|Posted|0","","","","","","","MarkupCode|TransTableId|TransRecId","TPP","492",$L516),"")</f>
        <v/>
      </c>
    </row>
    <row r="517" spans="1:14" x14ac:dyDescent="0.25">
      <c r="A517" s="8" t="s">
        <v>21</v>
      </c>
      <c r="B517" s="8" t="s">
        <v>1914</v>
      </c>
      <c r="C517" s="8" t="s">
        <v>73</v>
      </c>
      <c r="D517" s="8" t="s">
        <v>125</v>
      </c>
      <c r="E517" s="8" t="s">
        <v>261</v>
      </c>
      <c r="F517" s="8" t="s">
        <v>264</v>
      </c>
      <c r="G517" s="6">
        <v>43089</v>
      </c>
      <c r="H517" s="6">
        <v>43089</v>
      </c>
      <c r="I517" s="4">
        <v>-0.12</v>
      </c>
      <c r="J517" s="8" t="s">
        <v>38</v>
      </c>
      <c r="K517" s="8" t="s">
        <v>1949</v>
      </c>
      <c r="L517" s="4" t="str">
        <f>IF(AtlasReport_1_Table_1[[#This Row],[Reference]]="Purchase order",_xll.AtlasFormulas.AtlasFunctions.AtlasTable("UAT",DataAreaId,"T.VendInvoiceTrans","%RecId","","","","","","","ItemId|PurchID|InventTransId",$C517,$B517,$K517),"")</f>
        <v/>
      </c>
      <c r="M517" s="4" t="str">
        <f>IF(AtlasReport_1_Table_1[[#This Row],[Reference]]="Purchase order",_xll.AtlasFormulas.AtlasFunctions.AtlasTable("UAT",DataAreaId,"T.MarkupTrans","%CurrencyCode","","","","","","","MarkupCode|TransRecId|TransTableId","TPP",$L517,"492"),"")</f>
        <v/>
      </c>
      <c r="N517" s="4" t="str">
        <f>IF(AtlasReport_1_Table_1[[#This Row],[Reference]]="Purchase order",_xll.AtlasFormulas.AtlasFunctions.AtlasBalance("UAT",DataAreaId,"T.MarkupTrans","Sum|Posted|0","","","","","","","MarkupCode|TransTableId|TransRecId","TPP","492",$L517),"")</f>
        <v/>
      </c>
    </row>
    <row r="518" spans="1:14" x14ac:dyDescent="0.25">
      <c r="A518" s="8" t="s">
        <v>21</v>
      </c>
      <c r="B518" s="8" t="s">
        <v>1914</v>
      </c>
      <c r="C518" s="8" t="s">
        <v>73</v>
      </c>
      <c r="D518" s="8" t="s">
        <v>125</v>
      </c>
      <c r="E518" s="8" t="s">
        <v>261</v>
      </c>
      <c r="F518" s="8" t="s">
        <v>264</v>
      </c>
      <c r="G518" s="6">
        <v>43089</v>
      </c>
      <c r="H518" s="6">
        <v>43089</v>
      </c>
      <c r="I518" s="4">
        <v>-1.3599999999999999</v>
      </c>
      <c r="J518" s="8" t="s">
        <v>38</v>
      </c>
      <c r="K518" s="8" t="s">
        <v>1950</v>
      </c>
      <c r="L518" s="4" t="str">
        <f>IF(AtlasReport_1_Table_1[[#This Row],[Reference]]="Purchase order",_xll.AtlasFormulas.AtlasFunctions.AtlasTable("UAT",DataAreaId,"T.VendInvoiceTrans","%RecId","","","","","","","ItemId|PurchID|InventTransId",$C518,$B518,$K518),"")</f>
        <v/>
      </c>
      <c r="M518" s="4" t="str">
        <f>IF(AtlasReport_1_Table_1[[#This Row],[Reference]]="Purchase order",_xll.AtlasFormulas.AtlasFunctions.AtlasTable("UAT",DataAreaId,"T.MarkupTrans","%CurrencyCode","","","","","","","MarkupCode|TransRecId|TransTableId","TPP",$L518,"492"),"")</f>
        <v/>
      </c>
      <c r="N518" s="4" t="str">
        <f>IF(AtlasReport_1_Table_1[[#This Row],[Reference]]="Purchase order",_xll.AtlasFormulas.AtlasFunctions.AtlasBalance("UAT",DataAreaId,"T.MarkupTrans","Sum|Posted|0","","","","","","","MarkupCode|TransTableId|TransRecId","TPP","492",$L518),"")</f>
        <v/>
      </c>
    </row>
    <row r="519" spans="1:14" x14ac:dyDescent="0.25">
      <c r="A519" s="8" t="s">
        <v>21</v>
      </c>
      <c r="B519" s="8" t="s">
        <v>1914</v>
      </c>
      <c r="C519" s="8" t="s">
        <v>194</v>
      </c>
      <c r="D519" s="8" t="s">
        <v>125</v>
      </c>
      <c r="E519" s="8" t="s">
        <v>261</v>
      </c>
      <c r="F519" s="8" t="s">
        <v>264</v>
      </c>
      <c r="G519" s="6">
        <v>43089</v>
      </c>
      <c r="H519" s="6">
        <v>43089</v>
      </c>
      <c r="I519" s="4">
        <v>-2.4</v>
      </c>
      <c r="J519" s="8" t="s">
        <v>38</v>
      </c>
      <c r="K519" s="8" t="s">
        <v>1951</v>
      </c>
      <c r="L519" s="4" t="str">
        <f>IF(AtlasReport_1_Table_1[[#This Row],[Reference]]="Purchase order",_xll.AtlasFormulas.AtlasFunctions.AtlasTable("UAT",DataAreaId,"T.VendInvoiceTrans","%RecId","","","","","","","ItemId|PurchID|InventTransId",$C519,$B519,$K519),"")</f>
        <v/>
      </c>
      <c r="M519" s="4" t="str">
        <f>IF(AtlasReport_1_Table_1[[#This Row],[Reference]]="Purchase order",_xll.AtlasFormulas.AtlasFunctions.AtlasTable("UAT",DataAreaId,"T.MarkupTrans","%CurrencyCode","","","","","","","MarkupCode|TransRecId|TransTableId","TPP",$L519,"492"),"")</f>
        <v/>
      </c>
      <c r="N519" s="4" t="str">
        <f>IF(AtlasReport_1_Table_1[[#This Row],[Reference]]="Purchase order",_xll.AtlasFormulas.AtlasFunctions.AtlasBalance("UAT",DataAreaId,"T.MarkupTrans","Sum|Posted|0","","","","","","","MarkupCode|TransTableId|TransRecId","TPP","492",$L519),"")</f>
        <v/>
      </c>
    </row>
    <row r="520" spans="1:14" x14ac:dyDescent="0.25">
      <c r="A520" s="8" t="s">
        <v>21</v>
      </c>
      <c r="B520" s="8" t="s">
        <v>1914</v>
      </c>
      <c r="C520" s="8" t="s">
        <v>194</v>
      </c>
      <c r="D520" s="8" t="s">
        <v>125</v>
      </c>
      <c r="E520" s="8" t="s">
        <v>261</v>
      </c>
      <c r="F520" s="8" t="s">
        <v>264</v>
      </c>
      <c r="G520" s="6">
        <v>43089</v>
      </c>
      <c r="H520" s="6">
        <v>43089</v>
      </c>
      <c r="I520" s="4">
        <v>-0.06</v>
      </c>
      <c r="J520" s="8" t="s">
        <v>38</v>
      </c>
      <c r="K520" s="8" t="s">
        <v>1952</v>
      </c>
      <c r="L520" s="4" t="str">
        <f>IF(AtlasReport_1_Table_1[[#This Row],[Reference]]="Purchase order",_xll.AtlasFormulas.AtlasFunctions.AtlasTable("UAT",DataAreaId,"T.VendInvoiceTrans","%RecId","","","","","","","ItemId|PurchID|InventTransId",$C520,$B520,$K520),"")</f>
        <v/>
      </c>
      <c r="M520" s="4" t="str">
        <f>IF(AtlasReport_1_Table_1[[#This Row],[Reference]]="Purchase order",_xll.AtlasFormulas.AtlasFunctions.AtlasTable("UAT",DataAreaId,"T.MarkupTrans","%CurrencyCode","","","","","","","MarkupCode|TransRecId|TransTableId","TPP",$L520,"492"),"")</f>
        <v/>
      </c>
      <c r="N520" s="4" t="str">
        <f>IF(AtlasReport_1_Table_1[[#This Row],[Reference]]="Purchase order",_xll.AtlasFormulas.AtlasFunctions.AtlasBalance("UAT",DataAreaId,"T.MarkupTrans","Sum|Posted|0","","","","","","","MarkupCode|TransTableId|TransRecId","TPP","492",$L520),"")</f>
        <v/>
      </c>
    </row>
    <row r="521" spans="1:14" x14ac:dyDescent="0.25">
      <c r="A521" s="8" t="s">
        <v>21</v>
      </c>
      <c r="B521" s="8" t="s">
        <v>1914</v>
      </c>
      <c r="C521" s="8" t="s">
        <v>194</v>
      </c>
      <c r="D521" s="8" t="s">
        <v>125</v>
      </c>
      <c r="E521" s="8" t="s">
        <v>261</v>
      </c>
      <c r="F521" s="8" t="s">
        <v>264</v>
      </c>
      <c r="G521" s="6">
        <v>43089</v>
      </c>
      <c r="H521" s="6">
        <v>43089</v>
      </c>
      <c r="I521" s="4">
        <v>-1.5</v>
      </c>
      <c r="J521" s="8" t="s">
        <v>38</v>
      </c>
      <c r="K521" s="8" t="s">
        <v>1953</v>
      </c>
      <c r="L521" s="4" t="str">
        <f>IF(AtlasReport_1_Table_1[[#This Row],[Reference]]="Purchase order",_xll.AtlasFormulas.AtlasFunctions.AtlasTable("UAT",DataAreaId,"T.VendInvoiceTrans","%RecId","","","","","","","ItemId|PurchID|InventTransId",$C521,$B521,$K521),"")</f>
        <v/>
      </c>
      <c r="M521" s="4" t="str">
        <f>IF(AtlasReport_1_Table_1[[#This Row],[Reference]]="Purchase order",_xll.AtlasFormulas.AtlasFunctions.AtlasTable("UAT",DataAreaId,"T.MarkupTrans","%CurrencyCode","","","","","","","MarkupCode|TransRecId|TransTableId","TPP",$L521,"492"),"")</f>
        <v/>
      </c>
      <c r="N521" s="4" t="str">
        <f>IF(AtlasReport_1_Table_1[[#This Row],[Reference]]="Purchase order",_xll.AtlasFormulas.AtlasFunctions.AtlasBalance("UAT",DataAreaId,"T.MarkupTrans","Sum|Posted|0","","","","","","","MarkupCode|TransTableId|TransRecId","TPP","492",$L521),"")</f>
        <v/>
      </c>
    </row>
    <row r="522" spans="1:14" x14ac:dyDescent="0.25">
      <c r="A522" s="8" t="s">
        <v>21</v>
      </c>
      <c r="B522" s="8" t="s">
        <v>1914</v>
      </c>
      <c r="C522" s="8" t="s">
        <v>194</v>
      </c>
      <c r="D522" s="8" t="s">
        <v>125</v>
      </c>
      <c r="E522" s="8" t="s">
        <v>261</v>
      </c>
      <c r="F522" s="8" t="s">
        <v>264</v>
      </c>
      <c r="G522" s="6">
        <v>43089</v>
      </c>
      <c r="H522" s="6">
        <v>43089</v>
      </c>
      <c r="I522" s="4">
        <v>-0.3</v>
      </c>
      <c r="J522" s="8" t="s">
        <v>38</v>
      </c>
      <c r="K522" s="8" t="s">
        <v>1954</v>
      </c>
      <c r="L522" s="4" t="str">
        <f>IF(AtlasReport_1_Table_1[[#This Row],[Reference]]="Purchase order",_xll.AtlasFormulas.AtlasFunctions.AtlasTable("UAT",DataAreaId,"T.VendInvoiceTrans","%RecId","","","","","","","ItemId|PurchID|InventTransId",$C522,$B522,$K522),"")</f>
        <v/>
      </c>
      <c r="M522" s="4" t="str">
        <f>IF(AtlasReport_1_Table_1[[#This Row],[Reference]]="Purchase order",_xll.AtlasFormulas.AtlasFunctions.AtlasTable("UAT",DataAreaId,"T.MarkupTrans","%CurrencyCode","","","","","","","MarkupCode|TransRecId|TransTableId","TPP",$L522,"492"),"")</f>
        <v/>
      </c>
      <c r="N522" s="4" t="str">
        <f>IF(AtlasReport_1_Table_1[[#This Row],[Reference]]="Purchase order",_xll.AtlasFormulas.AtlasFunctions.AtlasBalance("UAT",DataAreaId,"T.MarkupTrans","Sum|Posted|0","","","","","","","MarkupCode|TransTableId|TransRecId","TPP","492",$L522),"")</f>
        <v/>
      </c>
    </row>
    <row r="523" spans="1:14" x14ac:dyDescent="0.25">
      <c r="A523" s="8" t="s">
        <v>21</v>
      </c>
      <c r="B523" s="8" t="s">
        <v>1914</v>
      </c>
      <c r="C523" s="8" t="s">
        <v>142</v>
      </c>
      <c r="D523" s="8" t="s">
        <v>165</v>
      </c>
      <c r="E523" s="8" t="s">
        <v>261</v>
      </c>
      <c r="F523" s="8" t="s">
        <v>264</v>
      </c>
      <c r="G523" s="6">
        <v>43089</v>
      </c>
      <c r="H523" s="6">
        <v>43089</v>
      </c>
      <c r="I523" s="4">
        <v>-30</v>
      </c>
      <c r="J523" s="8" t="s">
        <v>38</v>
      </c>
      <c r="K523" s="8" t="s">
        <v>1955</v>
      </c>
      <c r="L523" s="4" t="str">
        <f>IF(AtlasReport_1_Table_1[[#This Row],[Reference]]="Purchase order",_xll.AtlasFormulas.AtlasFunctions.AtlasTable("UAT",DataAreaId,"T.VendInvoiceTrans","%RecId","","","","","","","ItemId|PurchID|InventTransId",$C523,$B523,$K523),"")</f>
        <v/>
      </c>
      <c r="M523" s="4" t="str">
        <f>IF(AtlasReport_1_Table_1[[#This Row],[Reference]]="Purchase order",_xll.AtlasFormulas.AtlasFunctions.AtlasTable("UAT",DataAreaId,"T.MarkupTrans","%CurrencyCode","","","","","","","MarkupCode|TransRecId|TransTableId","TPP",$L523,"492"),"")</f>
        <v/>
      </c>
      <c r="N523" s="4" t="str">
        <f>IF(AtlasReport_1_Table_1[[#This Row],[Reference]]="Purchase order",_xll.AtlasFormulas.AtlasFunctions.AtlasBalance("UAT",DataAreaId,"T.MarkupTrans","Sum|Posted|0","","","","","","","MarkupCode|TransTableId|TransRecId","TPP","492",$L523),"")</f>
        <v/>
      </c>
    </row>
    <row r="524" spans="1:14" x14ac:dyDescent="0.25">
      <c r="A524" s="8" t="s">
        <v>21</v>
      </c>
      <c r="B524" s="8" t="s">
        <v>1914</v>
      </c>
      <c r="C524" s="8" t="s">
        <v>142</v>
      </c>
      <c r="D524" s="8" t="s">
        <v>165</v>
      </c>
      <c r="E524" s="8" t="s">
        <v>261</v>
      </c>
      <c r="F524" s="8" t="s">
        <v>264</v>
      </c>
      <c r="G524" s="6">
        <v>43089</v>
      </c>
      <c r="H524" s="6">
        <v>43089</v>
      </c>
      <c r="I524" s="4">
        <v>-7.5</v>
      </c>
      <c r="J524" s="8" t="s">
        <v>38</v>
      </c>
      <c r="K524" s="8" t="s">
        <v>1956</v>
      </c>
      <c r="L524" s="4" t="str">
        <f>IF(AtlasReport_1_Table_1[[#This Row],[Reference]]="Purchase order",_xll.AtlasFormulas.AtlasFunctions.AtlasTable("UAT",DataAreaId,"T.VendInvoiceTrans","%RecId","","","","","","","ItemId|PurchID|InventTransId",$C524,$B524,$K524),"")</f>
        <v/>
      </c>
      <c r="M524" s="4" t="str">
        <f>IF(AtlasReport_1_Table_1[[#This Row],[Reference]]="Purchase order",_xll.AtlasFormulas.AtlasFunctions.AtlasTable("UAT",DataAreaId,"T.MarkupTrans","%CurrencyCode","","","","","","","MarkupCode|TransRecId|TransTableId","TPP",$L524,"492"),"")</f>
        <v/>
      </c>
      <c r="N524" s="4" t="str">
        <f>IF(AtlasReport_1_Table_1[[#This Row],[Reference]]="Purchase order",_xll.AtlasFormulas.AtlasFunctions.AtlasBalance("UAT",DataAreaId,"T.MarkupTrans","Sum|Posted|0","","","","","","","MarkupCode|TransTableId|TransRecId","TPP","492",$L524),"")</f>
        <v/>
      </c>
    </row>
    <row r="525" spans="1:14" x14ac:dyDescent="0.25">
      <c r="A525" s="8" t="s">
        <v>21</v>
      </c>
      <c r="B525" s="8" t="s">
        <v>1914</v>
      </c>
      <c r="C525" s="8" t="s">
        <v>142</v>
      </c>
      <c r="D525" s="8" t="s">
        <v>165</v>
      </c>
      <c r="E525" s="8" t="s">
        <v>261</v>
      </c>
      <c r="F525" s="8" t="s">
        <v>264</v>
      </c>
      <c r="G525" s="6">
        <v>43089</v>
      </c>
      <c r="H525" s="6">
        <v>43089</v>
      </c>
      <c r="I525" s="4">
        <v>-30</v>
      </c>
      <c r="J525" s="8" t="s">
        <v>38</v>
      </c>
      <c r="K525" s="8" t="s">
        <v>1957</v>
      </c>
      <c r="L525" s="4" t="str">
        <f>IF(AtlasReport_1_Table_1[[#This Row],[Reference]]="Purchase order",_xll.AtlasFormulas.AtlasFunctions.AtlasTable("UAT",DataAreaId,"T.VendInvoiceTrans","%RecId","","","","","","","ItemId|PurchID|InventTransId",$C525,$B525,$K525),"")</f>
        <v/>
      </c>
      <c r="M525" s="4" t="str">
        <f>IF(AtlasReport_1_Table_1[[#This Row],[Reference]]="Purchase order",_xll.AtlasFormulas.AtlasFunctions.AtlasTable("UAT",DataAreaId,"T.MarkupTrans","%CurrencyCode","","","","","","","MarkupCode|TransRecId|TransTableId","TPP",$L525,"492"),"")</f>
        <v/>
      </c>
      <c r="N525" s="4" t="str">
        <f>IF(AtlasReport_1_Table_1[[#This Row],[Reference]]="Purchase order",_xll.AtlasFormulas.AtlasFunctions.AtlasBalance("UAT",DataAreaId,"T.MarkupTrans","Sum|Posted|0","","","","","","","MarkupCode|TransTableId|TransRecId","TPP","492",$L525),"")</f>
        <v/>
      </c>
    </row>
    <row r="526" spans="1:14" x14ac:dyDescent="0.25">
      <c r="A526" s="8" t="s">
        <v>21</v>
      </c>
      <c r="B526" s="8" t="s">
        <v>1958</v>
      </c>
      <c r="C526" s="8" t="s">
        <v>323</v>
      </c>
      <c r="D526" s="8" t="s">
        <v>672</v>
      </c>
      <c r="E526" s="8" t="s">
        <v>261</v>
      </c>
      <c r="F526" s="8" t="s">
        <v>264</v>
      </c>
      <c r="G526" s="6">
        <v>43089</v>
      </c>
      <c r="H526" s="6">
        <v>43089</v>
      </c>
      <c r="I526" s="4">
        <v>-36</v>
      </c>
      <c r="J526" s="8" t="s">
        <v>37</v>
      </c>
      <c r="K526" s="8" t="s">
        <v>1959</v>
      </c>
      <c r="L526" s="4" t="str">
        <f>IF(AtlasReport_1_Table_1[[#This Row],[Reference]]="Purchase order",_xll.AtlasFormulas.AtlasFunctions.AtlasTable("UAT",DataAreaId,"T.VendInvoiceTrans","%RecId","","","","","","","ItemId|PurchID|InventTransId",$C526,$B526,$K526),"")</f>
        <v/>
      </c>
      <c r="M526" s="4" t="str">
        <f>IF(AtlasReport_1_Table_1[[#This Row],[Reference]]="Purchase order",_xll.AtlasFormulas.AtlasFunctions.AtlasTable("UAT",DataAreaId,"T.MarkupTrans","%CurrencyCode","","","","","","","MarkupCode|TransRecId|TransTableId","TPP",$L526,"492"),"")</f>
        <v/>
      </c>
      <c r="N526" s="4" t="str">
        <f>IF(AtlasReport_1_Table_1[[#This Row],[Reference]]="Purchase order",_xll.AtlasFormulas.AtlasFunctions.AtlasBalance("UAT",DataAreaId,"T.MarkupTrans","Sum|Posted|0","","","","","","","MarkupCode|TransTableId|TransRecId","TPP","492",$L526),"")</f>
        <v/>
      </c>
    </row>
    <row r="527" spans="1:14" x14ac:dyDescent="0.25">
      <c r="A527" s="8" t="s">
        <v>21</v>
      </c>
      <c r="B527" s="8" t="s">
        <v>1958</v>
      </c>
      <c r="C527" s="8" t="s">
        <v>326</v>
      </c>
      <c r="D527" s="8" t="s">
        <v>1053</v>
      </c>
      <c r="E527" s="8" t="s">
        <v>261</v>
      </c>
      <c r="F527" s="8" t="s">
        <v>264</v>
      </c>
      <c r="G527" s="6">
        <v>43089</v>
      </c>
      <c r="H527" s="6">
        <v>43089</v>
      </c>
      <c r="I527" s="4">
        <v>-170</v>
      </c>
      <c r="J527" s="8" t="s">
        <v>37</v>
      </c>
      <c r="K527" s="8" t="s">
        <v>1960</v>
      </c>
      <c r="L527" s="4" t="str">
        <f>IF(AtlasReport_1_Table_1[[#This Row],[Reference]]="Purchase order",_xll.AtlasFormulas.AtlasFunctions.AtlasTable("UAT",DataAreaId,"T.VendInvoiceTrans","%RecId","","","","","","","ItemId|PurchID|InventTransId",$C527,$B527,$K527),"")</f>
        <v/>
      </c>
      <c r="M527" s="4" t="str">
        <f>IF(AtlasReport_1_Table_1[[#This Row],[Reference]]="Purchase order",_xll.AtlasFormulas.AtlasFunctions.AtlasTable("UAT",DataAreaId,"T.MarkupTrans","%CurrencyCode","","","","","","","MarkupCode|TransRecId|TransTableId","TPP",$L527,"492"),"")</f>
        <v/>
      </c>
      <c r="N527" s="4" t="str">
        <f>IF(AtlasReport_1_Table_1[[#This Row],[Reference]]="Purchase order",_xll.AtlasFormulas.AtlasFunctions.AtlasBalance("UAT",DataAreaId,"T.MarkupTrans","Sum|Posted|0","","","","","","","MarkupCode|TransTableId|TransRecId","TPP","492",$L527),"")</f>
        <v/>
      </c>
    </row>
    <row r="528" spans="1:14" x14ac:dyDescent="0.25">
      <c r="A528" s="8" t="s">
        <v>21</v>
      </c>
      <c r="B528" s="8" t="s">
        <v>1958</v>
      </c>
      <c r="C528" s="8" t="s">
        <v>332</v>
      </c>
      <c r="D528" s="8" t="s">
        <v>680</v>
      </c>
      <c r="E528" s="8" t="s">
        <v>261</v>
      </c>
      <c r="F528" s="8" t="s">
        <v>264</v>
      </c>
      <c r="G528" s="6">
        <v>43089</v>
      </c>
      <c r="H528" s="6">
        <v>43089</v>
      </c>
      <c r="I528" s="4">
        <v>-6</v>
      </c>
      <c r="J528" s="8" t="s">
        <v>37</v>
      </c>
      <c r="K528" s="8" t="s">
        <v>1961</v>
      </c>
      <c r="L528" s="4" t="str">
        <f>IF(AtlasReport_1_Table_1[[#This Row],[Reference]]="Purchase order",_xll.AtlasFormulas.AtlasFunctions.AtlasTable("UAT",DataAreaId,"T.VendInvoiceTrans","%RecId","","","","","","","ItemId|PurchID|InventTransId",$C528,$B528,$K528),"")</f>
        <v/>
      </c>
      <c r="M528" s="4" t="str">
        <f>IF(AtlasReport_1_Table_1[[#This Row],[Reference]]="Purchase order",_xll.AtlasFormulas.AtlasFunctions.AtlasTable("UAT",DataAreaId,"T.MarkupTrans","%CurrencyCode","","","","","","","MarkupCode|TransRecId|TransTableId","TPP",$L528,"492"),"")</f>
        <v/>
      </c>
      <c r="N528" s="4" t="str">
        <f>IF(AtlasReport_1_Table_1[[#This Row],[Reference]]="Purchase order",_xll.AtlasFormulas.AtlasFunctions.AtlasBalance("UAT",DataAreaId,"T.MarkupTrans","Sum|Posted|0","","","","","","","MarkupCode|TransTableId|TransRecId","TPP","492",$L528),"")</f>
        <v/>
      </c>
    </row>
    <row r="529" spans="1:14" x14ac:dyDescent="0.25">
      <c r="A529" s="8" t="s">
        <v>21</v>
      </c>
      <c r="B529" s="8" t="s">
        <v>1958</v>
      </c>
      <c r="C529" s="8" t="s">
        <v>333</v>
      </c>
      <c r="D529" s="8" t="s">
        <v>682</v>
      </c>
      <c r="E529" s="8" t="s">
        <v>261</v>
      </c>
      <c r="F529" s="8" t="s">
        <v>264</v>
      </c>
      <c r="G529" s="6">
        <v>43089</v>
      </c>
      <c r="H529" s="6">
        <v>43089</v>
      </c>
      <c r="I529" s="4">
        <v>-1</v>
      </c>
      <c r="J529" s="8" t="s">
        <v>37</v>
      </c>
      <c r="K529" s="8" t="s">
        <v>1962</v>
      </c>
      <c r="L529" s="4" t="str">
        <f>IF(AtlasReport_1_Table_1[[#This Row],[Reference]]="Purchase order",_xll.AtlasFormulas.AtlasFunctions.AtlasTable("UAT",DataAreaId,"T.VendInvoiceTrans","%RecId","","","","","","","ItemId|PurchID|InventTransId",$C529,$B529,$K529),"")</f>
        <v/>
      </c>
      <c r="M529" s="4" t="str">
        <f>IF(AtlasReport_1_Table_1[[#This Row],[Reference]]="Purchase order",_xll.AtlasFormulas.AtlasFunctions.AtlasTable("UAT",DataAreaId,"T.MarkupTrans","%CurrencyCode","","","","","","","MarkupCode|TransRecId|TransTableId","TPP",$L529,"492"),"")</f>
        <v/>
      </c>
      <c r="N529" s="4" t="str">
        <f>IF(AtlasReport_1_Table_1[[#This Row],[Reference]]="Purchase order",_xll.AtlasFormulas.AtlasFunctions.AtlasBalance("UAT",DataAreaId,"T.MarkupTrans","Sum|Posted|0","","","","","","","MarkupCode|TransTableId|TransRecId","TPP","492",$L529),"")</f>
        <v/>
      </c>
    </row>
    <row r="530" spans="1:14" x14ac:dyDescent="0.25">
      <c r="A530" s="8" t="s">
        <v>21</v>
      </c>
      <c r="B530" s="8" t="s">
        <v>1958</v>
      </c>
      <c r="C530" s="8" t="s">
        <v>339</v>
      </c>
      <c r="D530" s="8" t="s">
        <v>684</v>
      </c>
      <c r="E530" s="8" t="s">
        <v>261</v>
      </c>
      <c r="F530" s="8" t="s">
        <v>264</v>
      </c>
      <c r="G530" s="6">
        <v>43089</v>
      </c>
      <c r="H530" s="6">
        <v>43089</v>
      </c>
      <c r="I530" s="4">
        <v>-1</v>
      </c>
      <c r="J530" s="8" t="s">
        <v>37</v>
      </c>
      <c r="K530" s="8" t="s">
        <v>1963</v>
      </c>
      <c r="L530" s="4" t="str">
        <f>IF(AtlasReport_1_Table_1[[#This Row],[Reference]]="Purchase order",_xll.AtlasFormulas.AtlasFunctions.AtlasTable("UAT",DataAreaId,"T.VendInvoiceTrans","%RecId","","","","","","","ItemId|PurchID|InventTransId",$C530,$B530,$K530),"")</f>
        <v/>
      </c>
      <c r="M530" s="4" t="str">
        <f>IF(AtlasReport_1_Table_1[[#This Row],[Reference]]="Purchase order",_xll.AtlasFormulas.AtlasFunctions.AtlasTable("UAT",DataAreaId,"T.MarkupTrans","%CurrencyCode","","","","","","","MarkupCode|TransRecId|TransTableId","TPP",$L530,"492"),"")</f>
        <v/>
      </c>
      <c r="N530" s="4" t="str">
        <f>IF(AtlasReport_1_Table_1[[#This Row],[Reference]]="Purchase order",_xll.AtlasFormulas.AtlasFunctions.AtlasBalance("UAT",DataAreaId,"T.MarkupTrans","Sum|Posted|0","","","","","","","MarkupCode|TransTableId|TransRecId","TPP","492",$L530),"")</f>
        <v/>
      </c>
    </row>
    <row r="531" spans="1:14" x14ac:dyDescent="0.25">
      <c r="A531" s="8" t="s">
        <v>21</v>
      </c>
      <c r="B531" s="8" t="s">
        <v>1958</v>
      </c>
      <c r="C531" s="8" t="s">
        <v>341</v>
      </c>
      <c r="D531" s="8" t="s">
        <v>686</v>
      </c>
      <c r="E531" s="8" t="s">
        <v>261</v>
      </c>
      <c r="F531" s="8" t="s">
        <v>264</v>
      </c>
      <c r="G531" s="6">
        <v>43089</v>
      </c>
      <c r="H531" s="6">
        <v>43089</v>
      </c>
      <c r="I531" s="4">
        <v>-6</v>
      </c>
      <c r="J531" s="8" t="s">
        <v>37</v>
      </c>
      <c r="K531" s="8" t="s">
        <v>1964</v>
      </c>
      <c r="L531" s="4" t="str">
        <f>IF(AtlasReport_1_Table_1[[#This Row],[Reference]]="Purchase order",_xll.AtlasFormulas.AtlasFunctions.AtlasTable("UAT",DataAreaId,"T.VendInvoiceTrans","%RecId","","","","","","","ItemId|PurchID|InventTransId",$C531,$B531,$K531),"")</f>
        <v/>
      </c>
      <c r="M531" s="4" t="str">
        <f>IF(AtlasReport_1_Table_1[[#This Row],[Reference]]="Purchase order",_xll.AtlasFormulas.AtlasFunctions.AtlasTable("UAT",DataAreaId,"T.MarkupTrans","%CurrencyCode","","","","","","","MarkupCode|TransRecId|TransTableId","TPP",$L531,"492"),"")</f>
        <v/>
      </c>
      <c r="N531" s="4" t="str">
        <f>IF(AtlasReport_1_Table_1[[#This Row],[Reference]]="Purchase order",_xll.AtlasFormulas.AtlasFunctions.AtlasBalance("UAT",DataAreaId,"T.MarkupTrans","Sum|Posted|0","","","","","","","MarkupCode|TransTableId|TransRecId","TPP","492",$L531),"")</f>
        <v/>
      </c>
    </row>
    <row r="532" spans="1:14" x14ac:dyDescent="0.25">
      <c r="A532" s="8" t="s">
        <v>21</v>
      </c>
      <c r="B532" s="8" t="s">
        <v>1958</v>
      </c>
      <c r="C532" s="8" t="s">
        <v>342</v>
      </c>
      <c r="D532" s="8" t="s">
        <v>688</v>
      </c>
      <c r="E532" s="8" t="s">
        <v>261</v>
      </c>
      <c r="F532" s="8" t="s">
        <v>264</v>
      </c>
      <c r="G532" s="6">
        <v>43089</v>
      </c>
      <c r="H532" s="6">
        <v>43089</v>
      </c>
      <c r="I532" s="4">
        <v>-6</v>
      </c>
      <c r="J532" s="8" t="s">
        <v>37</v>
      </c>
      <c r="K532" s="8" t="s">
        <v>1965</v>
      </c>
      <c r="L532" s="4" t="str">
        <f>IF(AtlasReport_1_Table_1[[#This Row],[Reference]]="Purchase order",_xll.AtlasFormulas.AtlasFunctions.AtlasTable("UAT",DataAreaId,"T.VendInvoiceTrans","%RecId","","","","","","","ItemId|PurchID|InventTransId",$C532,$B532,$K532),"")</f>
        <v/>
      </c>
      <c r="M532" s="4" t="str">
        <f>IF(AtlasReport_1_Table_1[[#This Row],[Reference]]="Purchase order",_xll.AtlasFormulas.AtlasFunctions.AtlasTable("UAT",DataAreaId,"T.MarkupTrans","%CurrencyCode","","","","","","","MarkupCode|TransRecId|TransTableId","TPP",$L532,"492"),"")</f>
        <v/>
      </c>
      <c r="N532" s="4" t="str">
        <f>IF(AtlasReport_1_Table_1[[#This Row],[Reference]]="Purchase order",_xll.AtlasFormulas.AtlasFunctions.AtlasBalance("UAT",DataAreaId,"T.MarkupTrans","Sum|Posted|0","","","","","","","MarkupCode|TransTableId|TransRecId","TPP","492",$L532),"")</f>
        <v/>
      </c>
    </row>
    <row r="533" spans="1:14" x14ac:dyDescent="0.25">
      <c r="A533" s="8" t="s">
        <v>21</v>
      </c>
      <c r="B533" s="8" t="s">
        <v>1958</v>
      </c>
      <c r="C533" s="8" t="s">
        <v>345</v>
      </c>
      <c r="D533" s="8" t="s">
        <v>690</v>
      </c>
      <c r="E533" s="8" t="s">
        <v>261</v>
      </c>
      <c r="F533" s="8" t="s">
        <v>264</v>
      </c>
      <c r="G533" s="6">
        <v>43089</v>
      </c>
      <c r="H533" s="6">
        <v>43089</v>
      </c>
      <c r="I533" s="4">
        <v>-6</v>
      </c>
      <c r="J533" s="8" t="s">
        <v>37</v>
      </c>
      <c r="K533" s="8" t="s">
        <v>1966</v>
      </c>
      <c r="L533" s="4" t="str">
        <f>IF(AtlasReport_1_Table_1[[#This Row],[Reference]]="Purchase order",_xll.AtlasFormulas.AtlasFunctions.AtlasTable("UAT",DataAreaId,"T.VendInvoiceTrans","%RecId","","","","","","","ItemId|PurchID|InventTransId",$C533,$B533,$K533),"")</f>
        <v/>
      </c>
      <c r="M533" s="4" t="str">
        <f>IF(AtlasReport_1_Table_1[[#This Row],[Reference]]="Purchase order",_xll.AtlasFormulas.AtlasFunctions.AtlasTable("UAT",DataAreaId,"T.MarkupTrans","%CurrencyCode","","","","","","","MarkupCode|TransRecId|TransTableId","TPP",$L533,"492"),"")</f>
        <v/>
      </c>
      <c r="N533" s="4" t="str">
        <f>IF(AtlasReport_1_Table_1[[#This Row],[Reference]]="Purchase order",_xll.AtlasFormulas.AtlasFunctions.AtlasBalance("UAT",DataAreaId,"T.MarkupTrans","Sum|Posted|0","","","","","","","MarkupCode|TransTableId|TransRecId","TPP","492",$L533),"")</f>
        <v/>
      </c>
    </row>
    <row r="534" spans="1:14" x14ac:dyDescent="0.25">
      <c r="A534" s="8" t="s">
        <v>21</v>
      </c>
      <c r="B534" s="8" t="s">
        <v>1967</v>
      </c>
      <c r="C534" s="8" t="s">
        <v>278</v>
      </c>
      <c r="D534" s="8" t="s">
        <v>986</v>
      </c>
      <c r="E534" s="8" t="s">
        <v>261</v>
      </c>
      <c r="F534" s="8" t="s">
        <v>264</v>
      </c>
      <c r="G534" s="6">
        <v>43089</v>
      </c>
      <c r="H534" s="6">
        <v>43089</v>
      </c>
      <c r="I534" s="4">
        <v>11.81</v>
      </c>
      <c r="J534" s="8" t="s">
        <v>39</v>
      </c>
      <c r="K534" s="8" t="s">
        <v>1968</v>
      </c>
      <c r="L534" s="4" t="str">
        <f>IF(AtlasReport_1_Table_1[[#This Row],[Reference]]="Purchase order",_xll.AtlasFormulas.AtlasFunctions.AtlasTable("UAT",DataAreaId,"T.VendInvoiceTrans","%RecId","","","","","","","ItemId|PurchID|InventTransId",$C534,$B534,$K534),"")</f>
        <v/>
      </c>
      <c r="M534" s="4" t="str">
        <f>IF(AtlasReport_1_Table_1[[#This Row],[Reference]]="Purchase order",_xll.AtlasFormulas.AtlasFunctions.AtlasTable("UAT",DataAreaId,"T.MarkupTrans","%CurrencyCode","","","","","","","MarkupCode|TransRecId|TransTableId","TPP",$L534,"492"),"")</f>
        <v/>
      </c>
      <c r="N534" s="4" t="str">
        <f>IF(AtlasReport_1_Table_1[[#This Row],[Reference]]="Purchase order",_xll.AtlasFormulas.AtlasFunctions.AtlasBalance("UAT",DataAreaId,"T.MarkupTrans","Sum|Posted|0","","","","","","","MarkupCode|TransTableId|TransRecId","TPP","492",$L534),"")</f>
        <v/>
      </c>
    </row>
    <row r="535" spans="1:14" x14ac:dyDescent="0.25">
      <c r="A535" s="8" t="s">
        <v>21</v>
      </c>
      <c r="B535" s="8" t="s">
        <v>1967</v>
      </c>
      <c r="C535" s="8" t="s">
        <v>286</v>
      </c>
      <c r="D535" s="8" t="s">
        <v>608</v>
      </c>
      <c r="E535" s="8" t="s">
        <v>261</v>
      </c>
      <c r="F535" s="8" t="s">
        <v>264</v>
      </c>
      <c r="G535" s="6">
        <v>43089</v>
      </c>
      <c r="H535" s="6">
        <v>43089</v>
      </c>
      <c r="I535" s="4">
        <v>-1</v>
      </c>
      <c r="J535" s="8" t="s">
        <v>37</v>
      </c>
      <c r="K535" s="8" t="s">
        <v>1969</v>
      </c>
      <c r="L535" s="4" t="str">
        <f>IF(AtlasReport_1_Table_1[[#This Row],[Reference]]="Purchase order",_xll.AtlasFormulas.AtlasFunctions.AtlasTable("UAT",DataAreaId,"T.VendInvoiceTrans","%RecId","","","","","","","ItemId|PurchID|InventTransId",$C535,$B535,$K535),"")</f>
        <v/>
      </c>
      <c r="M535" s="4" t="str">
        <f>IF(AtlasReport_1_Table_1[[#This Row],[Reference]]="Purchase order",_xll.AtlasFormulas.AtlasFunctions.AtlasTable("UAT",DataAreaId,"T.MarkupTrans","%CurrencyCode","","","","","","","MarkupCode|TransRecId|TransTableId","TPP",$L535,"492"),"")</f>
        <v/>
      </c>
      <c r="N535" s="4" t="str">
        <f>IF(AtlasReport_1_Table_1[[#This Row],[Reference]]="Purchase order",_xll.AtlasFormulas.AtlasFunctions.AtlasBalance("UAT",DataAreaId,"T.MarkupTrans","Sum|Posted|0","","","","","","","MarkupCode|TransTableId|TransRecId","TPP","492",$L535),"")</f>
        <v/>
      </c>
    </row>
    <row r="536" spans="1:14" x14ac:dyDescent="0.25">
      <c r="A536" s="8" t="s">
        <v>21</v>
      </c>
      <c r="B536" s="8" t="s">
        <v>1967</v>
      </c>
      <c r="C536" s="8" t="s">
        <v>53</v>
      </c>
      <c r="D536" s="8" t="s">
        <v>997</v>
      </c>
      <c r="E536" s="8" t="s">
        <v>261</v>
      </c>
      <c r="F536" s="8" t="s">
        <v>264</v>
      </c>
      <c r="G536" s="6">
        <v>43089</v>
      </c>
      <c r="H536" s="6">
        <v>43089</v>
      </c>
      <c r="I536" s="4">
        <v>14</v>
      </c>
      <c r="J536" s="8" t="s">
        <v>37</v>
      </c>
      <c r="K536" s="8" t="s">
        <v>1970</v>
      </c>
      <c r="L536" s="4" t="str">
        <f>IF(AtlasReport_1_Table_1[[#This Row],[Reference]]="Purchase order",_xll.AtlasFormulas.AtlasFunctions.AtlasTable("UAT",DataAreaId,"T.VendInvoiceTrans","%RecId","","","","","","","ItemId|PurchID|InventTransId",$C536,$B536,$K536),"")</f>
        <v/>
      </c>
      <c r="M536" s="4" t="str">
        <f>IF(AtlasReport_1_Table_1[[#This Row],[Reference]]="Purchase order",_xll.AtlasFormulas.AtlasFunctions.AtlasTable("UAT",DataAreaId,"T.MarkupTrans","%CurrencyCode","","","","","","","MarkupCode|TransRecId|TransTableId","TPP",$L536,"492"),"")</f>
        <v/>
      </c>
      <c r="N536" s="4" t="str">
        <f>IF(AtlasReport_1_Table_1[[#This Row],[Reference]]="Purchase order",_xll.AtlasFormulas.AtlasFunctions.AtlasBalance("UAT",DataAreaId,"T.MarkupTrans","Sum|Posted|0","","","","","","","MarkupCode|TransTableId|TransRecId","TPP","492",$L536),"")</f>
        <v/>
      </c>
    </row>
    <row r="537" spans="1:14" x14ac:dyDescent="0.25">
      <c r="A537" s="8" t="s">
        <v>21</v>
      </c>
      <c r="B537" s="8" t="s">
        <v>1967</v>
      </c>
      <c r="C537" s="8" t="s">
        <v>299</v>
      </c>
      <c r="D537" s="8" t="s">
        <v>1019</v>
      </c>
      <c r="E537" s="8" t="s">
        <v>261</v>
      </c>
      <c r="F537" s="8" t="s">
        <v>264</v>
      </c>
      <c r="G537" s="6">
        <v>43089</v>
      </c>
      <c r="H537" s="6">
        <v>43089</v>
      </c>
      <c r="I537" s="4">
        <v>-1</v>
      </c>
      <c r="J537" s="8" t="s">
        <v>37</v>
      </c>
      <c r="K537" s="8" t="s">
        <v>1971</v>
      </c>
      <c r="L537" s="4" t="str">
        <f>IF(AtlasReport_1_Table_1[[#This Row],[Reference]]="Purchase order",_xll.AtlasFormulas.AtlasFunctions.AtlasTable("UAT",DataAreaId,"T.VendInvoiceTrans","%RecId","","","","","","","ItemId|PurchID|InventTransId",$C537,$B537,$K537),"")</f>
        <v/>
      </c>
      <c r="M537" s="4" t="str">
        <f>IF(AtlasReport_1_Table_1[[#This Row],[Reference]]="Purchase order",_xll.AtlasFormulas.AtlasFunctions.AtlasTable("UAT",DataAreaId,"T.MarkupTrans","%CurrencyCode","","","","","","","MarkupCode|TransRecId|TransTableId","TPP",$L537,"492"),"")</f>
        <v/>
      </c>
      <c r="N537" s="4" t="str">
        <f>IF(AtlasReport_1_Table_1[[#This Row],[Reference]]="Purchase order",_xll.AtlasFormulas.AtlasFunctions.AtlasBalance("UAT",DataAreaId,"T.MarkupTrans","Sum|Posted|0","","","","","","","MarkupCode|TransTableId|TransRecId","TPP","492",$L537),"")</f>
        <v/>
      </c>
    </row>
    <row r="538" spans="1:14" x14ac:dyDescent="0.25">
      <c r="A538" s="8" t="s">
        <v>21</v>
      </c>
      <c r="B538" s="8" t="s">
        <v>1967</v>
      </c>
      <c r="C538" s="8" t="s">
        <v>301</v>
      </c>
      <c r="D538" s="8" t="s">
        <v>1021</v>
      </c>
      <c r="E538" s="8" t="s">
        <v>261</v>
      </c>
      <c r="F538" s="8" t="s">
        <v>264</v>
      </c>
      <c r="G538" s="6">
        <v>43089</v>
      </c>
      <c r="H538" s="6">
        <v>43089</v>
      </c>
      <c r="I538" s="4">
        <v>-1</v>
      </c>
      <c r="J538" s="8" t="s">
        <v>37</v>
      </c>
      <c r="K538" s="8" t="s">
        <v>1972</v>
      </c>
      <c r="L538" s="4" t="str">
        <f>IF(AtlasReport_1_Table_1[[#This Row],[Reference]]="Purchase order",_xll.AtlasFormulas.AtlasFunctions.AtlasTable("UAT",DataAreaId,"T.VendInvoiceTrans","%RecId","","","","","","","ItemId|PurchID|InventTransId",$C538,$B538,$K538),"")</f>
        <v/>
      </c>
      <c r="M538" s="4" t="str">
        <f>IF(AtlasReport_1_Table_1[[#This Row],[Reference]]="Purchase order",_xll.AtlasFormulas.AtlasFunctions.AtlasTable("UAT",DataAreaId,"T.MarkupTrans","%CurrencyCode","","","","","","","MarkupCode|TransRecId|TransTableId","TPP",$L538,"492"),"")</f>
        <v/>
      </c>
      <c r="N538" s="4" t="str">
        <f>IF(AtlasReport_1_Table_1[[#This Row],[Reference]]="Purchase order",_xll.AtlasFormulas.AtlasFunctions.AtlasBalance("UAT",DataAreaId,"T.MarkupTrans","Sum|Posted|0","","","","","","","MarkupCode|TransTableId|TransRecId","TPP","492",$L538),"")</f>
        <v/>
      </c>
    </row>
    <row r="539" spans="1:14" x14ac:dyDescent="0.25">
      <c r="A539" s="8" t="s">
        <v>21</v>
      </c>
      <c r="B539" s="8" t="s">
        <v>1967</v>
      </c>
      <c r="C539" s="8" t="s">
        <v>303</v>
      </c>
      <c r="D539" s="8" t="s">
        <v>612</v>
      </c>
      <c r="E539" s="8" t="s">
        <v>261</v>
      </c>
      <c r="F539" s="8" t="s">
        <v>264</v>
      </c>
      <c r="G539" s="6">
        <v>43089</v>
      </c>
      <c r="H539" s="6">
        <v>43089</v>
      </c>
      <c r="I539" s="4">
        <v>-1</v>
      </c>
      <c r="J539" s="8" t="s">
        <v>37</v>
      </c>
      <c r="K539" s="8" t="s">
        <v>1973</v>
      </c>
      <c r="L539" s="4" t="str">
        <f>IF(AtlasReport_1_Table_1[[#This Row],[Reference]]="Purchase order",_xll.AtlasFormulas.AtlasFunctions.AtlasTable("UAT",DataAreaId,"T.VendInvoiceTrans","%RecId","","","","","","","ItemId|PurchID|InventTransId",$C539,$B539,$K539),"")</f>
        <v/>
      </c>
      <c r="M539" s="4" t="str">
        <f>IF(AtlasReport_1_Table_1[[#This Row],[Reference]]="Purchase order",_xll.AtlasFormulas.AtlasFunctions.AtlasTable("UAT",DataAreaId,"T.MarkupTrans","%CurrencyCode","","","","","","","MarkupCode|TransRecId|TransTableId","TPP",$L539,"492"),"")</f>
        <v/>
      </c>
      <c r="N539" s="4" t="str">
        <f>IF(AtlasReport_1_Table_1[[#This Row],[Reference]]="Purchase order",_xll.AtlasFormulas.AtlasFunctions.AtlasBalance("UAT",DataAreaId,"T.MarkupTrans","Sum|Posted|0","","","","","","","MarkupCode|TransTableId|TransRecId","TPP","492",$L539),"")</f>
        <v/>
      </c>
    </row>
    <row r="540" spans="1:14" x14ac:dyDescent="0.25">
      <c r="A540" s="8" t="s">
        <v>21</v>
      </c>
      <c r="B540" s="8" t="s">
        <v>1967</v>
      </c>
      <c r="C540" s="8" t="s">
        <v>140</v>
      </c>
      <c r="D540" s="8" t="s">
        <v>1026</v>
      </c>
      <c r="E540" s="8" t="s">
        <v>261</v>
      </c>
      <c r="F540" s="8" t="s">
        <v>264</v>
      </c>
      <c r="G540" s="6">
        <v>43089</v>
      </c>
      <c r="H540" s="6">
        <v>43089</v>
      </c>
      <c r="I540" s="4">
        <v>24</v>
      </c>
      <c r="J540" s="8" t="s">
        <v>37</v>
      </c>
      <c r="K540" s="8" t="s">
        <v>1974</v>
      </c>
      <c r="L540" s="4" t="str">
        <f>IF(AtlasReport_1_Table_1[[#This Row],[Reference]]="Purchase order",_xll.AtlasFormulas.AtlasFunctions.AtlasTable("UAT",DataAreaId,"T.VendInvoiceTrans","%RecId","","","","","","","ItemId|PurchID|InventTransId",$C540,$B540,$K540),"")</f>
        <v/>
      </c>
      <c r="M540" s="4" t="str">
        <f>IF(AtlasReport_1_Table_1[[#This Row],[Reference]]="Purchase order",_xll.AtlasFormulas.AtlasFunctions.AtlasTable("UAT",DataAreaId,"T.MarkupTrans","%CurrencyCode","","","","","","","MarkupCode|TransRecId|TransTableId","TPP",$L540,"492"),"")</f>
        <v/>
      </c>
      <c r="N540" s="4" t="str">
        <f>IF(AtlasReport_1_Table_1[[#This Row],[Reference]]="Purchase order",_xll.AtlasFormulas.AtlasFunctions.AtlasBalance("UAT",DataAreaId,"T.MarkupTrans","Sum|Posted|0","","","","","","","MarkupCode|TransTableId|TransRecId","TPP","492",$L540),"")</f>
        <v/>
      </c>
    </row>
    <row r="541" spans="1:14" x14ac:dyDescent="0.25">
      <c r="A541" s="8" t="s">
        <v>21</v>
      </c>
      <c r="B541" s="8" t="s">
        <v>1967</v>
      </c>
      <c r="C541" s="8" t="s">
        <v>119</v>
      </c>
      <c r="D541" s="8" t="s">
        <v>1027</v>
      </c>
      <c r="E541" s="8" t="s">
        <v>261</v>
      </c>
      <c r="F541" s="8" t="s">
        <v>264</v>
      </c>
      <c r="G541" s="6">
        <v>43089</v>
      </c>
      <c r="H541" s="6">
        <v>43089</v>
      </c>
      <c r="I541" s="4">
        <v>-15</v>
      </c>
      <c r="J541" s="8" t="s">
        <v>37</v>
      </c>
      <c r="K541" s="8" t="s">
        <v>1975</v>
      </c>
      <c r="L541" s="4" t="str">
        <f>IF(AtlasReport_1_Table_1[[#This Row],[Reference]]="Purchase order",_xll.AtlasFormulas.AtlasFunctions.AtlasTable("UAT",DataAreaId,"T.VendInvoiceTrans","%RecId","","","","","","","ItemId|PurchID|InventTransId",$C541,$B541,$K541),"")</f>
        <v/>
      </c>
      <c r="M541" s="4" t="str">
        <f>IF(AtlasReport_1_Table_1[[#This Row],[Reference]]="Purchase order",_xll.AtlasFormulas.AtlasFunctions.AtlasTable("UAT",DataAreaId,"T.MarkupTrans","%CurrencyCode","","","","","","","MarkupCode|TransRecId|TransTableId","TPP",$L541,"492"),"")</f>
        <v/>
      </c>
      <c r="N541" s="4" t="str">
        <f>IF(AtlasReport_1_Table_1[[#This Row],[Reference]]="Purchase order",_xll.AtlasFormulas.AtlasFunctions.AtlasBalance("UAT",DataAreaId,"T.MarkupTrans","Sum|Posted|0","","","","","","","MarkupCode|TransTableId|TransRecId","TPP","492",$L541),"")</f>
        <v/>
      </c>
    </row>
    <row r="542" spans="1:14" x14ac:dyDescent="0.25">
      <c r="A542" s="8" t="s">
        <v>21</v>
      </c>
      <c r="B542" s="8" t="s">
        <v>1967</v>
      </c>
      <c r="C542" s="8" t="s">
        <v>320</v>
      </c>
      <c r="D542" s="8" t="s">
        <v>670</v>
      </c>
      <c r="E542" s="8" t="s">
        <v>261</v>
      </c>
      <c r="F542" s="8" t="s">
        <v>264</v>
      </c>
      <c r="G542" s="6">
        <v>43089</v>
      </c>
      <c r="H542" s="6">
        <v>43089</v>
      </c>
      <c r="I542" s="4">
        <v>-5</v>
      </c>
      <c r="J542" s="8" t="s">
        <v>37</v>
      </c>
      <c r="K542" s="8" t="s">
        <v>1976</v>
      </c>
      <c r="L542" s="4" t="str">
        <f>IF(AtlasReport_1_Table_1[[#This Row],[Reference]]="Purchase order",_xll.AtlasFormulas.AtlasFunctions.AtlasTable("UAT",DataAreaId,"T.VendInvoiceTrans","%RecId","","","","","","","ItemId|PurchID|InventTransId",$C542,$B542,$K542),"")</f>
        <v/>
      </c>
      <c r="M542" s="4" t="str">
        <f>IF(AtlasReport_1_Table_1[[#This Row],[Reference]]="Purchase order",_xll.AtlasFormulas.AtlasFunctions.AtlasTable("UAT",DataAreaId,"T.MarkupTrans","%CurrencyCode","","","","","","","MarkupCode|TransRecId|TransTableId","TPP",$L542,"492"),"")</f>
        <v/>
      </c>
      <c r="N542" s="4" t="str">
        <f>IF(AtlasReport_1_Table_1[[#This Row],[Reference]]="Purchase order",_xll.AtlasFormulas.AtlasFunctions.AtlasBalance("UAT",DataAreaId,"T.MarkupTrans","Sum|Posted|0","","","","","","","MarkupCode|TransTableId|TransRecId","TPP","492",$L542),"")</f>
        <v/>
      </c>
    </row>
    <row r="543" spans="1:14" x14ac:dyDescent="0.25">
      <c r="A543" s="8" t="s">
        <v>21</v>
      </c>
      <c r="B543" s="8" t="s">
        <v>1967</v>
      </c>
      <c r="C543" s="8" t="s">
        <v>359</v>
      </c>
      <c r="D543" s="8" t="s">
        <v>1094</v>
      </c>
      <c r="E543" s="8" t="s">
        <v>261</v>
      </c>
      <c r="F543" s="8" t="s">
        <v>264</v>
      </c>
      <c r="G543" s="6">
        <v>43089</v>
      </c>
      <c r="H543" s="6">
        <v>43089</v>
      </c>
      <c r="I543" s="4">
        <v>2</v>
      </c>
      <c r="J543" s="8" t="s">
        <v>37</v>
      </c>
      <c r="K543" s="8" t="s">
        <v>1977</v>
      </c>
      <c r="L543" s="4" t="str">
        <f>IF(AtlasReport_1_Table_1[[#This Row],[Reference]]="Purchase order",_xll.AtlasFormulas.AtlasFunctions.AtlasTable("UAT",DataAreaId,"T.VendInvoiceTrans","%RecId","","","","","","","ItemId|PurchID|InventTransId",$C543,$B543,$K543),"")</f>
        <v/>
      </c>
      <c r="M543" s="4" t="str">
        <f>IF(AtlasReport_1_Table_1[[#This Row],[Reference]]="Purchase order",_xll.AtlasFormulas.AtlasFunctions.AtlasTable("UAT",DataAreaId,"T.MarkupTrans","%CurrencyCode","","","","","","","MarkupCode|TransRecId|TransTableId","TPP",$L543,"492"),"")</f>
        <v/>
      </c>
      <c r="N543" s="4" t="str">
        <f>IF(AtlasReport_1_Table_1[[#This Row],[Reference]]="Purchase order",_xll.AtlasFormulas.AtlasFunctions.AtlasBalance("UAT",DataAreaId,"T.MarkupTrans","Sum|Posted|0","","","","","","","MarkupCode|TransTableId|TransRecId","TPP","492",$L543),"")</f>
        <v/>
      </c>
    </row>
    <row r="544" spans="1:14" x14ac:dyDescent="0.25">
      <c r="A544" s="8" t="s">
        <v>21</v>
      </c>
      <c r="B544" s="8" t="s">
        <v>1967</v>
      </c>
      <c r="C544" s="8" t="s">
        <v>362</v>
      </c>
      <c r="D544" s="8" t="s">
        <v>1097</v>
      </c>
      <c r="E544" s="8" t="s">
        <v>261</v>
      </c>
      <c r="F544" s="8" t="s">
        <v>264</v>
      </c>
      <c r="G544" s="6">
        <v>43089</v>
      </c>
      <c r="H544" s="6">
        <v>43089</v>
      </c>
      <c r="I544" s="4">
        <v>3</v>
      </c>
      <c r="J544" s="8" t="s">
        <v>37</v>
      </c>
      <c r="K544" s="8" t="s">
        <v>1978</v>
      </c>
      <c r="L544" s="4" t="str">
        <f>IF(AtlasReport_1_Table_1[[#This Row],[Reference]]="Purchase order",_xll.AtlasFormulas.AtlasFunctions.AtlasTable("UAT",DataAreaId,"T.VendInvoiceTrans","%RecId","","","","","","","ItemId|PurchID|InventTransId",$C544,$B544,$K544),"")</f>
        <v/>
      </c>
      <c r="M544" s="4" t="str">
        <f>IF(AtlasReport_1_Table_1[[#This Row],[Reference]]="Purchase order",_xll.AtlasFormulas.AtlasFunctions.AtlasTable("UAT",DataAreaId,"T.MarkupTrans","%CurrencyCode","","","","","","","MarkupCode|TransRecId|TransTableId","TPP",$L544,"492"),"")</f>
        <v/>
      </c>
      <c r="N544" s="4" t="str">
        <f>IF(AtlasReport_1_Table_1[[#This Row],[Reference]]="Purchase order",_xll.AtlasFormulas.AtlasFunctions.AtlasBalance("UAT",DataAreaId,"T.MarkupTrans","Sum|Posted|0","","","","","","","MarkupCode|TransTableId|TransRecId","TPP","492",$L544),"")</f>
        <v/>
      </c>
    </row>
    <row r="545" spans="1:14" x14ac:dyDescent="0.25">
      <c r="A545" s="8" t="s">
        <v>21</v>
      </c>
      <c r="B545" s="8" t="s">
        <v>1967</v>
      </c>
      <c r="C545" s="8" t="s">
        <v>65</v>
      </c>
      <c r="D545" s="8" t="s">
        <v>1172</v>
      </c>
      <c r="E545" s="8" t="s">
        <v>261</v>
      </c>
      <c r="F545" s="8" t="s">
        <v>264</v>
      </c>
      <c r="G545" s="6">
        <v>43089</v>
      </c>
      <c r="H545" s="6">
        <v>43089</v>
      </c>
      <c r="I545" s="4">
        <v>-1</v>
      </c>
      <c r="J545" s="8" t="s">
        <v>37</v>
      </c>
      <c r="K545" s="8" t="s">
        <v>1979</v>
      </c>
      <c r="L545" s="4" t="str">
        <f>IF(AtlasReport_1_Table_1[[#This Row],[Reference]]="Purchase order",_xll.AtlasFormulas.AtlasFunctions.AtlasTable("UAT",DataAreaId,"T.VendInvoiceTrans","%RecId","","","","","","","ItemId|PurchID|InventTransId",$C545,$B545,$K545),"")</f>
        <v/>
      </c>
      <c r="M545" s="4" t="str">
        <f>IF(AtlasReport_1_Table_1[[#This Row],[Reference]]="Purchase order",_xll.AtlasFormulas.AtlasFunctions.AtlasTable("UAT",DataAreaId,"T.MarkupTrans","%CurrencyCode","","","","","","","MarkupCode|TransRecId|TransTableId","TPP",$L545,"492"),"")</f>
        <v/>
      </c>
      <c r="N545" s="4" t="str">
        <f>IF(AtlasReport_1_Table_1[[#This Row],[Reference]]="Purchase order",_xll.AtlasFormulas.AtlasFunctions.AtlasBalance("UAT",DataAreaId,"T.MarkupTrans","Sum|Posted|0","","","","","","","MarkupCode|TransTableId|TransRecId","TPP","492",$L545),"")</f>
        <v/>
      </c>
    </row>
    <row r="546" spans="1:14" x14ac:dyDescent="0.25">
      <c r="A546" s="8" t="s">
        <v>21</v>
      </c>
      <c r="B546" s="8" t="s">
        <v>1967</v>
      </c>
      <c r="C546" s="8" t="s">
        <v>66</v>
      </c>
      <c r="D546" s="8" t="s">
        <v>116</v>
      </c>
      <c r="E546" s="8" t="s">
        <v>261</v>
      </c>
      <c r="F546" s="8" t="s">
        <v>264</v>
      </c>
      <c r="G546" s="6">
        <v>43089</v>
      </c>
      <c r="H546" s="6">
        <v>43089</v>
      </c>
      <c r="I546" s="4">
        <v>6</v>
      </c>
      <c r="J546" s="8" t="s">
        <v>37</v>
      </c>
      <c r="K546" s="8" t="s">
        <v>1980</v>
      </c>
      <c r="L546" s="4" t="str">
        <f>IF(AtlasReport_1_Table_1[[#This Row],[Reference]]="Purchase order",_xll.AtlasFormulas.AtlasFunctions.AtlasTable("UAT",DataAreaId,"T.VendInvoiceTrans","%RecId","","","","","","","ItemId|PurchID|InventTransId",$C546,$B546,$K546),"")</f>
        <v/>
      </c>
      <c r="M546" s="4" t="str">
        <f>IF(AtlasReport_1_Table_1[[#This Row],[Reference]]="Purchase order",_xll.AtlasFormulas.AtlasFunctions.AtlasTable("UAT",DataAreaId,"T.MarkupTrans","%CurrencyCode","","","","","","","MarkupCode|TransRecId|TransTableId","TPP",$L546,"492"),"")</f>
        <v/>
      </c>
      <c r="N546" s="4" t="str">
        <f>IF(AtlasReport_1_Table_1[[#This Row],[Reference]]="Purchase order",_xll.AtlasFormulas.AtlasFunctions.AtlasBalance("UAT",DataAreaId,"T.MarkupTrans","Sum|Posted|0","","","","","","","MarkupCode|TransTableId|TransRecId","TPP","492",$L546),"")</f>
        <v/>
      </c>
    </row>
    <row r="547" spans="1:14" x14ac:dyDescent="0.25">
      <c r="A547" s="8" t="s">
        <v>21</v>
      </c>
      <c r="B547" s="8" t="s">
        <v>1967</v>
      </c>
      <c r="C547" s="8" t="s">
        <v>429</v>
      </c>
      <c r="D547" s="8" t="s">
        <v>1174</v>
      </c>
      <c r="E547" s="8" t="s">
        <v>261</v>
      </c>
      <c r="F547" s="8" t="s">
        <v>264</v>
      </c>
      <c r="G547" s="6">
        <v>43089</v>
      </c>
      <c r="H547" s="6">
        <v>43089</v>
      </c>
      <c r="I547" s="4">
        <v>-9</v>
      </c>
      <c r="J547" s="8" t="s">
        <v>37</v>
      </c>
      <c r="K547" s="8" t="s">
        <v>1981</v>
      </c>
      <c r="L547" s="4" t="str">
        <f>IF(AtlasReport_1_Table_1[[#This Row],[Reference]]="Purchase order",_xll.AtlasFormulas.AtlasFunctions.AtlasTable("UAT",DataAreaId,"T.VendInvoiceTrans","%RecId","","","","","","","ItemId|PurchID|InventTransId",$C547,$B547,$K547),"")</f>
        <v/>
      </c>
      <c r="M547" s="4" t="str">
        <f>IF(AtlasReport_1_Table_1[[#This Row],[Reference]]="Purchase order",_xll.AtlasFormulas.AtlasFunctions.AtlasTable("UAT",DataAreaId,"T.MarkupTrans","%CurrencyCode","","","","","","","MarkupCode|TransRecId|TransTableId","TPP",$L547,"492"),"")</f>
        <v/>
      </c>
      <c r="N547" s="4" t="str">
        <f>IF(AtlasReport_1_Table_1[[#This Row],[Reference]]="Purchase order",_xll.AtlasFormulas.AtlasFunctions.AtlasBalance("UAT",DataAreaId,"T.MarkupTrans","Sum|Posted|0","","","","","","","MarkupCode|TransTableId|TransRecId","TPP","492",$L547),"")</f>
        <v/>
      </c>
    </row>
    <row r="548" spans="1:14" x14ac:dyDescent="0.25">
      <c r="A548" s="8" t="s">
        <v>21</v>
      </c>
      <c r="B548" s="8" t="s">
        <v>1967</v>
      </c>
      <c r="C548" s="8" t="s">
        <v>433</v>
      </c>
      <c r="D548" s="8" t="s">
        <v>1178</v>
      </c>
      <c r="E548" s="8" t="s">
        <v>261</v>
      </c>
      <c r="F548" s="8" t="s">
        <v>264</v>
      </c>
      <c r="G548" s="6">
        <v>43089</v>
      </c>
      <c r="H548" s="6">
        <v>43089</v>
      </c>
      <c r="I548" s="4">
        <v>-1</v>
      </c>
      <c r="J548" s="8" t="s">
        <v>37</v>
      </c>
      <c r="K548" s="8" t="s">
        <v>1982</v>
      </c>
      <c r="L548" s="4" t="str">
        <f>IF(AtlasReport_1_Table_1[[#This Row],[Reference]]="Purchase order",_xll.AtlasFormulas.AtlasFunctions.AtlasTable("UAT",DataAreaId,"T.VendInvoiceTrans","%RecId","","","","","","","ItemId|PurchID|InventTransId",$C548,$B548,$K548),"")</f>
        <v/>
      </c>
      <c r="M548" s="4" t="str">
        <f>IF(AtlasReport_1_Table_1[[#This Row],[Reference]]="Purchase order",_xll.AtlasFormulas.AtlasFunctions.AtlasTable("UAT",DataAreaId,"T.MarkupTrans","%CurrencyCode","","","","","","","MarkupCode|TransRecId|TransTableId","TPP",$L548,"492"),"")</f>
        <v/>
      </c>
      <c r="N548" s="4" t="str">
        <f>IF(AtlasReport_1_Table_1[[#This Row],[Reference]]="Purchase order",_xll.AtlasFormulas.AtlasFunctions.AtlasBalance("UAT",DataAreaId,"T.MarkupTrans","Sum|Posted|0","","","","","","","MarkupCode|TransTableId|TransRecId","TPP","492",$L548),"")</f>
        <v/>
      </c>
    </row>
    <row r="549" spans="1:14" x14ac:dyDescent="0.25">
      <c r="A549" s="8" t="s">
        <v>21</v>
      </c>
      <c r="B549" s="8" t="s">
        <v>1967</v>
      </c>
      <c r="C549" s="8" t="s">
        <v>442</v>
      </c>
      <c r="D549" s="8" t="s">
        <v>1199</v>
      </c>
      <c r="E549" s="8" t="s">
        <v>261</v>
      </c>
      <c r="F549" s="8" t="s">
        <v>264</v>
      </c>
      <c r="G549" s="6">
        <v>43089</v>
      </c>
      <c r="H549" s="6">
        <v>43089</v>
      </c>
      <c r="I549" s="4">
        <v>2</v>
      </c>
      <c r="J549" s="8" t="s">
        <v>37</v>
      </c>
      <c r="K549" s="8" t="s">
        <v>1983</v>
      </c>
      <c r="L549" s="4" t="str">
        <f>IF(AtlasReport_1_Table_1[[#This Row],[Reference]]="Purchase order",_xll.AtlasFormulas.AtlasFunctions.AtlasTable("UAT",DataAreaId,"T.VendInvoiceTrans","%RecId","","","","","","","ItemId|PurchID|InventTransId",$C549,$B549,$K549),"")</f>
        <v/>
      </c>
      <c r="M549" s="4" t="str">
        <f>IF(AtlasReport_1_Table_1[[#This Row],[Reference]]="Purchase order",_xll.AtlasFormulas.AtlasFunctions.AtlasTable("UAT",DataAreaId,"T.MarkupTrans","%CurrencyCode","","","","","","","MarkupCode|TransRecId|TransTableId","TPP",$L549,"492"),"")</f>
        <v/>
      </c>
      <c r="N549" s="4" t="str">
        <f>IF(AtlasReport_1_Table_1[[#This Row],[Reference]]="Purchase order",_xll.AtlasFormulas.AtlasFunctions.AtlasBalance("UAT",DataAreaId,"T.MarkupTrans","Sum|Posted|0","","","","","","","MarkupCode|TransTableId|TransRecId","TPP","492",$L549),"")</f>
        <v/>
      </c>
    </row>
    <row r="550" spans="1:14" ht="45" x14ac:dyDescent="0.25">
      <c r="A550" s="8" t="s">
        <v>21</v>
      </c>
      <c r="B550" s="8" t="s">
        <v>1967</v>
      </c>
      <c r="C550" s="8" t="s">
        <v>444</v>
      </c>
      <c r="D550" s="11" t="s">
        <v>1205</v>
      </c>
      <c r="E550" s="8" t="s">
        <v>261</v>
      </c>
      <c r="F550" s="8" t="s">
        <v>264</v>
      </c>
      <c r="G550" s="6">
        <v>43089</v>
      </c>
      <c r="H550" s="6">
        <v>43089</v>
      </c>
      <c r="I550" s="4">
        <v>-3</v>
      </c>
      <c r="J550" s="8" t="s">
        <v>37</v>
      </c>
      <c r="K550" s="8" t="s">
        <v>1984</v>
      </c>
      <c r="L550" s="4" t="str">
        <f>IF(AtlasReport_1_Table_1[[#This Row],[Reference]]="Purchase order",_xll.AtlasFormulas.AtlasFunctions.AtlasTable("UAT",DataAreaId,"T.VendInvoiceTrans","%RecId","","","","","","","ItemId|PurchID|InventTransId",$C550,$B550,$K550),"")</f>
        <v/>
      </c>
      <c r="M550" s="4" t="str">
        <f>IF(AtlasReport_1_Table_1[[#This Row],[Reference]]="Purchase order",_xll.AtlasFormulas.AtlasFunctions.AtlasTable("UAT",DataAreaId,"T.MarkupTrans","%CurrencyCode","","","","","","","MarkupCode|TransRecId|TransTableId","TPP",$L550,"492"),"")</f>
        <v/>
      </c>
      <c r="N550" s="4" t="str">
        <f>IF(AtlasReport_1_Table_1[[#This Row],[Reference]]="Purchase order",_xll.AtlasFormulas.AtlasFunctions.AtlasBalance("UAT",DataAreaId,"T.MarkupTrans","Sum|Posted|0","","","","","","","MarkupCode|TransTableId|TransRecId","TPP","492",$L550),"")</f>
        <v/>
      </c>
    </row>
    <row r="551" spans="1:14" ht="30" x14ac:dyDescent="0.25">
      <c r="A551" s="8" t="s">
        <v>21</v>
      </c>
      <c r="B551" s="8" t="s">
        <v>1967</v>
      </c>
      <c r="C551" s="8" t="s">
        <v>445</v>
      </c>
      <c r="D551" s="11" t="s">
        <v>1206</v>
      </c>
      <c r="E551" s="8" t="s">
        <v>261</v>
      </c>
      <c r="F551" s="8" t="s">
        <v>264</v>
      </c>
      <c r="G551" s="6">
        <v>43089</v>
      </c>
      <c r="H551" s="6">
        <v>43089</v>
      </c>
      <c r="I551" s="4">
        <v>-0.53</v>
      </c>
      <c r="J551" s="8" t="s">
        <v>120</v>
      </c>
      <c r="K551" s="8" t="s">
        <v>1985</v>
      </c>
      <c r="L551" s="4" t="str">
        <f>IF(AtlasReport_1_Table_1[[#This Row],[Reference]]="Purchase order",_xll.AtlasFormulas.AtlasFunctions.AtlasTable("UAT",DataAreaId,"T.VendInvoiceTrans","%RecId","","","","","","","ItemId|PurchID|InventTransId",$C551,$B551,$K551),"")</f>
        <v/>
      </c>
      <c r="M551" s="4" t="str">
        <f>IF(AtlasReport_1_Table_1[[#This Row],[Reference]]="Purchase order",_xll.AtlasFormulas.AtlasFunctions.AtlasTable("UAT",DataAreaId,"T.MarkupTrans","%CurrencyCode","","","","","","","MarkupCode|TransRecId|TransTableId","TPP",$L551,"492"),"")</f>
        <v/>
      </c>
      <c r="N551" s="4" t="str">
        <f>IF(AtlasReport_1_Table_1[[#This Row],[Reference]]="Purchase order",_xll.AtlasFormulas.AtlasFunctions.AtlasBalance("UAT",DataAreaId,"T.MarkupTrans","Sum|Posted|0","","","","","","","MarkupCode|TransTableId|TransRecId","TPP","492",$L551),"")</f>
        <v/>
      </c>
    </row>
    <row r="552" spans="1:14" x14ac:dyDescent="0.25">
      <c r="A552" s="8" t="s">
        <v>21</v>
      </c>
      <c r="B552" s="8" t="s">
        <v>1967</v>
      </c>
      <c r="C552" s="8" t="s">
        <v>446</v>
      </c>
      <c r="D552" s="8" t="s">
        <v>1229</v>
      </c>
      <c r="E552" s="8" t="s">
        <v>261</v>
      </c>
      <c r="F552" s="8" t="s">
        <v>264</v>
      </c>
      <c r="G552" s="6">
        <v>43089</v>
      </c>
      <c r="H552" s="6">
        <v>43089</v>
      </c>
      <c r="I552" s="4">
        <v>-950</v>
      </c>
      <c r="J552" s="8" t="s">
        <v>37</v>
      </c>
      <c r="K552" s="8" t="s">
        <v>1986</v>
      </c>
      <c r="L552" s="4" t="str">
        <f>IF(AtlasReport_1_Table_1[[#This Row],[Reference]]="Purchase order",_xll.AtlasFormulas.AtlasFunctions.AtlasTable("UAT",DataAreaId,"T.VendInvoiceTrans","%RecId","","","","","","","ItemId|PurchID|InventTransId",$C552,$B552,$K552),"")</f>
        <v/>
      </c>
      <c r="M552" s="4" t="str">
        <f>IF(AtlasReport_1_Table_1[[#This Row],[Reference]]="Purchase order",_xll.AtlasFormulas.AtlasFunctions.AtlasTable("UAT",DataAreaId,"T.MarkupTrans","%CurrencyCode","","","","","","","MarkupCode|TransRecId|TransTableId","TPP",$L552,"492"),"")</f>
        <v/>
      </c>
      <c r="N552" s="4" t="str">
        <f>IF(AtlasReport_1_Table_1[[#This Row],[Reference]]="Purchase order",_xll.AtlasFormulas.AtlasFunctions.AtlasBalance("UAT",DataAreaId,"T.MarkupTrans","Sum|Posted|0","","","","","","","MarkupCode|TransTableId|TransRecId","TPP","492",$L552),"")</f>
        <v/>
      </c>
    </row>
    <row r="553" spans="1:14" x14ac:dyDescent="0.25">
      <c r="A553" s="8" t="s">
        <v>21</v>
      </c>
      <c r="B553" s="8" t="s">
        <v>1967</v>
      </c>
      <c r="C553" s="8" t="s">
        <v>447</v>
      </c>
      <c r="D553" s="8" t="s">
        <v>1230</v>
      </c>
      <c r="E553" s="8" t="s">
        <v>261</v>
      </c>
      <c r="F553" s="8" t="s">
        <v>264</v>
      </c>
      <c r="G553" s="6">
        <v>43089</v>
      </c>
      <c r="H553" s="6">
        <v>43089</v>
      </c>
      <c r="I553" s="4">
        <v>-227</v>
      </c>
      <c r="J553" s="8" t="s">
        <v>37</v>
      </c>
      <c r="K553" s="8" t="s">
        <v>1987</v>
      </c>
      <c r="L553" s="4" t="str">
        <f>IF(AtlasReport_1_Table_1[[#This Row],[Reference]]="Purchase order",_xll.AtlasFormulas.AtlasFunctions.AtlasTable("UAT",DataAreaId,"T.VendInvoiceTrans","%RecId","","","","","","","ItemId|PurchID|InventTransId",$C553,$B553,$K553),"")</f>
        <v/>
      </c>
      <c r="M553" s="4" t="str">
        <f>IF(AtlasReport_1_Table_1[[#This Row],[Reference]]="Purchase order",_xll.AtlasFormulas.AtlasFunctions.AtlasTable("UAT",DataAreaId,"T.MarkupTrans","%CurrencyCode","","","","","","","MarkupCode|TransRecId|TransTableId","TPP",$L553,"492"),"")</f>
        <v/>
      </c>
      <c r="N553" s="4" t="str">
        <f>IF(AtlasReport_1_Table_1[[#This Row],[Reference]]="Purchase order",_xll.AtlasFormulas.AtlasFunctions.AtlasBalance("UAT",DataAreaId,"T.MarkupTrans","Sum|Posted|0","","","","","","","MarkupCode|TransTableId|TransRecId","TPP","492",$L553),"")</f>
        <v/>
      </c>
    </row>
    <row r="554" spans="1:14" x14ac:dyDescent="0.25">
      <c r="A554" s="8" t="s">
        <v>21</v>
      </c>
      <c r="B554" s="8" t="s">
        <v>1967</v>
      </c>
      <c r="C554" s="8" t="s">
        <v>448</v>
      </c>
      <c r="D554" s="8" t="s">
        <v>1233</v>
      </c>
      <c r="E554" s="8" t="s">
        <v>261</v>
      </c>
      <c r="F554" s="8" t="s">
        <v>264</v>
      </c>
      <c r="G554" s="6">
        <v>43089</v>
      </c>
      <c r="H554" s="6">
        <v>43089</v>
      </c>
      <c r="I554" s="4">
        <v>-17</v>
      </c>
      <c r="J554" s="8" t="s">
        <v>37</v>
      </c>
      <c r="K554" s="8" t="s">
        <v>1988</v>
      </c>
      <c r="L554" s="4" t="str">
        <f>IF(AtlasReport_1_Table_1[[#This Row],[Reference]]="Purchase order",_xll.AtlasFormulas.AtlasFunctions.AtlasTable("UAT",DataAreaId,"T.VendInvoiceTrans","%RecId","","","","","","","ItemId|PurchID|InventTransId",$C554,$B554,$K554),"")</f>
        <v/>
      </c>
      <c r="M554" s="4" t="str">
        <f>IF(AtlasReport_1_Table_1[[#This Row],[Reference]]="Purchase order",_xll.AtlasFormulas.AtlasFunctions.AtlasTable("UAT",DataAreaId,"T.MarkupTrans","%CurrencyCode","","","","","","","MarkupCode|TransRecId|TransTableId","TPP",$L554,"492"),"")</f>
        <v/>
      </c>
      <c r="N554" s="4" t="str">
        <f>IF(AtlasReport_1_Table_1[[#This Row],[Reference]]="Purchase order",_xll.AtlasFormulas.AtlasFunctions.AtlasBalance("UAT",DataAreaId,"T.MarkupTrans","Sum|Posted|0","","","","","","","MarkupCode|TransTableId|TransRecId","TPP","492",$L554),"")</f>
        <v/>
      </c>
    </row>
    <row r="555" spans="1:14" x14ac:dyDescent="0.25">
      <c r="A555" s="8" t="s">
        <v>21</v>
      </c>
      <c r="B555" s="8" t="s">
        <v>1967</v>
      </c>
      <c r="C555" s="8" t="s">
        <v>449</v>
      </c>
      <c r="D555" s="8" t="s">
        <v>1234</v>
      </c>
      <c r="E555" s="8" t="s">
        <v>261</v>
      </c>
      <c r="F555" s="8" t="s">
        <v>264</v>
      </c>
      <c r="G555" s="6">
        <v>43089</v>
      </c>
      <c r="H555" s="6">
        <v>43089</v>
      </c>
      <c r="I555" s="4">
        <v>-13</v>
      </c>
      <c r="J555" s="8" t="s">
        <v>37</v>
      </c>
      <c r="K555" s="8" t="s">
        <v>1989</v>
      </c>
      <c r="L555" s="4" t="str">
        <f>IF(AtlasReport_1_Table_1[[#This Row],[Reference]]="Purchase order",_xll.AtlasFormulas.AtlasFunctions.AtlasTable("UAT",DataAreaId,"T.VendInvoiceTrans","%RecId","","","","","","","ItemId|PurchID|InventTransId",$C555,$B555,$K555),"")</f>
        <v/>
      </c>
      <c r="M555" s="4" t="str">
        <f>IF(AtlasReport_1_Table_1[[#This Row],[Reference]]="Purchase order",_xll.AtlasFormulas.AtlasFunctions.AtlasTable("UAT",DataAreaId,"T.MarkupTrans","%CurrencyCode","","","","","","","MarkupCode|TransRecId|TransTableId","TPP",$L555,"492"),"")</f>
        <v/>
      </c>
      <c r="N555" s="4" t="str">
        <f>IF(AtlasReport_1_Table_1[[#This Row],[Reference]]="Purchase order",_xll.AtlasFormulas.AtlasFunctions.AtlasBalance("UAT",DataAreaId,"T.MarkupTrans","Sum|Posted|0","","","","","","","MarkupCode|TransTableId|TransRecId","TPP","492",$L555),"")</f>
        <v/>
      </c>
    </row>
    <row r="556" spans="1:14" x14ac:dyDescent="0.25">
      <c r="A556" s="8" t="s">
        <v>21</v>
      </c>
      <c r="B556" s="8" t="s">
        <v>1967</v>
      </c>
      <c r="C556" s="8" t="s">
        <v>149</v>
      </c>
      <c r="D556" s="8" t="s">
        <v>209</v>
      </c>
      <c r="E556" s="8" t="s">
        <v>261</v>
      </c>
      <c r="F556" s="8" t="s">
        <v>264</v>
      </c>
      <c r="G556" s="6">
        <v>43089</v>
      </c>
      <c r="H556" s="6">
        <v>43089</v>
      </c>
      <c r="I556" s="4">
        <v>-2</v>
      </c>
      <c r="J556" s="8" t="s">
        <v>37</v>
      </c>
      <c r="K556" s="8" t="s">
        <v>1990</v>
      </c>
      <c r="L556" s="4" t="str">
        <f>IF(AtlasReport_1_Table_1[[#This Row],[Reference]]="Purchase order",_xll.AtlasFormulas.AtlasFunctions.AtlasTable("UAT",DataAreaId,"T.VendInvoiceTrans","%RecId","","","","","","","ItemId|PurchID|InventTransId",$C556,$B556,$K556),"")</f>
        <v/>
      </c>
      <c r="M556" s="4" t="str">
        <f>IF(AtlasReport_1_Table_1[[#This Row],[Reference]]="Purchase order",_xll.AtlasFormulas.AtlasFunctions.AtlasTable("UAT",DataAreaId,"T.MarkupTrans","%CurrencyCode","","","","","","","MarkupCode|TransRecId|TransTableId","TPP",$L556,"492"),"")</f>
        <v/>
      </c>
      <c r="N556" s="4" t="str">
        <f>IF(AtlasReport_1_Table_1[[#This Row],[Reference]]="Purchase order",_xll.AtlasFormulas.AtlasFunctions.AtlasBalance("UAT",DataAreaId,"T.MarkupTrans","Sum|Posted|0","","","","","","","MarkupCode|TransTableId|TransRecId","TPP","492",$L556),"")</f>
        <v/>
      </c>
    </row>
    <row r="557" spans="1:14" x14ac:dyDescent="0.25">
      <c r="A557" s="8" t="s">
        <v>21</v>
      </c>
      <c r="B557" s="8" t="s">
        <v>1967</v>
      </c>
      <c r="C557" s="8" t="s">
        <v>451</v>
      </c>
      <c r="D557" s="8" t="s">
        <v>1236</v>
      </c>
      <c r="E557" s="8" t="s">
        <v>261</v>
      </c>
      <c r="F557" s="8" t="s">
        <v>264</v>
      </c>
      <c r="G557" s="6">
        <v>43089</v>
      </c>
      <c r="H557" s="6">
        <v>43089</v>
      </c>
      <c r="I557" s="4">
        <v>1</v>
      </c>
      <c r="J557" s="8" t="s">
        <v>37</v>
      </c>
      <c r="K557" s="8" t="s">
        <v>1991</v>
      </c>
      <c r="L557" s="4" t="str">
        <f>IF(AtlasReport_1_Table_1[[#This Row],[Reference]]="Purchase order",_xll.AtlasFormulas.AtlasFunctions.AtlasTable("UAT",DataAreaId,"T.VendInvoiceTrans","%RecId","","","","","","","ItemId|PurchID|InventTransId",$C557,$B557,$K557),"")</f>
        <v/>
      </c>
      <c r="M557" s="4" t="str">
        <f>IF(AtlasReport_1_Table_1[[#This Row],[Reference]]="Purchase order",_xll.AtlasFormulas.AtlasFunctions.AtlasTable("UAT",DataAreaId,"T.MarkupTrans","%CurrencyCode","","","","","","","MarkupCode|TransRecId|TransTableId","TPP",$L557,"492"),"")</f>
        <v/>
      </c>
      <c r="N557" s="4" t="str">
        <f>IF(AtlasReport_1_Table_1[[#This Row],[Reference]]="Purchase order",_xll.AtlasFormulas.AtlasFunctions.AtlasBalance("UAT",DataAreaId,"T.MarkupTrans","Sum|Posted|0","","","","","","","MarkupCode|TransTableId|TransRecId","TPP","492",$L557),"")</f>
        <v/>
      </c>
    </row>
    <row r="558" spans="1:14" x14ac:dyDescent="0.25">
      <c r="A558" s="8" t="s">
        <v>21</v>
      </c>
      <c r="B558" s="8" t="s">
        <v>1967</v>
      </c>
      <c r="C558" s="8" t="s">
        <v>452</v>
      </c>
      <c r="D558" s="8" t="s">
        <v>1239</v>
      </c>
      <c r="E558" s="8" t="s">
        <v>261</v>
      </c>
      <c r="F558" s="8" t="s">
        <v>264</v>
      </c>
      <c r="G558" s="6">
        <v>43089</v>
      </c>
      <c r="H558" s="6">
        <v>43089</v>
      </c>
      <c r="I558" s="4">
        <v>6</v>
      </c>
      <c r="J558" s="8" t="s">
        <v>37</v>
      </c>
      <c r="K558" s="8" t="s">
        <v>1992</v>
      </c>
      <c r="L558" s="4" t="str">
        <f>IF(AtlasReport_1_Table_1[[#This Row],[Reference]]="Purchase order",_xll.AtlasFormulas.AtlasFunctions.AtlasTable("UAT",DataAreaId,"T.VendInvoiceTrans","%RecId","","","","","","","ItemId|PurchID|InventTransId",$C558,$B558,$K558),"")</f>
        <v/>
      </c>
      <c r="M558" s="4" t="str">
        <f>IF(AtlasReport_1_Table_1[[#This Row],[Reference]]="Purchase order",_xll.AtlasFormulas.AtlasFunctions.AtlasTable("UAT",DataAreaId,"T.MarkupTrans","%CurrencyCode","","","","","","","MarkupCode|TransRecId|TransTableId","TPP",$L558,"492"),"")</f>
        <v/>
      </c>
      <c r="N558" s="4" t="str">
        <f>IF(AtlasReport_1_Table_1[[#This Row],[Reference]]="Purchase order",_xll.AtlasFormulas.AtlasFunctions.AtlasBalance("UAT",DataAreaId,"T.MarkupTrans","Sum|Posted|0","","","","","","","MarkupCode|TransTableId|TransRecId","TPP","492",$L558),"")</f>
        <v/>
      </c>
    </row>
    <row r="559" spans="1:14" x14ac:dyDescent="0.25">
      <c r="A559" s="8" t="s">
        <v>21</v>
      </c>
      <c r="B559" s="8" t="s">
        <v>1993</v>
      </c>
      <c r="C559" s="8" t="s">
        <v>260</v>
      </c>
      <c r="D559" s="8" t="s">
        <v>970</v>
      </c>
      <c r="E559" s="8" t="s">
        <v>261</v>
      </c>
      <c r="F559" s="8" t="s">
        <v>264</v>
      </c>
      <c r="G559" s="6">
        <v>43089</v>
      </c>
      <c r="H559" s="6">
        <v>43089</v>
      </c>
      <c r="I559" s="4">
        <v>-1</v>
      </c>
      <c r="J559" s="8" t="s">
        <v>37</v>
      </c>
      <c r="K559" s="8" t="s">
        <v>1994</v>
      </c>
      <c r="L559" s="4" t="str">
        <f>IF(AtlasReport_1_Table_1[[#This Row],[Reference]]="Purchase order",_xll.AtlasFormulas.AtlasFunctions.AtlasTable("UAT",DataAreaId,"T.VendInvoiceTrans","%RecId","","","","","","","ItemId|PurchID|InventTransId",$C559,$B559,$K559),"")</f>
        <v/>
      </c>
      <c r="M559" s="4" t="str">
        <f>IF(AtlasReport_1_Table_1[[#This Row],[Reference]]="Purchase order",_xll.AtlasFormulas.AtlasFunctions.AtlasTable("UAT",DataAreaId,"T.MarkupTrans","%CurrencyCode","","","","","","","MarkupCode|TransRecId|TransTableId","TPP",$L559,"492"),"")</f>
        <v/>
      </c>
      <c r="N559" s="4" t="str">
        <f>IF(AtlasReport_1_Table_1[[#This Row],[Reference]]="Purchase order",_xll.AtlasFormulas.AtlasFunctions.AtlasBalance("UAT",DataAreaId,"T.MarkupTrans","Sum|Posted|0","","","","","","","MarkupCode|TransTableId|TransRecId","TPP","492",$L559),"")</f>
        <v/>
      </c>
    </row>
    <row r="560" spans="1:14" x14ac:dyDescent="0.25">
      <c r="A560" s="8" t="s">
        <v>21</v>
      </c>
      <c r="B560" s="8" t="s">
        <v>1993</v>
      </c>
      <c r="C560" s="8" t="s">
        <v>270</v>
      </c>
      <c r="D560" s="8" t="s">
        <v>978</v>
      </c>
      <c r="E560" s="8" t="s">
        <v>261</v>
      </c>
      <c r="F560" s="8" t="s">
        <v>264</v>
      </c>
      <c r="G560" s="6">
        <v>43089</v>
      </c>
      <c r="H560" s="6">
        <v>43089</v>
      </c>
      <c r="I560" s="4">
        <v>-53</v>
      </c>
      <c r="J560" s="8" t="s">
        <v>120</v>
      </c>
      <c r="K560" s="8" t="s">
        <v>1995</v>
      </c>
      <c r="L560" s="4" t="str">
        <f>IF(AtlasReport_1_Table_1[[#This Row],[Reference]]="Purchase order",_xll.AtlasFormulas.AtlasFunctions.AtlasTable("UAT",DataAreaId,"T.VendInvoiceTrans","%RecId","","","","","","","ItemId|PurchID|InventTransId",$C560,$B560,$K560),"")</f>
        <v/>
      </c>
      <c r="M560" s="4" t="str">
        <f>IF(AtlasReport_1_Table_1[[#This Row],[Reference]]="Purchase order",_xll.AtlasFormulas.AtlasFunctions.AtlasTable("UAT",DataAreaId,"T.MarkupTrans","%CurrencyCode","","","","","","","MarkupCode|TransRecId|TransTableId","TPP",$L560,"492"),"")</f>
        <v/>
      </c>
      <c r="N560" s="4" t="str">
        <f>IF(AtlasReport_1_Table_1[[#This Row],[Reference]]="Purchase order",_xll.AtlasFormulas.AtlasFunctions.AtlasBalance("UAT",DataAreaId,"T.MarkupTrans","Sum|Posted|0","","","","","","","MarkupCode|TransTableId|TransRecId","TPP","492",$L560),"")</f>
        <v/>
      </c>
    </row>
    <row r="561" spans="1:14" x14ac:dyDescent="0.25">
      <c r="A561" s="8" t="s">
        <v>21</v>
      </c>
      <c r="B561" s="8" t="s">
        <v>1993</v>
      </c>
      <c r="C561" s="8" t="s">
        <v>272</v>
      </c>
      <c r="D561" s="8" t="s">
        <v>980</v>
      </c>
      <c r="E561" s="8" t="s">
        <v>261</v>
      </c>
      <c r="F561" s="8" t="s">
        <v>264</v>
      </c>
      <c r="G561" s="6">
        <v>43089</v>
      </c>
      <c r="H561" s="6">
        <v>43089</v>
      </c>
      <c r="I561" s="4">
        <v>-87</v>
      </c>
      <c r="J561" s="8" t="s">
        <v>120</v>
      </c>
      <c r="K561" s="8" t="s">
        <v>1996</v>
      </c>
      <c r="L561" s="4" t="str">
        <f>IF(AtlasReport_1_Table_1[[#This Row],[Reference]]="Purchase order",_xll.AtlasFormulas.AtlasFunctions.AtlasTable("UAT",DataAreaId,"T.VendInvoiceTrans","%RecId","","","","","","","ItemId|PurchID|InventTransId",$C561,$B561,$K561),"")</f>
        <v/>
      </c>
      <c r="M561" s="4" t="str">
        <f>IF(AtlasReport_1_Table_1[[#This Row],[Reference]]="Purchase order",_xll.AtlasFormulas.AtlasFunctions.AtlasTable("UAT",DataAreaId,"T.MarkupTrans","%CurrencyCode","","","","","","","MarkupCode|TransRecId|TransTableId","TPP",$L561,"492"),"")</f>
        <v/>
      </c>
      <c r="N561" s="4" t="str">
        <f>IF(AtlasReport_1_Table_1[[#This Row],[Reference]]="Purchase order",_xll.AtlasFormulas.AtlasFunctions.AtlasBalance("UAT",DataAreaId,"T.MarkupTrans","Sum|Posted|0","","","","","","","MarkupCode|TransTableId|TransRecId","TPP","492",$L561),"")</f>
        <v/>
      </c>
    </row>
    <row r="562" spans="1:14" x14ac:dyDescent="0.25">
      <c r="A562" s="8" t="s">
        <v>21</v>
      </c>
      <c r="B562" s="8" t="s">
        <v>1993</v>
      </c>
      <c r="C562" s="8" t="s">
        <v>273</v>
      </c>
      <c r="D562" s="8" t="s">
        <v>981</v>
      </c>
      <c r="E562" s="8" t="s">
        <v>261</v>
      </c>
      <c r="F562" s="8" t="s">
        <v>264</v>
      </c>
      <c r="G562" s="6">
        <v>43089</v>
      </c>
      <c r="H562" s="6">
        <v>43089</v>
      </c>
      <c r="I562" s="4">
        <v>-44.2</v>
      </c>
      <c r="J562" s="8" t="s">
        <v>120</v>
      </c>
      <c r="K562" s="8" t="s">
        <v>1997</v>
      </c>
      <c r="L562" s="4" t="str">
        <f>IF(AtlasReport_1_Table_1[[#This Row],[Reference]]="Purchase order",_xll.AtlasFormulas.AtlasFunctions.AtlasTable("UAT",DataAreaId,"T.VendInvoiceTrans","%RecId","","","","","","","ItemId|PurchID|InventTransId",$C562,$B562,$K562),"")</f>
        <v/>
      </c>
      <c r="M562" s="4" t="str">
        <f>IF(AtlasReport_1_Table_1[[#This Row],[Reference]]="Purchase order",_xll.AtlasFormulas.AtlasFunctions.AtlasTable("UAT",DataAreaId,"T.MarkupTrans","%CurrencyCode","","","","","","","MarkupCode|TransRecId|TransTableId","TPP",$L562,"492"),"")</f>
        <v/>
      </c>
      <c r="N562" s="4" t="str">
        <f>IF(AtlasReport_1_Table_1[[#This Row],[Reference]]="Purchase order",_xll.AtlasFormulas.AtlasFunctions.AtlasBalance("UAT",DataAreaId,"T.MarkupTrans","Sum|Posted|0","","","","","","","MarkupCode|TransTableId|TransRecId","TPP","492",$L562),"")</f>
        <v/>
      </c>
    </row>
    <row r="563" spans="1:14" x14ac:dyDescent="0.25">
      <c r="A563" s="8" t="s">
        <v>21</v>
      </c>
      <c r="B563" s="8" t="s">
        <v>1993</v>
      </c>
      <c r="C563" s="8" t="s">
        <v>275</v>
      </c>
      <c r="D563" s="8" t="s">
        <v>983</v>
      </c>
      <c r="E563" s="8" t="s">
        <v>261</v>
      </c>
      <c r="F563" s="8" t="s">
        <v>264</v>
      </c>
      <c r="G563" s="6">
        <v>43089</v>
      </c>
      <c r="H563" s="6">
        <v>43089</v>
      </c>
      <c r="I563" s="4">
        <v>-71</v>
      </c>
      <c r="J563" s="8" t="s">
        <v>120</v>
      </c>
      <c r="K563" s="8" t="s">
        <v>1998</v>
      </c>
      <c r="L563" s="4" t="str">
        <f>IF(AtlasReport_1_Table_1[[#This Row],[Reference]]="Purchase order",_xll.AtlasFormulas.AtlasFunctions.AtlasTable("UAT",DataAreaId,"T.VendInvoiceTrans","%RecId","","","","","","","ItemId|PurchID|InventTransId",$C563,$B563,$K563),"")</f>
        <v/>
      </c>
      <c r="M563" s="4" t="str">
        <f>IF(AtlasReport_1_Table_1[[#This Row],[Reference]]="Purchase order",_xll.AtlasFormulas.AtlasFunctions.AtlasTable("UAT",DataAreaId,"T.MarkupTrans","%CurrencyCode","","","","","","","MarkupCode|TransRecId|TransTableId","TPP",$L563,"492"),"")</f>
        <v/>
      </c>
      <c r="N563" s="4" t="str">
        <f>IF(AtlasReport_1_Table_1[[#This Row],[Reference]]="Purchase order",_xll.AtlasFormulas.AtlasFunctions.AtlasBalance("UAT",DataAreaId,"T.MarkupTrans","Sum|Posted|0","","","","","","","MarkupCode|TransTableId|TransRecId","TPP","492",$L563),"")</f>
        <v/>
      </c>
    </row>
    <row r="564" spans="1:14" x14ac:dyDescent="0.25">
      <c r="A564" s="8" t="s">
        <v>21</v>
      </c>
      <c r="B564" s="8" t="s">
        <v>1993</v>
      </c>
      <c r="C564" s="8" t="s">
        <v>276</v>
      </c>
      <c r="D564" s="8" t="s">
        <v>984</v>
      </c>
      <c r="E564" s="8" t="s">
        <v>261</v>
      </c>
      <c r="F564" s="8" t="s">
        <v>264</v>
      </c>
      <c r="G564" s="6">
        <v>43089</v>
      </c>
      <c r="H564" s="6">
        <v>43089</v>
      </c>
      <c r="I564" s="4">
        <v>-20.8</v>
      </c>
      <c r="J564" s="8" t="s">
        <v>120</v>
      </c>
      <c r="K564" s="8" t="s">
        <v>1999</v>
      </c>
      <c r="L564" s="4" t="str">
        <f>IF(AtlasReport_1_Table_1[[#This Row],[Reference]]="Purchase order",_xll.AtlasFormulas.AtlasFunctions.AtlasTable("UAT",DataAreaId,"T.VendInvoiceTrans","%RecId","","","","","","","ItemId|PurchID|InventTransId",$C564,$B564,$K564),"")</f>
        <v/>
      </c>
      <c r="M564" s="4" t="str">
        <f>IF(AtlasReport_1_Table_1[[#This Row],[Reference]]="Purchase order",_xll.AtlasFormulas.AtlasFunctions.AtlasTable("UAT",DataAreaId,"T.MarkupTrans","%CurrencyCode","","","","","","","MarkupCode|TransRecId|TransTableId","TPP",$L564,"492"),"")</f>
        <v/>
      </c>
      <c r="N564" s="4" t="str">
        <f>IF(AtlasReport_1_Table_1[[#This Row],[Reference]]="Purchase order",_xll.AtlasFormulas.AtlasFunctions.AtlasBalance("UAT",DataAreaId,"T.MarkupTrans","Sum|Posted|0","","","","","","","MarkupCode|TransTableId|TransRecId","TPP","492",$L564),"")</f>
        <v/>
      </c>
    </row>
    <row r="565" spans="1:14" x14ac:dyDescent="0.25">
      <c r="A565" s="8" t="s">
        <v>21</v>
      </c>
      <c r="B565" s="8" t="s">
        <v>1993</v>
      </c>
      <c r="C565" s="8" t="s">
        <v>277</v>
      </c>
      <c r="D565" s="8" t="s">
        <v>985</v>
      </c>
      <c r="E565" s="8" t="s">
        <v>261</v>
      </c>
      <c r="F565" s="8" t="s">
        <v>264</v>
      </c>
      <c r="G565" s="6">
        <v>43089</v>
      </c>
      <c r="H565" s="6">
        <v>43089</v>
      </c>
      <c r="I565" s="4">
        <v>-43.2</v>
      </c>
      <c r="J565" s="8" t="s">
        <v>120</v>
      </c>
      <c r="K565" s="8" t="s">
        <v>2000</v>
      </c>
      <c r="L565" s="4" t="str">
        <f>IF(AtlasReport_1_Table_1[[#This Row],[Reference]]="Purchase order",_xll.AtlasFormulas.AtlasFunctions.AtlasTable("UAT",DataAreaId,"T.VendInvoiceTrans","%RecId","","","","","","","ItemId|PurchID|InventTransId",$C565,$B565,$K565),"")</f>
        <v/>
      </c>
      <c r="M565" s="4" t="str">
        <f>IF(AtlasReport_1_Table_1[[#This Row],[Reference]]="Purchase order",_xll.AtlasFormulas.AtlasFunctions.AtlasTable("UAT",DataAreaId,"T.MarkupTrans","%CurrencyCode","","","","","","","MarkupCode|TransRecId|TransTableId","TPP",$L565,"492"),"")</f>
        <v/>
      </c>
      <c r="N565" s="4" t="str">
        <f>IF(AtlasReport_1_Table_1[[#This Row],[Reference]]="Purchase order",_xll.AtlasFormulas.AtlasFunctions.AtlasBalance("UAT",DataAreaId,"T.MarkupTrans","Sum|Posted|0","","","","","","","MarkupCode|TransTableId|TransRecId","TPP","492",$L565),"")</f>
        <v/>
      </c>
    </row>
    <row r="566" spans="1:14" x14ac:dyDescent="0.25">
      <c r="A566" s="8" t="s">
        <v>21</v>
      </c>
      <c r="B566" s="8" t="s">
        <v>1993</v>
      </c>
      <c r="C566" s="8" t="s">
        <v>298</v>
      </c>
      <c r="D566" s="8" t="s">
        <v>1018</v>
      </c>
      <c r="E566" s="8" t="s">
        <v>261</v>
      </c>
      <c r="F566" s="8" t="s">
        <v>264</v>
      </c>
      <c r="G566" s="6">
        <v>43089</v>
      </c>
      <c r="H566" s="6">
        <v>43089</v>
      </c>
      <c r="I566" s="4">
        <v>39.9</v>
      </c>
      <c r="J566" s="8" t="s">
        <v>120</v>
      </c>
      <c r="K566" s="8" t="s">
        <v>2001</v>
      </c>
      <c r="L566" s="4" t="str">
        <f>IF(AtlasReport_1_Table_1[[#This Row],[Reference]]="Purchase order",_xll.AtlasFormulas.AtlasFunctions.AtlasTable("UAT",DataAreaId,"T.VendInvoiceTrans","%RecId","","","","","","","ItemId|PurchID|InventTransId",$C566,$B566,$K566),"")</f>
        <v/>
      </c>
      <c r="M566" s="4" t="str">
        <f>IF(AtlasReport_1_Table_1[[#This Row],[Reference]]="Purchase order",_xll.AtlasFormulas.AtlasFunctions.AtlasTable("UAT",DataAreaId,"T.MarkupTrans","%CurrencyCode","","","","","","","MarkupCode|TransRecId|TransTableId","TPP",$L566,"492"),"")</f>
        <v/>
      </c>
      <c r="N566" s="4" t="str">
        <f>IF(AtlasReport_1_Table_1[[#This Row],[Reference]]="Purchase order",_xll.AtlasFormulas.AtlasFunctions.AtlasBalance("UAT",DataAreaId,"T.MarkupTrans","Sum|Posted|0","","","","","","","MarkupCode|TransTableId|TransRecId","TPP","492",$L566),"")</f>
        <v/>
      </c>
    </row>
    <row r="567" spans="1:14" x14ac:dyDescent="0.25">
      <c r="A567" s="8" t="s">
        <v>21</v>
      </c>
      <c r="B567" s="8" t="s">
        <v>1993</v>
      </c>
      <c r="C567" s="8" t="s">
        <v>358</v>
      </c>
      <c r="D567" s="8" t="s">
        <v>1093</v>
      </c>
      <c r="E567" s="8" t="s">
        <v>261</v>
      </c>
      <c r="F567" s="8" t="s">
        <v>264</v>
      </c>
      <c r="G567" s="6">
        <v>43089</v>
      </c>
      <c r="H567" s="6">
        <v>43089</v>
      </c>
      <c r="I567" s="4">
        <v>688.43000000000006</v>
      </c>
      <c r="J567" s="8" t="s">
        <v>38</v>
      </c>
      <c r="K567" s="8" t="s">
        <v>2002</v>
      </c>
      <c r="L567" s="4" t="str">
        <f>IF(AtlasReport_1_Table_1[[#This Row],[Reference]]="Purchase order",_xll.AtlasFormulas.AtlasFunctions.AtlasTable("UAT",DataAreaId,"T.VendInvoiceTrans","%RecId","","","","","","","ItemId|PurchID|InventTransId",$C567,$B567,$K567),"")</f>
        <v/>
      </c>
      <c r="M567" s="4" t="str">
        <f>IF(AtlasReport_1_Table_1[[#This Row],[Reference]]="Purchase order",_xll.AtlasFormulas.AtlasFunctions.AtlasTable("UAT",DataAreaId,"T.MarkupTrans","%CurrencyCode","","","","","","","MarkupCode|TransRecId|TransTableId","TPP",$L567,"492"),"")</f>
        <v/>
      </c>
      <c r="N567" s="4" t="str">
        <f>IF(AtlasReport_1_Table_1[[#This Row],[Reference]]="Purchase order",_xll.AtlasFormulas.AtlasFunctions.AtlasBalance("UAT",DataAreaId,"T.MarkupTrans","Sum|Posted|0","","","","","","","MarkupCode|TransTableId|TransRecId","TPP","492",$L567),"")</f>
        <v/>
      </c>
    </row>
    <row r="568" spans="1:14" x14ac:dyDescent="0.25">
      <c r="A568" s="8" t="s">
        <v>21</v>
      </c>
      <c r="B568" s="8" t="s">
        <v>1993</v>
      </c>
      <c r="C568" s="8" t="s">
        <v>131</v>
      </c>
      <c r="D568" s="8" t="s">
        <v>132</v>
      </c>
      <c r="E568" s="8" t="s">
        <v>261</v>
      </c>
      <c r="F568" s="8" t="s">
        <v>264</v>
      </c>
      <c r="G568" s="6">
        <v>43089</v>
      </c>
      <c r="H568" s="6">
        <v>43089</v>
      </c>
      <c r="I568" s="4">
        <v>-7</v>
      </c>
      <c r="J568" s="8" t="s">
        <v>37</v>
      </c>
      <c r="K568" s="8" t="s">
        <v>2003</v>
      </c>
      <c r="L568" s="4" t="str">
        <f>IF(AtlasReport_1_Table_1[[#This Row],[Reference]]="Purchase order",_xll.AtlasFormulas.AtlasFunctions.AtlasTable("UAT",DataAreaId,"T.VendInvoiceTrans","%RecId","","","","","","","ItemId|PurchID|InventTransId",$C568,$B568,$K568),"")</f>
        <v/>
      </c>
      <c r="M568" s="4" t="str">
        <f>IF(AtlasReport_1_Table_1[[#This Row],[Reference]]="Purchase order",_xll.AtlasFormulas.AtlasFunctions.AtlasTable("UAT",DataAreaId,"T.MarkupTrans","%CurrencyCode","","","","","","","MarkupCode|TransRecId|TransTableId","TPP",$L568,"492"),"")</f>
        <v/>
      </c>
      <c r="N568" s="4" t="str">
        <f>IF(AtlasReport_1_Table_1[[#This Row],[Reference]]="Purchase order",_xll.AtlasFormulas.AtlasFunctions.AtlasBalance("UAT",DataAreaId,"T.MarkupTrans","Sum|Posted|0","","","","","","","MarkupCode|TransTableId|TransRecId","TPP","492",$L568),"")</f>
        <v/>
      </c>
    </row>
    <row r="569" spans="1:14" x14ac:dyDescent="0.25">
      <c r="A569" s="8" t="s">
        <v>21</v>
      </c>
      <c r="B569" s="8" t="s">
        <v>1993</v>
      </c>
      <c r="C569" s="8" t="s">
        <v>134</v>
      </c>
      <c r="D569" s="8" t="s">
        <v>135</v>
      </c>
      <c r="E569" s="8" t="s">
        <v>261</v>
      </c>
      <c r="F569" s="8" t="s">
        <v>264</v>
      </c>
      <c r="G569" s="6">
        <v>43089</v>
      </c>
      <c r="H569" s="6">
        <v>43089</v>
      </c>
      <c r="I569" s="4">
        <v>1</v>
      </c>
      <c r="J569" s="8" t="s">
        <v>37</v>
      </c>
      <c r="K569" s="8" t="s">
        <v>2004</v>
      </c>
      <c r="L569" s="4" t="str">
        <f>IF(AtlasReport_1_Table_1[[#This Row],[Reference]]="Purchase order",_xll.AtlasFormulas.AtlasFunctions.AtlasTable("UAT",DataAreaId,"T.VendInvoiceTrans","%RecId","","","","","","","ItemId|PurchID|InventTransId",$C569,$B569,$K569),"")</f>
        <v/>
      </c>
      <c r="M569" s="4" t="str">
        <f>IF(AtlasReport_1_Table_1[[#This Row],[Reference]]="Purchase order",_xll.AtlasFormulas.AtlasFunctions.AtlasTable("UAT",DataAreaId,"T.MarkupTrans","%CurrencyCode","","","","","","","MarkupCode|TransRecId|TransTableId","TPP",$L569,"492"),"")</f>
        <v/>
      </c>
      <c r="N569" s="4" t="str">
        <f>IF(AtlasReport_1_Table_1[[#This Row],[Reference]]="Purchase order",_xll.AtlasFormulas.AtlasFunctions.AtlasBalance("UAT",DataAreaId,"T.MarkupTrans","Sum|Posted|0","","","","","","","MarkupCode|TransTableId|TransRecId","TPP","492",$L569),"")</f>
        <v/>
      </c>
    </row>
    <row r="570" spans="1:14" x14ac:dyDescent="0.25">
      <c r="A570" s="8" t="s">
        <v>21</v>
      </c>
      <c r="B570" s="8" t="s">
        <v>1993</v>
      </c>
      <c r="C570" s="8" t="s">
        <v>409</v>
      </c>
      <c r="D570" s="8" t="s">
        <v>1147</v>
      </c>
      <c r="E570" s="8" t="s">
        <v>261</v>
      </c>
      <c r="F570" s="8" t="s">
        <v>264</v>
      </c>
      <c r="G570" s="6">
        <v>43089</v>
      </c>
      <c r="H570" s="6">
        <v>43089</v>
      </c>
      <c r="I570" s="4">
        <v>-1</v>
      </c>
      <c r="J570" s="8" t="s">
        <v>37</v>
      </c>
      <c r="K570" s="8" t="s">
        <v>2005</v>
      </c>
      <c r="L570" s="4" t="str">
        <f>IF(AtlasReport_1_Table_1[[#This Row],[Reference]]="Purchase order",_xll.AtlasFormulas.AtlasFunctions.AtlasTable("UAT",DataAreaId,"T.VendInvoiceTrans","%RecId","","","","","","","ItemId|PurchID|InventTransId",$C570,$B570,$K570),"")</f>
        <v/>
      </c>
      <c r="M570" s="4" t="str">
        <f>IF(AtlasReport_1_Table_1[[#This Row],[Reference]]="Purchase order",_xll.AtlasFormulas.AtlasFunctions.AtlasTable("UAT",DataAreaId,"T.MarkupTrans","%CurrencyCode","","","","","","","MarkupCode|TransRecId|TransTableId","TPP",$L570,"492"),"")</f>
        <v/>
      </c>
      <c r="N570" s="4" t="str">
        <f>IF(AtlasReport_1_Table_1[[#This Row],[Reference]]="Purchase order",_xll.AtlasFormulas.AtlasFunctions.AtlasBalance("UAT",DataAreaId,"T.MarkupTrans","Sum|Posted|0","","","","","","","MarkupCode|TransTableId|TransRecId","TPP","492",$L570),"")</f>
        <v/>
      </c>
    </row>
    <row r="571" spans="1:14" x14ac:dyDescent="0.25">
      <c r="A571" s="8" t="s">
        <v>21</v>
      </c>
      <c r="B571" s="8" t="s">
        <v>1993</v>
      </c>
      <c r="C571" s="8" t="s">
        <v>108</v>
      </c>
      <c r="D571" s="8" t="s">
        <v>109</v>
      </c>
      <c r="E571" s="8" t="s">
        <v>261</v>
      </c>
      <c r="F571" s="8" t="s">
        <v>264</v>
      </c>
      <c r="G571" s="6">
        <v>43089</v>
      </c>
      <c r="H571" s="6">
        <v>43089</v>
      </c>
      <c r="I571" s="4">
        <v>-1</v>
      </c>
      <c r="J571" s="8" t="s">
        <v>37</v>
      </c>
      <c r="K571" s="8" t="s">
        <v>2006</v>
      </c>
      <c r="L571" s="4" t="str">
        <f>IF(AtlasReport_1_Table_1[[#This Row],[Reference]]="Purchase order",_xll.AtlasFormulas.AtlasFunctions.AtlasTable("UAT",DataAreaId,"T.VendInvoiceTrans","%RecId","","","","","","","ItemId|PurchID|InventTransId",$C571,$B571,$K571),"")</f>
        <v/>
      </c>
      <c r="M571" s="4" t="str">
        <f>IF(AtlasReport_1_Table_1[[#This Row],[Reference]]="Purchase order",_xll.AtlasFormulas.AtlasFunctions.AtlasTable("UAT",DataAreaId,"T.MarkupTrans","%CurrencyCode","","","","","","","MarkupCode|TransRecId|TransTableId","TPP",$L571,"492"),"")</f>
        <v/>
      </c>
      <c r="N571" s="4" t="str">
        <f>IF(AtlasReport_1_Table_1[[#This Row],[Reference]]="Purchase order",_xll.AtlasFormulas.AtlasFunctions.AtlasBalance("UAT",DataAreaId,"T.MarkupTrans","Sum|Posted|0","","","","","","","MarkupCode|TransTableId|TransRecId","TPP","492",$L571),"")</f>
        <v/>
      </c>
    </row>
    <row r="572" spans="1:14" x14ac:dyDescent="0.25">
      <c r="A572" s="8" t="s">
        <v>21</v>
      </c>
      <c r="B572" s="8" t="s">
        <v>1993</v>
      </c>
      <c r="C572" s="8" t="s">
        <v>114</v>
      </c>
      <c r="D572" s="8" t="s">
        <v>115</v>
      </c>
      <c r="E572" s="8" t="s">
        <v>261</v>
      </c>
      <c r="F572" s="8" t="s">
        <v>264</v>
      </c>
      <c r="G572" s="6">
        <v>43089</v>
      </c>
      <c r="H572" s="6">
        <v>43089</v>
      </c>
      <c r="I572" s="4">
        <v>4</v>
      </c>
      <c r="J572" s="8" t="s">
        <v>37</v>
      </c>
      <c r="K572" s="8" t="s">
        <v>2007</v>
      </c>
      <c r="L572" s="4" t="str">
        <f>IF(AtlasReport_1_Table_1[[#This Row],[Reference]]="Purchase order",_xll.AtlasFormulas.AtlasFunctions.AtlasTable("UAT",DataAreaId,"T.VendInvoiceTrans","%RecId","","","","","","","ItemId|PurchID|InventTransId",$C572,$B572,$K572),"")</f>
        <v/>
      </c>
      <c r="M572" s="4" t="str">
        <f>IF(AtlasReport_1_Table_1[[#This Row],[Reference]]="Purchase order",_xll.AtlasFormulas.AtlasFunctions.AtlasTable("UAT",DataAreaId,"T.MarkupTrans","%CurrencyCode","","","","","","","MarkupCode|TransRecId|TransTableId","TPP",$L572,"492"),"")</f>
        <v/>
      </c>
      <c r="N572" s="4" t="str">
        <f>IF(AtlasReport_1_Table_1[[#This Row],[Reference]]="Purchase order",_xll.AtlasFormulas.AtlasFunctions.AtlasBalance("UAT",DataAreaId,"T.MarkupTrans","Sum|Posted|0","","","","","","","MarkupCode|TransTableId|TransRecId","TPP","492",$L572),"")</f>
        <v/>
      </c>
    </row>
    <row r="573" spans="1:14" x14ac:dyDescent="0.25">
      <c r="A573" s="8" t="s">
        <v>21</v>
      </c>
      <c r="B573" s="8" t="s">
        <v>1993</v>
      </c>
      <c r="C573" s="8" t="s">
        <v>455</v>
      </c>
      <c r="D573" s="8" t="s">
        <v>1242</v>
      </c>
      <c r="E573" s="8" t="s">
        <v>261</v>
      </c>
      <c r="F573" s="8" t="s">
        <v>264</v>
      </c>
      <c r="G573" s="6">
        <v>43089</v>
      </c>
      <c r="H573" s="6">
        <v>43089</v>
      </c>
      <c r="I573" s="4">
        <v>6</v>
      </c>
      <c r="J573" s="8" t="s">
        <v>37</v>
      </c>
      <c r="K573" s="8" t="s">
        <v>2008</v>
      </c>
      <c r="L573" s="4" t="str">
        <f>IF(AtlasReport_1_Table_1[[#This Row],[Reference]]="Purchase order",_xll.AtlasFormulas.AtlasFunctions.AtlasTable("UAT",DataAreaId,"T.VendInvoiceTrans","%RecId","","","","","","","ItemId|PurchID|InventTransId",$C573,$B573,$K573),"")</f>
        <v/>
      </c>
      <c r="M573" s="4" t="str">
        <f>IF(AtlasReport_1_Table_1[[#This Row],[Reference]]="Purchase order",_xll.AtlasFormulas.AtlasFunctions.AtlasTable("UAT",DataAreaId,"T.MarkupTrans","%CurrencyCode","","","","","","","MarkupCode|TransRecId|TransTableId","TPP",$L573,"492"),"")</f>
        <v/>
      </c>
      <c r="N573" s="4" t="str">
        <f>IF(AtlasReport_1_Table_1[[#This Row],[Reference]]="Purchase order",_xll.AtlasFormulas.AtlasFunctions.AtlasBalance("UAT",DataAreaId,"T.MarkupTrans","Sum|Posted|0","","","","","","","MarkupCode|TransTableId|TransRecId","TPP","492",$L573),"")</f>
        <v/>
      </c>
    </row>
    <row r="574" spans="1:14" x14ac:dyDescent="0.25">
      <c r="A574" s="8" t="s">
        <v>21</v>
      </c>
      <c r="B574" s="8" t="s">
        <v>1993</v>
      </c>
      <c r="C574" s="8" t="s">
        <v>23</v>
      </c>
      <c r="D574" s="8" t="s">
        <v>883</v>
      </c>
      <c r="E574" s="8" t="s">
        <v>261</v>
      </c>
      <c r="F574" s="8" t="s">
        <v>264</v>
      </c>
      <c r="G574" s="6">
        <v>43089</v>
      </c>
      <c r="H574" s="6">
        <v>43089</v>
      </c>
      <c r="I574" s="4">
        <v>-110</v>
      </c>
      <c r="J574" s="8" t="s">
        <v>37</v>
      </c>
      <c r="K574" s="8" t="s">
        <v>2009</v>
      </c>
      <c r="L574" s="4" t="str">
        <f>IF(AtlasReport_1_Table_1[[#This Row],[Reference]]="Purchase order",_xll.AtlasFormulas.AtlasFunctions.AtlasTable("UAT",DataAreaId,"T.VendInvoiceTrans","%RecId","","","","","","","ItemId|PurchID|InventTransId",$C574,$B574,$K574),"")</f>
        <v/>
      </c>
      <c r="M574" s="4" t="str">
        <f>IF(AtlasReport_1_Table_1[[#This Row],[Reference]]="Purchase order",_xll.AtlasFormulas.AtlasFunctions.AtlasTable("UAT",DataAreaId,"T.MarkupTrans","%CurrencyCode","","","","","","","MarkupCode|TransRecId|TransTableId","TPP",$L574,"492"),"")</f>
        <v/>
      </c>
      <c r="N574" s="4" t="str">
        <f>IF(AtlasReport_1_Table_1[[#This Row],[Reference]]="Purchase order",_xll.AtlasFormulas.AtlasFunctions.AtlasBalance("UAT",DataAreaId,"T.MarkupTrans","Sum|Posted|0","","","","","","","MarkupCode|TransTableId|TransRecId","TPP","492",$L574),"")</f>
        <v/>
      </c>
    </row>
    <row r="575" spans="1:14" x14ac:dyDescent="0.25">
      <c r="A575" s="8" t="s">
        <v>21</v>
      </c>
      <c r="B575" s="8" t="s">
        <v>1993</v>
      </c>
      <c r="C575" s="8" t="s">
        <v>67</v>
      </c>
      <c r="D575" s="8" t="s">
        <v>907</v>
      </c>
      <c r="E575" s="8" t="s">
        <v>261</v>
      </c>
      <c r="F575" s="8" t="s">
        <v>264</v>
      </c>
      <c r="G575" s="6">
        <v>43089</v>
      </c>
      <c r="H575" s="6">
        <v>43089</v>
      </c>
      <c r="I575" s="4">
        <v>-8</v>
      </c>
      <c r="J575" s="8" t="s">
        <v>37</v>
      </c>
      <c r="K575" s="8" t="s">
        <v>2010</v>
      </c>
      <c r="L575" s="4" t="str">
        <f>IF(AtlasReport_1_Table_1[[#This Row],[Reference]]="Purchase order",_xll.AtlasFormulas.AtlasFunctions.AtlasTable("UAT",DataAreaId,"T.VendInvoiceTrans","%RecId","","","","","","","ItemId|PurchID|InventTransId",$C575,$B575,$K575),"")</f>
        <v/>
      </c>
      <c r="M575" s="4" t="str">
        <f>IF(AtlasReport_1_Table_1[[#This Row],[Reference]]="Purchase order",_xll.AtlasFormulas.AtlasFunctions.AtlasTable("UAT",DataAreaId,"T.MarkupTrans","%CurrencyCode","","","","","","","MarkupCode|TransRecId|TransTableId","TPP",$L575,"492"),"")</f>
        <v/>
      </c>
      <c r="N575" s="4" t="str">
        <f>IF(AtlasReport_1_Table_1[[#This Row],[Reference]]="Purchase order",_xll.AtlasFormulas.AtlasFunctions.AtlasBalance("UAT",DataAreaId,"T.MarkupTrans","Sum|Posted|0","","","","","","","MarkupCode|TransTableId|TransRecId","TPP","492",$L575),"")</f>
        <v/>
      </c>
    </row>
    <row r="576" spans="1:14" x14ac:dyDescent="0.25">
      <c r="A576" s="8" t="s">
        <v>21</v>
      </c>
      <c r="B576" s="8" t="s">
        <v>1993</v>
      </c>
      <c r="C576" s="8" t="s">
        <v>28</v>
      </c>
      <c r="D576" s="8" t="s">
        <v>928</v>
      </c>
      <c r="E576" s="8" t="s">
        <v>261</v>
      </c>
      <c r="F576" s="8" t="s">
        <v>264</v>
      </c>
      <c r="G576" s="6">
        <v>43089</v>
      </c>
      <c r="H576" s="6">
        <v>43089</v>
      </c>
      <c r="I576" s="4">
        <v>2</v>
      </c>
      <c r="J576" s="8" t="s">
        <v>37</v>
      </c>
      <c r="K576" s="8" t="s">
        <v>2011</v>
      </c>
      <c r="L576" s="4" t="str">
        <f>IF(AtlasReport_1_Table_1[[#This Row],[Reference]]="Purchase order",_xll.AtlasFormulas.AtlasFunctions.AtlasTable("UAT",DataAreaId,"T.VendInvoiceTrans","%RecId","","","","","","","ItemId|PurchID|InventTransId",$C576,$B576,$K576),"")</f>
        <v/>
      </c>
      <c r="M576" s="4" t="str">
        <f>IF(AtlasReport_1_Table_1[[#This Row],[Reference]]="Purchase order",_xll.AtlasFormulas.AtlasFunctions.AtlasTable("UAT",DataAreaId,"T.MarkupTrans","%CurrencyCode","","","","","","","MarkupCode|TransRecId|TransTableId","TPP",$L576,"492"),"")</f>
        <v/>
      </c>
      <c r="N576" s="4" t="str">
        <f>IF(AtlasReport_1_Table_1[[#This Row],[Reference]]="Purchase order",_xll.AtlasFormulas.AtlasFunctions.AtlasBalance("UAT",DataAreaId,"T.MarkupTrans","Sum|Posted|0","","","","","","","MarkupCode|TransTableId|TransRecId","TPP","492",$L576),"")</f>
        <v/>
      </c>
    </row>
    <row r="577" spans="1:14" x14ac:dyDescent="0.25">
      <c r="A577" s="8" t="s">
        <v>21</v>
      </c>
      <c r="B577" s="8" t="s">
        <v>1993</v>
      </c>
      <c r="C577" s="8" t="s">
        <v>518</v>
      </c>
      <c r="D577" s="8" t="s">
        <v>1334</v>
      </c>
      <c r="E577" s="8" t="s">
        <v>261</v>
      </c>
      <c r="F577" s="8" t="s">
        <v>264</v>
      </c>
      <c r="G577" s="6">
        <v>43089</v>
      </c>
      <c r="H577" s="6">
        <v>43089</v>
      </c>
      <c r="I577" s="4">
        <v>-3</v>
      </c>
      <c r="J577" s="8" t="s">
        <v>37</v>
      </c>
      <c r="K577" s="8" t="s">
        <v>2012</v>
      </c>
      <c r="L577" s="4" t="str">
        <f>IF(AtlasReport_1_Table_1[[#This Row],[Reference]]="Purchase order",_xll.AtlasFormulas.AtlasFunctions.AtlasTable("UAT",DataAreaId,"T.VendInvoiceTrans","%RecId","","","","","","","ItemId|PurchID|InventTransId",$C577,$B577,$K577),"")</f>
        <v/>
      </c>
      <c r="M577" s="4" t="str">
        <f>IF(AtlasReport_1_Table_1[[#This Row],[Reference]]="Purchase order",_xll.AtlasFormulas.AtlasFunctions.AtlasTable("UAT",DataAreaId,"T.MarkupTrans","%CurrencyCode","","","","","","","MarkupCode|TransRecId|TransTableId","TPP",$L577,"492"),"")</f>
        <v/>
      </c>
      <c r="N577" s="4" t="str">
        <f>IF(AtlasReport_1_Table_1[[#This Row],[Reference]]="Purchase order",_xll.AtlasFormulas.AtlasFunctions.AtlasBalance("UAT",DataAreaId,"T.MarkupTrans","Sum|Posted|0","","","","","","","MarkupCode|TransTableId|TransRecId","TPP","492",$L577),"")</f>
        <v/>
      </c>
    </row>
    <row r="578" spans="1:14" x14ac:dyDescent="0.25">
      <c r="A578" s="8" t="s">
        <v>21</v>
      </c>
      <c r="B578" s="8" t="s">
        <v>1993</v>
      </c>
      <c r="C578" s="8" t="s">
        <v>542</v>
      </c>
      <c r="D578" s="8" t="s">
        <v>1358</v>
      </c>
      <c r="E578" s="8" t="s">
        <v>261</v>
      </c>
      <c r="F578" s="8" t="s">
        <v>264</v>
      </c>
      <c r="G578" s="6">
        <v>43089</v>
      </c>
      <c r="H578" s="6">
        <v>43089</v>
      </c>
      <c r="I578" s="4">
        <v>-20</v>
      </c>
      <c r="J578" s="8" t="s">
        <v>120</v>
      </c>
      <c r="K578" s="8" t="s">
        <v>2013</v>
      </c>
      <c r="L578" s="4" t="str">
        <f>IF(AtlasReport_1_Table_1[[#This Row],[Reference]]="Purchase order",_xll.AtlasFormulas.AtlasFunctions.AtlasTable("UAT",DataAreaId,"T.VendInvoiceTrans","%RecId","","","","","","","ItemId|PurchID|InventTransId",$C578,$B578,$K578),"")</f>
        <v/>
      </c>
      <c r="M578" s="4" t="str">
        <f>IF(AtlasReport_1_Table_1[[#This Row],[Reference]]="Purchase order",_xll.AtlasFormulas.AtlasFunctions.AtlasTable("UAT",DataAreaId,"T.MarkupTrans","%CurrencyCode","","","","","","","MarkupCode|TransRecId|TransTableId","TPP",$L578,"492"),"")</f>
        <v/>
      </c>
      <c r="N578" s="4" t="str">
        <f>IF(AtlasReport_1_Table_1[[#This Row],[Reference]]="Purchase order",_xll.AtlasFormulas.AtlasFunctions.AtlasBalance("UAT",DataAreaId,"T.MarkupTrans","Sum|Posted|0","","","","","","","MarkupCode|TransTableId|TransRecId","TPP","492",$L578),"")</f>
        <v/>
      </c>
    </row>
    <row r="579" spans="1:14" ht="30" x14ac:dyDescent="0.25">
      <c r="A579" s="8" t="s">
        <v>21</v>
      </c>
      <c r="B579" s="8" t="s">
        <v>1993</v>
      </c>
      <c r="C579" s="8" t="s">
        <v>242</v>
      </c>
      <c r="D579" s="11" t="s">
        <v>243</v>
      </c>
      <c r="E579" s="8" t="s">
        <v>261</v>
      </c>
      <c r="F579" s="8" t="s">
        <v>264</v>
      </c>
      <c r="G579" s="6">
        <v>43089</v>
      </c>
      <c r="H579" s="6">
        <v>43089</v>
      </c>
      <c r="I579" s="4">
        <v>-21</v>
      </c>
      <c r="J579" s="8" t="s">
        <v>37</v>
      </c>
      <c r="K579" s="8" t="s">
        <v>2014</v>
      </c>
      <c r="L579" s="4" t="str">
        <f>IF(AtlasReport_1_Table_1[[#This Row],[Reference]]="Purchase order",_xll.AtlasFormulas.AtlasFunctions.AtlasTable("UAT",DataAreaId,"T.VendInvoiceTrans","%RecId","","","","","","","ItemId|PurchID|InventTransId",$C579,$B579,$K579),"")</f>
        <v/>
      </c>
      <c r="M579" s="4" t="str">
        <f>IF(AtlasReport_1_Table_1[[#This Row],[Reference]]="Purchase order",_xll.AtlasFormulas.AtlasFunctions.AtlasTable("UAT",DataAreaId,"T.MarkupTrans","%CurrencyCode","","","","","","","MarkupCode|TransRecId|TransTableId","TPP",$L579,"492"),"")</f>
        <v/>
      </c>
      <c r="N579" s="4" t="str">
        <f>IF(AtlasReport_1_Table_1[[#This Row],[Reference]]="Purchase order",_xll.AtlasFormulas.AtlasFunctions.AtlasBalance("UAT",DataAreaId,"T.MarkupTrans","Sum|Posted|0","","","","","","","MarkupCode|TransTableId|TransRecId","TPP","492",$L579),"")</f>
        <v/>
      </c>
    </row>
    <row r="580" spans="1:14" x14ac:dyDescent="0.25">
      <c r="A580" s="8" t="s">
        <v>21</v>
      </c>
      <c r="B580" s="8" t="s">
        <v>1993</v>
      </c>
      <c r="C580" s="8" t="s">
        <v>117</v>
      </c>
      <c r="D580" s="8" t="s">
        <v>118</v>
      </c>
      <c r="E580" s="8" t="s">
        <v>261</v>
      </c>
      <c r="F580" s="8" t="s">
        <v>264</v>
      </c>
      <c r="G580" s="6">
        <v>43089</v>
      </c>
      <c r="H580" s="6">
        <v>43089</v>
      </c>
      <c r="I580" s="4">
        <v>-2</v>
      </c>
      <c r="J580" s="8" t="s">
        <v>37</v>
      </c>
      <c r="K580" s="8" t="s">
        <v>2015</v>
      </c>
      <c r="L580" s="4" t="str">
        <f>IF(AtlasReport_1_Table_1[[#This Row],[Reference]]="Purchase order",_xll.AtlasFormulas.AtlasFunctions.AtlasTable("UAT",DataAreaId,"T.VendInvoiceTrans","%RecId","","","","","","","ItemId|PurchID|InventTransId",$C580,$B580,$K580),"")</f>
        <v/>
      </c>
      <c r="M580" s="4" t="str">
        <f>IF(AtlasReport_1_Table_1[[#This Row],[Reference]]="Purchase order",_xll.AtlasFormulas.AtlasFunctions.AtlasTable("UAT",DataAreaId,"T.MarkupTrans","%CurrencyCode","","","","","","","MarkupCode|TransRecId|TransTableId","TPP",$L580,"492"),"")</f>
        <v/>
      </c>
      <c r="N580" s="4" t="str">
        <f>IF(AtlasReport_1_Table_1[[#This Row],[Reference]]="Purchase order",_xll.AtlasFormulas.AtlasFunctions.AtlasBalance("UAT",DataAreaId,"T.MarkupTrans","Sum|Posted|0","","","","","","","MarkupCode|TransTableId|TransRecId","TPP","492",$L580),"")</f>
        <v/>
      </c>
    </row>
    <row r="581" spans="1:14" x14ac:dyDescent="0.25">
      <c r="A581" s="8" t="s">
        <v>21</v>
      </c>
      <c r="B581" s="8" t="s">
        <v>1993</v>
      </c>
      <c r="C581" s="8" t="s">
        <v>244</v>
      </c>
      <c r="D581" s="8" t="s">
        <v>245</v>
      </c>
      <c r="E581" s="8" t="s">
        <v>261</v>
      </c>
      <c r="F581" s="8" t="s">
        <v>264</v>
      </c>
      <c r="G581" s="6">
        <v>43089</v>
      </c>
      <c r="H581" s="6">
        <v>43089</v>
      </c>
      <c r="I581" s="4">
        <v>4</v>
      </c>
      <c r="J581" s="8" t="s">
        <v>37</v>
      </c>
      <c r="K581" s="8" t="s">
        <v>2016</v>
      </c>
      <c r="L581" s="4" t="str">
        <f>IF(AtlasReport_1_Table_1[[#This Row],[Reference]]="Purchase order",_xll.AtlasFormulas.AtlasFunctions.AtlasTable("UAT",DataAreaId,"T.VendInvoiceTrans","%RecId","","","","","","","ItemId|PurchID|InventTransId",$C581,$B581,$K581),"")</f>
        <v/>
      </c>
      <c r="M581" s="4" t="str">
        <f>IF(AtlasReport_1_Table_1[[#This Row],[Reference]]="Purchase order",_xll.AtlasFormulas.AtlasFunctions.AtlasTable("UAT",DataAreaId,"T.MarkupTrans","%CurrencyCode","","","","","","","MarkupCode|TransRecId|TransTableId","TPP",$L581,"492"),"")</f>
        <v/>
      </c>
      <c r="N581" s="4" t="str">
        <f>IF(AtlasReport_1_Table_1[[#This Row],[Reference]]="Purchase order",_xll.AtlasFormulas.AtlasFunctions.AtlasBalance("UAT",DataAreaId,"T.MarkupTrans","Sum|Posted|0","","","","","","","MarkupCode|TransTableId|TransRecId","TPP","492",$L581),"")</f>
        <v/>
      </c>
    </row>
    <row r="582" spans="1:14" x14ac:dyDescent="0.25">
      <c r="A582" s="8" t="s">
        <v>21</v>
      </c>
      <c r="B582" s="8" t="s">
        <v>1993</v>
      </c>
      <c r="C582" s="8" t="s">
        <v>546</v>
      </c>
      <c r="D582" s="8" t="s">
        <v>1363</v>
      </c>
      <c r="E582" s="8" t="s">
        <v>261</v>
      </c>
      <c r="F582" s="8" t="s">
        <v>264</v>
      </c>
      <c r="G582" s="6">
        <v>43089</v>
      </c>
      <c r="H582" s="6">
        <v>43089</v>
      </c>
      <c r="I582" s="4">
        <v>-62</v>
      </c>
      <c r="J582" s="8" t="s">
        <v>37</v>
      </c>
      <c r="K582" s="8" t="s">
        <v>2017</v>
      </c>
      <c r="L582" s="4" t="str">
        <f>IF(AtlasReport_1_Table_1[[#This Row],[Reference]]="Purchase order",_xll.AtlasFormulas.AtlasFunctions.AtlasTable("UAT",DataAreaId,"T.VendInvoiceTrans","%RecId","","","","","","","ItemId|PurchID|InventTransId",$C582,$B582,$K582),"")</f>
        <v/>
      </c>
      <c r="M582" s="4" t="str">
        <f>IF(AtlasReport_1_Table_1[[#This Row],[Reference]]="Purchase order",_xll.AtlasFormulas.AtlasFunctions.AtlasTable("UAT",DataAreaId,"T.MarkupTrans","%CurrencyCode","","","","","","","MarkupCode|TransRecId|TransTableId","TPP",$L582,"492"),"")</f>
        <v/>
      </c>
      <c r="N582" s="4" t="str">
        <f>IF(AtlasReport_1_Table_1[[#This Row],[Reference]]="Purchase order",_xll.AtlasFormulas.AtlasFunctions.AtlasBalance("UAT",DataAreaId,"T.MarkupTrans","Sum|Posted|0","","","","","","","MarkupCode|TransTableId|TransRecId","TPP","492",$L582),"")</f>
        <v/>
      </c>
    </row>
    <row r="583" spans="1:14" x14ac:dyDescent="0.25">
      <c r="A583" s="8" t="s">
        <v>21</v>
      </c>
      <c r="B583" s="8" t="s">
        <v>2018</v>
      </c>
      <c r="C583" s="8" t="s">
        <v>268</v>
      </c>
      <c r="D583" s="8" t="s">
        <v>975</v>
      </c>
      <c r="E583" s="8" t="s">
        <v>261</v>
      </c>
      <c r="F583" s="8" t="s">
        <v>264</v>
      </c>
      <c r="G583" s="6">
        <v>43089</v>
      </c>
      <c r="H583" s="6">
        <v>43089</v>
      </c>
      <c r="I583" s="4">
        <v>-1</v>
      </c>
      <c r="J583" s="8" t="s">
        <v>37</v>
      </c>
      <c r="K583" s="8" t="s">
        <v>2019</v>
      </c>
      <c r="L583" s="4" t="str">
        <f>IF(AtlasReport_1_Table_1[[#This Row],[Reference]]="Purchase order",_xll.AtlasFormulas.AtlasFunctions.AtlasTable("UAT",DataAreaId,"T.VendInvoiceTrans","%RecId","","","","","","","ItemId|PurchID|InventTransId",$C583,$B583,$K583),"")</f>
        <v/>
      </c>
      <c r="M583" s="4" t="str">
        <f>IF(AtlasReport_1_Table_1[[#This Row],[Reference]]="Purchase order",_xll.AtlasFormulas.AtlasFunctions.AtlasTable("UAT",DataAreaId,"T.MarkupTrans","%CurrencyCode","","","","","","","MarkupCode|TransRecId|TransTableId","TPP",$L583,"492"),"")</f>
        <v/>
      </c>
      <c r="N583" s="4" t="str">
        <f>IF(AtlasReport_1_Table_1[[#This Row],[Reference]]="Purchase order",_xll.AtlasFormulas.AtlasFunctions.AtlasBalance("UAT",DataAreaId,"T.MarkupTrans","Sum|Posted|0","","","","","","","MarkupCode|TransTableId|TransRecId","TPP","492",$L583),"")</f>
        <v/>
      </c>
    </row>
    <row r="584" spans="1:14" x14ac:dyDescent="0.25">
      <c r="A584" s="8" t="s">
        <v>21</v>
      </c>
      <c r="B584" s="8" t="s">
        <v>2018</v>
      </c>
      <c r="C584" s="8" t="s">
        <v>274</v>
      </c>
      <c r="D584" s="8" t="s">
        <v>982</v>
      </c>
      <c r="E584" s="8" t="s">
        <v>261</v>
      </c>
      <c r="F584" s="8" t="s">
        <v>264</v>
      </c>
      <c r="G584" s="6">
        <v>43089</v>
      </c>
      <c r="H584" s="6">
        <v>43089</v>
      </c>
      <c r="I584" s="4">
        <v>-2.5</v>
      </c>
      <c r="J584" s="8" t="s">
        <v>120</v>
      </c>
      <c r="K584" s="8" t="s">
        <v>2020</v>
      </c>
      <c r="L584" s="4" t="str">
        <f>IF(AtlasReport_1_Table_1[[#This Row],[Reference]]="Purchase order",_xll.AtlasFormulas.AtlasFunctions.AtlasTable("UAT",DataAreaId,"T.VendInvoiceTrans","%RecId","","","","","","","ItemId|PurchID|InventTransId",$C584,$B584,$K584),"")</f>
        <v/>
      </c>
      <c r="M584" s="4" t="str">
        <f>IF(AtlasReport_1_Table_1[[#This Row],[Reference]]="Purchase order",_xll.AtlasFormulas.AtlasFunctions.AtlasTable("UAT",DataAreaId,"T.MarkupTrans","%CurrencyCode","","","","","","","MarkupCode|TransRecId|TransTableId","TPP",$L584,"492"),"")</f>
        <v/>
      </c>
      <c r="N584" s="4" t="str">
        <f>IF(AtlasReport_1_Table_1[[#This Row],[Reference]]="Purchase order",_xll.AtlasFormulas.AtlasFunctions.AtlasBalance("UAT",DataAreaId,"T.MarkupTrans","Sum|Posted|0","","","","","","","MarkupCode|TransTableId|TransRecId","TPP","492",$L584),"")</f>
        <v/>
      </c>
    </row>
    <row r="585" spans="1:14" x14ac:dyDescent="0.25">
      <c r="A585" s="8" t="s">
        <v>21</v>
      </c>
      <c r="B585" s="8" t="s">
        <v>2018</v>
      </c>
      <c r="C585" s="8" t="s">
        <v>280</v>
      </c>
      <c r="D585" s="8" t="s">
        <v>988</v>
      </c>
      <c r="E585" s="8" t="s">
        <v>261</v>
      </c>
      <c r="F585" s="8" t="s">
        <v>264</v>
      </c>
      <c r="G585" s="6">
        <v>43089</v>
      </c>
      <c r="H585" s="6">
        <v>43089</v>
      </c>
      <c r="I585" s="4">
        <v>389298</v>
      </c>
      <c r="J585" s="8" t="s">
        <v>37</v>
      </c>
      <c r="K585" s="8" t="s">
        <v>2021</v>
      </c>
      <c r="L585" s="4" t="str">
        <f>IF(AtlasReport_1_Table_1[[#This Row],[Reference]]="Purchase order",_xll.AtlasFormulas.AtlasFunctions.AtlasTable("UAT",DataAreaId,"T.VendInvoiceTrans","%RecId","","","","","","","ItemId|PurchID|InventTransId",$C585,$B585,$K585),"")</f>
        <v/>
      </c>
      <c r="M585" s="4" t="str">
        <f>IF(AtlasReport_1_Table_1[[#This Row],[Reference]]="Purchase order",_xll.AtlasFormulas.AtlasFunctions.AtlasTable("UAT",DataAreaId,"T.MarkupTrans","%CurrencyCode","","","","","","","MarkupCode|TransRecId|TransTableId","TPP",$L585,"492"),"")</f>
        <v/>
      </c>
      <c r="N585" s="4" t="str">
        <f>IF(AtlasReport_1_Table_1[[#This Row],[Reference]]="Purchase order",_xll.AtlasFormulas.AtlasFunctions.AtlasBalance("UAT",DataAreaId,"T.MarkupTrans","Sum|Posted|0","","","","","","","MarkupCode|TransTableId|TransRecId","TPP","492",$L585),"")</f>
        <v/>
      </c>
    </row>
    <row r="586" spans="1:14" x14ac:dyDescent="0.25">
      <c r="A586" s="8" t="s">
        <v>21</v>
      </c>
      <c r="B586" s="8" t="s">
        <v>2018</v>
      </c>
      <c r="C586" s="8" t="s">
        <v>434</v>
      </c>
      <c r="D586" s="8" t="s">
        <v>1181</v>
      </c>
      <c r="E586" s="8" t="s">
        <v>261</v>
      </c>
      <c r="F586" s="8" t="s">
        <v>264</v>
      </c>
      <c r="G586" s="6">
        <v>43089</v>
      </c>
      <c r="H586" s="6">
        <v>43089</v>
      </c>
      <c r="I586" s="4">
        <v>-4</v>
      </c>
      <c r="J586" s="8" t="s">
        <v>37</v>
      </c>
      <c r="K586" s="8" t="s">
        <v>2022</v>
      </c>
      <c r="L586" s="4" t="str">
        <f>IF(AtlasReport_1_Table_1[[#This Row],[Reference]]="Purchase order",_xll.AtlasFormulas.AtlasFunctions.AtlasTable("UAT",DataAreaId,"T.VendInvoiceTrans","%RecId","","","","","","","ItemId|PurchID|InventTransId",$C586,$B586,$K586),"")</f>
        <v/>
      </c>
      <c r="M586" s="4" t="str">
        <f>IF(AtlasReport_1_Table_1[[#This Row],[Reference]]="Purchase order",_xll.AtlasFormulas.AtlasFunctions.AtlasTable("UAT",DataAreaId,"T.MarkupTrans","%CurrencyCode","","","","","","","MarkupCode|TransRecId|TransTableId","TPP",$L586,"492"),"")</f>
        <v/>
      </c>
      <c r="N586" s="4" t="str">
        <f>IF(AtlasReport_1_Table_1[[#This Row],[Reference]]="Purchase order",_xll.AtlasFormulas.AtlasFunctions.AtlasBalance("UAT",DataAreaId,"T.MarkupTrans","Sum|Posted|0","","","","","","","MarkupCode|TransTableId|TransRecId","TPP","492",$L586),"")</f>
        <v/>
      </c>
    </row>
    <row r="587" spans="1:14" ht="45" x14ac:dyDescent="0.25">
      <c r="A587" s="8" t="s">
        <v>21</v>
      </c>
      <c r="B587" s="8" t="s">
        <v>2018</v>
      </c>
      <c r="C587" s="8" t="s">
        <v>523</v>
      </c>
      <c r="D587" s="11" t="s">
        <v>1339</v>
      </c>
      <c r="E587" s="8" t="s">
        <v>261</v>
      </c>
      <c r="F587" s="8" t="s">
        <v>264</v>
      </c>
      <c r="G587" s="6">
        <v>43089</v>
      </c>
      <c r="H587" s="6">
        <v>43089</v>
      </c>
      <c r="I587" s="4">
        <v>-880</v>
      </c>
      <c r="J587" s="8" t="s">
        <v>37</v>
      </c>
      <c r="K587" s="8" t="s">
        <v>2023</v>
      </c>
      <c r="L587" s="4" t="str">
        <f>IF(AtlasReport_1_Table_1[[#This Row],[Reference]]="Purchase order",_xll.AtlasFormulas.AtlasFunctions.AtlasTable("UAT",DataAreaId,"T.VendInvoiceTrans","%RecId","","","","","","","ItemId|PurchID|InventTransId",$C587,$B587,$K587),"")</f>
        <v/>
      </c>
      <c r="M587" s="4" t="str">
        <f>IF(AtlasReport_1_Table_1[[#This Row],[Reference]]="Purchase order",_xll.AtlasFormulas.AtlasFunctions.AtlasTable("UAT",DataAreaId,"T.MarkupTrans","%CurrencyCode","","","","","","","MarkupCode|TransRecId|TransTableId","TPP",$L587,"492"),"")</f>
        <v/>
      </c>
      <c r="N587" s="4" t="str">
        <f>IF(AtlasReport_1_Table_1[[#This Row],[Reference]]="Purchase order",_xll.AtlasFormulas.AtlasFunctions.AtlasBalance("UAT",DataAreaId,"T.MarkupTrans","Sum|Posted|0","","","","","","","MarkupCode|TransTableId|TransRecId","TPP","492",$L587),"")</f>
        <v/>
      </c>
    </row>
    <row r="588" spans="1:14" x14ac:dyDescent="0.25">
      <c r="A588" s="8" t="s">
        <v>21</v>
      </c>
      <c r="B588" s="8" t="s">
        <v>2018</v>
      </c>
      <c r="C588" s="8" t="s">
        <v>564</v>
      </c>
      <c r="D588" s="8" t="s">
        <v>1398</v>
      </c>
      <c r="E588" s="8" t="s">
        <v>261</v>
      </c>
      <c r="F588" s="8" t="s">
        <v>264</v>
      </c>
      <c r="G588" s="6">
        <v>43089</v>
      </c>
      <c r="H588" s="6">
        <v>43089</v>
      </c>
      <c r="I588" s="4">
        <v>-2</v>
      </c>
      <c r="J588" s="8" t="s">
        <v>1033</v>
      </c>
      <c r="K588" s="8" t="s">
        <v>2024</v>
      </c>
      <c r="L588" s="4" t="str">
        <f>IF(AtlasReport_1_Table_1[[#This Row],[Reference]]="Purchase order",_xll.AtlasFormulas.AtlasFunctions.AtlasTable("UAT",DataAreaId,"T.VendInvoiceTrans","%RecId","","","","","","","ItemId|PurchID|InventTransId",$C588,$B588,$K588),"")</f>
        <v/>
      </c>
      <c r="M588" s="4" t="str">
        <f>IF(AtlasReport_1_Table_1[[#This Row],[Reference]]="Purchase order",_xll.AtlasFormulas.AtlasFunctions.AtlasTable("UAT",DataAreaId,"T.MarkupTrans","%CurrencyCode","","","","","","","MarkupCode|TransRecId|TransTableId","TPP",$L588,"492"),"")</f>
        <v/>
      </c>
      <c r="N588" s="4" t="str">
        <f>IF(AtlasReport_1_Table_1[[#This Row],[Reference]]="Purchase order",_xll.AtlasFormulas.AtlasFunctions.AtlasBalance("UAT",DataAreaId,"T.MarkupTrans","Sum|Posted|0","","","","","","","MarkupCode|TransTableId|TransRecId","TPP","492",$L588),"")</f>
        <v/>
      </c>
    </row>
    <row r="589" spans="1:14" x14ac:dyDescent="0.25">
      <c r="A589" s="8" t="s">
        <v>21</v>
      </c>
      <c r="B589" s="8" t="s">
        <v>2018</v>
      </c>
      <c r="C589" s="8" t="s">
        <v>567</v>
      </c>
      <c r="D589" s="8" t="s">
        <v>1401</v>
      </c>
      <c r="E589" s="8" t="s">
        <v>261</v>
      </c>
      <c r="F589" s="8" t="s">
        <v>264</v>
      </c>
      <c r="G589" s="6">
        <v>43089</v>
      </c>
      <c r="H589" s="6">
        <v>43089</v>
      </c>
      <c r="I589" s="4">
        <v>-30</v>
      </c>
      <c r="J589" s="8" t="s">
        <v>37</v>
      </c>
      <c r="K589" s="8" t="s">
        <v>2025</v>
      </c>
      <c r="L589" s="4" t="str">
        <f>IF(AtlasReport_1_Table_1[[#This Row],[Reference]]="Purchase order",_xll.AtlasFormulas.AtlasFunctions.AtlasTable("UAT",DataAreaId,"T.VendInvoiceTrans","%RecId","","","","","","","ItemId|PurchID|InventTransId",$C589,$B589,$K589),"")</f>
        <v/>
      </c>
      <c r="M589" s="4" t="str">
        <f>IF(AtlasReport_1_Table_1[[#This Row],[Reference]]="Purchase order",_xll.AtlasFormulas.AtlasFunctions.AtlasTable("UAT",DataAreaId,"T.MarkupTrans","%CurrencyCode","","","","","","","MarkupCode|TransRecId|TransTableId","TPP",$L589,"492"),"")</f>
        <v/>
      </c>
      <c r="N589" s="4" t="str">
        <f>IF(AtlasReport_1_Table_1[[#This Row],[Reference]]="Purchase order",_xll.AtlasFormulas.AtlasFunctions.AtlasBalance("UAT",DataAreaId,"T.MarkupTrans","Sum|Posted|0","","","","","","","MarkupCode|TransTableId|TransRecId","TPP","492",$L589),"")</f>
        <v/>
      </c>
    </row>
    <row r="590" spans="1:14" x14ac:dyDescent="0.25">
      <c r="A590" s="8" t="s">
        <v>21</v>
      </c>
      <c r="B590" s="8" t="s">
        <v>2018</v>
      </c>
      <c r="C590" s="8" t="s">
        <v>568</v>
      </c>
      <c r="D590" s="8" t="s">
        <v>1402</v>
      </c>
      <c r="E590" s="8" t="s">
        <v>261</v>
      </c>
      <c r="F590" s="8" t="s">
        <v>264</v>
      </c>
      <c r="G590" s="6">
        <v>43089</v>
      </c>
      <c r="H590" s="6">
        <v>43089</v>
      </c>
      <c r="I590" s="4">
        <v>-228</v>
      </c>
      <c r="J590" s="8" t="s">
        <v>1033</v>
      </c>
      <c r="K590" s="8" t="s">
        <v>2026</v>
      </c>
      <c r="L590" s="4" t="str">
        <f>IF(AtlasReport_1_Table_1[[#This Row],[Reference]]="Purchase order",_xll.AtlasFormulas.AtlasFunctions.AtlasTable("UAT",DataAreaId,"T.VendInvoiceTrans","%RecId","","","","","","","ItemId|PurchID|InventTransId",$C590,$B590,$K590),"")</f>
        <v/>
      </c>
      <c r="M590" s="4" t="str">
        <f>IF(AtlasReport_1_Table_1[[#This Row],[Reference]]="Purchase order",_xll.AtlasFormulas.AtlasFunctions.AtlasTable("UAT",DataAreaId,"T.MarkupTrans","%CurrencyCode","","","","","","","MarkupCode|TransRecId|TransTableId","TPP",$L590,"492"),"")</f>
        <v/>
      </c>
      <c r="N590" s="4" t="str">
        <f>IF(AtlasReport_1_Table_1[[#This Row],[Reference]]="Purchase order",_xll.AtlasFormulas.AtlasFunctions.AtlasBalance("UAT",DataAreaId,"T.MarkupTrans","Sum|Posted|0","","","","","","","MarkupCode|TransTableId|TransRecId","TPP","492",$L590),"")</f>
        <v/>
      </c>
    </row>
    <row r="591" spans="1:14" x14ac:dyDescent="0.25">
      <c r="A591" s="8" t="s">
        <v>21</v>
      </c>
      <c r="B591" s="8" t="s">
        <v>2018</v>
      </c>
      <c r="C591" s="8" t="s">
        <v>569</v>
      </c>
      <c r="D591" s="8" t="s">
        <v>1403</v>
      </c>
      <c r="E591" s="8" t="s">
        <v>261</v>
      </c>
      <c r="F591" s="8" t="s">
        <v>264</v>
      </c>
      <c r="G591" s="6">
        <v>43089</v>
      </c>
      <c r="H591" s="6">
        <v>43089</v>
      </c>
      <c r="I591" s="4">
        <v>-5</v>
      </c>
      <c r="J591" s="8" t="s">
        <v>1033</v>
      </c>
      <c r="K591" s="8" t="s">
        <v>2027</v>
      </c>
      <c r="L591" s="4" t="str">
        <f>IF(AtlasReport_1_Table_1[[#This Row],[Reference]]="Purchase order",_xll.AtlasFormulas.AtlasFunctions.AtlasTable("UAT",DataAreaId,"T.VendInvoiceTrans","%RecId","","","","","","","ItemId|PurchID|InventTransId",$C591,$B591,$K591),"")</f>
        <v/>
      </c>
      <c r="M591" s="4" t="str">
        <f>IF(AtlasReport_1_Table_1[[#This Row],[Reference]]="Purchase order",_xll.AtlasFormulas.AtlasFunctions.AtlasTable("UAT",DataAreaId,"T.MarkupTrans","%CurrencyCode","","","","","","","MarkupCode|TransRecId|TransTableId","TPP",$L591,"492"),"")</f>
        <v/>
      </c>
      <c r="N591" s="4" t="str">
        <f>IF(AtlasReport_1_Table_1[[#This Row],[Reference]]="Purchase order",_xll.AtlasFormulas.AtlasFunctions.AtlasBalance("UAT",DataAreaId,"T.MarkupTrans","Sum|Posted|0","","","","","","","MarkupCode|TransTableId|TransRecId","TPP","492",$L591),"")</f>
        <v/>
      </c>
    </row>
    <row r="592" spans="1:14" x14ac:dyDescent="0.25">
      <c r="A592" s="8" t="s">
        <v>21</v>
      </c>
      <c r="B592" s="8" t="s">
        <v>2018</v>
      </c>
      <c r="C592" s="8" t="s">
        <v>570</v>
      </c>
      <c r="D592" s="8" t="s">
        <v>1404</v>
      </c>
      <c r="E592" s="8" t="s">
        <v>261</v>
      </c>
      <c r="F592" s="8" t="s">
        <v>264</v>
      </c>
      <c r="G592" s="6">
        <v>43089</v>
      </c>
      <c r="H592" s="6">
        <v>43089</v>
      </c>
      <c r="I592" s="4">
        <v>-39</v>
      </c>
      <c r="J592" s="8" t="s">
        <v>1033</v>
      </c>
      <c r="K592" s="8" t="s">
        <v>2028</v>
      </c>
      <c r="L592" s="4" t="str">
        <f>IF(AtlasReport_1_Table_1[[#This Row],[Reference]]="Purchase order",_xll.AtlasFormulas.AtlasFunctions.AtlasTable("UAT",DataAreaId,"T.VendInvoiceTrans","%RecId","","","","","","","ItemId|PurchID|InventTransId",$C592,$B592,$K592),"")</f>
        <v/>
      </c>
      <c r="M592" s="4" t="str">
        <f>IF(AtlasReport_1_Table_1[[#This Row],[Reference]]="Purchase order",_xll.AtlasFormulas.AtlasFunctions.AtlasTable("UAT",DataAreaId,"T.MarkupTrans","%CurrencyCode","","","","","","","MarkupCode|TransRecId|TransTableId","TPP",$L592,"492"),"")</f>
        <v/>
      </c>
      <c r="N592" s="4" t="str">
        <f>IF(AtlasReport_1_Table_1[[#This Row],[Reference]]="Purchase order",_xll.AtlasFormulas.AtlasFunctions.AtlasBalance("UAT",DataAreaId,"T.MarkupTrans","Sum|Posted|0","","","","","","","MarkupCode|TransTableId|TransRecId","TPP","492",$L592),"")</f>
        <v/>
      </c>
    </row>
    <row r="593" spans="1:14" x14ac:dyDescent="0.25">
      <c r="A593" s="8" t="s">
        <v>21</v>
      </c>
      <c r="B593" s="8" t="s">
        <v>2018</v>
      </c>
      <c r="C593" s="8" t="s">
        <v>571</v>
      </c>
      <c r="D593" s="8" t="s">
        <v>1407</v>
      </c>
      <c r="E593" s="8" t="s">
        <v>261</v>
      </c>
      <c r="F593" s="8" t="s">
        <v>264</v>
      </c>
      <c r="G593" s="6">
        <v>43089</v>
      </c>
      <c r="H593" s="6">
        <v>43089</v>
      </c>
      <c r="I593" s="4">
        <v>-1</v>
      </c>
      <c r="J593" s="8" t="s">
        <v>37</v>
      </c>
      <c r="K593" s="8" t="s">
        <v>2029</v>
      </c>
      <c r="L593" s="4" t="str">
        <f>IF(AtlasReport_1_Table_1[[#This Row],[Reference]]="Purchase order",_xll.AtlasFormulas.AtlasFunctions.AtlasTable("UAT",DataAreaId,"T.VendInvoiceTrans","%RecId","","","","","","","ItemId|PurchID|InventTransId",$C593,$B593,$K593),"")</f>
        <v/>
      </c>
      <c r="M593" s="4" t="str">
        <f>IF(AtlasReport_1_Table_1[[#This Row],[Reference]]="Purchase order",_xll.AtlasFormulas.AtlasFunctions.AtlasTable("UAT",DataAreaId,"T.MarkupTrans","%CurrencyCode","","","","","","","MarkupCode|TransRecId|TransTableId","TPP",$L593,"492"),"")</f>
        <v/>
      </c>
      <c r="N593" s="4" t="str">
        <f>IF(AtlasReport_1_Table_1[[#This Row],[Reference]]="Purchase order",_xll.AtlasFormulas.AtlasFunctions.AtlasBalance("UAT",DataAreaId,"T.MarkupTrans","Sum|Posted|0","","","","","","","MarkupCode|TransTableId|TransRecId","TPP","492",$L593),"")</f>
        <v/>
      </c>
    </row>
    <row r="594" spans="1:14" x14ac:dyDescent="0.25">
      <c r="A594" s="8" t="s">
        <v>21</v>
      </c>
      <c r="B594" s="8" t="s">
        <v>2018</v>
      </c>
      <c r="C594" s="8" t="s">
        <v>573</v>
      </c>
      <c r="D594" s="8" t="s">
        <v>1409</v>
      </c>
      <c r="E594" s="8" t="s">
        <v>261</v>
      </c>
      <c r="F594" s="8" t="s">
        <v>264</v>
      </c>
      <c r="G594" s="6">
        <v>43089</v>
      </c>
      <c r="H594" s="6">
        <v>43089</v>
      </c>
      <c r="I594" s="4">
        <v>78</v>
      </c>
      <c r="J594" s="8" t="s">
        <v>37</v>
      </c>
      <c r="K594" s="8" t="s">
        <v>2030</v>
      </c>
      <c r="L594" s="4" t="str">
        <f>IF(AtlasReport_1_Table_1[[#This Row],[Reference]]="Purchase order",_xll.AtlasFormulas.AtlasFunctions.AtlasTable("UAT",DataAreaId,"T.VendInvoiceTrans","%RecId","","","","","","","ItemId|PurchID|InventTransId",$C594,$B594,$K594),"")</f>
        <v/>
      </c>
      <c r="M594" s="4" t="str">
        <f>IF(AtlasReport_1_Table_1[[#This Row],[Reference]]="Purchase order",_xll.AtlasFormulas.AtlasFunctions.AtlasTable("UAT",DataAreaId,"T.MarkupTrans","%CurrencyCode","","","","","","","MarkupCode|TransRecId|TransTableId","TPP",$L594,"492"),"")</f>
        <v/>
      </c>
      <c r="N594" s="4" t="str">
        <f>IF(AtlasReport_1_Table_1[[#This Row],[Reference]]="Purchase order",_xll.AtlasFormulas.AtlasFunctions.AtlasBalance("UAT",DataAreaId,"T.MarkupTrans","Sum|Posted|0","","","","","","","MarkupCode|TransTableId|TransRecId","TPP","492",$L594),"")</f>
        <v/>
      </c>
    </row>
    <row r="595" spans="1:14" x14ac:dyDescent="0.25">
      <c r="A595" s="8" t="s">
        <v>21</v>
      </c>
      <c r="B595" s="8" t="s">
        <v>2018</v>
      </c>
      <c r="C595" s="8" t="s">
        <v>575</v>
      </c>
      <c r="D595" s="8" t="s">
        <v>1411</v>
      </c>
      <c r="E595" s="8" t="s">
        <v>261</v>
      </c>
      <c r="F595" s="8" t="s">
        <v>264</v>
      </c>
      <c r="G595" s="6">
        <v>43089</v>
      </c>
      <c r="H595" s="6">
        <v>43089</v>
      </c>
      <c r="I595" s="4">
        <v>623</v>
      </c>
      <c r="J595" s="8" t="s">
        <v>37</v>
      </c>
      <c r="K595" s="8" t="s">
        <v>2031</v>
      </c>
      <c r="L595" s="4" t="str">
        <f>IF(AtlasReport_1_Table_1[[#This Row],[Reference]]="Purchase order",_xll.AtlasFormulas.AtlasFunctions.AtlasTable("UAT",DataAreaId,"T.VendInvoiceTrans","%RecId","","","","","","","ItemId|PurchID|InventTransId",$C595,$B595,$K595),"")</f>
        <v/>
      </c>
      <c r="M595" s="4" t="str">
        <f>IF(AtlasReport_1_Table_1[[#This Row],[Reference]]="Purchase order",_xll.AtlasFormulas.AtlasFunctions.AtlasTable("UAT",DataAreaId,"T.MarkupTrans","%CurrencyCode","","","","","","","MarkupCode|TransRecId|TransTableId","TPP",$L595,"492"),"")</f>
        <v/>
      </c>
      <c r="N595" s="4" t="str">
        <f>IF(AtlasReport_1_Table_1[[#This Row],[Reference]]="Purchase order",_xll.AtlasFormulas.AtlasFunctions.AtlasBalance("UAT",DataAreaId,"T.MarkupTrans","Sum|Posted|0","","","","","","","MarkupCode|TransTableId|TransRecId","TPP","492",$L595),"")</f>
        <v/>
      </c>
    </row>
    <row r="596" spans="1:14" x14ac:dyDescent="0.25">
      <c r="A596" s="8" t="s">
        <v>21</v>
      </c>
      <c r="B596" s="8" t="s">
        <v>2018</v>
      </c>
      <c r="C596" s="8" t="s">
        <v>576</v>
      </c>
      <c r="D596" s="8" t="s">
        <v>1412</v>
      </c>
      <c r="E596" s="8" t="s">
        <v>261</v>
      </c>
      <c r="F596" s="8" t="s">
        <v>264</v>
      </c>
      <c r="G596" s="6">
        <v>43089</v>
      </c>
      <c r="H596" s="6">
        <v>43089</v>
      </c>
      <c r="I596" s="4">
        <v>33</v>
      </c>
      <c r="J596" s="8" t="s">
        <v>37</v>
      </c>
      <c r="K596" s="8" t="s">
        <v>2032</v>
      </c>
      <c r="L596" s="4" t="str">
        <f>IF(AtlasReport_1_Table_1[[#This Row],[Reference]]="Purchase order",_xll.AtlasFormulas.AtlasFunctions.AtlasTable("UAT",DataAreaId,"T.VendInvoiceTrans","%RecId","","","","","","","ItemId|PurchID|InventTransId",$C596,$B596,$K596),"")</f>
        <v/>
      </c>
      <c r="M596" s="4" t="str">
        <f>IF(AtlasReport_1_Table_1[[#This Row],[Reference]]="Purchase order",_xll.AtlasFormulas.AtlasFunctions.AtlasTable("UAT",DataAreaId,"T.MarkupTrans","%CurrencyCode","","","","","","","MarkupCode|TransRecId|TransTableId","TPP",$L596,"492"),"")</f>
        <v/>
      </c>
      <c r="N596" s="4" t="str">
        <f>IF(AtlasReport_1_Table_1[[#This Row],[Reference]]="Purchase order",_xll.AtlasFormulas.AtlasFunctions.AtlasBalance("UAT",DataAreaId,"T.MarkupTrans","Sum|Posted|0","","","","","","","MarkupCode|TransTableId|TransRecId","TPP","492",$L596),"")</f>
        <v/>
      </c>
    </row>
    <row r="597" spans="1:14" x14ac:dyDescent="0.25">
      <c r="A597" s="8" t="s">
        <v>21</v>
      </c>
      <c r="B597" s="8" t="s">
        <v>2018</v>
      </c>
      <c r="C597" s="8" t="s">
        <v>577</v>
      </c>
      <c r="D597" s="8" t="s">
        <v>1413</v>
      </c>
      <c r="E597" s="8" t="s">
        <v>261</v>
      </c>
      <c r="F597" s="8" t="s">
        <v>264</v>
      </c>
      <c r="G597" s="6">
        <v>43089</v>
      </c>
      <c r="H597" s="6">
        <v>43089</v>
      </c>
      <c r="I597" s="4">
        <v>327</v>
      </c>
      <c r="J597" s="8" t="s">
        <v>37</v>
      </c>
      <c r="K597" s="8" t="s">
        <v>2033</v>
      </c>
      <c r="L597" s="4" t="str">
        <f>IF(AtlasReport_1_Table_1[[#This Row],[Reference]]="Purchase order",_xll.AtlasFormulas.AtlasFunctions.AtlasTable("UAT",DataAreaId,"T.VendInvoiceTrans","%RecId","","","","","","","ItemId|PurchID|InventTransId",$C597,$B597,$K597),"")</f>
        <v/>
      </c>
      <c r="M597" s="4" t="str">
        <f>IF(AtlasReport_1_Table_1[[#This Row],[Reference]]="Purchase order",_xll.AtlasFormulas.AtlasFunctions.AtlasTable("UAT",DataAreaId,"T.MarkupTrans","%CurrencyCode","","","","","","","MarkupCode|TransRecId|TransTableId","TPP",$L597,"492"),"")</f>
        <v/>
      </c>
      <c r="N597" s="4" t="str">
        <f>IF(AtlasReport_1_Table_1[[#This Row],[Reference]]="Purchase order",_xll.AtlasFormulas.AtlasFunctions.AtlasBalance("UAT",DataAreaId,"T.MarkupTrans","Sum|Posted|0","","","","","","","MarkupCode|TransTableId|TransRecId","TPP","492",$L597),"")</f>
        <v/>
      </c>
    </row>
    <row r="598" spans="1:14" x14ac:dyDescent="0.25">
      <c r="A598" s="8" t="s">
        <v>21</v>
      </c>
      <c r="B598" s="8" t="s">
        <v>2018</v>
      </c>
      <c r="C598" s="8" t="s">
        <v>578</v>
      </c>
      <c r="D598" s="8" t="s">
        <v>1414</v>
      </c>
      <c r="E598" s="8" t="s">
        <v>261</v>
      </c>
      <c r="F598" s="8" t="s">
        <v>264</v>
      </c>
      <c r="G598" s="6">
        <v>43089</v>
      </c>
      <c r="H598" s="6">
        <v>43089</v>
      </c>
      <c r="I598" s="4">
        <v>159</v>
      </c>
      <c r="J598" s="8" t="s">
        <v>37</v>
      </c>
      <c r="K598" s="8" t="s">
        <v>2034</v>
      </c>
      <c r="L598" s="4" t="str">
        <f>IF(AtlasReport_1_Table_1[[#This Row],[Reference]]="Purchase order",_xll.AtlasFormulas.AtlasFunctions.AtlasTable("UAT",DataAreaId,"T.VendInvoiceTrans","%RecId","","","","","","","ItemId|PurchID|InventTransId",$C598,$B598,$K598),"")</f>
        <v/>
      </c>
      <c r="M598" s="4" t="str">
        <f>IF(AtlasReport_1_Table_1[[#This Row],[Reference]]="Purchase order",_xll.AtlasFormulas.AtlasFunctions.AtlasTable("UAT",DataAreaId,"T.MarkupTrans","%CurrencyCode","","","","","","","MarkupCode|TransRecId|TransTableId","TPP",$L598,"492"),"")</f>
        <v/>
      </c>
      <c r="N598" s="4" t="str">
        <f>IF(AtlasReport_1_Table_1[[#This Row],[Reference]]="Purchase order",_xll.AtlasFormulas.AtlasFunctions.AtlasBalance("UAT",DataAreaId,"T.MarkupTrans","Sum|Posted|0","","","","","","","MarkupCode|TransTableId|TransRecId","TPP","492",$L598),"")</f>
        <v/>
      </c>
    </row>
    <row r="599" spans="1:14" ht="30" x14ac:dyDescent="0.25">
      <c r="A599" s="8" t="s">
        <v>21</v>
      </c>
      <c r="B599" s="8" t="s">
        <v>2018</v>
      </c>
      <c r="C599" s="8" t="s">
        <v>579</v>
      </c>
      <c r="D599" s="11" t="s">
        <v>1415</v>
      </c>
      <c r="E599" s="8" t="s">
        <v>261</v>
      </c>
      <c r="F599" s="8" t="s">
        <v>264</v>
      </c>
      <c r="G599" s="6">
        <v>43089</v>
      </c>
      <c r="H599" s="6">
        <v>43089</v>
      </c>
      <c r="I599" s="4">
        <v>-15</v>
      </c>
      <c r="J599" s="8" t="s">
        <v>37</v>
      </c>
      <c r="K599" s="8" t="s">
        <v>2035</v>
      </c>
      <c r="L599" s="4" t="str">
        <f>IF(AtlasReport_1_Table_1[[#This Row],[Reference]]="Purchase order",_xll.AtlasFormulas.AtlasFunctions.AtlasTable("UAT",DataAreaId,"T.VendInvoiceTrans","%RecId","","","","","","","ItemId|PurchID|InventTransId",$C599,$B599,$K599),"")</f>
        <v/>
      </c>
      <c r="M599" s="4" t="str">
        <f>IF(AtlasReport_1_Table_1[[#This Row],[Reference]]="Purchase order",_xll.AtlasFormulas.AtlasFunctions.AtlasTable("UAT",DataAreaId,"T.MarkupTrans","%CurrencyCode","","","","","","","MarkupCode|TransRecId|TransTableId","TPP",$L599,"492"),"")</f>
        <v/>
      </c>
      <c r="N599" s="4" t="str">
        <f>IF(AtlasReport_1_Table_1[[#This Row],[Reference]]="Purchase order",_xll.AtlasFormulas.AtlasFunctions.AtlasBalance("UAT",DataAreaId,"T.MarkupTrans","Sum|Posted|0","","","","","","","MarkupCode|TransTableId|TransRecId","TPP","492",$L599),"")</f>
        <v/>
      </c>
    </row>
    <row r="600" spans="1:14" x14ac:dyDescent="0.25">
      <c r="A600" s="8" t="s">
        <v>21</v>
      </c>
      <c r="B600" s="8" t="s">
        <v>2018</v>
      </c>
      <c r="C600" s="8" t="s">
        <v>580</v>
      </c>
      <c r="D600" s="8" t="s">
        <v>1416</v>
      </c>
      <c r="E600" s="8" t="s">
        <v>261</v>
      </c>
      <c r="F600" s="8" t="s">
        <v>264</v>
      </c>
      <c r="G600" s="6">
        <v>43089</v>
      </c>
      <c r="H600" s="6">
        <v>43089</v>
      </c>
      <c r="I600" s="4">
        <v>-450</v>
      </c>
      <c r="J600" s="8" t="s">
        <v>37</v>
      </c>
      <c r="K600" s="8" t="s">
        <v>2036</v>
      </c>
      <c r="L600" s="4" t="str">
        <f>IF(AtlasReport_1_Table_1[[#This Row],[Reference]]="Purchase order",_xll.AtlasFormulas.AtlasFunctions.AtlasTable("UAT",DataAreaId,"T.VendInvoiceTrans","%RecId","","","","","","","ItemId|PurchID|InventTransId",$C600,$B600,$K600),"")</f>
        <v/>
      </c>
      <c r="M600" s="4" t="str">
        <f>IF(AtlasReport_1_Table_1[[#This Row],[Reference]]="Purchase order",_xll.AtlasFormulas.AtlasFunctions.AtlasTable("UAT",DataAreaId,"T.MarkupTrans","%CurrencyCode","","","","","","","MarkupCode|TransRecId|TransTableId","TPP",$L600,"492"),"")</f>
        <v/>
      </c>
      <c r="N600" s="4" t="str">
        <f>IF(AtlasReport_1_Table_1[[#This Row],[Reference]]="Purchase order",_xll.AtlasFormulas.AtlasFunctions.AtlasBalance("UAT",DataAreaId,"T.MarkupTrans","Sum|Posted|0","","","","","","","MarkupCode|TransTableId|TransRecId","TPP","492",$L600),"")</f>
        <v/>
      </c>
    </row>
    <row r="601" spans="1:14" x14ac:dyDescent="0.25">
      <c r="A601" s="8" t="s">
        <v>21</v>
      </c>
      <c r="B601" s="8" t="s">
        <v>2018</v>
      </c>
      <c r="C601" s="8" t="s">
        <v>581</v>
      </c>
      <c r="D601" s="8" t="s">
        <v>1417</v>
      </c>
      <c r="E601" s="8" t="s">
        <v>261</v>
      </c>
      <c r="F601" s="8" t="s">
        <v>264</v>
      </c>
      <c r="G601" s="6">
        <v>43089</v>
      </c>
      <c r="H601" s="6">
        <v>43089</v>
      </c>
      <c r="I601" s="4">
        <v>999</v>
      </c>
      <c r="J601" s="8" t="s">
        <v>1033</v>
      </c>
      <c r="K601" s="8" t="s">
        <v>2037</v>
      </c>
      <c r="L601" s="4" t="str">
        <f>IF(AtlasReport_1_Table_1[[#This Row],[Reference]]="Purchase order",_xll.AtlasFormulas.AtlasFunctions.AtlasTable("UAT",DataAreaId,"T.VendInvoiceTrans","%RecId","","","","","","","ItemId|PurchID|InventTransId",$C601,$B601,$K601),"")</f>
        <v/>
      </c>
      <c r="M601" s="4" t="str">
        <f>IF(AtlasReport_1_Table_1[[#This Row],[Reference]]="Purchase order",_xll.AtlasFormulas.AtlasFunctions.AtlasTable("UAT",DataAreaId,"T.MarkupTrans","%CurrencyCode","","","","","","","MarkupCode|TransRecId|TransTableId","TPP",$L601,"492"),"")</f>
        <v/>
      </c>
      <c r="N601" s="4" t="str">
        <f>IF(AtlasReport_1_Table_1[[#This Row],[Reference]]="Purchase order",_xll.AtlasFormulas.AtlasFunctions.AtlasBalance("UAT",DataAreaId,"T.MarkupTrans","Sum|Posted|0","","","","","","","MarkupCode|TransTableId|TransRecId","TPP","492",$L601),"")</f>
        <v/>
      </c>
    </row>
    <row r="602" spans="1:14" x14ac:dyDescent="0.25">
      <c r="A602" s="8" t="s">
        <v>21</v>
      </c>
      <c r="B602" s="8" t="s">
        <v>2018</v>
      </c>
      <c r="C602" s="8" t="s">
        <v>582</v>
      </c>
      <c r="D602" s="8" t="s">
        <v>1418</v>
      </c>
      <c r="E602" s="8" t="s">
        <v>261</v>
      </c>
      <c r="F602" s="8" t="s">
        <v>264</v>
      </c>
      <c r="G602" s="6">
        <v>43089</v>
      </c>
      <c r="H602" s="6">
        <v>43089</v>
      </c>
      <c r="I602" s="4">
        <v>998</v>
      </c>
      <c r="J602" s="8" t="s">
        <v>1033</v>
      </c>
      <c r="K602" s="8" t="s">
        <v>2038</v>
      </c>
      <c r="L602" s="4" t="str">
        <f>IF(AtlasReport_1_Table_1[[#This Row],[Reference]]="Purchase order",_xll.AtlasFormulas.AtlasFunctions.AtlasTable("UAT",DataAreaId,"T.VendInvoiceTrans","%RecId","","","","","","","ItemId|PurchID|InventTransId",$C602,$B602,$K602),"")</f>
        <v/>
      </c>
      <c r="M602" s="4" t="str">
        <f>IF(AtlasReport_1_Table_1[[#This Row],[Reference]]="Purchase order",_xll.AtlasFormulas.AtlasFunctions.AtlasTable("UAT",DataAreaId,"T.MarkupTrans","%CurrencyCode","","","","","","","MarkupCode|TransRecId|TransTableId","TPP",$L602,"492"),"")</f>
        <v/>
      </c>
      <c r="N602" s="4" t="str">
        <f>IF(AtlasReport_1_Table_1[[#This Row],[Reference]]="Purchase order",_xll.AtlasFormulas.AtlasFunctions.AtlasBalance("UAT",DataAreaId,"T.MarkupTrans","Sum|Posted|0","","","","","","","MarkupCode|TransTableId|TransRecId","TPP","492",$L602),"")</f>
        <v/>
      </c>
    </row>
    <row r="603" spans="1:14" x14ac:dyDescent="0.25">
      <c r="A603" s="8" t="s">
        <v>21</v>
      </c>
      <c r="B603" s="8" t="s">
        <v>2018</v>
      </c>
      <c r="C603" s="8" t="s">
        <v>583</v>
      </c>
      <c r="D603" s="8" t="s">
        <v>1419</v>
      </c>
      <c r="E603" s="8" t="s">
        <v>261</v>
      </c>
      <c r="F603" s="8" t="s">
        <v>264</v>
      </c>
      <c r="G603" s="6">
        <v>43089</v>
      </c>
      <c r="H603" s="6">
        <v>43089</v>
      </c>
      <c r="I603" s="4">
        <v>999</v>
      </c>
      <c r="J603" s="8" t="s">
        <v>1033</v>
      </c>
      <c r="K603" s="8" t="s">
        <v>2039</v>
      </c>
      <c r="L603" s="4" t="str">
        <f>IF(AtlasReport_1_Table_1[[#This Row],[Reference]]="Purchase order",_xll.AtlasFormulas.AtlasFunctions.AtlasTable("UAT",DataAreaId,"T.VendInvoiceTrans","%RecId","","","","","","","ItemId|PurchID|InventTransId",$C603,$B603,$K603),"")</f>
        <v/>
      </c>
      <c r="M603" s="4" t="str">
        <f>IF(AtlasReport_1_Table_1[[#This Row],[Reference]]="Purchase order",_xll.AtlasFormulas.AtlasFunctions.AtlasTable("UAT",DataAreaId,"T.MarkupTrans","%CurrencyCode","","","","","","","MarkupCode|TransRecId|TransTableId","TPP",$L603,"492"),"")</f>
        <v/>
      </c>
      <c r="N603" s="4" t="str">
        <f>IF(AtlasReport_1_Table_1[[#This Row],[Reference]]="Purchase order",_xll.AtlasFormulas.AtlasFunctions.AtlasBalance("UAT",DataAreaId,"T.MarkupTrans","Sum|Posted|0","","","","","","","MarkupCode|TransTableId|TransRecId","TPP","492",$L603),"")</f>
        <v/>
      </c>
    </row>
    <row r="604" spans="1:14" x14ac:dyDescent="0.25">
      <c r="A604" s="8" t="s">
        <v>21</v>
      </c>
      <c r="B604" s="8" t="s">
        <v>2018</v>
      </c>
      <c r="C604" s="8" t="s">
        <v>584</v>
      </c>
      <c r="D604" s="8" t="s">
        <v>1420</v>
      </c>
      <c r="E604" s="8" t="s">
        <v>261</v>
      </c>
      <c r="F604" s="8" t="s">
        <v>264</v>
      </c>
      <c r="G604" s="6">
        <v>43089</v>
      </c>
      <c r="H604" s="6">
        <v>43089</v>
      </c>
      <c r="I604" s="4">
        <v>2497</v>
      </c>
      <c r="J604" s="8" t="s">
        <v>1033</v>
      </c>
      <c r="K604" s="8" t="s">
        <v>2040</v>
      </c>
      <c r="L604" s="4" t="str">
        <f>IF(AtlasReport_1_Table_1[[#This Row],[Reference]]="Purchase order",_xll.AtlasFormulas.AtlasFunctions.AtlasTable("UAT",DataAreaId,"T.VendInvoiceTrans","%RecId","","","","","","","ItemId|PurchID|InventTransId",$C604,$B604,$K604),"")</f>
        <v/>
      </c>
      <c r="M604" s="4" t="str">
        <f>IF(AtlasReport_1_Table_1[[#This Row],[Reference]]="Purchase order",_xll.AtlasFormulas.AtlasFunctions.AtlasTable("UAT",DataAreaId,"T.MarkupTrans","%CurrencyCode","","","","","","","MarkupCode|TransRecId|TransTableId","TPP",$L604,"492"),"")</f>
        <v/>
      </c>
      <c r="N604" s="4" t="str">
        <f>IF(AtlasReport_1_Table_1[[#This Row],[Reference]]="Purchase order",_xll.AtlasFormulas.AtlasFunctions.AtlasBalance("UAT",DataAreaId,"T.MarkupTrans","Sum|Posted|0","","","","","","","MarkupCode|TransTableId|TransRecId","TPP","492",$L604),"")</f>
        <v/>
      </c>
    </row>
    <row r="605" spans="1:14" x14ac:dyDescent="0.25">
      <c r="A605" s="8" t="s">
        <v>21</v>
      </c>
      <c r="B605" s="8" t="s">
        <v>2018</v>
      </c>
      <c r="C605" s="8" t="s">
        <v>585</v>
      </c>
      <c r="D605" s="8" t="s">
        <v>1421</v>
      </c>
      <c r="E605" s="8" t="s">
        <v>261</v>
      </c>
      <c r="F605" s="8" t="s">
        <v>264</v>
      </c>
      <c r="G605" s="6">
        <v>43089</v>
      </c>
      <c r="H605" s="6">
        <v>43089</v>
      </c>
      <c r="I605" s="4">
        <v>4479</v>
      </c>
      <c r="J605" s="8" t="s">
        <v>37</v>
      </c>
      <c r="K605" s="8" t="s">
        <v>2041</v>
      </c>
      <c r="L605" s="4" t="str">
        <f>IF(AtlasReport_1_Table_1[[#This Row],[Reference]]="Purchase order",_xll.AtlasFormulas.AtlasFunctions.AtlasTable("UAT",DataAreaId,"T.VendInvoiceTrans","%RecId","","","","","","","ItemId|PurchID|InventTransId",$C605,$B605,$K605),"")</f>
        <v/>
      </c>
      <c r="M605" s="4" t="str">
        <f>IF(AtlasReport_1_Table_1[[#This Row],[Reference]]="Purchase order",_xll.AtlasFormulas.AtlasFunctions.AtlasTable("UAT",DataAreaId,"T.MarkupTrans","%CurrencyCode","","","","","","","MarkupCode|TransRecId|TransTableId","TPP",$L605,"492"),"")</f>
        <v/>
      </c>
      <c r="N605" s="4" t="str">
        <f>IF(AtlasReport_1_Table_1[[#This Row],[Reference]]="Purchase order",_xll.AtlasFormulas.AtlasFunctions.AtlasBalance("UAT",DataAreaId,"T.MarkupTrans","Sum|Posted|0","","","","","","","MarkupCode|TransTableId|TransRecId","TPP","492",$L605),"")</f>
        <v/>
      </c>
    </row>
    <row r="606" spans="1:14" x14ac:dyDescent="0.25">
      <c r="A606" s="8" t="s">
        <v>21</v>
      </c>
      <c r="B606" s="8" t="s">
        <v>2018</v>
      </c>
      <c r="C606" s="8" t="s">
        <v>586</v>
      </c>
      <c r="D606" s="8" t="s">
        <v>1426</v>
      </c>
      <c r="E606" s="8" t="s">
        <v>261</v>
      </c>
      <c r="F606" s="8" t="s">
        <v>264</v>
      </c>
      <c r="G606" s="6">
        <v>43089</v>
      </c>
      <c r="H606" s="6">
        <v>43089</v>
      </c>
      <c r="I606" s="4">
        <v>242</v>
      </c>
      <c r="J606" s="8" t="s">
        <v>37</v>
      </c>
      <c r="K606" s="8" t="s">
        <v>2042</v>
      </c>
      <c r="L606" s="4" t="str">
        <f>IF(AtlasReport_1_Table_1[[#This Row],[Reference]]="Purchase order",_xll.AtlasFormulas.AtlasFunctions.AtlasTable("UAT",DataAreaId,"T.VendInvoiceTrans","%RecId","","","","","","","ItemId|PurchID|InventTransId",$C606,$B606,$K606),"")</f>
        <v/>
      </c>
      <c r="M606" s="4" t="str">
        <f>IF(AtlasReport_1_Table_1[[#This Row],[Reference]]="Purchase order",_xll.AtlasFormulas.AtlasFunctions.AtlasTable("UAT",DataAreaId,"T.MarkupTrans","%CurrencyCode","","","","","","","MarkupCode|TransRecId|TransTableId","TPP",$L606,"492"),"")</f>
        <v/>
      </c>
      <c r="N606" s="4" t="str">
        <f>IF(AtlasReport_1_Table_1[[#This Row],[Reference]]="Purchase order",_xll.AtlasFormulas.AtlasFunctions.AtlasBalance("UAT",DataAreaId,"T.MarkupTrans","Sum|Posted|0","","","","","","","MarkupCode|TransTableId|TransRecId","TPP","492",$L606),"")</f>
        <v/>
      </c>
    </row>
    <row r="607" spans="1:14" x14ac:dyDescent="0.25">
      <c r="A607" s="8" t="s">
        <v>21</v>
      </c>
      <c r="B607" s="8" t="s">
        <v>2018</v>
      </c>
      <c r="C607" s="8" t="s">
        <v>587</v>
      </c>
      <c r="D607" s="8" t="s">
        <v>1427</v>
      </c>
      <c r="E607" s="8" t="s">
        <v>261</v>
      </c>
      <c r="F607" s="8" t="s">
        <v>264</v>
      </c>
      <c r="G607" s="6">
        <v>43089</v>
      </c>
      <c r="H607" s="6">
        <v>43089</v>
      </c>
      <c r="I607" s="4">
        <v>-4</v>
      </c>
      <c r="J607" s="8" t="s">
        <v>37</v>
      </c>
      <c r="K607" s="8" t="s">
        <v>2043</v>
      </c>
      <c r="L607" s="4" t="str">
        <f>IF(AtlasReport_1_Table_1[[#This Row],[Reference]]="Purchase order",_xll.AtlasFormulas.AtlasFunctions.AtlasTable("UAT",DataAreaId,"T.VendInvoiceTrans","%RecId","","","","","","","ItemId|PurchID|InventTransId",$C607,$B607,$K607),"")</f>
        <v/>
      </c>
      <c r="M607" s="4" t="str">
        <f>IF(AtlasReport_1_Table_1[[#This Row],[Reference]]="Purchase order",_xll.AtlasFormulas.AtlasFunctions.AtlasTable("UAT",DataAreaId,"T.MarkupTrans","%CurrencyCode","","","","","","","MarkupCode|TransRecId|TransTableId","TPP",$L607,"492"),"")</f>
        <v/>
      </c>
      <c r="N607" s="4" t="str">
        <f>IF(AtlasReport_1_Table_1[[#This Row],[Reference]]="Purchase order",_xll.AtlasFormulas.AtlasFunctions.AtlasBalance("UAT",DataAreaId,"T.MarkupTrans","Sum|Posted|0","","","","","","","MarkupCode|TransTableId|TransRecId","TPP","492",$L607),"")</f>
        <v/>
      </c>
    </row>
    <row r="608" spans="1:14" x14ac:dyDescent="0.25">
      <c r="A608" s="8" t="s">
        <v>21</v>
      </c>
      <c r="B608" s="8" t="s">
        <v>2018</v>
      </c>
      <c r="C608" s="8" t="s">
        <v>588</v>
      </c>
      <c r="D608" s="8" t="s">
        <v>1428</v>
      </c>
      <c r="E608" s="8" t="s">
        <v>261</v>
      </c>
      <c r="F608" s="8" t="s">
        <v>264</v>
      </c>
      <c r="G608" s="6">
        <v>43089</v>
      </c>
      <c r="H608" s="6">
        <v>43089</v>
      </c>
      <c r="I608" s="4">
        <v>-3</v>
      </c>
      <c r="J608" s="8" t="s">
        <v>37</v>
      </c>
      <c r="K608" s="8" t="s">
        <v>2044</v>
      </c>
      <c r="L608" s="4" t="str">
        <f>IF(AtlasReport_1_Table_1[[#This Row],[Reference]]="Purchase order",_xll.AtlasFormulas.AtlasFunctions.AtlasTable("UAT",DataAreaId,"T.VendInvoiceTrans","%RecId","","","","","","","ItemId|PurchID|InventTransId",$C608,$B608,$K608),"")</f>
        <v/>
      </c>
      <c r="M608" s="4" t="str">
        <f>IF(AtlasReport_1_Table_1[[#This Row],[Reference]]="Purchase order",_xll.AtlasFormulas.AtlasFunctions.AtlasTable("UAT",DataAreaId,"T.MarkupTrans","%CurrencyCode","","","","","","","MarkupCode|TransRecId|TransTableId","TPP",$L608,"492"),"")</f>
        <v/>
      </c>
      <c r="N608" s="4" t="str">
        <f>IF(AtlasReport_1_Table_1[[#This Row],[Reference]]="Purchase order",_xll.AtlasFormulas.AtlasFunctions.AtlasBalance("UAT",DataAreaId,"T.MarkupTrans","Sum|Posted|0","","","","","","","MarkupCode|TransTableId|TransRecId","TPP","492",$L608),"")</f>
        <v/>
      </c>
    </row>
    <row r="609" spans="1:14" x14ac:dyDescent="0.25">
      <c r="A609" s="8" t="s">
        <v>21</v>
      </c>
      <c r="B609" s="8" t="s">
        <v>2018</v>
      </c>
      <c r="C609" s="8" t="s">
        <v>589</v>
      </c>
      <c r="D609" s="8" t="s">
        <v>1431</v>
      </c>
      <c r="E609" s="8" t="s">
        <v>261</v>
      </c>
      <c r="F609" s="8" t="s">
        <v>264</v>
      </c>
      <c r="G609" s="6">
        <v>43089</v>
      </c>
      <c r="H609" s="6">
        <v>43089</v>
      </c>
      <c r="I609" s="4">
        <v>-6</v>
      </c>
      <c r="J609" s="8" t="s">
        <v>37</v>
      </c>
      <c r="K609" s="8" t="s">
        <v>2045</v>
      </c>
      <c r="L609" s="4" t="str">
        <f>IF(AtlasReport_1_Table_1[[#This Row],[Reference]]="Purchase order",_xll.AtlasFormulas.AtlasFunctions.AtlasTable("UAT",DataAreaId,"T.VendInvoiceTrans","%RecId","","","","","","","ItemId|PurchID|InventTransId",$C609,$B609,$K609),"")</f>
        <v/>
      </c>
      <c r="M609" s="4" t="str">
        <f>IF(AtlasReport_1_Table_1[[#This Row],[Reference]]="Purchase order",_xll.AtlasFormulas.AtlasFunctions.AtlasTable("UAT",DataAreaId,"T.MarkupTrans","%CurrencyCode","","","","","","","MarkupCode|TransRecId|TransTableId","TPP",$L609,"492"),"")</f>
        <v/>
      </c>
      <c r="N609" s="4" t="str">
        <f>IF(AtlasReport_1_Table_1[[#This Row],[Reference]]="Purchase order",_xll.AtlasFormulas.AtlasFunctions.AtlasBalance("UAT",DataAreaId,"T.MarkupTrans","Sum|Posted|0","","","","","","","MarkupCode|TransTableId|TransRecId","TPP","492",$L609),"")</f>
        <v/>
      </c>
    </row>
    <row r="610" spans="1:14" x14ac:dyDescent="0.25">
      <c r="A610" s="8" t="s">
        <v>21</v>
      </c>
      <c r="B610" s="8" t="s">
        <v>2018</v>
      </c>
      <c r="C610" s="8" t="s">
        <v>590</v>
      </c>
      <c r="D610" s="8" t="s">
        <v>1432</v>
      </c>
      <c r="E610" s="8" t="s">
        <v>261</v>
      </c>
      <c r="F610" s="8" t="s">
        <v>264</v>
      </c>
      <c r="G610" s="6">
        <v>43089</v>
      </c>
      <c r="H610" s="6">
        <v>43089</v>
      </c>
      <c r="I610" s="4">
        <v>-74</v>
      </c>
      <c r="J610" s="8" t="s">
        <v>37</v>
      </c>
      <c r="K610" s="8" t="s">
        <v>2046</v>
      </c>
      <c r="L610" s="4" t="str">
        <f>IF(AtlasReport_1_Table_1[[#This Row],[Reference]]="Purchase order",_xll.AtlasFormulas.AtlasFunctions.AtlasTable("UAT",DataAreaId,"T.VendInvoiceTrans","%RecId","","","","","","","ItemId|PurchID|InventTransId",$C610,$B610,$K610),"")</f>
        <v/>
      </c>
      <c r="M610" s="4" t="str">
        <f>IF(AtlasReport_1_Table_1[[#This Row],[Reference]]="Purchase order",_xll.AtlasFormulas.AtlasFunctions.AtlasTable("UAT",DataAreaId,"T.MarkupTrans","%CurrencyCode","","","","","","","MarkupCode|TransRecId|TransTableId","TPP",$L610,"492"),"")</f>
        <v/>
      </c>
      <c r="N610" s="4" t="str">
        <f>IF(AtlasReport_1_Table_1[[#This Row],[Reference]]="Purchase order",_xll.AtlasFormulas.AtlasFunctions.AtlasBalance("UAT",DataAreaId,"T.MarkupTrans","Sum|Posted|0","","","","","","","MarkupCode|TransTableId|TransRecId","TPP","492",$L610),"")</f>
        <v/>
      </c>
    </row>
    <row r="611" spans="1:14" x14ac:dyDescent="0.25">
      <c r="A611" s="8" t="s">
        <v>21</v>
      </c>
      <c r="B611" s="8" t="s">
        <v>2018</v>
      </c>
      <c r="C611" s="8" t="s">
        <v>591</v>
      </c>
      <c r="D611" s="8" t="s">
        <v>1433</v>
      </c>
      <c r="E611" s="8" t="s">
        <v>261</v>
      </c>
      <c r="F611" s="8" t="s">
        <v>264</v>
      </c>
      <c r="G611" s="6">
        <v>43089</v>
      </c>
      <c r="H611" s="6">
        <v>43089</v>
      </c>
      <c r="I611" s="4">
        <v>-1</v>
      </c>
      <c r="J611" s="8" t="s">
        <v>37</v>
      </c>
      <c r="K611" s="8" t="s">
        <v>2047</v>
      </c>
      <c r="L611" s="4" t="str">
        <f>IF(AtlasReport_1_Table_1[[#This Row],[Reference]]="Purchase order",_xll.AtlasFormulas.AtlasFunctions.AtlasTable("UAT",DataAreaId,"T.VendInvoiceTrans","%RecId","","","","","","","ItemId|PurchID|InventTransId",$C611,$B611,$K611),"")</f>
        <v/>
      </c>
      <c r="M611" s="4" t="str">
        <f>IF(AtlasReport_1_Table_1[[#This Row],[Reference]]="Purchase order",_xll.AtlasFormulas.AtlasFunctions.AtlasTable("UAT",DataAreaId,"T.MarkupTrans","%CurrencyCode","","","","","","","MarkupCode|TransRecId|TransTableId","TPP",$L611,"492"),"")</f>
        <v/>
      </c>
      <c r="N611" s="4" t="str">
        <f>IF(AtlasReport_1_Table_1[[#This Row],[Reference]]="Purchase order",_xll.AtlasFormulas.AtlasFunctions.AtlasBalance("UAT",DataAreaId,"T.MarkupTrans","Sum|Posted|0","","","","","","","MarkupCode|TransTableId|TransRecId","TPP","492",$L611),"")</f>
        <v/>
      </c>
    </row>
    <row r="612" spans="1:14" x14ac:dyDescent="0.25">
      <c r="A612" s="8" t="s">
        <v>21</v>
      </c>
      <c r="B612" s="8" t="s">
        <v>2018</v>
      </c>
      <c r="C612" s="8" t="s">
        <v>592</v>
      </c>
      <c r="D612" s="8" t="s">
        <v>1434</v>
      </c>
      <c r="E612" s="8" t="s">
        <v>261</v>
      </c>
      <c r="F612" s="8" t="s">
        <v>264</v>
      </c>
      <c r="G612" s="6">
        <v>43089</v>
      </c>
      <c r="H612" s="6">
        <v>43089</v>
      </c>
      <c r="I612" s="4">
        <v>-4</v>
      </c>
      <c r="J612" s="8" t="s">
        <v>37</v>
      </c>
      <c r="K612" s="8" t="s">
        <v>2048</v>
      </c>
      <c r="L612" s="4" t="str">
        <f>IF(AtlasReport_1_Table_1[[#This Row],[Reference]]="Purchase order",_xll.AtlasFormulas.AtlasFunctions.AtlasTable("UAT",DataAreaId,"T.VendInvoiceTrans","%RecId","","","","","","","ItemId|PurchID|InventTransId",$C612,$B612,$K612),"")</f>
        <v/>
      </c>
      <c r="M612" s="4" t="str">
        <f>IF(AtlasReport_1_Table_1[[#This Row],[Reference]]="Purchase order",_xll.AtlasFormulas.AtlasFunctions.AtlasTable("UAT",DataAreaId,"T.MarkupTrans","%CurrencyCode","","","","","","","MarkupCode|TransRecId|TransTableId","TPP",$L612,"492"),"")</f>
        <v/>
      </c>
      <c r="N612" s="4" t="str">
        <f>IF(AtlasReport_1_Table_1[[#This Row],[Reference]]="Purchase order",_xll.AtlasFormulas.AtlasFunctions.AtlasBalance("UAT",DataAreaId,"T.MarkupTrans","Sum|Posted|0","","","","","","","MarkupCode|TransTableId|TransRecId","TPP","492",$L612),"")</f>
        <v/>
      </c>
    </row>
    <row r="613" spans="1:14" x14ac:dyDescent="0.25">
      <c r="A613" s="8" t="s">
        <v>21</v>
      </c>
      <c r="B613" s="8" t="s">
        <v>2018</v>
      </c>
      <c r="C613" s="8" t="s">
        <v>593</v>
      </c>
      <c r="D613" s="8" t="s">
        <v>1435</v>
      </c>
      <c r="E613" s="8" t="s">
        <v>261</v>
      </c>
      <c r="F613" s="8" t="s">
        <v>264</v>
      </c>
      <c r="G613" s="6">
        <v>43089</v>
      </c>
      <c r="H613" s="6">
        <v>43089</v>
      </c>
      <c r="I613" s="4">
        <v>-1</v>
      </c>
      <c r="J613" s="8" t="s">
        <v>37</v>
      </c>
      <c r="K613" s="8" t="s">
        <v>2049</v>
      </c>
      <c r="L613" s="4" t="str">
        <f>IF(AtlasReport_1_Table_1[[#This Row],[Reference]]="Purchase order",_xll.AtlasFormulas.AtlasFunctions.AtlasTable("UAT",DataAreaId,"T.VendInvoiceTrans","%RecId","","","","","","","ItemId|PurchID|InventTransId",$C613,$B613,$K613),"")</f>
        <v/>
      </c>
      <c r="M613" s="4" t="str">
        <f>IF(AtlasReport_1_Table_1[[#This Row],[Reference]]="Purchase order",_xll.AtlasFormulas.AtlasFunctions.AtlasTable("UAT",DataAreaId,"T.MarkupTrans","%CurrencyCode","","","","","","","MarkupCode|TransRecId|TransTableId","TPP",$L613,"492"),"")</f>
        <v/>
      </c>
      <c r="N613" s="4" t="str">
        <f>IF(AtlasReport_1_Table_1[[#This Row],[Reference]]="Purchase order",_xll.AtlasFormulas.AtlasFunctions.AtlasBalance("UAT",DataAreaId,"T.MarkupTrans","Sum|Posted|0","","","","","","","MarkupCode|TransTableId|TransRecId","TPP","492",$L613),"")</f>
        <v/>
      </c>
    </row>
    <row r="614" spans="1:14" x14ac:dyDescent="0.25">
      <c r="A614" s="8" t="s">
        <v>21</v>
      </c>
      <c r="B614" s="8" t="s">
        <v>2018</v>
      </c>
      <c r="C614" s="8" t="s">
        <v>594</v>
      </c>
      <c r="D614" s="8" t="s">
        <v>1436</v>
      </c>
      <c r="E614" s="8" t="s">
        <v>261</v>
      </c>
      <c r="F614" s="8" t="s">
        <v>264</v>
      </c>
      <c r="G614" s="6">
        <v>43089</v>
      </c>
      <c r="H614" s="6">
        <v>43089</v>
      </c>
      <c r="I614" s="4">
        <v>-217</v>
      </c>
      <c r="J614" s="8" t="s">
        <v>37</v>
      </c>
      <c r="K614" s="8" t="s">
        <v>2050</v>
      </c>
      <c r="L614" s="4" t="str">
        <f>IF(AtlasReport_1_Table_1[[#This Row],[Reference]]="Purchase order",_xll.AtlasFormulas.AtlasFunctions.AtlasTable("UAT",DataAreaId,"T.VendInvoiceTrans","%RecId","","","","","","","ItemId|PurchID|InventTransId",$C614,$B614,$K614),"")</f>
        <v/>
      </c>
      <c r="M614" s="4" t="str">
        <f>IF(AtlasReport_1_Table_1[[#This Row],[Reference]]="Purchase order",_xll.AtlasFormulas.AtlasFunctions.AtlasTable("UAT",DataAreaId,"T.MarkupTrans","%CurrencyCode","","","","","","","MarkupCode|TransRecId|TransTableId","TPP",$L614,"492"),"")</f>
        <v/>
      </c>
      <c r="N614" s="4" t="str">
        <f>IF(AtlasReport_1_Table_1[[#This Row],[Reference]]="Purchase order",_xll.AtlasFormulas.AtlasFunctions.AtlasBalance("UAT",DataAreaId,"T.MarkupTrans","Sum|Posted|0","","","","","","","MarkupCode|TransTableId|TransRecId","TPP","492",$L614),"")</f>
        <v/>
      </c>
    </row>
    <row r="615" spans="1:14" x14ac:dyDescent="0.25">
      <c r="A615" s="8" t="s">
        <v>21</v>
      </c>
      <c r="B615" s="8" t="s">
        <v>2018</v>
      </c>
      <c r="C615" s="8" t="s">
        <v>595</v>
      </c>
      <c r="D615" s="8" t="s">
        <v>1439</v>
      </c>
      <c r="E615" s="8" t="s">
        <v>261</v>
      </c>
      <c r="F615" s="8" t="s">
        <v>264</v>
      </c>
      <c r="G615" s="6">
        <v>43089</v>
      </c>
      <c r="H615" s="6">
        <v>43089</v>
      </c>
      <c r="I615" s="4">
        <v>-50</v>
      </c>
      <c r="J615" s="8" t="s">
        <v>38</v>
      </c>
      <c r="K615" s="8" t="s">
        <v>2051</v>
      </c>
      <c r="L615" s="4" t="str">
        <f>IF(AtlasReport_1_Table_1[[#This Row],[Reference]]="Purchase order",_xll.AtlasFormulas.AtlasFunctions.AtlasTable("UAT",DataAreaId,"T.VendInvoiceTrans","%RecId","","","","","","","ItemId|PurchID|InventTransId",$C615,$B615,$K615),"")</f>
        <v/>
      </c>
      <c r="M615" s="4" t="str">
        <f>IF(AtlasReport_1_Table_1[[#This Row],[Reference]]="Purchase order",_xll.AtlasFormulas.AtlasFunctions.AtlasTable("UAT",DataAreaId,"T.MarkupTrans","%CurrencyCode","","","","","","","MarkupCode|TransRecId|TransTableId","TPP",$L615,"492"),"")</f>
        <v/>
      </c>
      <c r="N615" s="4" t="str">
        <f>IF(AtlasReport_1_Table_1[[#This Row],[Reference]]="Purchase order",_xll.AtlasFormulas.AtlasFunctions.AtlasBalance("UAT",DataAreaId,"T.MarkupTrans","Sum|Posted|0","","","","","","","MarkupCode|TransTableId|TransRecId","TPP","492",$L615),"")</f>
        <v/>
      </c>
    </row>
    <row r="616" spans="1:14" x14ac:dyDescent="0.25">
      <c r="A616" s="8" t="s">
        <v>21</v>
      </c>
      <c r="B616" s="8" t="s">
        <v>2018</v>
      </c>
      <c r="C616" s="8" t="s">
        <v>596</v>
      </c>
      <c r="D616" s="8" t="s">
        <v>1440</v>
      </c>
      <c r="E616" s="8" t="s">
        <v>261</v>
      </c>
      <c r="F616" s="8" t="s">
        <v>264</v>
      </c>
      <c r="G616" s="6">
        <v>43089</v>
      </c>
      <c r="H616" s="6">
        <v>43089</v>
      </c>
      <c r="I616" s="4">
        <v>250</v>
      </c>
      <c r="J616" s="8" t="s">
        <v>38</v>
      </c>
      <c r="K616" s="8" t="s">
        <v>2052</v>
      </c>
      <c r="L616" s="4" t="str">
        <f>IF(AtlasReport_1_Table_1[[#This Row],[Reference]]="Purchase order",_xll.AtlasFormulas.AtlasFunctions.AtlasTable("UAT",DataAreaId,"T.VendInvoiceTrans","%RecId","","","","","","","ItemId|PurchID|InventTransId",$C616,$B616,$K616),"")</f>
        <v/>
      </c>
      <c r="M616" s="4" t="str">
        <f>IF(AtlasReport_1_Table_1[[#This Row],[Reference]]="Purchase order",_xll.AtlasFormulas.AtlasFunctions.AtlasTable("UAT",DataAreaId,"T.MarkupTrans","%CurrencyCode","","","","","","","MarkupCode|TransRecId|TransTableId","TPP",$L616,"492"),"")</f>
        <v/>
      </c>
      <c r="N616" s="4" t="str">
        <f>IF(AtlasReport_1_Table_1[[#This Row],[Reference]]="Purchase order",_xll.AtlasFormulas.AtlasFunctions.AtlasBalance("UAT",DataAreaId,"T.MarkupTrans","Sum|Posted|0","","","","","","","MarkupCode|TransTableId|TransRecId","TPP","492",$L616),"")</f>
        <v/>
      </c>
    </row>
    <row r="617" spans="1:14" x14ac:dyDescent="0.25">
      <c r="A617" s="8" t="s">
        <v>21</v>
      </c>
      <c r="B617" s="8" t="s">
        <v>2018</v>
      </c>
      <c r="C617" s="8" t="s">
        <v>597</v>
      </c>
      <c r="D617" s="8" t="s">
        <v>1441</v>
      </c>
      <c r="E617" s="8" t="s">
        <v>261</v>
      </c>
      <c r="F617" s="8" t="s">
        <v>264</v>
      </c>
      <c r="G617" s="6">
        <v>43089</v>
      </c>
      <c r="H617" s="6">
        <v>43089</v>
      </c>
      <c r="I617" s="4">
        <v>620</v>
      </c>
      <c r="J617" s="8" t="s">
        <v>38</v>
      </c>
      <c r="K617" s="8" t="s">
        <v>2053</v>
      </c>
      <c r="L617" s="4" t="str">
        <f>IF(AtlasReport_1_Table_1[[#This Row],[Reference]]="Purchase order",_xll.AtlasFormulas.AtlasFunctions.AtlasTable("UAT",DataAreaId,"T.VendInvoiceTrans","%RecId","","","","","","","ItemId|PurchID|InventTransId",$C617,$B617,$K617),"")</f>
        <v/>
      </c>
      <c r="M617" s="4" t="str">
        <f>IF(AtlasReport_1_Table_1[[#This Row],[Reference]]="Purchase order",_xll.AtlasFormulas.AtlasFunctions.AtlasTable("UAT",DataAreaId,"T.MarkupTrans","%CurrencyCode","","","","","","","MarkupCode|TransRecId|TransTableId","TPP",$L617,"492"),"")</f>
        <v/>
      </c>
      <c r="N617" s="4" t="str">
        <f>IF(AtlasReport_1_Table_1[[#This Row],[Reference]]="Purchase order",_xll.AtlasFormulas.AtlasFunctions.AtlasBalance("UAT",DataAreaId,"T.MarkupTrans","Sum|Posted|0","","","","","","","MarkupCode|TransTableId|TransRecId","TPP","492",$L617),"")</f>
        <v/>
      </c>
    </row>
    <row r="618" spans="1:14" x14ac:dyDescent="0.25">
      <c r="A618" s="8" t="s">
        <v>21</v>
      </c>
      <c r="B618" s="8" t="s">
        <v>2018</v>
      </c>
      <c r="C618" s="8" t="s">
        <v>598</v>
      </c>
      <c r="D618" s="8" t="s">
        <v>1444</v>
      </c>
      <c r="E618" s="8" t="s">
        <v>261</v>
      </c>
      <c r="F618" s="8" t="s">
        <v>264</v>
      </c>
      <c r="G618" s="6">
        <v>43089</v>
      </c>
      <c r="H618" s="6">
        <v>43089</v>
      </c>
      <c r="I618" s="4">
        <v>-10</v>
      </c>
      <c r="J618" s="8" t="s">
        <v>1033</v>
      </c>
      <c r="K618" s="8" t="s">
        <v>2054</v>
      </c>
      <c r="L618" s="4" t="str">
        <f>IF(AtlasReport_1_Table_1[[#This Row],[Reference]]="Purchase order",_xll.AtlasFormulas.AtlasFunctions.AtlasTable("UAT",DataAreaId,"T.VendInvoiceTrans","%RecId","","","","","","","ItemId|PurchID|InventTransId",$C618,$B618,$K618),"")</f>
        <v/>
      </c>
      <c r="M618" s="4" t="str">
        <f>IF(AtlasReport_1_Table_1[[#This Row],[Reference]]="Purchase order",_xll.AtlasFormulas.AtlasFunctions.AtlasTable("UAT",DataAreaId,"T.MarkupTrans","%CurrencyCode","","","","","","","MarkupCode|TransRecId|TransTableId","TPP",$L618,"492"),"")</f>
        <v/>
      </c>
      <c r="N618" s="4" t="str">
        <f>IF(AtlasReport_1_Table_1[[#This Row],[Reference]]="Purchase order",_xll.AtlasFormulas.AtlasFunctions.AtlasBalance("UAT",DataAreaId,"T.MarkupTrans","Sum|Posted|0","","","","","","","MarkupCode|TransTableId|TransRecId","TPP","492",$L618),"")</f>
        <v/>
      </c>
    </row>
    <row r="619" spans="1:14" x14ac:dyDescent="0.25">
      <c r="A619" s="8" t="s">
        <v>21</v>
      </c>
      <c r="B619" s="8" t="s">
        <v>2018</v>
      </c>
      <c r="C619" s="8" t="s">
        <v>599</v>
      </c>
      <c r="D619" s="8" t="s">
        <v>1445</v>
      </c>
      <c r="E619" s="8" t="s">
        <v>261</v>
      </c>
      <c r="F619" s="8" t="s">
        <v>264</v>
      </c>
      <c r="G619" s="6">
        <v>43089</v>
      </c>
      <c r="H619" s="6">
        <v>43089</v>
      </c>
      <c r="I619" s="4">
        <v>-7</v>
      </c>
      <c r="J619" s="8" t="s">
        <v>1033</v>
      </c>
      <c r="K619" s="8" t="s">
        <v>2055</v>
      </c>
      <c r="L619" s="4" t="str">
        <f>IF(AtlasReport_1_Table_1[[#This Row],[Reference]]="Purchase order",_xll.AtlasFormulas.AtlasFunctions.AtlasTable("UAT",DataAreaId,"T.VendInvoiceTrans","%RecId","","","","","","","ItemId|PurchID|InventTransId",$C619,$B619,$K619),"")</f>
        <v/>
      </c>
      <c r="M619" s="4" t="str">
        <f>IF(AtlasReport_1_Table_1[[#This Row],[Reference]]="Purchase order",_xll.AtlasFormulas.AtlasFunctions.AtlasTable("UAT",DataAreaId,"T.MarkupTrans","%CurrencyCode","","","","","","","MarkupCode|TransRecId|TransTableId","TPP",$L619,"492"),"")</f>
        <v/>
      </c>
      <c r="N619" s="4" t="str">
        <f>IF(AtlasReport_1_Table_1[[#This Row],[Reference]]="Purchase order",_xll.AtlasFormulas.AtlasFunctions.AtlasBalance("UAT",DataAreaId,"T.MarkupTrans","Sum|Posted|0","","","","","","","MarkupCode|TransTableId|TransRecId","TPP","492",$L619),"")</f>
        <v/>
      </c>
    </row>
    <row r="620" spans="1:14" x14ac:dyDescent="0.25">
      <c r="A620" s="8" t="s">
        <v>21</v>
      </c>
      <c r="B620" s="8" t="s">
        <v>2018</v>
      </c>
      <c r="C620" s="8" t="s">
        <v>600</v>
      </c>
      <c r="D620" s="8" t="s">
        <v>1446</v>
      </c>
      <c r="E620" s="8" t="s">
        <v>261</v>
      </c>
      <c r="F620" s="8" t="s">
        <v>264</v>
      </c>
      <c r="G620" s="6">
        <v>43089</v>
      </c>
      <c r="H620" s="6">
        <v>43089</v>
      </c>
      <c r="I620" s="4">
        <v>-10</v>
      </c>
      <c r="J620" s="8" t="s">
        <v>1033</v>
      </c>
      <c r="K620" s="8" t="s">
        <v>2056</v>
      </c>
      <c r="L620" s="4" t="str">
        <f>IF(AtlasReport_1_Table_1[[#This Row],[Reference]]="Purchase order",_xll.AtlasFormulas.AtlasFunctions.AtlasTable("UAT",DataAreaId,"T.VendInvoiceTrans","%RecId","","","","","","","ItemId|PurchID|InventTransId",$C620,$B620,$K620),"")</f>
        <v/>
      </c>
      <c r="M620" s="4" t="str">
        <f>IF(AtlasReport_1_Table_1[[#This Row],[Reference]]="Purchase order",_xll.AtlasFormulas.AtlasFunctions.AtlasTable("UAT",DataAreaId,"T.MarkupTrans","%CurrencyCode","","","","","","","MarkupCode|TransRecId|TransTableId","TPP",$L620,"492"),"")</f>
        <v/>
      </c>
      <c r="N620" s="4" t="str">
        <f>IF(AtlasReport_1_Table_1[[#This Row],[Reference]]="Purchase order",_xll.AtlasFormulas.AtlasFunctions.AtlasBalance("UAT",DataAreaId,"T.MarkupTrans","Sum|Posted|0","","","","","","","MarkupCode|TransTableId|TransRecId","TPP","492",$L620),"")</f>
        <v/>
      </c>
    </row>
    <row r="621" spans="1:14" x14ac:dyDescent="0.25">
      <c r="A621" s="8" t="s">
        <v>21</v>
      </c>
      <c r="B621" s="8" t="s">
        <v>2018</v>
      </c>
      <c r="C621" s="8" t="s">
        <v>602</v>
      </c>
      <c r="D621" s="8" t="s">
        <v>1448</v>
      </c>
      <c r="E621" s="8" t="s">
        <v>261</v>
      </c>
      <c r="F621" s="8" t="s">
        <v>264</v>
      </c>
      <c r="G621" s="6">
        <v>43089</v>
      </c>
      <c r="H621" s="6">
        <v>43089</v>
      </c>
      <c r="I621" s="4">
        <v>-1</v>
      </c>
      <c r="J621" s="8" t="s">
        <v>1033</v>
      </c>
      <c r="K621" s="8" t="s">
        <v>2057</v>
      </c>
      <c r="L621" s="4" t="str">
        <f>IF(AtlasReport_1_Table_1[[#This Row],[Reference]]="Purchase order",_xll.AtlasFormulas.AtlasFunctions.AtlasTable("UAT",DataAreaId,"T.VendInvoiceTrans","%RecId","","","","","","","ItemId|PurchID|InventTransId",$C621,$B621,$K621),"")</f>
        <v/>
      </c>
      <c r="M621" s="4" t="str">
        <f>IF(AtlasReport_1_Table_1[[#This Row],[Reference]]="Purchase order",_xll.AtlasFormulas.AtlasFunctions.AtlasTable("UAT",DataAreaId,"T.MarkupTrans","%CurrencyCode","","","","","","","MarkupCode|TransRecId|TransTableId","TPP",$L621,"492"),"")</f>
        <v/>
      </c>
      <c r="N621" s="4" t="str">
        <f>IF(AtlasReport_1_Table_1[[#This Row],[Reference]]="Purchase order",_xll.AtlasFormulas.AtlasFunctions.AtlasBalance("UAT",DataAreaId,"T.MarkupTrans","Sum|Posted|0","","","","","","","MarkupCode|TransTableId|TransRecId","TPP","492",$L621),"")</f>
        <v/>
      </c>
    </row>
    <row r="622" spans="1:14" x14ac:dyDescent="0.25">
      <c r="A622" s="8" t="s">
        <v>21</v>
      </c>
      <c r="B622" s="8" t="s">
        <v>2018</v>
      </c>
      <c r="C622" s="8" t="s">
        <v>603</v>
      </c>
      <c r="D622" s="8" t="s">
        <v>1449</v>
      </c>
      <c r="E622" s="8" t="s">
        <v>261</v>
      </c>
      <c r="F622" s="8" t="s">
        <v>264</v>
      </c>
      <c r="G622" s="6">
        <v>43089</v>
      </c>
      <c r="H622" s="6">
        <v>43089</v>
      </c>
      <c r="I622" s="4">
        <v>-24</v>
      </c>
      <c r="J622" s="8" t="s">
        <v>1033</v>
      </c>
      <c r="K622" s="8" t="s">
        <v>2058</v>
      </c>
      <c r="L622" s="4" t="str">
        <f>IF(AtlasReport_1_Table_1[[#This Row],[Reference]]="Purchase order",_xll.AtlasFormulas.AtlasFunctions.AtlasTable("UAT",DataAreaId,"T.VendInvoiceTrans","%RecId","","","","","","","ItemId|PurchID|InventTransId",$C622,$B622,$K622),"")</f>
        <v/>
      </c>
      <c r="M622" s="4" t="str">
        <f>IF(AtlasReport_1_Table_1[[#This Row],[Reference]]="Purchase order",_xll.AtlasFormulas.AtlasFunctions.AtlasTable("UAT",DataAreaId,"T.MarkupTrans","%CurrencyCode","","","","","","","MarkupCode|TransRecId|TransTableId","TPP",$L622,"492"),"")</f>
        <v/>
      </c>
      <c r="N622" s="4" t="str">
        <f>IF(AtlasReport_1_Table_1[[#This Row],[Reference]]="Purchase order",_xll.AtlasFormulas.AtlasFunctions.AtlasBalance("UAT",DataAreaId,"T.MarkupTrans","Sum|Posted|0","","","","","","","MarkupCode|TransTableId|TransRecId","TPP","492",$L622),"")</f>
        <v/>
      </c>
    </row>
    <row r="623" spans="1:14" x14ac:dyDescent="0.25">
      <c r="A623" s="8" t="s">
        <v>21</v>
      </c>
      <c r="B623" s="8" t="s">
        <v>2018</v>
      </c>
      <c r="C623" s="8" t="s">
        <v>604</v>
      </c>
      <c r="D623" s="8" t="s">
        <v>1450</v>
      </c>
      <c r="E623" s="8" t="s">
        <v>261</v>
      </c>
      <c r="F623" s="8" t="s">
        <v>264</v>
      </c>
      <c r="G623" s="6">
        <v>43089</v>
      </c>
      <c r="H623" s="6">
        <v>43089</v>
      </c>
      <c r="I623" s="4">
        <v>-1</v>
      </c>
      <c r="J623" s="8" t="s">
        <v>1033</v>
      </c>
      <c r="K623" s="8" t="s">
        <v>2059</v>
      </c>
      <c r="L623" s="4" t="str">
        <f>IF(AtlasReport_1_Table_1[[#This Row],[Reference]]="Purchase order",_xll.AtlasFormulas.AtlasFunctions.AtlasTable("UAT",DataAreaId,"T.VendInvoiceTrans","%RecId","","","","","","","ItemId|PurchID|InventTransId",$C623,$B623,$K623),"")</f>
        <v/>
      </c>
      <c r="M623" s="4" t="str">
        <f>IF(AtlasReport_1_Table_1[[#This Row],[Reference]]="Purchase order",_xll.AtlasFormulas.AtlasFunctions.AtlasTable("UAT",DataAreaId,"T.MarkupTrans","%CurrencyCode","","","","","","","MarkupCode|TransRecId|TransTableId","TPP",$L623,"492"),"")</f>
        <v/>
      </c>
      <c r="N623" s="4" t="str">
        <f>IF(AtlasReport_1_Table_1[[#This Row],[Reference]]="Purchase order",_xll.AtlasFormulas.AtlasFunctions.AtlasBalance("UAT",DataAreaId,"T.MarkupTrans","Sum|Posted|0","","","","","","","MarkupCode|TransTableId|TransRecId","TPP","492",$L623),"")</f>
        <v/>
      </c>
    </row>
    <row r="624" spans="1:14" x14ac:dyDescent="0.25">
      <c r="A624" s="8" t="s">
        <v>21</v>
      </c>
      <c r="B624" s="8" t="s">
        <v>2018</v>
      </c>
      <c r="C624" s="8" t="s">
        <v>606</v>
      </c>
      <c r="D624" s="8" t="s">
        <v>1452</v>
      </c>
      <c r="E624" s="8" t="s">
        <v>261</v>
      </c>
      <c r="F624" s="8" t="s">
        <v>264</v>
      </c>
      <c r="G624" s="6">
        <v>43089</v>
      </c>
      <c r="H624" s="6">
        <v>43089</v>
      </c>
      <c r="I624" s="4">
        <v>-54</v>
      </c>
      <c r="J624" s="8" t="s">
        <v>1033</v>
      </c>
      <c r="K624" s="8" t="s">
        <v>2060</v>
      </c>
      <c r="L624" s="4" t="str">
        <f>IF(AtlasReport_1_Table_1[[#This Row],[Reference]]="Purchase order",_xll.AtlasFormulas.AtlasFunctions.AtlasTable("UAT",DataAreaId,"T.VendInvoiceTrans","%RecId","","","","","","","ItemId|PurchID|InventTransId",$C624,$B624,$K624),"")</f>
        <v/>
      </c>
      <c r="M624" s="4" t="str">
        <f>IF(AtlasReport_1_Table_1[[#This Row],[Reference]]="Purchase order",_xll.AtlasFormulas.AtlasFunctions.AtlasTable("UAT",DataAreaId,"T.MarkupTrans","%CurrencyCode","","","","","","","MarkupCode|TransRecId|TransTableId","TPP",$L624,"492"),"")</f>
        <v/>
      </c>
      <c r="N624" s="4" t="str">
        <f>IF(AtlasReport_1_Table_1[[#This Row],[Reference]]="Purchase order",_xll.AtlasFormulas.AtlasFunctions.AtlasBalance("UAT",DataAreaId,"T.MarkupTrans","Sum|Posted|0","","","","","","","MarkupCode|TransTableId|TransRecId","TPP","492",$L624),"")</f>
        <v/>
      </c>
    </row>
    <row r="625" spans="1:14" x14ac:dyDescent="0.25">
      <c r="A625" s="8" t="s">
        <v>21</v>
      </c>
      <c r="B625" s="8" t="s">
        <v>2061</v>
      </c>
      <c r="C625" s="8" t="s">
        <v>62</v>
      </c>
      <c r="D625" s="8" t="s">
        <v>94</v>
      </c>
      <c r="E625" s="8" t="s">
        <v>261</v>
      </c>
      <c r="F625" s="8" t="s">
        <v>264</v>
      </c>
      <c r="G625" s="6">
        <v>43089</v>
      </c>
      <c r="H625" s="6">
        <v>43089</v>
      </c>
      <c r="I625" s="4">
        <v>1.78</v>
      </c>
      <c r="J625" s="8" t="s">
        <v>39</v>
      </c>
      <c r="K625" s="8" t="s">
        <v>2062</v>
      </c>
      <c r="L625" s="4" t="str">
        <f>IF(AtlasReport_1_Table_1[[#This Row],[Reference]]="Purchase order",_xll.AtlasFormulas.AtlasFunctions.AtlasTable("UAT",DataAreaId,"T.VendInvoiceTrans","%RecId","","","","","","","ItemId|PurchID|InventTransId",$C625,$B625,$K625),"")</f>
        <v/>
      </c>
      <c r="M625" s="4" t="str">
        <f>IF(AtlasReport_1_Table_1[[#This Row],[Reference]]="Purchase order",_xll.AtlasFormulas.AtlasFunctions.AtlasTable("UAT",DataAreaId,"T.MarkupTrans","%CurrencyCode","","","","","","","MarkupCode|TransRecId|TransTableId","TPP",$L625,"492"),"")</f>
        <v/>
      </c>
      <c r="N625" s="4" t="str">
        <f>IF(AtlasReport_1_Table_1[[#This Row],[Reference]]="Purchase order",_xll.AtlasFormulas.AtlasFunctions.AtlasBalance("UAT",DataAreaId,"T.MarkupTrans","Sum|Posted|0","","","","","","","MarkupCode|TransTableId|TransRecId","TPP","492",$L625),"")</f>
        <v/>
      </c>
    </row>
    <row r="626" spans="1:14" x14ac:dyDescent="0.25">
      <c r="A626" s="8" t="s">
        <v>21</v>
      </c>
      <c r="B626" s="8" t="s">
        <v>2061</v>
      </c>
      <c r="C626" s="8" t="s">
        <v>62</v>
      </c>
      <c r="D626" s="8" t="s">
        <v>94</v>
      </c>
      <c r="E626" s="8" t="s">
        <v>261</v>
      </c>
      <c r="F626" s="8" t="s">
        <v>264</v>
      </c>
      <c r="G626" s="6">
        <v>43089</v>
      </c>
      <c r="H626" s="6">
        <v>43089</v>
      </c>
      <c r="I626" s="4">
        <v>-2.25</v>
      </c>
      <c r="J626" s="8" t="s">
        <v>39</v>
      </c>
      <c r="K626" s="8" t="s">
        <v>2063</v>
      </c>
      <c r="L626" s="4" t="str">
        <f>IF(AtlasReport_1_Table_1[[#This Row],[Reference]]="Purchase order",_xll.AtlasFormulas.AtlasFunctions.AtlasTable("UAT",DataAreaId,"T.VendInvoiceTrans","%RecId","","","","","","","ItemId|PurchID|InventTransId",$C626,$B626,$K626),"")</f>
        <v/>
      </c>
      <c r="M626" s="4" t="str">
        <f>IF(AtlasReport_1_Table_1[[#This Row],[Reference]]="Purchase order",_xll.AtlasFormulas.AtlasFunctions.AtlasTable("UAT",DataAreaId,"T.MarkupTrans","%CurrencyCode","","","","","","","MarkupCode|TransRecId|TransTableId","TPP",$L626,"492"),"")</f>
        <v/>
      </c>
      <c r="N626" s="4" t="str">
        <f>IF(AtlasReport_1_Table_1[[#This Row],[Reference]]="Purchase order",_xll.AtlasFormulas.AtlasFunctions.AtlasBalance("UAT",DataAreaId,"T.MarkupTrans","Sum|Posted|0","","","","","","","MarkupCode|TransTableId|TransRecId","TPP","492",$L626),"")</f>
        <v/>
      </c>
    </row>
    <row r="627" spans="1:14" x14ac:dyDescent="0.25">
      <c r="A627" s="8" t="s">
        <v>21</v>
      </c>
      <c r="B627" s="8" t="s">
        <v>2061</v>
      </c>
      <c r="C627" s="8" t="s">
        <v>62</v>
      </c>
      <c r="D627" s="8" t="s">
        <v>94</v>
      </c>
      <c r="E627" s="8" t="s">
        <v>261</v>
      </c>
      <c r="F627" s="8" t="s">
        <v>264</v>
      </c>
      <c r="G627" s="6">
        <v>43089</v>
      </c>
      <c r="H627" s="6">
        <v>43089</v>
      </c>
      <c r="I627" s="4">
        <v>1.7399999999999998</v>
      </c>
      <c r="J627" s="8" t="s">
        <v>39</v>
      </c>
      <c r="K627" s="8" t="s">
        <v>2064</v>
      </c>
      <c r="L627" s="4" t="str">
        <f>IF(AtlasReport_1_Table_1[[#This Row],[Reference]]="Purchase order",_xll.AtlasFormulas.AtlasFunctions.AtlasTable("UAT",DataAreaId,"T.VendInvoiceTrans","%RecId","","","","","","","ItemId|PurchID|InventTransId",$C627,$B627,$K627),"")</f>
        <v/>
      </c>
      <c r="M627" s="4" t="str">
        <f>IF(AtlasReport_1_Table_1[[#This Row],[Reference]]="Purchase order",_xll.AtlasFormulas.AtlasFunctions.AtlasTable("UAT",DataAreaId,"T.MarkupTrans","%CurrencyCode","","","","","","","MarkupCode|TransRecId|TransTableId","TPP",$L627,"492"),"")</f>
        <v/>
      </c>
      <c r="N627" s="4" t="str">
        <f>IF(AtlasReport_1_Table_1[[#This Row],[Reference]]="Purchase order",_xll.AtlasFormulas.AtlasFunctions.AtlasBalance("UAT",DataAreaId,"T.MarkupTrans","Sum|Posted|0","","","","","","","MarkupCode|TransTableId|TransRecId","TPP","492",$L627),"")</f>
        <v/>
      </c>
    </row>
    <row r="628" spans="1:14" x14ac:dyDescent="0.25">
      <c r="A628" s="8" t="s">
        <v>21</v>
      </c>
      <c r="B628" s="8" t="s">
        <v>2061</v>
      </c>
      <c r="C628" s="8" t="s">
        <v>62</v>
      </c>
      <c r="D628" s="8" t="s">
        <v>94</v>
      </c>
      <c r="E628" s="8" t="s">
        <v>261</v>
      </c>
      <c r="F628" s="8" t="s">
        <v>264</v>
      </c>
      <c r="G628" s="6">
        <v>43089</v>
      </c>
      <c r="H628" s="6">
        <v>43089</v>
      </c>
      <c r="I628" s="4">
        <v>-0.63</v>
      </c>
      <c r="J628" s="8" t="s">
        <v>39</v>
      </c>
      <c r="K628" s="8" t="s">
        <v>2065</v>
      </c>
      <c r="L628" s="4" t="str">
        <f>IF(AtlasReport_1_Table_1[[#This Row],[Reference]]="Purchase order",_xll.AtlasFormulas.AtlasFunctions.AtlasTable("UAT",DataAreaId,"T.VendInvoiceTrans","%RecId","","","","","","","ItemId|PurchID|InventTransId",$C628,$B628,$K628),"")</f>
        <v/>
      </c>
      <c r="M628" s="4" t="str">
        <f>IF(AtlasReport_1_Table_1[[#This Row],[Reference]]="Purchase order",_xll.AtlasFormulas.AtlasFunctions.AtlasTable("UAT",DataAreaId,"T.MarkupTrans","%CurrencyCode","","","","","","","MarkupCode|TransRecId|TransTableId","TPP",$L628,"492"),"")</f>
        <v/>
      </c>
      <c r="N628" s="4" t="str">
        <f>IF(AtlasReport_1_Table_1[[#This Row],[Reference]]="Purchase order",_xll.AtlasFormulas.AtlasFunctions.AtlasBalance("UAT",DataAreaId,"T.MarkupTrans","Sum|Posted|0","","","","","","","MarkupCode|TransTableId|TransRecId","TPP","492",$L628),"")</f>
        <v/>
      </c>
    </row>
    <row r="629" spans="1:14" x14ac:dyDescent="0.25">
      <c r="A629" s="8" t="s">
        <v>21</v>
      </c>
      <c r="B629" s="8" t="s">
        <v>2061</v>
      </c>
      <c r="C629" s="8" t="s">
        <v>62</v>
      </c>
      <c r="D629" s="8" t="s">
        <v>94</v>
      </c>
      <c r="E629" s="8" t="s">
        <v>261</v>
      </c>
      <c r="F629" s="8" t="s">
        <v>264</v>
      </c>
      <c r="G629" s="6">
        <v>43089</v>
      </c>
      <c r="H629" s="6">
        <v>43089</v>
      </c>
      <c r="I629" s="4">
        <v>-0.8</v>
      </c>
      <c r="J629" s="8" t="s">
        <v>39</v>
      </c>
      <c r="K629" s="8" t="s">
        <v>2066</v>
      </c>
      <c r="L629" s="4" t="str">
        <f>IF(AtlasReport_1_Table_1[[#This Row],[Reference]]="Purchase order",_xll.AtlasFormulas.AtlasFunctions.AtlasTable("UAT",DataAreaId,"T.VendInvoiceTrans","%RecId","","","","","","","ItemId|PurchID|InventTransId",$C629,$B629,$K629),"")</f>
        <v/>
      </c>
      <c r="M629" s="4" t="str">
        <f>IF(AtlasReport_1_Table_1[[#This Row],[Reference]]="Purchase order",_xll.AtlasFormulas.AtlasFunctions.AtlasTable("UAT",DataAreaId,"T.MarkupTrans","%CurrencyCode","","","","","","","MarkupCode|TransRecId|TransTableId","TPP",$L629,"492"),"")</f>
        <v/>
      </c>
      <c r="N629" s="4" t="str">
        <f>IF(AtlasReport_1_Table_1[[#This Row],[Reference]]="Purchase order",_xll.AtlasFormulas.AtlasFunctions.AtlasBalance("UAT",DataAreaId,"T.MarkupTrans","Sum|Posted|0","","","","","","","MarkupCode|TransTableId|TransRecId","TPP","492",$L629),"")</f>
        <v/>
      </c>
    </row>
    <row r="630" spans="1:14" x14ac:dyDescent="0.25">
      <c r="A630" s="8" t="s">
        <v>21</v>
      </c>
      <c r="B630" s="8" t="s">
        <v>2061</v>
      </c>
      <c r="C630" s="8" t="s">
        <v>62</v>
      </c>
      <c r="D630" s="8" t="s">
        <v>94</v>
      </c>
      <c r="E630" s="8" t="s">
        <v>261</v>
      </c>
      <c r="F630" s="8" t="s">
        <v>264</v>
      </c>
      <c r="G630" s="6">
        <v>43089</v>
      </c>
      <c r="H630" s="6">
        <v>43089</v>
      </c>
      <c r="I630" s="4">
        <v>-0.05</v>
      </c>
      <c r="J630" s="8" t="s">
        <v>39</v>
      </c>
      <c r="K630" s="8" t="s">
        <v>2067</v>
      </c>
      <c r="L630" s="4" t="str">
        <f>IF(AtlasReport_1_Table_1[[#This Row],[Reference]]="Purchase order",_xll.AtlasFormulas.AtlasFunctions.AtlasTable("UAT",DataAreaId,"T.VendInvoiceTrans","%RecId","","","","","","","ItemId|PurchID|InventTransId",$C630,$B630,$K630),"")</f>
        <v/>
      </c>
      <c r="M630" s="4" t="str">
        <f>IF(AtlasReport_1_Table_1[[#This Row],[Reference]]="Purchase order",_xll.AtlasFormulas.AtlasFunctions.AtlasTable("UAT",DataAreaId,"T.MarkupTrans","%CurrencyCode","","","","","","","MarkupCode|TransRecId|TransTableId","TPP",$L630,"492"),"")</f>
        <v/>
      </c>
      <c r="N630" s="4" t="str">
        <f>IF(AtlasReport_1_Table_1[[#This Row],[Reference]]="Purchase order",_xll.AtlasFormulas.AtlasFunctions.AtlasBalance("UAT",DataAreaId,"T.MarkupTrans","Sum|Posted|0","","","","","","","MarkupCode|TransTableId|TransRecId","TPP","492",$L630),"")</f>
        <v/>
      </c>
    </row>
    <row r="631" spans="1:14" x14ac:dyDescent="0.25">
      <c r="A631" s="8" t="s">
        <v>21</v>
      </c>
      <c r="B631" s="8" t="s">
        <v>2061</v>
      </c>
      <c r="C631" s="8" t="s">
        <v>62</v>
      </c>
      <c r="D631" s="8" t="s">
        <v>94</v>
      </c>
      <c r="E631" s="8" t="s">
        <v>261</v>
      </c>
      <c r="F631" s="8" t="s">
        <v>264</v>
      </c>
      <c r="G631" s="6">
        <v>43089</v>
      </c>
      <c r="H631" s="6">
        <v>43089</v>
      </c>
      <c r="I631" s="4">
        <v>-0.05</v>
      </c>
      <c r="J631" s="8" t="s">
        <v>39</v>
      </c>
      <c r="K631" s="8" t="s">
        <v>2068</v>
      </c>
      <c r="L631" s="4" t="str">
        <f>IF(AtlasReport_1_Table_1[[#This Row],[Reference]]="Purchase order",_xll.AtlasFormulas.AtlasFunctions.AtlasTable("UAT",DataAreaId,"T.VendInvoiceTrans","%RecId","","","","","","","ItemId|PurchID|InventTransId",$C631,$B631,$K631),"")</f>
        <v/>
      </c>
      <c r="M631" s="4" t="str">
        <f>IF(AtlasReport_1_Table_1[[#This Row],[Reference]]="Purchase order",_xll.AtlasFormulas.AtlasFunctions.AtlasTable("UAT",DataAreaId,"T.MarkupTrans","%CurrencyCode","","","","","","","MarkupCode|TransRecId|TransTableId","TPP",$L631,"492"),"")</f>
        <v/>
      </c>
      <c r="N631" s="4" t="str">
        <f>IF(AtlasReport_1_Table_1[[#This Row],[Reference]]="Purchase order",_xll.AtlasFormulas.AtlasFunctions.AtlasBalance("UAT",DataAreaId,"T.MarkupTrans","Sum|Posted|0","","","","","","","MarkupCode|TransTableId|TransRecId","TPP","492",$L631),"")</f>
        <v/>
      </c>
    </row>
    <row r="632" spans="1:14" x14ac:dyDescent="0.25">
      <c r="A632" s="8" t="s">
        <v>21</v>
      </c>
      <c r="B632" s="8" t="s">
        <v>2061</v>
      </c>
      <c r="C632" s="8" t="s">
        <v>62</v>
      </c>
      <c r="D632" s="8" t="s">
        <v>94</v>
      </c>
      <c r="E632" s="8" t="s">
        <v>261</v>
      </c>
      <c r="F632" s="8" t="s">
        <v>264</v>
      </c>
      <c r="G632" s="6">
        <v>43089</v>
      </c>
      <c r="H632" s="6">
        <v>43089</v>
      </c>
      <c r="I632" s="4">
        <v>-3.6</v>
      </c>
      <c r="J632" s="8" t="s">
        <v>39</v>
      </c>
      <c r="K632" s="8" t="s">
        <v>2069</v>
      </c>
      <c r="L632" s="4" t="str">
        <f>IF(AtlasReport_1_Table_1[[#This Row],[Reference]]="Purchase order",_xll.AtlasFormulas.AtlasFunctions.AtlasTable("UAT",DataAreaId,"T.VendInvoiceTrans","%RecId","","","","","","","ItemId|PurchID|InventTransId",$C632,$B632,$K632),"")</f>
        <v/>
      </c>
      <c r="M632" s="4" t="str">
        <f>IF(AtlasReport_1_Table_1[[#This Row],[Reference]]="Purchase order",_xll.AtlasFormulas.AtlasFunctions.AtlasTable("UAT",DataAreaId,"T.MarkupTrans","%CurrencyCode","","","","","","","MarkupCode|TransRecId|TransTableId","TPP",$L632,"492"),"")</f>
        <v/>
      </c>
      <c r="N632" s="4" t="str">
        <f>IF(AtlasReport_1_Table_1[[#This Row],[Reference]]="Purchase order",_xll.AtlasFormulas.AtlasFunctions.AtlasBalance("UAT",DataAreaId,"T.MarkupTrans","Sum|Posted|0","","","","","","","MarkupCode|TransTableId|TransRecId","TPP","492",$L632),"")</f>
        <v/>
      </c>
    </row>
    <row r="633" spans="1:14" x14ac:dyDescent="0.25">
      <c r="A633" s="8" t="s">
        <v>21</v>
      </c>
      <c r="B633" s="8" t="s">
        <v>2061</v>
      </c>
      <c r="C633" s="8" t="s">
        <v>62</v>
      </c>
      <c r="D633" s="8" t="s">
        <v>94</v>
      </c>
      <c r="E633" s="8" t="s">
        <v>261</v>
      </c>
      <c r="F633" s="8" t="s">
        <v>264</v>
      </c>
      <c r="G633" s="6">
        <v>43089</v>
      </c>
      <c r="H633" s="6">
        <v>43089</v>
      </c>
      <c r="I633" s="4">
        <v>-0.82</v>
      </c>
      <c r="J633" s="8" t="s">
        <v>39</v>
      </c>
      <c r="K633" s="8" t="s">
        <v>2070</v>
      </c>
      <c r="L633" s="4" t="str">
        <f>IF(AtlasReport_1_Table_1[[#This Row],[Reference]]="Purchase order",_xll.AtlasFormulas.AtlasFunctions.AtlasTable("UAT",DataAreaId,"T.VendInvoiceTrans","%RecId","","","","","","","ItemId|PurchID|InventTransId",$C633,$B633,$K633),"")</f>
        <v/>
      </c>
      <c r="M633" s="4" t="str">
        <f>IF(AtlasReport_1_Table_1[[#This Row],[Reference]]="Purchase order",_xll.AtlasFormulas.AtlasFunctions.AtlasTable("UAT",DataAreaId,"T.MarkupTrans","%CurrencyCode","","","","","","","MarkupCode|TransRecId|TransTableId","TPP",$L633,"492"),"")</f>
        <v/>
      </c>
      <c r="N633" s="4" t="str">
        <f>IF(AtlasReport_1_Table_1[[#This Row],[Reference]]="Purchase order",_xll.AtlasFormulas.AtlasFunctions.AtlasBalance("UAT",DataAreaId,"T.MarkupTrans","Sum|Posted|0","","","","","","","MarkupCode|TransTableId|TransRecId","TPP","492",$L633),"")</f>
        <v/>
      </c>
    </row>
    <row r="634" spans="1:14" x14ac:dyDescent="0.25">
      <c r="A634" s="8" t="s">
        <v>21</v>
      </c>
      <c r="B634" s="8" t="s">
        <v>2061</v>
      </c>
      <c r="C634" s="8" t="s">
        <v>62</v>
      </c>
      <c r="D634" s="8" t="s">
        <v>94</v>
      </c>
      <c r="E634" s="8" t="s">
        <v>261</v>
      </c>
      <c r="F634" s="8" t="s">
        <v>264</v>
      </c>
      <c r="G634" s="6">
        <v>43089</v>
      </c>
      <c r="H634" s="6">
        <v>43089</v>
      </c>
      <c r="I634" s="4">
        <v>-7.5</v>
      </c>
      <c r="J634" s="8" t="s">
        <v>39</v>
      </c>
      <c r="K634" s="8" t="s">
        <v>2071</v>
      </c>
      <c r="L634" s="4" t="str">
        <f>IF(AtlasReport_1_Table_1[[#This Row],[Reference]]="Purchase order",_xll.AtlasFormulas.AtlasFunctions.AtlasTable("UAT",DataAreaId,"T.VendInvoiceTrans","%RecId","","","","","","","ItemId|PurchID|InventTransId",$C634,$B634,$K634),"")</f>
        <v/>
      </c>
      <c r="M634" s="4" t="str">
        <f>IF(AtlasReport_1_Table_1[[#This Row],[Reference]]="Purchase order",_xll.AtlasFormulas.AtlasFunctions.AtlasTable("UAT",DataAreaId,"T.MarkupTrans","%CurrencyCode","","","","","","","MarkupCode|TransRecId|TransTableId","TPP",$L634,"492"),"")</f>
        <v/>
      </c>
      <c r="N634" s="4" t="str">
        <f>IF(AtlasReport_1_Table_1[[#This Row],[Reference]]="Purchase order",_xll.AtlasFormulas.AtlasFunctions.AtlasBalance("UAT",DataAreaId,"T.MarkupTrans","Sum|Posted|0","","","","","","","MarkupCode|TransTableId|TransRecId","TPP","492",$L634),"")</f>
        <v/>
      </c>
    </row>
    <row r="635" spans="1:14" x14ac:dyDescent="0.25">
      <c r="A635" s="8" t="s">
        <v>21</v>
      </c>
      <c r="B635" s="8" t="s">
        <v>2061</v>
      </c>
      <c r="C635" s="8" t="s">
        <v>62</v>
      </c>
      <c r="D635" s="8" t="s">
        <v>94</v>
      </c>
      <c r="E635" s="8" t="s">
        <v>261</v>
      </c>
      <c r="F635" s="8" t="s">
        <v>264</v>
      </c>
      <c r="G635" s="6">
        <v>43089</v>
      </c>
      <c r="H635" s="6">
        <v>43089</v>
      </c>
      <c r="I635" s="4">
        <v>2.0300000000000002</v>
      </c>
      <c r="J635" s="8" t="s">
        <v>39</v>
      </c>
      <c r="K635" s="8" t="s">
        <v>2072</v>
      </c>
      <c r="L635" s="4" t="str">
        <f>IF(AtlasReport_1_Table_1[[#This Row],[Reference]]="Purchase order",_xll.AtlasFormulas.AtlasFunctions.AtlasTable("UAT",DataAreaId,"T.VendInvoiceTrans","%RecId","","","","","","","ItemId|PurchID|InventTransId",$C635,$B635,$K635),"")</f>
        <v/>
      </c>
      <c r="M635" s="4" t="str">
        <f>IF(AtlasReport_1_Table_1[[#This Row],[Reference]]="Purchase order",_xll.AtlasFormulas.AtlasFunctions.AtlasTable("UAT",DataAreaId,"T.MarkupTrans","%CurrencyCode","","","","","","","MarkupCode|TransRecId|TransTableId","TPP",$L635,"492"),"")</f>
        <v/>
      </c>
      <c r="N635" s="4" t="str">
        <f>IF(AtlasReport_1_Table_1[[#This Row],[Reference]]="Purchase order",_xll.AtlasFormulas.AtlasFunctions.AtlasBalance("UAT",DataAreaId,"T.MarkupTrans","Sum|Posted|0","","","","","","","MarkupCode|TransTableId|TransRecId","TPP","492",$L635),"")</f>
        <v/>
      </c>
    </row>
    <row r="636" spans="1:14" x14ac:dyDescent="0.25">
      <c r="A636" s="8" t="s">
        <v>21</v>
      </c>
      <c r="B636" s="8" t="s">
        <v>2073</v>
      </c>
      <c r="C636" s="8" t="s">
        <v>26</v>
      </c>
      <c r="D636" s="8" t="s">
        <v>195</v>
      </c>
      <c r="E636" s="8" t="s">
        <v>261</v>
      </c>
      <c r="F636" s="8" t="s">
        <v>264</v>
      </c>
      <c r="G636" s="6">
        <v>43089</v>
      </c>
      <c r="H636" s="6">
        <v>43089</v>
      </c>
      <c r="I636" s="4">
        <v>-0.24</v>
      </c>
      <c r="J636" s="8" t="s">
        <v>38</v>
      </c>
      <c r="K636" s="8" t="s">
        <v>2074</v>
      </c>
      <c r="L636" s="4" t="str">
        <f>IF(AtlasReport_1_Table_1[[#This Row],[Reference]]="Purchase order",_xll.AtlasFormulas.AtlasFunctions.AtlasTable("UAT",DataAreaId,"T.VendInvoiceTrans","%RecId","","","","","","","ItemId|PurchID|InventTransId",$C636,$B636,$K636),"")</f>
        <v/>
      </c>
      <c r="M636" s="4" t="str">
        <f>IF(AtlasReport_1_Table_1[[#This Row],[Reference]]="Purchase order",_xll.AtlasFormulas.AtlasFunctions.AtlasTable("UAT",DataAreaId,"T.MarkupTrans","%CurrencyCode","","","","","","","MarkupCode|TransRecId|TransTableId","TPP",$L636,"492"),"")</f>
        <v/>
      </c>
      <c r="N636" s="4" t="str">
        <f>IF(AtlasReport_1_Table_1[[#This Row],[Reference]]="Purchase order",_xll.AtlasFormulas.AtlasFunctions.AtlasBalance("UAT",DataAreaId,"T.MarkupTrans","Sum|Posted|0","","","","","","","MarkupCode|TransTableId|TransRecId","TPP","492",$L636),"")</f>
        <v/>
      </c>
    </row>
    <row r="637" spans="1:14" x14ac:dyDescent="0.25">
      <c r="A637" s="8" t="s">
        <v>21</v>
      </c>
      <c r="B637" s="8" t="s">
        <v>2073</v>
      </c>
      <c r="C637" s="8" t="s">
        <v>26</v>
      </c>
      <c r="D637" s="8" t="s">
        <v>195</v>
      </c>
      <c r="E637" s="8" t="s">
        <v>261</v>
      </c>
      <c r="F637" s="8" t="s">
        <v>264</v>
      </c>
      <c r="G637" s="6">
        <v>43089</v>
      </c>
      <c r="H637" s="6">
        <v>43089</v>
      </c>
      <c r="I637" s="4">
        <v>-0.26</v>
      </c>
      <c r="J637" s="8" t="s">
        <v>38</v>
      </c>
      <c r="K637" s="8" t="s">
        <v>2075</v>
      </c>
      <c r="L637" s="4" t="str">
        <f>IF(AtlasReport_1_Table_1[[#This Row],[Reference]]="Purchase order",_xll.AtlasFormulas.AtlasFunctions.AtlasTable("UAT",DataAreaId,"T.VendInvoiceTrans","%RecId","","","","","","","ItemId|PurchID|InventTransId",$C637,$B637,$K637),"")</f>
        <v/>
      </c>
      <c r="M637" s="4" t="str">
        <f>IF(AtlasReport_1_Table_1[[#This Row],[Reference]]="Purchase order",_xll.AtlasFormulas.AtlasFunctions.AtlasTable("UAT",DataAreaId,"T.MarkupTrans","%CurrencyCode","","","","","","","MarkupCode|TransRecId|TransTableId","TPP",$L637,"492"),"")</f>
        <v/>
      </c>
      <c r="N637" s="4" t="str">
        <f>IF(AtlasReport_1_Table_1[[#This Row],[Reference]]="Purchase order",_xll.AtlasFormulas.AtlasFunctions.AtlasBalance("UAT",DataAreaId,"T.MarkupTrans","Sum|Posted|0","","","","","","","MarkupCode|TransTableId|TransRecId","TPP","492",$L637),"")</f>
        <v/>
      </c>
    </row>
    <row r="638" spans="1:14" x14ac:dyDescent="0.25">
      <c r="A638" s="8" t="s">
        <v>21</v>
      </c>
      <c r="B638" s="8" t="s">
        <v>2073</v>
      </c>
      <c r="C638" s="8" t="s">
        <v>26</v>
      </c>
      <c r="D638" s="8" t="s">
        <v>195</v>
      </c>
      <c r="E638" s="8" t="s">
        <v>261</v>
      </c>
      <c r="F638" s="8" t="s">
        <v>264</v>
      </c>
      <c r="G638" s="6">
        <v>43089</v>
      </c>
      <c r="H638" s="6">
        <v>43089</v>
      </c>
      <c r="I638" s="4">
        <v>-0.32</v>
      </c>
      <c r="J638" s="8" t="s">
        <v>38</v>
      </c>
      <c r="K638" s="8" t="s">
        <v>2076</v>
      </c>
      <c r="L638" s="4" t="str">
        <f>IF(AtlasReport_1_Table_1[[#This Row],[Reference]]="Purchase order",_xll.AtlasFormulas.AtlasFunctions.AtlasTable("UAT",DataAreaId,"T.VendInvoiceTrans","%RecId","","","","","","","ItemId|PurchID|InventTransId",$C638,$B638,$K638),"")</f>
        <v/>
      </c>
      <c r="M638" s="4" t="str">
        <f>IF(AtlasReport_1_Table_1[[#This Row],[Reference]]="Purchase order",_xll.AtlasFormulas.AtlasFunctions.AtlasTable("UAT",DataAreaId,"T.MarkupTrans","%CurrencyCode","","","","","","","MarkupCode|TransRecId|TransTableId","TPP",$L638,"492"),"")</f>
        <v/>
      </c>
      <c r="N638" s="4" t="str">
        <f>IF(AtlasReport_1_Table_1[[#This Row],[Reference]]="Purchase order",_xll.AtlasFormulas.AtlasFunctions.AtlasBalance("UAT",DataAreaId,"T.MarkupTrans","Sum|Posted|0","","","","","","","MarkupCode|TransTableId|TransRecId","TPP","492",$L638),"")</f>
        <v/>
      </c>
    </row>
    <row r="639" spans="1:14" x14ac:dyDescent="0.25">
      <c r="A639" s="8" t="s">
        <v>21</v>
      </c>
      <c r="B639" s="8" t="s">
        <v>2073</v>
      </c>
      <c r="C639" s="8" t="s">
        <v>26</v>
      </c>
      <c r="D639" s="8" t="s">
        <v>195</v>
      </c>
      <c r="E639" s="8" t="s">
        <v>261</v>
      </c>
      <c r="F639" s="8" t="s">
        <v>264</v>
      </c>
      <c r="G639" s="6">
        <v>43089</v>
      </c>
      <c r="H639" s="6">
        <v>43089</v>
      </c>
      <c r="I639" s="4">
        <v>0.22</v>
      </c>
      <c r="J639" s="8" t="s">
        <v>38</v>
      </c>
      <c r="K639" s="8" t="s">
        <v>2077</v>
      </c>
      <c r="L639" s="4" t="str">
        <f>IF(AtlasReport_1_Table_1[[#This Row],[Reference]]="Purchase order",_xll.AtlasFormulas.AtlasFunctions.AtlasTable("UAT",DataAreaId,"T.VendInvoiceTrans","%RecId","","","","","","","ItemId|PurchID|InventTransId",$C639,$B639,$K639),"")</f>
        <v/>
      </c>
      <c r="M639" s="4" t="str">
        <f>IF(AtlasReport_1_Table_1[[#This Row],[Reference]]="Purchase order",_xll.AtlasFormulas.AtlasFunctions.AtlasTable("UAT",DataAreaId,"T.MarkupTrans","%CurrencyCode","","","","","","","MarkupCode|TransRecId|TransTableId","TPP",$L639,"492"),"")</f>
        <v/>
      </c>
      <c r="N639" s="4" t="str">
        <f>IF(AtlasReport_1_Table_1[[#This Row],[Reference]]="Purchase order",_xll.AtlasFormulas.AtlasFunctions.AtlasBalance("UAT",DataAreaId,"T.MarkupTrans","Sum|Posted|0","","","","","","","MarkupCode|TransTableId|TransRecId","TPP","492",$L639),"")</f>
        <v/>
      </c>
    </row>
    <row r="640" spans="1:14" x14ac:dyDescent="0.25">
      <c r="A640" s="8" t="s">
        <v>21</v>
      </c>
      <c r="B640" s="8" t="s">
        <v>2073</v>
      </c>
      <c r="C640" s="8" t="s">
        <v>26</v>
      </c>
      <c r="D640" s="8" t="s">
        <v>195</v>
      </c>
      <c r="E640" s="8" t="s">
        <v>261</v>
      </c>
      <c r="F640" s="8" t="s">
        <v>264</v>
      </c>
      <c r="G640" s="6">
        <v>43089</v>
      </c>
      <c r="H640" s="6">
        <v>43089</v>
      </c>
      <c r="I640" s="4">
        <v>15</v>
      </c>
      <c r="J640" s="8" t="s">
        <v>38</v>
      </c>
      <c r="K640" s="8" t="s">
        <v>2078</v>
      </c>
      <c r="L640" s="4" t="str">
        <f>IF(AtlasReport_1_Table_1[[#This Row],[Reference]]="Purchase order",_xll.AtlasFormulas.AtlasFunctions.AtlasTable("UAT",DataAreaId,"T.VendInvoiceTrans","%RecId","","","","","","","ItemId|PurchID|InventTransId",$C640,$B640,$K640),"")</f>
        <v/>
      </c>
      <c r="M640" s="4" t="str">
        <f>IF(AtlasReport_1_Table_1[[#This Row],[Reference]]="Purchase order",_xll.AtlasFormulas.AtlasFunctions.AtlasTable("UAT",DataAreaId,"T.MarkupTrans","%CurrencyCode","","","","","","","MarkupCode|TransRecId|TransTableId","TPP",$L640,"492"),"")</f>
        <v/>
      </c>
      <c r="N640" s="4" t="str">
        <f>IF(AtlasReport_1_Table_1[[#This Row],[Reference]]="Purchase order",_xll.AtlasFormulas.AtlasFunctions.AtlasBalance("UAT",DataAreaId,"T.MarkupTrans","Sum|Posted|0","","","","","","","MarkupCode|TransTableId|TransRecId","TPP","492",$L640),"")</f>
        <v/>
      </c>
    </row>
    <row r="641" spans="1:14" x14ac:dyDescent="0.25">
      <c r="A641" s="8" t="s">
        <v>21</v>
      </c>
      <c r="B641" s="8" t="s">
        <v>2079</v>
      </c>
      <c r="C641" s="8" t="s">
        <v>63</v>
      </c>
      <c r="D641" s="8" t="s">
        <v>95</v>
      </c>
      <c r="E641" s="8" t="s">
        <v>261</v>
      </c>
      <c r="F641" s="8" t="s">
        <v>264</v>
      </c>
      <c r="G641" s="6">
        <v>43089</v>
      </c>
      <c r="H641" s="6">
        <v>43089</v>
      </c>
      <c r="I641" s="4">
        <v>-0.16</v>
      </c>
      <c r="J641" s="8" t="s">
        <v>39</v>
      </c>
      <c r="K641" s="8" t="s">
        <v>2080</v>
      </c>
      <c r="L641" s="4" t="str">
        <f>IF(AtlasReport_1_Table_1[[#This Row],[Reference]]="Purchase order",_xll.AtlasFormulas.AtlasFunctions.AtlasTable("UAT",DataAreaId,"T.VendInvoiceTrans","%RecId","","","","","","","ItemId|PurchID|InventTransId",$C641,$B641,$K641),"")</f>
        <v/>
      </c>
      <c r="M641" s="4" t="str">
        <f>IF(AtlasReport_1_Table_1[[#This Row],[Reference]]="Purchase order",_xll.AtlasFormulas.AtlasFunctions.AtlasTable("UAT",DataAreaId,"T.MarkupTrans","%CurrencyCode","","","","","","","MarkupCode|TransRecId|TransTableId","TPP",$L641,"492"),"")</f>
        <v/>
      </c>
      <c r="N641" s="4" t="str">
        <f>IF(AtlasReport_1_Table_1[[#This Row],[Reference]]="Purchase order",_xll.AtlasFormulas.AtlasFunctions.AtlasBalance("UAT",DataAreaId,"T.MarkupTrans","Sum|Posted|0","","","","","","","MarkupCode|TransTableId|TransRecId","TPP","492",$L641),"")</f>
        <v/>
      </c>
    </row>
    <row r="642" spans="1:14" x14ac:dyDescent="0.25">
      <c r="A642" s="8" t="s">
        <v>21</v>
      </c>
      <c r="B642" s="8" t="s">
        <v>2079</v>
      </c>
      <c r="C642" s="8" t="s">
        <v>63</v>
      </c>
      <c r="D642" s="8" t="s">
        <v>95</v>
      </c>
      <c r="E642" s="8" t="s">
        <v>261</v>
      </c>
      <c r="F642" s="8" t="s">
        <v>264</v>
      </c>
      <c r="G642" s="6">
        <v>43089</v>
      </c>
      <c r="H642" s="6">
        <v>43089</v>
      </c>
      <c r="I642" s="4">
        <v>-0.41</v>
      </c>
      <c r="J642" s="8" t="s">
        <v>39</v>
      </c>
      <c r="K642" s="8" t="s">
        <v>2081</v>
      </c>
      <c r="L642" s="4" t="str">
        <f>IF(AtlasReport_1_Table_1[[#This Row],[Reference]]="Purchase order",_xll.AtlasFormulas.AtlasFunctions.AtlasTable("UAT",DataAreaId,"T.VendInvoiceTrans","%RecId","","","","","","","ItemId|PurchID|InventTransId",$C642,$B642,$K642),"")</f>
        <v/>
      </c>
      <c r="M642" s="4" t="str">
        <f>IF(AtlasReport_1_Table_1[[#This Row],[Reference]]="Purchase order",_xll.AtlasFormulas.AtlasFunctions.AtlasTable("UAT",DataAreaId,"T.MarkupTrans","%CurrencyCode","","","","","","","MarkupCode|TransRecId|TransTableId","TPP",$L642,"492"),"")</f>
        <v/>
      </c>
      <c r="N642" s="4" t="str">
        <f>IF(AtlasReport_1_Table_1[[#This Row],[Reference]]="Purchase order",_xll.AtlasFormulas.AtlasFunctions.AtlasBalance("UAT",DataAreaId,"T.MarkupTrans","Sum|Posted|0","","","","","","","MarkupCode|TransTableId|TransRecId","TPP","492",$L642),"")</f>
        <v/>
      </c>
    </row>
    <row r="643" spans="1:14" x14ac:dyDescent="0.25">
      <c r="A643" s="8" t="s">
        <v>21</v>
      </c>
      <c r="B643" s="8" t="s">
        <v>2079</v>
      </c>
      <c r="C643" s="8" t="s">
        <v>63</v>
      </c>
      <c r="D643" s="8" t="s">
        <v>95</v>
      </c>
      <c r="E643" s="8" t="s">
        <v>261</v>
      </c>
      <c r="F643" s="8" t="s">
        <v>264</v>
      </c>
      <c r="G643" s="6">
        <v>43089</v>
      </c>
      <c r="H643" s="6">
        <v>43089</v>
      </c>
      <c r="I643" s="4">
        <v>-2.0300000000000002</v>
      </c>
      <c r="J643" s="8" t="s">
        <v>39</v>
      </c>
      <c r="K643" s="8" t="s">
        <v>2082</v>
      </c>
      <c r="L643" s="4" t="str">
        <f>IF(AtlasReport_1_Table_1[[#This Row],[Reference]]="Purchase order",_xll.AtlasFormulas.AtlasFunctions.AtlasTable("UAT",DataAreaId,"T.VendInvoiceTrans","%RecId","","","","","","","ItemId|PurchID|InventTransId",$C643,$B643,$K643),"")</f>
        <v/>
      </c>
      <c r="M643" s="4" t="str">
        <f>IF(AtlasReport_1_Table_1[[#This Row],[Reference]]="Purchase order",_xll.AtlasFormulas.AtlasFunctions.AtlasTable("UAT",DataAreaId,"T.MarkupTrans","%CurrencyCode","","","","","","","MarkupCode|TransRecId|TransTableId","TPP",$L643,"492"),"")</f>
        <v/>
      </c>
      <c r="N643" s="4" t="str">
        <f>IF(AtlasReport_1_Table_1[[#This Row],[Reference]]="Purchase order",_xll.AtlasFormulas.AtlasFunctions.AtlasBalance("UAT",DataAreaId,"T.MarkupTrans","Sum|Posted|0","","","","","","","MarkupCode|TransTableId|TransRecId","TPP","492",$L643),"")</f>
        <v/>
      </c>
    </row>
    <row r="644" spans="1:14" x14ac:dyDescent="0.25">
      <c r="A644" s="8" t="s">
        <v>21</v>
      </c>
      <c r="B644" s="8" t="s">
        <v>2079</v>
      </c>
      <c r="C644" s="8" t="s">
        <v>63</v>
      </c>
      <c r="D644" s="8" t="s">
        <v>95</v>
      </c>
      <c r="E644" s="8" t="s">
        <v>261</v>
      </c>
      <c r="F644" s="8" t="s">
        <v>264</v>
      </c>
      <c r="G644" s="6">
        <v>43089</v>
      </c>
      <c r="H644" s="6">
        <v>43089</v>
      </c>
      <c r="I644" s="4">
        <v>-2.9</v>
      </c>
      <c r="J644" s="8" t="s">
        <v>39</v>
      </c>
      <c r="K644" s="8" t="s">
        <v>2083</v>
      </c>
      <c r="L644" s="4" t="str">
        <f>IF(AtlasReport_1_Table_1[[#This Row],[Reference]]="Purchase order",_xll.AtlasFormulas.AtlasFunctions.AtlasTable("UAT",DataAreaId,"T.VendInvoiceTrans","%RecId","","","","","","","ItemId|PurchID|InventTransId",$C644,$B644,$K644),"")</f>
        <v/>
      </c>
      <c r="M644" s="4" t="str">
        <f>IF(AtlasReport_1_Table_1[[#This Row],[Reference]]="Purchase order",_xll.AtlasFormulas.AtlasFunctions.AtlasTable("UAT",DataAreaId,"T.MarkupTrans","%CurrencyCode","","","","","","","MarkupCode|TransRecId|TransTableId","TPP",$L644,"492"),"")</f>
        <v/>
      </c>
      <c r="N644" s="4" t="str">
        <f>IF(AtlasReport_1_Table_1[[#This Row],[Reference]]="Purchase order",_xll.AtlasFormulas.AtlasFunctions.AtlasBalance("UAT",DataAreaId,"T.MarkupTrans","Sum|Posted|0","","","","","","","MarkupCode|TransTableId|TransRecId","TPP","492",$L644),"")</f>
        <v/>
      </c>
    </row>
    <row r="645" spans="1:14" x14ac:dyDescent="0.25">
      <c r="A645" s="8" t="s">
        <v>21</v>
      </c>
      <c r="B645" s="8" t="s">
        <v>2079</v>
      </c>
      <c r="C645" s="8" t="s">
        <v>63</v>
      </c>
      <c r="D645" s="8" t="s">
        <v>95</v>
      </c>
      <c r="E645" s="8" t="s">
        <v>261</v>
      </c>
      <c r="F645" s="8" t="s">
        <v>264</v>
      </c>
      <c r="G645" s="6">
        <v>43089</v>
      </c>
      <c r="H645" s="6">
        <v>43089</v>
      </c>
      <c r="I645" s="4">
        <v>1.8800000000000001</v>
      </c>
      <c r="J645" s="8" t="s">
        <v>39</v>
      </c>
      <c r="K645" s="8" t="s">
        <v>2084</v>
      </c>
      <c r="L645" s="4" t="str">
        <f>IF(AtlasReport_1_Table_1[[#This Row],[Reference]]="Purchase order",_xll.AtlasFormulas.AtlasFunctions.AtlasTable("UAT",DataAreaId,"T.VendInvoiceTrans","%RecId","","","","","","","ItemId|PurchID|InventTransId",$C645,$B645,$K645),"")</f>
        <v/>
      </c>
      <c r="M645" s="4" t="str">
        <f>IF(AtlasReport_1_Table_1[[#This Row],[Reference]]="Purchase order",_xll.AtlasFormulas.AtlasFunctions.AtlasTable("UAT",DataAreaId,"T.MarkupTrans","%CurrencyCode","","","","","","","MarkupCode|TransRecId|TransTableId","TPP",$L645,"492"),"")</f>
        <v/>
      </c>
      <c r="N645" s="4" t="str">
        <f>IF(AtlasReport_1_Table_1[[#This Row],[Reference]]="Purchase order",_xll.AtlasFormulas.AtlasFunctions.AtlasBalance("UAT",DataAreaId,"T.MarkupTrans","Sum|Posted|0","","","","","","","MarkupCode|TransTableId|TransRecId","TPP","492",$L645),"")</f>
        <v/>
      </c>
    </row>
    <row r="646" spans="1:14" x14ac:dyDescent="0.25">
      <c r="A646" s="8" t="s">
        <v>21</v>
      </c>
      <c r="B646" s="8" t="s">
        <v>2079</v>
      </c>
      <c r="C646" s="8" t="s">
        <v>63</v>
      </c>
      <c r="D646" s="8" t="s">
        <v>95</v>
      </c>
      <c r="E646" s="8" t="s">
        <v>261</v>
      </c>
      <c r="F646" s="8" t="s">
        <v>264</v>
      </c>
      <c r="G646" s="6">
        <v>43089</v>
      </c>
      <c r="H646" s="6">
        <v>43089</v>
      </c>
      <c r="I646" s="4">
        <v>1.6</v>
      </c>
      <c r="J646" s="8" t="s">
        <v>39</v>
      </c>
      <c r="K646" s="8" t="s">
        <v>2085</v>
      </c>
      <c r="L646" s="4" t="str">
        <f>IF(AtlasReport_1_Table_1[[#This Row],[Reference]]="Purchase order",_xll.AtlasFormulas.AtlasFunctions.AtlasTable("UAT",DataAreaId,"T.VendInvoiceTrans","%RecId","","","","","","","ItemId|PurchID|InventTransId",$C646,$B646,$K646),"")</f>
        <v/>
      </c>
      <c r="M646" s="4" t="str">
        <f>IF(AtlasReport_1_Table_1[[#This Row],[Reference]]="Purchase order",_xll.AtlasFormulas.AtlasFunctions.AtlasTable("UAT",DataAreaId,"T.MarkupTrans","%CurrencyCode","","","","","","","MarkupCode|TransRecId|TransTableId","TPP",$L646,"492"),"")</f>
        <v/>
      </c>
      <c r="N646" s="4" t="str">
        <f>IF(AtlasReport_1_Table_1[[#This Row],[Reference]]="Purchase order",_xll.AtlasFormulas.AtlasFunctions.AtlasBalance("UAT",DataAreaId,"T.MarkupTrans","Sum|Posted|0","","","","","","","MarkupCode|TransTableId|TransRecId","TPP","492",$L646),"")</f>
        <v/>
      </c>
    </row>
    <row r="647" spans="1:14" x14ac:dyDescent="0.25">
      <c r="A647" s="8" t="s">
        <v>21</v>
      </c>
      <c r="B647" s="8" t="s">
        <v>2079</v>
      </c>
      <c r="C647" s="8" t="s">
        <v>63</v>
      </c>
      <c r="D647" s="8" t="s">
        <v>95</v>
      </c>
      <c r="E647" s="8" t="s">
        <v>261</v>
      </c>
      <c r="F647" s="8" t="s">
        <v>264</v>
      </c>
      <c r="G647" s="6">
        <v>43089</v>
      </c>
      <c r="H647" s="6">
        <v>43089</v>
      </c>
      <c r="I647" s="4">
        <v>-0.2</v>
      </c>
      <c r="J647" s="8" t="s">
        <v>39</v>
      </c>
      <c r="K647" s="8" t="s">
        <v>2086</v>
      </c>
      <c r="L647" s="4" t="str">
        <f>IF(AtlasReport_1_Table_1[[#This Row],[Reference]]="Purchase order",_xll.AtlasFormulas.AtlasFunctions.AtlasTable("UAT",DataAreaId,"T.VendInvoiceTrans","%RecId","","","","","","","ItemId|PurchID|InventTransId",$C647,$B647,$K647),"")</f>
        <v/>
      </c>
      <c r="M647" s="4" t="str">
        <f>IF(AtlasReport_1_Table_1[[#This Row],[Reference]]="Purchase order",_xll.AtlasFormulas.AtlasFunctions.AtlasTable("UAT",DataAreaId,"T.MarkupTrans","%CurrencyCode","","","","","","","MarkupCode|TransRecId|TransTableId","TPP",$L647,"492"),"")</f>
        <v/>
      </c>
      <c r="N647" s="4" t="str">
        <f>IF(AtlasReport_1_Table_1[[#This Row],[Reference]]="Purchase order",_xll.AtlasFormulas.AtlasFunctions.AtlasBalance("UAT",DataAreaId,"T.MarkupTrans","Sum|Posted|0","","","","","","","MarkupCode|TransTableId|TransRecId","TPP","492",$L647),"")</f>
        <v/>
      </c>
    </row>
    <row r="648" spans="1:14" x14ac:dyDescent="0.25">
      <c r="A648" s="8" t="s">
        <v>21</v>
      </c>
      <c r="B648" s="8" t="s">
        <v>2087</v>
      </c>
      <c r="C648" s="8" t="s">
        <v>267</v>
      </c>
      <c r="D648" s="8" t="s">
        <v>974</v>
      </c>
      <c r="E648" s="8" t="s">
        <v>261</v>
      </c>
      <c r="F648" s="8" t="s">
        <v>264</v>
      </c>
      <c r="G648" s="6">
        <v>43089</v>
      </c>
      <c r="H648" s="6">
        <v>43089</v>
      </c>
      <c r="I648" s="4">
        <v>15</v>
      </c>
      <c r="J648" s="8" t="s">
        <v>37</v>
      </c>
      <c r="K648" s="8" t="s">
        <v>2088</v>
      </c>
      <c r="L648" s="4" t="str">
        <f>IF(AtlasReport_1_Table_1[[#This Row],[Reference]]="Purchase order",_xll.AtlasFormulas.AtlasFunctions.AtlasTable("UAT",DataAreaId,"T.VendInvoiceTrans","%RecId","","","","","","","ItemId|PurchID|InventTransId",$C648,$B648,$K648),"")</f>
        <v/>
      </c>
      <c r="M648" s="4" t="str">
        <f>IF(AtlasReport_1_Table_1[[#This Row],[Reference]]="Purchase order",_xll.AtlasFormulas.AtlasFunctions.AtlasTable("UAT",DataAreaId,"T.MarkupTrans","%CurrencyCode","","","","","","","MarkupCode|TransRecId|TransTableId","TPP",$L648,"492"),"")</f>
        <v/>
      </c>
      <c r="N648" s="4" t="str">
        <f>IF(AtlasReport_1_Table_1[[#This Row],[Reference]]="Purchase order",_xll.AtlasFormulas.AtlasFunctions.AtlasBalance("UAT",DataAreaId,"T.MarkupTrans","Sum|Posted|0","","","","","","","MarkupCode|TransTableId|TransRecId","TPP","492",$L648),"")</f>
        <v/>
      </c>
    </row>
    <row r="649" spans="1:14" x14ac:dyDescent="0.25">
      <c r="A649" s="8" t="s">
        <v>21</v>
      </c>
      <c r="B649" s="8" t="s">
        <v>2087</v>
      </c>
      <c r="C649" s="8" t="s">
        <v>52</v>
      </c>
      <c r="D649" s="8" t="s">
        <v>96</v>
      </c>
      <c r="E649" s="8" t="s">
        <v>261</v>
      </c>
      <c r="F649" s="8" t="s">
        <v>264</v>
      </c>
      <c r="G649" s="6">
        <v>43089</v>
      </c>
      <c r="H649" s="6">
        <v>43089</v>
      </c>
      <c r="I649" s="4">
        <v>-1381.75</v>
      </c>
      <c r="J649" s="8" t="s">
        <v>38</v>
      </c>
      <c r="K649" s="8" t="s">
        <v>2089</v>
      </c>
      <c r="L649" s="4" t="str">
        <f>IF(AtlasReport_1_Table_1[[#This Row],[Reference]]="Purchase order",_xll.AtlasFormulas.AtlasFunctions.AtlasTable("UAT",DataAreaId,"T.VendInvoiceTrans","%RecId","","","","","","","ItemId|PurchID|InventTransId",$C649,$B649,$K649),"")</f>
        <v/>
      </c>
      <c r="M649" s="4" t="str">
        <f>IF(AtlasReport_1_Table_1[[#This Row],[Reference]]="Purchase order",_xll.AtlasFormulas.AtlasFunctions.AtlasTable("UAT",DataAreaId,"T.MarkupTrans","%CurrencyCode","","","","","","","MarkupCode|TransRecId|TransTableId","TPP",$L649,"492"),"")</f>
        <v/>
      </c>
      <c r="N649" s="4" t="str">
        <f>IF(AtlasReport_1_Table_1[[#This Row],[Reference]]="Purchase order",_xll.AtlasFormulas.AtlasFunctions.AtlasBalance("UAT",DataAreaId,"T.MarkupTrans","Sum|Posted|0","","","","","","","MarkupCode|TransTableId|TransRecId","TPP","492",$L649),"")</f>
        <v/>
      </c>
    </row>
    <row r="650" spans="1:14" ht="30" x14ac:dyDescent="0.25">
      <c r="A650" s="8" t="s">
        <v>21</v>
      </c>
      <c r="B650" s="8" t="s">
        <v>2087</v>
      </c>
      <c r="C650" s="8" t="s">
        <v>136</v>
      </c>
      <c r="D650" s="11" t="s">
        <v>161</v>
      </c>
      <c r="E650" s="8" t="s">
        <v>261</v>
      </c>
      <c r="F650" s="8" t="s">
        <v>264</v>
      </c>
      <c r="G650" s="6">
        <v>43089</v>
      </c>
      <c r="H650" s="6">
        <v>43089</v>
      </c>
      <c r="I650" s="4">
        <v>-14.6</v>
      </c>
      <c r="J650" s="8" t="s">
        <v>38</v>
      </c>
      <c r="K650" s="8" t="s">
        <v>2090</v>
      </c>
      <c r="L650" s="4" t="str">
        <f>IF(AtlasReport_1_Table_1[[#This Row],[Reference]]="Purchase order",_xll.AtlasFormulas.AtlasFunctions.AtlasTable("UAT",DataAreaId,"T.VendInvoiceTrans","%RecId","","","","","","","ItemId|PurchID|InventTransId",$C650,$B650,$K650),"")</f>
        <v/>
      </c>
      <c r="M650" s="4" t="str">
        <f>IF(AtlasReport_1_Table_1[[#This Row],[Reference]]="Purchase order",_xll.AtlasFormulas.AtlasFunctions.AtlasTable("UAT",DataAreaId,"T.MarkupTrans","%CurrencyCode","","","","","","","MarkupCode|TransRecId|TransTableId","TPP",$L650,"492"),"")</f>
        <v/>
      </c>
      <c r="N650" s="4" t="str">
        <f>IF(AtlasReport_1_Table_1[[#This Row],[Reference]]="Purchase order",_xll.AtlasFormulas.AtlasFunctions.AtlasBalance("UAT",DataAreaId,"T.MarkupTrans","Sum|Posted|0","","","","","","","MarkupCode|TransTableId|TransRecId","TPP","492",$L650),"")</f>
        <v/>
      </c>
    </row>
    <row r="651" spans="1:14" x14ac:dyDescent="0.25">
      <c r="A651" s="8" t="s">
        <v>21</v>
      </c>
      <c r="B651" s="8" t="s">
        <v>2087</v>
      </c>
      <c r="C651" s="8" t="s">
        <v>283</v>
      </c>
      <c r="D651" s="8" t="s">
        <v>991</v>
      </c>
      <c r="E651" s="8" t="s">
        <v>261</v>
      </c>
      <c r="F651" s="8" t="s">
        <v>264</v>
      </c>
      <c r="G651" s="6">
        <v>43089</v>
      </c>
      <c r="H651" s="6">
        <v>43089</v>
      </c>
      <c r="I651" s="4">
        <v>-32</v>
      </c>
      <c r="J651" s="8" t="s">
        <v>38</v>
      </c>
      <c r="K651" s="8" t="s">
        <v>2091</v>
      </c>
      <c r="L651" s="4" t="str">
        <f>IF(AtlasReport_1_Table_1[[#This Row],[Reference]]="Purchase order",_xll.AtlasFormulas.AtlasFunctions.AtlasTable("UAT",DataAreaId,"T.VendInvoiceTrans","%RecId","","","","","","","ItemId|PurchID|InventTransId",$C651,$B651,$K651),"")</f>
        <v/>
      </c>
      <c r="M651" s="4" t="str">
        <f>IF(AtlasReport_1_Table_1[[#This Row],[Reference]]="Purchase order",_xll.AtlasFormulas.AtlasFunctions.AtlasTable("UAT",DataAreaId,"T.MarkupTrans","%CurrencyCode","","","","","","","MarkupCode|TransRecId|TransTableId","TPP",$L651,"492"),"")</f>
        <v/>
      </c>
      <c r="N651" s="4" t="str">
        <f>IF(AtlasReport_1_Table_1[[#This Row],[Reference]]="Purchase order",_xll.AtlasFormulas.AtlasFunctions.AtlasBalance("UAT",DataAreaId,"T.MarkupTrans","Sum|Posted|0","","","","","","","MarkupCode|TransTableId|TransRecId","TPP","492",$L651),"")</f>
        <v/>
      </c>
    </row>
    <row r="652" spans="1:14" x14ac:dyDescent="0.25">
      <c r="A652" s="8" t="s">
        <v>21</v>
      </c>
      <c r="B652" s="8" t="s">
        <v>2087</v>
      </c>
      <c r="C652" s="8" t="s">
        <v>284</v>
      </c>
      <c r="D652" s="8" t="s">
        <v>992</v>
      </c>
      <c r="E652" s="8" t="s">
        <v>261</v>
      </c>
      <c r="F652" s="8" t="s">
        <v>264</v>
      </c>
      <c r="G652" s="6">
        <v>43089</v>
      </c>
      <c r="H652" s="6">
        <v>43089</v>
      </c>
      <c r="I652" s="4">
        <v>-15.6</v>
      </c>
      <c r="J652" s="8" t="s">
        <v>38</v>
      </c>
      <c r="K652" s="8" t="s">
        <v>2092</v>
      </c>
      <c r="L652" s="4" t="str">
        <f>IF(AtlasReport_1_Table_1[[#This Row],[Reference]]="Purchase order",_xll.AtlasFormulas.AtlasFunctions.AtlasTable("UAT",DataAreaId,"T.VendInvoiceTrans","%RecId","","","","","","","ItemId|PurchID|InventTransId",$C652,$B652,$K652),"")</f>
        <v/>
      </c>
      <c r="M652" s="4" t="str">
        <f>IF(AtlasReport_1_Table_1[[#This Row],[Reference]]="Purchase order",_xll.AtlasFormulas.AtlasFunctions.AtlasTable("UAT",DataAreaId,"T.MarkupTrans","%CurrencyCode","","","","","","","MarkupCode|TransRecId|TransTableId","TPP",$L652,"492"),"")</f>
        <v/>
      </c>
      <c r="N652" s="4" t="str">
        <f>IF(AtlasReport_1_Table_1[[#This Row],[Reference]]="Purchase order",_xll.AtlasFormulas.AtlasFunctions.AtlasBalance("UAT",DataAreaId,"T.MarkupTrans","Sum|Posted|0","","","","","","","MarkupCode|TransTableId|TransRecId","TPP","492",$L652),"")</f>
        <v/>
      </c>
    </row>
    <row r="653" spans="1:14" x14ac:dyDescent="0.25">
      <c r="A653" s="8" t="s">
        <v>21</v>
      </c>
      <c r="B653" s="8" t="s">
        <v>2087</v>
      </c>
      <c r="C653" s="8" t="s">
        <v>137</v>
      </c>
      <c r="D653" s="8" t="s">
        <v>182</v>
      </c>
      <c r="E653" s="8" t="s">
        <v>261</v>
      </c>
      <c r="F653" s="8" t="s">
        <v>264</v>
      </c>
      <c r="G653" s="6">
        <v>43089</v>
      </c>
      <c r="H653" s="6">
        <v>43089</v>
      </c>
      <c r="I653" s="4">
        <v>29.05</v>
      </c>
      <c r="J653" s="8" t="s">
        <v>38</v>
      </c>
      <c r="K653" s="8" t="s">
        <v>2093</v>
      </c>
      <c r="L653" s="4" t="str">
        <f>IF(AtlasReport_1_Table_1[[#This Row],[Reference]]="Purchase order",_xll.AtlasFormulas.AtlasFunctions.AtlasTable("UAT",DataAreaId,"T.VendInvoiceTrans","%RecId","","","","","","","ItemId|PurchID|InventTransId",$C653,$B653,$K653),"")</f>
        <v/>
      </c>
      <c r="M653" s="4" t="str">
        <f>IF(AtlasReport_1_Table_1[[#This Row],[Reference]]="Purchase order",_xll.AtlasFormulas.AtlasFunctions.AtlasTable("UAT",DataAreaId,"T.MarkupTrans","%CurrencyCode","","","","","","","MarkupCode|TransRecId|TransTableId","TPP",$L653,"492"),"")</f>
        <v/>
      </c>
      <c r="N653" s="4" t="str">
        <f>IF(AtlasReport_1_Table_1[[#This Row],[Reference]]="Purchase order",_xll.AtlasFormulas.AtlasFunctions.AtlasBalance("UAT",DataAreaId,"T.MarkupTrans","Sum|Posted|0","","","","","","","MarkupCode|TransTableId|TransRecId","TPP","492",$L653),"")</f>
        <v/>
      </c>
    </row>
    <row r="654" spans="1:14" x14ac:dyDescent="0.25">
      <c r="A654" s="8" t="s">
        <v>21</v>
      </c>
      <c r="B654" s="8" t="s">
        <v>2087</v>
      </c>
      <c r="C654" s="8" t="s">
        <v>285</v>
      </c>
      <c r="D654" s="8" t="s">
        <v>993</v>
      </c>
      <c r="E654" s="8" t="s">
        <v>261</v>
      </c>
      <c r="F654" s="8" t="s">
        <v>264</v>
      </c>
      <c r="G654" s="6">
        <v>43089</v>
      </c>
      <c r="H654" s="6">
        <v>43089</v>
      </c>
      <c r="I654" s="4">
        <v>97.5</v>
      </c>
      <c r="J654" s="8" t="s">
        <v>38</v>
      </c>
      <c r="K654" s="8" t="s">
        <v>2094</v>
      </c>
      <c r="L654" s="4" t="str">
        <f>IF(AtlasReport_1_Table_1[[#This Row],[Reference]]="Purchase order",_xll.AtlasFormulas.AtlasFunctions.AtlasTable("UAT",DataAreaId,"T.VendInvoiceTrans","%RecId","","","","","","","ItemId|PurchID|InventTransId",$C654,$B654,$K654),"")</f>
        <v/>
      </c>
      <c r="M654" s="4" t="str">
        <f>IF(AtlasReport_1_Table_1[[#This Row],[Reference]]="Purchase order",_xll.AtlasFormulas.AtlasFunctions.AtlasTable("UAT",DataAreaId,"T.MarkupTrans","%CurrencyCode","","","","","","","MarkupCode|TransRecId|TransTableId","TPP",$L654,"492"),"")</f>
        <v/>
      </c>
      <c r="N654" s="4" t="str">
        <f>IF(AtlasReport_1_Table_1[[#This Row],[Reference]]="Purchase order",_xll.AtlasFormulas.AtlasFunctions.AtlasBalance("UAT",DataAreaId,"T.MarkupTrans","Sum|Posted|0","","","","","","","MarkupCode|TransTableId|TransRecId","TPP","492",$L654),"")</f>
        <v/>
      </c>
    </row>
    <row r="655" spans="1:14" x14ac:dyDescent="0.25">
      <c r="A655" s="8" t="s">
        <v>21</v>
      </c>
      <c r="B655" s="8" t="s">
        <v>2087</v>
      </c>
      <c r="C655" s="8" t="s">
        <v>138</v>
      </c>
      <c r="D655" s="8" t="s">
        <v>184</v>
      </c>
      <c r="E655" s="8" t="s">
        <v>261</v>
      </c>
      <c r="F655" s="8" t="s">
        <v>264</v>
      </c>
      <c r="G655" s="6">
        <v>43089</v>
      </c>
      <c r="H655" s="6">
        <v>43089</v>
      </c>
      <c r="I655" s="4">
        <v>-750</v>
      </c>
      <c r="J655" s="8" t="s">
        <v>37</v>
      </c>
      <c r="K655" s="8" t="s">
        <v>2095</v>
      </c>
      <c r="L655" s="4" t="str">
        <f>IF(AtlasReport_1_Table_1[[#This Row],[Reference]]="Purchase order",_xll.AtlasFormulas.AtlasFunctions.AtlasTable("UAT",DataAreaId,"T.VendInvoiceTrans","%RecId","","","","","","","ItemId|PurchID|InventTransId",$C655,$B655,$K655),"")</f>
        <v/>
      </c>
      <c r="M655" s="4" t="str">
        <f>IF(AtlasReport_1_Table_1[[#This Row],[Reference]]="Purchase order",_xll.AtlasFormulas.AtlasFunctions.AtlasTable("UAT",DataAreaId,"T.MarkupTrans","%CurrencyCode","","","","","","","MarkupCode|TransRecId|TransTableId","TPP",$L655,"492"),"")</f>
        <v/>
      </c>
      <c r="N655" s="4" t="str">
        <f>IF(AtlasReport_1_Table_1[[#This Row],[Reference]]="Purchase order",_xll.AtlasFormulas.AtlasFunctions.AtlasBalance("UAT",DataAreaId,"T.MarkupTrans","Sum|Posted|0","","","","","","","MarkupCode|TransTableId|TransRecId","TPP","492",$L655),"")</f>
        <v/>
      </c>
    </row>
    <row r="656" spans="1:14" x14ac:dyDescent="0.25">
      <c r="A656" s="8" t="s">
        <v>21</v>
      </c>
      <c r="B656" s="8" t="s">
        <v>2087</v>
      </c>
      <c r="C656" s="8" t="s">
        <v>139</v>
      </c>
      <c r="D656" s="8" t="s">
        <v>1005</v>
      </c>
      <c r="E656" s="8" t="s">
        <v>261</v>
      </c>
      <c r="F656" s="8" t="s">
        <v>264</v>
      </c>
      <c r="G656" s="6">
        <v>43089</v>
      </c>
      <c r="H656" s="6">
        <v>43089</v>
      </c>
      <c r="I656" s="4">
        <v>35</v>
      </c>
      <c r="J656" s="8" t="s">
        <v>37</v>
      </c>
      <c r="K656" s="8" t="s">
        <v>2096</v>
      </c>
      <c r="L656" s="4" t="str">
        <f>IF(AtlasReport_1_Table_1[[#This Row],[Reference]]="Purchase order",_xll.AtlasFormulas.AtlasFunctions.AtlasTable("UAT",DataAreaId,"T.VendInvoiceTrans","%RecId","","","","","","","ItemId|PurchID|InventTransId",$C656,$B656,$K656),"")</f>
        <v/>
      </c>
      <c r="M656" s="4" t="str">
        <f>IF(AtlasReport_1_Table_1[[#This Row],[Reference]]="Purchase order",_xll.AtlasFormulas.AtlasFunctions.AtlasTable("UAT",DataAreaId,"T.MarkupTrans","%CurrencyCode","","","","","","","MarkupCode|TransRecId|TransTableId","TPP",$L656,"492"),"")</f>
        <v/>
      </c>
      <c r="N656" s="4" t="str">
        <f>IF(AtlasReport_1_Table_1[[#This Row],[Reference]]="Purchase order",_xll.AtlasFormulas.AtlasFunctions.AtlasBalance("UAT",DataAreaId,"T.MarkupTrans","Sum|Posted|0","","","","","","","MarkupCode|TransTableId|TransRecId","TPP","492",$L656),"")</f>
        <v/>
      </c>
    </row>
    <row r="657" spans="1:14" x14ac:dyDescent="0.25">
      <c r="A657" s="8" t="s">
        <v>21</v>
      </c>
      <c r="B657" s="8" t="s">
        <v>2087</v>
      </c>
      <c r="C657" s="8" t="s">
        <v>185</v>
      </c>
      <c r="D657" s="8" t="s">
        <v>1006</v>
      </c>
      <c r="E657" s="8" t="s">
        <v>261</v>
      </c>
      <c r="F657" s="8" t="s">
        <v>264</v>
      </c>
      <c r="G657" s="6">
        <v>43089</v>
      </c>
      <c r="H657" s="6">
        <v>43089</v>
      </c>
      <c r="I657" s="4">
        <v>36</v>
      </c>
      <c r="J657" s="8" t="s">
        <v>37</v>
      </c>
      <c r="K657" s="8" t="s">
        <v>2097</v>
      </c>
      <c r="L657" s="4" t="str">
        <f>IF(AtlasReport_1_Table_1[[#This Row],[Reference]]="Purchase order",_xll.AtlasFormulas.AtlasFunctions.AtlasTable("UAT",DataAreaId,"T.VendInvoiceTrans","%RecId","","","","","","","ItemId|PurchID|InventTransId",$C657,$B657,$K657),"")</f>
        <v/>
      </c>
      <c r="M657" s="4" t="str">
        <f>IF(AtlasReport_1_Table_1[[#This Row],[Reference]]="Purchase order",_xll.AtlasFormulas.AtlasFunctions.AtlasTable("UAT",DataAreaId,"T.MarkupTrans","%CurrencyCode","","","","","","","MarkupCode|TransRecId|TransTableId","TPP",$L657,"492"),"")</f>
        <v/>
      </c>
      <c r="N657" s="4" t="str">
        <f>IF(AtlasReport_1_Table_1[[#This Row],[Reference]]="Purchase order",_xll.AtlasFormulas.AtlasFunctions.AtlasBalance("UAT",DataAreaId,"T.MarkupTrans","Sum|Posted|0","","","","","","","MarkupCode|TransTableId|TransRecId","TPP","492",$L657),"")</f>
        <v/>
      </c>
    </row>
    <row r="658" spans="1:14" ht="30" x14ac:dyDescent="0.25">
      <c r="A658" s="8" t="s">
        <v>21</v>
      </c>
      <c r="B658" s="8" t="s">
        <v>2087</v>
      </c>
      <c r="C658" s="8" t="s">
        <v>297</v>
      </c>
      <c r="D658" s="11" t="s">
        <v>1016</v>
      </c>
      <c r="E658" s="8" t="s">
        <v>261</v>
      </c>
      <c r="F658" s="8" t="s">
        <v>264</v>
      </c>
      <c r="G658" s="6">
        <v>43089</v>
      </c>
      <c r="H658" s="6">
        <v>43089</v>
      </c>
      <c r="I658" s="4">
        <v>-60.45</v>
      </c>
      <c r="J658" s="8" t="s">
        <v>133</v>
      </c>
      <c r="K658" s="8" t="s">
        <v>2098</v>
      </c>
      <c r="L658" s="4" t="str">
        <f>IF(AtlasReport_1_Table_1[[#This Row],[Reference]]="Purchase order",_xll.AtlasFormulas.AtlasFunctions.AtlasTable("UAT",DataAreaId,"T.VendInvoiceTrans","%RecId","","","","","","","ItemId|PurchID|InventTransId",$C658,$B658,$K658),"")</f>
        <v/>
      </c>
      <c r="M658" s="4" t="str">
        <f>IF(AtlasReport_1_Table_1[[#This Row],[Reference]]="Purchase order",_xll.AtlasFormulas.AtlasFunctions.AtlasTable("UAT",DataAreaId,"T.MarkupTrans","%CurrencyCode","","","","","","","MarkupCode|TransRecId|TransTableId","TPP",$L658,"492"),"")</f>
        <v/>
      </c>
      <c r="N658" s="4" t="str">
        <f>IF(AtlasReport_1_Table_1[[#This Row],[Reference]]="Purchase order",_xll.AtlasFormulas.AtlasFunctions.AtlasBalance("UAT",DataAreaId,"T.MarkupTrans","Sum|Posted|0","","","","","","","MarkupCode|TransTableId|TransRecId","TPP","492",$L658),"")</f>
        <v/>
      </c>
    </row>
    <row r="659" spans="1:14" x14ac:dyDescent="0.25">
      <c r="A659" s="8" t="s">
        <v>21</v>
      </c>
      <c r="B659" s="8" t="s">
        <v>2087</v>
      </c>
      <c r="C659" s="8" t="s">
        <v>502</v>
      </c>
      <c r="D659" s="8" t="s">
        <v>1317</v>
      </c>
      <c r="E659" s="8" t="s">
        <v>261</v>
      </c>
      <c r="F659" s="8" t="s">
        <v>264</v>
      </c>
      <c r="G659" s="6">
        <v>43089</v>
      </c>
      <c r="H659" s="6">
        <v>43089</v>
      </c>
      <c r="I659" s="4">
        <v>-31.9</v>
      </c>
      <c r="J659" s="8" t="s">
        <v>39</v>
      </c>
      <c r="K659" s="8" t="s">
        <v>2099</v>
      </c>
      <c r="L659" s="4" t="str">
        <f>IF(AtlasReport_1_Table_1[[#This Row],[Reference]]="Purchase order",_xll.AtlasFormulas.AtlasFunctions.AtlasTable("UAT",DataAreaId,"T.VendInvoiceTrans","%RecId","","","","","","","ItemId|PurchID|InventTransId",$C659,$B659,$K659),"")</f>
        <v/>
      </c>
      <c r="M659" s="4" t="str">
        <f>IF(AtlasReport_1_Table_1[[#This Row],[Reference]]="Purchase order",_xll.AtlasFormulas.AtlasFunctions.AtlasTable("UAT",DataAreaId,"T.MarkupTrans","%CurrencyCode","","","","","","","MarkupCode|TransRecId|TransTableId","TPP",$L659,"492"),"")</f>
        <v/>
      </c>
      <c r="N659" s="4" t="str">
        <f>IF(AtlasReport_1_Table_1[[#This Row],[Reference]]="Purchase order",_xll.AtlasFormulas.AtlasFunctions.AtlasBalance("UAT",DataAreaId,"T.MarkupTrans","Sum|Posted|0","","","","","","","MarkupCode|TransTableId|TransRecId","TPP","492",$L659),"")</f>
        <v/>
      </c>
    </row>
    <row r="660" spans="1:14" x14ac:dyDescent="0.25">
      <c r="A660" s="8" t="s">
        <v>21</v>
      </c>
      <c r="B660" s="8" t="s">
        <v>2087</v>
      </c>
      <c r="C660" s="8" t="s">
        <v>556</v>
      </c>
      <c r="D660" s="8" t="s">
        <v>1378</v>
      </c>
      <c r="E660" s="8" t="s">
        <v>261</v>
      </c>
      <c r="F660" s="8" t="s">
        <v>264</v>
      </c>
      <c r="G660" s="6">
        <v>43089</v>
      </c>
      <c r="H660" s="6">
        <v>43089</v>
      </c>
      <c r="I660" s="4">
        <v>232</v>
      </c>
      <c r="J660" s="8" t="s">
        <v>38</v>
      </c>
      <c r="K660" s="8" t="s">
        <v>2100</v>
      </c>
      <c r="L660" s="4" t="str">
        <f>IF(AtlasReport_1_Table_1[[#This Row],[Reference]]="Purchase order",_xll.AtlasFormulas.AtlasFunctions.AtlasTable("UAT",DataAreaId,"T.VendInvoiceTrans","%RecId","","","","","","","ItemId|PurchID|InventTransId",$C660,$B660,$K660),"")</f>
        <v/>
      </c>
      <c r="M660" s="4" t="str">
        <f>IF(AtlasReport_1_Table_1[[#This Row],[Reference]]="Purchase order",_xll.AtlasFormulas.AtlasFunctions.AtlasTable("UAT",DataAreaId,"T.MarkupTrans","%CurrencyCode","","","","","","","MarkupCode|TransRecId|TransTableId","TPP",$L660,"492"),"")</f>
        <v/>
      </c>
      <c r="N660" s="4" t="str">
        <f>IF(AtlasReport_1_Table_1[[#This Row],[Reference]]="Purchase order",_xll.AtlasFormulas.AtlasFunctions.AtlasBalance("UAT",DataAreaId,"T.MarkupTrans","Sum|Posted|0","","","","","","","MarkupCode|TransTableId|TransRecId","TPP","492",$L660),"")</f>
        <v/>
      </c>
    </row>
    <row r="661" spans="1:14" x14ac:dyDescent="0.25">
      <c r="A661" s="8" t="s">
        <v>21</v>
      </c>
      <c r="B661" s="8" t="s">
        <v>2101</v>
      </c>
      <c r="C661" s="8" t="s">
        <v>78</v>
      </c>
      <c r="D661" s="8" t="s">
        <v>163</v>
      </c>
      <c r="E661" s="8" t="s">
        <v>261</v>
      </c>
      <c r="F661" s="8" t="s">
        <v>264</v>
      </c>
      <c r="G661" s="6">
        <v>43089</v>
      </c>
      <c r="H661" s="6">
        <v>43089</v>
      </c>
      <c r="I661" s="4">
        <v>0.76</v>
      </c>
      <c r="J661" s="8" t="s">
        <v>39</v>
      </c>
      <c r="K661" s="8" t="s">
        <v>2102</v>
      </c>
      <c r="L661" s="4" t="str">
        <f>IF(AtlasReport_1_Table_1[[#This Row],[Reference]]="Purchase order",_xll.AtlasFormulas.AtlasFunctions.AtlasTable("UAT",DataAreaId,"T.VendInvoiceTrans","%RecId","","","","","","","ItemId|PurchID|InventTransId",$C661,$B661,$K661),"")</f>
        <v/>
      </c>
      <c r="M661" s="4" t="str">
        <f>IF(AtlasReport_1_Table_1[[#This Row],[Reference]]="Purchase order",_xll.AtlasFormulas.AtlasFunctions.AtlasTable("UAT",DataAreaId,"T.MarkupTrans","%CurrencyCode","","","","","","","MarkupCode|TransRecId|TransTableId","TPP",$L661,"492"),"")</f>
        <v/>
      </c>
      <c r="N661" s="4" t="str">
        <f>IF(AtlasReport_1_Table_1[[#This Row],[Reference]]="Purchase order",_xll.AtlasFormulas.AtlasFunctions.AtlasBalance("UAT",DataAreaId,"T.MarkupTrans","Sum|Posted|0","","","","","","","MarkupCode|TransTableId|TransRecId","TPP","492",$L661),"")</f>
        <v/>
      </c>
    </row>
    <row r="662" spans="1:14" x14ac:dyDescent="0.25">
      <c r="A662" s="8" t="s">
        <v>21</v>
      </c>
      <c r="B662" s="8" t="s">
        <v>2101</v>
      </c>
      <c r="C662" s="8" t="s">
        <v>78</v>
      </c>
      <c r="D662" s="8" t="s">
        <v>163</v>
      </c>
      <c r="E662" s="8" t="s">
        <v>261</v>
      </c>
      <c r="F662" s="8" t="s">
        <v>264</v>
      </c>
      <c r="G662" s="6">
        <v>43089</v>
      </c>
      <c r="H662" s="6">
        <v>43089</v>
      </c>
      <c r="I662" s="4">
        <v>0.1</v>
      </c>
      <c r="J662" s="8" t="s">
        <v>39</v>
      </c>
      <c r="K662" s="8" t="s">
        <v>2103</v>
      </c>
      <c r="L662" s="4" t="str">
        <f>IF(AtlasReport_1_Table_1[[#This Row],[Reference]]="Purchase order",_xll.AtlasFormulas.AtlasFunctions.AtlasTable("UAT",DataAreaId,"T.VendInvoiceTrans","%RecId","","","","","","","ItemId|PurchID|InventTransId",$C662,$B662,$K662),"")</f>
        <v/>
      </c>
      <c r="M662" s="4" t="str">
        <f>IF(AtlasReport_1_Table_1[[#This Row],[Reference]]="Purchase order",_xll.AtlasFormulas.AtlasFunctions.AtlasTable("UAT",DataAreaId,"T.MarkupTrans","%CurrencyCode","","","","","","","MarkupCode|TransRecId|TransTableId","TPP",$L662,"492"),"")</f>
        <v/>
      </c>
      <c r="N662" s="4" t="str">
        <f>IF(AtlasReport_1_Table_1[[#This Row],[Reference]]="Purchase order",_xll.AtlasFormulas.AtlasFunctions.AtlasBalance("UAT",DataAreaId,"T.MarkupTrans","Sum|Posted|0","","","","","","","MarkupCode|TransTableId|TransRecId","TPP","492",$L662),"")</f>
        <v/>
      </c>
    </row>
    <row r="663" spans="1:14" x14ac:dyDescent="0.25">
      <c r="A663" s="8" t="s">
        <v>21</v>
      </c>
      <c r="B663" s="8" t="s">
        <v>2101</v>
      </c>
      <c r="C663" s="8" t="s">
        <v>78</v>
      </c>
      <c r="D663" s="8" t="s">
        <v>163</v>
      </c>
      <c r="E663" s="8" t="s">
        <v>261</v>
      </c>
      <c r="F663" s="8" t="s">
        <v>264</v>
      </c>
      <c r="G663" s="6">
        <v>43089</v>
      </c>
      <c r="H663" s="6">
        <v>43089</v>
      </c>
      <c r="I663" s="4">
        <v>-43.08</v>
      </c>
      <c r="J663" s="8" t="s">
        <v>39</v>
      </c>
      <c r="K663" s="8" t="s">
        <v>2104</v>
      </c>
      <c r="L663" s="4" t="str">
        <f>IF(AtlasReport_1_Table_1[[#This Row],[Reference]]="Purchase order",_xll.AtlasFormulas.AtlasFunctions.AtlasTable("UAT",DataAreaId,"T.VendInvoiceTrans","%RecId","","","","","","","ItemId|PurchID|InventTransId",$C663,$B663,$K663),"")</f>
        <v/>
      </c>
      <c r="M663" s="4" t="str">
        <f>IF(AtlasReport_1_Table_1[[#This Row],[Reference]]="Purchase order",_xll.AtlasFormulas.AtlasFunctions.AtlasTable("UAT",DataAreaId,"T.MarkupTrans","%CurrencyCode","","","","","","","MarkupCode|TransRecId|TransTableId","TPP",$L663,"492"),"")</f>
        <v/>
      </c>
      <c r="N663" s="4" t="str">
        <f>IF(AtlasReport_1_Table_1[[#This Row],[Reference]]="Purchase order",_xll.AtlasFormulas.AtlasFunctions.AtlasBalance("UAT",DataAreaId,"T.MarkupTrans","Sum|Posted|0","","","","","","","MarkupCode|TransTableId|TransRecId","TPP","492",$L663),"")</f>
        <v/>
      </c>
    </row>
    <row r="664" spans="1:14" x14ac:dyDescent="0.25">
      <c r="A664" s="8" t="s">
        <v>21</v>
      </c>
      <c r="B664" s="8" t="s">
        <v>2101</v>
      </c>
      <c r="C664" s="8" t="s">
        <v>78</v>
      </c>
      <c r="D664" s="8" t="s">
        <v>163</v>
      </c>
      <c r="E664" s="8" t="s">
        <v>261</v>
      </c>
      <c r="F664" s="8" t="s">
        <v>264</v>
      </c>
      <c r="G664" s="6">
        <v>43089</v>
      </c>
      <c r="H664" s="6">
        <v>43089</v>
      </c>
      <c r="I664" s="4">
        <v>-0.25</v>
      </c>
      <c r="J664" s="8" t="s">
        <v>39</v>
      </c>
      <c r="K664" s="8" t="s">
        <v>2105</v>
      </c>
      <c r="L664" s="4" t="str">
        <f>IF(AtlasReport_1_Table_1[[#This Row],[Reference]]="Purchase order",_xll.AtlasFormulas.AtlasFunctions.AtlasTable("UAT",DataAreaId,"T.VendInvoiceTrans","%RecId","","","","","","","ItemId|PurchID|InventTransId",$C664,$B664,$K664),"")</f>
        <v/>
      </c>
      <c r="M664" s="4" t="str">
        <f>IF(AtlasReport_1_Table_1[[#This Row],[Reference]]="Purchase order",_xll.AtlasFormulas.AtlasFunctions.AtlasTable("UAT",DataAreaId,"T.MarkupTrans","%CurrencyCode","","","","","","","MarkupCode|TransRecId|TransTableId","TPP",$L664,"492"),"")</f>
        <v/>
      </c>
      <c r="N664" s="4" t="str">
        <f>IF(AtlasReport_1_Table_1[[#This Row],[Reference]]="Purchase order",_xll.AtlasFormulas.AtlasFunctions.AtlasBalance("UAT",DataAreaId,"T.MarkupTrans","Sum|Posted|0","","","","","","","MarkupCode|TransTableId|TransRecId","TPP","492",$L664),"")</f>
        <v/>
      </c>
    </row>
    <row r="665" spans="1:14" x14ac:dyDescent="0.25">
      <c r="A665" s="8" t="s">
        <v>21</v>
      </c>
      <c r="B665" s="8" t="s">
        <v>2101</v>
      </c>
      <c r="C665" s="8" t="s">
        <v>78</v>
      </c>
      <c r="D665" s="8" t="s">
        <v>163</v>
      </c>
      <c r="E665" s="8" t="s">
        <v>261</v>
      </c>
      <c r="F665" s="8" t="s">
        <v>264</v>
      </c>
      <c r="G665" s="6">
        <v>43089</v>
      </c>
      <c r="H665" s="6">
        <v>43089</v>
      </c>
      <c r="I665" s="4">
        <v>-0.2</v>
      </c>
      <c r="J665" s="8" t="s">
        <v>39</v>
      </c>
      <c r="K665" s="8" t="s">
        <v>2106</v>
      </c>
      <c r="L665" s="4" t="str">
        <f>IF(AtlasReport_1_Table_1[[#This Row],[Reference]]="Purchase order",_xll.AtlasFormulas.AtlasFunctions.AtlasTable("UAT",DataAreaId,"T.VendInvoiceTrans","%RecId","","","","","","","ItemId|PurchID|InventTransId",$C665,$B665,$K665),"")</f>
        <v/>
      </c>
      <c r="M665" s="4" t="str">
        <f>IF(AtlasReport_1_Table_1[[#This Row],[Reference]]="Purchase order",_xll.AtlasFormulas.AtlasFunctions.AtlasTable("UAT",DataAreaId,"T.MarkupTrans","%CurrencyCode","","","","","","","MarkupCode|TransRecId|TransTableId","TPP",$L665,"492"),"")</f>
        <v/>
      </c>
      <c r="N665" s="4" t="str">
        <f>IF(AtlasReport_1_Table_1[[#This Row],[Reference]]="Purchase order",_xll.AtlasFormulas.AtlasFunctions.AtlasBalance("UAT",DataAreaId,"T.MarkupTrans","Sum|Posted|0","","","","","","","MarkupCode|TransTableId|TransRecId","TPP","492",$L665),"")</f>
        <v/>
      </c>
    </row>
    <row r="666" spans="1:14" x14ac:dyDescent="0.25">
      <c r="A666" s="8" t="s">
        <v>21</v>
      </c>
      <c r="B666" s="8" t="s">
        <v>2101</v>
      </c>
      <c r="C666" s="8" t="s">
        <v>78</v>
      </c>
      <c r="D666" s="8" t="s">
        <v>163</v>
      </c>
      <c r="E666" s="8" t="s">
        <v>261</v>
      </c>
      <c r="F666" s="8" t="s">
        <v>264</v>
      </c>
      <c r="G666" s="6">
        <v>43089</v>
      </c>
      <c r="H666" s="6">
        <v>43089</v>
      </c>
      <c r="I666" s="4">
        <v>-1.3</v>
      </c>
      <c r="J666" s="8" t="s">
        <v>39</v>
      </c>
      <c r="K666" s="8" t="s">
        <v>2107</v>
      </c>
      <c r="L666" s="4" t="str">
        <f>IF(AtlasReport_1_Table_1[[#This Row],[Reference]]="Purchase order",_xll.AtlasFormulas.AtlasFunctions.AtlasTable("UAT",DataAreaId,"T.VendInvoiceTrans","%RecId","","","","","","","ItemId|PurchID|InventTransId",$C666,$B666,$K666),"")</f>
        <v/>
      </c>
      <c r="M666" s="4" t="str">
        <f>IF(AtlasReport_1_Table_1[[#This Row],[Reference]]="Purchase order",_xll.AtlasFormulas.AtlasFunctions.AtlasTable("UAT",DataAreaId,"T.MarkupTrans","%CurrencyCode","","","","","","","MarkupCode|TransRecId|TransTableId","TPP",$L666,"492"),"")</f>
        <v/>
      </c>
      <c r="N666" s="4" t="str">
        <f>IF(AtlasReport_1_Table_1[[#This Row],[Reference]]="Purchase order",_xll.AtlasFormulas.AtlasFunctions.AtlasBalance("UAT",DataAreaId,"T.MarkupTrans","Sum|Posted|0","","","","","","","MarkupCode|TransTableId|TransRecId","TPP","492",$L666),"")</f>
        <v/>
      </c>
    </row>
    <row r="667" spans="1:14" x14ac:dyDescent="0.25">
      <c r="A667" s="8" t="s">
        <v>21</v>
      </c>
      <c r="B667" s="8" t="s">
        <v>2101</v>
      </c>
      <c r="C667" s="8" t="s">
        <v>78</v>
      </c>
      <c r="D667" s="8" t="s">
        <v>163</v>
      </c>
      <c r="E667" s="8" t="s">
        <v>261</v>
      </c>
      <c r="F667" s="8" t="s">
        <v>264</v>
      </c>
      <c r="G667" s="6">
        <v>43089</v>
      </c>
      <c r="H667" s="6">
        <v>43089</v>
      </c>
      <c r="I667" s="4">
        <v>-0.26</v>
      </c>
      <c r="J667" s="8" t="s">
        <v>39</v>
      </c>
      <c r="K667" s="8" t="s">
        <v>2108</v>
      </c>
      <c r="L667" s="4" t="str">
        <f>IF(AtlasReport_1_Table_1[[#This Row],[Reference]]="Purchase order",_xll.AtlasFormulas.AtlasFunctions.AtlasTable("UAT",DataAreaId,"T.VendInvoiceTrans","%RecId","","","","","","","ItemId|PurchID|InventTransId",$C667,$B667,$K667),"")</f>
        <v/>
      </c>
      <c r="M667" s="4" t="str">
        <f>IF(AtlasReport_1_Table_1[[#This Row],[Reference]]="Purchase order",_xll.AtlasFormulas.AtlasFunctions.AtlasTable("UAT",DataAreaId,"T.MarkupTrans","%CurrencyCode","","","","","","","MarkupCode|TransRecId|TransTableId","TPP",$L667,"492"),"")</f>
        <v/>
      </c>
      <c r="N667" s="4" t="str">
        <f>IF(AtlasReport_1_Table_1[[#This Row],[Reference]]="Purchase order",_xll.AtlasFormulas.AtlasFunctions.AtlasBalance("UAT",DataAreaId,"T.MarkupTrans","Sum|Posted|0","","","","","","","MarkupCode|TransTableId|TransRecId","TPP","492",$L667),"")</f>
        <v/>
      </c>
    </row>
    <row r="668" spans="1:14" x14ac:dyDescent="0.25">
      <c r="A668" s="8" t="s">
        <v>21</v>
      </c>
      <c r="B668" s="8" t="s">
        <v>2109</v>
      </c>
      <c r="C668" s="8" t="s">
        <v>77</v>
      </c>
      <c r="D668" s="8" t="s">
        <v>204</v>
      </c>
      <c r="E668" s="8" t="s">
        <v>261</v>
      </c>
      <c r="F668" s="8" t="s">
        <v>264</v>
      </c>
      <c r="G668" s="6">
        <v>43089</v>
      </c>
      <c r="H668" s="6">
        <v>43089</v>
      </c>
      <c r="I668" s="4">
        <v>1.25</v>
      </c>
      <c r="J668" s="8" t="s">
        <v>39</v>
      </c>
      <c r="K668" s="8" t="s">
        <v>2110</v>
      </c>
      <c r="L668" s="4" t="str">
        <f>IF(AtlasReport_1_Table_1[[#This Row],[Reference]]="Purchase order",_xll.AtlasFormulas.AtlasFunctions.AtlasTable("UAT",DataAreaId,"T.VendInvoiceTrans","%RecId","","","","","","","ItemId|PurchID|InventTransId",$C668,$B668,$K668),"")</f>
        <v/>
      </c>
      <c r="M668" s="4" t="str">
        <f>IF(AtlasReport_1_Table_1[[#This Row],[Reference]]="Purchase order",_xll.AtlasFormulas.AtlasFunctions.AtlasTable("UAT",DataAreaId,"T.MarkupTrans","%CurrencyCode","","","","","","","MarkupCode|TransRecId|TransTableId","TPP",$L668,"492"),"")</f>
        <v/>
      </c>
      <c r="N668" s="4" t="str">
        <f>IF(AtlasReport_1_Table_1[[#This Row],[Reference]]="Purchase order",_xll.AtlasFormulas.AtlasFunctions.AtlasBalance("UAT",DataAreaId,"T.MarkupTrans","Sum|Posted|0","","","","","","","MarkupCode|TransTableId|TransRecId","TPP","492",$L668),"")</f>
        <v/>
      </c>
    </row>
    <row r="669" spans="1:14" x14ac:dyDescent="0.25">
      <c r="A669" s="8" t="s">
        <v>21</v>
      </c>
      <c r="B669" s="8" t="s">
        <v>2109</v>
      </c>
      <c r="C669" s="8" t="s">
        <v>77</v>
      </c>
      <c r="D669" s="8" t="s">
        <v>204</v>
      </c>
      <c r="E669" s="8" t="s">
        <v>261</v>
      </c>
      <c r="F669" s="8" t="s">
        <v>264</v>
      </c>
      <c r="G669" s="6">
        <v>43089</v>
      </c>
      <c r="H669" s="6">
        <v>43089</v>
      </c>
      <c r="I669" s="4">
        <v>1.54</v>
      </c>
      <c r="J669" s="8" t="s">
        <v>39</v>
      </c>
      <c r="K669" s="8" t="s">
        <v>2111</v>
      </c>
      <c r="L669" s="4" t="str">
        <f>IF(AtlasReport_1_Table_1[[#This Row],[Reference]]="Purchase order",_xll.AtlasFormulas.AtlasFunctions.AtlasTable("UAT",DataAreaId,"T.VendInvoiceTrans","%RecId","","","","","","","ItemId|PurchID|InventTransId",$C669,$B669,$K669),"")</f>
        <v/>
      </c>
      <c r="M669" s="4" t="str">
        <f>IF(AtlasReport_1_Table_1[[#This Row],[Reference]]="Purchase order",_xll.AtlasFormulas.AtlasFunctions.AtlasTable("UAT",DataAreaId,"T.MarkupTrans","%CurrencyCode","","","","","","","MarkupCode|TransRecId|TransTableId","TPP",$L669,"492"),"")</f>
        <v/>
      </c>
      <c r="N669" s="4" t="str">
        <f>IF(AtlasReport_1_Table_1[[#This Row],[Reference]]="Purchase order",_xll.AtlasFormulas.AtlasFunctions.AtlasBalance("UAT",DataAreaId,"T.MarkupTrans","Sum|Posted|0","","","","","","","MarkupCode|TransTableId|TransRecId","TPP","492",$L669),"")</f>
        <v/>
      </c>
    </row>
    <row r="670" spans="1:14" x14ac:dyDescent="0.25">
      <c r="A670" s="8" t="s">
        <v>21</v>
      </c>
      <c r="B670" s="8" t="s">
        <v>2112</v>
      </c>
      <c r="C670" s="8" t="s">
        <v>24</v>
      </c>
      <c r="D670" s="8" t="s">
        <v>34</v>
      </c>
      <c r="E670" s="8" t="s">
        <v>261</v>
      </c>
      <c r="F670" s="8" t="s">
        <v>264</v>
      </c>
      <c r="G670" s="6">
        <v>43089</v>
      </c>
      <c r="H670" s="6">
        <v>43089</v>
      </c>
      <c r="I670" s="4">
        <v>1.27</v>
      </c>
      <c r="J670" s="8" t="s">
        <v>39</v>
      </c>
      <c r="K670" s="8" t="s">
        <v>2113</v>
      </c>
      <c r="L670" s="4" t="str">
        <f>IF(AtlasReport_1_Table_1[[#This Row],[Reference]]="Purchase order",_xll.AtlasFormulas.AtlasFunctions.AtlasTable("UAT",DataAreaId,"T.VendInvoiceTrans","%RecId","","","","","","","ItemId|PurchID|InventTransId",$C670,$B670,$K670),"")</f>
        <v/>
      </c>
      <c r="M670" s="4" t="str">
        <f>IF(AtlasReport_1_Table_1[[#This Row],[Reference]]="Purchase order",_xll.AtlasFormulas.AtlasFunctions.AtlasTable("UAT",DataAreaId,"T.MarkupTrans","%CurrencyCode","","","","","","","MarkupCode|TransRecId|TransTableId","TPP",$L670,"492"),"")</f>
        <v/>
      </c>
      <c r="N670" s="4" t="str">
        <f>IF(AtlasReport_1_Table_1[[#This Row],[Reference]]="Purchase order",_xll.AtlasFormulas.AtlasFunctions.AtlasBalance("UAT",DataAreaId,"T.MarkupTrans","Sum|Posted|0","","","","","","","MarkupCode|TransTableId|TransRecId","TPP","492",$L670),"")</f>
        <v/>
      </c>
    </row>
    <row r="671" spans="1:14" x14ac:dyDescent="0.25">
      <c r="A671" s="8" t="s">
        <v>21</v>
      </c>
      <c r="B671" s="8" t="s">
        <v>2112</v>
      </c>
      <c r="C671" s="8" t="s">
        <v>24</v>
      </c>
      <c r="D671" s="8" t="s">
        <v>34</v>
      </c>
      <c r="E671" s="8" t="s">
        <v>261</v>
      </c>
      <c r="F671" s="8" t="s">
        <v>264</v>
      </c>
      <c r="G671" s="6">
        <v>43089</v>
      </c>
      <c r="H671" s="6">
        <v>43089</v>
      </c>
      <c r="I671" s="4">
        <v>3.6799999999999997</v>
      </c>
      <c r="J671" s="8" t="s">
        <v>39</v>
      </c>
      <c r="K671" s="8" t="s">
        <v>2114</v>
      </c>
      <c r="L671" s="4" t="str">
        <f>IF(AtlasReport_1_Table_1[[#This Row],[Reference]]="Purchase order",_xll.AtlasFormulas.AtlasFunctions.AtlasTable("UAT",DataAreaId,"T.VendInvoiceTrans","%RecId","","","","","","","ItemId|PurchID|InventTransId",$C671,$B671,$K671),"")</f>
        <v/>
      </c>
      <c r="M671" s="4" t="str">
        <f>IF(AtlasReport_1_Table_1[[#This Row],[Reference]]="Purchase order",_xll.AtlasFormulas.AtlasFunctions.AtlasTable("UAT",DataAreaId,"T.MarkupTrans","%CurrencyCode","","","","","","","MarkupCode|TransRecId|TransTableId","TPP",$L671,"492"),"")</f>
        <v/>
      </c>
      <c r="N671" s="4" t="str">
        <f>IF(AtlasReport_1_Table_1[[#This Row],[Reference]]="Purchase order",_xll.AtlasFormulas.AtlasFunctions.AtlasBalance("UAT",DataAreaId,"T.MarkupTrans","Sum|Posted|0","","","","","","","MarkupCode|TransTableId|TransRecId","TPP","492",$L671),"")</f>
        <v/>
      </c>
    </row>
    <row r="672" spans="1:14" x14ac:dyDescent="0.25">
      <c r="A672" s="8" t="s">
        <v>21</v>
      </c>
      <c r="B672" s="8" t="s">
        <v>2115</v>
      </c>
      <c r="C672" s="8" t="s">
        <v>61</v>
      </c>
      <c r="D672" s="8" t="s">
        <v>203</v>
      </c>
      <c r="E672" s="8" t="s">
        <v>261</v>
      </c>
      <c r="F672" s="8" t="s">
        <v>264</v>
      </c>
      <c r="G672" s="6">
        <v>43089</v>
      </c>
      <c r="H672" s="6">
        <v>43089</v>
      </c>
      <c r="I672" s="4">
        <v>-0.8</v>
      </c>
      <c r="J672" s="8" t="s">
        <v>39</v>
      </c>
      <c r="K672" s="8" t="s">
        <v>2116</v>
      </c>
      <c r="L672" s="4" t="str">
        <f>IF(AtlasReport_1_Table_1[[#This Row],[Reference]]="Purchase order",_xll.AtlasFormulas.AtlasFunctions.AtlasTable("UAT",DataAreaId,"T.VendInvoiceTrans","%RecId","","","","","","","ItemId|PurchID|InventTransId",$C672,$B672,$K672),"")</f>
        <v/>
      </c>
      <c r="M672" s="4" t="str">
        <f>IF(AtlasReport_1_Table_1[[#This Row],[Reference]]="Purchase order",_xll.AtlasFormulas.AtlasFunctions.AtlasTable("UAT",DataAreaId,"T.MarkupTrans","%CurrencyCode","","","","","","","MarkupCode|TransRecId|TransTableId","TPP",$L672,"492"),"")</f>
        <v/>
      </c>
      <c r="N672" s="4" t="str">
        <f>IF(AtlasReport_1_Table_1[[#This Row],[Reference]]="Purchase order",_xll.AtlasFormulas.AtlasFunctions.AtlasBalance("UAT",DataAreaId,"T.MarkupTrans","Sum|Posted|0","","","","","","","MarkupCode|TransTableId|TransRecId","TPP","492",$L672),"")</f>
        <v/>
      </c>
    </row>
    <row r="673" spans="1:14" x14ac:dyDescent="0.25">
      <c r="A673" s="8" t="s">
        <v>21</v>
      </c>
      <c r="B673" s="8" t="s">
        <v>2115</v>
      </c>
      <c r="C673" s="8" t="s">
        <v>61</v>
      </c>
      <c r="D673" s="8" t="s">
        <v>203</v>
      </c>
      <c r="E673" s="8" t="s">
        <v>261</v>
      </c>
      <c r="F673" s="8" t="s">
        <v>264</v>
      </c>
      <c r="G673" s="6">
        <v>43089</v>
      </c>
      <c r="H673" s="6">
        <v>43089</v>
      </c>
      <c r="I673" s="4">
        <v>-0.94</v>
      </c>
      <c r="J673" s="8" t="s">
        <v>39</v>
      </c>
      <c r="K673" s="8" t="s">
        <v>2117</v>
      </c>
      <c r="L673" s="4" t="str">
        <f>IF(AtlasReport_1_Table_1[[#This Row],[Reference]]="Purchase order",_xll.AtlasFormulas.AtlasFunctions.AtlasTable("UAT",DataAreaId,"T.VendInvoiceTrans","%RecId","","","","","","","ItemId|PurchID|InventTransId",$C673,$B673,$K673),"")</f>
        <v/>
      </c>
      <c r="M673" s="4" t="str">
        <f>IF(AtlasReport_1_Table_1[[#This Row],[Reference]]="Purchase order",_xll.AtlasFormulas.AtlasFunctions.AtlasTable("UAT",DataAreaId,"T.MarkupTrans","%CurrencyCode","","","","","","","MarkupCode|TransRecId|TransTableId","TPP",$L673,"492"),"")</f>
        <v/>
      </c>
      <c r="N673" s="4" t="str">
        <f>IF(AtlasReport_1_Table_1[[#This Row],[Reference]]="Purchase order",_xll.AtlasFormulas.AtlasFunctions.AtlasBalance("UAT",DataAreaId,"T.MarkupTrans","Sum|Posted|0","","","","","","","MarkupCode|TransTableId|TransRecId","TPP","492",$L673),"")</f>
        <v/>
      </c>
    </row>
    <row r="674" spans="1:14" x14ac:dyDescent="0.25">
      <c r="A674" s="8" t="s">
        <v>21</v>
      </c>
      <c r="B674" s="8" t="s">
        <v>2115</v>
      </c>
      <c r="C674" s="8" t="s">
        <v>61</v>
      </c>
      <c r="D674" s="8" t="s">
        <v>203</v>
      </c>
      <c r="E674" s="8" t="s">
        <v>261</v>
      </c>
      <c r="F674" s="8" t="s">
        <v>264</v>
      </c>
      <c r="G674" s="6">
        <v>43089</v>
      </c>
      <c r="H674" s="6">
        <v>43089</v>
      </c>
      <c r="I674" s="4">
        <v>-0.3</v>
      </c>
      <c r="J674" s="8" t="s">
        <v>39</v>
      </c>
      <c r="K674" s="8" t="s">
        <v>2118</v>
      </c>
      <c r="L674" s="4" t="str">
        <f>IF(AtlasReport_1_Table_1[[#This Row],[Reference]]="Purchase order",_xll.AtlasFormulas.AtlasFunctions.AtlasTable("UAT",DataAreaId,"T.VendInvoiceTrans","%RecId","","","","","","","ItemId|PurchID|InventTransId",$C674,$B674,$K674),"")</f>
        <v/>
      </c>
      <c r="M674" s="4" t="str">
        <f>IF(AtlasReport_1_Table_1[[#This Row],[Reference]]="Purchase order",_xll.AtlasFormulas.AtlasFunctions.AtlasTable("UAT",DataAreaId,"T.MarkupTrans","%CurrencyCode","","","","","","","MarkupCode|TransRecId|TransTableId","TPP",$L674,"492"),"")</f>
        <v/>
      </c>
      <c r="N674" s="4" t="str">
        <f>IF(AtlasReport_1_Table_1[[#This Row],[Reference]]="Purchase order",_xll.AtlasFormulas.AtlasFunctions.AtlasBalance("UAT",DataAreaId,"T.MarkupTrans","Sum|Posted|0","","","","","","","MarkupCode|TransTableId|TransRecId","TPP","492",$L674),"")</f>
        <v/>
      </c>
    </row>
    <row r="675" spans="1:14" x14ac:dyDescent="0.25">
      <c r="A675" s="8" t="s">
        <v>21</v>
      </c>
      <c r="B675" s="8" t="s">
        <v>2119</v>
      </c>
      <c r="C675" s="8" t="s">
        <v>20</v>
      </c>
      <c r="D675" s="8" t="s">
        <v>191</v>
      </c>
      <c r="E675" s="8" t="s">
        <v>261</v>
      </c>
      <c r="F675" s="8" t="s">
        <v>264</v>
      </c>
      <c r="G675" s="6">
        <v>43089</v>
      </c>
      <c r="H675" s="6">
        <v>43089</v>
      </c>
      <c r="I675" s="4">
        <v>-509.25</v>
      </c>
      <c r="J675" s="8" t="s">
        <v>38</v>
      </c>
      <c r="K675" s="8" t="s">
        <v>2120</v>
      </c>
      <c r="L675" s="4" t="str">
        <f>IF(AtlasReport_1_Table_1[[#This Row],[Reference]]="Purchase order",_xll.AtlasFormulas.AtlasFunctions.AtlasTable("UAT",DataAreaId,"T.VendInvoiceTrans","%RecId","","","","","","","ItemId|PurchID|InventTransId",$C675,$B675,$K675),"")</f>
        <v/>
      </c>
      <c r="M675" s="4" t="str">
        <f>IF(AtlasReport_1_Table_1[[#This Row],[Reference]]="Purchase order",_xll.AtlasFormulas.AtlasFunctions.AtlasTable("UAT",DataAreaId,"T.MarkupTrans","%CurrencyCode","","","","","","","MarkupCode|TransRecId|TransTableId","TPP",$L675,"492"),"")</f>
        <v/>
      </c>
      <c r="N675" s="4" t="str">
        <f>IF(AtlasReport_1_Table_1[[#This Row],[Reference]]="Purchase order",_xll.AtlasFormulas.AtlasFunctions.AtlasBalance("UAT",DataAreaId,"T.MarkupTrans","Sum|Posted|0","","","","","","","MarkupCode|TransTableId|TransRecId","TPP","492",$L675),"")</f>
        <v/>
      </c>
    </row>
    <row r="676" spans="1:14" x14ac:dyDescent="0.25">
      <c r="A676" s="8" t="s">
        <v>21</v>
      </c>
      <c r="B676" s="8" t="s">
        <v>2119</v>
      </c>
      <c r="C676" s="8" t="s">
        <v>18</v>
      </c>
      <c r="D676" s="8" t="s">
        <v>191</v>
      </c>
      <c r="E676" s="8" t="s">
        <v>261</v>
      </c>
      <c r="F676" s="8" t="s">
        <v>264</v>
      </c>
      <c r="G676" s="6">
        <v>43089</v>
      </c>
      <c r="H676" s="6">
        <v>43089</v>
      </c>
      <c r="I676" s="4">
        <v>1083.5</v>
      </c>
      <c r="J676" s="8" t="s">
        <v>38</v>
      </c>
      <c r="K676" s="8" t="s">
        <v>2121</v>
      </c>
      <c r="L676" s="4" t="str">
        <f>IF(AtlasReport_1_Table_1[[#This Row],[Reference]]="Purchase order",_xll.AtlasFormulas.AtlasFunctions.AtlasTable("UAT",DataAreaId,"T.VendInvoiceTrans","%RecId","","","","","","","ItemId|PurchID|InventTransId",$C676,$B676,$K676),"")</f>
        <v/>
      </c>
      <c r="M676" s="4" t="str">
        <f>IF(AtlasReport_1_Table_1[[#This Row],[Reference]]="Purchase order",_xll.AtlasFormulas.AtlasFunctions.AtlasTable("UAT",DataAreaId,"T.MarkupTrans","%CurrencyCode","","","","","","","MarkupCode|TransRecId|TransTableId","TPP",$L676,"492"),"")</f>
        <v/>
      </c>
      <c r="N676" s="4" t="str">
        <f>IF(AtlasReport_1_Table_1[[#This Row],[Reference]]="Purchase order",_xll.AtlasFormulas.AtlasFunctions.AtlasBalance("UAT",DataAreaId,"T.MarkupTrans","Sum|Posted|0","","","","","","","MarkupCode|TransTableId|TransRecId","TPP","492",$L676),"")</f>
        <v/>
      </c>
    </row>
    <row r="677" spans="1:14" x14ac:dyDescent="0.25">
      <c r="A677" s="8" t="s">
        <v>21</v>
      </c>
      <c r="B677" s="8" t="s">
        <v>2119</v>
      </c>
      <c r="C677" s="8" t="s">
        <v>312</v>
      </c>
      <c r="D677" s="8" t="s">
        <v>625</v>
      </c>
      <c r="E677" s="8" t="s">
        <v>261</v>
      </c>
      <c r="F677" s="8" t="s">
        <v>264</v>
      </c>
      <c r="G677" s="6">
        <v>43089</v>
      </c>
      <c r="H677" s="6">
        <v>43089</v>
      </c>
      <c r="I677" s="4">
        <v>-190</v>
      </c>
      <c r="J677" s="8" t="s">
        <v>38</v>
      </c>
      <c r="K677" s="8" t="s">
        <v>2122</v>
      </c>
      <c r="L677" s="4" t="str">
        <f>IF(AtlasReport_1_Table_1[[#This Row],[Reference]]="Purchase order",_xll.AtlasFormulas.AtlasFunctions.AtlasTable("UAT",DataAreaId,"T.VendInvoiceTrans","%RecId","","","","","","","ItemId|PurchID|InventTransId",$C677,$B677,$K677),"")</f>
        <v/>
      </c>
      <c r="M677" s="4" t="str">
        <f>IF(AtlasReport_1_Table_1[[#This Row],[Reference]]="Purchase order",_xll.AtlasFormulas.AtlasFunctions.AtlasTable("UAT",DataAreaId,"T.MarkupTrans","%CurrencyCode","","","","","","","MarkupCode|TransRecId|TransTableId","TPP",$L677,"492"),"")</f>
        <v/>
      </c>
      <c r="N677" s="4" t="str">
        <f>IF(AtlasReport_1_Table_1[[#This Row],[Reference]]="Purchase order",_xll.AtlasFormulas.AtlasFunctions.AtlasBalance("UAT",DataAreaId,"T.MarkupTrans","Sum|Posted|0","","","","","","","MarkupCode|TransTableId|TransRecId","TPP","492",$L677),"")</f>
        <v/>
      </c>
    </row>
    <row r="678" spans="1:14" x14ac:dyDescent="0.25">
      <c r="A678" s="8" t="s">
        <v>21</v>
      </c>
      <c r="B678" s="8" t="s">
        <v>2119</v>
      </c>
      <c r="C678" s="8" t="s">
        <v>381</v>
      </c>
      <c r="D678" s="8" t="s">
        <v>32</v>
      </c>
      <c r="E678" s="8" t="s">
        <v>261</v>
      </c>
      <c r="F678" s="8" t="s">
        <v>264</v>
      </c>
      <c r="G678" s="6">
        <v>43089</v>
      </c>
      <c r="H678" s="6">
        <v>43089</v>
      </c>
      <c r="I678" s="4">
        <v>292.5</v>
      </c>
      <c r="J678" s="8" t="s">
        <v>38</v>
      </c>
      <c r="K678" s="8" t="s">
        <v>2123</v>
      </c>
      <c r="L678" s="4" t="str">
        <f>IF(AtlasReport_1_Table_1[[#This Row],[Reference]]="Purchase order",_xll.AtlasFormulas.AtlasFunctions.AtlasTable("UAT",DataAreaId,"T.VendInvoiceTrans","%RecId","","","","","","","ItemId|PurchID|InventTransId",$C678,$B678,$K678),"")</f>
        <v/>
      </c>
      <c r="M678" s="4" t="str">
        <f>IF(AtlasReport_1_Table_1[[#This Row],[Reference]]="Purchase order",_xll.AtlasFormulas.AtlasFunctions.AtlasTable("UAT",DataAreaId,"T.MarkupTrans","%CurrencyCode","","","","","","","MarkupCode|TransRecId|TransTableId","TPP",$L678,"492"),"")</f>
        <v/>
      </c>
      <c r="N678" s="4" t="str">
        <f>IF(AtlasReport_1_Table_1[[#This Row],[Reference]]="Purchase order",_xll.AtlasFormulas.AtlasFunctions.AtlasBalance("UAT",DataAreaId,"T.MarkupTrans","Sum|Posted|0","","","","","","","MarkupCode|TransTableId|TransRecId","TPP","492",$L678),"")</f>
        <v/>
      </c>
    </row>
    <row r="679" spans="1:14" x14ac:dyDescent="0.25">
      <c r="A679" s="8" t="s">
        <v>21</v>
      </c>
      <c r="B679" s="8" t="s">
        <v>2119</v>
      </c>
      <c r="C679" s="8" t="s">
        <v>15</v>
      </c>
      <c r="D679" s="8" t="s">
        <v>32</v>
      </c>
      <c r="E679" s="8" t="s">
        <v>261</v>
      </c>
      <c r="F679" s="8" t="s">
        <v>264</v>
      </c>
      <c r="G679" s="6">
        <v>43089</v>
      </c>
      <c r="H679" s="6">
        <v>43089</v>
      </c>
      <c r="I679" s="4">
        <v>-145.5</v>
      </c>
      <c r="J679" s="8" t="s">
        <v>38</v>
      </c>
      <c r="K679" s="8" t="s">
        <v>2124</v>
      </c>
      <c r="L679" s="4" t="str">
        <f>IF(AtlasReport_1_Table_1[[#This Row],[Reference]]="Purchase order",_xll.AtlasFormulas.AtlasFunctions.AtlasTable("UAT",DataAreaId,"T.VendInvoiceTrans","%RecId","","","","","","","ItemId|PurchID|InventTransId",$C679,$B679,$K679),"")</f>
        <v/>
      </c>
      <c r="M679" s="4" t="str">
        <f>IF(AtlasReport_1_Table_1[[#This Row],[Reference]]="Purchase order",_xll.AtlasFormulas.AtlasFunctions.AtlasTable("UAT",DataAreaId,"T.MarkupTrans","%CurrencyCode","","","","","","","MarkupCode|TransRecId|TransTableId","TPP",$L679,"492"),"")</f>
        <v/>
      </c>
      <c r="N679" s="4" t="str">
        <f>IF(AtlasReport_1_Table_1[[#This Row],[Reference]]="Purchase order",_xll.AtlasFormulas.AtlasFunctions.AtlasBalance("UAT",DataAreaId,"T.MarkupTrans","Sum|Posted|0","","","","","","","MarkupCode|TransTableId|TransRecId","TPP","492",$L679),"")</f>
        <v/>
      </c>
    </row>
    <row r="680" spans="1:14" x14ac:dyDescent="0.25">
      <c r="A680" s="8" t="s">
        <v>21</v>
      </c>
      <c r="B680" s="8" t="s">
        <v>2119</v>
      </c>
      <c r="C680" s="8" t="s">
        <v>386</v>
      </c>
      <c r="D680" s="8" t="s">
        <v>1115</v>
      </c>
      <c r="E680" s="8" t="s">
        <v>261</v>
      </c>
      <c r="F680" s="8" t="s">
        <v>264</v>
      </c>
      <c r="G680" s="6">
        <v>43089</v>
      </c>
      <c r="H680" s="6">
        <v>43089</v>
      </c>
      <c r="I680" s="4">
        <v>-2</v>
      </c>
      <c r="J680" s="8" t="s">
        <v>38</v>
      </c>
      <c r="K680" s="8" t="s">
        <v>2125</v>
      </c>
      <c r="L680" s="4" t="str">
        <f>IF(AtlasReport_1_Table_1[[#This Row],[Reference]]="Purchase order",_xll.AtlasFormulas.AtlasFunctions.AtlasTable("UAT",DataAreaId,"T.VendInvoiceTrans","%RecId","","","","","","","ItemId|PurchID|InventTransId",$C680,$B680,$K680),"")</f>
        <v/>
      </c>
      <c r="M680" s="4" t="str">
        <f>IF(AtlasReport_1_Table_1[[#This Row],[Reference]]="Purchase order",_xll.AtlasFormulas.AtlasFunctions.AtlasTable("UAT",DataAreaId,"T.MarkupTrans","%CurrencyCode","","","","","","","MarkupCode|TransRecId|TransTableId","TPP",$L680,"492"),"")</f>
        <v/>
      </c>
      <c r="N680" s="4" t="str">
        <f>IF(AtlasReport_1_Table_1[[#This Row],[Reference]]="Purchase order",_xll.AtlasFormulas.AtlasFunctions.AtlasBalance("UAT",DataAreaId,"T.MarkupTrans","Sum|Posted|0","","","","","","","MarkupCode|TransTableId|TransRecId","TPP","492",$L680),"")</f>
        <v/>
      </c>
    </row>
    <row r="681" spans="1:14" x14ac:dyDescent="0.25">
      <c r="A681" s="8" t="s">
        <v>21</v>
      </c>
      <c r="B681" s="8" t="s">
        <v>2119</v>
      </c>
      <c r="C681" s="8" t="s">
        <v>16</v>
      </c>
      <c r="D681" s="8" t="s">
        <v>32</v>
      </c>
      <c r="E681" s="8" t="s">
        <v>261</v>
      </c>
      <c r="F681" s="8" t="s">
        <v>264</v>
      </c>
      <c r="G681" s="6">
        <v>43089</v>
      </c>
      <c r="H681" s="6">
        <v>43089</v>
      </c>
      <c r="I681" s="4">
        <v>-1365</v>
      </c>
      <c r="J681" s="8" t="s">
        <v>38</v>
      </c>
      <c r="K681" s="8" t="s">
        <v>2126</v>
      </c>
      <c r="L681" s="4" t="str">
        <f>IF(AtlasReport_1_Table_1[[#This Row],[Reference]]="Purchase order",_xll.AtlasFormulas.AtlasFunctions.AtlasTable("UAT",DataAreaId,"T.VendInvoiceTrans","%RecId","","","","","","","ItemId|PurchID|InventTransId",$C681,$B681,$K681),"")</f>
        <v/>
      </c>
      <c r="M681" s="4" t="str">
        <f>IF(AtlasReport_1_Table_1[[#This Row],[Reference]]="Purchase order",_xll.AtlasFormulas.AtlasFunctions.AtlasTable("UAT",DataAreaId,"T.MarkupTrans","%CurrencyCode","","","","","","","MarkupCode|TransRecId|TransTableId","TPP",$L681,"492"),"")</f>
        <v/>
      </c>
      <c r="N681" s="4" t="str">
        <f>IF(AtlasReport_1_Table_1[[#This Row],[Reference]]="Purchase order",_xll.AtlasFormulas.AtlasFunctions.AtlasBalance("UAT",DataAreaId,"T.MarkupTrans","Sum|Posted|0","","","","","","","MarkupCode|TransTableId|TransRecId","TPP","492",$L681),"")</f>
        <v/>
      </c>
    </row>
    <row r="682" spans="1:14" x14ac:dyDescent="0.25">
      <c r="A682" s="8" t="s">
        <v>21</v>
      </c>
      <c r="B682" s="8" t="s">
        <v>2119</v>
      </c>
      <c r="C682" s="8" t="s">
        <v>391</v>
      </c>
      <c r="D682" s="8" t="s">
        <v>1120</v>
      </c>
      <c r="E682" s="8" t="s">
        <v>261</v>
      </c>
      <c r="F682" s="8" t="s">
        <v>264</v>
      </c>
      <c r="G682" s="6">
        <v>43089</v>
      </c>
      <c r="H682" s="6">
        <v>43089</v>
      </c>
      <c r="I682" s="4">
        <v>-3217.5</v>
      </c>
      <c r="J682" s="8" t="s">
        <v>38</v>
      </c>
      <c r="K682" s="8" t="s">
        <v>2127</v>
      </c>
      <c r="L682" s="4" t="str">
        <f>IF(AtlasReport_1_Table_1[[#This Row],[Reference]]="Purchase order",_xll.AtlasFormulas.AtlasFunctions.AtlasTable("UAT",DataAreaId,"T.VendInvoiceTrans","%RecId","","","","","","","ItemId|PurchID|InventTransId",$C682,$B682,$K682),"")</f>
        <v/>
      </c>
      <c r="M682" s="4" t="str">
        <f>IF(AtlasReport_1_Table_1[[#This Row],[Reference]]="Purchase order",_xll.AtlasFormulas.AtlasFunctions.AtlasTable("UAT",DataAreaId,"T.MarkupTrans","%CurrencyCode","","","","","","","MarkupCode|TransRecId|TransTableId","TPP",$L682,"492"),"")</f>
        <v/>
      </c>
      <c r="N682" s="4" t="str">
        <f>IF(AtlasReport_1_Table_1[[#This Row],[Reference]]="Purchase order",_xll.AtlasFormulas.AtlasFunctions.AtlasBalance("UAT",DataAreaId,"T.MarkupTrans","Sum|Posted|0","","","","","","","MarkupCode|TransTableId|TransRecId","TPP","492",$L682),"")</f>
        <v/>
      </c>
    </row>
    <row r="683" spans="1:14" x14ac:dyDescent="0.25">
      <c r="A683" s="8" t="s">
        <v>21</v>
      </c>
      <c r="B683" s="8" t="s">
        <v>2119</v>
      </c>
      <c r="C683" s="8" t="s">
        <v>392</v>
      </c>
      <c r="D683" s="8" t="s">
        <v>703</v>
      </c>
      <c r="E683" s="8" t="s">
        <v>261</v>
      </c>
      <c r="F683" s="8" t="s">
        <v>264</v>
      </c>
      <c r="G683" s="6">
        <v>43089</v>
      </c>
      <c r="H683" s="6">
        <v>43089</v>
      </c>
      <c r="I683" s="4">
        <v>-240</v>
      </c>
      <c r="J683" s="8" t="s">
        <v>38</v>
      </c>
      <c r="K683" s="8" t="s">
        <v>2128</v>
      </c>
      <c r="L683" s="4" t="str">
        <f>IF(AtlasReport_1_Table_1[[#This Row],[Reference]]="Purchase order",_xll.AtlasFormulas.AtlasFunctions.AtlasTable("UAT",DataAreaId,"T.VendInvoiceTrans","%RecId","","","","","","","ItemId|PurchID|InventTransId",$C683,$B683,$K683),"")</f>
        <v/>
      </c>
      <c r="M683" s="4" t="str">
        <f>IF(AtlasReport_1_Table_1[[#This Row],[Reference]]="Purchase order",_xll.AtlasFormulas.AtlasFunctions.AtlasTable("UAT",DataAreaId,"T.MarkupTrans","%CurrencyCode","","","","","","","MarkupCode|TransRecId|TransTableId","TPP",$L683,"492"),"")</f>
        <v/>
      </c>
      <c r="N683" s="4" t="str">
        <f>IF(AtlasReport_1_Table_1[[#This Row],[Reference]]="Purchase order",_xll.AtlasFormulas.AtlasFunctions.AtlasBalance("UAT",DataAreaId,"T.MarkupTrans","Sum|Posted|0","","","","","","","MarkupCode|TransTableId|TransRecId","TPP","492",$L683),"")</f>
        <v/>
      </c>
    </row>
    <row r="684" spans="1:14" x14ac:dyDescent="0.25">
      <c r="A684" s="8" t="s">
        <v>21</v>
      </c>
      <c r="B684" s="8" t="s">
        <v>2129</v>
      </c>
      <c r="C684" s="8" t="s">
        <v>60</v>
      </c>
      <c r="D684" s="8" t="s">
        <v>202</v>
      </c>
      <c r="E684" s="8" t="s">
        <v>261</v>
      </c>
      <c r="F684" s="8" t="s">
        <v>264</v>
      </c>
      <c r="G684" s="6">
        <v>43089</v>
      </c>
      <c r="H684" s="6">
        <v>43089</v>
      </c>
      <c r="I684" s="4">
        <v>7</v>
      </c>
      <c r="J684" s="8" t="s">
        <v>39</v>
      </c>
      <c r="K684" s="8" t="s">
        <v>2130</v>
      </c>
      <c r="L684" s="4" t="str">
        <f>IF(AtlasReport_1_Table_1[[#This Row],[Reference]]="Purchase order",_xll.AtlasFormulas.AtlasFunctions.AtlasTable("UAT",DataAreaId,"T.VendInvoiceTrans","%RecId","","","","","","","ItemId|PurchID|InventTransId",$C684,$B684,$K684),"")</f>
        <v/>
      </c>
      <c r="M684" s="4" t="str">
        <f>IF(AtlasReport_1_Table_1[[#This Row],[Reference]]="Purchase order",_xll.AtlasFormulas.AtlasFunctions.AtlasTable("UAT",DataAreaId,"T.MarkupTrans","%CurrencyCode","","","","","","","MarkupCode|TransRecId|TransTableId","TPP",$L684,"492"),"")</f>
        <v/>
      </c>
      <c r="N684" s="4" t="str">
        <f>IF(AtlasReport_1_Table_1[[#This Row],[Reference]]="Purchase order",_xll.AtlasFormulas.AtlasFunctions.AtlasBalance("UAT",DataAreaId,"T.MarkupTrans","Sum|Posted|0","","","","","","","MarkupCode|TransTableId|TransRecId","TPP","492",$L684),"")</f>
        <v/>
      </c>
    </row>
    <row r="685" spans="1:14" x14ac:dyDescent="0.25">
      <c r="A685" s="8" t="s">
        <v>21</v>
      </c>
      <c r="B685" s="8" t="s">
        <v>2131</v>
      </c>
      <c r="C685" s="8" t="s">
        <v>56</v>
      </c>
      <c r="D685" s="8" t="s">
        <v>126</v>
      </c>
      <c r="E685" s="8" t="s">
        <v>261</v>
      </c>
      <c r="F685" s="8" t="s">
        <v>264</v>
      </c>
      <c r="G685" s="6">
        <v>43089</v>
      </c>
      <c r="H685" s="6">
        <v>43089</v>
      </c>
      <c r="I685" s="4">
        <v>-0.24</v>
      </c>
      <c r="J685" s="8" t="s">
        <v>39</v>
      </c>
      <c r="K685" s="8" t="s">
        <v>2132</v>
      </c>
      <c r="L685" s="4" t="str">
        <f>IF(AtlasReport_1_Table_1[[#This Row],[Reference]]="Purchase order",_xll.AtlasFormulas.AtlasFunctions.AtlasTable("UAT",DataAreaId,"T.VendInvoiceTrans","%RecId","","","","","","","ItemId|PurchID|InventTransId",$C685,$B685,$K685),"")</f>
        <v/>
      </c>
      <c r="M685" s="4" t="str">
        <f>IF(AtlasReport_1_Table_1[[#This Row],[Reference]]="Purchase order",_xll.AtlasFormulas.AtlasFunctions.AtlasTable("UAT",DataAreaId,"T.MarkupTrans","%CurrencyCode","","","","","","","MarkupCode|TransRecId|TransTableId","TPP",$L685,"492"),"")</f>
        <v/>
      </c>
      <c r="N685" s="4" t="str">
        <f>IF(AtlasReport_1_Table_1[[#This Row],[Reference]]="Purchase order",_xll.AtlasFormulas.AtlasFunctions.AtlasBalance("UAT",DataAreaId,"T.MarkupTrans","Sum|Posted|0","","","","","","","MarkupCode|TransTableId|TransRecId","TPP","492",$L685),"")</f>
        <v/>
      </c>
    </row>
    <row r="686" spans="1:14" x14ac:dyDescent="0.25">
      <c r="A686" s="8" t="s">
        <v>21</v>
      </c>
      <c r="B686" s="8" t="s">
        <v>2131</v>
      </c>
      <c r="C686" s="8" t="s">
        <v>56</v>
      </c>
      <c r="D686" s="8" t="s">
        <v>126</v>
      </c>
      <c r="E686" s="8" t="s">
        <v>261</v>
      </c>
      <c r="F686" s="8" t="s">
        <v>264</v>
      </c>
      <c r="G686" s="6">
        <v>43089</v>
      </c>
      <c r="H686" s="6">
        <v>43089</v>
      </c>
      <c r="I686" s="4">
        <v>-101.6</v>
      </c>
      <c r="J686" s="8" t="s">
        <v>39</v>
      </c>
      <c r="K686" s="8" t="s">
        <v>2133</v>
      </c>
      <c r="L686" s="4" t="str">
        <f>IF(AtlasReport_1_Table_1[[#This Row],[Reference]]="Purchase order",_xll.AtlasFormulas.AtlasFunctions.AtlasTable("UAT",DataAreaId,"T.VendInvoiceTrans","%RecId","","","","","","","ItemId|PurchID|InventTransId",$C686,$B686,$K686),"")</f>
        <v/>
      </c>
      <c r="M686" s="4" t="str">
        <f>IF(AtlasReport_1_Table_1[[#This Row],[Reference]]="Purchase order",_xll.AtlasFormulas.AtlasFunctions.AtlasTable("UAT",DataAreaId,"T.MarkupTrans","%CurrencyCode","","","","","","","MarkupCode|TransRecId|TransTableId","TPP",$L686,"492"),"")</f>
        <v/>
      </c>
      <c r="N686" s="4" t="str">
        <f>IF(AtlasReport_1_Table_1[[#This Row],[Reference]]="Purchase order",_xll.AtlasFormulas.AtlasFunctions.AtlasBalance("UAT",DataAreaId,"T.MarkupTrans","Sum|Posted|0","","","","","","","MarkupCode|TransTableId|TransRecId","TPP","492",$L686),"")</f>
        <v/>
      </c>
    </row>
    <row r="687" spans="1:14" x14ac:dyDescent="0.25">
      <c r="A687" s="8" t="s">
        <v>21</v>
      </c>
      <c r="B687" s="8" t="s">
        <v>2131</v>
      </c>
      <c r="C687" s="8" t="s">
        <v>56</v>
      </c>
      <c r="D687" s="8" t="s">
        <v>126</v>
      </c>
      <c r="E687" s="8" t="s">
        <v>261</v>
      </c>
      <c r="F687" s="8" t="s">
        <v>264</v>
      </c>
      <c r="G687" s="6">
        <v>43089</v>
      </c>
      <c r="H687" s="6">
        <v>43089</v>
      </c>
      <c r="I687" s="4">
        <v>9</v>
      </c>
      <c r="J687" s="8" t="s">
        <v>39</v>
      </c>
      <c r="K687" s="8" t="s">
        <v>2134</v>
      </c>
      <c r="L687" s="4" t="str">
        <f>IF(AtlasReport_1_Table_1[[#This Row],[Reference]]="Purchase order",_xll.AtlasFormulas.AtlasFunctions.AtlasTable("UAT",DataAreaId,"T.VendInvoiceTrans","%RecId","","","","","","","ItemId|PurchID|InventTransId",$C687,$B687,$K687),"")</f>
        <v/>
      </c>
      <c r="M687" s="4" t="str">
        <f>IF(AtlasReport_1_Table_1[[#This Row],[Reference]]="Purchase order",_xll.AtlasFormulas.AtlasFunctions.AtlasTable("UAT",DataAreaId,"T.MarkupTrans","%CurrencyCode","","","","","","","MarkupCode|TransRecId|TransTableId","TPP",$L687,"492"),"")</f>
        <v/>
      </c>
      <c r="N687" s="4" t="str">
        <f>IF(AtlasReport_1_Table_1[[#This Row],[Reference]]="Purchase order",_xll.AtlasFormulas.AtlasFunctions.AtlasBalance("UAT",DataAreaId,"T.MarkupTrans","Sum|Posted|0","","","","","","","MarkupCode|TransTableId|TransRecId","TPP","492",$L687),"")</f>
        <v/>
      </c>
    </row>
    <row r="688" spans="1:14" x14ac:dyDescent="0.25">
      <c r="A688" s="8" t="s">
        <v>21</v>
      </c>
      <c r="B688" s="8" t="s">
        <v>2131</v>
      </c>
      <c r="C688" s="8" t="s">
        <v>56</v>
      </c>
      <c r="D688" s="8" t="s">
        <v>126</v>
      </c>
      <c r="E688" s="8" t="s">
        <v>261</v>
      </c>
      <c r="F688" s="8" t="s">
        <v>264</v>
      </c>
      <c r="G688" s="6">
        <v>43089</v>
      </c>
      <c r="H688" s="6">
        <v>43089</v>
      </c>
      <c r="I688" s="4">
        <v>0.46</v>
      </c>
      <c r="J688" s="8" t="s">
        <v>39</v>
      </c>
      <c r="K688" s="8" t="s">
        <v>2135</v>
      </c>
      <c r="L688" s="4" t="str">
        <f>IF(AtlasReport_1_Table_1[[#This Row],[Reference]]="Purchase order",_xll.AtlasFormulas.AtlasFunctions.AtlasTable("UAT",DataAreaId,"T.VendInvoiceTrans","%RecId","","","","","","","ItemId|PurchID|InventTransId",$C688,$B688,$K688),"")</f>
        <v/>
      </c>
      <c r="M688" s="4" t="str">
        <f>IF(AtlasReport_1_Table_1[[#This Row],[Reference]]="Purchase order",_xll.AtlasFormulas.AtlasFunctions.AtlasTable("UAT",DataAreaId,"T.MarkupTrans","%CurrencyCode","","","","","","","MarkupCode|TransRecId|TransTableId","TPP",$L688,"492"),"")</f>
        <v/>
      </c>
      <c r="N688" s="4" t="str">
        <f>IF(AtlasReport_1_Table_1[[#This Row],[Reference]]="Purchase order",_xll.AtlasFormulas.AtlasFunctions.AtlasBalance("UAT",DataAreaId,"T.MarkupTrans","Sum|Posted|0","","","","","","","MarkupCode|TransTableId|TransRecId","TPP","492",$L688),"")</f>
        <v/>
      </c>
    </row>
    <row r="689" spans="1:14" x14ac:dyDescent="0.25">
      <c r="A689" s="8" t="s">
        <v>21</v>
      </c>
      <c r="B689" s="8" t="s">
        <v>2131</v>
      </c>
      <c r="C689" s="8" t="s">
        <v>56</v>
      </c>
      <c r="D689" s="8" t="s">
        <v>126</v>
      </c>
      <c r="E689" s="8" t="s">
        <v>261</v>
      </c>
      <c r="F689" s="8" t="s">
        <v>264</v>
      </c>
      <c r="G689" s="6">
        <v>43089</v>
      </c>
      <c r="H689" s="6">
        <v>43089</v>
      </c>
      <c r="I689" s="4">
        <v>-0.4</v>
      </c>
      <c r="J689" s="8" t="s">
        <v>39</v>
      </c>
      <c r="K689" s="8" t="s">
        <v>2136</v>
      </c>
      <c r="L689" s="4" t="str">
        <f>IF(AtlasReport_1_Table_1[[#This Row],[Reference]]="Purchase order",_xll.AtlasFormulas.AtlasFunctions.AtlasTable("UAT",DataAreaId,"T.VendInvoiceTrans","%RecId","","","","","","","ItemId|PurchID|InventTransId",$C689,$B689,$K689),"")</f>
        <v/>
      </c>
      <c r="M689" s="4" t="str">
        <f>IF(AtlasReport_1_Table_1[[#This Row],[Reference]]="Purchase order",_xll.AtlasFormulas.AtlasFunctions.AtlasTable("UAT",DataAreaId,"T.MarkupTrans","%CurrencyCode","","","","","","","MarkupCode|TransRecId|TransTableId","TPP",$L689,"492"),"")</f>
        <v/>
      </c>
      <c r="N689" s="4" t="str">
        <f>IF(AtlasReport_1_Table_1[[#This Row],[Reference]]="Purchase order",_xll.AtlasFormulas.AtlasFunctions.AtlasBalance("UAT",DataAreaId,"T.MarkupTrans","Sum|Posted|0","","","","","","","MarkupCode|TransTableId|TransRecId","TPP","492",$L689),"")</f>
        <v/>
      </c>
    </row>
    <row r="690" spans="1:14" x14ac:dyDescent="0.25">
      <c r="A690" s="8" t="s">
        <v>21</v>
      </c>
      <c r="B690" s="8" t="s">
        <v>2131</v>
      </c>
      <c r="C690" s="8" t="s">
        <v>56</v>
      </c>
      <c r="D690" s="8" t="s">
        <v>126</v>
      </c>
      <c r="E690" s="8" t="s">
        <v>261</v>
      </c>
      <c r="F690" s="8" t="s">
        <v>264</v>
      </c>
      <c r="G690" s="6">
        <v>43089</v>
      </c>
      <c r="H690" s="6">
        <v>43089</v>
      </c>
      <c r="I690" s="4">
        <v>-0.32</v>
      </c>
      <c r="J690" s="8" t="s">
        <v>39</v>
      </c>
      <c r="K690" s="8" t="s">
        <v>2137</v>
      </c>
      <c r="L690" s="4" t="str">
        <f>IF(AtlasReport_1_Table_1[[#This Row],[Reference]]="Purchase order",_xll.AtlasFormulas.AtlasFunctions.AtlasTable("UAT",DataAreaId,"T.VendInvoiceTrans","%RecId","","","","","","","ItemId|PurchID|InventTransId",$C690,$B690,$K690),"")</f>
        <v/>
      </c>
      <c r="M690" s="4" t="str">
        <f>IF(AtlasReport_1_Table_1[[#This Row],[Reference]]="Purchase order",_xll.AtlasFormulas.AtlasFunctions.AtlasTable("UAT",DataAreaId,"T.MarkupTrans","%CurrencyCode","","","","","","","MarkupCode|TransRecId|TransTableId","TPP",$L690,"492"),"")</f>
        <v/>
      </c>
      <c r="N690" s="4" t="str">
        <f>IF(AtlasReport_1_Table_1[[#This Row],[Reference]]="Purchase order",_xll.AtlasFormulas.AtlasFunctions.AtlasBalance("UAT",DataAreaId,"T.MarkupTrans","Sum|Posted|0","","","","","","","MarkupCode|TransTableId|TransRecId","TPP","492",$L690),"")</f>
        <v/>
      </c>
    </row>
    <row r="691" spans="1:14" x14ac:dyDescent="0.25">
      <c r="A691" s="8" t="s">
        <v>21</v>
      </c>
      <c r="B691" s="8" t="s">
        <v>2131</v>
      </c>
      <c r="C691" s="8" t="s">
        <v>56</v>
      </c>
      <c r="D691" s="8" t="s">
        <v>126</v>
      </c>
      <c r="E691" s="8" t="s">
        <v>261</v>
      </c>
      <c r="F691" s="8" t="s">
        <v>264</v>
      </c>
      <c r="G691" s="6">
        <v>43089</v>
      </c>
      <c r="H691" s="6">
        <v>43089</v>
      </c>
      <c r="I691" s="4">
        <v>-0.02</v>
      </c>
      <c r="J691" s="8" t="s">
        <v>39</v>
      </c>
      <c r="K691" s="8" t="s">
        <v>2138</v>
      </c>
      <c r="L691" s="4" t="str">
        <f>IF(AtlasReport_1_Table_1[[#This Row],[Reference]]="Purchase order",_xll.AtlasFormulas.AtlasFunctions.AtlasTable("UAT",DataAreaId,"T.VendInvoiceTrans","%RecId","","","","","","","ItemId|PurchID|InventTransId",$C691,$B691,$K691),"")</f>
        <v/>
      </c>
      <c r="M691" s="4" t="str">
        <f>IF(AtlasReport_1_Table_1[[#This Row],[Reference]]="Purchase order",_xll.AtlasFormulas.AtlasFunctions.AtlasTable("UAT",DataAreaId,"T.MarkupTrans","%CurrencyCode","","","","","","","MarkupCode|TransRecId|TransTableId","TPP",$L691,"492"),"")</f>
        <v/>
      </c>
      <c r="N691" s="4" t="str">
        <f>IF(AtlasReport_1_Table_1[[#This Row],[Reference]]="Purchase order",_xll.AtlasFormulas.AtlasFunctions.AtlasBalance("UAT",DataAreaId,"T.MarkupTrans","Sum|Posted|0","","","","","","","MarkupCode|TransTableId|TransRecId","TPP","492",$L691),"")</f>
        <v/>
      </c>
    </row>
    <row r="692" spans="1:14" x14ac:dyDescent="0.25">
      <c r="A692" s="8" t="s">
        <v>21</v>
      </c>
      <c r="B692" s="8" t="s">
        <v>2131</v>
      </c>
      <c r="C692" s="8" t="s">
        <v>56</v>
      </c>
      <c r="D692" s="8" t="s">
        <v>126</v>
      </c>
      <c r="E692" s="8" t="s">
        <v>261</v>
      </c>
      <c r="F692" s="8" t="s">
        <v>264</v>
      </c>
      <c r="G692" s="6">
        <v>43089</v>
      </c>
      <c r="H692" s="6">
        <v>43089</v>
      </c>
      <c r="I692" s="4">
        <v>2.04</v>
      </c>
      <c r="J692" s="8" t="s">
        <v>39</v>
      </c>
      <c r="K692" s="8" t="s">
        <v>2139</v>
      </c>
      <c r="L692" s="4" t="str">
        <f>IF(AtlasReport_1_Table_1[[#This Row],[Reference]]="Purchase order",_xll.AtlasFormulas.AtlasFunctions.AtlasTable("UAT",DataAreaId,"T.VendInvoiceTrans","%RecId","","","","","","","ItemId|PurchID|InventTransId",$C692,$B692,$K692),"")</f>
        <v/>
      </c>
      <c r="M692" s="4" t="str">
        <f>IF(AtlasReport_1_Table_1[[#This Row],[Reference]]="Purchase order",_xll.AtlasFormulas.AtlasFunctions.AtlasTable("UAT",DataAreaId,"T.MarkupTrans","%CurrencyCode","","","","","","","MarkupCode|TransRecId|TransTableId","TPP",$L692,"492"),"")</f>
        <v/>
      </c>
      <c r="N692" s="4" t="str">
        <f>IF(AtlasReport_1_Table_1[[#This Row],[Reference]]="Purchase order",_xll.AtlasFormulas.AtlasFunctions.AtlasBalance("UAT",DataAreaId,"T.MarkupTrans","Sum|Posted|0","","","","","","","MarkupCode|TransTableId|TransRecId","TPP","492",$L692),"")</f>
        <v/>
      </c>
    </row>
    <row r="693" spans="1:14" x14ac:dyDescent="0.25">
      <c r="A693" s="8" t="s">
        <v>21</v>
      </c>
      <c r="B693" s="8" t="s">
        <v>2131</v>
      </c>
      <c r="C693" s="8" t="s">
        <v>56</v>
      </c>
      <c r="D693" s="8" t="s">
        <v>126</v>
      </c>
      <c r="E693" s="8" t="s">
        <v>261</v>
      </c>
      <c r="F693" s="8" t="s">
        <v>264</v>
      </c>
      <c r="G693" s="6">
        <v>43089</v>
      </c>
      <c r="H693" s="6">
        <v>43089</v>
      </c>
      <c r="I693" s="4">
        <v>-0.42</v>
      </c>
      <c r="J693" s="8" t="s">
        <v>39</v>
      </c>
      <c r="K693" s="8" t="s">
        <v>2140</v>
      </c>
      <c r="L693" s="4" t="str">
        <f>IF(AtlasReport_1_Table_1[[#This Row],[Reference]]="Purchase order",_xll.AtlasFormulas.AtlasFunctions.AtlasTable("UAT",DataAreaId,"T.VendInvoiceTrans","%RecId","","","","","","","ItemId|PurchID|InventTransId",$C693,$B693,$K693),"")</f>
        <v/>
      </c>
      <c r="M693" s="4" t="str">
        <f>IF(AtlasReport_1_Table_1[[#This Row],[Reference]]="Purchase order",_xll.AtlasFormulas.AtlasFunctions.AtlasTable("UAT",DataAreaId,"T.MarkupTrans","%CurrencyCode","","","","","","","MarkupCode|TransRecId|TransTableId","TPP",$L693,"492"),"")</f>
        <v/>
      </c>
      <c r="N693" s="4" t="str">
        <f>IF(AtlasReport_1_Table_1[[#This Row],[Reference]]="Purchase order",_xll.AtlasFormulas.AtlasFunctions.AtlasBalance("UAT",DataAreaId,"T.MarkupTrans","Sum|Posted|0","","","","","","","MarkupCode|TransTableId|TransRecId","TPP","492",$L693),"")</f>
        <v/>
      </c>
    </row>
    <row r="694" spans="1:14" x14ac:dyDescent="0.25">
      <c r="A694" s="8" t="s">
        <v>21</v>
      </c>
      <c r="B694" s="8" t="s">
        <v>2131</v>
      </c>
      <c r="C694" s="8" t="s">
        <v>56</v>
      </c>
      <c r="D694" s="8" t="s">
        <v>126</v>
      </c>
      <c r="E694" s="8" t="s">
        <v>261</v>
      </c>
      <c r="F694" s="8" t="s">
        <v>264</v>
      </c>
      <c r="G694" s="6">
        <v>43089</v>
      </c>
      <c r="H694" s="6">
        <v>43089</v>
      </c>
      <c r="I694" s="4">
        <v>-1.48</v>
      </c>
      <c r="J694" s="8" t="s">
        <v>39</v>
      </c>
      <c r="K694" s="8" t="s">
        <v>2141</v>
      </c>
      <c r="L694" s="4" t="str">
        <f>IF(AtlasReport_1_Table_1[[#This Row],[Reference]]="Purchase order",_xll.AtlasFormulas.AtlasFunctions.AtlasTable("UAT",DataAreaId,"T.VendInvoiceTrans","%RecId","","","","","","","ItemId|PurchID|InventTransId",$C694,$B694,$K694),"")</f>
        <v/>
      </c>
      <c r="M694" s="4" t="str">
        <f>IF(AtlasReport_1_Table_1[[#This Row],[Reference]]="Purchase order",_xll.AtlasFormulas.AtlasFunctions.AtlasTable("UAT",DataAreaId,"T.MarkupTrans","%CurrencyCode","","","","","","","MarkupCode|TransRecId|TransTableId","TPP",$L694,"492"),"")</f>
        <v/>
      </c>
      <c r="N694" s="4" t="str">
        <f>IF(AtlasReport_1_Table_1[[#This Row],[Reference]]="Purchase order",_xll.AtlasFormulas.AtlasFunctions.AtlasBalance("UAT",DataAreaId,"T.MarkupTrans","Sum|Posted|0","","","","","","","MarkupCode|TransTableId|TransRecId","TPP","492",$L694),"")</f>
        <v/>
      </c>
    </row>
    <row r="695" spans="1:14" x14ac:dyDescent="0.25">
      <c r="A695" s="8" t="s">
        <v>21</v>
      </c>
      <c r="B695" s="8" t="s">
        <v>2131</v>
      </c>
      <c r="C695" s="8" t="s">
        <v>56</v>
      </c>
      <c r="D695" s="8" t="s">
        <v>126</v>
      </c>
      <c r="E695" s="8" t="s">
        <v>261</v>
      </c>
      <c r="F695" s="8" t="s">
        <v>264</v>
      </c>
      <c r="G695" s="6">
        <v>43089</v>
      </c>
      <c r="H695" s="6">
        <v>43089</v>
      </c>
      <c r="I695" s="4">
        <v>-0.23</v>
      </c>
      <c r="J695" s="8" t="s">
        <v>39</v>
      </c>
      <c r="K695" s="8" t="s">
        <v>2142</v>
      </c>
      <c r="L695" s="4" t="str">
        <f>IF(AtlasReport_1_Table_1[[#This Row],[Reference]]="Purchase order",_xll.AtlasFormulas.AtlasFunctions.AtlasTable("UAT",DataAreaId,"T.VendInvoiceTrans","%RecId","","","","","","","ItemId|PurchID|InventTransId",$C695,$B695,$K695),"")</f>
        <v/>
      </c>
      <c r="M695" s="4" t="str">
        <f>IF(AtlasReport_1_Table_1[[#This Row],[Reference]]="Purchase order",_xll.AtlasFormulas.AtlasFunctions.AtlasTable("UAT",DataAreaId,"T.MarkupTrans","%CurrencyCode","","","","","","","MarkupCode|TransRecId|TransTableId","TPP",$L695,"492"),"")</f>
        <v/>
      </c>
      <c r="N695" s="4" t="str">
        <f>IF(AtlasReport_1_Table_1[[#This Row],[Reference]]="Purchase order",_xll.AtlasFormulas.AtlasFunctions.AtlasBalance("UAT",DataAreaId,"T.MarkupTrans","Sum|Posted|0","","","","","","","MarkupCode|TransTableId|TransRecId","TPP","492",$L695),"")</f>
        <v/>
      </c>
    </row>
    <row r="696" spans="1:14" x14ac:dyDescent="0.25">
      <c r="A696" s="8" t="s">
        <v>21</v>
      </c>
      <c r="B696" s="8" t="s">
        <v>2131</v>
      </c>
      <c r="C696" s="8" t="s">
        <v>56</v>
      </c>
      <c r="D696" s="8" t="s">
        <v>126</v>
      </c>
      <c r="E696" s="8" t="s">
        <v>261</v>
      </c>
      <c r="F696" s="8" t="s">
        <v>264</v>
      </c>
      <c r="G696" s="6">
        <v>43089</v>
      </c>
      <c r="H696" s="6">
        <v>43089</v>
      </c>
      <c r="I696" s="4">
        <v>100</v>
      </c>
      <c r="J696" s="8" t="s">
        <v>39</v>
      </c>
      <c r="K696" s="8" t="s">
        <v>2143</v>
      </c>
      <c r="L696" s="4" t="str">
        <f>IF(AtlasReport_1_Table_1[[#This Row],[Reference]]="Purchase order",_xll.AtlasFormulas.AtlasFunctions.AtlasTable("UAT",DataAreaId,"T.VendInvoiceTrans","%RecId","","","","","","","ItemId|PurchID|InventTransId",$C696,$B696,$K696),"")</f>
        <v/>
      </c>
      <c r="M696" s="4" t="str">
        <f>IF(AtlasReport_1_Table_1[[#This Row],[Reference]]="Purchase order",_xll.AtlasFormulas.AtlasFunctions.AtlasTable("UAT",DataAreaId,"T.MarkupTrans","%CurrencyCode","","","","","","","MarkupCode|TransRecId|TransTableId","TPP",$L696,"492"),"")</f>
        <v/>
      </c>
      <c r="N696" s="4" t="str">
        <f>IF(AtlasReport_1_Table_1[[#This Row],[Reference]]="Purchase order",_xll.AtlasFormulas.AtlasFunctions.AtlasBalance("UAT",DataAreaId,"T.MarkupTrans","Sum|Posted|0","","","","","","","MarkupCode|TransTableId|TransRecId","TPP","492",$L696),"")</f>
        <v/>
      </c>
    </row>
    <row r="697" spans="1:14" x14ac:dyDescent="0.25">
      <c r="A697" s="8" t="s">
        <v>21</v>
      </c>
      <c r="B697" s="8" t="s">
        <v>2131</v>
      </c>
      <c r="C697" s="8" t="s">
        <v>56</v>
      </c>
      <c r="D697" s="8" t="s">
        <v>126</v>
      </c>
      <c r="E697" s="8" t="s">
        <v>261</v>
      </c>
      <c r="F697" s="8" t="s">
        <v>264</v>
      </c>
      <c r="G697" s="6">
        <v>43089</v>
      </c>
      <c r="H697" s="6">
        <v>43089</v>
      </c>
      <c r="I697" s="4">
        <v>-64.599999999999994</v>
      </c>
      <c r="J697" s="8" t="s">
        <v>39</v>
      </c>
      <c r="K697" s="8" t="s">
        <v>2144</v>
      </c>
      <c r="L697" s="4" t="str">
        <f>IF(AtlasReport_1_Table_1[[#This Row],[Reference]]="Purchase order",_xll.AtlasFormulas.AtlasFunctions.AtlasTable("UAT",DataAreaId,"T.VendInvoiceTrans","%RecId","","","","","","","ItemId|PurchID|InventTransId",$C697,$B697,$K697),"")</f>
        <v/>
      </c>
      <c r="M697" s="4" t="str">
        <f>IF(AtlasReport_1_Table_1[[#This Row],[Reference]]="Purchase order",_xll.AtlasFormulas.AtlasFunctions.AtlasTable("UAT",DataAreaId,"T.MarkupTrans","%CurrencyCode","","","","","","","MarkupCode|TransRecId|TransTableId","TPP",$L697,"492"),"")</f>
        <v/>
      </c>
      <c r="N697" s="4" t="str">
        <f>IF(AtlasReport_1_Table_1[[#This Row],[Reference]]="Purchase order",_xll.AtlasFormulas.AtlasFunctions.AtlasBalance("UAT",DataAreaId,"T.MarkupTrans","Sum|Posted|0","","","","","","","MarkupCode|TransTableId|TransRecId","TPP","492",$L697),"")</f>
        <v/>
      </c>
    </row>
    <row r="698" spans="1:14" x14ac:dyDescent="0.25">
      <c r="A698" s="8" t="s">
        <v>21</v>
      </c>
      <c r="B698" s="8" t="s">
        <v>2131</v>
      </c>
      <c r="C698" s="8" t="s">
        <v>56</v>
      </c>
      <c r="D698" s="8" t="s">
        <v>126</v>
      </c>
      <c r="E698" s="8" t="s">
        <v>261</v>
      </c>
      <c r="F698" s="8" t="s">
        <v>264</v>
      </c>
      <c r="G698" s="6">
        <v>43089</v>
      </c>
      <c r="H698" s="6">
        <v>43089</v>
      </c>
      <c r="I698" s="4">
        <v>11</v>
      </c>
      <c r="J698" s="8" t="s">
        <v>39</v>
      </c>
      <c r="K698" s="8" t="s">
        <v>2145</v>
      </c>
      <c r="L698" s="4" t="str">
        <f>IF(AtlasReport_1_Table_1[[#This Row],[Reference]]="Purchase order",_xll.AtlasFormulas.AtlasFunctions.AtlasTable("UAT",DataAreaId,"T.VendInvoiceTrans","%RecId","","","","","","","ItemId|PurchID|InventTransId",$C698,$B698,$K698),"")</f>
        <v/>
      </c>
      <c r="M698" s="4" t="str">
        <f>IF(AtlasReport_1_Table_1[[#This Row],[Reference]]="Purchase order",_xll.AtlasFormulas.AtlasFunctions.AtlasTable("UAT",DataAreaId,"T.MarkupTrans","%CurrencyCode","","","","","","","MarkupCode|TransRecId|TransTableId","TPP",$L698,"492"),"")</f>
        <v/>
      </c>
      <c r="N698" s="4" t="str">
        <f>IF(AtlasReport_1_Table_1[[#This Row],[Reference]]="Purchase order",_xll.AtlasFormulas.AtlasFunctions.AtlasBalance("UAT",DataAreaId,"T.MarkupTrans","Sum|Posted|0","","","","","","","MarkupCode|TransTableId|TransRecId","TPP","492",$L698),"")</f>
        <v/>
      </c>
    </row>
    <row r="699" spans="1:14" x14ac:dyDescent="0.25">
      <c r="A699" s="8" t="s">
        <v>21</v>
      </c>
      <c r="B699" s="8" t="s">
        <v>2146</v>
      </c>
      <c r="C699" s="8" t="s">
        <v>307</v>
      </c>
      <c r="D699" s="8" t="s">
        <v>1025</v>
      </c>
      <c r="E699" s="8" t="s">
        <v>261</v>
      </c>
      <c r="F699" s="8" t="s">
        <v>264</v>
      </c>
      <c r="G699" s="6">
        <v>43089</v>
      </c>
      <c r="H699" s="6">
        <v>43089</v>
      </c>
      <c r="I699" s="4">
        <v>-103</v>
      </c>
      <c r="J699" s="8" t="s">
        <v>37</v>
      </c>
      <c r="K699" s="8" t="s">
        <v>2147</v>
      </c>
      <c r="L699" s="4" t="str">
        <f>IF(AtlasReport_1_Table_1[[#This Row],[Reference]]="Purchase order",_xll.AtlasFormulas.AtlasFunctions.AtlasTable("UAT",DataAreaId,"T.VendInvoiceTrans","%RecId","","","","","","","ItemId|PurchID|InventTransId",$C699,$B699,$K699),"")</f>
        <v/>
      </c>
      <c r="M699" s="4" t="str">
        <f>IF(AtlasReport_1_Table_1[[#This Row],[Reference]]="Purchase order",_xll.AtlasFormulas.AtlasFunctions.AtlasTable("UAT",DataAreaId,"T.MarkupTrans","%CurrencyCode","","","","","","","MarkupCode|TransRecId|TransTableId","TPP",$L699,"492"),"")</f>
        <v/>
      </c>
      <c r="N699" s="4" t="str">
        <f>IF(AtlasReport_1_Table_1[[#This Row],[Reference]]="Purchase order",_xll.AtlasFormulas.AtlasFunctions.AtlasBalance("UAT",DataAreaId,"T.MarkupTrans","Sum|Posted|0","","","","","","","MarkupCode|TransTableId|TransRecId","TPP","492",$L699),"")</f>
        <v/>
      </c>
    </row>
    <row r="700" spans="1:14" x14ac:dyDescent="0.25">
      <c r="A700" s="8" t="s">
        <v>21</v>
      </c>
      <c r="B700" s="8" t="s">
        <v>2146</v>
      </c>
      <c r="C700" s="8" t="s">
        <v>404</v>
      </c>
      <c r="D700" s="8" t="s">
        <v>1137</v>
      </c>
      <c r="E700" s="8" t="s">
        <v>261</v>
      </c>
      <c r="F700" s="8" t="s">
        <v>264</v>
      </c>
      <c r="G700" s="6">
        <v>43089</v>
      </c>
      <c r="H700" s="6">
        <v>43089</v>
      </c>
      <c r="I700" s="4">
        <v>-126</v>
      </c>
      <c r="J700" s="8" t="s">
        <v>37</v>
      </c>
      <c r="K700" s="8" t="s">
        <v>2148</v>
      </c>
      <c r="L700" s="4" t="str">
        <f>IF(AtlasReport_1_Table_1[[#This Row],[Reference]]="Purchase order",_xll.AtlasFormulas.AtlasFunctions.AtlasTable("UAT",DataAreaId,"T.VendInvoiceTrans","%RecId","","","","","","","ItemId|PurchID|InventTransId",$C700,$B700,$K700),"")</f>
        <v/>
      </c>
      <c r="M700" s="4" t="str">
        <f>IF(AtlasReport_1_Table_1[[#This Row],[Reference]]="Purchase order",_xll.AtlasFormulas.AtlasFunctions.AtlasTable("UAT",DataAreaId,"T.MarkupTrans","%CurrencyCode","","","","","","","MarkupCode|TransRecId|TransTableId","TPP",$L700,"492"),"")</f>
        <v/>
      </c>
      <c r="N700" s="4" t="str">
        <f>IF(AtlasReport_1_Table_1[[#This Row],[Reference]]="Purchase order",_xll.AtlasFormulas.AtlasFunctions.AtlasBalance("UAT",DataAreaId,"T.MarkupTrans","Sum|Posted|0","","","","","","","MarkupCode|TransTableId|TransRecId","TPP","492",$L700),"")</f>
        <v/>
      </c>
    </row>
    <row r="701" spans="1:14" x14ac:dyDescent="0.25">
      <c r="A701" s="8" t="s">
        <v>21</v>
      </c>
      <c r="B701" s="8" t="s">
        <v>2146</v>
      </c>
      <c r="C701" s="8" t="s">
        <v>405</v>
      </c>
      <c r="D701" s="8" t="s">
        <v>1138</v>
      </c>
      <c r="E701" s="8" t="s">
        <v>261</v>
      </c>
      <c r="F701" s="8" t="s">
        <v>264</v>
      </c>
      <c r="G701" s="6">
        <v>43089</v>
      </c>
      <c r="H701" s="6">
        <v>43089</v>
      </c>
      <c r="I701" s="4">
        <v>-156</v>
      </c>
      <c r="J701" s="8" t="s">
        <v>37</v>
      </c>
      <c r="K701" s="8" t="s">
        <v>2149</v>
      </c>
      <c r="L701" s="4" t="str">
        <f>IF(AtlasReport_1_Table_1[[#This Row],[Reference]]="Purchase order",_xll.AtlasFormulas.AtlasFunctions.AtlasTable("UAT",DataAreaId,"T.VendInvoiceTrans","%RecId","","","","","","","ItemId|PurchID|InventTransId",$C701,$B701,$K701),"")</f>
        <v/>
      </c>
      <c r="M701" s="4" t="str">
        <f>IF(AtlasReport_1_Table_1[[#This Row],[Reference]]="Purchase order",_xll.AtlasFormulas.AtlasFunctions.AtlasTable("UAT",DataAreaId,"T.MarkupTrans","%CurrencyCode","","","","","","","MarkupCode|TransRecId|TransTableId","TPP",$L701,"492"),"")</f>
        <v/>
      </c>
      <c r="N701" s="4" t="str">
        <f>IF(AtlasReport_1_Table_1[[#This Row],[Reference]]="Purchase order",_xll.AtlasFormulas.AtlasFunctions.AtlasBalance("UAT",DataAreaId,"T.MarkupTrans","Sum|Posted|0","","","","","","","MarkupCode|TransTableId|TransRecId","TPP","492",$L701),"")</f>
        <v/>
      </c>
    </row>
    <row r="702" spans="1:14" x14ac:dyDescent="0.25">
      <c r="A702" s="8" t="s">
        <v>21</v>
      </c>
      <c r="B702" s="8" t="s">
        <v>2146</v>
      </c>
      <c r="C702" s="8" t="s">
        <v>103</v>
      </c>
      <c r="D702" s="8" t="s">
        <v>104</v>
      </c>
      <c r="E702" s="8" t="s">
        <v>261</v>
      </c>
      <c r="F702" s="8" t="s">
        <v>264</v>
      </c>
      <c r="G702" s="6">
        <v>43089</v>
      </c>
      <c r="H702" s="6">
        <v>43089</v>
      </c>
      <c r="I702" s="4">
        <v>-21</v>
      </c>
      <c r="J702" s="8" t="s">
        <v>37</v>
      </c>
      <c r="K702" s="8" t="s">
        <v>2150</v>
      </c>
      <c r="L702" s="4" t="str">
        <f>IF(AtlasReport_1_Table_1[[#This Row],[Reference]]="Purchase order",_xll.AtlasFormulas.AtlasFunctions.AtlasTable("UAT",DataAreaId,"T.VendInvoiceTrans","%RecId","","","","","","","ItemId|PurchID|InventTransId",$C702,$B702,$K702),"")</f>
        <v/>
      </c>
      <c r="M702" s="4" t="str">
        <f>IF(AtlasReport_1_Table_1[[#This Row],[Reference]]="Purchase order",_xll.AtlasFormulas.AtlasFunctions.AtlasTable("UAT",DataAreaId,"T.MarkupTrans","%CurrencyCode","","","","","","","MarkupCode|TransRecId|TransTableId","TPP",$L702,"492"),"")</f>
        <v/>
      </c>
      <c r="N702" s="4" t="str">
        <f>IF(AtlasReport_1_Table_1[[#This Row],[Reference]]="Purchase order",_xll.AtlasFormulas.AtlasFunctions.AtlasBalance("UAT",DataAreaId,"T.MarkupTrans","Sum|Posted|0","","","","","","","MarkupCode|TransTableId|TransRecId","TPP","492",$L702),"")</f>
        <v/>
      </c>
    </row>
    <row r="703" spans="1:14" x14ac:dyDescent="0.25">
      <c r="A703" s="8" t="s">
        <v>21</v>
      </c>
      <c r="B703" s="8" t="s">
        <v>2146</v>
      </c>
      <c r="C703" s="8" t="s">
        <v>413</v>
      </c>
      <c r="D703" s="8" t="s">
        <v>1151</v>
      </c>
      <c r="E703" s="8" t="s">
        <v>261</v>
      </c>
      <c r="F703" s="8" t="s">
        <v>264</v>
      </c>
      <c r="G703" s="6">
        <v>43089</v>
      </c>
      <c r="H703" s="6">
        <v>43089</v>
      </c>
      <c r="I703" s="4">
        <v>94</v>
      </c>
      <c r="J703" s="8" t="s">
        <v>37</v>
      </c>
      <c r="K703" s="8" t="s">
        <v>2151</v>
      </c>
      <c r="L703" s="4" t="str">
        <f>IF(AtlasReport_1_Table_1[[#This Row],[Reference]]="Purchase order",_xll.AtlasFormulas.AtlasFunctions.AtlasTable("UAT",DataAreaId,"T.VendInvoiceTrans","%RecId","","","","","","","ItemId|PurchID|InventTransId",$C703,$B703,$K703),"")</f>
        <v/>
      </c>
      <c r="M703" s="4" t="str">
        <f>IF(AtlasReport_1_Table_1[[#This Row],[Reference]]="Purchase order",_xll.AtlasFormulas.AtlasFunctions.AtlasTable("UAT",DataAreaId,"T.MarkupTrans","%CurrencyCode","","","","","","","MarkupCode|TransRecId|TransTableId","TPP",$L703,"492"),"")</f>
        <v/>
      </c>
      <c r="N703" s="4" t="str">
        <f>IF(AtlasReport_1_Table_1[[#This Row],[Reference]]="Purchase order",_xll.AtlasFormulas.AtlasFunctions.AtlasBalance("UAT",DataAreaId,"T.MarkupTrans","Sum|Posted|0","","","","","","","MarkupCode|TransTableId|TransRecId","TPP","492",$L703),"")</f>
        <v/>
      </c>
    </row>
    <row r="704" spans="1:14" x14ac:dyDescent="0.25">
      <c r="A704" s="8" t="s">
        <v>21</v>
      </c>
      <c r="B704" s="8" t="s">
        <v>2146</v>
      </c>
      <c r="C704" s="8" t="s">
        <v>414</v>
      </c>
      <c r="D704" s="8" t="s">
        <v>1152</v>
      </c>
      <c r="E704" s="8" t="s">
        <v>261</v>
      </c>
      <c r="F704" s="8" t="s">
        <v>264</v>
      </c>
      <c r="G704" s="6">
        <v>43089</v>
      </c>
      <c r="H704" s="6">
        <v>43089</v>
      </c>
      <c r="I704" s="4">
        <v>202</v>
      </c>
      <c r="J704" s="8" t="s">
        <v>37</v>
      </c>
      <c r="K704" s="8" t="s">
        <v>2152</v>
      </c>
      <c r="L704" s="4" t="str">
        <f>IF(AtlasReport_1_Table_1[[#This Row],[Reference]]="Purchase order",_xll.AtlasFormulas.AtlasFunctions.AtlasTable("UAT",DataAreaId,"T.VendInvoiceTrans","%RecId","","","","","","","ItemId|PurchID|InventTransId",$C704,$B704,$K704),"")</f>
        <v/>
      </c>
      <c r="M704" s="4" t="str">
        <f>IF(AtlasReport_1_Table_1[[#This Row],[Reference]]="Purchase order",_xll.AtlasFormulas.AtlasFunctions.AtlasTable("UAT",DataAreaId,"T.MarkupTrans","%CurrencyCode","","","","","","","MarkupCode|TransRecId|TransTableId","TPP",$L704,"492"),"")</f>
        <v/>
      </c>
      <c r="N704" s="4" t="str">
        <f>IF(AtlasReport_1_Table_1[[#This Row],[Reference]]="Purchase order",_xll.AtlasFormulas.AtlasFunctions.AtlasBalance("UAT",DataAreaId,"T.MarkupTrans","Sum|Posted|0","","","","","","","MarkupCode|TransTableId|TransRecId","TPP","492",$L704),"")</f>
        <v/>
      </c>
    </row>
    <row r="705" spans="1:14" x14ac:dyDescent="0.25">
      <c r="A705" s="8" t="s">
        <v>21</v>
      </c>
      <c r="B705" s="8" t="s">
        <v>2146</v>
      </c>
      <c r="C705" s="8" t="s">
        <v>415</v>
      </c>
      <c r="D705" s="8" t="s">
        <v>1153</v>
      </c>
      <c r="E705" s="8" t="s">
        <v>261</v>
      </c>
      <c r="F705" s="8" t="s">
        <v>264</v>
      </c>
      <c r="G705" s="6">
        <v>43089</v>
      </c>
      <c r="H705" s="6">
        <v>43089</v>
      </c>
      <c r="I705" s="4">
        <v>-4</v>
      </c>
      <c r="J705" s="8" t="s">
        <v>37</v>
      </c>
      <c r="K705" s="8" t="s">
        <v>2153</v>
      </c>
      <c r="L705" s="4" t="str">
        <f>IF(AtlasReport_1_Table_1[[#This Row],[Reference]]="Purchase order",_xll.AtlasFormulas.AtlasFunctions.AtlasTable("UAT",DataAreaId,"T.VendInvoiceTrans","%RecId","","","","","","","ItemId|PurchID|InventTransId",$C705,$B705,$K705),"")</f>
        <v/>
      </c>
      <c r="M705" s="4" t="str">
        <f>IF(AtlasReport_1_Table_1[[#This Row],[Reference]]="Purchase order",_xll.AtlasFormulas.AtlasFunctions.AtlasTable("UAT",DataAreaId,"T.MarkupTrans","%CurrencyCode","","","","","","","MarkupCode|TransRecId|TransTableId","TPP",$L705,"492"),"")</f>
        <v/>
      </c>
      <c r="N705" s="4" t="str">
        <f>IF(AtlasReport_1_Table_1[[#This Row],[Reference]]="Purchase order",_xll.AtlasFormulas.AtlasFunctions.AtlasBalance("UAT",DataAreaId,"T.MarkupTrans","Sum|Posted|0","","","","","","","MarkupCode|TransTableId|TransRecId","TPP","492",$L705),"")</f>
        <v/>
      </c>
    </row>
    <row r="706" spans="1:14" x14ac:dyDescent="0.25">
      <c r="A706" s="8" t="s">
        <v>21</v>
      </c>
      <c r="B706" s="8" t="s">
        <v>2146</v>
      </c>
      <c r="C706" s="8" t="s">
        <v>416</v>
      </c>
      <c r="D706" s="8" t="s">
        <v>1154</v>
      </c>
      <c r="E706" s="8" t="s">
        <v>261</v>
      </c>
      <c r="F706" s="8" t="s">
        <v>264</v>
      </c>
      <c r="G706" s="6">
        <v>43089</v>
      </c>
      <c r="H706" s="6">
        <v>43089</v>
      </c>
      <c r="I706" s="4">
        <v>212</v>
      </c>
      <c r="J706" s="8" t="s">
        <v>37</v>
      </c>
      <c r="K706" s="8" t="s">
        <v>2154</v>
      </c>
      <c r="L706" s="4" t="str">
        <f>IF(AtlasReport_1_Table_1[[#This Row],[Reference]]="Purchase order",_xll.AtlasFormulas.AtlasFunctions.AtlasTable("UAT",DataAreaId,"T.VendInvoiceTrans","%RecId","","","","","","","ItemId|PurchID|InventTransId",$C706,$B706,$K706),"")</f>
        <v/>
      </c>
      <c r="M706" s="4" t="str">
        <f>IF(AtlasReport_1_Table_1[[#This Row],[Reference]]="Purchase order",_xll.AtlasFormulas.AtlasFunctions.AtlasTable("UAT",DataAreaId,"T.MarkupTrans","%CurrencyCode","","","","","","","MarkupCode|TransRecId|TransTableId","TPP",$L706,"492"),"")</f>
        <v/>
      </c>
      <c r="N706" s="4" t="str">
        <f>IF(AtlasReport_1_Table_1[[#This Row],[Reference]]="Purchase order",_xll.AtlasFormulas.AtlasFunctions.AtlasBalance("UAT",DataAreaId,"T.MarkupTrans","Sum|Posted|0","","","","","","","MarkupCode|TransTableId|TransRecId","TPP","492",$L706),"")</f>
        <v/>
      </c>
    </row>
    <row r="707" spans="1:14" x14ac:dyDescent="0.25">
      <c r="A707" s="8" t="s">
        <v>21</v>
      </c>
      <c r="B707" s="8" t="s">
        <v>2146</v>
      </c>
      <c r="C707" s="8" t="s">
        <v>417</v>
      </c>
      <c r="D707" s="8" t="s">
        <v>1155</v>
      </c>
      <c r="E707" s="8" t="s">
        <v>261</v>
      </c>
      <c r="F707" s="8" t="s">
        <v>264</v>
      </c>
      <c r="G707" s="6">
        <v>43089</v>
      </c>
      <c r="H707" s="6">
        <v>43089</v>
      </c>
      <c r="I707" s="4">
        <v>275</v>
      </c>
      <c r="J707" s="8" t="s">
        <v>37</v>
      </c>
      <c r="K707" s="8" t="s">
        <v>2155</v>
      </c>
      <c r="L707" s="4" t="str">
        <f>IF(AtlasReport_1_Table_1[[#This Row],[Reference]]="Purchase order",_xll.AtlasFormulas.AtlasFunctions.AtlasTable("UAT",DataAreaId,"T.VendInvoiceTrans","%RecId","","","","","","","ItemId|PurchID|InventTransId",$C707,$B707,$K707),"")</f>
        <v/>
      </c>
      <c r="M707" s="4" t="str">
        <f>IF(AtlasReport_1_Table_1[[#This Row],[Reference]]="Purchase order",_xll.AtlasFormulas.AtlasFunctions.AtlasTable("UAT",DataAreaId,"T.MarkupTrans","%CurrencyCode","","","","","","","MarkupCode|TransRecId|TransTableId","TPP",$L707,"492"),"")</f>
        <v/>
      </c>
      <c r="N707" s="4" t="str">
        <f>IF(AtlasReport_1_Table_1[[#This Row],[Reference]]="Purchase order",_xll.AtlasFormulas.AtlasFunctions.AtlasBalance("UAT",DataAreaId,"T.MarkupTrans","Sum|Posted|0","","","","","","","MarkupCode|TransTableId|TransRecId","TPP","492",$L707),"")</f>
        <v/>
      </c>
    </row>
    <row r="708" spans="1:14" x14ac:dyDescent="0.25">
      <c r="A708" s="8" t="s">
        <v>21</v>
      </c>
      <c r="B708" s="8" t="s">
        <v>2146</v>
      </c>
      <c r="C708" s="8" t="s">
        <v>418</v>
      </c>
      <c r="D708" s="8" t="s">
        <v>1156</v>
      </c>
      <c r="E708" s="8" t="s">
        <v>261</v>
      </c>
      <c r="F708" s="8" t="s">
        <v>264</v>
      </c>
      <c r="G708" s="6">
        <v>43089</v>
      </c>
      <c r="H708" s="6">
        <v>43089</v>
      </c>
      <c r="I708" s="4">
        <v>1</v>
      </c>
      <c r="J708" s="8" t="s">
        <v>37</v>
      </c>
      <c r="K708" s="8" t="s">
        <v>2156</v>
      </c>
      <c r="L708" s="4" t="str">
        <f>IF(AtlasReport_1_Table_1[[#This Row],[Reference]]="Purchase order",_xll.AtlasFormulas.AtlasFunctions.AtlasTable("UAT",DataAreaId,"T.VendInvoiceTrans","%RecId","","","","","","","ItemId|PurchID|InventTransId",$C708,$B708,$K708),"")</f>
        <v/>
      </c>
      <c r="M708" s="4" t="str">
        <f>IF(AtlasReport_1_Table_1[[#This Row],[Reference]]="Purchase order",_xll.AtlasFormulas.AtlasFunctions.AtlasTable("UAT",DataAreaId,"T.MarkupTrans","%CurrencyCode","","","","","","","MarkupCode|TransRecId|TransTableId","TPP",$L708,"492"),"")</f>
        <v/>
      </c>
      <c r="N708" s="4" t="str">
        <f>IF(AtlasReport_1_Table_1[[#This Row],[Reference]]="Purchase order",_xll.AtlasFormulas.AtlasFunctions.AtlasBalance("UAT",DataAreaId,"T.MarkupTrans","Sum|Posted|0","","","","","","","MarkupCode|TransTableId|TransRecId","TPP","492",$L708),"")</f>
        <v/>
      </c>
    </row>
    <row r="709" spans="1:14" x14ac:dyDescent="0.25">
      <c r="A709" s="8" t="s">
        <v>21</v>
      </c>
      <c r="B709" s="8" t="s">
        <v>2146</v>
      </c>
      <c r="C709" s="8" t="s">
        <v>146</v>
      </c>
      <c r="D709" s="8" t="s">
        <v>1158</v>
      </c>
      <c r="E709" s="8" t="s">
        <v>261</v>
      </c>
      <c r="F709" s="8" t="s">
        <v>264</v>
      </c>
      <c r="G709" s="6">
        <v>43089</v>
      </c>
      <c r="H709" s="6">
        <v>43089</v>
      </c>
      <c r="I709" s="4">
        <v>-1</v>
      </c>
      <c r="J709" s="8" t="s">
        <v>37</v>
      </c>
      <c r="K709" s="8" t="s">
        <v>2157</v>
      </c>
      <c r="L709" s="4" t="str">
        <f>IF(AtlasReport_1_Table_1[[#This Row],[Reference]]="Purchase order",_xll.AtlasFormulas.AtlasFunctions.AtlasTable("UAT",DataAreaId,"T.VendInvoiceTrans","%RecId","","","","","","","ItemId|PurchID|InventTransId",$C709,$B709,$K709),"")</f>
        <v/>
      </c>
      <c r="M709" s="4" t="str">
        <f>IF(AtlasReport_1_Table_1[[#This Row],[Reference]]="Purchase order",_xll.AtlasFormulas.AtlasFunctions.AtlasTable("UAT",DataAreaId,"T.MarkupTrans","%CurrencyCode","","","","","","","MarkupCode|TransRecId|TransTableId","TPP",$L709,"492"),"")</f>
        <v/>
      </c>
      <c r="N709" s="4" t="str">
        <f>IF(AtlasReport_1_Table_1[[#This Row],[Reference]]="Purchase order",_xll.AtlasFormulas.AtlasFunctions.AtlasBalance("UAT",DataAreaId,"T.MarkupTrans","Sum|Posted|0","","","","","","","MarkupCode|TransTableId|TransRecId","TPP","492",$L709),"")</f>
        <v/>
      </c>
    </row>
    <row r="710" spans="1:14" x14ac:dyDescent="0.25">
      <c r="A710" s="8" t="s">
        <v>21</v>
      </c>
      <c r="B710" s="8" t="s">
        <v>2146</v>
      </c>
      <c r="C710" s="8" t="s">
        <v>421</v>
      </c>
      <c r="D710" s="8" t="s">
        <v>1165</v>
      </c>
      <c r="E710" s="8" t="s">
        <v>261</v>
      </c>
      <c r="F710" s="8" t="s">
        <v>264</v>
      </c>
      <c r="G710" s="6">
        <v>43089</v>
      </c>
      <c r="H710" s="6">
        <v>43089</v>
      </c>
      <c r="I710" s="4">
        <v>-1</v>
      </c>
      <c r="J710" s="8" t="s">
        <v>37</v>
      </c>
      <c r="K710" s="8" t="s">
        <v>2158</v>
      </c>
      <c r="L710" s="4" t="str">
        <f>IF(AtlasReport_1_Table_1[[#This Row],[Reference]]="Purchase order",_xll.AtlasFormulas.AtlasFunctions.AtlasTable("UAT",DataAreaId,"T.VendInvoiceTrans","%RecId","","","","","","","ItemId|PurchID|InventTransId",$C710,$B710,$K710),"")</f>
        <v/>
      </c>
      <c r="M710" s="4" t="str">
        <f>IF(AtlasReport_1_Table_1[[#This Row],[Reference]]="Purchase order",_xll.AtlasFormulas.AtlasFunctions.AtlasTable("UAT",DataAreaId,"T.MarkupTrans","%CurrencyCode","","","","","","","MarkupCode|TransRecId|TransTableId","TPP",$L710,"492"),"")</f>
        <v/>
      </c>
      <c r="N710" s="4" t="str">
        <f>IF(AtlasReport_1_Table_1[[#This Row],[Reference]]="Purchase order",_xll.AtlasFormulas.AtlasFunctions.AtlasBalance("UAT",DataAreaId,"T.MarkupTrans","Sum|Posted|0","","","","","","","MarkupCode|TransTableId|TransRecId","TPP","492",$L710),"")</f>
        <v/>
      </c>
    </row>
    <row r="711" spans="1:14" x14ac:dyDescent="0.25">
      <c r="A711" s="8" t="s">
        <v>21</v>
      </c>
      <c r="B711" s="8" t="s">
        <v>2146</v>
      </c>
      <c r="C711" s="8" t="s">
        <v>422</v>
      </c>
      <c r="D711" s="8" t="s">
        <v>1166</v>
      </c>
      <c r="E711" s="8" t="s">
        <v>261</v>
      </c>
      <c r="F711" s="8" t="s">
        <v>264</v>
      </c>
      <c r="G711" s="6">
        <v>43089</v>
      </c>
      <c r="H711" s="6">
        <v>43089</v>
      </c>
      <c r="I711" s="4">
        <v>40</v>
      </c>
      <c r="J711" s="8" t="s">
        <v>37</v>
      </c>
      <c r="K711" s="8" t="s">
        <v>2159</v>
      </c>
      <c r="L711" s="4" t="str">
        <f>IF(AtlasReport_1_Table_1[[#This Row],[Reference]]="Purchase order",_xll.AtlasFormulas.AtlasFunctions.AtlasTable("UAT",DataAreaId,"T.VendInvoiceTrans","%RecId","","","","","","","ItemId|PurchID|InventTransId",$C711,$B711,$K711),"")</f>
        <v/>
      </c>
      <c r="M711" s="4" t="str">
        <f>IF(AtlasReport_1_Table_1[[#This Row],[Reference]]="Purchase order",_xll.AtlasFormulas.AtlasFunctions.AtlasTable("UAT",DataAreaId,"T.MarkupTrans","%CurrencyCode","","","","","","","MarkupCode|TransRecId|TransTableId","TPP",$L711,"492"),"")</f>
        <v/>
      </c>
      <c r="N711" s="4" t="str">
        <f>IF(AtlasReport_1_Table_1[[#This Row],[Reference]]="Purchase order",_xll.AtlasFormulas.AtlasFunctions.AtlasBalance("UAT",DataAreaId,"T.MarkupTrans","Sum|Posted|0","","","","","","","MarkupCode|TransTableId|TransRecId","TPP","492",$L711),"")</f>
        <v/>
      </c>
    </row>
    <row r="712" spans="1:14" x14ac:dyDescent="0.25">
      <c r="A712" s="8" t="s">
        <v>21</v>
      </c>
      <c r="B712" s="8" t="s">
        <v>2146</v>
      </c>
      <c r="C712" s="8" t="s">
        <v>423</v>
      </c>
      <c r="D712" s="8" t="s">
        <v>1167</v>
      </c>
      <c r="E712" s="8" t="s">
        <v>261</v>
      </c>
      <c r="F712" s="8" t="s">
        <v>264</v>
      </c>
      <c r="G712" s="6">
        <v>43089</v>
      </c>
      <c r="H712" s="6">
        <v>43089</v>
      </c>
      <c r="I712" s="4">
        <v>210</v>
      </c>
      <c r="J712" s="8" t="s">
        <v>37</v>
      </c>
      <c r="K712" s="8" t="s">
        <v>2160</v>
      </c>
      <c r="L712" s="4" t="str">
        <f>IF(AtlasReport_1_Table_1[[#This Row],[Reference]]="Purchase order",_xll.AtlasFormulas.AtlasFunctions.AtlasTable("UAT",DataAreaId,"T.VendInvoiceTrans","%RecId","","","","","","","ItemId|PurchID|InventTransId",$C712,$B712,$K712),"")</f>
        <v/>
      </c>
      <c r="M712" s="4" t="str">
        <f>IF(AtlasReport_1_Table_1[[#This Row],[Reference]]="Purchase order",_xll.AtlasFormulas.AtlasFunctions.AtlasTable("UAT",DataAreaId,"T.MarkupTrans","%CurrencyCode","","","","","","","MarkupCode|TransRecId|TransTableId","TPP",$L712,"492"),"")</f>
        <v/>
      </c>
      <c r="N712" s="4" t="str">
        <f>IF(AtlasReport_1_Table_1[[#This Row],[Reference]]="Purchase order",_xll.AtlasFormulas.AtlasFunctions.AtlasBalance("UAT",DataAreaId,"T.MarkupTrans","Sum|Posted|0","","","","","","","MarkupCode|TransTableId|TransRecId","TPP","492",$L712),"")</f>
        <v/>
      </c>
    </row>
    <row r="713" spans="1:14" x14ac:dyDescent="0.25">
      <c r="A713" s="8" t="s">
        <v>21</v>
      </c>
      <c r="B713" s="8" t="s">
        <v>2146</v>
      </c>
      <c r="C713" s="8" t="s">
        <v>424</v>
      </c>
      <c r="D713" s="8" t="s">
        <v>1168</v>
      </c>
      <c r="E713" s="8" t="s">
        <v>261</v>
      </c>
      <c r="F713" s="8" t="s">
        <v>264</v>
      </c>
      <c r="G713" s="6">
        <v>43089</v>
      </c>
      <c r="H713" s="6">
        <v>43089</v>
      </c>
      <c r="I713" s="4">
        <v>-2</v>
      </c>
      <c r="J713" s="8" t="s">
        <v>37</v>
      </c>
      <c r="K713" s="8" t="s">
        <v>2161</v>
      </c>
      <c r="L713" s="4" t="str">
        <f>IF(AtlasReport_1_Table_1[[#This Row],[Reference]]="Purchase order",_xll.AtlasFormulas.AtlasFunctions.AtlasTable("UAT",DataAreaId,"T.VendInvoiceTrans","%RecId","","","","","","","ItemId|PurchID|InventTransId",$C713,$B713,$K713),"")</f>
        <v/>
      </c>
      <c r="M713" s="4" t="str">
        <f>IF(AtlasReport_1_Table_1[[#This Row],[Reference]]="Purchase order",_xll.AtlasFormulas.AtlasFunctions.AtlasTable("UAT",DataAreaId,"T.MarkupTrans","%CurrencyCode","","","","","","","MarkupCode|TransRecId|TransTableId","TPP",$L713,"492"),"")</f>
        <v/>
      </c>
      <c r="N713" s="4" t="str">
        <f>IF(AtlasReport_1_Table_1[[#This Row],[Reference]]="Purchase order",_xll.AtlasFormulas.AtlasFunctions.AtlasBalance("UAT",DataAreaId,"T.MarkupTrans","Sum|Posted|0","","","","","","","MarkupCode|TransTableId|TransRecId","TPP","492",$L713),"")</f>
        <v/>
      </c>
    </row>
    <row r="714" spans="1:14" x14ac:dyDescent="0.25">
      <c r="A714" s="8" t="s">
        <v>21</v>
      </c>
      <c r="B714" s="8" t="s">
        <v>2146</v>
      </c>
      <c r="C714" s="8" t="s">
        <v>425</v>
      </c>
      <c r="D714" s="8" t="s">
        <v>1169</v>
      </c>
      <c r="E714" s="8" t="s">
        <v>261</v>
      </c>
      <c r="F714" s="8" t="s">
        <v>264</v>
      </c>
      <c r="G714" s="6">
        <v>43089</v>
      </c>
      <c r="H714" s="6">
        <v>43089</v>
      </c>
      <c r="I714" s="4">
        <v>129</v>
      </c>
      <c r="J714" s="8" t="s">
        <v>37</v>
      </c>
      <c r="K714" s="8" t="s">
        <v>2162</v>
      </c>
      <c r="L714" s="4" t="str">
        <f>IF(AtlasReport_1_Table_1[[#This Row],[Reference]]="Purchase order",_xll.AtlasFormulas.AtlasFunctions.AtlasTable("UAT",DataAreaId,"T.VendInvoiceTrans","%RecId","","","","","","","ItemId|PurchID|InventTransId",$C714,$B714,$K714),"")</f>
        <v/>
      </c>
      <c r="M714" s="4" t="str">
        <f>IF(AtlasReport_1_Table_1[[#This Row],[Reference]]="Purchase order",_xll.AtlasFormulas.AtlasFunctions.AtlasTable("UAT",DataAreaId,"T.MarkupTrans","%CurrencyCode","","","","","","","MarkupCode|TransRecId|TransTableId","TPP",$L714,"492"),"")</f>
        <v/>
      </c>
      <c r="N714" s="4" t="str">
        <f>IF(AtlasReport_1_Table_1[[#This Row],[Reference]]="Purchase order",_xll.AtlasFormulas.AtlasFunctions.AtlasBalance("UAT",DataAreaId,"T.MarkupTrans","Sum|Posted|0","","","","","","","MarkupCode|TransTableId|TransRecId","TPP","492",$L714),"")</f>
        <v/>
      </c>
    </row>
    <row r="715" spans="1:14" x14ac:dyDescent="0.25">
      <c r="A715" s="8" t="s">
        <v>21</v>
      </c>
      <c r="B715" s="8" t="s">
        <v>2146</v>
      </c>
      <c r="C715" s="8" t="s">
        <v>426</v>
      </c>
      <c r="D715" s="8" t="s">
        <v>1170</v>
      </c>
      <c r="E715" s="8" t="s">
        <v>261</v>
      </c>
      <c r="F715" s="8" t="s">
        <v>264</v>
      </c>
      <c r="G715" s="6">
        <v>43089</v>
      </c>
      <c r="H715" s="6">
        <v>43089</v>
      </c>
      <c r="I715" s="4">
        <v>321</v>
      </c>
      <c r="J715" s="8" t="s">
        <v>37</v>
      </c>
      <c r="K715" s="8" t="s">
        <v>2163</v>
      </c>
      <c r="L715" s="4" t="str">
        <f>IF(AtlasReport_1_Table_1[[#This Row],[Reference]]="Purchase order",_xll.AtlasFormulas.AtlasFunctions.AtlasTable("UAT",DataAreaId,"T.VendInvoiceTrans","%RecId","","","","","","","ItemId|PurchID|InventTransId",$C715,$B715,$K715),"")</f>
        <v/>
      </c>
      <c r="M715" s="4" t="str">
        <f>IF(AtlasReport_1_Table_1[[#This Row],[Reference]]="Purchase order",_xll.AtlasFormulas.AtlasFunctions.AtlasTable("UAT",DataAreaId,"T.MarkupTrans","%CurrencyCode","","","","","","","MarkupCode|TransRecId|TransTableId","TPP",$L715,"492"),"")</f>
        <v/>
      </c>
      <c r="N715" s="4" t="str">
        <f>IF(AtlasReport_1_Table_1[[#This Row],[Reference]]="Purchase order",_xll.AtlasFormulas.AtlasFunctions.AtlasBalance("UAT",DataAreaId,"T.MarkupTrans","Sum|Posted|0","","","","","","","MarkupCode|TransTableId|TransRecId","TPP","492",$L715),"")</f>
        <v/>
      </c>
    </row>
    <row r="716" spans="1:14" x14ac:dyDescent="0.25">
      <c r="A716" s="8" t="s">
        <v>21</v>
      </c>
      <c r="B716" s="8" t="s">
        <v>2146</v>
      </c>
      <c r="C716" s="8" t="s">
        <v>427</v>
      </c>
      <c r="D716" s="8" t="s">
        <v>1171</v>
      </c>
      <c r="E716" s="8" t="s">
        <v>261</v>
      </c>
      <c r="F716" s="8" t="s">
        <v>264</v>
      </c>
      <c r="G716" s="6">
        <v>43089</v>
      </c>
      <c r="H716" s="6">
        <v>43089</v>
      </c>
      <c r="I716" s="4">
        <v>-21</v>
      </c>
      <c r="J716" s="8" t="s">
        <v>37</v>
      </c>
      <c r="K716" s="8" t="s">
        <v>2164</v>
      </c>
      <c r="L716" s="4" t="str">
        <f>IF(AtlasReport_1_Table_1[[#This Row],[Reference]]="Purchase order",_xll.AtlasFormulas.AtlasFunctions.AtlasTable("UAT",DataAreaId,"T.VendInvoiceTrans","%RecId","","","","","","","ItemId|PurchID|InventTransId",$C716,$B716,$K716),"")</f>
        <v/>
      </c>
      <c r="M716" s="4" t="str">
        <f>IF(AtlasReport_1_Table_1[[#This Row],[Reference]]="Purchase order",_xll.AtlasFormulas.AtlasFunctions.AtlasTable("UAT",DataAreaId,"T.MarkupTrans","%CurrencyCode","","","","","","","MarkupCode|TransRecId|TransTableId","TPP",$L716,"492"),"")</f>
        <v/>
      </c>
      <c r="N716" s="4" t="str">
        <f>IF(AtlasReport_1_Table_1[[#This Row],[Reference]]="Purchase order",_xll.AtlasFormulas.AtlasFunctions.AtlasBalance("UAT",DataAreaId,"T.MarkupTrans","Sum|Posted|0","","","","","","","MarkupCode|TransTableId|TransRecId","TPP","492",$L716),"")</f>
        <v/>
      </c>
    </row>
    <row r="717" spans="1:14" x14ac:dyDescent="0.25">
      <c r="A717" s="8" t="s">
        <v>21</v>
      </c>
      <c r="B717" s="8" t="s">
        <v>2146</v>
      </c>
      <c r="C717" s="8" t="s">
        <v>435</v>
      </c>
      <c r="D717" s="8" t="s">
        <v>1182</v>
      </c>
      <c r="E717" s="8" t="s">
        <v>261</v>
      </c>
      <c r="F717" s="8" t="s">
        <v>264</v>
      </c>
      <c r="G717" s="6">
        <v>43089</v>
      </c>
      <c r="H717" s="6">
        <v>43089</v>
      </c>
      <c r="I717" s="4">
        <v>-106</v>
      </c>
      <c r="J717" s="8" t="s">
        <v>37</v>
      </c>
      <c r="K717" s="8" t="s">
        <v>2165</v>
      </c>
      <c r="L717" s="4" t="str">
        <f>IF(AtlasReport_1_Table_1[[#This Row],[Reference]]="Purchase order",_xll.AtlasFormulas.AtlasFunctions.AtlasTable("UAT",DataAreaId,"T.VendInvoiceTrans","%RecId","","","","","","","ItemId|PurchID|InventTransId",$C717,$B717,$K717),"")</f>
        <v/>
      </c>
      <c r="M717" s="4" t="str">
        <f>IF(AtlasReport_1_Table_1[[#This Row],[Reference]]="Purchase order",_xll.AtlasFormulas.AtlasFunctions.AtlasTable("UAT",DataAreaId,"T.MarkupTrans","%CurrencyCode","","","","","","","MarkupCode|TransRecId|TransTableId","TPP",$L717,"492"),"")</f>
        <v/>
      </c>
      <c r="N717" s="4" t="str">
        <f>IF(AtlasReport_1_Table_1[[#This Row],[Reference]]="Purchase order",_xll.AtlasFormulas.AtlasFunctions.AtlasBalance("UAT",DataAreaId,"T.MarkupTrans","Sum|Posted|0","","","","","","","MarkupCode|TransTableId|TransRecId","TPP","492",$L717),"")</f>
        <v/>
      </c>
    </row>
    <row r="718" spans="1:14" x14ac:dyDescent="0.25">
      <c r="A718" s="8" t="s">
        <v>21</v>
      </c>
      <c r="B718" s="8" t="s">
        <v>2146</v>
      </c>
      <c r="C718" s="8" t="s">
        <v>436</v>
      </c>
      <c r="D718" s="8" t="s">
        <v>1183</v>
      </c>
      <c r="E718" s="8" t="s">
        <v>261</v>
      </c>
      <c r="F718" s="8" t="s">
        <v>264</v>
      </c>
      <c r="G718" s="6">
        <v>43089</v>
      </c>
      <c r="H718" s="6">
        <v>43089</v>
      </c>
      <c r="I718" s="4">
        <v>-2</v>
      </c>
      <c r="J718" s="8" t="s">
        <v>37</v>
      </c>
      <c r="K718" s="8" t="s">
        <v>2166</v>
      </c>
      <c r="L718" s="4" t="str">
        <f>IF(AtlasReport_1_Table_1[[#This Row],[Reference]]="Purchase order",_xll.AtlasFormulas.AtlasFunctions.AtlasTable("UAT",DataAreaId,"T.VendInvoiceTrans","%RecId","","","","","","","ItemId|PurchID|InventTransId",$C718,$B718,$K718),"")</f>
        <v/>
      </c>
      <c r="M718" s="4" t="str">
        <f>IF(AtlasReport_1_Table_1[[#This Row],[Reference]]="Purchase order",_xll.AtlasFormulas.AtlasFunctions.AtlasTable("UAT",DataAreaId,"T.MarkupTrans","%CurrencyCode","","","","","","","MarkupCode|TransRecId|TransTableId","TPP",$L718,"492"),"")</f>
        <v/>
      </c>
      <c r="N718" s="4" t="str">
        <f>IF(AtlasReport_1_Table_1[[#This Row],[Reference]]="Purchase order",_xll.AtlasFormulas.AtlasFunctions.AtlasBalance("UAT",DataAreaId,"T.MarkupTrans","Sum|Posted|0","","","","","","","MarkupCode|TransTableId|TransRecId","TPP","492",$L718),"")</f>
        <v/>
      </c>
    </row>
    <row r="719" spans="1:14" x14ac:dyDescent="0.25">
      <c r="A719" s="8" t="s">
        <v>21</v>
      </c>
      <c r="B719" s="8" t="s">
        <v>2146</v>
      </c>
      <c r="C719" s="8" t="s">
        <v>437</v>
      </c>
      <c r="D719" s="8" t="s">
        <v>1184</v>
      </c>
      <c r="E719" s="8" t="s">
        <v>261</v>
      </c>
      <c r="F719" s="8" t="s">
        <v>264</v>
      </c>
      <c r="G719" s="6">
        <v>43089</v>
      </c>
      <c r="H719" s="6">
        <v>43089</v>
      </c>
      <c r="I719" s="4">
        <v>-47</v>
      </c>
      <c r="J719" s="8" t="s">
        <v>37</v>
      </c>
      <c r="K719" s="8" t="s">
        <v>2167</v>
      </c>
      <c r="L719" s="4" t="str">
        <f>IF(AtlasReport_1_Table_1[[#This Row],[Reference]]="Purchase order",_xll.AtlasFormulas.AtlasFunctions.AtlasTable("UAT",DataAreaId,"T.VendInvoiceTrans","%RecId","","","","","","","ItemId|PurchID|InventTransId",$C719,$B719,$K719),"")</f>
        <v/>
      </c>
      <c r="M719" s="4" t="str">
        <f>IF(AtlasReport_1_Table_1[[#This Row],[Reference]]="Purchase order",_xll.AtlasFormulas.AtlasFunctions.AtlasTable("UAT",DataAreaId,"T.MarkupTrans","%CurrencyCode","","","","","","","MarkupCode|TransRecId|TransTableId","TPP",$L719,"492"),"")</f>
        <v/>
      </c>
      <c r="N719" s="4" t="str">
        <f>IF(AtlasReport_1_Table_1[[#This Row],[Reference]]="Purchase order",_xll.AtlasFormulas.AtlasFunctions.AtlasBalance("UAT",DataAreaId,"T.MarkupTrans","Sum|Posted|0","","","","","","","MarkupCode|TransTableId|TransRecId","TPP","492",$L719),"")</f>
        <v/>
      </c>
    </row>
    <row r="720" spans="1:14" x14ac:dyDescent="0.25">
      <c r="A720" s="8" t="s">
        <v>21</v>
      </c>
      <c r="B720" s="8" t="s">
        <v>2146</v>
      </c>
      <c r="C720" s="8" t="s">
        <v>522</v>
      </c>
      <c r="D720" s="8" t="s">
        <v>1338</v>
      </c>
      <c r="E720" s="8" t="s">
        <v>261</v>
      </c>
      <c r="F720" s="8" t="s">
        <v>264</v>
      </c>
      <c r="G720" s="6">
        <v>43089</v>
      </c>
      <c r="H720" s="6">
        <v>43089</v>
      </c>
      <c r="I720" s="4">
        <v>1</v>
      </c>
      <c r="J720" s="8" t="s">
        <v>37</v>
      </c>
      <c r="K720" s="8" t="s">
        <v>2168</v>
      </c>
      <c r="L720" s="4" t="str">
        <f>IF(AtlasReport_1_Table_1[[#This Row],[Reference]]="Purchase order",_xll.AtlasFormulas.AtlasFunctions.AtlasTable("UAT",DataAreaId,"T.VendInvoiceTrans","%RecId","","","","","","","ItemId|PurchID|InventTransId",$C720,$B720,$K720),"")</f>
        <v/>
      </c>
      <c r="M720" s="4" t="str">
        <f>IF(AtlasReport_1_Table_1[[#This Row],[Reference]]="Purchase order",_xll.AtlasFormulas.AtlasFunctions.AtlasTable("UAT",DataAreaId,"T.MarkupTrans","%CurrencyCode","","","","","","","MarkupCode|TransRecId|TransTableId","TPP",$L720,"492"),"")</f>
        <v/>
      </c>
      <c r="N720" s="4" t="str">
        <f>IF(AtlasReport_1_Table_1[[#This Row],[Reference]]="Purchase order",_xll.AtlasFormulas.AtlasFunctions.AtlasBalance("UAT",DataAreaId,"T.MarkupTrans","Sum|Posted|0","","","","","","","MarkupCode|TransTableId|TransRecId","TPP","492",$L720),"")</f>
        <v/>
      </c>
    </row>
    <row r="721" spans="1:14" x14ac:dyDescent="0.25">
      <c r="A721" s="8" t="s">
        <v>21</v>
      </c>
      <c r="B721" s="8" t="s">
        <v>2146</v>
      </c>
      <c r="C721" s="8" t="s">
        <v>550</v>
      </c>
      <c r="D721" s="8" t="s">
        <v>1367</v>
      </c>
      <c r="E721" s="8" t="s">
        <v>261</v>
      </c>
      <c r="F721" s="8" t="s">
        <v>264</v>
      </c>
      <c r="G721" s="6">
        <v>43089</v>
      </c>
      <c r="H721" s="6">
        <v>43089</v>
      </c>
      <c r="I721" s="4">
        <v>-12</v>
      </c>
      <c r="J721" s="8" t="s">
        <v>37</v>
      </c>
      <c r="K721" s="8" t="s">
        <v>2169</v>
      </c>
      <c r="L721" s="4" t="str">
        <f>IF(AtlasReport_1_Table_1[[#This Row],[Reference]]="Purchase order",_xll.AtlasFormulas.AtlasFunctions.AtlasTable("UAT",DataAreaId,"T.VendInvoiceTrans","%RecId","","","","","","","ItemId|PurchID|InventTransId",$C721,$B721,$K721),"")</f>
        <v/>
      </c>
      <c r="M721" s="4" t="str">
        <f>IF(AtlasReport_1_Table_1[[#This Row],[Reference]]="Purchase order",_xll.AtlasFormulas.AtlasFunctions.AtlasTable("UAT",DataAreaId,"T.MarkupTrans","%CurrencyCode","","","","","","","MarkupCode|TransRecId|TransTableId","TPP",$L721,"492"),"")</f>
        <v/>
      </c>
      <c r="N721" s="4" t="str">
        <f>IF(AtlasReport_1_Table_1[[#This Row],[Reference]]="Purchase order",_xll.AtlasFormulas.AtlasFunctions.AtlasBalance("UAT",DataAreaId,"T.MarkupTrans","Sum|Posted|0","","","","","","","MarkupCode|TransTableId|TransRecId","TPP","492",$L721),"")</f>
        <v/>
      </c>
    </row>
    <row r="722" spans="1:14" x14ac:dyDescent="0.25">
      <c r="A722" s="8" t="s">
        <v>21</v>
      </c>
      <c r="B722" s="8" t="s">
        <v>2146</v>
      </c>
      <c r="C722" s="8" t="s">
        <v>551</v>
      </c>
      <c r="D722" s="8" t="s">
        <v>1368</v>
      </c>
      <c r="E722" s="8" t="s">
        <v>261</v>
      </c>
      <c r="F722" s="8" t="s">
        <v>264</v>
      </c>
      <c r="G722" s="6">
        <v>43089</v>
      </c>
      <c r="H722" s="6">
        <v>43089</v>
      </c>
      <c r="I722" s="4">
        <v>-7</v>
      </c>
      <c r="J722" s="8" t="s">
        <v>37</v>
      </c>
      <c r="K722" s="8" t="s">
        <v>2170</v>
      </c>
      <c r="L722" s="4" t="str">
        <f>IF(AtlasReport_1_Table_1[[#This Row],[Reference]]="Purchase order",_xll.AtlasFormulas.AtlasFunctions.AtlasTable("UAT",DataAreaId,"T.VendInvoiceTrans","%RecId","","","","","","","ItemId|PurchID|InventTransId",$C722,$B722,$K722),"")</f>
        <v/>
      </c>
      <c r="M722" s="4" t="str">
        <f>IF(AtlasReport_1_Table_1[[#This Row],[Reference]]="Purchase order",_xll.AtlasFormulas.AtlasFunctions.AtlasTable("UAT",DataAreaId,"T.MarkupTrans","%CurrencyCode","","","","","","","MarkupCode|TransRecId|TransTableId","TPP",$L722,"492"),"")</f>
        <v/>
      </c>
      <c r="N722" s="4" t="str">
        <f>IF(AtlasReport_1_Table_1[[#This Row],[Reference]]="Purchase order",_xll.AtlasFormulas.AtlasFunctions.AtlasBalance("UAT",DataAreaId,"T.MarkupTrans","Sum|Posted|0","","","","","","","MarkupCode|TransTableId|TransRecId","TPP","492",$L722),"")</f>
        <v/>
      </c>
    </row>
    <row r="723" spans="1:14" x14ac:dyDescent="0.25">
      <c r="A723" s="8" t="s">
        <v>21</v>
      </c>
      <c r="B723" s="8" t="s">
        <v>2146</v>
      </c>
      <c r="C723" s="8" t="s">
        <v>105</v>
      </c>
      <c r="D723" s="8" t="s">
        <v>212</v>
      </c>
      <c r="E723" s="8" t="s">
        <v>261</v>
      </c>
      <c r="F723" s="8" t="s">
        <v>264</v>
      </c>
      <c r="G723" s="6">
        <v>43089</v>
      </c>
      <c r="H723" s="6">
        <v>43089</v>
      </c>
      <c r="I723" s="4">
        <v>-13</v>
      </c>
      <c r="J723" s="8" t="s">
        <v>37</v>
      </c>
      <c r="K723" s="8" t="s">
        <v>2171</v>
      </c>
      <c r="L723" s="4" t="str">
        <f>IF(AtlasReport_1_Table_1[[#This Row],[Reference]]="Purchase order",_xll.AtlasFormulas.AtlasFunctions.AtlasTable("UAT",DataAreaId,"T.VendInvoiceTrans","%RecId","","","","","","","ItemId|PurchID|InventTransId",$C723,$B723,$K723),"")</f>
        <v/>
      </c>
      <c r="M723" s="4" t="str">
        <f>IF(AtlasReport_1_Table_1[[#This Row],[Reference]]="Purchase order",_xll.AtlasFormulas.AtlasFunctions.AtlasTable("UAT",DataAreaId,"T.MarkupTrans","%CurrencyCode","","","","","","","MarkupCode|TransRecId|TransTableId","TPP",$L723,"492"),"")</f>
        <v/>
      </c>
      <c r="N723" s="4" t="str">
        <f>IF(AtlasReport_1_Table_1[[#This Row],[Reference]]="Purchase order",_xll.AtlasFormulas.AtlasFunctions.AtlasBalance("UAT",DataAreaId,"T.MarkupTrans","Sum|Posted|0","","","","","","","MarkupCode|TransTableId|TransRecId","TPP","492",$L723),"")</f>
        <v/>
      </c>
    </row>
    <row r="724" spans="1:14" x14ac:dyDescent="0.25">
      <c r="A724" s="8" t="s">
        <v>21</v>
      </c>
      <c r="B724" s="8" t="s">
        <v>2172</v>
      </c>
      <c r="C724" s="8" t="s">
        <v>74</v>
      </c>
      <c r="D724" s="8" t="s">
        <v>200</v>
      </c>
      <c r="E724" s="8" t="s">
        <v>261</v>
      </c>
      <c r="F724" s="8" t="s">
        <v>264</v>
      </c>
      <c r="G724" s="6">
        <v>43089</v>
      </c>
      <c r="H724" s="6">
        <v>43089</v>
      </c>
      <c r="I724" s="4">
        <v>1.94</v>
      </c>
      <c r="J724" s="8" t="s">
        <v>39</v>
      </c>
      <c r="K724" s="8" t="s">
        <v>2173</v>
      </c>
      <c r="L724" s="4" t="str">
        <f>IF(AtlasReport_1_Table_1[[#This Row],[Reference]]="Purchase order",_xll.AtlasFormulas.AtlasFunctions.AtlasTable("UAT",DataAreaId,"T.VendInvoiceTrans","%RecId","","","","","","","ItemId|PurchID|InventTransId",$C724,$B724,$K724),"")</f>
        <v/>
      </c>
      <c r="M724" s="4" t="str">
        <f>IF(AtlasReport_1_Table_1[[#This Row],[Reference]]="Purchase order",_xll.AtlasFormulas.AtlasFunctions.AtlasTable("UAT",DataAreaId,"T.MarkupTrans","%CurrencyCode","","","","","","","MarkupCode|TransRecId|TransTableId","TPP",$L724,"492"),"")</f>
        <v/>
      </c>
      <c r="N724" s="4" t="str">
        <f>IF(AtlasReport_1_Table_1[[#This Row],[Reference]]="Purchase order",_xll.AtlasFormulas.AtlasFunctions.AtlasBalance("UAT",DataAreaId,"T.MarkupTrans","Sum|Posted|0","","","","","","","MarkupCode|TransTableId|TransRecId","TPP","492",$L724),"")</f>
        <v/>
      </c>
    </row>
    <row r="725" spans="1:14" x14ac:dyDescent="0.25">
      <c r="A725" s="8" t="s">
        <v>21</v>
      </c>
      <c r="B725" s="8" t="s">
        <v>2174</v>
      </c>
      <c r="C725" s="8" t="s">
        <v>75</v>
      </c>
      <c r="D725" s="8" t="s">
        <v>201</v>
      </c>
      <c r="E725" s="8" t="s">
        <v>261</v>
      </c>
      <c r="F725" s="8" t="s">
        <v>264</v>
      </c>
      <c r="G725" s="6">
        <v>43089</v>
      </c>
      <c r="H725" s="6">
        <v>43089</v>
      </c>
      <c r="I725" s="4">
        <v>2.68</v>
      </c>
      <c r="J725" s="8" t="s">
        <v>39</v>
      </c>
      <c r="K725" s="8" t="s">
        <v>2175</v>
      </c>
      <c r="L725" s="4" t="str">
        <f>IF(AtlasReport_1_Table_1[[#This Row],[Reference]]="Purchase order",_xll.AtlasFormulas.AtlasFunctions.AtlasTable("UAT",DataAreaId,"T.VendInvoiceTrans","%RecId","","","","","","","ItemId|PurchID|InventTransId",$C725,$B725,$K725),"")</f>
        <v/>
      </c>
      <c r="M725" s="4" t="str">
        <f>IF(AtlasReport_1_Table_1[[#This Row],[Reference]]="Purchase order",_xll.AtlasFormulas.AtlasFunctions.AtlasTable("UAT",DataAreaId,"T.MarkupTrans","%CurrencyCode","","","","","","","MarkupCode|TransRecId|TransTableId","TPP",$L725,"492"),"")</f>
        <v/>
      </c>
      <c r="N725" s="4" t="str">
        <f>IF(AtlasReport_1_Table_1[[#This Row],[Reference]]="Purchase order",_xll.AtlasFormulas.AtlasFunctions.AtlasBalance("UAT",DataAreaId,"T.MarkupTrans","Sum|Posted|0","","","","","","","MarkupCode|TransTableId|TransRecId","TPP","492",$L725),"")</f>
        <v/>
      </c>
    </row>
    <row r="726" spans="1:14" x14ac:dyDescent="0.25">
      <c r="A726" s="8" t="s">
        <v>21</v>
      </c>
      <c r="B726" s="8" t="s">
        <v>2174</v>
      </c>
      <c r="C726" s="8" t="s">
        <v>75</v>
      </c>
      <c r="D726" s="8" t="s">
        <v>201</v>
      </c>
      <c r="E726" s="8" t="s">
        <v>261</v>
      </c>
      <c r="F726" s="8" t="s">
        <v>264</v>
      </c>
      <c r="G726" s="6">
        <v>43089</v>
      </c>
      <c r="H726" s="6">
        <v>43089</v>
      </c>
      <c r="I726" s="4">
        <v>-1.23</v>
      </c>
      <c r="J726" s="8" t="s">
        <v>39</v>
      </c>
      <c r="K726" s="8" t="s">
        <v>2176</v>
      </c>
      <c r="L726" s="4" t="str">
        <f>IF(AtlasReport_1_Table_1[[#This Row],[Reference]]="Purchase order",_xll.AtlasFormulas.AtlasFunctions.AtlasTable("UAT",DataAreaId,"T.VendInvoiceTrans","%RecId","","","","","","","ItemId|PurchID|InventTransId",$C726,$B726,$K726),"")</f>
        <v/>
      </c>
      <c r="M726" s="4" t="str">
        <f>IF(AtlasReport_1_Table_1[[#This Row],[Reference]]="Purchase order",_xll.AtlasFormulas.AtlasFunctions.AtlasTable("UAT",DataAreaId,"T.MarkupTrans","%CurrencyCode","","","","","","","MarkupCode|TransRecId|TransTableId","TPP",$L726,"492"),"")</f>
        <v/>
      </c>
      <c r="N726" s="4" t="str">
        <f>IF(AtlasReport_1_Table_1[[#This Row],[Reference]]="Purchase order",_xll.AtlasFormulas.AtlasFunctions.AtlasBalance("UAT",DataAreaId,"T.MarkupTrans","Sum|Posted|0","","","","","","","MarkupCode|TransTableId|TransRecId","TPP","492",$L726),"")</f>
        <v/>
      </c>
    </row>
    <row r="727" spans="1:14" x14ac:dyDescent="0.25">
      <c r="A727" s="8" t="s">
        <v>21</v>
      </c>
      <c r="B727" s="8" t="s">
        <v>2177</v>
      </c>
      <c r="C727" s="8" t="s">
        <v>101</v>
      </c>
      <c r="D727" s="8" t="s">
        <v>102</v>
      </c>
      <c r="E727" s="8" t="s">
        <v>261</v>
      </c>
      <c r="F727" s="8" t="s">
        <v>264</v>
      </c>
      <c r="G727" s="6">
        <v>43089</v>
      </c>
      <c r="H727" s="6">
        <v>43089</v>
      </c>
      <c r="I727" s="4">
        <v>3.2600000000000002</v>
      </c>
      <c r="J727" s="8" t="s">
        <v>39</v>
      </c>
      <c r="K727" s="8" t="s">
        <v>2178</v>
      </c>
      <c r="L727" s="4" t="str">
        <f>IF(AtlasReport_1_Table_1[[#This Row],[Reference]]="Purchase order",_xll.AtlasFormulas.AtlasFunctions.AtlasTable("UAT",DataAreaId,"T.VendInvoiceTrans","%RecId","","","","","","","ItemId|PurchID|InventTransId",$C727,$B727,$K727),"")</f>
        <v/>
      </c>
      <c r="M727" s="4" t="str">
        <f>IF(AtlasReport_1_Table_1[[#This Row],[Reference]]="Purchase order",_xll.AtlasFormulas.AtlasFunctions.AtlasTable("UAT",DataAreaId,"T.MarkupTrans","%CurrencyCode","","","","","","","MarkupCode|TransRecId|TransTableId","TPP",$L727,"492"),"")</f>
        <v/>
      </c>
      <c r="N727" s="4" t="str">
        <f>IF(AtlasReport_1_Table_1[[#This Row],[Reference]]="Purchase order",_xll.AtlasFormulas.AtlasFunctions.AtlasBalance("UAT",DataAreaId,"T.MarkupTrans","Sum|Posted|0","","","","","","","MarkupCode|TransTableId|TransRecId","TPP","492",$L727),"")</f>
        <v/>
      </c>
    </row>
    <row r="728" spans="1:14" x14ac:dyDescent="0.25">
      <c r="A728" s="8" t="s">
        <v>21</v>
      </c>
      <c r="B728" s="8" t="s">
        <v>2177</v>
      </c>
      <c r="C728" s="8" t="s">
        <v>101</v>
      </c>
      <c r="D728" s="8" t="s">
        <v>102</v>
      </c>
      <c r="E728" s="8" t="s">
        <v>261</v>
      </c>
      <c r="F728" s="8" t="s">
        <v>264</v>
      </c>
      <c r="G728" s="6">
        <v>43089</v>
      </c>
      <c r="H728" s="6">
        <v>43089</v>
      </c>
      <c r="I728" s="4">
        <v>4</v>
      </c>
      <c r="J728" s="8" t="s">
        <v>39</v>
      </c>
      <c r="K728" s="8" t="s">
        <v>2179</v>
      </c>
      <c r="L728" s="4" t="str">
        <f>IF(AtlasReport_1_Table_1[[#This Row],[Reference]]="Purchase order",_xll.AtlasFormulas.AtlasFunctions.AtlasTable("UAT",DataAreaId,"T.VendInvoiceTrans","%RecId","","","","","","","ItemId|PurchID|InventTransId",$C728,$B728,$K728),"")</f>
        <v/>
      </c>
      <c r="M728" s="4" t="str">
        <f>IF(AtlasReport_1_Table_1[[#This Row],[Reference]]="Purchase order",_xll.AtlasFormulas.AtlasFunctions.AtlasTable("UAT",DataAreaId,"T.MarkupTrans","%CurrencyCode","","","","","","","MarkupCode|TransRecId|TransTableId","TPP",$L728,"492"),"")</f>
        <v/>
      </c>
      <c r="N728" s="4" t="str">
        <f>IF(AtlasReport_1_Table_1[[#This Row],[Reference]]="Purchase order",_xll.AtlasFormulas.AtlasFunctions.AtlasBalance("UAT",DataAreaId,"T.MarkupTrans","Sum|Posted|0","","","","","","","MarkupCode|TransTableId|TransRecId","TPP","492",$L728),"")</f>
        <v/>
      </c>
    </row>
    <row r="729" spans="1:14" x14ac:dyDescent="0.25">
      <c r="A729" s="8" t="s">
        <v>21</v>
      </c>
      <c r="B729" s="8" t="s">
        <v>2177</v>
      </c>
      <c r="C729" s="8" t="s">
        <v>101</v>
      </c>
      <c r="D729" s="8" t="s">
        <v>102</v>
      </c>
      <c r="E729" s="8" t="s">
        <v>261</v>
      </c>
      <c r="F729" s="8" t="s">
        <v>264</v>
      </c>
      <c r="G729" s="6">
        <v>43089</v>
      </c>
      <c r="H729" s="6">
        <v>43089</v>
      </c>
      <c r="I729" s="4">
        <v>-1.27</v>
      </c>
      <c r="J729" s="8" t="s">
        <v>39</v>
      </c>
      <c r="K729" s="8" t="s">
        <v>2180</v>
      </c>
      <c r="L729" s="4" t="str">
        <f>IF(AtlasReport_1_Table_1[[#This Row],[Reference]]="Purchase order",_xll.AtlasFormulas.AtlasFunctions.AtlasTable("UAT",DataAreaId,"T.VendInvoiceTrans","%RecId","","","","","","","ItemId|PurchID|InventTransId",$C729,$B729,$K729),"")</f>
        <v/>
      </c>
      <c r="M729" s="4" t="str">
        <f>IF(AtlasReport_1_Table_1[[#This Row],[Reference]]="Purchase order",_xll.AtlasFormulas.AtlasFunctions.AtlasTable("UAT",DataAreaId,"T.MarkupTrans","%CurrencyCode","","","","","","","MarkupCode|TransRecId|TransTableId","TPP",$L729,"492"),"")</f>
        <v/>
      </c>
      <c r="N729" s="4" t="str">
        <f>IF(AtlasReport_1_Table_1[[#This Row],[Reference]]="Purchase order",_xll.AtlasFormulas.AtlasFunctions.AtlasBalance("UAT",DataAreaId,"T.MarkupTrans","Sum|Posted|0","","","","","","","MarkupCode|TransTableId|TransRecId","TPP","492",$L729),"")</f>
        <v/>
      </c>
    </row>
    <row r="730" spans="1:14" x14ac:dyDescent="0.25">
      <c r="A730" s="8" t="s">
        <v>21</v>
      </c>
      <c r="B730" s="8" t="s">
        <v>2177</v>
      </c>
      <c r="C730" s="8" t="s">
        <v>101</v>
      </c>
      <c r="D730" s="8" t="s">
        <v>102</v>
      </c>
      <c r="E730" s="8" t="s">
        <v>261</v>
      </c>
      <c r="F730" s="8" t="s">
        <v>264</v>
      </c>
      <c r="G730" s="6">
        <v>43089</v>
      </c>
      <c r="H730" s="6">
        <v>43089</v>
      </c>
      <c r="I730" s="4">
        <v>1.67</v>
      </c>
      <c r="J730" s="8" t="s">
        <v>39</v>
      </c>
      <c r="K730" s="8" t="s">
        <v>2181</v>
      </c>
      <c r="L730" s="4" t="str">
        <f>IF(AtlasReport_1_Table_1[[#This Row],[Reference]]="Purchase order",_xll.AtlasFormulas.AtlasFunctions.AtlasTable("UAT",DataAreaId,"T.VendInvoiceTrans","%RecId","","","","","","","ItemId|PurchID|InventTransId",$C730,$B730,$K730),"")</f>
        <v/>
      </c>
      <c r="M730" s="4" t="str">
        <f>IF(AtlasReport_1_Table_1[[#This Row],[Reference]]="Purchase order",_xll.AtlasFormulas.AtlasFunctions.AtlasTable("UAT",DataAreaId,"T.MarkupTrans","%CurrencyCode","","","","","","","MarkupCode|TransRecId|TransTableId","TPP",$L730,"492"),"")</f>
        <v/>
      </c>
      <c r="N730" s="4" t="str">
        <f>IF(AtlasReport_1_Table_1[[#This Row],[Reference]]="Purchase order",_xll.AtlasFormulas.AtlasFunctions.AtlasBalance("UAT",DataAreaId,"T.MarkupTrans","Sum|Posted|0","","","","","","","MarkupCode|TransTableId|TransRecId","TPP","492",$L730),"")</f>
        <v/>
      </c>
    </row>
    <row r="731" spans="1:14" x14ac:dyDescent="0.25">
      <c r="A731" s="8" t="s">
        <v>21</v>
      </c>
      <c r="B731" s="8" t="s">
        <v>2182</v>
      </c>
      <c r="C731" s="8" t="s">
        <v>55</v>
      </c>
      <c r="D731" s="8" t="s">
        <v>164</v>
      </c>
      <c r="E731" s="8" t="s">
        <v>261</v>
      </c>
      <c r="F731" s="8" t="s">
        <v>264</v>
      </c>
      <c r="G731" s="6">
        <v>43089</v>
      </c>
      <c r="H731" s="6">
        <v>43089</v>
      </c>
      <c r="I731" s="4">
        <v>-150</v>
      </c>
      <c r="J731" s="8" t="s">
        <v>39</v>
      </c>
      <c r="K731" s="8" t="s">
        <v>2183</v>
      </c>
      <c r="L731" s="4" t="str">
        <f>IF(AtlasReport_1_Table_1[[#This Row],[Reference]]="Purchase order",_xll.AtlasFormulas.AtlasFunctions.AtlasTable("UAT",DataAreaId,"T.VendInvoiceTrans","%RecId","","","","","","","ItemId|PurchID|InventTransId",$C731,$B731,$K731),"")</f>
        <v/>
      </c>
      <c r="M731" s="4" t="str">
        <f>IF(AtlasReport_1_Table_1[[#This Row],[Reference]]="Purchase order",_xll.AtlasFormulas.AtlasFunctions.AtlasTable("UAT",DataAreaId,"T.MarkupTrans","%CurrencyCode","","","","","","","MarkupCode|TransRecId|TransTableId","TPP",$L731,"492"),"")</f>
        <v/>
      </c>
      <c r="N731" s="4" t="str">
        <f>IF(AtlasReport_1_Table_1[[#This Row],[Reference]]="Purchase order",_xll.AtlasFormulas.AtlasFunctions.AtlasBalance("UAT",DataAreaId,"T.MarkupTrans","Sum|Posted|0","","","","","","","MarkupCode|TransTableId|TransRecId","TPP","492",$L731),"")</f>
        <v/>
      </c>
    </row>
    <row r="732" spans="1:14" x14ac:dyDescent="0.25">
      <c r="A732" s="8" t="s">
        <v>21</v>
      </c>
      <c r="B732" s="8" t="s">
        <v>2182</v>
      </c>
      <c r="C732" s="8" t="s">
        <v>55</v>
      </c>
      <c r="D732" s="8" t="s">
        <v>164</v>
      </c>
      <c r="E732" s="8" t="s">
        <v>261</v>
      </c>
      <c r="F732" s="8" t="s">
        <v>264</v>
      </c>
      <c r="G732" s="6">
        <v>43089</v>
      </c>
      <c r="H732" s="6">
        <v>43089</v>
      </c>
      <c r="I732" s="4">
        <v>-150</v>
      </c>
      <c r="J732" s="8" t="s">
        <v>39</v>
      </c>
      <c r="K732" s="8" t="s">
        <v>2184</v>
      </c>
      <c r="L732" s="4" t="str">
        <f>IF(AtlasReport_1_Table_1[[#This Row],[Reference]]="Purchase order",_xll.AtlasFormulas.AtlasFunctions.AtlasTable("UAT",DataAreaId,"T.VendInvoiceTrans","%RecId","","","","","","","ItemId|PurchID|InventTransId",$C732,$B732,$K732),"")</f>
        <v/>
      </c>
      <c r="M732" s="4" t="str">
        <f>IF(AtlasReport_1_Table_1[[#This Row],[Reference]]="Purchase order",_xll.AtlasFormulas.AtlasFunctions.AtlasTable("UAT",DataAreaId,"T.MarkupTrans","%CurrencyCode","","","","","","","MarkupCode|TransRecId|TransTableId","TPP",$L732,"492"),"")</f>
        <v/>
      </c>
      <c r="N732" s="4" t="str">
        <f>IF(AtlasReport_1_Table_1[[#This Row],[Reference]]="Purchase order",_xll.AtlasFormulas.AtlasFunctions.AtlasBalance("UAT",DataAreaId,"T.MarkupTrans","Sum|Posted|0","","","","","","","MarkupCode|TransTableId|TransRecId","TPP","492",$L732),"")</f>
        <v/>
      </c>
    </row>
    <row r="733" spans="1:14" x14ac:dyDescent="0.25">
      <c r="A733" s="8" t="s">
        <v>21</v>
      </c>
      <c r="B733" s="8" t="s">
        <v>2182</v>
      </c>
      <c r="C733" s="8" t="s">
        <v>55</v>
      </c>
      <c r="D733" s="8" t="s">
        <v>164</v>
      </c>
      <c r="E733" s="8" t="s">
        <v>261</v>
      </c>
      <c r="F733" s="8" t="s">
        <v>264</v>
      </c>
      <c r="G733" s="6">
        <v>43089</v>
      </c>
      <c r="H733" s="6">
        <v>43089</v>
      </c>
      <c r="I733" s="4">
        <v>-150</v>
      </c>
      <c r="J733" s="8" t="s">
        <v>39</v>
      </c>
      <c r="K733" s="8" t="s">
        <v>2185</v>
      </c>
      <c r="L733" s="4" t="str">
        <f>IF(AtlasReport_1_Table_1[[#This Row],[Reference]]="Purchase order",_xll.AtlasFormulas.AtlasFunctions.AtlasTable("UAT",DataAreaId,"T.VendInvoiceTrans","%RecId","","","","","","","ItemId|PurchID|InventTransId",$C733,$B733,$K733),"")</f>
        <v/>
      </c>
      <c r="M733" s="4" t="str">
        <f>IF(AtlasReport_1_Table_1[[#This Row],[Reference]]="Purchase order",_xll.AtlasFormulas.AtlasFunctions.AtlasTable("UAT",DataAreaId,"T.MarkupTrans","%CurrencyCode","","","","","","","MarkupCode|TransRecId|TransTableId","TPP",$L733,"492"),"")</f>
        <v/>
      </c>
      <c r="N733" s="4" t="str">
        <f>IF(AtlasReport_1_Table_1[[#This Row],[Reference]]="Purchase order",_xll.AtlasFormulas.AtlasFunctions.AtlasBalance("UAT",DataAreaId,"T.MarkupTrans","Sum|Posted|0","","","","","","","MarkupCode|TransTableId|TransRecId","TPP","492",$L733),"")</f>
        <v/>
      </c>
    </row>
    <row r="734" spans="1:14" x14ac:dyDescent="0.25">
      <c r="A734" s="8" t="s">
        <v>21</v>
      </c>
      <c r="B734" s="8" t="s">
        <v>2182</v>
      </c>
      <c r="C734" s="8" t="s">
        <v>55</v>
      </c>
      <c r="D734" s="8" t="s">
        <v>164</v>
      </c>
      <c r="E734" s="8" t="s">
        <v>261</v>
      </c>
      <c r="F734" s="8" t="s">
        <v>264</v>
      </c>
      <c r="G734" s="6">
        <v>43089</v>
      </c>
      <c r="H734" s="6">
        <v>43089</v>
      </c>
      <c r="I734" s="4">
        <v>-150</v>
      </c>
      <c r="J734" s="8" t="s">
        <v>39</v>
      </c>
      <c r="K734" s="8" t="s">
        <v>2186</v>
      </c>
      <c r="L734" s="4" t="str">
        <f>IF(AtlasReport_1_Table_1[[#This Row],[Reference]]="Purchase order",_xll.AtlasFormulas.AtlasFunctions.AtlasTable("UAT",DataAreaId,"T.VendInvoiceTrans","%RecId","","","","","","","ItemId|PurchID|InventTransId",$C734,$B734,$K734),"")</f>
        <v/>
      </c>
      <c r="M734" s="4" t="str">
        <f>IF(AtlasReport_1_Table_1[[#This Row],[Reference]]="Purchase order",_xll.AtlasFormulas.AtlasFunctions.AtlasTable("UAT",DataAreaId,"T.MarkupTrans","%CurrencyCode","","","","","","","MarkupCode|TransRecId|TransTableId","TPP",$L734,"492"),"")</f>
        <v/>
      </c>
      <c r="N734" s="4" t="str">
        <f>IF(AtlasReport_1_Table_1[[#This Row],[Reference]]="Purchase order",_xll.AtlasFormulas.AtlasFunctions.AtlasBalance("UAT",DataAreaId,"T.MarkupTrans","Sum|Posted|0","","","","","","","MarkupCode|TransTableId|TransRecId","TPP","492",$L734),"")</f>
        <v/>
      </c>
    </row>
    <row r="735" spans="1:14" x14ac:dyDescent="0.25">
      <c r="A735" s="8" t="s">
        <v>21</v>
      </c>
      <c r="B735" s="8" t="s">
        <v>2182</v>
      </c>
      <c r="C735" s="8" t="s">
        <v>55</v>
      </c>
      <c r="D735" s="8" t="s">
        <v>164</v>
      </c>
      <c r="E735" s="8" t="s">
        <v>261</v>
      </c>
      <c r="F735" s="8" t="s">
        <v>264</v>
      </c>
      <c r="G735" s="6">
        <v>43089</v>
      </c>
      <c r="H735" s="6">
        <v>43089</v>
      </c>
      <c r="I735" s="4">
        <v>-2.95</v>
      </c>
      <c r="J735" s="8" t="s">
        <v>39</v>
      </c>
      <c r="K735" s="8" t="s">
        <v>2187</v>
      </c>
      <c r="L735" s="4" t="str">
        <f>IF(AtlasReport_1_Table_1[[#This Row],[Reference]]="Purchase order",_xll.AtlasFormulas.AtlasFunctions.AtlasTable("UAT",DataAreaId,"T.VendInvoiceTrans","%RecId","","","","","","","ItemId|PurchID|InventTransId",$C735,$B735,$K735),"")</f>
        <v/>
      </c>
      <c r="M735" s="4" t="str">
        <f>IF(AtlasReport_1_Table_1[[#This Row],[Reference]]="Purchase order",_xll.AtlasFormulas.AtlasFunctions.AtlasTable("UAT",DataAreaId,"T.MarkupTrans","%CurrencyCode","","","","","","","MarkupCode|TransRecId|TransTableId","TPP",$L735,"492"),"")</f>
        <v/>
      </c>
      <c r="N735" s="4" t="str">
        <f>IF(AtlasReport_1_Table_1[[#This Row],[Reference]]="Purchase order",_xll.AtlasFormulas.AtlasFunctions.AtlasBalance("UAT",DataAreaId,"T.MarkupTrans","Sum|Posted|0","","","","","","","MarkupCode|TransTableId|TransRecId","TPP","492",$L735),"")</f>
        <v/>
      </c>
    </row>
    <row r="736" spans="1:14" x14ac:dyDescent="0.25">
      <c r="A736" s="8" t="s">
        <v>21</v>
      </c>
      <c r="B736" s="8" t="s">
        <v>2182</v>
      </c>
      <c r="C736" s="8" t="s">
        <v>55</v>
      </c>
      <c r="D736" s="8" t="s">
        <v>164</v>
      </c>
      <c r="E736" s="8" t="s">
        <v>261</v>
      </c>
      <c r="F736" s="8" t="s">
        <v>264</v>
      </c>
      <c r="G736" s="6">
        <v>43089</v>
      </c>
      <c r="H736" s="6">
        <v>43089</v>
      </c>
      <c r="I736" s="4">
        <v>-0.6</v>
      </c>
      <c r="J736" s="8" t="s">
        <v>39</v>
      </c>
      <c r="K736" s="8" t="s">
        <v>2188</v>
      </c>
      <c r="L736" s="4" t="str">
        <f>IF(AtlasReport_1_Table_1[[#This Row],[Reference]]="Purchase order",_xll.AtlasFormulas.AtlasFunctions.AtlasTable("UAT",DataAreaId,"T.VendInvoiceTrans","%RecId","","","","","","","ItemId|PurchID|InventTransId",$C736,$B736,$K736),"")</f>
        <v/>
      </c>
      <c r="M736" s="4" t="str">
        <f>IF(AtlasReport_1_Table_1[[#This Row],[Reference]]="Purchase order",_xll.AtlasFormulas.AtlasFunctions.AtlasTable("UAT",DataAreaId,"T.MarkupTrans","%CurrencyCode","","","","","","","MarkupCode|TransRecId|TransTableId","TPP",$L736,"492"),"")</f>
        <v/>
      </c>
      <c r="N736" s="4" t="str">
        <f>IF(AtlasReport_1_Table_1[[#This Row],[Reference]]="Purchase order",_xll.AtlasFormulas.AtlasFunctions.AtlasBalance("UAT",DataAreaId,"T.MarkupTrans","Sum|Posted|0","","","","","","","MarkupCode|TransTableId|TransRecId","TPP","492",$L736),"")</f>
        <v/>
      </c>
    </row>
    <row r="737" spans="1:14" x14ac:dyDescent="0.25">
      <c r="A737" s="8" t="s">
        <v>21</v>
      </c>
      <c r="B737" s="8" t="s">
        <v>2189</v>
      </c>
      <c r="C737" s="8" t="s">
        <v>399</v>
      </c>
      <c r="D737" s="8" t="s">
        <v>1129</v>
      </c>
      <c r="E737" s="8" t="s">
        <v>261</v>
      </c>
      <c r="F737" s="8" t="s">
        <v>264</v>
      </c>
      <c r="G737" s="6">
        <v>43089</v>
      </c>
      <c r="H737" s="6">
        <v>43089</v>
      </c>
      <c r="I737" s="4">
        <v>-3.22</v>
      </c>
      <c r="J737" s="8" t="s">
        <v>39</v>
      </c>
      <c r="K737" s="8" t="s">
        <v>2190</v>
      </c>
      <c r="L737" s="4" t="str">
        <f>IF(AtlasReport_1_Table_1[[#This Row],[Reference]]="Purchase order",_xll.AtlasFormulas.AtlasFunctions.AtlasTable("UAT",DataAreaId,"T.VendInvoiceTrans","%RecId","","","","","","","ItemId|PurchID|InventTransId",$C737,$B737,$K737),"")</f>
        <v/>
      </c>
      <c r="M737" s="4" t="str">
        <f>IF(AtlasReport_1_Table_1[[#This Row],[Reference]]="Purchase order",_xll.AtlasFormulas.AtlasFunctions.AtlasTable("UAT",DataAreaId,"T.MarkupTrans","%CurrencyCode","","","","","","","MarkupCode|TransRecId|TransTableId","TPP",$L737,"492"),"")</f>
        <v/>
      </c>
      <c r="N737" s="4" t="str">
        <f>IF(AtlasReport_1_Table_1[[#This Row],[Reference]]="Purchase order",_xll.AtlasFormulas.AtlasFunctions.AtlasBalance("UAT",DataAreaId,"T.MarkupTrans","Sum|Posted|0","","","","","","","MarkupCode|TransTableId|TransRecId","TPP","492",$L737),"")</f>
        <v/>
      </c>
    </row>
    <row r="738" spans="1:14" x14ac:dyDescent="0.25">
      <c r="A738" s="8" t="s">
        <v>21</v>
      </c>
      <c r="B738" s="8" t="s">
        <v>2191</v>
      </c>
      <c r="C738" s="8" t="s">
        <v>121</v>
      </c>
      <c r="D738" s="8" t="s">
        <v>122</v>
      </c>
      <c r="E738" s="8" t="s">
        <v>261</v>
      </c>
      <c r="F738" s="8" t="s">
        <v>264</v>
      </c>
      <c r="G738" s="6">
        <v>43089</v>
      </c>
      <c r="H738" s="6">
        <v>43089</v>
      </c>
      <c r="I738" s="4">
        <v>-1.5</v>
      </c>
      <c r="J738" s="8" t="s">
        <v>39</v>
      </c>
      <c r="K738" s="8" t="s">
        <v>2192</v>
      </c>
      <c r="L738" s="4" t="str">
        <f>IF(AtlasReport_1_Table_1[[#This Row],[Reference]]="Purchase order",_xll.AtlasFormulas.AtlasFunctions.AtlasTable("UAT",DataAreaId,"T.VendInvoiceTrans","%RecId","","","","","","","ItemId|PurchID|InventTransId",$C738,$B738,$K738),"")</f>
        <v/>
      </c>
      <c r="M738" s="4" t="str">
        <f>IF(AtlasReport_1_Table_1[[#This Row],[Reference]]="Purchase order",_xll.AtlasFormulas.AtlasFunctions.AtlasTable("UAT",DataAreaId,"T.MarkupTrans","%CurrencyCode","","","","","","","MarkupCode|TransRecId|TransTableId","TPP",$L738,"492"),"")</f>
        <v/>
      </c>
      <c r="N738" s="4" t="str">
        <f>IF(AtlasReport_1_Table_1[[#This Row],[Reference]]="Purchase order",_xll.AtlasFormulas.AtlasFunctions.AtlasBalance("UAT",DataAreaId,"T.MarkupTrans","Sum|Posted|0","","","","","","","MarkupCode|TransTableId|TransRecId","TPP","492",$L738),"")</f>
        <v/>
      </c>
    </row>
    <row r="739" spans="1:14" x14ac:dyDescent="0.25">
      <c r="A739" s="8" t="s">
        <v>21</v>
      </c>
      <c r="B739" s="8" t="s">
        <v>2191</v>
      </c>
      <c r="C739" s="8" t="s">
        <v>121</v>
      </c>
      <c r="D739" s="8" t="s">
        <v>122</v>
      </c>
      <c r="E739" s="8" t="s">
        <v>261</v>
      </c>
      <c r="F739" s="8" t="s">
        <v>264</v>
      </c>
      <c r="G739" s="6">
        <v>43089</v>
      </c>
      <c r="H739" s="6">
        <v>43089</v>
      </c>
      <c r="I739" s="4">
        <v>-29.23</v>
      </c>
      <c r="J739" s="8" t="s">
        <v>39</v>
      </c>
      <c r="K739" s="8" t="s">
        <v>2193</v>
      </c>
      <c r="L739" s="4" t="str">
        <f>IF(AtlasReport_1_Table_1[[#This Row],[Reference]]="Purchase order",_xll.AtlasFormulas.AtlasFunctions.AtlasTable("UAT",DataAreaId,"T.VendInvoiceTrans","%RecId","","","","","","","ItemId|PurchID|InventTransId",$C739,$B739,$K739),"")</f>
        <v/>
      </c>
      <c r="M739" s="4" t="str">
        <f>IF(AtlasReport_1_Table_1[[#This Row],[Reference]]="Purchase order",_xll.AtlasFormulas.AtlasFunctions.AtlasTable("UAT",DataAreaId,"T.MarkupTrans","%CurrencyCode","","","","","","","MarkupCode|TransRecId|TransTableId","TPP",$L739,"492"),"")</f>
        <v/>
      </c>
      <c r="N739" s="4" t="str">
        <f>IF(AtlasReport_1_Table_1[[#This Row],[Reference]]="Purchase order",_xll.AtlasFormulas.AtlasFunctions.AtlasBalance("UAT",DataAreaId,"T.MarkupTrans","Sum|Posted|0","","","","","","","MarkupCode|TransTableId|TransRecId","TPP","492",$L739),"")</f>
        <v/>
      </c>
    </row>
    <row r="740" spans="1:14" x14ac:dyDescent="0.25">
      <c r="A740" s="8" t="s">
        <v>21</v>
      </c>
      <c r="B740" s="8" t="s">
        <v>2191</v>
      </c>
      <c r="C740" s="8" t="s">
        <v>121</v>
      </c>
      <c r="D740" s="8" t="s">
        <v>122</v>
      </c>
      <c r="E740" s="8" t="s">
        <v>261</v>
      </c>
      <c r="F740" s="8" t="s">
        <v>264</v>
      </c>
      <c r="G740" s="6">
        <v>43089</v>
      </c>
      <c r="H740" s="6">
        <v>43089</v>
      </c>
      <c r="I740" s="4">
        <v>-1.2</v>
      </c>
      <c r="J740" s="8" t="s">
        <v>39</v>
      </c>
      <c r="K740" s="8" t="s">
        <v>2194</v>
      </c>
      <c r="L740" s="4" t="str">
        <f>IF(AtlasReport_1_Table_1[[#This Row],[Reference]]="Purchase order",_xll.AtlasFormulas.AtlasFunctions.AtlasTable("UAT",DataAreaId,"T.VendInvoiceTrans","%RecId","","","","","","","ItemId|PurchID|InventTransId",$C740,$B740,$K740),"")</f>
        <v/>
      </c>
      <c r="M740" s="4" t="str">
        <f>IF(AtlasReport_1_Table_1[[#This Row],[Reference]]="Purchase order",_xll.AtlasFormulas.AtlasFunctions.AtlasTable("UAT",DataAreaId,"T.MarkupTrans","%CurrencyCode","","","","","","","MarkupCode|TransRecId|TransTableId","TPP",$L740,"492"),"")</f>
        <v/>
      </c>
      <c r="N740" s="4" t="str">
        <f>IF(AtlasReport_1_Table_1[[#This Row],[Reference]]="Purchase order",_xll.AtlasFormulas.AtlasFunctions.AtlasBalance("UAT",DataAreaId,"T.MarkupTrans","Sum|Posted|0","","","","","","","MarkupCode|TransTableId|TransRecId","TPP","492",$L740),"")</f>
        <v/>
      </c>
    </row>
    <row r="741" spans="1:14" x14ac:dyDescent="0.25">
      <c r="A741" s="8" t="s">
        <v>21</v>
      </c>
      <c r="B741" s="8" t="s">
        <v>2195</v>
      </c>
      <c r="C741" s="8" t="s">
        <v>123</v>
      </c>
      <c r="D741" s="8" t="s">
        <v>124</v>
      </c>
      <c r="E741" s="8" t="s">
        <v>261</v>
      </c>
      <c r="F741" s="8" t="s">
        <v>264</v>
      </c>
      <c r="G741" s="6">
        <v>43089</v>
      </c>
      <c r="H741" s="6">
        <v>43089</v>
      </c>
      <c r="I741" s="4">
        <v>1.5</v>
      </c>
      <c r="J741" s="8" t="s">
        <v>39</v>
      </c>
      <c r="K741" s="8" t="s">
        <v>2196</v>
      </c>
      <c r="L741" s="4" t="str">
        <f>IF(AtlasReport_1_Table_1[[#This Row],[Reference]]="Purchase order",_xll.AtlasFormulas.AtlasFunctions.AtlasTable("UAT",DataAreaId,"T.VendInvoiceTrans","%RecId","","","","","","","ItemId|PurchID|InventTransId",$C741,$B741,$K741),"")</f>
        <v/>
      </c>
      <c r="M741" s="4" t="str">
        <f>IF(AtlasReport_1_Table_1[[#This Row],[Reference]]="Purchase order",_xll.AtlasFormulas.AtlasFunctions.AtlasTable("UAT",DataAreaId,"T.MarkupTrans","%CurrencyCode","","","","","","","MarkupCode|TransRecId|TransTableId","TPP",$L741,"492"),"")</f>
        <v/>
      </c>
      <c r="N741" s="4" t="str">
        <f>IF(AtlasReport_1_Table_1[[#This Row],[Reference]]="Purchase order",_xll.AtlasFormulas.AtlasFunctions.AtlasBalance("UAT",DataAreaId,"T.MarkupTrans","Sum|Posted|0","","","","","","","MarkupCode|TransTableId|TransRecId","TPP","492",$L741),"")</f>
        <v/>
      </c>
    </row>
    <row r="742" spans="1:14" x14ac:dyDescent="0.25">
      <c r="A742" s="8" t="s">
        <v>21</v>
      </c>
      <c r="B742" s="8" t="s">
        <v>2195</v>
      </c>
      <c r="C742" s="8" t="s">
        <v>123</v>
      </c>
      <c r="D742" s="8" t="s">
        <v>124</v>
      </c>
      <c r="E742" s="8" t="s">
        <v>261</v>
      </c>
      <c r="F742" s="8" t="s">
        <v>264</v>
      </c>
      <c r="G742" s="6">
        <v>43089</v>
      </c>
      <c r="H742" s="6">
        <v>43089</v>
      </c>
      <c r="I742" s="4">
        <v>-2.63</v>
      </c>
      <c r="J742" s="8" t="s">
        <v>39</v>
      </c>
      <c r="K742" s="8" t="s">
        <v>2197</v>
      </c>
      <c r="L742" s="4" t="str">
        <f>IF(AtlasReport_1_Table_1[[#This Row],[Reference]]="Purchase order",_xll.AtlasFormulas.AtlasFunctions.AtlasTable("UAT",DataAreaId,"T.VendInvoiceTrans","%RecId","","","","","","","ItemId|PurchID|InventTransId",$C742,$B742,$K742),"")</f>
        <v/>
      </c>
      <c r="M742" s="4" t="str">
        <f>IF(AtlasReport_1_Table_1[[#This Row],[Reference]]="Purchase order",_xll.AtlasFormulas.AtlasFunctions.AtlasTable("UAT",DataAreaId,"T.MarkupTrans","%CurrencyCode","","","","","","","MarkupCode|TransRecId|TransTableId","TPP",$L742,"492"),"")</f>
        <v/>
      </c>
      <c r="N742" s="4" t="str">
        <f>IF(AtlasReport_1_Table_1[[#This Row],[Reference]]="Purchase order",_xll.AtlasFormulas.AtlasFunctions.AtlasBalance("UAT",DataAreaId,"T.MarkupTrans","Sum|Posted|0","","","","","","","MarkupCode|TransTableId|TransRecId","TPP","492",$L742),"")</f>
        <v/>
      </c>
    </row>
    <row r="743" spans="1:14" x14ac:dyDescent="0.25">
      <c r="A743" s="8" t="s">
        <v>21</v>
      </c>
      <c r="B743" s="8" t="s">
        <v>2195</v>
      </c>
      <c r="C743" s="8" t="s">
        <v>123</v>
      </c>
      <c r="D743" s="8" t="s">
        <v>124</v>
      </c>
      <c r="E743" s="8" t="s">
        <v>261</v>
      </c>
      <c r="F743" s="8" t="s">
        <v>264</v>
      </c>
      <c r="G743" s="6">
        <v>43089</v>
      </c>
      <c r="H743" s="6">
        <v>43089</v>
      </c>
      <c r="I743" s="4">
        <v>-0.43</v>
      </c>
      <c r="J743" s="8" t="s">
        <v>39</v>
      </c>
      <c r="K743" s="8" t="s">
        <v>2198</v>
      </c>
      <c r="L743" s="4" t="str">
        <f>IF(AtlasReport_1_Table_1[[#This Row],[Reference]]="Purchase order",_xll.AtlasFormulas.AtlasFunctions.AtlasTable("UAT",DataAreaId,"T.VendInvoiceTrans","%RecId","","","","","","","ItemId|PurchID|InventTransId",$C743,$B743,$K743),"")</f>
        <v/>
      </c>
      <c r="M743" s="4" t="str">
        <f>IF(AtlasReport_1_Table_1[[#This Row],[Reference]]="Purchase order",_xll.AtlasFormulas.AtlasFunctions.AtlasTable("UAT",DataAreaId,"T.MarkupTrans","%CurrencyCode","","","","","","","MarkupCode|TransRecId|TransTableId","TPP",$L743,"492"),"")</f>
        <v/>
      </c>
      <c r="N743" s="4" t="str">
        <f>IF(AtlasReport_1_Table_1[[#This Row],[Reference]]="Purchase order",_xll.AtlasFormulas.AtlasFunctions.AtlasBalance("UAT",DataAreaId,"T.MarkupTrans","Sum|Posted|0","","","","","","","MarkupCode|TransTableId|TransRecId","TPP","492",$L743),"")</f>
        <v/>
      </c>
    </row>
    <row r="744" spans="1:14" x14ac:dyDescent="0.25">
      <c r="A744" s="8" t="s">
        <v>21</v>
      </c>
      <c r="B744" s="8" t="s">
        <v>2195</v>
      </c>
      <c r="C744" s="8" t="s">
        <v>123</v>
      </c>
      <c r="D744" s="8" t="s">
        <v>124</v>
      </c>
      <c r="E744" s="8" t="s">
        <v>261</v>
      </c>
      <c r="F744" s="8" t="s">
        <v>264</v>
      </c>
      <c r="G744" s="6">
        <v>43089</v>
      </c>
      <c r="H744" s="6">
        <v>43089</v>
      </c>
      <c r="I744" s="4">
        <v>-0.96</v>
      </c>
      <c r="J744" s="8" t="s">
        <v>39</v>
      </c>
      <c r="K744" s="8" t="s">
        <v>2199</v>
      </c>
      <c r="L744" s="4" t="str">
        <f>IF(AtlasReport_1_Table_1[[#This Row],[Reference]]="Purchase order",_xll.AtlasFormulas.AtlasFunctions.AtlasTable("UAT",DataAreaId,"T.VendInvoiceTrans","%RecId","","","","","","","ItemId|PurchID|InventTransId",$C744,$B744,$K744),"")</f>
        <v/>
      </c>
      <c r="M744" s="4" t="str">
        <f>IF(AtlasReport_1_Table_1[[#This Row],[Reference]]="Purchase order",_xll.AtlasFormulas.AtlasFunctions.AtlasTable("UAT",DataAreaId,"T.MarkupTrans","%CurrencyCode","","","","","","","MarkupCode|TransRecId|TransTableId","TPP",$L744,"492"),"")</f>
        <v/>
      </c>
      <c r="N744" s="4" t="str">
        <f>IF(AtlasReport_1_Table_1[[#This Row],[Reference]]="Purchase order",_xll.AtlasFormulas.AtlasFunctions.AtlasBalance("UAT",DataAreaId,"T.MarkupTrans","Sum|Posted|0","","","","","","","MarkupCode|TransTableId|TransRecId","TPP","492",$L744),"")</f>
        <v/>
      </c>
    </row>
    <row r="745" spans="1:14" x14ac:dyDescent="0.25">
      <c r="A745" s="8" t="s">
        <v>21</v>
      </c>
      <c r="B745" s="8" t="s">
        <v>2195</v>
      </c>
      <c r="C745" s="8" t="s">
        <v>123</v>
      </c>
      <c r="D745" s="8" t="s">
        <v>124</v>
      </c>
      <c r="E745" s="8" t="s">
        <v>261</v>
      </c>
      <c r="F745" s="8" t="s">
        <v>264</v>
      </c>
      <c r="G745" s="6">
        <v>43089</v>
      </c>
      <c r="H745" s="6">
        <v>43089</v>
      </c>
      <c r="I745" s="4">
        <v>-0.11</v>
      </c>
      <c r="J745" s="8" t="s">
        <v>39</v>
      </c>
      <c r="K745" s="8" t="s">
        <v>2200</v>
      </c>
      <c r="L745" s="4" t="str">
        <f>IF(AtlasReport_1_Table_1[[#This Row],[Reference]]="Purchase order",_xll.AtlasFormulas.AtlasFunctions.AtlasTable("UAT",DataAreaId,"T.VendInvoiceTrans","%RecId","","","","","","","ItemId|PurchID|InventTransId",$C745,$B745,$K745),"")</f>
        <v/>
      </c>
      <c r="M745" s="4" t="str">
        <f>IF(AtlasReport_1_Table_1[[#This Row],[Reference]]="Purchase order",_xll.AtlasFormulas.AtlasFunctions.AtlasTable("UAT",DataAreaId,"T.MarkupTrans","%CurrencyCode","","","","","","","MarkupCode|TransRecId|TransTableId","TPP",$L745,"492"),"")</f>
        <v/>
      </c>
      <c r="N745" s="4" t="str">
        <f>IF(AtlasReport_1_Table_1[[#This Row],[Reference]]="Purchase order",_xll.AtlasFormulas.AtlasFunctions.AtlasBalance("UAT",DataAreaId,"T.MarkupTrans","Sum|Posted|0","","","","","","","MarkupCode|TransTableId|TransRecId","TPP","492",$L745),"")</f>
        <v/>
      </c>
    </row>
    <row r="746" spans="1:14" x14ac:dyDescent="0.25">
      <c r="A746" s="8" t="s">
        <v>21</v>
      </c>
      <c r="B746" s="8" t="s">
        <v>2195</v>
      </c>
      <c r="C746" s="8" t="s">
        <v>123</v>
      </c>
      <c r="D746" s="8" t="s">
        <v>124</v>
      </c>
      <c r="E746" s="8" t="s">
        <v>261</v>
      </c>
      <c r="F746" s="8" t="s">
        <v>264</v>
      </c>
      <c r="G746" s="6">
        <v>43089</v>
      </c>
      <c r="H746" s="6">
        <v>43089</v>
      </c>
      <c r="I746" s="4">
        <v>0.1</v>
      </c>
      <c r="J746" s="8" t="s">
        <v>39</v>
      </c>
      <c r="K746" s="8" t="s">
        <v>2201</v>
      </c>
      <c r="L746" s="4" t="str">
        <f>IF(AtlasReport_1_Table_1[[#This Row],[Reference]]="Purchase order",_xll.AtlasFormulas.AtlasFunctions.AtlasTable("UAT",DataAreaId,"T.VendInvoiceTrans","%RecId","","","","","","","ItemId|PurchID|InventTransId",$C746,$B746,$K746),"")</f>
        <v/>
      </c>
      <c r="M746" s="4" t="str">
        <f>IF(AtlasReport_1_Table_1[[#This Row],[Reference]]="Purchase order",_xll.AtlasFormulas.AtlasFunctions.AtlasTable("UAT",DataAreaId,"T.MarkupTrans","%CurrencyCode","","","","","","","MarkupCode|TransRecId|TransTableId","TPP",$L746,"492"),"")</f>
        <v/>
      </c>
      <c r="N746" s="4" t="str">
        <f>IF(AtlasReport_1_Table_1[[#This Row],[Reference]]="Purchase order",_xll.AtlasFormulas.AtlasFunctions.AtlasBalance("UAT",DataAreaId,"T.MarkupTrans","Sum|Posted|0","","","","","","","MarkupCode|TransTableId|TransRecId","TPP","492",$L746),"")</f>
        <v/>
      </c>
    </row>
    <row r="747" spans="1:14" x14ac:dyDescent="0.25">
      <c r="A747" s="8" t="s">
        <v>21</v>
      </c>
      <c r="B747" s="8" t="s">
        <v>2195</v>
      </c>
      <c r="C747" s="8" t="s">
        <v>123</v>
      </c>
      <c r="D747" s="8" t="s">
        <v>124</v>
      </c>
      <c r="E747" s="8" t="s">
        <v>261</v>
      </c>
      <c r="F747" s="8" t="s">
        <v>264</v>
      </c>
      <c r="G747" s="6">
        <v>43089</v>
      </c>
      <c r="H747" s="6">
        <v>43089</v>
      </c>
      <c r="I747" s="4">
        <v>-0.4</v>
      </c>
      <c r="J747" s="8" t="s">
        <v>39</v>
      </c>
      <c r="K747" s="8" t="s">
        <v>2202</v>
      </c>
      <c r="L747" s="4" t="str">
        <f>IF(AtlasReport_1_Table_1[[#This Row],[Reference]]="Purchase order",_xll.AtlasFormulas.AtlasFunctions.AtlasTable("UAT",DataAreaId,"T.VendInvoiceTrans","%RecId","","","","","","","ItemId|PurchID|InventTransId",$C747,$B747,$K747),"")</f>
        <v/>
      </c>
      <c r="M747" s="4" t="str">
        <f>IF(AtlasReport_1_Table_1[[#This Row],[Reference]]="Purchase order",_xll.AtlasFormulas.AtlasFunctions.AtlasTable("UAT",DataAreaId,"T.MarkupTrans","%CurrencyCode","","","","","","","MarkupCode|TransRecId|TransTableId","TPP",$L747,"492"),"")</f>
        <v/>
      </c>
      <c r="N747" s="4" t="str">
        <f>IF(AtlasReport_1_Table_1[[#This Row],[Reference]]="Purchase order",_xll.AtlasFormulas.AtlasFunctions.AtlasBalance("UAT",DataAreaId,"T.MarkupTrans","Sum|Posted|0","","","","","","","MarkupCode|TransTableId|TransRecId","TPP","492",$L747),"")</f>
        <v/>
      </c>
    </row>
    <row r="748" spans="1:14" x14ac:dyDescent="0.25">
      <c r="A748" s="8" t="s">
        <v>21</v>
      </c>
      <c r="B748" s="8" t="s">
        <v>2195</v>
      </c>
      <c r="C748" s="8" t="s">
        <v>123</v>
      </c>
      <c r="D748" s="8" t="s">
        <v>124</v>
      </c>
      <c r="E748" s="8" t="s">
        <v>261</v>
      </c>
      <c r="F748" s="8" t="s">
        <v>264</v>
      </c>
      <c r="G748" s="6">
        <v>43089</v>
      </c>
      <c r="H748" s="6">
        <v>43089</v>
      </c>
      <c r="I748" s="4">
        <v>0.53</v>
      </c>
      <c r="J748" s="8" t="s">
        <v>39</v>
      </c>
      <c r="K748" s="8" t="s">
        <v>2203</v>
      </c>
      <c r="L748" s="4" t="str">
        <f>IF(AtlasReport_1_Table_1[[#This Row],[Reference]]="Purchase order",_xll.AtlasFormulas.AtlasFunctions.AtlasTable("UAT",DataAreaId,"T.VendInvoiceTrans","%RecId","","","","","","","ItemId|PurchID|InventTransId",$C748,$B748,$K748),"")</f>
        <v/>
      </c>
      <c r="M748" s="4" t="str">
        <f>IF(AtlasReport_1_Table_1[[#This Row],[Reference]]="Purchase order",_xll.AtlasFormulas.AtlasFunctions.AtlasTable("UAT",DataAreaId,"T.MarkupTrans","%CurrencyCode","","","","","","","MarkupCode|TransRecId|TransTableId","TPP",$L748,"492"),"")</f>
        <v/>
      </c>
      <c r="N748" s="4" t="str">
        <f>IF(AtlasReport_1_Table_1[[#This Row],[Reference]]="Purchase order",_xll.AtlasFormulas.AtlasFunctions.AtlasBalance("UAT",DataAreaId,"T.MarkupTrans","Sum|Posted|0","","","","","","","MarkupCode|TransTableId|TransRecId","TPP","492",$L748),"")</f>
        <v/>
      </c>
    </row>
    <row r="749" spans="1:14" x14ac:dyDescent="0.25">
      <c r="A749" s="8" t="s">
        <v>21</v>
      </c>
      <c r="B749" s="8" t="s">
        <v>2195</v>
      </c>
      <c r="C749" s="8" t="s">
        <v>123</v>
      </c>
      <c r="D749" s="8" t="s">
        <v>124</v>
      </c>
      <c r="E749" s="8" t="s">
        <v>261</v>
      </c>
      <c r="F749" s="8" t="s">
        <v>264</v>
      </c>
      <c r="G749" s="6">
        <v>43089</v>
      </c>
      <c r="H749" s="6">
        <v>43089</v>
      </c>
      <c r="I749" s="4">
        <v>-0.08</v>
      </c>
      <c r="J749" s="8" t="s">
        <v>39</v>
      </c>
      <c r="K749" s="8" t="s">
        <v>2204</v>
      </c>
      <c r="L749" s="4" t="str">
        <f>IF(AtlasReport_1_Table_1[[#This Row],[Reference]]="Purchase order",_xll.AtlasFormulas.AtlasFunctions.AtlasTable("UAT",DataAreaId,"T.VendInvoiceTrans","%RecId","","","","","","","ItemId|PurchID|InventTransId",$C749,$B749,$K749),"")</f>
        <v/>
      </c>
      <c r="M749" s="4" t="str">
        <f>IF(AtlasReport_1_Table_1[[#This Row],[Reference]]="Purchase order",_xll.AtlasFormulas.AtlasFunctions.AtlasTable("UAT",DataAreaId,"T.MarkupTrans","%CurrencyCode","","","","","","","MarkupCode|TransRecId|TransTableId","TPP",$L749,"492"),"")</f>
        <v/>
      </c>
      <c r="N749" s="4" t="str">
        <f>IF(AtlasReport_1_Table_1[[#This Row],[Reference]]="Purchase order",_xll.AtlasFormulas.AtlasFunctions.AtlasBalance("UAT",DataAreaId,"T.MarkupTrans","Sum|Posted|0","","","","","","","MarkupCode|TransTableId|TransRecId","TPP","492",$L749),"")</f>
        <v/>
      </c>
    </row>
    <row r="750" spans="1:14" x14ac:dyDescent="0.25">
      <c r="A750" s="8" t="s">
        <v>21</v>
      </c>
      <c r="B750" s="8" t="s">
        <v>2195</v>
      </c>
      <c r="C750" s="8" t="s">
        <v>123</v>
      </c>
      <c r="D750" s="8" t="s">
        <v>124</v>
      </c>
      <c r="E750" s="8" t="s">
        <v>261</v>
      </c>
      <c r="F750" s="8" t="s">
        <v>264</v>
      </c>
      <c r="G750" s="6">
        <v>43089</v>
      </c>
      <c r="H750" s="6">
        <v>43089</v>
      </c>
      <c r="I750" s="4">
        <v>-0.46</v>
      </c>
      <c r="J750" s="8" t="s">
        <v>39</v>
      </c>
      <c r="K750" s="8" t="s">
        <v>2205</v>
      </c>
      <c r="L750" s="4" t="str">
        <f>IF(AtlasReport_1_Table_1[[#This Row],[Reference]]="Purchase order",_xll.AtlasFormulas.AtlasFunctions.AtlasTable("UAT",DataAreaId,"T.VendInvoiceTrans","%RecId","","","","","","","ItemId|PurchID|InventTransId",$C750,$B750,$K750),"")</f>
        <v/>
      </c>
      <c r="M750" s="4" t="str">
        <f>IF(AtlasReport_1_Table_1[[#This Row],[Reference]]="Purchase order",_xll.AtlasFormulas.AtlasFunctions.AtlasTable("UAT",DataAreaId,"T.MarkupTrans","%CurrencyCode","","","","","","","MarkupCode|TransRecId|TransTableId","TPP",$L750,"492"),"")</f>
        <v/>
      </c>
      <c r="N750" s="4" t="str">
        <f>IF(AtlasReport_1_Table_1[[#This Row],[Reference]]="Purchase order",_xll.AtlasFormulas.AtlasFunctions.AtlasBalance("UAT",DataAreaId,"T.MarkupTrans","Sum|Posted|0","","","","","","","MarkupCode|TransTableId|TransRecId","TPP","492",$L750),"")</f>
        <v/>
      </c>
    </row>
    <row r="751" spans="1:14" x14ac:dyDescent="0.25">
      <c r="A751" s="8" t="s">
        <v>21</v>
      </c>
      <c r="B751" s="8" t="s">
        <v>2195</v>
      </c>
      <c r="C751" s="8" t="s">
        <v>123</v>
      </c>
      <c r="D751" s="8" t="s">
        <v>124</v>
      </c>
      <c r="E751" s="8" t="s">
        <v>261</v>
      </c>
      <c r="F751" s="8" t="s">
        <v>264</v>
      </c>
      <c r="G751" s="6">
        <v>43089</v>
      </c>
      <c r="H751" s="6">
        <v>43089</v>
      </c>
      <c r="I751" s="4">
        <v>2.69</v>
      </c>
      <c r="J751" s="8" t="s">
        <v>39</v>
      </c>
      <c r="K751" s="8" t="s">
        <v>2206</v>
      </c>
      <c r="L751" s="4" t="str">
        <f>IF(AtlasReport_1_Table_1[[#This Row],[Reference]]="Purchase order",_xll.AtlasFormulas.AtlasFunctions.AtlasTable("UAT",DataAreaId,"T.VendInvoiceTrans","%RecId","","","","","","","ItemId|PurchID|InventTransId",$C751,$B751,$K751),"")</f>
        <v/>
      </c>
      <c r="M751" s="4" t="str">
        <f>IF(AtlasReport_1_Table_1[[#This Row],[Reference]]="Purchase order",_xll.AtlasFormulas.AtlasFunctions.AtlasTable("UAT",DataAreaId,"T.MarkupTrans","%CurrencyCode","","","","","","","MarkupCode|TransRecId|TransTableId","TPP",$L751,"492"),"")</f>
        <v/>
      </c>
      <c r="N751" s="4" t="str">
        <f>IF(AtlasReport_1_Table_1[[#This Row],[Reference]]="Purchase order",_xll.AtlasFormulas.AtlasFunctions.AtlasBalance("UAT",DataAreaId,"T.MarkupTrans","Sum|Posted|0","","","","","","","MarkupCode|TransTableId|TransRecId","TPP","492",$L751),"")</f>
        <v/>
      </c>
    </row>
    <row r="752" spans="1:14" x14ac:dyDescent="0.25">
      <c r="A752" s="8" t="s">
        <v>21</v>
      </c>
      <c r="B752" s="8" t="s">
        <v>2207</v>
      </c>
      <c r="C752" s="8" t="s">
        <v>106</v>
      </c>
      <c r="D752" s="8" t="s">
        <v>107</v>
      </c>
      <c r="E752" s="8" t="s">
        <v>261</v>
      </c>
      <c r="F752" s="8" t="s">
        <v>264</v>
      </c>
      <c r="G752" s="6">
        <v>43089</v>
      </c>
      <c r="H752" s="6">
        <v>43089</v>
      </c>
      <c r="I752" s="4">
        <v>-4.8600000000000003</v>
      </c>
      <c r="J752" s="8" t="s">
        <v>39</v>
      </c>
      <c r="K752" s="8" t="s">
        <v>2208</v>
      </c>
      <c r="L752" s="4" t="str">
        <f>IF(AtlasReport_1_Table_1[[#This Row],[Reference]]="Purchase order",_xll.AtlasFormulas.AtlasFunctions.AtlasTable("UAT",DataAreaId,"T.VendInvoiceTrans","%RecId","","","","","","","ItemId|PurchID|InventTransId",$C752,$B752,$K752),"")</f>
        <v/>
      </c>
      <c r="M752" s="4" t="str">
        <f>IF(AtlasReport_1_Table_1[[#This Row],[Reference]]="Purchase order",_xll.AtlasFormulas.AtlasFunctions.AtlasTable("UAT",DataAreaId,"T.MarkupTrans","%CurrencyCode","","","","","","","MarkupCode|TransRecId|TransTableId","TPP",$L752,"492"),"")</f>
        <v/>
      </c>
      <c r="N752" s="4" t="str">
        <f>IF(AtlasReport_1_Table_1[[#This Row],[Reference]]="Purchase order",_xll.AtlasFormulas.AtlasFunctions.AtlasBalance("UAT",DataAreaId,"T.MarkupTrans","Sum|Posted|0","","","","","","","MarkupCode|TransTableId|TransRecId","TPP","492",$L752),"")</f>
        <v/>
      </c>
    </row>
    <row r="753" spans="1:14" x14ac:dyDescent="0.25">
      <c r="A753" s="8" t="s">
        <v>21</v>
      </c>
      <c r="B753" s="8" t="s">
        <v>2207</v>
      </c>
      <c r="C753" s="8" t="s">
        <v>106</v>
      </c>
      <c r="D753" s="8" t="s">
        <v>107</v>
      </c>
      <c r="E753" s="8" t="s">
        <v>261</v>
      </c>
      <c r="F753" s="8" t="s">
        <v>264</v>
      </c>
      <c r="G753" s="6">
        <v>43089</v>
      </c>
      <c r="H753" s="6">
        <v>43089</v>
      </c>
      <c r="I753" s="4">
        <v>0.87</v>
      </c>
      <c r="J753" s="8" t="s">
        <v>39</v>
      </c>
      <c r="K753" s="8" t="s">
        <v>2209</v>
      </c>
      <c r="L753" s="4" t="str">
        <f>IF(AtlasReport_1_Table_1[[#This Row],[Reference]]="Purchase order",_xll.AtlasFormulas.AtlasFunctions.AtlasTable("UAT",DataAreaId,"T.VendInvoiceTrans","%RecId","","","","","","","ItemId|PurchID|InventTransId",$C753,$B753,$K753),"")</f>
        <v/>
      </c>
      <c r="M753" s="4" t="str">
        <f>IF(AtlasReport_1_Table_1[[#This Row],[Reference]]="Purchase order",_xll.AtlasFormulas.AtlasFunctions.AtlasTable("UAT",DataAreaId,"T.MarkupTrans","%CurrencyCode","","","","","","","MarkupCode|TransRecId|TransTableId","TPP",$L753,"492"),"")</f>
        <v/>
      </c>
      <c r="N753" s="4" t="str">
        <f>IF(AtlasReport_1_Table_1[[#This Row],[Reference]]="Purchase order",_xll.AtlasFormulas.AtlasFunctions.AtlasBalance("UAT",DataAreaId,"T.MarkupTrans","Sum|Posted|0","","","","","","","MarkupCode|TransTableId|TransRecId","TPP","492",$L753),"")</f>
        <v/>
      </c>
    </row>
    <row r="754" spans="1:14" x14ac:dyDescent="0.25">
      <c r="A754" s="8" t="s">
        <v>21</v>
      </c>
      <c r="B754" s="8" t="s">
        <v>2207</v>
      </c>
      <c r="C754" s="8" t="s">
        <v>106</v>
      </c>
      <c r="D754" s="8" t="s">
        <v>107</v>
      </c>
      <c r="E754" s="8" t="s">
        <v>261</v>
      </c>
      <c r="F754" s="8" t="s">
        <v>264</v>
      </c>
      <c r="G754" s="6">
        <v>43089</v>
      </c>
      <c r="H754" s="6">
        <v>43089</v>
      </c>
      <c r="I754" s="4">
        <v>-8.35</v>
      </c>
      <c r="J754" s="8" t="s">
        <v>39</v>
      </c>
      <c r="K754" s="8" t="s">
        <v>2210</v>
      </c>
      <c r="L754" s="4" t="str">
        <f>IF(AtlasReport_1_Table_1[[#This Row],[Reference]]="Purchase order",_xll.AtlasFormulas.AtlasFunctions.AtlasTable("UAT",DataAreaId,"T.VendInvoiceTrans","%RecId","","","","","","","ItemId|PurchID|InventTransId",$C754,$B754,$K754),"")</f>
        <v/>
      </c>
      <c r="M754" s="4" t="str">
        <f>IF(AtlasReport_1_Table_1[[#This Row],[Reference]]="Purchase order",_xll.AtlasFormulas.AtlasFunctions.AtlasTable("UAT",DataAreaId,"T.MarkupTrans","%CurrencyCode","","","","","","","MarkupCode|TransRecId|TransTableId","TPP",$L754,"492"),"")</f>
        <v/>
      </c>
      <c r="N754" s="4" t="str">
        <f>IF(AtlasReport_1_Table_1[[#This Row],[Reference]]="Purchase order",_xll.AtlasFormulas.AtlasFunctions.AtlasBalance("UAT",DataAreaId,"T.MarkupTrans","Sum|Posted|0","","","","","","","MarkupCode|TransTableId|TransRecId","TPP","492",$L754),"")</f>
        <v/>
      </c>
    </row>
    <row r="755" spans="1:14" x14ac:dyDescent="0.25">
      <c r="A755" s="8" t="s">
        <v>21</v>
      </c>
      <c r="B755" s="8" t="s">
        <v>2211</v>
      </c>
      <c r="C755" s="8" t="s">
        <v>29</v>
      </c>
      <c r="D755" s="8" t="s">
        <v>33</v>
      </c>
      <c r="E755" s="8" t="s">
        <v>261</v>
      </c>
      <c r="F755" s="8" t="s">
        <v>264</v>
      </c>
      <c r="G755" s="6">
        <v>43089</v>
      </c>
      <c r="H755" s="6">
        <v>43089</v>
      </c>
      <c r="I755" s="4">
        <v>8.35</v>
      </c>
      <c r="J755" s="8" t="s">
        <v>39</v>
      </c>
      <c r="K755" s="8" t="s">
        <v>2212</v>
      </c>
      <c r="L755" s="4" t="str">
        <f>IF(AtlasReport_1_Table_1[[#This Row],[Reference]]="Purchase order",_xll.AtlasFormulas.AtlasFunctions.AtlasTable("UAT",DataAreaId,"T.VendInvoiceTrans","%RecId","","","","","","","ItemId|PurchID|InventTransId",$C755,$B755,$K755),"")</f>
        <v/>
      </c>
      <c r="M755" s="4" t="str">
        <f>IF(AtlasReport_1_Table_1[[#This Row],[Reference]]="Purchase order",_xll.AtlasFormulas.AtlasFunctions.AtlasTable("UAT",DataAreaId,"T.MarkupTrans","%CurrencyCode","","","","","","","MarkupCode|TransRecId|TransTableId","TPP",$L755,"492"),"")</f>
        <v/>
      </c>
      <c r="N755" s="4" t="str">
        <f>IF(AtlasReport_1_Table_1[[#This Row],[Reference]]="Purchase order",_xll.AtlasFormulas.AtlasFunctions.AtlasBalance("UAT",DataAreaId,"T.MarkupTrans","Sum|Posted|0","","","","","","","MarkupCode|TransTableId|TransRecId","TPP","492",$L755),"")</f>
        <v/>
      </c>
    </row>
    <row r="756" spans="1:14" x14ac:dyDescent="0.25">
      <c r="A756" s="8" t="s">
        <v>21</v>
      </c>
      <c r="B756" s="8" t="s">
        <v>2211</v>
      </c>
      <c r="C756" s="8" t="s">
        <v>29</v>
      </c>
      <c r="D756" s="8" t="s">
        <v>33</v>
      </c>
      <c r="E756" s="8" t="s">
        <v>261</v>
      </c>
      <c r="F756" s="8" t="s">
        <v>264</v>
      </c>
      <c r="G756" s="6">
        <v>43089</v>
      </c>
      <c r="H756" s="6">
        <v>43089</v>
      </c>
      <c r="I756" s="4">
        <v>-18.02</v>
      </c>
      <c r="J756" s="8" t="s">
        <v>39</v>
      </c>
      <c r="K756" s="8" t="s">
        <v>2213</v>
      </c>
      <c r="L756" s="4" t="str">
        <f>IF(AtlasReport_1_Table_1[[#This Row],[Reference]]="Purchase order",_xll.AtlasFormulas.AtlasFunctions.AtlasTable("UAT",DataAreaId,"T.VendInvoiceTrans","%RecId","","","","","","","ItemId|PurchID|InventTransId",$C756,$B756,$K756),"")</f>
        <v/>
      </c>
      <c r="M756" s="4" t="str">
        <f>IF(AtlasReport_1_Table_1[[#This Row],[Reference]]="Purchase order",_xll.AtlasFormulas.AtlasFunctions.AtlasTable("UAT",DataAreaId,"T.MarkupTrans","%CurrencyCode","","","","","","","MarkupCode|TransRecId|TransTableId","TPP",$L756,"492"),"")</f>
        <v/>
      </c>
      <c r="N756" s="4" t="str">
        <f>IF(AtlasReport_1_Table_1[[#This Row],[Reference]]="Purchase order",_xll.AtlasFormulas.AtlasFunctions.AtlasBalance("UAT",DataAreaId,"T.MarkupTrans","Sum|Posted|0","","","","","","","MarkupCode|TransTableId|TransRecId","TPP","492",$L756),"")</f>
        <v/>
      </c>
    </row>
    <row r="757" spans="1:14" x14ac:dyDescent="0.25">
      <c r="A757" s="8" t="s">
        <v>21</v>
      </c>
      <c r="B757" s="8" t="s">
        <v>2214</v>
      </c>
      <c r="C757" s="8" t="s">
        <v>59</v>
      </c>
      <c r="D757" s="8" t="s">
        <v>93</v>
      </c>
      <c r="E757" s="8" t="s">
        <v>261</v>
      </c>
      <c r="F757" s="8" t="s">
        <v>264</v>
      </c>
      <c r="G757" s="6">
        <v>43089</v>
      </c>
      <c r="H757" s="6">
        <v>43089</v>
      </c>
      <c r="I757" s="4">
        <v>1.24</v>
      </c>
      <c r="J757" s="8" t="s">
        <v>39</v>
      </c>
      <c r="K757" s="8" t="s">
        <v>2215</v>
      </c>
      <c r="L757" s="4" t="str">
        <f>IF(AtlasReport_1_Table_1[[#This Row],[Reference]]="Purchase order",_xll.AtlasFormulas.AtlasFunctions.AtlasTable("UAT",DataAreaId,"T.VendInvoiceTrans","%RecId","","","","","","","ItemId|PurchID|InventTransId",$C757,$B757,$K757),"")</f>
        <v/>
      </c>
      <c r="M757" s="4" t="str">
        <f>IF(AtlasReport_1_Table_1[[#This Row],[Reference]]="Purchase order",_xll.AtlasFormulas.AtlasFunctions.AtlasTable("UAT",DataAreaId,"T.MarkupTrans","%CurrencyCode","","","","","","","MarkupCode|TransRecId|TransTableId","TPP",$L757,"492"),"")</f>
        <v/>
      </c>
      <c r="N757" s="4" t="str">
        <f>IF(AtlasReport_1_Table_1[[#This Row],[Reference]]="Purchase order",_xll.AtlasFormulas.AtlasFunctions.AtlasBalance("UAT",DataAreaId,"T.MarkupTrans","Sum|Posted|0","","","","","","","MarkupCode|TransTableId|TransRecId","TPP","492",$L757),"")</f>
        <v/>
      </c>
    </row>
    <row r="758" spans="1:14" x14ac:dyDescent="0.25">
      <c r="A758" s="8" t="s">
        <v>21</v>
      </c>
      <c r="B758" s="8" t="s">
        <v>2214</v>
      </c>
      <c r="C758" s="8" t="s">
        <v>59</v>
      </c>
      <c r="D758" s="8" t="s">
        <v>93</v>
      </c>
      <c r="E758" s="8" t="s">
        <v>261</v>
      </c>
      <c r="F758" s="8" t="s">
        <v>264</v>
      </c>
      <c r="G758" s="6">
        <v>43089</v>
      </c>
      <c r="H758" s="6">
        <v>43089</v>
      </c>
      <c r="I758" s="4">
        <v>-7.38</v>
      </c>
      <c r="J758" s="8" t="s">
        <v>39</v>
      </c>
      <c r="K758" s="8" t="s">
        <v>2216</v>
      </c>
      <c r="L758" s="4" t="str">
        <f>IF(AtlasReport_1_Table_1[[#This Row],[Reference]]="Purchase order",_xll.AtlasFormulas.AtlasFunctions.AtlasTable("UAT",DataAreaId,"T.VendInvoiceTrans","%RecId","","","","","","","ItemId|PurchID|InventTransId",$C758,$B758,$K758),"")</f>
        <v/>
      </c>
      <c r="M758" s="4" t="str">
        <f>IF(AtlasReport_1_Table_1[[#This Row],[Reference]]="Purchase order",_xll.AtlasFormulas.AtlasFunctions.AtlasTable("UAT",DataAreaId,"T.MarkupTrans","%CurrencyCode","","","","","","","MarkupCode|TransRecId|TransTableId","TPP",$L758,"492"),"")</f>
        <v/>
      </c>
      <c r="N758" s="4" t="str">
        <f>IF(AtlasReport_1_Table_1[[#This Row],[Reference]]="Purchase order",_xll.AtlasFormulas.AtlasFunctions.AtlasBalance("UAT",DataAreaId,"T.MarkupTrans","Sum|Posted|0","","","","","","","MarkupCode|TransTableId|TransRecId","TPP","492",$L758),"")</f>
        <v/>
      </c>
    </row>
    <row r="759" spans="1:14" x14ac:dyDescent="0.25">
      <c r="A759" s="8" t="s">
        <v>21</v>
      </c>
      <c r="B759" s="8" t="s">
        <v>2214</v>
      </c>
      <c r="C759" s="8" t="s">
        <v>59</v>
      </c>
      <c r="D759" s="8" t="s">
        <v>93</v>
      </c>
      <c r="E759" s="8" t="s">
        <v>261</v>
      </c>
      <c r="F759" s="8" t="s">
        <v>264</v>
      </c>
      <c r="G759" s="6">
        <v>43089</v>
      </c>
      <c r="H759" s="6">
        <v>43089</v>
      </c>
      <c r="I759" s="4">
        <v>-0.34</v>
      </c>
      <c r="J759" s="8" t="s">
        <v>39</v>
      </c>
      <c r="K759" s="8" t="s">
        <v>2217</v>
      </c>
      <c r="L759" s="4" t="str">
        <f>IF(AtlasReport_1_Table_1[[#This Row],[Reference]]="Purchase order",_xll.AtlasFormulas.AtlasFunctions.AtlasTable("UAT",DataAreaId,"T.VendInvoiceTrans","%RecId","","","","","","","ItemId|PurchID|InventTransId",$C759,$B759,$K759),"")</f>
        <v/>
      </c>
      <c r="M759" s="4" t="str">
        <f>IF(AtlasReport_1_Table_1[[#This Row],[Reference]]="Purchase order",_xll.AtlasFormulas.AtlasFunctions.AtlasTable("UAT",DataAreaId,"T.MarkupTrans","%CurrencyCode","","","","","","","MarkupCode|TransRecId|TransTableId","TPP",$L759,"492"),"")</f>
        <v/>
      </c>
      <c r="N759" s="4" t="str">
        <f>IF(AtlasReport_1_Table_1[[#This Row],[Reference]]="Purchase order",_xll.AtlasFormulas.AtlasFunctions.AtlasBalance("UAT",DataAreaId,"T.MarkupTrans","Sum|Posted|0","","","","","","","MarkupCode|TransTableId|TransRecId","TPP","492",$L759),"")</f>
        <v/>
      </c>
    </row>
    <row r="760" spans="1:14" x14ac:dyDescent="0.25">
      <c r="A760" s="8" t="s">
        <v>21</v>
      </c>
      <c r="B760" s="8" t="s">
        <v>2214</v>
      </c>
      <c r="C760" s="8" t="s">
        <v>59</v>
      </c>
      <c r="D760" s="8" t="s">
        <v>93</v>
      </c>
      <c r="E760" s="8" t="s">
        <v>261</v>
      </c>
      <c r="F760" s="8" t="s">
        <v>264</v>
      </c>
      <c r="G760" s="6">
        <v>43089</v>
      </c>
      <c r="H760" s="6">
        <v>43089</v>
      </c>
      <c r="I760" s="4">
        <v>-0.95</v>
      </c>
      <c r="J760" s="8" t="s">
        <v>39</v>
      </c>
      <c r="K760" s="8" t="s">
        <v>2218</v>
      </c>
      <c r="L760" s="4" t="str">
        <f>IF(AtlasReport_1_Table_1[[#This Row],[Reference]]="Purchase order",_xll.AtlasFormulas.AtlasFunctions.AtlasTable("UAT",DataAreaId,"T.VendInvoiceTrans","%RecId","","","","","","","ItemId|PurchID|InventTransId",$C760,$B760,$K760),"")</f>
        <v/>
      </c>
      <c r="M760" s="4" t="str">
        <f>IF(AtlasReport_1_Table_1[[#This Row],[Reference]]="Purchase order",_xll.AtlasFormulas.AtlasFunctions.AtlasTable("UAT",DataAreaId,"T.MarkupTrans","%CurrencyCode","","","","","","","MarkupCode|TransRecId|TransTableId","TPP",$L760,"492"),"")</f>
        <v/>
      </c>
      <c r="N760" s="4" t="str">
        <f>IF(AtlasReport_1_Table_1[[#This Row],[Reference]]="Purchase order",_xll.AtlasFormulas.AtlasFunctions.AtlasBalance("UAT",DataAreaId,"T.MarkupTrans","Sum|Posted|0","","","","","","","MarkupCode|TransTableId|TransRecId","TPP","492",$L760),"")</f>
        <v/>
      </c>
    </row>
    <row r="761" spans="1:14" x14ac:dyDescent="0.25">
      <c r="A761" s="8" t="s">
        <v>21</v>
      </c>
      <c r="B761" s="8" t="s">
        <v>2214</v>
      </c>
      <c r="C761" s="8" t="s">
        <v>59</v>
      </c>
      <c r="D761" s="8" t="s">
        <v>93</v>
      </c>
      <c r="E761" s="8" t="s">
        <v>261</v>
      </c>
      <c r="F761" s="8" t="s">
        <v>264</v>
      </c>
      <c r="G761" s="6">
        <v>43089</v>
      </c>
      <c r="H761" s="6">
        <v>43089</v>
      </c>
      <c r="I761" s="4">
        <v>-0.08</v>
      </c>
      <c r="J761" s="8" t="s">
        <v>39</v>
      </c>
      <c r="K761" s="8" t="s">
        <v>2219</v>
      </c>
      <c r="L761" s="4" t="str">
        <f>IF(AtlasReport_1_Table_1[[#This Row],[Reference]]="Purchase order",_xll.AtlasFormulas.AtlasFunctions.AtlasTable("UAT",DataAreaId,"T.VendInvoiceTrans","%RecId","","","","","","","ItemId|PurchID|InventTransId",$C761,$B761,$K761),"")</f>
        <v/>
      </c>
      <c r="M761" s="4" t="str">
        <f>IF(AtlasReport_1_Table_1[[#This Row],[Reference]]="Purchase order",_xll.AtlasFormulas.AtlasFunctions.AtlasTable("UAT",DataAreaId,"T.MarkupTrans","%CurrencyCode","","","","","","","MarkupCode|TransRecId|TransTableId","TPP",$L761,"492"),"")</f>
        <v/>
      </c>
      <c r="N761" s="4" t="str">
        <f>IF(AtlasReport_1_Table_1[[#This Row],[Reference]]="Purchase order",_xll.AtlasFormulas.AtlasFunctions.AtlasBalance("UAT",DataAreaId,"T.MarkupTrans","Sum|Posted|0","","","","","","","MarkupCode|TransTableId|TransRecId","TPP","492",$L761),"")</f>
        <v/>
      </c>
    </row>
    <row r="762" spans="1:14" x14ac:dyDescent="0.25">
      <c r="A762" s="8" t="s">
        <v>21</v>
      </c>
      <c r="B762" s="8" t="s">
        <v>2214</v>
      </c>
      <c r="C762" s="8" t="s">
        <v>59</v>
      </c>
      <c r="D762" s="8" t="s">
        <v>93</v>
      </c>
      <c r="E762" s="8" t="s">
        <v>261</v>
      </c>
      <c r="F762" s="8" t="s">
        <v>264</v>
      </c>
      <c r="G762" s="6">
        <v>43089</v>
      </c>
      <c r="H762" s="6">
        <v>43089</v>
      </c>
      <c r="I762" s="4">
        <v>-2.48</v>
      </c>
      <c r="J762" s="8" t="s">
        <v>39</v>
      </c>
      <c r="K762" s="8" t="s">
        <v>2220</v>
      </c>
      <c r="L762" s="4" t="str">
        <f>IF(AtlasReport_1_Table_1[[#This Row],[Reference]]="Purchase order",_xll.AtlasFormulas.AtlasFunctions.AtlasTable("UAT",DataAreaId,"T.VendInvoiceTrans","%RecId","","","","","","","ItemId|PurchID|InventTransId",$C762,$B762,$K762),"")</f>
        <v/>
      </c>
      <c r="M762" s="4" t="str">
        <f>IF(AtlasReport_1_Table_1[[#This Row],[Reference]]="Purchase order",_xll.AtlasFormulas.AtlasFunctions.AtlasTable("UAT",DataAreaId,"T.MarkupTrans","%CurrencyCode","","","","","","","MarkupCode|TransRecId|TransTableId","TPP",$L762,"492"),"")</f>
        <v/>
      </c>
      <c r="N762" s="4" t="str">
        <f>IF(AtlasReport_1_Table_1[[#This Row],[Reference]]="Purchase order",_xll.AtlasFormulas.AtlasFunctions.AtlasBalance("UAT",DataAreaId,"T.MarkupTrans","Sum|Posted|0","","","","","","","MarkupCode|TransTableId|TransRecId","TPP","492",$L762),"")</f>
        <v/>
      </c>
    </row>
    <row r="763" spans="1:14" x14ac:dyDescent="0.25">
      <c r="A763" s="8" t="s">
        <v>21</v>
      </c>
      <c r="B763" s="8" t="s">
        <v>2214</v>
      </c>
      <c r="C763" s="8" t="s">
        <v>59</v>
      </c>
      <c r="D763" s="8" t="s">
        <v>93</v>
      </c>
      <c r="E763" s="8" t="s">
        <v>261</v>
      </c>
      <c r="F763" s="8" t="s">
        <v>264</v>
      </c>
      <c r="G763" s="6">
        <v>43089</v>
      </c>
      <c r="H763" s="6">
        <v>43089</v>
      </c>
      <c r="I763" s="4">
        <v>-0.69</v>
      </c>
      <c r="J763" s="8" t="s">
        <v>39</v>
      </c>
      <c r="K763" s="8" t="s">
        <v>2221</v>
      </c>
      <c r="L763" s="4" t="str">
        <f>IF(AtlasReport_1_Table_1[[#This Row],[Reference]]="Purchase order",_xll.AtlasFormulas.AtlasFunctions.AtlasTable("UAT",DataAreaId,"T.VendInvoiceTrans","%RecId","","","","","","","ItemId|PurchID|InventTransId",$C763,$B763,$K763),"")</f>
        <v/>
      </c>
      <c r="M763" s="4" t="str">
        <f>IF(AtlasReport_1_Table_1[[#This Row],[Reference]]="Purchase order",_xll.AtlasFormulas.AtlasFunctions.AtlasTable("UAT",DataAreaId,"T.MarkupTrans","%CurrencyCode","","","","","","","MarkupCode|TransRecId|TransTableId","TPP",$L763,"492"),"")</f>
        <v/>
      </c>
      <c r="N763" s="4" t="str">
        <f>IF(AtlasReport_1_Table_1[[#This Row],[Reference]]="Purchase order",_xll.AtlasFormulas.AtlasFunctions.AtlasBalance("UAT",DataAreaId,"T.MarkupTrans","Sum|Posted|0","","","","","","","MarkupCode|TransTableId|TransRecId","TPP","492",$L763),"")</f>
        <v/>
      </c>
    </row>
    <row r="764" spans="1:14" x14ac:dyDescent="0.25">
      <c r="A764" s="8" t="s">
        <v>21</v>
      </c>
      <c r="B764" s="8" t="s">
        <v>2214</v>
      </c>
      <c r="C764" s="8" t="s">
        <v>59</v>
      </c>
      <c r="D764" s="8" t="s">
        <v>93</v>
      </c>
      <c r="E764" s="8" t="s">
        <v>261</v>
      </c>
      <c r="F764" s="8" t="s">
        <v>264</v>
      </c>
      <c r="G764" s="6">
        <v>43089</v>
      </c>
      <c r="H764" s="6">
        <v>43089</v>
      </c>
      <c r="I764" s="4">
        <v>-0.56000000000000005</v>
      </c>
      <c r="J764" s="8" t="s">
        <v>39</v>
      </c>
      <c r="K764" s="8" t="s">
        <v>2222</v>
      </c>
      <c r="L764" s="4" t="str">
        <f>IF(AtlasReport_1_Table_1[[#This Row],[Reference]]="Purchase order",_xll.AtlasFormulas.AtlasFunctions.AtlasTable("UAT",DataAreaId,"T.VendInvoiceTrans","%RecId","","","","","","","ItemId|PurchID|InventTransId",$C764,$B764,$K764),"")</f>
        <v/>
      </c>
      <c r="M764" s="4" t="str">
        <f>IF(AtlasReport_1_Table_1[[#This Row],[Reference]]="Purchase order",_xll.AtlasFormulas.AtlasFunctions.AtlasTable("UAT",DataAreaId,"T.MarkupTrans","%CurrencyCode","","","","","","","MarkupCode|TransRecId|TransTableId","TPP",$L764,"492"),"")</f>
        <v/>
      </c>
      <c r="N764" s="4" t="str">
        <f>IF(AtlasReport_1_Table_1[[#This Row],[Reference]]="Purchase order",_xll.AtlasFormulas.AtlasFunctions.AtlasBalance("UAT",DataAreaId,"T.MarkupTrans","Sum|Posted|0","","","","","","","MarkupCode|TransTableId|TransRecId","TPP","492",$L764),"")</f>
        <v/>
      </c>
    </row>
    <row r="765" spans="1:14" x14ac:dyDescent="0.25">
      <c r="A765" s="8" t="s">
        <v>21</v>
      </c>
      <c r="B765" s="8" t="s">
        <v>2214</v>
      </c>
      <c r="C765" s="8" t="s">
        <v>59</v>
      </c>
      <c r="D765" s="8" t="s">
        <v>93</v>
      </c>
      <c r="E765" s="8" t="s">
        <v>261</v>
      </c>
      <c r="F765" s="8" t="s">
        <v>264</v>
      </c>
      <c r="G765" s="6">
        <v>43089</v>
      </c>
      <c r="H765" s="6">
        <v>43089</v>
      </c>
      <c r="I765" s="4">
        <v>-1.1800000000000002</v>
      </c>
      <c r="J765" s="8" t="s">
        <v>39</v>
      </c>
      <c r="K765" s="8" t="s">
        <v>2223</v>
      </c>
      <c r="L765" s="4" t="str">
        <f>IF(AtlasReport_1_Table_1[[#This Row],[Reference]]="Purchase order",_xll.AtlasFormulas.AtlasFunctions.AtlasTable("UAT",DataAreaId,"T.VendInvoiceTrans","%RecId","","","","","","","ItemId|PurchID|InventTransId",$C765,$B765,$K765),"")</f>
        <v/>
      </c>
      <c r="M765" s="4" t="str">
        <f>IF(AtlasReport_1_Table_1[[#This Row],[Reference]]="Purchase order",_xll.AtlasFormulas.AtlasFunctions.AtlasTable("UAT",DataAreaId,"T.MarkupTrans","%CurrencyCode","","","","","","","MarkupCode|TransRecId|TransTableId","TPP",$L765,"492"),"")</f>
        <v/>
      </c>
      <c r="N765" s="4" t="str">
        <f>IF(AtlasReport_1_Table_1[[#This Row],[Reference]]="Purchase order",_xll.AtlasFormulas.AtlasFunctions.AtlasBalance("UAT",DataAreaId,"T.MarkupTrans","Sum|Posted|0","","","","","","","MarkupCode|TransTableId|TransRecId","TPP","492",$L765),"")</f>
        <v/>
      </c>
    </row>
    <row r="766" spans="1:14" x14ac:dyDescent="0.25">
      <c r="A766" s="8" t="s">
        <v>21</v>
      </c>
      <c r="B766" s="8" t="s">
        <v>2214</v>
      </c>
      <c r="C766" s="8" t="s">
        <v>59</v>
      </c>
      <c r="D766" s="8" t="s">
        <v>93</v>
      </c>
      <c r="E766" s="8" t="s">
        <v>261</v>
      </c>
      <c r="F766" s="8" t="s">
        <v>264</v>
      </c>
      <c r="G766" s="6">
        <v>43089</v>
      </c>
      <c r="H766" s="6">
        <v>43089</v>
      </c>
      <c r="I766" s="4">
        <v>-0.87</v>
      </c>
      <c r="J766" s="8" t="s">
        <v>39</v>
      </c>
      <c r="K766" s="8" t="s">
        <v>2224</v>
      </c>
      <c r="L766" s="4" t="str">
        <f>IF(AtlasReport_1_Table_1[[#This Row],[Reference]]="Purchase order",_xll.AtlasFormulas.AtlasFunctions.AtlasTable("UAT",DataAreaId,"T.VendInvoiceTrans","%RecId","","","","","","","ItemId|PurchID|InventTransId",$C766,$B766,$K766),"")</f>
        <v/>
      </c>
      <c r="M766" s="4" t="str">
        <f>IF(AtlasReport_1_Table_1[[#This Row],[Reference]]="Purchase order",_xll.AtlasFormulas.AtlasFunctions.AtlasTable("UAT",DataAreaId,"T.MarkupTrans","%CurrencyCode","","","","","","","MarkupCode|TransRecId|TransTableId","TPP",$L766,"492"),"")</f>
        <v/>
      </c>
      <c r="N766" s="4" t="str">
        <f>IF(AtlasReport_1_Table_1[[#This Row],[Reference]]="Purchase order",_xll.AtlasFormulas.AtlasFunctions.AtlasBalance("UAT",DataAreaId,"T.MarkupTrans","Sum|Posted|0","","","","","","","MarkupCode|TransTableId|TransRecId","TPP","492",$L766),"")</f>
        <v/>
      </c>
    </row>
    <row r="767" spans="1:14" x14ac:dyDescent="0.25">
      <c r="A767" s="8" t="s">
        <v>21</v>
      </c>
      <c r="B767" s="8" t="s">
        <v>2214</v>
      </c>
      <c r="C767" s="8" t="s">
        <v>59</v>
      </c>
      <c r="D767" s="8" t="s">
        <v>93</v>
      </c>
      <c r="E767" s="8" t="s">
        <v>261</v>
      </c>
      <c r="F767" s="8" t="s">
        <v>264</v>
      </c>
      <c r="G767" s="6">
        <v>43089</v>
      </c>
      <c r="H767" s="6">
        <v>43089</v>
      </c>
      <c r="I767" s="4">
        <v>1.1099999999999999</v>
      </c>
      <c r="J767" s="8" t="s">
        <v>39</v>
      </c>
      <c r="K767" s="8" t="s">
        <v>2225</v>
      </c>
      <c r="L767" s="4" t="str">
        <f>IF(AtlasReport_1_Table_1[[#This Row],[Reference]]="Purchase order",_xll.AtlasFormulas.AtlasFunctions.AtlasTable("UAT",DataAreaId,"T.VendInvoiceTrans","%RecId","","","","","","","ItemId|PurchID|InventTransId",$C767,$B767,$K767),"")</f>
        <v/>
      </c>
      <c r="M767" s="4" t="str">
        <f>IF(AtlasReport_1_Table_1[[#This Row],[Reference]]="Purchase order",_xll.AtlasFormulas.AtlasFunctions.AtlasTable("UAT",DataAreaId,"T.MarkupTrans","%CurrencyCode","","","","","","","MarkupCode|TransRecId|TransTableId","TPP",$L767,"492"),"")</f>
        <v/>
      </c>
      <c r="N767" s="4" t="str">
        <f>IF(AtlasReport_1_Table_1[[#This Row],[Reference]]="Purchase order",_xll.AtlasFormulas.AtlasFunctions.AtlasBalance("UAT",DataAreaId,"T.MarkupTrans","Sum|Posted|0","","","","","","","MarkupCode|TransTableId|TransRecId","TPP","492",$L767),"")</f>
        <v/>
      </c>
    </row>
    <row r="768" spans="1:14" x14ac:dyDescent="0.25">
      <c r="A768" s="8" t="s">
        <v>21</v>
      </c>
      <c r="B768" s="8" t="s">
        <v>2214</v>
      </c>
      <c r="C768" s="8" t="s">
        <v>59</v>
      </c>
      <c r="D768" s="8" t="s">
        <v>93</v>
      </c>
      <c r="E768" s="8" t="s">
        <v>261</v>
      </c>
      <c r="F768" s="8" t="s">
        <v>264</v>
      </c>
      <c r="G768" s="6">
        <v>43089</v>
      </c>
      <c r="H768" s="6">
        <v>43089</v>
      </c>
      <c r="I768" s="4">
        <v>-5.67</v>
      </c>
      <c r="J768" s="8" t="s">
        <v>39</v>
      </c>
      <c r="K768" s="8" t="s">
        <v>2226</v>
      </c>
      <c r="L768" s="4" t="str">
        <f>IF(AtlasReport_1_Table_1[[#This Row],[Reference]]="Purchase order",_xll.AtlasFormulas.AtlasFunctions.AtlasTable("UAT",DataAreaId,"T.VendInvoiceTrans","%RecId","","","","","","","ItemId|PurchID|InventTransId",$C768,$B768,$K768),"")</f>
        <v/>
      </c>
      <c r="M768" s="4" t="str">
        <f>IF(AtlasReport_1_Table_1[[#This Row],[Reference]]="Purchase order",_xll.AtlasFormulas.AtlasFunctions.AtlasTable("UAT",DataAreaId,"T.MarkupTrans","%CurrencyCode","","","","","","","MarkupCode|TransRecId|TransTableId","TPP",$L768,"492"),"")</f>
        <v/>
      </c>
      <c r="N768" s="4" t="str">
        <f>IF(AtlasReport_1_Table_1[[#This Row],[Reference]]="Purchase order",_xll.AtlasFormulas.AtlasFunctions.AtlasBalance("UAT",DataAreaId,"T.MarkupTrans","Sum|Posted|0","","","","","","","MarkupCode|TransTableId|TransRecId","TPP","492",$L768),"")</f>
        <v/>
      </c>
    </row>
    <row r="769" spans="1:14" x14ac:dyDescent="0.25">
      <c r="A769" s="8" t="s">
        <v>21</v>
      </c>
      <c r="B769" s="8" t="s">
        <v>2214</v>
      </c>
      <c r="C769" s="8" t="s">
        <v>59</v>
      </c>
      <c r="D769" s="8" t="s">
        <v>93</v>
      </c>
      <c r="E769" s="8" t="s">
        <v>261</v>
      </c>
      <c r="F769" s="8" t="s">
        <v>264</v>
      </c>
      <c r="G769" s="6">
        <v>43089</v>
      </c>
      <c r="H769" s="6">
        <v>43089</v>
      </c>
      <c r="I769" s="4">
        <v>-5.32</v>
      </c>
      <c r="J769" s="8" t="s">
        <v>39</v>
      </c>
      <c r="K769" s="8" t="s">
        <v>2227</v>
      </c>
      <c r="L769" s="4" t="str">
        <f>IF(AtlasReport_1_Table_1[[#This Row],[Reference]]="Purchase order",_xll.AtlasFormulas.AtlasFunctions.AtlasTable("UAT",DataAreaId,"T.VendInvoiceTrans","%RecId","","","","","","","ItemId|PurchID|InventTransId",$C769,$B769,$K769),"")</f>
        <v/>
      </c>
      <c r="M769" s="4" t="str">
        <f>IF(AtlasReport_1_Table_1[[#This Row],[Reference]]="Purchase order",_xll.AtlasFormulas.AtlasFunctions.AtlasTable("UAT",DataAreaId,"T.MarkupTrans","%CurrencyCode","","","","","","","MarkupCode|TransRecId|TransTableId","TPP",$L769,"492"),"")</f>
        <v/>
      </c>
      <c r="N769" s="4" t="str">
        <f>IF(AtlasReport_1_Table_1[[#This Row],[Reference]]="Purchase order",_xll.AtlasFormulas.AtlasFunctions.AtlasBalance("UAT",DataAreaId,"T.MarkupTrans","Sum|Posted|0","","","","","","","MarkupCode|TransTableId|TransRecId","TPP","492",$L769),"")</f>
        <v/>
      </c>
    </row>
    <row r="770" spans="1:14" x14ac:dyDescent="0.25">
      <c r="A770" s="8" t="s">
        <v>21</v>
      </c>
      <c r="B770" s="8" t="s">
        <v>2214</v>
      </c>
      <c r="C770" s="8" t="s">
        <v>59</v>
      </c>
      <c r="D770" s="8" t="s">
        <v>93</v>
      </c>
      <c r="E770" s="8" t="s">
        <v>261</v>
      </c>
      <c r="F770" s="8" t="s">
        <v>264</v>
      </c>
      <c r="G770" s="6">
        <v>43089</v>
      </c>
      <c r="H770" s="6">
        <v>43089</v>
      </c>
      <c r="I770" s="4">
        <v>-2.7</v>
      </c>
      <c r="J770" s="8" t="s">
        <v>39</v>
      </c>
      <c r="K770" s="8" t="s">
        <v>2228</v>
      </c>
      <c r="L770" s="4" t="str">
        <f>IF(AtlasReport_1_Table_1[[#This Row],[Reference]]="Purchase order",_xll.AtlasFormulas.AtlasFunctions.AtlasTable("UAT",DataAreaId,"T.VendInvoiceTrans","%RecId","","","","","","","ItemId|PurchID|InventTransId",$C770,$B770,$K770),"")</f>
        <v/>
      </c>
      <c r="M770" s="4" t="str">
        <f>IF(AtlasReport_1_Table_1[[#This Row],[Reference]]="Purchase order",_xll.AtlasFormulas.AtlasFunctions.AtlasTable("UAT",DataAreaId,"T.MarkupTrans","%CurrencyCode","","","","","","","MarkupCode|TransRecId|TransTableId","TPP",$L770,"492"),"")</f>
        <v/>
      </c>
      <c r="N770" s="4" t="str">
        <f>IF(AtlasReport_1_Table_1[[#This Row],[Reference]]="Purchase order",_xll.AtlasFormulas.AtlasFunctions.AtlasBalance("UAT",DataAreaId,"T.MarkupTrans","Sum|Posted|0","","","","","","","MarkupCode|TransTableId|TransRecId","TPP","492",$L770),"")</f>
        <v/>
      </c>
    </row>
    <row r="771" spans="1:14" x14ac:dyDescent="0.25">
      <c r="A771" s="8" t="s">
        <v>21</v>
      </c>
      <c r="B771" s="8" t="s">
        <v>2214</v>
      </c>
      <c r="C771" s="8" t="s">
        <v>59</v>
      </c>
      <c r="D771" s="8" t="s">
        <v>93</v>
      </c>
      <c r="E771" s="8" t="s">
        <v>261</v>
      </c>
      <c r="F771" s="8" t="s">
        <v>264</v>
      </c>
      <c r="G771" s="6">
        <v>43089</v>
      </c>
      <c r="H771" s="6">
        <v>43089</v>
      </c>
      <c r="I771" s="4">
        <v>1.77</v>
      </c>
      <c r="J771" s="8" t="s">
        <v>39</v>
      </c>
      <c r="K771" s="8" t="s">
        <v>2229</v>
      </c>
      <c r="L771" s="4" t="str">
        <f>IF(AtlasReport_1_Table_1[[#This Row],[Reference]]="Purchase order",_xll.AtlasFormulas.AtlasFunctions.AtlasTable("UAT",DataAreaId,"T.VendInvoiceTrans","%RecId","","","","","","","ItemId|PurchID|InventTransId",$C771,$B771,$K771),"")</f>
        <v/>
      </c>
      <c r="M771" s="4" t="str">
        <f>IF(AtlasReport_1_Table_1[[#This Row],[Reference]]="Purchase order",_xll.AtlasFormulas.AtlasFunctions.AtlasTable("UAT",DataAreaId,"T.MarkupTrans","%CurrencyCode","","","","","","","MarkupCode|TransRecId|TransTableId","TPP",$L771,"492"),"")</f>
        <v/>
      </c>
      <c r="N771" s="4" t="str">
        <f>IF(AtlasReport_1_Table_1[[#This Row],[Reference]]="Purchase order",_xll.AtlasFormulas.AtlasFunctions.AtlasBalance("UAT",DataAreaId,"T.MarkupTrans","Sum|Posted|0","","","","","","","MarkupCode|TransTableId|TransRecId","TPP","492",$L771),"")</f>
        <v/>
      </c>
    </row>
    <row r="772" spans="1:14" x14ac:dyDescent="0.25">
      <c r="A772" s="8" t="s">
        <v>21</v>
      </c>
      <c r="B772" s="8" t="s">
        <v>2214</v>
      </c>
      <c r="C772" s="8" t="s">
        <v>59</v>
      </c>
      <c r="D772" s="8" t="s">
        <v>93</v>
      </c>
      <c r="E772" s="8" t="s">
        <v>261</v>
      </c>
      <c r="F772" s="8" t="s">
        <v>264</v>
      </c>
      <c r="G772" s="6">
        <v>43089</v>
      </c>
      <c r="H772" s="6">
        <v>43089</v>
      </c>
      <c r="I772" s="4">
        <v>1.3800000000000001</v>
      </c>
      <c r="J772" s="8" t="s">
        <v>39</v>
      </c>
      <c r="K772" s="8" t="s">
        <v>2230</v>
      </c>
      <c r="L772" s="4" t="str">
        <f>IF(AtlasReport_1_Table_1[[#This Row],[Reference]]="Purchase order",_xll.AtlasFormulas.AtlasFunctions.AtlasTable("UAT",DataAreaId,"T.VendInvoiceTrans","%RecId","","","","","","","ItemId|PurchID|InventTransId",$C772,$B772,$K772),"")</f>
        <v/>
      </c>
      <c r="M772" s="4" t="str">
        <f>IF(AtlasReport_1_Table_1[[#This Row],[Reference]]="Purchase order",_xll.AtlasFormulas.AtlasFunctions.AtlasTable("UAT",DataAreaId,"T.MarkupTrans","%CurrencyCode","","","","","","","MarkupCode|TransRecId|TransTableId","TPP",$L772,"492"),"")</f>
        <v/>
      </c>
      <c r="N772" s="4" t="str">
        <f>IF(AtlasReport_1_Table_1[[#This Row],[Reference]]="Purchase order",_xll.AtlasFormulas.AtlasFunctions.AtlasBalance("UAT",DataAreaId,"T.MarkupTrans","Sum|Posted|0","","","","","","","MarkupCode|TransTableId|TransRecId","TPP","492",$L772),"")</f>
        <v/>
      </c>
    </row>
    <row r="773" spans="1:14" x14ac:dyDescent="0.25">
      <c r="A773" s="8" t="s">
        <v>21</v>
      </c>
      <c r="B773" s="8" t="s">
        <v>2214</v>
      </c>
      <c r="C773" s="8" t="s">
        <v>59</v>
      </c>
      <c r="D773" s="8" t="s">
        <v>93</v>
      </c>
      <c r="E773" s="8" t="s">
        <v>261</v>
      </c>
      <c r="F773" s="8" t="s">
        <v>264</v>
      </c>
      <c r="G773" s="6">
        <v>43089</v>
      </c>
      <c r="H773" s="6">
        <v>43089</v>
      </c>
      <c r="I773" s="4">
        <v>-4.2</v>
      </c>
      <c r="J773" s="8" t="s">
        <v>39</v>
      </c>
      <c r="K773" s="8" t="s">
        <v>2231</v>
      </c>
      <c r="L773" s="4" t="str">
        <f>IF(AtlasReport_1_Table_1[[#This Row],[Reference]]="Purchase order",_xll.AtlasFormulas.AtlasFunctions.AtlasTable("UAT",DataAreaId,"T.VendInvoiceTrans","%RecId","","","","","","","ItemId|PurchID|InventTransId",$C773,$B773,$K773),"")</f>
        <v/>
      </c>
      <c r="M773" s="4" t="str">
        <f>IF(AtlasReport_1_Table_1[[#This Row],[Reference]]="Purchase order",_xll.AtlasFormulas.AtlasFunctions.AtlasTable("UAT",DataAreaId,"T.MarkupTrans","%CurrencyCode","","","","","","","MarkupCode|TransRecId|TransTableId","TPP",$L773,"492"),"")</f>
        <v/>
      </c>
      <c r="N773" s="4" t="str">
        <f>IF(AtlasReport_1_Table_1[[#This Row],[Reference]]="Purchase order",_xll.AtlasFormulas.AtlasFunctions.AtlasBalance("UAT",DataAreaId,"T.MarkupTrans","Sum|Posted|0","","","","","","","MarkupCode|TransTableId|TransRecId","TPP","492",$L773),"")</f>
        <v/>
      </c>
    </row>
    <row r="774" spans="1:14" x14ac:dyDescent="0.25">
      <c r="A774" s="8" t="s">
        <v>21</v>
      </c>
      <c r="B774" s="8" t="s">
        <v>2214</v>
      </c>
      <c r="C774" s="8" t="s">
        <v>59</v>
      </c>
      <c r="D774" s="8" t="s">
        <v>93</v>
      </c>
      <c r="E774" s="8" t="s">
        <v>261</v>
      </c>
      <c r="F774" s="8" t="s">
        <v>264</v>
      </c>
      <c r="G774" s="6">
        <v>43089</v>
      </c>
      <c r="H774" s="6">
        <v>43089</v>
      </c>
      <c r="I774" s="4">
        <v>10.65</v>
      </c>
      <c r="J774" s="8" t="s">
        <v>39</v>
      </c>
      <c r="K774" s="8" t="s">
        <v>2232</v>
      </c>
      <c r="L774" s="4" t="str">
        <f>IF(AtlasReport_1_Table_1[[#This Row],[Reference]]="Purchase order",_xll.AtlasFormulas.AtlasFunctions.AtlasTable("UAT",DataAreaId,"T.VendInvoiceTrans","%RecId","","","","","","","ItemId|PurchID|InventTransId",$C774,$B774,$K774),"")</f>
        <v/>
      </c>
      <c r="M774" s="4" t="str">
        <f>IF(AtlasReport_1_Table_1[[#This Row],[Reference]]="Purchase order",_xll.AtlasFormulas.AtlasFunctions.AtlasTable("UAT",DataAreaId,"T.MarkupTrans","%CurrencyCode","","","","","","","MarkupCode|TransRecId|TransTableId","TPP",$L774,"492"),"")</f>
        <v/>
      </c>
      <c r="N774" s="4" t="str">
        <f>IF(AtlasReport_1_Table_1[[#This Row],[Reference]]="Purchase order",_xll.AtlasFormulas.AtlasFunctions.AtlasBalance("UAT",DataAreaId,"T.MarkupTrans","Sum|Posted|0","","","","","","","MarkupCode|TransTableId|TransRecId","TPP","492",$L774),"")</f>
        <v/>
      </c>
    </row>
    <row r="775" spans="1:14" x14ac:dyDescent="0.25">
      <c r="A775" s="8" t="s">
        <v>21</v>
      </c>
      <c r="B775" s="8" t="s">
        <v>2214</v>
      </c>
      <c r="C775" s="8" t="s">
        <v>59</v>
      </c>
      <c r="D775" s="8" t="s">
        <v>93</v>
      </c>
      <c r="E775" s="8" t="s">
        <v>261</v>
      </c>
      <c r="F775" s="8" t="s">
        <v>264</v>
      </c>
      <c r="G775" s="6">
        <v>43089</v>
      </c>
      <c r="H775" s="6">
        <v>43089</v>
      </c>
      <c r="I775" s="4">
        <v>1.85</v>
      </c>
      <c r="J775" s="8" t="s">
        <v>39</v>
      </c>
      <c r="K775" s="8" t="s">
        <v>2233</v>
      </c>
      <c r="L775" s="4" t="str">
        <f>IF(AtlasReport_1_Table_1[[#This Row],[Reference]]="Purchase order",_xll.AtlasFormulas.AtlasFunctions.AtlasTable("UAT",DataAreaId,"T.VendInvoiceTrans","%RecId","","","","","","","ItemId|PurchID|InventTransId",$C775,$B775,$K775),"")</f>
        <v/>
      </c>
      <c r="M775" s="4" t="str">
        <f>IF(AtlasReport_1_Table_1[[#This Row],[Reference]]="Purchase order",_xll.AtlasFormulas.AtlasFunctions.AtlasTable("UAT",DataAreaId,"T.MarkupTrans","%CurrencyCode","","","","","","","MarkupCode|TransRecId|TransTableId","TPP",$L775,"492"),"")</f>
        <v/>
      </c>
      <c r="N775" s="4" t="str">
        <f>IF(AtlasReport_1_Table_1[[#This Row],[Reference]]="Purchase order",_xll.AtlasFormulas.AtlasFunctions.AtlasBalance("UAT",DataAreaId,"T.MarkupTrans","Sum|Posted|0","","","","","","","MarkupCode|TransTableId|TransRecId","TPP","492",$L775),"")</f>
        <v/>
      </c>
    </row>
    <row r="776" spans="1:14" x14ac:dyDescent="0.25">
      <c r="A776" s="8" t="s">
        <v>21</v>
      </c>
      <c r="B776" s="8" t="s">
        <v>2214</v>
      </c>
      <c r="C776" s="8" t="s">
        <v>59</v>
      </c>
      <c r="D776" s="8" t="s">
        <v>93</v>
      </c>
      <c r="E776" s="8" t="s">
        <v>261</v>
      </c>
      <c r="F776" s="8" t="s">
        <v>264</v>
      </c>
      <c r="G776" s="6">
        <v>43089</v>
      </c>
      <c r="H776" s="6">
        <v>43089</v>
      </c>
      <c r="I776" s="4">
        <v>0.91</v>
      </c>
      <c r="J776" s="8" t="s">
        <v>39</v>
      </c>
      <c r="K776" s="8" t="s">
        <v>2234</v>
      </c>
      <c r="L776" s="4" t="str">
        <f>IF(AtlasReport_1_Table_1[[#This Row],[Reference]]="Purchase order",_xll.AtlasFormulas.AtlasFunctions.AtlasTable("UAT",DataAreaId,"T.VendInvoiceTrans","%RecId","","","","","","","ItemId|PurchID|InventTransId",$C776,$B776,$K776),"")</f>
        <v/>
      </c>
      <c r="M776" s="4" t="str">
        <f>IF(AtlasReport_1_Table_1[[#This Row],[Reference]]="Purchase order",_xll.AtlasFormulas.AtlasFunctions.AtlasTable("UAT",DataAreaId,"T.MarkupTrans","%CurrencyCode","","","","","","","MarkupCode|TransRecId|TransTableId","TPP",$L776,"492"),"")</f>
        <v/>
      </c>
      <c r="N776" s="4" t="str">
        <f>IF(AtlasReport_1_Table_1[[#This Row],[Reference]]="Purchase order",_xll.AtlasFormulas.AtlasFunctions.AtlasBalance("UAT",DataAreaId,"T.MarkupTrans","Sum|Posted|0","","","","","","","MarkupCode|TransTableId|TransRecId","TPP","492",$L776),"")</f>
        <v/>
      </c>
    </row>
    <row r="777" spans="1:14" x14ac:dyDescent="0.25">
      <c r="A777" s="8" t="s">
        <v>21</v>
      </c>
      <c r="B777" s="8" t="s">
        <v>2214</v>
      </c>
      <c r="C777" s="8" t="s">
        <v>59</v>
      </c>
      <c r="D777" s="8" t="s">
        <v>93</v>
      </c>
      <c r="E777" s="8" t="s">
        <v>261</v>
      </c>
      <c r="F777" s="8" t="s">
        <v>264</v>
      </c>
      <c r="G777" s="6">
        <v>43089</v>
      </c>
      <c r="H777" s="6">
        <v>43089</v>
      </c>
      <c r="I777" s="4">
        <v>-10</v>
      </c>
      <c r="J777" s="8" t="s">
        <v>39</v>
      </c>
      <c r="K777" s="8" t="s">
        <v>2235</v>
      </c>
      <c r="L777" s="4" t="str">
        <f>IF(AtlasReport_1_Table_1[[#This Row],[Reference]]="Purchase order",_xll.AtlasFormulas.AtlasFunctions.AtlasTable("UAT",DataAreaId,"T.VendInvoiceTrans","%RecId","","","","","","","ItemId|PurchID|InventTransId",$C777,$B777,$K777),"")</f>
        <v/>
      </c>
      <c r="M777" s="4" t="str">
        <f>IF(AtlasReport_1_Table_1[[#This Row],[Reference]]="Purchase order",_xll.AtlasFormulas.AtlasFunctions.AtlasTable("UAT",DataAreaId,"T.MarkupTrans","%CurrencyCode","","","","","","","MarkupCode|TransRecId|TransTableId","TPP",$L777,"492"),"")</f>
        <v/>
      </c>
      <c r="N777" s="4" t="str">
        <f>IF(AtlasReport_1_Table_1[[#This Row],[Reference]]="Purchase order",_xll.AtlasFormulas.AtlasFunctions.AtlasBalance("UAT",DataAreaId,"T.MarkupTrans","Sum|Posted|0","","","","","","","MarkupCode|TransTableId|TransRecId","TPP","492",$L777),"")</f>
        <v/>
      </c>
    </row>
    <row r="778" spans="1:14" x14ac:dyDescent="0.25">
      <c r="A778" s="8" t="s">
        <v>21</v>
      </c>
      <c r="B778" s="8" t="s">
        <v>2214</v>
      </c>
      <c r="C778" s="8" t="s">
        <v>59</v>
      </c>
      <c r="D778" s="8" t="s">
        <v>93</v>
      </c>
      <c r="E778" s="8" t="s">
        <v>261</v>
      </c>
      <c r="F778" s="8" t="s">
        <v>264</v>
      </c>
      <c r="G778" s="6">
        <v>43089</v>
      </c>
      <c r="H778" s="6">
        <v>43089</v>
      </c>
      <c r="I778" s="4">
        <v>1.29</v>
      </c>
      <c r="J778" s="8" t="s">
        <v>39</v>
      </c>
      <c r="K778" s="8" t="s">
        <v>2236</v>
      </c>
      <c r="L778" s="4" t="str">
        <f>IF(AtlasReport_1_Table_1[[#This Row],[Reference]]="Purchase order",_xll.AtlasFormulas.AtlasFunctions.AtlasTable("UAT",DataAreaId,"T.VendInvoiceTrans","%RecId","","","","","","","ItemId|PurchID|InventTransId",$C778,$B778,$K778),"")</f>
        <v/>
      </c>
      <c r="M778" s="4" t="str">
        <f>IF(AtlasReport_1_Table_1[[#This Row],[Reference]]="Purchase order",_xll.AtlasFormulas.AtlasFunctions.AtlasTable("UAT",DataAreaId,"T.MarkupTrans","%CurrencyCode","","","","","","","MarkupCode|TransRecId|TransTableId","TPP",$L778,"492"),"")</f>
        <v/>
      </c>
      <c r="N778" s="4" t="str">
        <f>IF(AtlasReport_1_Table_1[[#This Row],[Reference]]="Purchase order",_xll.AtlasFormulas.AtlasFunctions.AtlasBalance("UAT",DataAreaId,"T.MarkupTrans","Sum|Posted|0","","","","","","","MarkupCode|TransTableId|TransRecId","TPP","492",$L778),"")</f>
        <v/>
      </c>
    </row>
    <row r="779" spans="1:14" x14ac:dyDescent="0.25">
      <c r="A779" s="8" t="s">
        <v>21</v>
      </c>
      <c r="B779" s="8" t="s">
        <v>2214</v>
      </c>
      <c r="C779" s="8" t="s">
        <v>59</v>
      </c>
      <c r="D779" s="8" t="s">
        <v>93</v>
      </c>
      <c r="E779" s="8" t="s">
        <v>261</v>
      </c>
      <c r="F779" s="8" t="s">
        <v>264</v>
      </c>
      <c r="G779" s="6">
        <v>43089</v>
      </c>
      <c r="H779" s="6">
        <v>43089</v>
      </c>
      <c r="I779" s="4">
        <v>-0.02</v>
      </c>
      <c r="J779" s="8" t="s">
        <v>39</v>
      </c>
      <c r="K779" s="8" t="s">
        <v>2237</v>
      </c>
      <c r="L779" s="4" t="str">
        <f>IF(AtlasReport_1_Table_1[[#This Row],[Reference]]="Purchase order",_xll.AtlasFormulas.AtlasFunctions.AtlasTable("UAT",DataAreaId,"T.VendInvoiceTrans","%RecId","","","","","","","ItemId|PurchID|InventTransId",$C779,$B779,$K779),"")</f>
        <v/>
      </c>
      <c r="M779" s="4" t="str">
        <f>IF(AtlasReport_1_Table_1[[#This Row],[Reference]]="Purchase order",_xll.AtlasFormulas.AtlasFunctions.AtlasTable("UAT",DataAreaId,"T.MarkupTrans","%CurrencyCode","","","","","","","MarkupCode|TransRecId|TransTableId","TPP",$L779,"492"),"")</f>
        <v/>
      </c>
      <c r="N779" s="4" t="str">
        <f>IF(AtlasReport_1_Table_1[[#This Row],[Reference]]="Purchase order",_xll.AtlasFormulas.AtlasFunctions.AtlasBalance("UAT",DataAreaId,"T.MarkupTrans","Sum|Posted|0","","","","","","","MarkupCode|TransTableId|TransRecId","TPP","492",$L779),"")</f>
        <v/>
      </c>
    </row>
    <row r="780" spans="1:14" x14ac:dyDescent="0.25">
      <c r="A780" s="8" t="s">
        <v>21</v>
      </c>
      <c r="B780" s="8" t="s">
        <v>2214</v>
      </c>
      <c r="C780" s="8" t="s">
        <v>59</v>
      </c>
      <c r="D780" s="8" t="s">
        <v>93</v>
      </c>
      <c r="E780" s="8" t="s">
        <v>261</v>
      </c>
      <c r="F780" s="8" t="s">
        <v>264</v>
      </c>
      <c r="G780" s="6">
        <v>43089</v>
      </c>
      <c r="H780" s="6">
        <v>43089</v>
      </c>
      <c r="I780" s="4">
        <v>-2.6399999999999997</v>
      </c>
      <c r="J780" s="8" t="s">
        <v>39</v>
      </c>
      <c r="K780" s="8" t="s">
        <v>2238</v>
      </c>
      <c r="L780" s="4" t="str">
        <f>IF(AtlasReport_1_Table_1[[#This Row],[Reference]]="Purchase order",_xll.AtlasFormulas.AtlasFunctions.AtlasTable("UAT",DataAreaId,"T.VendInvoiceTrans","%RecId","","","","","","","ItemId|PurchID|InventTransId",$C780,$B780,$K780),"")</f>
        <v/>
      </c>
      <c r="M780" s="4" t="str">
        <f>IF(AtlasReport_1_Table_1[[#This Row],[Reference]]="Purchase order",_xll.AtlasFormulas.AtlasFunctions.AtlasTable("UAT",DataAreaId,"T.MarkupTrans","%CurrencyCode","","","","","","","MarkupCode|TransRecId|TransTableId","TPP",$L780,"492"),"")</f>
        <v/>
      </c>
      <c r="N780" s="4" t="str">
        <f>IF(AtlasReport_1_Table_1[[#This Row],[Reference]]="Purchase order",_xll.AtlasFormulas.AtlasFunctions.AtlasBalance("UAT",DataAreaId,"T.MarkupTrans","Sum|Posted|0","","","","","","","MarkupCode|TransTableId|TransRecId","TPP","492",$L780),"")</f>
        <v/>
      </c>
    </row>
    <row r="781" spans="1:14" x14ac:dyDescent="0.25">
      <c r="A781" s="8" t="s">
        <v>21</v>
      </c>
      <c r="B781" s="8" t="s">
        <v>2214</v>
      </c>
      <c r="C781" s="8" t="s">
        <v>411</v>
      </c>
      <c r="D781" s="8" t="s">
        <v>1149</v>
      </c>
      <c r="E781" s="8" t="s">
        <v>261</v>
      </c>
      <c r="F781" s="8" t="s">
        <v>264</v>
      </c>
      <c r="G781" s="6">
        <v>43089</v>
      </c>
      <c r="H781" s="6">
        <v>43089</v>
      </c>
      <c r="I781" s="4">
        <v>-42.5</v>
      </c>
      <c r="J781" s="8" t="s">
        <v>133</v>
      </c>
      <c r="K781" s="8" t="s">
        <v>2239</v>
      </c>
      <c r="L781" s="4" t="str">
        <f>IF(AtlasReport_1_Table_1[[#This Row],[Reference]]="Purchase order",_xll.AtlasFormulas.AtlasFunctions.AtlasTable("UAT",DataAreaId,"T.VendInvoiceTrans","%RecId","","","","","","","ItemId|PurchID|InventTransId",$C781,$B781,$K781),"")</f>
        <v/>
      </c>
      <c r="M781" s="4" t="str">
        <f>IF(AtlasReport_1_Table_1[[#This Row],[Reference]]="Purchase order",_xll.AtlasFormulas.AtlasFunctions.AtlasTable("UAT",DataAreaId,"T.MarkupTrans","%CurrencyCode","","","","","","","MarkupCode|TransRecId|TransTableId","TPP",$L781,"492"),"")</f>
        <v/>
      </c>
      <c r="N781" s="4" t="str">
        <f>IF(AtlasReport_1_Table_1[[#This Row],[Reference]]="Purchase order",_xll.AtlasFormulas.AtlasFunctions.AtlasBalance("UAT",DataAreaId,"T.MarkupTrans","Sum|Posted|0","","","","","","","MarkupCode|TransTableId|TransRecId","TPP","492",$L781),"")</f>
        <v/>
      </c>
    </row>
    <row r="782" spans="1:14" x14ac:dyDescent="0.25">
      <c r="A782" s="8" t="s">
        <v>21</v>
      </c>
      <c r="B782" s="8" t="s">
        <v>2240</v>
      </c>
      <c r="C782" s="8" t="s">
        <v>97</v>
      </c>
      <c r="D782" s="8" t="s">
        <v>98</v>
      </c>
      <c r="E782" s="8" t="s">
        <v>261</v>
      </c>
      <c r="F782" s="8" t="s">
        <v>264</v>
      </c>
      <c r="G782" s="6">
        <v>43089</v>
      </c>
      <c r="H782" s="6">
        <v>43089</v>
      </c>
      <c r="I782" s="4">
        <v>-9.5400000000000009</v>
      </c>
      <c r="J782" s="8" t="s">
        <v>39</v>
      </c>
      <c r="K782" s="8" t="s">
        <v>2241</v>
      </c>
      <c r="L782" s="4" t="str">
        <f>IF(AtlasReport_1_Table_1[[#This Row],[Reference]]="Purchase order",_xll.AtlasFormulas.AtlasFunctions.AtlasTable("UAT",DataAreaId,"T.VendInvoiceTrans","%RecId","","","","","","","ItemId|PurchID|InventTransId",$C782,$B782,$K782),"")</f>
        <v/>
      </c>
      <c r="M782" s="4" t="str">
        <f>IF(AtlasReport_1_Table_1[[#This Row],[Reference]]="Purchase order",_xll.AtlasFormulas.AtlasFunctions.AtlasTable("UAT",DataAreaId,"T.MarkupTrans","%CurrencyCode","","","","","","","MarkupCode|TransRecId|TransTableId","TPP",$L782,"492"),"")</f>
        <v/>
      </c>
      <c r="N782" s="4" t="str">
        <f>IF(AtlasReport_1_Table_1[[#This Row],[Reference]]="Purchase order",_xll.AtlasFormulas.AtlasFunctions.AtlasBalance("UAT",DataAreaId,"T.MarkupTrans","Sum|Posted|0","","","","","","","MarkupCode|TransTableId|TransRecId","TPP","492",$L782),"")</f>
        <v/>
      </c>
    </row>
    <row r="783" spans="1:14" x14ac:dyDescent="0.25">
      <c r="A783" s="8" t="s">
        <v>21</v>
      </c>
      <c r="B783" s="8" t="s">
        <v>2240</v>
      </c>
      <c r="C783" s="8" t="s">
        <v>97</v>
      </c>
      <c r="D783" s="8" t="s">
        <v>98</v>
      </c>
      <c r="E783" s="8" t="s">
        <v>261</v>
      </c>
      <c r="F783" s="8" t="s">
        <v>264</v>
      </c>
      <c r="G783" s="6">
        <v>43089</v>
      </c>
      <c r="H783" s="6">
        <v>43089</v>
      </c>
      <c r="I783" s="4">
        <v>-0.85</v>
      </c>
      <c r="J783" s="8" t="s">
        <v>39</v>
      </c>
      <c r="K783" s="8" t="s">
        <v>2242</v>
      </c>
      <c r="L783" s="4" t="str">
        <f>IF(AtlasReport_1_Table_1[[#This Row],[Reference]]="Purchase order",_xll.AtlasFormulas.AtlasFunctions.AtlasTable("UAT",DataAreaId,"T.VendInvoiceTrans","%RecId","","","","","","","ItemId|PurchID|InventTransId",$C783,$B783,$K783),"")</f>
        <v/>
      </c>
      <c r="M783" s="4" t="str">
        <f>IF(AtlasReport_1_Table_1[[#This Row],[Reference]]="Purchase order",_xll.AtlasFormulas.AtlasFunctions.AtlasTable("UAT",DataAreaId,"T.MarkupTrans","%CurrencyCode","","","","","","","MarkupCode|TransRecId|TransTableId","TPP",$L783,"492"),"")</f>
        <v/>
      </c>
      <c r="N783" s="4" t="str">
        <f>IF(AtlasReport_1_Table_1[[#This Row],[Reference]]="Purchase order",_xll.AtlasFormulas.AtlasFunctions.AtlasBalance("UAT",DataAreaId,"T.MarkupTrans","Sum|Posted|0","","","","","","","MarkupCode|TransTableId|TransRecId","TPP","492",$L783),"")</f>
        <v/>
      </c>
    </row>
    <row r="784" spans="1:14" x14ac:dyDescent="0.25">
      <c r="A784" s="8" t="s">
        <v>21</v>
      </c>
      <c r="B784" s="8" t="s">
        <v>2240</v>
      </c>
      <c r="C784" s="8" t="s">
        <v>97</v>
      </c>
      <c r="D784" s="8" t="s">
        <v>98</v>
      </c>
      <c r="E784" s="8" t="s">
        <v>261</v>
      </c>
      <c r="F784" s="8" t="s">
        <v>264</v>
      </c>
      <c r="G784" s="6">
        <v>43089</v>
      </c>
      <c r="H784" s="6">
        <v>43089</v>
      </c>
      <c r="I784" s="4">
        <v>-0.4</v>
      </c>
      <c r="J784" s="8" t="s">
        <v>39</v>
      </c>
      <c r="K784" s="8" t="s">
        <v>2243</v>
      </c>
      <c r="L784" s="4" t="str">
        <f>IF(AtlasReport_1_Table_1[[#This Row],[Reference]]="Purchase order",_xll.AtlasFormulas.AtlasFunctions.AtlasTable("UAT",DataAreaId,"T.VendInvoiceTrans","%RecId","","","","","","","ItemId|PurchID|InventTransId",$C784,$B784,$K784),"")</f>
        <v/>
      </c>
      <c r="M784" s="4" t="str">
        <f>IF(AtlasReport_1_Table_1[[#This Row],[Reference]]="Purchase order",_xll.AtlasFormulas.AtlasFunctions.AtlasTable("UAT",DataAreaId,"T.MarkupTrans","%CurrencyCode","","","","","","","MarkupCode|TransRecId|TransTableId","TPP",$L784,"492"),"")</f>
        <v/>
      </c>
      <c r="N784" s="4" t="str">
        <f>IF(AtlasReport_1_Table_1[[#This Row],[Reference]]="Purchase order",_xll.AtlasFormulas.AtlasFunctions.AtlasBalance("UAT",DataAreaId,"T.MarkupTrans","Sum|Posted|0","","","","","","","MarkupCode|TransTableId|TransRecId","TPP","492",$L784),"")</f>
        <v/>
      </c>
    </row>
    <row r="785" spans="1:14" x14ac:dyDescent="0.25">
      <c r="A785" s="8" t="s">
        <v>21</v>
      </c>
      <c r="B785" s="8" t="s">
        <v>2240</v>
      </c>
      <c r="C785" s="8" t="s">
        <v>97</v>
      </c>
      <c r="D785" s="8" t="s">
        <v>98</v>
      </c>
      <c r="E785" s="8" t="s">
        <v>261</v>
      </c>
      <c r="F785" s="8" t="s">
        <v>264</v>
      </c>
      <c r="G785" s="6">
        <v>43089</v>
      </c>
      <c r="H785" s="6">
        <v>43089</v>
      </c>
      <c r="I785" s="4">
        <v>-3.9200000000000004</v>
      </c>
      <c r="J785" s="8" t="s">
        <v>39</v>
      </c>
      <c r="K785" s="8" t="s">
        <v>2244</v>
      </c>
      <c r="L785" s="4" t="str">
        <f>IF(AtlasReport_1_Table_1[[#This Row],[Reference]]="Purchase order",_xll.AtlasFormulas.AtlasFunctions.AtlasTable("UAT",DataAreaId,"T.VendInvoiceTrans","%RecId","","","","","","","ItemId|PurchID|InventTransId",$C785,$B785,$K785),"")</f>
        <v/>
      </c>
      <c r="M785" s="4" t="str">
        <f>IF(AtlasReport_1_Table_1[[#This Row],[Reference]]="Purchase order",_xll.AtlasFormulas.AtlasFunctions.AtlasTable("UAT",DataAreaId,"T.MarkupTrans","%CurrencyCode","","","","","","","MarkupCode|TransRecId|TransTableId","TPP",$L785,"492"),"")</f>
        <v/>
      </c>
      <c r="N785" s="4" t="str">
        <f>IF(AtlasReport_1_Table_1[[#This Row],[Reference]]="Purchase order",_xll.AtlasFormulas.AtlasFunctions.AtlasBalance("UAT",DataAreaId,"T.MarkupTrans","Sum|Posted|0","","","","","","","MarkupCode|TransTableId|TransRecId","TPP","492",$L785),"")</f>
        <v/>
      </c>
    </row>
    <row r="786" spans="1:14" x14ac:dyDescent="0.25">
      <c r="A786" s="8" t="s">
        <v>21</v>
      </c>
      <c r="B786" s="8" t="s">
        <v>2240</v>
      </c>
      <c r="C786" s="8" t="s">
        <v>97</v>
      </c>
      <c r="D786" s="8" t="s">
        <v>98</v>
      </c>
      <c r="E786" s="8" t="s">
        <v>261</v>
      </c>
      <c r="F786" s="8" t="s">
        <v>264</v>
      </c>
      <c r="G786" s="6">
        <v>43089</v>
      </c>
      <c r="H786" s="6">
        <v>43089</v>
      </c>
      <c r="I786" s="4">
        <v>-0.93</v>
      </c>
      <c r="J786" s="8" t="s">
        <v>39</v>
      </c>
      <c r="K786" s="8" t="s">
        <v>2245</v>
      </c>
      <c r="L786" s="4" t="str">
        <f>IF(AtlasReport_1_Table_1[[#This Row],[Reference]]="Purchase order",_xll.AtlasFormulas.AtlasFunctions.AtlasTable("UAT",DataAreaId,"T.VendInvoiceTrans","%RecId","","","","","","","ItemId|PurchID|InventTransId",$C786,$B786,$K786),"")</f>
        <v/>
      </c>
      <c r="M786" s="4" t="str">
        <f>IF(AtlasReport_1_Table_1[[#This Row],[Reference]]="Purchase order",_xll.AtlasFormulas.AtlasFunctions.AtlasTable("UAT",DataAreaId,"T.MarkupTrans","%CurrencyCode","","","","","","","MarkupCode|TransRecId|TransTableId","TPP",$L786,"492"),"")</f>
        <v/>
      </c>
      <c r="N786" s="4" t="str">
        <f>IF(AtlasReport_1_Table_1[[#This Row],[Reference]]="Purchase order",_xll.AtlasFormulas.AtlasFunctions.AtlasBalance("UAT",DataAreaId,"T.MarkupTrans","Sum|Posted|0","","","","","","","MarkupCode|TransTableId|TransRecId","TPP","492",$L786),"")</f>
        <v/>
      </c>
    </row>
    <row r="787" spans="1:14" x14ac:dyDescent="0.25">
      <c r="A787" s="8" t="s">
        <v>21</v>
      </c>
      <c r="B787" s="8" t="s">
        <v>2246</v>
      </c>
      <c r="C787" s="8" t="s">
        <v>57</v>
      </c>
      <c r="D787" s="8" t="s">
        <v>113</v>
      </c>
      <c r="E787" s="8" t="s">
        <v>261</v>
      </c>
      <c r="F787" s="8" t="s">
        <v>264</v>
      </c>
      <c r="G787" s="6">
        <v>43089</v>
      </c>
      <c r="H787" s="6">
        <v>43089</v>
      </c>
      <c r="I787" s="4">
        <v>-2.84</v>
      </c>
      <c r="J787" s="8" t="s">
        <v>39</v>
      </c>
      <c r="K787" s="8" t="s">
        <v>2247</v>
      </c>
      <c r="L787" s="4" t="str">
        <f>IF(AtlasReport_1_Table_1[[#This Row],[Reference]]="Purchase order",_xll.AtlasFormulas.AtlasFunctions.AtlasTable("UAT",DataAreaId,"T.VendInvoiceTrans","%RecId","","","","","","","ItemId|PurchID|InventTransId",$C787,$B787,$K787),"")</f>
        <v/>
      </c>
      <c r="M787" s="4" t="str">
        <f>IF(AtlasReport_1_Table_1[[#This Row],[Reference]]="Purchase order",_xll.AtlasFormulas.AtlasFunctions.AtlasTable("UAT",DataAreaId,"T.MarkupTrans","%CurrencyCode","","","","","","","MarkupCode|TransRecId|TransTableId","TPP",$L787,"492"),"")</f>
        <v/>
      </c>
      <c r="N787" s="4" t="str">
        <f>IF(AtlasReport_1_Table_1[[#This Row],[Reference]]="Purchase order",_xll.AtlasFormulas.AtlasFunctions.AtlasBalance("UAT",DataAreaId,"T.MarkupTrans","Sum|Posted|0","","","","","","","MarkupCode|TransTableId|TransRecId","TPP","492",$L787),"")</f>
        <v/>
      </c>
    </row>
    <row r="788" spans="1:14" x14ac:dyDescent="0.25">
      <c r="A788" s="8" t="s">
        <v>21</v>
      </c>
      <c r="B788" s="8" t="s">
        <v>2246</v>
      </c>
      <c r="C788" s="8" t="s">
        <v>57</v>
      </c>
      <c r="D788" s="8" t="s">
        <v>113</v>
      </c>
      <c r="E788" s="8" t="s">
        <v>261</v>
      </c>
      <c r="F788" s="8" t="s">
        <v>264</v>
      </c>
      <c r="G788" s="6">
        <v>43089</v>
      </c>
      <c r="H788" s="6">
        <v>43089</v>
      </c>
      <c r="I788" s="4">
        <v>-0.1</v>
      </c>
      <c r="J788" s="8" t="s">
        <v>39</v>
      </c>
      <c r="K788" s="8" t="s">
        <v>2248</v>
      </c>
      <c r="L788" s="4" t="str">
        <f>IF(AtlasReport_1_Table_1[[#This Row],[Reference]]="Purchase order",_xll.AtlasFormulas.AtlasFunctions.AtlasTable("UAT",DataAreaId,"T.VendInvoiceTrans","%RecId","","","","","","","ItemId|PurchID|InventTransId",$C788,$B788,$K788),"")</f>
        <v/>
      </c>
      <c r="M788" s="4" t="str">
        <f>IF(AtlasReport_1_Table_1[[#This Row],[Reference]]="Purchase order",_xll.AtlasFormulas.AtlasFunctions.AtlasTable("UAT",DataAreaId,"T.MarkupTrans","%CurrencyCode","","","","","","","MarkupCode|TransRecId|TransTableId","TPP",$L788,"492"),"")</f>
        <v/>
      </c>
      <c r="N788" s="4" t="str">
        <f>IF(AtlasReport_1_Table_1[[#This Row],[Reference]]="Purchase order",_xll.AtlasFormulas.AtlasFunctions.AtlasBalance("UAT",DataAreaId,"T.MarkupTrans","Sum|Posted|0","","","","","","","MarkupCode|TransTableId|TransRecId","TPP","492",$L788),"")</f>
        <v/>
      </c>
    </row>
    <row r="789" spans="1:14" x14ac:dyDescent="0.25">
      <c r="A789" s="8" t="s">
        <v>21</v>
      </c>
      <c r="B789" s="8" t="s">
        <v>2246</v>
      </c>
      <c r="C789" s="8" t="s">
        <v>57</v>
      </c>
      <c r="D789" s="8" t="s">
        <v>113</v>
      </c>
      <c r="E789" s="8" t="s">
        <v>261</v>
      </c>
      <c r="F789" s="8" t="s">
        <v>264</v>
      </c>
      <c r="G789" s="6">
        <v>43089</v>
      </c>
      <c r="H789" s="6">
        <v>43089</v>
      </c>
      <c r="I789" s="4">
        <v>1.4</v>
      </c>
      <c r="J789" s="8" t="s">
        <v>39</v>
      </c>
      <c r="K789" s="8" t="s">
        <v>2249</v>
      </c>
      <c r="L789" s="4" t="str">
        <f>IF(AtlasReport_1_Table_1[[#This Row],[Reference]]="Purchase order",_xll.AtlasFormulas.AtlasFunctions.AtlasTable("UAT",DataAreaId,"T.VendInvoiceTrans","%RecId","","","","","","","ItemId|PurchID|InventTransId",$C789,$B789,$K789),"")</f>
        <v/>
      </c>
      <c r="M789" s="4" t="str">
        <f>IF(AtlasReport_1_Table_1[[#This Row],[Reference]]="Purchase order",_xll.AtlasFormulas.AtlasFunctions.AtlasTable("UAT",DataAreaId,"T.MarkupTrans","%CurrencyCode","","","","","","","MarkupCode|TransRecId|TransTableId","TPP",$L789,"492"),"")</f>
        <v/>
      </c>
      <c r="N789" s="4" t="str">
        <f>IF(AtlasReport_1_Table_1[[#This Row],[Reference]]="Purchase order",_xll.AtlasFormulas.AtlasFunctions.AtlasBalance("UAT",DataAreaId,"T.MarkupTrans","Sum|Posted|0","","","","","","","MarkupCode|TransTableId|TransRecId","TPP","492",$L789),"")</f>
        <v/>
      </c>
    </row>
    <row r="790" spans="1:14" x14ac:dyDescent="0.25">
      <c r="A790" s="8" t="s">
        <v>21</v>
      </c>
      <c r="B790" s="8" t="s">
        <v>2246</v>
      </c>
      <c r="C790" s="8" t="s">
        <v>57</v>
      </c>
      <c r="D790" s="8" t="s">
        <v>113</v>
      </c>
      <c r="E790" s="8" t="s">
        <v>261</v>
      </c>
      <c r="F790" s="8" t="s">
        <v>264</v>
      </c>
      <c r="G790" s="6">
        <v>43089</v>
      </c>
      <c r="H790" s="6">
        <v>43089</v>
      </c>
      <c r="I790" s="4">
        <v>-0.15</v>
      </c>
      <c r="J790" s="8" t="s">
        <v>39</v>
      </c>
      <c r="K790" s="8" t="s">
        <v>2250</v>
      </c>
      <c r="L790" s="4" t="str">
        <f>IF(AtlasReport_1_Table_1[[#This Row],[Reference]]="Purchase order",_xll.AtlasFormulas.AtlasFunctions.AtlasTable("UAT",DataAreaId,"T.VendInvoiceTrans","%RecId","","","","","","","ItemId|PurchID|InventTransId",$C790,$B790,$K790),"")</f>
        <v/>
      </c>
      <c r="M790" s="4" t="str">
        <f>IF(AtlasReport_1_Table_1[[#This Row],[Reference]]="Purchase order",_xll.AtlasFormulas.AtlasFunctions.AtlasTable("UAT",DataAreaId,"T.MarkupTrans","%CurrencyCode","","","","","","","MarkupCode|TransRecId|TransTableId","TPP",$L790,"492"),"")</f>
        <v/>
      </c>
      <c r="N790" s="4" t="str">
        <f>IF(AtlasReport_1_Table_1[[#This Row],[Reference]]="Purchase order",_xll.AtlasFormulas.AtlasFunctions.AtlasBalance("UAT",DataAreaId,"T.MarkupTrans","Sum|Posted|0","","","","","","","MarkupCode|TransTableId|TransRecId","TPP","492",$L790),"")</f>
        <v/>
      </c>
    </row>
    <row r="791" spans="1:14" x14ac:dyDescent="0.25">
      <c r="A791" s="8" t="s">
        <v>21</v>
      </c>
      <c r="B791" s="8" t="s">
        <v>2246</v>
      </c>
      <c r="C791" s="8" t="s">
        <v>57</v>
      </c>
      <c r="D791" s="8" t="s">
        <v>113</v>
      </c>
      <c r="E791" s="8" t="s">
        <v>261</v>
      </c>
      <c r="F791" s="8" t="s">
        <v>264</v>
      </c>
      <c r="G791" s="6">
        <v>43089</v>
      </c>
      <c r="H791" s="6">
        <v>43089</v>
      </c>
      <c r="I791" s="4">
        <v>-0.1</v>
      </c>
      <c r="J791" s="8" t="s">
        <v>39</v>
      </c>
      <c r="K791" s="8" t="s">
        <v>2251</v>
      </c>
      <c r="L791" s="4" t="str">
        <f>IF(AtlasReport_1_Table_1[[#This Row],[Reference]]="Purchase order",_xll.AtlasFormulas.AtlasFunctions.AtlasTable("UAT",DataAreaId,"T.VendInvoiceTrans","%RecId","","","","","","","ItemId|PurchID|InventTransId",$C791,$B791,$K791),"")</f>
        <v/>
      </c>
      <c r="M791" s="4" t="str">
        <f>IF(AtlasReport_1_Table_1[[#This Row],[Reference]]="Purchase order",_xll.AtlasFormulas.AtlasFunctions.AtlasTable("UAT",DataAreaId,"T.MarkupTrans","%CurrencyCode","","","","","","","MarkupCode|TransRecId|TransTableId","TPP",$L791,"492"),"")</f>
        <v/>
      </c>
      <c r="N791" s="4" t="str">
        <f>IF(AtlasReport_1_Table_1[[#This Row],[Reference]]="Purchase order",_xll.AtlasFormulas.AtlasFunctions.AtlasBalance("UAT",DataAreaId,"T.MarkupTrans","Sum|Posted|0","","","","","","","MarkupCode|TransTableId|TransRecId","TPP","492",$L791),"")</f>
        <v/>
      </c>
    </row>
    <row r="792" spans="1:14" x14ac:dyDescent="0.25">
      <c r="A792" s="8" t="s">
        <v>21</v>
      </c>
      <c r="B792" s="8" t="s">
        <v>2246</v>
      </c>
      <c r="C792" s="8" t="s">
        <v>57</v>
      </c>
      <c r="D792" s="8" t="s">
        <v>113</v>
      </c>
      <c r="E792" s="8" t="s">
        <v>261</v>
      </c>
      <c r="F792" s="8" t="s">
        <v>264</v>
      </c>
      <c r="G792" s="6">
        <v>43089</v>
      </c>
      <c r="H792" s="6">
        <v>43089</v>
      </c>
      <c r="I792" s="4">
        <v>2.37</v>
      </c>
      <c r="J792" s="8" t="s">
        <v>39</v>
      </c>
      <c r="K792" s="8" t="s">
        <v>2252</v>
      </c>
      <c r="L792" s="4" t="str">
        <f>IF(AtlasReport_1_Table_1[[#This Row],[Reference]]="Purchase order",_xll.AtlasFormulas.AtlasFunctions.AtlasTable("UAT",DataAreaId,"T.VendInvoiceTrans","%RecId","","","","","","","ItemId|PurchID|InventTransId",$C792,$B792,$K792),"")</f>
        <v/>
      </c>
      <c r="M792" s="4" t="str">
        <f>IF(AtlasReport_1_Table_1[[#This Row],[Reference]]="Purchase order",_xll.AtlasFormulas.AtlasFunctions.AtlasTable("UAT",DataAreaId,"T.MarkupTrans","%CurrencyCode","","","","","","","MarkupCode|TransRecId|TransTableId","TPP",$L792,"492"),"")</f>
        <v/>
      </c>
      <c r="N792" s="4" t="str">
        <f>IF(AtlasReport_1_Table_1[[#This Row],[Reference]]="Purchase order",_xll.AtlasFormulas.AtlasFunctions.AtlasBalance("UAT",DataAreaId,"T.MarkupTrans","Sum|Posted|0","","","","","","","MarkupCode|TransTableId|TransRecId","TPP","492",$L792),"")</f>
        <v/>
      </c>
    </row>
    <row r="793" spans="1:14" x14ac:dyDescent="0.25">
      <c r="A793" s="8" t="s">
        <v>21</v>
      </c>
      <c r="B793" s="8" t="s">
        <v>2246</v>
      </c>
      <c r="C793" s="8" t="s">
        <v>57</v>
      </c>
      <c r="D793" s="8" t="s">
        <v>113</v>
      </c>
      <c r="E793" s="8" t="s">
        <v>261</v>
      </c>
      <c r="F793" s="8" t="s">
        <v>264</v>
      </c>
      <c r="G793" s="6">
        <v>43089</v>
      </c>
      <c r="H793" s="6">
        <v>43089</v>
      </c>
      <c r="I793" s="4">
        <v>-1.24</v>
      </c>
      <c r="J793" s="8" t="s">
        <v>39</v>
      </c>
      <c r="K793" s="8" t="s">
        <v>2253</v>
      </c>
      <c r="L793" s="4" t="str">
        <f>IF(AtlasReport_1_Table_1[[#This Row],[Reference]]="Purchase order",_xll.AtlasFormulas.AtlasFunctions.AtlasTable("UAT",DataAreaId,"T.VendInvoiceTrans","%RecId","","","","","","","ItemId|PurchID|InventTransId",$C793,$B793,$K793),"")</f>
        <v/>
      </c>
      <c r="M793" s="4" t="str">
        <f>IF(AtlasReport_1_Table_1[[#This Row],[Reference]]="Purchase order",_xll.AtlasFormulas.AtlasFunctions.AtlasTable("UAT",DataAreaId,"T.MarkupTrans","%CurrencyCode","","","","","","","MarkupCode|TransRecId|TransTableId","TPP",$L793,"492"),"")</f>
        <v/>
      </c>
      <c r="N793" s="4" t="str">
        <f>IF(AtlasReport_1_Table_1[[#This Row],[Reference]]="Purchase order",_xll.AtlasFormulas.AtlasFunctions.AtlasBalance("UAT",DataAreaId,"T.MarkupTrans","Sum|Posted|0","","","","","","","MarkupCode|TransTableId|TransRecId","TPP","492",$L793),"")</f>
        <v/>
      </c>
    </row>
    <row r="794" spans="1:14" x14ac:dyDescent="0.25">
      <c r="A794" s="8" t="s">
        <v>21</v>
      </c>
      <c r="B794" s="8" t="s">
        <v>2246</v>
      </c>
      <c r="C794" s="8" t="s">
        <v>57</v>
      </c>
      <c r="D794" s="8" t="s">
        <v>113</v>
      </c>
      <c r="E794" s="8" t="s">
        <v>261</v>
      </c>
      <c r="F794" s="8" t="s">
        <v>264</v>
      </c>
      <c r="G794" s="6">
        <v>43089</v>
      </c>
      <c r="H794" s="6">
        <v>43089</v>
      </c>
      <c r="I794" s="4">
        <v>-0.08</v>
      </c>
      <c r="J794" s="8" t="s">
        <v>39</v>
      </c>
      <c r="K794" s="8" t="s">
        <v>2254</v>
      </c>
      <c r="L794" s="4" t="str">
        <f>IF(AtlasReport_1_Table_1[[#This Row],[Reference]]="Purchase order",_xll.AtlasFormulas.AtlasFunctions.AtlasTable("UAT",DataAreaId,"T.VendInvoiceTrans","%RecId","","","","","","","ItemId|PurchID|InventTransId",$C794,$B794,$K794),"")</f>
        <v/>
      </c>
      <c r="M794" s="4" t="str">
        <f>IF(AtlasReport_1_Table_1[[#This Row],[Reference]]="Purchase order",_xll.AtlasFormulas.AtlasFunctions.AtlasTable("UAT",DataAreaId,"T.MarkupTrans","%CurrencyCode","","","","","","","MarkupCode|TransRecId|TransTableId","TPP",$L794,"492"),"")</f>
        <v/>
      </c>
      <c r="N794" s="4" t="str">
        <f>IF(AtlasReport_1_Table_1[[#This Row],[Reference]]="Purchase order",_xll.AtlasFormulas.AtlasFunctions.AtlasBalance("UAT",DataAreaId,"T.MarkupTrans","Sum|Posted|0","","","","","","","MarkupCode|TransTableId|TransRecId","TPP","492",$L794),"")</f>
        <v/>
      </c>
    </row>
    <row r="795" spans="1:14" x14ac:dyDescent="0.25">
      <c r="A795" s="8" t="s">
        <v>21</v>
      </c>
      <c r="B795" s="8" t="s">
        <v>2246</v>
      </c>
      <c r="C795" s="8" t="s">
        <v>57</v>
      </c>
      <c r="D795" s="8" t="s">
        <v>113</v>
      </c>
      <c r="E795" s="8" t="s">
        <v>261</v>
      </c>
      <c r="F795" s="8" t="s">
        <v>264</v>
      </c>
      <c r="G795" s="6">
        <v>43089</v>
      </c>
      <c r="H795" s="6">
        <v>43089</v>
      </c>
      <c r="I795" s="4">
        <v>2.2999999999999998</v>
      </c>
      <c r="J795" s="8" t="s">
        <v>39</v>
      </c>
      <c r="K795" s="8" t="s">
        <v>2255</v>
      </c>
      <c r="L795" s="4" t="str">
        <f>IF(AtlasReport_1_Table_1[[#This Row],[Reference]]="Purchase order",_xll.AtlasFormulas.AtlasFunctions.AtlasTable("UAT",DataAreaId,"T.VendInvoiceTrans","%RecId","","","","","","","ItemId|PurchID|InventTransId",$C795,$B795,$K795),"")</f>
        <v/>
      </c>
      <c r="M795" s="4" t="str">
        <f>IF(AtlasReport_1_Table_1[[#This Row],[Reference]]="Purchase order",_xll.AtlasFormulas.AtlasFunctions.AtlasTable("UAT",DataAreaId,"T.MarkupTrans","%CurrencyCode","","","","","","","MarkupCode|TransRecId|TransTableId","TPP",$L795,"492"),"")</f>
        <v/>
      </c>
      <c r="N795" s="4" t="str">
        <f>IF(AtlasReport_1_Table_1[[#This Row],[Reference]]="Purchase order",_xll.AtlasFormulas.AtlasFunctions.AtlasBalance("UAT",DataAreaId,"T.MarkupTrans","Sum|Posted|0","","","","","","","MarkupCode|TransTableId|TransRecId","TPP","492",$L795),"")</f>
        <v/>
      </c>
    </row>
    <row r="796" spans="1:14" x14ac:dyDescent="0.25">
      <c r="A796" s="8" t="s">
        <v>21</v>
      </c>
      <c r="B796" s="8" t="s">
        <v>2246</v>
      </c>
      <c r="C796" s="8" t="s">
        <v>57</v>
      </c>
      <c r="D796" s="8" t="s">
        <v>113</v>
      </c>
      <c r="E796" s="8" t="s">
        <v>261</v>
      </c>
      <c r="F796" s="8" t="s">
        <v>264</v>
      </c>
      <c r="G796" s="6">
        <v>43089</v>
      </c>
      <c r="H796" s="6">
        <v>43089</v>
      </c>
      <c r="I796" s="4">
        <v>1.7</v>
      </c>
      <c r="J796" s="8" t="s">
        <v>39</v>
      </c>
      <c r="K796" s="8" t="s">
        <v>2256</v>
      </c>
      <c r="L796" s="4" t="str">
        <f>IF(AtlasReport_1_Table_1[[#This Row],[Reference]]="Purchase order",_xll.AtlasFormulas.AtlasFunctions.AtlasTable("UAT",DataAreaId,"T.VendInvoiceTrans","%RecId","","","","","","","ItemId|PurchID|InventTransId",$C796,$B796,$K796),"")</f>
        <v/>
      </c>
      <c r="M796" s="4" t="str">
        <f>IF(AtlasReport_1_Table_1[[#This Row],[Reference]]="Purchase order",_xll.AtlasFormulas.AtlasFunctions.AtlasTable("UAT",DataAreaId,"T.MarkupTrans","%CurrencyCode","","","","","","","MarkupCode|TransRecId|TransTableId","TPP",$L796,"492"),"")</f>
        <v/>
      </c>
      <c r="N796" s="4" t="str">
        <f>IF(AtlasReport_1_Table_1[[#This Row],[Reference]]="Purchase order",_xll.AtlasFormulas.AtlasFunctions.AtlasBalance("UAT",DataAreaId,"T.MarkupTrans","Sum|Posted|0","","","","","","","MarkupCode|TransTableId|TransRecId","TPP","492",$L796),"")</f>
        <v/>
      </c>
    </row>
    <row r="797" spans="1:14" x14ac:dyDescent="0.25">
      <c r="A797" s="8" t="s">
        <v>21</v>
      </c>
      <c r="B797" s="8" t="s">
        <v>2246</v>
      </c>
      <c r="C797" s="8" t="s">
        <v>57</v>
      </c>
      <c r="D797" s="8" t="s">
        <v>113</v>
      </c>
      <c r="E797" s="8" t="s">
        <v>261</v>
      </c>
      <c r="F797" s="8" t="s">
        <v>264</v>
      </c>
      <c r="G797" s="6">
        <v>43089</v>
      </c>
      <c r="H797" s="6">
        <v>43089</v>
      </c>
      <c r="I797" s="4">
        <v>2.09</v>
      </c>
      <c r="J797" s="8" t="s">
        <v>39</v>
      </c>
      <c r="K797" s="8" t="s">
        <v>2257</v>
      </c>
      <c r="L797" s="4" t="str">
        <f>IF(AtlasReport_1_Table_1[[#This Row],[Reference]]="Purchase order",_xll.AtlasFormulas.AtlasFunctions.AtlasTable("UAT",DataAreaId,"T.VendInvoiceTrans","%RecId","","","","","","","ItemId|PurchID|InventTransId",$C797,$B797,$K797),"")</f>
        <v/>
      </c>
      <c r="M797" s="4" t="str">
        <f>IF(AtlasReport_1_Table_1[[#This Row],[Reference]]="Purchase order",_xll.AtlasFormulas.AtlasFunctions.AtlasTable("UAT",DataAreaId,"T.MarkupTrans","%CurrencyCode","","","","","","","MarkupCode|TransRecId|TransTableId","TPP",$L797,"492"),"")</f>
        <v/>
      </c>
      <c r="N797" s="4" t="str">
        <f>IF(AtlasReport_1_Table_1[[#This Row],[Reference]]="Purchase order",_xll.AtlasFormulas.AtlasFunctions.AtlasBalance("UAT",DataAreaId,"T.MarkupTrans","Sum|Posted|0","","","","","","","MarkupCode|TransTableId|TransRecId","TPP","492",$L797),"")</f>
        <v/>
      </c>
    </row>
    <row r="798" spans="1:14" x14ac:dyDescent="0.25">
      <c r="A798" s="8" t="s">
        <v>21</v>
      </c>
      <c r="B798" s="8" t="s">
        <v>2258</v>
      </c>
      <c r="C798" s="8" t="s">
        <v>99</v>
      </c>
      <c r="D798" s="8" t="s">
        <v>100</v>
      </c>
      <c r="E798" s="8" t="s">
        <v>261</v>
      </c>
      <c r="F798" s="8" t="s">
        <v>264</v>
      </c>
      <c r="G798" s="6">
        <v>43089</v>
      </c>
      <c r="H798" s="6">
        <v>43089</v>
      </c>
      <c r="I798" s="4">
        <v>2.52</v>
      </c>
      <c r="J798" s="8" t="s">
        <v>39</v>
      </c>
      <c r="K798" s="8" t="s">
        <v>2259</v>
      </c>
      <c r="L798" s="4" t="str">
        <f>IF(AtlasReport_1_Table_1[[#This Row],[Reference]]="Purchase order",_xll.AtlasFormulas.AtlasFunctions.AtlasTable("UAT",DataAreaId,"T.VendInvoiceTrans","%RecId","","","","","","","ItemId|PurchID|InventTransId",$C798,$B798,$K798),"")</f>
        <v/>
      </c>
      <c r="M798" s="4" t="str">
        <f>IF(AtlasReport_1_Table_1[[#This Row],[Reference]]="Purchase order",_xll.AtlasFormulas.AtlasFunctions.AtlasTable("UAT",DataAreaId,"T.MarkupTrans","%CurrencyCode","","","","","","","MarkupCode|TransRecId|TransTableId","TPP",$L798,"492"),"")</f>
        <v/>
      </c>
      <c r="N798" s="4" t="str">
        <f>IF(AtlasReport_1_Table_1[[#This Row],[Reference]]="Purchase order",_xll.AtlasFormulas.AtlasFunctions.AtlasBalance("UAT",DataAreaId,"T.MarkupTrans","Sum|Posted|0","","","","","","","MarkupCode|TransTableId|TransRecId","TPP","492",$L798),"")</f>
        <v/>
      </c>
    </row>
    <row r="799" spans="1:14" x14ac:dyDescent="0.25">
      <c r="A799" s="8" t="s">
        <v>21</v>
      </c>
      <c r="B799" s="8" t="s">
        <v>2258</v>
      </c>
      <c r="C799" s="8" t="s">
        <v>99</v>
      </c>
      <c r="D799" s="8" t="s">
        <v>100</v>
      </c>
      <c r="E799" s="8" t="s">
        <v>261</v>
      </c>
      <c r="F799" s="8" t="s">
        <v>264</v>
      </c>
      <c r="G799" s="6">
        <v>43089</v>
      </c>
      <c r="H799" s="6">
        <v>43089</v>
      </c>
      <c r="I799" s="4">
        <v>-1.86</v>
      </c>
      <c r="J799" s="8" t="s">
        <v>39</v>
      </c>
      <c r="K799" s="8" t="s">
        <v>2260</v>
      </c>
      <c r="L799" s="4" t="str">
        <f>IF(AtlasReport_1_Table_1[[#This Row],[Reference]]="Purchase order",_xll.AtlasFormulas.AtlasFunctions.AtlasTable("UAT",DataAreaId,"T.VendInvoiceTrans","%RecId","","","","","","","ItemId|PurchID|InventTransId",$C799,$B799,$K799),"")</f>
        <v/>
      </c>
      <c r="M799" s="4" t="str">
        <f>IF(AtlasReport_1_Table_1[[#This Row],[Reference]]="Purchase order",_xll.AtlasFormulas.AtlasFunctions.AtlasTable("UAT",DataAreaId,"T.MarkupTrans","%CurrencyCode","","","","","","","MarkupCode|TransRecId|TransTableId","TPP",$L799,"492"),"")</f>
        <v/>
      </c>
      <c r="N799" s="4" t="str">
        <f>IF(AtlasReport_1_Table_1[[#This Row],[Reference]]="Purchase order",_xll.AtlasFormulas.AtlasFunctions.AtlasBalance("UAT",DataAreaId,"T.MarkupTrans","Sum|Posted|0","","","","","","","MarkupCode|TransTableId|TransRecId","TPP","492",$L799),"")</f>
        <v/>
      </c>
    </row>
    <row r="800" spans="1:14" x14ac:dyDescent="0.25">
      <c r="A800" s="8" t="s">
        <v>21</v>
      </c>
      <c r="B800" s="8" t="s">
        <v>2258</v>
      </c>
      <c r="C800" s="8" t="s">
        <v>99</v>
      </c>
      <c r="D800" s="8" t="s">
        <v>100</v>
      </c>
      <c r="E800" s="8" t="s">
        <v>261</v>
      </c>
      <c r="F800" s="8" t="s">
        <v>264</v>
      </c>
      <c r="G800" s="6">
        <v>43089</v>
      </c>
      <c r="H800" s="6">
        <v>43089</v>
      </c>
      <c r="I800" s="4">
        <v>-0.75</v>
      </c>
      <c r="J800" s="8" t="s">
        <v>39</v>
      </c>
      <c r="K800" s="8" t="s">
        <v>2261</v>
      </c>
      <c r="L800" s="4" t="str">
        <f>IF(AtlasReport_1_Table_1[[#This Row],[Reference]]="Purchase order",_xll.AtlasFormulas.AtlasFunctions.AtlasTable("UAT",DataAreaId,"T.VendInvoiceTrans","%RecId","","","","","","","ItemId|PurchID|InventTransId",$C800,$B800,$K800),"")</f>
        <v/>
      </c>
      <c r="M800" s="4" t="str">
        <f>IF(AtlasReport_1_Table_1[[#This Row],[Reference]]="Purchase order",_xll.AtlasFormulas.AtlasFunctions.AtlasTable("UAT",DataAreaId,"T.MarkupTrans","%CurrencyCode","","","","","","","MarkupCode|TransRecId|TransTableId","TPP",$L800,"492"),"")</f>
        <v/>
      </c>
      <c r="N800" s="4" t="str">
        <f>IF(AtlasReport_1_Table_1[[#This Row],[Reference]]="Purchase order",_xll.AtlasFormulas.AtlasFunctions.AtlasBalance("UAT",DataAreaId,"T.MarkupTrans","Sum|Posted|0","","","","","","","MarkupCode|TransTableId|TransRecId","TPP","492",$L800),"")</f>
        <v/>
      </c>
    </row>
    <row r="801" spans="1:14" x14ac:dyDescent="0.25">
      <c r="A801" s="8" t="s">
        <v>21</v>
      </c>
      <c r="B801" s="8" t="s">
        <v>2258</v>
      </c>
      <c r="C801" s="8" t="s">
        <v>99</v>
      </c>
      <c r="D801" s="8" t="s">
        <v>100</v>
      </c>
      <c r="E801" s="8" t="s">
        <v>261</v>
      </c>
      <c r="F801" s="8" t="s">
        <v>264</v>
      </c>
      <c r="G801" s="6">
        <v>43089</v>
      </c>
      <c r="H801" s="6">
        <v>43089</v>
      </c>
      <c r="I801" s="4">
        <v>-0.16</v>
      </c>
      <c r="J801" s="8" t="s">
        <v>39</v>
      </c>
      <c r="K801" s="8" t="s">
        <v>2262</v>
      </c>
      <c r="L801" s="4" t="str">
        <f>IF(AtlasReport_1_Table_1[[#This Row],[Reference]]="Purchase order",_xll.AtlasFormulas.AtlasFunctions.AtlasTable("UAT",DataAreaId,"T.VendInvoiceTrans","%RecId","","","","","","","ItemId|PurchID|InventTransId",$C801,$B801,$K801),"")</f>
        <v/>
      </c>
      <c r="M801" s="4" t="str">
        <f>IF(AtlasReport_1_Table_1[[#This Row],[Reference]]="Purchase order",_xll.AtlasFormulas.AtlasFunctions.AtlasTable("UAT",DataAreaId,"T.MarkupTrans","%CurrencyCode","","","","","","","MarkupCode|TransRecId|TransTableId","TPP",$L801,"492"),"")</f>
        <v/>
      </c>
      <c r="N801" s="4" t="str">
        <f>IF(AtlasReport_1_Table_1[[#This Row],[Reference]]="Purchase order",_xll.AtlasFormulas.AtlasFunctions.AtlasBalance("UAT",DataAreaId,"T.MarkupTrans","Sum|Posted|0","","","","","","","MarkupCode|TransTableId|TransRecId","TPP","492",$L801),"")</f>
        <v/>
      </c>
    </row>
    <row r="802" spans="1:14" x14ac:dyDescent="0.25">
      <c r="A802" s="8" t="s">
        <v>21</v>
      </c>
      <c r="B802" s="8" t="s">
        <v>2258</v>
      </c>
      <c r="C802" s="8" t="s">
        <v>99</v>
      </c>
      <c r="D802" s="8" t="s">
        <v>100</v>
      </c>
      <c r="E802" s="8" t="s">
        <v>261</v>
      </c>
      <c r="F802" s="8" t="s">
        <v>264</v>
      </c>
      <c r="G802" s="6">
        <v>43089</v>
      </c>
      <c r="H802" s="6">
        <v>43089</v>
      </c>
      <c r="I802" s="4">
        <v>-0.55000000000000004</v>
      </c>
      <c r="J802" s="8" t="s">
        <v>39</v>
      </c>
      <c r="K802" s="8" t="s">
        <v>2263</v>
      </c>
      <c r="L802" s="4" t="str">
        <f>IF(AtlasReport_1_Table_1[[#This Row],[Reference]]="Purchase order",_xll.AtlasFormulas.AtlasFunctions.AtlasTable("UAT",DataAreaId,"T.VendInvoiceTrans","%RecId","","","","","","","ItemId|PurchID|InventTransId",$C802,$B802,$K802),"")</f>
        <v/>
      </c>
      <c r="M802" s="4" t="str">
        <f>IF(AtlasReport_1_Table_1[[#This Row],[Reference]]="Purchase order",_xll.AtlasFormulas.AtlasFunctions.AtlasTable("UAT",DataAreaId,"T.MarkupTrans","%CurrencyCode","","","","","","","MarkupCode|TransRecId|TransTableId","TPP",$L802,"492"),"")</f>
        <v/>
      </c>
      <c r="N802" s="4" t="str">
        <f>IF(AtlasReport_1_Table_1[[#This Row],[Reference]]="Purchase order",_xll.AtlasFormulas.AtlasFunctions.AtlasBalance("UAT",DataAreaId,"T.MarkupTrans","Sum|Posted|0","","","","","","","MarkupCode|TransTableId|TransRecId","TPP","492",$L802),"")</f>
        <v/>
      </c>
    </row>
    <row r="803" spans="1:14" x14ac:dyDescent="0.25">
      <c r="A803" s="8" t="s">
        <v>21</v>
      </c>
      <c r="B803" s="8" t="s">
        <v>2258</v>
      </c>
      <c r="C803" s="8" t="s">
        <v>99</v>
      </c>
      <c r="D803" s="8" t="s">
        <v>100</v>
      </c>
      <c r="E803" s="8" t="s">
        <v>261</v>
      </c>
      <c r="F803" s="8" t="s">
        <v>264</v>
      </c>
      <c r="G803" s="6">
        <v>43089</v>
      </c>
      <c r="H803" s="6">
        <v>43089</v>
      </c>
      <c r="I803" s="4">
        <v>-0.21</v>
      </c>
      <c r="J803" s="8" t="s">
        <v>39</v>
      </c>
      <c r="K803" s="8" t="s">
        <v>2264</v>
      </c>
      <c r="L803" s="4" t="str">
        <f>IF(AtlasReport_1_Table_1[[#This Row],[Reference]]="Purchase order",_xll.AtlasFormulas.AtlasFunctions.AtlasTable("UAT",DataAreaId,"T.VendInvoiceTrans","%RecId","","","","","","","ItemId|PurchID|InventTransId",$C803,$B803,$K803),"")</f>
        <v/>
      </c>
      <c r="M803" s="4" t="str">
        <f>IF(AtlasReport_1_Table_1[[#This Row],[Reference]]="Purchase order",_xll.AtlasFormulas.AtlasFunctions.AtlasTable("UAT",DataAreaId,"T.MarkupTrans","%CurrencyCode","","","","","","","MarkupCode|TransRecId|TransTableId","TPP",$L803,"492"),"")</f>
        <v/>
      </c>
      <c r="N803" s="4" t="str">
        <f>IF(AtlasReport_1_Table_1[[#This Row],[Reference]]="Purchase order",_xll.AtlasFormulas.AtlasFunctions.AtlasBalance("UAT",DataAreaId,"T.MarkupTrans","Sum|Posted|0","","","","","","","MarkupCode|TransTableId|TransRecId","TPP","492",$L803),"")</f>
        <v/>
      </c>
    </row>
    <row r="804" spans="1:14" x14ac:dyDescent="0.25">
      <c r="A804" s="8" t="s">
        <v>21</v>
      </c>
      <c r="B804" s="8" t="s">
        <v>2258</v>
      </c>
      <c r="C804" s="8" t="s">
        <v>99</v>
      </c>
      <c r="D804" s="8" t="s">
        <v>100</v>
      </c>
      <c r="E804" s="8" t="s">
        <v>261</v>
      </c>
      <c r="F804" s="8" t="s">
        <v>264</v>
      </c>
      <c r="G804" s="6">
        <v>43089</v>
      </c>
      <c r="H804" s="6">
        <v>43089</v>
      </c>
      <c r="I804" s="4">
        <v>-0.3</v>
      </c>
      <c r="J804" s="8" t="s">
        <v>39</v>
      </c>
      <c r="K804" s="8" t="s">
        <v>2265</v>
      </c>
      <c r="L804" s="4" t="str">
        <f>IF(AtlasReport_1_Table_1[[#This Row],[Reference]]="Purchase order",_xll.AtlasFormulas.AtlasFunctions.AtlasTable("UAT",DataAreaId,"T.VendInvoiceTrans","%RecId","","","","","","","ItemId|PurchID|InventTransId",$C804,$B804,$K804),"")</f>
        <v/>
      </c>
      <c r="M804" s="4" t="str">
        <f>IF(AtlasReport_1_Table_1[[#This Row],[Reference]]="Purchase order",_xll.AtlasFormulas.AtlasFunctions.AtlasTable("UAT",DataAreaId,"T.MarkupTrans","%CurrencyCode","","","","","","","MarkupCode|TransRecId|TransTableId","TPP",$L804,"492"),"")</f>
        <v/>
      </c>
      <c r="N804" s="4" t="str">
        <f>IF(AtlasReport_1_Table_1[[#This Row],[Reference]]="Purchase order",_xll.AtlasFormulas.AtlasFunctions.AtlasBalance("UAT",DataAreaId,"T.MarkupTrans","Sum|Posted|0","","","","","","","MarkupCode|TransTableId|TransRecId","TPP","492",$L804),"")</f>
        <v/>
      </c>
    </row>
    <row r="805" spans="1:14" x14ac:dyDescent="0.25">
      <c r="A805" s="8" t="s">
        <v>21</v>
      </c>
      <c r="B805" s="8" t="s">
        <v>2258</v>
      </c>
      <c r="C805" s="8" t="s">
        <v>99</v>
      </c>
      <c r="D805" s="8" t="s">
        <v>100</v>
      </c>
      <c r="E805" s="8" t="s">
        <v>261</v>
      </c>
      <c r="F805" s="8" t="s">
        <v>264</v>
      </c>
      <c r="G805" s="6">
        <v>43089</v>
      </c>
      <c r="H805" s="6">
        <v>43089</v>
      </c>
      <c r="I805" s="4">
        <v>1.21</v>
      </c>
      <c r="J805" s="8" t="s">
        <v>39</v>
      </c>
      <c r="K805" s="8" t="s">
        <v>2266</v>
      </c>
      <c r="L805" s="4" t="str">
        <f>IF(AtlasReport_1_Table_1[[#This Row],[Reference]]="Purchase order",_xll.AtlasFormulas.AtlasFunctions.AtlasTable("UAT",DataAreaId,"T.VendInvoiceTrans","%RecId","","","","","","","ItemId|PurchID|InventTransId",$C805,$B805,$K805),"")</f>
        <v/>
      </c>
      <c r="M805" s="4" t="str">
        <f>IF(AtlasReport_1_Table_1[[#This Row],[Reference]]="Purchase order",_xll.AtlasFormulas.AtlasFunctions.AtlasTable("UAT",DataAreaId,"T.MarkupTrans","%CurrencyCode","","","","","","","MarkupCode|TransRecId|TransTableId","TPP",$L805,"492"),"")</f>
        <v/>
      </c>
      <c r="N805" s="4" t="str">
        <f>IF(AtlasReport_1_Table_1[[#This Row],[Reference]]="Purchase order",_xll.AtlasFormulas.AtlasFunctions.AtlasBalance("UAT",DataAreaId,"T.MarkupTrans","Sum|Posted|0","","","","","","","MarkupCode|TransTableId|TransRecId","TPP","492",$L805),"")</f>
        <v/>
      </c>
    </row>
    <row r="806" spans="1:14" x14ac:dyDescent="0.25">
      <c r="A806" s="8" t="s">
        <v>21</v>
      </c>
      <c r="B806" s="8" t="s">
        <v>2267</v>
      </c>
      <c r="C806" s="8" t="s">
        <v>111</v>
      </c>
      <c r="D806" s="8" t="s">
        <v>112</v>
      </c>
      <c r="E806" s="8" t="s">
        <v>261</v>
      </c>
      <c r="F806" s="8" t="s">
        <v>264</v>
      </c>
      <c r="G806" s="6">
        <v>43089</v>
      </c>
      <c r="H806" s="6">
        <v>43089</v>
      </c>
      <c r="I806" s="4">
        <v>-4.5999999999999996</v>
      </c>
      <c r="J806" s="8" t="s">
        <v>39</v>
      </c>
      <c r="K806" s="8" t="s">
        <v>2268</v>
      </c>
      <c r="L806" s="4" t="str">
        <f>IF(AtlasReport_1_Table_1[[#This Row],[Reference]]="Purchase order",_xll.AtlasFormulas.AtlasFunctions.AtlasTable("UAT",DataAreaId,"T.VendInvoiceTrans","%RecId","","","","","","","ItemId|PurchID|InventTransId",$C806,$B806,$K806),"")</f>
        <v/>
      </c>
      <c r="M806" s="4" t="str">
        <f>IF(AtlasReport_1_Table_1[[#This Row],[Reference]]="Purchase order",_xll.AtlasFormulas.AtlasFunctions.AtlasTable("UAT",DataAreaId,"T.MarkupTrans","%CurrencyCode","","","","","","","MarkupCode|TransRecId|TransTableId","TPP",$L806,"492"),"")</f>
        <v/>
      </c>
      <c r="N806" s="4" t="str">
        <f>IF(AtlasReport_1_Table_1[[#This Row],[Reference]]="Purchase order",_xll.AtlasFormulas.AtlasFunctions.AtlasBalance("UAT",DataAreaId,"T.MarkupTrans","Sum|Posted|0","","","","","","","MarkupCode|TransTableId|TransRecId","TPP","492",$L806),"")</f>
        <v/>
      </c>
    </row>
    <row r="807" spans="1:14" x14ac:dyDescent="0.25">
      <c r="A807" s="8" t="s">
        <v>21</v>
      </c>
      <c r="B807" s="8" t="s">
        <v>2267</v>
      </c>
      <c r="C807" s="8" t="s">
        <v>111</v>
      </c>
      <c r="D807" s="8" t="s">
        <v>112</v>
      </c>
      <c r="E807" s="8" t="s">
        <v>261</v>
      </c>
      <c r="F807" s="8" t="s">
        <v>264</v>
      </c>
      <c r="G807" s="6">
        <v>43089</v>
      </c>
      <c r="H807" s="6">
        <v>43089</v>
      </c>
      <c r="I807" s="4">
        <v>-0.9</v>
      </c>
      <c r="J807" s="8" t="s">
        <v>39</v>
      </c>
      <c r="K807" s="8" t="s">
        <v>2269</v>
      </c>
      <c r="L807" s="4" t="str">
        <f>IF(AtlasReport_1_Table_1[[#This Row],[Reference]]="Purchase order",_xll.AtlasFormulas.AtlasFunctions.AtlasTable("UAT",DataAreaId,"T.VendInvoiceTrans","%RecId","","","","","","","ItemId|PurchID|InventTransId",$C807,$B807,$K807),"")</f>
        <v/>
      </c>
      <c r="M807" s="4" t="str">
        <f>IF(AtlasReport_1_Table_1[[#This Row],[Reference]]="Purchase order",_xll.AtlasFormulas.AtlasFunctions.AtlasTable("UAT",DataAreaId,"T.MarkupTrans","%CurrencyCode","","","","","","","MarkupCode|TransRecId|TransTableId","TPP",$L807,"492"),"")</f>
        <v/>
      </c>
      <c r="N807" s="4" t="str">
        <f>IF(AtlasReport_1_Table_1[[#This Row],[Reference]]="Purchase order",_xll.AtlasFormulas.AtlasFunctions.AtlasBalance("UAT",DataAreaId,"T.MarkupTrans","Sum|Posted|0","","","","","","","MarkupCode|TransTableId|TransRecId","TPP","492",$L807),"")</f>
        <v/>
      </c>
    </row>
    <row r="808" spans="1:14" x14ac:dyDescent="0.25">
      <c r="A808" s="8" t="s">
        <v>21</v>
      </c>
      <c r="B808" s="8" t="s">
        <v>2267</v>
      </c>
      <c r="C808" s="8" t="s">
        <v>111</v>
      </c>
      <c r="D808" s="8" t="s">
        <v>112</v>
      </c>
      <c r="E808" s="8" t="s">
        <v>261</v>
      </c>
      <c r="F808" s="8" t="s">
        <v>264</v>
      </c>
      <c r="G808" s="6">
        <v>43089</v>
      </c>
      <c r="H808" s="6">
        <v>43089</v>
      </c>
      <c r="I808" s="4">
        <v>-1.8699999999999999</v>
      </c>
      <c r="J808" s="8" t="s">
        <v>39</v>
      </c>
      <c r="K808" s="8" t="s">
        <v>2270</v>
      </c>
      <c r="L808" s="4" t="str">
        <f>IF(AtlasReport_1_Table_1[[#This Row],[Reference]]="Purchase order",_xll.AtlasFormulas.AtlasFunctions.AtlasTable("UAT",DataAreaId,"T.VendInvoiceTrans","%RecId","","","","","","","ItemId|PurchID|InventTransId",$C808,$B808,$K808),"")</f>
        <v/>
      </c>
      <c r="M808" s="4" t="str">
        <f>IF(AtlasReport_1_Table_1[[#This Row],[Reference]]="Purchase order",_xll.AtlasFormulas.AtlasFunctions.AtlasTable("UAT",DataAreaId,"T.MarkupTrans","%CurrencyCode","","","","","","","MarkupCode|TransRecId|TransTableId","TPP",$L808,"492"),"")</f>
        <v/>
      </c>
      <c r="N808" s="4" t="str">
        <f>IF(AtlasReport_1_Table_1[[#This Row],[Reference]]="Purchase order",_xll.AtlasFormulas.AtlasFunctions.AtlasBalance("UAT",DataAreaId,"T.MarkupTrans","Sum|Posted|0","","","","","","","MarkupCode|TransTableId|TransRecId","TPP","492",$L808),"")</f>
        <v/>
      </c>
    </row>
    <row r="809" spans="1:14" x14ac:dyDescent="0.25">
      <c r="A809" s="8" t="s">
        <v>21</v>
      </c>
      <c r="B809" s="8" t="s">
        <v>2267</v>
      </c>
      <c r="C809" s="8" t="s">
        <v>111</v>
      </c>
      <c r="D809" s="8" t="s">
        <v>112</v>
      </c>
      <c r="E809" s="8" t="s">
        <v>261</v>
      </c>
      <c r="F809" s="8" t="s">
        <v>264</v>
      </c>
      <c r="G809" s="6">
        <v>43089</v>
      </c>
      <c r="H809" s="6">
        <v>43089</v>
      </c>
      <c r="I809" s="4">
        <v>-0.25</v>
      </c>
      <c r="J809" s="8" t="s">
        <v>39</v>
      </c>
      <c r="K809" s="8" t="s">
        <v>2271</v>
      </c>
      <c r="L809" s="4" t="str">
        <f>IF(AtlasReport_1_Table_1[[#This Row],[Reference]]="Purchase order",_xll.AtlasFormulas.AtlasFunctions.AtlasTable("UAT",DataAreaId,"T.VendInvoiceTrans","%RecId","","","","","","","ItemId|PurchID|InventTransId",$C809,$B809,$K809),"")</f>
        <v/>
      </c>
      <c r="M809" s="4" t="str">
        <f>IF(AtlasReport_1_Table_1[[#This Row],[Reference]]="Purchase order",_xll.AtlasFormulas.AtlasFunctions.AtlasTable("UAT",DataAreaId,"T.MarkupTrans","%CurrencyCode","","","","","","","MarkupCode|TransRecId|TransTableId","TPP",$L809,"492"),"")</f>
        <v/>
      </c>
      <c r="N809" s="4" t="str">
        <f>IF(AtlasReport_1_Table_1[[#This Row],[Reference]]="Purchase order",_xll.AtlasFormulas.AtlasFunctions.AtlasBalance("UAT",DataAreaId,"T.MarkupTrans","Sum|Posted|0","","","","","","","MarkupCode|TransTableId|TransRecId","TPP","492",$L809),"")</f>
        <v/>
      </c>
    </row>
    <row r="810" spans="1:14" x14ac:dyDescent="0.25">
      <c r="A810" s="8" t="s">
        <v>21</v>
      </c>
      <c r="B810" s="8" t="s">
        <v>2267</v>
      </c>
      <c r="C810" s="8" t="s">
        <v>111</v>
      </c>
      <c r="D810" s="8" t="s">
        <v>112</v>
      </c>
      <c r="E810" s="8" t="s">
        <v>261</v>
      </c>
      <c r="F810" s="8" t="s">
        <v>264</v>
      </c>
      <c r="G810" s="6">
        <v>43089</v>
      </c>
      <c r="H810" s="6">
        <v>43089</v>
      </c>
      <c r="I810" s="4">
        <v>-3.6700000000000004</v>
      </c>
      <c r="J810" s="8" t="s">
        <v>39</v>
      </c>
      <c r="K810" s="8" t="s">
        <v>2272</v>
      </c>
      <c r="L810" s="4" t="str">
        <f>IF(AtlasReport_1_Table_1[[#This Row],[Reference]]="Purchase order",_xll.AtlasFormulas.AtlasFunctions.AtlasTable("UAT",DataAreaId,"T.VendInvoiceTrans","%RecId","","","","","","","ItemId|PurchID|InventTransId",$C810,$B810,$K810),"")</f>
        <v/>
      </c>
      <c r="M810" s="4" t="str">
        <f>IF(AtlasReport_1_Table_1[[#This Row],[Reference]]="Purchase order",_xll.AtlasFormulas.AtlasFunctions.AtlasTable("UAT",DataAreaId,"T.MarkupTrans","%CurrencyCode","","","","","","","MarkupCode|TransRecId|TransTableId","TPP",$L810,"492"),"")</f>
        <v/>
      </c>
      <c r="N810" s="4" t="str">
        <f>IF(AtlasReport_1_Table_1[[#This Row],[Reference]]="Purchase order",_xll.AtlasFormulas.AtlasFunctions.AtlasBalance("UAT",DataAreaId,"T.MarkupTrans","Sum|Posted|0","","","","","","","MarkupCode|TransTableId|TransRecId","TPP","492",$L810),"")</f>
        <v/>
      </c>
    </row>
    <row r="811" spans="1:14" x14ac:dyDescent="0.25">
      <c r="A811" s="8" t="s">
        <v>21</v>
      </c>
      <c r="B811" s="8" t="s">
        <v>2267</v>
      </c>
      <c r="C811" s="8" t="s">
        <v>111</v>
      </c>
      <c r="D811" s="8" t="s">
        <v>112</v>
      </c>
      <c r="E811" s="8" t="s">
        <v>261</v>
      </c>
      <c r="F811" s="8" t="s">
        <v>264</v>
      </c>
      <c r="G811" s="6">
        <v>43089</v>
      </c>
      <c r="H811" s="6">
        <v>43089</v>
      </c>
      <c r="I811" s="4">
        <v>-3.35</v>
      </c>
      <c r="J811" s="8" t="s">
        <v>39</v>
      </c>
      <c r="K811" s="8" t="s">
        <v>2273</v>
      </c>
      <c r="L811" s="4" t="str">
        <f>IF(AtlasReport_1_Table_1[[#This Row],[Reference]]="Purchase order",_xll.AtlasFormulas.AtlasFunctions.AtlasTable("UAT",DataAreaId,"T.VendInvoiceTrans","%RecId","","","","","","","ItemId|PurchID|InventTransId",$C811,$B811,$K811),"")</f>
        <v/>
      </c>
      <c r="M811" s="4" t="str">
        <f>IF(AtlasReport_1_Table_1[[#This Row],[Reference]]="Purchase order",_xll.AtlasFormulas.AtlasFunctions.AtlasTable("UAT",DataAreaId,"T.MarkupTrans","%CurrencyCode","","","","","","","MarkupCode|TransRecId|TransTableId","TPP",$L811,"492"),"")</f>
        <v/>
      </c>
      <c r="N811" s="4" t="str">
        <f>IF(AtlasReport_1_Table_1[[#This Row],[Reference]]="Purchase order",_xll.AtlasFormulas.AtlasFunctions.AtlasBalance("UAT",DataAreaId,"T.MarkupTrans","Sum|Posted|0","","","","","","","MarkupCode|TransTableId|TransRecId","TPP","492",$L811),"")</f>
        <v/>
      </c>
    </row>
    <row r="812" spans="1:14" x14ac:dyDescent="0.25">
      <c r="A812" s="8" t="s">
        <v>21</v>
      </c>
      <c r="B812" s="8" t="s">
        <v>2267</v>
      </c>
      <c r="C812" s="8" t="s">
        <v>111</v>
      </c>
      <c r="D812" s="8" t="s">
        <v>112</v>
      </c>
      <c r="E812" s="8" t="s">
        <v>261</v>
      </c>
      <c r="F812" s="8" t="s">
        <v>264</v>
      </c>
      <c r="G812" s="6">
        <v>43089</v>
      </c>
      <c r="H812" s="6">
        <v>43089</v>
      </c>
      <c r="I812" s="4">
        <v>-1.17</v>
      </c>
      <c r="J812" s="8" t="s">
        <v>39</v>
      </c>
      <c r="K812" s="8" t="s">
        <v>2274</v>
      </c>
      <c r="L812" s="4" t="str">
        <f>IF(AtlasReport_1_Table_1[[#This Row],[Reference]]="Purchase order",_xll.AtlasFormulas.AtlasFunctions.AtlasTable("UAT",DataAreaId,"T.VendInvoiceTrans","%RecId","","","","","","","ItemId|PurchID|InventTransId",$C812,$B812,$K812),"")</f>
        <v/>
      </c>
      <c r="M812" s="4" t="str">
        <f>IF(AtlasReport_1_Table_1[[#This Row],[Reference]]="Purchase order",_xll.AtlasFormulas.AtlasFunctions.AtlasTable("UAT",DataAreaId,"T.MarkupTrans","%CurrencyCode","","","","","","","MarkupCode|TransRecId|TransTableId","TPP",$L812,"492"),"")</f>
        <v/>
      </c>
      <c r="N812" s="4" t="str">
        <f>IF(AtlasReport_1_Table_1[[#This Row],[Reference]]="Purchase order",_xll.AtlasFormulas.AtlasFunctions.AtlasBalance("UAT",DataAreaId,"T.MarkupTrans","Sum|Posted|0","","","","","","","MarkupCode|TransTableId|TransRecId","TPP","492",$L812),"")</f>
        <v/>
      </c>
    </row>
    <row r="813" spans="1:14" x14ac:dyDescent="0.25">
      <c r="A813" s="8" t="s">
        <v>21</v>
      </c>
      <c r="B813" s="8" t="s">
        <v>2267</v>
      </c>
      <c r="C813" s="8" t="s">
        <v>111</v>
      </c>
      <c r="D813" s="8" t="s">
        <v>112</v>
      </c>
      <c r="E813" s="8" t="s">
        <v>261</v>
      </c>
      <c r="F813" s="8" t="s">
        <v>264</v>
      </c>
      <c r="G813" s="6">
        <v>43089</v>
      </c>
      <c r="H813" s="6">
        <v>43089</v>
      </c>
      <c r="I813" s="4">
        <v>-0.34</v>
      </c>
      <c r="J813" s="8" t="s">
        <v>39</v>
      </c>
      <c r="K813" s="8" t="s">
        <v>2275</v>
      </c>
      <c r="L813" s="4" t="str">
        <f>IF(AtlasReport_1_Table_1[[#This Row],[Reference]]="Purchase order",_xll.AtlasFormulas.AtlasFunctions.AtlasTable("UAT",DataAreaId,"T.VendInvoiceTrans","%RecId","","","","","","","ItemId|PurchID|InventTransId",$C813,$B813,$K813),"")</f>
        <v/>
      </c>
      <c r="M813" s="4" t="str">
        <f>IF(AtlasReport_1_Table_1[[#This Row],[Reference]]="Purchase order",_xll.AtlasFormulas.AtlasFunctions.AtlasTable("UAT",DataAreaId,"T.MarkupTrans","%CurrencyCode","","","","","","","MarkupCode|TransRecId|TransTableId","TPP",$L813,"492"),"")</f>
        <v/>
      </c>
      <c r="N813" s="4" t="str">
        <f>IF(AtlasReport_1_Table_1[[#This Row],[Reference]]="Purchase order",_xll.AtlasFormulas.AtlasFunctions.AtlasBalance("UAT",DataAreaId,"T.MarkupTrans","Sum|Posted|0","","","","","","","MarkupCode|TransTableId|TransRecId","TPP","492",$L813),"")</f>
        <v/>
      </c>
    </row>
    <row r="814" spans="1:14" x14ac:dyDescent="0.25">
      <c r="A814" s="8" t="s">
        <v>21</v>
      </c>
      <c r="B814" s="8" t="s">
        <v>2267</v>
      </c>
      <c r="C814" s="8" t="s">
        <v>111</v>
      </c>
      <c r="D814" s="8" t="s">
        <v>112</v>
      </c>
      <c r="E814" s="8" t="s">
        <v>261</v>
      </c>
      <c r="F814" s="8" t="s">
        <v>264</v>
      </c>
      <c r="G814" s="6">
        <v>43089</v>
      </c>
      <c r="H814" s="6">
        <v>43089</v>
      </c>
      <c r="I814" s="4">
        <v>-1.35</v>
      </c>
      <c r="J814" s="8" t="s">
        <v>39</v>
      </c>
      <c r="K814" s="8" t="s">
        <v>2276</v>
      </c>
      <c r="L814" s="4" t="str">
        <f>IF(AtlasReport_1_Table_1[[#This Row],[Reference]]="Purchase order",_xll.AtlasFormulas.AtlasFunctions.AtlasTable("UAT",DataAreaId,"T.VendInvoiceTrans","%RecId","","","","","","","ItemId|PurchID|InventTransId",$C814,$B814,$K814),"")</f>
        <v/>
      </c>
      <c r="M814" s="4" t="str">
        <f>IF(AtlasReport_1_Table_1[[#This Row],[Reference]]="Purchase order",_xll.AtlasFormulas.AtlasFunctions.AtlasTable("UAT",DataAreaId,"T.MarkupTrans","%CurrencyCode","","","","","","","MarkupCode|TransRecId|TransTableId","TPP",$L814,"492"),"")</f>
        <v/>
      </c>
      <c r="N814" s="4" t="str">
        <f>IF(AtlasReport_1_Table_1[[#This Row],[Reference]]="Purchase order",_xll.AtlasFormulas.AtlasFunctions.AtlasBalance("UAT",DataAreaId,"T.MarkupTrans","Sum|Posted|0","","","","","","","MarkupCode|TransTableId|TransRecId","TPP","492",$L814),"")</f>
        <v/>
      </c>
    </row>
    <row r="815" spans="1:14" x14ac:dyDescent="0.25">
      <c r="A815" s="8" t="s">
        <v>21</v>
      </c>
      <c r="B815" s="8" t="s">
        <v>2277</v>
      </c>
      <c r="C815" s="8" t="s">
        <v>76</v>
      </c>
      <c r="D815" s="8" t="s">
        <v>110</v>
      </c>
      <c r="E815" s="8" t="s">
        <v>261</v>
      </c>
      <c r="F815" s="8" t="s">
        <v>264</v>
      </c>
      <c r="G815" s="6">
        <v>43089</v>
      </c>
      <c r="H815" s="6">
        <v>43089</v>
      </c>
      <c r="I815" s="4">
        <v>-1.92</v>
      </c>
      <c r="J815" s="8" t="s">
        <v>39</v>
      </c>
      <c r="K815" s="8" t="s">
        <v>2278</v>
      </c>
      <c r="L815" s="4" t="str">
        <f>IF(AtlasReport_1_Table_1[[#This Row],[Reference]]="Purchase order",_xll.AtlasFormulas.AtlasFunctions.AtlasTable("UAT",DataAreaId,"T.VendInvoiceTrans","%RecId","","","","","","","ItemId|PurchID|InventTransId",$C815,$B815,$K815),"")</f>
        <v/>
      </c>
      <c r="M815" s="4" t="str">
        <f>IF(AtlasReport_1_Table_1[[#This Row],[Reference]]="Purchase order",_xll.AtlasFormulas.AtlasFunctions.AtlasTable("UAT",DataAreaId,"T.MarkupTrans","%CurrencyCode","","","","","","","MarkupCode|TransRecId|TransTableId","TPP",$L815,"492"),"")</f>
        <v/>
      </c>
      <c r="N815" s="4" t="str">
        <f>IF(AtlasReport_1_Table_1[[#This Row],[Reference]]="Purchase order",_xll.AtlasFormulas.AtlasFunctions.AtlasBalance("UAT",DataAreaId,"T.MarkupTrans","Sum|Posted|0","","","","","","","MarkupCode|TransTableId|TransRecId","TPP","492",$L815),"")</f>
        <v/>
      </c>
    </row>
    <row r="816" spans="1:14" x14ac:dyDescent="0.25">
      <c r="A816" s="8" t="s">
        <v>21</v>
      </c>
      <c r="B816" s="8" t="s">
        <v>2277</v>
      </c>
      <c r="C816" s="8" t="s">
        <v>76</v>
      </c>
      <c r="D816" s="8" t="s">
        <v>110</v>
      </c>
      <c r="E816" s="8" t="s">
        <v>261</v>
      </c>
      <c r="F816" s="8" t="s">
        <v>264</v>
      </c>
      <c r="G816" s="6">
        <v>43089</v>
      </c>
      <c r="H816" s="6">
        <v>43089</v>
      </c>
      <c r="I816" s="4">
        <v>-0.8</v>
      </c>
      <c r="J816" s="8" t="s">
        <v>39</v>
      </c>
      <c r="K816" s="8" t="s">
        <v>2279</v>
      </c>
      <c r="L816" s="4" t="str">
        <f>IF(AtlasReport_1_Table_1[[#This Row],[Reference]]="Purchase order",_xll.AtlasFormulas.AtlasFunctions.AtlasTable("UAT",DataAreaId,"T.VendInvoiceTrans","%RecId","","","","","","","ItemId|PurchID|InventTransId",$C816,$B816,$K816),"")</f>
        <v/>
      </c>
      <c r="M816" s="4" t="str">
        <f>IF(AtlasReport_1_Table_1[[#This Row],[Reference]]="Purchase order",_xll.AtlasFormulas.AtlasFunctions.AtlasTable("UAT",DataAreaId,"T.MarkupTrans","%CurrencyCode","","","","","","","MarkupCode|TransRecId|TransTableId","TPP",$L816,"492"),"")</f>
        <v/>
      </c>
      <c r="N816" s="4" t="str">
        <f>IF(AtlasReport_1_Table_1[[#This Row],[Reference]]="Purchase order",_xll.AtlasFormulas.AtlasFunctions.AtlasBalance("UAT",DataAreaId,"T.MarkupTrans","Sum|Posted|0","","","","","","","MarkupCode|TransTableId|TransRecId","TPP","492",$L816),"")</f>
        <v/>
      </c>
    </row>
    <row r="817" spans="1:14" x14ac:dyDescent="0.25">
      <c r="A817" s="8" t="s">
        <v>21</v>
      </c>
      <c r="B817" s="8" t="s">
        <v>2277</v>
      </c>
      <c r="C817" s="8" t="s">
        <v>76</v>
      </c>
      <c r="D817" s="8" t="s">
        <v>110</v>
      </c>
      <c r="E817" s="8" t="s">
        <v>261</v>
      </c>
      <c r="F817" s="8" t="s">
        <v>264</v>
      </c>
      <c r="G817" s="6">
        <v>43089</v>
      </c>
      <c r="H817" s="6">
        <v>43089</v>
      </c>
      <c r="I817" s="4">
        <v>-0.6</v>
      </c>
      <c r="J817" s="8" t="s">
        <v>39</v>
      </c>
      <c r="K817" s="8" t="s">
        <v>2280</v>
      </c>
      <c r="L817" s="4" t="str">
        <f>IF(AtlasReport_1_Table_1[[#This Row],[Reference]]="Purchase order",_xll.AtlasFormulas.AtlasFunctions.AtlasTable("UAT",DataAreaId,"T.VendInvoiceTrans","%RecId","","","","","","","ItemId|PurchID|InventTransId",$C817,$B817,$K817),"")</f>
        <v/>
      </c>
      <c r="M817" s="4" t="str">
        <f>IF(AtlasReport_1_Table_1[[#This Row],[Reference]]="Purchase order",_xll.AtlasFormulas.AtlasFunctions.AtlasTable("UAT",DataAreaId,"T.MarkupTrans","%CurrencyCode","","","","","","","MarkupCode|TransRecId|TransTableId","TPP",$L817,"492"),"")</f>
        <v/>
      </c>
      <c r="N817" s="4" t="str">
        <f>IF(AtlasReport_1_Table_1[[#This Row],[Reference]]="Purchase order",_xll.AtlasFormulas.AtlasFunctions.AtlasBalance("UAT",DataAreaId,"T.MarkupTrans","Sum|Posted|0","","","","","","","MarkupCode|TransTableId|TransRecId","TPP","492",$L817),"")</f>
        <v/>
      </c>
    </row>
    <row r="818" spans="1:14" x14ac:dyDescent="0.25">
      <c r="A818" s="8" t="s">
        <v>21</v>
      </c>
      <c r="B818" s="8" t="s">
        <v>2277</v>
      </c>
      <c r="C818" s="8" t="s">
        <v>76</v>
      </c>
      <c r="D818" s="8" t="s">
        <v>110</v>
      </c>
      <c r="E818" s="8" t="s">
        <v>261</v>
      </c>
      <c r="F818" s="8" t="s">
        <v>264</v>
      </c>
      <c r="G818" s="6">
        <v>43089</v>
      </c>
      <c r="H818" s="6">
        <v>43089</v>
      </c>
      <c r="I818" s="4">
        <v>-1.05</v>
      </c>
      <c r="J818" s="8" t="s">
        <v>39</v>
      </c>
      <c r="K818" s="8" t="s">
        <v>2281</v>
      </c>
      <c r="L818" s="4" t="str">
        <f>IF(AtlasReport_1_Table_1[[#This Row],[Reference]]="Purchase order",_xll.AtlasFormulas.AtlasFunctions.AtlasTable("UAT",DataAreaId,"T.VendInvoiceTrans","%RecId","","","","","","","ItemId|PurchID|InventTransId",$C818,$B818,$K818),"")</f>
        <v/>
      </c>
      <c r="M818" s="4" t="str">
        <f>IF(AtlasReport_1_Table_1[[#This Row],[Reference]]="Purchase order",_xll.AtlasFormulas.AtlasFunctions.AtlasTable("UAT",DataAreaId,"T.MarkupTrans","%CurrencyCode","","","","","","","MarkupCode|TransRecId|TransTableId","TPP",$L818,"492"),"")</f>
        <v/>
      </c>
      <c r="N818" s="4" t="str">
        <f>IF(AtlasReport_1_Table_1[[#This Row],[Reference]]="Purchase order",_xll.AtlasFormulas.AtlasFunctions.AtlasBalance("UAT",DataAreaId,"T.MarkupTrans","Sum|Posted|0","","","","","","","MarkupCode|TransTableId|TransRecId","TPP","492",$L818),"")</f>
        <v/>
      </c>
    </row>
    <row r="819" spans="1:14" x14ac:dyDescent="0.25">
      <c r="A819" s="8" t="s">
        <v>21</v>
      </c>
      <c r="B819" s="8" t="s">
        <v>2277</v>
      </c>
      <c r="C819" s="8" t="s">
        <v>76</v>
      </c>
      <c r="D819" s="8" t="s">
        <v>110</v>
      </c>
      <c r="E819" s="8" t="s">
        <v>261</v>
      </c>
      <c r="F819" s="8" t="s">
        <v>264</v>
      </c>
      <c r="G819" s="6">
        <v>43089</v>
      </c>
      <c r="H819" s="6">
        <v>43089</v>
      </c>
      <c r="I819" s="4">
        <v>1.45</v>
      </c>
      <c r="J819" s="8" t="s">
        <v>39</v>
      </c>
      <c r="K819" s="8" t="s">
        <v>2282</v>
      </c>
      <c r="L819" s="4" t="str">
        <f>IF(AtlasReport_1_Table_1[[#This Row],[Reference]]="Purchase order",_xll.AtlasFormulas.AtlasFunctions.AtlasTable("UAT",DataAreaId,"T.VendInvoiceTrans","%RecId","","","","","","","ItemId|PurchID|InventTransId",$C819,$B819,$K819),"")</f>
        <v/>
      </c>
      <c r="M819" s="4" t="str">
        <f>IF(AtlasReport_1_Table_1[[#This Row],[Reference]]="Purchase order",_xll.AtlasFormulas.AtlasFunctions.AtlasTable("UAT",DataAreaId,"T.MarkupTrans","%CurrencyCode","","","","","","","MarkupCode|TransRecId|TransTableId","TPP",$L819,"492"),"")</f>
        <v/>
      </c>
      <c r="N819" s="4" t="str">
        <f>IF(AtlasReport_1_Table_1[[#This Row],[Reference]]="Purchase order",_xll.AtlasFormulas.AtlasFunctions.AtlasBalance("UAT",DataAreaId,"T.MarkupTrans","Sum|Posted|0","","","","","","","MarkupCode|TransTableId|TransRecId","TPP","492",$L819),"")</f>
        <v/>
      </c>
    </row>
    <row r="820" spans="1:14" x14ac:dyDescent="0.25">
      <c r="A820" s="8" t="s">
        <v>21</v>
      </c>
      <c r="B820" s="8" t="s">
        <v>2277</v>
      </c>
      <c r="C820" s="8" t="s">
        <v>76</v>
      </c>
      <c r="D820" s="8" t="s">
        <v>110</v>
      </c>
      <c r="E820" s="8" t="s">
        <v>261</v>
      </c>
      <c r="F820" s="8" t="s">
        <v>264</v>
      </c>
      <c r="G820" s="6">
        <v>43089</v>
      </c>
      <c r="H820" s="6">
        <v>43089</v>
      </c>
      <c r="I820" s="4">
        <v>-1.6</v>
      </c>
      <c r="J820" s="8" t="s">
        <v>39</v>
      </c>
      <c r="K820" s="8" t="s">
        <v>2283</v>
      </c>
      <c r="L820" s="4" t="str">
        <f>IF(AtlasReport_1_Table_1[[#This Row],[Reference]]="Purchase order",_xll.AtlasFormulas.AtlasFunctions.AtlasTable("UAT",DataAreaId,"T.VendInvoiceTrans","%RecId","","","","","","","ItemId|PurchID|InventTransId",$C820,$B820,$K820),"")</f>
        <v/>
      </c>
      <c r="M820" s="4" t="str">
        <f>IF(AtlasReport_1_Table_1[[#This Row],[Reference]]="Purchase order",_xll.AtlasFormulas.AtlasFunctions.AtlasTable("UAT",DataAreaId,"T.MarkupTrans","%CurrencyCode","","","","","","","MarkupCode|TransRecId|TransTableId","TPP",$L820,"492"),"")</f>
        <v/>
      </c>
      <c r="N820" s="4" t="str">
        <f>IF(AtlasReport_1_Table_1[[#This Row],[Reference]]="Purchase order",_xll.AtlasFormulas.AtlasFunctions.AtlasBalance("UAT",DataAreaId,"T.MarkupTrans","Sum|Posted|0","","","","","","","MarkupCode|TransTableId|TransRecId","TPP","492",$L820),"")</f>
        <v/>
      </c>
    </row>
    <row r="821" spans="1:14" x14ac:dyDescent="0.25">
      <c r="A821" s="8" t="s">
        <v>21</v>
      </c>
      <c r="B821" s="8" t="s">
        <v>2277</v>
      </c>
      <c r="C821" s="8" t="s">
        <v>76</v>
      </c>
      <c r="D821" s="8" t="s">
        <v>110</v>
      </c>
      <c r="E821" s="8" t="s">
        <v>261</v>
      </c>
      <c r="F821" s="8" t="s">
        <v>264</v>
      </c>
      <c r="G821" s="6">
        <v>43089</v>
      </c>
      <c r="H821" s="6">
        <v>43089</v>
      </c>
      <c r="I821" s="4">
        <v>-0.47</v>
      </c>
      <c r="J821" s="8" t="s">
        <v>39</v>
      </c>
      <c r="K821" s="8" t="s">
        <v>2284</v>
      </c>
      <c r="L821" s="4" t="str">
        <f>IF(AtlasReport_1_Table_1[[#This Row],[Reference]]="Purchase order",_xll.AtlasFormulas.AtlasFunctions.AtlasTable("UAT",DataAreaId,"T.VendInvoiceTrans","%RecId","","","","","","","ItemId|PurchID|InventTransId",$C821,$B821,$K821),"")</f>
        <v/>
      </c>
      <c r="M821" s="4" t="str">
        <f>IF(AtlasReport_1_Table_1[[#This Row],[Reference]]="Purchase order",_xll.AtlasFormulas.AtlasFunctions.AtlasTable("UAT",DataAreaId,"T.MarkupTrans","%CurrencyCode","","","","","","","MarkupCode|TransRecId|TransTableId","TPP",$L821,"492"),"")</f>
        <v/>
      </c>
      <c r="N821" s="4" t="str">
        <f>IF(AtlasReport_1_Table_1[[#This Row],[Reference]]="Purchase order",_xll.AtlasFormulas.AtlasFunctions.AtlasBalance("UAT",DataAreaId,"T.MarkupTrans","Sum|Posted|0","","","","","","","MarkupCode|TransTableId|TransRecId","TPP","492",$L821),"")</f>
        <v/>
      </c>
    </row>
    <row r="822" spans="1:14" x14ac:dyDescent="0.25">
      <c r="A822" s="8" t="s">
        <v>21</v>
      </c>
      <c r="B822" s="8" t="s">
        <v>2277</v>
      </c>
      <c r="C822" s="8" t="s">
        <v>76</v>
      </c>
      <c r="D822" s="8" t="s">
        <v>110</v>
      </c>
      <c r="E822" s="8" t="s">
        <v>261</v>
      </c>
      <c r="F822" s="8" t="s">
        <v>264</v>
      </c>
      <c r="G822" s="6">
        <v>43089</v>
      </c>
      <c r="H822" s="6">
        <v>43089</v>
      </c>
      <c r="I822" s="4">
        <v>-0.69</v>
      </c>
      <c r="J822" s="8" t="s">
        <v>39</v>
      </c>
      <c r="K822" s="8" t="s">
        <v>2285</v>
      </c>
      <c r="L822" s="4" t="str">
        <f>IF(AtlasReport_1_Table_1[[#This Row],[Reference]]="Purchase order",_xll.AtlasFormulas.AtlasFunctions.AtlasTable("UAT",DataAreaId,"T.VendInvoiceTrans","%RecId","","","","","","","ItemId|PurchID|InventTransId",$C822,$B822,$K822),"")</f>
        <v/>
      </c>
      <c r="M822" s="4" t="str">
        <f>IF(AtlasReport_1_Table_1[[#This Row],[Reference]]="Purchase order",_xll.AtlasFormulas.AtlasFunctions.AtlasTable("UAT",DataAreaId,"T.MarkupTrans","%CurrencyCode","","","","","","","MarkupCode|TransRecId|TransTableId","TPP",$L822,"492"),"")</f>
        <v/>
      </c>
      <c r="N822" s="4" t="str">
        <f>IF(AtlasReport_1_Table_1[[#This Row],[Reference]]="Purchase order",_xll.AtlasFormulas.AtlasFunctions.AtlasBalance("UAT",DataAreaId,"T.MarkupTrans","Sum|Posted|0","","","","","","","MarkupCode|TransTableId|TransRecId","TPP","492",$L822),"")</f>
        <v/>
      </c>
    </row>
    <row r="823" spans="1:14" x14ac:dyDescent="0.25">
      <c r="A823" s="8" t="s">
        <v>21</v>
      </c>
      <c r="B823" s="8" t="s">
        <v>2277</v>
      </c>
      <c r="C823" s="8" t="s">
        <v>76</v>
      </c>
      <c r="D823" s="8" t="s">
        <v>110</v>
      </c>
      <c r="E823" s="8" t="s">
        <v>261</v>
      </c>
      <c r="F823" s="8" t="s">
        <v>264</v>
      </c>
      <c r="G823" s="6">
        <v>43089</v>
      </c>
      <c r="H823" s="6">
        <v>43089</v>
      </c>
      <c r="I823" s="4">
        <v>1</v>
      </c>
      <c r="J823" s="8" t="s">
        <v>39</v>
      </c>
      <c r="K823" s="8" t="s">
        <v>2286</v>
      </c>
      <c r="L823" s="4" t="str">
        <f>IF(AtlasReport_1_Table_1[[#This Row],[Reference]]="Purchase order",_xll.AtlasFormulas.AtlasFunctions.AtlasTable("UAT",DataAreaId,"T.VendInvoiceTrans","%RecId","","","","","","","ItemId|PurchID|InventTransId",$C823,$B823,$K823),"")</f>
        <v/>
      </c>
      <c r="M823" s="4" t="str">
        <f>IF(AtlasReport_1_Table_1[[#This Row],[Reference]]="Purchase order",_xll.AtlasFormulas.AtlasFunctions.AtlasTable("UAT",DataAreaId,"T.MarkupTrans","%CurrencyCode","","","","","","","MarkupCode|TransRecId|TransTableId","TPP",$L823,"492"),"")</f>
        <v/>
      </c>
      <c r="N823" s="4" t="str">
        <f>IF(AtlasReport_1_Table_1[[#This Row],[Reference]]="Purchase order",_xll.AtlasFormulas.AtlasFunctions.AtlasBalance("UAT",DataAreaId,"T.MarkupTrans","Sum|Posted|0","","","","","","","MarkupCode|TransTableId|TransRecId","TPP","492",$L823),"")</f>
        <v/>
      </c>
    </row>
    <row r="824" spans="1:14" x14ac:dyDescent="0.25">
      <c r="A824" s="8" t="s">
        <v>21</v>
      </c>
      <c r="B824" s="8" t="s">
        <v>2277</v>
      </c>
      <c r="C824" s="8" t="s">
        <v>76</v>
      </c>
      <c r="D824" s="8" t="s">
        <v>110</v>
      </c>
      <c r="E824" s="8" t="s">
        <v>261</v>
      </c>
      <c r="F824" s="8" t="s">
        <v>264</v>
      </c>
      <c r="G824" s="6">
        <v>43089</v>
      </c>
      <c r="H824" s="6">
        <v>43089</v>
      </c>
      <c r="I824" s="4">
        <v>1.35</v>
      </c>
      <c r="J824" s="8" t="s">
        <v>39</v>
      </c>
      <c r="K824" s="8" t="s">
        <v>2287</v>
      </c>
      <c r="L824" s="4" t="str">
        <f>IF(AtlasReport_1_Table_1[[#This Row],[Reference]]="Purchase order",_xll.AtlasFormulas.AtlasFunctions.AtlasTable("UAT",DataAreaId,"T.VendInvoiceTrans","%RecId","","","","","","","ItemId|PurchID|InventTransId",$C824,$B824,$K824),"")</f>
        <v/>
      </c>
      <c r="M824" s="4" t="str">
        <f>IF(AtlasReport_1_Table_1[[#This Row],[Reference]]="Purchase order",_xll.AtlasFormulas.AtlasFunctions.AtlasTable("UAT",DataAreaId,"T.MarkupTrans","%CurrencyCode","","","","","","","MarkupCode|TransRecId|TransTableId","TPP",$L824,"492"),"")</f>
        <v/>
      </c>
      <c r="N824" s="4" t="str">
        <f>IF(AtlasReport_1_Table_1[[#This Row],[Reference]]="Purchase order",_xll.AtlasFormulas.AtlasFunctions.AtlasBalance("UAT",DataAreaId,"T.MarkupTrans","Sum|Posted|0","","","","","","","MarkupCode|TransTableId|TransRecId","TPP","492",$L824),"")</f>
        <v/>
      </c>
    </row>
    <row r="825" spans="1:14" x14ac:dyDescent="0.25">
      <c r="A825" s="8" t="s">
        <v>21</v>
      </c>
      <c r="B825" s="8" t="s">
        <v>2277</v>
      </c>
      <c r="C825" s="8" t="s">
        <v>76</v>
      </c>
      <c r="D825" s="8" t="s">
        <v>110</v>
      </c>
      <c r="E825" s="8" t="s">
        <v>261</v>
      </c>
      <c r="F825" s="8" t="s">
        <v>264</v>
      </c>
      <c r="G825" s="6">
        <v>43089</v>
      </c>
      <c r="H825" s="6">
        <v>43089</v>
      </c>
      <c r="I825" s="4">
        <v>1.51</v>
      </c>
      <c r="J825" s="8" t="s">
        <v>39</v>
      </c>
      <c r="K825" s="8" t="s">
        <v>2288</v>
      </c>
      <c r="L825" s="4" t="str">
        <f>IF(AtlasReport_1_Table_1[[#This Row],[Reference]]="Purchase order",_xll.AtlasFormulas.AtlasFunctions.AtlasTable("UAT",DataAreaId,"T.VendInvoiceTrans","%RecId","","","","","","","ItemId|PurchID|InventTransId",$C825,$B825,$K825),"")</f>
        <v/>
      </c>
      <c r="M825" s="4" t="str">
        <f>IF(AtlasReport_1_Table_1[[#This Row],[Reference]]="Purchase order",_xll.AtlasFormulas.AtlasFunctions.AtlasTable("UAT",DataAreaId,"T.MarkupTrans","%CurrencyCode","","","","","","","MarkupCode|TransRecId|TransTableId","TPP",$L825,"492"),"")</f>
        <v/>
      </c>
      <c r="N825" s="4" t="str">
        <f>IF(AtlasReport_1_Table_1[[#This Row],[Reference]]="Purchase order",_xll.AtlasFormulas.AtlasFunctions.AtlasBalance("UAT",DataAreaId,"T.MarkupTrans","Sum|Posted|0","","","","","","","MarkupCode|TransTableId|TransRecId","TPP","492",$L825),"")</f>
        <v/>
      </c>
    </row>
    <row r="826" spans="1:14" x14ac:dyDescent="0.25">
      <c r="A826" s="8" t="s">
        <v>21</v>
      </c>
      <c r="B826" s="8" t="s">
        <v>2277</v>
      </c>
      <c r="C826" s="8" t="s">
        <v>76</v>
      </c>
      <c r="D826" s="8" t="s">
        <v>110</v>
      </c>
      <c r="E826" s="8" t="s">
        <v>261</v>
      </c>
      <c r="F826" s="8" t="s">
        <v>264</v>
      </c>
      <c r="G826" s="6">
        <v>43089</v>
      </c>
      <c r="H826" s="6">
        <v>43089</v>
      </c>
      <c r="I826" s="4">
        <v>-3.5</v>
      </c>
      <c r="J826" s="8" t="s">
        <v>39</v>
      </c>
      <c r="K826" s="8" t="s">
        <v>2289</v>
      </c>
      <c r="L826" s="4" t="str">
        <f>IF(AtlasReport_1_Table_1[[#This Row],[Reference]]="Purchase order",_xll.AtlasFormulas.AtlasFunctions.AtlasTable("UAT",DataAreaId,"T.VendInvoiceTrans","%RecId","","","","","","","ItemId|PurchID|InventTransId",$C826,$B826,$K826),"")</f>
        <v/>
      </c>
      <c r="M826" s="4" t="str">
        <f>IF(AtlasReport_1_Table_1[[#This Row],[Reference]]="Purchase order",_xll.AtlasFormulas.AtlasFunctions.AtlasTable("UAT",DataAreaId,"T.MarkupTrans","%CurrencyCode","","","","","","","MarkupCode|TransRecId|TransTableId","TPP",$L826,"492"),"")</f>
        <v/>
      </c>
      <c r="N826" s="4" t="str">
        <f>IF(AtlasReport_1_Table_1[[#This Row],[Reference]]="Purchase order",_xll.AtlasFormulas.AtlasFunctions.AtlasBalance("UAT",DataAreaId,"T.MarkupTrans","Sum|Posted|0","","","","","","","MarkupCode|TransTableId|TransRecId","TPP","492",$L826),"")</f>
        <v/>
      </c>
    </row>
    <row r="827" spans="1:14" x14ac:dyDescent="0.25">
      <c r="A827" s="8" t="s">
        <v>21</v>
      </c>
      <c r="B827" s="8" t="s">
        <v>2277</v>
      </c>
      <c r="C827" s="8" t="s">
        <v>76</v>
      </c>
      <c r="D827" s="8" t="s">
        <v>110</v>
      </c>
      <c r="E827" s="8" t="s">
        <v>261</v>
      </c>
      <c r="F827" s="8" t="s">
        <v>264</v>
      </c>
      <c r="G827" s="6">
        <v>43089</v>
      </c>
      <c r="H827" s="6">
        <v>43089</v>
      </c>
      <c r="I827" s="4">
        <v>-0.5</v>
      </c>
      <c r="J827" s="8" t="s">
        <v>39</v>
      </c>
      <c r="K827" s="8" t="s">
        <v>2290</v>
      </c>
      <c r="L827" s="4" t="str">
        <f>IF(AtlasReport_1_Table_1[[#This Row],[Reference]]="Purchase order",_xll.AtlasFormulas.AtlasFunctions.AtlasTable("UAT",DataAreaId,"T.VendInvoiceTrans","%RecId","","","","","","","ItemId|PurchID|InventTransId",$C827,$B827,$K827),"")</f>
        <v/>
      </c>
      <c r="M827" s="4" t="str">
        <f>IF(AtlasReport_1_Table_1[[#This Row],[Reference]]="Purchase order",_xll.AtlasFormulas.AtlasFunctions.AtlasTable("UAT",DataAreaId,"T.MarkupTrans","%CurrencyCode","","","","","","","MarkupCode|TransRecId|TransTableId","TPP",$L827,"492"),"")</f>
        <v/>
      </c>
      <c r="N827" s="4" t="str">
        <f>IF(AtlasReport_1_Table_1[[#This Row],[Reference]]="Purchase order",_xll.AtlasFormulas.AtlasFunctions.AtlasBalance("UAT",DataAreaId,"T.MarkupTrans","Sum|Posted|0","","","","","","","MarkupCode|TransTableId|TransRecId","TPP","492",$L827),"")</f>
        <v/>
      </c>
    </row>
    <row r="828" spans="1:14" x14ac:dyDescent="0.25">
      <c r="A828" s="8" t="s">
        <v>21</v>
      </c>
      <c r="B828" s="8" t="s">
        <v>2277</v>
      </c>
      <c r="C828" s="8" t="s">
        <v>76</v>
      </c>
      <c r="D828" s="8" t="s">
        <v>110</v>
      </c>
      <c r="E828" s="8" t="s">
        <v>261</v>
      </c>
      <c r="F828" s="8" t="s">
        <v>264</v>
      </c>
      <c r="G828" s="6">
        <v>43089</v>
      </c>
      <c r="H828" s="6">
        <v>43089</v>
      </c>
      <c r="I828" s="4">
        <v>1</v>
      </c>
      <c r="J828" s="8" t="s">
        <v>39</v>
      </c>
      <c r="K828" s="8" t="s">
        <v>2291</v>
      </c>
      <c r="L828" s="4" t="str">
        <f>IF(AtlasReport_1_Table_1[[#This Row],[Reference]]="Purchase order",_xll.AtlasFormulas.AtlasFunctions.AtlasTable("UAT",DataAreaId,"T.VendInvoiceTrans","%RecId","","","","","","","ItemId|PurchID|InventTransId",$C828,$B828,$K828),"")</f>
        <v/>
      </c>
      <c r="M828" s="4" t="str">
        <f>IF(AtlasReport_1_Table_1[[#This Row],[Reference]]="Purchase order",_xll.AtlasFormulas.AtlasFunctions.AtlasTable("UAT",DataAreaId,"T.MarkupTrans","%CurrencyCode","","","","","","","MarkupCode|TransRecId|TransTableId","TPP",$L828,"492"),"")</f>
        <v/>
      </c>
      <c r="N828" s="4" t="str">
        <f>IF(AtlasReport_1_Table_1[[#This Row],[Reference]]="Purchase order",_xll.AtlasFormulas.AtlasFunctions.AtlasBalance("UAT",DataAreaId,"T.MarkupTrans","Sum|Posted|0","","","","","","","MarkupCode|TransTableId|TransRecId","TPP","492",$L828),"")</f>
        <v/>
      </c>
    </row>
    <row r="829" spans="1:14" x14ac:dyDescent="0.25">
      <c r="A829" s="8" t="s">
        <v>21</v>
      </c>
      <c r="B829" s="8" t="s">
        <v>2277</v>
      </c>
      <c r="C829" s="8" t="s">
        <v>76</v>
      </c>
      <c r="D829" s="8" t="s">
        <v>110</v>
      </c>
      <c r="E829" s="8" t="s">
        <v>261</v>
      </c>
      <c r="F829" s="8" t="s">
        <v>264</v>
      </c>
      <c r="G829" s="6">
        <v>43089</v>
      </c>
      <c r="H829" s="6">
        <v>43089</v>
      </c>
      <c r="I829" s="4">
        <v>-2.15</v>
      </c>
      <c r="J829" s="8" t="s">
        <v>39</v>
      </c>
      <c r="K829" s="8" t="s">
        <v>2292</v>
      </c>
      <c r="L829" s="4" t="str">
        <f>IF(AtlasReport_1_Table_1[[#This Row],[Reference]]="Purchase order",_xll.AtlasFormulas.AtlasFunctions.AtlasTable("UAT",DataAreaId,"T.VendInvoiceTrans","%RecId","","","","","","","ItemId|PurchID|InventTransId",$C829,$B829,$K829),"")</f>
        <v/>
      </c>
      <c r="M829" s="4" t="str">
        <f>IF(AtlasReport_1_Table_1[[#This Row],[Reference]]="Purchase order",_xll.AtlasFormulas.AtlasFunctions.AtlasTable("UAT",DataAreaId,"T.MarkupTrans","%CurrencyCode","","","","","","","MarkupCode|TransRecId|TransTableId","TPP",$L829,"492"),"")</f>
        <v/>
      </c>
      <c r="N829" s="4" t="str">
        <f>IF(AtlasReport_1_Table_1[[#This Row],[Reference]]="Purchase order",_xll.AtlasFormulas.AtlasFunctions.AtlasBalance("UAT",DataAreaId,"T.MarkupTrans","Sum|Posted|0","","","","","","","MarkupCode|TransTableId|TransRecId","TPP","492",$L829),"")</f>
        <v/>
      </c>
    </row>
    <row r="830" spans="1:14" x14ac:dyDescent="0.25">
      <c r="A830" s="8" t="s">
        <v>21</v>
      </c>
      <c r="B830" s="8" t="s">
        <v>2277</v>
      </c>
      <c r="C830" s="8" t="s">
        <v>76</v>
      </c>
      <c r="D830" s="8" t="s">
        <v>110</v>
      </c>
      <c r="E830" s="8" t="s">
        <v>261</v>
      </c>
      <c r="F830" s="8" t="s">
        <v>264</v>
      </c>
      <c r="G830" s="6">
        <v>43089</v>
      </c>
      <c r="H830" s="6">
        <v>43089</v>
      </c>
      <c r="I830" s="4">
        <v>-2.1</v>
      </c>
      <c r="J830" s="8" t="s">
        <v>39</v>
      </c>
      <c r="K830" s="8" t="s">
        <v>2293</v>
      </c>
      <c r="L830" s="4" t="str">
        <f>IF(AtlasReport_1_Table_1[[#This Row],[Reference]]="Purchase order",_xll.AtlasFormulas.AtlasFunctions.AtlasTable("UAT",DataAreaId,"T.VendInvoiceTrans","%RecId","","","","","","","ItemId|PurchID|InventTransId",$C830,$B830,$K830),"")</f>
        <v/>
      </c>
      <c r="M830" s="4" t="str">
        <f>IF(AtlasReport_1_Table_1[[#This Row],[Reference]]="Purchase order",_xll.AtlasFormulas.AtlasFunctions.AtlasTable("UAT",DataAreaId,"T.MarkupTrans","%CurrencyCode","","","","","","","MarkupCode|TransRecId|TransTableId","TPP",$L830,"492"),"")</f>
        <v/>
      </c>
      <c r="N830" s="4" t="str">
        <f>IF(AtlasReport_1_Table_1[[#This Row],[Reference]]="Purchase order",_xll.AtlasFormulas.AtlasFunctions.AtlasBalance("UAT",DataAreaId,"T.MarkupTrans","Sum|Posted|0","","","","","","","MarkupCode|TransTableId|TransRecId","TPP","492",$L830),"")</f>
        <v/>
      </c>
    </row>
    <row r="831" spans="1:14" x14ac:dyDescent="0.25">
      <c r="A831" s="8" t="s">
        <v>21</v>
      </c>
      <c r="B831" s="8" t="s">
        <v>2277</v>
      </c>
      <c r="C831" s="8" t="s">
        <v>76</v>
      </c>
      <c r="D831" s="8" t="s">
        <v>110</v>
      </c>
      <c r="E831" s="8" t="s">
        <v>261</v>
      </c>
      <c r="F831" s="8" t="s">
        <v>264</v>
      </c>
      <c r="G831" s="6">
        <v>43089</v>
      </c>
      <c r="H831" s="6">
        <v>43089</v>
      </c>
      <c r="I831" s="4">
        <v>-0.48</v>
      </c>
      <c r="J831" s="8" t="s">
        <v>39</v>
      </c>
      <c r="K831" s="8" t="s">
        <v>2294</v>
      </c>
      <c r="L831" s="4" t="str">
        <f>IF(AtlasReport_1_Table_1[[#This Row],[Reference]]="Purchase order",_xll.AtlasFormulas.AtlasFunctions.AtlasTable("UAT",DataAreaId,"T.VendInvoiceTrans","%RecId","","","","","","","ItemId|PurchID|InventTransId",$C831,$B831,$K831),"")</f>
        <v/>
      </c>
      <c r="M831" s="4" t="str">
        <f>IF(AtlasReport_1_Table_1[[#This Row],[Reference]]="Purchase order",_xll.AtlasFormulas.AtlasFunctions.AtlasTable("UAT",DataAreaId,"T.MarkupTrans","%CurrencyCode","","","","","","","MarkupCode|TransRecId|TransTableId","TPP",$L831,"492"),"")</f>
        <v/>
      </c>
      <c r="N831" s="4" t="str">
        <f>IF(AtlasReport_1_Table_1[[#This Row],[Reference]]="Purchase order",_xll.AtlasFormulas.AtlasFunctions.AtlasBalance("UAT",DataAreaId,"T.MarkupTrans","Sum|Posted|0","","","","","","","MarkupCode|TransTableId|TransRecId","TPP","492",$L831),"")</f>
        <v/>
      </c>
    </row>
    <row r="832" spans="1:14" ht="30" x14ac:dyDescent="0.25">
      <c r="A832" s="8" t="s">
        <v>21</v>
      </c>
      <c r="B832" s="8" t="s">
        <v>2295</v>
      </c>
      <c r="C832" s="8" t="s">
        <v>400</v>
      </c>
      <c r="D832" s="11" t="s">
        <v>1130</v>
      </c>
      <c r="E832" s="8" t="s">
        <v>261</v>
      </c>
      <c r="F832" s="8" t="s">
        <v>264</v>
      </c>
      <c r="G832" s="6">
        <v>43089</v>
      </c>
      <c r="H832" s="6">
        <v>43089</v>
      </c>
      <c r="I832" s="4">
        <v>7.63</v>
      </c>
      <c r="J832" s="8" t="s">
        <v>39</v>
      </c>
      <c r="K832" s="8" t="s">
        <v>2296</v>
      </c>
      <c r="L832" s="4" t="str">
        <f>IF(AtlasReport_1_Table_1[[#This Row],[Reference]]="Purchase order",_xll.AtlasFormulas.AtlasFunctions.AtlasTable("UAT",DataAreaId,"T.VendInvoiceTrans","%RecId","","","","","","","ItemId|PurchID|InventTransId",$C832,$B832,$K832),"")</f>
        <v/>
      </c>
      <c r="M832" s="4" t="str">
        <f>IF(AtlasReport_1_Table_1[[#This Row],[Reference]]="Purchase order",_xll.AtlasFormulas.AtlasFunctions.AtlasTable("UAT",DataAreaId,"T.MarkupTrans","%CurrencyCode","","","","","","","MarkupCode|TransRecId|TransTableId","TPP",$L832,"492"),"")</f>
        <v/>
      </c>
      <c r="N832" s="4" t="str">
        <f>IF(AtlasReport_1_Table_1[[#This Row],[Reference]]="Purchase order",_xll.AtlasFormulas.AtlasFunctions.AtlasBalance("UAT",DataAreaId,"T.MarkupTrans","Sum|Posted|0","","","","","","","MarkupCode|TransTableId|TransRecId","TPP","492",$L832),"")</f>
        <v/>
      </c>
    </row>
    <row r="833" spans="1:14" ht="30" x14ac:dyDescent="0.25">
      <c r="A833" s="8" t="s">
        <v>21</v>
      </c>
      <c r="B833" s="8" t="s">
        <v>2295</v>
      </c>
      <c r="C833" s="8" t="s">
        <v>400</v>
      </c>
      <c r="D833" s="11" t="s">
        <v>1130</v>
      </c>
      <c r="E833" s="8" t="s">
        <v>261</v>
      </c>
      <c r="F833" s="8" t="s">
        <v>264</v>
      </c>
      <c r="G833" s="6">
        <v>43089</v>
      </c>
      <c r="H833" s="6">
        <v>43089</v>
      </c>
      <c r="I833" s="4">
        <v>-10.4</v>
      </c>
      <c r="J833" s="8" t="s">
        <v>39</v>
      </c>
      <c r="K833" s="8" t="s">
        <v>2297</v>
      </c>
      <c r="L833" s="4" t="str">
        <f>IF(AtlasReport_1_Table_1[[#This Row],[Reference]]="Purchase order",_xll.AtlasFormulas.AtlasFunctions.AtlasTable("UAT",DataAreaId,"T.VendInvoiceTrans","%RecId","","","","","","","ItemId|PurchID|InventTransId",$C833,$B833,$K833),"")</f>
        <v/>
      </c>
      <c r="M833" s="4" t="str">
        <f>IF(AtlasReport_1_Table_1[[#This Row],[Reference]]="Purchase order",_xll.AtlasFormulas.AtlasFunctions.AtlasTable("UAT",DataAreaId,"T.MarkupTrans","%CurrencyCode","","","","","","","MarkupCode|TransRecId|TransTableId","TPP",$L833,"492"),"")</f>
        <v/>
      </c>
      <c r="N833" s="4" t="str">
        <f>IF(AtlasReport_1_Table_1[[#This Row],[Reference]]="Purchase order",_xll.AtlasFormulas.AtlasFunctions.AtlasBalance("UAT",DataAreaId,"T.MarkupTrans","Sum|Posted|0","","","","","","","MarkupCode|TransTableId|TransRecId","TPP","492",$L833),"")</f>
        <v/>
      </c>
    </row>
    <row r="834" spans="1:14" ht="30" x14ac:dyDescent="0.25">
      <c r="A834" s="8" t="s">
        <v>21</v>
      </c>
      <c r="B834" s="8" t="s">
        <v>2298</v>
      </c>
      <c r="C834" s="8" t="s">
        <v>402</v>
      </c>
      <c r="D834" s="11" t="s">
        <v>818</v>
      </c>
      <c r="E834" s="8" t="s">
        <v>261</v>
      </c>
      <c r="F834" s="8" t="s">
        <v>264</v>
      </c>
      <c r="G834" s="6">
        <v>43089</v>
      </c>
      <c r="H834" s="6">
        <v>43089</v>
      </c>
      <c r="I834" s="4">
        <v>0.31</v>
      </c>
      <c r="J834" s="8" t="s">
        <v>39</v>
      </c>
      <c r="K834" s="8" t="s">
        <v>2299</v>
      </c>
      <c r="L834" s="4" t="str">
        <f>IF(AtlasReport_1_Table_1[[#This Row],[Reference]]="Purchase order",_xll.AtlasFormulas.AtlasFunctions.AtlasTable("UAT",DataAreaId,"T.VendInvoiceTrans","%RecId","","","","","","","ItemId|PurchID|InventTransId",$C834,$B834,$K834),"")</f>
        <v/>
      </c>
      <c r="M834" s="4" t="str">
        <f>IF(AtlasReport_1_Table_1[[#This Row],[Reference]]="Purchase order",_xll.AtlasFormulas.AtlasFunctions.AtlasTable("UAT",DataAreaId,"T.MarkupTrans","%CurrencyCode","","","","","","","MarkupCode|TransRecId|TransTableId","TPP",$L834,"492"),"")</f>
        <v/>
      </c>
      <c r="N834" s="4" t="str">
        <f>IF(AtlasReport_1_Table_1[[#This Row],[Reference]]="Purchase order",_xll.AtlasFormulas.AtlasFunctions.AtlasBalance("UAT",DataAreaId,"T.MarkupTrans","Sum|Posted|0","","","","","","","MarkupCode|TransTableId|TransRecId","TPP","492",$L834),"")</f>
        <v/>
      </c>
    </row>
    <row r="835" spans="1:14" ht="30" x14ac:dyDescent="0.25">
      <c r="A835" s="8" t="s">
        <v>21</v>
      </c>
      <c r="B835" s="8" t="s">
        <v>2298</v>
      </c>
      <c r="C835" s="8" t="s">
        <v>402</v>
      </c>
      <c r="D835" s="11" t="s">
        <v>818</v>
      </c>
      <c r="E835" s="8" t="s">
        <v>261</v>
      </c>
      <c r="F835" s="8" t="s">
        <v>264</v>
      </c>
      <c r="G835" s="6">
        <v>43089</v>
      </c>
      <c r="H835" s="6">
        <v>43089</v>
      </c>
      <c r="I835" s="4">
        <v>4.5</v>
      </c>
      <c r="J835" s="8" t="s">
        <v>39</v>
      </c>
      <c r="K835" s="8" t="s">
        <v>2300</v>
      </c>
      <c r="L835" s="4" t="str">
        <f>IF(AtlasReport_1_Table_1[[#This Row],[Reference]]="Purchase order",_xll.AtlasFormulas.AtlasFunctions.AtlasTable("UAT",DataAreaId,"T.VendInvoiceTrans","%RecId","","","","","","","ItemId|PurchID|InventTransId",$C835,$B835,$K835),"")</f>
        <v/>
      </c>
      <c r="M835" s="4" t="str">
        <f>IF(AtlasReport_1_Table_1[[#This Row],[Reference]]="Purchase order",_xll.AtlasFormulas.AtlasFunctions.AtlasTable("UAT",DataAreaId,"T.MarkupTrans","%CurrencyCode","","","","","","","MarkupCode|TransRecId|TransTableId","TPP",$L835,"492"),"")</f>
        <v/>
      </c>
      <c r="N835" s="4" t="str">
        <f>IF(AtlasReport_1_Table_1[[#This Row],[Reference]]="Purchase order",_xll.AtlasFormulas.AtlasFunctions.AtlasBalance("UAT",DataAreaId,"T.MarkupTrans","Sum|Posted|0","","","","","","","MarkupCode|TransTableId|TransRecId","TPP","492",$L835),"")</f>
        <v/>
      </c>
    </row>
    <row r="836" spans="1:14" ht="30" x14ac:dyDescent="0.25">
      <c r="A836" s="8" t="s">
        <v>21</v>
      </c>
      <c r="B836" s="8" t="s">
        <v>2298</v>
      </c>
      <c r="C836" s="8" t="s">
        <v>402</v>
      </c>
      <c r="D836" s="11" t="s">
        <v>818</v>
      </c>
      <c r="E836" s="8" t="s">
        <v>261</v>
      </c>
      <c r="F836" s="8" t="s">
        <v>264</v>
      </c>
      <c r="G836" s="6">
        <v>43089</v>
      </c>
      <c r="H836" s="6">
        <v>43089</v>
      </c>
      <c r="I836" s="4">
        <v>-5.74</v>
      </c>
      <c r="J836" s="8" t="s">
        <v>39</v>
      </c>
      <c r="K836" s="8" t="s">
        <v>2301</v>
      </c>
      <c r="L836" s="4" t="str">
        <f>IF(AtlasReport_1_Table_1[[#This Row],[Reference]]="Purchase order",_xll.AtlasFormulas.AtlasFunctions.AtlasTable("UAT",DataAreaId,"T.VendInvoiceTrans","%RecId","","","","","","","ItemId|PurchID|InventTransId",$C836,$B836,$K836),"")</f>
        <v/>
      </c>
      <c r="M836" s="4" t="str">
        <f>IF(AtlasReport_1_Table_1[[#This Row],[Reference]]="Purchase order",_xll.AtlasFormulas.AtlasFunctions.AtlasTable("UAT",DataAreaId,"T.MarkupTrans","%CurrencyCode","","","","","","","MarkupCode|TransRecId|TransTableId","TPP",$L836,"492"),"")</f>
        <v/>
      </c>
      <c r="N836" s="4" t="str">
        <f>IF(AtlasReport_1_Table_1[[#This Row],[Reference]]="Purchase order",_xll.AtlasFormulas.AtlasFunctions.AtlasBalance("UAT",DataAreaId,"T.MarkupTrans","Sum|Posted|0","","","","","","","MarkupCode|TransTableId|TransRecId","TPP","492",$L836),"")</f>
        <v/>
      </c>
    </row>
    <row r="837" spans="1:14" x14ac:dyDescent="0.25">
      <c r="A837" s="8" t="s">
        <v>21</v>
      </c>
      <c r="B837" s="8" t="s">
        <v>2302</v>
      </c>
      <c r="C837" s="8" t="s">
        <v>58</v>
      </c>
      <c r="D837" s="8" t="s">
        <v>127</v>
      </c>
      <c r="E837" s="8" t="s">
        <v>261</v>
      </c>
      <c r="F837" s="8" t="s">
        <v>264</v>
      </c>
      <c r="G837" s="6">
        <v>43089</v>
      </c>
      <c r="H837" s="6">
        <v>43089</v>
      </c>
      <c r="I837" s="4">
        <v>-0.05</v>
      </c>
      <c r="J837" s="8" t="s">
        <v>39</v>
      </c>
      <c r="K837" s="8" t="s">
        <v>2303</v>
      </c>
      <c r="L837" s="4" t="str">
        <f>IF(AtlasReport_1_Table_1[[#This Row],[Reference]]="Purchase order",_xll.AtlasFormulas.AtlasFunctions.AtlasTable("UAT",DataAreaId,"T.VendInvoiceTrans","%RecId","","","","","","","ItemId|PurchID|InventTransId",$C837,$B837,$K837),"")</f>
        <v/>
      </c>
      <c r="M837" s="4" t="str">
        <f>IF(AtlasReport_1_Table_1[[#This Row],[Reference]]="Purchase order",_xll.AtlasFormulas.AtlasFunctions.AtlasTable("UAT",DataAreaId,"T.MarkupTrans","%CurrencyCode","","","","","","","MarkupCode|TransRecId|TransTableId","TPP",$L837,"492"),"")</f>
        <v/>
      </c>
      <c r="N837" s="4" t="str">
        <f>IF(AtlasReport_1_Table_1[[#This Row],[Reference]]="Purchase order",_xll.AtlasFormulas.AtlasFunctions.AtlasBalance("UAT",DataAreaId,"T.MarkupTrans","Sum|Posted|0","","","","","","","MarkupCode|TransTableId|TransRecId","TPP","492",$L837),"")</f>
        <v/>
      </c>
    </row>
    <row r="838" spans="1:14" x14ac:dyDescent="0.25">
      <c r="A838" s="8" t="s">
        <v>21</v>
      </c>
      <c r="B838" s="8" t="s">
        <v>2302</v>
      </c>
      <c r="C838" s="8" t="s">
        <v>58</v>
      </c>
      <c r="D838" s="8" t="s">
        <v>127</v>
      </c>
      <c r="E838" s="8" t="s">
        <v>261</v>
      </c>
      <c r="F838" s="8" t="s">
        <v>264</v>
      </c>
      <c r="G838" s="6">
        <v>43089</v>
      </c>
      <c r="H838" s="6">
        <v>43089</v>
      </c>
      <c r="I838" s="4">
        <v>-0.2</v>
      </c>
      <c r="J838" s="8" t="s">
        <v>39</v>
      </c>
      <c r="K838" s="8" t="s">
        <v>2304</v>
      </c>
      <c r="L838" s="4" t="str">
        <f>IF(AtlasReport_1_Table_1[[#This Row],[Reference]]="Purchase order",_xll.AtlasFormulas.AtlasFunctions.AtlasTable("UAT",DataAreaId,"T.VendInvoiceTrans","%RecId","","","","","","","ItemId|PurchID|InventTransId",$C838,$B838,$K838),"")</f>
        <v/>
      </c>
      <c r="M838" s="4" t="str">
        <f>IF(AtlasReport_1_Table_1[[#This Row],[Reference]]="Purchase order",_xll.AtlasFormulas.AtlasFunctions.AtlasTable("UAT",DataAreaId,"T.MarkupTrans","%CurrencyCode","","","","","","","MarkupCode|TransRecId|TransTableId","TPP",$L838,"492"),"")</f>
        <v/>
      </c>
      <c r="N838" s="4" t="str">
        <f>IF(AtlasReport_1_Table_1[[#This Row],[Reference]]="Purchase order",_xll.AtlasFormulas.AtlasFunctions.AtlasBalance("UAT",DataAreaId,"T.MarkupTrans","Sum|Posted|0","","","","","","","MarkupCode|TransTableId|TransRecId","TPP","492",$L838),"")</f>
        <v/>
      </c>
    </row>
    <row r="839" spans="1:14" x14ac:dyDescent="0.25">
      <c r="A839" s="8" t="s">
        <v>21</v>
      </c>
      <c r="B839" s="8" t="s">
        <v>2302</v>
      </c>
      <c r="C839" s="8" t="s">
        <v>58</v>
      </c>
      <c r="D839" s="8" t="s">
        <v>127</v>
      </c>
      <c r="E839" s="8" t="s">
        <v>261</v>
      </c>
      <c r="F839" s="8" t="s">
        <v>264</v>
      </c>
      <c r="G839" s="6">
        <v>43089</v>
      </c>
      <c r="H839" s="6">
        <v>43089</v>
      </c>
      <c r="I839" s="4">
        <v>-0.4</v>
      </c>
      <c r="J839" s="8" t="s">
        <v>39</v>
      </c>
      <c r="K839" s="8" t="s">
        <v>2305</v>
      </c>
      <c r="L839" s="4" t="str">
        <f>IF(AtlasReport_1_Table_1[[#This Row],[Reference]]="Purchase order",_xll.AtlasFormulas.AtlasFunctions.AtlasTable("UAT",DataAreaId,"T.VendInvoiceTrans","%RecId","","","","","","","ItemId|PurchID|InventTransId",$C839,$B839,$K839),"")</f>
        <v/>
      </c>
      <c r="M839" s="4" t="str">
        <f>IF(AtlasReport_1_Table_1[[#This Row],[Reference]]="Purchase order",_xll.AtlasFormulas.AtlasFunctions.AtlasTable("UAT",DataAreaId,"T.MarkupTrans","%CurrencyCode","","","","","","","MarkupCode|TransRecId|TransTableId","TPP",$L839,"492"),"")</f>
        <v/>
      </c>
      <c r="N839" s="4" t="str">
        <f>IF(AtlasReport_1_Table_1[[#This Row],[Reference]]="Purchase order",_xll.AtlasFormulas.AtlasFunctions.AtlasBalance("UAT",DataAreaId,"T.MarkupTrans","Sum|Posted|0","","","","","","","MarkupCode|TransTableId|TransRecId","TPP","492",$L839),"")</f>
        <v/>
      </c>
    </row>
    <row r="840" spans="1:14" x14ac:dyDescent="0.25">
      <c r="A840" s="8" t="s">
        <v>21</v>
      </c>
      <c r="B840" s="8" t="s">
        <v>2302</v>
      </c>
      <c r="C840" s="8" t="s">
        <v>58</v>
      </c>
      <c r="D840" s="8" t="s">
        <v>127</v>
      </c>
      <c r="E840" s="8" t="s">
        <v>261</v>
      </c>
      <c r="F840" s="8" t="s">
        <v>264</v>
      </c>
      <c r="G840" s="6">
        <v>43089</v>
      </c>
      <c r="H840" s="6">
        <v>43089</v>
      </c>
      <c r="I840" s="4">
        <v>-6.9999999999999993E-2</v>
      </c>
      <c r="J840" s="8" t="s">
        <v>39</v>
      </c>
      <c r="K840" s="8" t="s">
        <v>2306</v>
      </c>
      <c r="L840" s="4" t="str">
        <f>IF(AtlasReport_1_Table_1[[#This Row],[Reference]]="Purchase order",_xll.AtlasFormulas.AtlasFunctions.AtlasTable("UAT",DataAreaId,"T.VendInvoiceTrans","%RecId","","","","","","","ItemId|PurchID|InventTransId",$C840,$B840,$K840),"")</f>
        <v/>
      </c>
      <c r="M840" s="4" t="str">
        <f>IF(AtlasReport_1_Table_1[[#This Row],[Reference]]="Purchase order",_xll.AtlasFormulas.AtlasFunctions.AtlasTable("UAT",DataAreaId,"T.MarkupTrans","%CurrencyCode","","","","","","","MarkupCode|TransRecId|TransTableId","TPP",$L840,"492"),"")</f>
        <v/>
      </c>
      <c r="N840" s="4" t="str">
        <f>IF(AtlasReport_1_Table_1[[#This Row],[Reference]]="Purchase order",_xll.AtlasFormulas.AtlasFunctions.AtlasBalance("UAT",DataAreaId,"T.MarkupTrans","Sum|Posted|0","","","","","","","MarkupCode|TransTableId|TransRecId","TPP","492",$L840),"")</f>
        <v/>
      </c>
    </row>
    <row r="841" spans="1:14" x14ac:dyDescent="0.25">
      <c r="A841" s="8" t="s">
        <v>21</v>
      </c>
      <c r="B841" s="8" t="s">
        <v>2302</v>
      </c>
      <c r="C841" s="8" t="s">
        <v>58</v>
      </c>
      <c r="D841" s="8" t="s">
        <v>127</v>
      </c>
      <c r="E841" s="8" t="s">
        <v>261</v>
      </c>
      <c r="F841" s="8" t="s">
        <v>264</v>
      </c>
      <c r="G841" s="6">
        <v>43089</v>
      </c>
      <c r="H841" s="6">
        <v>43089</v>
      </c>
      <c r="I841" s="4">
        <v>-0.14000000000000001</v>
      </c>
      <c r="J841" s="8" t="s">
        <v>39</v>
      </c>
      <c r="K841" s="8" t="s">
        <v>2307</v>
      </c>
      <c r="L841" s="4" t="str">
        <f>IF(AtlasReport_1_Table_1[[#This Row],[Reference]]="Purchase order",_xll.AtlasFormulas.AtlasFunctions.AtlasTable("UAT",DataAreaId,"T.VendInvoiceTrans","%RecId","","","","","","","ItemId|PurchID|InventTransId",$C841,$B841,$K841),"")</f>
        <v/>
      </c>
      <c r="M841" s="4" t="str">
        <f>IF(AtlasReport_1_Table_1[[#This Row],[Reference]]="Purchase order",_xll.AtlasFormulas.AtlasFunctions.AtlasTable("UAT",DataAreaId,"T.MarkupTrans","%CurrencyCode","","","","","","","MarkupCode|TransRecId|TransTableId","TPP",$L841,"492"),"")</f>
        <v/>
      </c>
      <c r="N841" s="4" t="str">
        <f>IF(AtlasReport_1_Table_1[[#This Row],[Reference]]="Purchase order",_xll.AtlasFormulas.AtlasFunctions.AtlasBalance("UAT",DataAreaId,"T.MarkupTrans","Sum|Posted|0","","","","","","","MarkupCode|TransTableId|TransRecId","TPP","492",$L841),"")</f>
        <v/>
      </c>
    </row>
    <row r="842" spans="1:14" x14ac:dyDescent="0.25">
      <c r="A842" s="8" t="s">
        <v>21</v>
      </c>
      <c r="B842" s="8" t="s">
        <v>2302</v>
      </c>
      <c r="C842" s="8" t="s">
        <v>58</v>
      </c>
      <c r="D842" s="8" t="s">
        <v>127</v>
      </c>
      <c r="E842" s="8" t="s">
        <v>261</v>
      </c>
      <c r="F842" s="8" t="s">
        <v>264</v>
      </c>
      <c r="G842" s="6">
        <v>43089</v>
      </c>
      <c r="H842" s="6">
        <v>43089</v>
      </c>
      <c r="I842" s="4">
        <v>-32.04</v>
      </c>
      <c r="J842" s="8" t="s">
        <v>39</v>
      </c>
      <c r="K842" s="8" t="s">
        <v>2308</v>
      </c>
      <c r="L842" s="4" t="str">
        <f>IF(AtlasReport_1_Table_1[[#This Row],[Reference]]="Purchase order",_xll.AtlasFormulas.AtlasFunctions.AtlasTable("UAT",DataAreaId,"T.VendInvoiceTrans","%RecId","","","","","","","ItemId|PurchID|InventTransId",$C842,$B842,$K842),"")</f>
        <v/>
      </c>
      <c r="M842" s="4" t="str">
        <f>IF(AtlasReport_1_Table_1[[#This Row],[Reference]]="Purchase order",_xll.AtlasFormulas.AtlasFunctions.AtlasTable("UAT",DataAreaId,"T.MarkupTrans","%CurrencyCode","","","","","","","MarkupCode|TransRecId|TransTableId","TPP",$L842,"492"),"")</f>
        <v/>
      </c>
      <c r="N842" s="4" t="str">
        <f>IF(AtlasReport_1_Table_1[[#This Row],[Reference]]="Purchase order",_xll.AtlasFormulas.AtlasFunctions.AtlasBalance("UAT",DataAreaId,"T.MarkupTrans","Sum|Posted|0","","","","","","","MarkupCode|TransTableId|TransRecId","TPP","492",$L842),"")</f>
        <v/>
      </c>
    </row>
    <row r="843" spans="1:14" x14ac:dyDescent="0.25">
      <c r="A843" s="8" t="s">
        <v>21</v>
      </c>
      <c r="B843" s="8" t="s">
        <v>2302</v>
      </c>
      <c r="C843" s="8" t="s">
        <v>58</v>
      </c>
      <c r="D843" s="8" t="s">
        <v>127</v>
      </c>
      <c r="E843" s="8" t="s">
        <v>261</v>
      </c>
      <c r="F843" s="8" t="s">
        <v>264</v>
      </c>
      <c r="G843" s="6">
        <v>43089</v>
      </c>
      <c r="H843" s="6">
        <v>43089</v>
      </c>
      <c r="I843" s="4">
        <v>-0.03</v>
      </c>
      <c r="J843" s="8" t="s">
        <v>39</v>
      </c>
      <c r="K843" s="8" t="s">
        <v>2309</v>
      </c>
      <c r="L843" s="4" t="str">
        <f>IF(AtlasReport_1_Table_1[[#This Row],[Reference]]="Purchase order",_xll.AtlasFormulas.AtlasFunctions.AtlasTable("UAT",DataAreaId,"T.VendInvoiceTrans","%RecId","","","","","","","ItemId|PurchID|InventTransId",$C843,$B843,$K843),"")</f>
        <v/>
      </c>
      <c r="M843" s="4" t="str">
        <f>IF(AtlasReport_1_Table_1[[#This Row],[Reference]]="Purchase order",_xll.AtlasFormulas.AtlasFunctions.AtlasTable("UAT",DataAreaId,"T.MarkupTrans","%CurrencyCode","","","","","","","MarkupCode|TransRecId|TransTableId","TPP",$L843,"492"),"")</f>
        <v/>
      </c>
      <c r="N843" s="4" t="str">
        <f>IF(AtlasReport_1_Table_1[[#This Row],[Reference]]="Purchase order",_xll.AtlasFormulas.AtlasFunctions.AtlasBalance("UAT",DataAreaId,"T.MarkupTrans","Sum|Posted|0","","","","","","","MarkupCode|TransTableId|TransRecId","TPP","492",$L843),"")</f>
        <v/>
      </c>
    </row>
    <row r="844" spans="1:14" x14ac:dyDescent="0.25">
      <c r="A844" s="8" t="s">
        <v>21</v>
      </c>
      <c r="B844" s="8" t="s">
        <v>2302</v>
      </c>
      <c r="C844" s="8" t="s">
        <v>58</v>
      </c>
      <c r="D844" s="8" t="s">
        <v>127</v>
      </c>
      <c r="E844" s="8" t="s">
        <v>261</v>
      </c>
      <c r="F844" s="8" t="s">
        <v>264</v>
      </c>
      <c r="G844" s="6">
        <v>43089</v>
      </c>
      <c r="H844" s="6">
        <v>43089</v>
      </c>
      <c r="I844" s="4">
        <v>-1</v>
      </c>
      <c r="J844" s="8" t="s">
        <v>39</v>
      </c>
      <c r="K844" s="8" t="s">
        <v>2310</v>
      </c>
      <c r="L844" s="4" t="str">
        <f>IF(AtlasReport_1_Table_1[[#This Row],[Reference]]="Purchase order",_xll.AtlasFormulas.AtlasFunctions.AtlasTable("UAT",DataAreaId,"T.VendInvoiceTrans","%RecId","","","","","","","ItemId|PurchID|InventTransId",$C844,$B844,$K844),"")</f>
        <v/>
      </c>
      <c r="M844" s="4" t="str">
        <f>IF(AtlasReport_1_Table_1[[#This Row],[Reference]]="Purchase order",_xll.AtlasFormulas.AtlasFunctions.AtlasTable("UAT",DataAreaId,"T.MarkupTrans","%CurrencyCode","","","","","","","MarkupCode|TransRecId|TransTableId","TPP",$L844,"492"),"")</f>
        <v/>
      </c>
      <c r="N844" s="4" t="str">
        <f>IF(AtlasReport_1_Table_1[[#This Row],[Reference]]="Purchase order",_xll.AtlasFormulas.AtlasFunctions.AtlasBalance("UAT",DataAreaId,"T.MarkupTrans","Sum|Posted|0","","","","","","","MarkupCode|TransTableId|TransRecId","TPP","492",$L844),"")</f>
        <v/>
      </c>
    </row>
    <row r="845" spans="1:14" x14ac:dyDescent="0.25">
      <c r="A845" s="8" t="s">
        <v>21</v>
      </c>
      <c r="B845" s="8" t="s">
        <v>2302</v>
      </c>
      <c r="C845" s="8" t="s">
        <v>58</v>
      </c>
      <c r="D845" s="8" t="s">
        <v>127</v>
      </c>
      <c r="E845" s="8" t="s">
        <v>261</v>
      </c>
      <c r="F845" s="8" t="s">
        <v>264</v>
      </c>
      <c r="G845" s="6">
        <v>43089</v>
      </c>
      <c r="H845" s="6">
        <v>43089</v>
      </c>
      <c r="I845" s="4">
        <v>-1.1800000000000002</v>
      </c>
      <c r="J845" s="8" t="s">
        <v>39</v>
      </c>
      <c r="K845" s="8" t="s">
        <v>2311</v>
      </c>
      <c r="L845" s="4" t="str">
        <f>IF(AtlasReport_1_Table_1[[#This Row],[Reference]]="Purchase order",_xll.AtlasFormulas.AtlasFunctions.AtlasTable("UAT",DataAreaId,"T.VendInvoiceTrans","%RecId","","","","","","","ItemId|PurchID|InventTransId",$C845,$B845,$K845),"")</f>
        <v/>
      </c>
      <c r="M845" s="4" t="str">
        <f>IF(AtlasReport_1_Table_1[[#This Row],[Reference]]="Purchase order",_xll.AtlasFormulas.AtlasFunctions.AtlasTable("UAT",DataAreaId,"T.MarkupTrans","%CurrencyCode","","","","","","","MarkupCode|TransRecId|TransTableId","TPP",$L845,"492"),"")</f>
        <v/>
      </c>
      <c r="N845" s="4" t="str">
        <f>IF(AtlasReport_1_Table_1[[#This Row],[Reference]]="Purchase order",_xll.AtlasFormulas.AtlasFunctions.AtlasBalance("UAT",DataAreaId,"T.MarkupTrans","Sum|Posted|0","","","","","","","MarkupCode|TransTableId|TransRecId","TPP","492",$L845),"")</f>
        <v/>
      </c>
    </row>
    <row r="846" spans="1:14" x14ac:dyDescent="0.25">
      <c r="A846" s="8" t="s">
        <v>21</v>
      </c>
      <c r="B846" s="8" t="s">
        <v>2302</v>
      </c>
      <c r="C846" s="8" t="s">
        <v>58</v>
      </c>
      <c r="D846" s="8" t="s">
        <v>127</v>
      </c>
      <c r="E846" s="8" t="s">
        <v>261</v>
      </c>
      <c r="F846" s="8" t="s">
        <v>264</v>
      </c>
      <c r="G846" s="6">
        <v>43089</v>
      </c>
      <c r="H846" s="6">
        <v>43089</v>
      </c>
      <c r="I846" s="4">
        <v>-1.55</v>
      </c>
      <c r="J846" s="8" t="s">
        <v>39</v>
      </c>
      <c r="K846" s="8" t="s">
        <v>2312</v>
      </c>
      <c r="L846" s="4" t="str">
        <f>IF(AtlasReport_1_Table_1[[#This Row],[Reference]]="Purchase order",_xll.AtlasFormulas.AtlasFunctions.AtlasTable("UAT",DataAreaId,"T.VendInvoiceTrans","%RecId","","","","","","","ItemId|PurchID|InventTransId",$C846,$B846,$K846),"")</f>
        <v/>
      </c>
      <c r="M846" s="4" t="str">
        <f>IF(AtlasReport_1_Table_1[[#This Row],[Reference]]="Purchase order",_xll.AtlasFormulas.AtlasFunctions.AtlasTable("UAT",DataAreaId,"T.MarkupTrans","%CurrencyCode","","","","","","","MarkupCode|TransRecId|TransTableId","TPP",$L846,"492"),"")</f>
        <v/>
      </c>
      <c r="N846" s="4" t="str">
        <f>IF(AtlasReport_1_Table_1[[#This Row],[Reference]]="Purchase order",_xll.AtlasFormulas.AtlasFunctions.AtlasBalance("UAT",DataAreaId,"T.MarkupTrans","Sum|Posted|0","","","","","","","MarkupCode|TransTableId|TransRecId","TPP","492",$L846),"")</f>
        <v/>
      </c>
    </row>
    <row r="847" spans="1:14" x14ac:dyDescent="0.25">
      <c r="A847" s="8" t="s">
        <v>21</v>
      </c>
      <c r="B847" s="8" t="s">
        <v>2302</v>
      </c>
      <c r="C847" s="8" t="s">
        <v>58</v>
      </c>
      <c r="D847" s="8" t="s">
        <v>127</v>
      </c>
      <c r="E847" s="8" t="s">
        <v>261</v>
      </c>
      <c r="F847" s="8" t="s">
        <v>264</v>
      </c>
      <c r="G847" s="6">
        <v>43089</v>
      </c>
      <c r="H847" s="6">
        <v>43089</v>
      </c>
      <c r="I847" s="4">
        <v>-2.63</v>
      </c>
      <c r="J847" s="8" t="s">
        <v>39</v>
      </c>
      <c r="K847" s="8" t="s">
        <v>2313</v>
      </c>
      <c r="L847" s="4" t="str">
        <f>IF(AtlasReport_1_Table_1[[#This Row],[Reference]]="Purchase order",_xll.AtlasFormulas.AtlasFunctions.AtlasTable("UAT",DataAreaId,"T.VendInvoiceTrans","%RecId","","","","","","","ItemId|PurchID|InventTransId",$C847,$B847,$K847),"")</f>
        <v/>
      </c>
      <c r="M847" s="4" t="str">
        <f>IF(AtlasReport_1_Table_1[[#This Row],[Reference]]="Purchase order",_xll.AtlasFormulas.AtlasFunctions.AtlasTable("UAT",DataAreaId,"T.MarkupTrans","%CurrencyCode","","","","","","","MarkupCode|TransRecId|TransTableId","TPP",$L847,"492"),"")</f>
        <v/>
      </c>
      <c r="N847" s="4" t="str">
        <f>IF(AtlasReport_1_Table_1[[#This Row],[Reference]]="Purchase order",_xll.AtlasFormulas.AtlasFunctions.AtlasBalance("UAT",DataAreaId,"T.MarkupTrans","Sum|Posted|0","","","","","","","MarkupCode|TransTableId|TransRecId","TPP","492",$L847),"")</f>
        <v/>
      </c>
    </row>
    <row r="848" spans="1:14" x14ac:dyDescent="0.25">
      <c r="A848" s="8" t="s">
        <v>21</v>
      </c>
      <c r="B848" s="8" t="s">
        <v>2302</v>
      </c>
      <c r="C848" s="8" t="s">
        <v>58</v>
      </c>
      <c r="D848" s="8" t="s">
        <v>127</v>
      </c>
      <c r="E848" s="8" t="s">
        <v>261</v>
      </c>
      <c r="F848" s="8" t="s">
        <v>264</v>
      </c>
      <c r="G848" s="6">
        <v>43089</v>
      </c>
      <c r="H848" s="6">
        <v>43089</v>
      </c>
      <c r="I848" s="4">
        <v>-2.63</v>
      </c>
      <c r="J848" s="8" t="s">
        <v>39</v>
      </c>
      <c r="K848" s="8" t="s">
        <v>2314</v>
      </c>
      <c r="L848" s="4" t="str">
        <f>IF(AtlasReport_1_Table_1[[#This Row],[Reference]]="Purchase order",_xll.AtlasFormulas.AtlasFunctions.AtlasTable("UAT",DataAreaId,"T.VendInvoiceTrans","%RecId","","","","","","","ItemId|PurchID|InventTransId",$C848,$B848,$K848),"")</f>
        <v/>
      </c>
      <c r="M848" s="4" t="str">
        <f>IF(AtlasReport_1_Table_1[[#This Row],[Reference]]="Purchase order",_xll.AtlasFormulas.AtlasFunctions.AtlasTable("UAT",DataAreaId,"T.MarkupTrans","%CurrencyCode","","","","","","","MarkupCode|TransRecId|TransTableId","TPP",$L848,"492"),"")</f>
        <v/>
      </c>
      <c r="N848" s="4" t="str">
        <f>IF(AtlasReport_1_Table_1[[#This Row],[Reference]]="Purchase order",_xll.AtlasFormulas.AtlasFunctions.AtlasBalance("UAT",DataAreaId,"T.MarkupTrans","Sum|Posted|0","","","","","","","MarkupCode|TransTableId|TransRecId","TPP","492",$L848),"")</f>
        <v/>
      </c>
    </row>
    <row r="849" spans="1:14" x14ac:dyDescent="0.25">
      <c r="A849" s="8" t="s">
        <v>21</v>
      </c>
      <c r="B849" s="8" t="s">
        <v>2302</v>
      </c>
      <c r="C849" s="8" t="s">
        <v>58</v>
      </c>
      <c r="D849" s="8" t="s">
        <v>127</v>
      </c>
      <c r="E849" s="8" t="s">
        <v>261</v>
      </c>
      <c r="F849" s="8" t="s">
        <v>264</v>
      </c>
      <c r="G849" s="6">
        <v>43089</v>
      </c>
      <c r="H849" s="6">
        <v>43089</v>
      </c>
      <c r="I849" s="4">
        <v>-0.4</v>
      </c>
      <c r="J849" s="8" t="s">
        <v>39</v>
      </c>
      <c r="K849" s="8" t="s">
        <v>2315</v>
      </c>
      <c r="L849" s="4" t="str">
        <f>IF(AtlasReport_1_Table_1[[#This Row],[Reference]]="Purchase order",_xll.AtlasFormulas.AtlasFunctions.AtlasTable("UAT",DataAreaId,"T.VendInvoiceTrans","%RecId","","","","","","","ItemId|PurchID|InventTransId",$C849,$B849,$K849),"")</f>
        <v/>
      </c>
      <c r="M849" s="4" t="str">
        <f>IF(AtlasReport_1_Table_1[[#This Row],[Reference]]="Purchase order",_xll.AtlasFormulas.AtlasFunctions.AtlasTable("UAT",DataAreaId,"T.MarkupTrans","%CurrencyCode","","","","","","","MarkupCode|TransRecId|TransTableId","TPP",$L849,"492"),"")</f>
        <v/>
      </c>
      <c r="N849" s="4" t="str">
        <f>IF(AtlasReport_1_Table_1[[#This Row],[Reference]]="Purchase order",_xll.AtlasFormulas.AtlasFunctions.AtlasBalance("UAT",DataAreaId,"T.MarkupTrans","Sum|Posted|0","","","","","","","MarkupCode|TransTableId|TransRecId","TPP","492",$L849),"")</f>
        <v/>
      </c>
    </row>
    <row r="850" spans="1:14" x14ac:dyDescent="0.25">
      <c r="A850" s="8" t="s">
        <v>21</v>
      </c>
      <c r="B850" s="8" t="s">
        <v>2302</v>
      </c>
      <c r="C850" s="8" t="s">
        <v>58</v>
      </c>
      <c r="D850" s="8" t="s">
        <v>127</v>
      </c>
      <c r="E850" s="8" t="s">
        <v>261</v>
      </c>
      <c r="F850" s="8" t="s">
        <v>264</v>
      </c>
      <c r="G850" s="6">
        <v>43089</v>
      </c>
      <c r="H850" s="6">
        <v>43089</v>
      </c>
      <c r="I850" s="4">
        <v>-150</v>
      </c>
      <c r="J850" s="8" t="s">
        <v>39</v>
      </c>
      <c r="K850" s="8" t="s">
        <v>2316</v>
      </c>
      <c r="L850" s="4" t="str">
        <f>IF(AtlasReport_1_Table_1[[#This Row],[Reference]]="Purchase order",_xll.AtlasFormulas.AtlasFunctions.AtlasTable("UAT",DataAreaId,"T.VendInvoiceTrans","%RecId","","","","","","","ItemId|PurchID|InventTransId",$C850,$B850,$K850),"")</f>
        <v/>
      </c>
      <c r="M850" s="4" t="str">
        <f>IF(AtlasReport_1_Table_1[[#This Row],[Reference]]="Purchase order",_xll.AtlasFormulas.AtlasFunctions.AtlasTable("UAT",DataAreaId,"T.MarkupTrans","%CurrencyCode","","","","","","","MarkupCode|TransRecId|TransTableId","TPP",$L850,"492"),"")</f>
        <v/>
      </c>
      <c r="N850" s="4" t="str">
        <f>IF(AtlasReport_1_Table_1[[#This Row],[Reference]]="Purchase order",_xll.AtlasFormulas.AtlasFunctions.AtlasBalance("UAT",DataAreaId,"T.MarkupTrans","Sum|Posted|0","","","","","","","MarkupCode|TransTableId|TransRecId","TPP","492",$L850),"")</f>
        <v/>
      </c>
    </row>
    <row r="851" spans="1:14" x14ac:dyDescent="0.25">
      <c r="A851" s="8" t="s">
        <v>21</v>
      </c>
      <c r="B851" s="8" t="s">
        <v>2302</v>
      </c>
      <c r="C851" s="8" t="s">
        <v>58</v>
      </c>
      <c r="D851" s="8" t="s">
        <v>127</v>
      </c>
      <c r="E851" s="8" t="s">
        <v>261</v>
      </c>
      <c r="F851" s="8" t="s">
        <v>264</v>
      </c>
      <c r="G851" s="6">
        <v>43089</v>
      </c>
      <c r="H851" s="6">
        <v>43089</v>
      </c>
      <c r="I851" s="4">
        <v>21.75</v>
      </c>
      <c r="J851" s="8" t="s">
        <v>39</v>
      </c>
      <c r="K851" s="8" t="s">
        <v>2317</v>
      </c>
      <c r="L851" s="4" t="str">
        <f>IF(AtlasReport_1_Table_1[[#This Row],[Reference]]="Purchase order",_xll.AtlasFormulas.AtlasFunctions.AtlasTable("UAT",DataAreaId,"T.VendInvoiceTrans","%RecId","","","","","","","ItemId|PurchID|InventTransId",$C851,$B851,$K851),"")</f>
        <v/>
      </c>
      <c r="M851" s="4" t="str">
        <f>IF(AtlasReport_1_Table_1[[#This Row],[Reference]]="Purchase order",_xll.AtlasFormulas.AtlasFunctions.AtlasTable("UAT",DataAreaId,"T.MarkupTrans","%CurrencyCode","","","","","","","MarkupCode|TransRecId|TransTableId","TPP",$L851,"492"),"")</f>
        <v/>
      </c>
      <c r="N851" s="4" t="str">
        <f>IF(AtlasReport_1_Table_1[[#This Row],[Reference]]="Purchase order",_xll.AtlasFormulas.AtlasFunctions.AtlasBalance("UAT",DataAreaId,"T.MarkupTrans","Sum|Posted|0","","","","","","","MarkupCode|TransTableId|TransRecId","TPP","492",$L851),"")</f>
        <v/>
      </c>
    </row>
    <row r="852" spans="1:14" x14ac:dyDescent="0.25">
      <c r="A852" s="8" t="s">
        <v>21</v>
      </c>
      <c r="B852" s="8" t="s">
        <v>2302</v>
      </c>
      <c r="C852" s="8" t="s">
        <v>58</v>
      </c>
      <c r="D852" s="8" t="s">
        <v>127</v>
      </c>
      <c r="E852" s="8" t="s">
        <v>261</v>
      </c>
      <c r="F852" s="8" t="s">
        <v>264</v>
      </c>
      <c r="G852" s="6">
        <v>43089</v>
      </c>
      <c r="H852" s="6">
        <v>43089</v>
      </c>
      <c r="I852" s="4">
        <v>-97.9</v>
      </c>
      <c r="J852" s="8" t="s">
        <v>39</v>
      </c>
      <c r="K852" s="8" t="s">
        <v>2318</v>
      </c>
      <c r="L852" s="4" t="str">
        <f>IF(AtlasReport_1_Table_1[[#This Row],[Reference]]="Purchase order",_xll.AtlasFormulas.AtlasFunctions.AtlasTable("UAT",DataAreaId,"T.VendInvoiceTrans","%RecId","","","","","","","ItemId|PurchID|InventTransId",$C852,$B852,$K852),"")</f>
        <v/>
      </c>
      <c r="M852" s="4" t="str">
        <f>IF(AtlasReport_1_Table_1[[#This Row],[Reference]]="Purchase order",_xll.AtlasFormulas.AtlasFunctions.AtlasTable("UAT",DataAreaId,"T.MarkupTrans","%CurrencyCode","","","","","","","MarkupCode|TransRecId|TransTableId","TPP",$L852,"492"),"")</f>
        <v/>
      </c>
      <c r="N852" s="4" t="str">
        <f>IF(AtlasReport_1_Table_1[[#This Row],[Reference]]="Purchase order",_xll.AtlasFormulas.AtlasFunctions.AtlasBalance("UAT",DataAreaId,"T.MarkupTrans","Sum|Posted|0","","","","","","","MarkupCode|TransTableId|TransRecId","TPP","492",$L852),"")</f>
        <v/>
      </c>
    </row>
    <row r="853" spans="1:14" x14ac:dyDescent="0.25">
      <c r="A853" s="8" t="s">
        <v>21</v>
      </c>
      <c r="B853" s="8" t="s">
        <v>2302</v>
      </c>
      <c r="C853" s="8" t="s">
        <v>58</v>
      </c>
      <c r="D853" s="8" t="s">
        <v>127</v>
      </c>
      <c r="E853" s="8" t="s">
        <v>261</v>
      </c>
      <c r="F853" s="8" t="s">
        <v>264</v>
      </c>
      <c r="G853" s="6">
        <v>43089</v>
      </c>
      <c r="H853" s="6">
        <v>43089</v>
      </c>
      <c r="I853" s="4">
        <v>2.37</v>
      </c>
      <c r="J853" s="8" t="s">
        <v>39</v>
      </c>
      <c r="K853" s="8" t="s">
        <v>2319</v>
      </c>
      <c r="L853" s="4" t="str">
        <f>IF(AtlasReport_1_Table_1[[#This Row],[Reference]]="Purchase order",_xll.AtlasFormulas.AtlasFunctions.AtlasTable("UAT",DataAreaId,"T.VendInvoiceTrans","%RecId","","","","","","","ItemId|PurchID|InventTransId",$C853,$B853,$K853),"")</f>
        <v/>
      </c>
      <c r="M853" s="4" t="str">
        <f>IF(AtlasReport_1_Table_1[[#This Row],[Reference]]="Purchase order",_xll.AtlasFormulas.AtlasFunctions.AtlasTable("UAT",DataAreaId,"T.MarkupTrans","%CurrencyCode","","","","","","","MarkupCode|TransRecId|TransTableId","TPP",$L853,"492"),"")</f>
        <v/>
      </c>
      <c r="N853" s="4" t="str">
        <f>IF(AtlasReport_1_Table_1[[#This Row],[Reference]]="Purchase order",_xll.AtlasFormulas.AtlasFunctions.AtlasBalance("UAT",DataAreaId,"T.MarkupTrans","Sum|Posted|0","","","","","","","MarkupCode|TransTableId|TransRecId","TPP","492",$L853),"")</f>
        <v/>
      </c>
    </row>
    <row r="854" spans="1:14" x14ac:dyDescent="0.25">
      <c r="A854" s="8" t="s">
        <v>21</v>
      </c>
      <c r="B854" s="8" t="s">
        <v>2302</v>
      </c>
      <c r="C854" s="8" t="s">
        <v>58</v>
      </c>
      <c r="D854" s="8" t="s">
        <v>127</v>
      </c>
      <c r="E854" s="8" t="s">
        <v>261</v>
      </c>
      <c r="F854" s="8" t="s">
        <v>264</v>
      </c>
      <c r="G854" s="6">
        <v>43089</v>
      </c>
      <c r="H854" s="6">
        <v>43089</v>
      </c>
      <c r="I854" s="4">
        <v>-0.18</v>
      </c>
      <c r="J854" s="8" t="s">
        <v>39</v>
      </c>
      <c r="K854" s="8" t="s">
        <v>2320</v>
      </c>
      <c r="L854" s="4" t="str">
        <f>IF(AtlasReport_1_Table_1[[#This Row],[Reference]]="Purchase order",_xll.AtlasFormulas.AtlasFunctions.AtlasTable("UAT",DataAreaId,"T.VendInvoiceTrans","%RecId","","","","","","","ItemId|PurchID|InventTransId",$C854,$B854,$K854),"")</f>
        <v/>
      </c>
      <c r="M854" s="4" t="str">
        <f>IF(AtlasReport_1_Table_1[[#This Row],[Reference]]="Purchase order",_xll.AtlasFormulas.AtlasFunctions.AtlasTable("UAT",DataAreaId,"T.MarkupTrans","%CurrencyCode","","","","","","","MarkupCode|TransRecId|TransTableId","TPP",$L854,"492"),"")</f>
        <v/>
      </c>
      <c r="N854" s="4" t="str">
        <f>IF(AtlasReport_1_Table_1[[#This Row],[Reference]]="Purchase order",_xll.AtlasFormulas.AtlasFunctions.AtlasBalance("UAT",DataAreaId,"T.MarkupTrans","Sum|Posted|0","","","","","","","MarkupCode|TransTableId|TransRecId","TPP","492",$L854),"")</f>
        <v/>
      </c>
    </row>
    <row r="855" spans="1:14" x14ac:dyDescent="0.25">
      <c r="A855" s="8" t="s">
        <v>21</v>
      </c>
      <c r="B855" s="8" t="s">
        <v>2321</v>
      </c>
      <c r="C855" s="8" t="s">
        <v>23</v>
      </c>
      <c r="D855" s="8" t="s">
        <v>883</v>
      </c>
      <c r="E855" s="8" t="s">
        <v>261</v>
      </c>
      <c r="F855" s="8" t="s">
        <v>264</v>
      </c>
      <c r="G855" s="6">
        <v>43090</v>
      </c>
      <c r="H855" s="6">
        <v>43090</v>
      </c>
      <c r="I855" s="4">
        <v>110</v>
      </c>
      <c r="J855" s="8" t="s">
        <v>37</v>
      </c>
      <c r="K855" s="8" t="s">
        <v>2322</v>
      </c>
      <c r="L855" s="4" t="str">
        <f>IF(AtlasReport_1_Table_1[[#This Row],[Reference]]="Purchase order",_xll.AtlasFormulas.AtlasFunctions.AtlasTable("UAT",DataAreaId,"T.VendInvoiceTrans","%RecId","","","","","","","ItemId|PurchID|InventTransId",$C855,$B855,$K855),"")</f>
        <v/>
      </c>
      <c r="M855" s="4" t="str">
        <f>IF(AtlasReport_1_Table_1[[#This Row],[Reference]]="Purchase order",_xll.AtlasFormulas.AtlasFunctions.AtlasTable("UAT",DataAreaId,"T.MarkupTrans","%CurrencyCode","","","","","","","MarkupCode|TransRecId|TransTableId","TPP",$L855,"492"),"")</f>
        <v/>
      </c>
      <c r="N855" s="4" t="str">
        <f>IF(AtlasReport_1_Table_1[[#This Row],[Reference]]="Purchase order",_xll.AtlasFormulas.AtlasFunctions.AtlasBalance("UAT",DataAreaId,"T.MarkupTrans","Sum|Posted|0","","","","","","","MarkupCode|TransTableId|TransRecId","TPP","492",$L855),"")</f>
        <v/>
      </c>
    </row>
    <row r="856" spans="1:14" ht="30" x14ac:dyDescent="0.25">
      <c r="A856" s="8" t="s">
        <v>21</v>
      </c>
      <c r="B856" s="8" t="s">
        <v>2321</v>
      </c>
      <c r="C856" s="8" t="s">
        <v>242</v>
      </c>
      <c r="D856" s="11" t="s">
        <v>243</v>
      </c>
      <c r="E856" s="8" t="s">
        <v>261</v>
      </c>
      <c r="F856" s="8" t="s">
        <v>264</v>
      </c>
      <c r="G856" s="6">
        <v>43090</v>
      </c>
      <c r="H856" s="6">
        <v>43090</v>
      </c>
      <c r="I856" s="4">
        <v>20</v>
      </c>
      <c r="J856" s="8" t="s">
        <v>37</v>
      </c>
      <c r="K856" s="8" t="s">
        <v>2323</v>
      </c>
      <c r="L856" s="4" t="str">
        <f>IF(AtlasReport_1_Table_1[[#This Row],[Reference]]="Purchase order",_xll.AtlasFormulas.AtlasFunctions.AtlasTable("UAT",DataAreaId,"T.VendInvoiceTrans","%RecId","","","","","","","ItemId|PurchID|InventTransId",$C856,$B856,$K856),"")</f>
        <v/>
      </c>
      <c r="M856" s="4" t="str">
        <f>IF(AtlasReport_1_Table_1[[#This Row],[Reference]]="Purchase order",_xll.AtlasFormulas.AtlasFunctions.AtlasTable("UAT",DataAreaId,"T.MarkupTrans","%CurrencyCode","","","","","","","MarkupCode|TransRecId|TransTableId","TPP",$L856,"492"),"")</f>
        <v/>
      </c>
      <c r="N856" s="4" t="str">
        <f>IF(AtlasReport_1_Table_1[[#This Row],[Reference]]="Purchase order",_xll.AtlasFormulas.AtlasFunctions.AtlasBalance("UAT",DataAreaId,"T.MarkupTrans","Sum|Posted|0","","","","","","","MarkupCode|TransTableId|TransRecId","TPP","492",$L856),"")</f>
        <v/>
      </c>
    </row>
    <row r="857" spans="1:14" x14ac:dyDescent="0.25">
      <c r="A857" s="8" t="s">
        <v>21</v>
      </c>
      <c r="B857" s="8" t="s">
        <v>2321</v>
      </c>
      <c r="C857" s="8" t="s">
        <v>546</v>
      </c>
      <c r="D857" s="8" t="s">
        <v>1363</v>
      </c>
      <c r="E857" s="8" t="s">
        <v>261</v>
      </c>
      <c r="F857" s="8" t="s">
        <v>264</v>
      </c>
      <c r="G857" s="6">
        <v>43090</v>
      </c>
      <c r="H857" s="6">
        <v>43090</v>
      </c>
      <c r="I857" s="4">
        <v>68</v>
      </c>
      <c r="J857" s="8" t="s">
        <v>37</v>
      </c>
      <c r="K857" s="8" t="s">
        <v>2324</v>
      </c>
      <c r="L857" s="4" t="str">
        <f>IF(AtlasReport_1_Table_1[[#This Row],[Reference]]="Purchase order",_xll.AtlasFormulas.AtlasFunctions.AtlasTable("UAT",DataAreaId,"T.VendInvoiceTrans","%RecId","","","","","","","ItemId|PurchID|InventTransId",$C857,$B857,$K857),"")</f>
        <v/>
      </c>
      <c r="M857" s="4" t="str">
        <f>IF(AtlasReport_1_Table_1[[#This Row],[Reference]]="Purchase order",_xll.AtlasFormulas.AtlasFunctions.AtlasTable("UAT",DataAreaId,"T.MarkupTrans","%CurrencyCode","","","","","","","MarkupCode|TransRecId|TransTableId","TPP",$L857,"492"),"")</f>
        <v/>
      </c>
      <c r="N857" s="4" t="str">
        <f>IF(AtlasReport_1_Table_1[[#This Row],[Reference]]="Purchase order",_xll.AtlasFormulas.AtlasFunctions.AtlasBalance("UAT",DataAreaId,"T.MarkupTrans","Sum|Posted|0","","","","","","","MarkupCode|TransTableId|TransRecId","TPP","492",$L857),"")</f>
        <v/>
      </c>
    </row>
    <row r="858" spans="1:14" x14ac:dyDescent="0.25">
      <c r="A858" s="8" t="s">
        <v>21</v>
      </c>
      <c r="B858" s="8" t="s">
        <v>2325</v>
      </c>
      <c r="C858" s="8" t="s">
        <v>20</v>
      </c>
      <c r="D858" s="8" t="s">
        <v>191</v>
      </c>
      <c r="E858" s="8" t="s">
        <v>261</v>
      </c>
      <c r="F858" s="8" t="s">
        <v>290</v>
      </c>
      <c r="G858" s="6">
        <v>43091</v>
      </c>
      <c r="H858" s="6">
        <v>43091</v>
      </c>
      <c r="I858" s="4">
        <v>873</v>
      </c>
      <c r="J858" s="8" t="s">
        <v>38</v>
      </c>
      <c r="K858" s="8" t="s">
        <v>2326</v>
      </c>
      <c r="L858" s="4" t="str">
        <f>IF(AtlasReport_1_Table_1[[#This Row],[Reference]]="Purchase order",_xll.AtlasFormulas.AtlasFunctions.AtlasTable("UAT",DataAreaId,"T.VendInvoiceTrans","%RecId","","","","","","","ItemId|PurchID|InventTransId",$C858,$B858,$K858),"")</f>
        <v/>
      </c>
      <c r="M858" s="4" t="str">
        <f>IF(AtlasReport_1_Table_1[[#This Row],[Reference]]="Purchase order",_xll.AtlasFormulas.AtlasFunctions.AtlasTable("UAT",DataAreaId,"T.MarkupTrans","%CurrencyCode","","","","","","","MarkupCode|TransRecId|TransTableId","TPP",$L858,"492"),"")</f>
        <v/>
      </c>
      <c r="N858" s="4" t="str">
        <f>IF(AtlasReport_1_Table_1[[#This Row],[Reference]]="Purchase order",_xll.AtlasFormulas.AtlasFunctions.AtlasBalance("UAT",DataAreaId,"T.MarkupTrans","Sum|Posted|0","","","","","","","MarkupCode|TransTableId|TransRecId","TPP","492",$L858),"")</f>
        <v/>
      </c>
    </row>
    <row r="859" spans="1:14" x14ac:dyDescent="0.25">
      <c r="A859" s="8" t="s">
        <v>21</v>
      </c>
      <c r="B859" s="8" t="s">
        <v>2325</v>
      </c>
      <c r="C859" s="8" t="s">
        <v>15</v>
      </c>
      <c r="D859" s="8" t="s">
        <v>32</v>
      </c>
      <c r="E859" s="8" t="s">
        <v>261</v>
      </c>
      <c r="F859" s="8" t="s">
        <v>290</v>
      </c>
      <c r="G859" s="6">
        <v>43091</v>
      </c>
      <c r="H859" s="6">
        <v>43091</v>
      </c>
      <c r="I859" s="4">
        <v>1600.5</v>
      </c>
      <c r="J859" s="8" t="s">
        <v>38</v>
      </c>
      <c r="K859" s="8" t="s">
        <v>2327</v>
      </c>
      <c r="L859" s="4" t="str">
        <f>IF(AtlasReport_1_Table_1[[#This Row],[Reference]]="Purchase order",_xll.AtlasFormulas.AtlasFunctions.AtlasTable("UAT",DataAreaId,"T.VendInvoiceTrans","%RecId","","","","","","","ItemId|PurchID|InventTransId",$C859,$B859,$K859),"")</f>
        <v/>
      </c>
      <c r="M859" s="4" t="str">
        <f>IF(AtlasReport_1_Table_1[[#This Row],[Reference]]="Purchase order",_xll.AtlasFormulas.AtlasFunctions.AtlasTable("UAT",DataAreaId,"T.MarkupTrans","%CurrencyCode","","","","","","","MarkupCode|TransRecId|TransTableId","TPP",$L859,"492"),"")</f>
        <v/>
      </c>
      <c r="N859" s="4" t="str">
        <f>IF(AtlasReport_1_Table_1[[#This Row],[Reference]]="Purchase order",_xll.AtlasFormulas.AtlasFunctions.AtlasBalance("UAT",DataAreaId,"T.MarkupTrans","Sum|Posted|0","","","","","","","MarkupCode|TransTableId|TransRecId","TPP","492",$L859),"")</f>
        <v/>
      </c>
    </row>
    <row r="860" spans="1:14" x14ac:dyDescent="0.25">
      <c r="A860" s="8" t="s">
        <v>21</v>
      </c>
      <c r="B860" s="8" t="s">
        <v>2325</v>
      </c>
      <c r="C860" s="8" t="s">
        <v>16</v>
      </c>
      <c r="D860" s="8" t="s">
        <v>32</v>
      </c>
      <c r="E860" s="8" t="s">
        <v>261</v>
      </c>
      <c r="F860" s="8" t="s">
        <v>290</v>
      </c>
      <c r="G860" s="6">
        <v>43091</v>
      </c>
      <c r="H860" s="6">
        <v>43091</v>
      </c>
      <c r="I860" s="4">
        <v>1267.5</v>
      </c>
      <c r="J860" s="8" t="s">
        <v>38</v>
      </c>
      <c r="K860" s="8" t="s">
        <v>2328</v>
      </c>
      <c r="L860" s="4" t="str">
        <f>IF(AtlasReport_1_Table_1[[#This Row],[Reference]]="Purchase order",_xll.AtlasFormulas.AtlasFunctions.AtlasTable("UAT",DataAreaId,"T.VendInvoiceTrans","%RecId","","","","","","","ItemId|PurchID|InventTransId",$C860,$B860,$K860),"")</f>
        <v/>
      </c>
      <c r="M860" s="4" t="str">
        <f>IF(AtlasReport_1_Table_1[[#This Row],[Reference]]="Purchase order",_xll.AtlasFormulas.AtlasFunctions.AtlasTable("UAT",DataAreaId,"T.MarkupTrans","%CurrencyCode","","","","","","","MarkupCode|TransRecId|TransTableId","TPP",$L860,"492"),"")</f>
        <v/>
      </c>
      <c r="N860" s="4" t="str">
        <f>IF(AtlasReport_1_Table_1[[#This Row],[Reference]]="Purchase order",_xll.AtlasFormulas.AtlasFunctions.AtlasBalance("UAT",DataAreaId,"T.MarkupTrans","Sum|Posted|0","","","","","","","MarkupCode|TransTableId|TransRecId","TPP","492",$L860),"")</f>
        <v/>
      </c>
    </row>
    <row r="861" spans="1:14" x14ac:dyDescent="0.25">
      <c r="A861" s="8" t="s">
        <v>21</v>
      </c>
      <c r="B861" s="8" t="s">
        <v>2329</v>
      </c>
      <c r="C861" s="8" t="s">
        <v>52</v>
      </c>
      <c r="D861" s="8" t="s">
        <v>96</v>
      </c>
      <c r="E861" s="8" t="s">
        <v>261</v>
      </c>
      <c r="F861" s="8" t="s">
        <v>264</v>
      </c>
      <c r="G861" s="6">
        <v>43091</v>
      </c>
      <c r="H861" s="6">
        <v>43091</v>
      </c>
      <c r="I861" s="4">
        <v>171.1</v>
      </c>
      <c r="J861" s="8" t="s">
        <v>38</v>
      </c>
      <c r="K861" s="8" t="s">
        <v>2330</v>
      </c>
      <c r="L861" s="4" t="str">
        <f>IF(AtlasReport_1_Table_1[[#This Row],[Reference]]="Purchase order",_xll.AtlasFormulas.AtlasFunctions.AtlasTable("UAT",DataAreaId,"T.VendInvoiceTrans","%RecId","","","","","","","ItemId|PurchID|InventTransId",$C861,$B861,$K861),"")</f>
        <v/>
      </c>
      <c r="M861" s="4" t="str">
        <f>IF(AtlasReport_1_Table_1[[#This Row],[Reference]]="Purchase order",_xll.AtlasFormulas.AtlasFunctions.AtlasTable("UAT",DataAreaId,"T.MarkupTrans","%CurrencyCode","","","","","","","MarkupCode|TransRecId|TransTableId","TPP",$L861,"492"),"")</f>
        <v/>
      </c>
      <c r="N861" s="4" t="str">
        <f>IF(AtlasReport_1_Table_1[[#This Row],[Reference]]="Purchase order",_xll.AtlasFormulas.AtlasFunctions.AtlasBalance("UAT",DataAreaId,"T.MarkupTrans","Sum|Posted|0","","","","","","","MarkupCode|TransTableId|TransRecId","TPP","492",$L861),"")</f>
        <v/>
      </c>
    </row>
    <row r="862" spans="1:14" x14ac:dyDescent="0.25">
      <c r="A862" s="8" t="s">
        <v>21</v>
      </c>
      <c r="B862" s="8" t="s">
        <v>2331</v>
      </c>
      <c r="C862" s="8" t="s">
        <v>446</v>
      </c>
      <c r="D862" s="8" t="s">
        <v>1229</v>
      </c>
      <c r="E862" s="8" t="s">
        <v>261</v>
      </c>
      <c r="F862" s="8" t="s">
        <v>264</v>
      </c>
      <c r="G862" s="6">
        <v>43091</v>
      </c>
      <c r="H862" s="6">
        <v>43091</v>
      </c>
      <c r="I862" s="4">
        <v>718</v>
      </c>
      <c r="J862" s="8" t="s">
        <v>37</v>
      </c>
      <c r="K862" s="8" t="s">
        <v>2332</v>
      </c>
      <c r="L862" s="4" t="str">
        <f>IF(AtlasReport_1_Table_1[[#This Row],[Reference]]="Purchase order",_xll.AtlasFormulas.AtlasFunctions.AtlasTable("UAT",DataAreaId,"T.VendInvoiceTrans","%RecId","","","","","","","ItemId|PurchID|InventTransId",$C862,$B862,$K862),"")</f>
        <v/>
      </c>
      <c r="M862" s="4" t="str">
        <f>IF(AtlasReport_1_Table_1[[#This Row],[Reference]]="Purchase order",_xll.AtlasFormulas.AtlasFunctions.AtlasTable("UAT",DataAreaId,"T.MarkupTrans","%CurrencyCode","","","","","","","MarkupCode|TransRecId|TransTableId","TPP",$L862,"492"),"")</f>
        <v/>
      </c>
      <c r="N862" s="4" t="str">
        <f>IF(AtlasReport_1_Table_1[[#This Row],[Reference]]="Purchase order",_xll.AtlasFormulas.AtlasFunctions.AtlasBalance("UAT",DataAreaId,"T.MarkupTrans","Sum|Posted|0","","","","","","","MarkupCode|TransTableId|TransRecId","TPP","492",$L862),"")</f>
        <v/>
      </c>
    </row>
    <row r="863" spans="1:14" x14ac:dyDescent="0.25">
      <c r="A863" s="8" t="s">
        <v>21</v>
      </c>
      <c r="B863" s="8" t="s">
        <v>2333</v>
      </c>
      <c r="C863" s="8" t="s">
        <v>58</v>
      </c>
      <c r="D863" s="8" t="s">
        <v>127</v>
      </c>
      <c r="E863" s="8" t="s">
        <v>261</v>
      </c>
      <c r="F863" s="8" t="s">
        <v>264</v>
      </c>
      <c r="G863" s="6">
        <v>43091</v>
      </c>
      <c r="H863" s="6">
        <v>43091</v>
      </c>
      <c r="I863" s="4">
        <v>156.80000000000001</v>
      </c>
      <c r="J863" s="8" t="s">
        <v>39</v>
      </c>
      <c r="K863" s="8" t="s">
        <v>2334</v>
      </c>
      <c r="L863" s="4" t="str">
        <f>IF(AtlasReport_1_Table_1[[#This Row],[Reference]]="Purchase order",_xll.AtlasFormulas.AtlasFunctions.AtlasTable("UAT",DataAreaId,"T.VendInvoiceTrans","%RecId","","","","","","","ItemId|PurchID|InventTransId",$C863,$B863,$K863),"")</f>
        <v/>
      </c>
      <c r="M863" s="4" t="str">
        <f>IF(AtlasReport_1_Table_1[[#This Row],[Reference]]="Purchase order",_xll.AtlasFormulas.AtlasFunctions.AtlasTable("UAT",DataAreaId,"T.MarkupTrans","%CurrencyCode","","","","","","","MarkupCode|TransRecId|TransTableId","TPP",$L863,"492"),"")</f>
        <v/>
      </c>
      <c r="N863" s="4" t="str">
        <f>IF(AtlasReport_1_Table_1[[#This Row],[Reference]]="Purchase order",_xll.AtlasFormulas.AtlasFunctions.AtlasBalance("UAT",DataAreaId,"T.MarkupTrans","Sum|Posted|0","","","","","","","MarkupCode|TransTableId|TransRecId","TPP","492",$L863),"")</f>
        <v/>
      </c>
    </row>
    <row r="864" spans="1:14" x14ac:dyDescent="0.25">
      <c r="A864" s="8" t="s">
        <v>21</v>
      </c>
      <c r="B864" s="8" t="s">
        <v>2335</v>
      </c>
      <c r="C864" s="8" t="s">
        <v>280</v>
      </c>
      <c r="D864" s="8" t="s">
        <v>988</v>
      </c>
      <c r="E864" s="8" t="s">
        <v>261</v>
      </c>
      <c r="F864" s="8" t="s">
        <v>264</v>
      </c>
      <c r="G864" s="6">
        <v>43091</v>
      </c>
      <c r="H864" s="6">
        <v>43091</v>
      </c>
      <c r="I864" s="4">
        <v>-389298</v>
      </c>
      <c r="J864" s="8" t="s">
        <v>37</v>
      </c>
      <c r="K864" s="8" t="s">
        <v>2336</v>
      </c>
      <c r="L864" s="4" t="str">
        <f>IF(AtlasReport_1_Table_1[[#This Row],[Reference]]="Purchase order",_xll.AtlasFormulas.AtlasFunctions.AtlasTable("UAT",DataAreaId,"T.VendInvoiceTrans","%RecId","","","","","","","ItemId|PurchID|InventTransId",$C864,$B864,$K864),"")</f>
        <v/>
      </c>
      <c r="M864" s="4" t="str">
        <f>IF(AtlasReport_1_Table_1[[#This Row],[Reference]]="Purchase order",_xll.AtlasFormulas.AtlasFunctions.AtlasTable("UAT",DataAreaId,"T.MarkupTrans","%CurrencyCode","","","","","","","MarkupCode|TransRecId|TransTableId","TPP",$L864,"492"),"")</f>
        <v/>
      </c>
      <c r="N864" s="4" t="str">
        <f>IF(AtlasReport_1_Table_1[[#This Row],[Reference]]="Purchase order",_xll.AtlasFormulas.AtlasFunctions.AtlasBalance("UAT",DataAreaId,"T.MarkupTrans","Sum|Posted|0","","","","","","","MarkupCode|TransTableId|TransRecId","TPP","492",$L864),"")</f>
        <v/>
      </c>
    </row>
    <row r="865" spans="1:14" ht="45" x14ac:dyDescent="0.25">
      <c r="A865" s="8" t="s">
        <v>21</v>
      </c>
      <c r="B865" s="8" t="s">
        <v>2335</v>
      </c>
      <c r="C865" s="8" t="s">
        <v>523</v>
      </c>
      <c r="D865" s="11" t="s">
        <v>1339</v>
      </c>
      <c r="E865" s="8" t="s">
        <v>261</v>
      </c>
      <c r="F865" s="8" t="s">
        <v>264</v>
      </c>
      <c r="G865" s="6">
        <v>43091</v>
      </c>
      <c r="H865" s="6">
        <v>43091</v>
      </c>
      <c r="I865" s="4">
        <v>880</v>
      </c>
      <c r="J865" s="8" t="s">
        <v>37</v>
      </c>
      <c r="K865" s="8" t="s">
        <v>2337</v>
      </c>
      <c r="L865" s="4" t="str">
        <f>IF(AtlasReport_1_Table_1[[#This Row],[Reference]]="Purchase order",_xll.AtlasFormulas.AtlasFunctions.AtlasTable("UAT",DataAreaId,"T.VendInvoiceTrans","%RecId","","","","","","","ItemId|PurchID|InventTransId",$C865,$B865,$K865),"")</f>
        <v/>
      </c>
      <c r="M865" s="4" t="str">
        <f>IF(AtlasReport_1_Table_1[[#This Row],[Reference]]="Purchase order",_xll.AtlasFormulas.AtlasFunctions.AtlasTable("UAT",DataAreaId,"T.MarkupTrans","%CurrencyCode","","","","","","","MarkupCode|TransRecId|TransTableId","TPP",$L865,"492"),"")</f>
        <v/>
      </c>
      <c r="N865" s="4" t="str">
        <f>IF(AtlasReport_1_Table_1[[#This Row],[Reference]]="Purchase order",_xll.AtlasFormulas.AtlasFunctions.AtlasBalance("UAT",DataAreaId,"T.MarkupTrans","Sum|Posted|0","","","","","","","MarkupCode|TransTableId|TransRecId","TPP","492",$L865),"")</f>
        <v/>
      </c>
    </row>
    <row r="866" spans="1:14" x14ac:dyDescent="0.25">
      <c r="A866" s="3" t="s">
        <v>13</v>
      </c>
      <c r="B866" s="7"/>
      <c r="C866" s="7" t="s">
        <v>13</v>
      </c>
      <c r="D866" s="3"/>
      <c r="E866" s="7"/>
      <c r="F866" s="7"/>
      <c r="G866" s="5"/>
      <c r="H866" s="5"/>
      <c r="I866" s="3">
        <f>SUBTOTAL(109,AtlasReport_1_Table_1[Quantity])</f>
        <v>-32236.130199999898</v>
      </c>
      <c r="J866" s="7"/>
      <c r="K866" s="7"/>
      <c r="L866" s="3"/>
      <c r="M866" s="3"/>
      <c r="N866" s="3"/>
    </row>
    <row r="867" spans="1:14" x14ac:dyDescent="0.25">
      <c r="A867" s="3"/>
      <c r="B867" s="3"/>
      <c r="C867" s="3"/>
      <c r="D867" s="3"/>
      <c r="E867" s="3"/>
      <c r="F867" s="3"/>
      <c r="G867" s="5"/>
      <c r="H867" s="5"/>
      <c r="I867" s="3"/>
      <c r="J867" s="3"/>
      <c r="K867" s="3"/>
      <c r="L867" s="3"/>
      <c r="M867" s="3"/>
      <c r="N867" s="3"/>
    </row>
    <row r="868" spans="1:14" x14ac:dyDescent="0.25">
      <c r="A868" s="3"/>
      <c r="B868" s="3"/>
      <c r="C868" s="3"/>
      <c r="D868" s="3"/>
      <c r="E868" s="3"/>
      <c r="F868" s="3"/>
      <c r="G868" s="5"/>
      <c r="H868" s="5"/>
      <c r="I868" s="3"/>
      <c r="J868" s="3"/>
      <c r="K868" s="3"/>
      <c r="L868" s="3"/>
      <c r="M868" s="3"/>
      <c r="N868" s="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517"/>
  <sheetViews>
    <sheetView workbookViewId="0">
      <selection activeCell="C9" sqref="C9"/>
    </sheetView>
  </sheetViews>
  <sheetFormatPr defaultRowHeight="15" x14ac:dyDescent="0.25"/>
  <cols>
    <col min="1" max="1" width="14.42578125" customWidth="1"/>
    <col min="2" max="2" width="11.5703125" customWidth="1"/>
    <col min="3" max="3" width="14.85546875" customWidth="1"/>
    <col min="4" max="4" width="26.140625" customWidth="1"/>
    <col min="5" max="5" width="9.7109375" customWidth="1"/>
    <col min="6" max="6" width="6.7109375" customWidth="1"/>
    <col min="7" max="7" width="5.85546875" customWidth="1"/>
    <col min="8" max="8" width="11" customWidth="1"/>
    <col min="9" max="9" width="7.140625" customWidth="1"/>
    <col min="10" max="10" width="10" customWidth="1"/>
    <col min="11" max="12" width="11.140625" customWidth="1"/>
    <col min="13" max="13" width="9.7109375" customWidth="1"/>
    <col min="14" max="14" width="18.85546875" customWidth="1"/>
    <col min="15" max="15" width="10.140625" customWidth="1"/>
    <col min="16" max="16" width="8.7109375" customWidth="1"/>
    <col min="17" max="17" width="13.42578125" customWidth="1"/>
  </cols>
  <sheetData>
    <row r="1" spans="1:17" ht="22.5" x14ac:dyDescent="0.3">
      <c r="A1" s="2" t="s">
        <v>40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25">
      <c r="A2" s="3" t="s">
        <v>8</v>
      </c>
      <c r="B2" s="3" t="s">
        <v>9</v>
      </c>
      <c r="C2" s="3" t="s">
        <v>6</v>
      </c>
      <c r="D2" s="3" t="s">
        <v>30</v>
      </c>
      <c r="E2" s="5" t="s">
        <v>47</v>
      </c>
      <c r="F2" s="3" t="s">
        <v>49</v>
      </c>
      <c r="G2" s="3" t="s">
        <v>50</v>
      </c>
      <c r="H2" s="3" t="s">
        <v>12</v>
      </c>
      <c r="I2" s="3" t="s">
        <v>36</v>
      </c>
      <c r="J2" s="3" t="s">
        <v>41</v>
      </c>
      <c r="K2" s="3" t="s">
        <v>42</v>
      </c>
      <c r="L2" s="3" t="s">
        <v>45</v>
      </c>
      <c r="M2" s="3" t="s">
        <v>43</v>
      </c>
      <c r="N2" s="3" t="s">
        <v>44</v>
      </c>
      <c r="O2" s="3" t="s">
        <v>7</v>
      </c>
      <c r="P2" s="3" t="s">
        <v>46</v>
      </c>
      <c r="Q2" s="3" t="s">
        <v>48</v>
      </c>
    </row>
    <row r="3" spans="1:17" x14ac:dyDescent="0.25">
      <c r="A3" s="8" t="s">
        <v>607</v>
      </c>
      <c r="B3" s="8" t="s">
        <v>81</v>
      </c>
      <c r="C3" s="8" t="s">
        <v>286</v>
      </c>
      <c r="D3" s="8" t="s">
        <v>608</v>
      </c>
      <c r="E3" s="6">
        <v>43096</v>
      </c>
      <c r="F3" s="8" t="s">
        <v>261</v>
      </c>
      <c r="G3" s="8" t="s">
        <v>264</v>
      </c>
      <c r="H3" s="4">
        <v>-1</v>
      </c>
      <c r="I3" s="8" t="s">
        <v>37</v>
      </c>
      <c r="J3" s="4">
        <v>0.46266000000000002</v>
      </c>
      <c r="K3" s="4">
        <v>-0.46</v>
      </c>
      <c r="L3" s="8" t="s">
        <v>609</v>
      </c>
      <c r="M3" s="4">
        <v>-0.46</v>
      </c>
      <c r="N3" s="8" t="s">
        <v>610</v>
      </c>
      <c r="O3" s="8" t="s">
        <v>611</v>
      </c>
      <c r="P3" s="8" t="s">
        <v>247</v>
      </c>
      <c r="Q3" s="4">
        <v>0</v>
      </c>
    </row>
    <row r="4" spans="1:17" x14ac:dyDescent="0.25">
      <c r="A4" s="8" t="s">
        <v>607</v>
      </c>
      <c r="B4" s="8" t="s">
        <v>81</v>
      </c>
      <c r="C4" s="8" t="s">
        <v>303</v>
      </c>
      <c r="D4" s="8" t="s">
        <v>612</v>
      </c>
      <c r="E4" s="6">
        <v>43096</v>
      </c>
      <c r="F4" s="8" t="s">
        <v>261</v>
      </c>
      <c r="G4" s="8" t="s">
        <v>264</v>
      </c>
      <c r="H4" s="4">
        <v>-1</v>
      </c>
      <c r="I4" s="8" t="s">
        <v>37</v>
      </c>
      <c r="J4" s="4">
        <v>1.60884</v>
      </c>
      <c r="K4" s="4">
        <v>-1.61</v>
      </c>
      <c r="L4" s="8" t="s">
        <v>609</v>
      </c>
      <c r="M4" s="4">
        <v>-1.61</v>
      </c>
      <c r="N4" s="8" t="s">
        <v>610</v>
      </c>
      <c r="O4" s="8" t="s">
        <v>613</v>
      </c>
      <c r="P4" s="8" t="s">
        <v>247</v>
      </c>
      <c r="Q4" s="4">
        <v>0</v>
      </c>
    </row>
    <row r="5" spans="1:17" x14ac:dyDescent="0.25">
      <c r="A5" s="8" t="s">
        <v>252</v>
      </c>
      <c r="B5" s="8" t="s">
        <v>614</v>
      </c>
      <c r="C5" s="8" t="s">
        <v>20</v>
      </c>
      <c r="D5" s="8" t="s">
        <v>191</v>
      </c>
      <c r="E5" s="6">
        <v>43091</v>
      </c>
      <c r="F5" s="8" t="s">
        <v>261</v>
      </c>
      <c r="G5" s="8" t="s">
        <v>290</v>
      </c>
      <c r="H5" s="4">
        <v>-339.5</v>
      </c>
      <c r="I5" s="8" t="s">
        <v>38</v>
      </c>
      <c r="J5" s="4">
        <v>0.88283722514600005</v>
      </c>
      <c r="K5" s="4">
        <v>-299.71999999999997</v>
      </c>
      <c r="L5" s="8" t="s">
        <v>609</v>
      </c>
      <c r="M5" s="4">
        <v>-299.71999999999997</v>
      </c>
      <c r="N5" s="8" t="s">
        <v>615</v>
      </c>
      <c r="O5" s="8" t="s">
        <v>616</v>
      </c>
      <c r="P5" s="8" t="s">
        <v>247</v>
      </c>
      <c r="Q5" s="4">
        <v>5637699038</v>
      </c>
    </row>
    <row r="6" spans="1:17" x14ac:dyDescent="0.25">
      <c r="A6" s="8" t="s">
        <v>252</v>
      </c>
      <c r="B6" s="8" t="s">
        <v>617</v>
      </c>
      <c r="C6" s="8" t="s">
        <v>20</v>
      </c>
      <c r="D6" s="8" t="s">
        <v>191</v>
      </c>
      <c r="E6" s="6">
        <v>43091</v>
      </c>
      <c r="F6" s="8" t="s">
        <v>261</v>
      </c>
      <c r="G6" s="8" t="s">
        <v>290</v>
      </c>
      <c r="H6" s="4">
        <v>-533.5</v>
      </c>
      <c r="I6" s="8" t="s">
        <v>38</v>
      </c>
      <c r="J6" s="4">
        <v>0.88283931104299995</v>
      </c>
      <c r="K6" s="4">
        <v>-470.98999999999995</v>
      </c>
      <c r="L6" s="8" t="s">
        <v>609</v>
      </c>
      <c r="M6" s="4">
        <v>-470.98999999999995</v>
      </c>
      <c r="N6" s="8" t="s">
        <v>618</v>
      </c>
      <c r="O6" s="8" t="s">
        <v>619</v>
      </c>
      <c r="P6" s="8" t="s">
        <v>247</v>
      </c>
      <c r="Q6" s="4">
        <v>5637699045</v>
      </c>
    </row>
    <row r="7" spans="1:17" x14ac:dyDescent="0.25">
      <c r="A7" s="8" t="s">
        <v>607</v>
      </c>
      <c r="B7" s="8" t="s">
        <v>81</v>
      </c>
      <c r="C7" s="8" t="s">
        <v>20</v>
      </c>
      <c r="D7" s="8" t="s">
        <v>191</v>
      </c>
      <c r="E7" s="6">
        <v>43096</v>
      </c>
      <c r="F7" s="8" t="s">
        <v>261</v>
      </c>
      <c r="G7" s="8" t="s">
        <v>290</v>
      </c>
      <c r="H7" s="4">
        <v>872.75</v>
      </c>
      <c r="I7" s="8" t="s">
        <v>38</v>
      </c>
      <c r="J7" s="4">
        <v>0.88283999999999996</v>
      </c>
      <c r="K7" s="4">
        <v>770.5</v>
      </c>
      <c r="L7" s="8" t="s">
        <v>609</v>
      </c>
      <c r="M7" s="4">
        <v>770.5</v>
      </c>
      <c r="N7" s="8" t="s">
        <v>610</v>
      </c>
      <c r="O7" s="8" t="s">
        <v>620</v>
      </c>
      <c r="P7" s="8" t="s">
        <v>247</v>
      </c>
      <c r="Q7" s="4">
        <v>0</v>
      </c>
    </row>
    <row r="8" spans="1:17" x14ac:dyDescent="0.25">
      <c r="A8" s="8" t="s">
        <v>607</v>
      </c>
      <c r="B8" s="8" t="s">
        <v>81</v>
      </c>
      <c r="C8" s="8" t="s">
        <v>20</v>
      </c>
      <c r="D8" s="8" t="s">
        <v>191</v>
      </c>
      <c r="E8" s="6">
        <v>43096</v>
      </c>
      <c r="F8" s="8" t="s">
        <v>261</v>
      </c>
      <c r="G8" s="8" t="s">
        <v>264</v>
      </c>
      <c r="H8" s="4">
        <v>-509.25</v>
      </c>
      <c r="I8" s="8" t="s">
        <v>38</v>
      </c>
      <c r="J8" s="4">
        <v>0.57950000000000002</v>
      </c>
      <c r="K8" s="4">
        <v>-295.11</v>
      </c>
      <c r="L8" s="8" t="s">
        <v>609</v>
      </c>
      <c r="M8" s="4">
        <v>-295.11</v>
      </c>
      <c r="N8" s="8" t="s">
        <v>610</v>
      </c>
      <c r="O8" s="8" t="s">
        <v>621</v>
      </c>
      <c r="P8" s="8" t="s">
        <v>247</v>
      </c>
      <c r="Q8" s="4">
        <v>0</v>
      </c>
    </row>
    <row r="9" spans="1:17" x14ac:dyDescent="0.25">
      <c r="A9" s="8" t="s">
        <v>607</v>
      </c>
      <c r="B9" s="8" t="s">
        <v>81</v>
      </c>
      <c r="C9" s="8" t="s">
        <v>71</v>
      </c>
      <c r="D9" s="8" t="s">
        <v>191</v>
      </c>
      <c r="E9" s="6">
        <v>43096</v>
      </c>
      <c r="F9" s="8" t="s">
        <v>261</v>
      </c>
      <c r="G9" s="8" t="s">
        <v>290</v>
      </c>
      <c r="H9" s="4">
        <v>118.5</v>
      </c>
      <c r="I9" s="8" t="s">
        <v>38</v>
      </c>
      <c r="J9" s="4">
        <v>1.0526599999999999</v>
      </c>
      <c r="K9" s="4">
        <v>124.74000000000001</v>
      </c>
      <c r="L9" s="8" t="s">
        <v>609</v>
      </c>
      <c r="M9" s="4">
        <v>124.74000000000001</v>
      </c>
      <c r="N9" s="8" t="s">
        <v>610</v>
      </c>
      <c r="O9" s="8" t="s">
        <v>622</v>
      </c>
      <c r="P9" s="8" t="s">
        <v>247</v>
      </c>
      <c r="Q9" s="4">
        <v>0</v>
      </c>
    </row>
    <row r="10" spans="1:17" x14ac:dyDescent="0.25">
      <c r="A10" s="8" t="s">
        <v>607</v>
      </c>
      <c r="B10" s="8" t="s">
        <v>81</v>
      </c>
      <c r="C10" s="8" t="s">
        <v>18</v>
      </c>
      <c r="D10" s="8" t="s">
        <v>191</v>
      </c>
      <c r="E10" s="6">
        <v>43096</v>
      </c>
      <c r="F10" s="8" t="s">
        <v>261</v>
      </c>
      <c r="G10" s="8" t="s">
        <v>290</v>
      </c>
      <c r="H10" s="4">
        <v>48.75</v>
      </c>
      <c r="I10" s="8" t="s">
        <v>38</v>
      </c>
      <c r="J10" s="4">
        <v>0.79235</v>
      </c>
      <c r="K10" s="4">
        <v>38.630000000000003</v>
      </c>
      <c r="L10" s="8" t="s">
        <v>609</v>
      </c>
      <c r="M10" s="4">
        <v>38.630000000000003</v>
      </c>
      <c r="N10" s="8" t="s">
        <v>610</v>
      </c>
      <c r="O10" s="8" t="s">
        <v>623</v>
      </c>
      <c r="P10" s="8" t="s">
        <v>247</v>
      </c>
      <c r="Q10" s="4">
        <v>0</v>
      </c>
    </row>
    <row r="11" spans="1:17" x14ac:dyDescent="0.25">
      <c r="A11" s="8" t="s">
        <v>607</v>
      </c>
      <c r="B11" s="8" t="s">
        <v>81</v>
      </c>
      <c r="C11" s="8" t="s">
        <v>18</v>
      </c>
      <c r="D11" s="8" t="s">
        <v>191</v>
      </c>
      <c r="E11" s="6">
        <v>43096</v>
      </c>
      <c r="F11" s="8" t="s">
        <v>261</v>
      </c>
      <c r="G11" s="8" t="s">
        <v>264</v>
      </c>
      <c r="H11" s="4">
        <v>1083.5</v>
      </c>
      <c r="I11" s="8" t="s">
        <v>38</v>
      </c>
      <c r="J11" s="4">
        <v>0.37717000000000001</v>
      </c>
      <c r="K11" s="4">
        <v>408.65999999999997</v>
      </c>
      <c r="L11" s="8" t="s">
        <v>609</v>
      </c>
      <c r="M11" s="4">
        <v>408.65999999999997</v>
      </c>
      <c r="N11" s="8" t="s">
        <v>610</v>
      </c>
      <c r="O11" s="8" t="s">
        <v>624</v>
      </c>
      <c r="P11" s="8" t="s">
        <v>247</v>
      </c>
      <c r="Q11" s="4">
        <v>0</v>
      </c>
    </row>
    <row r="12" spans="1:17" x14ac:dyDescent="0.25">
      <c r="A12" s="8" t="s">
        <v>607</v>
      </c>
      <c r="B12" s="8" t="s">
        <v>81</v>
      </c>
      <c r="C12" s="8" t="s">
        <v>312</v>
      </c>
      <c r="D12" s="8" t="s">
        <v>625</v>
      </c>
      <c r="E12" s="6">
        <v>43096</v>
      </c>
      <c r="F12" s="8" t="s">
        <v>261</v>
      </c>
      <c r="G12" s="8" t="s">
        <v>264</v>
      </c>
      <c r="H12" s="4">
        <v>-190</v>
      </c>
      <c r="I12" s="8" t="s">
        <v>38</v>
      </c>
      <c r="J12" s="4">
        <v>1.74787</v>
      </c>
      <c r="K12" s="4">
        <v>-332.1</v>
      </c>
      <c r="L12" s="8" t="s">
        <v>609</v>
      </c>
      <c r="M12" s="4">
        <v>-332.1</v>
      </c>
      <c r="N12" s="8" t="s">
        <v>610</v>
      </c>
      <c r="O12" s="8" t="s">
        <v>626</v>
      </c>
      <c r="P12" s="8" t="s">
        <v>247</v>
      </c>
      <c r="Q12" s="4">
        <v>0</v>
      </c>
    </row>
    <row r="13" spans="1:17" x14ac:dyDescent="0.25">
      <c r="A13" s="8" t="s">
        <v>252</v>
      </c>
      <c r="B13" s="8" t="s">
        <v>627</v>
      </c>
      <c r="C13" s="8" t="s">
        <v>25</v>
      </c>
      <c r="D13" s="8" t="s">
        <v>31</v>
      </c>
      <c r="E13" s="6">
        <v>43083</v>
      </c>
      <c r="F13" s="8" t="s">
        <v>261</v>
      </c>
      <c r="G13" s="8" t="s">
        <v>264</v>
      </c>
      <c r="H13" s="4">
        <v>8.0299999999999994</v>
      </c>
      <c r="I13" s="8" t="s">
        <v>38</v>
      </c>
      <c r="J13" s="4">
        <v>0.24451975036599999</v>
      </c>
      <c r="K13" s="4">
        <v>1.9600000000000002</v>
      </c>
      <c r="L13" s="8" t="s">
        <v>609</v>
      </c>
      <c r="M13" s="4">
        <v>1.9600000000000002</v>
      </c>
      <c r="N13" s="8" t="s">
        <v>628</v>
      </c>
      <c r="O13" s="8" t="s">
        <v>629</v>
      </c>
      <c r="P13" s="8" t="s">
        <v>247</v>
      </c>
      <c r="Q13" s="4">
        <v>5637697298</v>
      </c>
    </row>
    <row r="14" spans="1:17" x14ac:dyDescent="0.25">
      <c r="A14" s="8" t="s">
        <v>252</v>
      </c>
      <c r="B14" s="8" t="s">
        <v>630</v>
      </c>
      <c r="C14" s="8" t="s">
        <v>25</v>
      </c>
      <c r="D14" s="8" t="s">
        <v>31</v>
      </c>
      <c r="E14" s="6">
        <v>43083</v>
      </c>
      <c r="F14" s="8" t="s">
        <v>261</v>
      </c>
      <c r="G14" s="8" t="s">
        <v>264</v>
      </c>
      <c r="H14" s="4">
        <v>-30</v>
      </c>
      <c r="I14" s="8" t="s">
        <v>38</v>
      </c>
      <c r="J14" s="4">
        <v>-0.90596412630500001</v>
      </c>
      <c r="K14" s="4">
        <v>27.18</v>
      </c>
      <c r="L14" s="8" t="s">
        <v>609</v>
      </c>
      <c r="M14" s="4">
        <v>27.18</v>
      </c>
      <c r="N14" s="8" t="s">
        <v>631</v>
      </c>
      <c r="O14" s="8" t="s">
        <v>632</v>
      </c>
      <c r="P14" s="8" t="s">
        <v>247</v>
      </c>
      <c r="Q14" s="4">
        <v>5637697414</v>
      </c>
    </row>
    <row r="15" spans="1:17" x14ac:dyDescent="0.25">
      <c r="A15" s="8" t="s">
        <v>17</v>
      </c>
      <c r="B15" s="8" t="s">
        <v>633</v>
      </c>
      <c r="C15" s="8" t="s">
        <v>25</v>
      </c>
      <c r="D15" s="8" t="s">
        <v>31</v>
      </c>
      <c r="E15" s="6">
        <v>43083</v>
      </c>
      <c r="F15" s="8" t="s">
        <v>261</v>
      </c>
      <c r="G15" s="8" t="s">
        <v>264</v>
      </c>
      <c r="H15" s="4">
        <v>30</v>
      </c>
      <c r="I15" s="8" t="s">
        <v>38</v>
      </c>
      <c r="J15" s="4">
        <v>0.82566666666699995</v>
      </c>
      <c r="K15" s="4">
        <v>24.77</v>
      </c>
      <c r="L15" s="8" t="s">
        <v>246</v>
      </c>
      <c r="M15" s="4">
        <v>21.27</v>
      </c>
      <c r="N15" s="8" t="s">
        <v>634</v>
      </c>
      <c r="O15" s="8" t="s">
        <v>635</v>
      </c>
      <c r="P15" s="8" t="s">
        <v>247</v>
      </c>
      <c r="Q15" s="4">
        <v>5637697044</v>
      </c>
    </row>
    <row r="16" spans="1:17" x14ac:dyDescent="0.25">
      <c r="A16" s="8" t="s">
        <v>17</v>
      </c>
      <c r="B16" s="8" t="s">
        <v>633</v>
      </c>
      <c r="C16" s="8" t="s">
        <v>25</v>
      </c>
      <c r="D16" s="8" t="s">
        <v>31</v>
      </c>
      <c r="E16" s="6">
        <v>43083</v>
      </c>
      <c r="F16" s="8" t="s">
        <v>261</v>
      </c>
      <c r="G16" s="8" t="s">
        <v>264</v>
      </c>
      <c r="H16" s="4">
        <v>30</v>
      </c>
      <c r="I16" s="8" t="s">
        <v>38</v>
      </c>
      <c r="J16" s="4">
        <v>0.82566666666699995</v>
      </c>
      <c r="K16" s="4">
        <v>24.77</v>
      </c>
      <c r="L16" s="8" t="s">
        <v>246</v>
      </c>
      <c r="M16" s="4">
        <v>21.27</v>
      </c>
      <c r="N16" s="8" t="s">
        <v>634</v>
      </c>
      <c r="O16" s="8" t="s">
        <v>635</v>
      </c>
      <c r="P16" s="8" t="s">
        <v>247</v>
      </c>
      <c r="Q16" s="4">
        <v>5637697045</v>
      </c>
    </row>
    <row r="17" spans="1:17" x14ac:dyDescent="0.25">
      <c r="A17" s="8" t="s">
        <v>252</v>
      </c>
      <c r="B17" s="8" t="s">
        <v>630</v>
      </c>
      <c r="C17" s="8" t="s">
        <v>25</v>
      </c>
      <c r="D17" s="8" t="s">
        <v>31</v>
      </c>
      <c r="E17" s="6">
        <v>43083</v>
      </c>
      <c r="F17" s="8" t="s">
        <v>261</v>
      </c>
      <c r="G17" s="8" t="s">
        <v>264</v>
      </c>
      <c r="H17" s="4">
        <v>-30</v>
      </c>
      <c r="I17" s="8" t="s">
        <v>38</v>
      </c>
      <c r="J17" s="4">
        <v>-0.90596412630500001</v>
      </c>
      <c r="K17" s="4">
        <v>27.18</v>
      </c>
      <c r="L17" s="8" t="s">
        <v>609</v>
      </c>
      <c r="M17" s="4">
        <v>27.18</v>
      </c>
      <c r="N17" s="8" t="s">
        <v>631</v>
      </c>
      <c r="O17" s="8" t="s">
        <v>632</v>
      </c>
      <c r="P17" s="8" t="s">
        <v>247</v>
      </c>
      <c r="Q17" s="4">
        <v>5637697411</v>
      </c>
    </row>
    <row r="18" spans="1:17" x14ac:dyDescent="0.25">
      <c r="A18" s="8" t="s">
        <v>252</v>
      </c>
      <c r="B18" s="8" t="s">
        <v>630</v>
      </c>
      <c r="C18" s="8" t="s">
        <v>25</v>
      </c>
      <c r="D18" s="8" t="s">
        <v>31</v>
      </c>
      <c r="E18" s="6">
        <v>43083</v>
      </c>
      <c r="F18" s="8" t="s">
        <v>261</v>
      </c>
      <c r="G18" s="8" t="s">
        <v>264</v>
      </c>
      <c r="H18" s="4">
        <v>-30</v>
      </c>
      <c r="I18" s="8" t="s">
        <v>38</v>
      </c>
      <c r="J18" s="4">
        <v>-0.90596412630500001</v>
      </c>
      <c r="K18" s="4">
        <v>27.18</v>
      </c>
      <c r="L18" s="8" t="s">
        <v>609</v>
      </c>
      <c r="M18" s="4">
        <v>27.18</v>
      </c>
      <c r="N18" s="8" t="s">
        <v>631</v>
      </c>
      <c r="O18" s="8" t="s">
        <v>632</v>
      </c>
      <c r="P18" s="8" t="s">
        <v>247</v>
      </c>
      <c r="Q18" s="4">
        <v>5637690802</v>
      </c>
    </row>
    <row r="19" spans="1:17" x14ac:dyDescent="0.25">
      <c r="A19" s="8" t="s">
        <v>17</v>
      </c>
      <c r="B19" s="8" t="s">
        <v>633</v>
      </c>
      <c r="C19" s="8" t="s">
        <v>25</v>
      </c>
      <c r="D19" s="8" t="s">
        <v>31</v>
      </c>
      <c r="E19" s="6">
        <v>43083</v>
      </c>
      <c r="F19" s="8" t="s">
        <v>261</v>
      </c>
      <c r="G19" s="8" t="s">
        <v>264</v>
      </c>
      <c r="H19" s="4">
        <v>30</v>
      </c>
      <c r="I19" s="8" t="s">
        <v>38</v>
      </c>
      <c r="J19" s="4">
        <v>0.82566666666699995</v>
      </c>
      <c r="K19" s="4">
        <v>24.77</v>
      </c>
      <c r="L19" s="8" t="s">
        <v>246</v>
      </c>
      <c r="M19" s="4">
        <v>21.27</v>
      </c>
      <c r="N19" s="8" t="s">
        <v>634</v>
      </c>
      <c r="O19" s="8" t="s">
        <v>635</v>
      </c>
      <c r="P19" s="8" t="s">
        <v>247</v>
      </c>
      <c r="Q19" s="4">
        <v>5637697046</v>
      </c>
    </row>
    <row r="20" spans="1:17" x14ac:dyDescent="0.25">
      <c r="A20" s="8" t="s">
        <v>17</v>
      </c>
      <c r="B20" s="8" t="s">
        <v>633</v>
      </c>
      <c r="C20" s="8" t="s">
        <v>25</v>
      </c>
      <c r="D20" s="8" t="s">
        <v>31</v>
      </c>
      <c r="E20" s="6">
        <v>43083</v>
      </c>
      <c r="F20" s="8" t="s">
        <v>261</v>
      </c>
      <c r="G20" s="8" t="s">
        <v>264</v>
      </c>
      <c r="H20" s="4">
        <v>30</v>
      </c>
      <c r="I20" s="8" t="s">
        <v>38</v>
      </c>
      <c r="J20" s="4">
        <v>0.82566666666699995</v>
      </c>
      <c r="K20" s="4">
        <v>24.77</v>
      </c>
      <c r="L20" s="8" t="s">
        <v>246</v>
      </c>
      <c r="M20" s="4">
        <v>21.27</v>
      </c>
      <c r="N20" s="8" t="s">
        <v>634</v>
      </c>
      <c r="O20" s="8" t="s">
        <v>635</v>
      </c>
      <c r="P20" s="8" t="s">
        <v>247</v>
      </c>
      <c r="Q20" s="4">
        <v>5637697047</v>
      </c>
    </row>
    <row r="21" spans="1:17" x14ac:dyDescent="0.25">
      <c r="A21" s="8" t="s">
        <v>252</v>
      </c>
      <c r="B21" s="8" t="s">
        <v>630</v>
      </c>
      <c r="C21" s="8" t="s">
        <v>25</v>
      </c>
      <c r="D21" s="8" t="s">
        <v>31</v>
      </c>
      <c r="E21" s="6">
        <v>43083</v>
      </c>
      <c r="F21" s="8" t="s">
        <v>261</v>
      </c>
      <c r="G21" s="8" t="s">
        <v>264</v>
      </c>
      <c r="H21" s="4">
        <v>-30</v>
      </c>
      <c r="I21" s="8" t="s">
        <v>38</v>
      </c>
      <c r="J21" s="4">
        <v>-0.90596412630500001</v>
      </c>
      <c r="K21" s="4">
        <v>27.18</v>
      </c>
      <c r="L21" s="8" t="s">
        <v>609</v>
      </c>
      <c r="M21" s="4">
        <v>27.18</v>
      </c>
      <c r="N21" s="8" t="s">
        <v>631</v>
      </c>
      <c r="O21" s="8" t="s">
        <v>632</v>
      </c>
      <c r="P21" s="8" t="s">
        <v>247</v>
      </c>
      <c r="Q21" s="4">
        <v>5637697413</v>
      </c>
    </row>
    <row r="22" spans="1:17" x14ac:dyDescent="0.25">
      <c r="A22" s="8" t="s">
        <v>252</v>
      </c>
      <c r="B22" s="8" t="s">
        <v>630</v>
      </c>
      <c r="C22" s="8" t="s">
        <v>25</v>
      </c>
      <c r="D22" s="8" t="s">
        <v>31</v>
      </c>
      <c r="E22" s="6">
        <v>43083</v>
      </c>
      <c r="F22" s="8" t="s">
        <v>261</v>
      </c>
      <c r="G22" s="8" t="s">
        <v>264</v>
      </c>
      <c r="H22" s="4">
        <v>-30</v>
      </c>
      <c r="I22" s="8" t="s">
        <v>38</v>
      </c>
      <c r="J22" s="4">
        <v>-0.90596412630500001</v>
      </c>
      <c r="K22" s="4">
        <v>27.18</v>
      </c>
      <c r="L22" s="8" t="s">
        <v>609</v>
      </c>
      <c r="M22" s="4">
        <v>27.18</v>
      </c>
      <c r="N22" s="8" t="s">
        <v>631</v>
      </c>
      <c r="O22" s="8" t="s">
        <v>632</v>
      </c>
      <c r="P22" s="8" t="s">
        <v>247</v>
      </c>
      <c r="Q22" s="4">
        <v>5637697412</v>
      </c>
    </row>
    <row r="23" spans="1:17" x14ac:dyDescent="0.25">
      <c r="A23" s="8" t="s">
        <v>17</v>
      </c>
      <c r="B23" s="8" t="s">
        <v>633</v>
      </c>
      <c r="C23" s="8" t="s">
        <v>25</v>
      </c>
      <c r="D23" s="8" t="s">
        <v>31</v>
      </c>
      <c r="E23" s="6">
        <v>43083</v>
      </c>
      <c r="F23" s="8" t="s">
        <v>261</v>
      </c>
      <c r="G23" s="8" t="s">
        <v>264</v>
      </c>
      <c r="H23" s="4">
        <v>30</v>
      </c>
      <c r="I23" s="8" t="s">
        <v>38</v>
      </c>
      <c r="J23" s="4">
        <v>0.82533333333299996</v>
      </c>
      <c r="K23" s="4">
        <v>24.76</v>
      </c>
      <c r="L23" s="8" t="s">
        <v>246</v>
      </c>
      <c r="M23" s="4">
        <v>21.27</v>
      </c>
      <c r="N23" s="8" t="s">
        <v>634</v>
      </c>
      <c r="O23" s="8" t="s">
        <v>635</v>
      </c>
      <c r="P23" s="8" t="s">
        <v>247</v>
      </c>
      <c r="Q23" s="4">
        <v>5637690801</v>
      </c>
    </row>
    <row r="24" spans="1:17" x14ac:dyDescent="0.25">
      <c r="A24" s="8" t="s">
        <v>252</v>
      </c>
      <c r="B24" s="8" t="s">
        <v>636</v>
      </c>
      <c r="C24" s="8" t="s">
        <v>25</v>
      </c>
      <c r="D24" s="8" t="s">
        <v>31</v>
      </c>
      <c r="E24" s="6">
        <v>43084</v>
      </c>
      <c r="F24" s="8" t="s">
        <v>261</v>
      </c>
      <c r="G24" s="8" t="s">
        <v>264</v>
      </c>
      <c r="H24" s="4">
        <v>-8.0299999999999994</v>
      </c>
      <c r="I24" s="8" t="s">
        <v>38</v>
      </c>
      <c r="J24" s="4">
        <v>-0.90598275489400004</v>
      </c>
      <c r="K24" s="4">
        <v>7.2799999999999994</v>
      </c>
      <c r="L24" s="8" t="s">
        <v>609</v>
      </c>
      <c r="M24" s="4">
        <v>7.2799999999999994</v>
      </c>
      <c r="N24" s="8" t="s">
        <v>637</v>
      </c>
      <c r="O24" s="8" t="s">
        <v>638</v>
      </c>
      <c r="P24" s="8" t="s">
        <v>247</v>
      </c>
      <c r="Q24" s="4">
        <v>5637697307</v>
      </c>
    </row>
    <row r="25" spans="1:17" x14ac:dyDescent="0.25">
      <c r="A25" s="8" t="s">
        <v>252</v>
      </c>
      <c r="B25" s="8" t="s">
        <v>639</v>
      </c>
      <c r="C25" s="8" t="s">
        <v>25</v>
      </c>
      <c r="D25" s="8" t="s">
        <v>31</v>
      </c>
      <c r="E25" s="6">
        <v>43090</v>
      </c>
      <c r="F25" s="8" t="s">
        <v>261</v>
      </c>
      <c r="G25" s="8" t="s">
        <v>264</v>
      </c>
      <c r="H25" s="4">
        <v>30</v>
      </c>
      <c r="I25" s="8" t="s">
        <v>38</v>
      </c>
      <c r="J25" s="4">
        <v>0.24418127455399999</v>
      </c>
      <c r="K25" s="4">
        <v>7.33</v>
      </c>
      <c r="L25" s="8" t="s">
        <v>609</v>
      </c>
      <c r="M25" s="4">
        <v>7.33</v>
      </c>
      <c r="N25" s="8" t="s">
        <v>640</v>
      </c>
      <c r="O25" s="8" t="s">
        <v>641</v>
      </c>
      <c r="P25" s="8" t="s">
        <v>247</v>
      </c>
      <c r="Q25" s="4">
        <v>5637699008</v>
      </c>
    </row>
    <row r="26" spans="1:17" x14ac:dyDescent="0.25">
      <c r="A26" s="8" t="s">
        <v>252</v>
      </c>
      <c r="B26" s="8" t="s">
        <v>642</v>
      </c>
      <c r="C26" s="8" t="s">
        <v>25</v>
      </c>
      <c r="D26" s="8" t="s">
        <v>31</v>
      </c>
      <c r="E26" s="6">
        <v>43090</v>
      </c>
      <c r="F26" s="8" t="s">
        <v>261</v>
      </c>
      <c r="G26" s="8" t="s">
        <v>264</v>
      </c>
      <c r="H26" s="4">
        <v>-30</v>
      </c>
      <c r="I26" s="8" t="s">
        <v>38</v>
      </c>
      <c r="J26" s="4">
        <v>-3.6861799813409997</v>
      </c>
      <c r="K26" s="4">
        <v>110.59</v>
      </c>
      <c r="L26" s="8" t="s">
        <v>609</v>
      </c>
      <c r="M26" s="4">
        <v>110.59</v>
      </c>
      <c r="N26" s="8" t="s">
        <v>643</v>
      </c>
      <c r="O26" s="8" t="s">
        <v>644</v>
      </c>
      <c r="P26" s="8" t="s">
        <v>247</v>
      </c>
      <c r="Q26" s="4">
        <v>5637699019</v>
      </c>
    </row>
    <row r="27" spans="1:17" x14ac:dyDescent="0.25">
      <c r="A27" s="8" t="s">
        <v>252</v>
      </c>
      <c r="B27" s="8" t="s">
        <v>642</v>
      </c>
      <c r="C27" s="8" t="s">
        <v>25</v>
      </c>
      <c r="D27" s="8" t="s">
        <v>31</v>
      </c>
      <c r="E27" s="6">
        <v>43090</v>
      </c>
      <c r="F27" s="8" t="s">
        <v>261</v>
      </c>
      <c r="G27" s="8" t="s">
        <v>264</v>
      </c>
      <c r="H27" s="4">
        <v>-30</v>
      </c>
      <c r="I27" s="8" t="s">
        <v>38</v>
      </c>
      <c r="J27" s="4">
        <v>-3.6861799813409997</v>
      </c>
      <c r="K27" s="4">
        <v>110.59</v>
      </c>
      <c r="L27" s="8" t="s">
        <v>609</v>
      </c>
      <c r="M27" s="4">
        <v>110.59</v>
      </c>
      <c r="N27" s="8" t="s">
        <v>643</v>
      </c>
      <c r="O27" s="8" t="s">
        <v>644</v>
      </c>
      <c r="P27" s="8" t="s">
        <v>247</v>
      </c>
      <c r="Q27" s="4">
        <v>5637699020</v>
      </c>
    </row>
    <row r="28" spans="1:17" x14ac:dyDescent="0.25">
      <c r="A28" s="8" t="s">
        <v>252</v>
      </c>
      <c r="B28" s="8" t="s">
        <v>639</v>
      </c>
      <c r="C28" s="8" t="s">
        <v>25</v>
      </c>
      <c r="D28" s="8" t="s">
        <v>31</v>
      </c>
      <c r="E28" s="6">
        <v>43090</v>
      </c>
      <c r="F28" s="8" t="s">
        <v>261</v>
      </c>
      <c r="G28" s="8" t="s">
        <v>264</v>
      </c>
      <c r="H28" s="4">
        <v>30</v>
      </c>
      <c r="I28" s="8" t="s">
        <v>38</v>
      </c>
      <c r="J28" s="4">
        <v>0.24418127455399999</v>
      </c>
      <c r="K28" s="4">
        <v>7.33</v>
      </c>
      <c r="L28" s="8" t="s">
        <v>609</v>
      </c>
      <c r="M28" s="4">
        <v>7.33</v>
      </c>
      <c r="N28" s="8" t="s">
        <v>640</v>
      </c>
      <c r="O28" s="8" t="s">
        <v>641</v>
      </c>
      <c r="P28" s="8" t="s">
        <v>247</v>
      </c>
      <c r="Q28" s="4">
        <v>5637699009</v>
      </c>
    </row>
    <row r="29" spans="1:17" x14ac:dyDescent="0.25">
      <c r="A29" s="8" t="s">
        <v>252</v>
      </c>
      <c r="B29" s="8" t="s">
        <v>639</v>
      </c>
      <c r="C29" s="8" t="s">
        <v>25</v>
      </c>
      <c r="D29" s="8" t="s">
        <v>31</v>
      </c>
      <c r="E29" s="6">
        <v>43090</v>
      </c>
      <c r="F29" s="8" t="s">
        <v>261</v>
      </c>
      <c r="G29" s="8" t="s">
        <v>264</v>
      </c>
      <c r="H29" s="4">
        <v>30</v>
      </c>
      <c r="I29" s="8" t="s">
        <v>38</v>
      </c>
      <c r="J29" s="4">
        <v>0.24418127455399999</v>
      </c>
      <c r="K29" s="4">
        <v>7.33</v>
      </c>
      <c r="L29" s="8" t="s">
        <v>609</v>
      </c>
      <c r="M29" s="4">
        <v>7.33</v>
      </c>
      <c r="N29" s="8" t="s">
        <v>640</v>
      </c>
      <c r="O29" s="8" t="s">
        <v>641</v>
      </c>
      <c r="P29" s="8" t="s">
        <v>247</v>
      </c>
      <c r="Q29" s="4">
        <v>5637699010</v>
      </c>
    </row>
    <row r="30" spans="1:17" x14ac:dyDescent="0.25">
      <c r="A30" s="8" t="s">
        <v>252</v>
      </c>
      <c r="B30" s="8" t="s">
        <v>642</v>
      </c>
      <c r="C30" s="8" t="s">
        <v>25</v>
      </c>
      <c r="D30" s="8" t="s">
        <v>31</v>
      </c>
      <c r="E30" s="6">
        <v>43090</v>
      </c>
      <c r="F30" s="8" t="s">
        <v>261</v>
      </c>
      <c r="G30" s="8" t="s">
        <v>264</v>
      </c>
      <c r="H30" s="4">
        <v>-30</v>
      </c>
      <c r="I30" s="8" t="s">
        <v>38</v>
      </c>
      <c r="J30" s="4">
        <v>-3.6861799813409997</v>
      </c>
      <c r="K30" s="4">
        <v>110.59</v>
      </c>
      <c r="L30" s="8" t="s">
        <v>609</v>
      </c>
      <c r="M30" s="4">
        <v>110.59</v>
      </c>
      <c r="N30" s="8" t="s">
        <v>643</v>
      </c>
      <c r="O30" s="8" t="s">
        <v>644</v>
      </c>
      <c r="P30" s="8" t="s">
        <v>247</v>
      </c>
      <c r="Q30" s="4">
        <v>5637699021</v>
      </c>
    </row>
    <row r="31" spans="1:17" x14ac:dyDescent="0.25">
      <c r="A31" s="8" t="s">
        <v>252</v>
      </c>
      <c r="B31" s="8" t="s">
        <v>642</v>
      </c>
      <c r="C31" s="8" t="s">
        <v>25</v>
      </c>
      <c r="D31" s="8" t="s">
        <v>31</v>
      </c>
      <c r="E31" s="6">
        <v>43090</v>
      </c>
      <c r="F31" s="8" t="s">
        <v>261</v>
      </c>
      <c r="G31" s="8" t="s">
        <v>264</v>
      </c>
      <c r="H31" s="4">
        <v>-30</v>
      </c>
      <c r="I31" s="8" t="s">
        <v>38</v>
      </c>
      <c r="J31" s="4">
        <v>-3.6861799813409997</v>
      </c>
      <c r="K31" s="4">
        <v>110.59</v>
      </c>
      <c r="L31" s="8" t="s">
        <v>609</v>
      </c>
      <c r="M31" s="4">
        <v>110.59</v>
      </c>
      <c r="N31" s="8" t="s">
        <v>643</v>
      </c>
      <c r="O31" s="8" t="s">
        <v>644</v>
      </c>
      <c r="P31" s="8" t="s">
        <v>247</v>
      </c>
      <c r="Q31" s="4">
        <v>5637699022</v>
      </c>
    </row>
    <row r="32" spans="1:17" x14ac:dyDescent="0.25">
      <c r="A32" s="8" t="s">
        <v>252</v>
      </c>
      <c r="B32" s="8" t="s">
        <v>639</v>
      </c>
      <c r="C32" s="8" t="s">
        <v>25</v>
      </c>
      <c r="D32" s="8" t="s">
        <v>31</v>
      </c>
      <c r="E32" s="6">
        <v>43090</v>
      </c>
      <c r="F32" s="8" t="s">
        <v>261</v>
      </c>
      <c r="G32" s="8" t="s">
        <v>264</v>
      </c>
      <c r="H32" s="4">
        <v>30</v>
      </c>
      <c r="I32" s="8" t="s">
        <v>38</v>
      </c>
      <c r="J32" s="4">
        <v>0.24418127455399999</v>
      </c>
      <c r="K32" s="4">
        <v>7.33</v>
      </c>
      <c r="L32" s="8" t="s">
        <v>609</v>
      </c>
      <c r="M32" s="4">
        <v>7.33</v>
      </c>
      <c r="N32" s="8" t="s">
        <v>640</v>
      </c>
      <c r="O32" s="8" t="s">
        <v>641</v>
      </c>
      <c r="P32" s="8" t="s">
        <v>247</v>
      </c>
      <c r="Q32" s="4">
        <v>5637699011</v>
      </c>
    </row>
    <row r="33" spans="1:17" x14ac:dyDescent="0.25">
      <c r="A33" s="8" t="s">
        <v>252</v>
      </c>
      <c r="B33" s="8" t="s">
        <v>639</v>
      </c>
      <c r="C33" s="8" t="s">
        <v>25</v>
      </c>
      <c r="D33" s="8" t="s">
        <v>31</v>
      </c>
      <c r="E33" s="6">
        <v>43090</v>
      </c>
      <c r="F33" s="8" t="s">
        <v>261</v>
      </c>
      <c r="G33" s="8" t="s">
        <v>264</v>
      </c>
      <c r="H33" s="4">
        <v>30</v>
      </c>
      <c r="I33" s="8" t="s">
        <v>38</v>
      </c>
      <c r="J33" s="4">
        <v>0.24418127455399999</v>
      </c>
      <c r="K33" s="4">
        <v>7.33</v>
      </c>
      <c r="L33" s="8" t="s">
        <v>609</v>
      </c>
      <c r="M33" s="4">
        <v>7.33</v>
      </c>
      <c r="N33" s="8" t="s">
        <v>640</v>
      </c>
      <c r="O33" s="8" t="s">
        <v>641</v>
      </c>
      <c r="P33" s="8" t="s">
        <v>247</v>
      </c>
      <c r="Q33" s="4">
        <v>5637699012</v>
      </c>
    </row>
    <row r="34" spans="1:17" x14ac:dyDescent="0.25">
      <c r="A34" s="8" t="s">
        <v>252</v>
      </c>
      <c r="B34" s="8" t="s">
        <v>642</v>
      </c>
      <c r="C34" s="8" t="s">
        <v>25</v>
      </c>
      <c r="D34" s="8" t="s">
        <v>31</v>
      </c>
      <c r="E34" s="6">
        <v>43090</v>
      </c>
      <c r="F34" s="8" t="s">
        <v>261</v>
      </c>
      <c r="G34" s="8" t="s">
        <v>264</v>
      </c>
      <c r="H34" s="4">
        <v>-30</v>
      </c>
      <c r="I34" s="8" t="s">
        <v>38</v>
      </c>
      <c r="J34" s="4">
        <v>-3.6861799813409997</v>
      </c>
      <c r="K34" s="4">
        <v>110.59</v>
      </c>
      <c r="L34" s="8" t="s">
        <v>609</v>
      </c>
      <c r="M34" s="4">
        <v>110.59</v>
      </c>
      <c r="N34" s="8" t="s">
        <v>643</v>
      </c>
      <c r="O34" s="8" t="s">
        <v>644</v>
      </c>
      <c r="P34" s="8" t="s">
        <v>247</v>
      </c>
      <c r="Q34" s="4">
        <v>5637699023</v>
      </c>
    </row>
    <row r="35" spans="1:17" x14ac:dyDescent="0.25">
      <c r="A35" s="8" t="s">
        <v>252</v>
      </c>
      <c r="B35" s="8" t="s">
        <v>642</v>
      </c>
      <c r="C35" s="8" t="s">
        <v>25</v>
      </c>
      <c r="D35" s="8" t="s">
        <v>31</v>
      </c>
      <c r="E35" s="6">
        <v>43090</v>
      </c>
      <c r="F35" s="8" t="s">
        <v>261</v>
      </c>
      <c r="G35" s="8" t="s">
        <v>264</v>
      </c>
      <c r="H35" s="4">
        <v>-30</v>
      </c>
      <c r="I35" s="8" t="s">
        <v>38</v>
      </c>
      <c r="J35" s="4">
        <v>-3.6861799813409997</v>
      </c>
      <c r="K35" s="4">
        <v>110.59</v>
      </c>
      <c r="L35" s="8" t="s">
        <v>609</v>
      </c>
      <c r="M35" s="4">
        <v>110.59</v>
      </c>
      <c r="N35" s="8" t="s">
        <v>643</v>
      </c>
      <c r="O35" s="8" t="s">
        <v>644</v>
      </c>
      <c r="P35" s="8" t="s">
        <v>247</v>
      </c>
      <c r="Q35" s="4">
        <v>5637699024</v>
      </c>
    </row>
    <row r="36" spans="1:17" x14ac:dyDescent="0.25">
      <c r="A36" s="8" t="s">
        <v>252</v>
      </c>
      <c r="B36" s="8" t="s">
        <v>639</v>
      </c>
      <c r="C36" s="8" t="s">
        <v>25</v>
      </c>
      <c r="D36" s="8" t="s">
        <v>31</v>
      </c>
      <c r="E36" s="6">
        <v>43090</v>
      </c>
      <c r="F36" s="8" t="s">
        <v>261</v>
      </c>
      <c r="G36" s="8" t="s">
        <v>264</v>
      </c>
      <c r="H36" s="4">
        <v>30</v>
      </c>
      <c r="I36" s="8" t="s">
        <v>38</v>
      </c>
      <c r="J36" s="4">
        <v>0.24418127455399999</v>
      </c>
      <c r="K36" s="4">
        <v>7.33</v>
      </c>
      <c r="L36" s="8" t="s">
        <v>609</v>
      </c>
      <c r="M36" s="4">
        <v>7.33</v>
      </c>
      <c r="N36" s="8" t="s">
        <v>640</v>
      </c>
      <c r="O36" s="8" t="s">
        <v>641</v>
      </c>
      <c r="P36" s="8" t="s">
        <v>247</v>
      </c>
      <c r="Q36" s="4">
        <v>5637699013</v>
      </c>
    </row>
    <row r="37" spans="1:17" x14ac:dyDescent="0.25">
      <c r="A37" s="8" t="s">
        <v>252</v>
      </c>
      <c r="B37" s="8" t="s">
        <v>639</v>
      </c>
      <c r="C37" s="8" t="s">
        <v>25</v>
      </c>
      <c r="D37" s="8" t="s">
        <v>31</v>
      </c>
      <c r="E37" s="6">
        <v>43090</v>
      </c>
      <c r="F37" s="8" t="s">
        <v>261</v>
      </c>
      <c r="G37" s="8" t="s">
        <v>264</v>
      </c>
      <c r="H37" s="4">
        <v>30</v>
      </c>
      <c r="I37" s="8" t="s">
        <v>38</v>
      </c>
      <c r="J37" s="4">
        <v>0.24418127455399999</v>
      </c>
      <c r="K37" s="4">
        <v>7.33</v>
      </c>
      <c r="L37" s="8" t="s">
        <v>609</v>
      </c>
      <c r="M37" s="4">
        <v>7.33</v>
      </c>
      <c r="N37" s="8" t="s">
        <v>640</v>
      </c>
      <c r="O37" s="8" t="s">
        <v>641</v>
      </c>
      <c r="P37" s="8" t="s">
        <v>247</v>
      </c>
      <c r="Q37" s="4">
        <v>5637699007</v>
      </c>
    </row>
    <row r="38" spans="1:17" x14ac:dyDescent="0.25">
      <c r="A38" s="8" t="s">
        <v>252</v>
      </c>
      <c r="B38" s="8" t="s">
        <v>642</v>
      </c>
      <c r="C38" s="8" t="s">
        <v>25</v>
      </c>
      <c r="D38" s="8" t="s">
        <v>31</v>
      </c>
      <c r="E38" s="6">
        <v>43090</v>
      </c>
      <c r="F38" s="8" t="s">
        <v>261</v>
      </c>
      <c r="G38" s="8" t="s">
        <v>264</v>
      </c>
      <c r="H38" s="4">
        <v>-30</v>
      </c>
      <c r="I38" s="8" t="s">
        <v>38</v>
      </c>
      <c r="J38" s="4">
        <v>-3.6861799813409997</v>
      </c>
      <c r="K38" s="4">
        <v>110.59</v>
      </c>
      <c r="L38" s="8" t="s">
        <v>609</v>
      </c>
      <c r="M38" s="4">
        <v>110.59</v>
      </c>
      <c r="N38" s="8" t="s">
        <v>643</v>
      </c>
      <c r="O38" s="8" t="s">
        <v>644</v>
      </c>
      <c r="P38" s="8" t="s">
        <v>247</v>
      </c>
      <c r="Q38" s="4">
        <v>5637699016</v>
      </c>
    </row>
    <row r="39" spans="1:17" x14ac:dyDescent="0.25">
      <c r="A39" s="8" t="s">
        <v>607</v>
      </c>
      <c r="B39" s="8" t="s">
        <v>81</v>
      </c>
      <c r="C39" s="8" t="s">
        <v>25</v>
      </c>
      <c r="D39" s="8" t="s">
        <v>31</v>
      </c>
      <c r="E39" s="6">
        <v>43096</v>
      </c>
      <c r="F39" s="8" t="s">
        <v>261</v>
      </c>
      <c r="G39" s="8" t="s">
        <v>264</v>
      </c>
      <c r="H39" s="4">
        <v>1677.54</v>
      </c>
      <c r="I39" s="8" t="s">
        <v>38</v>
      </c>
      <c r="J39" s="4">
        <v>0</v>
      </c>
      <c r="K39" s="4">
        <v>0</v>
      </c>
      <c r="L39" s="8" t="s">
        <v>609</v>
      </c>
      <c r="M39" s="4">
        <v>0</v>
      </c>
      <c r="N39" s="8" t="s">
        <v>610</v>
      </c>
      <c r="O39" s="8" t="s">
        <v>645</v>
      </c>
      <c r="P39" s="8" t="s">
        <v>247</v>
      </c>
      <c r="Q39" s="4">
        <v>0</v>
      </c>
    </row>
    <row r="40" spans="1:17" x14ac:dyDescent="0.25">
      <c r="A40" s="8" t="s">
        <v>607</v>
      </c>
      <c r="B40" s="8" t="s">
        <v>81</v>
      </c>
      <c r="C40" s="8" t="s">
        <v>25</v>
      </c>
      <c r="D40" s="8" t="s">
        <v>31</v>
      </c>
      <c r="E40" s="6">
        <v>43096</v>
      </c>
      <c r="F40" s="8" t="s">
        <v>261</v>
      </c>
      <c r="G40" s="8" t="s">
        <v>264</v>
      </c>
      <c r="H40" s="4">
        <v>0</v>
      </c>
      <c r="I40" s="8" t="s">
        <v>38</v>
      </c>
      <c r="J40" s="4">
        <v>0</v>
      </c>
      <c r="K40" s="4">
        <v>-1094.42</v>
      </c>
      <c r="L40" s="8" t="s">
        <v>609</v>
      </c>
      <c r="M40" s="4">
        <v>-1094.42</v>
      </c>
      <c r="N40" s="8" t="s">
        <v>610</v>
      </c>
      <c r="O40" s="8" t="s">
        <v>646</v>
      </c>
      <c r="P40" s="8" t="s">
        <v>247</v>
      </c>
      <c r="Q40" s="4">
        <v>0</v>
      </c>
    </row>
    <row r="41" spans="1:17" x14ac:dyDescent="0.25">
      <c r="A41" s="8" t="s">
        <v>607</v>
      </c>
      <c r="B41" s="8" t="s">
        <v>81</v>
      </c>
      <c r="C41" s="8" t="s">
        <v>72</v>
      </c>
      <c r="D41" s="8" t="s">
        <v>31</v>
      </c>
      <c r="E41" s="6">
        <v>43096</v>
      </c>
      <c r="F41" s="8" t="s">
        <v>261</v>
      </c>
      <c r="G41" s="8" t="s">
        <v>264</v>
      </c>
      <c r="H41" s="4">
        <v>4.92</v>
      </c>
      <c r="I41" s="8" t="s">
        <v>38</v>
      </c>
      <c r="J41" s="4">
        <v>2.7405599999999999</v>
      </c>
      <c r="K41" s="4">
        <v>13.48</v>
      </c>
      <c r="L41" s="8" t="s">
        <v>609</v>
      </c>
      <c r="M41" s="4">
        <v>13.48</v>
      </c>
      <c r="N41" s="8" t="s">
        <v>610</v>
      </c>
      <c r="O41" s="8" t="s">
        <v>647</v>
      </c>
      <c r="P41" s="8" t="s">
        <v>247</v>
      </c>
      <c r="Q41" s="4">
        <v>0</v>
      </c>
    </row>
    <row r="42" spans="1:17" x14ac:dyDescent="0.25">
      <c r="A42" s="8" t="s">
        <v>252</v>
      </c>
      <c r="B42" s="8" t="s">
        <v>648</v>
      </c>
      <c r="C42" s="8" t="s">
        <v>73</v>
      </c>
      <c r="D42" s="8" t="s">
        <v>125</v>
      </c>
      <c r="E42" s="6">
        <v>43075</v>
      </c>
      <c r="F42" s="8" t="s">
        <v>261</v>
      </c>
      <c r="G42" s="8" t="s">
        <v>264</v>
      </c>
      <c r="H42" s="4">
        <v>-30</v>
      </c>
      <c r="I42" s="8" t="s">
        <v>38</v>
      </c>
      <c r="J42" s="4">
        <v>1.7454981339519999</v>
      </c>
      <c r="K42" s="4">
        <v>-52.36</v>
      </c>
      <c r="L42" s="8" t="s">
        <v>609</v>
      </c>
      <c r="M42" s="4">
        <v>-52.36</v>
      </c>
      <c r="N42" s="8" t="s">
        <v>649</v>
      </c>
      <c r="O42" s="8" t="s">
        <v>650</v>
      </c>
      <c r="P42" s="8" t="s">
        <v>247</v>
      </c>
      <c r="Q42" s="4">
        <v>5637694544</v>
      </c>
    </row>
    <row r="43" spans="1:17" x14ac:dyDescent="0.25">
      <c r="A43" s="8" t="s">
        <v>252</v>
      </c>
      <c r="B43" s="8" t="s">
        <v>651</v>
      </c>
      <c r="C43" s="8" t="s">
        <v>73</v>
      </c>
      <c r="D43" s="8" t="s">
        <v>125</v>
      </c>
      <c r="E43" s="6">
        <v>43083</v>
      </c>
      <c r="F43" s="8" t="s">
        <v>261</v>
      </c>
      <c r="G43" s="8" t="s">
        <v>264</v>
      </c>
      <c r="H43" s="4">
        <v>30</v>
      </c>
      <c r="I43" s="8" t="s">
        <v>38</v>
      </c>
      <c r="J43" s="4">
        <v>1.7454981339519999</v>
      </c>
      <c r="K43" s="4">
        <v>52.36</v>
      </c>
      <c r="L43" s="8" t="s">
        <v>609</v>
      </c>
      <c r="M43" s="4">
        <v>52.36</v>
      </c>
      <c r="N43" s="8" t="s">
        <v>652</v>
      </c>
      <c r="O43" s="8" t="s">
        <v>653</v>
      </c>
      <c r="P43" s="8" t="s">
        <v>247</v>
      </c>
      <c r="Q43" s="4">
        <v>5637697279</v>
      </c>
    </row>
    <row r="44" spans="1:17" x14ac:dyDescent="0.25">
      <c r="A44" s="8" t="s">
        <v>252</v>
      </c>
      <c r="B44" s="8" t="s">
        <v>654</v>
      </c>
      <c r="C44" s="8" t="s">
        <v>73</v>
      </c>
      <c r="D44" s="8" t="s">
        <v>125</v>
      </c>
      <c r="E44" s="6">
        <v>43084</v>
      </c>
      <c r="F44" s="8" t="s">
        <v>261</v>
      </c>
      <c r="G44" s="8" t="s">
        <v>264</v>
      </c>
      <c r="H44" s="4">
        <v>-30</v>
      </c>
      <c r="I44" s="8" t="s">
        <v>38</v>
      </c>
      <c r="J44" s="4">
        <v>1.7454981339519999</v>
      </c>
      <c r="K44" s="4">
        <v>-52.36</v>
      </c>
      <c r="L44" s="8" t="s">
        <v>609</v>
      </c>
      <c r="M44" s="4">
        <v>-52.36</v>
      </c>
      <c r="N44" s="8" t="s">
        <v>655</v>
      </c>
      <c r="O44" s="8" t="s">
        <v>656</v>
      </c>
      <c r="P44" s="8" t="s">
        <v>247</v>
      </c>
      <c r="Q44" s="4">
        <v>5637697283</v>
      </c>
    </row>
    <row r="45" spans="1:17" x14ac:dyDescent="0.25">
      <c r="A45" s="8" t="s">
        <v>607</v>
      </c>
      <c r="B45" s="8" t="s">
        <v>81</v>
      </c>
      <c r="C45" s="8" t="s">
        <v>73</v>
      </c>
      <c r="D45" s="8" t="s">
        <v>125</v>
      </c>
      <c r="E45" s="6">
        <v>43096</v>
      </c>
      <c r="F45" s="8" t="s">
        <v>261</v>
      </c>
      <c r="G45" s="8" t="s">
        <v>264</v>
      </c>
      <c r="H45" s="4">
        <v>-52.78</v>
      </c>
      <c r="I45" s="8" t="s">
        <v>38</v>
      </c>
      <c r="J45" s="4">
        <v>1.7454999999999998</v>
      </c>
      <c r="K45" s="4">
        <v>-92.13</v>
      </c>
      <c r="L45" s="8" t="s">
        <v>609</v>
      </c>
      <c r="M45" s="4">
        <v>-92.13</v>
      </c>
      <c r="N45" s="8" t="s">
        <v>610</v>
      </c>
      <c r="O45" s="8" t="s">
        <v>657</v>
      </c>
      <c r="P45" s="8" t="s">
        <v>247</v>
      </c>
      <c r="Q45" s="4">
        <v>0</v>
      </c>
    </row>
    <row r="46" spans="1:17" x14ac:dyDescent="0.25">
      <c r="A46" s="8" t="s">
        <v>607</v>
      </c>
      <c r="B46" s="8" t="s">
        <v>81</v>
      </c>
      <c r="C46" s="8" t="s">
        <v>194</v>
      </c>
      <c r="D46" s="8" t="s">
        <v>125</v>
      </c>
      <c r="E46" s="6">
        <v>43096</v>
      </c>
      <c r="F46" s="8" t="s">
        <v>261</v>
      </c>
      <c r="G46" s="8" t="s">
        <v>264</v>
      </c>
      <c r="H46" s="4">
        <v>-4.26</v>
      </c>
      <c r="I46" s="8" t="s">
        <v>38</v>
      </c>
      <c r="J46" s="4">
        <v>2.3338800000000002</v>
      </c>
      <c r="K46" s="4">
        <v>-9.9400000000000013</v>
      </c>
      <c r="L46" s="8" t="s">
        <v>609</v>
      </c>
      <c r="M46" s="4">
        <v>-9.9400000000000013</v>
      </c>
      <c r="N46" s="8" t="s">
        <v>610</v>
      </c>
      <c r="O46" s="8" t="s">
        <v>658</v>
      </c>
      <c r="P46" s="8" t="s">
        <v>247</v>
      </c>
      <c r="Q46" s="4">
        <v>0</v>
      </c>
    </row>
    <row r="47" spans="1:17" x14ac:dyDescent="0.25">
      <c r="A47" s="8" t="s">
        <v>252</v>
      </c>
      <c r="B47" s="8" t="s">
        <v>662</v>
      </c>
      <c r="C47" s="8" t="s">
        <v>142</v>
      </c>
      <c r="D47" s="8" t="s">
        <v>165</v>
      </c>
      <c r="E47" s="6">
        <v>43075</v>
      </c>
      <c r="F47" s="8" t="s">
        <v>261</v>
      </c>
      <c r="G47" s="8" t="s">
        <v>264</v>
      </c>
      <c r="H47" s="4">
        <v>-30</v>
      </c>
      <c r="I47" s="8" t="s">
        <v>38</v>
      </c>
      <c r="J47" s="4">
        <v>5.8304662422939995</v>
      </c>
      <c r="K47" s="4">
        <v>-174.91</v>
      </c>
      <c r="L47" s="8" t="s">
        <v>609</v>
      </c>
      <c r="M47" s="4">
        <v>-174.91</v>
      </c>
      <c r="N47" s="8" t="s">
        <v>663</v>
      </c>
      <c r="O47" s="8" t="s">
        <v>664</v>
      </c>
      <c r="P47" s="8" t="s">
        <v>247</v>
      </c>
      <c r="Q47" s="4">
        <v>5637695428</v>
      </c>
    </row>
    <row r="48" spans="1:17" x14ac:dyDescent="0.25">
      <c r="A48" s="8" t="s">
        <v>252</v>
      </c>
      <c r="B48" s="8" t="s">
        <v>662</v>
      </c>
      <c r="C48" s="8" t="s">
        <v>142</v>
      </c>
      <c r="D48" s="8" t="s">
        <v>165</v>
      </c>
      <c r="E48" s="6">
        <v>43075</v>
      </c>
      <c r="F48" s="8" t="s">
        <v>261</v>
      </c>
      <c r="G48" s="8" t="s">
        <v>264</v>
      </c>
      <c r="H48" s="4">
        <v>-30</v>
      </c>
      <c r="I48" s="8" t="s">
        <v>38</v>
      </c>
      <c r="J48" s="4">
        <v>5.8304662422939995</v>
      </c>
      <c r="K48" s="4">
        <v>-174.91</v>
      </c>
      <c r="L48" s="8" t="s">
        <v>609</v>
      </c>
      <c r="M48" s="4">
        <v>-174.91</v>
      </c>
      <c r="N48" s="8" t="s">
        <v>663</v>
      </c>
      <c r="O48" s="8" t="s">
        <v>664</v>
      </c>
      <c r="P48" s="8" t="s">
        <v>247</v>
      </c>
      <c r="Q48" s="4">
        <v>5637695427</v>
      </c>
    </row>
    <row r="49" spans="1:17" x14ac:dyDescent="0.25">
      <c r="A49" s="8" t="s">
        <v>252</v>
      </c>
      <c r="B49" s="8" t="s">
        <v>662</v>
      </c>
      <c r="C49" s="8" t="s">
        <v>142</v>
      </c>
      <c r="D49" s="8" t="s">
        <v>165</v>
      </c>
      <c r="E49" s="6">
        <v>43075</v>
      </c>
      <c r="F49" s="8" t="s">
        <v>261</v>
      </c>
      <c r="G49" s="8" t="s">
        <v>264</v>
      </c>
      <c r="H49" s="4">
        <v>-30</v>
      </c>
      <c r="I49" s="8" t="s">
        <v>38</v>
      </c>
      <c r="J49" s="4">
        <v>5.8304662422939995</v>
      </c>
      <c r="K49" s="4">
        <v>-174.91</v>
      </c>
      <c r="L49" s="8" t="s">
        <v>609</v>
      </c>
      <c r="M49" s="4">
        <v>-174.91</v>
      </c>
      <c r="N49" s="8" t="s">
        <v>663</v>
      </c>
      <c r="O49" s="8" t="s">
        <v>664</v>
      </c>
      <c r="P49" s="8" t="s">
        <v>247</v>
      </c>
      <c r="Q49" s="4">
        <v>5637694337</v>
      </c>
    </row>
    <row r="50" spans="1:17" x14ac:dyDescent="0.25">
      <c r="A50" s="8" t="s">
        <v>252</v>
      </c>
      <c r="B50" s="8" t="s">
        <v>659</v>
      </c>
      <c r="C50" s="8" t="s">
        <v>142</v>
      </c>
      <c r="D50" s="8" t="s">
        <v>165</v>
      </c>
      <c r="E50" s="6">
        <v>43075</v>
      </c>
      <c r="F50" s="8" t="s">
        <v>261</v>
      </c>
      <c r="G50" s="8" t="s">
        <v>264</v>
      </c>
      <c r="H50" s="4">
        <v>-4.5</v>
      </c>
      <c r="I50" s="8" t="s">
        <v>38</v>
      </c>
      <c r="J50" s="4">
        <v>5.8304682814000008</v>
      </c>
      <c r="K50" s="4">
        <v>-26.24</v>
      </c>
      <c r="L50" s="8" t="s">
        <v>609</v>
      </c>
      <c r="M50" s="4">
        <v>-26.24</v>
      </c>
      <c r="N50" s="8" t="s">
        <v>660</v>
      </c>
      <c r="O50" s="8" t="s">
        <v>661</v>
      </c>
      <c r="P50" s="8" t="s">
        <v>247</v>
      </c>
      <c r="Q50" s="4">
        <v>5637693497</v>
      </c>
    </row>
    <row r="51" spans="1:17" x14ac:dyDescent="0.25">
      <c r="A51" s="8" t="s">
        <v>607</v>
      </c>
      <c r="B51" s="8" t="s">
        <v>81</v>
      </c>
      <c r="C51" s="8" t="s">
        <v>142</v>
      </c>
      <c r="D51" s="8" t="s">
        <v>165</v>
      </c>
      <c r="E51" s="6">
        <v>43096</v>
      </c>
      <c r="F51" s="8" t="s">
        <v>261</v>
      </c>
      <c r="G51" s="8" t="s">
        <v>264</v>
      </c>
      <c r="H51" s="4">
        <v>-67.5</v>
      </c>
      <c r="I51" s="8" t="s">
        <v>38</v>
      </c>
      <c r="J51" s="4">
        <v>5.83047</v>
      </c>
      <c r="K51" s="4">
        <v>-393.56</v>
      </c>
      <c r="L51" s="8" t="s">
        <v>609</v>
      </c>
      <c r="M51" s="4">
        <v>-393.56</v>
      </c>
      <c r="N51" s="8" t="s">
        <v>610</v>
      </c>
      <c r="O51" s="8" t="s">
        <v>665</v>
      </c>
      <c r="P51" s="8" t="s">
        <v>247</v>
      </c>
      <c r="Q51" s="4">
        <v>0</v>
      </c>
    </row>
    <row r="52" spans="1:17" x14ac:dyDescent="0.25">
      <c r="A52" s="8" t="s">
        <v>252</v>
      </c>
      <c r="B52" s="8" t="s">
        <v>666</v>
      </c>
      <c r="C52" s="8" t="s">
        <v>26</v>
      </c>
      <c r="D52" s="8" t="s">
        <v>195</v>
      </c>
      <c r="E52" s="6">
        <v>43089</v>
      </c>
      <c r="F52" s="8" t="s">
        <v>261</v>
      </c>
      <c r="G52" s="8" t="s">
        <v>264</v>
      </c>
      <c r="H52" s="4">
        <v>-15</v>
      </c>
      <c r="I52" s="8" t="s">
        <v>38</v>
      </c>
      <c r="J52" s="4">
        <v>6.9448538912630013</v>
      </c>
      <c r="K52" s="4">
        <v>-104.17</v>
      </c>
      <c r="L52" s="8" t="s">
        <v>609</v>
      </c>
      <c r="M52" s="4">
        <v>-104.17</v>
      </c>
      <c r="N52" s="8" t="s">
        <v>667</v>
      </c>
      <c r="O52" s="8" t="s">
        <v>668</v>
      </c>
      <c r="P52" s="8" t="s">
        <v>247</v>
      </c>
      <c r="Q52" s="4">
        <v>5637692492</v>
      </c>
    </row>
    <row r="53" spans="1:17" x14ac:dyDescent="0.25">
      <c r="A53" s="8" t="s">
        <v>607</v>
      </c>
      <c r="B53" s="8" t="s">
        <v>81</v>
      </c>
      <c r="C53" s="8" t="s">
        <v>26</v>
      </c>
      <c r="D53" s="8" t="s">
        <v>195</v>
      </c>
      <c r="E53" s="6">
        <v>43096</v>
      </c>
      <c r="F53" s="8" t="s">
        <v>261</v>
      </c>
      <c r="G53" s="8" t="s">
        <v>264</v>
      </c>
      <c r="H53" s="4">
        <v>29.4</v>
      </c>
      <c r="I53" s="8" t="s">
        <v>38</v>
      </c>
      <c r="J53" s="4">
        <v>6.9448600000000003</v>
      </c>
      <c r="K53" s="4">
        <v>204.18</v>
      </c>
      <c r="L53" s="8" t="s">
        <v>609</v>
      </c>
      <c r="M53" s="4">
        <v>204.18</v>
      </c>
      <c r="N53" s="8" t="s">
        <v>610</v>
      </c>
      <c r="O53" s="8" t="s">
        <v>669</v>
      </c>
      <c r="P53" s="8" t="s">
        <v>247</v>
      </c>
      <c r="Q53" s="4">
        <v>0</v>
      </c>
    </row>
    <row r="54" spans="1:17" x14ac:dyDescent="0.25">
      <c r="A54" s="8" t="s">
        <v>607</v>
      </c>
      <c r="B54" s="8" t="s">
        <v>81</v>
      </c>
      <c r="C54" s="8" t="s">
        <v>320</v>
      </c>
      <c r="D54" s="8" t="s">
        <v>670</v>
      </c>
      <c r="E54" s="6">
        <v>43096</v>
      </c>
      <c r="F54" s="8" t="s">
        <v>261</v>
      </c>
      <c r="G54" s="8" t="s">
        <v>264</v>
      </c>
      <c r="H54" s="4">
        <v>-5</v>
      </c>
      <c r="I54" s="8" t="s">
        <v>37</v>
      </c>
      <c r="J54" s="4">
        <v>3.1254999999999997</v>
      </c>
      <c r="K54" s="4">
        <v>-15.63</v>
      </c>
      <c r="L54" s="8" t="s">
        <v>609</v>
      </c>
      <c r="M54" s="4">
        <v>-15.63</v>
      </c>
      <c r="N54" s="8" t="s">
        <v>610</v>
      </c>
      <c r="O54" s="8" t="s">
        <v>671</v>
      </c>
      <c r="P54" s="8" t="s">
        <v>247</v>
      </c>
      <c r="Q54" s="4">
        <v>0</v>
      </c>
    </row>
    <row r="55" spans="1:17" x14ac:dyDescent="0.25">
      <c r="A55" s="8" t="s">
        <v>607</v>
      </c>
      <c r="B55" s="8" t="s">
        <v>81</v>
      </c>
      <c r="C55" s="8" t="s">
        <v>323</v>
      </c>
      <c r="D55" s="8" t="s">
        <v>672</v>
      </c>
      <c r="E55" s="6">
        <v>43096</v>
      </c>
      <c r="F55" s="8" t="s">
        <v>261</v>
      </c>
      <c r="G55" s="8" t="s">
        <v>264</v>
      </c>
      <c r="H55" s="4">
        <v>-36</v>
      </c>
      <c r="I55" s="8" t="s">
        <v>37</v>
      </c>
      <c r="J55" s="4">
        <v>0.24515000000000001</v>
      </c>
      <c r="K55" s="4">
        <v>-8.83</v>
      </c>
      <c r="L55" s="8" t="s">
        <v>609</v>
      </c>
      <c r="M55" s="4">
        <v>-8.83</v>
      </c>
      <c r="N55" s="8" t="s">
        <v>610</v>
      </c>
      <c r="O55" s="8" t="s">
        <v>673</v>
      </c>
      <c r="P55" s="8" t="s">
        <v>247</v>
      </c>
      <c r="Q55" s="4">
        <v>0</v>
      </c>
    </row>
    <row r="56" spans="1:17" x14ac:dyDescent="0.25">
      <c r="A56" s="8" t="s">
        <v>17</v>
      </c>
      <c r="B56" s="8" t="s">
        <v>674</v>
      </c>
      <c r="C56" s="8" t="s">
        <v>331</v>
      </c>
      <c r="D56" s="8" t="s">
        <v>675</v>
      </c>
      <c r="E56" s="6">
        <v>43089</v>
      </c>
      <c r="F56" s="8" t="s">
        <v>261</v>
      </c>
      <c r="G56" s="8" t="s">
        <v>264</v>
      </c>
      <c r="H56" s="4">
        <v>35</v>
      </c>
      <c r="I56" s="8" t="s">
        <v>37</v>
      </c>
      <c r="J56" s="4">
        <v>24.129428571428999</v>
      </c>
      <c r="K56" s="4">
        <v>844.53</v>
      </c>
      <c r="L56" s="8" t="s">
        <v>676</v>
      </c>
      <c r="M56" s="4">
        <v>854.57999999999993</v>
      </c>
      <c r="N56" s="8" t="s">
        <v>677</v>
      </c>
      <c r="O56" s="8" t="s">
        <v>678</v>
      </c>
      <c r="P56" s="8" t="s">
        <v>247</v>
      </c>
      <c r="Q56" s="4">
        <v>5637698541</v>
      </c>
    </row>
    <row r="57" spans="1:17" x14ac:dyDescent="0.25">
      <c r="A57" s="8" t="s">
        <v>607</v>
      </c>
      <c r="B57" s="8" t="s">
        <v>81</v>
      </c>
      <c r="C57" s="8" t="s">
        <v>331</v>
      </c>
      <c r="D57" s="8" t="s">
        <v>675</v>
      </c>
      <c r="E57" s="6">
        <v>43096</v>
      </c>
      <c r="F57" s="8" t="s">
        <v>261</v>
      </c>
      <c r="G57" s="8" t="s">
        <v>264</v>
      </c>
      <c r="H57" s="4">
        <v>-35</v>
      </c>
      <c r="I57" s="8" t="s">
        <v>37</v>
      </c>
      <c r="J57" s="4">
        <v>24.129430000000003</v>
      </c>
      <c r="K57" s="4">
        <v>-844.53</v>
      </c>
      <c r="L57" s="8" t="s">
        <v>609</v>
      </c>
      <c r="M57" s="4">
        <v>-844.53</v>
      </c>
      <c r="N57" s="8" t="s">
        <v>610</v>
      </c>
      <c r="O57" s="8" t="s">
        <v>679</v>
      </c>
      <c r="P57" s="8" t="s">
        <v>247</v>
      </c>
      <c r="Q57" s="4">
        <v>0</v>
      </c>
    </row>
    <row r="58" spans="1:17" x14ac:dyDescent="0.25">
      <c r="A58" s="8" t="s">
        <v>607</v>
      </c>
      <c r="B58" s="8" t="s">
        <v>81</v>
      </c>
      <c r="C58" s="8" t="s">
        <v>332</v>
      </c>
      <c r="D58" s="8" t="s">
        <v>680</v>
      </c>
      <c r="E58" s="6">
        <v>43096</v>
      </c>
      <c r="F58" s="8" t="s">
        <v>261</v>
      </c>
      <c r="G58" s="8" t="s">
        <v>264</v>
      </c>
      <c r="H58" s="4">
        <v>-6</v>
      </c>
      <c r="I58" s="8" t="s">
        <v>37</v>
      </c>
      <c r="J58" s="4">
        <v>4.9799499999999997</v>
      </c>
      <c r="K58" s="4">
        <v>-29.88</v>
      </c>
      <c r="L58" s="8" t="s">
        <v>609</v>
      </c>
      <c r="M58" s="4">
        <v>-29.88</v>
      </c>
      <c r="N58" s="8" t="s">
        <v>610</v>
      </c>
      <c r="O58" s="8" t="s">
        <v>681</v>
      </c>
      <c r="P58" s="8" t="s">
        <v>247</v>
      </c>
      <c r="Q58" s="4">
        <v>0</v>
      </c>
    </row>
    <row r="59" spans="1:17" x14ac:dyDescent="0.25">
      <c r="A59" s="8" t="s">
        <v>607</v>
      </c>
      <c r="B59" s="8" t="s">
        <v>81</v>
      </c>
      <c r="C59" s="8" t="s">
        <v>333</v>
      </c>
      <c r="D59" s="8" t="s">
        <v>682</v>
      </c>
      <c r="E59" s="6">
        <v>43096</v>
      </c>
      <c r="F59" s="8" t="s">
        <v>261</v>
      </c>
      <c r="G59" s="8" t="s">
        <v>264</v>
      </c>
      <c r="H59" s="4">
        <v>-1</v>
      </c>
      <c r="I59" s="8" t="s">
        <v>37</v>
      </c>
      <c r="J59" s="4">
        <v>1.9610699999999999</v>
      </c>
      <c r="K59" s="4">
        <v>-1.9600000000000002</v>
      </c>
      <c r="L59" s="8" t="s">
        <v>609</v>
      </c>
      <c r="M59" s="4">
        <v>-1.9600000000000002</v>
      </c>
      <c r="N59" s="8" t="s">
        <v>610</v>
      </c>
      <c r="O59" s="8" t="s">
        <v>683</v>
      </c>
      <c r="P59" s="8" t="s">
        <v>247</v>
      </c>
      <c r="Q59" s="4">
        <v>0</v>
      </c>
    </row>
    <row r="60" spans="1:17" x14ac:dyDescent="0.25">
      <c r="A60" s="8" t="s">
        <v>607</v>
      </c>
      <c r="B60" s="8" t="s">
        <v>81</v>
      </c>
      <c r="C60" s="8" t="s">
        <v>339</v>
      </c>
      <c r="D60" s="8" t="s">
        <v>684</v>
      </c>
      <c r="E60" s="6">
        <v>43096</v>
      </c>
      <c r="F60" s="8" t="s">
        <v>261</v>
      </c>
      <c r="G60" s="8" t="s">
        <v>264</v>
      </c>
      <c r="H60" s="4">
        <v>-1</v>
      </c>
      <c r="I60" s="8" t="s">
        <v>37</v>
      </c>
      <c r="J60" s="4">
        <v>120.72</v>
      </c>
      <c r="K60" s="4">
        <v>-120.72</v>
      </c>
      <c r="L60" s="8" t="s">
        <v>609</v>
      </c>
      <c r="M60" s="4">
        <v>-120.72</v>
      </c>
      <c r="N60" s="8" t="s">
        <v>610</v>
      </c>
      <c r="O60" s="8" t="s">
        <v>685</v>
      </c>
      <c r="P60" s="8" t="s">
        <v>247</v>
      </c>
      <c r="Q60" s="4">
        <v>0</v>
      </c>
    </row>
    <row r="61" spans="1:17" x14ac:dyDescent="0.25">
      <c r="A61" s="8" t="s">
        <v>607</v>
      </c>
      <c r="B61" s="8" t="s">
        <v>81</v>
      </c>
      <c r="C61" s="8" t="s">
        <v>341</v>
      </c>
      <c r="D61" s="8" t="s">
        <v>686</v>
      </c>
      <c r="E61" s="6">
        <v>43096</v>
      </c>
      <c r="F61" s="8" t="s">
        <v>261</v>
      </c>
      <c r="G61" s="8" t="s">
        <v>264</v>
      </c>
      <c r="H61" s="4">
        <v>-6</v>
      </c>
      <c r="I61" s="8" t="s">
        <v>37</v>
      </c>
      <c r="J61" s="4">
        <v>1.86389</v>
      </c>
      <c r="K61" s="4">
        <v>-11.18</v>
      </c>
      <c r="L61" s="8" t="s">
        <v>609</v>
      </c>
      <c r="M61" s="4">
        <v>-11.18</v>
      </c>
      <c r="N61" s="8" t="s">
        <v>610</v>
      </c>
      <c r="O61" s="8" t="s">
        <v>687</v>
      </c>
      <c r="P61" s="8" t="s">
        <v>247</v>
      </c>
      <c r="Q61" s="4">
        <v>0</v>
      </c>
    </row>
    <row r="62" spans="1:17" x14ac:dyDescent="0.25">
      <c r="A62" s="8" t="s">
        <v>607</v>
      </c>
      <c r="B62" s="8" t="s">
        <v>81</v>
      </c>
      <c r="C62" s="8" t="s">
        <v>342</v>
      </c>
      <c r="D62" s="8" t="s">
        <v>688</v>
      </c>
      <c r="E62" s="6">
        <v>43096</v>
      </c>
      <c r="F62" s="8" t="s">
        <v>261</v>
      </c>
      <c r="G62" s="8" t="s">
        <v>264</v>
      </c>
      <c r="H62" s="4">
        <v>-6</v>
      </c>
      <c r="I62" s="8" t="s">
        <v>37</v>
      </c>
      <c r="J62" s="4">
        <v>21.556329999999999</v>
      </c>
      <c r="K62" s="4">
        <v>-129.34</v>
      </c>
      <c r="L62" s="8" t="s">
        <v>609</v>
      </c>
      <c r="M62" s="4">
        <v>-129.34</v>
      </c>
      <c r="N62" s="8" t="s">
        <v>610</v>
      </c>
      <c r="O62" s="8" t="s">
        <v>689</v>
      </c>
      <c r="P62" s="8" t="s">
        <v>247</v>
      </c>
      <c r="Q62" s="4">
        <v>0</v>
      </c>
    </row>
    <row r="63" spans="1:17" x14ac:dyDescent="0.25">
      <c r="A63" s="8" t="s">
        <v>607</v>
      </c>
      <c r="B63" s="8" t="s">
        <v>81</v>
      </c>
      <c r="C63" s="8" t="s">
        <v>345</v>
      </c>
      <c r="D63" s="8" t="s">
        <v>690</v>
      </c>
      <c r="E63" s="6">
        <v>43096</v>
      </c>
      <c r="F63" s="8" t="s">
        <v>261</v>
      </c>
      <c r="G63" s="8" t="s">
        <v>264</v>
      </c>
      <c r="H63" s="4">
        <v>-6</v>
      </c>
      <c r="I63" s="8" t="s">
        <v>37</v>
      </c>
      <c r="J63" s="4">
        <v>0.87771999999999994</v>
      </c>
      <c r="K63" s="4">
        <v>-5.2700000000000005</v>
      </c>
      <c r="L63" s="8" t="s">
        <v>609</v>
      </c>
      <c r="M63" s="4">
        <v>-5.2700000000000005</v>
      </c>
      <c r="N63" s="8" t="s">
        <v>610</v>
      </c>
      <c r="O63" s="8" t="s">
        <v>691</v>
      </c>
      <c r="P63" s="8" t="s">
        <v>247</v>
      </c>
      <c r="Q63" s="4">
        <v>0</v>
      </c>
    </row>
    <row r="64" spans="1:17" x14ac:dyDescent="0.25">
      <c r="A64" s="8" t="s">
        <v>607</v>
      </c>
      <c r="B64" s="8" t="s">
        <v>81</v>
      </c>
      <c r="C64" s="8" t="s">
        <v>381</v>
      </c>
      <c r="D64" s="8" t="s">
        <v>32</v>
      </c>
      <c r="E64" s="6">
        <v>43096</v>
      </c>
      <c r="F64" s="8" t="s">
        <v>261</v>
      </c>
      <c r="G64" s="8" t="s">
        <v>264</v>
      </c>
      <c r="H64" s="4">
        <v>292.5</v>
      </c>
      <c r="I64" s="8" t="s">
        <v>38</v>
      </c>
      <c r="J64" s="4">
        <v>0.24984999999999999</v>
      </c>
      <c r="K64" s="4">
        <v>73.08</v>
      </c>
      <c r="L64" s="8" t="s">
        <v>609</v>
      </c>
      <c r="M64" s="4">
        <v>73.08</v>
      </c>
      <c r="N64" s="8" t="s">
        <v>610</v>
      </c>
      <c r="O64" s="8" t="s">
        <v>692</v>
      </c>
      <c r="P64" s="8" t="s">
        <v>247</v>
      </c>
      <c r="Q64" s="4">
        <v>0</v>
      </c>
    </row>
    <row r="65" spans="1:17" x14ac:dyDescent="0.25">
      <c r="A65" s="8" t="s">
        <v>252</v>
      </c>
      <c r="B65" s="8" t="s">
        <v>693</v>
      </c>
      <c r="C65" s="8" t="s">
        <v>15</v>
      </c>
      <c r="D65" s="8" t="s">
        <v>32</v>
      </c>
      <c r="E65" s="6">
        <v>43091</v>
      </c>
      <c r="F65" s="8" t="s">
        <v>261</v>
      </c>
      <c r="G65" s="8" t="s">
        <v>290</v>
      </c>
      <c r="H65" s="4">
        <v>-1455</v>
      </c>
      <c r="I65" s="8" t="s">
        <v>38</v>
      </c>
      <c r="J65" s="4">
        <v>0.220310745221</v>
      </c>
      <c r="K65" s="4">
        <v>-320.55</v>
      </c>
      <c r="L65" s="8" t="s">
        <v>609</v>
      </c>
      <c r="M65" s="4">
        <v>-320.55</v>
      </c>
      <c r="N65" s="8" t="s">
        <v>694</v>
      </c>
      <c r="O65" s="8" t="s">
        <v>695</v>
      </c>
      <c r="P65" s="8" t="s">
        <v>247</v>
      </c>
      <c r="Q65" s="4">
        <v>5637699026</v>
      </c>
    </row>
    <row r="66" spans="1:17" x14ac:dyDescent="0.25">
      <c r="A66" s="8" t="s">
        <v>252</v>
      </c>
      <c r="B66" s="8" t="s">
        <v>693</v>
      </c>
      <c r="C66" s="8" t="s">
        <v>15</v>
      </c>
      <c r="D66" s="8" t="s">
        <v>32</v>
      </c>
      <c r="E66" s="6">
        <v>43091</v>
      </c>
      <c r="F66" s="8" t="s">
        <v>261</v>
      </c>
      <c r="G66" s="8" t="s">
        <v>290</v>
      </c>
      <c r="H66" s="4">
        <v>-145.5</v>
      </c>
      <c r="I66" s="8" t="s">
        <v>38</v>
      </c>
      <c r="J66" s="4">
        <v>0.220310745221</v>
      </c>
      <c r="K66" s="4">
        <v>-32.06</v>
      </c>
      <c r="L66" s="8" t="s">
        <v>609</v>
      </c>
      <c r="M66" s="4">
        <v>-32.06</v>
      </c>
      <c r="N66" s="8" t="s">
        <v>694</v>
      </c>
      <c r="O66" s="8" t="s">
        <v>696</v>
      </c>
      <c r="P66" s="8" t="s">
        <v>247</v>
      </c>
      <c r="Q66" s="4">
        <v>5637699027</v>
      </c>
    </row>
    <row r="67" spans="1:17" x14ac:dyDescent="0.25">
      <c r="A67" s="8" t="s">
        <v>607</v>
      </c>
      <c r="B67" s="8" t="s">
        <v>81</v>
      </c>
      <c r="C67" s="8" t="s">
        <v>15</v>
      </c>
      <c r="D67" s="8" t="s">
        <v>32</v>
      </c>
      <c r="E67" s="6">
        <v>43096</v>
      </c>
      <c r="F67" s="8" t="s">
        <v>261</v>
      </c>
      <c r="G67" s="8" t="s">
        <v>290</v>
      </c>
      <c r="H67" s="4">
        <v>1806.15</v>
      </c>
      <c r="I67" s="8" t="s">
        <v>38</v>
      </c>
      <c r="J67" s="4">
        <v>0.22031000000000001</v>
      </c>
      <c r="K67" s="4">
        <v>397.90999999999997</v>
      </c>
      <c r="L67" s="8" t="s">
        <v>609</v>
      </c>
      <c r="M67" s="4">
        <v>397.90999999999997</v>
      </c>
      <c r="N67" s="8" t="s">
        <v>610</v>
      </c>
      <c r="O67" s="8" t="s">
        <v>698</v>
      </c>
      <c r="P67" s="8" t="s">
        <v>247</v>
      </c>
      <c r="Q67" s="4">
        <v>0</v>
      </c>
    </row>
    <row r="68" spans="1:17" x14ac:dyDescent="0.25">
      <c r="A68" s="8" t="s">
        <v>607</v>
      </c>
      <c r="B68" s="8" t="s">
        <v>81</v>
      </c>
      <c r="C68" s="8" t="s">
        <v>15</v>
      </c>
      <c r="D68" s="8" t="s">
        <v>32</v>
      </c>
      <c r="E68" s="6">
        <v>43096</v>
      </c>
      <c r="F68" s="8" t="s">
        <v>261</v>
      </c>
      <c r="G68" s="8" t="s">
        <v>264</v>
      </c>
      <c r="H68" s="4">
        <v>-145.5</v>
      </c>
      <c r="I68" s="8" t="s">
        <v>38</v>
      </c>
      <c r="J68" s="4">
        <v>8.2449999999999996E-2</v>
      </c>
      <c r="K68" s="4">
        <v>-12</v>
      </c>
      <c r="L68" s="8" t="s">
        <v>609</v>
      </c>
      <c r="M68" s="4">
        <v>-12</v>
      </c>
      <c r="N68" s="8" t="s">
        <v>610</v>
      </c>
      <c r="O68" s="8" t="s">
        <v>697</v>
      </c>
      <c r="P68" s="8" t="s">
        <v>247</v>
      </c>
      <c r="Q68" s="4">
        <v>0</v>
      </c>
    </row>
    <row r="69" spans="1:17" x14ac:dyDescent="0.25">
      <c r="A69" s="8" t="s">
        <v>607</v>
      </c>
      <c r="B69" s="8" t="s">
        <v>81</v>
      </c>
      <c r="C69" s="8" t="s">
        <v>27</v>
      </c>
      <c r="D69" s="8" t="s">
        <v>32</v>
      </c>
      <c r="E69" s="6">
        <v>43096</v>
      </c>
      <c r="F69" s="8" t="s">
        <v>261</v>
      </c>
      <c r="G69" s="8" t="s">
        <v>290</v>
      </c>
      <c r="H69" s="4">
        <v>9</v>
      </c>
      <c r="I69" s="8" t="s">
        <v>38</v>
      </c>
      <c r="J69" s="4">
        <v>0.30354999999999999</v>
      </c>
      <c r="K69" s="4">
        <v>2.73</v>
      </c>
      <c r="L69" s="8" t="s">
        <v>609</v>
      </c>
      <c r="M69" s="4">
        <v>2.73</v>
      </c>
      <c r="N69" s="8" t="s">
        <v>610</v>
      </c>
      <c r="O69" s="8" t="s">
        <v>699</v>
      </c>
      <c r="P69" s="8" t="s">
        <v>247</v>
      </c>
      <c r="Q69" s="4">
        <v>0</v>
      </c>
    </row>
    <row r="70" spans="1:17" x14ac:dyDescent="0.25">
      <c r="A70" s="8" t="s">
        <v>252</v>
      </c>
      <c r="B70" s="8" t="s">
        <v>693</v>
      </c>
      <c r="C70" s="8" t="s">
        <v>16</v>
      </c>
      <c r="D70" s="8" t="s">
        <v>32</v>
      </c>
      <c r="E70" s="6">
        <v>43091</v>
      </c>
      <c r="F70" s="8" t="s">
        <v>261</v>
      </c>
      <c r="G70" s="8" t="s">
        <v>290</v>
      </c>
      <c r="H70" s="4">
        <v>-1267.5</v>
      </c>
      <c r="I70" s="8" t="s">
        <v>38</v>
      </c>
      <c r="J70" s="4">
        <v>0.142981143023</v>
      </c>
      <c r="K70" s="4">
        <v>-181.23</v>
      </c>
      <c r="L70" s="8" t="s">
        <v>609</v>
      </c>
      <c r="M70" s="4">
        <v>-181.23</v>
      </c>
      <c r="N70" s="8" t="s">
        <v>694</v>
      </c>
      <c r="O70" s="8" t="s">
        <v>700</v>
      </c>
      <c r="P70" s="8" t="s">
        <v>247</v>
      </c>
      <c r="Q70" s="4">
        <v>5637699025</v>
      </c>
    </row>
    <row r="71" spans="1:17" x14ac:dyDescent="0.25">
      <c r="A71" s="8" t="s">
        <v>607</v>
      </c>
      <c r="B71" s="8" t="s">
        <v>81</v>
      </c>
      <c r="C71" s="8" t="s">
        <v>16</v>
      </c>
      <c r="D71" s="8" t="s">
        <v>32</v>
      </c>
      <c r="E71" s="6">
        <v>43096</v>
      </c>
      <c r="F71" s="8" t="s">
        <v>261</v>
      </c>
      <c r="G71" s="8" t="s">
        <v>290</v>
      </c>
      <c r="H71" s="4">
        <v>126.75</v>
      </c>
      <c r="I71" s="8" t="s">
        <v>38</v>
      </c>
      <c r="J71" s="4">
        <v>0.14298</v>
      </c>
      <c r="K71" s="4">
        <v>18.12</v>
      </c>
      <c r="L71" s="8" t="s">
        <v>609</v>
      </c>
      <c r="M71" s="4">
        <v>18.12</v>
      </c>
      <c r="N71" s="8" t="s">
        <v>610</v>
      </c>
      <c r="O71" s="8" t="s">
        <v>702</v>
      </c>
      <c r="P71" s="8" t="s">
        <v>247</v>
      </c>
      <c r="Q71" s="4">
        <v>0</v>
      </c>
    </row>
    <row r="72" spans="1:17" x14ac:dyDescent="0.25">
      <c r="A72" s="8" t="s">
        <v>607</v>
      </c>
      <c r="B72" s="8" t="s">
        <v>81</v>
      </c>
      <c r="C72" s="8" t="s">
        <v>16</v>
      </c>
      <c r="D72" s="8" t="s">
        <v>32</v>
      </c>
      <c r="E72" s="6">
        <v>43096</v>
      </c>
      <c r="F72" s="8" t="s">
        <v>261</v>
      </c>
      <c r="G72" s="8" t="s">
        <v>264</v>
      </c>
      <c r="H72" s="4">
        <v>-1365</v>
      </c>
      <c r="I72" s="8" t="s">
        <v>38</v>
      </c>
      <c r="J72" s="4">
        <v>9.1060000000000002E-2</v>
      </c>
      <c r="K72" s="4">
        <v>-124.3</v>
      </c>
      <c r="L72" s="8" t="s">
        <v>609</v>
      </c>
      <c r="M72" s="4">
        <v>-124.3</v>
      </c>
      <c r="N72" s="8" t="s">
        <v>610</v>
      </c>
      <c r="O72" s="8" t="s">
        <v>701</v>
      </c>
      <c r="P72" s="8" t="s">
        <v>247</v>
      </c>
      <c r="Q72" s="4">
        <v>0</v>
      </c>
    </row>
    <row r="73" spans="1:17" x14ac:dyDescent="0.25">
      <c r="A73" s="8" t="s">
        <v>607</v>
      </c>
      <c r="B73" s="8" t="s">
        <v>81</v>
      </c>
      <c r="C73" s="8" t="s">
        <v>392</v>
      </c>
      <c r="D73" s="8" t="s">
        <v>703</v>
      </c>
      <c r="E73" s="6">
        <v>43096</v>
      </c>
      <c r="F73" s="8" t="s">
        <v>261</v>
      </c>
      <c r="G73" s="8" t="s">
        <v>264</v>
      </c>
      <c r="H73" s="4">
        <v>-240</v>
      </c>
      <c r="I73" s="8" t="s">
        <v>38</v>
      </c>
      <c r="J73" s="4">
        <v>1.6311700000000002</v>
      </c>
      <c r="K73" s="4">
        <v>-391.48</v>
      </c>
      <c r="L73" s="8" t="s">
        <v>609</v>
      </c>
      <c r="M73" s="4">
        <v>-391.48</v>
      </c>
      <c r="N73" s="8" t="s">
        <v>610</v>
      </c>
      <c r="O73" s="8" t="s">
        <v>704</v>
      </c>
      <c r="P73" s="8" t="s">
        <v>247</v>
      </c>
      <c r="Q73" s="4">
        <v>0</v>
      </c>
    </row>
    <row r="74" spans="1:17" x14ac:dyDescent="0.25">
      <c r="A74" s="8" t="s">
        <v>17</v>
      </c>
      <c r="B74" s="8" t="s">
        <v>705</v>
      </c>
      <c r="C74" s="8" t="s">
        <v>74</v>
      </c>
      <c r="D74" s="8" t="s">
        <v>200</v>
      </c>
      <c r="E74" s="6">
        <v>43075</v>
      </c>
      <c r="F74" s="8" t="s">
        <v>261</v>
      </c>
      <c r="G74" s="8" t="s">
        <v>262</v>
      </c>
      <c r="H74" s="4">
        <v>150</v>
      </c>
      <c r="I74" s="8" t="s">
        <v>39</v>
      </c>
      <c r="J74" s="4">
        <v>0.35326666666700002</v>
      </c>
      <c r="K74" s="4">
        <v>52.99</v>
      </c>
      <c r="L74" s="8" t="s">
        <v>246</v>
      </c>
      <c r="M74" s="4">
        <v>45.36</v>
      </c>
      <c r="N74" s="8" t="s">
        <v>706</v>
      </c>
      <c r="O74" s="8" t="s">
        <v>707</v>
      </c>
      <c r="P74" s="8" t="s">
        <v>247</v>
      </c>
      <c r="Q74" s="4">
        <v>5637695901</v>
      </c>
    </row>
    <row r="75" spans="1:17" x14ac:dyDescent="0.25">
      <c r="A75" s="8" t="s">
        <v>17</v>
      </c>
      <c r="B75" s="8" t="s">
        <v>705</v>
      </c>
      <c r="C75" s="8" t="s">
        <v>74</v>
      </c>
      <c r="D75" s="8" t="s">
        <v>200</v>
      </c>
      <c r="E75" s="6">
        <v>43075</v>
      </c>
      <c r="F75" s="8" t="s">
        <v>261</v>
      </c>
      <c r="G75" s="8" t="s">
        <v>262</v>
      </c>
      <c r="H75" s="4">
        <v>150</v>
      </c>
      <c r="I75" s="8" t="s">
        <v>39</v>
      </c>
      <c r="J75" s="4">
        <v>0.35326666666700002</v>
      </c>
      <c r="K75" s="4">
        <v>52.99</v>
      </c>
      <c r="L75" s="8" t="s">
        <v>246</v>
      </c>
      <c r="M75" s="4">
        <v>45.36</v>
      </c>
      <c r="N75" s="8" t="s">
        <v>706</v>
      </c>
      <c r="O75" s="8" t="s">
        <v>707</v>
      </c>
      <c r="P75" s="8" t="s">
        <v>247</v>
      </c>
      <c r="Q75" s="4">
        <v>5637695903</v>
      </c>
    </row>
    <row r="76" spans="1:17" x14ac:dyDescent="0.25">
      <c r="A76" s="8" t="s">
        <v>17</v>
      </c>
      <c r="B76" s="8" t="s">
        <v>705</v>
      </c>
      <c r="C76" s="8" t="s">
        <v>74</v>
      </c>
      <c r="D76" s="8" t="s">
        <v>200</v>
      </c>
      <c r="E76" s="6">
        <v>43075</v>
      </c>
      <c r="F76" s="8" t="s">
        <v>261</v>
      </c>
      <c r="G76" s="8" t="s">
        <v>262</v>
      </c>
      <c r="H76" s="4">
        <v>150</v>
      </c>
      <c r="I76" s="8" t="s">
        <v>39</v>
      </c>
      <c r="J76" s="4">
        <v>0.35326666666700002</v>
      </c>
      <c r="K76" s="4">
        <v>52.99</v>
      </c>
      <c r="L76" s="8" t="s">
        <v>246</v>
      </c>
      <c r="M76" s="4">
        <v>45.36</v>
      </c>
      <c r="N76" s="8" t="s">
        <v>706</v>
      </c>
      <c r="O76" s="8" t="s">
        <v>707</v>
      </c>
      <c r="P76" s="8" t="s">
        <v>247</v>
      </c>
      <c r="Q76" s="4">
        <v>5637695905</v>
      </c>
    </row>
    <row r="77" spans="1:17" x14ac:dyDescent="0.25">
      <c r="A77" s="8" t="s">
        <v>17</v>
      </c>
      <c r="B77" s="8" t="s">
        <v>705</v>
      </c>
      <c r="C77" s="8" t="s">
        <v>74</v>
      </c>
      <c r="D77" s="8" t="s">
        <v>200</v>
      </c>
      <c r="E77" s="6">
        <v>43075</v>
      </c>
      <c r="F77" s="8" t="s">
        <v>261</v>
      </c>
      <c r="G77" s="8" t="s">
        <v>262</v>
      </c>
      <c r="H77" s="4">
        <v>150</v>
      </c>
      <c r="I77" s="8" t="s">
        <v>39</v>
      </c>
      <c r="J77" s="4">
        <v>0.35326666666700002</v>
      </c>
      <c r="K77" s="4">
        <v>52.99</v>
      </c>
      <c r="L77" s="8" t="s">
        <v>246</v>
      </c>
      <c r="M77" s="4">
        <v>45.36</v>
      </c>
      <c r="N77" s="8" t="s">
        <v>706</v>
      </c>
      <c r="O77" s="8" t="s">
        <v>707</v>
      </c>
      <c r="P77" s="8" t="s">
        <v>247</v>
      </c>
      <c r="Q77" s="4">
        <v>5637695907</v>
      </c>
    </row>
    <row r="78" spans="1:17" x14ac:dyDescent="0.25">
      <c r="A78" s="8" t="s">
        <v>17</v>
      </c>
      <c r="B78" s="8" t="s">
        <v>705</v>
      </c>
      <c r="C78" s="8" t="s">
        <v>74</v>
      </c>
      <c r="D78" s="8" t="s">
        <v>200</v>
      </c>
      <c r="E78" s="6">
        <v>43075</v>
      </c>
      <c r="F78" s="8" t="s">
        <v>261</v>
      </c>
      <c r="G78" s="8" t="s">
        <v>262</v>
      </c>
      <c r="H78" s="4">
        <v>150</v>
      </c>
      <c r="I78" s="8" t="s">
        <v>39</v>
      </c>
      <c r="J78" s="4">
        <v>0.35326666666700002</v>
      </c>
      <c r="K78" s="4">
        <v>52.99</v>
      </c>
      <c r="L78" s="8" t="s">
        <v>246</v>
      </c>
      <c r="M78" s="4">
        <v>45.36</v>
      </c>
      <c r="N78" s="8" t="s">
        <v>706</v>
      </c>
      <c r="O78" s="8" t="s">
        <v>707</v>
      </c>
      <c r="P78" s="8" t="s">
        <v>247</v>
      </c>
      <c r="Q78" s="4">
        <v>5637695909</v>
      </c>
    </row>
    <row r="79" spans="1:17" x14ac:dyDescent="0.25">
      <c r="A79" s="8" t="s">
        <v>17</v>
      </c>
      <c r="B79" s="8" t="s">
        <v>705</v>
      </c>
      <c r="C79" s="8" t="s">
        <v>74</v>
      </c>
      <c r="D79" s="8" t="s">
        <v>200</v>
      </c>
      <c r="E79" s="6">
        <v>43075</v>
      </c>
      <c r="F79" s="8" t="s">
        <v>261</v>
      </c>
      <c r="G79" s="8" t="s">
        <v>262</v>
      </c>
      <c r="H79" s="4">
        <v>150</v>
      </c>
      <c r="I79" s="8" t="s">
        <v>39</v>
      </c>
      <c r="J79" s="4">
        <v>0.35326666666700002</v>
      </c>
      <c r="K79" s="4">
        <v>52.99</v>
      </c>
      <c r="L79" s="8" t="s">
        <v>246</v>
      </c>
      <c r="M79" s="4">
        <v>45.36</v>
      </c>
      <c r="N79" s="8" t="s">
        <v>706</v>
      </c>
      <c r="O79" s="8" t="s">
        <v>707</v>
      </c>
      <c r="P79" s="8" t="s">
        <v>247</v>
      </c>
      <c r="Q79" s="4">
        <v>5637695911</v>
      </c>
    </row>
    <row r="80" spans="1:17" x14ac:dyDescent="0.25">
      <c r="A80" s="8" t="s">
        <v>17</v>
      </c>
      <c r="B80" s="8" t="s">
        <v>705</v>
      </c>
      <c r="C80" s="8" t="s">
        <v>74</v>
      </c>
      <c r="D80" s="8" t="s">
        <v>200</v>
      </c>
      <c r="E80" s="6">
        <v>43075</v>
      </c>
      <c r="F80" s="8" t="s">
        <v>261</v>
      </c>
      <c r="G80" s="8" t="s">
        <v>262</v>
      </c>
      <c r="H80" s="4">
        <v>150</v>
      </c>
      <c r="I80" s="8" t="s">
        <v>39</v>
      </c>
      <c r="J80" s="4">
        <v>0.35326666666700002</v>
      </c>
      <c r="K80" s="4">
        <v>52.99</v>
      </c>
      <c r="L80" s="8" t="s">
        <v>246</v>
      </c>
      <c r="M80" s="4">
        <v>45.36</v>
      </c>
      <c r="N80" s="8" t="s">
        <v>706</v>
      </c>
      <c r="O80" s="8" t="s">
        <v>707</v>
      </c>
      <c r="P80" s="8" t="s">
        <v>247</v>
      </c>
      <c r="Q80" s="4">
        <v>5637695913</v>
      </c>
    </row>
    <row r="81" spans="1:17" x14ac:dyDescent="0.25">
      <c r="A81" s="8" t="s">
        <v>17</v>
      </c>
      <c r="B81" s="8" t="s">
        <v>705</v>
      </c>
      <c r="C81" s="8" t="s">
        <v>74</v>
      </c>
      <c r="D81" s="8" t="s">
        <v>200</v>
      </c>
      <c r="E81" s="6">
        <v>43075</v>
      </c>
      <c r="F81" s="8" t="s">
        <v>261</v>
      </c>
      <c r="G81" s="8" t="s">
        <v>262</v>
      </c>
      <c r="H81" s="4">
        <v>150</v>
      </c>
      <c r="I81" s="8" t="s">
        <v>39</v>
      </c>
      <c r="J81" s="4">
        <v>0.35326666666700002</v>
      </c>
      <c r="K81" s="4">
        <v>52.99</v>
      </c>
      <c r="L81" s="8" t="s">
        <v>246</v>
      </c>
      <c r="M81" s="4">
        <v>45.36</v>
      </c>
      <c r="N81" s="8" t="s">
        <v>706</v>
      </c>
      <c r="O81" s="8" t="s">
        <v>707</v>
      </c>
      <c r="P81" s="8" t="s">
        <v>247</v>
      </c>
      <c r="Q81" s="4">
        <v>5637695915</v>
      </c>
    </row>
    <row r="82" spans="1:17" x14ac:dyDescent="0.25">
      <c r="A82" s="8" t="s">
        <v>17</v>
      </c>
      <c r="B82" s="8" t="s">
        <v>705</v>
      </c>
      <c r="C82" s="8" t="s">
        <v>74</v>
      </c>
      <c r="D82" s="8" t="s">
        <v>200</v>
      </c>
      <c r="E82" s="6">
        <v>43075</v>
      </c>
      <c r="F82" s="8" t="s">
        <v>261</v>
      </c>
      <c r="G82" s="8" t="s">
        <v>262</v>
      </c>
      <c r="H82" s="4">
        <v>150</v>
      </c>
      <c r="I82" s="8" t="s">
        <v>39</v>
      </c>
      <c r="J82" s="4">
        <v>0.35326666666700002</v>
      </c>
      <c r="K82" s="4">
        <v>52.99</v>
      </c>
      <c r="L82" s="8" t="s">
        <v>246</v>
      </c>
      <c r="M82" s="4">
        <v>45.36</v>
      </c>
      <c r="N82" s="8" t="s">
        <v>706</v>
      </c>
      <c r="O82" s="8" t="s">
        <v>707</v>
      </c>
      <c r="P82" s="8" t="s">
        <v>247</v>
      </c>
      <c r="Q82" s="4">
        <v>5637695917</v>
      </c>
    </row>
    <row r="83" spans="1:17" x14ac:dyDescent="0.25">
      <c r="A83" s="8" t="s">
        <v>17</v>
      </c>
      <c r="B83" s="8" t="s">
        <v>705</v>
      </c>
      <c r="C83" s="8" t="s">
        <v>74</v>
      </c>
      <c r="D83" s="8" t="s">
        <v>200</v>
      </c>
      <c r="E83" s="6">
        <v>43075</v>
      </c>
      <c r="F83" s="8" t="s">
        <v>261</v>
      </c>
      <c r="G83" s="8" t="s">
        <v>262</v>
      </c>
      <c r="H83" s="4">
        <v>150</v>
      </c>
      <c r="I83" s="8" t="s">
        <v>39</v>
      </c>
      <c r="J83" s="4">
        <v>0.35326666666700002</v>
      </c>
      <c r="K83" s="4">
        <v>52.99</v>
      </c>
      <c r="L83" s="8" t="s">
        <v>246</v>
      </c>
      <c r="M83" s="4">
        <v>45.36</v>
      </c>
      <c r="N83" s="8" t="s">
        <v>706</v>
      </c>
      <c r="O83" s="8" t="s">
        <v>707</v>
      </c>
      <c r="P83" s="8" t="s">
        <v>247</v>
      </c>
      <c r="Q83" s="4">
        <v>5637695919</v>
      </c>
    </row>
    <row r="84" spans="1:17" x14ac:dyDescent="0.25">
      <c r="A84" s="8" t="s">
        <v>17</v>
      </c>
      <c r="B84" s="8" t="s">
        <v>705</v>
      </c>
      <c r="C84" s="8" t="s">
        <v>74</v>
      </c>
      <c r="D84" s="8" t="s">
        <v>200</v>
      </c>
      <c r="E84" s="6">
        <v>43075</v>
      </c>
      <c r="F84" s="8" t="s">
        <v>261</v>
      </c>
      <c r="G84" s="8" t="s">
        <v>262</v>
      </c>
      <c r="H84" s="4">
        <v>150</v>
      </c>
      <c r="I84" s="8" t="s">
        <v>39</v>
      </c>
      <c r="J84" s="4">
        <v>0.35326666666700002</v>
      </c>
      <c r="K84" s="4">
        <v>52.99</v>
      </c>
      <c r="L84" s="8" t="s">
        <v>246</v>
      </c>
      <c r="M84" s="4">
        <v>45.36</v>
      </c>
      <c r="N84" s="8" t="s">
        <v>706</v>
      </c>
      <c r="O84" s="8" t="s">
        <v>707</v>
      </c>
      <c r="P84" s="8" t="s">
        <v>247</v>
      </c>
      <c r="Q84" s="4">
        <v>5637695921</v>
      </c>
    </row>
    <row r="85" spans="1:17" x14ac:dyDescent="0.25">
      <c r="A85" s="8" t="s">
        <v>17</v>
      </c>
      <c r="B85" s="8" t="s">
        <v>705</v>
      </c>
      <c r="C85" s="8" t="s">
        <v>74</v>
      </c>
      <c r="D85" s="8" t="s">
        <v>200</v>
      </c>
      <c r="E85" s="6">
        <v>43075</v>
      </c>
      <c r="F85" s="8" t="s">
        <v>261</v>
      </c>
      <c r="G85" s="8" t="s">
        <v>262</v>
      </c>
      <c r="H85" s="4">
        <v>150</v>
      </c>
      <c r="I85" s="8" t="s">
        <v>39</v>
      </c>
      <c r="J85" s="4">
        <v>0.35326666666700002</v>
      </c>
      <c r="K85" s="4">
        <v>52.99</v>
      </c>
      <c r="L85" s="8" t="s">
        <v>246</v>
      </c>
      <c r="M85" s="4">
        <v>45.36</v>
      </c>
      <c r="N85" s="8" t="s">
        <v>706</v>
      </c>
      <c r="O85" s="8" t="s">
        <v>707</v>
      </c>
      <c r="P85" s="8" t="s">
        <v>247</v>
      </c>
      <c r="Q85" s="4">
        <v>5637695923</v>
      </c>
    </row>
    <row r="86" spans="1:17" x14ac:dyDescent="0.25">
      <c r="A86" s="8" t="s">
        <v>17</v>
      </c>
      <c r="B86" s="8" t="s">
        <v>705</v>
      </c>
      <c r="C86" s="8" t="s">
        <v>74</v>
      </c>
      <c r="D86" s="8" t="s">
        <v>200</v>
      </c>
      <c r="E86" s="6">
        <v>43075</v>
      </c>
      <c r="F86" s="8" t="s">
        <v>261</v>
      </c>
      <c r="G86" s="8" t="s">
        <v>262</v>
      </c>
      <c r="H86" s="4">
        <v>150</v>
      </c>
      <c r="I86" s="8" t="s">
        <v>39</v>
      </c>
      <c r="J86" s="4">
        <v>0.35326666666700002</v>
      </c>
      <c r="K86" s="4">
        <v>52.99</v>
      </c>
      <c r="L86" s="8" t="s">
        <v>246</v>
      </c>
      <c r="M86" s="4">
        <v>45.36</v>
      </c>
      <c r="N86" s="8" t="s">
        <v>706</v>
      </c>
      <c r="O86" s="8" t="s">
        <v>707</v>
      </c>
      <c r="P86" s="8" t="s">
        <v>247</v>
      </c>
      <c r="Q86" s="4">
        <v>5637695925</v>
      </c>
    </row>
    <row r="87" spans="1:17" x14ac:dyDescent="0.25">
      <c r="A87" s="8" t="s">
        <v>17</v>
      </c>
      <c r="B87" s="8" t="s">
        <v>705</v>
      </c>
      <c r="C87" s="8" t="s">
        <v>74</v>
      </c>
      <c r="D87" s="8" t="s">
        <v>200</v>
      </c>
      <c r="E87" s="6">
        <v>43075</v>
      </c>
      <c r="F87" s="8" t="s">
        <v>261</v>
      </c>
      <c r="G87" s="8" t="s">
        <v>262</v>
      </c>
      <c r="H87" s="4">
        <v>150</v>
      </c>
      <c r="I87" s="8" t="s">
        <v>39</v>
      </c>
      <c r="J87" s="4">
        <v>0.35326666666700002</v>
      </c>
      <c r="K87" s="4">
        <v>52.99</v>
      </c>
      <c r="L87" s="8" t="s">
        <v>246</v>
      </c>
      <c r="M87" s="4">
        <v>45.36</v>
      </c>
      <c r="N87" s="8" t="s">
        <v>706</v>
      </c>
      <c r="O87" s="8" t="s">
        <v>707</v>
      </c>
      <c r="P87" s="8" t="s">
        <v>247</v>
      </c>
      <c r="Q87" s="4">
        <v>5637695927</v>
      </c>
    </row>
    <row r="88" spans="1:17" x14ac:dyDescent="0.25">
      <c r="A88" s="8" t="s">
        <v>17</v>
      </c>
      <c r="B88" s="8" t="s">
        <v>705</v>
      </c>
      <c r="C88" s="8" t="s">
        <v>74</v>
      </c>
      <c r="D88" s="8" t="s">
        <v>200</v>
      </c>
      <c r="E88" s="6">
        <v>43075</v>
      </c>
      <c r="F88" s="8" t="s">
        <v>261</v>
      </c>
      <c r="G88" s="8" t="s">
        <v>262</v>
      </c>
      <c r="H88" s="4">
        <v>150</v>
      </c>
      <c r="I88" s="8" t="s">
        <v>39</v>
      </c>
      <c r="J88" s="4">
        <v>0.35326666666700002</v>
      </c>
      <c r="K88" s="4">
        <v>52.99</v>
      </c>
      <c r="L88" s="8" t="s">
        <v>246</v>
      </c>
      <c r="M88" s="4">
        <v>45.36</v>
      </c>
      <c r="N88" s="8" t="s">
        <v>706</v>
      </c>
      <c r="O88" s="8" t="s">
        <v>707</v>
      </c>
      <c r="P88" s="8" t="s">
        <v>247</v>
      </c>
      <c r="Q88" s="4">
        <v>5637695929</v>
      </c>
    </row>
    <row r="89" spans="1:17" x14ac:dyDescent="0.25">
      <c r="A89" s="8" t="s">
        <v>17</v>
      </c>
      <c r="B89" s="8" t="s">
        <v>705</v>
      </c>
      <c r="C89" s="8" t="s">
        <v>74</v>
      </c>
      <c r="D89" s="8" t="s">
        <v>200</v>
      </c>
      <c r="E89" s="6">
        <v>43075</v>
      </c>
      <c r="F89" s="8" t="s">
        <v>261</v>
      </c>
      <c r="G89" s="8" t="s">
        <v>262</v>
      </c>
      <c r="H89" s="4">
        <v>150</v>
      </c>
      <c r="I89" s="8" t="s">
        <v>39</v>
      </c>
      <c r="J89" s="4">
        <v>0.35326666666700002</v>
      </c>
      <c r="K89" s="4">
        <v>52.99</v>
      </c>
      <c r="L89" s="8" t="s">
        <v>246</v>
      </c>
      <c r="M89" s="4">
        <v>45.36</v>
      </c>
      <c r="N89" s="8" t="s">
        <v>706</v>
      </c>
      <c r="O89" s="8" t="s">
        <v>707</v>
      </c>
      <c r="P89" s="8" t="s">
        <v>247</v>
      </c>
      <c r="Q89" s="4">
        <v>5637695931</v>
      </c>
    </row>
    <row r="90" spans="1:17" x14ac:dyDescent="0.25">
      <c r="A90" s="8" t="s">
        <v>17</v>
      </c>
      <c r="B90" s="8" t="s">
        <v>705</v>
      </c>
      <c r="C90" s="8" t="s">
        <v>74</v>
      </c>
      <c r="D90" s="8" t="s">
        <v>200</v>
      </c>
      <c r="E90" s="6">
        <v>43075</v>
      </c>
      <c r="F90" s="8" t="s">
        <v>261</v>
      </c>
      <c r="G90" s="8" t="s">
        <v>262</v>
      </c>
      <c r="H90" s="4">
        <v>150</v>
      </c>
      <c r="I90" s="8" t="s">
        <v>39</v>
      </c>
      <c r="J90" s="4">
        <v>0.35326666666700002</v>
      </c>
      <c r="K90" s="4">
        <v>52.99</v>
      </c>
      <c r="L90" s="8" t="s">
        <v>246</v>
      </c>
      <c r="M90" s="4">
        <v>45.36</v>
      </c>
      <c r="N90" s="8" t="s">
        <v>706</v>
      </c>
      <c r="O90" s="8" t="s">
        <v>707</v>
      </c>
      <c r="P90" s="8" t="s">
        <v>247</v>
      </c>
      <c r="Q90" s="4">
        <v>5637695933</v>
      </c>
    </row>
    <row r="91" spans="1:17" x14ac:dyDescent="0.25">
      <c r="A91" s="8" t="s">
        <v>17</v>
      </c>
      <c r="B91" s="8" t="s">
        <v>705</v>
      </c>
      <c r="C91" s="8" t="s">
        <v>74</v>
      </c>
      <c r="D91" s="8" t="s">
        <v>200</v>
      </c>
      <c r="E91" s="6">
        <v>43075</v>
      </c>
      <c r="F91" s="8" t="s">
        <v>261</v>
      </c>
      <c r="G91" s="8" t="s">
        <v>262</v>
      </c>
      <c r="H91" s="4">
        <v>150</v>
      </c>
      <c r="I91" s="8" t="s">
        <v>39</v>
      </c>
      <c r="J91" s="4">
        <v>0.35326666666700002</v>
      </c>
      <c r="K91" s="4">
        <v>52.99</v>
      </c>
      <c r="L91" s="8" t="s">
        <v>246</v>
      </c>
      <c r="M91" s="4">
        <v>45.36</v>
      </c>
      <c r="N91" s="8" t="s">
        <v>706</v>
      </c>
      <c r="O91" s="8" t="s">
        <v>707</v>
      </c>
      <c r="P91" s="8" t="s">
        <v>247</v>
      </c>
      <c r="Q91" s="4">
        <v>5637695935</v>
      </c>
    </row>
    <row r="92" spans="1:17" x14ac:dyDescent="0.25">
      <c r="A92" s="8" t="s">
        <v>17</v>
      </c>
      <c r="B92" s="8" t="s">
        <v>705</v>
      </c>
      <c r="C92" s="8" t="s">
        <v>74</v>
      </c>
      <c r="D92" s="8" t="s">
        <v>200</v>
      </c>
      <c r="E92" s="6">
        <v>43075</v>
      </c>
      <c r="F92" s="8" t="s">
        <v>261</v>
      </c>
      <c r="G92" s="8" t="s">
        <v>262</v>
      </c>
      <c r="H92" s="4">
        <v>150</v>
      </c>
      <c r="I92" s="8" t="s">
        <v>39</v>
      </c>
      <c r="J92" s="4">
        <v>0.35326666666700002</v>
      </c>
      <c r="K92" s="4">
        <v>52.99</v>
      </c>
      <c r="L92" s="8" t="s">
        <v>246</v>
      </c>
      <c r="M92" s="4">
        <v>45.36</v>
      </c>
      <c r="N92" s="8" t="s">
        <v>706</v>
      </c>
      <c r="O92" s="8" t="s">
        <v>707</v>
      </c>
      <c r="P92" s="8" t="s">
        <v>247</v>
      </c>
      <c r="Q92" s="4">
        <v>5637695937</v>
      </c>
    </row>
    <row r="93" spans="1:17" x14ac:dyDescent="0.25">
      <c r="A93" s="8" t="s">
        <v>17</v>
      </c>
      <c r="B93" s="8" t="s">
        <v>705</v>
      </c>
      <c r="C93" s="8" t="s">
        <v>74</v>
      </c>
      <c r="D93" s="8" t="s">
        <v>200</v>
      </c>
      <c r="E93" s="6">
        <v>43075</v>
      </c>
      <c r="F93" s="8" t="s">
        <v>261</v>
      </c>
      <c r="G93" s="8" t="s">
        <v>262</v>
      </c>
      <c r="H93" s="4">
        <v>150</v>
      </c>
      <c r="I93" s="8" t="s">
        <v>39</v>
      </c>
      <c r="J93" s="4">
        <v>0.35326666666700002</v>
      </c>
      <c r="K93" s="4">
        <v>52.99</v>
      </c>
      <c r="L93" s="8" t="s">
        <v>246</v>
      </c>
      <c r="M93" s="4">
        <v>45.36</v>
      </c>
      <c r="N93" s="8" t="s">
        <v>706</v>
      </c>
      <c r="O93" s="8" t="s">
        <v>707</v>
      </c>
      <c r="P93" s="8" t="s">
        <v>247</v>
      </c>
      <c r="Q93" s="4">
        <v>5637695939</v>
      </c>
    </row>
    <row r="94" spans="1:17" x14ac:dyDescent="0.25">
      <c r="A94" s="8" t="s">
        <v>17</v>
      </c>
      <c r="B94" s="8" t="s">
        <v>705</v>
      </c>
      <c r="C94" s="8" t="s">
        <v>74</v>
      </c>
      <c r="D94" s="8" t="s">
        <v>200</v>
      </c>
      <c r="E94" s="6">
        <v>43075</v>
      </c>
      <c r="F94" s="8" t="s">
        <v>261</v>
      </c>
      <c r="G94" s="8" t="s">
        <v>262</v>
      </c>
      <c r="H94" s="4">
        <v>150</v>
      </c>
      <c r="I94" s="8" t="s">
        <v>39</v>
      </c>
      <c r="J94" s="4">
        <v>0.35326666666700002</v>
      </c>
      <c r="K94" s="4">
        <v>52.99</v>
      </c>
      <c r="L94" s="8" t="s">
        <v>246</v>
      </c>
      <c r="M94" s="4">
        <v>45.36</v>
      </c>
      <c r="N94" s="8" t="s">
        <v>706</v>
      </c>
      <c r="O94" s="8" t="s">
        <v>707</v>
      </c>
      <c r="P94" s="8" t="s">
        <v>247</v>
      </c>
      <c r="Q94" s="4">
        <v>5637695941</v>
      </c>
    </row>
    <row r="95" spans="1:17" x14ac:dyDescent="0.25">
      <c r="A95" s="8" t="s">
        <v>17</v>
      </c>
      <c r="B95" s="8" t="s">
        <v>705</v>
      </c>
      <c r="C95" s="8" t="s">
        <v>74</v>
      </c>
      <c r="D95" s="8" t="s">
        <v>200</v>
      </c>
      <c r="E95" s="6">
        <v>43075</v>
      </c>
      <c r="F95" s="8" t="s">
        <v>261</v>
      </c>
      <c r="G95" s="8" t="s">
        <v>262</v>
      </c>
      <c r="H95" s="4">
        <v>150</v>
      </c>
      <c r="I95" s="8" t="s">
        <v>39</v>
      </c>
      <c r="J95" s="4">
        <v>0.35326666666700002</v>
      </c>
      <c r="K95" s="4">
        <v>52.99</v>
      </c>
      <c r="L95" s="8" t="s">
        <v>246</v>
      </c>
      <c r="M95" s="4">
        <v>45.36</v>
      </c>
      <c r="N95" s="8" t="s">
        <v>706</v>
      </c>
      <c r="O95" s="8" t="s">
        <v>707</v>
      </c>
      <c r="P95" s="8" t="s">
        <v>247</v>
      </c>
      <c r="Q95" s="4">
        <v>5637695943</v>
      </c>
    </row>
    <row r="96" spans="1:17" x14ac:dyDescent="0.25">
      <c r="A96" s="8" t="s">
        <v>17</v>
      </c>
      <c r="B96" s="8" t="s">
        <v>705</v>
      </c>
      <c r="C96" s="8" t="s">
        <v>74</v>
      </c>
      <c r="D96" s="8" t="s">
        <v>200</v>
      </c>
      <c r="E96" s="6">
        <v>43075</v>
      </c>
      <c r="F96" s="8" t="s">
        <v>261</v>
      </c>
      <c r="G96" s="8" t="s">
        <v>262</v>
      </c>
      <c r="H96" s="4">
        <v>150</v>
      </c>
      <c r="I96" s="8" t="s">
        <v>39</v>
      </c>
      <c r="J96" s="4">
        <v>0.35326666666700002</v>
      </c>
      <c r="K96" s="4">
        <v>52.99</v>
      </c>
      <c r="L96" s="8" t="s">
        <v>246</v>
      </c>
      <c r="M96" s="4">
        <v>45.36</v>
      </c>
      <c r="N96" s="8" t="s">
        <v>706</v>
      </c>
      <c r="O96" s="8" t="s">
        <v>707</v>
      </c>
      <c r="P96" s="8" t="s">
        <v>247</v>
      </c>
      <c r="Q96" s="4">
        <v>5637695945</v>
      </c>
    </row>
    <row r="97" spans="1:17" x14ac:dyDescent="0.25">
      <c r="A97" s="8" t="s">
        <v>17</v>
      </c>
      <c r="B97" s="8" t="s">
        <v>705</v>
      </c>
      <c r="C97" s="8" t="s">
        <v>74</v>
      </c>
      <c r="D97" s="8" t="s">
        <v>200</v>
      </c>
      <c r="E97" s="6">
        <v>43075</v>
      </c>
      <c r="F97" s="8" t="s">
        <v>261</v>
      </c>
      <c r="G97" s="8" t="s">
        <v>262</v>
      </c>
      <c r="H97" s="4">
        <v>150</v>
      </c>
      <c r="I97" s="8" t="s">
        <v>39</v>
      </c>
      <c r="J97" s="4">
        <v>0.35326666666700002</v>
      </c>
      <c r="K97" s="4">
        <v>52.99</v>
      </c>
      <c r="L97" s="8" t="s">
        <v>246</v>
      </c>
      <c r="M97" s="4">
        <v>45.36</v>
      </c>
      <c r="N97" s="8" t="s">
        <v>706</v>
      </c>
      <c r="O97" s="8" t="s">
        <v>707</v>
      </c>
      <c r="P97" s="8" t="s">
        <v>247</v>
      </c>
      <c r="Q97" s="4">
        <v>5637695947</v>
      </c>
    </row>
    <row r="98" spans="1:17" x14ac:dyDescent="0.25">
      <c r="A98" s="8" t="s">
        <v>17</v>
      </c>
      <c r="B98" s="8" t="s">
        <v>705</v>
      </c>
      <c r="C98" s="8" t="s">
        <v>74</v>
      </c>
      <c r="D98" s="8" t="s">
        <v>200</v>
      </c>
      <c r="E98" s="6">
        <v>43075</v>
      </c>
      <c r="F98" s="8" t="s">
        <v>261</v>
      </c>
      <c r="G98" s="8" t="s">
        <v>262</v>
      </c>
      <c r="H98" s="4">
        <v>150</v>
      </c>
      <c r="I98" s="8" t="s">
        <v>39</v>
      </c>
      <c r="J98" s="4">
        <v>0.35326666666700002</v>
      </c>
      <c r="K98" s="4">
        <v>52.99</v>
      </c>
      <c r="L98" s="8" t="s">
        <v>246</v>
      </c>
      <c r="M98" s="4">
        <v>45.36</v>
      </c>
      <c r="N98" s="8" t="s">
        <v>706</v>
      </c>
      <c r="O98" s="8" t="s">
        <v>707</v>
      </c>
      <c r="P98" s="8" t="s">
        <v>247</v>
      </c>
      <c r="Q98" s="4">
        <v>5637695949</v>
      </c>
    </row>
    <row r="99" spans="1:17" x14ac:dyDescent="0.25">
      <c r="A99" s="8" t="s">
        <v>17</v>
      </c>
      <c r="B99" s="8" t="s">
        <v>705</v>
      </c>
      <c r="C99" s="8" t="s">
        <v>74</v>
      </c>
      <c r="D99" s="8" t="s">
        <v>200</v>
      </c>
      <c r="E99" s="6">
        <v>43075</v>
      </c>
      <c r="F99" s="8" t="s">
        <v>261</v>
      </c>
      <c r="G99" s="8" t="s">
        <v>262</v>
      </c>
      <c r="H99" s="4">
        <v>150</v>
      </c>
      <c r="I99" s="8" t="s">
        <v>39</v>
      </c>
      <c r="J99" s="4">
        <v>0.35326666666700002</v>
      </c>
      <c r="K99" s="4">
        <v>52.99</v>
      </c>
      <c r="L99" s="8" t="s">
        <v>246</v>
      </c>
      <c r="M99" s="4">
        <v>45.36</v>
      </c>
      <c r="N99" s="8" t="s">
        <v>706</v>
      </c>
      <c r="O99" s="8" t="s">
        <v>707</v>
      </c>
      <c r="P99" s="8" t="s">
        <v>247</v>
      </c>
      <c r="Q99" s="4">
        <v>5637695951</v>
      </c>
    </row>
    <row r="100" spans="1:17" x14ac:dyDescent="0.25">
      <c r="A100" s="8" t="s">
        <v>17</v>
      </c>
      <c r="B100" s="8" t="s">
        <v>705</v>
      </c>
      <c r="C100" s="8" t="s">
        <v>74</v>
      </c>
      <c r="D100" s="8" t="s">
        <v>200</v>
      </c>
      <c r="E100" s="6">
        <v>43075</v>
      </c>
      <c r="F100" s="8" t="s">
        <v>261</v>
      </c>
      <c r="G100" s="8" t="s">
        <v>262</v>
      </c>
      <c r="H100" s="4">
        <v>150</v>
      </c>
      <c r="I100" s="8" t="s">
        <v>39</v>
      </c>
      <c r="J100" s="4">
        <v>0.35326666666700002</v>
      </c>
      <c r="K100" s="4">
        <v>52.99</v>
      </c>
      <c r="L100" s="8" t="s">
        <v>246</v>
      </c>
      <c r="M100" s="4">
        <v>45.36</v>
      </c>
      <c r="N100" s="8" t="s">
        <v>706</v>
      </c>
      <c r="O100" s="8" t="s">
        <v>707</v>
      </c>
      <c r="P100" s="8" t="s">
        <v>247</v>
      </c>
      <c r="Q100" s="4">
        <v>5637695953</v>
      </c>
    </row>
    <row r="101" spans="1:17" x14ac:dyDescent="0.25">
      <c r="A101" s="8" t="s">
        <v>17</v>
      </c>
      <c r="B101" s="8" t="s">
        <v>705</v>
      </c>
      <c r="C101" s="8" t="s">
        <v>74</v>
      </c>
      <c r="D101" s="8" t="s">
        <v>200</v>
      </c>
      <c r="E101" s="6">
        <v>43075</v>
      </c>
      <c r="F101" s="8" t="s">
        <v>261</v>
      </c>
      <c r="G101" s="8" t="s">
        <v>262</v>
      </c>
      <c r="H101" s="4">
        <v>150</v>
      </c>
      <c r="I101" s="8" t="s">
        <v>39</v>
      </c>
      <c r="J101" s="4">
        <v>0.35326666666700002</v>
      </c>
      <c r="K101" s="4">
        <v>52.99</v>
      </c>
      <c r="L101" s="8" t="s">
        <v>246</v>
      </c>
      <c r="M101" s="4">
        <v>45.36</v>
      </c>
      <c r="N101" s="8" t="s">
        <v>706</v>
      </c>
      <c r="O101" s="8" t="s">
        <v>707</v>
      </c>
      <c r="P101" s="8" t="s">
        <v>247</v>
      </c>
      <c r="Q101" s="4">
        <v>5637695955</v>
      </c>
    </row>
    <row r="102" spans="1:17" x14ac:dyDescent="0.25">
      <c r="A102" s="8" t="s">
        <v>17</v>
      </c>
      <c r="B102" s="8" t="s">
        <v>705</v>
      </c>
      <c r="C102" s="8" t="s">
        <v>74</v>
      </c>
      <c r="D102" s="8" t="s">
        <v>200</v>
      </c>
      <c r="E102" s="6">
        <v>43075</v>
      </c>
      <c r="F102" s="8" t="s">
        <v>261</v>
      </c>
      <c r="G102" s="8" t="s">
        <v>262</v>
      </c>
      <c r="H102" s="4">
        <v>150</v>
      </c>
      <c r="I102" s="8" t="s">
        <v>39</v>
      </c>
      <c r="J102" s="4">
        <v>0.35326666666700002</v>
      </c>
      <c r="K102" s="4">
        <v>52.99</v>
      </c>
      <c r="L102" s="8" t="s">
        <v>246</v>
      </c>
      <c r="M102" s="4">
        <v>45.36</v>
      </c>
      <c r="N102" s="8" t="s">
        <v>706</v>
      </c>
      <c r="O102" s="8" t="s">
        <v>707</v>
      </c>
      <c r="P102" s="8" t="s">
        <v>247</v>
      </c>
      <c r="Q102" s="4">
        <v>5637695957</v>
      </c>
    </row>
    <row r="103" spans="1:17" x14ac:dyDescent="0.25">
      <c r="A103" s="8" t="s">
        <v>17</v>
      </c>
      <c r="B103" s="8" t="s">
        <v>705</v>
      </c>
      <c r="C103" s="8" t="s">
        <v>74</v>
      </c>
      <c r="D103" s="8" t="s">
        <v>200</v>
      </c>
      <c r="E103" s="6">
        <v>43075</v>
      </c>
      <c r="F103" s="8" t="s">
        <v>261</v>
      </c>
      <c r="G103" s="8" t="s">
        <v>262</v>
      </c>
      <c r="H103" s="4">
        <v>150</v>
      </c>
      <c r="I103" s="8" t="s">
        <v>39</v>
      </c>
      <c r="J103" s="4">
        <v>0.35326666666700002</v>
      </c>
      <c r="K103" s="4">
        <v>52.99</v>
      </c>
      <c r="L103" s="8" t="s">
        <v>246</v>
      </c>
      <c r="M103" s="4">
        <v>45.36</v>
      </c>
      <c r="N103" s="8" t="s">
        <v>706</v>
      </c>
      <c r="O103" s="8" t="s">
        <v>707</v>
      </c>
      <c r="P103" s="8" t="s">
        <v>247</v>
      </c>
      <c r="Q103" s="4">
        <v>5637695959</v>
      </c>
    </row>
    <row r="104" spans="1:17" x14ac:dyDescent="0.25">
      <c r="A104" s="8" t="s">
        <v>17</v>
      </c>
      <c r="B104" s="8" t="s">
        <v>705</v>
      </c>
      <c r="C104" s="8" t="s">
        <v>74</v>
      </c>
      <c r="D104" s="8" t="s">
        <v>200</v>
      </c>
      <c r="E104" s="6">
        <v>43075</v>
      </c>
      <c r="F104" s="8" t="s">
        <v>261</v>
      </c>
      <c r="G104" s="8" t="s">
        <v>262</v>
      </c>
      <c r="H104" s="4">
        <v>150</v>
      </c>
      <c r="I104" s="8" t="s">
        <v>39</v>
      </c>
      <c r="J104" s="4">
        <v>0.35326666666700002</v>
      </c>
      <c r="K104" s="4">
        <v>52.99</v>
      </c>
      <c r="L104" s="8" t="s">
        <v>246</v>
      </c>
      <c r="M104" s="4">
        <v>45.36</v>
      </c>
      <c r="N104" s="8" t="s">
        <v>706</v>
      </c>
      <c r="O104" s="8" t="s">
        <v>707</v>
      </c>
      <c r="P104" s="8" t="s">
        <v>247</v>
      </c>
      <c r="Q104" s="4">
        <v>5637695961</v>
      </c>
    </row>
    <row r="105" spans="1:17" x14ac:dyDescent="0.25">
      <c r="A105" s="8" t="s">
        <v>17</v>
      </c>
      <c r="B105" s="8" t="s">
        <v>705</v>
      </c>
      <c r="C105" s="8" t="s">
        <v>74</v>
      </c>
      <c r="D105" s="8" t="s">
        <v>200</v>
      </c>
      <c r="E105" s="6">
        <v>43075</v>
      </c>
      <c r="F105" s="8" t="s">
        <v>261</v>
      </c>
      <c r="G105" s="8" t="s">
        <v>262</v>
      </c>
      <c r="H105" s="4">
        <v>150</v>
      </c>
      <c r="I105" s="8" t="s">
        <v>39</v>
      </c>
      <c r="J105" s="4">
        <v>0.35326666666700002</v>
      </c>
      <c r="K105" s="4">
        <v>52.99</v>
      </c>
      <c r="L105" s="8" t="s">
        <v>246</v>
      </c>
      <c r="M105" s="4">
        <v>45.36</v>
      </c>
      <c r="N105" s="8" t="s">
        <v>706</v>
      </c>
      <c r="O105" s="8" t="s">
        <v>707</v>
      </c>
      <c r="P105" s="8" t="s">
        <v>247</v>
      </c>
      <c r="Q105" s="4">
        <v>5637695963</v>
      </c>
    </row>
    <row r="106" spans="1:17" x14ac:dyDescent="0.25">
      <c r="A106" s="8" t="s">
        <v>17</v>
      </c>
      <c r="B106" s="8" t="s">
        <v>705</v>
      </c>
      <c r="C106" s="8" t="s">
        <v>74</v>
      </c>
      <c r="D106" s="8" t="s">
        <v>200</v>
      </c>
      <c r="E106" s="6">
        <v>43075</v>
      </c>
      <c r="F106" s="8" t="s">
        <v>261</v>
      </c>
      <c r="G106" s="8" t="s">
        <v>262</v>
      </c>
      <c r="H106" s="4">
        <v>150</v>
      </c>
      <c r="I106" s="8" t="s">
        <v>39</v>
      </c>
      <c r="J106" s="4">
        <v>0.35326666666700002</v>
      </c>
      <c r="K106" s="4">
        <v>52.99</v>
      </c>
      <c r="L106" s="8" t="s">
        <v>246</v>
      </c>
      <c r="M106" s="4">
        <v>45.36</v>
      </c>
      <c r="N106" s="8" t="s">
        <v>706</v>
      </c>
      <c r="O106" s="8" t="s">
        <v>707</v>
      </c>
      <c r="P106" s="8" t="s">
        <v>247</v>
      </c>
      <c r="Q106" s="4">
        <v>5637695965</v>
      </c>
    </row>
    <row r="107" spans="1:17" x14ac:dyDescent="0.25">
      <c r="A107" s="8" t="s">
        <v>17</v>
      </c>
      <c r="B107" s="8" t="s">
        <v>705</v>
      </c>
      <c r="C107" s="8" t="s">
        <v>74</v>
      </c>
      <c r="D107" s="8" t="s">
        <v>200</v>
      </c>
      <c r="E107" s="6">
        <v>43075</v>
      </c>
      <c r="F107" s="8" t="s">
        <v>261</v>
      </c>
      <c r="G107" s="8" t="s">
        <v>262</v>
      </c>
      <c r="H107" s="4">
        <v>150</v>
      </c>
      <c r="I107" s="8" t="s">
        <v>39</v>
      </c>
      <c r="J107" s="4">
        <v>0.35326666666700002</v>
      </c>
      <c r="K107" s="4">
        <v>52.99</v>
      </c>
      <c r="L107" s="8" t="s">
        <v>246</v>
      </c>
      <c r="M107" s="4">
        <v>45.36</v>
      </c>
      <c r="N107" s="8" t="s">
        <v>706</v>
      </c>
      <c r="O107" s="8" t="s">
        <v>707</v>
      </c>
      <c r="P107" s="8" t="s">
        <v>247</v>
      </c>
      <c r="Q107" s="4">
        <v>5637695967</v>
      </c>
    </row>
    <row r="108" spans="1:17" x14ac:dyDescent="0.25">
      <c r="A108" s="8" t="s">
        <v>17</v>
      </c>
      <c r="B108" s="8" t="s">
        <v>705</v>
      </c>
      <c r="C108" s="8" t="s">
        <v>74</v>
      </c>
      <c r="D108" s="8" t="s">
        <v>200</v>
      </c>
      <c r="E108" s="6">
        <v>43075</v>
      </c>
      <c r="F108" s="8" t="s">
        <v>261</v>
      </c>
      <c r="G108" s="8" t="s">
        <v>262</v>
      </c>
      <c r="H108" s="4">
        <v>150</v>
      </c>
      <c r="I108" s="8" t="s">
        <v>39</v>
      </c>
      <c r="J108" s="4">
        <v>0.35326666666700002</v>
      </c>
      <c r="K108" s="4">
        <v>52.99</v>
      </c>
      <c r="L108" s="8" t="s">
        <v>246</v>
      </c>
      <c r="M108" s="4">
        <v>45.36</v>
      </c>
      <c r="N108" s="8" t="s">
        <v>706</v>
      </c>
      <c r="O108" s="8" t="s">
        <v>707</v>
      </c>
      <c r="P108" s="8" t="s">
        <v>247</v>
      </c>
      <c r="Q108" s="4">
        <v>5637695969</v>
      </c>
    </row>
    <row r="109" spans="1:17" x14ac:dyDescent="0.25">
      <c r="A109" s="8" t="s">
        <v>17</v>
      </c>
      <c r="B109" s="8" t="s">
        <v>705</v>
      </c>
      <c r="C109" s="8" t="s">
        <v>74</v>
      </c>
      <c r="D109" s="8" t="s">
        <v>200</v>
      </c>
      <c r="E109" s="6">
        <v>43075</v>
      </c>
      <c r="F109" s="8" t="s">
        <v>261</v>
      </c>
      <c r="G109" s="8" t="s">
        <v>262</v>
      </c>
      <c r="H109" s="4">
        <v>150</v>
      </c>
      <c r="I109" s="8" t="s">
        <v>39</v>
      </c>
      <c r="J109" s="4">
        <v>0.35326666666700002</v>
      </c>
      <c r="K109" s="4">
        <v>52.99</v>
      </c>
      <c r="L109" s="8" t="s">
        <v>246</v>
      </c>
      <c r="M109" s="4">
        <v>45.36</v>
      </c>
      <c r="N109" s="8" t="s">
        <v>706</v>
      </c>
      <c r="O109" s="8" t="s">
        <v>707</v>
      </c>
      <c r="P109" s="8" t="s">
        <v>247</v>
      </c>
      <c r="Q109" s="4">
        <v>5637695971</v>
      </c>
    </row>
    <row r="110" spans="1:17" x14ac:dyDescent="0.25">
      <c r="A110" s="8" t="s">
        <v>17</v>
      </c>
      <c r="B110" s="8" t="s">
        <v>705</v>
      </c>
      <c r="C110" s="8" t="s">
        <v>74</v>
      </c>
      <c r="D110" s="8" t="s">
        <v>200</v>
      </c>
      <c r="E110" s="6">
        <v>43075</v>
      </c>
      <c r="F110" s="8" t="s">
        <v>261</v>
      </c>
      <c r="G110" s="8" t="s">
        <v>262</v>
      </c>
      <c r="H110" s="4">
        <v>150</v>
      </c>
      <c r="I110" s="8" t="s">
        <v>39</v>
      </c>
      <c r="J110" s="4">
        <v>0.35326666666700002</v>
      </c>
      <c r="K110" s="4">
        <v>52.99</v>
      </c>
      <c r="L110" s="8" t="s">
        <v>246</v>
      </c>
      <c r="M110" s="4">
        <v>45.36</v>
      </c>
      <c r="N110" s="8" t="s">
        <v>706</v>
      </c>
      <c r="O110" s="8" t="s">
        <v>707</v>
      </c>
      <c r="P110" s="8" t="s">
        <v>247</v>
      </c>
      <c r="Q110" s="4">
        <v>5637695973</v>
      </c>
    </row>
    <row r="111" spans="1:17" x14ac:dyDescent="0.25">
      <c r="A111" s="8" t="s">
        <v>17</v>
      </c>
      <c r="B111" s="8" t="s">
        <v>705</v>
      </c>
      <c r="C111" s="8" t="s">
        <v>74</v>
      </c>
      <c r="D111" s="8" t="s">
        <v>200</v>
      </c>
      <c r="E111" s="6">
        <v>43075</v>
      </c>
      <c r="F111" s="8" t="s">
        <v>261</v>
      </c>
      <c r="G111" s="8" t="s">
        <v>262</v>
      </c>
      <c r="H111" s="4">
        <v>150</v>
      </c>
      <c r="I111" s="8" t="s">
        <v>39</v>
      </c>
      <c r="J111" s="4">
        <v>0.35326666666700002</v>
      </c>
      <c r="K111" s="4">
        <v>52.99</v>
      </c>
      <c r="L111" s="8" t="s">
        <v>246</v>
      </c>
      <c r="M111" s="4">
        <v>45.36</v>
      </c>
      <c r="N111" s="8" t="s">
        <v>706</v>
      </c>
      <c r="O111" s="8" t="s">
        <v>707</v>
      </c>
      <c r="P111" s="8" t="s">
        <v>247</v>
      </c>
      <c r="Q111" s="4">
        <v>5637695975</v>
      </c>
    </row>
    <row r="112" spans="1:17" x14ac:dyDescent="0.25">
      <c r="A112" s="8" t="s">
        <v>17</v>
      </c>
      <c r="B112" s="8" t="s">
        <v>705</v>
      </c>
      <c r="C112" s="8" t="s">
        <v>74</v>
      </c>
      <c r="D112" s="8" t="s">
        <v>200</v>
      </c>
      <c r="E112" s="6">
        <v>43075</v>
      </c>
      <c r="F112" s="8" t="s">
        <v>261</v>
      </c>
      <c r="G112" s="8" t="s">
        <v>262</v>
      </c>
      <c r="H112" s="4">
        <v>150</v>
      </c>
      <c r="I112" s="8" t="s">
        <v>39</v>
      </c>
      <c r="J112" s="4">
        <v>0.35326666666700002</v>
      </c>
      <c r="K112" s="4">
        <v>52.99</v>
      </c>
      <c r="L112" s="8" t="s">
        <v>246</v>
      </c>
      <c r="M112" s="4">
        <v>45.36</v>
      </c>
      <c r="N112" s="8" t="s">
        <v>706</v>
      </c>
      <c r="O112" s="8" t="s">
        <v>707</v>
      </c>
      <c r="P112" s="8" t="s">
        <v>247</v>
      </c>
      <c r="Q112" s="4">
        <v>5637695977</v>
      </c>
    </row>
    <row r="113" spans="1:17" x14ac:dyDescent="0.25">
      <c r="A113" s="8" t="s">
        <v>17</v>
      </c>
      <c r="B113" s="8" t="s">
        <v>705</v>
      </c>
      <c r="C113" s="8" t="s">
        <v>74</v>
      </c>
      <c r="D113" s="8" t="s">
        <v>200</v>
      </c>
      <c r="E113" s="6">
        <v>43075</v>
      </c>
      <c r="F113" s="8" t="s">
        <v>261</v>
      </c>
      <c r="G113" s="8" t="s">
        <v>262</v>
      </c>
      <c r="H113" s="4">
        <v>150</v>
      </c>
      <c r="I113" s="8" t="s">
        <v>39</v>
      </c>
      <c r="J113" s="4">
        <v>0.35326666666700002</v>
      </c>
      <c r="K113" s="4">
        <v>52.99</v>
      </c>
      <c r="L113" s="8" t="s">
        <v>246</v>
      </c>
      <c r="M113" s="4">
        <v>45.36</v>
      </c>
      <c r="N113" s="8" t="s">
        <v>706</v>
      </c>
      <c r="O113" s="8" t="s">
        <v>707</v>
      </c>
      <c r="P113" s="8" t="s">
        <v>247</v>
      </c>
      <c r="Q113" s="4">
        <v>5637695979</v>
      </c>
    </row>
    <row r="114" spans="1:17" x14ac:dyDescent="0.25">
      <c r="A114" s="8" t="s">
        <v>17</v>
      </c>
      <c r="B114" s="8" t="s">
        <v>705</v>
      </c>
      <c r="C114" s="8" t="s">
        <v>74</v>
      </c>
      <c r="D114" s="8" t="s">
        <v>200</v>
      </c>
      <c r="E114" s="6">
        <v>43075</v>
      </c>
      <c r="F114" s="8" t="s">
        <v>261</v>
      </c>
      <c r="G114" s="8" t="s">
        <v>262</v>
      </c>
      <c r="H114" s="4">
        <v>150</v>
      </c>
      <c r="I114" s="8" t="s">
        <v>39</v>
      </c>
      <c r="J114" s="4">
        <v>0.35326666666700002</v>
      </c>
      <c r="K114" s="4">
        <v>52.99</v>
      </c>
      <c r="L114" s="8" t="s">
        <v>246</v>
      </c>
      <c r="M114" s="4">
        <v>45.36</v>
      </c>
      <c r="N114" s="8" t="s">
        <v>706</v>
      </c>
      <c r="O114" s="8" t="s">
        <v>707</v>
      </c>
      <c r="P114" s="8" t="s">
        <v>247</v>
      </c>
      <c r="Q114" s="4">
        <v>5637695981</v>
      </c>
    </row>
    <row r="115" spans="1:17" x14ac:dyDescent="0.25">
      <c r="A115" s="8" t="s">
        <v>17</v>
      </c>
      <c r="B115" s="8" t="s">
        <v>705</v>
      </c>
      <c r="C115" s="8" t="s">
        <v>74</v>
      </c>
      <c r="D115" s="8" t="s">
        <v>200</v>
      </c>
      <c r="E115" s="6">
        <v>43075</v>
      </c>
      <c r="F115" s="8" t="s">
        <v>261</v>
      </c>
      <c r="G115" s="8" t="s">
        <v>262</v>
      </c>
      <c r="H115" s="4">
        <v>150</v>
      </c>
      <c r="I115" s="8" t="s">
        <v>39</v>
      </c>
      <c r="J115" s="4">
        <v>0.35326666666700002</v>
      </c>
      <c r="K115" s="4">
        <v>52.99</v>
      </c>
      <c r="L115" s="8" t="s">
        <v>246</v>
      </c>
      <c r="M115" s="4">
        <v>45.36</v>
      </c>
      <c r="N115" s="8" t="s">
        <v>706</v>
      </c>
      <c r="O115" s="8" t="s">
        <v>707</v>
      </c>
      <c r="P115" s="8" t="s">
        <v>247</v>
      </c>
      <c r="Q115" s="4">
        <v>5637695983</v>
      </c>
    </row>
    <row r="116" spans="1:17" x14ac:dyDescent="0.25">
      <c r="A116" s="8" t="s">
        <v>17</v>
      </c>
      <c r="B116" s="8" t="s">
        <v>705</v>
      </c>
      <c r="C116" s="8" t="s">
        <v>74</v>
      </c>
      <c r="D116" s="8" t="s">
        <v>200</v>
      </c>
      <c r="E116" s="6">
        <v>43075</v>
      </c>
      <c r="F116" s="8" t="s">
        <v>261</v>
      </c>
      <c r="G116" s="8" t="s">
        <v>262</v>
      </c>
      <c r="H116" s="4">
        <v>150</v>
      </c>
      <c r="I116" s="8" t="s">
        <v>39</v>
      </c>
      <c r="J116" s="4">
        <v>0.35326666666700002</v>
      </c>
      <c r="K116" s="4">
        <v>52.99</v>
      </c>
      <c r="L116" s="8" t="s">
        <v>246</v>
      </c>
      <c r="M116" s="4">
        <v>45.36</v>
      </c>
      <c r="N116" s="8" t="s">
        <v>706</v>
      </c>
      <c r="O116" s="8" t="s">
        <v>707</v>
      </c>
      <c r="P116" s="8" t="s">
        <v>247</v>
      </c>
      <c r="Q116" s="4">
        <v>5637695985</v>
      </c>
    </row>
    <row r="117" spans="1:17" x14ac:dyDescent="0.25">
      <c r="A117" s="8" t="s">
        <v>17</v>
      </c>
      <c r="B117" s="8" t="s">
        <v>705</v>
      </c>
      <c r="C117" s="8" t="s">
        <v>74</v>
      </c>
      <c r="D117" s="8" t="s">
        <v>200</v>
      </c>
      <c r="E117" s="6">
        <v>43075</v>
      </c>
      <c r="F117" s="8" t="s">
        <v>261</v>
      </c>
      <c r="G117" s="8" t="s">
        <v>262</v>
      </c>
      <c r="H117" s="4">
        <v>150</v>
      </c>
      <c r="I117" s="8" t="s">
        <v>39</v>
      </c>
      <c r="J117" s="4">
        <v>0.35326666666700002</v>
      </c>
      <c r="K117" s="4">
        <v>52.99</v>
      </c>
      <c r="L117" s="8" t="s">
        <v>246</v>
      </c>
      <c r="M117" s="4">
        <v>45.36</v>
      </c>
      <c r="N117" s="8" t="s">
        <v>706</v>
      </c>
      <c r="O117" s="8" t="s">
        <v>707</v>
      </c>
      <c r="P117" s="8" t="s">
        <v>247</v>
      </c>
      <c r="Q117" s="4">
        <v>5637695987</v>
      </c>
    </row>
    <row r="118" spans="1:17" x14ac:dyDescent="0.25">
      <c r="A118" s="8" t="s">
        <v>17</v>
      </c>
      <c r="B118" s="8" t="s">
        <v>705</v>
      </c>
      <c r="C118" s="8" t="s">
        <v>74</v>
      </c>
      <c r="D118" s="8" t="s">
        <v>200</v>
      </c>
      <c r="E118" s="6">
        <v>43075</v>
      </c>
      <c r="F118" s="8" t="s">
        <v>261</v>
      </c>
      <c r="G118" s="8" t="s">
        <v>262</v>
      </c>
      <c r="H118" s="4">
        <v>150</v>
      </c>
      <c r="I118" s="8" t="s">
        <v>39</v>
      </c>
      <c r="J118" s="4">
        <v>0.35326666666700002</v>
      </c>
      <c r="K118" s="4">
        <v>52.99</v>
      </c>
      <c r="L118" s="8" t="s">
        <v>246</v>
      </c>
      <c r="M118" s="4">
        <v>45.36</v>
      </c>
      <c r="N118" s="8" t="s">
        <v>706</v>
      </c>
      <c r="O118" s="8" t="s">
        <v>707</v>
      </c>
      <c r="P118" s="8" t="s">
        <v>247</v>
      </c>
      <c r="Q118" s="4">
        <v>5637695989</v>
      </c>
    </row>
    <row r="119" spans="1:17" x14ac:dyDescent="0.25">
      <c r="A119" s="8" t="s">
        <v>17</v>
      </c>
      <c r="B119" s="8" t="s">
        <v>705</v>
      </c>
      <c r="C119" s="8" t="s">
        <v>74</v>
      </c>
      <c r="D119" s="8" t="s">
        <v>200</v>
      </c>
      <c r="E119" s="6">
        <v>43075</v>
      </c>
      <c r="F119" s="8" t="s">
        <v>261</v>
      </c>
      <c r="G119" s="8" t="s">
        <v>262</v>
      </c>
      <c r="H119" s="4">
        <v>150</v>
      </c>
      <c r="I119" s="8" t="s">
        <v>39</v>
      </c>
      <c r="J119" s="4">
        <v>0.35326666666700002</v>
      </c>
      <c r="K119" s="4">
        <v>52.99</v>
      </c>
      <c r="L119" s="8" t="s">
        <v>246</v>
      </c>
      <c r="M119" s="4">
        <v>45.36</v>
      </c>
      <c r="N119" s="8" t="s">
        <v>706</v>
      </c>
      <c r="O119" s="8" t="s">
        <v>707</v>
      </c>
      <c r="P119" s="8" t="s">
        <v>247</v>
      </c>
      <c r="Q119" s="4">
        <v>5637695991</v>
      </c>
    </row>
    <row r="120" spans="1:17" x14ac:dyDescent="0.25">
      <c r="A120" s="8" t="s">
        <v>17</v>
      </c>
      <c r="B120" s="8" t="s">
        <v>705</v>
      </c>
      <c r="C120" s="8" t="s">
        <v>74</v>
      </c>
      <c r="D120" s="8" t="s">
        <v>200</v>
      </c>
      <c r="E120" s="6">
        <v>43075</v>
      </c>
      <c r="F120" s="8" t="s">
        <v>261</v>
      </c>
      <c r="G120" s="8" t="s">
        <v>262</v>
      </c>
      <c r="H120" s="4">
        <v>150</v>
      </c>
      <c r="I120" s="8" t="s">
        <v>39</v>
      </c>
      <c r="J120" s="4">
        <v>0.35326666666700002</v>
      </c>
      <c r="K120" s="4">
        <v>52.99</v>
      </c>
      <c r="L120" s="8" t="s">
        <v>246</v>
      </c>
      <c r="M120" s="4">
        <v>45.36</v>
      </c>
      <c r="N120" s="8" t="s">
        <v>706</v>
      </c>
      <c r="O120" s="8" t="s">
        <v>707</v>
      </c>
      <c r="P120" s="8" t="s">
        <v>247</v>
      </c>
      <c r="Q120" s="4">
        <v>5637695993</v>
      </c>
    </row>
    <row r="121" spans="1:17" x14ac:dyDescent="0.25">
      <c r="A121" s="8" t="s">
        <v>17</v>
      </c>
      <c r="B121" s="8" t="s">
        <v>705</v>
      </c>
      <c r="C121" s="8" t="s">
        <v>74</v>
      </c>
      <c r="D121" s="8" t="s">
        <v>200</v>
      </c>
      <c r="E121" s="6">
        <v>43075</v>
      </c>
      <c r="F121" s="8" t="s">
        <v>261</v>
      </c>
      <c r="G121" s="8" t="s">
        <v>262</v>
      </c>
      <c r="H121" s="4">
        <v>150</v>
      </c>
      <c r="I121" s="8" t="s">
        <v>39</v>
      </c>
      <c r="J121" s="4">
        <v>0.35326666666700002</v>
      </c>
      <c r="K121" s="4">
        <v>52.99</v>
      </c>
      <c r="L121" s="8" t="s">
        <v>246</v>
      </c>
      <c r="M121" s="4">
        <v>45.36</v>
      </c>
      <c r="N121" s="8" t="s">
        <v>706</v>
      </c>
      <c r="O121" s="8" t="s">
        <v>707</v>
      </c>
      <c r="P121" s="8" t="s">
        <v>247</v>
      </c>
      <c r="Q121" s="4">
        <v>5637695995</v>
      </c>
    </row>
    <row r="122" spans="1:17" x14ac:dyDescent="0.25">
      <c r="A122" s="8" t="s">
        <v>17</v>
      </c>
      <c r="B122" s="8" t="s">
        <v>705</v>
      </c>
      <c r="C122" s="8" t="s">
        <v>74</v>
      </c>
      <c r="D122" s="8" t="s">
        <v>200</v>
      </c>
      <c r="E122" s="6">
        <v>43075</v>
      </c>
      <c r="F122" s="8" t="s">
        <v>261</v>
      </c>
      <c r="G122" s="8" t="s">
        <v>262</v>
      </c>
      <c r="H122" s="4">
        <v>150</v>
      </c>
      <c r="I122" s="8" t="s">
        <v>39</v>
      </c>
      <c r="J122" s="4">
        <v>0.35326666666700002</v>
      </c>
      <c r="K122" s="4">
        <v>52.99</v>
      </c>
      <c r="L122" s="8" t="s">
        <v>246</v>
      </c>
      <c r="M122" s="4">
        <v>45.36</v>
      </c>
      <c r="N122" s="8" t="s">
        <v>706</v>
      </c>
      <c r="O122" s="8" t="s">
        <v>707</v>
      </c>
      <c r="P122" s="8" t="s">
        <v>247</v>
      </c>
      <c r="Q122" s="4">
        <v>5637695997</v>
      </c>
    </row>
    <row r="123" spans="1:17" x14ac:dyDescent="0.25">
      <c r="A123" s="8" t="s">
        <v>17</v>
      </c>
      <c r="B123" s="8" t="s">
        <v>705</v>
      </c>
      <c r="C123" s="8" t="s">
        <v>74</v>
      </c>
      <c r="D123" s="8" t="s">
        <v>200</v>
      </c>
      <c r="E123" s="6">
        <v>43075</v>
      </c>
      <c r="F123" s="8" t="s">
        <v>261</v>
      </c>
      <c r="G123" s="8" t="s">
        <v>262</v>
      </c>
      <c r="H123" s="4">
        <v>150</v>
      </c>
      <c r="I123" s="8" t="s">
        <v>39</v>
      </c>
      <c r="J123" s="4">
        <v>0.35326666666700002</v>
      </c>
      <c r="K123" s="4">
        <v>52.99</v>
      </c>
      <c r="L123" s="8" t="s">
        <v>246</v>
      </c>
      <c r="M123" s="4">
        <v>45.36</v>
      </c>
      <c r="N123" s="8" t="s">
        <v>706</v>
      </c>
      <c r="O123" s="8" t="s">
        <v>707</v>
      </c>
      <c r="P123" s="8" t="s">
        <v>247</v>
      </c>
      <c r="Q123" s="4">
        <v>5637695999</v>
      </c>
    </row>
    <row r="124" spans="1:17" x14ac:dyDescent="0.25">
      <c r="A124" s="8" t="s">
        <v>17</v>
      </c>
      <c r="B124" s="8" t="s">
        <v>705</v>
      </c>
      <c r="C124" s="8" t="s">
        <v>74</v>
      </c>
      <c r="D124" s="8" t="s">
        <v>200</v>
      </c>
      <c r="E124" s="6">
        <v>43075</v>
      </c>
      <c r="F124" s="8" t="s">
        <v>261</v>
      </c>
      <c r="G124" s="8" t="s">
        <v>262</v>
      </c>
      <c r="H124" s="4">
        <v>150</v>
      </c>
      <c r="I124" s="8" t="s">
        <v>39</v>
      </c>
      <c r="J124" s="4">
        <v>0.35326666666700002</v>
      </c>
      <c r="K124" s="4">
        <v>52.99</v>
      </c>
      <c r="L124" s="8" t="s">
        <v>246</v>
      </c>
      <c r="M124" s="4">
        <v>45.36</v>
      </c>
      <c r="N124" s="8" t="s">
        <v>706</v>
      </c>
      <c r="O124" s="8" t="s">
        <v>707</v>
      </c>
      <c r="P124" s="8" t="s">
        <v>247</v>
      </c>
      <c r="Q124" s="4">
        <v>5637696001</v>
      </c>
    </row>
    <row r="125" spans="1:17" x14ac:dyDescent="0.25">
      <c r="A125" s="8" t="s">
        <v>17</v>
      </c>
      <c r="B125" s="8" t="s">
        <v>705</v>
      </c>
      <c r="C125" s="8" t="s">
        <v>74</v>
      </c>
      <c r="D125" s="8" t="s">
        <v>200</v>
      </c>
      <c r="E125" s="6">
        <v>43075</v>
      </c>
      <c r="F125" s="8" t="s">
        <v>261</v>
      </c>
      <c r="G125" s="8" t="s">
        <v>262</v>
      </c>
      <c r="H125" s="4">
        <v>150</v>
      </c>
      <c r="I125" s="8" t="s">
        <v>39</v>
      </c>
      <c r="J125" s="4">
        <v>0.35326666666700002</v>
      </c>
      <c r="K125" s="4">
        <v>52.99</v>
      </c>
      <c r="L125" s="8" t="s">
        <v>246</v>
      </c>
      <c r="M125" s="4">
        <v>45.36</v>
      </c>
      <c r="N125" s="8" t="s">
        <v>706</v>
      </c>
      <c r="O125" s="8" t="s">
        <v>707</v>
      </c>
      <c r="P125" s="8" t="s">
        <v>247</v>
      </c>
      <c r="Q125" s="4">
        <v>5637696003</v>
      </c>
    </row>
    <row r="126" spans="1:17" x14ac:dyDescent="0.25">
      <c r="A126" s="8" t="s">
        <v>17</v>
      </c>
      <c r="B126" s="8" t="s">
        <v>705</v>
      </c>
      <c r="C126" s="8" t="s">
        <v>74</v>
      </c>
      <c r="D126" s="8" t="s">
        <v>200</v>
      </c>
      <c r="E126" s="6">
        <v>43075</v>
      </c>
      <c r="F126" s="8" t="s">
        <v>261</v>
      </c>
      <c r="G126" s="8" t="s">
        <v>262</v>
      </c>
      <c r="H126" s="4">
        <v>150</v>
      </c>
      <c r="I126" s="8" t="s">
        <v>39</v>
      </c>
      <c r="J126" s="4">
        <v>0.35326666666700002</v>
      </c>
      <c r="K126" s="4">
        <v>52.99</v>
      </c>
      <c r="L126" s="8" t="s">
        <v>246</v>
      </c>
      <c r="M126" s="4">
        <v>45.36</v>
      </c>
      <c r="N126" s="8" t="s">
        <v>706</v>
      </c>
      <c r="O126" s="8" t="s">
        <v>707</v>
      </c>
      <c r="P126" s="8" t="s">
        <v>247</v>
      </c>
      <c r="Q126" s="4">
        <v>5637696005</v>
      </c>
    </row>
    <row r="127" spans="1:17" x14ac:dyDescent="0.25">
      <c r="A127" s="8" t="s">
        <v>17</v>
      </c>
      <c r="B127" s="8" t="s">
        <v>705</v>
      </c>
      <c r="C127" s="8" t="s">
        <v>74</v>
      </c>
      <c r="D127" s="8" t="s">
        <v>200</v>
      </c>
      <c r="E127" s="6">
        <v>43075</v>
      </c>
      <c r="F127" s="8" t="s">
        <v>261</v>
      </c>
      <c r="G127" s="8" t="s">
        <v>262</v>
      </c>
      <c r="H127" s="4">
        <v>150</v>
      </c>
      <c r="I127" s="8" t="s">
        <v>39</v>
      </c>
      <c r="J127" s="4">
        <v>0.35326666666700002</v>
      </c>
      <c r="K127" s="4">
        <v>52.99</v>
      </c>
      <c r="L127" s="8" t="s">
        <v>246</v>
      </c>
      <c r="M127" s="4">
        <v>45.36</v>
      </c>
      <c r="N127" s="8" t="s">
        <v>706</v>
      </c>
      <c r="O127" s="8" t="s">
        <v>707</v>
      </c>
      <c r="P127" s="8" t="s">
        <v>247</v>
      </c>
      <c r="Q127" s="4">
        <v>5637696007</v>
      </c>
    </row>
    <row r="128" spans="1:17" x14ac:dyDescent="0.25">
      <c r="A128" s="8" t="s">
        <v>17</v>
      </c>
      <c r="B128" s="8" t="s">
        <v>705</v>
      </c>
      <c r="C128" s="8" t="s">
        <v>74</v>
      </c>
      <c r="D128" s="8" t="s">
        <v>200</v>
      </c>
      <c r="E128" s="6">
        <v>43075</v>
      </c>
      <c r="F128" s="8" t="s">
        <v>261</v>
      </c>
      <c r="G128" s="8" t="s">
        <v>262</v>
      </c>
      <c r="H128" s="4">
        <v>150</v>
      </c>
      <c r="I128" s="8" t="s">
        <v>39</v>
      </c>
      <c r="J128" s="4">
        <v>0.35326666666700002</v>
      </c>
      <c r="K128" s="4">
        <v>52.99</v>
      </c>
      <c r="L128" s="8" t="s">
        <v>246</v>
      </c>
      <c r="M128" s="4">
        <v>45.36</v>
      </c>
      <c r="N128" s="8" t="s">
        <v>706</v>
      </c>
      <c r="O128" s="8" t="s">
        <v>707</v>
      </c>
      <c r="P128" s="8" t="s">
        <v>247</v>
      </c>
      <c r="Q128" s="4">
        <v>5637696009</v>
      </c>
    </row>
    <row r="129" spans="1:17" x14ac:dyDescent="0.25">
      <c r="A129" s="8" t="s">
        <v>17</v>
      </c>
      <c r="B129" s="8" t="s">
        <v>705</v>
      </c>
      <c r="C129" s="8" t="s">
        <v>74</v>
      </c>
      <c r="D129" s="8" t="s">
        <v>200</v>
      </c>
      <c r="E129" s="6">
        <v>43075</v>
      </c>
      <c r="F129" s="8" t="s">
        <v>261</v>
      </c>
      <c r="G129" s="8" t="s">
        <v>262</v>
      </c>
      <c r="H129" s="4">
        <v>150</v>
      </c>
      <c r="I129" s="8" t="s">
        <v>39</v>
      </c>
      <c r="J129" s="4">
        <v>0.35326666666700002</v>
      </c>
      <c r="K129" s="4">
        <v>52.99</v>
      </c>
      <c r="L129" s="8" t="s">
        <v>246</v>
      </c>
      <c r="M129" s="4">
        <v>45.36</v>
      </c>
      <c r="N129" s="8" t="s">
        <v>706</v>
      </c>
      <c r="O129" s="8" t="s">
        <v>707</v>
      </c>
      <c r="P129" s="8" t="s">
        <v>247</v>
      </c>
      <c r="Q129" s="4">
        <v>5637696011</v>
      </c>
    </row>
    <row r="130" spans="1:17" x14ac:dyDescent="0.25">
      <c r="A130" s="8" t="s">
        <v>17</v>
      </c>
      <c r="B130" s="8" t="s">
        <v>705</v>
      </c>
      <c r="C130" s="8" t="s">
        <v>74</v>
      </c>
      <c r="D130" s="8" t="s">
        <v>200</v>
      </c>
      <c r="E130" s="6">
        <v>43075</v>
      </c>
      <c r="F130" s="8" t="s">
        <v>261</v>
      </c>
      <c r="G130" s="8" t="s">
        <v>262</v>
      </c>
      <c r="H130" s="4">
        <v>150</v>
      </c>
      <c r="I130" s="8" t="s">
        <v>39</v>
      </c>
      <c r="J130" s="4">
        <v>0.35326666666700002</v>
      </c>
      <c r="K130" s="4">
        <v>52.99</v>
      </c>
      <c r="L130" s="8" t="s">
        <v>246</v>
      </c>
      <c r="M130" s="4">
        <v>45.36</v>
      </c>
      <c r="N130" s="8" t="s">
        <v>706</v>
      </c>
      <c r="O130" s="8" t="s">
        <v>707</v>
      </c>
      <c r="P130" s="8" t="s">
        <v>247</v>
      </c>
      <c r="Q130" s="4">
        <v>5637696013</v>
      </c>
    </row>
    <row r="131" spans="1:17" x14ac:dyDescent="0.25">
      <c r="A131" s="8" t="s">
        <v>17</v>
      </c>
      <c r="B131" s="8" t="s">
        <v>705</v>
      </c>
      <c r="C131" s="8" t="s">
        <v>74</v>
      </c>
      <c r="D131" s="8" t="s">
        <v>200</v>
      </c>
      <c r="E131" s="6">
        <v>43075</v>
      </c>
      <c r="F131" s="8" t="s">
        <v>261</v>
      </c>
      <c r="G131" s="8" t="s">
        <v>262</v>
      </c>
      <c r="H131" s="4">
        <v>150</v>
      </c>
      <c r="I131" s="8" t="s">
        <v>39</v>
      </c>
      <c r="J131" s="4">
        <v>0.35326666666700002</v>
      </c>
      <c r="K131" s="4">
        <v>52.99</v>
      </c>
      <c r="L131" s="8" t="s">
        <v>246</v>
      </c>
      <c r="M131" s="4">
        <v>45.36</v>
      </c>
      <c r="N131" s="8" t="s">
        <v>706</v>
      </c>
      <c r="O131" s="8" t="s">
        <v>707</v>
      </c>
      <c r="P131" s="8" t="s">
        <v>247</v>
      </c>
      <c r="Q131" s="4">
        <v>5637696015</v>
      </c>
    </row>
    <row r="132" spans="1:17" x14ac:dyDescent="0.25">
      <c r="A132" s="8" t="s">
        <v>17</v>
      </c>
      <c r="B132" s="8" t="s">
        <v>705</v>
      </c>
      <c r="C132" s="8" t="s">
        <v>74</v>
      </c>
      <c r="D132" s="8" t="s">
        <v>200</v>
      </c>
      <c r="E132" s="6">
        <v>43075</v>
      </c>
      <c r="F132" s="8" t="s">
        <v>261</v>
      </c>
      <c r="G132" s="8" t="s">
        <v>262</v>
      </c>
      <c r="H132" s="4">
        <v>150</v>
      </c>
      <c r="I132" s="8" t="s">
        <v>39</v>
      </c>
      <c r="J132" s="4">
        <v>0.35326666666700002</v>
      </c>
      <c r="K132" s="4">
        <v>52.99</v>
      </c>
      <c r="L132" s="8" t="s">
        <v>246</v>
      </c>
      <c r="M132" s="4">
        <v>45.36</v>
      </c>
      <c r="N132" s="8" t="s">
        <v>706</v>
      </c>
      <c r="O132" s="8" t="s">
        <v>707</v>
      </c>
      <c r="P132" s="8" t="s">
        <v>247</v>
      </c>
      <c r="Q132" s="4">
        <v>5637696017</v>
      </c>
    </row>
    <row r="133" spans="1:17" x14ac:dyDescent="0.25">
      <c r="A133" s="8" t="s">
        <v>17</v>
      </c>
      <c r="B133" s="8" t="s">
        <v>705</v>
      </c>
      <c r="C133" s="8" t="s">
        <v>74</v>
      </c>
      <c r="D133" s="8" t="s">
        <v>200</v>
      </c>
      <c r="E133" s="6">
        <v>43075</v>
      </c>
      <c r="F133" s="8" t="s">
        <v>261</v>
      </c>
      <c r="G133" s="8" t="s">
        <v>262</v>
      </c>
      <c r="H133" s="4">
        <v>150</v>
      </c>
      <c r="I133" s="8" t="s">
        <v>39</v>
      </c>
      <c r="J133" s="4">
        <v>0.35326666666700002</v>
      </c>
      <c r="K133" s="4">
        <v>52.99</v>
      </c>
      <c r="L133" s="8" t="s">
        <v>246</v>
      </c>
      <c r="M133" s="4">
        <v>45.36</v>
      </c>
      <c r="N133" s="8" t="s">
        <v>706</v>
      </c>
      <c r="O133" s="8" t="s">
        <v>707</v>
      </c>
      <c r="P133" s="8" t="s">
        <v>247</v>
      </c>
      <c r="Q133" s="4">
        <v>5637696019</v>
      </c>
    </row>
    <row r="134" spans="1:17" x14ac:dyDescent="0.25">
      <c r="A134" s="8" t="s">
        <v>17</v>
      </c>
      <c r="B134" s="8" t="s">
        <v>705</v>
      </c>
      <c r="C134" s="8" t="s">
        <v>74</v>
      </c>
      <c r="D134" s="8" t="s">
        <v>200</v>
      </c>
      <c r="E134" s="6">
        <v>43075</v>
      </c>
      <c r="F134" s="8" t="s">
        <v>261</v>
      </c>
      <c r="G134" s="8" t="s">
        <v>262</v>
      </c>
      <c r="H134" s="4">
        <v>150</v>
      </c>
      <c r="I134" s="8" t="s">
        <v>39</v>
      </c>
      <c r="J134" s="4">
        <v>0.35326666666700002</v>
      </c>
      <c r="K134" s="4">
        <v>52.99</v>
      </c>
      <c r="L134" s="8" t="s">
        <v>246</v>
      </c>
      <c r="M134" s="4">
        <v>45.36</v>
      </c>
      <c r="N134" s="8" t="s">
        <v>706</v>
      </c>
      <c r="O134" s="8" t="s">
        <v>707</v>
      </c>
      <c r="P134" s="8" t="s">
        <v>247</v>
      </c>
      <c r="Q134" s="4">
        <v>5637696021</v>
      </c>
    </row>
    <row r="135" spans="1:17" x14ac:dyDescent="0.25">
      <c r="A135" s="8" t="s">
        <v>17</v>
      </c>
      <c r="B135" s="8" t="s">
        <v>705</v>
      </c>
      <c r="C135" s="8" t="s">
        <v>74</v>
      </c>
      <c r="D135" s="8" t="s">
        <v>200</v>
      </c>
      <c r="E135" s="6">
        <v>43075</v>
      </c>
      <c r="F135" s="8" t="s">
        <v>261</v>
      </c>
      <c r="G135" s="8" t="s">
        <v>262</v>
      </c>
      <c r="H135" s="4">
        <v>150</v>
      </c>
      <c r="I135" s="8" t="s">
        <v>39</v>
      </c>
      <c r="J135" s="4">
        <v>0.35326666666700002</v>
      </c>
      <c r="K135" s="4">
        <v>52.99</v>
      </c>
      <c r="L135" s="8" t="s">
        <v>246</v>
      </c>
      <c r="M135" s="4">
        <v>45.36</v>
      </c>
      <c r="N135" s="8" t="s">
        <v>706</v>
      </c>
      <c r="O135" s="8" t="s">
        <v>707</v>
      </c>
      <c r="P135" s="8" t="s">
        <v>247</v>
      </c>
      <c r="Q135" s="4">
        <v>5637696023</v>
      </c>
    </row>
    <row r="136" spans="1:17" x14ac:dyDescent="0.25">
      <c r="A136" s="8" t="s">
        <v>17</v>
      </c>
      <c r="B136" s="8" t="s">
        <v>705</v>
      </c>
      <c r="C136" s="8" t="s">
        <v>74</v>
      </c>
      <c r="D136" s="8" t="s">
        <v>200</v>
      </c>
      <c r="E136" s="6">
        <v>43075</v>
      </c>
      <c r="F136" s="8" t="s">
        <v>261</v>
      </c>
      <c r="G136" s="8" t="s">
        <v>262</v>
      </c>
      <c r="H136" s="4">
        <v>150</v>
      </c>
      <c r="I136" s="8" t="s">
        <v>39</v>
      </c>
      <c r="J136" s="4">
        <v>0.35326666666700002</v>
      </c>
      <c r="K136" s="4">
        <v>52.99</v>
      </c>
      <c r="L136" s="8" t="s">
        <v>246</v>
      </c>
      <c r="M136" s="4">
        <v>45.36</v>
      </c>
      <c r="N136" s="8" t="s">
        <v>706</v>
      </c>
      <c r="O136" s="8" t="s">
        <v>707</v>
      </c>
      <c r="P136" s="8" t="s">
        <v>247</v>
      </c>
      <c r="Q136" s="4">
        <v>5637696025</v>
      </c>
    </row>
    <row r="137" spans="1:17" x14ac:dyDescent="0.25">
      <c r="A137" s="8" t="s">
        <v>17</v>
      </c>
      <c r="B137" s="8" t="s">
        <v>705</v>
      </c>
      <c r="C137" s="8" t="s">
        <v>74</v>
      </c>
      <c r="D137" s="8" t="s">
        <v>200</v>
      </c>
      <c r="E137" s="6">
        <v>43075</v>
      </c>
      <c r="F137" s="8" t="s">
        <v>261</v>
      </c>
      <c r="G137" s="8" t="s">
        <v>262</v>
      </c>
      <c r="H137" s="4">
        <v>150</v>
      </c>
      <c r="I137" s="8" t="s">
        <v>39</v>
      </c>
      <c r="J137" s="4">
        <v>0.35326666666700002</v>
      </c>
      <c r="K137" s="4">
        <v>52.99</v>
      </c>
      <c r="L137" s="8" t="s">
        <v>246</v>
      </c>
      <c r="M137" s="4">
        <v>45.36</v>
      </c>
      <c r="N137" s="8" t="s">
        <v>706</v>
      </c>
      <c r="O137" s="8" t="s">
        <v>707</v>
      </c>
      <c r="P137" s="8" t="s">
        <v>247</v>
      </c>
      <c r="Q137" s="4">
        <v>5637696027</v>
      </c>
    </row>
    <row r="138" spans="1:17" x14ac:dyDescent="0.25">
      <c r="A138" s="8" t="s">
        <v>17</v>
      </c>
      <c r="B138" s="8" t="s">
        <v>705</v>
      </c>
      <c r="C138" s="8" t="s">
        <v>74</v>
      </c>
      <c r="D138" s="8" t="s">
        <v>200</v>
      </c>
      <c r="E138" s="6">
        <v>43075</v>
      </c>
      <c r="F138" s="8" t="s">
        <v>261</v>
      </c>
      <c r="G138" s="8" t="s">
        <v>262</v>
      </c>
      <c r="H138" s="4">
        <v>150</v>
      </c>
      <c r="I138" s="8" t="s">
        <v>39</v>
      </c>
      <c r="J138" s="4">
        <v>0.35326666666700002</v>
      </c>
      <c r="K138" s="4">
        <v>52.99</v>
      </c>
      <c r="L138" s="8" t="s">
        <v>246</v>
      </c>
      <c r="M138" s="4">
        <v>45.36</v>
      </c>
      <c r="N138" s="8" t="s">
        <v>706</v>
      </c>
      <c r="O138" s="8" t="s">
        <v>707</v>
      </c>
      <c r="P138" s="8" t="s">
        <v>247</v>
      </c>
      <c r="Q138" s="4">
        <v>5637696029</v>
      </c>
    </row>
    <row r="139" spans="1:17" x14ac:dyDescent="0.25">
      <c r="A139" s="8" t="s">
        <v>17</v>
      </c>
      <c r="B139" s="8" t="s">
        <v>705</v>
      </c>
      <c r="C139" s="8" t="s">
        <v>74</v>
      </c>
      <c r="D139" s="8" t="s">
        <v>200</v>
      </c>
      <c r="E139" s="6">
        <v>43075</v>
      </c>
      <c r="F139" s="8" t="s">
        <v>261</v>
      </c>
      <c r="G139" s="8" t="s">
        <v>262</v>
      </c>
      <c r="H139" s="4">
        <v>150</v>
      </c>
      <c r="I139" s="8" t="s">
        <v>39</v>
      </c>
      <c r="J139" s="4">
        <v>0.35326666666700002</v>
      </c>
      <c r="K139" s="4">
        <v>52.99</v>
      </c>
      <c r="L139" s="8" t="s">
        <v>246</v>
      </c>
      <c r="M139" s="4">
        <v>45.36</v>
      </c>
      <c r="N139" s="8" t="s">
        <v>706</v>
      </c>
      <c r="O139" s="8" t="s">
        <v>707</v>
      </c>
      <c r="P139" s="8" t="s">
        <v>247</v>
      </c>
      <c r="Q139" s="4">
        <v>5637696031</v>
      </c>
    </row>
    <row r="140" spans="1:17" x14ac:dyDescent="0.25">
      <c r="A140" s="8" t="s">
        <v>17</v>
      </c>
      <c r="B140" s="8" t="s">
        <v>705</v>
      </c>
      <c r="C140" s="8" t="s">
        <v>74</v>
      </c>
      <c r="D140" s="8" t="s">
        <v>200</v>
      </c>
      <c r="E140" s="6">
        <v>43075</v>
      </c>
      <c r="F140" s="8" t="s">
        <v>261</v>
      </c>
      <c r="G140" s="8" t="s">
        <v>262</v>
      </c>
      <c r="H140" s="4">
        <v>150</v>
      </c>
      <c r="I140" s="8" t="s">
        <v>39</v>
      </c>
      <c r="J140" s="4">
        <v>0.35160000000000002</v>
      </c>
      <c r="K140" s="4">
        <v>52.74</v>
      </c>
      <c r="L140" s="8" t="s">
        <v>246</v>
      </c>
      <c r="M140" s="4">
        <v>45.36</v>
      </c>
      <c r="N140" s="8" t="s">
        <v>706</v>
      </c>
      <c r="O140" s="8" t="s">
        <v>707</v>
      </c>
      <c r="P140" s="8" t="s">
        <v>247</v>
      </c>
      <c r="Q140" s="4">
        <v>5637695166</v>
      </c>
    </row>
    <row r="141" spans="1:17" x14ac:dyDescent="0.25">
      <c r="A141" s="8" t="s">
        <v>607</v>
      </c>
      <c r="B141" s="8" t="s">
        <v>81</v>
      </c>
      <c r="C141" s="8" t="s">
        <v>74</v>
      </c>
      <c r="D141" s="8" t="s">
        <v>200</v>
      </c>
      <c r="E141" s="6">
        <v>43096</v>
      </c>
      <c r="F141" s="8" t="s">
        <v>261</v>
      </c>
      <c r="G141" s="8" t="s">
        <v>262</v>
      </c>
      <c r="H141" s="4">
        <v>-29700</v>
      </c>
      <c r="I141" s="8" t="s">
        <v>39</v>
      </c>
      <c r="J141" s="4">
        <v>0.11953</v>
      </c>
      <c r="K141" s="4">
        <v>-3550.04</v>
      </c>
      <c r="L141" s="8" t="s">
        <v>609</v>
      </c>
      <c r="M141" s="4">
        <v>-3550.04</v>
      </c>
      <c r="N141" s="8" t="s">
        <v>610</v>
      </c>
      <c r="O141" s="8" t="s">
        <v>708</v>
      </c>
      <c r="P141" s="8" t="s">
        <v>247</v>
      </c>
      <c r="Q141" s="4">
        <v>0</v>
      </c>
    </row>
    <row r="142" spans="1:17" x14ac:dyDescent="0.25">
      <c r="A142" s="8" t="s">
        <v>607</v>
      </c>
      <c r="B142" s="8" t="s">
        <v>81</v>
      </c>
      <c r="C142" s="8" t="s">
        <v>74</v>
      </c>
      <c r="D142" s="8" t="s">
        <v>200</v>
      </c>
      <c r="E142" s="6">
        <v>43096</v>
      </c>
      <c r="F142" s="8" t="s">
        <v>261</v>
      </c>
      <c r="G142" s="8" t="s">
        <v>264</v>
      </c>
      <c r="H142" s="4">
        <v>1.94</v>
      </c>
      <c r="I142" s="8" t="s">
        <v>39</v>
      </c>
      <c r="J142" s="4">
        <v>0.42251</v>
      </c>
      <c r="K142" s="4">
        <v>0.82</v>
      </c>
      <c r="L142" s="8" t="s">
        <v>609</v>
      </c>
      <c r="M142" s="4">
        <v>0.82</v>
      </c>
      <c r="N142" s="8" t="s">
        <v>610</v>
      </c>
      <c r="O142" s="8" t="s">
        <v>709</v>
      </c>
      <c r="P142" s="8" t="s">
        <v>247</v>
      </c>
      <c r="Q142" s="4">
        <v>0</v>
      </c>
    </row>
    <row r="143" spans="1:17" x14ac:dyDescent="0.25">
      <c r="A143" s="8" t="s">
        <v>607</v>
      </c>
      <c r="B143" s="8" t="s">
        <v>81</v>
      </c>
      <c r="C143" s="8" t="s">
        <v>101</v>
      </c>
      <c r="D143" s="8" t="s">
        <v>102</v>
      </c>
      <c r="E143" s="6">
        <v>43096</v>
      </c>
      <c r="F143" s="8" t="s">
        <v>261</v>
      </c>
      <c r="G143" s="8" t="s">
        <v>264</v>
      </c>
      <c r="H143" s="4">
        <v>7.6599999999999993</v>
      </c>
      <c r="I143" s="8" t="s">
        <v>39</v>
      </c>
      <c r="J143" s="4">
        <v>1.50203</v>
      </c>
      <c r="K143" s="4">
        <v>11.51</v>
      </c>
      <c r="L143" s="8" t="s">
        <v>609</v>
      </c>
      <c r="M143" s="4">
        <v>11.51</v>
      </c>
      <c r="N143" s="8" t="s">
        <v>610</v>
      </c>
      <c r="O143" s="8" t="s">
        <v>710</v>
      </c>
      <c r="P143" s="8" t="s">
        <v>247</v>
      </c>
      <c r="Q143" s="4">
        <v>0</v>
      </c>
    </row>
    <row r="144" spans="1:17" x14ac:dyDescent="0.25">
      <c r="A144" s="8" t="s">
        <v>252</v>
      </c>
      <c r="B144" s="8" t="s">
        <v>711</v>
      </c>
      <c r="C144" s="8" t="s">
        <v>75</v>
      </c>
      <c r="D144" s="8" t="s">
        <v>201</v>
      </c>
      <c r="E144" s="6">
        <v>43090</v>
      </c>
      <c r="F144" s="8" t="s">
        <v>261</v>
      </c>
      <c r="G144" s="8" t="s">
        <v>264</v>
      </c>
      <c r="H144" s="4">
        <v>-24</v>
      </c>
      <c r="I144" s="8" t="s">
        <v>39</v>
      </c>
      <c r="J144" s="4">
        <v>0.28287151492099999</v>
      </c>
      <c r="K144" s="4">
        <v>-6.7900000000000009</v>
      </c>
      <c r="L144" s="8" t="s">
        <v>609</v>
      </c>
      <c r="M144" s="4">
        <v>-6.7900000000000009</v>
      </c>
      <c r="N144" s="8" t="s">
        <v>712</v>
      </c>
      <c r="O144" s="8" t="s">
        <v>713</v>
      </c>
      <c r="P144" s="8" t="s">
        <v>247</v>
      </c>
      <c r="Q144" s="4">
        <v>5637698276</v>
      </c>
    </row>
    <row r="145" spans="1:17" x14ac:dyDescent="0.25">
      <c r="A145" s="8" t="s">
        <v>607</v>
      </c>
      <c r="B145" s="8" t="s">
        <v>81</v>
      </c>
      <c r="C145" s="8" t="s">
        <v>75</v>
      </c>
      <c r="D145" s="8" t="s">
        <v>201</v>
      </c>
      <c r="E145" s="6">
        <v>43096</v>
      </c>
      <c r="F145" s="8" t="s">
        <v>261</v>
      </c>
      <c r="G145" s="8" t="s">
        <v>264</v>
      </c>
      <c r="H145" s="4">
        <v>1.45</v>
      </c>
      <c r="I145" s="8" t="s">
        <v>39</v>
      </c>
      <c r="J145" s="4">
        <v>0.28287000000000001</v>
      </c>
      <c r="K145" s="4">
        <v>0.41</v>
      </c>
      <c r="L145" s="8" t="s">
        <v>609</v>
      </c>
      <c r="M145" s="4">
        <v>0.41</v>
      </c>
      <c r="N145" s="8" t="s">
        <v>610</v>
      </c>
      <c r="O145" s="8" t="s">
        <v>714</v>
      </c>
      <c r="P145" s="8" t="s">
        <v>247</v>
      </c>
      <c r="Q145" s="4">
        <v>0</v>
      </c>
    </row>
    <row r="146" spans="1:17" x14ac:dyDescent="0.25">
      <c r="A146" s="8" t="s">
        <v>607</v>
      </c>
      <c r="B146" s="8" t="s">
        <v>81</v>
      </c>
      <c r="C146" s="8" t="s">
        <v>55</v>
      </c>
      <c r="D146" s="8" t="s">
        <v>164</v>
      </c>
      <c r="E146" s="6">
        <v>43096</v>
      </c>
      <c r="F146" s="8" t="s">
        <v>261</v>
      </c>
      <c r="G146" s="8" t="s">
        <v>264</v>
      </c>
      <c r="H146" s="4">
        <v>-603.54999999999995</v>
      </c>
      <c r="I146" s="8" t="s">
        <v>39</v>
      </c>
      <c r="J146" s="4">
        <v>9.9400000000000002E-2</v>
      </c>
      <c r="K146" s="4">
        <v>-59.99</v>
      </c>
      <c r="L146" s="8" t="s">
        <v>609</v>
      </c>
      <c r="M146" s="4">
        <v>-59.99</v>
      </c>
      <c r="N146" s="8" t="s">
        <v>610</v>
      </c>
      <c r="O146" s="8" t="s">
        <v>715</v>
      </c>
      <c r="P146" s="8" t="s">
        <v>247</v>
      </c>
      <c r="Q146" s="4">
        <v>0</v>
      </c>
    </row>
    <row r="147" spans="1:17" x14ac:dyDescent="0.25">
      <c r="A147" s="8" t="s">
        <v>252</v>
      </c>
      <c r="B147" s="8" t="s">
        <v>719</v>
      </c>
      <c r="C147" s="8" t="s">
        <v>111</v>
      </c>
      <c r="D147" s="8" t="s">
        <v>112</v>
      </c>
      <c r="E147" s="6">
        <v>43075</v>
      </c>
      <c r="F147" s="8" t="s">
        <v>261</v>
      </c>
      <c r="G147" s="8" t="s">
        <v>264</v>
      </c>
      <c r="H147" s="4">
        <v>-150</v>
      </c>
      <c r="I147" s="8" t="s">
        <v>39</v>
      </c>
      <c r="J147" s="4">
        <v>0.77965941475199996</v>
      </c>
      <c r="K147" s="4">
        <v>-116.95</v>
      </c>
      <c r="L147" s="8" t="s">
        <v>609</v>
      </c>
      <c r="M147" s="4">
        <v>-116.95</v>
      </c>
      <c r="N147" s="8" t="s">
        <v>720</v>
      </c>
      <c r="O147" s="8" t="s">
        <v>721</v>
      </c>
      <c r="P147" s="8" t="s">
        <v>247</v>
      </c>
      <c r="Q147" s="4">
        <v>5637695501</v>
      </c>
    </row>
    <row r="148" spans="1:17" x14ac:dyDescent="0.25">
      <c r="A148" s="8" t="s">
        <v>17</v>
      </c>
      <c r="B148" s="8" t="s">
        <v>716</v>
      </c>
      <c r="C148" s="8" t="s">
        <v>111</v>
      </c>
      <c r="D148" s="8" t="s">
        <v>112</v>
      </c>
      <c r="E148" s="6">
        <v>43075</v>
      </c>
      <c r="F148" s="8" t="s">
        <v>261</v>
      </c>
      <c r="G148" s="8" t="s">
        <v>264</v>
      </c>
      <c r="H148" s="4">
        <v>150</v>
      </c>
      <c r="I148" s="8" t="s">
        <v>39</v>
      </c>
      <c r="J148" s="4">
        <v>0.744333333333</v>
      </c>
      <c r="K148" s="4">
        <v>111.65</v>
      </c>
      <c r="L148" s="8" t="s">
        <v>246</v>
      </c>
      <c r="M148" s="4">
        <v>95.58</v>
      </c>
      <c r="N148" s="8" t="s">
        <v>717</v>
      </c>
      <c r="O148" s="8" t="s">
        <v>718</v>
      </c>
      <c r="P148" s="8" t="s">
        <v>247</v>
      </c>
      <c r="Q148" s="4">
        <v>5637693883</v>
      </c>
    </row>
    <row r="149" spans="1:17" x14ac:dyDescent="0.25">
      <c r="A149" s="8" t="s">
        <v>17</v>
      </c>
      <c r="B149" s="8" t="s">
        <v>716</v>
      </c>
      <c r="C149" s="8" t="s">
        <v>111</v>
      </c>
      <c r="D149" s="8" t="s">
        <v>112</v>
      </c>
      <c r="E149" s="6">
        <v>43075</v>
      </c>
      <c r="F149" s="8" t="s">
        <v>261</v>
      </c>
      <c r="G149" s="8" t="s">
        <v>264</v>
      </c>
      <c r="H149" s="4">
        <v>150</v>
      </c>
      <c r="I149" s="8" t="s">
        <v>39</v>
      </c>
      <c r="J149" s="4">
        <v>0.744333333333</v>
      </c>
      <c r="K149" s="4">
        <v>111.65</v>
      </c>
      <c r="L149" s="8" t="s">
        <v>246</v>
      </c>
      <c r="M149" s="4">
        <v>95.58</v>
      </c>
      <c r="N149" s="8" t="s">
        <v>717</v>
      </c>
      <c r="O149" s="8" t="s">
        <v>718</v>
      </c>
      <c r="P149" s="8" t="s">
        <v>247</v>
      </c>
      <c r="Q149" s="4">
        <v>5637693884</v>
      </c>
    </row>
    <row r="150" spans="1:17" x14ac:dyDescent="0.25">
      <c r="A150" s="8" t="s">
        <v>252</v>
      </c>
      <c r="B150" s="8" t="s">
        <v>719</v>
      </c>
      <c r="C150" s="8" t="s">
        <v>111</v>
      </c>
      <c r="D150" s="8" t="s">
        <v>112</v>
      </c>
      <c r="E150" s="6">
        <v>43075</v>
      </c>
      <c r="F150" s="8" t="s">
        <v>261</v>
      </c>
      <c r="G150" s="8" t="s">
        <v>264</v>
      </c>
      <c r="H150" s="4">
        <v>-150</v>
      </c>
      <c r="I150" s="8" t="s">
        <v>39</v>
      </c>
      <c r="J150" s="4">
        <v>0.77965941475199996</v>
      </c>
      <c r="K150" s="4">
        <v>-116.95</v>
      </c>
      <c r="L150" s="8" t="s">
        <v>609</v>
      </c>
      <c r="M150" s="4">
        <v>-116.95</v>
      </c>
      <c r="N150" s="8" t="s">
        <v>720</v>
      </c>
      <c r="O150" s="8" t="s">
        <v>721</v>
      </c>
      <c r="P150" s="8" t="s">
        <v>247</v>
      </c>
      <c r="Q150" s="4">
        <v>5637695502</v>
      </c>
    </row>
    <row r="151" spans="1:17" x14ac:dyDescent="0.25">
      <c r="A151" s="8" t="s">
        <v>252</v>
      </c>
      <c r="B151" s="8" t="s">
        <v>719</v>
      </c>
      <c r="C151" s="8" t="s">
        <v>111</v>
      </c>
      <c r="D151" s="8" t="s">
        <v>112</v>
      </c>
      <c r="E151" s="6">
        <v>43075</v>
      </c>
      <c r="F151" s="8" t="s">
        <v>261</v>
      </c>
      <c r="G151" s="8" t="s">
        <v>264</v>
      </c>
      <c r="H151" s="4">
        <v>-150</v>
      </c>
      <c r="I151" s="8" t="s">
        <v>39</v>
      </c>
      <c r="J151" s="4">
        <v>0.77965941475199996</v>
      </c>
      <c r="K151" s="4">
        <v>-116.95</v>
      </c>
      <c r="L151" s="8" t="s">
        <v>609</v>
      </c>
      <c r="M151" s="4">
        <v>-116.95</v>
      </c>
      <c r="N151" s="8" t="s">
        <v>720</v>
      </c>
      <c r="O151" s="8" t="s">
        <v>721</v>
      </c>
      <c r="P151" s="8" t="s">
        <v>247</v>
      </c>
      <c r="Q151" s="4">
        <v>5637695503</v>
      </c>
    </row>
    <row r="152" spans="1:17" x14ac:dyDescent="0.25">
      <c r="A152" s="8" t="s">
        <v>17</v>
      </c>
      <c r="B152" s="8" t="s">
        <v>716</v>
      </c>
      <c r="C152" s="8" t="s">
        <v>111</v>
      </c>
      <c r="D152" s="8" t="s">
        <v>112</v>
      </c>
      <c r="E152" s="6">
        <v>43075</v>
      </c>
      <c r="F152" s="8" t="s">
        <v>261</v>
      </c>
      <c r="G152" s="8" t="s">
        <v>264</v>
      </c>
      <c r="H152" s="4">
        <v>150</v>
      </c>
      <c r="I152" s="8" t="s">
        <v>39</v>
      </c>
      <c r="J152" s="4">
        <v>0.744333333333</v>
      </c>
      <c r="K152" s="4">
        <v>111.65</v>
      </c>
      <c r="L152" s="8" t="s">
        <v>246</v>
      </c>
      <c r="M152" s="4">
        <v>95.58</v>
      </c>
      <c r="N152" s="8" t="s">
        <v>717</v>
      </c>
      <c r="O152" s="8" t="s">
        <v>718</v>
      </c>
      <c r="P152" s="8" t="s">
        <v>247</v>
      </c>
      <c r="Q152" s="4">
        <v>5637693885</v>
      </c>
    </row>
    <row r="153" spans="1:17" x14ac:dyDescent="0.25">
      <c r="A153" s="8" t="s">
        <v>17</v>
      </c>
      <c r="B153" s="8" t="s">
        <v>716</v>
      </c>
      <c r="C153" s="8" t="s">
        <v>111</v>
      </c>
      <c r="D153" s="8" t="s">
        <v>112</v>
      </c>
      <c r="E153" s="6">
        <v>43075</v>
      </c>
      <c r="F153" s="8" t="s">
        <v>261</v>
      </c>
      <c r="G153" s="8" t="s">
        <v>264</v>
      </c>
      <c r="H153" s="4">
        <v>150</v>
      </c>
      <c r="I153" s="8" t="s">
        <v>39</v>
      </c>
      <c r="J153" s="4">
        <v>0.744333333333</v>
      </c>
      <c r="K153" s="4">
        <v>111.65</v>
      </c>
      <c r="L153" s="8" t="s">
        <v>246</v>
      </c>
      <c r="M153" s="4">
        <v>95.58</v>
      </c>
      <c r="N153" s="8" t="s">
        <v>717</v>
      </c>
      <c r="O153" s="8" t="s">
        <v>718</v>
      </c>
      <c r="P153" s="8" t="s">
        <v>247</v>
      </c>
      <c r="Q153" s="4">
        <v>5637693886</v>
      </c>
    </row>
    <row r="154" spans="1:17" x14ac:dyDescent="0.25">
      <c r="A154" s="8" t="s">
        <v>252</v>
      </c>
      <c r="B154" s="8" t="s">
        <v>719</v>
      </c>
      <c r="C154" s="8" t="s">
        <v>111</v>
      </c>
      <c r="D154" s="8" t="s">
        <v>112</v>
      </c>
      <c r="E154" s="6">
        <v>43075</v>
      </c>
      <c r="F154" s="8" t="s">
        <v>261</v>
      </c>
      <c r="G154" s="8" t="s">
        <v>264</v>
      </c>
      <c r="H154" s="4">
        <v>-150</v>
      </c>
      <c r="I154" s="8" t="s">
        <v>39</v>
      </c>
      <c r="J154" s="4">
        <v>0.77965941475199996</v>
      </c>
      <c r="K154" s="4">
        <v>-116.95</v>
      </c>
      <c r="L154" s="8" t="s">
        <v>609</v>
      </c>
      <c r="M154" s="4">
        <v>-116.95</v>
      </c>
      <c r="N154" s="8" t="s">
        <v>720</v>
      </c>
      <c r="O154" s="8" t="s">
        <v>721</v>
      </c>
      <c r="P154" s="8" t="s">
        <v>247</v>
      </c>
      <c r="Q154" s="4">
        <v>5637695504</v>
      </c>
    </row>
    <row r="155" spans="1:17" x14ac:dyDescent="0.25">
      <c r="A155" s="8" t="s">
        <v>252</v>
      </c>
      <c r="B155" s="8" t="s">
        <v>719</v>
      </c>
      <c r="C155" s="8" t="s">
        <v>111</v>
      </c>
      <c r="D155" s="8" t="s">
        <v>112</v>
      </c>
      <c r="E155" s="6">
        <v>43075</v>
      </c>
      <c r="F155" s="8" t="s">
        <v>261</v>
      </c>
      <c r="G155" s="8" t="s">
        <v>264</v>
      </c>
      <c r="H155" s="4">
        <v>-150</v>
      </c>
      <c r="I155" s="8" t="s">
        <v>39</v>
      </c>
      <c r="J155" s="4">
        <v>0.77965941475199996</v>
      </c>
      <c r="K155" s="4">
        <v>-116.95</v>
      </c>
      <c r="L155" s="8" t="s">
        <v>609</v>
      </c>
      <c r="M155" s="4">
        <v>-116.95</v>
      </c>
      <c r="N155" s="8" t="s">
        <v>720</v>
      </c>
      <c r="O155" s="8" t="s">
        <v>721</v>
      </c>
      <c r="P155" s="8" t="s">
        <v>247</v>
      </c>
      <c r="Q155" s="4">
        <v>5637695505</v>
      </c>
    </row>
    <row r="156" spans="1:17" x14ac:dyDescent="0.25">
      <c r="A156" s="8" t="s">
        <v>17</v>
      </c>
      <c r="B156" s="8" t="s">
        <v>716</v>
      </c>
      <c r="C156" s="8" t="s">
        <v>111</v>
      </c>
      <c r="D156" s="8" t="s">
        <v>112</v>
      </c>
      <c r="E156" s="6">
        <v>43075</v>
      </c>
      <c r="F156" s="8" t="s">
        <v>261</v>
      </c>
      <c r="G156" s="8" t="s">
        <v>264</v>
      </c>
      <c r="H156" s="4">
        <v>150</v>
      </c>
      <c r="I156" s="8" t="s">
        <v>39</v>
      </c>
      <c r="J156" s="4">
        <v>0.744333333333</v>
      </c>
      <c r="K156" s="4">
        <v>111.65</v>
      </c>
      <c r="L156" s="8" t="s">
        <v>246</v>
      </c>
      <c r="M156" s="4">
        <v>95.58</v>
      </c>
      <c r="N156" s="8" t="s">
        <v>717</v>
      </c>
      <c r="O156" s="8" t="s">
        <v>718</v>
      </c>
      <c r="P156" s="8" t="s">
        <v>247</v>
      </c>
      <c r="Q156" s="4">
        <v>5637693887</v>
      </c>
    </row>
    <row r="157" spans="1:17" x14ac:dyDescent="0.25">
      <c r="A157" s="8" t="s">
        <v>17</v>
      </c>
      <c r="B157" s="8" t="s">
        <v>716</v>
      </c>
      <c r="C157" s="8" t="s">
        <v>111</v>
      </c>
      <c r="D157" s="8" t="s">
        <v>112</v>
      </c>
      <c r="E157" s="6">
        <v>43075</v>
      </c>
      <c r="F157" s="8" t="s">
        <v>261</v>
      </c>
      <c r="G157" s="8" t="s">
        <v>264</v>
      </c>
      <c r="H157" s="4">
        <v>150</v>
      </c>
      <c r="I157" s="8" t="s">
        <v>39</v>
      </c>
      <c r="J157" s="4">
        <v>0.744333333333</v>
      </c>
      <c r="K157" s="4">
        <v>111.65</v>
      </c>
      <c r="L157" s="8" t="s">
        <v>246</v>
      </c>
      <c r="M157" s="4">
        <v>95.58</v>
      </c>
      <c r="N157" s="8" t="s">
        <v>717</v>
      </c>
      <c r="O157" s="8" t="s">
        <v>718</v>
      </c>
      <c r="P157" s="8" t="s">
        <v>247</v>
      </c>
      <c r="Q157" s="4">
        <v>5637694342</v>
      </c>
    </row>
    <row r="158" spans="1:17" x14ac:dyDescent="0.25">
      <c r="A158" s="8" t="s">
        <v>252</v>
      </c>
      <c r="B158" s="8" t="s">
        <v>719</v>
      </c>
      <c r="C158" s="8" t="s">
        <v>111</v>
      </c>
      <c r="D158" s="8" t="s">
        <v>112</v>
      </c>
      <c r="E158" s="6">
        <v>43075</v>
      </c>
      <c r="F158" s="8" t="s">
        <v>261</v>
      </c>
      <c r="G158" s="8" t="s">
        <v>264</v>
      </c>
      <c r="H158" s="4">
        <v>-150</v>
      </c>
      <c r="I158" s="8" t="s">
        <v>39</v>
      </c>
      <c r="J158" s="4">
        <v>0.77965941475199996</v>
      </c>
      <c r="K158" s="4">
        <v>-116.95</v>
      </c>
      <c r="L158" s="8" t="s">
        <v>609</v>
      </c>
      <c r="M158" s="4">
        <v>-116.95</v>
      </c>
      <c r="N158" s="8" t="s">
        <v>720</v>
      </c>
      <c r="O158" s="8" t="s">
        <v>721</v>
      </c>
      <c r="P158" s="8" t="s">
        <v>247</v>
      </c>
      <c r="Q158" s="4">
        <v>5637694332</v>
      </c>
    </row>
    <row r="159" spans="1:17" x14ac:dyDescent="0.25">
      <c r="A159" s="8" t="s">
        <v>252</v>
      </c>
      <c r="B159" s="8" t="s">
        <v>630</v>
      </c>
      <c r="C159" s="8" t="s">
        <v>111</v>
      </c>
      <c r="D159" s="8" t="s">
        <v>112</v>
      </c>
      <c r="E159" s="6">
        <v>43083</v>
      </c>
      <c r="F159" s="8" t="s">
        <v>261</v>
      </c>
      <c r="G159" s="8" t="s">
        <v>264</v>
      </c>
      <c r="H159" s="4">
        <v>-100</v>
      </c>
      <c r="I159" s="8" t="s">
        <v>39</v>
      </c>
      <c r="J159" s="4">
        <v>0.73756573727700003</v>
      </c>
      <c r="K159" s="4">
        <v>-73.760000000000005</v>
      </c>
      <c r="L159" s="8" t="s">
        <v>609</v>
      </c>
      <c r="M159" s="4">
        <v>-73.760000000000005</v>
      </c>
      <c r="N159" s="8" t="s">
        <v>631</v>
      </c>
      <c r="O159" s="8" t="s">
        <v>725</v>
      </c>
      <c r="P159" s="8" t="s">
        <v>247</v>
      </c>
      <c r="Q159" s="4">
        <v>5637697287</v>
      </c>
    </row>
    <row r="160" spans="1:17" x14ac:dyDescent="0.25">
      <c r="A160" s="8" t="s">
        <v>17</v>
      </c>
      <c r="B160" s="8" t="s">
        <v>722</v>
      </c>
      <c r="C160" s="8" t="s">
        <v>111</v>
      </c>
      <c r="D160" s="8" t="s">
        <v>112</v>
      </c>
      <c r="E160" s="6">
        <v>43083</v>
      </c>
      <c r="F160" s="8" t="s">
        <v>261</v>
      </c>
      <c r="G160" s="8" t="s">
        <v>264</v>
      </c>
      <c r="H160" s="4">
        <v>100</v>
      </c>
      <c r="I160" s="8" t="s">
        <v>39</v>
      </c>
      <c r="J160" s="4">
        <v>0.74199999999999999</v>
      </c>
      <c r="K160" s="4">
        <v>74.2</v>
      </c>
      <c r="L160" s="8" t="s">
        <v>246</v>
      </c>
      <c r="M160" s="4">
        <v>63.72</v>
      </c>
      <c r="N160" s="8" t="s">
        <v>723</v>
      </c>
      <c r="O160" s="8" t="s">
        <v>724</v>
      </c>
      <c r="P160" s="8" t="s">
        <v>247</v>
      </c>
      <c r="Q160" s="4">
        <v>5637696952</v>
      </c>
    </row>
    <row r="161" spans="1:17" x14ac:dyDescent="0.25">
      <c r="A161" s="8" t="s">
        <v>17</v>
      </c>
      <c r="B161" s="8" t="s">
        <v>722</v>
      </c>
      <c r="C161" s="8" t="s">
        <v>111</v>
      </c>
      <c r="D161" s="8" t="s">
        <v>112</v>
      </c>
      <c r="E161" s="6">
        <v>43083</v>
      </c>
      <c r="F161" s="8" t="s">
        <v>261</v>
      </c>
      <c r="G161" s="8" t="s">
        <v>264</v>
      </c>
      <c r="H161" s="4">
        <v>100</v>
      </c>
      <c r="I161" s="8" t="s">
        <v>39</v>
      </c>
      <c r="J161" s="4">
        <v>0.74199999999999999</v>
      </c>
      <c r="K161" s="4">
        <v>74.2</v>
      </c>
      <c r="L161" s="8" t="s">
        <v>246</v>
      </c>
      <c r="M161" s="4">
        <v>63.72</v>
      </c>
      <c r="N161" s="8" t="s">
        <v>723</v>
      </c>
      <c r="O161" s="8" t="s">
        <v>724</v>
      </c>
      <c r="P161" s="8" t="s">
        <v>247</v>
      </c>
      <c r="Q161" s="4">
        <v>5637696953</v>
      </c>
    </row>
    <row r="162" spans="1:17" x14ac:dyDescent="0.25">
      <c r="A162" s="8" t="s">
        <v>252</v>
      </c>
      <c r="B162" s="8" t="s">
        <v>630</v>
      </c>
      <c r="C162" s="8" t="s">
        <v>111</v>
      </c>
      <c r="D162" s="8" t="s">
        <v>112</v>
      </c>
      <c r="E162" s="6">
        <v>43083</v>
      </c>
      <c r="F162" s="8" t="s">
        <v>261</v>
      </c>
      <c r="G162" s="8" t="s">
        <v>264</v>
      </c>
      <c r="H162" s="4">
        <v>-100</v>
      </c>
      <c r="I162" s="8" t="s">
        <v>39</v>
      </c>
      <c r="J162" s="4">
        <v>0.73756573727700003</v>
      </c>
      <c r="K162" s="4">
        <v>-73.760000000000005</v>
      </c>
      <c r="L162" s="8" t="s">
        <v>609</v>
      </c>
      <c r="M162" s="4">
        <v>-73.760000000000005</v>
      </c>
      <c r="N162" s="8" t="s">
        <v>631</v>
      </c>
      <c r="O162" s="8" t="s">
        <v>725</v>
      </c>
      <c r="P162" s="8" t="s">
        <v>247</v>
      </c>
      <c r="Q162" s="4">
        <v>5637697288</v>
      </c>
    </row>
    <row r="163" spans="1:17" x14ac:dyDescent="0.25">
      <c r="A163" s="8" t="s">
        <v>252</v>
      </c>
      <c r="B163" s="8" t="s">
        <v>630</v>
      </c>
      <c r="C163" s="8" t="s">
        <v>111</v>
      </c>
      <c r="D163" s="8" t="s">
        <v>112</v>
      </c>
      <c r="E163" s="6">
        <v>43083</v>
      </c>
      <c r="F163" s="8" t="s">
        <v>261</v>
      </c>
      <c r="G163" s="8" t="s">
        <v>264</v>
      </c>
      <c r="H163" s="4">
        <v>-100</v>
      </c>
      <c r="I163" s="8" t="s">
        <v>39</v>
      </c>
      <c r="J163" s="4">
        <v>0.73756573727700003</v>
      </c>
      <c r="K163" s="4">
        <v>-73.760000000000005</v>
      </c>
      <c r="L163" s="8" t="s">
        <v>609</v>
      </c>
      <c r="M163" s="4">
        <v>-73.760000000000005</v>
      </c>
      <c r="N163" s="8" t="s">
        <v>631</v>
      </c>
      <c r="O163" s="8" t="s">
        <v>725</v>
      </c>
      <c r="P163" s="8" t="s">
        <v>247</v>
      </c>
      <c r="Q163" s="4">
        <v>5637697289</v>
      </c>
    </row>
    <row r="164" spans="1:17" x14ac:dyDescent="0.25">
      <c r="A164" s="8" t="s">
        <v>17</v>
      </c>
      <c r="B164" s="8" t="s">
        <v>722</v>
      </c>
      <c r="C164" s="8" t="s">
        <v>111</v>
      </c>
      <c r="D164" s="8" t="s">
        <v>112</v>
      </c>
      <c r="E164" s="6">
        <v>43083</v>
      </c>
      <c r="F164" s="8" t="s">
        <v>261</v>
      </c>
      <c r="G164" s="8" t="s">
        <v>264</v>
      </c>
      <c r="H164" s="4">
        <v>100</v>
      </c>
      <c r="I164" s="8" t="s">
        <v>39</v>
      </c>
      <c r="J164" s="4">
        <v>0.74199999999999999</v>
      </c>
      <c r="K164" s="4">
        <v>74.2</v>
      </c>
      <c r="L164" s="8" t="s">
        <v>246</v>
      </c>
      <c r="M164" s="4">
        <v>63.72</v>
      </c>
      <c r="N164" s="8" t="s">
        <v>723</v>
      </c>
      <c r="O164" s="8" t="s">
        <v>724</v>
      </c>
      <c r="P164" s="8" t="s">
        <v>247</v>
      </c>
      <c r="Q164" s="4">
        <v>5637696954</v>
      </c>
    </row>
    <row r="165" spans="1:17" x14ac:dyDescent="0.25">
      <c r="A165" s="8" t="s">
        <v>17</v>
      </c>
      <c r="B165" s="8" t="s">
        <v>722</v>
      </c>
      <c r="C165" s="8" t="s">
        <v>111</v>
      </c>
      <c r="D165" s="8" t="s">
        <v>112</v>
      </c>
      <c r="E165" s="6">
        <v>43083</v>
      </c>
      <c r="F165" s="8" t="s">
        <v>261</v>
      </c>
      <c r="G165" s="8" t="s">
        <v>264</v>
      </c>
      <c r="H165" s="4">
        <v>100</v>
      </c>
      <c r="I165" s="8" t="s">
        <v>39</v>
      </c>
      <c r="J165" s="4">
        <v>0.74199999999999999</v>
      </c>
      <c r="K165" s="4">
        <v>74.2</v>
      </c>
      <c r="L165" s="8" t="s">
        <v>246</v>
      </c>
      <c r="M165" s="4">
        <v>63.72</v>
      </c>
      <c r="N165" s="8" t="s">
        <v>723</v>
      </c>
      <c r="O165" s="8" t="s">
        <v>724</v>
      </c>
      <c r="P165" s="8" t="s">
        <v>247</v>
      </c>
      <c r="Q165" s="4">
        <v>5637696955</v>
      </c>
    </row>
    <row r="166" spans="1:17" x14ac:dyDescent="0.25">
      <c r="A166" s="8" t="s">
        <v>252</v>
      </c>
      <c r="B166" s="8" t="s">
        <v>630</v>
      </c>
      <c r="C166" s="8" t="s">
        <v>111</v>
      </c>
      <c r="D166" s="8" t="s">
        <v>112</v>
      </c>
      <c r="E166" s="6">
        <v>43083</v>
      </c>
      <c r="F166" s="8" t="s">
        <v>261</v>
      </c>
      <c r="G166" s="8" t="s">
        <v>264</v>
      </c>
      <c r="H166" s="4">
        <v>-100</v>
      </c>
      <c r="I166" s="8" t="s">
        <v>39</v>
      </c>
      <c r="J166" s="4">
        <v>0.73756573727700003</v>
      </c>
      <c r="K166" s="4">
        <v>-73.760000000000005</v>
      </c>
      <c r="L166" s="8" t="s">
        <v>609</v>
      </c>
      <c r="M166" s="4">
        <v>-73.760000000000005</v>
      </c>
      <c r="N166" s="8" t="s">
        <v>631</v>
      </c>
      <c r="O166" s="8" t="s">
        <v>725</v>
      </c>
      <c r="P166" s="8" t="s">
        <v>247</v>
      </c>
      <c r="Q166" s="4">
        <v>5637697290</v>
      </c>
    </row>
    <row r="167" spans="1:17" x14ac:dyDescent="0.25">
      <c r="A167" s="8" t="s">
        <v>252</v>
      </c>
      <c r="B167" s="8" t="s">
        <v>630</v>
      </c>
      <c r="C167" s="8" t="s">
        <v>111</v>
      </c>
      <c r="D167" s="8" t="s">
        <v>112</v>
      </c>
      <c r="E167" s="6">
        <v>43083</v>
      </c>
      <c r="F167" s="8" t="s">
        <v>261</v>
      </c>
      <c r="G167" s="8" t="s">
        <v>264</v>
      </c>
      <c r="H167" s="4">
        <v>-100</v>
      </c>
      <c r="I167" s="8" t="s">
        <v>39</v>
      </c>
      <c r="J167" s="4">
        <v>0.73756573727700003</v>
      </c>
      <c r="K167" s="4">
        <v>-73.760000000000005</v>
      </c>
      <c r="L167" s="8" t="s">
        <v>609</v>
      </c>
      <c r="M167" s="4">
        <v>-73.760000000000005</v>
      </c>
      <c r="N167" s="8" t="s">
        <v>631</v>
      </c>
      <c r="O167" s="8" t="s">
        <v>725</v>
      </c>
      <c r="P167" s="8" t="s">
        <v>247</v>
      </c>
      <c r="Q167" s="4">
        <v>5637697291</v>
      </c>
    </row>
    <row r="168" spans="1:17" x14ac:dyDescent="0.25">
      <c r="A168" s="8" t="s">
        <v>17</v>
      </c>
      <c r="B168" s="8" t="s">
        <v>722</v>
      </c>
      <c r="C168" s="8" t="s">
        <v>111</v>
      </c>
      <c r="D168" s="8" t="s">
        <v>112</v>
      </c>
      <c r="E168" s="6">
        <v>43083</v>
      </c>
      <c r="F168" s="8" t="s">
        <v>261</v>
      </c>
      <c r="G168" s="8" t="s">
        <v>264</v>
      </c>
      <c r="H168" s="4">
        <v>100</v>
      </c>
      <c r="I168" s="8" t="s">
        <v>39</v>
      </c>
      <c r="J168" s="4">
        <v>0.74199999999999999</v>
      </c>
      <c r="K168" s="4">
        <v>74.2</v>
      </c>
      <c r="L168" s="8" t="s">
        <v>246</v>
      </c>
      <c r="M168" s="4">
        <v>63.72</v>
      </c>
      <c r="N168" s="8" t="s">
        <v>723</v>
      </c>
      <c r="O168" s="8" t="s">
        <v>724</v>
      </c>
      <c r="P168" s="8" t="s">
        <v>247</v>
      </c>
      <c r="Q168" s="4">
        <v>5637696956</v>
      </c>
    </row>
    <row r="169" spans="1:17" x14ac:dyDescent="0.25">
      <c r="A169" s="8" t="s">
        <v>17</v>
      </c>
      <c r="B169" s="8" t="s">
        <v>722</v>
      </c>
      <c r="C169" s="8" t="s">
        <v>111</v>
      </c>
      <c r="D169" s="8" t="s">
        <v>112</v>
      </c>
      <c r="E169" s="6">
        <v>43083</v>
      </c>
      <c r="F169" s="8" t="s">
        <v>261</v>
      </c>
      <c r="G169" s="8" t="s">
        <v>264</v>
      </c>
      <c r="H169" s="4">
        <v>100</v>
      </c>
      <c r="I169" s="8" t="s">
        <v>39</v>
      </c>
      <c r="J169" s="4">
        <v>0.74199999999999999</v>
      </c>
      <c r="K169" s="4">
        <v>74.2</v>
      </c>
      <c r="L169" s="8" t="s">
        <v>246</v>
      </c>
      <c r="M169" s="4">
        <v>63.72</v>
      </c>
      <c r="N169" s="8" t="s">
        <v>723</v>
      </c>
      <c r="O169" s="8" t="s">
        <v>724</v>
      </c>
      <c r="P169" s="8" t="s">
        <v>247</v>
      </c>
      <c r="Q169" s="4">
        <v>5637696957</v>
      </c>
    </row>
    <row r="170" spans="1:17" x14ac:dyDescent="0.25">
      <c r="A170" s="8" t="s">
        <v>252</v>
      </c>
      <c r="B170" s="8" t="s">
        <v>630</v>
      </c>
      <c r="C170" s="8" t="s">
        <v>111</v>
      </c>
      <c r="D170" s="8" t="s">
        <v>112</v>
      </c>
      <c r="E170" s="6">
        <v>43083</v>
      </c>
      <c r="F170" s="8" t="s">
        <v>261</v>
      </c>
      <c r="G170" s="8" t="s">
        <v>264</v>
      </c>
      <c r="H170" s="4">
        <v>-100</v>
      </c>
      <c r="I170" s="8" t="s">
        <v>39</v>
      </c>
      <c r="J170" s="4">
        <v>0.73756573727700003</v>
      </c>
      <c r="K170" s="4">
        <v>-73.760000000000005</v>
      </c>
      <c r="L170" s="8" t="s">
        <v>609</v>
      </c>
      <c r="M170" s="4">
        <v>-73.760000000000005</v>
      </c>
      <c r="N170" s="8" t="s">
        <v>631</v>
      </c>
      <c r="O170" s="8" t="s">
        <v>725</v>
      </c>
      <c r="P170" s="8" t="s">
        <v>247</v>
      </c>
      <c r="Q170" s="4">
        <v>5637697292</v>
      </c>
    </row>
    <row r="171" spans="1:17" x14ac:dyDescent="0.25">
      <c r="A171" s="8" t="s">
        <v>252</v>
      </c>
      <c r="B171" s="8" t="s">
        <v>630</v>
      </c>
      <c r="C171" s="8" t="s">
        <v>111</v>
      </c>
      <c r="D171" s="8" t="s">
        <v>112</v>
      </c>
      <c r="E171" s="6">
        <v>43083</v>
      </c>
      <c r="F171" s="8" t="s">
        <v>261</v>
      </c>
      <c r="G171" s="8" t="s">
        <v>264</v>
      </c>
      <c r="H171" s="4">
        <v>-100</v>
      </c>
      <c r="I171" s="8" t="s">
        <v>39</v>
      </c>
      <c r="J171" s="4">
        <v>0.73756573727700003</v>
      </c>
      <c r="K171" s="4">
        <v>-73.760000000000005</v>
      </c>
      <c r="L171" s="8" t="s">
        <v>609</v>
      </c>
      <c r="M171" s="4">
        <v>-73.760000000000005</v>
      </c>
      <c r="N171" s="8" t="s">
        <v>631</v>
      </c>
      <c r="O171" s="8" t="s">
        <v>725</v>
      </c>
      <c r="P171" s="8" t="s">
        <v>247</v>
      </c>
      <c r="Q171" s="4">
        <v>5637697293</v>
      </c>
    </row>
    <row r="172" spans="1:17" x14ac:dyDescent="0.25">
      <c r="A172" s="8" t="s">
        <v>17</v>
      </c>
      <c r="B172" s="8" t="s">
        <v>722</v>
      </c>
      <c r="C172" s="8" t="s">
        <v>111</v>
      </c>
      <c r="D172" s="8" t="s">
        <v>112</v>
      </c>
      <c r="E172" s="6">
        <v>43083</v>
      </c>
      <c r="F172" s="8" t="s">
        <v>261</v>
      </c>
      <c r="G172" s="8" t="s">
        <v>264</v>
      </c>
      <c r="H172" s="4">
        <v>100</v>
      </c>
      <c r="I172" s="8" t="s">
        <v>39</v>
      </c>
      <c r="J172" s="4">
        <v>0.74199999999999999</v>
      </c>
      <c r="K172" s="4">
        <v>74.2</v>
      </c>
      <c r="L172" s="8" t="s">
        <v>246</v>
      </c>
      <c r="M172" s="4">
        <v>63.72</v>
      </c>
      <c r="N172" s="8" t="s">
        <v>723</v>
      </c>
      <c r="O172" s="8" t="s">
        <v>724</v>
      </c>
      <c r="P172" s="8" t="s">
        <v>247</v>
      </c>
      <c r="Q172" s="4">
        <v>5637696958</v>
      </c>
    </row>
    <row r="173" spans="1:17" x14ac:dyDescent="0.25">
      <c r="A173" s="8" t="s">
        <v>17</v>
      </c>
      <c r="B173" s="8" t="s">
        <v>722</v>
      </c>
      <c r="C173" s="8" t="s">
        <v>111</v>
      </c>
      <c r="D173" s="8" t="s">
        <v>112</v>
      </c>
      <c r="E173" s="6">
        <v>43083</v>
      </c>
      <c r="F173" s="8" t="s">
        <v>261</v>
      </c>
      <c r="G173" s="8" t="s">
        <v>264</v>
      </c>
      <c r="H173" s="4">
        <v>100</v>
      </c>
      <c r="I173" s="8" t="s">
        <v>39</v>
      </c>
      <c r="J173" s="4">
        <v>0.74199999999999999</v>
      </c>
      <c r="K173" s="4">
        <v>74.2</v>
      </c>
      <c r="L173" s="8" t="s">
        <v>246</v>
      </c>
      <c r="M173" s="4">
        <v>63.72</v>
      </c>
      <c r="N173" s="8" t="s">
        <v>723</v>
      </c>
      <c r="O173" s="8" t="s">
        <v>724</v>
      </c>
      <c r="P173" s="8" t="s">
        <v>247</v>
      </c>
      <c r="Q173" s="4">
        <v>5637696959</v>
      </c>
    </row>
    <row r="174" spans="1:17" x14ac:dyDescent="0.25">
      <c r="A174" s="8" t="s">
        <v>252</v>
      </c>
      <c r="B174" s="8" t="s">
        <v>630</v>
      </c>
      <c r="C174" s="8" t="s">
        <v>111</v>
      </c>
      <c r="D174" s="8" t="s">
        <v>112</v>
      </c>
      <c r="E174" s="6">
        <v>43083</v>
      </c>
      <c r="F174" s="8" t="s">
        <v>261</v>
      </c>
      <c r="G174" s="8" t="s">
        <v>264</v>
      </c>
      <c r="H174" s="4">
        <v>-100</v>
      </c>
      <c r="I174" s="8" t="s">
        <v>39</v>
      </c>
      <c r="J174" s="4">
        <v>0.73756573727700003</v>
      </c>
      <c r="K174" s="4">
        <v>-73.760000000000005</v>
      </c>
      <c r="L174" s="8" t="s">
        <v>609</v>
      </c>
      <c r="M174" s="4">
        <v>-73.760000000000005</v>
      </c>
      <c r="N174" s="8" t="s">
        <v>631</v>
      </c>
      <c r="O174" s="8" t="s">
        <v>725</v>
      </c>
      <c r="P174" s="8" t="s">
        <v>247</v>
      </c>
      <c r="Q174" s="4">
        <v>5637697294</v>
      </c>
    </row>
    <row r="175" spans="1:17" x14ac:dyDescent="0.25">
      <c r="A175" s="8" t="s">
        <v>252</v>
      </c>
      <c r="B175" s="8" t="s">
        <v>630</v>
      </c>
      <c r="C175" s="8" t="s">
        <v>111</v>
      </c>
      <c r="D175" s="8" t="s">
        <v>112</v>
      </c>
      <c r="E175" s="6">
        <v>43083</v>
      </c>
      <c r="F175" s="8" t="s">
        <v>261</v>
      </c>
      <c r="G175" s="8" t="s">
        <v>264</v>
      </c>
      <c r="H175" s="4">
        <v>-100</v>
      </c>
      <c r="I175" s="8" t="s">
        <v>39</v>
      </c>
      <c r="J175" s="4">
        <v>0.73756573727700003</v>
      </c>
      <c r="K175" s="4">
        <v>-73.760000000000005</v>
      </c>
      <c r="L175" s="8" t="s">
        <v>609</v>
      </c>
      <c r="M175" s="4">
        <v>-73.760000000000005</v>
      </c>
      <c r="N175" s="8" t="s">
        <v>631</v>
      </c>
      <c r="O175" s="8" t="s">
        <v>725</v>
      </c>
      <c r="P175" s="8" t="s">
        <v>247</v>
      </c>
      <c r="Q175" s="4">
        <v>5637697295</v>
      </c>
    </row>
    <row r="176" spans="1:17" x14ac:dyDescent="0.25">
      <c r="A176" s="8" t="s">
        <v>17</v>
      </c>
      <c r="B176" s="8" t="s">
        <v>722</v>
      </c>
      <c r="C176" s="8" t="s">
        <v>111</v>
      </c>
      <c r="D176" s="8" t="s">
        <v>112</v>
      </c>
      <c r="E176" s="6">
        <v>43083</v>
      </c>
      <c r="F176" s="8" t="s">
        <v>261</v>
      </c>
      <c r="G176" s="8" t="s">
        <v>264</v>
      </c>
      <c r="H176" s="4">
        <v>100</v>
      </c>
      <c r="I176" s="8" t="s">
        <v>39</v>
      </c>
      <c r="J176" s="4">
        <v>0.74199999999999999</v>
      </c>
      <c r="K176" s="4">
        <v>74.2</v>
      </c>
      <c r="L176" s="8" t="s">
        <v>246</v>
      </c>
      <c r="M176" s="4">
        <v>63.72</v>
      </c>
      <c r="N176" s="8" t="s">
        <v>723</v>
      </c>
      <c r="O176" s="8" t="s">
        <v>724</v>
      </c>
      <c r="P176" s="8" t="s">
        <v>247</v>
      </c>
      <c r="Q176" s="4">
        <v>5637696960</v>
      </c>
    </row>
    <row r="177" spans="1:17" x14ac:dyDescent="0.25">
      <c r="A177" s="8" t="s">
        <v>17</v>
      </c>
      <c r="B177" s="8" t="s">
        <v>722</v>
      </c>
      <c r="C177" s="8" t="s">
        <v>111</v>
      </c>
      <c r="D177" s="8" t="s">
        <v>112</v>
      </c>
      <c r="E177" s="6">
        <v>43083</v>
      </c>
      <c r="F177" s="8" t="s">
        <v>261</v>
      </c>
      <c r="G177" s="8" t="s">
        <v>264</v>
      </c>
      <c r="H177" s="4">
        <v>100</v>
      </c>
      <c r="I177" s="8" t="s">
        <v>39</v>
      </c>
      <c r="J177" s="4">
        <v>0.74199999999999999</v>
      </c>
      <c r="K177" s="4">
        <v>74.2</v>
      </c>
      <c r="L177" s="8" t="s">
        <v>246</v>
      </c>
      <c r="M177" s="4">
        <v>63.72</v>
      </c>
      <c r="N177" s="8" t="s">
        <v>723</v>
      </c>
      <c r="O177" s="8" t="s">
        <v>724</v>
      </c>
      <c r="P177" s="8" t="s">
        <v>247</v>
      </c>
      <c r="Q177" s="4">
        <v>5637696961</v>
      </c>
    </row>
    <row r="178" spans="1:17" x14ac:dyDescent="0.25">
      <c r="A178" s="8" t="s">
        <v>252</v>
      </c>
      <c r="B178" s="8" t="s">
        <v>630</v>
      </c>
      <c r="C178" s="8" t="s">
        <v>111</v>
      </c>
      <c r="D178" s="8" t="s">
        <v>112</v>
      </c>
      <c r="E178" s="6">
        <v>43083</v>
      </c>
      <c r="F178" s="8" t="s">
        <v>261</v>
      </c>
      <c r="G178" s="8" t="s">
        <v>264</v>
      </c>
      <c r="H178" s="4">
        <v>-100</v>
      </c>
      <c r="I178" s="8" t="s">
        <v>39</v>
      </c>
      <c r="J178" s="4">
        <v>0.73756573727700003</v>
      </c>
      <c r="K178" s="4">
        <v>-73.760000000000005</v>
      </c>
      <c r="L178" s="8" t="s">
        <v>609</v>
      </c>
      <c r="M178" s="4">
        <v>-73.760000000000005</v>
      </c>
      <c r="N178" s="8" t="s">
        <v>631</v>
      </c>
      <c r="O178" s="8" t="s">
        <v>725</v>
      </c>
      <c r="P178" s="8" t="s">
        <v>247</v>
      </c>
      <c r="Q178" s="4">
        <v>5637697296</v>
      </c>
    </row>
    <row r="179" spans="1:17" x14ac:dyDescent="0.25">
      <c r="A179" s="8" t="s">
        <v>252</v>
      </c>
      <c r="B179" s="8" t="s">
        <v>630</v>
      </c>
      <c r="C179" s="8" t="s">
        <v>111</v>
      </c>
      <c r="D179" s="8" t="s">
        <v>112</v>
      </c>
      <c r="E179" s="6">
        <v>43083</v>
      </c>
      <c r="F179" s="8" t="s">
        <v>261</v>
      </c>
      <c r="G179" s="8" t="s">
        <v>264</v>
      </c>
      <c r="H179" s="4">
        <v>-100</v>
      </c>
      <c r="I179" s="8" t="s">
        <v>39</v>
      </c>
      <c r="J179" s="4">
        <v>0.73756573727700003</v>
      </c>
      <c r="K179" s="4">
        <v>-73.760000000000005</v>
      </c>
      <c r="L179" s="8" t="s">
        <v>609</v>
      </c>
      <c r="M179" s="4">
        <v>-73.760000000000005</v>
      </c>
      <c r="N179" s="8" t="s">
        <v>631</v>
      </c>
      <c r="O179" s="8" t="s">
        <v>725</v>
      </c>
      <c r="P179" s="8" t="s">
        <v>247</v>
      </c>
      <c r="Q179" s="4">
        <v>5637697297</v>
      </c>
    </row>
    <row r="180" spans="1:17" x14ac:dyDescent="0.25">
      <c r="A180" s="8" t="s">
        <v>17</v>
      </c>
      <c r="B180" s="8" t="s">
        <v>722</v>
      </c>
      <c r="C180" s="8" t="s">
        <v>111</v>
      </c>
      <c r="D180" s="8" t="s">
        <v>112</v>
      </c>
      <c r="E180" s="6">
        <v>43083</v>
      </c>
      <c r="F180" s="8" t="s">
        <v>261</v>
      </c>
      <c r="G180" s="8" t="s">
        <v>264</v>
      </c>
      <c r="H180" s="4">
        <v>100</v>
      </c>
      <c r="I180" s="8" t="s">
        <v>39</v>
      </c>
      <c r="J180" s="4">
        <v>0.74199999999999999</v>
      </c>
      <c r="K180" s="4">
        <v>74.2</v>
      </c>
      <c r="L180" s="8" t="s">
        <v>246</v>
      </c>
      <c r="M180" s="4">
        <v>63.72</v>
      </c>
      <c r="N180" s="8" t="s">
        <v>723</v>
      </c>
      <c r="O180" s="8" t="s">
        <v>724</v>
      </c>
      <c r="P180" s="8" t="s">
        <v>247</v>
      </c>
      <c r="Q180" s="4">
        <v>5637696962</v>
      </c>
    </row>
    <row r="181" spans="1:17" x14ac:dyDescent="0.25">
      <c r="A181" s="8" t="s">
        <v>17</v>
      </c>
      <c r="B181" s="8" t="s">
        <v>722</v>
      </c>
      <c r="C181" s="8" t="s">
        <v>111</v>
      </c>
      <c r="D181" s="8" t="s">
        <v>112</v>
      </c>
      <c r="E181" s="6">
        <v>43083</v>
      </c>
      <c r="F181" s="8" t="s">
        <v>261</v>
      </c>
      <c r="G181" s="8" t="s">
        <v>264</v>
      </c>
      <c r="H181" s="4">
        <v>100</v>
      </c>
      <c r="I181" s="8" t="s">
        <v>39</v>
      </c>
      <c r="J181" s="4">
        <v>0.74199999999999999</v>
      </c>
      <c r="K181" s="4">
        <v>74.2</v>
      </c>
      <c r="L181" s="8" t="s">
        <v>246</v>
      </c>
      <c r="M181" s="4">
        <v>63.72</v>
      </c>
      <c r="N181" s="8" t="s">
        <v>723</v>
      </c>
      <c r="O181" s="8" t="s">
        <v>724</v>
      </c>
      <c r="P181" s="8" t="s">
        <v>247</v>
      </c>
      <c r="Q181" s="4">
        <v>5637696963</v>
      </c>
    </row>
    <row r="182" spans="1:17" x14ac:dyDescent="0.25">
      <c r="A182" s="8" t="s">
        <v>252</v>
      </c>
      <c r="B182" s="8" t="s">
        <v>630</v>
      </c>
      <c r="C182" s="8" t="s">
        <v>111</v>
      </c>
      <c r="D182" s="8" t="s">
        <v>112</v>
      </c>
      <c r="E182" s="6">
        <v>43083</v>
      </c>
      <c r="F182" s="8" t="s">
        <v>261</v>
      </c>
      <c r="G182" s="8" t="s">
        <v>264</v>
      </c>
      <c r="H182" s="4">
        <v>-100</v>
      </c>
      <c r="I182" s="8" t="s">
        <v>39</v>
      </c>
      <c r="J182" s="4">
        <v>0.73756573727700003</v>
      </c>
      <c r="K182" s="4">
        <v>-73.760000000000005</v>
      </c>
      <c r="L182" s="8" t="s">
        <v>609</v>
      </c>
      <c r="M182" s="4">
        <v>-73.760000000000005</v>
      </c>
      <c r="N182" s="8" t="s">
        <v>631</v>
      </c>
      <c r="O182" s="8" t="s">
        <v>725</v>
      </c>
      <c r="P182" s="8" t="s">
        <v>247</v>
      </c>
      <c r="Q182" s="4">
        <v>5637697302</v>
      </c>
    </row>
    <row r="183" spans="1:17" x14ac:dyDescent="0.25">
      <c r="A183" s="8" t="s">
        <v>252</v>
      </c>
      <c r="B183" s="8" t="s">
        <v>630</v>
      </c>
      <c r="C183" s="8" t="s">
        <v>111</v>
      </c>
      <c r="D183" s="8" t="s">
        <v>112</v>
      </c>
      <c r="E183" s="6">
        <v>43083</v>
      </c>
      <c r="F183" s="8" t="s">
        <v>261</v>
      </c>
      <c r="G183" s="8" t="s">
        <v>264</v>
      </c>
      <c r="H183" s="4">
        <v>-100</v>
      </c>
      <c r="I183" s="8" t="s">
        <v>39</v>
      </c>
      <c r="J183" s="4">
        <v>0.73756573727700003</v>
      </c>
      <c r="K183" s="4">
        <v>-73.760000000000005</v>
      </c>
      <c r="L183" s="8" t="s">
        <v>609</v>
      </c>
      <c r="M183" s="4">
        <v>-73.760000000000005</v>
      </c>
      <c r="N183" s="8" t="s">
        <v>631</v>
      </c>
      <c r="O183" s="8" t="s">
        <v>725</v>
      </c>
      <c r="P183" s="8" t="s">
        <v>247</v>
      </c>
      <c r="Q183" s="4">
        <v>5637697303</v>
      </c>
    </row>
    <row r="184" spans="1:17" x14ac:dyDescent="0.25">
      <c r="A184" s="8" t="s">
        <v>17</v>
      </c>
      <c r="B184" s="8" t="s">
        <v>722</v>
      </c>
      <c r="C184" s="8" t="s">
        <v>111</v>
      </c>
      <c r="D184" s="8" t="s">
        <v>112</v>
      </c>
      <c r="E184" s="6">
        <v>43083</v>
      </c>
      <c r="F184" s="8" t="s">
        <v>261</v>
      </c>
      <c r="G184" s="8" t="s">
        <v>264</v>
      </c>
      <c r="H184" s="4">
        <v>100</v>
      </c>
      <c r="I184" s="8" t="s">
        <v>39</v>
      </c>
      <c r="J184" s="4">
        <v>0.74199999999999999</v>
      </c>
      <c r="K184" s="4">
        <v>74.2</v>
      </c>
      <c r="L184" s="8" t="s">
        <v>246</v>
      </c>
      <c r="M184" s="4">
        <v>63.72</v>
      </c>
      <c r="N184" s="8" t="s">
        <v>723</v>
      </c>
      <c r="O184" s="8" t="s">
        <v>724</v>
      </c>
      <c r="P184" s="8" t="s">
        <v>247</v>
      </c>
      <c r="Q184" s="4">
        <v>5637696964</v>
      </c>
    </row>
    <row r="185" spans="1:17" x14ac:dyDescent="0.25">
      <c r="A185" s="8" t="s">
        <v>17</v>
      </c>
      <c r="B185" s="8" t="s">
        <v>722</v>
      </c>
      <c r="C185" s="8" t="s">
        <v>111</v>
      </c>
      <c r="D185" s="8" t="s">
        <v>112</v>
      </c>
      <c r="E185" s="6">
        <v>43083</v>
      </c>
      <c r="F185" s="8" t="s">
        <v>261</v>
      </c>
      <c r="G185" s="8" t="s">
        <v>264</v>
      </c>
      <c r="H185" s="4">
        <v>100</v>
      </c>
      <c r="I185" s="8" t="s">
        <v>39</v>
      </c>
      <c r="J185" s="4">
        <v>0.74199999999999999</v>
      </c>
      <c r="K185" s="4">
        <v>74.2</v>
      </c>
      <c r="L185" s="8" t="s">
        <v>246</v>
      </c>
      <c r="M185" s="4">
        <v>63.72</v>
      </c>
      <c r="N185" s="8" t="s">
        <v>723</v>
      </c>
      <c r="O185" s="8" t="s">
        <v>724</v>
      </c>
      <c r="P185" s="8" t="s">
        <v>247</v>
      </c>
      <c r="Q185" s="4">
        <v>5637696965</v>
      </c>
    </row>
    <row r="186" spans="1:17" x14ac:dyDescent="0.25">
      <c r="A186" s="8" t="s">
        <v>252</v>
      </c>
      <c r="B186" s="8" t="s">
        <v>630</v>
      </c>
      <c r="C186" s="8" t="s">
        <v>111</v>
      </c>
      <c r="D186" s="8" t="s">
        <v>112</v>
      </c>
      <c r="E186" s="6">
        <v>43083</v>
      </c>
      <c r="F186" s="8" t="s">
        <v>261</v>
      </c>
      <c r="G186" s="8" t="s">
        <v>264</v>
      </c>
      <c r="H186" s="4">
        <v>-100</v>
      </c>
      <c r="I186" s="8" t="s">
        <v>39</v>
      </c>
      <c r="J186" s="4">
        <v>0.73756573727700003</v>
      </c>
      <c r="K186" s="4">
        <v>-73.760000000000005</v>
      </c>
      <c r="L186" s="8" t="s">
        <v>609</v>
      </c>
      <c r="M186" s="4">
        <v>-73.760000000000005</v>
      </c>
      <c r="N186" s="8" t="s">
        <v>631</v>
      </c>
      <c r="O186" s="8" t="s">
        <v>725</v>
      </c>
      <c r="P186" s="8" t="s">
        <v>247</v>
      </c>
      <c r="Q186" s="4">
        <v>5637697304</v>
      </c>
    </row>
    <row r="187" spans="1:17" x14ac:dyDescent="0.25">
      <c r="A187" s="8" t="s">
        <v>252</v>
      </c>
      <c r="B187" s="8" t="s">
        <v>630</v>
      </c>
      <c r="C187" s="8" t="s">
        <v>111</v>
      </c>
      <c r="D187" s="8" t="s">
        <v>112</v>
      </c>
      <c r="E187" s="6">
        <v>43083</v>
      </c>
      <c r="F187" s="8" t="s">
        <v>261</v>
      </c>
      <c r="G187" s="8" t="s">
        <v>264</v>
      </c>
      <c r="H187" s="4">
        <v>-100</v>
      </c>
      <c r="I187" s="8" t="s">
        <v>39</v>
      </c>
      <c r="J187" s="4">
        <v>0.73756573727700003</v>
      </c>
      <c r="K187" s="4">
        <v>-73.760000000000005</v>
      </c>
      <c r="L187" s="8" t="s">
        <v>609</v>
      </c>
      <c r="M187" s="4">
        <v>-73.760000000000005</v>
      </c>
      <c r="N187" s="8" t="s">
        <v>631</v>
      </c>
      <c r="O187" s="8" t="s">
        <v>725</v>
      </c>
      <c r="P187" s="8" t="s">
        <v>247</v>
      </c>
      <c r="Q187" s="4">
        <v>5637697305</v>
      </c>
    </row>
    <row r="188" spans="1:17" x14ac:dyDescent="0.25">
      <c r="A188" s="8" t="s">
        <v>17</v>
      </c>
      <c r="B188" s="8" t="s">
        <v>722</v>
      </c>
      <c r="C188" s="8" t="s">
        <v>111</v>
      </c>
      <c r="D188" s="8" t="s">
        <v>112</v>
      </c>
      <c r="E188" s="6">
        <v>43083</v>
      </c>
      <c r="F188" s="8" t="s">
        <v>261</v>
      </c>
      <c r="G188" s="8" t="s">
        <v>264</v>
      </c>
      <c r="H188" s="4">
        <v>100</v>
      </c>
      <c r="I188" s="8" t="s">
        <v>39</v>
      </c>
      <c r="J188" s="4">
        <v>0.74199999999999999</v>
      </c>
      <c r="K188" s="4">
        <v>74.2</v>
      </c>
      <c r="L188" s="8" t="s">
        <v>246</v>
      </c>
      <c r="M188" s="4">
        <v>63.72</v>
      </c>
      <c r="N188" s="8" t="s">
        <v>723</v>
      </c>
      <c r="O188" s="8" t="s">
        <v>724</v>
      </c>
      <c r="P188" s="8" t="s">
        <v>247</v>
      </c>
      <c r="Q188" s="4">
        <v>5637696966</v>
      </c>
    </row>
    <row r="189" spans="1:17" x14ac:dyDescent="0.25">
      <c r="A189" s="8" t="s">
        <v>17</v>
      </c>
      <c r="B189" s="8" t="s">
        <v>722</v>
      </c>
      <c r="C189" s="8" t="s">
        <v>111</v>
      </c>
      <c r="D189" s="8" t="s">
        <v>112</v>
      </c>
      <c r="E189" s="6">
        <v>43083</v>
      </c>
      <c r="F189" s="8" t="s">
        <v>261</v>
      </c>
      <c r="G189" s="8" t="s">
        <v>264</v>
      </c>
      <c r="H189" s="4">
        <v>100</v>
      </c>
      <c r="I189" s="8" t="s">
        <v>39</v>
      </c>
      <c r="J189" s="4">
        <v>0.74199999999999999</v>
      </c>
      <c r="K189" s="4">
        <v>74.2</v>
      </c>
      <c r="L189" s="8" t="s">
        <v>246</v>
      </c>
      <c r="M189" s="4">
        <v>63.72</v>
      </c>
      <c r="N189" s="8" t="s">
        <v>723</v>
      </c>
      <c r="O189" s="8" t="s">
        <v>724</v>
      </c>
      <c r="P189" s="8" t="s">
        <v>247</v>
      </c>
      <c r="Q189" s="4">
        <v>5637696967</v>
      </c>
    </row>
    <row r="190" spans="1:17" x14ac:dyDescent="0.25">
      <c r="A190" s="8" t="s">
        <v>252</v>
      </c>
      <c r="B190" s="8" t="s">
        <v>630</v>
      </c>
      <c r="C190" s="8" t="s">
        <v>111</v>
      </c>
      <c r="D190" s="8" t="s">
        <v>112</v>
      </c>
      <c r="E190" s="6">
        <v>43083</v>
      </c>
      <c r="F190" s="8" t="s">
        <v>261</v>
      </c>
      <c r="G190" s="8" t="s">
        <v>264</v>
      </c>
      <c r="H190" s="4">
        <v>-100</v>
      </c>
      <c r="I190" s="8" t="s">
        <v>39</v>
      </c>
      <c r="J190" s="4">
        <v>0.73756573727700003</v>
      </c>
      <c r="K190" s="4">
        <v>-73.760000000000005</v>
      </c>
      <c r="L190" s="8" t="s">
        <v>609</v>
      </c>
      <c r="M190" s="4">
        <v>-73.760000000000005</v>
      </c>
      <c r="N190" s="8" t="s">
        <v>631</v>
      </c>
      <c r="O190" s="8" t="s">
        <v>725</v>
      </c>
      <c r="P190" s="8" t="s">
        <v>247</v>
      </c>
      <c r="Q190" s="4">
        <v>5637697306</v>
      </c>
    </row>
    <row r="191" spans="1:17" x14ac:dyDescent="0.25">
      <c r="A191" s="8" t="s">
        <v>252</v>
      </c>
      <c r="B191" s="8" t="s">
        <v>630</v>
      </c>
      <c r="C191" s="8" t="s">
        <v>111</v>
      </c>
      <c r="D191" s="8" t="s">
        <v>112</v>
      </c>
      <c r="E191" s="6">
        <v>43083</v>
      </c>
      <c r="F191" s="8" t="s">
        <v>261</v>
      </c>
      <c r="G191" s="8" t="s">
        <v>264</v>
      </c>
      <c r="H191" s="4">
        <v>-150</v>
      </c>
      <c r="I191" s="8" t="s">
        <v>39</v>
      </c>
      <c r="J191" s="4">
        <v>0.73756573727700003</v>
      </c>
      <c r="K191" s="4">
        <v>-110.63</v>
      </c>
      <c r="L191" s="8" t="s">
        <v>609</v>
      </c>
      <c r="M191" s="4">
        <v>-110.63</v>
      </c>
      <c r="N191" s="8" t="s">
        <v>631</v>
      </c>
      <c r="O191" s="8" t="s">
        <v>725</v>
      </c>
      <c r="P191" s="8" t="s">
        <v>247</v>
      </c>
      <c r="Q191" s="4">
        <v>5637697315</v>
      </c>
    </row>
    <row r="192" spans="1:17" x14ac:dyDescent="0.25">
      <c r="A192" s="8" t="s">
        <v>17</v>
      </c>
      <c r="B192" s="8" t="s">
        <v>722</v>
      </c>
      <c r="C192" s="8" t="s">
        <v>111</v>
      </c>
      <c r="D192" s="8" t="s">
        <v>112</v>
      </c>
      <c r="E192" s="6">
        <v>43083</v>
      </c>
      <c r="F192" s="8" t="s">
        <v>261</v>
      </c>
      <c r="G192" s="8" t="s">
        <v>264</v>
      </c>
      <c r="H192" s="4">
        <v>150</v>
      </c>
      <c r="I192" s="8" t="s">
        <v>39</v>
      </c>
      <c r="J192" s="4">
        <v>0.74199999999999999</v>
      </c>
      <c r="K192" s="4">
        <v>111.3</v>
      </c>
      <c r="L192" s="8" t="s">
        <v>246</v>
      </c>
      <c r="M192" s="4">
        <v>95.58</v>
      </c>
      <c r="N192" s="8" t="s">
        <v>723</v>
      </c>
      <c r="O192" s="8" t="s">
        <v>724</v>
      </c>
      <c r="P192" s="8" t="s">
        <v>247</v>
      </c>
      <c r="Q192" s="4">
        <v>5637696968</v>
      </c>
    </row>
    <row r="193" spans="1:17" x14ac:dyDescent="0.25">
      <c r="A193" s="8" t="s">
        <v>17</v>
      </c>
      <c r="B193" s="8" t="s">
        <v>722</v>
      </c>
      <c r="C193" s="8" t="s">
        <v>111</v>
      </c>
      <c r="D193" s="8" t="s">
        <v>112</v>
      </c>
      <c r="E193" s="6">
        <v>43083</v>
      </c>
      <c r="F193" s="8" t="s">
        <v>261</v>
      </c>
      <c r="G193" s="8" t="s">
        <v>264</v>
      </c>
      <c r="H193" s="4">
        <v>150</v>
      </c>
      <c r="I193" s="8" t="s">
        <v>39</v>
      </c>
      <c r="J193" s="4">
        <v>0.74199999999999999</v>
      </c>
      <c r="K193" s="4">
        <v>111.3</v>
      </c>
      <c r="L193" s="8" t="s">
        <v>246</v>
      </c>
      <c r="M193" s="4">
        <v>95.58</v>
      </c>
      <c r="N193" s="8" t="s">
        <v>723</v>
      </c>
      <c r="O193" s="8" t="s">
        <v>724</v>
      </c>
      <c r="P193" s="8" t="s">
        <v>247</v>
      </c>
      <c r="Q193" s="4">
        <v>5637696969</v>
      </c>
    </row>
    <row r="194" spans="1:17" x14ac:dyDescent="0.25">
      <c r="A194" s="8" t="s">
        <v>252</v>
      </c>
      <c r="B194" s="8" t="s">
        <v>630</v>
      </c>
      <c r="C194" s="8" t="s">
        <v>111</v>
      </c>
      <c r="D194" s="8" t="s">
        <v>112</v>
      </c>
      <c r="E194" s="6">
        <v>43083</v>
      </c>
      <c r="F194" s="8" t="s">
        <v>261</v>
      </c>
      <c r="G194" s="8" t="s">
        <v>264</v>
      </c>
      <c r="H194" s="4">
        <v>-150</v>
      </c>
      <c r="I194" s="8" t="s">
        <v>39</v>
      </c>
      <c r="J194" s="4">
        <v>0.73756573727700003</v>
      </c>
      <c r="K194" s="4">
        <v>-110.63</v>
      </c>
      <c r="L194" s="8" t="s">
        <v>609</v>
      </c>
      <c r="M194" s="4">
        <v>-110.63</v>
      </c>
      <c r="N194" s="8" t="s">
        <v>631</v>
      </c>
      <c r="O194" s="8" t="s">
        <v>725</v>
      </c>
      <c r="P194" s="8" t="s">
        <v>247</v>
      </c>
      <c r="Q194" s="4">
        <v>5637697316</v>
      </c>
    </row>
    <row r="195" spans="1:17" x14ac:dyDescent="0.25">
      <c r="A195" s="8" t="s">
        <v>252</v>
      </c>
      <c r="B195" s="8" t="s">
        <v>630</v>
      </c>
      <c r="C195" s="8" t="s">
        <v>111</v>
      </c>
      <c r="D195" s="8" t="s">
        <v>112</v>
      </c>
      <c r="E195" s="6">
        <v>43083</v>
      </c>
      <c r="F195" s="8" t="s">
        <v>261</v>
      </c>
      <c r="G195" s="8" t="s">
        <v>264</v>
      </c>
      <c r="H195" s="4">
        <v>-100</v>
      </c>
      <c r="I195" s="8" t="s">
        <v>39</v>
      </c>
      <c r="J195" s="4">
        <v>0.73756573727700003</v>
      </c>
      <c r="K195" s="4">
        <v>-73.760000000000005</v>
      </c>
      <c r="L195" s="8" t="s">
        <v>609</v>
      </c>
      <c r="M195" s="4">
        <v>-73.760000000000005</v>
      </c>
      <c r="N195" s="8" t="s">
        <v>631</v>
      </c>
      <c r="O195" s="8" t="s">
        <v>725</v>
      </c>
      <c r="P195" s="8" t="s">
        <v>247</v>
      </c>
      <c r="Q195" s="4">
        <v>5637697317</v>
      </c>
    </row>
    <row r="196" spans="1:17" x14ac:dyDescent="0.25">
      <c r="A196" s="8" t="s">
        <v>17</v>
      </c>
      <c r="B196" s="8" t="s">
        <v>722</v>
      </c>
      <c r="C196" s="8" t="s">
        <v>111</v>
      </c>
      <c r="D196" s="8" t="s">
        <v>112</v>
      </c>
      <c r="E196" s="6">
        <v>43083</v>
      </c>
      <c r="F196" s="8" t="s">
        <v>261</v>
      </c>
      <c r="G196" s="8" t="s">
        <v>264</v>
      </c>
      <c r="H196" s="4">
        <v>100</v>
      </c>
      <c r="I196" s="8" t="s">
        <v>39</v>
      </c>
      <c r="J196" s="4">
        <v>0.74199999999999999</v>
      </c>
      <c r="K196" s="4">
        <v>74.2</v>
      </c>
      <c r="L196" s="8" t="s">
        <v>246</v>
      </c>
      <c r="M196" s="4">
        <v>63.72</v>
      </c>
      <c r="N196" s="8" t="s">
        <v>723</v>
      </c>
      <c r="O196" s="8" t="s">
        <v>724</v>
      </c>
      <c r="P196" s="8" t="s">
        <v>247</v>
      </c>
      <c r="Q196" s="4">
        <v>5637696970</v>
      </c>
    </row>
    <row r="197" spans="1:17" x14ac:dyDescent="0.25">
      <c r="A197" s="8" t="s">
        <v>17</v>
      </c>
      <c r="B197" s="8" t="s">
        <v>722</v>
      </c>
      <c r="C197" s="8" t="s">
        <v>111</v>
      </c>
      <c r="D197" s="8" t="s">
        <v>112</v>
      </c>
      <c r="E197" s="6">
        <v>43083</v>
      </c>
      <c r="F197" s="8" t="s">
        <v>261</v>
      </c>
      <c r="G197" s="8" t="s">
        <v>264</v>
      </c>
      <c r="H197" s="4">
        <v>150</v>
      </c>
      <c r="I197" s="8" t="s">
        <v>39</v>
      </c>
      <c r="J197" s="4">
        <v>0.74199999999999999</v>
      </c>
      <c r="K197" s="4">
        <v>111.3</v>
      </c>
      <c r="L197" s="8" t="s">
        <v>246</v>
      </c>
      <c r="M197" s="4">
        <v>95.58</v>
      </c>
      <c r="N197" s="8" t="s">
        <v>723</v>
      </c>
      <c r="O197" s="8" t="s">
        <v>724</v>
      </c>
      <c r="P197" s="8" t="s">
        <v>247</v>
      </c>
      <c r="Q197" s="4">
        <v>5637696971</v>
      </c>
    </row>
    <row r="198" spans="1:17" x14ac:dyDescent="0.25">
      <c r="A198" s="8" t="s">
        <v>252</v>
      </c>
      <c r="B198" s="8" t="s">
        <v>630</v>
      </c>
      <c r="C198" s="8" t="s">
        <v>111</v>
      </c>
      <c r="D198" s="8" t="s">
        <v>112</v>
      </c>
      <c r="E198" s="6">
        <v>43083</v>
      </c>
      <c r="F198" s="8" t="s">
        <v>261</v>
      </c>
      <c r="G198" s="8" t="s">
        <v>264</v>
      </c>
      <c r="H198" s="4">
        <v>-150</v>
      </c>
      <c r="I198" s="8" t="s">
        <v>39</v>
      </c>
      <c r="J198" s="4">
        <v>0.73756573727700003</v>
      </c>
      <c r="K198" s="4">
        <v>-110.63</v>
      </c>
      <c r="L198" s="8" t="s">
        <v>609</v>
      </c>
      <c r="M198" s="4">
        <v>-110.63</v>
      </c>
      <c r="N198" s="8" t="s">
        <v>631</v>
      </c>
      <c r="O198" s="8" t="s">
        <v>725</v>
      </c>
      <c r="P198" s="8" t="s">
        <v>247</v>
      </c>
      <c r="Q198" s="4">
        <v>5637697318</v>
      </c>
    </row>
    <row r="199" spans="1:17" x14ac:dyDescent="0.25">
      <c r="A199" s="8" t="s">
        <v>252</v>
      </c>
      <c r="B199" s="8" t="s">
        <v>630</v>
      </c>
      <c r="C199" s="8" t="s">
        <v>111</v>
      </c>
      <c r="D199" s="8" t="s">
        <v>112</v>
      </c>
      <c r="E199" s="6">
        <v>43083</v>
      </c>
      <c r="F199" s="8" t="s">
        <v>261</v>
      </c>
      <c r="G199" s="8" t="s">
        <v>264</v>
      </c>
      <c r="H199" s="4">
        <v>-100</v>
      </c>
      <c r="I199" s="8" t="s">
        <v>39</v>
      </c>
      <c r="J199" s="4">
        <v>0.73756573727700003</v>
      </c>
      <c r="K199" s="4">
        <v>-73.760000000000005</v>
      </c>
      <c r="L199" s="8" t="s">
        <v>609</v>
      </c>
      <c r="M199" s="4">
        <v>-73.760000000000005</v>
      </c>
      <c r="N199" s="8" t="s">
        <v>631</v>
      </c>
      <c r="O199" s="8" t="s">
        <v>725</v>
      </c>
      <c r="P199" s="8" t="s">
        <v>247</v>
      </c>
      <c r="Q199" s="4">
        <v>5637697319</v>
      </c>
    </row>
    <row r="200" spans="1:17" x14ac:dyDescent="0.25">
      <c r="A200" s="8" t="s">
        <v>17</v>
      </c>
      <c r="B200" s="8" t="s">
        <v>722</v>
      </c>
      <c r="C200" s="8" t="s">
        <v>111</v>
      </c>
      <c r="D200" s="8" t="s">
        <v>112</v>
      </c>
      <c r="E200" s="6">
        <v>43083</v>
      </c>
      <c r="F200" s="8" t="s">
        <v>261</v>
      </c>
      <c r="G200" s="8" t="s">
        <v>264</v>
      </c>
      <c r="H200" s="4">
        <v>100</v>
      </c>
      <c r="I200" s="8" t="s">
        <v>39</v>
      </c>
      <c r="J200" s="4">
        <v>0.74199999999999999</v>
      </c>
      <c r="K200" s="4">
        <v>74.2</v>
      </c>
      <c r="L200" s="8" t="s">
        <v>246</v>
      </c>
      <c r="M200" s="4">
        <v>63.72</v>
      </c>
      <c r="N200" s="8" t="s">
        <v>723</v>
      </c>
      <c r="O200" s="8" t="s">
        <v>724</v>
      </c>
      <c r="P200" s="8" t="s">
        <v>247</v>
      </c>
      <c r="Q200" s="4">
        <v>5637696972</v>
      </c>
    </row>
    <row r="201" spans="1:17" x14ac:dyDescent="0.25">
      <c r="A201" s="8" t="s">
        <v>17</v>
      </c>
      <c r="B201" s="8" t="s">
        <v>722</v>
      </c>
      <c r="C201" s="8" t="s">
        <v>111</v>
      </c>
      <c r="D201" s="8" t="s">
        <v>112</v>
      </c>
      <c r="E201" s="6">
        <v>43083</v>
      </c>
      <c r="F201" s="8" t="s">
        <v>261</v>
      </c>
      <c r="G201" s="8" t="s">
        <v>264</v>
      </c>
      <c r="H201" s="4">
        <v>150</v>
      </c>
      <c r="I201" s="8" t="s">
        <v>39</v>
      </c>
      <c r="J201" s="4">
        <v>0.74199999999999999</v>
      </c>
      <c r="K201" s="4">
        <v>111.3</v>
      </c>
      <c r="L201" s="8" t="s">
        <v>246</v>
      </c>
      <c r="M201" s="4">
        <v>95.58</v>
      </c>
      <c r="N201" s="8" t="s">
        <v>723</v>
      </c>
      <c r="O201" s="8" t="s">
        <v>724</v>
      </c>
      <c r="P201" s="8" t="s">
        <v>247</v>
      </c>
      <c r="Q201" s="4">
        <v>5637696973</v>
      </c>
    </row>
    <row r="202" spans="1:17" x14ac:dyDescent="0.25">
      <c r="A202" s="8" t="s">
        <v>252</v>
      </c>
      <c r="B202" s="8" t="s">
        <v>630</v>
      </c>
      <c r="C202" s="8" t="s">
        <v>111</v>
      </c>
      <c r="D202" s="8" t="s">
        <v>112</v>
      </c>
      <c r="E202" s="6">
        <v>43083</v>
      </c>
      <c r="F202" s="8" t="s">
        <v>261</v>
      </c>
      <c r="G202" s="8" t="s">
        <v>264</v>
      </c>
      <c r="H202" s="4">
        <v>-150</v>
      </c>
      <c r="I202" s="8" t="s">
        <v>39</v>
      </c>
      <c r="J202" s="4">
        <v>0.73756573727700003</v>
      </c>
      <c r="K202" s="4">
        <v>-110.63</v>
      </c>
      <c r="L202" s="8" t="s">
        <v>609</v>
      </c>
      <c r="M202" s="4">
        <v>-110.63</v>
      </c>
      <c r="N202" s="8" t="s">
        <v>631</v>
      </c>
      <c r="O202" s="8" t="s">
        <v>725</v>
      </c>
      <c r="P202" s="8" t="s">
        <v>247</v>
      </c>
      <c r="Q202" s="4">
        <v>5637697320</v>
      </c>
    </row>
    <row r="203" spans="1:17" x14ac:dyDescent="0.25">
      <c r="A203" s="8" t="s">
        <v>252</v>
      </c>
      <c r="B203" s="8" t="s">
        <v>630</v>
      </c>
      <c r="C203" s="8" t="s">
        <v>111</v>
      </c>
      <c r="D203" s="8" t="s">
        <v>112</v>
      </c>
      <c r="E203" s="6">
        <v>43083</v>
      </c>
      <c r="F203" s="8" t="s">
        <v>261</v>
      </c>
      <c r="G203" s="8" t="s">
        <v>264</v>
      </c>
      <c r="H203" s="4">
        <v>-100</v>
      </c>
      <c r="I203" s="8" t="s">
        <v>39</v>
      </c>
      <c r="J203" s="4">
        <v>0.73756573727700003</v>
      </c>
      <c r="K203" s="4">
        <v>-73.760000000000005</v>
      </c>
      <c r="L203" s="8" t="s">
        <v>609</v>
      </c>
      <c r="M203" s="4">
        <v>-73.760000000000005</v>
      </c>
      <c r="N203" s="8" t="s">
        <v>631</v>
      </c>
      <c r="O203" s="8" t="s">
        <v>725</v>
      </c>
      <c r="P203" s="8" t="s">
        <v>247</v>
      </c>
      <c r="Q203" s="4">
        <v>5637697321</v>
      </c>
    </row>
    <row r="204" spans="1:17" x14ac:dyDescent="0.25">
      <c r="A204" s="8" t="s">
        <v>17</v>
      </c>
      <c r="B204" s="8" t="s">
        <v>722</v>
      </c>
      <c r="C204" s="8" t="s">
        <v>111</v>
      </c>
      <c r="D204" s="8" t="s">
        <v>112</v>
      </c>
      <c r="E204" s="6">
        <v>43083</v>
      </c>
      <c r="F204" s="8" t="s">
        <v>261</v>
      </c>
      <c r="G204" s="8" t="s">
        <v>264</v>
      </c>
      <c r="H204" s="4">
        <v>100</v>
      </c>
      <c r="I204" s="8" t="s">
        <v>39</v>
      </c>
      <c r="J204" s="4">
        <v>0.74199999999999999</v>
      </c>
      <c r="K204" s="4">
        <v>74.2</v>
      </c>
      <c r="L204" s="8" t="s">
        <v>246</v>
      </c>
      <c r="M204" s="4">
        <v>63.72</v>
      </c>
      <c r="N204" s="8" t="s">
        <v>723</v>
      </c>
      <c r="O204" s="8" t="s">
        <v>724</v>
      </c>
      <c r="P204" s="8" t="s">
        <v>247</v>
      </c>
      <c r="Q204" s="4">
        <v>5637696974</v>
      </c>
    </row>
    <row r="205" spans="1:17" x14ac:dyDescent="0.25">
      <c r="A205" s="8" t="s">
        <v>17</v>
      </c>
      <c r="B205" s="8" t="s">
        <v>722</v>
      </c>
      <c r="C205" s="8" t="s">
        <v>111</v>
      </c>
      <c r="D205" s="8" t="s">
        <v>112</v>
      </c>
      <c r="E205" s="6">
        <v>43083</v>
      </c>
      <c r="F205" s="8" t="s">
        <v>261</v>
      </c>
      <c r="G205" s="8" t="s">
        <v>264</v>
      </c>
      <c r="H205" s="4">
        <v>100</v>
      </c>
      <c r="I205" s="8" t="s">
        <v>39</v>
      </c>
      <c r="J205" s="4">
        <v>0.74199999999999999</v>
      </c>
      <c r="K205" s="4">
        <v>74.2</v>
      </c>
      <c r="L205" s="8" t="s">
        <v>246</v>
      </c>
      <c r="M205" s="4">
        <v>63.72</v>
      </c>
      <c r="N205" s="8" t="s">
        <v>723</v>
      </c>
      <c r="O205" s="8" t="s">
        <v>724</v>
      </c>
      <c r="P205" s="8" t="s">
        <v>247</v>
      </c>
      <c r="Q205" s="4">
        <v>5637696975</v>
      </c>
    </row>
    <row r="206" spans="1:17" x14ac:dyDescent="0.25">
      <c r="A206" s="8" t="s">
        <v>252</v>
      </c>
      <c r="B206" s="8" t="s">
        <v>630</v>
      </c>
      <c r="C206" s="8" t="s">
        <v>111</v>
      </c>
      <c r="D206" s="8" t="s">
        <v>112</v>
      </c>
      <c r="E206" s="6">
        <v>43083</v>
      </c>
      <c r="F206" s="8" t="s">
        <v>261</v>
      </c>
      <c r="G206" s="8" t="s">
        <v>264</v>
      </c>
      <c r="H206" s="4">
        <v>-100</v>
      </c>
      <c r="I206" s="8" t="s">
        <v>39</v>
      </c>
      <c r="J206" s="4">
        <v>0.73756573727700003</v>
      </c>
      <c r="K206" s="4">
        <v>-73.760000000000005</v>
      </c>
      <c r="L206" s="8" t="s">
        <v>609</v>
      </c>
      <c r="M206" s="4">
        <v>-73.760000000000005</v>
      </c>
      <c r="N206" s="8" t="s">
        <v>631</v>
      </c>
      <c r="O206" s="8" t="s">
        <v>725</v>
      </c>
      <c r="P206" s="8" t="s">
        <v>247</v>
      </c>
      <c r="Q206" s="4">
        <v>5637697323</v>
      </c>
    </row>
    <row r="207" spans="1:17" x14ac:dyDescent="0.25">
      <c r="A207" s="8" t="s">
        <v>252</v>
      </c>
      <c r="B207" s="8" t="s">
        <v>630</v>
      </c>
      <c r="C207" s="8" t="s">
        <v>111</v>
      </c>
      <c r="D207" s="8" t="s">
        <v>112</v>
      </c>
      <c r="E207" s="6">
        <v>43083</v>
      </c>
      <c r="F207" s="8" t="s">
        <v>261</v>
      </c>
      <c r="G207" s="8" t="s">
        <v>264</v>
      </c>
      <c r="H207" s="4">
        <v>-100</v>
      </c>
      <c r="I207" s="8" t="s">
        <v>39</v>
      </c>
      <c r="J207" s="4">
        <v>0.73756573727700003</v>
      </c>
      <c r="K207" s="4">
        <v>-73.760000000000005</v>
      </c>
      <c r="L207" s="8" t="s">
        <v>609</v>
      </c>
      <c r="M207" s="4">
        <v>-73.760000000000005</v>
      </c>
      <c r="N207" s="8" t="s">
        <v>631</v>
      </c>
      <c r="O207" s="8" t="s">
        <v>725</v>
      </c>
      <c r="P207" s="8" t="s">
        <v>247</v>
      </c>
      <c r="Q207" s="4">
        <v>5637697325</v>
      </c>
    </row>
    <row r="208" spans="1:17" x14ac:dyDescent="0.25">
      <c r="A208" s="8" t="s">
        <v>17</v>
      </c>
      <c r="B208" s="8" t="s">
        <v>722</v>
      </c>
      <c r="C208" s="8" t="s">
        <v>111</v>
      </c>
      <c r="D208" s="8" t="s">
        <v>112</v>
      </c>
      <c r="E208" s="6">
        <v>43083</v>
      </c>
      <c r="F208" s="8" t="s">
        <v>261</v>
      </c>
      <c r="G208" s="8" t="s">
        <v>264</v>
      </c>
      <c r="H208" s="4">
        <v>100</v>
      </c>
      <c r="I208" s="8" t="s">
        <v>39</v>
      </c>
      <c r="J208" s="4">
        <v>0.74199999999999999</v>
      </c>
      <c r="K208" s="4">
        <v>74.2</v>
      </c>
      <c r="L208" s="8" t="s">
        <v>246</v>
      </c>
      <c r="M208" s="4">
        <v>63.72</v>
      </c>
      <c r="N208" s="8" t="s">
        <v>723</v>
      </c>
      <c r="O208" s="8" t="s">
        <v>724</v>
      </c>
      <c r="P208" s="8" t="s">
        <v>247</v>
      </c>
      <c r="Q208" s="4">
        <v>5637696976</v>
      </c>
    </row>
    <row r="209" spans="1:17" x14ac:dyDescent="0.25">
      <c r="A209" s="8" t="s">
        <v>17</v>
      </c>
      <c r="B209" s="8" t="s">
        <v>722</v>
      </c>
      <c r="C209" s="8" t="s">
        <v>111</v>
      </c>
      <c r="D209" s="8" t="s">
        <v>112</v>
      </c>
      <c r="E209" s="6">
        <v>43083</v>
      </c>
      <c r="F209" s="8" t="s">
        <v>261</v>
      </c>
      <c r="G209" s="8" t="s">
        <v>264</v>
      </c>
      <c r="H209" s="4">
        <v>100</v>
      </c>
      <c r="I209" s="8" t="s">
        <v>39</v>
      </c>
      <c r="J209" s="4">
        <v>0.74199999999999999</v>
      </c>
      <c r="K209" s="4">
        <v>74.2</v>
      </c>
      <c r="L209" s="8" t="s">
        <v>246</v>
      </c>
      <c r="M209" s="4">
        <v>63.72</v>
      </c>
      <c r="N209" s="8" t="s">
        <v>723</v>
      </c>
      <c r="O209" s="8" t="s">
        <v>724</v>
      </c>
      <c r="P209" s="8" t="s">
        <v>247</v>
      </c>
      <c r="Q209" s="4">
        <v>5637696977</v>
      </c>
    </row>
    <row r="210" spans="1:17" x14ac:dyDescent="0.25">
      <c r="A210" s="8" t="s">
        <v>252</v>
      </c>
      <c r="B210" s="8" t="s">
        <v>630</v>
      </c>
      <c r="C210" s="8" t="s">
        <v>111</v>
      </c>
      <c r="D210" s="8" t="s">
        <v>112</v>
      </c>
      <c r="E210" s="6">
        <v>43083</v>
      </c>
      <c r="F210" s="8" t="s">
        <v>261</v>
      </c>
      <c r="G210" s="8" t="s">
        <v>264</v>
      </c>
      <c r="H210" s="4">
        <v>-100</v>
      </c>
      <c r="I210" s="8" t="s">
        <v>39</v>
      </c>
      <c r="J210" s="4">
        <v>0.73756573727700003</v>
      </c>
      <c r="K210" s="4">
        <v>-73.760000000000005</v>
      </c>
      <c r="L210" s="8" t="s">
        <v>609</v>
      </c>
      <c r="M210" s="4">
        <v>-73.760000000000005</v>
      </c>
      <c r="N210" s="8" t="s">
        <v>631</v>
      </c>
      <c r="O210" s="8" t="s">
        <v>725</v>
      </c>
      <c r="P210" s="8" t="s">
        <v>247</v>
      </c>
      <c r="Q210" s="4">
        <v>5637697327</v>
      </c>
    </row>
    <row r="211" spans="1:17" x14ac:dyDescent="0.25">
      <c r="A211" s="8" t="s">
        <v>252</v>
      </c>
      <c r="B211" s="8" t="s">
        <v>630</v>
      </c>
      <c r="C211" s="8" t="s">
        <v>111</v>
      </c>
      <c r="D211" s="8" t="s">
        <v>112</v>
      </c>
      <c r="E211" s="6">
        <v>43083</v>
      </c>
      <c r="F211" s="8" t="s">
        <v>261</v>
      </c>
      <c r="G211" s="8" t="s">
        <v>264</v>
      </c>
      <c r="H211" s="4">
        <v>-100</v>
      </c>
      <c r="I211" s="8" t="s">
        <v>39</v>
      </c>
      <c r="J211" s="4">
        <v>0.73756573727700003</v>
      </c>
      <c r="K211" s="4">
        <v>-73.760000000000005</v>
      </c>
      <c r="L211" s="8" t="s">
        <v>609</v>
      </c>
      <c r="M211" s="4">
        <v>-73.760000000000005</v>
      </c>
      <c r="N211" s="8" t="s">
        <v>631</v>
      </c>
      <c r="O211" s="8" t="s">
        <v>725</v>
      </c>
      <c r="P211" s="8" t="s">
        <v>247</v>
      </c>
      <c r="Q211" s="4">
        <v>5637697328</v>
      </c>
    </row>
    <row r="212" spans="1:17" x14ac:dyDescent="0.25">
      <c r="A212" s="8" t="s">
        <v>17</v>
      </c>
      <c r="B212" s="8" t="s">
        <v>722</v>
      </c>
      <c r="C212" s="8" t="s">
        <v>111</v>
      </c>
      <c r="D212" s="8" t="s">
        <v>112</v>
      </c>
      <c r="E212" s="6">
        <v>43083</v>
      </c>
      <c r="F212" s="8" t="s">
        <v>261</v>
      </c>
      <c r="G212" s="8" t="s">
        <v>264</v>
      </c>
      <c r="H212" s="4">
        <v>100</v>
      </c>
      <c r="I212" s="8" t="s">
        <v>39</v>
      </c>
      <c r="J212" s="4">
        <v>0.74199999999999999</v>
      </c>
      <c r="K212" s="4">
        <v>74.2</v>
      </c>
      <c r="L212" s="8" t="s">
        <v>246</v>
      </c>
      <c r="M212" s="4">
        <v>63.72</v>
      </c>
      <c r="N212" s="8" t="s">
        <v>723</v>
      </c>
      <c r="O212" s="8" t="s">
        <v>724</v>
      </c>
      <c r="P212" s="8" t="s">
        <v>247</v>
      </c>
      <c r="Q212" s="4">
        <v>5637696978</v>
      </c>
    </row>
    <row r="213" spans="1:17" x14ac:dyDescent="0.25">
      <c r="A213" s="8" t="s">
        <v>17</v>
      </c>
      <c r="B213" s="8" t="s">
        <v>722</v>
      </c>
      <c r="C213" s="8" t="s">
        <v>111</v>
      </c>
      <c r="D213" s="8" t="s">
        <v>112</v>
      </c>
      <c r="E213" s="6">
        <v>43083</v>
      </c>
      <c r="F213" s="8" t="s">
        <v>261</v>
      </c>
      <c r="G213" s="8" t="s">
        <v>264</v>
      </c>
      <c r="H213" s="4">
        <v>100</v>
      </c>
      <c r="I213" s="8" t="s">
        <v>39</v>
      </c>
      <c r="J213" s="4">
        <v>0.74199999999999999</v>
      </c>
      <c r="K213" s="4">
        <v>74.2</v>
      </c>
      <c r="L213" s="8" t="s">
        <v>246</v>
      </c>
      <c r="M213" s="4">
        <v>63.72</v>
      </c>
      <c r="N213" s="8" t="s">
        <v>723</v>
      </c>
      <c r="O213" s="8" t="s">
        <v>724</v>
      </c>
      <c r="P213" s="8" t="s">
        <v>247</v>
      </c>
      <c r="Q213" s="4">
        <v>5637696979</v>
      </c>
    </row>
    <row r="214" spans="1:17" x14ac:dyDescent="0.25">
      <c r="A214" s="8" t="s">
        <v>252</v>
      </c>
      <c r="B214" s="8" t="s">
        <v>630</v>
      </c>
      <c r="C214" s="8" t="s">
        <v>111</v>
      </c>
      <c r="D214" s="8" t="s">
        <v>112</v>
      </c>
      <c r="E214" s="6">
        <v>43083</v>
      </c>
      <c r="F214" s="8" t="s">
        <v>261</v>
      </c>
      <c r="G214" s="8" t="s">
        <v>264</v>
      </c>
      <c r="H214" s="4">
        <v>-100</v>
      </c>
      <c r="I214" s="8" t="s">
        <v>39</v>
      </c>
      <c r="J214" s="4">
        <v>0.73756573727700003</v>
      </c>
      <c r="K214" s="4">
        <v>-73.760000000000005</v>
      </c>
      <c r="L214" s="8" t="s">
        <v>609</v>
      </c>
      <c r="M214" s="4">
        <v>-73.760000000000005</v>
      </c>
      <c r="N214" s="8" t="s">
        <v>631</v>
      </c>
      <c r="O214" s="8" t="s">
        <v>725</v>
      </c>
      <c r="P214" s="8" t="s">
        <v>247</v>
      </c>
      <c r="Q214" s="4">
        <v>5637697330</v>
      </c>
    </row>
    <row r="215" spans="1:17" x14ac:dyDescent="0.25">
      <c r="A215" s="8" t="s">
        <v>252</v>
      </c>
      <c r="B215" s="8" t="s">
        <v>630</v>
      </c>
      <c r="C215" s="8" t="s">
        <v>111</v>
      </c>
      <c r="D215" s="8" t="s">
        <v>112</v>
      </c>
      <c r="E215" s="6">
        <v>43083</v>
      </c>
      <c r="F215" s="8" t="s">
        <v>261</v>
      </c>
      <c r="G215" s="8" t="s">
        <v>264</v>
      </c>
      <c r="H215" s="4">
        <v>-150</v>
      </c>
      <c r="I215" s="8" t="s">
        <v>39</v>
      </c>
      <c r="J215" s="4">
        <v>0.73756573727700003</v>
      </c>
      <c r="K215" s="4">
        <v>-110.63</v>
      </c>
      <c r="L215" s="8" t="s">
        <v>609</v>
      </c>
      <c r="M215" s="4">
        <v>-110.63</v>
      </c>
      <c r="N215" s="8" t="s">
        <v>631</v>
      </c>
      <c r="O215" s="8" t="s">
        <v>725</v>
      </c>
      <c r="P215" s="8" t="s">
        <v>247</v>
      </c>
      <c r="Q215" s="4">
        <v>5637697343</v>
      </c>
    </row>
    <row r="216" spans="1:17" x14ac:dyDescent="0.25">
      <c r="A216" s="8" t="s">
        <v>17</v>
      </c>
      <c r="B216" s="8" t="s">
        <v>722</v>
      </c>
      <c r="C216" s="8" t="s">
        <v>111</v>
      </c>
      <c r="D216" s="8" t="s">
        <v>112</v>
      </c>
      <c r="E216" s="6">
        <v>43083</v>
      </c>
      <c r="F216" s="8" t="s">
        <v>261</v>
      </c>
      <c r="G216" s="8" t="s">
        <v>264</v>
      </c>
      <c r="H216" s="4">
        <v>150</v>
      </c>
      <c r="I216" s="8" t="s">
        <v>39</v>
      </c>
      <c r="J216" s="4">
        <v>0.74199999999999999</v>
      </c>
      <c r="K216" s="4">
        <v>111.3</v>
      </c>
      <c r="L216" s="8" t="s">
        <v>246</v>
      </c>
      <c r="M216" s="4">
        <v>95.58</v>
      </c>
      <c r="N216" s="8" t="s">
        <v>723</v>
      </c>
      <c r="O216" s="8" t="s">
        <v>724</v>
      </c>
      <c r="P216" s="8" t="s">
        <v>247</v>
      </c>
      <c r="Q216" s="4">
        <v>5637696980</v>
      </c>
    </row>
    <row r="217" spans="1:17" x14ac:dyDescent="0.25">
      <c r="A217" s="8" t="s">
        <v>17</v>
      </c>
      <c r="B217" s="8" t="s">
        <v>722</v>
      </c>
      <c r="C217" s="8" t="s">
        <v>111</v>
      </c>
      <c r="D217" s="8" t="s">
        <v>112</v>
      </c>
      <c r="E217" s="6">
        <v>43083</v>
      </c>
      <c r="F217" s="8" t="s">
        <v>261</v>
      </c>
      <c r="G217" s="8" t="s">
        <v>264</v>
      </c>
      <c r="H217" s="4">
        <v>150</v>
      </c>
      <c r="I217" s="8" t="s">
        <v>39</v>
      </c>
      <c r="J217" s="4">
        <v>0.74199999999999999</v>
      </c>
      <c r="K217" s="4">
        <v>111.3</v>
      </c>
      <c r="L217" s="8" t="s">
        <v>246</v>
      </c>
      <c r="M217" s="4">
        <v>95.58</v>
      </c>
      <c r="N217" s="8" t="s">
        <v>723</v>
      </c>
      <c r="O217" s="8" t="s">
        <v>724</v>
      </c>
      <c r="P217" s="8" t="s">
        <v>247</v>
      </c>
      <c r="Q217" s="4">
        <v>5637696981</v>
      </c>
    </row>
    <row r="218" spans="1:17" x14ac:dyDescent="0.25">
      <c r="A218" s="8" t="s">
        <v>252</v>
      </c>
      <c r="B218" s="8" t="s">
        <v>630</v>
      </c>
      <c r="C218" s="8" t="s">
        <v>111</v>
      </c>
      <c r="D218" s="8" t="s">
        <v>112</v>
      </c>
      <c r="E218" s="6">
        <v>43083</v>
      </c>
      <c r="F218" s="8" t="s">
        <v>261</v>
      </c>
      <c r="G218" s="8" t="s">
        <v>264</v>
      </c>
      <c r="H218" s="4">
        <v>-150</v>
      </c>
      <c r="I218" s="8" t="s">
        <v>39</v>
      </c>
      <c r="J218" s="4">
        <v>0.73756573727700003</v>
      </c>
      <c r="K218" s="4">
        <v>-110.63</v>
      </c>
      <c r="L218" s="8" t="s">
        <v>609</v>
      </c>
      <c r="M218" s="4">
        <v>-110.63</v>
      </c>
      <c r="N218" s="8" t="s">
        <v>631</v>
      </c>
      <c r="O218" s="8" t="s">
        <v>725</v>
      </c>
      <c r="P218" s="8" t="s">
        <v>247</v>
      </c>
      <c r="Q218" s="4">
        <v>5637685392</v>
      </c>
    </row>
    <row r="219" spans="1:17" x14ac:dyDescent="0.25">
      <c r="A219" s="8" t="s">
        <v>252</v>
      </c>
      <c r="B219" s="8" t="s">
        <v>630</v>
      </c>
      <c r="C219" s="8" t="s">
        <v>111</v>
      </c>
      <c r="D219" s="8" t="s">
        <v>112</v>
      </c>
      <c r="E219" s="6">
        <v>43083</v>
      </c>
      <c r="F219" s="8" t="s">
        <v>261</v>
      </c>
      <c r="G219" s="8" t="s">
        <v>264</v>
      </c>
      <c r="H219" s="4">
        <v>-100</v>
      </c>
      <c r="I219" s="8" t="s">
        <v>39</v>
      </c>
      <c r="J219" s="4">
        <v>0.73756573727700003</v>
      </c>
      <c r="K219" s="4">
        <v>-73.760000000000005</v>
      </c>
      <c r="L219" s="8" t="s">
        <v>609</v>
      </c>
      <c r="M219" s="4">
        <v>-73.760000000000005</v>
      </c>
      <c r="N219" s="8" t="s">
        <v>631</v>
      </c>
      <c r="O219" s="8" t="s">
        <v>725</v>
      </c>
      <c r="P219" s="8" t="s">
        <v>247</v>
      </c>
      <c r="Q219" s="4">
        <v>5637697342</v>
      </c>
    </row>
    <row r="220" spans="1:17" x14ac:dyDescent="0.25">
      <c r="A220" s="8" t="s">
        <v>17</v>
      </c>
      <c r="B220" s="8" t="s">
        <v>722</v>
      </c>
      <c r="C220" s="8" t="s">
        <v>111</v>
      </c>
      <c r="D220" s="8" t="s">
        <v>112</v>
      </c>
      <c r="E220" s="6">
        <v>43083</v>
      </c>
      <c r="F220" s="8" t="s">
        <v>261</v>
      </c>
      <c r="G220" s="8" t="s">
        <v>264</v>
      </c>
      <c r="H220" s="4">
        <v>100</v>
      </c>
      <c r="I220" s="8" t="s">
        <v>39</v>
      </c>
      <c r="J220" s="4">
        <v>0.74199999999999999</v>
      </c>
      <c r="K220" s="4">
        <v>74.2</v>
      </c>
      <c r="L220" s="8" t="s">
        <v>246</v>
      </c>
      <c r="M220" s="4">
        <v>63.72</v>
      </c>
      <c r="N220" s="8" t="s">
        <v>723</v>
      </c>
      <c r="O220" s="8" t="s">
        <v>724</v>
      </c>
      <c r="P220" s="8" t="s">
        <v>247</v>
      </c>
      <c r="Q220" s="4">
        <v>5637696982</v>
      </c>
    </row>
    <row r="221" spans="1:17" x14ac:dyDescent="0.25">
      <c r="A221" s="8" t="s">
        <v>17</v>
      </c>
      <c r="B221" s="8" t="s">
        <v>722</v>
      </c>
      <c r="C221" s="8" t="s">
        <v>111</v>
      </c>
      <c r="D221" s="8" t="s">
        <v>112</v>
      </c>
      <c r="E221" s="6">
        <v>43083</v>
      </c>
      <c r="F221" s="8" t="s">
        <v>261</v>
      </c>
      <c r="G221" s="8" t="s">
        <v>264</v>
      </c>
      <c r="H221" s="4">
        <v>100</v>
      </c>
      <c r="I221" s="8" t="s">
        <v>39</v>
      </c>
      <c r="J221" s="4">
        <v>0.74199999999999999</v>
      </c>
      <c r="K221" s="4">
        <v>74.2</v>
      </c>
      <c r="L221" s="8" t="s">
        <v>246</v>
      </c>
      <c r="M221" s="4">
        <v>63.72</v>
      </c>
      <c r="N221" s="8" t="s">
        <v>723</v>
      </c>
      <c r="O221" s="8" t="s">
        <v>724</v>
      </c>
      <c r="P221" s="8" t="s">
        <v>247</v>
      </c>
      <c r="Q221" s="4">
        <v>5637696983</v>
      </c>
    </row>
    <row r="222" spans="1:17" x14ac:dyDescent="0.25">
      <c r="A222" s="8" t="s">
        <v>252</v>
      </c>
      <c r="B222" s="8" t="s">
        <v>630</v>
      </c>
      <c r="C222" s="8" t="s">
        <v>111</v>
      </c>
      <c r="D222" s="8" t="s">
        <v>112</v>
      </c>
      <c r="E222" s="6">
        <v>43083</v>
      </c>
      <c r="F222" s="8" t="s">
        <v>261</v>
      </c>
      <c r="G222" s="8" t="s">
        <v>264</v>
      </c>
      <c r="H222" s="4">
        <v>-100</v>
      </c>
      <c r="I222" s="8" t="s">
        <v>39</v>
      </c>
      <c r="J222" s="4">
        <v>0.73756573727700003</v>
      </c>
      <c r="K222" s="4">
        <v>-73.760000000000005</v>
      </c>
      <c r="L222" s="8" t="s">
        <v>609</v>
      </c>
      <c r="M222" s="4">
        <v>-73.760000000000005</v>
      </c>
      <c r="N222" s="8" t="s">
        <v>631</v>
      </c>
      <c r="O222" s="8" t="s">
        <v>725</v>
      </c>
      <c r="P222" s="8" t="s">
        <v>247</v>
      </c>
      <c r="Q222" s="4">
        <v>5637697335</v>
      </c>
    </row>
    <row r="223" spans="1:17" x14ac:dyDescent="0.25">
      <c r="A223" s="8" t="s">
        <v>252</v>
      </c>
      <c r="B223" s="8" t="s">
        <v>630</v>
      </c>
      <c r="C223" s="8" t="s">
        <v>111</v>
      </c>
      <c r="D223" s="8" t="s">
        <v>112</v>
      </c>
      <c r="E223" s="6">
        <v>43083</v>
      </c>
      <c r="F223" s="8" t="s">
        <v>261</v>
      </c>
      <c r="G223" s="8" t="s">
        <v>264</v>
      </c>
      <c r="H223" s="4">
        <v>-150</v>
      </c>
      <c r="I223" s="8" t="s">
        <v>39</v>
      </c>
      <c r="J223" s="4">
        <v>0.73756573727700003</v>
      </c>
      <c r="K223" s="4">
        <v>-110.63</v>
      </c>
      <c r="L223" s="8" t="s">
        <v>609</v>
      </c>
      <c r="M223" s="4">
        <v>-110.63</v>
      </c>
      <c r="N223" s="8" t="s">
        <v>631</v>
      </c>
      <c r="O223" s="8" t="s">
        <v>725</v>
      </c>
      <c r="P223" s="8" t="s">
        <v>247</v>
      </c>
      <c r="Q223" s="4">
        <v>5637697334</v>
      </c>
    </row>
    <row r="224" spans="1:17" x14ac:dyDescent="0.25">
      <c r="A224" s="8" t="s">
        <v>17</v>
      </c>
      <c r="B224" s="8" t="s">
        <v>722</v>
      </c>
      <c r="C224" s="8" t="s">
        <v>111</v>
      </c>
      <c r="D224" s="8" t="s">
        <v>112</v>
      </c>
      <c r="E224" s="6">
        <v>43083</v>
      </c>
      <c r="F224" s="8" t="s">
        <v>261</v>
      </c>
      <c r="G224" s="8" t="s">
        <v>264</v>
      </c>
      <c r="H224" s="4">
        <v>150</v>
      </c>
      <c r="I224" s="8" t="s">
        <v>39</v>
      </c>
      <c r="J224" s="4">
        <v>0.74199999999999999</v>
      </c>
      <c r="K224" s="4">
        <v>111.3</v>
      </c>
      <c r="L224" s="8" t="s">
        <v>246</v>
      </c>
      <c r="M224" s="4">
        <v>95.58</v>
      </c>
      <c r="N224" s="8" t="s">
        <v>723</v>
      </c>
      <c r="O224" s="8" t="s">
        <v>724</v>
      </c>
      <c r="P224" s="8" t="s">
        <v>247</v>
      </c>
      <c r="Q224" s="4">
        <v>5637696984</v>
      </c>
    </row>
    <row r="225" spans="1:17" x14ac:dyDescent="0.25">
      <c r="A225" s="8" t="s">
        <v>17</v>
      </c>
      <c r="B225" s="8" t="s">
        <v>722</v>
      </c>
      <c r="C225" s="8" t="s">
        <v>111</v>
      </c>
      <c r="D225" s="8" t="s">
        <v>112</v>
      </c>
      <c r="E225" s="6">
        <v>43083</v>
      </c>
      <c r="F225" s="8" t="s">
        <v>261</v>
      </c>
      <c r="G225" s="8" t="s">
        <v>264</v>
      </c>
      <c r="H225" s="4">
        <v>150</v>
      </c>
      <c r="I225" s="8" t="s">
        <v>39</v>
      </c>
      <c r="J225" s="4">
        <v>0.74199999999999999</v>
      </c>
      <c r="K225" s="4">
        <v>111.3</v>
      </c>
      <c r="L225" s="8" t="s">
        <v>246</v>
      </c>
      <c r="M225" s="4">
        <v>95.58</v>
      </c>
      <c r="N225" s="8" t="s">
        <v>723</v>
      </c>
      <c r="O225" s="8" t="s">
        <v>724</v>
      </c>
      <c r="P225" s="8" t="s">
        <v>247</v>
      </c>
      <c r="Q225" s="4">
        <v>5637696985</v>
      </c>
    </row>
    <row r="226" spans="1:17" x14ac:dyDescent="0.25">
      <c r="A226" s="8" t="s">
        <v>252</v>
      </c>
      <c r="B226" s="8" t="s">
        <v>630</v>
      </c>
      <c r="C226" s="8" t="s">
        <v>111</v>
      </c>
      <c r="D226" s="8" t="s">
        <v>112</v>
      </c>
      <c r="E226" s="6">
        <v>43083</v>
      </c>
      <c r="F226" s="8" t="s">
        <v>261</v>
      </c>
      <c r="G226" s="8" t="s">
        <v>264</v>
      </c>
      <c r="H226" s="4">
        <v>-150</v>
      </c>
      <c r="I226" s="8" t="s">
        <v>39</v>
      </c>
      <c r="J226" s="4">
        <v>0.73756573727700003</v>
      </c>
      <c r="K226" s="4">
        <v>-110.63</v>
      </c>
      <c r="L226" s="8" t="s">
        <v>609</v>
      </c>
      <c r="M226" s="4">
        <v>-110.63</v>
      </c>
      <c r="N226" s="8" t="s">
        <v>631</v>
      </c>
      <c r="O226" s="8" t="s">
        <v>725</v>
      </c>
      <c r="P226" s="8" t="s">
        <v>247</v>
      </c>
      <c r="Q226" s="4">
        <v>5637697333</v>
      </c>
    </row>
    <row r="227" spans="1:17" x14ac:dyDescent="0.25">
      <c r="A227" s="8" t="s">
        <v>252</v>
      </c>
      <c r="B227" s="8" t="s">
        <v>630</v>
      </c>
      <c r="C227" s="8" t="s">
        <v>111</v>
      </c>
      <c r="D227" s="8" t="s">
        <v>112</v>
      </c>
      <c r="E227" s="6">
        <v>43083</v>
      </c>
      <c r="F227" s="8" t="s">
        <v>261</v>
      </c>
      <c r="G227" s="8" t="s">
        <v>264</v>
      </c>
      <c r="H227" s="4">
        <v>-150</v>
      </c>
      <c r="I227" s="8" t="s">
        <v>39</v>
      </c>
      <c r="J227" s="4">
        <v>0.73756573727700003</v>
      </c>
      <c r="K227" s="4">
        <v>-110.63</v>
      </c>
      <c r="L227" s="8" t="s">
        <v>609</v>
      </c>
      <c r="M227" s="4">
        <v>-110.63</v>
      </c>
      <c r="N227" s="8" t="s">
        <v>631</v>
      </c>
      <c r="O227" s="8" t="s">
        <v>725</v>
      </c>
      <c r="P227" s="8" t="s">
        <v>247</v>
      </c>
      <c r="Q227" s="4">
        <v>5637697332</v>
      </c>
    </row>
    <row r="228" spans="1:17" x14ac:dyDescent="0.25">
      <c r="A228" s="8" t="s">
        <v>17</v>
      </c>
      <c r="B228" s="8" t="s">
        <v>722</v>
      </c>
      <c r="C228" s="8" t="s">
        <v>111</v>
      </c>
      <c r="D228" s="8" t="s">
        <v>112</v>
      </c>
      <c r="E228" s="6">
        <v>43083</v>
      </c>
      <c r="F228" s="8" t="s">
        <v>261</v>
      </c>
      <c r="G228" s="8" t="s">
        <v>264</v>
      </c>
      <c r="H228" s="4">
        <v>150</v>
      </c>
      <c r="I228" s="8" t="s">
        <v>39</v>
      </c>
      <c r="J228" s="4">
        <v>0.74199999999999999</v>
      </c>
      <c r="K228" s="4">
        <v>111.3</v>
      </c>
      <c r="L228" s="8" t="s">
        <v>246</v>
      </c>
      <c r="M228" s="4">
        <v>95.58</v>
      </c>
      <c r="N228" s="8" t="s">
        <v>723</v>
      </c>
      <c r="O228" s="8" t="s">
        <v>724</v>
      </c>
      <c r="P228" s="8" t="s">
        <v>247</v>
      </c>
      <c r="Q228" s="4">
        <v>5637696986</v>
      </c>
    </row>
    <row r="229" spans="1:17" x14ac:dyDescent="0.25">
      <c r="A229" s="8" t="s">
        <v>17</v>
      </c>
      <c r="B229" s="8" t="s">
        <v>722</v>
      </c>
      <c r="C229" s="8" t="s">
        <v>111</v>
      </c>
      <c r="D229" s="8" t="s">
        <v>112</v>
      </c>
      <c r="E229" s="6">
        <v>43083</v>
      </c>
      <c r="F229" s="8" t="s">
        <v>261</v>
      </c>
      <c r="G229" s="8" t="s">
        <v>264</v>
      </c>
      <c r="H229" s="4">
        <v>150</v>
      </c>
      <c r="I229" s="8" t="s">
        <v>39</v>
      </c>
      <c r="J229" s="4">
        <v>0.74219999999999997</v>
      </c>
      <c r="K229" s="4">
        <v>111.33</v>
      </c>
      <c r="L229" s="8" t="s">
        <v>246</v>
      </c>
      <c r="M229" s="4">
        <v>95.58</v>
      </c>
      <c r="N229" s="8" t="s">
        <v>723</v>
      </c>
      <c r="O229" s="8" t="s">
        <v>724</v>
      </c>
      <c r="P229" s="8" t="s">
        <v>247</v>
      </c>
      <c r="Q229" s="4">
        <v>5637685413</v>
      </c>
    </row>
    <row r="230" spans="1:17" x14ac:dyDescent="0.25">
      <c r="A230" s="8" t="s">
        <v>252</v>
      </c>
      <c r="B230" s="8" t="s">
        <v>630</v>
      </c>
      <c r="C230" s="8" t="s">
        <v>111</v>
      </c>
      <c r="D230" s="8" t="s">
        <v>112</v>
      </c>
      <c r="E230" s="6">
        <v>43083</v>
      </c>
      <c r="F230" s="8" t="s">
        <v>261</v>
      </c>
      <c r="G230" s="8" t="s">
        <v>264</v>
      </c>
      <c r="H230" s="4">
        <v>-150</v>
      </c>
      <c r="I230" s="8" t="s">
        <v>39</v>
      </c>
      <c r="J230" s="4">
        <v>0.73756573727700003</v>
      </c>
      <c r="K230" s="4">
        <v>-110.63</v>
      </c>
      <c r="L230" s="8" t="s">
        <v>609</v>
      </c>
      <c r="M230" s="4">
        <v>-110.63</v>
      </c>
      <c r="N230" s="8" t="s">
        <v>631</v>
      </c>
      <c r="O230" s="8" t="s">
        <v>725</v>
      </c>
      <c r="P230" s="8" t="s">
        <v>247</v>
      </c>
      <c r="Q230" s="4">
        <v>5637697331</v>
      </c>
    </row>
    <row r="231" spans="1:17" x14ac:dyDescent="0.25">
      <c r="A231" s="8" t="s">
        <v>252</v>
      </c>
      <c r="B231" s="8" t="s">
        <v>726</v>
      </c>
      <c r="C231" s="8" t="s">
        <v>111</v>
      </c>
      <c r="D231" s="8" t="s">
        <v>112</v>
      </c>
      <c r="E231" s="6">
        <v>43087</v>
      </c>
      <c r="F231" s="8" t="s">
        <v>261</v>
      </c>
      <c r="G231" s="8" t="s">
        <v>264</v>
      </c>
      <c r="H231" s="4">
        <v>-8</v>
      </c>
      <c r="I231" s="8" t="s">
        <v>39</v>
      </c>
      <c r="J231" s="4">
        <v>0.73744035887299997</v>
      </c>
      <c r="K231" s="4">
        <v>-5.9</v>
      </c>
      <c r="L231" s="8" t="s">
        <v>609</v>
      </c>
      <c r="M231" s="4">
        <v>-5.9</v>
      </c>
      <c r="N231" s="8" t="s">
        <v>727</v>
      </c>
      <c r="O231" s="8" t="s">
        <v>728</v>
      </c>
      <c r="P231" s="8" t="s">
        <v>247</v>
      </c>
      <c r="Q231" s="4">
        <v>5637697465</v>
      </c>
    </row>
    <row r="232" spans="1:17" x14ac:dyDescent="0.25">
      <c r="A232" s="8" t="s">
        <v>252</v>
      </c>
      <c r="B232" s="8" t="s">
        <v>729</v>
      </c>
      <c r="C232" s="8" t="s">
        <v>111</v>
      </c>
      <c r="D232" s="8" t="s">
        <v>112</v>
      </c>
      <c r="E232" s="6">
        <v>43091</v>
      </c>
      <c r="F232" s="8" t="s">
        <v>261</v>
      </c>
      <c r="G232" s="8" t="s">
        <v>264</v>
      </c>
      <c r="H232" s="4">
        <v>-11.2</v>
      </c>
      <c r="I232" s="8" t="s">
        <v>39</v>
      </c>
      <c r="J232" s="4">
        <v>0.73743884340800003</v>
      </c>
      <c r="K232" s="4">
        <v>-8.26</v>
      </c>
      <c r="L232" s="8" t="s">
        <v>609</v>
      </c>
      <c r="M232" s="4">
        <v>-8.26</v>
      </c>
      <c r="N232" s="8" t="s">
        <v>730</v>
      </c>
      <c r="O232" s="8" t="s">
        <v>731</v>
      </c>
      <c r="P232" s="8" t="s">
        <v>247</v>
      </c>
      <c r="Q232" s="4">
        <v>5637698976</v>
      </c>
    </row>
    <row r="233" spans="1:17" x14ac:dyDescent="0.25">
      <c r="A233" s="8" t="s">
        <v>607</v>
      </c>
      <c r="B233" s="8" t="s">
        <v>81</v>
      </c>
      <c r="C233" s="8" t="s">
        <v>111</v>
      </c>
      <c r="D233" s="8" t="s">
        <v>112</v>
      </c>
      <c r="E233" s="6">
        <v>43096</v>
      </c>
      <c r="F233" s="8" t="s">
        <v>261</v>
      </c>
      <c r="G233" s="8" t="s">
        <v>264</v>
      </c>
      <c r="H233" s="4">
        <v>-14.84</v>
      </c>
      <c r="I233" s="8" t="s">
        <v>39</v>
      </c>
      <c r="J233" s="4">
        <v>0.73743999999999998</v>
      </c>
      <c r="K233" s="4">
        <v>-10.94</v>
      </c>
      <c r="L233" s="8" t="s">
        <v>609</v>
      </c>
      <c r="M233" s="4">
        <v>-10.94</v>
      </c>
      <c r="N233" s="8" t="s">
        <v>610</v>
      </c>
      <c r="O233" s="8" t="s">
        <v>732</v>
      </c>
      <c r="P233" s="8" t="s">
        <v>247</v>
      </c>
      <c r="Q233" s="4">
        <v>0</v>
      </c>
    </row>
    <row r="234" spans="1:17" x14ac:dyDescent="0.25">
      <c r="A234" s="8" t="s">
        <v>252</v>
      </c>
      <c r="B234" s="8" t="s">
        <v>733</v>
      </c>
      <c r="C234" s="8" t="s">
        <v>56</v>
      </c>
      <c r="D234" s="8" t="s">
        <v>126</v>
      </c>
      <c r="E234" s="6">
        <v>43083</v>
      </c>
      <c r="F234" s="8" t="s">
        <v>261</v>
      </c>
      <c r="G234" s="8" t="s">
        <v>264</v>
      </c>
      <c r="H234" s="4">
        <v>150</v>
      </c>
      <c r="I234" s="8" t="s">
        <v>39</v>
      </c>
      <c r="J234" s="4">
        <v>4.1098585817000002E-2</v>
      </c>
      <c r="K234" s="4">
        <v>6.16</v>
      </c>
      <c r="L234" s="8" t="s">
        <v>609</v>
      </c>
      <c r="M234" s="4">
        <v>6.16</v>
      </c>
      <c r="N234" s="8" t="s">
        <v>734</v>
      </c>
      <c r="O234" s="8" t="s">
        <v>735</v>
      </c>
      <c r="P234" s="8" t="s">
        <v>247</v>
      </c>
      <c r="Q234" s="4">
        <v>5637697425</v>
      </c>
    </row>
    <row r="235" spans="1:17" x14ac:dyDescent="0.25">
      <c r="A235" s="8" t="s">
        <v>252</v>
      </c>
      <c r="B235" s="8" t="s">
        <v>736</v>
      </c>
      <c r="C235" s="8" t="s">
        <v>56</v>
      </c>
      <c r="D235" s="8" t="s">
        <v>126</v>
      </c>
      <c r="E235" s="6">
        <v>43084</v>
      </c>
      <c r="F235" s="8" t="s">
        <v>261</v>
      </c>
      <c r="G235" s="8" t="s">
        <v>264</v>
      </c>
      <c r="H235" s="4">
        <v>-150</v>
      </c>
      <c r="I235" s="8" t="s">
        <v>39</v>
      </c>
      <c r="J235" s="4">
        <v>0.11149486845999999</v>
      </c>
      <c r="K235" s="4">
        <v>-16.72</v>
      </c>
      <c r="L235" s="8" t="s">
        <v>609</v>
      </c>
      <c r="M235" s="4">
        <v>-16.72</v>
      </c>
      <c r="N235" s="8" t="s">
        <v>737</v>
      </c>
      <c r="O235" s="8" t="s">
        <v>738</v>
      </c>
      <c r="P235" s="8" t="s">
        <v>247</v>
      </c>
      <c r="Q235" s="4">
        <v>5637697433</v>
      </c>
    </row>
    <row r="236" spans="1:17" x14ac:dyDescent="0.25">
      <c r="A236" s="8" t="s">
        <v>607</v>
      </c>
      <c r="B236" s="8" t="s">
        <v>81</v>
      </c>
      <c r="C236" s="8" t="s">
        <v>56</v>
      </c>
      <c r="D236" s="8" t="s">
        <v>126</v>
      </c>
      <c r="E236" s="6">
        <v>43096</v>
      </c>
      <c r="F236" s="8" t="s">
        <v>261</v>
      </c>
      <c r="G236" s="8" t="s">
        <v>264</v>
      </c>
      <c r="H236" s="4">
        <v>-46.81</v>
      </c>
      <c r="I236" s="8" t="s">
        <v>39</v>
      </c>
      <c r="J236" s="4">
        <v>0.1115</v>
      </c>
      <c r="K236" s="4">
        <v>-5.2200000000000006</v>
      </c>
      <c r="L236" s="8" t="s">
        <v>609</v>
      </c>
      <c r="M236" s="4">
        <v>-5.2200000000000006</v>
      </c>
      <c r="N236" s="8" t="s">
        <v>610</v>
      </c>
      <c r="O236" s="8" t="s">
        <v>739</v>
      </c>
      <c r="P236" s="8" t="s">
        <v>247</v>
      </c>
      <c r="Q236" s="4">
        <v>0</v>
      </c>
    </row>
    <row r="237" spans="1:17" x14ac:dyDescent="0.25">
      <c r="A237" s="8" t="s">
        <v>252</v>
      </c>
      <c r="B237" s="8" t="s">
        <v>740</v>
      </c>
      <c r="C237" s="8" t="s">
        <v>57</v>
      </c>
      <c r="D237" s="8" t="s">
        <v>113</v>
      </c>
      <c r="E237" s="6">
        <v>43083</v>
      </c>
      <c r="F237" s="8" t="s">
        <v>261</v>
      </c>
      <c r="G237" s="8" t="s">
        <v>264</v>
      </c>
      <c r="H237" s="4">
        <v>-48</v>
      </c>
      <c r="I237" s="8" t="s">
        <v>39</v>
      </c>
      <c r="J237" s="4">
        <v>1.4868830564319999</v>
      </c>
      <c r="K237" s="4">
        <v>-71.37</v>
      </c>
      <c r="L237" s="8" t="s">
        <v>609</v>
      </c>
      <c r="M237" s="4">
        <v>-71.37</v>
      </c>
      <c r="N237" s="8" t="s">
        <v>741</v>
      </c>
      <c r="O237" s="8" t="s">
        <v>742</v>
      </c>
      <c r="P237" s="8" t="s">
        <v>247</v>
      </c>
      <c r="Q237" s="4">
        <v>5637696803</v>
      </c>
    </row>
    <row r="238" spans="1:17" x14ac:dyDescent="0.25">
      <c r="A238" s="8" t="s">
        <v>607</v>
      </c>
      <c r="B238" s="8" t="s">
        <v>81</v>
      </c>
      <c r="C238" s="8" t="s">
        <v>57</v>
      </c>
      <c r="D238" s="8" t="s">
        <v>113</v>
      </c>
      <c r="E238" s="6">
        <v>43096</v>
      </c>
      <c r="F238" s="8" t="s">
        <v>261</v>
      </c>
      <c r="G238" s="8" t="s">
        <v>264</v>
      </c>
      <c r="H238" s="4">
        <v>5.35</v>
      </c>
      <c r="I238" s="8" t="s">
        <v>39</v>
      </c>
      <c r="J238" s="4">
        <v>1.48688</v>
      </c>
      <c r="K238" s="4">
        <v>7.95</v>
      </c>
      <c r="L238" s="8" t="s">
        <v>609</v>
      </c>
      <c r="M238" s="4">
        <v>7.95</v>
      </c>
      <c r="N238" s="8" t="s">
        <v>610</v>
      </c>
      <c r="O238" s="8" t="s">
        <v>743</v>
      </c>
      <c r="P238" s="8" t="s">
        <v>247</v>
      </c>
      <c r="Q238" s="4">
        <v>0</v>
      </c>
    </row>
    <row r="239" spans="1:17" x14ac:dyDescent="0.25">
      <c r="A239" s="8" t="s">
        <v>252</v>
      </c>
      <c r="B239" s="8" t="s">
        <v>662</v>
      </c>
      <c r="C239" s="8" t="s">
        <v>97</v>
      </c>
      <c r="D239" s="8" t="s">
        <v>98</v>
      </c>
      <c r="E239" s="6">
        <v>43075</v>
      </c>
      <c r="F239" s="8" t="s">
        <v>261</v>
      </c>
      <c r="G239" s="8" t="s">
        <v>264</v>
      </c>
      <c r="H239" s="4">
        <v>-150</v>
      </c>
      <c r="I239" s="8" t="s">
        <v>39</v>
      </c>
      <c r="J239" s="4">
        <v>1.3092572470379999</v>
      </c>
      <c r="K239" s="4">
        <v>-196.39000000000001</v>
      </c>
      <c r="L239" s="8" t="s">
        <v>609</v>
      </c>
      <c r="M239" s="4">
        <v>-196.39000000000001</v>
      </c>
      <c r="N239" s="8" t="s">
        <v>663</v>
      </c>
      <c r="O239" s="8" t="s">
        <v>744</v>
      </c>
      <c r="P239" s="8" t="s">
        <v>247</v>
      </c>
      <c r="Q239" s="4">
        <v>5637695430</v>
      </c>
    </row>
    <row r="240" spans="1:17" x14ac:dyDescent="0.25">
      <c r="A240" s="8" t="s">
        <v>252</v>
      </c>
      <c r="B240" s="8" t="s">
        <v>662</v>
      </c>
      <c r="C240" s="8" t="s">
        <v>97</v>
      </c>
      <c r="D240" s="8" t="s">
        <v>98</v>
      </c>
      <c r="E240" s="6">
        <v>43075</v>
      </c>
      <c r="F240" s="8" t="s">
        <v>261</v>
      </c>
      <c r="G240" s="8" t="s">
        <v>264</v>
      </c>
      <c r="H240" s="4">
        <v>-150</v>
      </c>
      <c r="I240" s="8" t="s">
        <v>39</v>
      </c>
      <c r="J240" s="4">
        <v>1.3092572470379999</v>
      </c>
      <c r="K240" s="4">
        <v>-196.39000000000001</v>
      </c>
      <c r="L240" s="8" t="s">
        <v>609</v>
      </c>
      <c r="M240" s="4">
        <v>-196.39000000000001</v>
      </c>
      <c r="N240" s="8" t="s">
        <v>663</v>
      </c>
      <c r="O240" s="8" t="s">
        <v>744</v>
      </c>
      <c r="P240" s="8" t="s">
        <v>247</v>
      </c>
      <c r="Q240" s="4">
        <v>5637694965</v>
      </c>
    </row>
    <row r="241" spans="1:17" x14ac:dyDescent="0.25">
      <c r="A241" s="8" t="s">
        <v>252</v>
      </c>
      <c r="B241" s="8" t="s">
        <v>745</v>
      </c>
      <c r="C241" s="8" t="s">
        <v>97</v>
      </c>
      <c r="D241" s="8" t="s">
        <v>98</v>
      </c>
      <c r="E241" s="6">
        <v>43076</v>
      </c>
      <c r="F241" s="8" t="s">
        <v>261</v>
      </c>
      <c r="G241" s="8" t="s">
        <v>264</v>
      </c>
      <c r="H241" s="4">
        <v>-24.55</v>
      </c>
      <c r="I241" s="8" t="s">
        <v>39</v>
      </c>
      <c r="J241" s="4">
        <v>1.309254079569</v>
      </c>
      <c r="K241" s="4">
        <v>-32.14</v>
      </c>
      <c r="L241" s="8" t="s">
        <v>609</v>
      </c>
      <c r="M241" s="4">
        <v>-32.14</v>
      </c>
      <c r="N241" s="8" t="s">
        <v>746</v>
      </c>
      <c r="O241" s="8" t="s">
        <v>748</v>
      </c>
      <c r="P241" s="8" t="s">
        <v>247</v>
      </c>
      <c r="Q241" s="4">
        <v>5637694305</v>
      </c>
    </row>
    <row r="242" spans="1:17" x14ac:dyDescent="0.25">
      <c r="A242" s="8" t="s">
        <v>252</v>
      </c>
      <c r="B242" s="8" t="s">
        <v>745</v>
      </c>
      <c r="C242" s="8" t="s">
        <v>97</v>
      </c>
      <c r="D242" s="8" t="s">
        <v>98</v>
      </c>
      <c r="E242" s="6">
        <v>43076</v>
      </c>
      <c r="F242" s="8" t="s">
        <v>261</v>
      </c>
      <c r="G242" s="8" t="s">
        <v>264</v>
      </c>
      <c r="H242" s="4">
        <v>-38.85</v>
      </c>
      <c r="I242" s="8" t="s">
        <v>39</v>
      </c>
      <c r="J242" s="4">
        <v>1.309254079569</v>
      </c>
      <c r="K242" s="4">
        <v>-50.86</v>
      </c>
      <c r="L242" s="8" t="s">
        <v>609</v>
      </c>
      <c r="M242" s="4">
        <v>-50.86</v>
      </c>
      <c r="N242" s="8" t="s">
        <v>746</v>
      </c>
      <c r="O242" s="8" t="s">
        <v>747</v>
      </c>
      <c r="P242" s="8" t="s">
        <v>247</v>
      </c>
      <c r="Q242" s="4">
        <v>5637694298</v>
      </c>
    </row>
    <row r="243" spans="1:17" x14ac:dyDescent="0.25">
      <c r="A243" s="8" t="s">
        <v>252</v>
      </c>
      <c r="B243" s="8" t="s">
        <v>749</v>
      </c>
      <c r="C243" s="8" t="s">
        <v>97</v>
      </c>
      <c r="D243" s="8" t="s">
        <v>98</v>
      </c>
      <c r="E243" s="6">
        <v>43081</v>
      </c>
      <c r="F243" s="8" t="s">
        <v>261</v>
      </c>
      <c r="G243" s="8" t="s">
        <v>264</v>
      </c>
      <c r="H243" s="4">
        <v>-9.7200000000000006</v>
      </c>
      <c r="I243" s="8" t="s">
        <v>39</v>
      </c>
      <c r="J243" s="4">
        <v>1.3092621743669999</v>
      </c>
      <c r="K243" s="4">
        <v>-12.73</v>
      </c>
      <c r="L243" s="8" t="s">
        <v>609</v>
      </c>
      <c r="M243" s="4">
        <v>-12.73</v>
      </c>
      <c r="N243" s="8" t="s">
        <v>750</v>
      </c>
      <c r="O243" s="8" t="s">
        <v>751</v>
      </c>
      <c r="P243" s="8" t="s">
        <v>247</v>
      </c>
      <c r="Q243" s="4">
        <v>5637696694</v>
      </c>
    </row>
    <row r="244" spans="1:17" x14ac:dyDescent="0.25">
      <c r="A244" s="8" t="s">
        <v>252</v>
      </c>
      <c r="B244" s="8" t="s">
        <v>630</v>
      </c>
      <c r="C244" s="8" t="s">
        <v>97</v>
      </c>
      <c r="D244" s="8" t="s">
        <v>98</v>
      </c>
      <c r="E244" s="6">
        <v>43083</v>
      </c>
      <c r="F244" s="8" t="s">
        <v>261</v>
      </c>
      <c r="G244" s="8" t="s">
        <v>264</v>
      </c>
      <c r="H244" s="4">
        <v>-100</v>
      </c>
      <c r="I244" s="8" t="s">
        <v>39</v>
      </c>
      <c r="J244" s="4">
        <v>1.161966817458</v>
      </c>
      <c r="K244" s="4">
        <v>-116.2</v>
      </c>
      <c r="L244" s="8" t="s">
        <v>609</v>
      </c>
      <c r="M244" s="4">
        <v>-116.2</v>
      </c>
      <c r="N244" s="8" t="s">
        <v>631</v>
      </c>
      <c r="O244" s="8" t="s">
        <v>753</v>
      </c>
      <c r="P244" s="8" t="s">
        <v>247</v>
      </c>
      <c r="Q244" s="4">
        <v>5637697405</v>
      </c>
    </row>
    <row r="245" spans="1:17" x14ac:dyDescent="0.25">
      <c r="A245" s="8" t="s">
        <v>17</v>
      </c>
      <c r="B245" s="8" t="s">
        <v>722</v>
      </c>
      <c r="C245" s="8" t="s">
        <v>97</v>
      </c>
      <c r="D245" s="8" t="s">
        <v>98</v>
      </c>
      <c r="E245" s="6">
        <v>43083</v>
      </c>
      <c r="F245" s="8" t="s">
        <v>261</v>
      </c>
      <c r="G245" s="8" t="s">
        <v>264</v>
      </c>
      <c r="H245" s="4">
        <v>100</v>
      </c>
      <c r="I245" s="8" t="s">
        <v>39</v>
      </c>
      <c r="J245" s="4">
        <v>1.0413000000000001</v>
      </c>
      <c r="K245" s="4">
        <v>104.13</v>
      </c>
      <c r="L245" s="8" t="s">
        <v>246</v>
      </c>
      <c r="M245" s="4">
        <v>89.42</v>
      </c>
      <c r="N245" s="8" t="s">
        <v>723</v>
      </c>
      <c r="O245" s="8" t="s">
        <v>752</v>
      </c>
      <c r="P245" s="8" t="s">
        <v>247</v>
      </c>
      <c r="Q245" s="4">
        <v>5637697034</v>
      </c>
    </row>
    <row r="246" spans="1:17" x14ac:dyDescent="0.25">
      <c r="A246" s="8" t="s">
        <v>17</v>
      </c>
      <c r="B246" s="8" t="s">
        <v>722</v>
      </c>
      <c r="C246" s="8" t="s">
        <v>97</v>
      </c>
      <c r="D246" s="8" t="s">
        <v>98</v>
      </c>
      <c r="E246" s="6">
        <v>43083</v>
      </c>
      <c r="F246" s="8" t="s">
        <v>261</v>
      </c>
      <c r="G246" s="8" t="s">
        <v>264</v>
      </c>
      <c r="H246" s="4">
        <v>150</v>
      </c>
      <c r="I246" s="8" t="s">
        <v>39</v>
      </c>
      <c r="J246" s="4">
        <v>1.0413333333329999</v>
      </c>
      <c r="K246" s="4">
        <v>156.19999999999999</v>
      </c>
      <c r="L246" s="8" t="s">
        <v>246</v>
      </c>
      <c r="M246" s="4">
        <v>134.14000000000001</v>
      </c>
      <c r="N246" s="8" t="s">
        <v>723</v>
      </c>
      <c r="O246" s="8" t="s">
        <v>752</v>
      </c>
      <c r="P246" s="8" t="s">
        <v>247</v>
      </c>
      <c r="Q246" s="4">
        <v>5637697035</v>
      </c>
    </row>
    <row r="247" spans="1:17" x14ac:dyDescent="0.25">
      <c r="A247" s="8" t="s">
        <v>252</v>
      </c>
      <c r="B247" s="8" t="s">
        <v>630</v>
      </c>
      <c r="C247" s="8" t="s">
        <v>97</v>
      </c>
      <c r="D247" s="8" t="s">
        <v>98</v>
      </c>
      <c r="E247" s="6">
        <v>43083</v>
      </c>
      <c r="F247" s="8" t="s">
        <v>261</v>
      </c>
      <c r="G247" s="8" t="s">
        <v>264</v>
      </c>
      <c r="H247" s="4">
        <v>-150</v>
      </c>
      <c r="I247" s="8" t="s">
        <v>39</v>
      </c>
      <c r="J247" s="4">
        <v>1.161966817458</v>
      </c>
      <c r="K247" s="4">
        <v>-174.3</v>
      </c>
      <c r="L247" s="8" t="s">
        <v>609</v>
      </c>
      <c r="M247" s="4">
        <v>-174.3</v>
      </c>
      <c r="N247" s="8" t="s">
        <v>631</v>
      </c>
      <c r="O247" s="8" t="s">
        <v>753</v>
      </c>
      <c r="P247" s="8" t="s">
        <v>247</v>
      </c>
      <c r="Q247" s="4">
        <v>5637697406</v>
      </c>
    </row>
    <row r="248" spans="1:17" x14ac:dyDescent="0.25">
      <c r="A248" s="8" t="s">
        <v>252</v>
      </c>
      <c r="B248" s="8" t="s">
        <v>630</v>
      </c>
      <c r="C248" s="8" t="s">
        <v>97</v>
      </c>
      <c r="D248" s="8" t="s">
        <v>98</v>
      </c>
      <c r="E248" s="6">
        <v>43083</v>
      </c>
      <c r="F248" s="8" t="s">
        <v>261</v>
      </c>
      <c r="G248" s="8" t="s">
        <v>264</v>
      </c>
      <c r="H248" s="4">
        <v>-150</v>
      </c>
      <c r="I248" s="8" t="s">
        <v>39</v>
      </c>
      <c r="J248" s="4">
        <v>1.161966817458</v>
      </c>
      <c r="K248" s="4">
        <v>-174.3</v>
      </c>
      <c r="L248" s="8" t="s">
        <v>609</v>
      </c>
      <c r="M248" s="4">
        <v>-174.3</v>
      </c>
      <c r="N248" s="8" t="s">
        <v>631</v>
      </c>
      <c r="O248" s="8" t="s">
        <v>753</v>
      </c>
      <c r="P248" s="8" t="s">
        <v>247</v>
      </c>
      <c r="Q248" s="4">
        <v>5637697407</v>
      </c>
    </row>
    <row r="249" spans="1:17" x14ac:dyDescent="0.25">
      <c r="A249" s="8" t="s">
        <v>17</v>
      </c>
      <c r="B249" s="8" t="s">
        <v>722</v>
      </c>
      <c r="C249" s="8" t="s">
        <v>97</v>
      </c>
      <c r="D249" s="8" t="s">
        <v>98</v>
      </c>
      <c r="E249" s="6">
        <v>43083</v>
      </c>
      <c r="F249" s="8" t="s">
        <v>261</v>
      </c>
      <c r="G249" s="8" t="s">
        <v>264</v>
      </c>
      <c r="H249" s="4">
        <v>150</v>
      </c>
      <c r="I249" s="8" t="s">
        <v>39</v>
      </c>
      <c r="J249" s="4">
        <v>1.0413333333329999</v>
      </c>
      <c r="K249" s="4">
        <v>156.19999999999999</v>
      </c>
      <c r="L249" s="8" t="s">
        <v>246</v>
      </c>
      <c r="M249" s="4">
        <v>134.14000000000001</v>
      </c>
      <c r="N249" s="8" t="s">
        <v>723</v>
      </c>
      <c r="O249" s="8" t="s">
        <v>752</v>
      </c>
      <c r="P249" s="8" t="s">
        <v>247</v>
      </c>
      <c r="Q249" s="4">
        <v>5637697036</v>
      </c>
    </row>
    <row r="250" spans="1:17" x14ac:dyDescent="0.25">
      <c r="A250" s="8" t="s">
        <v>17</v>
      </c>
      <c r="B250" s="8" t="s">
        <v>722</v>
      </c>
      <c r="C250" s="8" t="s">
        <v>97</v>
      </c>
      <c r="D250" s="8" t="s">
        <v>98</v>
      </c>
      <c r="E250" s="6">
        <v>43083</v>
      </c>
      <c r="F250" s="8" t="s">
        <v>261</v>
      </c>
      <c r="G250" s="8" t="s">
        <v>264</v>
      </c>
      <c r="H250" s="4">
        <v>150</v>
      </c>
      <c r="I250" s="8" t="s">
        <v>39</v>
      </c>
      <c r="J250" s="4">
        <v>1.0413333333329999</v>
      </c>
      <c r="K250" s="4">
        <v>156.19999999999999</v>
      </c>
      <c r="L250" s="8" t="s">
        <v>246</v>
      </c>
      <c r="M250" s="4">
        <v>134.14000000000001</v>
      </c>
      <c r="N250" s="8" t="s">
        <v>723</v>
      </c>
      <c r="O250" s="8" t="s">
        <v>752</v>
      </c>
      <c r="P250" s="8" t="s">
        <v>247</v>
      </c>
      <c r="Q250" s="4">
        <v>5637697037</v>
      </c>
    </row>
    <row r="251" spans="1:17" x14ac:dyDescent="0.25">
      <c r="A251" s="8" t="s">
        <v>252</v>
      </c>
      <c r="B251" s="8" t="s">
        <v>630</v>
      </c>
      <c r="C251" s="8" t="s">
        <v>97</v>
      </c>
      <c r="D251" s="8" t="s">
        <v>98</v>
      </c>
      <c r="E251" s="6">
        <v>43083</v>
      </c>
      <c r="F251" s="8" t="s">
        <v>261</v>
      </c>
      <c r="G251" s="8" t="s">
        <v>264</v>
      </c>
      <c r="H251" s="4">
        <v>-150</v>
      </c>
      <c r="I251" s="8" t="s">
        <v>39</v>
      </c>
      <c r="J251" s="4">
        <v>1.161966817458</v>
      </c>
      <c r="K251" s="4">
        <v>-174.3</v>
      </c>
      <c r="L251" s="8" t="s">
        <v>609</v>
      </c>
      <c r="M251" s="4">
        <v>-174.3</v>
      </c>
      <c r="N251" s="8" t="s">
        <v>631</v>
      </c>
      <c r="O251" s="8" t="s">
        <v>753</v>
      </c>
      <c r="P251" s="8" t="s">
        <v>247</v>
      </c>
      <c r="Q251" s="4">
        <v>5637697408</v>
      </c>
    </row>
    <row r="252" spans="1:17" x14ac:dyDescent="0.25">
      <c r="A252" s="8" t="s">
        <v>252</v>
      </c>
      <c r="B252" s="8" t="s">
        <v>630</v>
      </c>
      <c r="C252" s="8" t="s">
        <v>97</v>
      </c>
      <c r="D252" s="8" t="s">
        <v>98</v>
      </c>
      <c r="E252" s="6">
        <v>43083</v>
      </c>
      <c r="F252" s="8" t="s">
        <v>261</v>
      </c>
      <c r="G252" s="8" t="s">
        <v>264</v>
      </c>
      <c r="H252" s="4">
        <v>-150</v>
      </c>
      <c r="I252" s="8" t="s">
        <v>39</v>
      </c>
      <c r="J252" s="4">
        <v>1.161966817458</v>
      </c>
      <c r="K252" s="4">
        <v>-174.3</v>
      </c>
      <c r="L252" s="8" t="s">
        <v>609</v>
      </c>
      <c r="M252" s="4">
        <v>-174.3</v>
      </c>
      <c r="N252" s="8" t="s">
        <v>631</v>
      </c>
      <c r="O252" s="8" t="s">
        <v>753</v>
      </c>
      <c r="P252" s="8" t="s">
        <v>247</v>
      </c>
      <c r="Q252" s="4">
        <v>5637697409</v>
      </c>
    </row>
    <row r="253" spans="1:17" x14ac:dyDescent="0.25">
      <c r="A253" s="8" t="s">
        <v>17</v>
      </c>
      <c r="B253" s="8" t="s">
        <v>722</v>
      </c>
      <c r="C253" s="8" t="s">
        <v>97</v>
      </c>
      <c r="D253" s="8" t="s">
        <v>98</v>
      </c>
      <c r="E253" s="6">
        <v>43083</v>
      </c>
      <c r="F253" s="8" t="s">
        <v>261</v>
      </c>
      <c r="G253" s="8" t="s">
        <v>264</v>
      </c>
      <c r="H253" s="4">
        <v>150</v>
      </c>
      <c r="I253" s="8" t="s">
        <v>39</v>
      </c>
      <c r="J253" s="4">
        <v>1.0413333333329999</v>
      </c>
      <c r="K253" s="4">
        <v>156.19999999999999</v>
      </c>
      <c r="L253" s="8" t="s">
        <v>246</v>
      </c>
      <c r="M253" s="4">
        <v>134.14000000000001</v>
      </c>
      <c r="N253" s="8" t="s">
        <v>723</v>
      </c>
      <c r="O253" s="8" t="s">
        <v>752</v>
      </c>
      <c r="P253" s="8" t="s">
        <v>247</v>
      </c>
      <c r="Q253" s="4">
        <v>5637697038</v>
      </c>
    </row>
    <row r="254" spans="1:17" x14ac:dyDescent="0.25">
      <c r="A254" s="8" t="s">
        <v>17</v>
      </c>
      <c r="B254" s="8" t="s">
        <v>722</v>
      </c>
      <c r="C254" s="8" t="s">
        <v>97</v>
      </c>
      <c r="D254" s="8" t="s">
        <v>98</v>
      </c>
      <c r="E254" s="6">
        <v>43083</v>
      </c>
      <c r="F254" s="8" t="s">
        <v>261</v>
      </c>
      <c r="G254" s="8" t="s">
        <v>264</v>
      </c>
      <c r="H254" s="4">
        <v>150</v>
      </c>
      <c r="I254" s="8" t="s">
        <v>39</v>
      </c>
      <c r="J254" s="4">
        <v>1.0413333333329999</v>
      </c>
      <c r="K254" s="4">
        <v>156.19999999999999</v>
      </c>
      <c r="L254" s="8" t="s">
        <v>246</v>
      </c>
      <c r="M254" s="4">
        <v>134.14000000000001</v>
      </c>
      <c r="N254" s="8" t="s">
        <v>723</v>
      </c>
      <c r="O254" s="8" t="s">
        <v>752</v>
      </c>
      <c r="P254" s="8" t="s">
        <v>247</v>
      </c>
      <c r="Q254" s="4">
        <v>5637697039</v>
      </c>
    </row>
    <row r="255" spans="1:17" x14ac:dyDescent="0.25">
      <c r="A255" s="8" t="s">
        <v>252</v>
      </c>
      <c r="B255" s="8" t="s">
        <v>630</v>
      </c>
      <c r="C255" s="8" t="s">
        <v>97</v>
      </c>
      <c r="D255" s="8" t="s">
        <v>98</v>
      </c>
      <c r="E255" s="6">
        <v>43083</v>
      </c>
      <c r="F255" s="8" t="s">
        <v>261</v>
      </c>
      <c r="G255" s="8" t="s">
        <v>264</v>
      </c>
      <c r="H255" s="4">
        <v>-150</v>
      </c>
      <c r="I255" s="8" t="s">
        <v>39</v>
      </c>
      <c r="J255" s="4">
        <v>1.161966817458</v>
      </c>
      <c r="K255" s="4">
        <v>-174.3</v>
      </c>
      <c r="L255" s="8" t="s">
        <v>609</v>
      </c>
      <c r="M255" s="4">
        <v>-174.3</v>
      </c>
      <c r="N255" s="8" t="s">
        <v>631</v>
      </c>
      <c r="O255" s="8" t="s">
        <v>753</v>
      </c>
      <c r="P255" s="8" t="s">
        <v>247</v>
      </c>
      <c r="Q255" s="4">
        <v>5637697410</v>
      </c>
    </row>
    <row r="256" spans="1:17" x14ac:dyDescent="0.25">
      <c r="A256" s="8" t="s">
        <v>252</v>
      </c>
      <c r="B256" s="8" t="s">
        <v>630</v>
      </c>
      <c r="C256" s="8" t="s">
        <v>97</v>
      </c>
      <c r="D256" s="8" t="s">
        <v>98</v>
      </c>
      <c r="E256" s="6">
        <v>43083</v>
      </c>
      <c r="F256" s="8" t="s">
        <v>261</v>
      </c>
      <c r="G256" s="8" t="s">
        <v>264</v>
      </c>
      <c r="H256" s="4">
        <v>-150</v>
      </c>
      <c r="I256" s="8" t="s">
        <v>39</v>
      </c>
      <c r="J256" s="4">
        <v>1.161966817458</v>
      </c>
      <c r="K256" s="4">
        <v>-174.3</v>
      </c>
      <c r="L256" s="8" t="s">
        <v>609</v>
      </c>
      <c r="M256" s="4">
        <v>-174.3</v>
      </c>
      <c r="N256" s="8" t="s">
        <v>631</v>
      </c>
      <c r="O256" s="8" t="s">
        <v>753</v>
      </c>
      <c r="P256" s="8" t="s">
        <v>247</v>
      </c>
      <c r="Q256" s="4">
        <v>5637692416</v>
      </c>
    </row>
    <row r="257" spans="1:17" x14ac:dyDescent="0.25">
      <c r="A257" s="8" t="s">
        <v>17</v>
      </c>
      <c r="B257" s="8" t="s">
        <v>722</v>
      </c>
      <c r="C257" s="8" t="s">
        <v>97</v>
      </c>
      <c r="D257" s="8" t="s">
        <v>98</v>
      </c>
      <c r="E257" s="6">
        <v>43083</v>
      </c>
      <c r="F257" s="8" t="s">
        <v>261</v>
      </c>
      <c r="G257" s="8" t="s">
        <v>264</v>
      </c>
      <c r="H257" s="4">
        <v>150</v>
      </c>
      <c r="I257" s="8" t="s">
        <v>39</v>
      </c>
      <c r="J257" s="4">
        <v>1.0413333333329999</v>
      </c>
      <c r="K257" s="4">
        <v>156.19999999999999</v>
      </c>
      <c r="L257" s="8" t="s">
        <v>246</v>
      </c>
      <c r="M257" s="4">
        <v>134.12</v>
      </c>
      <c r="N257" s="8" t="s">
        <v>723</v>
      </c>
      <c r="O257" s="8" t="s">
        <v>752</v>
      </c>
      <c r="P257" s="8" t="s">
        <v>247</v>
      </c>
      <c r="Q257" s="4">
        <v>5637692418</v>
      </c>
    </row>
    <row r="258" spans="1:17" x14ac:dyDescent="0.25">
      <c r="A258" s="8" t="s">
        <v>252</v>
      </c>
      <c r="B258" s="8" t="s">
        <v>754</v>
      </c>
      <c r="C258" s="8" t="s">
        <v>97</v>
      </c>
      <c r="D258" s="8" t="s">
        <v>98</v>
      </c>
      <c r="E258" s="6">
        <v>43088</v>
      </c>
      <c r="F258" s="8" t="s">
        <v>261</v>
      </c>
      <c r="G258" s="8" t="s">
        <v>264</v>
      </c>
      <c r="H258" s="4">
        <v>-8.4</v>
      </c>
      <c r="I258" s="8" t="s">
        <v>39</v>
      </c>
      <c r="J258" s="4">
        <v>1.161926303512</v>
      </c>
      <c r="K258" s="4">
        <v>-9.76</v>
      </c>
      <c r="L258" s="8" t="s">
        <v>609</v>
      </c>
      <c r="M258" s="4">
        <v>-9.76</v>
      </c>
      <c r="N258" s="8" t="s">
        <v>755</v>
      </c>
      <c r="O258" s="8" t="s">
        <v>756</v>
      </c>
      <c r="P258" s="8" t="s">
        <v>247</v>
      </c>
      <c r="Q258" s="4">
        <v>5637698050</v>
      </c>
    </row>
    <row r="259" spans="1:17" x14ac:dyDescent="0.25">
      <c r="A259" s="8" t="s">
        <v>252</v>
      </c>
      <c r="B259" s="8" t="s">
        <v>754</v>
      </c>
      <c r="C259" s="8" t="s">
        <v>97</v>
      </c>
      <c r="D259" s="8" t="s">
        <v>98</v>
      </c>
      <c r="E259" s="6">
        <v>43088</v>
      </c>
      <c r="F259" s="8" t="s">
        <v>261</v>
      </c>
      <c r="G259" s="8" t="s">
        <v>264</v>
      </c>
      <c r="H259" s="4">
        <v>-50.4</v>
      </c>
      <c r="I259" s="8" t="s">
        <v>39</v>
      </c>
      <c r="J259" s="4">
        <v>1.161926303512</v>
      </c>
      <c r="K259" s="4">
        <v>-58.56</v>
      </c>
      <c r="L259" s="8" t="s">
        <v>609</v>
      </c>
      <c r="M259" s="4">
        <v>-58.56</v>
      </c>
      <c r="N259" s="8" t="s">
        <v>755</v>
      </c>
      <c r="O259" s="8" t="s">
        <v>756</v>
      </c>
      <c r="P259" s="8" t="s">
        <v>247</v>
      </c>
      <c r="Q259" s="4">
        <v>5637697588</v>
      </c>
    </row>
    <row r="260" spans="1:17" x14ac:dyDescent="0.25">
      <c r="A260" s="8" t="s">
        <v>252</v>
      </c>
      <c r="B260" s="8" t="s">
        <v>757</v>
      </c>
      <c r="C260" s="8" t="s">
        <v>97</v>
      </c>
      <c r="D260" s="8" t="s">
        <v>98</v>
      </c>
      <c r="E260" s="6">
        <v>43088</v>
      </c>
      <c r="F260" s="8" t="s">
        <v>261</v>
      </c>
      <c r="G260" s="8" t="s">
        <v>264</v>
      </c>
      <c r="H260" s="4">
        <v>-38.85</v>
      </c>
      <c r="I260" s="8" t="s">
        <v>39</v>
      </c>
      <c r="J260" s="4">
        <v>1.1732603074510002</v>
      </c>
      <c r="K260" s="4">
        <v>-45.58</v>
      </c>
      <c r="L260" s="8" t="s">
        <v>609</v>
      </c>
      <c r="M260" s="4">
        <v>-45.58</v>
      </c>
      <c r="N260" s="8" t="s">
        <v>758</v>
      </c>
      <c r="O260" s="8" t="s">
        <v>759</v>
      </c>
      <c r="P260" s="8" t="s">
        <v>247</v>
      </c>
      <c r="Q260" s="4">
        <v>5637698253</v>
      </c>
    </row>
    <row r="261" spans="1:17" x14ac:dyDescent="0.25">
      <c r="A261" s="8" t="s">
        <v>252</v>
      </c>
      <c r="B261" s="8" t="s">
        <v>757</v>
      </c>
      <c r="C261" s="8" t="s">
        <v>97</v>
      </c>
      <c r="D261" s="8" t="s">
        <v>98</v>
      </c>
      <c r="E261" s="6">
        <v>43088</v>
      </c>
      <c r="F261" s="8" t="s">
        <v>261</v>
      </c>
      <c r="G261" s="8" t="s">
        <v>264</v>
      </c>
      <c r="H261" s="4">
        <v>-24.55</v>
      </c>
      <c r="I261" s="8" t="s">
        <v>39</v>
      </c>
      <c r="J261" s="4">
        <v>1.1732603074510002</v>
      </c>
      <c r="K261" s="4">
        <v>-28.8</v>
      </c>
      <c r="L261" s="8" t="s">
        <v>609</v>
      </c>
      <c r="M261" s="4">
        <v>-28.8</v>
      </c>
      <c r="N261" s="8" t="s">
        <v>758</v>
      </c>
      <c r="O261" s="8" t="s">
        <v>760</v>
      </c>
      <c r="P261" s="8" t="s">
        <v>247</v>
      </c>
      <c r="Q261" s="4">
        <v>5637698254</v>
      </c>
    </row>
    <row r="262" spans="1:17" x14ac:dyDescent="0.25">
      <c r="A262" s="8" t="s">
        <v>252</v>
      </c>
      <c r="B262" s="8" t="s">
        <v>761</v>
      </c>
      <c r="C262" s="8" t="s">
        <v>97</v>
      </c>
      <c r="D262" s="8" t="s">
        <v>98</v>
      </c>
      <c r="E262" s="6">
        <v>43088</v>
      </c>
      <c r="F262" s="8" t="s">
        <v>261</v>
      </c>
      <c r="G262" s="8" t="s">
        <v>264</v>
      </c>
      <c r="H262" s="4">
        <v>38.85</v>
      </c>
      <c r="I262" s="8" t="s">
        <v>39</v>
      </c>
      <c r="J262" s="4">
        <v>1.309254079569</v>
      </c>
      <c r="K262" s="4">
        <v>50.86</v>
      </c>
      <c r="L262" s="8" t="s">
        <v>609</v>
      </c>
      <c r="M262" s="4">
        <v>50.86</v>
      </c>
      <c r="N262" s="8" t="s">
        <v>762</v>
      </c>
      <c r="O262" s="8" t="s">
        <v>763</v>
      </c>
      <c r="P262" s="8" t="s">
        <v>247</v>
      </c>
      <c r="Q262" s="4">
        <v>5637698246</v>
      </c>
    </row>
    <row r="263" spans="1:17" x14ac:dyDescent="0.25">
      <c r="A263" s="8" t="s">
        <v>252</v>
      </c>
      <c r="B263" s="8" t="s">
        <v>761</v>
      </c>
      <c r="C263" s="8" t="s">
        <v>97</v>
      </c>
      <c r="D263" s="8" t="s">
        <v>98</v>
      </c>
      <c r="E263" s="6">
        <v>43088</v>
      </c>
      <c r="F263" s="8" t="s">
        <v>261</v>
      </c>
      <c r="G263" s="8" t="s">
        <v>264</v>
      </c>
      <c r="H263" s="4">
        <v>24.55</v>
      </c>
      <c r="I263" s="8" t="s">
        <v>39</v>
      </c>
      <c r="J263" s="4">
        <v>1.309254079569</v>
      </c>
      <c r="K263" s="4">
        <v>32.14</v>
      </c>
      <c r="L263" s="8" t="s">
        <v>609</v>
      </c>
      <c r="M263" s="4">
        <v>32.14</v>
      </c>
      <c r="N263" s="8" t="s">
        <v>762</v>
      </c>
      <c r="O263" s="8" t="s">
        <v>764</v>
      </c>
      <c r="P263" s="8" t="s">
        <v>247</v>
      </c>
      <c r="Q263" s="4">
        <v>5637698247</v>
      </c>
    </row>
    <row r="264" spans="1:17" x14ac:dyDescent="0.25">
      <c r="A264" s="8" t="s">
        <v>252</v>
      </c>
      <c r="B264" s="8" t="s">
        <v>765</v>
      </c>
      <c r="C264" s="8" t="s">
        <v>97</v>
      </c>
      <c r="D264" s="8" t="s">
        <v>98</v>
      </c>
      <c r="E264" s="6">
        <v>43091</v>
      </c>
      <c r="F264" s="8" t="s">
        <v>261</v>
      </c>
      <c r="G264" s="8" t="s">
        <v>264</v>
      </c>
      <c r="H264" s="4">
        <v>-14.75</v>
      </c>
      <c r="I264" s="8" t="s">
        <v>39</v>
      </c>
      <c r="J264" s="4">
        <v>1.1732664943029998</v>
      </c>
      <c r="K264" s="4">
        <v>-17.309999999999999</v>
      </c>
      <c r="L264" s="8" t="s">
        <v>609</v>
      </c>
      <c r="M264" s="4">
        <v>-17.309999999999999</v>
      </c>
      <c r="N264" s="8" t="s">
        <v>766</v>
      </c>
      <c r="O264" s="8" t="s">
        <v>767</v>
      </c>
      <c r="P264" s="8" t="s">
        <v>247</v>
      </c>
      <c r="Q264" s="4">
        <v>5637699165</v>
      </c>
    </row>
    <row r="265" spans="1:17" x14ac:dyDescent="0.25">
      <c r="A265" s="8" t="s">
        <v>607</v>
      </c>
      <c r="B265" s="8" t="s">
        <v>81</v>
      </c>
      <c r="C265" s="8" t="s">
        <v>97</v>
      </c>
      <c r="D265" s="8" t="s">
        <v>98</v>
      </c>
      <c r="E265" s="6">
        <v>43096</v>
      </c>
      <c r="F265" s="8" t="s">
        <v>261</v>
      </c>
      <c r="G265" s="8" t="s">
        <v>264</v>
      </c>
      <c r="H265" s="4">
        <v>-15.64</v>
      </c>
      <c r="I265" s="8" t="s">
        <v>39</v>
      </c>
      <c r="J265" s="4">
        <v>1.17326</v>
      </c>
      <c r="K265" s="4">
        <v>-18.350000000000001</v>
      </c>
      <c r="L265" s="8" t="s">
        <v>609</v>
      </c>
      <c r="M265" s="4">
        <v>-18.350000000000001</v>
      </c>
      <c r="N265" s="8" t="s">
        <v>610</v>
      </c>
      <c r="O265" s="8" t="s">
        <v>768</v>
      </c>
      <c r="P265" s="8" t="s">
        <v>247</v>
      </c>
      <c r="Q265" s="4">
        <v>0</v>
      </c>
    </row>
    <row r="266" spans="1:17" x14ac:dyDescent="0.25">
      <c r="A266" s="8" t="s">
        <v>252</v>
      </c>
      <c r="B266" s="8" t="s">
        <v>733</v>
      </c>
      <c r="C266" s="8" t="s">
        <v>29</v>
      </c>
      <c r="D266" s="8" t="s">
        <v>33</v>
      </c>
      <c r="E266" s="6">
        <v>43083</v>
      </c>
      <c r="F266" s="8" t="s">
        <v>261</v>
      </c>
      <c r="G266" s="8" t="s">
        <v>264</v>
      </c>
      <c r="H266" s="4">
        <v>150</v>
      </c>
      <c r="I266" s="8" t="s">
        <v>39</v>
      </c>
      <c r="J266" s="4">
        <v>0.62822560894199997</v>
      </c>
      <c r="K266" s="4">
        <v>94.23</v>
      </c>
      <c r="L266" s="8" t="s">
        <v>609</v>
      </c>
      <c r="M266" s="4">
        <v>94.23</v>
      </c>
      <c r="N266" s="8" t="s">
        <v>734</v>
      </c>
      <c r="O266" s="8" t="s">
        <v>769</v>
      </c>
      <c r="P266" s="8" t="s">
        <v>247</v>
      </c>
      <c r="Q266" s="4">
        <v>5637697424</v>
      </c>
    </row>
    <row r="267" spans="1:17" x14ac:dyDescent="0.25">
      <c r="A267" s="8" t="s">
        <v>252</v>
      </c>
      <c r="B267" s="8" t="s">
        <v>736</v>
      </c>
      <c r="C267" s="8" t="s">
        <v>29</v>
      </c>
      <c r="D267" s="8" t="s">
        <v>33</v>
      </c>
      <c r="E267" s="6">
        <v>43084</v>
      </c>
      <c r="F267" s="8" t="s">
        <v>261</v>
      </c>
      <c r="G267" s="8" t="s">
        <v>264</v>
      </c>
      <c r="H267" s="4">
        <v>-150</v>
      </c>
      <c r="I267" s="8" t="s">
        <v>39</v>
      </c>
      <c r="J267" s="4">
        <v>0.94375762318800005</v>
      </c>
      <c r="K267" s="4">
        <v>-141.56</v>
      </c>
      <c r="L267" s="8" t="s">
        <v>609</v>
      </c>
      <c r="M267" s="4">
        <v>-141.56</v>
      </c>
      <c r="N267" s="8" t="s">
        <v>737</v>
      </c>
      <c r="O267" s="8" t="s">
        <v>770</v>
      </c>
      <c r="P267" s="8" t="s">
        <v>247</v>
      </c>
      <c r="Q267" s="4">
        <v>5637697432</v>
      </c>
    </row>
    <row r="268" spans="1:17" x14ac:dyDescent="0.25">
      <c r="A268" s="8" t="s">
        <v>607</v>
      </c>
      <c r="B268" s="8" t="s">
        <v>81</v>
      </c>
      <c r="C268" s="8" t="s">
        <v>29</v>
      </c>
      <c r="D268" s="8" t="s">
        <v>33</v>
      </c>
      <c r="E268" s="6">
        <v>43096</v>
      </c>
      <c r="F268" s="8" t="s">
        <v>261</v>
      </c>
      <c r="G268" s="8" t="s">
        <v>264</v>
      </c>
      <c r="H268" s="4">
        <v>-11.03</v>
      </c>
      <c r="I268" s="8" t="s">
        <v>39</v>
      </c>
      <c r="J268" s="4">
        <v>0.94376000000000004</v>
      </c>
      <c r="K268" s="4">
        <v>-10.41</v>
      </c>
      <c r="L268" s="8" t="s">
        <v>609</v>
      </c>
      <c r="M268" s="4">
        <v>-10.41</v>
      </c>
      <c r="N268" s="8" t="s">
        <v>610</v>
      </c>
      <c r="O268" s="8" t="s">
        <v>771</v>
      </c>
      <c r="P268" s="8" t="s">
        <v>247</v>
      </c>
      <c r="Q268" s="4">
        <v>0</v>
      </c>
    </row>
    <row r="269" spans="1:17" x14ac:dyDescent="0.25">
      <c r="A269" s="8" t="s">
        <v>252</v>
      </c>
      <c r="B269" s="8" t="s">
        <v>772</v>
      </c>
      <c r="C269" s="8" t="s">
        <v>121</v>
      </c>
      <c r="D269" s="8" t="s">
        <v>122</v>
      </c>
      <c r="E269" s="6">
        <v>43080</v>
      </c>
      <c r="F269" s="8" t="s">
        <v>261</v>
      </c>
      <c r="G269" s="8" t="s">
        <v>264</v>
      </c>
      <c r="H269" s="4">
        <v>-8.5</v>
      </c>
      <c r="I269" s="8" t="s">
        <v>39</v>
      </c>
      <c r="J269" s="4">
        <v>1.5426211780329999</v>
      </c>
      <c r="K269" s="4">
        <v>-13.11</v>
      </c>
      <c r="L269" s="8" t="s">
        <v>609</v>
      </c>
      <c r="M269" s="4">
        <v>-13.11</v>
      </c>
      <c r="N269" s="8" t="s">
        <v>773</v>
      </c>
      <c r="O269" s="8" t="s">
        <v>774</v>
      </c>
      <c r="P269" s="8" t="s">
        <v>247</v>
      </c>
      <c r="Q269" s="4">
        <v>5637695524</v>
      </c>
    </row>
    <row r="270" spans="1:17" x14ac:dyDescent="0.25">
      <c r="A270" s="8" t="s">
        <v>607</v>
      </c>
      <c r="B270" s="8" t="s">
        <v>81</v>
      </c>
      <c r="C270" s="8" t="s">
        <v>121</v>
      </c>
      <c r="D270" s="8" t="s">
        <v>122</v>
      </c>
      <c r="E270" s="6">
        <v>43096</v>
      </c>
      <c r="F270" s="8" t="s">
        <v>261</v>
      </c>
      <c r="G270" s="8" t="s">
        <v>264</v>
      </c>
      <c r="H270" s="4">
        <v>-31.93</v>
      </c>
      <c r="I270" s="8" t="s">
        <v>39</v>
      </c>
      <c r="J270" s="4">
        <v>1.5426199999999999</v>
      </c>
      <c r="K270" s="4">
        <v>-49.26</v>
      </c>
      <c r="L270" s="8" t="s">
        <v>609</v>
      </c>
      <c r="M270" s="4">
        <v>-49.26</v>
      </c>
      <c r="N270" s="8" t="s">
        <v>610</v>
      </c>
      <c r="O270" s="8" t="s">
        <v>775</v>
      </c>
      <c r="P270" s="8" t="s">
        <v>247</v>
      </c>
      <c r="Q270" s="4">
        <v>0</v>
      </c>
    </row>
    <row r="271" spans="1:17" x14ac:dyDescent="0.25">
      <c r="A271" s="8" t="s">
        <v>252</v>
      </c>
      <c r="B271" s="8" t="s">
        <v>776</v>
      </c>
      <c r="C271" s="8" t="s">
        <v>106</v>
      </c>
      <c r="D271" s="8" t="s">
        <v>107</v>
      </c>
      <c r="E271" s="6">
        <v>43080</v>
      </c>
      <c r="F271" s="8" t="s">
        <v>261</v>
      </c>
      <c r="G271" s="8" t="s">
        <v>264</v>
      </c>
      <c r="H271" s="4">
        <v>-20.95</v>
      </c>
      <c r="I271" s="8" t="s">
        <v>39</v>
      </c>
      <c r="J271" s="4">
        <v>1.039453452901</v>
      </c>
      <c r="K271" s="4">
        <v>-21.78</v>
      </c>
      <c r="L271" s="8" t="s">
        <v>609</v>
      </c>
      <c r="M271" s="4">
        <v>-21.78</v>
      </c>
      <c r="N271" s="8" t="s">
        <v>777</v>
      </c>
      <c r="O271" s="8" t="s">
        <v>778</v>
      </c>
      <c r="P271" s="8" t="s">
        <v>247</v>
      </c>
      <c r="Q271" s="4">
        <v>5637695522</v>
      </c>
    </row>
    <row r="272" spans="1:17" x14ac:dyDescent="0.25">
      <c r="A272" s="8" t="s">
        <v>252</v>
      </c>
      <c r="B272" s="8" t="s">
        <v>779</v>
      </c>
      <c r="C272" s="8" t="s">
        <v>106</v>
      </c>
      <c r="D272" s="8" t="s">
        <v>107</v>
      </c>
      <c r="E272" s="6">
        <v>43081</v>
      </c>
      <c r="F272" s="8" t="s">
        <v>261</v>
      </c>
      <c r="G272" s="8" t="s">
        <v>264</v>
      </c>
      <c r="H272" s="4">
        <v>-150</v>
      </c>
      <c r="I272" s="8" t="s">
        <v>39</v>
      </c>
      <c r="J272" s="4">
        <v>1.0394513769289999</v>
      </c>
      <c r="K272" s="4">
        <v>-155.92000000000002</v>
      </c>
      <c r="L272" s="8" t="s">
        <v>609</v>
      </c>
      <c r="M272" s="4">
        <v>-155.92000000000002</v>
      </c>
      <c r="N272" s="8" t="s">
        <v>780</v>
      </c>
      <c r="O272" s="8" t="s">
        <v>781</v>
      </c>
      <c r="P272" s="8" t="s">
        <v>247</v>
      </c>
      <c r="Q272" s="4">
        <v>5637696654</v>
      </c>
    </row>
    <row r="273" spans="1:17" x14ac:dyDescent="0.25">
      <c r="A273" s="8" t="s">
        <v>252</v>
      </c>
      <c r="B273" s="8" t="s">
        <v>779</v>
      </c>
      <c r="C273" s="8" t="s">
        <v>106</v>
      </c>
      <c r="D273" s="8" t="s">
        <v>107</v>
      </c>
      <c r="E273" s="6">
        <v>43081</v>
      </c>
      <c r="F273" s="8" t="s">
        <v>261</v>
      </c>
      <c r="G273" s="8" t="s">
        <v>264</v>
      </c>
      <c r="H273" s="4">
        <v>-150</v>
      </c>
      <c r="I273" s="8" t="s">
        <v>39</v>
      </c>
      <c r="J273" s="4">
        <v>1.0394513769289999</v>
      </c>
      <c r="K273" s="4">
        <v>-155.92000000000002</v>
      </c>
      <c r="L273" s="8" t="s">
        <v>609</v>
      </c>
      <c r="M273" s="4">
        <v>-155.92000000000002</v>
      </c>
      <c r="N273" s="8" t="s">
        <v>780</v>
      </c>
      <c r="O273" s="8" t="s">
        <v>781</v>
      </c>
      <c r="P273" s="8" t="s">
        <v>247</v>
      </c>
      <c r="Q273" s="4">
        <v>5637696653</v>
      </c>
    </row>
    <row r="274" spans="1:17" x14ac:dyDescent="0.25">
      <c r="A274" s="8" t="s">
        <v>252</v>
      </c>
      <c r="B274" s="8" t="s">
        <v>779</v>
      </c>
      <c r="C274" s="8" t="s">
        <v>106</v>
      </c>
      <c r="D274" s="8" t="s">
        <v>107</v>
      </c>
      <c r="E274" s="6">
        <v>43081</v>
      </c>
      <c r="F274" s="8" t="s">
        <v>261</v>
      </c>
      <c r="G274" s="8" t="s">
        <v>264</v>
      </c>
      <c r="H274" s="4">
        <v>-150</v>
      </c>
      <c r="I274" s="8" t="s">
        <v>39</v>
      </c>
      <c r="J274" s="4">
        <v>1.0394513769289999</v>
      </c>
      <c r="K274" s="4">
        <v>-155.92000000000002</v>
      </c>
      <c r="L274" s="8" t="s">
        <v>609</v>
      </c>
      <c r="M274" s="4">
        <v>-155.92000000000002</v>
      </c>
      <c r="N274" s="8" t="s">
        <v>780</v>
      </c>
      <c r="O274" s="8" t="s">
        <v>781</v>
      </c>
      <c r="P274" s="8" t="s">
        <v>247</v>
      </c>
      <c r="Q274" s="4">
        <v>5637696224</v>
      </c>
    </row>
    <row r="275" spans="1:17" x14ac:dyDescent="0.25">
      <c r="A275" s="8" t="s">
        <v>252</v>
      </c>
      <c r="B275" s="8" t="s">
        <v>630</v>
      </c>
      <c r="C275" s="8" t="s">
        <v>106</v>
      </c>
      <c r="D275" s="8" t="s">
        <v>107</v>
      </c>
      <c r="E275" s="6">
        <v>43083</v>
      </c>
      <c r="F275" s="8" t="s">
        <v>261</v>
      </c>
      <c r="G275" s="8" t="s">
        <v>264</v>
      </c>
      <c r="H275" s="4">
        <v>-150</v>
      </c>
      <c r="I275" s="8" t="s">
        <v>39</v>
      </c>
      <c r="J275" s="4">
        <v>1.139338676673</v>
      </c>
      <c r="K275" s="4">
        <v>-170.9</v>
      </c>
      <c r="L275" s="8" t="s">
        <v>609</v>
      </c>
      <c r="M275" s="4">
        <v>-170.9</v>
      </c>
      <c r="N275" s="8" t="s">
        <v>631</v>
      </c>
      <c r="O275" s="8" t="s">
        <v>783</v>
      </c>
      <c r="P275" s="8" t="s">
        <v>247</v>
      </c>
      <c r="Q275" s="4">
        <v>5637697348</v>
      </c>
    </row>
    <row r="276" spans="1:17" x14ac:dyDescent="0.25">
      <c r="A276" s="8" t="s">
        <v>17</v>
      </c>
      <c r="B276" s="8" t="s">
        <v>722</v>
      </c>
      <c r="C276" s="8" t="s">
        <v>106</v>
      </c>
      <c r="D276" s="8" t="s">
        <v>107</v>
      </c>
      <c r="E276" s="6">
        <v>43083</v>
      </c>
      <c r="F276" s="8" t="s">
        <v>261</v>
      </c>
      <c r="G276" s="8" t="s">
        <v>264</v>
      </c>
      <c r="H276" s="4">
        <v>150</v>
      </c>
      <c r="I276" s="8" t="s">
        <v>39</v>
      </c>
      <c r="J276" s="4">
        <v>1.1696</v>
      </c>
      <c r="K276" s="4">
        <v>175.44</v>
      </c>
      <c r="L276" s="8" t="s">
        <v>246</v>
      </c>
      <c r="M276" s="4">
        <v>150.66</v>
      </c>
      <c r="N276" s="8" t="s">
        <v>723</v>
      </c>
      <c r="O276" s="8" t="s">
        <v>782</v>
      </c>
      <c r="P276" s="8" t="s">
        <v>247</v>
      </c>
      <c r="Q276" s="4">
        <v>5637696987</v>
      </c>
    </row>
    <row r="277" spans="1:17" x14ac:dyDescent="0.25">
      <c r="A277" s="8" t="s">
        <v>17</v>
      </c>
      <c r="B277" s="8" t="s">
        <v>722</v>
      </c>
      <c r="C277" s="8" t="s">
        <v>106</v>
      </c>
      <c r="D277" s="8" t="s">
        <v>107</v>
      </c>
      <c r="E277" s="6">
        <v>43083</v>
      </c>
      <c r="F277" s="8" t="s">
        <v>261</v>
      </c>
      <c r="G277" s="8" t="s">
        <v>264</v>
      </c>
      <c r="H277" s="4">
        <v>150</v>
      </c>
      <c r="I277" s="8" t="s">
        <v>39</v>
      </c>
      <c r="J277" s="4">
        <v>1.1696</v>
      </c>
      <c r="K277" s="4">
        <v>175.44</v>
      </c>
      <c r="L277" s="8" t="s">
        <v>246</v>
      </c>
      <c r="M277" s="4">
        <v>150.66</v>
      </c>
      <c r="N277" s="8" t="s">
        <v>723</v>
      </c>
      <c r="O277" s="8" t="s">
        <v>782</v>
      </c>
      <c r="P277" s="8" t="s">
        <v>247</v>
      </c>
      <c r="Q277" s="4">
        <v>5637696988</v>
      </c>
    </row>
    <row r="278" spans="1:17" x14ac:dyDescent="0.25">
      <c r="A278" s="8" t="s">
        <v>252</v>
      </c>
      <c r="B278" s="8" t="s">
        <v>630</v>
      </c>
      <c r="C278" s="8" t="s">
        <v>106</v>
      </c>
      <c r="D278" s="8" t="s">
        <v>107</v>
      </c>
      <c r="E278" s="6">
        <v>43083</v>
      </c>
      <c r="F278" s="8" t="s">
        <v>261</v>
      </c>
      <c r="G278" s="8" t="s">
        <v>264</v>
      </c>
      <c r="H278" s="4">
        <v>-150</v>
      </c>
      <c r="I278" s="8" t="s">
        <v>39</v>
      </c>
      <c r="J278" s="4">
        <v>1.139338676673</v>
      </c>
      <c r="K278" s="4">
        <v>-170.9</v>
      </c>
      <c r="L278" s="8" t="s">
        <v>609</v>
      </c>
      <c r="M278" s="4">
        <v>-170.9</v>
      </c>
      <c r="N278" s="8" t="s">
        <v>631</v>
      </c>
      <c r="O278" s="8" t="s">
        <v>783</v>
      </c>
      <c r="P278" s="8" t="s">
        <v>247</v>
      </c>
      <c r="Q278" s="4">
        <v>5637697350</v>
      </c>
    </row>
    <row r="279" spans="1:17" x14ac:dyDescent="0.25">
      <c r="A279" s="8" t="s">
        <v>252</v>
      </c>
      <c r="B279" s="8" t="s">
        <v>630</v>
      </c>
      <c r="C279" s="8" t="s">
        <v>106</v>
      </c>
      <c r="D279" s="8" t="s">
        <v>107</v>
      </c>
      <c r="E279" s="6">
        <v>43083</v>
      </c>
      <c r="F279" s="8" t="s">
        <v>261</v>
      </c>
      <c r="G279" s="8" t="s">
        <v>264</v>
      </c>
      <c r="H279" s="4">
        <v>-150</v>
      </c>
      <c r="I279" s="8" t="s">
        <v>39</v>
      </c>
      <c r="J279" s="4">
        <v>1.139338676673</v>
      </c>
      <c r="K279" s="4">
        <v>-170.9</v>
      </c>
      <c r="L279" s="8" t="s">
        <v>609</v>
      </c>
      <c r="M279" s="4">
        <v>-170.9</v>
      </c>
      <c r="N279" s="8" t="s">
        <v>631</v>
      </c>
      <c r="O279" s="8" t="s">
        <v>783</v>
      </c>
      <c r="P279" s="8" t="s">
        <v>247</v>
      </c>
      <c r="Q279" s="4">
        <v>5637697352</v>
      </c>
    </row>
    <row r="280" spans="1:17" x14ac:dyDescent="0.25">
      <c r="A280" s="8" t="s">
        <v>17</v>
      </c>
      <c r="B280" s="8" t="s">
        <v>722</v>
      </c>
      <c r="C280" s="8" t="s">
        <v>106</v>
      </c>
      <c r="D280" s="8" t="s">
        <v>107</v>
      </c>
      <c r="E280" s="6">
        <v>43083</v>
      </c>
      <c r="F280" s="8" t="s">
        <v>261</v>
      </c>
      <c r="G280" s="8" t="s">
        <v>264</v>
      </c>
      <c r="H280" s="4">
        <v>150</v>
      </c>
      <c r="I280" s="8" t="s">
        <v>39</v>
      </c>
      <c r="J280" s="4">
        <v>1.1696</v>
      </c>
      <c r="K280" s="4">
        <v>175.44</v>
      </c>
      <c r="L280" s="8" t="s">
        <v>246</v>
      </c>
      <c r="M280" s="4">
        <v>150.66</v>
      </c>
      <c r="N280" s="8" t="s">
        <v>723</v>
      </c>
      <c r="O280" s="8" t="s">
        <v>782</v>
      </c>
      <c r="P280" s="8" t="s">
        <v>247</v>
      </c>
      <c r="Q280" s="4">
        <v>5637696989</v>
      </c>
    </row>
    <row r="281" spans="1:17" x14ac:dyDescent="0.25">
      <c r="A281" s="8" t="s">
        <v>17</v>
      </c>
      <c r="B281" s="8" t="s">
        <v>722</v>
      </c>
      <c r="C281" s="8" t="s">
        <v>106</v>
      </c>
      <c r="D281" s="8" t="s">
        <v>107</v>
      </c>
      <c r="E281" s="6">
        <v>43083</v>
      </c>
      <c r="F281" s="8" t="s">
        <v>261</v>
      </c>
      <c r="G281" s="8" t="s">
        <v>264</v>
      </c>
      <c r="H281" s="4">
        <v>150</v>
      </c>
      <c r="I281" s="8" t="s">
        <v>39</v>
      </c>
      <c r="J281" s="4">
        <v>1.1696</v>
      </c>
      <c r="K281" s="4">
        <v>175.44</v>
      </c>
      <c r="L281" s="8" t="s">
        <v>246</v>
      </c>
      <c r="M281" s="4">
        <v>150.66</v>
      </c>
      <c r="N281" s="8" t="s">
        <v>723</v>
      </c>
      <c r="O281" s="8" t="s">
        <v>782</v>
      </c>
      <c r="P281" s="8" t="s">
        <v>247</v>
      </c>
      <c r="Q281" s="4">
        <v>5637696990</v>
      </c>
    </row>
    <row r="282" spans="1:17" x14ac:dyDescent="0.25">
      <c r="A282" s="8" t="s">
        <v>252</v>
      </c>
      <c r="B282" s="8" t="s">
        <v>630</v>
      </c>
      <c r="C282" s="8" t="s">
        <v>106</v>
      </c>
      <c r="D282" s="8" t="s">
        <v>107</v>
      </c>
      <c r="E282" s="6">
        <v>43083</v>
      </c>
      <c r="F282" s="8" t="s">
        <v>261</v>
      </c>
      <c r="G282" s="8" t="s">
        <v>264</v>
      </c>
      <c r="H282" s="4">
        <v>-150</v>
      </c>
      <c r="I282" s="8" t="s">
        <v>39</v>
      </c>
      <c r="J282" s="4">
        <v>1.139338676673</v>
      </c>
      <c r="K282" s="4">
        <v>-170.9</v>
      </c>
      <c r="L282" s="8" t="s">
        <v>609</v>
      </c>
      <c r="M282" s="4">
        <v>-170.9</v>
      </c>
      <c r="N282" s="8" t="s">
        <v>631</v>
      </c>
      <c r="O282" s="8" t="s">
        <v>783</v>
      </c>
      <c r="P282" s="8" t="s">
        <v>247</v>
      </c>
      <c r="Q282" s="4">
        <v>5637697353</v>
      </c>
    </row>
    <row r="283" spans="1:17" x14ac:dyDescent="0.25">
      <c r="A283" s="8" t="s">
        <v>252</v>
      </c>
      <c r="B283" s="8" t="s">
        <v>630</v>
      </c>
      <c r="C283" s="8" t="s">
        <v>106</v>
      </c>
      <c r="D283" s="8" t="s">
        <v>107</v>
      </c>
      <c r="E283" s="6">
        <v>43083</v>
      </c>
      <c r="F283" s="8" t="s">
        <v>261</v>
      </c>
      <c r="G283" s="8" t="s">
        <v>264</v>
      </c>
      <c r="H283" s="4">
        <v>-150</v>
      </c>
      <c r="I283" s="8" t="s">
        <v>39</v>
      </c>
      <c r="J283" s="4">
        <v>1.139338676673</v>
      </c>
      <c r="K283" s="4">
        <v>-170.9</v>
      </c>
      <c r="L283" s="8" t="s">
        <v>609</v>
      </c>
      <c r="M283" s="4">
        <v>-170.9</v>
      </c>
      <c r="N283" s="8" t="s">
        <v>631</v>
      </c>
      <c r="O283" s="8" t="s">
        <v>783</v>
      </c>
      <c r="P283" s="8" t="s">
        <v>247</v>
      </c>
      <c r="Q283" s="4">
        <v>5637697354</v>
      </c>
    </row>
    <row r="284" spans="1:17" x14ac:dyDescent="0.25">
      <c r="A284" s="8" t="s">
        <v>17</v>
      </c>
      <c r="B284" s="8" t="s">
        <v>722</v>
      </c>
      <c r="C284" s="8" t="s">
        <v>106</v>
      </c>
      <c r="D284" s="8" t="s">
        <v>107</v>
      </c>
      <c r="E284" s="6">
        <v>43083</v>
      </c>
      <c r="F284" s="8" t="s">
        <v>261</v>
      </c>
      <c r="G284" s="8" t="s">
        <v>264</v>
      </c>
      <c r="H284" s="4">
        <v>150</v>
      </c>
      <c r="I284" s="8" t="s">
        <v>39</v>
      </c>
      <c r="J284" s="4">
        <v>1.1696</v>
      </c>
      <c r="K284" s="4">
        <v>175.44</v>
      </c>
      <c r="L284" s="8" t="s">
        <v>246</v>
      </c>
      <c r="M284" s="4">
        <v>150.66</v>
      </c>
      <c r="N284" s="8" t="s">
        <v>723</v>
      </c>
      <c r="O284" s="8" t="s">
        <v>782</v>
      </c>
      <c r="P284" s="8" t="s">
        <v>247</v>
      </c>
      <c r="Q284" s="4">
        <v>5637696991</v>
      </c>
    </row>
    <row r="285" spans="1:17" x14ac:dyDescent="0.25">
      <c r="A285" s="8" t="s">
        <v>17</v>
      </c>
      <c r="B285" s="8" t="s">
        <v>722</v>
      </c>
      <c r="C285" s="8" t="s">
        <v>106</v>
      </c>
      <c r="D285" s="8" t="s">
        <v>107</v>
      </c>
      <c r="E285" s="6">
        <v>43083</v>
      </c>
      <c r="F285" s="8" t="s">
        <v>261</v>
      </c>
      <c r="G285" s="8" t="s">
        <v>264</v>
      </c>
      <c r="H285" s="4">
        <v>150</v>
      </c>
      <c r="I285" s="8" t="s">
        <v>39</v>
      </c>
      <c r="J285" s="4">
        <v>1.1696</v>
      </c>
      <c r="K285" s="4">
        <v>175.44</v>
      </c>
      <c r="L285" s="8" t="s">
        <v>246</v>
      </c>
      <c r="M285" s="4">
        <v>150.66</v>
      </c>
      <c r="N285" s="8" t="s">
        <v>723</v>
      </c>
      <c r="O285" s="8" t="s">
        <v>782</v>
      </c>
      <c r="P285" s="8" t="s">
        <v>247</v>
      </c>
      <c r="Q285" s="4">
        <v>5637696992</v>
      </c>
    </row>
    <row r="286" spans="1:17" x14ac:dyDescent="0.25">
      <c r="A286" s="8" t="s">
        <v>252</v>
      </c>
      <c r="B286" s="8" t="s">
        <v>630</v>
      </c>
      <c r="C286" s="8" t="s">
        <v>106</v>
      </c>
      <c r="D286" s="8" t="s">
        <v>107</v>
      </c>
      <c r="E286" s="6">
        <v>43083</v>
      </c>
      <c r="F286" s="8" t="s">
        <v>261</v>
      </c>
      <c r="G286" s="8" t="s">
        <v>264</v>
      </c>
      <c r="H286" s="4">
        <v>-150</v>
      </c>
      <c r="I286" s="8" t="s">
        <v>39</v>
      </c>
      <c r="J286" s="4">
        <v>1.139338676673</v>
      </c>
      <c r="K286" s="4">
        <v>-170.9</v>
      </c>
      <c r="L286" s="8" t="s">
        <v>609</v>
      </c>
      <c r="M286" s="4">
        <v>-170.9</v>
      </c>
      <c r="N286" s="8" t="s">
        <v>631</v>
      </c>
      <c r="O286" s="8" t="s">
        <v>783</v>
      </c>
      <c r="P286" s="8" t="s">
        <v>247</v>
      </c>
      <c r="Q286" s="4">
        <v>5637697355</v>
      </c>
    </row>
    <row r="287" spans="1:17" x14ac:dyDescent="0.25">
      <c r="A287" s="8" t="s">
        <v>252</v>
      </c>
      <c r="B287" s="8" t="s">
        <v>630</v>
      </c>
      <c r="C287" s="8" t="s">
        <v>106</v>
      </c>
      <c r="D287" s="8" t="s">
        <v>107</v>
      </c>
      <c r="E287" s="6">
        <v>43083</v>
      </c>
      <c r="F287" s="8" t="s">
        <v>261</v>
      </c>
      <c r="G287" s="8" t="s">
        <v>264</v>
      </c>
      <c r="H287" s="4">
        <v>-150</v>
      </c>
      <c r="I287" s="8" t="s">
        <v>39</v>
      </c>
      <c r="J287" s="4">
        <v>1.139338676673</v>
      </c>
      <c r="K287" s="4">
        <v>-170.9</v>
      </c>
      <c r="L287" s="8" t="s">
        <v>609</v>
      </c>
      <c r="M287" s="4">
        <v>-170.9</v>
      </c>
      <c r="N287" s="8" t="s">
        <v>631</v>
      </c>
      <c r="O287" s="8" t="s">
        <v>783</v>
      </c>
      <c r="P287" s="8" t="s">
        <v>247</v>
      </c>
      <c r="Q287" s="4">
        <v>5637697356</v>
      </c>
    </row>
    <row r="288" spans="1:17" x14ac:dyDescent="0.25">
      <c r="A288" s="8" t="s">
        <v>17</v>
      </c>
      <c r="B288" s="8" t="s">
        <v>722</v>
      </c>
      <c r="C288" s="8" t="s">
        <v>106</v>
      </c>
      <c r="D288" s="8" t="s">
        <v>107</v>
      </c>
      <c r="E288" s="6">
        <v>43083</v>
      </c>
      <c r="F288" s="8" t="s">
        <v>261</v>
      </c>
      <c r="G288" s="8" t="s">
        <v>264</v>
      </c>
      <c r="H288" s="4">
        <v>150</v>
      </c>
      <c r="I288" s="8" t="s">
        <v>39</v>
      </c>
      <c r="J288" s="4">
        <v>1.1696</v>
      </c>
      <c r="K288" s="4">
        <v>175.44</v>
      </c>
      <c r="L288" s="8" t="s">
        <v>246</v>
      </c>
      <c r="M288" s="4">
        <v>150.66</v>
      </c>
      <c r="N288" s="8" t="s">
        <v>723</v>
      </c>
      <c r="O288" s="8" t="s">
        <v>782</v>
      </c>
      <c r="P288" s="8" t="s">
        <v>247</v>
      </c>
      <c r="Q288" s="4">
        <v>5637696993</v>
      </c>
    </row>
    <row r="289" spans="1:17" x14ac:dyDescent="0.25">
      <c r="A289" s="8" t="s">
        <v>17</v>
      </c>
      <c r="B289" s="8" t="s">
        <v>722</v>
      </c>
      <c r="C289" s="8" t="s">
        <v>106</v>
      </c>
      <c r="D289" s="8" t="s">
        <v>107</v>
      </c>
      <c r="E289" s="6">
        <v>43083</v>
      </c>
      <c r="F289" s="8" t="s">
        <v>261</v>
      </c>
      <c r="G289" s="8" t="s">
        <v>264</v>
      </c>
      <c r="H289" s="4">
        <v>150</v>
      </c>
      <c r="I289" s="8" t="s">
        <v>39</v>
      </c>
      <c r="J289" s="4">
        <v>1.1696</v>
      </c>
      <c r="K289" s="4">
        <v>175.44</v>
      </c>
      <c r="L289" s="8" t="s">
        <v>246</v>
      </c>
      <c r="M289" s="4">
        <v>150.66</v>
      </c>
      <c r="N289" s="8" t="s">
        <v>723</v>
      </c>
      <c r="O289" s="8" t="s">
        <v>782</v>
      </c>
      <c r="P289" s="8" t="s">
        <v>247</v>
      </c>
      <c r="Q289" s="4">
        <v>5637696994</v>
      </c>
    </row>
    <row r="290" spans="1:17" x14ac:dyDescent="0.25">
      <c r="A290" s="8" t="s">
        <v>252</v>
      </c>
      <c r="B290" s="8" t="s">
        <v>630</v>
      </c>
      <c r="C290" s="8" t="s">
        <v>106</v>
      </c>
      <c r="D290" s="8" t="s">
        <v>107</v>
      </c>
      <c r="E290" s="6">
        <v>43083</v>
      </c>
      <c r="F290" s="8" t="s">
        <v>261</v>
      </c>
      <c r="G290" s="8" t="s">
        <v>264</v>
      </c>
      <c r="H290" s="4">
        <v>-150</v>
      </c>
      <c r="I290" s="8" t="s">
        <v>39</v>
      </c>
      <c r="J290" s="4">
        <v>1.139338676673</v>
      </c>
      <c r="K290" s="4">
        <v>-170.9</v>
      </c>
      <c r="L290" s="8" t="s">
        <v>609</v>
      </c>
      <c r="M290" s="4">
        <v>-170.9</v>
      </c>
      <c r="N290" s="8" t="s">
        <v>631</v>
      </c>
      <c r="O290" s="8" t="s">
        <v>783</v>
      </c>
      <c r="P290" s="8" t="s">
        <v>247</v>
      </c>
      <c r="Q290" s="4">
        <v>5637697357</v>
      </c>
    </row>
    <row r="291" spans="1:17" x14ac:dyDescent="0.25">
      <c r="A291" s="8" t="s">
        <v>252</v>
      </c>
      <c r="B291" s="8" t="s">
        <v>630</v>
      </c>
      <c r="C291" s="8" t="s">
        <v>106</v>
      </c>
      <c r="D291" s="8" t="s">
        <v>107</v>
      </c>
      <c r="E291" s="6">
        <v>43083</v>
      </c>
      <c r="F291" s="8" t="s">
        <v>261</v>
      </c>
      <c r="G291" s="8" t="s">
        <v>264</v>
      </c>
      <c r="H291" s="4">
        <v>-150</v>
      </c>
      <c r="I291" s="8" t="s">
        <v>39</v>
      </c>
      <c r="J291" s="4">
        <v>1.139338676673</v>
      </c>
      <c r="K291" s="4">
        <v>-170.9</v>
      </c>
      <c r="L291" s="8" t="s">
        <v>609</v>
      </c>
      <c r="M291" s="4">
        <v>-170.9</v>
      </c>
      <c r="N291" s="8" t="s">
        <v>631</v>
      </c>
      <c r="O291" s="8" t="s">
        <v>783</v>
      </c>
      <c r="P291" s="8" t="s">
        <v>247</v>
      </c>
      <c r="Q291" s="4">
        <v>5637697358</v>
      </c>
    </row>
    <row r="292" spans="1:17" x14ac:dyDescent="0.25">
      <c r="A292" s="8" t="s">
        <v>17</v>
      </c>
      <c r="B292" s="8" t="s">
        <v>722</v>
      </c>
      <c r="C292" s="8" t="s">
        <v>106</v>
      </c>
      <c r="D292" s="8" t="s">
        <v>107</v>
      </c>
      <c r="E292" s="6">
        <v>43083</v>
      </c>
      <c r="F292" s="8" t="s">
        <v>261</v>
      </c>
      <c r="G292" s="8" t="s">
        <v>264</v>
      </c>
      <c r="H292" s="4">
        <v>150</v>
      </c>
      <c r="I292" s="8" t="s">
        <v>39</v>
      </c>
      <c r="J292" s="4">
        <v>1.1696</v>
      </c>
      <c r="K292" s="4">
        <v>175.44</v>
      </c>
      <c r="L292" s="8" t="s">
        <v>246</v>
      </c>
      <c r="M292" s="4">
        <v>150.66</v>
      </c>
      <c r="N292" s="8" t="s">
        <v>723</v>
      </c>
      <c r="O292" s="8" t="s">
        <v>782</v>
      </c>
      <c r="P292" s="8" t="s">
        <v>247</v>
      </c>
      <c r="Q292" s="4">
        <v>5637696995</v>
      </c>
    </row>
    <row r="293" spans="1:17" x14ac:dyDescent="0.25">
      <c r="A293" s="8" t="s">
        <v>17</v>
      </c>
      <c r="B293" s="8" t="s">
        <v>722</v>
      </c>
      <c r="C293" s="8" t="s">
        <v>106</v>
      </c>
      <c r="D293" s="8" t="s">
        <v>107</v>
      </c>
      <c r="E293" s="6">
        <v>43083</v>
      </c>
      <c r="F293" s="8" t="s">
        <v>261</v>
      </c>
      <c r="G293" s="8" t="s">
        <v>264</v>
      </c>
      <c r="H293" s="4">
        <v>150</v>
      </c>
      <c r="I293" s="8" t="s">
        <v>39</v>
      </c>
      <c r="J293" s="4">
        <v>1.1696</v>
      </c>
      <c r="K293" s="4">
        <v>175.44</v>
      </c>
      <c r="L293" s="8" t="s">
        <v>246</v>
      </c>
      <c r="M293" s="4">
        <v>150.66</v>
      </c>
      <c r="N293" s="8" t="s">
        <v>723</v>
      </c>
      <c r="O293" s="8" t="s">
        <v>782</v>
      </c>
      <c r="P293" s="8" t="s">
        <v>247</v>
      </c>
      <c r="Q293" s="4">
        <v>5637696996</v>
      </c>
    </row>
    <row r="294" spans="1:17" x14ac:dyDescent="0.25">
      <c r="A294" s="8" t="s">
        <v>252</v>
      </c>
      <c r="B294" s="8" t="s">
        <v>630</v>
      </c>
      <c r="C294" s="8" t="s">
        <v>106</v>
      </c>
      <c r="D294" s="8" t="s">
        <v>107</v>
      </c>
      <c r="E294" s="6">
        <v>43083</v>
      </c>
      <c r="F294" s="8" t="s">
        <v>261</v>
      </c>
      <c r="G294" s="8" t="s">
        <v>264</v>
      </c>
      <c r="H294" s="4">
        <v>-150</v>
      </c>
      <c r="I294" s="8" t="s">
        <v>39</v>
      </c>
      <c r="J294" s="4">
        <v>1.139338676673</v>
      </c>
      <c r="K294" s="4">
        <v>-170.9</v>
      </c>
      <c r="L294" s="8" t="s">
        <v>609</v>
      </c>
      <c r="M294" s="4">
        <v>-170.9</v>
      </c>
      <c r="N294" s="8" t="s">
        <v>631</v>
      </c>
      <c r="O294" s="8" t="s">
        <v>783</v>
      </c>
      <c r="P294" s="8" t="s">
        <v>247</v>
      </c>
      <c r="Q294" s="4">
        <v>5637697359</v>
      </c>
    </row>
    <row r="295" spans="1:17" x14ac:dyDescent="0.25">
      <c r="A295" s="8" t="s">
        <v>252</v>
      </c>
      <c r="B295" s="8" t="s">
        <v>630</v>
      </c>
      <c r="C295" s="8" t="s">
        <v>106</v>
      </c>
      <c r="D295" s="8" t="s">
        <v>107</v>
      </c>
      <c r="E295" s="6">
        <v>43083</v>
      </c>
      <c r="F295" s="8" t="s">
        <v>261</v>
      </c>
      <c r="G295" s="8" t="s">
        <v>264</v>
      </c>
      <c r="H295" s="4">
        <v>-150</v>
      </c>
      <c r="I295" s="8" t="s">
        <v>39</v>
      </c>
      <c r="J295" s="4">
        <v>1.139338676673</v>
      </c>
      <c r="K295" s="4">
        <v>-170.9</v>
      </c>
      <c r="L295" s="8" t="s">
        <v>609</v>
      </c>
      <c r="M295" s="4">
        <v>-170.9</v>
      </c>
      <c r="N295" s="8" t="s">
        <v>631</v>
      </c>
      <c r="O295" s="8" t="s">
        <v>783</v>
      </c>
      <c r="P295" s="8" t="s">
        <v>247</v>
      </c>
      <c r="Q295" s="4">
        <v>5637697360</v>
      </c>
    </row>
    <row r="296" spans="1:17" x14ac:dyDescent="0.25">
      <c r="A296" s="8" t="s">
        <v>17</v>
      </c>
      <c r="B296" s="8" t="s">
        <v>722</v>
      </c>
      <c r="C296" s="8" t="s">
        <v>106</v>
      </c>
      <c r="D296" s="8" t="s">
        <v>107</v>
      </c>
      <c r="E296" s="6">
        <v>43083</v>
      </c>
      <c r="F296" s="8" t="s">
        <v>261</v>
      </c>
      <c r="G296" s="8" t="s">
        <v>264</v>
      </c>
      <c r="H296" s="4">
        <v>150</v>
      </c>
      <c r="I296" s="8" t="s">
        <v>39</v>
      </c>
      <c r="J296" s="4">
        <v>1.1696</v>
      </c>
      <c r="K296" s="4">
        <v>175.44</v>
      </c>
      <c r="L296" s="8" t="s">
        <v>246</v>
      </c>
      <c r="M296" s="4">
        <v>150.66</v>
      </c>
      <c r="N296" s="8" t="s">
        <v>723</v>
      </c>
      <c r="O296" s="8" t="s">
        <v>782</v>
      </c>
      <c r="P296" s="8" t="s">
        <v>247</v>
      </c>
      <c r="Q296" s="4">
        <v>5637696997</v>
      </c>
    </row>
    <row r="297" spans="1:17" x14ac:dyDescent="0.25">
      <c r="A297" s="8" t="s">
        <v>17</v>
      </c>
      <c r="B297" s="8" t="s">
        <v>722</v>
      </c>
      <c r="C297" s="8" t="s">
        <v>106</v>
      </c>
      <c r="D297" s="8" t="s">
        <v>107</v>
      </c>
      <c r="E297" s="6">
        <v>43083</v>
      </c>
      <c r="F297" s="8" t="s">
        <v>261</v>
      </c>
      <c r="G297" s="8" t="s">
        <v>264</v>
      </c>
      <c r="H297" s="4">
        <v>150</v>
      </c>
      <c r="I297" s="8" t="s">
        <v>39</v>
      </c>
      <c r="J297" s="4">
        <v>1.1696</v>
      </c>
      <c r="K297" s="4">
        <v>175.44</v>
      </c>
      <c r="L297" s="8" t="s">
        <v>246</v>
      </c>
      <c r="M297" s="4">
        <v>150.66</v>
      </c>
      <c r="N297" s="8" t="s">
        <v>723</v>
      </c>
      <c r="O297" s="8" t="s">
        <v>782</v>
      </c>
      <c r="P297" s="8" t="s">
        <v>247</v>
      </c>
      <c r="Q297" s="4">
        <v>5637696998</v>
      </c>
    </row>
    <row r="298" spans="1:17" x14ac:dyDescent="0.25">
      <c r="A298" s="8" t="s">
        <v>252</v>
      </c>
      <c r="B298" s="8" t="s">
        <v>630</v>
      </c>
      <c r="C298" s="8" t="s">
        <v>106</v>
      </c>
      <c r="D298" s="8" t="s">
        <v>107</v>
      </c>
      <c r="E298" s="6">
        <v>43083</v>
      </c>
      <c r="F298" s="8" t="s">
        <v>261</v>
      </c>
      <c r="G298" s="8" t="s">
        <v>264</v>
      </c>
      <c r="H298" s="4">
        <v>-150</v>
      </c>
      <c r="I298" s="8" t="s">
        <v>39</v>
      </c>
      <c r="J298" s="4">
        <v>1.139338676673</v>
      </c>
      <c r="K298" s="4">
        <v>-170.9</v>
      </c>
      <c r="L298" s="8" t="s">
        <v>609</v>
      </c>
      <c r="M298" s="4">
        <v>-170.9</v>
      </c>
      <c r="N298" s="8" t="s">
        <v>631</v>
      </c>
      <c r="O298" s="8" t="s">
        <v>783</v>
      </c>
      <c r="P298" s="8" t="s">
        <v>247</v>
      </c>
      <c r="Q298" s="4">
        <v>5637697362</v>
      </c>
    </row>
    <row r="299" spans="1:17" x14ac:dyDescent="0.25">
      <c r="A299" s="8" t="s">
        <v>252</v>
      </c>
      <c r="B299" s="8" t="s">
        <v>630</v>
      </c>
      <c r="C299" s="8" t="s">
        <v>106</v>
      </c>
      <c r="D299" s="8" t="s">
        <v>107</v>
      </c>
      <c r="E299" s="6">
        <v>43083</v>
      </c>
      <c r="F299" s="8" t="s">
        <v>261</v>
      </c>
      <c r="G299" s="8" t="s">
        <v>264</v>
      </c>
      <c r="H299" s="4">
        <v>-150</v>
      </c>
      <c r="I299" s="8" t="s">
        <v>39</v>
      </c>
      <c r="J299" s="4">
        <v>1.139338676673</v>
      </c>
      <c r="K299" s="4">
        <v>-170.9</v>
      </c>
      <c r="L299" s="8" t="s">
        <v>609</v>
      </c>
      <c r="M299" s="4">
        <v>-170.9</v>
      </c>
      <c r="N299" s="8" t="s">
        <v>631</v>
      </c>
      <c r="O299" s="8" t="s">
        <v>783</v>
      </c>
      <c r="P299" s="8" t="s">
        <v>247</v>
      </c>
      <c r="Q299" s="4">
        <v>5637697363</v>
      </c>
    </row>
    <row r="300" spans="1:17" x14ac:dyDescent="0.25">
      <c r="A300" s="8" t="s">
        <v>17</v>
      </c>
      <c r="B300" s="8" t="s">
        <v>722</v>
      </c>
      <c r="C300" s="8" t="s">
        <v>106</v>
      </c>
      <c r="D300" s="8" t="s">
        <v>107</v>
      </c>
      <c r="E300" s="6">
        <v>43083</v>
      </c>
      <c r="F300" s="8" t="s">
        <v>261</v>
      </c>
      <c r="G300" s="8" t="s">
        <v>264</v>
      </c>
      <c r="H300" s="4">
        <v>150</v>
      </c>
      <c r="I300" s="8" t="s">
        <v>39</v>
      </c>
      <c r="J300" s="4">
        <v>1.1696</v>
      </c>
      <c r="K300" s="4">
        <v>175.44</v>
      </c>
      <c r="L300" s="8" t="s">
        <v>246</v>
      </c>
      <c r="M300" s="4">
        <v>150.66</v>
      </c>
      <c r="N300" s="8" t="s">
        <v>723</v>
      </c>
      <c r="O300" s="8" t="s">
        <v>782</v>
      </c>
      <c r="P300" s="8" t="s">
        <v>247</v>
      </c>
      <c r="Q300" s="4">
        <v>5637696999</v>
      </c>
    </row>
    <row r="301" spans="1:17" x14ac:dyDescent="0.25">
      <c r="A301" s="8" t="s">
        <v>17</v>
      </c>
      <c r="B301" s="8" t="s">
        <v>722</v>
      </c>
      <c r="C301" s="8" t="s">
        <v>106</v>
      </c>
      <c r="D301" s="8" t="s">
        <v>107</v>
      </c>
      <c r="E301" s="6">
        <v>43083</v>
      </c>
      <c r="F301" s="8" t="s">
        <v>261</v>
      </c>
      <c r="G301" s="8" t="s">
        <v>264</v>
      </c>
      <c r="H301" s="4">
        <v>100</v>
      </c>
      <c r="I301" s="8" t="s">
        <v>39</v>
      </c>
      <c r="J301" s="4">
        <v>1.1696</v>
      </c>
      <c r="K301" s="4">
        <v>116.96</v>
      </c>
      <c r="L301" s="8" t="s">
        <v>246</v>
      </c>
      <c r="M301" s="4">
        <v>100.44</v>
      </c>
      <c r="N301" s="8" t="s">
        <v>723</v>
      </c>
      <c r="O301" s="8" t="s">
        <v>782</v>
      </c>
      <c r="P301" s="8" t="s">
        <v>247</v>
      </c>
      <c r="Q301" s="4">
        <v>5637697000</v>
      </c>
    </row>
    <row r="302" spans="1:17" x14ac:dyDescent="0.25">
      <c r="A302" s="8" t="s">
        <v>252</v>
      </c>
      <c r="B302" s="8" t="s">
        <v>630</v>
      </c>
      <c r="C302" s="8" t="s">
        <v>106</v>
      </c>
      <c r="D302" s="8" t="s">
        <v>107</v>
      </c>
      <c r="E302" s="6">
        <v>43083</v>
      </c>
      <c r="F302" s="8" t="s">
        <v>261</v>
      </c>
      <c r="G302" s="8" t="s">
        <v>264</v>
      </c>
      <c r="H302" s="4">
        <v>-100</v>
      </c>
      <c r="I302" s="8" t="s">
        <v>39</v>
      </c>
      <c r="J302" s="4">
        <v>1.139338676673</v>
      </c>
      <c r="K302" s="4">
        <v>-113.92999999999999</v>
      </c>
      <c r="L302" s="8" t="s">
        <v>609</v>
      </c>
      <c r="M302" s="4">
        <v>-113.92999999999999</v>
      </c>
      <c r="N302" s="8" t="s">
        <v>631</v>
      </c>
      <c r="O302" s="8" t="s">
        <v>783</v>
      </c>
      <c r="P302" s="8" t="s">
        <v>247</v>
      </c>
      <c r="Q302" s="4">
        <v>5637697361</v>
      </c>
    </row>
    <row r="303" spans="1:17" x14ac:dyDescent="0.25">
      <c r="A303" s="8" t="s">
        <v>252</v>
      </c>
      <c r="B303" s="8" t="s">
        <v>630</v>
      </c>
      <c r="C303" s="8" t="s">
        <v>106</v>
      </c>
      <c r="D303" s="8" t="s">
        <v>107</v>
      </c>
      <c r="E303" s="6">
        <v>43083</v>
      </c>
      <c r="F303" s="8" t="s">
        <v>261</v>
      </c>
      <c r="G303" s="8" t="s">
        <v>264</v>
      </c>
      <c r="H303" s="4">
        <v>-150</v>
      </c>
      <c r="I303" s="8" t="s">
        <v>39</v>
      </c>
      <c r="J303" s="4">
        <v>1.139338676673</v>
      </c>
      <c r="K303" s="4">
        <v>-170.9</v>
      </c>
      <c r="L303" s="8" t="s">
        <v>609</v>
      </c>
      <c r="M303" s="4">
        <v>-170.9</v>
      </c>
      <c r="N303" s="8" t="s">
        <v>631</v>
      </c>
      <c r="O303" s="8" t="s">
        <v>783</v>
      </c>
      <c r="P303" s="8" t="s">
        <v>247</v>
      </c>
      <c r="Q303" s="4">
        <v>5637697364</v>
      </c>
    </row>
    <row r="304" spans="1:17" x14ac:dyDescent="0.25">
      <c r="A304" s="8" t="s">
        <v>17</v>
      </c>
      <c r="B304" s="8" t="s">
        <v>722</v>
      </c>
      <c r="C304" s="8" t="s">
        <v>106</v>
      </c>
      <c r="D304" s="8" t="s">
        <v>107</v>
      </c>
      <c r="E304" s="6">
        <v>43083</v>
      </c>
      <c r="F304" s="8" t="s">
        <v>261</v>
      </c>
      <c r="G304" s="8" t="s">
        <v>264</v>
      </c>
      <c r="H304" s="4">
        <v>150</v>
      </c>
      <c r="I304" s="8" t="s">
        <v>39</v>
      </c>
      <c r="J304" s="4">
        <v>1.1696</v>
      </c>
      <c r="K304" s="4">
        <v>175.44</v>
      </c>
      <c r="L304" s="8" t="s">
        <v>246</v>
      </c>
      <c r="M304" s="4">
        <v>150.66</v>
      </c>
      <c r="N304" s="8" t="s">
        <v>723</v>
      </c>
      <c r="O304" s="8" t="s">
        <v>782</v>
      </c>
      <c r="P304" s="8" t="s">
        <v>247</v>
      </c>
      <c r="Q304" s="4">
        <v>5637697001</v>
      </c>
    </row>
    <row r="305" spans="1:17" x14ac:dyDescent="0.25">
      <c r="A305" s="8" t="s">
        <v>17</v>
      </c>
      <c r="B305" s="8" t="s">
        <v>722</v>
      </c>
      <c r="C305" s="8" t="s">
        <v>106</v>
      </c>
      <c r="D305" s="8" t="s">
        <v>107</v>
      </c>
      <c r="E305" s="6">
        <v>43083</v>
      </c>
      <c r="F305" s="8" t="s">
        <v>261</v>
      </c>
      <c r="G305" s="8" t="s">
        <v>264</v>
      </c>
      <c r="H305" s="4">
        <v>150</v>
      </c>
      <c r="I305" s="8" t="s">
        <v>39</v>
      </c>
      <c r="J305" s="4">
        <v>1.1696</v>
      </c>
      <c r="K305" s="4">
        <v>175.44</v>
      </c>
      <c r="L305" s="8" t="s">
        <v>246</v>
      </c>
      <c r="M305" s="4">
        <v>150.66</v>
      </c>
      <c r="N305" s="8" t="s">
        <v>723</v>
      </c>
      <c r="O305" s="8" t="s">
        <v>782</v>
      </c>
      <c r="P305" s="8" t="s">
        <v>247</v>
      </c>
      <c r="Q305" s="4">
        <v>5637697002</v>
      </c>
    </row>
    <row r="306" spans="1:17" x14ac:dyDescent="0.25">
      <c r="A306" s="8" t="s">
        <v>252</v>
      </c>
      <c r="B306" s="8" t="s">
        <v>630</v>
      </c>
      <c r="C306" s="8" t="s">
        <v>106</v>
      </c>
      <c r="D306" s="8" t="s">
        <v>107</v>
      </c>
      <c r="E306" s="6">
        <v>43083</v>
      </c>
      <c r="F306" s="8" t="s">
        <v>261</v>
      </c>
      <c r="G306" s="8" t="s">
        <v>264</v>
      </c>
      <c r="H306" s="4">
        <v>-150</v>
      </c>
      <c r="I306" s="8" t="s">
        <v>39</v>
      </c>
      <c r="J306" s="4">
        <v>1.139338676673</v>
      </c>
      <c r="K306" s="4">
        <v>-170.9</v>
      </c>
      <c r="L306" s="8" t="s">
        <v>609</v>
      </c>
      <c r="M306" s="4">
        <v>-170.9</v>
      </c>
      <c r="N306" s="8" t="s">
        <v>631</v>
      </c>
      <c r="O306" s="8" t="s">
        <v>783</v>
      </c>
      <c r="P306" s="8" t="s">
        <v>247</v>
      </c>
      <c r="Q306" s="4">
        <v>5637697369</v>
      </c>
    </row>
    <row r="307" spans="1:17" x14ac:dyDescent="0.25">
      <c r="A307" s="8" t="s">
        <v>252</v>
      </c>
      <c r="B307" s="8" t="s">
        <v>630</v>
      </c>
      <c r="C307" s="8" t="s">
        <v>106</v>
      </c>
      <c r="D307" s="8" t="s">
        <v>107</v>
      </c>
      <c r="E307" s="6">
        <v>43083</v>
      </c>
      <c r="F307" s="8" t="s">
        <v>261</v>
      </c>
      <c r="G307" s="8" t="s">
        <v>264</v>
      </c>
      <c r="H307" s="4">
        <v>-150</v>
      </c>
      <c r="I307" s="8" t="s">
        <v>39</v>
      </c>
      <c r="J307" s="4">
        <v>1.139338676673</v>
      </c>
      <c r="K307" s="4">
        <v>-170.9</v>
      </c>
      <c r="L307" s="8" t="s">
        <v>609</v>
      </c>
      <c r="M307" s="4">
        <v>-170.9</v>
      </c>
      <c r="N307" s="8" t="s">
        <v>631</v>
      </c>
      <c r="O307" s="8" t="s">
        <v>783</v>
      </c>
      <c r="P307" s="8" t="s">
        <v>247</v>
      </c>
      <c r="Q307" s="4">
        <v>5637697370</v>
      </c>
    </row>
    <row r="308" spans="1:17" x14ac:dyDescent="0.25">
      <c r="A308" s="8" t="s">
        <v>17</v>
      </c>
      <c r="B308" s="8" t="s">
        <v>722</v>
      </c>
      <c r="C308" s="8" t="s">
        <v>106</v>
      </c>
      <c r="D308" s="8" t="s">
        <v>107</v>
      </c>
      <c r="E308" s="6">
        <v>43083</v>
      </c>
      <c r="F308" s="8" t="s">
        <v>261</v>
      </c>
      <c r="G308" s="8" t="s">
        <v>264</v>
      </c>
      <c r="H308" s="4">
        <v>150</v>
      </c>
      <c r="I308" s="8" t="s">
        <v>39</v>
      </c>
      <c r="J308" s="4">
        <v>1.1696</v>
      </c>
      <c r="K308" s="4">
        <v>175.44</v>
      </c>
      <c r="L308" s="8" t="s">
        <v>246</v>
      </c>
      <c r="M308" s="4">
        <v>150.66</v>
      </c>
      <c r="N308" s="8" t="s">
        <v>723</v>
      </c>
      <c r="O308" s="8" t="s">
        <v>782</v>
      </c>
      <c r="P308" s="8" t="s">
        <v>247</v>
      </c>
      <c r="Q308" s="4">
        <v>5637697003</v>
      </c>
    </row>
    <row r="309" spans="1:17" x14ac:dyDescent="0.25">
      <c r="A309" s="8" t="s">
        <v>17</v>
      </c>
      <c r="B309" s="8" t="s">
        <v>722</v>
      </c>
      <c r="C309" s="8" t="s">
        <v>106</v>
      </c>
      <c r="D309" s="8" t="s">
        <v>107</v>
      </c>
      <c r="E309" s="6">
        <v>43083</v>
      </c>
      <c r="F309" s="8" t="s">
        <v>261</v>
      </c>
      <c r="G309" s="8" t="s">
        <v>264</v>
      </c>
      <c r="H309" s="4">
        <v>150</v>
      </c>
      <c r="I309" s="8" t="s">
        <v>39</v>
      </c>
      <c r="J309" s="4">
        <v>1.1696</v>
      </c>
      <c r="K309" s="4">
        <v>175.44</v>
      </c>
      <c r="L309" s="8" t="s">
        <v>246</v>
      </c>
      <c r="M309" s="4">
        <v>150.66</v>
      </c>
      <c r="N309" s="8" t="s">
        <v>723</v>
      </c>
      <c r="O309" s="8" t="s">
        <v>782</v>
      </c>
      <c r="P309" s="8" t="s">
        <v>247</v>
      </c>
      <c r="Q309" s="4">
        <v>5637697004</v>
      </c>
    </row>
    <row r="310" spans="1:17" x14ac:dyDescent="0.25">
      <c r="A310" s="8" t="s">
        <v>252</v>
      </c>
      <c r="B310" s="8" t="s">
        <v>630</v>
      </c>
      <c r="C310" s="8" t="s">
        <v>106</v>
      </c>
      <c r="D310" s="8" t="s">
        <v>107</v>
      </c>
      <c r="E310" s="6">
        <v>43083</v>
      </c>
      <c r="F310" s="8" t="s">
        <v>261</v>
      </c>
      <c r="G310" s="8" t="s">
        <v>264</v>
      </c>
      <c r="H310" s="4">
        <v>-150</v>
      </c>
      <c r="I310" s="8" t="s">
        <v>39</v>
      </c>
      <c r="J310" s="4">
        <v>1.139338676673</v>
      </c>
      <c r="K310" s="4">
        <v>-170.9</v>
      </c>
      <c r="L310" s="8" t="s">
        <v>609</v>
      </c>
      <c r="M310" s="4">
        <v>-170.9</v>
      </c>
      <c r="N310" s="8" t="s">
        <v>631</v>
      </c>
      <c r="O310" s="8" t="s">
        <v>783</v>
      </c>
      <c r="P310" s="8" t="s">
        <v>247</v>
      </c>
      <c r="Q310" s="4">
        <v>5637697371</v>
      </c>
    </row>
    <row r="311" spans="1:17" x14ac:dyDescent="0.25">
      <c r="A311" s="8" t="s">
        <v>252</v>
      </c>
      <c r="B311" s="8" t="s">
        <v>630</v>
      </c>
      <c r="C311" s="8" t="s">
        <v>106</v>
      </c>
      <c r="D311" s="8" t="s">
        <v>107</v>
      </c>
      <c r="E311" s="6">
        <v>43083</v>
      </c>
      <c r="F311" s="8" t="s">
        <v>261</v>
      </c>
      <c r="G311" s="8" t="s">
        <v>264</v>
      </c>
      <c r="H311" s="4">
        <v>-150</v>
      </c>
      <c r="I311" s="8" t="s">
        <v>39</v>
      </c>
      <c r="J311" s="4">
        <v>1.139338676673</v>
      </c>
      <c r="K311" s="4">
        <v>-170.9</v>
      </c>
      <c r="L311" s="8" t="s">
        <v>609</v>
      </c>
      <c r="M311" s="4">
        <v>-170.9</v>
      </c>
      <c r="N311" s="8" t="s">
        <v>631</v>
      </c>
      <c r="O311" s="8" t="s">
        <v>783</v>
      </c>
      <c r="P311" s="8" t="s">
        <v>247</v>
      </c>
      <c r="Q311" s="4">
        <v>5637697372</v>
      </c>
    </row>
    <row r="312" spans="1:17" x14ac:dyDescent="0.25">
      <c r="A312" s="8" t="s">
        <v>17</v>
      </c>
      <c r="B312" s="8" t="s">
        <v>722</v>
      </c>
      <c r="C312" s="8" t="s">
        <v>106</v>
      </c>
      <c r="D312" s="8" t="s">
        <v>107</v>
      </c>
      <c r="E312" s="6">
        <v>43083</v>
      </c>
      <c r="F312" s="8" t="s">
        <v>261</v>
      </c>
      <c r="G312" s="8" t="s">
        <v>264</v>
      </c>
      <c r="H312" s="4">
        <v>150</v>
      </c>
      <c r="I312" s="8" t="s">
        <v>39</v>
      </c>
      <c r="J312" s="4">
        <v>1.1696</v>
      </c>
      <c r="K312" s="4">
        <v>175.44</v>
      </c>
      <c r="L312" s="8" t="s">
        <v>246</v>
      </c>
      <c r="M312" s="4">
        <v>150.66</v>
      </c>
      <c r="N312" s="8" t="s">
        <v>723</v>
      </c>
      <c r="O312" s="8" t="s">
        <v>782</v>
      </c>
      <c r="P312" s="8" t="s">
        <v>247</v>
      </c>
      <c r="Q312" s="4">
        <v>5637697005</v>
      </c>
    </row>
    <row r="313" spans="1:17" x14ac:dyDescent="0.25">
      <c r="A313" s="8" t="s">
        <v>17</v>
      </c>
      <c r="B313" s="8" t="s">
        <v>722</v>
      </c>
      <c r="C313" s="8" t="s">
        <v>106</v>
      </c>
      <c r="D313" s="8" t="s">
        <v>107</v>
      </c>
      <c r="E313" s="6">
        <v>43083</v>
      </c>
      <c r="F313" s="8" t="s">
        <v>261</v>
      </c>
      <c r="G313" s="8" t="s">
        <v>264</v>
      </c>
      <c r="H313" s="4">
        <v>150</v>
      </c>
      <c r="I313" s="8" t="s">
        <v>39</v>
      </c>
      <c r="J313" s="4">
        <v>1.1696</v>
      </c>
      <c r="K313" s="4">
        <v>175.44</v>
      </c>
      <c r="L313" s="8" t="s">
        <v>246</v>
      </c>
      <c r="M313" s="4">
        <v>150.66</v>
      </c>
      <c r="N313" s="8" t="s">
        <v>723</v>
      </c>
      <c r="O313" s="8" t="s">
        <v>782</v>
      </c>
      <c r="P313" s="8" t="s">
        <v>247</v>
      </c>
      <c r="Q313" s="4">
        <v>5637697006</v>
      </c>
    </row>
    <row r="314" spans="1:17" x14ac:dyDescent="0.25">
      <c r="A314" s="8" t="s">
        <v>252</v>
      </c>
      <c r="B314" s="8" t="s">
        <v>630</v>
      </c>
      <c r="C314" s="8" t="s">
        <v>106</v>
      </c>
      <c r="D314" s="8" t="s">
        <v>107</v>
      </c>
      <c r="E314" s="6">
        <v>43083</v>
      </c>
      <c r="F314" s="8" t="s">
        <v>261</v>
      </c>
      <c r="G314" s="8" t="s">
        <v>264</v>
      </c>
      <c r="H314" s="4">
        <v>-150</v>
      </c>
      <c r="I314" s="8" t="s">
        <v>39</v>
      </c>
      <c r="J314" s="4">
        <v>1.139338676673</v>
      </c>
      <c r="K314" s="4">
        <v>-170.9</v>
      </c>
      <c r="L314" s="8" t="s">
        <v>609</v>
      </c>
      <c r="M314" s="4">
        <v>-170.9</v>
      </c>
      <c r="N314" s="8" t="s">
        <v>631</v>
      </c>
      <c r="O314" s="8" t="s">
        <v>783</v>
      </c>
      <c r="P314" s="8" t="s">
        <v>247</v>
      </c>
      <c r="Q314" s="4">
        <v>5637697373</v>
      </c>
    </row>
    <row r="315" spans="1:17" x14ac:dyDescent="0.25">
      <c r="A315" s="8" t="s">
        <v>252</v>
      </c>
      <c r="B315" s="8" t="s">
        <v>630</v>
      </c>
      <c r="C315" s="8" t="s">
        <v>106</v>
      </c>
      <c r="D315" s="8" t="s">
        <v>107</v>
      </c>
      <c r="E315" s="6">
        <v>43083</v>
      </c>
      <c r="F315" s="8" t="s">
        <v>261</v>
      </c>
      <c r="G315" s="8" t="s">
        <v>264</v>
      </c>
      <c r="H315" s="4">
        <v>-150</v>
      </c>
      <c r="I315" s="8" t="s">
        <v>39</v>
      </c>
      <c r="J315" s="4">
        <v>1.139338676673</v>
      </c>
      <c r="K315" s="4">
        <v>-170.9</v>
      </c>
      <c r="L315" s="8" t="s">
        <v>609</v>
      </c>
      <c r="M315" s="4">
        <v>-170.9</v>
      </c>
      <c r="N315" s="8" t="s">
        <v>631</v>
      </c>
      <c r="O315" s="8" t="s">
        <v>783</v>
      </c>
      <c r="P315" s="8" t="s">
        <v>247</v>
      </c>
      <c r="Q315" s="4">
        <v>5637697374</v>
      </c>
    </row>
    <row r="316" spans="1:17" x14ac:dyDescent="0.25">
      <c r="A316" s="8" t="s">
        <v>17</v>
      </c>
      <c r="B316" s="8" t="s">
        <v>722</v>
      </c>
      <c r="C316" s="8" t="s">
        <v>106</v>
      </c>
      <c r="D316" s="8" t="s">
        <v>107</v>
      </c>
      <c r="E316" s="6">
        <v>43083</v>
      </c>
      <c r="F316" s="8" t="s">
        <v>261</v>
      </c>
      <c r="G316" s="8" t="s">
        <v>264</v>
      </c>
      <c r="H316" s="4">
        <v>150</v>
      </c>
      <c r="I316" s="8" t="s">
        <v>39</v>
      </c>
      <c r="J316" s="4">
        <v>1.1696</v>
      </c>
      <c r="K316" s="4">
        <v>175.44</v>
      </c>
      <c r="L316" s="8" t="s">
        <v>246</v>
      </c>
      <c r="M316" s="4">
        <v>150.66</v>
      </c>
      <c r="N316" s="8" t="s">
        <v>723</v>
      </c>
      <c r="O316" s="8" t="s">
        <v>782</v>
      </c>
      <c r="P316" s="8" t="s">
        <v>247</v>
      </c>
      <c r="Q316" s="4">
        <v>5637697007</v>
      </c>
    </row>
    <row r="317" spans="1:17" x14ac:dyDescent="0.25">
      <c r="A317" s="8" t="s">
        <v>17</v>
      </c>
      <c r="B317" s="8" t="s">
        <v>722</v>
      </c>
      <c r="C317" s="8" t="s">
        <v>106</v>
      </c>
      <c r="D317" s="8" t="s">
        <v>107</v>
      </c>
      <c r="E317" s="6">
        <v>43083</v>
      </c>
      <c r="F317" s="8" t="s">
        <v>261</v>
      </c>
      <c r="G317" s="8" t="s">
        <v>264</v>
      </c>
      <c r="H317" s="4">
        <v>150</v>
      </c>
      <c r="I317" s="8" t="s">
        <v>39</v>
      </c>
      <c r="J317" s="4">
        <v>1.1696</v>
      </c>
      <c r="K317" s="4">
        <v>175.44</v>
      </c>
      <c r="L317" s="8" t="s">
        <v>246</v>
      </c>
      <c r="M317" s="4">
        <v>150.66</v>
      </c>
      <c r="N317" s="8" t="s">
        <v>723</v>
      </c>
      <c r="O317" s="8" t="s">
        <v>782</v>
      </c>
      <c r="P317" s="8" t="s">
        <v>247</v>
      </c>
      <c r="Q317" s="4">
        <v>5637697008</v>
      </c>
    </row>
    <row r="318" spans="1:17" x14ac:dyDescent="0.25">
      <c r="A318" s="8" t="s">
        <v>252</v>
      </c>
      <c r="B318" s="8" t="s">
        <v>630</v>
      </c>
      <c r="C318" s="8" t="s">
        <v>106</v>
      </c>
      <c r="D318" s="8" t="s">
        <v>107</v>
      </c>
      <c r="E318" s="6">
        <v>43083</v>
      </c>
      <c r="F318" s="8" t="s">
        <v>261</v>
      </c>
      <c r="G318" s="8" t="s">
        <v>264</v>
      </c>
      <c r="H318" s="4">
        <v>-150</v>
      </c>
      <c r="I318" s="8" t="s">
        <v>39</v>
      </c>
      <c r="J318" s="4">
        <v>1.139338676673</v>
      </c>
      <c r="K318" s="4">
        <v>-170.9</v>
      </c>
      <c r="L318" s="8" t="s">
        <v>609</v>
      </c>
      <c r="M318" s="4">
        <v>-170.9</v>
      </c>
      <c r="N318" s="8" t="s">
        <v>631</v>
      </c>
      <c r="O318" s="8" t="s">
        <v>783</v>
      </c>
      <c r="P318" s="8" t="s">
        <v>247</v>
      </c>
      <c r="Q318" s="4">
        <v>5637697375</v>
      </c>
    </row>
    <row r="319" spans="1:17" x14ac:dyDescent="0.25">
      <c r="A319" s="8" t="s">
        <v>252</v>
      </c>
      <c r="B319" s="8" t="s">
        <v>630</v>
      </c>
      <c r="C319" s="8" t="s">
        <v>106</v>
      </c>
      <c r="D319" s="8" t="s">
        <v>107</v>
      </c>
      <c r="E319" s="6">
        <v>43083</v>
      </c>
      <c r="F319" s="8" t="s">
        <v>261</v>
      </c>
      <c r="G319" s="8" t="s">
        <v>264</v>
      </c>
      <c r="H319" s="4">
        <v>-150</v>
      </c>
      <c r="I319" s="8" t="s">
        <v>39</v>
      </c>
      <c r="J319" s="4">
        <v>1.139338676673</v>
      </c>
      <c r="K319" s="4">
        <v>-170.9</v>
      </c>
      <c r="L319" s="8" t="s">
        <v>609</v>
      </c>
      <c r="M319" s="4">
        <v>-170.9</v>
      </c>
      <c r="N319" s="8" t="s">
        <v>631</v>
      </c>
      <c r="O319" s="8" t="s">
        <v>783</v>
      </c>
      <c r="P319" s="8" t="s">
        <v>247</v>
      </c>
      <c r="Q319" s="4">
        <v>5637697376</v>
      </c>
    </row>
    <row r="320" spans="1:17" x14ac:dyDescent="0.25">
      <c r="A320" s="8" t="s">
        <v>17</v>
      </c>
      <c r="B320" s="8" t="s">
        <v>722</v>
      </c>
      <c r="C320" s="8" t="s">
        <v>106</v>
      </c>
      <c r="D320" s="8" t="s">
        <v>107</v>
      </c>
      <c r="E320" s="6">
        <v>43083</v>
      </c>
      <c r="F320" s="8" t="s">
        <v>261</v>
      </c>
      <c r="G320" s="8" t="s">
        <v>264</v>
      </c>
      <c r="H320" s="4">
        <v>150</v>
      </c>
      <c r="I320" s="8" t="s">
        <v>39</v>
      </c>
      <c r="J320" s="4">
        <v>1.1696</v>
      </c>
      <c r="K320" s="4">
        <v>175.44</v>
      </c>
      <c r="L320" s="8" t="s">
        <v>246</v>
      </c>
      <c r="M320" s="4">
        <v>150.66</v>
      </c>
      <c r="N320" s="8" t="s">
        <v>723</v>
      </c>
      <c r="O320" s="8" t="s">
        <v>782</v>
      </c>
      <c r="P320" s="8" t="s">
        <v>247</v>
      </c>
      <c r="Q320" s="4">
        <v>5637697009</v>
      </c>
    </row>
    <row r="321" spans="1:17" x14ac:dyDescent="0.25">
      <c r="A321" s="8" t="s">
        <v>17</v>
      </c>
      <c r="B321" s="8" t="s">
        <v>722</v>
      </c>
      <c r="C321" s="8" t="s">
        <v>106</v>
      </c>
      <c r="D321" s="8" t="s">
        <v>107</v>
      </c>
      <c r="E321" s="6">
        <v>43083</v>
      </c>
      <c r="F321" s="8" t="s">
        <v>261</v>
      </c>
      <c r="G321" s="8" t="s">
        <v>264</v>
      </c>
      <c r="H321" s="4">
        <v>150</v>
      </c>
      <c r="I321" s="8" t="s">
        <v>39</v>
      </c>
      <c r="J321" s="4">
        <v>1.1696</v>
      </c>
      <c r="K321" s="4">
        <v>175.44</v>
      </c>
      <c r="L321" s="8" t="s">
        <v>246</v>
      </c>
      <c r="M321" s="4">
        <v>150.66</v>
      </c>
      <c r="N321" s="8" t="s">
        <v>723</v>
      </c>
      <c r="O321" s="8" t="s">
        <v>782</v>
      </c>
      <c r="P321" s="8" t="s">
        <v>247</v>
      </c>
      <c r="Q321" s="4">
        <v>5637697010</v>
      </c>
    </row>
    <row r="322" spans="1:17" x14ac:dyDescent="0.25">
      <c r="A322" s="8" t="s">
        <v>252</v>
      </c>
      <c r="B322" s="8" t="s">
        <v>630</v>
      </c>
      <c r="C322" s="8" t="s">
        <v>106</v>
      </c>
      <c r="D322" s="8" t="s">
        <v>107</v>
      </c>
      <c r="E322" s="6">
        <v>43083</v>
      </c>
      <c r="F322" s="8" t="s">
        <v>261</v>
      </c>
      <c r="G322" s="8" t="s">
        <v>264</v>
      </c>
      <c r="H322" s="4">
        <v>-150</v>
      </c>
      <c r="I322" s="8" t="s">
        <v>39</v>
      </c>
      <c r="J322" s="4">
        <v>1.139338676673</v>
      </c>
      <c r="K322" s="4">
        <v>-170.9</v>
      </c>
      <c r="L322" s="8" t="s">
        <v>609</v>
      </c>
      <c r="M322" s="4">
        <v>-170.9</v>
      </c>
      <c r="N322" s="8" t="s">
        <v>631</v>
      </c>
      <c r="O322" s="8" t="s">
        <v>783</v>
      </c>
      <c r="P322" s="8" t="s">
        <v>247</v>
      </c>
      <c r="Q322" s="4">
        <v>5637697377</v>
      </c>
    </row>
    <row r="323" spans="1:17" x14ac:dyDescent="0.25">
      <c r="A323" s="8" t="s">
        <v>252</v>
      </c>
      <c r="B323" s="8" t="s">
        <v>630</v>
      </c>
      <c r="C323" s="8" t="s">
        <v>106</v>
      </c>
      <c r="D323" s="8" t="s">
        <v>107</v>
      </c>
      <c r="E323" s="6">
        <v>43083</v>
      </c>
      <c r="F323" s="8" t="s">
        <v>261</v>
      </c>
      <c r="G323" s="8" t="s">
        <v>264</v>
      </c>
      <c r="H323" s="4">
        <v>-150</v>
      </c>
      <c r="I323" s="8" t="s">
        <v>39</v>
      </c>
      <c r="J323" s="4">
        <v>1.139338676673</v>
      </c>
      <c r="K323" s="4">
        <v>-170.9</v>
      </c>
      <c r="L323" s="8" t="s">
        <v>609</v>
      </c>
      <c r="M323" s="4">
        <v>-170.9</v>
      </c>
      <c r="N323" s="8" t="s">
        <v>631</v>
      </c>
      <c r="O323" s="8" t="s">
        <v>783</v>
      </c>
      <c r="P323" s="8" t="s">
        <v>247</v>
      </c>
      <c r="Q323" s="4">
        <v>5637697378</v>
      </c>
    </row>
    <row r="324" spans="1:17" x14ac:dyDescent="0.25">
      <c r="A324" s="8" t="s">
        <v>17</v>
      </c>
      <c r="B324" s="8" t="s">
        <v>722</v>
      </c>
      <c r="C324" s="8" t="s">
        <v>106</v>
      </c>
      <c r="D324" s="8" t="s">
        <v>107</v>
      </c>
      <c r="E324" s="6">
        <v>43083</v>
      </c>
      <c r="F324" s="8" t="s">
        <v>261</v>
      </c>
      <c r="G324" s="8" t="s">
        <v>264</v>
      </c>
      <c r="H324" s="4">
        <v>150</v>
      </c>
      <c r="I324" s="8" t="s">
        <v>39</v>
      </c>
      <c r="J324" s="4">
        <v>1.1696</v>
      </c>
      <c r="K324" s="4">
        <v>175.44</v>
      </c>
      <c r="L324" s="8" t="s">
        <v>246</v>
      </c>
      <c r="M324" s="4">
        <v>150.66</v>
      </c>
      <c r="N324" s="8" t="s">
        <v>723</v>
      </c>
      <c r="O324" s="8" t="s">
        <v>782</v>
      </c>
      <c r="P324" s="8" t="s">
        <v>247</v>
      </c>
      <c r="Q324" s="4">
        <v>5637697011</v>
      </c>
    </row>
    <row r="325" spans="1:17" x14ac:dyDescent="0.25">
      <c r="A325" s="8" t="s">
        <v>17</v>
      </c>
      <c r="B325" s="8" t="s">
        <v>722</v>
      </c>
      <c r="C325" s="8" t="s">
        <v>106</v>
      </c>
      <c r="D325" s="8" t="s">
        <v>107</v>
      </c>
      <c r="E325" s="6">
        <v>43083</v>
      </c>
      <c r="F325" s="8" t="s">
        <v>261</v>
      </c>
      <c r="G325" s="8" t="s">
        <v>264</v>
      </c>
      <c r="H325" s="4">
        <v>150</v>
      </c>
      <c r="I325" s="8" t="s">
        <v>39</v>
      </c>
      <c r="J325" s="4">
        <v>1.1696</v>
      </c>
      <c r="K325" s="4">
        <v>175.44</v>
      </c>
      <c r="L325" s="8" t="s">
        <v>246</v>
      </c>
      <c r="M325" s="4">
        <v>150.66</v>
      </c>
      <c r="N325" s="8" t="s">
        <v>723</v>
      </c>
      <c r="O325" s="8" t="s">
        <v>782</v>
      </c>
      <c r="P325" s="8" t="s">
        <v>247</v>
      </c>
      <c r="Q325" s="4">
        <v>5637697012</v>
      </c>
    </row>
    <row r="326" spans="1:17" x14ac:dyDescent="0.25">
      <c r="A326" s="8" t="s">
        <v>252</v>
      </c>
      <c r="B326" s="8" t="s">
        <v>630</v>
      </c>
      <c r="C326" s="8" t="s">
        <v>106</v>
      </c>
      <c r="D326" s="8" t="s">
        <v>107</v>
      </c>
      <c r="E326" s="6">
        <v>43083</v>
      </c>
      <c r="F326" s="8" t="s">
        <v>261</v>
      </c>
      <c r="G326" s="8" t="s">
        <v>264</v>
      </c>
      <c r="H326" s="4">
        <v>-150</v>
      </c>
      <c r="I326" s="8" t="s">
        <v>39</v>
      </c>
      <c r="J326" s="4">
        <v>1.139338676673</v>
      </c>
      <c r="K326" s="4">
        <v>-170.9</v>
      </c>
      <c r="L326" s="8" t="s">
        <v>609</v>
      </c>
      <c r="M326" s="4">
        <v>-170.9</v>
      </c>
      <c r="N326" s="8" t="s">
        <v>631</v>
      </c>
      <c r="O326" s="8" t="s">
        <v>783</v>
      </c>
      <c r="P326" s="8" t="s">
        <v>247</v>
      </c>
      <c r="Q326" s="4">
        <v>5637697379</v>
      </c>
    </row>
    <row r="327" spans="1:17" x14ac:dyDescent="0.25">
      <c r="A327" s="8" t="s">
        <v>252</v>
      </c>
      <c r="B327" s="8" t="s">
        <v>630</v>
      </c>
      <c r="C327" s="8" t="s">
        <v>106</v>
      </c>
      <c r="D327" s="8" t="s">
        <v>107</v>
      </c>
      <c r="E327" s="6">
        <v>43083</v>
      </c>
      <c r="F327" s="8" t="s">
        <v>261</v>
      </c>
      <c r="G327" s="8" t="s">
        <v>264</v>
      </c>
      <c r="H327" s="4">
        <v>-150</v>
      </c>
      <c r="I327" s="8" t="s">
        <v>39</v>
      </c>
      <c r="J327" s="4">
        <v>1.139338676673</v>
      </c>
      <c r="K327" s="4">
        <v>-170.9</v>
      </c>
      <c r="L327" s="8" t="s">
        <v>609</v>
      </c>
      <c r="M327" s="4">
        <v>-170.9</v>
      </c>
      <c r="N327" s="8" t="s">
        <v>631</v>
      </c>
      <c r="O327" s="8" t="s">
        <v>783</v>
      </c>
      <c r="P327" s="8" t="s">
        <v>247</v>
      </c>
      <c r="Q327" s="4">
        <v>5637685396</v>
      </c>
    </row>
    <row r="328" spans="1:17" x14ac:dyDescent="0.25">
      <c r="A328" s="8" t="s">
        <v>17</v>
      </c>
      <c r="B328" s="8" t="s">
        <v>722</v>
      </c>
      <c r="C328" s="8" t="s">
        <v>106</v>
      </c>
      <c r="D328" s="8" t="s">
        <v>107</v>
      </c>
      <c r="E328" s="6">
        <v>43083</v>
      </c>
      <c r="F328" s="8" t="s">
        <v>261</v>
      </c>
      <c r="G328" s="8" t="s">
        <v>264</v>
      </c>
      <c r="H328" s="4">
        <v>150</v>
      </c>
      <c r="I328" s="8" t="s">
        <v>39</v>
      </c>
      <c r="J328" s="4">
        <v>1.169733333333</v>
      </c>
      <c r="K328" s="4">
        <v>175.45999999999998</v>
      </c>
      <c r="L328" s="8" t="s">
        <v>246</v>
      </c>
      <c r="M328" s="4">
        <v>150.66</v>
      </c>
      <c r="N328" s="8" t="s">
        <v>723</v>
      </c>
      <c r="O328" s="8" t="s">
        <v>782</v>
      </c>
      <c r="P328" s="8" t="s">
        <v>247</v>
      </c>
      <c r="Q328" s="4">
        <v>5637685418</v>
      </c>
    </row>
    <row r="329" spans="1:17" x14ac:dyDescent="0.25">
      <c r="A329" s="8" t="s">
        <v>607</v>
      </c>
      <c r="B329" s="8" t="s">
        <v>81</v>
      </c>
      <c r="C329" s="8" t="s">
        <v>106</v>
      </c>
      <c r="D329" s="8" t="s">
        <v>107</v>
      </c>
      <c r="E329" s="6">
        <v>43096</v>
      </c>
      <c r="F329" s="8" t="s">
        <v>261</v>
      </c>
      <c r="G329" s="8" t="s">
        <v>264</v>
      </c>
      <c r="H329" s="4">
        <v>-10.75</v>
      </c>
      <c r="I329" s="8" t="s">
        <v>39</v>
      </c>
      <c r="J329" s="4">
        <v>1.1393599999999999</v>
      </c>
      <c r="K329" s="4">
        <v>-12.25</v>
      </c>
      <c r="L329" s="8" t="s">
        <v>609</v>
      </c>
      <c r="M329" s="4">
        <v>-12.25</v>
      </c>
      <c r="N329" s="8" t="s">
        <v>610</v>
      </c>
      <c r="O329" s="8" t="s">
        <v>784</v>
      </c>
      <c r="P329" s="8" t="s">
        <v>247</v>
      </c>
      <c r="Q329" s="4">
        <v>0</v>
      </c>
    </row>
    <row r="330" spans="1:17" x14ac:dyDescent="0.25">
      <c r="A330" s="8" t="s">
        <v>252</v>
      </c>
      <c r="B330" s="8" t="s">
        <v>785</v>
      </c>
      <c r="C330" s="8" t="s">
        <v>58</v>
      </c>
      <c r="D330" s="8" t="s">
        <v>127</v>
      </c>
      <c r="E330" s="6">
        <v>43080</v>
      </c>
      <c r="F330" s="8" t="s">
        <v>261</v>
      </c>
      <c r="G330" s="8" t="s">
        <v>264</v>
      </c>
      <c r="H330" s="4">
        <v>-26.25</v>
      </c>
      <c r="I330" s="8" t="s">
        <v>39</v>
      </c>
      <c r="J330" s="4">
        <v>1.4264859787069999</v>
      </c>
      <c r="K330" s="4">
        <v>-37.450000000000003</v>
      </c>
      <c r="L330" s="8" t="s">
        <v>609</v>
      </c>
      <c r="M330" s="4">
        <v>-37.450000000000003</v>
      </c>
      <c r="N330" s="8" t="s">
        <v>786</v>
      </c>
      <c r="O330" s="8" t="s">
        <v>787</v>
      </c>
      <c r="P330" s="8" t="s">
        <v>247</v>
      </c>
      <c r="Q330" s="4">
        <v>5637696332</v>
      </c>
    </row>
    <row r="331" spans="1:17" x14ac:dyDescent="0.25">
      <c r="A331" s="8" t="s">
        <v>252</v>
      </c>
      <c r="B331" s="8" t="s">
        <v>785</v>
      </c>
      <c r="C331" s="8" t="s">
        <v>58</v>
      </c>
      <c r="D331" s="8" t="s">
        <v>127</v>
      </c>
      <c r="E331" s="6">
        <v>43080</v>
      </c>
      <c r="F331" s="8" t="s">
        <v>261</v>
      </c>
      <c r="G331" s="8" t="s">
        <v>264</v>
      </c>
      <c r="H331" s="4">
        <v>-8.8000000000000007</v>
      </c>
      <c r="I331" s="8" t="s">
        <v>39</v>
      </c>
      <c r="J331" s="4">
        <v>1.4264859787069999</v>
      </c>
      <c r="K331" s="4">
        <v>-12.55</v>
      </c>
      <c r="L331" s="8" t="s">
        <v>609</v>
      </c>
      <c r="M331" s="4">
        <v>-12.55</v>
      </c>
      <c r="N331" s="8" t="s">
        <v>786</v>
      </c>
      <c r="O331" s="8" t="s">
        <v>787</v>
      </c>
      <c r="P331" s="8" t="s">
        <v>247</v>
      </c>
      <c r="Q331" s="4">
        <v>5637696123</v>
      </c>
    </row>
    <row r="332" spans="1:17" x14ac:dyDescent="0.25">
      <c r="A332" s="8" t="s">
        <v>252</v>
      </c>
      <c r="B332" s="8" t="s">
        <v>791</v>
      </c>
      <c r="C332" s="8" t="s">
        <v>58</v>
      </c>
      <c r="D332" s="8" t="s">
        <v>127</v>
      </c>
      <c r="E332" s="6">
        <v>43081</v>
      </c>
      <c r="F332" s="8" t="s">
        <v>261</v>
      </c>
      <c r="G332" s="8" t="s">
        <v>264</v>
      </c>
      <c r="H332" s="4">
        <v>-35.6</v>
      </c>
      <c r="I332" s="8" t="s">
        <v>39</v>
      </c>
      <c r="J332" s="4">
        <v>1.4264850207589999</v>
      </c>
      <c r="K332" s="4">
        <v>-50.78</v>
      </c>
      <c r="L332" s="8" t="s">
        <v>609</v>
      </c>
      <c r="M332" s="4">
        <v>-50.78</v>
      </c>
      <c r="N332" s="8" t="s">
        <v>792</v>
      </c>
      <c r="O332" s="8" t="s">
        <v>793</v>
      </c>
      <c r="P332" s="8" t="s">
        <v>247</v>
      </c>
      <c r="Q332" s="4">
        <v>5637696621</v>
      </c>
    </row>
    <row r="333" spans="1:17" x14ac:dyDescent="0.25">
      <c r="A333" s="8" t="s">
        <v>252</v>
      </c>
      <c r="B333" s="8" t="s">
        <v>794</v>
      </c>
      <c r="C333" s="8" t="s">
        <v>58</v>
      </c>
      <c r="D333" s="8" t="s">
        <v>127</v>
      </c>
      <c r="E333" s="6">
        <v>43081</v>
      </c>
      <c r="F333" s="8" t="s">
        <v>261</v>
      </c>
      <c r="G333" s="8" t="s">
        <v>264</v>
      </c>
      <c r="H333" s="4">
        <v>-3.53</v>
      </c>
      <c r="I333" s="8" t="s">
        <v>39</v>
      </c>
      <c r="J333" s="4">
        <v>1.4264886371379997</v>
      </c>
      <c r="K333" s="4">
        <v>-5.04</v>
      </c>
      <c r="L333" s="8" t="s">
        <v>609</v>
      </c>
      <c r="M333" s="4">
        <v>-5.04</v>
      </c>
      <c r="N333" s="8" t="s">
        <v>795</v>
      </c>
      <c r="O333" s="8" t="s">
        <v>796</v>
      </c>
      <c r="P333" s="8" t="s">
        <v>247</v>
      </c>
      <c r="Q333" s="4">
        <v>5637696649</v>
      </c>
    </row>
    <row r="334" spans="1:17" x14ac:dyDescent="0.25">
      <c r="A334" s="8" t="s">
        <v>252</v>
      </c>
      <c r="B334" s="8" t="s">
        <v>788</v>
      </c>
      <c r="C334" s="8" t="s">
        <v>58</v>
      </c>
      <c r="D334" s="8" t="s">
        <v>127</v>
      </c>
      <c r="E334" s="6">
        <v>43081</v>
      </c>
      <c r="F334" s="8" t="s">
        <v>261</v>
      </c>
      <c r="G334" s="8" t="s">
        <v>264</v>
      </c>
      <c r="H334" s="4">
        <v>-150</v>
      </c>
      <c r="I334" s="8" t="s">
        <v>39</v>
      </c>
      <c r="J334" s="4">
        <v>1.4264867031169999</v>
      </c>
      <c r="K334" s="4">
        <v>-213.96999999999997</v>
      </c>
      <c r="L334" s="8" t="s">
        <v>609</v>
      </c>
      <c r="M334" s="4">
        <v>-213.96999999999997</v>
      </c>
      <c r="N334" s="8" t="s">
        <v>789</v>
      </c>
      <c r="O334" s="8" t="s">
        <v>790</v>
      </c>
      <c r="P334" s="8" t="s">
        <v>247</v>
      </c>
      <c r="Q334" s="4">
        <v>5637696680</v>
      </c>
    </row>
    <row r="335" spans="1:17" x14ac:dyDescent="0.25">
      <c r="A335" s="8" t="s">
        <v>252</v>
      </c>
      <c r="B335" s="8" t="s">
        <v>797</v>
      </c>
      <c r="C335" s="8" t="s">
        <v>58</v>
      </c>
      <c r="D335" s="8" t="s">
        <v>127</v>
      </c>
      <c r="E335" s="6">
        <v>43081</v>
      </c>
      <c r="F335" s="8" t="s">
        <v>261</v>
      </c>
      <c r="G335" s="8" t="s">
        <v>264</v>
      </c>
      <c r="H335" s="4">
        <v>-2.4</v>
      </c>
      <c r="I335" s="8" t="s">
        <v>39</v>
      </c>
      <c r="J335" s="4">
        <v>1.426485737945</v>
      </c>
      <c r="K335" s="4">
        <v>-3.4200000000000004</v>
      </c>
      <c r="L335" s="8" t="s">
        <v>609</v>
      </c>
      <c r="M335" s="4">
        <v>-3.4200000000000004</v>
      </c>
      <c r="N335" s="8" t="s">
        <v>798</v>
      </c>
      <c r="O335" s="8" t="s">
        <v>799</v>
      </c>
      <c r="P335" s="8" t="s">
        <v>247</v>
      </c>
      <c r="Q335" s="4">
        <v>5637696697</v>
      </c>
    </row>
    <row r="336" spans="1:17" x14ac:dyDescent="0.25">
      <c r="A336" s="8" t="s">
        <v>252</v>
      </c>
      <c r="B336" s="8" t="s">
        <v>800</v>
      </c>
      <c r="C336" s="8" t="s">
        <v>58</v>
      </c>
      <c r="D336" s="8" t="s">
        <v>127</v>
      </c>
      <c r="E336" s="6">
        <v>43083</v>
      </c>
      <c r="F336" s="8" t="s">
        <v>261</v>
      </c>
      <c r="G336" s="8" t="s">
        <v>264</v>
      </c>
      <c r="H336" s="4">
        <v>-2.95</v>
      </c>
      <c r="I336" s="8" t="s">
        <v>39</v>
      </c>
      <c r="J336" s="4">
        <v>1.4264880413109999</v>
      </c>
      <c r="K336" s="4">
        <v>-4.21</v>
      </c>
      <c r="L336" s="8" t="s">
        <v>609</v>
      </c>
      <c r="M336" s="4">
        <v>-4.21</v>
      </c>
      <c r="N336" s="8" t="s">
        <v>801</v>
      </c>
      <c r="O336" s="8" t="s">
        <v>802</v>
      </c>
      <c r="P336" s="8" t="s">
        <v>247</v>
      </c>
      <c r="Q336" s="4">
        <v>5637697121</v>
      </c>
    </row>
    <row r="337" spans="1:17" x14ac:dyDescent="0.25">
      <c r="A337" s="8" t="s">
        <v>252</v>
      </c>
      <c r="B337" s="8" t="s">
        <v>733</v>
      </c>
      <c r="C337" s="8" t="s">
        <v>58</v>
      </c>
      <c r="D337" s="8" t="s">
        <v>127</v>
      </c>
      <c r="E337" s="6">
        <v>43083</v>
      </c>
      <c r="F337" s="8" t="s">
        <v>261</v>
      </c>
      <c r="G337" s="8" t="s">
        <v>264</v>
      </c>
      <c r="H337" s="4">
        <v>150</v>
      </c>
      <c r="I337" s="8" t="s">
        <v>39</v>
      </c>
      <c r="J337" s="4">
        <v>1.030494779284</v>
      </c>
      <c r="K337" s="4">
        <v>154.57</v>
      </c>
      <c r="L337" s="8" t="s">
        <v>609</v>
      </c>
      <c r="M337" s="4">
        <v>154.57</v>
      </c>
      <c r="N337" s="8" t="s">
        <v>734</v>
      </c>
      <c r="O337" s="8" t="s">
        <v>803</v>
      </c>
      <c r="P337" s="8" t="s">
        <v>247</v>
      </c>
      <c r="Q337" s="4">
        <v>5637697423</v>
      </c>
    </row>
    <row r="338" spans="1:17" x14ac:dyDescent="0.25">
      <c r="A338" s="8" t="s">
        <v>252</v>
      </c>
      <c r="B338" s="8" t="s">
        <v>736</v>
      </c>
      <c r="C338" s="8" t="s">
        <v>58</v>
      </c>
      <c r="D338" s="8" t="s">
        <v>127</v>
      </c>
      <c r="E338" s="6">
        <v>43084</v>
      </c>
      <c r="F338" s="8" t="s">
        <v>261</v>
      </c>
      <c r="G338" s="8" t="s">
        <v>264</v>
      </c>
      <c r="H338" s="4">
        <v>-150</v>
      </c>
      <c r="I338" s="8" t="s">
        <v>39</v>
      </c>
      <c r="J338" s="4">
        <v>1.391443285497</v>
      </c>
      <c r="K338" s="4">
        <v>-208.71999999999997</v>
      </c>
      <c r="L338" s="8" t="s">
        <v>609</v>
      </c>
      <c r="M338" s="4">
        <v>-208.71999999999997</v>
      </c>
      <c r="N338" s="8" t="s">
        <v>737</v>
      </c>
      <c r="O338" s="8" t="s">
        <v>804</v>
      </c>
      <c r="P338" s="8" t="s">
        <v>247</v>
      </c>
      <c r="Q338" s="4">
        <v>5637697431</v>
      </c>
    </row>
    <row r="339" spans="1:17" x14ac:dyDescent="0.25">
      <c r="A339" s="8" t="s">
        <v>252</v>
      </c>
      <c r="B339" s="8" t="s">
        <v>811</v>
      </c>
      <c r="C339" s="8" t="s">
        <v>58</v>
      </c>
      <c r="D339" s="8" t="s">
        <v>127</v>
      </c>
      <c r="E339" s="6">
        <v>43087</v>
      </c>
      <c r="F339" s="8" t="s">
        <v>261</v>
      </c>
      <c r="G339" s="8" t="s">
        <v>264</v>
      </c>
      <c r="H339" s="4">
        <v>-3.05</v>
      </c>
      <c r="I339" s="8" t="s">
        <v>39</v>
      </c>
      <c r="J339" s="4">
        <v>1.394541098498</v>
      </c>
      <c r="K339" s="4">
        <v>-4.25</v>
      </c>
      <c r="L339" s="8" t="s">
        <v>609</v>
      </c>
      <c r="M339" s="4">
        <v>-4.25</v>
      </c>
      <c r="N339" s="8" t="s">
        <v>812</v>
      </c>
      <c r="O339" s="8" t="s">
        <v>813</v>
      </c>
      <c r="P339" s="8" t="s">
        <v>247</v>
      </c>
      <c r="Q339" s="4">
        <v>5637698037</v>
      </c>
    </row>
    <row r="340" spans="1:17" x14ac:dyDescent="0.25">
      <c r="A340" s="8" t="s">
        <v>252</v>
      </c>
      <c r="B340" s="8" t="s">
        <v>805</v>
      </c>
      <c r="C340" s="8" t="s">
        <v>58</v>
      </c>
      <c r="D340" s="8" t="s">
        <v>127</v>
      </c>
      <c r="E340" s="6">
        <v>43087</v>
      </c>
      <c r="F340" s="8" t="s">
        <v>261</v>
      </c>
      <c r="G340" s="8" t="s">
        <v>264</v>
      </c>
      <c r="H340" s="4">
        <v>150</v>
      </c>
      <c r="I340" s="8" t="s">
        <v>39</v>
      </c>
      <c r="J340" s="4">
        <v>1.4264867031169999</v>
      </c>
      <c r="K340" s="4">
        <v>213.96999999999997</v>
      </c>
      <c r="L340" s="8" t="s">
        <v>609</v>
      </c>
      <c r="M340" s="4">
        <v>213.96999999999997</v>
      </c>
      <c r="N340" s="8" t="s">
        <v>806</v>
      </c>
      <c r="O340" s="8" t="s">
        <v>807</v>
      </c>
      <c r="P340" s="8" t="s">
        <v>247</v>
      </c>
      <c r="Q340" s="4">
        <v>5637698097</v>
      </c>
    </row>
    <row r="341" spans="1:17" x14ac:dyDescent="0.25">
      <c r="A341" s="8" t="s">
        <v>252</v>
      </c>
      <c r="B341" s="8" t="s">
        <v>808</v>
      </c>
      <c r="C341" s="8" t="s">
        <v>58</v>
      </c>
      <c r="D341" s="8" t="s">
        <v>127</v>
      </c>
      <c r="E341" s="6">
        <v>43087</v>
      </c>
      <c r="F341" s="8" t="s">
        <v>261</v>
      </c>
      <c r="G341" s="8" t="s">
        <v>264</v>
      </c>
      <c r="H341" s="4">
        <v>-150</v>
      </c>
      <c r="I341" s="8" t="s">
        <v>39</v>
      </c>
      <c r="J341" s="4">
        <v>1.3945404113640001</v>
      </c>
      <c r="K341" s="4">
        <v>-209.18</v>
      </c>
      <c r="L341" s="8" t="s">
        <v>609</v>
      </c>
      <c r="M341" s="4">
        <v>-209.18</v>
      </c>
      <c r="N341" s="8" t="s">
        <v>809</v>
      </c>
      <c r="O341" s="8" t="s">
        <v>810</v>
      </c>
      <c r="P341" s="8" t="s">
        <v>247</v>
      </c>
      <c r="Q341" s="4">
        <v>5637698102</v>
      </c>
    </row>
    <row r="342" spans="1:17" x14ac:dyDescent="0.25">
      <c r="A342" s="8" t="s">
        <v>252</v>
      </c>
      <c r="B342" s="8" t="s">
        <v>811</v>
      </c>
      <c r="C342" s="8" t="s">
        <v>58</v>
      </c>
      <c r="D342" s="8" t="s">
        <v>127</v>
      </c>
      <c r="E342" s="6">
        <v>43087</v>
      </c>
      <c r="F342" s="8" t="s">
        <v>261</v>
      </c>
      <c r="G342" s="8" t="s">
        <v>264</v>
      </c>
      <c r="H342" s="4">
        <v>-2.8</v>
      </c>
      <c r="I342" s="8" t="s">
        <v>39</v>
      </c>
      <c r="J342" s="4">
        <v>1.394541098498</v>
      </c>
      <c r="K342" s="4">
        <v>-3.9</v>
      </c>
      <c r="L342" s="8" t="s">
        <v>609</v>
      </c>
      <c r="M342" s="4">
        <v>-3.9</v>
      </c>
      <c r="N342" s="8" t="s">
        <v>812</v>
      </c>
      <c r="O342" s="8" t="s">
        <v>813</v>
      </c>
      <c r="P342" s="8" t="s">
        <v>247</v>
      </c>
      <c r="Q342" s="4">
        <v>5637698017</v>
      </c>
    </row>
    <row r="343" spans="1:17" x14ac:dyDescent="0.25">
      <c r="A343" s="8" t="s">
        <v>252</v>
      </c>
      <c r="B343" s="8" t="s">
        <v>814</v>
      </c>
      <c r="C343" s="8" t="s">
        <v>58</v>
      </c>
      <c r="D343" s="8" t="s">
        <v>127</v>
      </c>
      <c r="E343" s="6">
        <v>43088</v>
      </c>
      <c r="F343" s="8" t="s">
        <v>261</v>
      </c>
      <c r="G343" s="8" t="s">
        <v>264</v>
      </c>
      <c r="H343" s="4">
        <v>-2.4899999999999998</v>
      </c>
      <c r="I343" s="8" t="s">
        <v>39</v>
      </c>
      <c r="J343" s="4">
        <v>1.394546338272</v>
      </c>
      <c r="K343" s="4">
        <v>-3.47</v>
      </c>
      <c r="L343" s="8" t="s">
        <v>609</v>
      </c>
      <c r="M343" s="4">
        <v>-3.47</v>
      </c>
      <c r="N343" s="8" t="s">
        <v>815</v>
      </c>
      <c r="O343" s="8" t="s">
        <v>816</v>
      </c>
      <c r="P343" s="8" t="s">
        <v>247</v>
      </c>
      <c r="Q343" s="4">
        <v>5637698065</v>
      </c>
    </row>
    <row r="344" spans="1:17" x14ac:dyDescent="0.25">
      <c r="A344" s="8" t="s">
        <v>252</v>
      </c>
      <c r="B344" s="8" t="s">
        <v>814</v>
      </c>
      <c r="C344" s="8" t="s">
        <v>58</v>
      </c>
      <c r="D344" s="8" t="s">
        <v>127</v>
      </c>
      <c r="E344" s="6">
        <v>43088</v>
      </c>
      <c r="F344" s="8" t="s">
        <v>261</v>
      </c>
      <c r="G344" s="8" t="s">
        <v>264</v>
      </c>
      <c r="H344" s="4">
        <v>-2.79</v>
      </c>
      <c r="I344" s="8" t="s">
        <v>39</v>
      </c>
      <c r="J344" s="4">
        <v>1.394546338272</v>
      </c>
      <c r="K344" s="4">
        <v>-3.8899999999999997</v>
      </c>
      <c r="L344" s="8" t="s">
        <v>609</v>
      </c>
      <c r="M344" s="4">
        <v>-3.8899999999999997</v>
      </c>
      <c r="N344" s="8" t="s">
        <v>815</v>
      </c>
      <c r="O344" s="8" t="s">
        <v>816</v>
      </c>
      <c r="P344" s="8" t="s">
        <v>247</v>
      </c>
      <c r="Q344" s="4">
        <v>5637697594</v>
      </c>
    </row>
    <row r="345" spans="1:17" x14ac:dyDescent="0.25">
      <c r="A345" s="8" t="s">
        <v>607</v>
      </c>
      <c r="B345" s="8" t="s">
        <v>81</v>
      </c>
      <c r="C345" s="8" t="s">
        <v>58</v>
      </c>
      <c r="D345" s="8" t="s">
        <v>127</v>
      </c>
      <c r="E345" s="6">
        <v>43096</v>
      </c>
      <c r="F345" s="8" t="s">
        <v>261</v>
      </c>
      <c r="G345" s="8" t="s">
        <v>264</v>
      </c>
      <c r="H345" s="4">
        <v>-104.99000000000001</v>
      </c>
      <c r="I345" s="8" t="s">
        <v>39</v>
      </c>
      <c r="J345" s="4">
        <v>1.39455</v>
      </c>
      <c r="K345" s="4">
        <v>-146.41</v>
      </c>
      <c r="L345" s="8" t="s">
        <v>609</v>
      </c>
      <c r="M345" s="4">
        <v>-146.41</v>
      </c>
      <c r="N345" s="8" t="s">
        <v>610</v>
      </c>
      <c r="O345" s="8" t="s">
        <v>817</v>
      </c>
      <c r="P345" s="8" t="s">
        <v>247</v>
      </c>
      <c r="Q345" s="4">
        <v>0</v>
      </c>
    </row>
    <row r="346" spans="1:17" ht="45" x14ac:dyDescent="0.25">
      <c r="A346" s="8" t="s">
        <v>607</v>
      </c>
      <c r="B346" s="8" t="s">
        <v>81</v>
      </c>
      <c r="C346" s="8" t="s">
        <v>402</v>
      </c>
      <c r="D346" s="11" t="s">
        <v>818</v>
      </c>
      <c r="E346" s="6">
        <v>43096</v>
      </c>
      <c r="F346" s="8" t="s">
        <v>261</v>
      </c>
      <c r="G346" s="8" t="s">
        <v>264</v>
      </c>
      <c r="H346" s="4">
        <v>-0.93</v>
      </c>
      <c r="I346" s="8" t="s">
        <v>39</v>
      </c>
      <c r="J346" s="4">
        <v>4.0608400000000007</v>
      </c>
      <c r="K346" s="4">
        <v>-3.78</v>
      </c>
      <c r="L346" s="8" t="s">
        <v>609</v>
      </c>
      <c r="M346" s="4">
        <v>-3.78</v>
      </c>
      <c r="N346" s="8" t="s">
        <v>610</v>
      </c>
      <c r="O346" s="8" t="s">
        <v>819</v>
      </c>
      <c r="P346" s="8" t="s">
        <v>247</v>
      </c>
      <c r="Q346" s="4">
        <v>0</v>
      </c>
    </row>
    <row r="347" spans="1:17" x14ac:dyDescent="0.25">
      <c r="A347" s="8" t="s">
        <v>252</v>
      </c>
      <c r="B347" s="8" t="s">
        <v>630</v>
      </c>
      <c r="C347" s="8" t="s">
        <v>99</v>
      </c>
      <c r="D347" s="8" t="s">
        <v>100</v>
      </c>
      <c r="E347" s="6">
        <v>43083</v>
      </c>
      <c r="F347" s="8" t="s">
        <v>261</v>
      </c>
      <c r="G347" s="8" t="s">
        <v>264</v>
      </c>
      <c r="H347" s="4">
        <v>-100</v>
      </c>
      <c r="I347" s="8" t="s">
        <v>39</v>
      </c>
      <c r="J347" s="4">
        <v>1.5411733344090002</v>
      </c>
      <c r="K347" s="4">
        <v>-154.12</v>
      </c>
      <c r="L347" s="8" t="s">
        <v>609</v>
      </c>
      <c r="M347" s="4">
        <v>-154.12</v>
      </c>
      <c r="N347" s="8" t="s">
        <v>631</v>
      </c>
      <c r="O347" s="8" t="s">
        <v>820</v>
      </c>
      <c r="P347" s="8" t="s">
        <v>247</v>
      </c>
      <c r="Q347" s="4">
        <v>5637697382</v>
      </c>
    </row>
    <row r="348" spans="1:17" x14ac:dyDescent="0.25">
      <c r="A348" s="8" t="s">
        <v>17</v>
      </c>
      <c r="B348" s="8" t="s">
        <v>722</v>
      </c>
      <c r="C348" s="8" t="s">
        <v>99</v>
      </c>
      <c r="D348" s="8" t="s">
        <v>100</v>
      </c>
      <c r="E348" s="6">
        <v>43083</v>
      </c>
      <c r="F348" s="8" t="s">
        <v>261</v>
      </c>
      <c r="G348" s="8" t="s">
        <v>264</v>
      </c>
      <c r="H348" s="4">
        <v>100</v>
      </c>
      <c r="I348" s="8" t="s">
        <v>39</v>
      </c>
      <c r="J348" s="4">
        <v>1.3004000000000002</v>
      </c>
      <c r="K348" s="4">
        <v>130.04000000000002</v>
      </c>
      <c r="L348" s="8" t="s">
        <v>246</v>
      </c>
      <c r="M348" s="4">
        <v>111.67</v>
      </c>
      <c r="N348" s="8" t="s">
        <v>723</v>
      </c>
      <c r="O348" s="8" t="s">
        <v>821</v>
      </c>
      <c r="P348" s="8" t="s">
        <v>247</v>
      </c>
      <c r="Q348" s="4">
        <v>5637697013</v>
      </c>
    </row>
    <row r="349" spans="1:17" x14ac:dyDescent="0.25">
      <c r="A349" s="8" t="s">
        <v>17</v>
      </c>
      <c r="B349" s="8" t="s">
        <v>722</v>
      </c>
      <c r="C349" s="8" t="s">
        <v>99</v>
      </c>
      <c r="D349" s="8" t="s">
        <v>100</v>
      </c>
      <c r="E349" s="6">
        <v>43083</v>
      </c>
      <c r="F349" s="8" t="s">
        <v>261</v>
      </c>
      <c r="G349" s="8" t="s">
        <v>264</v>
      </c>
      <c r="H349" s="4">
        <v>100</v>
      </c>
      <c r="I349" s="8" t="s">
        <v>39</v>
      </c>
      <c r="J349" s="4">
        <v>1.3004000000000002</v>
      </c>
      <c r="K349" s="4">
        <v>130.04000000000002</v>
      </c>
      <c r="L349" s="8" t="s">
        <v>246</v>
      </c>
      <c r="M349" s="4">
        <v>111.67</v>
      </c>
      <c r="N349" s="8" t="s">
        <v>723</v>
      </c>
      <c r="O349" s="8" t="s">
        <v>821</v>
      </c>
      <c r="P349" s="8" t="s">
        <v>247</v>
      </c>
      <c r="Q349" s="4">
        <v>5637697014</v>
      </c>
    </row>
    <row r="350" spans="1:17" x14ac:dyDescent="0.25">
      <c r="A350" s="8" t="s">
        <v>252</v>
      </c>
      <c r="B350" s="8" t="s">
        <v>630</v>
      </c>
      <c r="C350" s="8" t="s">
        <v>99</v>
      </c>
      <c r="D350" s="8" t="s">
        <v>100</v>
      </c>
      <c r="E350" s="6">
        <v>43083</v>
      </c>
      <c r="F350" s="8" t="s">
        <v>261</v>
      </c>
      <c r="G350" s="8" t="s">
        <v>264</v>
      </c>
      <c r="H350" s="4">
        <v>-100</v>
      </c>
      <c r="I350" s="8" t="s">
        <v>39</v>
      </c>
      <c r="J350" s="4">
        <v>1.5411733344090002</v>
      </c>
      <c r="K350" s="4">
        <v>-154.12</v>
      </c>
      <c r="L350" s="8" t="s">
        <v>609</v>
      </c>
      <c r="M350" s="4">
        <v>-154.12</v>
      </c>
      <c r="N350" s="8" t="s">
        <v>631</v>
      </c>
      <c r="O350" s="8" t="s">
        <v>820</v>
      </c>
      <c r="P350" s="8" t="s">
        <v>247</v>
      </c>
      <c r="Q350" s="4">
        <v>5637697383</v>
      </c>
    </row>
    <row r="351" spans="1:17" x14ac:dyDescent="0.25">
      <c r="A351" s="8" t="s">
        <v>252</v>
      </c>
      <c r="B351" s="8" t="s">
        <v>630</v>
      </c>
      <c r="C351" s="8" t="s">
        <v>99</v>
      </c>
      <c r="D351" s="8" t="s">
        <v>100</v>
      </c>
      <c r="E351" s="6">
        <v>43083</v>
      </c>
      <c r="F351" s="8" t="s">
        <v>261</v>
      </c>
      <c r="G351" s="8" t="s">
        <v>264</v>
      </c>
      <c r="H351" s="4">
        <v>-150</v>
      </c>
      <c r="I351" s="8" t="s">
        <v>39</v>
      </c>
      <c r="J351" s="4">
        <v>1.5411733344090002</v>
      </c>
      <c r="K351" s="4">
        <v>-231.18</v>
      </c>
      <c r="L351" s="8" t="s">
        <v>609</v>
      </c>
      <c r="M351" s="4">
        <v>-231.18</v>
      </c>
      <c r="N351" s="8" t="s">
        <v>631</v>
      </c>
      <c r="O351" s="8" t="s">
        <v>820</v>
      </c>
      <c r="P351" s="8" t="s">
        <v>247</v>
      </c>
      <c r="Q351" s="4">
        <v>5637697380</v>
      </c>
    </row>
    <row r="352" spans="1:17" x14ac:dyDescent="0.25">
      <c r="A352" s="8" t="s">
        <v>17</v>
      </c>
      <c r="B352" s="8" t="s">
        <v>722</v>
      </c>
      <c r="C352" s="8" t="s">
        <v>99</v>
      </c>
      <c r="D352" s="8" t="s">
        <v>100</v>
      </c>
      <c r="E352" s="6">
        <v>43083</v>
      </c>
      <c r="F352" s="8" t="s">
        <v>261</v>
      </c>
      <c r="G352" s="8" t="s">
        <v>264</v>
      </c>
      <c r="H352" s="4">
        <v>150</v>
      </c>
      <c r="I352" s="8" t="s">
        <v>39</v>
      </c>
      <c r="J352" s="4">
        <v>1.3004000000000002</v>
      </c>
      <c r="K352" s="4">
        <v>195.06</v>
      </c>
      <c r="L352" s="8" t="s">
        <v>246</v>
      </c>
      <c r="M352" s="4">
        <v>167.51</v>
      </c>
      <c r="N352" s="8" t="s">
        <v>723</v>
      </c>
      <c r="O352" s="8" t="s">
        <v>821</v>
      </c>
      <c r="P352" s="8" t="s">
        <v>247</v>
      </c>
      <c r="Q352" s="4">
        <v>5637697015</v>
      </c>
    </row>
    <row r="353" spans="1:17" x14ac:dyDescent="0.25">
      <c r="A353" s="8" t="s">
        <v>17</v>
      </c>
      <c r="B353" s="8" t="s">
        <v>722</v>
      </c>
      <c r="C353" s="8" t="s">
        <v>99</v>
      </c>
      <c r="D353" s="8" t="s">
        <v>100</v>
      </c>
      <c r="E353" s="6">
        <v>43083</v>
      </c>
      <c r="F353" s="8" t="s">
        <v>261</v>
      </c>
      <c r="G353" s="8" t="s">
        <v>264</v>
      </c>
      <c r="H353" s="4">
        <v>150</v>
      </c>
      <c r="I353" s="8" t="s">
        <v>39</v>
      </c>
      <c r="J353" s="4">
        <v>1.3004000000000002</v>
      </c>
      <c r="K353" s="4">
        <v>195.06</v>
      </c>
      <c r="L353" s="8" t="s">
        <v>246</v>
      </c>
      <c r="M353" s="4">
        <v>167.51</v>
      </c>
      <c r="N353" s="8" t="s">
        <v>723</v>
      </c>
      <c r="O353" s="8" t="s">
        <v>821</v>
      </c>
      <c r="P353" s="8" t="s">
        <v>247</v>
      </c>
      <c r="Q353" s="4">
        <v>5637697016</v>
      </c>
    </row>
    <row r="354" spans="1:17" x14ac:dyDescent="0.25">
      <c r="A354" s="8" t="s">
        <v>252</v>
      </c>
      <c r="B354" s="8" t="s">
        <v>630</v>
      </c>
      <c r="C354" s="8" t="s">
        <v>99</v>
      </c>
      <c r="D354" s="8" t="s">
        <v>100</v>
      </c>
      <c r="E354" s="6">
        <v>43083</v>
      </c>
      <c r="F354" s="8" t="s">
        <v>261</v>
      </c>
      <c r="G354" s="8" t="s">
        <v>264</v>
      </c>
      <c r="H354" s="4">
        <v>-150</v>
      </c>
      <c r="I354" s="8" t="s">
        <v>39</v>
      </c>
      <c r="J354" s="4">
        <v>1.5411733344090002</v>
      </c>
      <c r="K354" s="4">
        <v>-231.18</v>
      </c>
      <c r="L354" s="8" t="s">
        <v>609</v>
      </c>
      <c r="M354" s="4">
        <v>-231.18</v>
      </c>
      <c r="N354" s="8" t="s">
        <v>631</v>
      </c>
      <c r="O354" s="8" t="s">
        <v>820</v>
      </c>
      <c r="P354" s="8" t="s">
        <v>247</v>
      </c>
      <c r="Q354" s="4">
        <v>5637697381</v>
      </c>
    </row>
    <row r="355" spans="1:17" x14ac:dyDescent="0.25">
      <c r="A355" s="8" t="s">
        <v>252</v>
      </c>
      <c r="B355" s="8" t="s">
        <v>630</v>
      </c>
      <c r="C355" s="8" t="s">
        <v>99</v>
      </c>
      <c r="D355" s="8" t="s">
        <v>100</v>
      </c>
      <c r="E355" s="6">
        <v>43083</v>
      </c>
      <c r="F355" s="8" t="s">
        <v>261</v>
      </c>
      <c r="G355" s="8" t="s">
        <v>264</v>
      </c>
      <c r="H355" s="4">
        <v>-150</v>
      </c>
      <c r="I355" s="8" t="s">
        <v>39</v>
      </c>
      <c r="J355" s="4">
        <v>1.5411733344090002</v>
      </c>
      <c r="K355" s="4">
        <v>-231.18</v>
      </c>
      <c r="L355" s="8" t="s">
        <v>609</v>
      </c>
      <c r="M355" s="4">
        <v>-231.18</v>
      </c>
      <c r="N355" s="8" t="s">
        <v>631</v>
      </c>
      <c r="O355" s="8" t="s">
        <v>820</v>
      </c>
      <c r="P355" s="8" t="s">
        <v>247</v>
      </c>
      <c r="Q355" s="4">
        <v>5637697384</v>
      </c>
    </row>
    <row r="356" spans="1:17" x14ac:dyDescent="0.25">
      <c r="A356" s="8" t="s">
        <v>17</v>
      </c>
      <c r="B356" s="8" t="s">
        <v>722</v>
      </c>
      <c r="C356" s="8" t="s">
        <v>99</v>
      </c>
      <c r="D356" s="8" t="s">
        <v>100</v>
      </c>
      <c r="E356" s="6">
        <v>43083</v>
      </c>
      <c r="F356" s="8" t="s">
        <v>261</v>
      </c>
      <c r="G356" s="8" t="s">
        <v>264</v>
      </c>
      <c r="H356" s="4">
        <v>150</v>
      </c>
      <c r="I356" s="8" t="s">
        <v>39</v>
      </c>
      <c r="J356" s="4">
        <v>1.3004000000000002</v>
      </c>
      <c r="K356" s="4">
        <v>195.06</v>
      </c>
      <c r="L356" s="8" t="s">
        <v>246</v>
      </c>
      <c r="M356" s="4">
        <v>167.51</v>
      </c>
      <c r="N356" s="8" t="s">
        <v>723</v>
      </c>
      <c r="O356" s="8" t="s">
        <v>821</v>
      </c>
      <c r="P356" s="8" t="s">
        <v>247</v>
      </c>
      <c r="Q356" s="4">
        <v>5637697017</v>
      </c>
    </row>
    <row r="357" spans="1:17" x14ac:dyDescent="0.25">
      <c r="A357" s="8" t="s">
        <v>17</v>
      </c>
      <c r="B357" s="8" t="s">
        <v>722</v>
      </c>
      <c r="C357" s="8" t="s">
        <v>99</v>
      </c>
      <c r="D357" s="8" t="s">
        <v>100</v>
      </c>
      <c r="E357" s="6">
        <v>43083</v>
      </c>
      <c r="F357" s="8" t="s">
        <v>261</v>
      </c>
      <c r="G357" s="8" t="s">
        <v>264</v>
      </c>
      <c r="H357" s="4">
        <v>150</v>
      </c>
      <c r="I357" s="8" t="s">
        <v>39</v>
      </c>
      <c r="J357" s="4">
        <v>1.3004000000000002</v>
      </c>
      <c r="K357" s="4">
        <v>195.06</v>
      </c>
      <c r="L357" s="8" t="s">
        <v>246</v>
      </c>
      <c r="M357" s="4">
        <v>167.51</v>
      </c>
      <c r="N357" s="8" t="s">
        <v>723</v>
      </c>
      <c r="O357" s="8" t="s">
        <v>821</v>
      </c>
      <c r="P357" s="8" t="s">
        <v>247</v>
      </c>
      <c r="Q357" s="4">
        <v>5637697018</v>
      </c>
    </row>
    <row r="358" spans="1:17" x14ac:dyDescent="0.25">
      <c r="A358" s="8" t="s">
        <v>252</v>
      </c>
      <c r="B358" s="8" t="s">
        <v>630</v>
      </c>
      <c r="C358" s="8" t="s">
        <v>99</v>
      </c>
      <c r="D358" s="8" t="s">
        <v>100</v>
      </c>
      <c r="E358" s="6">
        <v>43083</v>
      </c>
      <c r="F358" s="8" t="s">
        <v>261</v>
      </c>
      <c r="G358" s="8" t="s">
        <v>264</v>
      </c>
      <c r="H358" s="4">
        <v>-150</v>
      </c>
      <c r="I358" s="8" t="s">
        <v>39</v>
      </c>
      <c r="J358" s="4">
        <v>1.5411733344090002</v>
      </c>
      <c r="K358" s="4">
        <v>-231.18</v>
      </c>
      <c r="L358" s="8" t="s">
        <v>609</v>
      </c>
      <c r="M358" s="4">
        <v>-231.18</v>
      </c>
      <c r="N358" s="8" t="s">
        <v>631</v>
      </c>
      <c r="O358" s="8" t="s">
        <v>820</v>
      </c>
      <c r="P358" s="8" t="s">
        <v>247</v>
      </c>
      <c r="Q358" s="4">
        <v>5637697385</v>
      </c>
    </row>
    <row r="359" spans="1:17" x14ac:dyDescent="0.25">
      <c r="A359" s="8" t="s">
        <v>252</v>
      </c>
      <c r="B359" s="8" t="s">
        <v>630</v>
      </c>
      <c r="C359" s="8" t="s">
        <v>99</v>
      </c>
      <c r="D359" s="8" t="s">
        <v>100</v>
      </c>
      <c r="E359" s="6">
        <v>43083</v>
      </c>
      <c r="F359" s="8" t="s">
        <v>261</v>
      </c>
      <c r="G359" s="8" t="s">
        <v>264</v>
      </c>
      <c r="H359" s="4">
        <v>-150</v>
      </c>
      <c r="I359" s="8" t="s">
        <v>39</v>
      </c>
      <c r="J359" s="4">
        <v>1.5411733344090002</v>
      </c>
      <c r="K359" s="4">
        <v>-231.18</v>
      </c>
      <c r="L359" s="8" t="s">
        <v>609</v>
      </c>
      <c r="M359" s="4">
        <v>-231.18</v>
      </c>
      <c r="N359" s="8" t="s">
        <v>631</v>
      </c>
      <c r="O359" s="8" t="s">
        <v>820</v>
      </c>
      <c r="P359" s="8" t="s">
        <v>247</v>
      </c>
      <c r="Q359" s="4">
        <v>5637697386</v>
      </c>
    </row>
    <row r="360" spans="1:17" x14ac:dyDescent="0.25">
      <c r="A360" s="8" t="s">
        <v>17</v>
      </c>
      <c r="B360" s="8" t="s">
        <v>722</v>
      </c>
      <c r="C360" s="8" t="s">
        <v>99</v>
      </c>
      <c r="D360" s="8" t="s">
        <v>100</v>
      </c>
      <c r="E360" s="6">
        <v>43083</v>
      </c>
      <c r="F360" s="8" t="s">
        <v>261</v>
      </c>
      <c r="G360" s="8" t="s">
        <v>264</v>
      </c>
      <c r="H360" s="4">
        <v>150</v>
      </c>
      <c r="I360" s="8" t="s">
        <v>39</v>
      </c>
      <c r="J360" s="4">
        <v>1.3004000000000002</v>
      </c>
      <c r="K360" s="4">
        <v>195.06</v>
      </c>
      <c r="L360" s="8" t="s">
        <v>246</v>
      </c>
      <c r="M360" s="4">
        <v>167.51</v>
      </c>
      <c r="N360" s="8" t="s">
        <v>723</v>
      </c>
      <c r="O360" s="8" t="s">
        <v>821</v>
      </c>
      <c r="P360" s="8" t="s">
        <v>247</v>
      </c>
      <c r="Q360" s="4">
        <v>5637697019</v>
      </c>
    </row>
    <row r="361" spans="1:17" x14ac:dyDescent="0.25">
      <c r="A361" s="8" t="s">
        <v>17</v>
      </c>
      <c r="B361" s="8" t="s">
        <v>722</v>
      </c>
      <c r="C361" s="8" t="s">
        <v>99</v>
      </c>
      <c r="D361" s="8" t="s">
        <v>100</v>
      </c>
      <c r="E361" s="6">
        <v>43083</v>
      </c>
      <c r="F361" s="8" t="s">
        <v>261</v>
      </c>
      <c r="G361" s="8" t="s">
        <v>264</v>
      </c>
      <c r="H361" s="4">
        <v>150</v>
      </c>
      <c r="I361" s="8" t="s">
        <v>39</v>
      </c>
      <c r="J361" s="4">
        <v>1.3004000000000002</v>
      </c>
      <c r="K361" s="4">
        <v>195.06</v>
      </c>
      <c r="L361" s="8" t="s">
        <v>246</v>
      </c>
      <c r="M361" s="4">
        <v>167.51</v>
      </c>
      <c r="N361" s="8" t="s">
        <v>723</v>
      </c>
      <c r="O361" s="8" t="s">
        <v>821</v>
      </c>
      <c r="P361" s="8" t="s">
        <v>247</v>
      </c>
      <c r="Q361" s="4">
        <v>5637697020</v>
      </c>
    </row>
    <row r="362" spans="1:17" x14ac:dyDescent="0.25">
      <c r="A362" s="8" t="s">
        <v>252</v>
      </c>
      <c r="B362" s="8" t="s">
        <v>630</v>
      </c>
      <c r="C362" s="8" t="s">
        <v>99</v>
      </c>
      <c r="D362" s="8" t="s">
        <v>100</v>
      </c>
      <c r="E362" s="6">
        <v>43083</v>
      </c>
      <c r="F362" s="8" t="s">
        <v>261</v>
      </c>
      <c r="G362" s="8" t="s">
        <v>264</v>
      </c>
      <c r="H362" s="4">
        <v>-150</v>
      </c>
      <c r="I362" s="8" t="s">
        <v>39</v>
      </c>
      <c r="J362" s="4">
        <v>1.5411733344090002</v>
      </c>
      <c r="K362" s="4">
        <v>-231.18</v>
      </c>
      <c r="L362" s="8" t="s">
        <v>609</v>
      </c>
      <c r="M362" s="4">
        <v>-231.18</v>
      </c>
      <c r="N362" s="8" t="s">
        <v>631</v>
      </c>
      <c r="O362" s="8" t="s">
        <v>820</v>
      </c>
      <c r="P362" s="8" t="s">
        <v>247</v>
      </c>
      <c r="Q362" s="4">
        <v>5637697387</v>
      </c>
    </row>
    <row r="363" spans="1:17" x14ac:dyDescent="0.25">
      <c r="A363" s="8" t="s">
        <v>252</v>
      </c>
      <c r="B363" s="8" t="s">
        <v>630</v>
      </c>
      <c r="C363" s="8" t="s">
        <v>99</v>
      </c>
      <c r="D363" s="8" t="s">
        <v>100</v>
      </c>
      <c r="E363" s="6">
        <v>43083</v>
      </c>
      <c r="F363" s="8" t="s">
        <v>261</v>
      </c>
      <c r="G363" s="8" t="s">
        <v>264</v>
      </c>
      <c r="H363" s="4">
        <v>-150</v>
      </c>
      <c r="I363" s="8" t="s">
        <v>39</v>
      </c>
      <c r="J363" s="4">
        <v>1.5411733344090002</v>
      </c>
      <c r="K363" s="4">
        <v>-231.18</v>
      </c>
      <c r="L363" s="8" t="s">
        <v>609</v>
      </c>
      <c r="M363" s="4">
        <v>-231.18</v>
      </c>
      <c r="N363" s="8" t="s">
        <v>631</v>
      </c>
      <c r="O363" s="8" t="s">
        <v>820</v>
      </c>
      <c r="P363" s="8" t="s">
        <v>247</v>
      </c>
      <c r="Q363" s="4">
        <v>5637697388</v>
      </c>
    </row>
    <row r="364" spans="1:17" x14ac:dyDescent="0.25">
      <c r="A364" s="8" t="s">
        <v>17</v>
      </c>
      <c r="B364" s="8" t="s">
        <v>722</v>
      </c>
      <c r="C364" s="8" t="s">
        <v>99</v>
      </c>
      <c r="D364" s="8" t="s">
        <v>100</v>
      </c>
      <c r="E364" s="6">
        <v>43083</v>
      </c>
      <c r="F364" s="8" t="s">
        <v>261</v>
      </c>
      <c r="G364" s="8" t="s">
        <v>264</v>
      </c>
      <c r="H364" s="4">
        <v>150</v>
      </c>
      <c r="I364" s="8" t="s">
        <v>39</v>
      </c>
      <c r="J364" s="4">
        <v>1.3004000000000002</v>
      </c>
      <c r="K364" s="4">
        <v>195.06</v>
      </c>
      <c r="L364" s="8" t="s">
        <v>246</v>
      </c>
      <c r="M364" s="4">
        <v>167.51</v>
      </c>
      <c r="N364" s="8" t="s">
        <v>723</v>
      </c>
      <c r="O364" s="8" t="s">
        <v>821</v>
      </c>
      <c r="P364" s="8" t="s">
        <v>247</v>
      </c>
      <c r="Q364" s="4">
        <v>5637697021</v>
      </c>
    </row>
    <row r="365" spans="1:17" x14ac:dyDescent="0.25">
      <c r="A365" s="8" t="s">
        <v>17</v>
      </c>
      <c r="B365" s="8" t="s">
        <v>722</v>
      </c>
      <c r="C365" s="8" t="s">
        <v>99</v>
      </c>
      <c r="D365" s="8" t="s">
        <v>100</v>
      </c>
      <c r="E365" s="6">
        <v>43083</v>
      </c>
      <c r="F365" s="8" t="s">
        <v>261</v>
      </c>
      <c r="G365" s="8" t="s">
        <v>264</v>
      </c>
      <c r="H365" s="4">
        <v>150</v>
      </c>
      <c r="I365" s="8" t="s">
        <v>39</v>
      </c>
      <c r="J365" s="4">
        <v>1.3004000000000002</v>
      </c>
      <c r="K365" s="4">
        <v>195.06</v>
      </c>
      <c r="L365" s="8" t="s">
        <v>246</v>
      </c>
      <c r="M365" s="4">
        <v>167.51</v>
      </c>
      <c r="N365" s="8" t="s">
        <v>723</v>
      </c>
      <c r="O365" s="8" t="s">
        <v>821</v>
      </c>
      <c r="P365" s="8" t="s">
        <v>247</v>
      </c>
      <c r="Q365" s="4">
        <v>5637697022</v>
      </c>
    </row>
    <row r="366" spans="1:17" x14ac:dyDescent="0.25">
      <c r="A366" s="8" t="s">
        <v>252</v>
      </c>
      <c r="B366" s="8" t="s">
        <v>630</v>
      </c>
      <c r="C366" s="8" t="s">
        <v>99</v>
      </c>
      <c r="D366" s="8" t="s">
        <v>100</v>
      </c>
      <c r="E366" s="6">
        <v>43083</v>
      </c>
      <c r="F366" s="8" t="s">
        <v>261</v>
      </c>
      <c r="G366" s="8" t="s">
        <v>264</v>
      </c>
      <c r="H366" s="4">
        <v>-150</v>
      </c>
      <c r="I366" s="8" t="s">
        <v>39</v>
      </c>
      <c r="J366" s="4">
        <v>1.5411733344090002</v>
      </c>
      <c r="K366" s="4">
        <v>-231.18</v>
      </c>
      <c r="L366" s="8" t="s">
        <v>609</v>
      </c>
      <c r="M366" s="4">
        <v>-231.18</v>
      </c>
      <c r="N366" s="8" t="s">
        <v>631</v>
      </c>
      <c r="O366" s="8" t="s">
        <v>820</v>
      </c>
      <c r="P366" s="8" t="s">
        <v>247</v>
      </c>
      <c r="Q366" s="4">
        <v>5637697389</v>
      </c>
    </row>
    <row r="367" spans="1:17" x14ac:dyDescent="0.25">
      <c r="A367" s="8" t="s">
        <v>252</v>
      </c>
      <c r="B367" s="8" t="s">
        <v>630</v>
      </c>
      <c r="C367" s="8" t="s">
        <v>99</v>
      </c>
      <c r="D367" s="8" t="s">
        <v>100</v>
      </c>
      <c r="E367" s="6">
        <v>43083</v>
      </c>
      <c r="F367" s="8" t="s">
        <v>261</v>
      </c>
      <c r="G367" s="8" t="s">
        <v>264</v>
      </c>
      <c r="H367" s="4">
        <v>-100</v>
      </c>
      <c r="I367" s="8" t="s">
        <v>39</v>
      </c>
      <c r="J367" s="4">
        <v>1.5411733344090002</v>
      </c>
      <c r="K367" s="4">
        <v>-154.12</v>
      </c>
      <c r="L367" s="8" t="s">
        <v>609</v>
      </c>
      <c r="M367" s="4">
        <v>-154.12</v>
      </c>
      <c r="N367" s="8" t="s">
        <v>631</v>
      </c>
      <c r="O367" s="8" t="s">
        <v>820</v>
      </c>
      <c r="P367" s="8" t="s">
        <v>247</v>
      </c>
      <c r="Q367" s="4">
        <v>5637697390</v>
      </c>
    </row>
    <row r="368" spans="1:17" x14ac:dyDescent="0.25">
      <c r="A368" s="8" t="s">
        <v>17</v>
      </c>
      <c r="B368" s="8" t="s">
        <v>722</v>
      </c>
      <c r="C368" s="8" t="s">
        <v>99</v>
      </c>
      <c r="D368" s="8" t="s">
        <v>100</v>
      </c>
      <c r="E368" s="6">
        <v>43083</v>
      </c>
      <c r="F368" s="8" t="s">
        <v>261</v>
      </c>
      <c r="G368" s="8" t="s">
        <v>264</v>
      </c>
      <c r="H368" s="4">
        <v>100</v>
      </c>
      <c r="I368" s="8" t="s">
        <v>39</v>
      </c>
      <c r="J368" s="4">
        <v>1.3004000000000002</v>
      </c>
      <c r="K368" s="4">
        <v>130.04000000000002</v>
      </c>
      <c r="L368" s="8" t="s">
        <v>246</v>
      </c>
      <c r="M368" s="4">
        <v>111.67</v>
      </c>
      <c r="N368" s="8" t="s">
        <v>723</v>
      </c>
      <c r="O368" s="8" t="s">
        <v>821</v>
      </c>
      <c r="P368" s="8" t="s">
        <v>247</v>
      </c>
      <c r="Q368" s="4">
        <v>5637697023</v>
      </c>
    </row>
    <row r="369" spans="1:17" x14ac:dyDescent="0.25">
      <c r="A369" s="8" t="s">
        <v>17</v>
      </c>
      <c r="B369" s="8" t="s">
        <v>722</v>
      </c>
      <c r="C369" s="8" t="s">
        <v>99</v>
      </c>
      <c r="D369" s="8" t="s">
        <v>100</v>
      </c>
      <c r="E369" s="6">
        <v>43083</v>
      </c>
      <c r="F369" s="8" t="s">
        <v>261</v>
      </c>
      <c r="G369" s="8" t="s">
        <v>264</v>
      </c>
      <c r="H369" s="4">
        <v>150</v>
      </c>
      <c r="I369" s="8" t="s">
        <v>39</v>
      </c>
      <c r="J369" s="4">
        <v>1.3004000000000002</v>
      </c>
      <c r="K369" s="4">
        <v>195.06</v>
      </c>
      <c r="L369" s="8" t="s">
        <v>246</v>
      </c>
      <c r="M369" s="4">
        <v>167.51</v>
      </c>
      <c r="N369" s="8" t="s">
        <v>723</v>
      </c>
      <c r="O369" s="8" t="s">
        <v>821</v>
      </c>
      <c r="P369" s="8" t="s">
        <v>247</v>
      </c>
      <c r="Q369" s="4">
        <v>5637697024</v>
      </c>
    </row>
    <row r="370" spans="1:17" x14ac:dyDescent="0.25">
      <c r="A370" s="8" t="s">
        <v>252</v>
      </c>
      <c r="B370" s="8" t="s">
        <v>630</v>
      </c>
      <c r="C370" s="8" t="s">
        <v>99</v>
      </c>
      <c r="D370" s="8" t="s">
        <v>100</v>
      </c>
      <c r="E370" s="6">
        <v>43083</v>
      </c>
      <c r="F370" s="8" t="s">
        <v>261</v>
      </c>
      <c r="G370" s="8" t="s">
        <v>264</v>
      </c>
      <c r="H370" s="4">
        <v>-150</v>
      </c>
      <c r="I370" s="8" t="s">
        <v>39</v>
      </c>
      <c r="J370" s="4">
        <v>1.5411733344090002</v>
      </c>
      <c r="K370" s="4">
        <v>-231.18</v>
      </c>
      <c r="L370" s="8" t="s">
        <v>609</v>
      </c>
      <c r="M370" s="4">
        <v>-231.18</v>
      </c>
      <c r="N370" s="8" t="s">
        <v>631</v>
      </c>
      <c r="O370" s="8" t="s">
        <v>820</v>
      </c>
      <c r="P370" s="8" t="s">
        <v>247</v>
      </c>
      <c r="Q370" s="4">
        <v>5637697391</v>
      </c>
    </row>
    <row r="371" spans="1:17" x14ac:dyDescent="0.25">
      <c r="A371" s="8" t="s">
        <v>252</v>
      </c>
      <c r="B371" s="8" t="s">
        <v>630</v>
      </c>
      <c r="C371" s="8" t="s">
        <v>99</v>
      </c>
      <c r="D371" s="8" t="s">
        <v>100</v>
      </c>
      <c r="E371" s="6">
        <v>43083</v>
      </c>
      <c r="F371" s="8" t="s">
        <v>261</v>
      </c>
      <c r="G371" s="8" t="s">
        <v>264</v>
      </c>
      <c r="H371" s="4">
        <v>-150</v>
      </c>
      <c r="I371" s="8" t="s">
        <v>39</v>
      </c>
      <c r="J371" s="4">
        <v>1.5411733344090002</v>
      </c>
      <c r="K371" s="4">
        <v>-231.18</v>
      </c>
      <c r="L371" s="8" t="s">
        <v>609</v>
      </c>
      <c r="M371" s="4">
        <v>-231.18</v>
      </c>
      <c r="N371" s="8" t="s">
        <v>631</v>
      </c>
      <c r="O371" s="8" t="s">
        <v>820</v>
      </c>
      <c r="P371" s="8" t="s">
        <v>247</v>
      </c>
      <c r="Q371" s="4">
        <v>5637697392</v>
      </c>
    </row>
    <row r="372" spans="1:17" x14ac:dyDescent="0.25">
      <c r="A372" s="8" t="s">
        <v>17</v>
      </c>
      <c r="B372" s="8" t="s">
        <v>722</v>
      </c>
      <c r="C372" s="8" t="s">
        <v>99</v>
      </c>
      <c r="D372" s="8" t="s">
        <v>100</v>
      </c>
      <c r="E372" s="6">
        <v>43083</v>
      </c>
      <c r="F372" s="8" t="s">
        <v>261</v>
      </c>
      <c r="G372" s="8" t="s">
        <v>264</v>
      </c>
      <c r="H372" s="4">
        <v>150</v>
      </c>
      <c r="I372" s="8" t="s">
        <v>39</v>
      </c>
      <c r="J372" s="4">
        <v>1.3004000000000002</v>
      </c>
      <c r="K372" s="4">
        <v>195.06</v>
      </c>
      <c r="L372" s="8" t="s">
        <v>246</v>
      </c>
      <c r="M372" s="4">
        <v>167.51</v>
      </c>
      <c r="N372" s="8" t="s">
        <v>723</v>
      </c>
      <c r="O372" s="8" t="s">
        <v>821</v>
      </c>
      <c r="P372" s="8" t="s">
        <v>247</v>
      </c>
      <c r="Q372" s="4">
        <v>5637697025</v>
      </c>
    </row>
    <row r="373" spans="1:17" x14ac:dyDescent="0.25">
      <c r="A373" s="8" t="s">
        <v>17</v>
      </c>
      <c r="B373" s="8" t="s">
        <v>722</v>
      </c>
      <c r="C373" s="8" t="s">
        <v>99</v>
      </c>
      <c r="D373" s="8" t="s">
        <v>100</v>
      </c>
      <c r="E373" s="6">
        <v>43083</v>
      </c>
      <c r="F373" s="8" t="s">
        <v>261</v>
      </c>
      <c r="G373" s="8" t="s">
        <v>264</v>
      </c>
      <c r="H373" s="4">
        <v>150</v>
      </c>
      <c r="I373" s="8" t="s">
        <v>39</v>
      </c>
      <c r="J373" s="4">
        <v>1.3004000000000002</v>
      </c>
      <c r="K373" s="4">
        <v>195.06</v>
      </c>
      <c r="L373" s="8" t="s">
        <v>246</v>
      </c>
      <c r="M373" s="4">
        <v>167.51</v>
      </c>
      <c r="N373" s="8" t="s">
        <v>723</v>
      </c>
      <c r="O373" s="8" t="s">
        <v>821</v>
      </c>
      <c r="P373" s="8" t="s">
        <v>247</v>
      </c>
      <c r="Q373" s="4">
        <v>5637697026</v>
      </c>
    </row>
    <row r="374" spans="1:17" x14ac:dyDescent="0.25">
      <c r="A374" s="8" t="s">
        <v>252</v>
      </c>
      <c r="B374" s="8" t="s">
        <v>630</v>
      </c>
      <c r="C374" s="8" t="s">
        <v>99</v>
      </c>
      <c r="D374" s="8" t="s">
        <v>100</v>
      </c>
      <c r="E374" s="6">
        <v>43083</v>
      </c>
      <c r="F374" s="8" t="s">
        <v>261</v>
      </c>
      <c r="G374" s="8" t="s">
        <v>264</v>
      </c>
      <c r="H374" s="4">
        <v>-150</v>
      </c>
      <c r="I374" s="8" t="s">
        <v>39</v>
      </c>
      <c r="J374" s="4">
        <v>1.5411733344090002</v>
      </c>
      <c r="K374" s="4">
        <v>-231.18</v>
      </c>
      <c r="L374" s="8" t="s">
        <v>609</v>
      </c>
      <c r="M374" s="4">
        <v>-231.18</v>
      </c>
      <c r="N374" s="8" t="s">
        <v>631</v>
      </c>
      <c r="O374" s="8" t="s">
        <v>820</v>
      </c>
      <c r="P374" s="8" t="s">
        <v>247</v>
      </c>
      <c r="Q374" s="4">
        <v>5637697393</v>
      </c>
    </row>
    <row r="375" spans="1:17" x14ac:dyDescent="0.25">
      <c r="A375" s="8" t="s">
        <v>252</v>
      </c>
      <c r="B375" s="8" t="s">
        <v>630</v>
      </c>
      <c r="C375" s="8" t="s">
        <v>99</v>
      </c>
      <c r="D375" s="8" t="s">
        <v>100</v>
      </c>
      <c r="E375" s="6">
        <v>43083</v>
      </c>
      <c r="F375" s="8" t="s">
        <v>261</v>
      </c>
      <c r="G375" s="8" t="s">
        <v>264</v>
      </c>
      <c r="H375" s="4">
        <v>-150</v>
      </c>
      <c r="I375" s="8" t="s">
        <v>39</v>
      </c>
      <c r="J375" s="4">
        <v>1.5411733344090002</v>
      </c>
      <c r="K375" s="4">
        <v>-231.18</v>
      </c>
      <c r="L375" s="8" t="s">
        <v>609</v>
      </c>
      <c r="M375" s="4">
        <v>-231.18</v>
      </c>
      <c r="N375" s="8" t="s">
        <v>631</v>
      </c>
      <c r="O375" s="8" t="s">
        <v>820</v>
      </c>
      <c r="P375" s="8" t="s">
        <v>247</v>
      </c>
      <c r="Q375" s="4">
        <v>5637697394</v>
      </c>
    </row>
    <row r="376" spans="1:17" x14ac:dyDescent="0.25">
      <c r="A376" s="8" t="s">
        <v>17</v>
      </c>
      <c r="B376" s="8" t="s">
        <v>722</v>
      </c>
      <c r="C376" s="8" t="s">
        <v>99</v>
      </c>
      <c r="D376" s="8" t="s">
        <v>100</v>
      </c>
      <c r="E376" s="6">
        <v>43083</v>
      </c>
      <c r="F376" s="8" t="s">
        <v>261</v>
      </c>
      <c r="G376" s="8" t="s">
        <v>264</v>
      </c>
      <c r="H376" s="4">
        <v>150</v>
      </c>
      <c r="I376" s="8" t="s">
        <v>39</v>
      </c>
      <c r="J376" s="4">
        <v>1.3004000000000002</v>
      </c>
      <c r="K376" s="4">
        <v>195.06</v>
      </c>
      <c r="L376" s="8" t="s">
        <v>246</v>
      </c>
      <c r="M376" s="4">
        <v>167.51</v>
      </c>
      <c r="N376" s="8" t="s">
        <v>723</v>
      </c>
      <c r="O376" s="8" t="s">
        <v>821</v>
      </c>
      <c r="P376" s="8" t="s">
        <v>247</v>
      </c>
      <c r="Q376" s="4">
        <v>5637697027</v>
      </c>
    </row>
    <row r="377" spans="1:17" x14ac:dyDescent="0.25">
      <c r="A377" s="8" t="s">
        <v>17</v>
      </c>
      <c r="B377" s="8" t="s">
        <v>722</v>
      </c>
      <c r="C377" s="8" t="s">
        <v>99</v>
      </c>
      <c r="D377" s="8" t="s">
        <v>100</v>
      </c>
      <c r="E377" s="6">
        <v>43083</v>
      </c>
      <c r="F377" s="8" t="s">
        <v>261</v>
      </c>
      <c r="G377" s="8" t="s">
        <v>264</v>
      </c>
      <c r="H377" s="4">
        <v>150</v>
      </c>
      <c r="I377" s="8" t="s">
        <v>39</v>
      </c>
      <c r="J377" s="4">
        <v>1.3004000000000002</v>
      </c>
      <c r="K377" s="4">
        <v>195.06</v>
      </c>
      <c r="L377" s="8" t="s">
        <v>246</v>
      </c>
      <c r="M377" s="4">
        <v>167.51</v>
      </c>
      <c r="N377" s="8" t="s">
        <v>723</v>
      </c>
      <c r="O377" s="8" t="s">
        <v>821</v>
      </c>
      <c r="P377" s="8" t="s">
        <v>247</v>
      </c>
      <c r="Q377" s="4">
        <v>5637697028</v>
      </c>
    </row>
    <row r="378" spans="1:17" x14ac:dyDescent="0.25">
      <c r="A378" s="8" t="s">
        <v>252</v>
      </c>
      <c r="B378" s="8" t="s">
        <v>630</v>
      </c>
      <c r="C378" s="8" t="s">
        <v>99</v>
      </c>
      <c r="D378" s="8" t="s">
        <v>100</v>
      </c>
      <c r="E378" s="6">
        <v>43083</v>
      </c>
      <c r="F378" s="8" t="s">
        <v>261</v>
      </c>
      <c r="G378" s="8" t="s">
        <v>264</v>
      </c>
      <c r="H378" s="4">
        <v>-150</v>
      </c>
      <c r="I378" s="8" t="s">
        <v>39</v>
      </c>
      <c r="J378" s="4">
        <v>1.5411733344090002</v>
      </c>
      <c r="K378" s="4">
        <v>-231.18</v>
      </c>
      <c r="L378" s="8" t="s">
        <v>609</v>
      </c>
      <c r="M378" s="4">
        <v>-231.18</v>
      </c>
      <c r="N378" s="8" t="s">
        <v>631</v>
      </c>
      <c r="O378" s="8" t="s">
        <v>820</v>
      </c>
      <c r="P378" s="8" t="s">
        <v>247</v>
      </c>
      <c r="Q378" s="4">
        <v>5637697395</v>
      </c>
    </row>
    <row r="379" spans="1:17" x14ac:dyDescent="0.25">
      <c r="A379" s="8" t="s">
        <v>252</v>
      </c>
      <c r="B379" s="8" t="s">
        <v>630</v>
      </c>
      <c r="C379" s="8" t="s">
        <v>99</v>
      </c>
      <c r="D379" s="8" t="s">
        <v>100</v>
      </c>
      <c r="E379" s="6">
        <v>43083</v>
      </c>
      <c r="F379" s="8" t="s">
        <v>261</v>
      </c>
      <c r="G379" s="8" t="s">
        <v>264</v>
      </c>
      <c r="H379" s="4">
        <v>-150</v>
      </c>
      <c r="I379" s="8" t="s">
        <v>39</v>
      </c>
      <c r="J379" s="4">
        <v>1.5411733344090002</v>
      </c>
      <c r="K379" s="4">
        <v>-231.18</v>
      </c>
      <c r="L379" s="8" t="s">
        <v>609</v>
      </c>
      <c r="M379" s="4">
        <v>-231.18</v>
      </c>
      <c r="N379" s="8" t="s">
        <v>631</v>
      </c>
      <c r="O379" s="8" t="s">
        <v>820</v>
      </c>
      <c r="P379" s="8" t="s">
        <v>247</v>
      </c>
      <c r="Q379" s="4">
        <v>5637697396</v>
      </c>
    </row>
    <row r="380" spans="1:17" x14ac:dyDescent="0.25">
      <c r="A380" s="8" t="s">
        <v>17</v>
      </c>
      <c r="B380" s="8" t="s">
        <v>722</v>
      </c>
      <c r="C380" s="8" t="s">
        <v>99</v>
      </c>
      <c r="D380" s="8" t="s">
        <v>100</v>
      </c>
      <c r="E380" s="6">
        <v>43083</v>
      </c>
      <c r="F380" s="8" t="s">
        <v>261</v>
      </c>
      <c r="G380" s="8" t="s">
        <v>264</v>
      </c>
      <c r="H380" s="4">
        <v>150</v>
      </c>
      <c r="I380" s="8" t="s">
        <v>39</v>
      </c>
      <c r="J380" s="4">
        <v>1.3004000000000002</v>
      </c>
      <c r="K380" s="4">
        <v>195.06</v>
      </c>
      <c r="L380" s="8" t="s">
        <v>246</v>
      </c>
      <c r="M380" s="4">
        <v>167.51</v>
      </c>
      <c r="N380" s="8" t="s">
        <v>723</v>
      </c>
      <c r="O380" s="8" t="s">
        <v>821</v>
      </c>
      <c r="P380" s="8" t="s">
        <v>247</v>
      </c>
      <c r="Q380" s="4">
        <v>5637697029</v>
      </c>
    </row>
    <row r="381" spans="1:17" x14ac:dyDescent="0.25">
      <c r="A381" s="8" t="s">
        <v>17</v>
      </c>
      <c r="B381" s="8" t="s">
        <v>722</v>
      </c>
      <c r="C381" s="8" t="s">
        <v>99</v>
      </c>
      <c r="D381" s="8" t="s">
        <v>100</v>
      </c>
      <c r="E381" s="6">
        <v>43083</v>
      </c>
      <c r="F381" s="8" t="s">
        <v>261</v>
      </c>
      <c r="G381" s="8" t="s">
        <v>264</v>
      </c>
      <c r="H381" s="4">
        <v>100</v>
      </c>
      <c r="I381" s="8" t="s">
        <v>39</v>
      </c>
      <c r="J381" s="4">
        <v>1.3004000000000002</v>
      </c>
      <c r="K381" s="4">
        <v>130.04000000000002</v>
      </c>
      <c r="L381" s="8" t="s">
        <v>246</v>
      </c>
      <c r="M381" s="4">
        <v>111.67</v>
      </c>
      <c r="N381" s="8" t="s">
        <v>723</v>
      </c>
      <c r="O381" s="8" t="s">
        <v>821</v>
      </c>
      <c r="P381" s="8" t="s">
        <v>247</v>
      </c>
      <c r="Q381" s="4">
        <v>5637697030</v>
      </c>
    </row>
    <row r="382" spans="1:17" x14ac:dyDescent="0.25">
      <c r="A382" s="8" t="s">
        <v>252</v>
      </c>
      <c r="B382" s="8" t="s">
        <v>630</v>
      </c>
      <c r="C382" s="8" t="s">
        <v>99</v>
      </c>
      <c r="D382" s="8" t="s">
        <v>100</v>
      </c>
      <c r="E382" s="6">
        <v>43083</v>
      </c>
      <c r="F382" s="8" t="s">
        <v>261</v>
      </c>
      <c r="G382" s="8" t="s">
        <v>264</v>
      </c>
      <c r="H382" s="4">
        <v>-100</v>
      </c>
      <c r="I382" s="8" t="s">
        <v>39</v>
      </c>
      <c r="J382" s="4">
        <v>1.5411733344090002</v>
      </c>
      <c r="K382" s="4">
        <v>-154.12</v>
      </c>
      <c r="L382" s="8" t="s">
        <v>609</v>
      </c>
      <c r="M382" s="4">
        <v>-154.12</v>
      </c>
      <c r="N382" s="8" t="s">
        <v>631</v>
      </c>
      <c r="O382" s="8" t="s">
        <v>820</v>
      </c>
      <c r="P382" s="8" t="s">
        <v>247</v>
      </c>
      <c r="Q382" s="4">
        <v>5637697397</v>
      </c>
    </row>
    <row r="383" spans="1:17" x14ac:dyDescent="0.25">
      <c r="A383" s="8" t="s">
        <v>252</v>
      </c>
      <c r="B383" s="8" t="s">
        <v>630</v>
      </c>
      <c r="C383" s="8" t="s">
        <v>99</v>
      </c>
      <c r="D383" s="8" t="s">
        <v>100</v>
      </c>
      <c r="E383" s="6">
        <v>43083</v>
      </c>
      <c r="F383" s="8" t="s">
        <v>261</v>
      </c>
      <c r="G383" s="8" t="s">
        <v>264</v>
      </c>
      <c r="H383" s="4">
        <v>-100</v>
      </c>
      <c r="I383" s="8" t="s">
        <v>39</v>
      </c>
      <c r="J383" s="4">
        <v>1.5411733344090002</v>
      </c>
      <c r="K383" s="4">
        <v>-154.12</v>
      </c>
      <c r="L383" s="8" t="s">
        <v>609</v>
      </c>
      <c r="M383" s="4">
        <v>-154.12</v>
      </c>
      <c r="N383" s="8" t="s">
        <v>631</v>
      </c>
      <c r="O383" s="8" t="s">
        <v>820</v>
      </c>
      <c r="P383" s="8" t="s">
        <v>247</v>
      </c>
      <c r="Q383" s="4">
        <v>5637697398</v>
      </c>
    </row>
    <row r="384" spans="1:17" x14ac:dyDescent="0.25">
      <c r="A384" s="8" t="s">
        <v>17</v>
      </c>
      <c r="B384" s="8" t="s">
        <v>722</v>
      </c>
      <c r="C384" s="8" t="s">
        <v>99</v>
      </c>
      <c r="D384" s="8" t="s">
        <v>100</v>
      </c>
      <c r="E384" s="6">
        <v>43083</v>
      </c>
      <c r="F384" s="8" t="s">
        <v>261</v>
      </c>
      <c r="G384" s="8" t="s">
        <v>264</v>
      </c>
      <c r="H384" s="4">
        <v>100</v>
      </c>
      <c r="I384" s="8" t="s">
        <v>39</v>
      </c>
      <c r="J384" s="4">
        <v>1.3004000000000002</v>
      </c>
      <c r="K384" s="4">
        <v>130.04000000000002</v>
      </c>
      <c r="L384" s="8" t="s">
        <v>246</v>
      </c>
      <c r="M384" s="4">
        <v>111.67</v>
      </c>
      <c r="N384" s="8" t="s">
        <v>723</v>
      </c>
      <c r="O384" s="8" t="s">
        <v>821</v>
      </c>
      <c r="P384" s="8" t="s">
        <v>247</v>
      </c>
      <c r="Q384" s="4">
        <v>5637697031</v>
      </c>
    </row>
    <row r="385" spans="1:17" x14ac:dyDescent="0.25">
      <c r="A385" s="8" t="s">
        <v>17</v>
      </c>
      <c r="B385" s="8" t="s">
        <v>722</v>
      </c>
      <c r="C385" s="8" t="s">
        <v>99</v>
      </c>
      <c r="D385" s="8" t="s">
        <v>100</v>
      </c>
      <c r="E385" s="6">
        <v>43083</v>
      </c>
      <c r="F385" s="8" t="s">
        <v>261</v>
      </c>
      <c r="G385" s="8" t="s">
        <v>264</v>
      </c>
      <c r="H385" s="4">
        <v>150</v>
      </c>
      <c r="I385" s="8" t="s">
        <v>39</v>
      </c>
      <c r="J385" s="4">
        <v>1.3004000000000002</v>
      </c>
      <c r="K385" s="4">
        <v>195.06</v>
      </c>
      <c r="L385" s="8" t="s">
        <v>246</v>
      </c>
      <c r="M385" s="4">
        <v>167.51</v>
      </c>
      <c r="N385" s="8" t="s">
        <v>723</v>
      </c>
      <c r="O385" s="8" t="s">
        <v>821</v>
      </c>
      <c r="P385" s="8" t="s">
        <v>247</v>
      </c>
      <c r="Q385" s="4">
        <v>5637697032</v>
      </c>
    </row>
    <row r="386" spans="1:17" x14ac:dyDescent="0.25">
      <c r="A386" s="8" t="s">
        <v>252</v>
      </c>
      <c r="B386" s="8" t="s">
        <v>630</v>
      </c>
      <c r="C386" s="8" t="s">
        <v>99</v>
      </c>
      <c r="D386" s="8" t="s">
        <v>100</v>
      </c>
      <c r="E386" s="6">
        <v>43083</v>
      </c>
      <c r="F386" s="8" t="s">
        <v>261</v>
      </c>
      <c r="G386" s="8" t="s">
        <v>264</v>
      </c>
      <c r="H386" s="4">
        <v>-150</v>
      </c>
      <c r="I386" s="8" t="s">
        <v>39</v>
      </c>
      <c r="J386" s="4">
        <v>1.5411733344090002</v>
      </c>
      <c r="K386" s="4">
        <v>-231.18</v>
      </c>
      <c r="L386" s="8" t="s">
        <v>609</v>
      </c>
      <c r="M386" s="4">
        <v>-231.18</v>
      </c>
      <c r="N386" s="8" t="s">
        <v>631</v>
      </c>
      <c r="O386" s="8" t="s">
        <v>820</v>
      </c>
      <c r="P386" s="8" t="s">
        <v>247</v>
      </c>
      <c r="Q386" s="4">
        <v>5637697399</v>
      </c>
    </row>
    <row r="387" spans="1:17" x14ac:dyDescent="0.25">
      <c r="A387" s="8" t="s">
        <v>252</v>
      </c>
      <c r="B387" s="8" t="s">
        <v>630</v>
      </c>
      <c r="C387" s="8" t="s">
        <v>99</v>
      </c>
      <c r="D387" s="8" t="s">
        <v>100</v>
      </c>
      <c r="E387" s="6">
        <v>43083</v>
      </c>
      <c r="F387" s="8" t="s">
        <v>261</v>
      </c>
      <c r="G387" s="8" t="s">
        <v>264</v>
      </c>
      <c r="H387" s="4">
        <v>-100</v>
      </c>
      <c r="I387" s="8" t="s">
        <v>39</v>
      </c>
      <c r="J387" s="4">
        <v>1.5411733344090002</v>
      </c>
      <c r="K387" s="4">
        <v>-154.12</v>
      </c>
      <c r="L387" s="8" t="s">
        <v>609</v>
      </c>
      <c r="M387" s="4">
        <v>-154.12</v>
      </c>
      <c r="N387" s="8" t="s">
        <v>631</v>
      </c>
      <c r="O387" s="8" t="s">
        <v>820</v>
      </c>
      <c r="P387" s="8" t="s">
        <v>247</v>
      </c>
      <c r="Q387" s="4">
        <v>5637697403</v>
      </c>
    </row>
    <row r="388" spans="1:17" x14ac:dyDescent="0.25">
      <c r="A388" s="8" t="s">
        <v>17</v>
      </c>
      <c r="B388" s="8" t="s">
        <v>722</v>
      </c>
      <c r="C388" s="8" t="s">
        <v>99</v>
      </c>
      <c r="D388" s="8" t="s">
        <v>100</v>
      </c>
      <c r="E388" s="6">
        <v>43083</v>
      </c>
      <c r="F388" s="8" t="s">
        <v>261</v>
      </c>
      <c r="G388" s="8" t="s">
        <v>264</v>
      </c>
      <c r="H388" s="4">
        <v>100</v>
      </c>
      <c r="I388" s="8" t="s">
        <v>39</v>
      </c>
      <c r="J388" s="4">
        <v>1.3004000000000002</v>
      </c>
      <c r="K388" s="4">
        <v>130.04000000000002</v>
      </c>
      <c r="L388" s="8" t="s">
        <v>246</v>
      </c>
      <c r="M388" s="4">
        <v>111.67</v>
      </c>
      <c r="N388" s="8" t="s">
        <v>723</v>
      </c>
      <c r="O388" s="8" t="s">
        <v>821</v>
      </c>
      <c r="P388" s="8" t="s">
        <v>247</v>
      </c>
      <c r="Q388" s="4">
        <v>5637697033</v>
      </c>
    </row>
    <row r="389" spans="1:17" x14ac:dyDescent="0.25">
      <c r="A389" s="8" t="s">
        <v>17</v>
      </c>
      <c r="B389" s="8" t="s">
        <v>722</v>
      </c>
      <c r="C389" s="8" t="s">
        <v>99</v>
      </c>
      <c r="D389" s="8" t="s">
        <v>100</v>
      </c>
      <c r="E389" s="6">
        <v>43083</v>
      </c>
      <c r="F389" s="8" t="s">
        <v>261</v>
      </c>
      <c r="G389" s="8" t="s">
        <v>264</v>
      </c>
      <c r="H389" s="4">
        <v>150</v>
      </c>
      <c r="I389" s="8" t="s">
        <v>39</v>
      </c>
      <c r="J389" s="4">
        <v>1.3004000000000002</v>
      </c>
      <c r="K389" s="4">
        <v>195.06</v>
      </c>
      <c r="L389" s="8" t="s">
        <v>246</v>
      </c>
      <c r="M389" s="4">
        <v>167.49</v>
      </c>
      <c r="N389" s="8" t="s">
        <v>723</v>
      </c>
      <c r="O389" s="8" t="s">
        <v>821</v>
      </c>
      <c r="P389" s="8" t="s">
        <v>247</v>
      </c>
      <c r="Q389" s="4">
        <v>5637685420</v>
      </c>
    </row>
    <row r="390" spans="1:17" x14ac:dyDescent="0.25">
      <c r="A390" s="8" t="s">
        <v>252</v>
      </c>
      <c r="B390" s="8" t="s">
        <v>630</v>
      </c>
      <c r="C390" s="8" t="s">
        <v>99</v>
      </c>
      <c r="D390" s="8" t="s">
        <v>100</v>
      </c>
      <c r="E390" s="6">
        <v>43083</v>
      </c>
      <c r="F390" s="8" t="s">
        <v>261</v>
      </c>
      <c r="G390" s="8" t="s">
        <v>264</v>
      </c>
      <c r="H390" s="4">
        <v>-150</v>
      </c>
      <c r="I390" s="8" t="s">
        <v>39</v>
      </c>
      <c r="J390" s="4">
        <v>1.5411733344090002</v>
      </c>
      <c r="K390" s="4">
        <v>-231.18</v>
      </c>
      <c r="L390" s="8" t="s">
        <v>609</v>
      </c>
      <c r="M390" s="4">
        <v>-231.18</v>
      </c>
      <c r="N390" s="8" t="s">
        <v>631</v>
      </c>
      <c r="O390" s="8" t="s">
        <v>820</v>
      </c>
      <c r="P390" s="8" t="s">
        <v>247</v>
      </c>
      <c r="Q390" s="4">
        <v>5637685397</v>
      </c>
    </row>
    <row r="391" spans="1:17" x14ac:dyDescent="0.25">
      <c r="A391" s="8" t="s">
        <v>252</v>
      </c>
      <c r="B391" s="8" t="s">
        <v>822</v>
      </c>
      <c r="C391" s="8" t="s">
        <v>99</v>
      </c>
      <c r="D391" s="8" t="s">
        <v>100</v>
      </c>
      <c r="E391" s="6">
        <v>43084</v>
      </c>
      <c r="F391" s="8" t="s">
        <v>261</v>
      </c>
      <c r="G391" s="8" t="s">
        <v>264</v>
      </c>
      <c r="H391" s="4">
        <v>-27</v>
      </c>
      <c r="I391" s="8" t="s">
        <v>39</v>
      </c>
      <c r="J391" s="4">
        <v>1.541115110899</v>
      </c>
      <c r="K391" s="4">
        <v>-41.61</v>
      </c>
      <c r="L391" s="8" t="s">
        <v>609</v>
      </c>
      <c r="M391" s="4">
        <v>-41.61</v>
      </c>
      <c r="N391" s="8" t="s">
        <v>823</v>
      </c>
      <c r="O391" s="8" t="s">
        <v>824</v>
      </c>
      <c r="P391" s="8" t="s">
        <v>247</v>
      </c>
      <c r="Q391" s="4">
        <v>5637697258</v>
      </c>
    </row>
    <row r="392" spans="1:17" x14ac:dyDescent="0.25">
      <c r="A392" s="8" t="s">
        <v>607</v>
      </c>
      <c r="B392" s="8" t="s">
        <v>81</v>
      </c>
      <c r="C392" s="8" t="s">
        <v>99</v>
      </c>
      <c r="D392" s="8" t="s">
        <v>100</v>
      </c>
      <c r="E392" s="6">
        <v>43096</v>
      </c>
      <c r="F392" s="8" t="s">
        <v>261</v>
      </c>
      <c r="G392" s="8" t="s">
        <v>264</v>
      </c>
      <c r="H392" s="4">
        <v>-0.1</v>
      </c>
      <c r="I392" s="8" t="s">
        <v>39</v>
      </c>
      <c r="J392" s="4">
        <v>1.5411199999999998</v>
      </c>
      <c r="K392" s="4">
        <v>-0.15</v>
      </c>
      <c r="L392" s="8" t="s">
        <v>609</v>
      </c>
      <c r="M392" s="4">
        <v>-0.15</v>
      </c>
      <c r="N392" s="8" t="s">
        <v>610</v>
      </c>
      <c r="O392" s="8" t="s">
        <v>825</v>
      </c>
      <c r="P392" s="8" t="s">
        <v>247</v>
      </c>
      <c r="Q392" s="4">
        <v>0</v>
      </c>
    </row>
    <row r="393" spans="1:17" x14ac:dyDescent="0.25">
      <c r="A393" s="8" t="s">
        <v>252</v>
      </c>
      <c r="B393" s="8" t="s">
        <v>826</v>
      </c>
      <c r="C393" s="8" t="s">
        <v>59</v>
      </c>
      <c r="D393" s="8" t="s">
        <v>93</v>
      </c>
      <c r="E393" s="6">
        <v>43076</v>
      </c>
      <c r="F393" s="8" t="s">
        <v>261</v>
      </c>
      <c r="G393" s="8" t="s">
        <v>264</v>
      </c>
      <c r="H393" s="4">
        <v>-101.6</v>
      </c>
      <c r="I393" s="8" t="s">
        <v>39</v>
      </c>
      <c r="J393" s="4">
        <v>1.6227143733390001</v>
      </c>
      <c r="K393" s="4">
        <v>-164.87</v>
      </c>
      <c r="L393" s="8" t="s">
        <v>609</v>
      </c>
      <c r="M393" s="4">
        <v>-164.87</v>
      </c>
      <c r="N393" s="8" t="s">
        <v>827</v>
      </c>
      <c r="O393" s="8" t="s">
        <v>828</v>
      </c>
      <c r="P393" s="8" t="s">
        <v>247</v>
      </c>
      <c r="Q393" s="4">
        <v>5637694429</v>
      </c>
    </row>
    <row r="394" spans="1:17" x14ac:dyDescent="0.25">
      <c r="A394" s="8" t="s">
        <v>252</v>
      </c>
      <c r="B394" s="8" t="s">
        <v>826</v>
      </c>
      <c r="C394" s="8" t="s">
        <v>59</v>
      </c>
      <c r="D394" s="8" t="s">
        <v>93</v>
      </c>
      <c r="E394" s="6">
        <v>43076</v>
      </c>
      <c r="F394" s="8" t="s">
        <v>261</v>
      </c>
      <c r="G394" s="8" t="s">
        <v>264</v>
      </c>
      <c r="H394" s="4">
        <v>-84.9</v>
      </c>
      <c r="I394" s="8" t="s">
        <v>39</v>
      </c>
      <c r="J394" s="4">
        <v>1.6227143733390001</v>
      </c>
      <c r="K394" s="4">
        <v>-137.77000000000001</v>
      </c>
      <c r="L394" s="8" t="s">
        <v>609</v>
      </c>
      <c r="M394" s="4">
        <v>-137.77000000000001</v>
      </c>
      <c r="N394" s="8" t="s">
        <v>827</v>
      </c>
      <c r="O394" s="8" t="s">
        <v>828</v>
      </c>
      <c r="P394" s="8" t="s">
        <v>247</v>
      </c>
      <c r="Q394" s="4">
        <v>5637696042</v>
      </c>
    </row>
    <row r="395" spans="1:17" x14ac:dyDescent="0.25">
      <c r="A395" s="8" t="s">
        <v>252</v>
      </c>
      <c r="B395" s="8" t="s">
        <v>830</v>
      </c>
      <c r="C395" s="8" t="s">
        <v>59</v>
      </c>
      <c r="D395" s="8" t="s">
        <v>93</v>
      </c>
      <c r="E395" s="6">
        <v>43080</v>
      </c>
      <c r="F395" s="8" t="s">
        <v>261</v>
      </c>
      <c r="G395" s="8" t="s">
        <v>264</v>
      </c>
      <c r="H395" s="4">
        <v>-9.0400000000000009</v>
      </c>
      <c r="I395" s="8" t="s">
        <v>39</v>
      </c>
      <c r="J395" s="4">
        <v>1.6227118926890001</v>
      </c>
      <c r="K395" s="4">
        <v>-14.67</v>
      </c>
      <c r="L395" s="8" t="s">
        <v>609</v>
      </c>
      <c r="M395" s="4">
        <v>-14.67</v>
      </c>
      <c r="N395" s="8" t="s">
        <v>831</v>
      </c>
      <c r="O395" s="8" t="s">
        <v>832</v>
      </c>
      <c r="P395" s="8" t="s">
        <v>247</v>
      </c>
      <c r="Q395" s="4">
        <v>5637695374</v>
      </c>
    </row>
    <row r="396" spans="1:17" x14ac:dyDescent="0.25">
      <c r="A396" s="8" t="s">
        <v>252</v>
      </c>
      <c r="B396" s="8" t="s">
        <v>776</v>
      </c>
      <c r="C396" s="8" t="s">
        <v>59</v>
      </c>
      <c r="D396" s="8" t="s">
        <v>93</v>
      </c>
      <c r="E396" s="6">
        <v>43080</v>
      </c>
      <c r="F396" s="8" t="s">
        <v>261</v>
      </c>
      <c r="G396" s="8" t="s">
        <v>264</v>
      </c>
      <c r="H396" s="4">
        <v>-60.2</v>
      </c>
      <c r="I396" s="8" t="s">
        <v>39</v>
      </c>
      <c r="J396" s="4">
        <v>1.6227114395250002</v>
      </c>
      <c r="K396" s="4">
        <v>-97.69</v>
      </c>
      <c r="L396" s="8" t="s">
        <v>609</v>
      </c>
      <c r="M396" s="4">
        <v>-97.69</v>
      </c>
      <c r="N396" s="8" t="s">
        <v>777</v>
      </c>
      <c r="O396" s="8" t="s">
        <v>829</v>
      </c>
      <c r="P396" s="8" t="s">
        <v>247</v>
      </c>
      <c r="Q396" s="4">
        <v>5637696070</v>
      </c>
    </row>
    <row r="397" spans="1:17" x14ac:dyDescent="0.25">
      <c r="A397" s="8" t="s">
        <v>252</v>
      </c>
      <c r="B397" s="8" t="s">
        <v>776</v>
      </c>
      <c r="C397" s="8" t="s">
        <v>59</v>
      </c>
      <c r="D397" s="8" t="s">
        <v>93</v>
      </c>
      <c r="E397" s="6">
        <v>43080</v>
      </c>
      <c r="F397" s="8" t="s">
        <v>261</v>
      </c>
      <c r="G397" s="8" t="s">
        <v>264</v>
      </c>
      <c r="H397" s="4">
        <v>-5.4</v>
      </c>
      <c r="I397" s="8" t="s">
        <v>39</v>
      </c>
      <c r="J397" s="4">
        <v>1.6227114395250002</v>
      </c>
      <c r="K397" s="4">
        <v>-8.76</v>
      </c>
      <c r="L397" s="8" t="s">
        <v>609</v>
      </c>
      <c r="M397" s="4">
        <v>-8.76</v>
      </c>
      <c r="N397" s="8" t="s">
        <v>777</v>
      </c>
      <c r="O397" s="8" t="s">
        <v>829</v>
      </c>
      <c r="P397" s="8" t="s">
        <v>247</v>
      </c>
      <c r="Q397" s="4">
        <v>5637696071</v>
      </c>
    </row>
    <row r="398" spans="1:17" x14ac:dyDescent="0.25">
      <c r="A398" s="8" t="s">
        <v>252</v>
      </c>
      <c r="B398" s="8" t="s">
        <v>776</v>
      </c>
      <c r="C398" s="8" t="s">
        <v>59</v>
      </c>
      <c r="D398" s="8" t="s">
        <v>93</v>
      </c>
      <c r="E398" s="6">
        <v>43080</v>
      </c>
      <c r="F398" s="8" t="s">
        <v>261</v>
      </c>
      <c r="G398" s="8" t="s">
        <v>264</v>
      </c>
      <c r="H398" s="4">
        <v>-5.4</v>
      </c>
      <c r="I398" s="8" t="s">
        <v>39</v>
      </c>
      <c r="J398" s="4">
        <v>1.6227114395250002</v>
      </c>
      <c r="K398" s="4">
        <v>-8.76</v>
      </c>
      <c r="L398" s="8" t="s">
        <v>609</v>
      </c>
      <c r="M398" s="4">
        <v>-8.76</v>
      </c>
      <c r="N398" s="8" t="s">
        <v>777</v>
      </c>
      <c r="O398" s="8" t="s">
        <v>829</v>
      </c>
      <c r="P398" s="8" t="s">
        <v>247</v>
      </c>
      <c r="Q398" s="4">
        <v>5637695519</v>
      </c>
    </row>
    <row r="399" spans="1:17" x14ac:dyDescent="0.25">
      <c r="A399" s="8" t="s">
        <v>252</v>
      </c>
      <c r="B399" s="8" t="s">
        <v>788</v>
      </c>
      <c r="C399" s="8" t="s">
        <v>59</v>
      </c>
      <c r="D399" s="8" t="s">
        <v>93</v>
      </c>
      <c r="E399" s="6">
        <v>43081</v>
      </c>
      <c r="F399" s="8" t="s">
        <v>261</v>
      </c>
      <c r="G399" s="8" t="s">
        <v>264</v>
      </c>
      <c r="H399" s="4">
        <v>-100</v>
      </c>
      <c r="I399" s="8" t="s">
        <v>39</v>
      </c>
      <c r="J399" s="4">
        <v>1.6227131847549998</v>
      </c>
      <c r="K399" s="4">
        <v>-162.27000000000001</v>
      </c>
      <c r="L399" s="8" t="s">
        <v>609</v>
      </c>
      <c r="M399" s="4">
        <v>-162.27000000000001</v>
      </c>
      <c r="N399" s="8" t="s">
        <v>789</v>
      </c>
      <c r="O399" s="8" t="s">
        <v>833</v>
      </c>
      <c r="P399" s="8" t="s">
        <v>247</v>
      </c>
      <c r="Q399" s="4">
        <v>5637696693</v>
      </c>
    </row>
    <row r="400" spans="1:17" x14ac:dyDescent="0.25">
      <c r="A400" s="8" t="s">
        <v>252</v>
      </c>
      <c r="B400" s="8" t="s">
        <v>788</v>
      </c>
      <c r="C400" s="8" t="s">
        <v>59</v>
      </c>
      <c r="D400" s="8" t="s">
        <v>93</v>
      </c>
      <c r="E400" s="6">
        <v>43081</v>
      </c>
      <c r="F400" s="8" t="s">
        <v>261</v>
      </c>
      <c r="G400" s="8" t="s">
        <v>264</v>
      </c>
      <c r="H400" s="4">
        <v>-100</v>
      </c>
      <c r="I400" s="8" t="s">
        <v>39</v>
      </c>
      <c r="J400" s="4">
        <v>1.6227131847549998</v>
      </c>
      <c r="K400" s="4">
        <v>-162.27000000000001</v>
      </c>
      <c r="L400" s="8" t="s">
        <v>609</v>
      </c>
      <c r="M400" s="4">
        <v>-162.27000000000001</v>
      </c>
      <c r="N400" s="8" t="s">
        <v>789</v>
      </c>
      <c r="O400" s="8" t="s">
        <v>833</v>
      </c>
      <c r="P400" s="8" t="s">
        <v>247</v>
      </c>
      <c r="Q400" s="4">
        <v>5637696679</v>
      </c>
    </row>
    <row r="401" spans="1:17" x14ac:dyDescent="0.25">
      <c r="A401" s="8" t="s">
        <v>252</v>
      </c>
      <c r="B401" s="8" t="s">
        <v>788</v>
      </c>
      <c r="C401" s="8" t="s">
        <v>59</v>
      </c>
      <c r="D401" s="8" t="s">
        <v>93</v>
      </c>
      <c r="E401" s="6">
        <v>43081</v>
      </c>
      <c r="F401" s="8" t="s">
        <v>261</v>
      </c>
      <c r="G401" s="8" t="s">
        <v>264</v>
      </c>
      <c r="H401" s="4">
        <v>-100</v>
      </c>
      <c r="I401" s="8" t="s">
        <v>39</v>
      </c>
      <c r="J401" s="4">
        <v>1.6227131847549998</v>
      </c>
      <c r="K401" s="4">
        <v>-162.27000000000001</v>
      </c>
      <c r="L401" s="8" t="s">
        <v>609</v>
      </c>
      <c r="M401" s="4">
        <v>-162.27000000000001</v>
      </c>
      <c r="N401" s="8" t="s">
        <v>789</v>
      </c>
      <c r="O401" s="8" t="s">
        <v>833</v>
      </c>
      <c r="P401" s="8" t="s">
        <v>247</v>
      </c>
      <c r="Q401" s="4">
        <v>5637696692</v>
      </c>
    </row>
    <row r="402" spans="1:17" x14ac:dyDescent="0.25">
      <c r="A402" s="8" t="s">
        <v>252</v>
      </c>
      <c r="B402" s="8" t="s">
        <v>733</v>
      </c>
      <c r="C402" s="8" t="s">
        <v>59</v>
      </c>
      <c r="D402" s="8" t="s">
        <v>93</v>
      </c>
      <c r="E402" s="6">
        <v>43083</v>
      </c>
      <c r="F402" s="8" t="s">
        <v>261</v>
      </c>
      <c r="G402" s="8" t="s">
        <v>264</v>
      </c>
      <c r="H402" s="4">
        <v>100</v>
      </c>
      <c r="I402" s="8" t="s">
        <v>39</v>
      </c>
      <c r="J402" s="4">
        <v>2.1136351323139997</v>
      </c>
      <c r="K402" s="4">
        <v>211.35999999999999</v>
      </c>
      <c r="L402" s="8" t="s">
        <v>609</v>
      </c>
      <c r="M402" s="4">
        <v>211.35999999999999</v>
      </c>
      <c r="N402" s="8" t="s">
        <v>734</v>
      </c>
      <c r="O402" s="8" t="s">
        <v>834</v>
      </c>
      <c r="P402" s="8" t="s">
        <v>247</v>
      </c>
      <c r="Q402" s="4">
        <v>5637697422</v>
      </c>
    </row>
    <row r="403" spans="1:17" x14ac:dyDescent="0.25">
      <c r="A403" s="8" t="s">
        <v>252</v>
      </c>
      <c r="B403" s="8" t="s">
        <v>736</v>
      </c>
      <c r="C403" s="8" t="s">
        <v>59</v>
      </c>
      <c r="D403" s="8" t="s">
        <v>93</v>
      </c>
      <c r="E403" s="6">
        <v>43084</v>
      </c>
      <c r="F403" s="8" t="s">
        <v>261</v>
      </c>
      <c r="G403" s="8" t="s">
        <v>264</v>
      </c>
      <c r="H403" s="4">
        <v>-100</v>
      </c>
      <c r="I403" s="8" t="s">
        <v>39</v>
      </c>
      <c r="J403" s="4">
        <v>1.6623209501320002</v>
      </c>
      <c r="K403" s="4">
        <v>-166.23</v>
      </c>
      <c r="L403" s="8" t="s">
        <v>609</v>
      </c>
      <c r="M403" s="4">
        <v>-166.23</v>
      </c>
      <c r="N403" s="8" t="s">
        <v>737</v>
      </c>
      <c r="O403" s="8" t="s">
        <v>835</v>
      </c>
      <c r="P403" s="8" t="s">
        <v>247</v>
      </c>
      <c r="Q403" s="4">
        <v>5637697430</v>
      </c>
    </row>
    <row r="404" spans="1:17" x14ac:dyDescent="0.25">
      <c r="A404" s="8" t="s">
        <v>252</v>
      </c>
      <c r="B404" s="8" t="s">
        <v>805</v>
      </c>
      <c r="C404" s="8" t="s">
        <v>59</v>
      </c>
      <c r="D404" s="8" t="s">
        <v>93</v>
      </c>
      <c r="E404" s="6">
        <v>43087</v>
      </c>
      <c r="F404" s="8" t="s">
        <v>261</v>
      </c>
      <c r="G404" s="8" t="s">
        <v>264</v>
      </c>
      <c r="H404" s="4">
        <v>100</v>
      </c>
      <c r="I404" s="8" t="s">
        <v>39</v>
      </c>
      <c r="J404" s="4">
        <v>1.6227131847549998</v>
      </c>
      <c r="K404" s="4">
        <v>162.27000000000001</v>
      </c>
      <c r="L404" s="8" t="s">
        <v>609</v>
      </c>
      <c r="M404" s="4">
        <v>162.27000000000001</v>
      </c>
      <c r="N404" s="8" t="s">
        <v>806</v>
      </c>
      <c r="O404" s="8" t="s">
        <v>836</v>
      </c>
      <c r="P404" s="8" t="s">
        <v>247</v>
      </c>
      <c r="Q404" s="4">
        <v>5637698095</v>
      </c>
    </row>
    <row r="405" spans="1:17" x14ac:dyDescent="0.25">
      <c r="A405" s="8" t="s">
        <v>252</v>
      </c>
      <c r="B405" s="8" t="s">
        <v>808</v>
      </c>
      <c r="C405" s="8" t="s">
        <v>59</v>
      </c>
      <c r="D405" s="8" t="s">
        <v>93</v>
      </c>
      <c r="E405" s="6">
        <v>43087</v>
      </c>
      <c r="F405" s="8" t="s">
        <v>261</v>
      </c>
      <c r="G405" s="8" t="s">
        <v>264</v>
      </c>
      <c r="H405" s="4">
        <v>-100</v>
      </c>
      <c r="I405" s="8" t="s">
        <v>39</v>
      </c>
      <c r="J405" s="4">
        <v>1.6540650017430001</v>
      </c>
      <c r="K405" s="4">
        <v>-165.41</v>
      </c>
      <c r="L405" s="8" t="s">
        <v>609</v>
      </c>
      <c r="M405" s="4">
        <v>-165.41</v>
      </c>
      <c r="N405" s="8" t="s">
        <v>809</v>
      </c>
      <c r="O405" s="8" t="s">
        <v>837</v>
      </c>
      <c r="P405" s="8" t="s">
        <v>247</v>
      </c>
      <c r="Q405" s="4">
        <v>5637698106</v>
      </c>
    </row>
    <row r="406" spans="1:17" x14ac:dyDescent="0.25">
      <c r="A406" s="8" t="s">
        <v>252</v>
      </c>
      <c r="B406" s="8" t="s">
        <v>808</v>
      </c>
      <c r="C406" s="8" t="s">
        <v>59</v>
      </c>
      <c r="D406" s="8" t="s">
        <v>93</v>
      </c>
      <c r="E406" s="6">
        <v>43087</v>
      </c>
      <c r="F406" s="8" t="s">
        <v>261</v>
      </c>
      <c r="G406" s="8" t="s">
        <v>264</v>
      </c>
      <c r="H406" s="4">
        <v>-100</v>
      </c>
      <c r="I406" s="8" t="s">
        <v>39</v>
      </c>
      <c r="J406" s="4">
        <v>1.6540650017430001</v>
      </c>
      <c r="K406" s="4">
        <v>-165.41</v>
      </c>
      <c r="L406" s="8" t="s">
        <v>609</v>
      </c>
      <c r="M406" s="4">
        <v>-165.41</v>
      </c>
      <c r="N406" s="8" t="s">
        <v>809</v>
      </c>
      <c r="O406" s="8" t="s">
        <v>837</v>
      </c>
      <c r="P406" s="8" t="s">
        <v>247</v>
      </c>
      <c r="Q406" s="4">
        <v>5637698107</v>
      </c>
    </row>
    <row r="407" spans="1:17" x14ac:dyDescent="0.25">
      <c r="A407" s="8" t="s">
        <v>252</v>
      </c>
      <c r="B407" s="8" t="s">
        <v>805</v>
      </c>
      <c r="C407" s="8" t="s">
        <v>59</v>
      </c>
      <c r="D407" s="8" t="s">
        <v>93</v>
      </c>
      <c r="E407" s="6">
        <v>43087</v>
      </c>
      <c r="F407" s="8" t="s">
        <v>261</v>
      </c>
      <c r="G407" s="8" t="s">
        <v>264</v>
      </c>
      <c r="H407" s="4">
        <v>100</v>
      </c>
      <c r="I407" s="8" t="s">
        <v>39</v>
      </c>
      <c r="J407" s="4">
        <v>1.6227131847549998</v>
      </c>
      <c r="K407" s="4">
        <v>162.27000000000001</v>
      </c>
      <c r="L407" s="8" t="s">
        <v>609</v>
      </c>
      <c r="M407" s="4">
        <v>162.27000000000001</v>
      </c>
      <c r="N407" s="8" t="s">
        <v>806</v>
      </c>
      <c r="O407" s="8" t="s">
        <v>836</v>
      </c>
      <c r="P407" s="8" t="s">
        <v>247</v>
      </c>
      <c r="Q407" s="4">
        <v>5637698096</v>
      </c>
    </row>
    <row r="408" spans="1:17" x14ac:dyDescent="0.25">
      <c r="A408" s="8" t="s">
        <v>252</v>
      </c>
      <c r="B408" s="8" t="s">
        <v>805</v>
      </c>
      <c r="C408" s="8" t="s">
        <v>59</v>
      </c>
      <c r="D408" s="8" t="s">
        <v>93</v>
      </c>
      <c r="E408" s="6">
        <v>43087</v>
      </c>
      <c r="F408" s="8" t="s">
        <v>261</v>
      </c>
      <c r="G408" s="8" t="s">
        <v>264</v>
      </c>
      <c r="H408" s="4">
        <v>100</v>
      </c>
      <c r="I408" s="8" t="s">
        <v>39</v>
      </c>
      <c r="J408" s="4">
        <v>1.6227131847549998</v>
      </c>
      <c r="K408" s="4">
        <v>162.27000000000001</v>
      </c>
      <c r="L408" s="8" t="s">
        <v>609</v>
      </c>
      <c r="M408" s="4">
        <v>162.27000000000001</v>
      </c>
      <c r="N408" s="8" t="s">
        <v>806</v>
      </c>
      <c r="O408" s="8" t="s">
        <v>836</v>
      </c>
      <c r="P408" s="8" t="s">
        <v>247</v>
      </c>
      <c r="Q408" s="4">
        <v>5637698094</v>
      </c>
    </row>
    <row r="409" spans="1:17" x14ac:dyDescent="0.25">
      <c r="A409" s="8" t="s">
        <v>252</v>
      </c>
      <c r="B409" s="8" t="s">
        <v>808</v>
      </c>
      <c r="C409" s="8" t="s">
        <v>59</v>
      </c>
      <c r="D409" s="8" t="s">
        <v>93</v>
      </c>
      <c r="E409" s="6">
        <v>43087</v>
      </c>
      <c r="F409" s="8" t="s">
        <v>261</v>
      </c>
      <c r="G409" s="8" t="s">
        <v>264</v>
      </c>
      <c r="H409" s="4">
        <v>-100</v>
      </c>
      <c r="I409" s="8" t="s">
        <v>39</v>
      </c>
      <c r="J409" s="4">
        <v>1.6540650017430001</v>
      </c>
      <c r="K409" s="4">
        <v>-165.41</v>
      </c>
      <c r="L409" s="8" t="s">
        <v>609</v>
      </c>
      <c r="M409" s="4">
        <v>-165.41</v>
      </c>
      <c r="N409" s="8" t="s">
        <v>809</v>
      </c>
      <c r="O409" s="8" t="s">
        <v>837</v>
      </c>
      <c r="P409" s="8" t="s">
        <v>247</v>
      </c>
      <c r="Q409" s="4">
        <v>5637698101</v>
      </c>
    </row>
    <row r="410" spans="1:17" x14ac:dyDescent="0.25">
      <c r="A410" s="8" t="s">
        <v>607</v>
      </c>
      <c r="B410" s="8" t="s">
        <v>81</v>
      </c>
      <c r="C410" s="8" t="s">
        <v>59</v>
      </c>
      <c r="D410" s="8" t="s">
        <v>93</v>
      </c>
      <c r="E410" s="6">
        <v>43096</v>
      </c>
      <c r="F410" s="8" t="s">
        <v>261</v>
      </c>
      <c r="G410" s="8" t="s">
        <v>264</v>
      </c>
      <c r="H410" s="4">
        <v>-33.840000000000003</v>
      </c>
      <c r="I410" s="8" t="s">
        <v>39</v>
      </c>
      <c r="J410" s="4">
        <v>1.6540599999999999</v>
      </c>
      <c r="K410" s="4">
        <v>-55.97</v>
      </c>
      <c r="L410" s="8" t="s">
        <v>609</v>
      </c>
      <c r="M410" s="4">
        <v>-55.97</v>
      </c>
      <c r="N410" s="8" t="s">
        <v>610</v>
      </c>
      <c r="O410" s="8" t="s">
        <v>838</v>
      </c>
      <c r="P410" s="8" t="s">
        <v>247</v>
      </c>
      <c r="Q410" s="4">
        <v>0</v>
      </c>
    </row>
    <row r="411" spans="1:17" x14ac:dyDescent="0.25">
      <c r="A411" s="8" t="s">
        <v>252</v>
      </c>
      <c r="B411" s="8" t="s">
        <v>839</v>
      </c>
      <c r="C411" s="8" t="s">
        <v>123</v>
      </c>
      <c r="D411" s="8" t="s">
        <v>124</v>
      </c>
      <c r="E411" s="6">
        <v>43070</v>
      </c>
      <c r="F411" s="8" t="s">
        <v>261</v>
      </c>
      <c r="G411" s="8" t="s">
        <v>264</v>
      </c>
      <c r="H411" s="4">
        <v>-15</v>
      </c>
      <c r="I411" s="8" t="s">
        <v>39</v>
      </c>
      <c r="J411" s="4">
        <v>1.4298654767209997</v>
      </c>
      <c r="K411" s="4">
        <v>-21.45</v>
      </c>
      <c r="L411" s="8" t="s">
        <v>609</v>
      </c>
      <c r="M411" s="4">
        <v>-21.45</v>
      </c>
      <c r="N411" s="8" t="s">
        <v>840</v>
      </c>
      <c r="O411" s="8" t="s">
        <v>841</v>
      </c>
      <c r="P411" s="8" t="s">
        <v>247</v>
      </c>
      <c r="Q411" s="4">
        <v>5637694153</v>
      </c>
    </row>
    <row r="412" spans="1:17" x14ac:dyDescent="0.25">
      <c r="A412" s="8" t="s">
        <v>17</v>
      </c>
      <c r="B412" s="8" t="s">
        <v>842</v>
      </c>
      <c r="C412" s="8" t="s">
        <v>123</v>
      </c>
      <c r="D412" s="8" t="s">
        <v>124</v>
      </c>
      <c r="E412" s="6">
        <v>43075</v>
      </c>
      <c r="F412" s="8" t="s">
        <v>261</v>
      </c>
      <c r="G412" s="8" t="s">
        <v>264</v>
      </c>
      <c r="H412" s="4">
        <v>100</v>
      </c>
      <c r="I412" s="8" t="s">
        <v>39</v>
      </c>
      <c r="J412" s="4">
        <v>1.5492000000000001</v>
      </c>
      <c r="K412" s="4">
        <v>154.92000000000002</v>
      </c>
      <c r="L412" s="8" t="s">
        <v>246</v>
      </c>
      <c r="M412" s="4">
        <v>132.62</v>
      </c>
      <c r="N412" s="8" t="s">
        <v>843</v>
      </c>
      <c r="O412" s="8" t="s">
        <v>844</v>
      </c>
      <c r="P412" s="8" t="s">
        <v>247</v>
      </c>
      <c r="Q412" s="4">
        <v>5637695640</v>
      </c>
    </row>
    <row r="413" spans="1:17" x14ac:dyDescent="0.25">
      <c r="A413" s="8" t="s">
        <v>17</v>
      </c>
      <c r="B413" s="8" t="s">
        <v>842</v>
      </c>
      <c r="C413" s="8" t="s">
        <v>123</v>
      </c>
      <c r="D413" s="8" t="s">
        <v>124</v>
      </c>
      <c r="E413" s="6">
        <v>43075</v>
      </c>
      <c r="F413" s="8" t="s">
        <v>261</v>
      </c>
      <c r="G413" s="8" t="s">
        <v>264</v>
      </c>
      <c r="H413" s="4">
        <v>100</v>
      </c>
      <c r="I413" s="8" t="s">
        <v>39</v>
      </c>
      <c r="J413" s="4">
        <v>1.5492000000000001</v>
      </c>
      <c r="K413" s="4">
        <v>154.92000000000002</v>
      </c>
      <c r="L413" s="8" t="s">
        <v>246</v>
      </c>
      <c r="M413" s="4">
        <v>132.62</v>
      </c>
      <c r="N413" s="8" t="s">
        <v>843</v>
      </c>
      <c r="O413" s="8" t="s">
        <v>844</v>
      </c>
      <c r="P413" s="8" t="s">
        <v>247</v>
      </c>
      <c r="Q413" s="4">
        <v>5637695641</v>
      </c>
    </row>
    <row r="414" spans="1:17" x14ac:dyDescent="0.25">
      <c r="A414" s="8" t="s">
        <v>17</v>
      </c>
      <c r="B414" s="8" t="s">
        <v>842</v>
      </c>
      <c r="C414" s="8" t="s">
        <v>123</v>
      </c>
      <c r="D414" s="8" t="s">
        <v>124</v>
      </c>
      <c r="E414" s="6">
        <v>43075</v>
      </c>
      <c r="F414" s="8" t="s">
        <v>261</v>
      </c>
      <c r="G414" s="8" t="s">
        <v>264</v>
      </c>
      <c r="H414" s="4">
        <v>100</v>
      </c>
      <c r="I414" s="8" t="s">
        <v>39</v>
      </c>
      <c r="J414" s="4">
        <v>1.5492000000000001</v>
      </c>
      <c r="K414" s="4">
        <v>154.92000000000002</v>
      </c>
      <c r="L414" s="8" t="s">
        <v>246</v>
      </c>
      <c r="M414" s="4">
        <v>132.62</v>
      </c>
      <c r="N414" s="8" t="s">
        <v>843</v>
      </c>
      <c r="O414" s="8" t="s">
        <v>844</v>
      </c>
      <c r="P414" s="8" t="s">
        <v>247</v>
      </c>
      <c r="Q414" s="4">
        <v>5637695642</v>
      </c>
    </row>
    <row r="415" spans="1:17" x14ac:dyDescent="0.25">
      <c r="A415" s="8" t="s">
        <v>17</v>
      </c>
      <c r="B415" s="8" t="s">
        <v>842</v>
      </c>
      <c r="C415" s="8" t="s">
        <v>123</v>
      </c>
      <c r="D415" s="8" t="s">
        <v>124</v>
      </c>
      <c r="E415" s="6">
        <v>43075</v>
      </c>
      <c r="F415" s="8" t="s">
        <v>261</v>
      </c>
      <c r="G415" s="8" t="s">
        <v>264</v>
      </c>
      <c r="H415" s="4">
        <v>100</v>
      </c>
      <c r="I415" s="8" t="s">
        <v>39</v>
      </c>
      <c r="J415" s="4">
        <v>1.5492000000000001</v>
      </c>
      <c r="K415" s="4">
        <v>154.92000000000002</v>
      </c>
      <c r="L415" s="8" t="s">
        <v>246</v>
      </c>
      <c r="M415" s="4">
        <v>132.62</v>
      </c>
      <c r="N415" s="8" t="s">
        <v>843</v>
      </c>
      <c r="O415" s="8" t="s">
        <v>844</v>
      </c>
      <c r="P415" s="8" t="s">
        <v>247</v>
      </c>
      <c r="Q415" s="4">
        <v>5637695643</v>
      </c>
    </row>
    <row r="416" spans="1:17" x14ac:dyDescent="0.25">
      <c r="A416" s="8" t="s">
        <v>17</v>
      </c>
      <c r="B416" s="8" t="s">
        <v>842</v>
      </c>
      <c r="C416" s="8" t="s">
        <v>123</v>
      </c>
      <c r="D416" s="8" t="s">
        <v>124</v>
      </c>
      <c r="E416" s="6">
        <v>43075</v>
      </c>
      <c r="F416" s="8" t="s">
        <v>261</v>
      </c>
      <c r="G416" s="8" t="s">
        <v>264</v>
      </c>
      <c r="H416" s="4">
        <v>100</v>
      </c>
      <c r="I416" s="8" t="s">
        <v>39</v>
      </c>
      <c r="J416" s="4">
        <v>1.5493000000000001</v>
      </c>
      <c r="K416" s="4">
        <v>154.93</v>
      </c>
      <c r="L416" s="8" t="s">
        <v>246</v>
      </c>
      <c r="M416" s="4">
        <v>132.64000000000001</v>
      </c>
      <c r="N416" s="8" t="s">
        <v>843</v>
      </c>
      <c r="O416" s="8" t="s">
        <v>844</v>
      </c>
      <c r="P416" s="8" t="s">
        <v>247</v>
      </c>
      <c r="Q416" s="4">
        <v>5637691524</v>
      </c>
    </row>
    <row r="417" spans="1:17" x14ac:dyDescent="0.25">
      <c r="A417" s="8" t="s">
        <v>607</v>
      </c>
      <c r="B417" s="8" t="s">
        <v>81</v>
      </c>
      <c r="C417" s="8" t="s">
        <v>123</v>
      </c>
      <c r="D417" s="8" t="s">
        <v>124</v>
      </c>
      <c r="E417" s="6">
        <v>43096</v>
      </c>
      <c r="F417" s="8" t="s">
        <v>261</v>
      </c>
      <c r="G417" s="8" t="s">
        <v>264</v>
      </c>
      <c r="H417" s="4">
        <v>-0.25</v>
      </c>
      <c r="I417" s="8" t="s">
        <v>39</v>
      </c>
      <c r="J417" s="4">
        <v>1.4709100000000002</v>
      </c>
      <c r="K417" s="4">
        <v>-0.37</v>
      </c>
      <c r="L417" s="8" t="s">
        <v>609</v>
      </c>
      <c r="M417" s="4">
        <v>-0.37</v>
      </c>
      <c r="N417" s="8" t="s">
        <v>610</v>
      </c>
      <c r="O417" s="8" t="s">
        <v>845</v>
      </c>
      <c r="P417" s="8" t="s">
        <v>247</v>
      </c>
      <c r="Q417" s="4">
        <v>0</v>
      </c>
    </row>
    <row r="418" spans="1:17" x14ac:dyDescent="0.25">
      <c r="A418" s="8" t="s">
        <v>252</v>
      </c>
      <c r="B418" s="8" t="s">
        <v>662</v>
      </c>
      <c r="C418" s="8" t="s">
        <v>76</v>
      </c>
      <c r="D418" s="8" t="s">
        <v>110</v>
      </c>
      <c r="E418" s="6">
        <v>43075</v>
      </c>
      <c r="F418" s="8" t="s">
        <v>261</v>
      </c>
      <c r="G418" s="8" t="s">
        <v>264</v>
      </c>
      <c r="H418" s="4">
        <v>-100</v>
      </c>
      <c r="I418" s="8" t="s">
        <v>39</v>
      </c>
      <c r="J418" s="4">
        <v>4.1694609999999996E-6</v>
      </c>
      <c r="K418" s="4">
        <v>0</v>
      </c>
      <c r="L418" s="8" t="s">
        <v>609</v>
      </c>
      <c r="M418" s="4">
        <v>0</v>
      </c>
      <c r="N418" s="8" t="s">
        <v>663</v>
      </c>
      <c r="O418" s="8" t="s">
        <v>846</v>
      </c>
      <c r="P418" s="8" t="s">
        <v>247</v>
      </c>
      <c r="Q418" s="4">
        <v>5637695426</v>
      </c>
    </row>
    <row r="419" spans="1:17" x14ac:dyDescent="0.25">
      <c r="A419" s="8" t="s">
        <v>252</v>
      </c>
      <c r="B419" s="8" t="s">
        <v>662</v>
      </c>
      <c r="C419" s="8" t="s">
        <v>76</v>
      </c>
      <c r="D419" s="8" t="s">
        <v>110</v>
      </c>
      <c r="E419" s="6">
        <v>43075</v>
      </c>
      <c r="F419" s="8" t="s">
        <v>261</v>
      </c>
      <c r="G419" s="8" t="s">
        <v>264</v>
      </c>
      <c r="H419" s="4">
        <v>-22</v>
      </c>
      <c r="I419" s="8" t="s">
        <v>39</v>
      </c>
      <c r="J419" s="4">
        <v>4.1694609999999996E-6</v>
      </c>
      <c r="K419" s="4">
        <v>0</v>
      </c>
      <c r="L419" s="8" t="s">
        <v>609</v>
      </c>
      <c r="M419" s="4">
        <v>0</v>
      </c>
      <c r="N419" s="8" t="s">
        <v>663</v>
      </c>
      <c r="O419" s="8" t="s">
        <v>846</v>
      </c>
      <c r="P419" s="8" t="s">
        <v>247</v>
      </c>
      <c r="Q419" s="4">
        <v>5637695429</v>
      </c>
    </row>
    <row r="420" spans="1:17" x14ac:dyDescent="0.25">
      <c r="A420" s="8" t="s">
        <v>252</v>
      </c>
      <c r="B420" s="8" t="s">
        <v>847</v>
      </c>
      <c r="C420" s="8" t="s">
        <v>76</v>
      </c>
      <c r="D420" s="8" t="s">
        <v>110</v>
      </c>
      <c r="E420" s="6">
        <v>43081</v>
      </c>
      <c r="F420" s="8" t="s">
        <v>261</v>
      </c>
      <c r="G420" s="8" t="s">
        <v>264</v>
      </c>
      <c r="H420" s="4">
        <v>-14.6</v>
      </c>
      <c r="I420" s="8" t="s">
        <v>39</v>
      </c>
      <c r="J420" s="4">
        <v>3.5708940000000002E-6</v>
      </c>
      <c r="K420" s="4">
        <v>0</v>
      </c>
      <c r="L420" s="8" t="s">
        <v>609</v>
      </c>
      <c r="M420" s="4">
        <v>0</v>
      </c>
      <c r="N420" s="8" t="s">
        <v>848</v>
      </c>
      <c r="O420" s="8" t="s">
        <v>849</v>
      </c>
      <c r="P420" s="8" t="s">
        <v>247</v>
      </c>
      <c r="Q420" s="4">
        <v>5637694230</v>
      </c>
    </row>
    <row r="421" spans="1:17" x14ac:dyDescent="0.25">
      <c r="A421" s="8" t="s">
        <v>607</v>
      </c>
      <c r="B421" s="8" t="s">
        <v>81</v>
      </c>
      <c r="C421" s="8" t="s">
        <v>61</v>
      </c>
      <c r="D421" s="8" t="s">
        <v>203</v>
      </c>
      <c r="E421" s="6">
        <v>43096</v>
      </c>
      <c r="F421" s="8" t="s">
        <v>261</v>
      </c>
      <c r="G421" s="8" t="s">
        <v>264</v>
      </c>
      <c r="H421" s="4">
        <v>-2.04</v>
      </c>
      <c r="I421" s="8" t="s">
        <v>39</v>
      </c>
      <c r="J421" s="4">
        <v>0.40299000000000001</v>
      </c>
      <c r="K421" s="4">
        <v>-0.82</v>
      </c>
      <c r="L421" s="8" t="s">
        <v>609</v>
      </c>
      <c r="M421" s="4">
        <v>-0.82</v>
      </c>
      <c r="N421" s="8" t="s">
        <v>610</v>
      </c>
      <c r="O421" s="8" t="s">
        <v>850</v>
      </c>
      <c r="P421" s="8" t="s">
        <v>247</v>
      </c>
      <c r="Q421" s="4">
        <v>0</v>
      </c>
    </row>
    <row r="422" spans="1:17" x14ac:dyDescent="0.25">
      <c r="A422" s="8" t="s">
        <v>252</v>
      </c>
      <c r="B422" s="8" t="s">
        <v>851</v>
      </c>
      <c r="C422" s="8" t="s">
        <v>24</v>
      </c>
      <c r="D422" s="8" t="s">
        <v>34</v>
      </c>
      <c r="E422" s="6">
        <v>43075</v>
      </c>
      <c r="F422" s="8" t="s">
        <v>261</v>
      </c>
      <c r="G422" s="8" t="s">
        <v>264</v>
      </c>
      <c r="H422" s="4">
        <v>-31.05</v>
      </c>
      <c r="I422" s="8" t="s">
        <v>39</v>
      </c>
      <c r="J422" s="4">
        <v>3.9463530865179997</v>
      </c>
      <c r="K422" s="4">
        <v>-122.53</v>
      </c>
      <c r="L422" s="8" t="s">
        <v>609</v>
      </c>
      <c r="M422" s="4">
        <v>-122.53</v>
      </c>
      <c r="N422" s="8" t="s">
        <v>852</v>
      </c>
      <c r="O422" s="8" t="s">
        <v>853</v>
      </c>
      <c r="P422" s="8" t="s">
        <v>247</v>
      </c>
      <c r="Q422" s="4">
        <v>5637694102</v>
      </c>
    </row>
    <row r="423" spans="1:17" x14ac:dyDescent="0.25">
      <c r="A423" s="8" t="s">
        <v>252</v>
      </c>
      <c r="B423" s="8" t="s">
        <v>855</v>
      </c>
      <c r="C423" s="8" t="s">
        <v>24</v>
      </c>
      <c r="D423" s="8" t="s">
        <v>34</v>
      </c>
      <c r="E423" s="6">
        <v>43083</v>
      </c>
      <c r="F423" s="8" t="s">
        <v>261</v>
      </c>
      <c r="G423" s="8" t="s">
        <v>264</v>
      </c>
      <c r="H423" s="4">
        <v>150</v>
      </c>
      <c r="I423" s="8" t="s">
        <v>39</v>
      </c>
      <c r="J423" s="4">
        <v>3.9463553115060002</v>
      </c>
      <c r="K423" s="4">
        <v>591.95000000000005</v>
      </c>
      <c r="L423" s="8" t="s">
        <v>609</v>
      </c>
      <c r="M423" s="4">
        <v>591.95000000000005</v>
      </c>
      <c r="N423" s="8" t="s">
        <v>856</v>
      </c>
      <c r="O423" s="8" t="s">
        <v>857</v>
      </c>
      <c r="P423" s="8" t="s">
        <v>247</v>
      </c>
      <c r="Q423" s="4">
        <v>5637697366</v>
      </c>
    </row>
    <row r="424" spans="1:17" x14ac:dyDescent="0.25">
      <c r="A424" s="8" t="s">
        <v>252</v>
      </c>
      <c r="B424" s="8" t="s">
        <v>733</v>
      </c>
      <c r="C424" s="8" t="s">
        <v>24</v>
      </c>
      <c r="D424" s="8" t="s">
        <v>34</v>
      </c>
      <c r="E424" s="6">
        <v>43083</v>
      </c>
      <c r="F424" s="8" t="s">
        <v>261</v>
      </c>
      <c r="G424" s="8" t="s">
        <v>264</v>
      </c>
      <c r="H424" s="4">
        <v>100</v>
      </c>
      <c r="I424" s="8" t="s">
        <v>39</v>
      </c>
      <c r="J424" s="4">
        <v>3.9463605711199996</v>
      </c>
      <c r="K424" s="4">
        <v>394.64</v>
      </c>
      <c r="L424" s="8" t="s">
        <v>609</v>
      </c>
      <c r="M424" s="4">
        <v>394.64</v>
      </c>
      <c r="N424" s="8" t="s">
        <v>734</v>
      </c>
      <c r="O424" s="8" t="s">
        <v>854</v>
      </c>
      <c r="P424" s="8" t="s">
        <v>247</v>
      </c>
      <c r="Q424" s="4">
        <v>5637697421</v>
      </c>
    </row>
    <row r="425" spans="1:17" x14ac:dyDescent="0.25">
      <c r="A425" s="8" t="s">
        <v>252</v>
      </c>
      <c r="B425" s="8" t="s">
        <v>858</v>
      </c>
      <c r="C425" s="8" t="s">
        <v>24</v>
      </c>
      <c r="D425" s="8" t="s">
        <v>34</v>
      </c>
      <c r="E425" s="6">
        <v>43084</v>
      </c>
      <c r="F425" s="8" t="s">
        <v>261</v>
      </c>
      <c r="G425" s="8" t="s">
        <v>264</v>
      </c>
      <c r="H425" s="4">
        <v>-150</v>
      </c>
      <c r="I425" s="8" t="s">
        <v>39</v>
      </c>
      <c r="J425" s="4">
        <v>3.9463611209900002</v>
      </c>
      <c r="K425" s="4">
        <v>-591.95000000000005</v>
      </c>
      <c r="L425" s="8" t="s">
        <v>609</v>
      </c>
      <c r="M425" s="4">
        <v>-591.95000000000005</v>
      </c>
      <c r="N425" s="8" t="s">
        <v>859</v>
      </c>
      <c r="O425" s="8" t="s">
        <v>860</v>
      </c>
      <c r="P425" s="8" t="s">
        <v>247</v>
      </c>
      <c r="Q425" s="4">
        <v>5637697401</v>
      </c>
    </row>
    <row r="426" spans="1:17" x14ac:dyDescent="0.25">
      <c r="A426" s="8" t="s">
        <v>252</v>
      </c>
      <c r="B426" s="8" t="s">
        <v>736</v>
      </c>
      <c r="C426" s="8" t="s">
        <v>24</v>
      </c>
      <c r="D426" s="8" t="s">
        <v>34</v>
      </c>
      <c r="E426" s="6">
        <v>43084</v>
      </c>
      <c r="F426" s="8" t="s">
        <v>261</v>
      </c>
      <c r="G426" s="8" t="s">
        <v>264</v>
      </c>
      <c r="H426" s="4">
        <v>-100</v>
      </c>
      <c r="I426" s="8" t="s">
        <v>39</v>
      </c>
      <c r="J426" s="4">
        <v>3.9463681174619998</v>
      </c>
      <c r="K426" s="4">
        <v>-394.64</v>
      </c>
      <c r="L426" s="8" t="s">
        <v>609</v>
      </c>
      <c r="M426" s="4">
        <v>-394.64</v>
      </c>
      <c r="N426" s="8" t="s">
        <v>737</v>
      </c>
      <c r="O426" s="8" t="s">
        <v>861</v>
      </c>
      <c r="P426" s="8" t="s">
        <v>247</v>
      </c>
      <c r="Q426" s="4">
        <v>5637697429</v>
      </c>
    </row>
    <row r="427" spans="1:17" x14ac:dyDescent="0.25">
      <c r="A427" s="8" t="s">
        <v>607</v>
      </c>
      <c r="B427" s="8" t="s">
        <v>81</v>
      </c>
      <c r="C427" s="8" t="s">
        <v>24</v>
      </c>
      <c r="D427" s="8" t="s">
        <v>34</v>
      </c>
      <c r="E427" s="6">
        <v>43096</v>
      </c>
      <c r="F427" s="8" t="s">
        <v>261</v>
      </c>
      <c r="G427" s="8" t="s">
        <v>264</v>
      </c>
      <c r="H427" s="4">
        <v>4.95</v>
      </c>
      <c r="I427" s="8" t="s">
        <v>39</v>
      </c>
      <c r="J427" s="4">
        <v>3.9463599999999999</v>
      </c>
      <c r="K427" s="4">
        <v>19.53</v>
      </c>
      <c r="L427" s="8" t="s">
        <v>609</v>
      </c>
      <c r="M427" s="4">
        <v>19.53</v>
      </c>
      <c r="N427" s="8" t="s">
        <v>610</v>
      </c>
      <c r="O427" s="8" t="s">
        <v>862</v>
      </c>
      <c r="P427" s="8" t="s">
        <v>247</v>
      </c>
      <c r="Q427" s="4">
        <v>0</v>
      </c>
    </row>
    <row r="428" spans="1:17" x14ac:dyDescent="0.25">
      <c r="A428" s="8" t="s">
        <v>252</v>
      </c>
      <c r="B428" s="8" t="s">
        <v>855</v>
      </c>
      <c r="C428" s="8" t="s">
        <v>77</v>
      </c>
      <c r="D428" s="8" t="s">
        <v>204</v>
      </c>
      <c r="E428" s="6">
        <v>43083</v>
      </c>
      <c r="F428" s="8" t="s">
        <v>261</v>
      </c>
      <c r="G428" s="8" t="s">
        <v>264</v>
      </c>
      <c r="H428" s="4">
        <v>60</v>
      </c>
      <c r="I428" s="8" t="s">
        <v>39</v>
      </c>
      <c r="J428" s="4">
        <v>3.4087941001360003</v>
      </c>
      <c r="K428" s="4">
        <v>204.53</v>
      </c>
      <c r="L428" s="8" t="s">
        <v>609</v>
      </c>
      <c r="M428" s="4">
        <v>204.53</v>
      </c>
      <c r="N428" s="8" t="s">
        <v>856</v>
      </c>
      <c r="O428" s="8" t="s">
        <v>863</v>
      </c>
      <c r="P428" s="8" t="s">
        <v>247</v>
      </c>
      <c r="Q428" s="4">
        <v>5637697365</v>
      </c>
    </row>
    <row r="429" spans="1:17" x14ac:dyDescent="0.25">
      <c r="A429" s="8" t="s">
        <v>252</v>
      </c>
      <c r="B429" s="8" t="s">
        <v>858</v>
      </c>
      <c r="C429" s="8" t="s">
        <v>77</v>
      </c>
      <c r="D429" s="8" t="s">
        <v>204</v>
      </c>
      <c r="E429" s="6">
        <v>43084</v>
      </c>
      <c r="F429" s="8" t="s">
        <v>261</v>
      </c>
      <c r="G429" s="8" t="s">
        <v>264</v>
      </c>
      <c r="H429" s="4">
        <v>-60</v>
      </c>
      <c r="I429" s="8" t="s">
        <v>39</v>
      </c>
      <c r="J429" s="4">
        <v>3.4088125776529998</v>
      </c>
      <c r="K429" s="4">
        <v>-204.53</v>
      </c>
      <c r="L429" s="8" t="s">
        <v>609</v>
      </c>
      <c r="M429" s="4">
        <v>-204.53</v>
      </c>
      <c r="N429" s="8" t="s">
        <v>859</v>
      </c>
      <c r="O429" s="8" t="s">
        <v>864</v>
      </c>
      <c r="P429" s="8" t="s">
        <v>247</v>
      </c>
      <c r="Q429" s="4">
        <v>5637697400</v>
      </c>
    </row>
    <row r="430" spans="1:17" x14ac:dyDescent="0.25">
      <c r="A430" s="8" t="s">
        <v>252</v>
      </c>
      <c r="B430" s="8" t="s">
        <v>666</v>
      </c>
      <c r="C430" s="8" t="s">
        <v>77</v>
      </c>
      <c r="D430" s="8" t="s">
        <v>204</v>
      </c>
      <c r="E430" s="6">
        <v>43089</v>
      </c>
      <c r="F430" s="8" t="s">
        <v>261</v>
      </c>
      <c r="G430" s="8" t="s">
        <v>264</v>
      </c>
      <c r="H430" s="4">
        <v>-90</v>
      </c>
      <c r="I430" s="8" t="s">
        <v>39</v>
      </c>
      <c r="J430" s="4">
        <v>3.4088111885080004</v>
      </c>
      <c r="K430" s="4">
        <v>-306.79000000000002</v>
      </c>
      <c r="L430" s="8" t="s">
        <v>609</v>
      </c>
      <c r="M430" s="4">
        <v>-306.79000000000002</v>
      </c>
      <c r="N430" s="8" t="s">
        <v>667</v>
      </c>
      <c r="O430" s="8" t="s">
        <v>865</v>
      </c>
      <c r="P430" s="8" t="s">
        <v>247</v>
      </c>
      <c r="Q430" s="4">
        <v>5637692491</v>
      </c>
    </row>
    <row r="431" spans="1:17" x14ac:dyDescent="0.25">
      <c r="A431" s="8" t="s">
        <v>607</v>
      </c>
      <c r="B431" s="8" t="s">
        <v>81</v>
      </c>
      <c r="C431" s="8" t="s">
        <v>77</v>
      </c>
      <c r="D431" s="8" t="s">
        <v>204</v>
      </c>
      <c r="E431" s="6">
        <v>43096</v>
      </c>
      <c r="F431" s="8" t="s">
        <v>261</v>
      </c>
      <c r="G431" s="8" t="s">
        <v>264</v>
      </c>
      <c r="H431" s="4">
        <v>181.72</v>
      </c>
      <c r="I431" s="8" t="s">
        <v>39</v>
      </c>
      <c r="J431" s="4">
        <v>3.4088099999999999</v>
      </c>
      <c r="K431" s="4">
        <v>619.45000000000005</v>
      </c>
      <c r="L431" s="8" t="s">
        <v>609</v>
      </c>
      <c r="M431" s="4">
        <v>619.45000000000005</v>
      </c>
      <c r="N431" s="8" t="s">
        <v>610</v>
      </c>
      <c r="O431" s="8" t="s">
        <v>866</v>
      </c>
      <c r="P431" s="8" t="s">
        <v>247</v>
      </c>
      <c r="Q431" s="4">
        <v>0</v>
      </c>
    </row>
    <row r="432" spans="1:17" x14ac:dyDescent="0.25">
      <c r="A432" s="8" t="s">
        <v>607</v>
      </c>
      <c r="B432" s="8" t="s">
        <v>81</v>
      </c>
      <c r="C432" s="8" t="s">
        <v>78</v>
      </c>
      <c r="D432" s="8" t="s">
        <v>163</v>
      </c>
      <c r="E432" s="6">
        <v>43096</v>
      </c>
      <c r="F432" s="8" t="s">
        <v>261</v>
      </c>
      <c r="G432" s="8" t="s">
        <v>264</v>
      </c>
      <c r="H432" s="4">
        <v>-44.23</v>
      </c>
      <c r="I432" s="8" t="s">
        <v>39</v>
      </c>
      <c r="J432" s="4">
        <v>2.6512199999999995</v>
      </c>
      <c r="K432" s="4">
        <v>-117.25999999999999</v>
      </c>
      <c r="L432" s="8" t="s">
        <v>609</v>
      </c>
      <c r="M432" s="4">
        <v>-117.25999999999999</v>
      </c>
      <c r="N432" s="8" t="s">
        <v>610</v>
      </c>
      <c r="O432" s="8" t="s">
        <v>867</v>
      </c>
      <c r="P432" s="8" t="s">
        <v>247</v>
      </c>
      <c r="Q432" s="4">
        <v>0</v>
      </c>
    </row>
    <row r="433" spans="1:17" x14ac:dyDescent="0.25">
      <c r="A433" s="8" t="s">
        <v>252</v>
      </c>
      <c r="B433" s="8" t="s">
        <v>868</v>
      </c>
      <c r="C433" s="8" t="s">
        <v>62</v>
      </c>
      <c r="D433" s="8" t="s">
        <v>94</v>
      </c>
      <c r="E433" s="6">
        <v>43083</v>
      </c>
      <c r="F433" s="8" t="s">
        <v>261</v>
      </c>
      <c r="G433" s="8" t="s">
        <v>264</v>
      </c>
      <c r="H433" s="4">
        <v>-24.6</v>
      </c>
      <c r="I433" s="8" t="s">
        <v>39</v>
      </c>
      <c r="J433" s="4">
        <v>3.8750270494200003</v>
      </c>
      <c r="K433" s="4">
        <v>-95.33</v>
      </c>
      <c r="L433" s="8" t="s">
        <v>609</v>
      </c>
      <c r="M433" s="4">
        <v>-95.33</v>
      </c>
      <c r="N433" s="8" t="s">
        <v>869</v>
      </c>
      <c r="O433" s="8" t="s">
        <v>870</v>
      </c>
      <c r="P433" s="8" t="s">
        <v>247</v>
      </c>
      <c r="Q433" s="4">
        <v>5637697207</v>
      </c>
    </row>
    <row r="434" spans="1:17" x14ac:dyDescent="0.25">
      <c r="A434" s="8" t="s">
        <v>607</v>
      </c>
      <c r="B434" s="8" t="s">
        <v>81</v>
      </c>
      <c r="C434" s="8" t="s">
        <v>62</v>
      </c>
      <c r="D434" s="8" t="s">
        <v>94</v>
      </c>
      <c r="E434" s="6">
        <v>43096</v>
      </c>
      <c r="F434" s="8" t="s">
        <v>261</v>
      </c>
      <c r="G434" s="8" t="s">
        <v>264</v>
      </c>
      <c r="H434" s="4">
        <v>-10.15</v>
      </c>
      <c r="I434" s="8" t="s">
        <v>39</v>
      </c>
      <c r="J434" s="4">
        <v>3.8750200000000001</v>
      </c>
      <c r="K434" s="4">
        <v>-39.33</v>
      </c>
      <c r="L434" s="8" t="s">
        <v>609</v>
      </c>
      <c r="M434" s="4">
        <v>-39.33</v>
      </c>
      <c r="N434" s="8" t="s">
        <v>610</v>
      </c>
      <c r="O434" s="8" t="s">
        <v>871</v>
      </c>
      <c r="P434" s="8" t="s">
        <v>247</v>
      </c>
      <c r="Q434" s="4">
        <v>0</v>
      </c>
    </row>
    <row r="435" spans="1:17" x14ac:dyDescent="0.25">
      <c r="A435" s="8" t="s">
        <v>17</v>
      </c>
      <c r="B435" s="8" t="s">
        <v>872</v>
      </c>
      <c r="C435" s="8" t="s">
        <v>63</v>
      </c>
      <c r="D435" s="8" t="s">
        <v>95</v>
      </c>
      <c r="E435" s="6">
        <v>43070</v>
      </c>
      <c r="F435" s="8" t="s">
        <v>261</v>
      </c>
      <c r="G435" s="8" t="s">
        <v>264</v>
      </c>
      <c r="H435" s="4">
        <v>109.95</v>
      </c>
      <c r="I435" s="8" t="s">
        <v>39</v>
      </c>
      <c r="J435" s="4">
        <v>3.4438381082309997</v>
      </c>
      <c r="K435" s="4">
        <v>378.65</v>
      </c>
      <c r="L435" s="8" t="s">
        <v>246</v>
      </c>
      <c r="M435" s="4">
        <v>323.94</v>
      </c>
      <c r="N435" s="8" t="s">
        <v>873</v>
      </c>
      <c r="O435" s="8" t="s">
        <v>874</v>
      </c>
      <c r="P435" s="8" t="s">
        <v>247</v>
      </c>
      <c r="Q435" s="4">
        <v>5637693815</v>
      </c>
    </row>
    <row r="436" spans="1:17" x14ac:dyDescent="0.25">
      <c r="A436" s="8" t="s">
        <v>17</v>
      </c>
      <c r="B436" s="8" t="s">
        <v>872</v>
      </c>
      <c r="C436" s="8" t="s">
        <v>63</v>
      </c>
      <c r="D436" s="8" t="s">
        <v>95</v>
      </c>
      <c r="E436" s="6">
        <v>43070</v>
      </c>
      <c r="F436" s="8" t="s">
        <v>261</v>
      </c>
      <c r="G436" s="8" t="s">
        <v>264</v>
      </c>
      <c r="H436" s="4">
        <v>109.95</v>
      </c>
      <c r="I436" s="8" t="s">
        <v>39</v>
      </c>
      <c r="J436" s="4">
        <v>3.4438381082309997</v>
      </c>
      <c r="K436" s="4">
        <v>378.65</v>
      </c>
      <c r="L436" s="8" t="s">
        <v>246</v>
      </c>
      <c r="M436" s="4">
        <v>323.94</v>
      </c>
      <c r="N436" s="8" t="s">
        <v>873</v>
      </c>
      <c r="O436" s="8" t="s">
        <v>874</v>
      </c>
      <c r="P436" s="8" t="s">
        <v>247</v>
      </c>
      <c r="Q436" s="4">
        <v>5637693816</v>
      </c>
    </row>
    <row r="437" spans="1:17" x14ac:dyDescent="0.25">
      <c r="A437" s="8" t="s">
        <v>17</v>
      </c>
      <c r="B437" s="8" t="s">
        <v>872</v>
      </c>
      <c r="C437" s="8" t="s">
        <v>63</v>
      </c>
      <c r="D437" s="8" t="s">
        <v>95</v>
      </c>
      <c r="E437" s="6">
        <v>43070</v>
      </c>
      <c r="F437" s="8" t="s">
        <v>261</v>
      </c>
      <c r="G437" s="8" t="s">
        <v>264</v>
      </c>
      <c r="H437" s="4">
        <v>109.95</v>
      </c>
      <c r="I437" s="8" t="s">
        <v>39</v>
      </c>
      <c r="J437" s="4">
        <v>3.4438381082309997</v>
      </c>
      <c r="K437" s="4">
        <v>378.65</v>
      </c>
      <c r="L437" s="8" t="s">
        <v>246</v>
      </c>
      <c r="M437" s="4">
        <v>323.94</v>
      </c>
      <c r="N437" s="8" t="s">
        <v>873</v>
      </c>
      <c r="O437" s="8" t="s">
        <v>874</v>
      </c>
      <c r="P437" s="8" t="s">
        <v>247</v>
      </c>
      <c r="Q437" s="4">
        <v>5637693817</v>
      </c>
    </row>
    <row r="438" spans="1:17" x14ac:dyDescent="0.25">
      <c r="A438" s="8" t="s">
        <v>17</v>
      </c>
      <c r="B438" s="8" t="s">
        <v>872</v>
      </c>
      <c r="C438" s="8" t="s">
        <v>63</v>
      </c>
      <c r="D438" s="8" t="s">
        <v>95</v>
      </c>
      <c r="E438" s="6">
        <v>43070</v>
      </c>
      <c r="F438" s="8" t="s">
        <v>261</v>
      </c>
      <c r="G438" s="8" t="s">
        <v>264</v>
      </c>
      <c r="H438" s="4">
        <v>109.95</v>
      </c>
      <c r="I438" s="8" t="s">
        <v>39</v>
      </c>
      <c r="J438" s="4">
        <v>3.4438381082309997</v>
      </c>
      <c r="K438" s="4">
        <v>378.65</v>
      </c>
      <c r="L438" s="8" t="s">
        <v>246</v>
      </c>
      <c r="M438" s="4">
        <v>323.94</v>
      </c>
      <c r="N438" s="8" t="s">
        <v>873</v>
      </c>
      <c r="O438" s="8" t="s">
        <v>874</v>
      </c>
      <c r="P438" s="8" t="s">
        <v>247</v>
      </c>
      <c r="Q438" s="4">
        <v>5637693818</v>
      </c>
    </row>
    <row r="439" spans="1:17" x14ac:dyDescent="0.25">
      <c r="A439" s="8" t="s">
        <v>17</v>
      </c>
      <c r="B439" s="8" t="s">
        <v>872</v>
      </c>
      <c r="C439" s="8" t="s">
        <v>63</v>
      </c>
      <c r="D439" s="8" t="s">
        <v>95</v>
      </c>
      <c r="E439" s="6">
        <v>43070</v>
      </c>
      <c r="F439" s="8" t="s">
        <v>261</v>
      </c>
      <c r="G439" s="8" t="s">
        <v>264</v>
      </c>
      <c r="H439" s="4">
        <v>109.95</v>
      </c>
      <c r="I439" s="8" t="s">
        <v>39</v>
      </c>
      <c r="J439" s="4">
        <v>3.4438381082309997</v>
      </c>
      <c r="K439" s="4">
        <v>378.65</v>
      </c>
      <c r="L439" s="8" t="s">
        <v>246</v>
      </c>
      <c r="M439" s="4">
        <v>323.94</v>
      </c>
      <c r="N439" s="8" t="s">
        <v>873</v>
      </c>
      <c r="O439" s="8" t="s">
        <v>874</v>
      </c>
      <c r="P439" s="8" t="s">
        <v>247</v>
      </c>
      <c r="Q439" s="4">
        <v>5637693819</v>
      </c>
    </row>
    <row r="440" spans="1:17" x14ac:dyDescent="0.25">
      <c r="A440" s="8" t="s">
        <v>17</v>
      </c>
      <c r="B440" s="8" t="s">
        <v>872</v>
      </c>
      <c r="C440" s="8" t="s">
        <v>63</v>
      </c>
      <c r="D440" s="8" t="s">
        <v>95</v>
      </c>
      <c r="E440" s="6">
        <v>43070</v>
      </c>
      <c r="F440" s="8" t="s">
        <v>261</v>
      </c>
      <c r="G440" s="8" t="s">
        <v>264</v>
      </c>
      <c r="H440" s="4">
        <v>109.95</v>
      </c>
      <c r="I440" s="8" t="s">
        <v>39</v>
      </c>
      <c r="J440" s="4">
        <v>3.4438381082309997</v>
      </c>
      <c r="K440" s="4">
        <v>378.65</v>
      </c>
      <c r="L440" s="8" t="s">
        <v>246</v>
      </c>
      <c r="M440" s="4">
        <v>323.94</v>
      </c>
      <c r="N440" s="8" t="s">
        <v>873</v>
      </c>
      <c r="O440" s="8" t="s">
        <v>874</v>
      </c>
      <c r="P440" s="8" t="s">
        <v>247</v>
      </c>
      <c r="Q440" s="4">
        <v>5637693820</v>
      </c>
    </row>
    <row r="441" spans="1:17" x14ac:dyDescent="0.25">
      <c r="A441" s="8" t="s">
        <v>17</v>
      </c>
      <c r="B441" s="8" t="s">
        <v>872</v>
      </c>
      <c r="C441" s="8" t="s">
        <v>63</v>
      </c>
      <c r="D441" s="8" t="s">
        <v>95</v>
      </c>
      <c r="E441" s="6">
        <v>43070</v>
      </c>
      <c r="F441" s="8" t="s">
        <v>261</v>
      </c>
      <c r="G441" s="8" t="s">
        <v>264</v>
      </c>
      <c r="H441" s="4">
        <v>109.95</v>
      </c>
      <c r="I441" s="8" t="s">
        <v>39</v>
      </c>
      <c r="J441" s="4">
        <v>3.4438381082309997</v>
      </c>
      <c r="K441" s="4">
        <v>378.65</v>
      </c>
      <c r="L441" s="8" t="s">
        <v>246</v>
      </c>
      <c r="M441" s="4">
        <v>323.94</v>
      </c>
      <c r="N441" s="8" t="s">
        <v>873</v>
      </c>
      <c r="O441" s="8" t="s">
        <v>874</v>
      </c>
      <c r="P441" s="8" t="s">
        <v>247</v>
      </c>
      <c r="Q441" s="4">
        <v>5637693821</v>
      </c>
    </row>
    <row r="442" spans="1:17" x14ac:dyDescent="0.25">
      <c r="A442" s="8" t="s">
        <v>17</v>
      </c>
      <c r="B442" s="8" t="s">
        <v>872</v>
      </c>
      <c r="C442" s="8" t="s">
        <v>63</v>
      </c>
      <c r="D442" s="8" t="s">
        <v>95</v>
      </c>
      <c r="E442" s="6">
        <v>43070</v>
      </c>
      <c r="F442" s="8" t="s">
        <v>261</v>
      </c>
      <c r="G442" s="8" t="s">
        <v>264</v>
      </c>
      <c r="H442" s="4">
        <v>109.95</v>
      </c>
      <c r="I442" s="8" t="s">
        <v>39</v>
      </c>
      <c r="J442" s="4">
        <v>3.4434743065030005</v>
      </c>
      <c r="K442" s="4">
        <v>378.61</v>
      </c>
      <c r="L442" s="8" t="s">
        <v>246</v>
      </c>
      <c r="M442" s="4">
        <v>323.93</v>
      </c>
      <c r="N442" s="8" t="s">
        <v>873</v>
      </c>
      <c r="O442" s="8" t="s">
        <v>874</v>
      </c>
      <c r="P442" s="8" t="s">
        <v>247</v>
      </c>
      <c r="Q442" s="4">
        <v>5637690880</v>
      </c>
    </row>
    <row r="443" spans="1:17" x14ac:dyDescent="0.25">
      <c r="A443" s="8" t="s">
        <v>17</v>
      </c>
      <c r="B443" s="8" t="s">
        <v>872</v>
      </c>
      <c r="C443" s="8" t="s">
        <v>63</v>
      </c>
      <c r="D443" s="8" t="s">
        <v>95</v>
      </c>
      <c r="E443" s="6">
        <v>43070</v>
      </c>
      <c r="F443" s="8" t="s">
        <v>261</v>
      </c>
      <c r="G443" s="8" t="s">
        <v>264</v>
      </c>
      <c r="H443" s="4">
        <v>106.95</v>
      </c>
      <c r="I443" s="8" t="s">
        <v>39</v>
      </c>
      <c r="J443" s="4">
        <v>3.443758765778</v>
      </c>
      <c r="K443" s="4">
        <v>368.31</v>
      </c>
      <c r="L443" s="8" t="s">
        <v>246</v>
      </c>
      <c r="M443" s="4">
        <v>315.10000000000002</v>
      </c>
      <c r="N443" s="8" t="s">
        <v>873</v>
      </c>
      <c r="O443" s="8" t="s">
        <v>875</v>
      </c>
      <c r="P443" s="8" t="s">
        <v>247</v>
      </c>
      <c r="Q443" s="4">
        <v>5637693822</v>
      </c>
    </row>
    <row r="444" spans="1:17" x14ac:dyDescent="0.25">
      <c r="A444" s="8" t="s">
        <v>17</v>
      </c>
      <c r="B444" s="8" t="s">
        <v>872</v>
      </c>
      <c r="C444" s="8" t="s">
        <v>63</v>
      </c>
      <c r="D444" s="8" t="s">
        <v>95</v>
      </c>
      <c r="E444" s="6">
        <v>43070</v>
      </c>
      <c r="F444" s="8" t="s">
        <v>261</v>
      </c>
      <c r="G444" s="8" t="s">
        <v>264</v>
      </c>
      <c r="H444" s="4">
        <v>106.95</v>
      </c>
      <c r="I444" s="8" t="s">
        <v>39</v>
      </c>
      <c r="J444" s="4">
        <v>3.443758765778</v>
      </c>
      <c r="K444" s="4">
        <v>368.31</v>
      </c>
      <c r="L444" s="8" t="s">
        <v>246</v>
      </c>
      <c r="M444" s="4">
        <v>315.10000000000002</v>
      </c>
      <c r="N444" s="8" t="s">
        <v>873</v>
      </c>
      <c r="O444" s="8" t="s">
        <v>875</v>
      </c>
      <c r="P444" s="8" t="s">
        <v>247</v>
      </c>
      <c r="Q444" s="4">
        <v>5637693823</v>
      </c>
    </row>
    <row r="445" spans="1:17" x14ac:dyDescent="0.25">
      <c r="A445" s="8" t="s">
        <v>17</v>
      </c>
      <c r="B445" s="8" t="s">
        <v>872</v>
      </c>
      <c r="C445" s="8" t="s">
        <v>63</v>
      </c>
      <c r="D445" s="8" t="s">
        <v>95</v>
      </c>
      <c r="E445" s="6">
        <v>43070</v>
      </c>
      <c r="F445" s="8" t="s">
        <v>261</v>
      </c>
      <c r="G445" s="8" t="s">
        <v>264</v>
      </c>
      <c r="H445" s="4">
        <v>71.3</v>
      </c>
      <c r="I445" s="8" t="s">
        <v>39</v>
      </c>
      <c r="J445" s="4">
        <v>3.443758765778</v>
      </c>
      <c r="K445" s="4">
        <v>245.54000000000002</v>
      </c>
      <c r="L445" s="8" t="s">
        <v>246</v>
      </c>
      <c r="M445" s="4">
        <v>210.07</v>
      </c>
      <c r="N445" s="8" t="s">
        <v>873</v>
      </c>
      <c r="O445" s="8" t="s">
        <v>875</v>
      </c>
      <c r="P445" s="8" t="s">
        <v>247</v>
      </c>
      <c r="Q445" s="4">
        <v>5637693824</v>
      </c>
    </row>
    <row r="446" spans="1:17" x14ac:dyDescent="0.25">
      <c r="A446" s="8" t="s">
        <v>17</v>
      </c>
      <c r="B446" s="8" t="s">
        <v>872</v>
      </c>
      <c r="C446" s="8" t="s">
        <v>63</v>
      </c>
      <c r="D446" s="8" t="s">
        <v>95</v>
      </c>
      <c r="E446" s="6">
        <v>43070</v>
      </c>
      <c r="F446" s="8" t="s">
        <v>261</v>
      </c>
      <c r="G446" s="8" t="s">
        <v>264</v>
      </c>
      <c r="H446" s="4">
        <v>106.95</v>
      </c>
      <c r="I446" s="8" t="s">
        <v>39</v>
      </c>
      <c r="J446" s="4">
        <v>3.443758765778</v>
      </c>
      <c r="K446" s="4">
        <v>368.31</v>
      </c>
      <c r="L446" s="8" t="s">
        <v>246</v>
      </c>
      <c r="M446" s="4">
        <v>315.10000000000002</v>
      </c>
      <c r="N446" s="8" t="s">
        <v>873</v>
      </c>
      <c r="O446" s="8" t="s">
        <v>875</v>
      </c>
      <c r="P446" s="8" t="s">
        <v>247</v>
      </c>
      <c r="Q446" s="4">
        <v>5637693825</v>
      </c>
    </row>
    <row r="447" spans="1:17" x14ac:dyDescent="0.25">
      <c r="A447" s="8" t="s">
        <v>17</v>
      </c>
      <c r="B447" s="8" t="s">
        <v>872</v>
      </c>
      <c r="C447" s="8" t="s">
        <v>63</v>
      </c>
      <c r="D447" s="8" t="s">
        <v>95</v>
      </c>
      <c r="E447" s="6">
        <v>43070</v>
      </c>
      <c r="F447" s="8" t="s">
        <v>261</v>
      </c>
      <c r="G447" s="8" t="s">
        <v>264</v>
      </c>
      <c r="H447" s="4">
        <v>106.95</v>
      </c>
      <c r="I447" s="8" t="s">
        <v>39</v>
      </c>
      <c r="J447" s="4">
        <v>3.443758765778</v>
      </c>
      <c r="K447" s="4">
        <v>368.31</v>
      </c>
      <c r="L447" s="8" t="s">
        <v>246</v>
      </c>
      <c r="M447" s="4">
        <v>315.10000000000002</v>
      </c>
      <c r="N447" s="8" t="s">
        <v>873</v>
      </c>
      <c r="O447" s="8" t="s">
        <v>875</v>
      </c>
      <c r="P447" s="8" t="s">
        <v>247</v>
      </c>
      <c r="Q447" s="4">
        <v>5637693826</v>
      </c>
    </row>
    <row r="448" spans="1:17" x14ac:dyDescent="0.25">
      <c r="A448" s="8" t="s">
        <v>17</v>
      </c>
      <c r="B448" s="8" t="s">
        <v>872</v>
      </c>
      <c r="C448" s="8" t="s">
        <v>63</v>
      </c>
      <c r="D448" s="8" t="s">
        <v>95</v>
      </c>
      <c r="E448" s="6">
        <v>43070</v>
      </c>
      <c r="F448" s="8" t="s">
        <v>261</v>
      </c>
      <c r="G448" s="8" t="s">
        <v>264</v>
      </c>
      <c r="H448" s="4">
        <v>106.95</v>
      </c>
      <c r="I448" s="8" t="s">
        <v>39</v>
      </c>
      <c r="J448" s="4">
        <v>3.443758765778</v>
      </c>
      <c r="K448" s="4">
        <v>368.31</v>
      </c>
      <c r="L448" s="8" t="s">
        <v>246</v>
      </c>
      <c r="M448" s="4">
        <v>315.10000000000002</v>
      </c>
      <c r="N448" s="8" t="s">
        <v>873</v>
      </c>
      <c r="O448" s="8" t="s">
        <v>875</v>
      </c>
      <c r="P448" s="8" t="s">
        <v>247</v>
      </c>
      <c r="Q448" s="4">
        <v>5637693827</v>
      </c>
    </row>
    <row r="449" spans="1:17" x14ac:dyDescent="0.25">
      <c r="A449" s="8" t="s">
        <v>17</v>
      </c>
      <c r="B449" s="8" t="s">
        <v>872</v>
      </c>
      <c r="C449" s="8" t="s">
        <v>63</v>
      </c>
      <c r="D449" s="8" t="s">
        <v>95</v>
      </c>
      <c r="E449" s="6">
        <v>43070</v>
      </c>
      <c r="F449" s="8" t="s">
        <v>261</v>
      </c>
      <c r="G449" s="8" t="s">
        <v>264</v>
      </c>
      <c r="H449" s="4">
        <v>106.95</v>
      </c>
      <c r="I449" s="8" t="s">
        <v>39</v>
      </c>
      <c r="J449" s="4">
        <v>3.444039270687</v>
      </c>
      <c r="K449" s="4">
        <v>368.34000000000003</v>
      </c>
      <c r="L449" s="8" t="s">
        <v>246</v>
      </c>
      <c r="M449" s="4">
        <v>315.10000000000002</v>
      </c>
      <c r="N449" s="8" t="s">
        <v>873</v>
      </c>
      <c r="O449" s="8" t="s">
        <v>875</v>
      </c>
      <c r="P449" s="8" t="s">
        <v>247</v>
      </c>
      <c r="Q449" s="4">
        <v>5637690882</v>
      </c>
    </row>
    <row r="450" spans="1:17" x14ac:dyDescent="0.25">
      <c r="A450" s="8" t="s">
        <v>252</v>
      </c>
      <c r="B450" s="8" t="s">
        <v>876</v>
      </c>
      <c r="C450" s="8" t="s">
        <v>63</v>
      </c>
      <c r="D450" s="8" t="s">
        <v>95</v>
      </c>
      <c r="E450" s="6">
        <v>43076</v>
      </c>
      <c r="F450" s="8" t="s">
        <v>261</v>
      </c>
      <c r="G450" s="8" t="s">
        <v>264</v>
      </c>
      <c r="H450" s="4">
        <v>-9</v>
      </c>
      <c r="I450" s="8" t="s">
        <v>39</v>
      </c>
      <c r="J450" s="4">
        <v>5.0294034144699999</v>
      </c>
      <c r="K450" s="4">
        <v>-45.26</v>
      </c>
      <c r="L450" s="8" t="s">
        <v>609</v>
      </c>
      <c r="M450" s="4">
        <v>-45.26</v>
      </c>
      <c r="N450" s="8" t="s">
        <v>877</v>
      </c>
      <c r="O450" s="8" t="s">
        <v>878</v>
      </c>
      <c r="P450" s="8" t="s">
        <v>247</v>
      </c>
      <c r="Q450" s="4">
        <v>5637696068</v>
      </c>
    </row>
    <row r="451" spans="1:17" x14ac:dyDescent="0.25">
      <c r="A451" s="8" t="s">
        <v>252</v>
      </c>
      <c r="B451" s="8" t="s">
        <v>879</v>
      </c>
      <c r="C451" s="8" t="s">
        <v>63</v>
      </c>
      <c r="D451" s="8" t="s">
        <v>95</v>
      </c>
      <c r="E451" s="6">
        <v>43080</v>
      </c>
      <c r="F451" s="8" t="s">
        <v>261</v>
      </c>
      <c r="G451" s="8" t="s">
        <v>264</v>
      </c>
      <c r="H451" s="4">
        <v>-4</v>
      </c>
      <c r="I451" s="8" t="s">
        <v>39</v>
      </c>
      <c r="J451" s="4">
        <v>5.0294121657320003</v>
      </c>
      <c r="K451" s="4">
        <v>-20.12</v>
      </c>
      <c r="L451" s="8" t="s">
        <v>609</v>
      </c>
      <c r="M451" s="4">
        <v>-20.12</v>
      </c>
      <c r="N451" s="8" t="s">
        <v>880</v>
      </c>
      <c r="O451" s="8" t="s">
        <v>881</v>
      </c>
      <c r="P451" s="8" t="s">
        <v>247</v>
      </c>
      <c r="Q451" s="4">
        <v>5637696103</v>
      </c>
    </row>
    <row r="452" spans="1:17" x14ac:dyDescent="0.25">
      <c r="A452" s="8" t="s">
        <v>607</v>
      </c>
      <c r="B452" s="8" t="s">
        <v>81</v>
      </c>
      <c r="C452" s="8" t="s">
        <v>63</v>
      </c>
      <c r="D452" s="8" t="s">
        <v>95</v>
      </c>
      <c r="E452" s="6">
        <v>43096</v>
      </c>
      <c r="F452" s="8" t="s">
        <v>261</v>
      </c>
      <c r="G452" s="8" t="s">
        <v>264</v>
      </c>
      <c r="H452" s="4">
        <v>-1.8699999999999999</v>
      </c>
      <c r="I452" s="8" t="s">
        <v>39</v>
      </c>
      <c r="J452" s="4">
        <v>3.8369900000000001</v>
      </c>
      <c r="K452" s="4">
        <v>-7.18</v>
      </c>
      <c r="L452" s="8" t="s">
        <v>609</v>
      </c>
      <c r="M452" s="4">
        <v>-7.18</v>
      </c>
      <c r="N452" s="8" t="s">
        <v>610</v>
      </c>
      <c r="O452" s="8" t="s">
        <v>882</v>
      </c>
      <c r="P452" s="8" t="s">
        <v>247</v>
      </c>
      <c r="Q452" s="4">
        <v>0</v>
      </c>
    </row>
    <row r="453" spans="1:17" x14ac:dyDescent="0.25">
      <c r="A453" s="8" t="s">
        <v>252</v>
      </c>
      <c r="B453" s="8" t="s">
        <v>885</v>
      </c>
      <c r="C453" s="8" t="s">
        <v>23</v>
      </c>
      <c r="D453" s="8" t="s">
        <v>883</v>
      </c>
      <c r="E453" s="6">
        <v>43075</v>
      </c>
      <c r="F453" s="8" t="s">
        <v>261</v>
      </c>
      <c r="G453" s="8" t="s">
        <v>264</v>
      </c>
      <c r="H453" s="4">
        <v>-2</v>
      </c>
      <c r="I453" s="8" t="s">
        <v>37</v>
      </c>
      <c r="J453" s="4">
        <v>2.1317573453910001</v>
      </c>
      <c r="K453" s="4">
        <v>-4.26</v>
      </c>
      <c r="L453" s="8" t="s">
        <v>609</v>
      </c>
      <c r="M453" s="4">
        <v>-4.26</v>
      </c>
      <c r="N453" s="8" t="s">
        <v>886</v>
      </c>
      <c r="O453" s="8" t="s">
        <v>887</v>
      </c>
      <c r="P453" s="8" t="s">
        <v>247</v>
      </c>
      <c r="Q453" s="4">
        <v>5637691465</v>
      </c>
    </row>
    <row r="454" spans="1:17" x14ac:dyDescent="0.25">
      <c r="A454" s="8" t="s">
        <v>252</v>
      </c>
      <c r="B454" s="8" t="s">
        <v>851</v>
      </c>
      <c r="C454" s="8" t="s">
        <v>23</v>
      </c>
      <c r="D454" s="8" t="s">
        <v>883</v>
      </c>
      <c r="E454" s="6">
        <v>43075</v>
      </c>
      <c r="F454" s="8" t="s">
        <v>261</v>
      </c>
      <c r="G454" s="8" t="s">
        <v>264</v>
      </c>
      <c r="H454" s="4">
        <v>-2</v>
      </c>
      <c r="I454" s="8" t="s">
        <v>37</v>
      </c>
      <c r="J454" s="4">
        <v>2.131750599344</v>
      </c>
      <c r="K454" s="4">
        <v>-4.26</v>
      </c>
      <c r="L454" s="8" t="s">
        <v>609</v>
      </c>
      <c r="M454" s="4">
        <v>-4.26</v>
      </c>
      <c r="N454" s="8" t="s">
        <v>852</v>
      </c>
      <c r="O454" s="8" t="s">
        <v>884</v>
      </c>
      <c r="P454" s="8" t="s">
        <v>247</v>
      </c>
      <c r="Q454" s="4">
        <v>5637694103</v>
      </c>
    </row>
    <row r="455" spans="1:17" x14ac:dyDescent="0.25">
      <c r="A455" s="8" t="s">
        <v>252</v>
      </c>
      <c r="B455" s="8" t="s">
        <v>876</v>
      </c>
      <c r="C455" s="8" t="s">
        <v>23</v>
      </c>
      <c r="D455" s="8" t="s">
        <v>883</v>
      </c>
      <c r="E455" s="6">
        <v>43076</v>
      </c>
      <c r="F455" s="8" t="s">
        <v>261</v>
      </c>
      <c r="G455" s="8" t="s">
        <v>264</v>
      </c>
      <c r="H455" s="4">
        <v>-2</v>
      </c>
      <c r="I455" s="8" t="s">
        <v>37</v>
      </c>
      <c r="J455" s="4">
        <v>2.1317641436330002</v>
      </c>
      <c r="K455" s="4">
        <v>-4.26</v>
      </c>
      <c r="L455" s="8" t="s">
        <v>609</v>
      </c>
      <c r="M455" s="4">
        <v>-4.26</v>
      </c>
      <c r="N455" s="8" t="s">
        <v>877</v>
      </c>
      <c r="O455" s="8" t="s">
        <v>888</v>
      </c>
      <c r="P455" s="8" t="s">
        <v>247</v>
      </c>
      <c r="Q455" s="4">
        <v>5637695432</v>
      </c>
    </row>
    <row r="456" spans="1:17" x14ac:dyDescent="0.25">
      <c r="A456" s="8" t="s">
        <v>252</v>
      </c>
      <c r="B456" s="8" t="s">
        <v>776</v>
      </c>
      <c r="C456" s="8" t="s">
        <v>23</v>
      </c>
      <c r="D456" s="8" t="s">
        <v>883</v>
      </c>
      <c r="E456" s="6">
        <v>43080</v>
      </c>
      <c r="F456" s="8" t="s">
        <v>261</v>
      </c>
      <c r="G456" s="8" t="s">
        <v>264</v>
      </c>
      <c r="H456" s="4">
        <v>-11</v>
      </c>
      <c r="I456" s="8" t="s">
        <v>37</v>
      </c>
      <c r="J456" s="4">
        <v>2.1317722244759998</v>
      </c>
      <c r="K456" s="4">
        <v>-23.45</v>
      </c>
      <c r="L456" s="8" t="s">
        <v>609</v>
      </c>
      <c r="M456" s="4">
        <v>-23.45</v>
      </c>
      <c r="N456" s="8" t="s">
        <v>777</v>
      </c>
      <c r="O456" s="8" t="s">
        <v>893</v>
      </c>
      <c r="P456" s="8" t="s">
        <v>247</v>
      </c>
      <c r="Q456" s="4">
        <v>5637695348</v>
      </c>
    </row>
    <row r="457" spans="1:17" x14ac:dyDescent="0.25">
      <c r="A457" s="8" t="s">
        <v>252</v>
      </c>
      <c r="B457" s="8" t="s">
        <v>879</v>
      </c>
      <c r="C457" s="8" t="s">
        <v>23</v>
      </c>
      <c r="D457" s="8" t="s">
        <v>883</v>
      </c>
      <c r="E457" s="6">
        <v>43080</v>
      </c>
      <c r="F457" s="8" t="s">
        <v>261</v>
      </c>
      <c r="G457" s="8" t="s">
        <v>264</v>
      </c>
      <c r="H457" s="4">
        <v>-1</v>
      </c>
      <c r="I457" s="8" t="s">
        <v>37</v>
      </c>
      <c r="J457" s="4">
        <v>2.1317618403480001</v>
      </c>
      <c r="K457" s="4">
        <v>-2.13</v>
      </c>
      <c r="L457" s="8" t="s">
        <v>609</v>
      </c>
      <c r="M457" s="4">
        <v>-2.13</v>
      </c>
      <c r="N457" s="8" t="s">
        <v>880</v>
      </c>
      <c r="O457" s="8" t="s">
        <v>891</v>
      </c>
      <c r="P457" s="8" t="s">
        <v>247</v>
      </c>
      <c r="Q457" s="4">
        <v>5637696102</v>
      </c>
    </row>
    <row r="458" spans="1:17" x14ac:dyDescent="0.25">
      <c r="A458" s="8" t="s">
        <v>252</v>
      </c>
      <c r="B458" s="8" t="s">
        <v>785</v>
      </c>
      <c r="C458" s="8" t="s">
        <v>23</v>
      </c>
      <c r="D458" s="8" t="s">
        <v>883</v>
      </c>
      <c r="E458" s="6">
        <v>43080</v>
      </c>
      <c r="F458" s="8" t="s">
        <v>261</v>
      </c>
      <c r="G458" s="8" t="s">
        <v>264</v>
      </c>
      <c r="H458" s="4">
        <v>-3</v>
      </c>
      <c r="I458" s="8" t="s">
        <v>37</v>
      </c>
      <c r="J458" s="4">
        <v>2.1317709946760002</v>
      </c>
      <c r="K458" s="4">
        <v>-6.4</v>
      </c>
      <c r="L458" s="8" t="s">
        <v>609</v>
      </c>
      <c r="M458" s="4">
        <v>-6.4</v>
      </c>
      <c r="N458" s="8" t="s">
        <v>786</v>
      </c>
      <c r="O458" s="8" t="s">
        <v>892</v>
      </c>
      <c r="P458" s="8" t="s">
        <v>247</v>
      </c>
      <c r="Q458" s="4">
        <v>5637696124</v>
      </c>
    </row>
    <row r="459" spans="1:17" x14ac:dyDescent="0.25">
      <c r="A459" s="8" t="s">
        <v>252</v>
      </c>
      <c r="B459" s="8" t="s">
        <v>776</v>
      </c>
      <c r="C459" s="8" t="s">
        <v>23</v>
      </c>
      <c r="D459" s="8" t="s">
        <v>883</v>
      </c>
      <c r="E459" s="6">
        <v>43080</v>
      </c>
      <c r="F459" s="8" t="s">
        <v>261</v>
      </c>
      <c r="G459" s="8" t="s">
        <v>264</v>
      </c>
      <c r="H459" s="4">
        <v>-3</v>
      </c>
      <c r="I459" s="8" t="s">
        <v>37</v>
      </c>
      <c r="J459" s="4">
        <v>2.1317722244759998</v>
      </c>
      <c r="K459" s="4">
        <v>-6.4</v>
      </c>
      <c r="L459" s="8" t="s">
        <v>609</v>
      </c>
      <c r="M459" s="4">
        <v>-6.4</v>
      </c>
      <c r="N459" s="8" t="s">
        <v>777</v>
      </c>
      <c r="O459" s="8" t="s">
        <v>889</v>
      </c>
      <c r="P459" s="8" t="s">
        <v>247</v>
      </c>
      <c r="Q459" s="4">
        <v>5637695521</v>
      </c>
    </row>
    <row r="460" spans="1:17" x14ac:dyDescent="0.25">
      <c r="A460" s="8" t="s">
        <v>252</v>
      </c>
      <c r="B460" s="8" t="s">
        <v>772</v>
      </c>
      <c r="C460" s="8" t="s">
        <v>23</v>
      </c>
      <c r="D460" s="8" t="s">
        <v>883</v>
      </c>
      <c r="E460" s="6">
        <v>43080</v>
      </c>
      <c r="F460" s="8" t="s">
        <v>261</v>
      </c>
      <c r="G460" s="8" t="s">
        <v>264</v>
      </c>
      <c r="H460" s="4">
        <v>-2</v>
      </c>
      <c r="I460" s="8" t="s">
        <v>37</v>
      </c>
      <c r="J460" s="4">
        <v>2.1317652881760001</v>
      </c>
      <c r="K460" s="4">
        <v>-4.26</v>
      </c>
      <c r="L460" s="8" t="s">
        <v>609</v>
      </c>
      <c r="M460" s="4">
        <v>-4.26</v>
      </c>
      <c r="N460" s="8" t="s">
        <v>773</v>
      </c>
      <c r="O460" s="8" t="s">
        <v>890</v>
      </c>
      <c r="P460" s="8" t="s">
        <v>247</v>
      </c>
      <c r="Q460" s="4">
        <v>5637695525</v>
      </c>
    </row>
    <row r="461" spans="1:17" x14ac:dyDescent="0.25">
      <c r="A461" s="8" t="s">
        <v>252</v>
      </c>
      <c r="B461" s="8" t="s">
        <v>794</v>
      </c>
      <c r="C461" s="8" t="s">
        <v>23</v>
      </c>
      <c r="D461" s="8" t="s">
        <v>883</v>
      </c>
      <c r="E461" s="6">
        <v>43081</v>
      </c>
      <c r="F461" s="8" t="s">
        <v>261</v>
      </c>
      <c r="G461" s="8" t="s">
        <v>264</v>
      </c>
      <c r="H461" s="4">
        <v>-1</v>
      </c>
      <c r="I461" s="8" t="s">
        <v>37</v>
      </c>
      <c r="J461" s="4">
        <v>2.1317737906550001</v>
      </c>
      <c r="K461" s="4">
        <v>-2.13</v>
      </c>
      <c r="L461" s="8" t="s">
        <v>609</v>
      </c>
      <c r="M461" s="4">
        <v>-2.13</v>
      </c>
      <c r="N461" s="8" t="s">
        <v>795</v>
      </c>
      <c r="O461" s="8" t="s">
        <v>895</v>
      </c>
      <c r="P461" s="8" t="s">
        <v>247</v>
      </c>
      <c r="Q461" s="4">
        <v>5637696650</v>
      </c>
    </row>
    <row r="462" spans="1:17" x14ac:dyDescent="0.25">
      <c r="A462" s="8" t="s">
        <v>252</v>
      </c>
      <c r="B462" s="8" t="s">
        <v>791</v>
      </c>
      <c r="C462" s="8" t="s">
        <v>23</v>
      </c>
      <c r="D462" s="8" t="s">
        <v>883</v>
      </c>
      <c r="E462" s="6">
        <v>43081</v>
      </c>
      <c r="F462" s="8" t="s">
        <v>261</v>
      </c>
      <c r="G462" s="8" t="s">
        <v>264</v>
      </c>
      <c r="H462" s="4">
        <v>-6</v>
      </c>
      <c r="I462" s="8" t="s">
        <v>37</v>
      </c>
      <c r="J462" s="4">
        <v>2.1317688889619997</v>
      </c>
      <c r="K462" s="4">
        <v>-12.79</v>
      </c>
      <c r="L462" s="8" t="s">
        <v>609</v>
      </c>
      <c r="M462" s="4">
        <v>-12.79</v>
      </c>
      <c r="N462" s="8" t="s">
        <v>792</v>
      </c>
      <c r="O462" s="8" t="s">
        <v>894</v>
      </c>
      <c r="P462" s="8" t="s">
        <v>247</v>
      </c>
      <c r="Q462" s="4">
        <v>5637696626</v>
      </c>
    </row>
    <row r="463" spans="1:17" x14ac:dyDescent="0.25">
      <c r="A463" s="8" t="s">
        <v>252</v>
      </c>
      <c r="B463" s="8" t="s">
        <v>847</v>
      </c>
      <c r="C463" s="8" t="s">
        <v>23</v>
      </c>
      <c r="D463" s="8" t="s">
        <v>883</v>
      </c>
      <c r="E463" s="6">
        <v>43081</v>
      </c>
      <c r="F463" s="8" t="s">
        <v>261</v>
      </c>
      <c r="G463" s="8" t="s">
        <v>264</v>
      </c>
      <c r="H463" s="4">
        <v>-2</v>
      </c>
      <c r="I463" s="8" t="s">
        <v>37</v>
      </c>
      <c r="J463" s="4">
        <v>2.1317617419359998</v>
      </c>
      <c r="K463" s="4">
        <v>-4.26</v>
      </c>
      <c r="L463" s="8" t="s">
        <v>609</v>
      </c>
      <c r="M463" s="4">
        <v>-4.26</v>
      </c>
      <c r="N463" s="8" t="s">
        <v>848</v>
      </c>
      <c r="O463" s="8" t="s">
        <v>896</v>
      </c>
      <c r="P463" s="8" t="s">
        <v>247</v>
      </c>
      <c r="Q463" s="4">
        <v>5637694236</v>
      </c>
    </row>
    <row r="464" spans="1:17" x14ac:dyDescent="0.25">
      <c r="A464" s="8" t="s">
        <v>252</v>
      </c>
      <c r="B464" s="8" t="s">
        <v>749</v>
      </c>
      <c r="C464" s="8" t="s">
        <v>23</v>
      </c>
      <c r="D464" s="8" t="s">
        <v>883</v>
      </c>
      <c r="E464" s="6">
        <v>43081</v>
      </c>
      <c r="F464" s="8" t="s">
        <v>261</v>
      </c>
      <c r="G464" s="8" t="s">
        <v>264</v>
      </c>
      <c r="H464" s="4">
        <v>-1</v>
      </c>
      <c r="I464" s="8" t="s">
        <v>37</v>
      </c>
      <c r="J464" s="4">
        <v>2.1317701483739997</v>
      </c>
      <c r="K464" s="4">
        <v>-2.13</v>
      </c>
      <c r="L464" s="8" t="s">
        <v>609</v>
      </c>
      <c r="M464" s="4">
        <v>-2.13</v>
      </c>
      <c r="N464" s="8" t="s">
        <v>750</v>
      </c>
      <c r="O464" s="8" t="s">
        <v>897</v>
      </c>
      <c r="P464" s="8" t="s">
        <v>247</v>
      </c>
      <c r="Q464" s="4">
        <v>5637696695</v>
      </c>
    </row>
    <row r="465" spans="1:17" x14ac:dyDescent="0.25">
      <c r="A465" s="8" t="s">
        <v>252</v>
      </c>
      <c r="B465" s="8" t="s">
        <v>868</v>
      </c>
      <c r="C465" s="8" t="s">
        <v>23</v>
      </c>
      <c r="D465" s="8" t="s">
        <v>883</v>
      </c>
      <c r="E465" s="6">
        <v>43083</v>
      </c>
      <c r="F465" s="8" t="s">
        <v>261</v>
      </c>
      <c r="G465" s="8" t="s">
        <v>264</v>
      </c>
      <c r="H465" s="4">
        <v>-1</v>
      </c>
      <c r="I465" s="8" t="s">
        <v>37</v>
      </c>
      <c r="J465" s="4">
        <v>2.1317774479549998</v>
      </c>
      <c r="K465" s="4">
        <v>-2.13</v>
      </c>
      <c r="L465" s="8" t="s">
        <v>609</v>
      </c>
      <c r="M465" s="4">
        <v>-2.13</v>
      </c>
      <c r="N465" s="8" t="s">
        <v>869</v>
      </c>
      <c r="O465" s="8" t="s">
        <v>899</v>
      </c>
      <c r="P465" s="8" t="s">
        <v>247</v>
      </c>
      <c r="Q465" s="4">
        <v>5637697209</v>
      </c>
    </row>
    <row r="466" spans="1:17" x14ac:dyDescent="0.25">
      <c r="A466" s="8" t="s">
        <v>252</v>
      </c>
      <c r="B466" s="8" t="s">
        <v>800</v>
      </c>
      <c r="C466" s="8" t="s">
        <v>23</v>
      </c>
      <c r="D466" s="8" t="s">
        <v>883</v>
      </c>
      <c r="E466" s="6">
        <v>43083</v>
      </c>
      <c r="F466" s="8" t="s">
        <v>261</v>
      </c>
      <c r="G466" s="8" t="s">
        <v>264</v>
      </c>
      <c r="H466" s="4">
        <v>-1</v>
      </c>
      <c r="I466" s="8" t="s">
        <v>37</v>
      </c>
      <c r="J466" s="4">
        <v>2.1317811203680002</v>
      </c>
      <c r="K466" s="4">
        <v>-2.13</v>
      </c>
      <c r="L466" s="8" t="s">
        <v>609</v>
      </c>
      <c r="M466" s="4">
        <v>-2.13</v>
      </c>
      <c r="N466" s="8" t="s">
        <v>801</v>
      </c>
      <c r="O466" s="8" t="s">
        <v>898</v>
      </c>
      <c r="P466" s="8" t="s">
        <v>247</v>
      </c>
      <c r="Q466" s="4">
        <v>5637697122</v>
      </c>
    </row>
    <row r="467" spans="1:17" x14ac:dyDescent="0.25">
      <c r="A467" s="8" t="s">
        <v>252</v>
      </c>
      <c r="B467" s="8" t="s">
        <v>811</v>
      </c>
      <c r="C467" s="8" t="s">
        <v>23</v>
      </c>
      <c r="D467" s="8" t="s">
        <v>883</v>
      </c>
      <c r="E467" s="6">
        <v>43087</v>
      </c>
      <c r="F467" s="8" t="s">
        <v>261</v>
      </c>
      <c r="G467" s="8" t="s">
        <v>264</v>
      </c>
      <c r="H467" s="4">
        <v>-1</v>
      </c>
      <c r="I467" s="8" t="s">
        <v>37</v>
      </c>
      <c r="J467" s="4">
        <v>2.1317848079880002</v>
      </c>
      <c r="K467" s="4">
        <v>-2.13</v>
      </c>
      <c r="L467" s="8" t="s">
        <v>609</v>
      </c>
      <c r="M467" s="4">
        <v>-2.13</v>
      </c>
      <c r="N467" s="8" t="s">
        <v>812</v>
      </c>
      <c r="O467" s="8" t="s">
        <v>900</v>
      </c>
      <c r="P467" s="8" t="s">
        <v>247</v>
      </c>
      <c r="Q467" s="4">
        <v>5637698018</v>
      </c>
    </row>
    <row r="468" spans="1:17" x14ac:dyDescent="0.25">
      <c r="A468" s="8" t="s">
        <v>252</v>
      </c>
      <c r="B468" s="8" t="s">
        <v>814</v>
      </c>
      <c r="C468" s="8" t="s">
        <v>23</v>
      </c>
      <c r="D468" s="8" t="s">
        <v>883</v>
      </c>
      <c r="E468" s="6">
        <v>43088</v>
      </c>
      <c r="F468" s="8" t="s">
        <v>261</v>
      </c>
      <c r="G468" s="8" t="s">
        <v>264</v>
      </c>
      <c r="H468" s="4">
        <v>-1</v>
      </c>
      <c r="I468" s="8" t="s">
        <v>37</v>
      </c>
      <c r="J468" s="4">
        <v>2.131792229227</v>
      </c>
      <c r="K468" s="4">
        <v>-2.13</v>
      </c>
      <c r="L468" s="8" t="s">
        <v>609</v>
      </c>
      <c r="M468" s="4">
        <v>-2.13</v>
      </c>
      <c r="N468" s="8" t="s">
        <v>815</v>
      </c>
      <c r="O468" s="8" t="s">
        <v>902</v>
      </c>
      <c r="P468" s="8" t="s">
        <v>247</v>
      </c>
      <c r="Q468" s="4">
        <v>5637698066</v>
      </c>
    </row>
    <row r="469" spans="1:17" x14ac:dyDescent="0.25">
      <c r="A469" s="8" t="s">
        <v>252</v>
      </c>
      <c r="B469" s="8" t="s">
        <v>754</v>
      </c>
      <c r="C469" s="8" t="s">
        <v>23</v>
      </c>
      <c r="D469" s="8" t="s">
        <v>883</v>
      </c>
      <c r="E469" s="6">
        <v>43088</v>
      </c>
      <c r="F469" s="8" t="s">
        <v>261</v>
      </c>
      <c r="G469" s="8" t="s">
        <v>264</v>
      </c>
      <c r="H469" s="4">
        <v>-1</v>
      </c>
      <c r="I469" s="8" t="s">
        <v>37</v>
      </c>
      <c r="J469" s="4">
        <v>2.1317885109090002</v>
      </c>
      <c r="K469" s="4">
        <v>-2.13</v>
      </c>
      <c r="L469" s="8" t="s">
        <v>609</v>
      </c>
      <c r="M469" s="4">
        <v>-2.13</v>
      </c>
      <c r="N469" s="8" t="s">
        <v>755</v>
      </c>
      <c r="O469" s="8" t="s">
        <v>901</v>
      </c>
      <c r="P469" s="8" t="s">
        <v>247</v>
      </c>
      <c r="Q469" s="4">
        <v>5637698052</v>
      </c>
    </row>
    <row r="470" spans="1:17" x14ac:dyDescent="0.25">
      <c r="A470" s="8" t="s">
        <v>252</v>
      </c>
      <c r="B470" s="8" t="s">
        <v>666</v>
      </c>
      <c r="C470" s="8" t="s">
        <v>23</v>
      </c>
      <c r="D470" s="8" t="s">
        <v>883</v>
      </c>
      <c r="E470" s="6">
        <v>43089</v>
      </c>
      <c r="F470" s="8" t="s">
        <v>261</v>
      </c>
      <c r="G470" s="8" t="s">
        <v>264</v>
      </c>
      <c r="H470" s="4">
        <v>-10</v>
      </c>
      <c r="I470" s="8" t="s">
        <v>37</v>
      </c>
      <c r="J470" s="4">
        <v>2.1317959630380003</v>
      </c>
      <c r="K470" s="4">
        <v>-21.32</v>
      </c>
      <c r="L470" s="8" t="s">
        <v>609</v>
      </c>
      <c r="M470" s="4">
        <v>-21.32</v>
      </c>
      <c r="N470" s="8" t="s">
        <v>667</v>
      </c>
      <c r="O470" s="8" t="s">
        <v>903</v>
      </c>
      <c r="P470" s="8" t="s">
        <v>247</v>
      </c>
      <c r="Q470" s="4">
        <v>5637692505</v>
      </c>
    </row>
    <row r="471" spans="1:17" x14ac:dyDescent="0.25">
      <c r="A471" s="8" t="s">
        <v>252</v>
      </c>
      <c r="B471" s="8" t="s">
        <v>666</v>
      </c>
      <c r="C471" s="8" t="s">
        <v>23</v>
      </c>
      <c r="D471" s="8" t="s">
        <v>883</v>
      </c>
      <c r="E471" s="6">
        <v>43089</v>
      </c>
      <c r="F471" s="8" t="s">
        <v>261</v>
      </c>
      <c r="G471" s="8" t="s">
        <v>264</v>
      </c>
      <c r="H471" s="4">
        <v>-1</v>
      </c>
      <c r="I471" s="8" t="s">
        <v>37</v>
      </c>
      <c r="J471" s="4">
        <v>2.1317959630380003</v>
      </c>
      <c r="K471" s="4">
        <v>-2.13</v>
      </c>
      <c r="L471" s="8" t="s">
        <v>609</v>
      </c>
      <c r="M471" s="4">
        <v>-2.13</v>
      </c>
      <c r="N471" s="8" t="s">
        <v>667</v>
      </c>
      <c r="O471" s="8" t="s">
        <v>903</v>
      </c>
      <c r="P471" s="8" t="s">
        <v>247</v>
      </c>
      <c r="Q471" s="4">
        <v>5637698047</v>
      </c>
    </row>
    <row r="472" spans="1:17" x14ac:dyDescent="0.25">
      <c r="A472" s="8" t="s">
        <v>252</v>
      </c>
      <c r="B472" s="8" t="s">
        <v>711</v>
      </c>
      <c r="C472" s="8" t="s">
        <v>23</v>
      </c>
      <c r="D472" s="8" t="s">
        <v>883</v>
      </c>
      <c r="E472" s="6">
        <v>43090</v>
      </c>
      <c r="F472" s="8" t="s">
        <v>261</v>
      </c>
      <c r="G472" s="8" t="s">
        <v>289</v>
      </c>
      <c r="H472" s="4">
        <v>-2</v>
      </c>
      <c r="I472" s="8" t="s">
        <v>37</v>
      </c>
      <c r="J472" s="4">
        <v>1.6180923142950001</v>
      </c>
      <c r="K472" s="4">
        <v>-3.2399999999999998</v>
      </c>
      <c r="L472" s="8" t="s">
        <v>609</v>
      </c>
      <c r="M472" s="4">
        <v>-3.2399999999999998</v>
      </c>
      <c r="N472" s="8" t="s">
        <v>712</v>
      </c>
      <c r="O472" s="8" t="s">
        <v>904</v>
      </c>
      <c r="P472" s="8" t="s">
        <v>247</v>
      </c>
      <c r="Q472" s="4">
        <v>5637698275</v>
      </c>
    </row>
    <row r="473" spans="1:17" x14ac:dyDescent="0.25">
      <c r="A473" s="8" t="s">
        <v>252</v>
      </c>
      <c r="B473" s="8" t="s">
        <v>765</v>
      </c>
      <c r="C473" s="8" t="s">
        <v>23</v>
      </c>
      <c r="D473" s="8" t="s">
        <v>883</v>
      </c>
      <c r="E473" s="6">
        <v>43091</v>
      </c>
      <c r="F473" s="8" t="s">
        <v>261</v>
      </c>
      <c r="G473" s="8" t="s">
        <v>264</v>
      </c>
      <c r="H473" s="4">
        <v>-2</v>
      </c>
      <c r="I473" s="8" t="s">
        <v>37</v>
      </c>
      <c r="J473" s="4">
        <v>2.131795441915</v>
      </c>
      <c r="K473" s="4">
        <v>-4.26</v>
      </c>
      <c r="L473" s="8" t="s">
        <v>609</v>
      </c>
      <c r="M473" s="4">
        <v>-4.26</v>
      </c>
      <c r="N473" s="8" t="s">
        <v>766</v>
      </c>
      <c r="O473" s="8" t="s">
        <v>905</v>
      </c>
      <c r="P473" s="8" t="s">
        <v>247</v>
      </c>
      <c r="Q473" s="4">
        <v>5637699166</v>
      </c>
    </row>
    <row r="474" spans="1:17" x14ac:dyDescent="0.25">
      <c r="A474" s="8" t="s">
        <v>607</v>
      </c>
      <c r="B474" s="8" t="s">
        <v>81</v>
      </c>
      <c r="C474" s="8" t="s">
        <v>23</v>
      </c>
      <c r="D474" s="8" t="s">
        <v>883</v>
      </c>
      <c r="E474" s="6">
        <v>43096</v>
      </c>
      <c r="F474" s="8" t="s">
        <v>261</v>
      </c>
      <c r="G474" s="8" t="s">
        <v>264</v>
      </c>
      <c r="H474" s="4">
        <v>10</v>
      </c>
      <c r="I474" s="8" t="s">
        <v>37</v>
      </c>
      <c r="J474" s="4">
        <v>2.1318000000000001</v>
      </c>
      <c r="K474" s="4">
        <v>21.32</v>
      </c>
      <c r="L474" s="8" t="s">
        <v>609</v>
      </c>
      <c r="M474" s="4">
        <v>21.32</v>
      </c>
      <c r="N474" s="8" t="s">
        <v>610</v>
      </c>
      <c r="O474" s="8" t="s">
        <v>906</v>
      </c>
      <c r="P474" s="8" t="s">
        <v>247</v>
      </c>
      <c r="Q474" s="4">
        <v>0</v>
      </c>
    </row>
    <row r="475" spans="1:17" x14ac:dyDescent="0.25">
      <c r="A475" s="8" t="s">
        <v>252</v>
      </c>
      <c r="B475" s="8" t="s">
        <v>745</v>
      </c>
      <c r="C475" s="8" t="s">
        <v>67</v>
      </c>
      <c r="D475" s="8" t="s">
        <v>907</v>
      </c>
      <c r="E475" s="6">
        <v>43076</v>
      </c>
      <c r="F475" s="8" t="s">
        <v>261</v>
      </c>
      <c r="G475" s="8" t="s">
        <v>264</v>
      </c>
      <c r="H475" s="4">
        <v>-2</v>
      </c>
      <c r="I475" s="8" t="s">
        <v>37</v>
      </c>
      <c r="J475" s="4">
        <v>4.5569654668529997</v>
      </c>
      <c r="K475" s="4">
        <v>-9.11</v>
      </c>
      <c r="L475" s="8" t="s">
        <v>609</v>
      </c>
      <c r="M475" s="4">
        <v>-9.11</v>
      </c>
      <c r="N475" s="8" t="s">
        <v>746</v>
      </c>
      <c r="O475" s="8" t="s">
        <v>908</v>
      </c>
      <c r="P475" s="8" t="s">
        <v>247</v>
      </c>
      <c r="Q475" s="4">
        <v>5637694299</v>
      </c>
    </row>
    <row r="476" spans="1:17" x14ac:dyDescent="0.25">
      <c r="A476" s="8" t="s">
        <v>252</v>
      </c>
      <c r="B476" s="8" t="s">
        <v>826</v>
      </c>
      <c r="C476" s="8" t="s">
        <v>67</v>
      </c>
      <c r="D476" s="8" t="s">
        <v>907</v>
      </c>
      <c r="E476" s="6">
        <v>43076</v>
      </c>
      <c r="F476" s="8" t="s">
        <v>261</v>
      </c>
      <c r="G476" s="8" t="s">
        <v>264</v>
      </c>
      <c r="H476" s="4">
        <v>-10</v>
      </c>
      <c r="I476" s="8" t="s">
        <v>37</v>
      </c>
      <c r="J476" s="4">
        <v>4.5569659989510001</v>
      </c>
      <c r="K476" s="4">
        <v>-45.57</v>
      </c>
      <c r="L476" s="8" t="s">
        <v>609</v>
      </c>
      <c r="M476" s="4">
        <v>-45.57</v>
      </c>
      <c r="N476" s="8" t="s">
        <v>827</v>
      </c>
      <c r="O476" s="8" t="s">
        <v>909</v>
      </c>
      <c r="P476" s="8" t="s">
        <v>247</v>
      </c>
      <c r="Q476" s="4">
        <v>5637694430</v>
      </c>
    </row>
    <row r="477" spans="1:17" x14ac:dyDescent="0.25">
      <c r="A477" s="8" t="s">
        <v>252</v>
      </c>
      <c r="B477" s="8" t="s">
        <v>847</v>
      </c>
      <c r="C477" s="8" t="s">
        <v>67</v>
      </c>
      <c r="D477" s="8" t="s">
        <v>907</v>
      </c>
      <c r="E477" s="6">
        <v>43081</v>
      </c>
      <c r="F477" s="8" t="s">
        <v>261</v>
      </c>
      <c r="G477" s="8" t="s">
        <v>264</v>
      </c>
      <c r="H477" s="4">
        <v>-1</v>
      </c>
      <c r="I477" s="8" t="s">
        <v>37</v>
      </c>
      <c r="J477" s="4">
        <v>4.5569716378640006</v>
      </c>
      <c r="K477" s="4">
        <v>-4.5600000000000005</v>
      </c>
      <c r="L477" s="8" t="s">
        <v>609</v>
      </c>
      <c r="M477" s="4">
        <v>-4.5600000000000005</v>
      </c>
      <c r="N477" s="8" t="s">
        <v>848</v>
      </c>
      <c r="O477" s="8" t="s">
        <v>911</v>
      </c>
      <c r="P477" s="8" t="s">
        <v>247</v>
      </c>
      <c r="Q477" s="4">
        <v>5637694231</v>
      </c>
    </row>
    <row r="478" spans="1:17" x14ac:dyDescent="0.25">
      <c r="A478" s="8" t="s">
        <v>252</v>
      </c>
      <c r="B478" s="8" t="s">
        <v>788</v>
      </c>
      <c r="C478" s="8" t="s">
        <v>67</v>
      </c>
      <c r="D478" s="8" t="s">
        <v>907</v>
      </c>
      <c r="E478" s="6">
        <v>43081</v>
      </c>
      <c r="F478" s="8" t="s">
        <v>261</v>
      </c>
      <c r="G478" s="8" t="s">
        <v>264</v>
      </c>
      <c r="H478" s="4">
        <v>-28</v>
      </c>
      <c r="I478" s="8" t="s">
        <v>37</v>
      </c>
      <c r="J478" s="4">
        <v>4.5569668762879996</v>
      </c>
      <c r="K478" s="4">
        <v>-127.6</v>
      </c>
      <c r="L478" s="8" t="s">
        <v>609</v>
      </c>
      <c r="M478" s="4">
        <v>-127.6</v>
      </c>
      <c r="N478" s="8" t="s">
        <v>789</v>
      </c>
      <c r="O478" s="8" t="s">
        <v>910</v>
      </c>
      <c r="P478" s="8" t="s">
        <v>247</v>
      </c>
      <c r="Q478" s="4">
        <v>5637696681</v>
      </c>
    </row>
    <row r="479" spans="1:17" x14ac:dyDescent="0.25">
      <c r="A479" s="8" t="s">
        <v>17</v>
      </c>
      <c r="B479" s="8" t="s">
        <v>912</v>
      </c>
      <c r="C479" s="8" t="s">
        <v>67</v>
      </c>
      <c r="D479" s="8" t="s">
        <v>907</v>
      </c>
      <c r="E479" s="6">
        <v>43082</v>
      </c>
      <c r="F479" s="8" t="s">
        <v>261</v>
      </c>
      <c r="G479" s="8" t="s">
        <v>262</v>
      </c>
      <c r="H479" s="4">
        <v>56</v>
      </c>
      <c r="I479" s="8" t="s">
        <v>37</v>
      </c>
      <c r="J479" s="4">
        <v>4.5719642857139995</v>
      </c>
      <c r="K479" s="4">
        <v>256.03000000000003</v>
      </c>
      <c r="L479" s="8" t="s">
        <v>246</v>
      </c>
      <c r="M479" s="4">
        <v>219.86999999999998</v>
      </c>
      <c r="N479" s="8" t="s">
        <v>913</v>
      </c>
      <c r="O479" s="8" t="s">
        <v>914</v>
      </c>
      <c r="P479" s="8" t="s">
        <v>247</v>
      </c>
      <c r="Q479" s="4">
        <v>5637696796</v>
      </c>
    </row>
    <row r="480" spans="1:17" x14ac:dyDescent="0.25">
      <c r="A480" s="8" t="s">
        <v>252</v>
      </c>
      <c r="B480" s="8" t="s">
        <v>868</v>
      </c>
      <c r="C480" s="8" t="s">
        <v>67</v>
      </c>
      <c r="D480" s="8" t="s">
        <v>907</v>
      </c>
      <c r="E480" s="6">
        <v>43083</v>
      </c>
      <c r="F480" s="8" t="s">
        <v>261</v>
      </c>
      <c r="G480" s="8" t="s">
        <v>264</v>
      </c>
      <c r="H480" s="4">
        <v>-1</v>
      </c>
      <c r="I480" s="8" t="s">
        <v>37</v>
      </c>
      <c r="J480" s="4">
        <v>4.5569587719070004</v>
      </c>
      <c r="K480" s="4">
        <v>-4.5600000000000005</v>
      </c>
      <c r="L480" s="8" t="s">
        <v>609</v>
      </c>
      <c r="M480" s="4">
        <v>-4.5600000000000005</v>
      </c>
      <c r="N480" s="8" t="s">
        <v>869</v>
      </c>
      <c r="O480" s="8" t="s">
        <v>915</v>
      </c>
      <c r="P480" s="8" t="s">
        <v>247</v>
      </c>
      <c r="Q480" s="4">
        <v>5637697208</v>
      </c>
    </row>
    <row r="481" spans="1:17" x14ac:dyDescent="0.25">
      <c r="A481" s="8" t="s">
        <v>252</v>
      </c>
      <c r="B481" s="8" t="s">
        <v>822</v>
      </c>
      <c r="C481" s="8" t="s">
        <v>67</v>
      </c>
      <c r="D481" s="8" t="s">
        <v>907</v>
      </c>
      <c r="E481" s="6">
        <v>43084</v>
      </c>
      <c r="F481" s="8" t="s">
        <v>261</v>
      </c>
      <c r="G481" s="8" t="s">
        <v>264</v>
      </c>
      <c r="H481" s="4">
        <v>-2</v>
      </c>
      <c r="I481" s="8" t="s">
        <v>37</v>
      </c>
      <c r="J481" s="4">
        <v>4.5569537616460005</v>
      </c>
      <c r="K481" s="4">
        <v>-9.11</v>
      </c>
      <c r="L481" s="8" t="s">
        <v>609</v>
      </c>
      <c r="M481" s="4">
        <v>-9.11</v>
      </c>
      <c r="N481" s="8" t="s">
        <v>823</v>
      </c>
      <c r="O481" s="8" t="s">
        <v>916</v>
      </c>
      <c r="P481" s="8" t="s">
        <v>247</v>
      </c>
      <c r="Q481" s="4">
        <v>5637697259</v>
      </c>
    </row>
    <row r="482" spans="1:17" x14ac:dyDescent="0.25">
      <c r="A482" s="8" t="s">
        <v>252</v>
      </c>
      <c r="B482" s="8" t="s">
        <v>808</v>
      </c>
      <c r="C482" s="8" t="s">
        <v>67</v>
      </c>
      <c r="D482" s="8" t="s">
        <v>907</v>
      </c>
      <c r="E482" s="6">
        <v>43087</v>
      </c>
      <c r="F482" s="8" t="s">
        <v>261</v>
      </c>
      <c r="G482" s="8" t="s">
        <v>264</v>
      </c>
      <c r="H482" s="4">
        <v>-28</v>
      </c>
      <c r="I482" s="8" t="s">
        <v>37</v>
      </c>
      <c r="J482" s="4">
        <v>4.5569682990829996</v>
      </c>
      <c r="K482" s="4">
        <v>-127.6</v>
      </c>
      <c r="L482" s="8" t="s">
        <v>609</v>
      </c>
      <c r="M482" s="4">
        <v>-127.6</v>
      </c>
      <c r="N482" s="8" t="s">
        <v>809</v>
      </c>
      <c r="O482" s="8" t="s">
        <v>918</v>
      </c>
      <c r="P482" s="8" t="s">
        <v>247</v>
      </c>
      <c r="Q482" s="4">
        <v>5637698103</v>
      </c>
    </row>
    <row r="483" spans="1:17" x14ac:dyDescent="0.25">
      <c r="A483" s="8" t="s">
        <v>252</v>
      </c>
      <c r="B483" s="8" t="s">
        <v>805</v>
      </c>
      <c r="C483" s="8" t="s">
        <v>67</v>
      </c>
      <c r="D483" s="8" t="s">
        <v>907</v>
      </c>
      <c r="E483" s="6">
        <v>43087</v>
      </c>
      <c r="F483" s="8" t="s">
        <v>261</v>
      </c>
      <c r="G483" s="8" t="s">
        <v>264</v>
      </c>
      <c r="H483" s="4">
        <v>28</v>
      </c>
      <c r="I483" s="8" t="s">
        <v>37</v>
      </c>
      <c r="J483" s="4">
        <v>4.5569668762879996</v>
      </c>
      <c r="K483" s="4">
        <v>127.6</v>
      </c>
      <c r="L483" s="8" t="s">
        <v>609</v>
      </c>
      <c r="M483" s="4">
        <v>127.6</v>
      </c>
      <c r="N483" s="8" t="s">
        <v>806</v>
      </c>
      <c r="O483" s="8" t="s">
        <v>917</v>
      </c>
      <c r="P483" s="8" t="s">
        <v>247</v>
      </c>
      <c r="Q483" s="4">
        <v>5637698098</v>
      </c>
    </row>
    <row r="484" spans="1:17" x14ac:dyDescent="0.25">
      <c r="A484" s="8" t="s">
        <v>252</v>
      </c>
      <c r="B484" s="8" t="s">
        <v>754</v>
      </c>
      <c r="C484" s="8" t="s">
        <v>67</v>
      </c>
      <c r="D484" s="8" t="s">
        <v>907</v>
      </c>
      <c r="E484" s="6">
        <v>43088</v>
      </c>
      <c r="F484" s="8" t="s">
        <v>261</v>
      </c>
      <c r="G484" s="8" t="s">
        <v>264</v>
      </c>
      <c r="H484" s="4">
        <v>-2</v>
      </c>
      <c r="I484" s="8" t="s">
        <v>37</v>
      </c>
      <c r="J484" s="4">
        <v>4.5569602203619999</v>
      </c>
      <c r="K484" s="4">
        <v>-9.11</v>
      </c>
      <c r="L484" s="8" t="s">
        <v>609</v>
      </c>
      <c r="M484" s="4">
        <v>-9.11</v>
      </c>
      <c r="N484" s="8" t="s">
        <v>755</v>
      </c>
      <c r="O484" s="8" t="s">
        <v>921</v>
      </c>
      <c r="P484" s="8" t="s">
        <v>247</v>
      </c>
      <c r="Q484" s="4">
        <v>5637698051</v>
      </c>
    </row>
    <row r="485" spans="1:17" x14ac:dyDescent="0.25">
      <c r="A485" s="8" t="s">
        <v>252</v>
      </c>
      <c r="B485" s="8" t="s">
        <v>757</v>
      </c>
      <c r="C485" s="8" t="s">
        <v>67</v>
      </c>
      <c r="D485" s="8" t="s">
        <v>907</v>
      </c>
      <c r="E485" s="6">
        <v>43088</v>
      </c>
      <c r="F485" s="8" t="s">
        <v>261</v>
      </c>
      <c r="G485" s="8" t="s">
        <v>264</v>
      </c>
      <c r="H485" s="4">
        <v>-2</v>
      </c>
      <c r="I485" s="8" t="s">
        <v>37</v>
      </c>
      <c r="J485" s="4">
        <v>4.5569602203619999</v>
      </c>
      <c r="K485" s="4">
        <v>-9.11</v>
      </c>
      <c r="L485" s="8" t="s">
        <v>609</v>
      </c>
      <c r="M485" s="4">
        <v>-9.11</v>
      </c>
      <c r="N485" s="8" t="s">
        <v>758</v>
      </c>
      <c r="O485" s="8" t="s">
        <v>920</v>
      </c>
      <c r="P485" s="8" t="s">
        <v>247</v>
      </c>
      <c r="Q485" s="4">
        <v>5637698255</v>
      </c>
    </row>
    <row r="486" spans="1:17" x14ac:dyDescent="0.25">
      <c r="A486" s="8" t="s">
        <v>252</v>
      </c>
      <c r="B486" s="8" t="s">
        <v>761</v>
      </c>
      <c r="C486" s="8" t="s">
        <v>67</v>
      </c>
      <c r="D486" s="8" t="s">
        <v>907</v>
      </c>
      <c r="E486" s="6">
        <v>43088</v>
      </c>
      <c r="F486" s="8" t="s">
        <v>261</v>
      </c>
      <c r="G486" s="8" t="s">
        <v>264</v>
      </c>
      <c r="H486" s="4">
        <v>2</v>
      </c>
      <c r="I486" s="8" t="s">
        <v>37</v>
      </c>
      <c r="J486" s="4">
        <v>4.5569654668529997</v>
      </c>
      <c r="K486" s="4">
        <v>9.11</v>
      </c>
      <c r="L486" s="8" t="s">
        <v>609</v>
      </c>
      <c r="M486" s="4">
        <v>9.11</v>
      </c>
      <c r="N486" s="8" t="s">
        <v>762</v>
      </c>
      <c r="O486" s="8" t="s">
        <v>919</v>
      </c>
      <c r="P486" s="8" t="s">
        <v>247</v>
      </c>
      <c r="Q486" s="4">
        <v>5637698248</v>
      </c>
    </row>
    <row r="487" spans="1:17" x14ac:dyDescent="0.25">
      <c r="A487" s="8" t="s">
        <v>252</v>
      </c>
      <c r="B487" s="8" t="s">
        <v>922</v>
      </c>
      <c r="C487" s="8" t="s">
        <v>67</v>
      </c>
      <c r="D487" s="8" t="s">
        <v>907</v>
      </c>
      <c r="E487" s="6">
        <v>43090</v>
      </c>
      <c r="F487" s="8" t="s">
        <v>261</v>
      </c>
      <c r="G487" s="8" t="s">
        <v>264</v>
      </c>
      <c r="H487" s="4">
        <v>-5</v>
      </c>
      <c r="I487" s="8" t="s">
        <v>37</v>
      </c>
      <c r="J487" s="4">
        <v>4.5569667219220005</v>
      </c>
      <c r="K487" s="4">
        <v>-22.78</v>
      </c>
      <c r="L487" s="8" t="s">
        <v>609</v>
      </c>
      <c r="M487" s="4">
        <v>-22.78</v>
      </c>
      <c r="N487" s="8" t="s">
        <v>923</v>
      </c>
      <c r="O487" s="8" t="s">
        <v>924</v>
      </c>
      <c r="P487" s="8" t="s">
        <v>247</v>
      </c>
      <c r="Q487" s="4">
        <v>5637698152</v>
      </c>
    </row>
    <row r="488" spans="1:17" x14ac:dyDescent="0.25">
      <c r="A488" s="8" t="s">
        <v>607</v>
      </c>
      <c r="B488" s="8" t="s">
        <v>81</v>
      </c>
      <c r="C488" s="8" t="s">
        <v>67</v>
      </c>
      <c r="D488" s="8" t="s">
        <v>907</v>
      </c>
      <c r="E488" s="6">
        <v>43096</v>
      </c>
      <c r="F488" s="8" t="s">
        <v>261</v>
      </c>
      <c r="G488" s="8" t="s">
        <v>264</v>
      </c>
      <c r="H488" s="4">
        <v>-8</v>
      </c>
      <c r="I488" s="8" t="s">
        <v>37</v>
      </c>
      <c r="J488" s="4">
        <v>4.5569700000000006</v>
      </c>
      <c r="K488" s="4">
        <v>-36.46</v>
      </c>
      <c r="L488" s="8" t="s">
        <v>609</v>
      </c>
      <c r="M488" s="4">
        <v>-36.46</v>
      </c>
      <c r="N488" s="8" t="s">
        <v>610</v>
      </c>
      <c r="O488" s="8" t="s">
        <v>925</v>
      </c>
      <c r="P488" s="8" t="s">
        <v>247</v>
      </c>
      <c r="Q488" s="4">
        <v>0</v>
      </c>
    </row>
    <row r="489" spans="1:17" x14ac:dyDescent="0.25">
      <c r="A489" s="8" t="s">
        <v>607</v>
      </c>
      <c r="B489" s="8" t="s">
        <v>81</v>
      </c>
      <c r="C489" s="8" t="s">
        <v>67</v>
      </c>
      <c r="D489" s="8" t="s">
        <v>907</v>
      </c>
      <c r="E489" s="6">
        <v>43096</v>
      </c>
      <c r="F489" s="8" t="s">
        <v>261</v>
      </c>
      <c r="G489" s="8" t="s">
        <v>262</v>
      </c>
      <c r="H489" s="4">
        <v>-1120</v>
      </c>
      <c r="I489" s="8" t="s">
        <v>37</v>
      </c>
      <c r="J489" s="4">
        <v>0.2286</v>
      </c>
      <c r="K489" s="4">
        <v>-256.03000000000003</v>
      </c>
      <c r="L489" s="8" t="s">
        <v>609</v>
      </c>
      <c r="M489" s="4">
        <v>-256.03000000000003</v>
      </c>
      <c r="N489" s="8" t="s">
        <v>610</v>
      </c>
      <c r="O489" s="8" t="s">
        <v>926</v>
      </c>
      <c r="P489" s="8" t="s">
        <v>247</v>
      </c>
      <c r="Q489" s="4">
        <v>0</v>
      </c>
    </row>
    <row r="490" spans="1:17" x14ac:dyDescent="0.25">
      <c r="A490" s="8" t="s">
        <v>927</v>
      </c>
      <c r="B490" s="8" t="s">
        <v>929</v>
      </c>
      <c r="C490" s="8" t="s">
        <v>28</v>
      </c>
      <c r="D490" s="8" t="s">
        <v>928</v>
      </c>
      <c r="E490" s="6">
        <v>43088</v>
      </c>
      <c r="F490" s="8" t="s">
        <v>261</v>
      </c>
      <c r="G490" s="8" t="s">
        <v>264</v>
      </c>
      <c r="H490" s="4">
        <v>-2</v>
      </c>
      <c r="I490" s="8" t="s">
        <v>37</v>
      </c>
      <c r="J490" s="4">
        <v>5.2320785964199992</v>
      </c>
      <c r="K490" s="4">
        <v>-10.46</v>
      </c>
      <c r="L490" s="8" t="s">
        <v>609</v>
      </c>
      <c r="M490" s="4">
        <v>-10.46</v>
      </c>
      <c r="N490" s="8" t="s">
        <v>930</v>
      </c>
      <c r="O490" s="8" t="s">
        <v>931</v>
      </c>
      <c r="P490" s="8" t="s">
        <v>247</v>
      </c>
      <c r="Q490" s="4">
        <v>5637697998</v>
      </c>
    </row>
    <row r="491" spans="1:17" x14ac:dyDescent="0.25">
      <c r="A491" s="8" t="s">
        <v>927</v>
      </c>
      <c r="B491" s="8" t="s">
        <v>932</v>
      </c>
      <c r="C491" s="8" t="s">
        <v>28</v>
      </c>
      <c r="D491" s="8" t="s">
        <v>928</v>
      </c>
      <c r="E491" s="6">
        <v>43089</v>
      </c>
      <c r="F491" s="8" t="s">
        <v>261</v>
      </c>
      <c r="G491" s="8" t="s">
        <v>264</v>
      </c>
      <c r="H491" s="4">
        <v>-1</v>
      </c>
      <c r="I491" s="8" t="s">
        <v>37</v>
      </c>
      <c r="J491" s="4">
        <v>5.2321478829679995</v>
      </c>
      <c r="K491" s="4">
        <v>-5.2299999999999995</v>
      </c>
      <c r="L491" s="8" t="s">
        <v>609</v>
      </c>
      <c r="M491" s="4">
        <v>-5.2299999999999995</v>
      </c>
      <c r="N491" s="8" t="s">
        <v>933</v>
      </c>
      <c r="O491" s="8" t="s">
        <v>934</v>
      </c>
      <c r="P491" s="8" t="s">
        <v>247</v>
      </c>
      <c r="Q491" s="4">
        <v>5637698344</v>
      </c>
    </row>
    <row r="492" spans="1:17" x14ac:dyDescent="0.25">
      <c r="A492" s="8" t="s">
        <v>607</v>
      </c>
      <c r="B492" s="8" t="s">
        <v>81</v>
      </c>
      <c r="C492" s="8" t="s">
        <v>28</v>
      </c>
      <c r="D492" s="8" t="s">
        <v>928</v>
      </c>
      <c r="E492" s="6">
        <v>43096</v>
      </c>
      <c r="F492" s="8" t="s">
        <v>261</v>
      </c>
      <c r="G492" s="8" t="s">
        <v>264</v>
      </c>
      <c r="H492" s="4">
        <v>2</v>
      </c>
      <c r="I492" s="8" t="s">
        <v>37</v>
      </c>
      <c r="J492" s="4">
        <v>5.2321800000000005</v>
      </c>
      <c r="K492" s="4">
        <v>10.46</v>
      </c>
      <c r="L492" s="8" t="s">
        <v>609</v>
      </c>
      <c r="M492" s="4">
        <v>10.46</v>
      </c>
      <c r="N492" s="8" t="s">
        <v>610</v>
      </c>
      <c r="O492" s="8" t="s">
        <v>935</v>
      </c>
      <c r="P492" s="8" t="s">
        <v>247</v>
      </c>
      <c r="Q492" s="4">
        <v>0</v>
      </c>
    </row>
    <row r="493" spans="1:17" ht="30" x14ac:dyDescent="0.25">
      <c r="A493" s="8" t="s">
        <v>252</v>
      </c>
      <c r="B493" s="8" t="s">
        <v>659</v>
      </c>
      <c r="C493" s="8" t="s">
        <v>242</v>
      </c>
      <c r="D493" s="11" t="s">
        <v>243</v>
      </c>
      <c r="E493" s="6">
        <v>43075</v>
      </c>
      <c r="F493" s="8" t="s">
        <v>261</v>
      </c>
      <c r="G493" s="8" t="s">
        <v>264</v>
      </c>
      <c r="H493" s="4">
        <v>-1</v>
      </c>
      <c r="I493" s="8" t="s">
        <v>37</v>
      </c>
      <c r="J493" s="4">
        <v>6.9298130841120003</v>
      </c>
      <c r="K493" s="4">
        <v>-6.93</v>
      </c>
      <c r="L493" s="8" t="s">
        <v>609</v>
      </c>
      <c r="M493" s="4">
        <v>-6.93</v>
      </c>
      <c r="N493" s="8" t="s">
        <v>660</v>
      </c>
      <c r="O493" s="8" t="s">
        <v>936</v>
      </c>
      <c r="P493" s="8" t="s">
        <v>247</v>
      </c>
      <c r="Q493" s="4">
        <v>5637693498</v>
      </c>
    </row>
    <row r="494" spans="1:17" ht="30" x14ac:dyDescent="0.25">
      <c r="A494" s="8" t="s">
        <v>252</v>
      </c>
      <c r="B494" s="8" t="s">
        <v>822</v>
      </c>
      <c r="C494" s="8" t="s">
        <v>242</v>
      </c>
      <c r="D494" s="11" t="s">
        <v>243</v>
      </c>
      <c r="E494" s="6">
        <v>43084</v>
      </c>
      <c r="F494" s="8" t="s">
        <v>261</v>
      </c>
      <c r="G494" s="8" t="s">
        <v>264</v>
      </c>
      <c r="H494" s="4">
        <v>-1</v>
      </c>
      <c r="I494" s="8" t="s">
        <v>37</v>
      </c>
      <c r="J494" s="4">
        <v>6.9298113207550003</v>
      </c>
      <c r="K494" s="4">
        <v>-6.93</v>
      </c>
      <c r="L494" s="8" t="s">
        <v>609</v>
      </c>
      <c r="M494" s="4">
        <v>-6.93</v>
      </c>
      <c r="N494" s="8" t="s">
        <v>823</v>
      </c>
      <c r="O494" s="8" t="s">
        <v>937</v>
      </c>
      <c r="P494" s="8" t="s">
        <v>247</v>
      </c>
      <c r="Q494" s="4">
        <v>5637697264</v>
      </c>
    </row>
    <row r="495" spans="1:17" ht="30" x14ac:dyDescent="0.25">
      <c r="A495" s="8" t="s">
        <v>252</v>
      </c>
      <c r="B495" s="8" t="s">
        <v>666</v>
      </c>
      <c r="C495" s="8" t="s">
        <v>242</v>
      </c>
      <c r="D495" s="11" t="s">
        <v>243</v>
      </c>
      <c r="E495" s="6">
        <v>43089</v>
      </c>
      <c r="F495" s="8" t="s">
        <v>261</v>
      </c>
      <c r="G495" s="8" t="s">
        <v>264</v>
      </c>
      <c r="H495" s="4">
        <v>-4</v>
      </c>
      <c r="I495" s="8" t="s">
        <v>37</v>
      </c>
      <c r="J495" s="4">
        <v>6.9298095238100004</v>
      </c>
      <c r="K495" s="4">
        <v>-27.72</v>
      </c>
      <c r="L495" s="8" t="s">
        <v>609</v>
      </c>
      <c r="M495" s="4">
        <v>-27.72</v>
      </c>
      <c r="N495" s="8" t="s">
        <v>667</v>
      </c>
      <c r="O495" s="8" t="s">
        <v>938</v>
      </c>
      <c r="P495" s="8" t="s">
        <v>247</v>
      </c>
      <c r="Q495" s="4">
        <v>5637692507</v>
      </c>
    </row>
    <row r="496" spans="1:17" ht="30" x14ac:dyDescent="0.25">
      <c r="A496" s="8" t="s">
        <v>607</v>
      </c>
      <c r="B496" s="8" t="s">
        <v>81</v>
      </c>
      <c r="C496" s="8" t="s">
        <v>242</v>
      </c>
      <c r="D496" s="11" t="s">
        <v>243</v>
      </c>
      <c r="E496" s="6">
        <v>43096</v>
      </c>
      <c r="F496" s="8" t="s">
        <v>261</v>
      </c>
      <c r="G496" s="8" t="s">
        <v>264</v>
      </c>
      <c r="H496" s="4">
        <v>3</v>
      </c>
      <c r="I496" s="8" t="s">
        <v>37</v>
      </c>
      <c r="J496" s="4">
        <v>6.9298000000000002</v>
      </c>
      <c r="K496" s="4">
        <v>20.79</v>
      </c>
      <c r="L496" s="8" t="s">
        <v>609</v>
      </c>
      <c r="M496" s="4">
        <v>20.79</v>
      </c>
      <c r="N496" s="8" t="s">
        <v>610</v>
      </c>
      <c r="O496" s="8" t="s">
        <v>939</v>
      </c>
      <c r="P496" s="8" t="s">
        <v>247</v>
      </c>
      <c r="Q496" s="4">
        <v>0</v>
      </c>
    </row>
    <row r="497" spans="1:17" x14ac:dyDescent="0.25">
      <c r="A497" s="8" t="s">
        <v>607</v>
      </c>
      <c r="B497" s="8" t="s">
        <v>81</v>
      </c>
      <c r="C497" s="8" t="s">
        <v>117</v>
      </c>
      <c r="D497" s="8" t="s">
        <v>118</v>
      </c>
      <c r="E497" s="6">
        <v>43096</v>
      </c>
      <c r="F497" s="8" t="s">
        <v>261</v>
      </c>
      <c r="G497" s="8" t="s">
        <v>264</v>
      </c>
      <c r="H497" s="4">
        <v>-2</v>
      </c>
      <c r="I497" s="8" t="s">
        <v>37</v>
      </c>
      <c r="J497" s="4">
        <v>8.5947600000000008</v>
      </c>
      <c r="K497" s="4">
        <v>-17.190000000000001</v>
      </c>
      <c r="L497" s="8" t="s">
        <v>609</v>
      </c>
      <c r="M497" s="4">
        <v>-17.190000000000001</v>
      </c>
      <c r="N497" s="8" t="s">
        <v>610</v>
      </c>
      <c r="O497" s="8" t="s">
        <v>940</v>
      </c>
      <c r="P497" s="8" t="s">
        <v>247</v>
      </c>
      <c r="Q497" s="4">
        <v>0</v>
      </c>
    </row>
    <row r="498" spans="1:17" x14ac:dyDescent="0.25">
      <c r="A498" s="8" t="s">
        <v>252</v>
      </c>
      <c r="B498" s="8" t="s">
        <v>648</v>
      </c>
      <c r="C498" s="8" t="s">
        <v>244</v>
      </c>
      <c r="D498" s="8" t="s">
        <v>245</v>
      </c>
      <c r="E498" s="6">
        <v>43075</v>
      </c>
      <c r="F498" s="8" t="s">
        <v>261</v>
      </c>
      <c r="G498" s="8" t="s">
        <v>264</v>
      </c>
      <c r="H498" s="4">
        <v>-4</v>
      </c>
      <c r="I498" s="8" t="s">
        <v>37</v>
      </c>
      <c r="J498" s="4">
        <v>8.8508571428569986</v>
      </c>
      <c r="K498" s="4">
        <v>-35.4</v>
      </c>
      <c r="L498" s="8" t="s">
        <v>609</v>
      </c>
      <c r="M498" s="4">
        <v>-35.4</v>
      </c>
      <c r="N498" s="8" t="s">
        <v>649</v>
      </c>
      <c r="O498" s="8" t="s">
        <v>941</v>
      </c>
      <c r="P498" s="8" t="s">
        <v>247</v>
      </c>
      <c r="Q498" s="4">
        <v>5637694545</v>
      </c>
    </row>
    <row r="499" spans="1:17" x14ac:dyDescent="0.25">
      <c r="A499" s="8" t="s">
        <v>252</v>
      </c>
      <c r="B499" s="8" t="s">
        <v>946</v>
      </c>
      <c r="C499" s="8" t="s">
        <v>244</v>
      </c>
      <c r="D499" s="8" t="s">
        <v>245</v>
      </c>
      <c r="E499" s="6">
        <v>43083</v>
      </c>
      <c r="F499" s="8" t="s">
        <v>261</v>
      </c>
      <c r="G499" s="8" t="s">
        <v>264</v>
      </c>
      <c r="H499" s="4">
        <v>5</v>
      </c>
      <c r="I499" s="8" t="s">
        <v>37</v>
      </c>
      <c r="J499" s="4">
        <v>8.6018918918919987</v>
      </c>
      <c r="K499" s="4">
        <v>43.01</v>
      </c>
      <c r="L499" s="8" t="s">
        <v>609</v>
      </c>
      <c r="M499" s="4">
        <v>43.01</v>
      </c>
      <c r="N499" s="8" t="s">
        <v>947</v>
      </c>
      <c r="O499" s="8" t="s">
        <v>948</v>
      </c>
      <c r="P499" s="8" t="s">
        <v>247</v>
      </c>
      <c r="Q499" s="4">
        <v>5637697339</v>
      </c>
    </row>
    <row r="500" spans="1:17" x14ac:dyDescent="0.25">
      <c r="A500" s="8" t="s">
        <v>252</v>
      </c>
      <c r="B500" s="8" t="s">
        <v>733</v>
      </c>
      <c r="C500" s="8" t="s">
        <v>244</v>
      </c>
      <c r="D500" s="8" t="s">
        <v>245</v>
      </c>
      <c r="E500" s="6">
        <v>43083</v>
      </c>
      <c r="F500" s="8" t="s">
        <v>261</v>
      </c>
      <c r="G500" s="8" t="s">
        <v>264</v>
      </c>
      <c r="H500" s="4">
        <v>12</v>
      </c>
      <c r="I500" s="8" t="s">
        <v>37</v>
      </c>
      <c r="J500" s="4">
        <v>8.8508433734940013</v>
      </c>
      <c r="K500" s="4">
        <v>106.21</v>
      </c>
      <c r="L500" s="8" t="s">
        <v>609</v>
      </c>
      <c r="M500" s="4">
        <v>106.21</v>
      </c>
      <c r="N500" s="8" t="s">
        <v>734</v>
      </c>
      <c r="O500" s="8" t="s">
        <v>942</v>
      </c>
      <c r="P500" s="8" t="s">
        <v>247</v>
      </c>
      <c r="Q500" s="4">
        <v>5637697427</v>
      </c>
    </row>
    <row r="501" spans="1:17" x14ac:dyDescent="0.25">
      <c r="A501" s="8" t="s">
        <v>252</v>
      </c>
      <c r="B501" s="8" t="s">
        <v>855</v>
      </c>
      <c r="C501" s="8" t="s">
        <v>244</v>
      </c>
      <c r="D501" s="8" t="s">
        <v>245</v>
      </c>
      <c r="E501" s="6">
        <v>43083</v>
      </c>
      <c r="F501" s="8" t="s">
        <v>261</v>
      </c>
      <c r="G501" s="8" t="s">
        <v>264</v>
      </c>
      <c r="H501" s="4">
        <v>15</v>
      </c>
      <c r="I501" s="8" t="s">
        <v>37</v>
      </c>
      <c r="J501" s="4">
        <v>8.7712000000000003</v>
      </c>
      <c r="K501" s="4">
        <v>131.57</v>
      </c>
      <c r="L501" s="8" t="s">
        <v>609</v>
      </c>
      <c r="M501" s="4">
        <v>131.57</v>
      </c>
      <c r="N501" s="8" t="s">
        <v>856</v>
      </c>
      <c r="O501" s="8" t="s">
        <v>949</v>
      </c>
      <c r="P501" s="8" t="s">
        <v>247</v>
      </c>
      <c r="Q501" s="4">
        <v>5637697368</v>
      </c>
    </row>
    <row r="502" spans="1:17" x14ac:dyDescent="0.25">
      <c r="A502" s="8" t="s">
        <v>252</v>
      </c>
      <c r="B502" s="8" t="s">
        <v>950</v>
      </c>
      <c r="C502" s="8" t="s">
        <v>244</v>
      </c>
      <c r="D502" s="8" t="s">
        <v>245</v>
      </c>
      <c r="E502" s="6">
        <v>43083</v>
      </c>
      <c r="F502" s="8" t="s">
        <v>261</v>
      </c>
      <c r="G502" s="8" t="s">
        <v>264</v>
      </c>
      <c r="H502" s="4">
        <v>10</v>
      </c>
      <c r="I502" s="8" t="s">
        <v>37</v>
      </c>
      <c r="J502" s="4">
        <v>8.6019047619050006</v>
      </c>
      <c r="K502" s="4">
        <v>86.02</v>
      </c>
      <c r="L502" s="8" t="s">
        <v>609</v>
      </c>
      <c r="M502" s="4">
        <v>86.02</v>
      </c>
      <c r="N502" s="8" t="s">
        <v>951</v>
      </c>
      <c r="O502" s="8" t="s">
        <v>952</v>
      </c>
      <c r="P502" s="8" t="s">
        <v>247</v>
      </c>
      <c r="Q502" s="4">
        <v>5637697418</v>
      </c>
    </row>
    <row r="503" spans="1:17" x14ac:dyDescent="0.25">
      <c r="A503" s="8" t="s">
        <v>252</v>
      </c>
      <c r="B503" s="8" t="s">
        <v>651</v>
      </c>
      <c r="C503" s="8" t="s">
        <v>244</v>
      </c>
      <c r="D503" s="8" t="s">
        <v>245</v>
      </c>
      <c r="E503" s="6">
        <v>43083</v>
      </c>
      <c r="F503" s="8" t="s">
        <v>261</v>
      </c>
      <c r="G503" s="8" t="s">
        <v>264</v>
      </c>
      <c r="H503" s="4">
        <v>4</v>
      </c>
      <c r="I503" s="8" t="s">
        <v>37</v>
      </c>
      <c r="J503" s="4">
        <v>8.8508571428569986</v>
      </c>
      <c r="K503" s="4">
        <v>35.4</v>
      </c>
      <c r="L503" s="8" t="s">
        <v>609</v>
      </c>
      <c r="M503" s="4">
        <v>35.4</v>
      </c>
      <c r="N503" s="8" t="s">
        <v>652</v>
      </c>
      <c r="O503" s="8" t="s">
        <v>953</v>
      </c>
      <c r="P503" s="8" t="s">
        <v>247</v>
      </c>
      <c r="Q503" s="4">
        <v>5637697280</v>
      </c>
    </row>
    <row r="504" spans="1:17" x14ac:dyDescent="0.25">
      <c r="A504" s="8" t="s">
        <v>252</v>
      </c>
      <c r="B504" s="8" t="s">
        <v>943</v>
      </c>
      <c r="C504" s="8" t="s">
        <v>244</v>
      </c>
      <c r="D504" s="8" t="s">
        <v>245</v>
      </c>
      <c r="E504" s="6">
        <v>43083</v>
      </c>
      <c r="F504" s="8" t="s">
        <v>261</v>
      </c>
      <c r="G504" s="8" t="s">
        <v>264</v>
      </c>
      <c r="H504" s="4">
        <v>18</v>
      </c>
      <c r="I504" s="8" t="s">
        <v>37</v>
      </c>
      <c r="J504" s="4">
        <v>8.850891089109</v>
      </c>
      <c r="K504" s="4">
        <v>159.32</v>
      </c>
      <c r="L504" s="8" t="s">
        <v>609</v>
      </c>
      <c r="M504" s="4">
        <v>159.32</v>
      </c>
      <c r="N504" s="8" t="s">
        <v>944</v>
      </c>
      <c r="O504" s="8" t="s">
        <v>945</v>
      </c>
      <c r="P504" s="8" t="s">
        <v>247</v>
      </c>
      <c r="Q504" s="4">
        <v>5637697313</v>
      </c>
    </row>
    <row r="505" spans="1:17" x14ac:dyDescent="0.25">
      <c r="A505" s="8" t="s">
        <v>252</v>
      </c>
      <c r="B505" s="8" t="s">
        <v>963</v>
      </c>
      <c r="C505" s="8" t="s">
        <v>244</v>
      </c>
      <c r="D505" s="8" t="s">
        <v>245</v>
      </c>
      <c r="E505" s="6">
        <v>43084</v>
      </c>
      <c r="F505" s="8" t="s">
        <v>261</v>
      </c>
      <c r="G505" s="8" t="s">
        <v>264</v>
      </c>
      <c r="H505" s="4">
        <v>-18</v>
      </c>
      <c r="I505" s="8" t="s">
        <v>37</v>
      </c>
      <c r="J505" s="4">
        <v>8.8130400000000009</v>
      </c>
      <c r="K505" s="4">
        <v>-158.63</v>
      </c>
      <c r="L505" s="8" t="s">
        <v>609</v>
      </c>
      <c r="M505" s="4">
        <v>-158.63</v>
      </c>
      <c r="N505" s="8" t="s">
        <v>964</v>
      </c>
      <c r="O505" s="8" t="s">
        <v>965</v>
      </c>
      <c r="P505" s="8" t="s">
        <v>247</v>
      </c>
      <c r="Q505" s="4">
        <v>5637697324</v>
      </c>
    </row>
    <row r="506" spans="1:17" x14ac:dyDescent="0.25">
      <c r="A506" s="8" t="s">
        <v>252</v>
      </c>
      <c r="B506" s="8" t="s">
        <v>636</v>
      </c>
      <c r="C506" s="8" t="s">
        <v>244</v>
      </c>
      <c r="D506" s="8" t="s">
        <v>245</v>
      </c>
      <c r="E506" s="6">
        <v>43084</v>
      </c>
      <c r="F506" s="8" t="s">
        <v>261</v>
      </c>
      <c r="G506" s="8" t="s">
        <v>264</v>
      </c>
      <c r="H506" s="4">
        <v>-1</v>
      </c>
      <c r="I506" s="8" t="s">
        <v>37</v>
      </c>
      <c r="J506" s="4">
        <v>8.8130158730160009</v>
      </c>
      <c r="K506" s="4">
        <v>-8.8099999999999987</v>
      </c>
      <c r="L506" s="8" t="s">
        <v>609</v>
      </c>
      <c r="M506" s="4">
        <v>-8.8099999999999987</v>
      </c>
      <c r="N506" s="8" t="s">
        <v>637</v>
      </c>
      <c r="O506" s="8" t="s">
        <v>954</v>
      </c>
      <c r="P506" s="8" t="s">
        <v>247</v>
      </c>
      <c r="Q506" s="4">
        <v>5637697309</v>
      </c>
    </row>
    <row r="507" spans="1:17" x14ac:dyDescent="0.25">
      <c r="A507" s="8" t="s">
        <v>252</v>
      </c>
      <c r="B507" s="8" t="s">
        <v>955</v>
      </c>
      <c r="C507" s="8" t="s">
        <v>244</v>
      </c>
      <c r="D507" s="8" t="s">
        <v>245</v>
      </c>
      <c r="E507" s="6">
        <v>43084</v>
      </c>
      <c r="F507" s="8" t="s">
        <v>261</v>
      </c>
      <c r="G507" s="8" t="s">
        <v>264</v>
      </c>
      <c r="H507" s="4">
        <v>-10</v>
      </c>
      <c r="I507" s="8" t="s">
        <v>37</v>
      </c>
      <c r="J507" s="4">
        <v>8.8129885057470005</v>
      </c>
      <c r="K507" s="4">
        <v>-88.13</v>
      </c>
      <c r="L507" s="8" t="s">
        <v>609</v>
      </c>
      <c r="M507" s="4">
        <v>-88.13</v>
      </c>
      <c r="N507" s="8" t="s">
        <v>956</v>
      </c>
      <c r="O507" s="8" t="s">
        <v>957</v>
      </c>
      <c r="P507" s="8" t="s">
        <v>247</v>
      </c>
      <c r="Q507" s="4">
        <v>5637697420</v>
      </c>
    </row>
    <row r="508" spans="1:17" x14ac:dyDescent="0.25">
      <c r="A508" s="8" t="s">
        <v>252</v>
      </c>
      <c r="B508" s="8" t="s">
        <v>654</v>
      </c>
      <c r="C508" s="8" t="s">
        <v>244</v>
      </c>
      <c r="D508" s="8" t="s">
        <v>245</v>
      </c>
      <c r="E508" s="6">
        <v>43084</v>
      </c>
      <c r="F508" s="8" t="s">
        <v>261</v>
      </c>
      <c r="G508" s="8" t="s">
        <v>264</v>
      </c>
      <c r="H508" s="4">
        <v>-4</v>
      </c>
      <c r="I508" s="8" t="s">
        <v>37</v>
      </c>
      <c r="J508" s="4">
        <v>8.8129999999999988</v>
      </c>
      <c r="K508" s="4">
        <v>-35.25</v>
      </c>
      <c r="L508" s="8" t="s">
        <v>609</v>
      </c>
      <c r="M508" s="4">
        <v>-35.25</v>
      </c>
      <c r="N508" s="8" t="s">
        <v>655</v>
      </c>
      <c r="O508" s="8" t="s">
        <v>962</v>
      </c>
      <c r="P508" s="8" t="s">
        <v>247</v>
      </c>
      <c r="Q508" s="4">
        <v>5637697284</v>
      </c>
    </row>
    <row r="509" spans="1:17" x14ac:dyDescent="0.25">
      <c r="A509" s="8" t="s">
        <v>252</v>
      </c>
      <c r="B509" s="8" t="s">
        <v>858</v>
      </c>
      <c r="C509" s="8" t="s">
        <v>244</v>
      </c>
      <c r="D509" s="8" t="s">
        <v>245</v>
      </c>
      <c r="E509" s="6">
        <v>43084</v>
      </c>
      <c r="F509" s="8" t="s">
        <v>261</v>
      </c>
      <c r="G509" s="8" t="s">
        <v>264</v>
      </c>
      <c r="H509" s="4">
        <v>-15</v>
      </c>
      <c r="I509" s="8" t="s">
        <v>37</v>
      </c>
      <c r="J509" s="4">
        <v>8.8130392156860005</v>
      </c>
      <c r="K509" s="4">
        <v>-132.19999999999999</v>
      </c>
      <c r="L509" s="8" t="s">
        <v>609</v>
      </c>
      <c r="M509" s="4">
        <v>-132.19999999999999</v>
      </c>
      <c r="N509" s="8" t="s">
        <v>859</v>
      </c>
      <c r="O509" s="8" t="s">
        <v>958</v>
      </c>
      <c r="P509" s="8" t="s">
        <v>247</v>
      </c>
      <c r="Q509" s="4">
        <v>5637697404</v>
      </c>
    </row>
    <row r="510" spans="1:17" x14ac:dyDescent="0.25">
      <c r="A510" s="8" t="s">
        <v>252</v>
      </c>
      <c r="B510" s="8" t="s">
        <v>736</v>
      </c>
      <c r="C510" s="8" t="s">
        <v>244</v>
      </c>
      <c r="D510" s="8" t="s">
        <v>245</v>
      </c>
      <c r="E510" s="6">
        <v>43084</v>
      </c>
      <c r="F510" s="8" t="s">
        <v>261</v>
      </c>
      <c r="G510" s="8" t="s">
        <v>264</v>
      </c>
      <c r="H510" s="4">
        <v>-12</v>
      </c>
      <c r="I510" s="8" t="s">
        <v>37</v>
      </c>
      <c r="J510" s="4">
        <v>8.8129870129869996</v>
      </c>
      <c r="K510" s="4">
        <v>-105.75999999999999</v>
      </c>
      <c r="L510" s="8" t="s">
        <v>609</v>
      </c>
      <c r="M510" s="4">
        <v>-105.75999999999999</v>
      </c>
      <c r="N510" s="8" t="s">
        <v>737</v>
      </c>
      <c r="O510" s="8" t="s">
        <v>966</v>
      </c>
      <c r="P510" s="8" t="s">
        <v>247</v>
      </c>
      <c r="Q510" s="4">
        <v>5637697435</v>
      </c>
    </row>
    <row r="511" spans="1:17" x14ac:dyDescent="0.25">
      <c r="A511" s="8" t="s">
        <v>252</v>
      </c>
      <c r="B511" s="8" t="s">
        <v>959</v>
      </c>
      <c r="C511" s="8" t="s">
        <v>244</v>
      </c>
      <c r="D511" s="8" t="s">
        <v>245</v>
      </c>
      <c r="E511" s="6">
        <v>43084</v>
      </c>
      <c r="F511" s="8" t="s">
        <v>261</v>
      </c>
      <c r="G511" s="8" t="s">
        <v>264</v>
      </c>
      <c r="H511" s="4">
        <v>-5</v>
      </c>
      <c r="I511" s="8" t="s">
        <v>37</v>
      </c>
      <c r="J511" s="4">
        <v>8.8130841121499994</v>
      </c>
      <c r="K511" s="4">
        <v>-44.07</v>
      </c>
      <c r="L511" s="8" t="s">
        <v>609</v>
      </c>
      <c r="M511" s="4">
        <v>-44.07</v>
      </c>
      <c r="N511" s="8" t="s">
        <v>960</v>
      </c>
      <c r="O511" s="8" t="s">
        <v>961</v>
      </c>
      <c r="P511" s="8" t="s">
        <v>247</v>
      </c>
      <c r="Q511" s="4">
        <v>5637697347</v>
      </c>
    </row>
    <row r="512" spans="1:17" x14ac:dyDescent="0.25">
      <c r="A512" s="8" t="s">
        <v>252</v>
      </c>
      <c r="B512" s="8" t="s">
        <v>642</v>
      </c>
      <c r="C512" s="8" t="s">
        <v>244</v>
      </c>
      <c r="D512" s="8" t="s">
        <v>245</v>
      </c>
      <c r="E512" s="6">
        <v>43090</v>
      </c>
      <c r="F512" s="8" t="s">
        <v>261</v>
      </c>
      <c r="G512" s="8" t="s">
        <v>264</v>
      </c>
      <c r="H512" s="4">
        <v>-9</v>
      </c>
      <c r="I512" s="8" t="s">
        <v>37</v>
      </c>
      <c r="J512" s="4">
        <v>8.8175675675680001</v>
      </c>
      <c r="K512" s="4">
        <v>-79.36</v>
      </c>
      <c r="L512" s="8" t="s">
        <v>609</v>
      </c>
      <c r="M512" s="4">
        <v>-79.36</v>
      </c>
      <c r="N512" s="8" t="s">
        <v>643</v>
      </c>
      <c r="O512" s="8" t="s">
        <v>967</v>
      </c>
      <c r="P512" s="8" t="s">
        <v>247</v>
      </c>
      <c r="Q512" s="4">
        <v>5637699017</v>
      </c>
    </row>
    <row r="513" spans="1:17" x14ac:dyDescent="0.25">
      <c r="A513" s="8" t="s">
        <v>252</v>
      </c>
      <c r="B513" s="8" t="s">
        <v>639</v>
      </c>
      <c r="C513" s="8" t="s">
        <v>244</v>
      </c>
      <c r="D513" s="8" t="s">
        <v>245</v>
      </c>
      <c r="E513" s="6">
        <v>43090</v>
      </c>
      <c r="F513" s="8" t="s">
        <v>261</v>
      </c>
      <c r="G513" s="8" t="s">
        <v>264</v>
      </c>
      <c r="H513" s="4">
        <v>9</v>
      </c>
      <c r="I513" s="8" t="s">
        <v>37</v>
      </c>
      <c r="J513" s="4">
        <v>8.8509090909089991</v>
      </c>
      <c r="K513" s="4">
        <v>79.66</v>
      </c>
      <c r="L513" s="8" t="s">
        <v>609</v>
      </c>
      <c r="M513" s="4">
        <v>79.66</v>
      </c>
      <c r="N513" s="8" t="s">
        <v>640</v>
      </c>
      <c r="O513" s="8" t="s">
        <v>968</v>
      </c>
      <c r="P513" s="8" t="s">
        <v>247</v>
      </c>
      <c r="Q513" s="4">
        <v>5637699014</v>
      </c>
    </row>
    <row r="514" spans="1:17" x14ac:dyDescent="0.25">
      <c r="A514" s="8" t="s">
        <v>607</v>
      </c>
      <c r="B514" s="8" t="s">
        <v>81</v>
      </c>
      <c r="C514" s="8" t="s">
        <v>244</v>
      </c>
      <c r="D514" s="8" t="s">
        <v>245</v>
      </c>
      <c r="E514" s="6">
        <v>43096</v>
      </c>
      <c r="F514" s="8" t="s">
        <v>261</v>
      </c>
      <c r="G514" s="8" t="s">
        <v>264</v>
      </c>
      <c r="H514" s="4">
        <v>5</v>
      </c>
      <c r="I514" s="8" t="s">
        <v>37</v>
      </c>
      <c r="J514" s="4">
        <v>8.817540000000001</v>
      </c>
      <c r="K514" s="4">
        <v>44.09</v>
      </c>
      <c r="L514" s="8" t="s">
        <v>609</v>
      </c>
      <c r="M514" s="4">
        <v>44.09</v>
      </c>
      <c r="N514" s="8" t="s">
        <v>610</v>
      </c>
      <c r="O514" s="8" t="s">
        <v>969</v>
      </c>
      <c r="P514" s="8" t="s">
        <v>247</v>
      </c>
      <c r="Q514" s="4">
        <v>0</v>
      </c>
    </row>
    <row r="515" spans="1:17" x14ac:dyDescent="0.25">
      <c r="A515" s="3" t="s">
        <v>13</v>
      </c>
      <c r="B515" s="7"/>
      <c r="C515" s="7"/>
      <c r="D515" s="7"/>
      <c r="E515" s="5"/>
      <c r="F515" s="7"/>
      <c r="G515" s="7"/>
      <c r="H515" s="3">
        <f>SUBTOTAL(109,AtlasReport_2_Table_1[Quantity])</f>
        <v>-22078.079999999994</v>
      </c>
      <c r="I515" s="7"/>
      <c r="J515" s="3">
        <f>SUBTOTAL(109,AtlasReport_2_Table_1[TPP cost price])</f>
        <v>1003.2170523534187</v>
      </c>
      <c r="K515" s="3">
        <f>SUBTOTAL(109,AtlasReport_2_Table_1[TPP cost amount])</f>
        <v>151.29999999999961</v>
      </c>
      <c r="L515" s="7"/>
      <c r="M515" s="3">
        <f>SUBTOTAL(109,AtlasReport_2_Table_1[TPP cost amount currency])</f>
        <v>-3192.2400000000143</v>
      </c>
      <c r="N515" s="7"/>
      <c r="O515" s="7"/>
      <c r="P515" s="7"/>
      <c r="Q515" s="3">
        <f>SUBTOTAL(109,AtlasReport_2_Table_1[InventTransRecId])</f>
        <v>2542601120341</v>
      </c>
    </row>
    <row r="516" spans="1:17" x14ac:dyDescent="0.25">
      <c r="A516" s="3"/>
      <c r="B516" s="3"/>
      <c r="C516" s="3"/>
      <c r="D516" s="3"/>
      <c r="E516" s="5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</row>
    <row r="517" spans="1:17" x14ac:dyDescent="0.25">
      <c r="A517" s="3"/>
      <c r="B517" s="3"/>
      <c r="C517" s="3"/>
      <c r="D517" s="3"/>
      <c r="E517" s="5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37"/>
  <sheetViews>
    <sheetView workbookViewId="0">
      <selection activeCell="A7" sqref="A7"/>
    </sheetView>
  </sheetViews>
  <sheetFormatPr defaultRowHeight="15" x14ac:dyDescent="0.25"/>
  <cols>
    <col min="1" max="1" width="32" customWidth="1"/>
    <col min="2" max="2" width="6.7109375" customWidth="1"/>
    <col min="3" max="3" width="13.5703125" customWidth="1"/>
    <col min="4" max="4" width="17.42578125" customWidth="1"/>
    <col min="5" max="5" width="20.5703125" customWidth="1"/>
    <col min="6" max="6" width="17.5703125" customWidth="1"/>
    <col min="7" max="7" width="20.5703125" customWidth="1"/>
    <col min="8" max="8" width="17.5703125" customWidth="1"/>
    <col min="9" max="9" width="10.7109375" bestFit="1" customWidth="1"/>
  </cols>
  <sheetData>
    <row r="1" spans="1:8" ht="22.5" x14ac:dyDescent="0.3">
      <c r="A1" s="2" t="s">
        <v>51</v>
      </c>
      <c r="B1" s="2"/>
      <c r="C1" s="2"/>
      <c r="D1" s="2"/>
      <c r="E1" s="2"/>
      <c r="F1" s="2"/>
      <c r="G1" s="2"/>
      <c r="H1" s="2"/>
    </row>
    <row r="2" spans="1:8" x14ac:dyDescent="0.25">
      <c r="A2" s="3" t="s">
        <v>6</v>
      </c>
      <c r="B2" s="3" t="s">
        <v>49</v>
      </c>
      <c r="C2" s="3" t="s">
        <v>50</v>
      </c>
      <c r="D2" s="9" t="s">
        <v>82</v>
      </c>
      <c r="E2" s="9" t="s">
        <v>87</v>
      </c>
      <c r="F2" s="9" t="s">
        <v>88</v>
      </c>
      <c r="G2" s="9" t="s">
        <v>83</v>
      </c>
      <c r="H2" s="9" t="s">
        <v>84</v>
      </c>
    </row>
    <row r="3" spans="1:8" x14ac:dyDescent="0.25">
      <c r="A3" s="8" t="s">
        <v>260</v>
      </c>
      <c r="B3" s="8" t="s">
        <v>261</v>
      </c>
      <c r="C3" s="8" t="s">
        <v>81</v>
      </c>
      <c r="D3" s="10">
        <v>0</v>
      </c>
      <c r="E3" s="10">
        <f>_xll.AtlasFormulas.AtlasFunctions.AtlasBalance("PROD",DataAreaId,"T.InventTrans|inventDimId~inventDimId@T.InventDim","Sum|Qty|0","","","","","","","DateFinancial|ItemId|T2.InventSiteId|T2.InventLocationId",PeriodBeginning,$A3,$B3,$C3)</f>
        <v>0</v>
      </c>
      <c r="F3" s="10">
        <f>_xll.AtlasFormulas.AtlasFunctions.AtlasBalance("PROD",DataAreaId,"T.InventTrans|inventDimId~inventDimId@T.InventDim","Sum|Qty|0","","","","","","","DateFinancial|ItemId|T2.InventSiteId|T2.InventLocationId",PeriodEnding,$A3,$B3,$C3)</f>
        <v>0</v>
      </c>
      <c r="G3" s="10">
        <f>AtlasReport_3_Table_1[[#This Row],[Current On-hand]]-AtlasReport_3_Table_1[[#This Row],[Trans backwords (Beginning)]]</f>
        <v>0</v>
      </c>
      <c r="H3" s="10">
        <f>AtlasReport_3_Table_1[[#This Row],[Current On-hand]]-AtlasReport_3_Table_1[[#This Row],[Trans backwords (Ending)]]</f>
        <v>0</v>
      </c>
    </row>
    <row r="4" spans="1:8" x14ac:dyDescent="0.25">
      <c r="A4" s="8" t="s">
        <v>260</v>
      </c>
      <c r="B4" s="8" t="s">
        <v>261</v>
      </c>
      <c r="C4" s="8" t="s">
        <v>262</v>
      </c>
      <c r="D4" s="10">
        <v>0</v>
      </c>
      <c r="E4" s="10">
        <f>_xll.AtlasFormulas.AtlasFunctions.AtlasBalance("PROD",DataAreaId,"T.InventTrans|inventDimId~inventDimId@T.InventDim","Sum|Qty|0","","","","","","","DateFinancial|ItemId|T2.InventSiteId|T2.InventLocationId",PeriodBeginning,$A4,$B4,$C4)</f>
        <v>0</v>
      </c>
      <c r="F4" s="10">
        <f>_xll.AtlasFormulas.AtlasFunctions.AtlasBalance("PROD",DataAreaId,"T.InventTrans|inventDimId~inventDimId@T.InventDim","Sum|Qty|0","","","","","","","DateFinancial|ItemId|T2.InventSiteId|T2.InventLocationId",PeriodEnding,$A4,$B4,$C4)</f>
        <v>0</v>
      </c>
      <c r="G4" s="10">
        <f>AtlasReport_3_Table_1[[#This Row],[Current On-hand]]-AtlasReport_3_Table_1[[#This Row],[Trans backwords (Beginning)]]</f>
        <v>0</v>
      </c>
      <c r="H4" s="10">
        <f>AtlasReport_3_Table_1[[#This Row],[Current On-hand]]-AtlasReport_3_Table_1[[#This Row],[Trans backwords (Ending)]]</f>
        <v>0</v>
      </c>
    </row>
    <row r="5" spans="1:8" x14ac:dyDescent="0.25">
      <c r="A5" s="8" t="s">
        <v>260</v>
      </c>
      <c r="B5" s="8" t="s">
        <v>261</v>
      </c>
      <c r="C5" s="8" t="s">
        <v>263</v>
      </c>
      <c r="D5" s="10">
        <v>153</v>
      </c>
      <c r="E5" s="10">
        <f>_xll.AtlasFormulas.AtlasFunctions.AtlasBalance("PROD",DataAreaId,"T.InventTrans|inventDimId~inventDimId@T.InventDim","Sum|Qty|0","","","","","","","DateFinancial|ItemId|T2.InventSiteId|T2.InventLocationId",PeriodBeginning,$A5,$B5,$C5)</f>
        <v>-28</v>
      </c>
      <c r="F5" s="10">
        <f>_xll.AtlasFormulas.AtlasFunctions.AtlasBalance("PROD",DataAreaId,"T.InventTrans|inventDimId~inventDimId@T.InventDim","Sum|Qty|0","","","","","","","DateFinancial|ItemId|T2.InventSiteId|T2.InventLocationId",PeriodEnding,$A5,$B5,$C5)</f>
        <v>0</v>
      </c>
      <c r="G5" s="10">
        <f>AtlasReport_3_Table_1[[#This Row],[Current On-hand]]-AtlasReport_3_Table_1[[#This Row],[Trans backwords (Beginning)]]</f>
        <v>181</v>
      </c>
      <c r="H5" s="10">
        <f>AtlasReport_3_Table_1[[#This Row],[Current On-hand]]-AtlasReport_3_Table_1[[#This Row],[Trans backwords (Ending)]]</f>
        <v>153</v>
      </c>
    </row>
    <row r="6" spans="1:8" x14ac:dyDescent="0.25">
      <c r="A6" s="8" t="s">
        <v>260</v>
      </c>
      <c r="B6" s="8" t="s">
        <v>261</v>
      </c>
      <c r="C6" s="8" t="s">
        <v>264</v>
      </c>
      <c r="D6" s="10">
        <v>249</v>
      </c>
      <c r="E6" s="10">
        <f>_xll.AtlasFormulas.AtlasFunctions.AtlasBalance("PROD",DataAreaId,"T.InventTrans|inventDimId~inventDimId@T.InventDim","Sum|Qty|0","","","","","","","DateFinancial|ItemId|T2.InventSiteId|T2.InventLocationId",PeriodBeginning,$A6,$B6,$C6)</f>
        <v>-1</v>
      </c>
      <c r="F6" s="10">
        <f>_xll.AtlasFormulas.AtlasFunctions.AtlasBalance("PROD",DataAreaId,"T.InventTrans|inventDimId~inventDimId@T.InventDim","Sum|Qty|0","","","","","","","DateFinancial|ItemId|T2.InventSiteId|T2.InventLocationId",PeriodEnding,$A6,$B6,$C6)</f>
        <v>0</v>
      </c>
      <c r="G6" s="10">
        <f>AtlasReport_3_Table_1[[#This Row],[Current On-hand]]-AtlasReport_3_Table_1[[#This Row],[Trans backwords (Beginning)]]</f>
        <v>250</v>
      </c>
      <c r="H6" s="10">
        <f>AtlasReport_3_Table_1[[#This Row],[Current On-hand]]-AtlasReport_3_Table_1[[#This Row],[Trans backwords (Ending)]]</f>
        <v>249</v>
      </c>
    </row>
    <row r="7" spans="1:8" x14ac:dyDescent="0.25">
      <c r="A7" s="8" t="s">
        <v>260</v>
      </c>
      <c r="B7" s="8" t="s">
        <v>261</v>
      </c>
      <c r="C7" s="8" t="s">
        <v>265</v>
      </c>
      <c r="D7" s="10">
        <v>0</v>
      </c>
      <c r="E7" s="10">
        <f>_xll.AtlasFormulas.AtlasFunctions.AtlasBalance("PROD",DataAreaId,"T.InventTrans|inventDimId~inventDimId@T.InventDim","Sum|Qty|0","","","","","","","DateFinancial|ItemId|T2.InventSiteId|T2.InventLocationId",PeriodBeginning,$A7,$B7,$C7)</f>
        <v>0</v>
      </c>
      <c r="F7" s="10">
        <f>_xll.AtlasFormulas.AtlasFunctions.AtlasBalance("PROD",DataAreaId,"T.InventTrans|inventDimId~inventDimId@T.InventDim","Sum|Qty|0","","","","","","","DateFinancial|ItemId|T2.InventSiteId|T2.InventLocationId",PeriodEnding,$A7,$B7,$C7)</f>
        <v>0</v>
      </c>
      <c r="G7" s="10">
        <f>AtlasReport_3_Table_1[[#This Row],[Current On-hand]]-AtlasReport_3_Table_1[[#This Row],[Trans backwords (Beginning)]]</f>
        <v>0</v>
      </c>
      <c r="H7" s="10">
        <f>AtlasReport_3_Table_1[[#This Row],[Current On-hand]]-AtlasReport_3_Table_1[[#This Row],[Trans backwords (Ending)]]</f>
        <v>0</v>
      </c>
    </row>
    <row r="8" spans="1:8" x14ac:dyDescent="0.25">
      <c r="A8" s="8" t="s">
        <v>266</v>
      </c>
      <c r="B8" s="8" t="s">
        <v>261</v>
      </c>
      <c r="C8" s="8" t="s">
        <v>81</v>
      </c>
      <c r="D8" s="10">
        <v>0</v>
      </c>
      <c r="E8" s="10">
        <f>_xll.AtlasFormulas.AtlasFunctions.AtlasBalance("PROD",DataAreaId,"T.InventTrans|inventDimId~inventDimId@T.InventDim","Sum|Qty|0","","","","","","","DateFinancial|ItemId|T2.InventSiteId|T2.InventLocationId",PeriodBeginning,$A8,$B8,$C8)</f>
        <v>0</v>
      </c>
      <c r="F8" s="10">
        <f>_xll.AtlasFormulas.AtlasFunctions.AtlasBalance("PROD",DataAreaId,"T.InventTrans|inventDimId~inventDimId@T.InventDim","Sum|Qty|0","","","","","","","DateFinancial|ItemId|T2.InventSiteId|T2.InventLocationId",PeriodEnding,$A8,$B8,$C8)</f>
        <v>0</v>
      </c>
      <c r="G8" s="10">
        <f>AtlasReport_3_Table_1[[#This Row],[Current On-hand]]-AtlasReport_3_Table_1[[#This Row],[Trans backwords (Beginning)]]</f>
        <v>0</v>
      </c>
      <c r="H8" s="10">
        <f>AtlasReport_3_Table_1[[#This Row],[Current On-hand]]-AtlasReport_3_Table_1[[#This Row],[Trans backwords (Ending)]]</f>
        <v>0</v>
      </c>
    </row>
    <row r="9" spans="1:8" x14ac:dyDescent="0.25">
      <c r="A9" s="8" t="s">
        <v>266</v>
      </c>
      <c r="B9" s="8" t="s">
        <v>261</v>
      </c>
      <c r="C9" s="8" t="s">
        <v>264</v>
      </c>
      <c r="D9" s="10">
        <v>0</v>
      </c>
      <c r="E9" s="10">
        <f>_xll.AtlasFormulas.AtlasFunctions.AtlasBalance("PROD",DataAreaId,"T.InventTrans|inventDimId~inventDimId@T.InventDim","Sum|Qty|0","","","","","","","DateFinancial|ItemId|T2.InventSiteId|T2.InventLocationId",PeriodBeginning,$A9,$B9,$C9)</f>
        <v>0</v>
      </c>
      <c r="F9" s="10">
        <f>_xll.AtlasFormulas.AtlasFunctions.AtlasBalance("PROD",DataAreaId,"T.InventTrans|inventDimId~inventDimId@T.InventDim","Sum|Qty|0","","","","","","","DateFinancial|ItemId|T2.InventSiteId|T2.InventLocationId",PeriodEnding,$A9,$B9,$C9)</f>
        <v>0</v>
      </c>
      <c r="G9" s="10">
        <f>AtlasReport_3_Table_1[[#This Row],[Current On-hand]]-AtlasReport_3_Table_1[[#This Row],[Trans backwords (Beginning)]]</f>
        <v>0</v>
      </c>
      <c r="H9" s="10">
        <f>AtlasReport_3_Table_1[[#This Row],[Current On-hand]]-AtlasReport_3_Table_1[[#This Row],[Trans backwords (Ending)]]</f>
        <v>0</v>
      </c>
    </row>
    <row r="10" spans="1:8" x14ac:dyDescent="0.25">
      <c r="A10" s="8" t="s">
        <v>267</v>
      </c>
      <c r="B10" s="8" t="s">
        <v>261</v>
      </c>
      <c r="C10" s="8" t="s">
        <v>81</v>
      </c>
      <c r="D10" s="10">
        <v>0</v>
      </c>
      <c r="E10" s="10">
        <f>_xll.AtlasFormulas.AtlasFunctions.AtlasBalance("PROD",DataAreaId,"T.InventTrans|inventDimId~inventDimId@T.InventDim","Sum|Qty|0","","","","","","","DateFinancial|ItemId|T2.InventSiteId|T2.InventLocationId",PeriodBeginning,$A10,$B10,$C10)</f>
        <v>0</v>
      </c>
      <c r="F10" s="10">
        <f>_xll.AtlasFormulas.AtlasFunctions.AtlasBalance("PROD",DataAreaId,"T.InventTrans|inventDimId~inventDimId@T.InventDim","Sum|Qty|0","","","","","","","DateFinancial|ItemId|T2.InventSiteId|T2.InventLocationId",PeriodEnding,$A10,$B10,$C10)</f>
        <v>0</v>
      </c>
      <c r="G10" s="10">
        <f>AtlasReport_3_Table_1[[#This Row],[Current On-hand]]-AtlasReport_3_Table_1[[#This Row],[Trans backwords (Beginning)]]</f>
        <v>0</v>
      </c>
      <c r="H10" s="10">
        <f>AtlasReport_3_Table_1[[#This Row],[Current On-hand]]-AtlasReport_3_Table_1[[#This Row],[Trans backwords (Ending)]]</f>
        <v>0</v>
      </c>
    </row>
    <row r="11" spans="1:8" x14ac:dyDescent="0.25">
      <c r="A11" s="8" t="s">
        <v>267</v>
      </c>
      <c r="B11" s="8" t="s">
        <v>261</v>
      </c>
      <c r="C11" s="8" t="s">
        <v>264</v>
      </c>
      <c r="D11" s="10">
        <v>82</v>
      </c>
      <c r="E11" s="10">
        <f>_xll.AtlasFormulas.AtlasFunctions.AtlasBalance("PROD",DataAreaId,"T.InventTrans|inventDimId~inventDimId@T.InventDim","Sum|Qty|0","","","","","","","DateFinancial|ItemId|T2.InventSiteId|T2.InventLocationId",PeriodBeginning,$A11,$B11,$C11)</f>
        <v>15</v>
      </c>
      <c r="F11" s="10">
        <f>_xll.AtlasFormulas.AtlasFunctions.AtlasBalance("PROD",DataAreaId,"T.InventTrans|inventDimId~inventDimId@T.InventDim","Sum|Qty|0","","","","","","","DateFinancial|ItemId|T2.InventSiteId|T2.InventLocationId",PeriodEnding,$A11,$B11,$C11)</f>
        <v>0</v>
      </c>
      <c r="G11" s="10">
        <f>AtlasReport_3_Table_1[[#This Row],[Current On-hand]]-AtlasReport_3_Table_1[[#This Row],[Trans backwords (Beginning)]]</f>
        <v>67</v>
      </c>
      <c r="H11" s="10">
        <f>AtlasReport_3_Table_1[[#This Row],[Current On-hand]]-AtlasReport_3_Table_1[[#This Row],[Trans backwords (Ending)]]</f>
        <v>82</v>
      </c>
    </row>
    <row r="12" spans="1:8" x14ac:dyDescent="0.25">
      <c r="A12" s="8" t="s">
        <v>268</v>
      </c>
      <c r="B12" s="8" t="s">
        <v>261</v>
      </c>
      <c r="C12" s="8" t="s">
        <v>81</v>
      </c>
      <c r="D12" s="10">
        <v>0</v>
      </c>
      <c r="E12" s="10">
        <f>_xll.AtlasFormulas.AtlasFunctions.AtlasBalance("PROD",DataAreaId,"T.InventTrans|inventDimId~inventDimId@T.InventDim","Sum|Qty|0","","","","","","","DateFinancial|ItemId|T2.InventSiteId|T2.InventLocationId",PeriodBeginning,$A12,$B12,$C12)</f>
        <v>0</v>
      </c>
      <c r="F12" s="10">
        <f>_xll.AtlasFormulas.AtlasFunctions.AtlasBalance("PROD",DataAreaId,"T.InventTrans|inventDimId~inventDimId@T.InventDim","Sum|Qty|0","","","","","","","DateFinancial|ItemId|T2.InventSiteId|T2.InventLocationId",PeriodEnding,$A12,$B12,$C12)</f>
        <v>0</v>
      </c>
      <c r="G12" s="10">
        <f>AtlasReport_3_Table_1[[#This Row],[Current On-hand]]-AtlasReport_3_Table_1[[#This Row],[Trans backwords (Beginning)]]</f>
        <v>0</v>
      </c>
      <c r="H12" s="10">
        <f>AtlasReport_3_Table_1[[#This Row],[Current On-hand]]-AtlasReport_3_Table_1[[#This Row],[Trans backwords (Ending)]]</f>
        <v>0</v>
      </c>
    </row>
    <row r="13" spans="1:8" x14ac:dyDescent="0.25">
      <c r="A13" s="8" t="s">
        <v>268</v>
      </c>
      <c r="B13" s="8" t="s">
        <v>261</v>
      </c>
      <c r="C13" s="8" t="s">
        <v>264</v>
      </c>
      <c r="D13" s="10">
        <v>4457</v>
      </c>
      <c r="E13" s="10">
        <f>_xll.AtlasFormulas.AtlasFunctions.AtlasBalance("PROD",DataAreaId,"T.InventTrans|inventDimId~inventDimId@T.InventDim","Sum|Qty|0","","","","","","","DateFinancial|ItemId|T2.InventSiteId|T2.InventLocationId",PeriodBeginning,$A13,$B13,$C13)</f>
        <v>-1</v>
      </c>
      <c r="F13" s="10">
        <f>_xll.AtlasFormulas.AtlasFunctions.AtlasBalance("PROD",DataAreaId,"T.InventTrans|inventDimId~inventDimId@T.InventDim","Sum|Qty|0","","","","","","","DateFinancial|ItemId|T2.InventSiteId|T2.InventLocationId",PeriodEnding,$A13,$B13,$C13)</f>
        <v>0</v>
      </c>
      <c r="G13" s="10">
        <f>AtlasReport_3_Table_1[[#This Row],[Current On-hand]]-AtlasReport_3_Table_1[[#This Row],[Trans backwords (Beginning)]]</f>
        <v>4458</v>
      </c>
      <c r="H13" s="10">
        <f>AtlasReport_3_Table_1[[#This Row],[Current On-hand]]-AtlasReport_3_Table_1[[#This Row],[Trans backwords (Ending)]]</f>
        <v>4457</v>
      </c>
    </row>
    <row r="14" spans="1:8" x14ac:dyDescent="0.25">
      <c r="A14" s="8" t="s">
        <v>269</v>
      </c>
      <c r="B14" s="8" t="s">
        <v>261</v>
      </c>
      <c r="C14" s="8" t="s">
        <v>264</v>
      </c>
      <c r="D14" s="10">
        <v>0</v>
      </c>
      <c r="E14" s="10">
        <f>_xll.AtlasFormulas.AtlasFunctions.AtlasBalance("PROD",DataAreaId,"T.InventTrans|inventDimId~inventDimId@T.InventDim","Sum|Qty|0","","","","","","","DateFinancial|ItemId|T2.InventSiteId|T2.InventLocationId",PeriodBeginning,$A14,$B14,$C14)</f>
        <v>0</v>
      </c>
      <c r="F14" s="10">
        <f>_xll.AtlasFormulas.AtlasFunctions.AtlasBalance("PROD",DataAreaId,"T.InventTrans|inventDimId~inventDimId@T.InventDim","Sum|Qty|0","","","","","","","DateFinancial|ItemId|T2.InventSiteId|T2.InventLocationId",PeriodEnding,$A14,$B14,$C14)</f>
        <v>0</v>
      </c>
      <c r="G14" s="10">
        <f>AtlasReport_3_Table_1[[#This Row],[Current On-hand]]-AtlasReport_3_Table_1[[#This Row],[Trans backwords (Beginning)]]</f>
        <v>0</v>
      </c>
      <c r="H14" s="10">
        <f>AtlasReport_3_Table_1[[#This Row],[Current On-hand]]-AtlasReport_3_Table_1[[#This Row],[Trans backwords (Ending)]]</f>
        <v>0</v>
      </c>
    </row>
    <row r="15" spans="1:8" x14ac:dyDescent="0.25">
      <c r="A15" s="8" t="s">
        <v>270</v>
      </c>
      <c r="B15" s="8" t="s">
        <v>261</v>
      </c>
      <c r="C15" s="8" t="s">
        <v>81</v>
      </c>
      <c r="D15" s="10">
        <v>0</v>
      </c>
      <c r="E15" s="10">
        <f>_xll.AtlasFormulas.AtlasFunctions.AtlasBalance("PROD",DataAreaId,"T.InventTrans|inventDimId~inventDimId@T.InventDim","Sum|Qty|0","","","","","","","DateFinancial|ItemId|T2.InventSiteId|T2.InventLocationId",PeriodBeginning,$A15,$B15,$C15)</f>
        <v>0</v>
      </c>
      <c r="F15" s="10">
        <f>_xll.AtlasFormulas.AtlasFunctions.AtlasBalance("PROD",DataAreaId,"T.InventTrans|inventDimId~inventDimId@T.InventDim","Sum|Qty|0","","","","","","","DateFinancial|ItemId|T2.InventSiteId|T2.InventLocationId",PeriodEnding,$A15,$B15,$C15)</f>
        <v>0</v>
      </c>
      <c r="G15" s="10">
        <f>AtlasReport_3_Table_1[[#This Row],[Current On-hand]]-AtlasReport_3_Table_1[[#This Row],[Trans backwords (Beginning)]]</f>
        <v>0</v>
      </c>
      <c r="H15" s="10">
        <f>AtlasReport_3_Table_1[[#This Row],[Current On-hand]]-AtlasReport_3_Table_1[[#This Row],[Trans backwords (Ending)]]</f>
        <v>0</v>
      </c>
    </row>
    <row r="16" spans="1:8" x14ac:dyDescent="0.25">
      <c r="A16" s="8" t="s">
        <v>270</v>
      </c>
      <c r="B16" s="8" t="s">
        <v>261</v>
      </c>
      <c r="C16" s="8" t="s">
        <v>264</v>
      </c>
      <c r="D16" s="10">
        <v>1925</v>
      </c>
      <c r="E16" s="10">
        <f>_xll.AtlasFormulas.AtlasFunctions.AtlasBalance("PROD",DataAreaId,"T.InventTrans|inventDimId~inventDimId@T.InventDim","Sum|Qty|0","","","","","","","DateFinancial|ItemId|T2.InventSiteId|T2.InventLocationId",PeriodBeginning,$A16,$B16,$C16)</f>
        <v>-53</v>
      </c>
      <c r="F16" s="10">
        <f>_xll.AtlasFormulas.AtlasFunctions.AtlasBalance("PROD",DataAreaId,"T.InventTrans|inventDimId~inventDimId@T.InventDim","Sum|Qty|0","","","","","","","DateFinancial|ItemId|T2.InventSiteId|T2.InventLocationId",PeriodEnding,$A16,$B16,$C16)</f>
        <v>0</v>
      </c>
      <c r="G16" s="10">
        <f>AtlasReport_3_Table_1[[#This Row],[Current On-hand]]-AtlasReport_3_Table_1[[#This Row],[Trans backwords (Beginning)]]</f>
        <v>1978</v>
      </c>
      <c r="H16" s="10">
        <f>AtlasReport_3_Table_1[[#This Row],[Current On-hand]]-AtlasReport_3_Table_1[[#This Row],[Trans backwords (Ending)]]</f>
        <v>1925</v>
      </c>
    </row>
    <row r="17" spans="1:8" x14ac:dyDescent="0.25">
      <c r="A17" s="8" t="s">
        <v>271</v>
      </c>
      <c r="B17" s="8" t="s">
        <v>261</v>
      </c>
      <c r="C17" s="8" t="s">
        <v>264</v>
      </c>
      <c r="D17" s="10">
        <v>0</v>
      </c>
      <c r="E17" s="10">
        <f>_xll.AtlasFormulas.AtlasFunctions.AtlasBalance("PROD",DataAreaId,"T.InventTrans|inventDimId~inventDimId@T.InventDim","Sum|Qty|0","","","","","","","DateFinancial|ItemId|T2.InventSiteId|T2.InventLocationId",PeriodBeginning,$A17,$B17,$C17)</f>
        <v>0</v>
      </c>
      <c r="F17" s="10">
        <f>_xll.AtlasFormulas.AtlasFunctions.AtlasBalance("PROD",DataAreaId,"T.InventTrans|inventDimId~inventDimId@T.InventDim","Sum|Qty|0","","","","","","","DateFinancial|ItemId|T2.InventSiteId|T2.InventLocationId",PeriodEnding,$A17,$B17,$C17)</f>
        <v>0</v>
      </c>
      <c r="G17" s="10">
        <f>AtlasReport_3_Table_1[[#This Row],[Current On-hand]]-AtlasReport_3_Table_1[[#This Row],[Trans backwords (Beginning)]]</f>
        <v>0</v>
      </c>
      <c r="H17" s="10">
        <f>AtlasReport_3_Table_1[[#This Row],[Current On-hand]]-AtlasReport_3_Table_1[[#This Row],[Trans backwords (Ending)]]</f>
        <v>0</v>
      </c>
    </row>
    <row r="18" spans="1:8" x14ac:dyDescent="0.25">
      <c r="A18" s="8" t="s">
        <v>272</v>
      </c>
      <c r="B18" s="8" t="s">
        <v>261</v>
      </c>
      <c r="C18" s="8" t="s">
        <v>81</v>
      </c>
      <c r="D18" s="10">
        <v>0</v>
      </c>
      <c r="E18" s="10">
        <f>_xll.AtlasFormulas.AtlasFunctions.AtlasBalance("PROD",DataAreaId,"T.InventTrans|inventDimId~inventDimId@T.InventDim","Sum|Qty|0","","","","","","","DateFinancial|ItemId|T2.InventSiteId|T2.InventLocationId",PeriodBeginning,$A18,$B18,$C18)</f>
        <v>0</v>
      </c>
      <c r="F18" s="10">
        <f>_xll.AtlasFormulas.AtlasFunctions.AtlasBalance("PROD",DataAreaId,"T.InventTrans|inventDimId~inventDimId@T.InventDim","Sum|Qty|0","","","","","","","DateFinancial|ItemId|T2.InventSiteId|T2.InventLocationId",PeriodEnding,$A18,$B18,$C18)</f>
        <v>0</v>
      </c>
      <c r="G18" s="10">
        <f>AtlasReport_3_Table_1[[#This Row],[Current On-hand]]-AtlasReport_3_Table_1[[#This Row],[Trans backwords (Beginning)]]</f>
        <v>0</v>
      </c>
      <c r="H18" s="10">
        <f>AtlasReport_3_Table_1[[#This Row],[Current On-hand]]-AtlasReport_3_Table_1[[#This Row],[Trans backwords (Ending)]]</f>
        <v>0</v>
      </c>
    </row>
    <row r="19" spans="1:8" x14ac:dyDescent="0.25">
      <c r="A19" s="8" t="s">
        <v>272</v>
      </c>
      <c r="B19" s="8" t="s">
        <v>261</v>
      </c>
      <c r="C19" s="8" t="s">
        <v>264</v>
      </c>
      <c r="D19" s="10">
        <v>500</v>
      </c>
      <c r="E19" s="10">
        <f>_xll.AtlasFormulas.AtlasFunctions.AtlasBalance("PROD",DataAreaId,"T.InventTrans|inventDimId~inventDimId@T.InventDim","Sum|Qty|0","","","","","","","DateFinancial|ItemId|T2.InventSiteId|T2.InventLocationId",PeriodBeginning,$A19,$B19,$C19)</f>
        <v>-87</v>
      </c>
      <c r="F19" s="10">
        <f>_xll.AtlasFormulas.AtlasFunctions.AtlasBalance("PROD",DataAreaId,"T.InventTrans|inventDimId~inventDimId@T.InventDim","Sum|Qty|0","","","","","","","DateFinancial|ItemId|T2.InventSiteId|T2.InventLocationId",PeriodEnding,$A19,$B19,$C19)</f>
        <v>0</v>
      </c>
      <c r="G19" s="10">
        <f>AtlasReport_3_Table_1[[#This Row],[Current On-hand]]-AtlasReport_3_Table_1[[#This Row],[Trans backwords (Beginning)]]</f>
        <v>587</v>
      </c>
      <c r="H19" s="10">
        <f>AtlasReport_3_Table_1[[#This Row],[Current On-hand]]-AtlasReport_3_Table_1[[#This Row],[Trans backwords (Ending)]]</f>
        <v>500</v>
      </c>
    </row>
    <row r="20" spans="1:8" x14ac:dyDescent="0.25">
      <c r="A20" s="8" t="s">
        <v>273</v>
      </c>
      <c r="B20" s="8" t="s">
        <v>261</v>
      </c>
      <c r="C20" s="8" t="s">
        <v>81</v>
      </c>
      <c r="D20" s="10">
        <v>0</v>
      </c>
      <c r="E20" s="10">
        <f>_xll.AtlasFormulas.AtlasFunctions.AtlasBalance("PROD",DataAreaId,"T.InventTrans|inventDimId~inventDimId@T.InventDim","Sum|Qty|0","","","","","","","DateFinancial|ItemId|T2.InventSiteId|T2.InventLocationId",PeriodBeginning,$A20,$B20,$C20)</f>
        <v>0</v>
      </c>
      <c r="F20" s="10">
        <f>_xll.AtlasFormulas.AtlasFunctions.AtlasBalance("PROD",DataAreaId,"T.InventTrans|inventDimId~inventDimId@T.InventDim","Sum|Qty|0","","","","","","","DateFinancial|ItemId|T2.InventSiteId|T2.InventLocationId",PeriodEnding,$A20,$B20,$C20)</f>
        <v>0</v>
      </c>
      <c r="G20" s="10">
        <f>AtlasReport_3_Table_1[[#This Row],[Current On-hand]]-AtlasReport_3_Table_1[[#This Row],[Trans backwords (Beginning)]]</f>
        <v>0</v>
      </c>
      <c r="H20" s="10">
        <f>AtlasReport_3_Table_1[[#This Row],[Current On-hand]]-AtlasReport_3_Table_1[[#This Row],[Trans backwords (Ending)]]</f>
        <v>0</v>
      </c>
    </row>
    <row r="21" spans="1:8" x14ac:dyDescent="0.25">
      <c r="A21" s="8" t="s">
        <v>273</v>
      </c>
      <c r="B21" s="8" t="s">
        <v>261</v>
      </c>
      <c r="C21" s="8" t="s">
        <v>264</v>
      </c>
      <c r="D21" s="10">
        <v>725</v>
      </c>
      <c r="E21" s="10">
        <f>_xll.AtlasFormulas.AtlasFunctions.AtlasBalance("PROD",DataAreaId,"T.InventTrans|inventDimId~inventDimId@T.InventDim","Sum|Qty|0","","","","","","","DateFinancial|ItemId|T2.InventSiteId|T2.InventLocationId",PeriodBeginning,$A21,$B21,$C21)</f>
        <v>-44.2</v>
      </c>
      <c r="F21" s="10">
        <f>_xll.AtlasFormulas.AtlasFunctions.AtlasBalance("PROD",DataAreaId,"T.InventTrans|inventDimId~inventDimId@T.InventDim","Sum|Qty|0","","","","","","","DateFinancial|ItemId|T2.InventSiteId|T2.InventLocationId",PeriodEnding,$A21,$B21,$C21)</f>
        <v>0</v>
      </c>
      <c r="G21" s="10">
        <f>AtlasReport_3_Table_1[[#This Row],[Current On-hand]]-AtlasReport_3_Table_1[[#This Row],[Trans backwords (Beginning)]]</f>
        <v>769.2</v>
      </c>
      <c r="H21" s="10">
        <f>AtlasReport_3_Table_1[[#This Row],[Current On-hand]]-AtlasReport_3_Table_1[[#This Row],[Trans backwords (Ending)]]</f>
        <v>725</v>
      </c>
    </row>
    <row r="22" spans="1:8" x14ac:dyDescent="0.25">
      <c r="A22" s="8" t="s">
        <v>274</v>
      </c>
      <c r="B22" s="8" t="s">
        <v>261</v>
      </c>
      <c r="C22" s="8" t="s">
        <v>81</v>
      </c>
      <c r="D22" s="10">
        <v>0</v>
      </c>
      <c r="E22" s="10">
        <f>_xll.AtlasFormulas.AtlasFunctions.AtlasBalance("PROD",DataAreaId,"T.InventTrans|inventDimId~inventDimId@T.InventDim","Sum|Qty|0","","","","","","","DateFinancial|ItemId|T2.InventSiteId|T2.InventLocationId",PeriodBeginning,$A22,$B22,$C22)</f>
        <v>0</v>
      </c>
      <c r="F22" s="10">
        <f>_xll.AtlasFormulas.AtlasFunctions.AtlasBalance("PROD",DataAreaId,"T.InventTrans|inventDimId~inventDimId@T.InventDim","Sum|Qty|0","","","","","","","DateFinancial|ItemId|T2.InventSiteId|T2.InventLocationId",PeriodEnding,$A22,$B22,$C22)</f>
        <v>0</v>
      </c>
      <c r="G22" s="10">
        <f>AtlasReport_3_Table_1[[#This Row],[Current On-hand]]-AtlasReport_3_Table_1[[#This Row],[Trans backwords (Beginning)]]</f>
        <v>0</v>
      </c>
      <c r="H22" s="10">
        <f>AtlasReport_3_Table_1[[#This Row],[Current On-hand]]-AtlasReport_3_Table_1[[#This Row],[Trans backwords (Ending)]]</f>
        <v>0</v>
      </c>
    </row>
    <row r="23" spans="1:8" x14ac:dyDescent="0.25">
      <c r="A23" s="8" t="s">
        <v>274</v>
      </c>
      <c r="B23" s="8" t="s">
        <v>261</v>
      </c>
      <c r="C23" s="8" t="s">
        <v>264</v>
      </c>
      <c r="D23" s="10">
        <v>574</v>
      </c>
      <c r="E23" s="10">
        <f>_xll.AtlasFormulas.AtlasFunctions.AtlasBalance("PROD",DataAreaId,"T.InventTrans|inventDimId~inventDimId@T.InventDim","Sum|Qty|0","","","","","","","DateFinancial|ItemId|T2.InventSiteId|T2.InventLocationId",PeriodBeginning,$A23,$B23,$C23)</f>
        <v>477.5</v>
      </c>
      <c r="F23" s="10">
        <f>_xll.AtlasFormulas.AtlasFunctions.AtlasBalance("PROD",DataAreaId,"T.InventTrans|inventDimId~inventDimId@T.InventDim","Sum|Qty|0","","","","","","","DateFinancial|ItemId|T2.InventSiteId|T2.InventLocationId",PeriodEnding,$A23,$B23,$C23)</f>
        <v>0</v>
      </c>
      <c r="G23" s="10">
        <f>AtlasReport_3_Table_1[[#This Row],[Current On-hand]]-AtlasReport_3_Table_1[[#This Row],[Trans backwords (Beginning)]]</f>
        <v>96.5</v>
      </c>
      <c r="H23" s="10">
        <f>AtlasReport_3_Table_1[[#This Row],[Current On-hand]]-AtlasReport_3_Table_1[[#This Row],[Trans backwords (Ending)]]</f>
        <v>574</v>
      </c>
    </row>
    <row r="24" spans="1:8" x14ac:dyDescent="0.25">
      <c r="A24" s="8" t="s">
        <v>275</v>
      </c>
      <c r="B24" s="8" t="s">
        <v>261</v>
      </c>
      <c r="C24" s="8" t="s">
        <v>81</v>
      </c>
      <c r="D24" s="10">
        <v>0</v>
      </c>
      <c r="E24" s="10">
        <f>_xll.AtlasFormulas.AtlasFunctions.AtlasBalance("PROD",DataAreaId,"T.InventTrans|inventDimId~inventDimId@T.InventDim","Sum|Qty|0","","","","","","","DateFinancial|ItemId|T2.InventSiteId|T2.InventLocationId",PeriodBeginning,$A24,$B24,$C24)</f>
        <v>0</v>
      </c>
      <c r="F24" s="10">
        <f>_xll.AtlasFormulas.AtlasFunctions.AtlasBalance("PROD",DataAreaId,"T.InventTrans|inventDimId~inventDimId@T.InventDim","Sum|Qty|0","","","","","","","DateFinancial|ItemId|T2.InventSiteId|T2.InventLocationId",PeriodEnding,$A24,$B24,$C24)</f>
        <v>0</v>
      </c>
      <c r="G24" s="10">
        <f>AtlasReport_3_Table_1[[#This Row],[Current On-hand]]-AtlasReport_3_Table_1[[#This Row],[Trans backwords (Beginning)]]</f>
        <v>0</v>
      </c>
      <c r="H24" s="10">
        <f>AtlasReport_3_Table_1[[#This Row],[Current On-hand]]-AtlasReport_3_Table_1[[#This Row],[Trans backwords (Ending)]]</f>
        <v>0</v>
      </c>
    </row>
    <row r="25" spans="1:8" x14ac:dyDescent="0.25">
      <c r="A25" s="8" t="s">
        <v>275</v>
      </c>
      <c r="B25" s="8" t="s">
        <v>261</v>
      </c>
      <c r="C25" s="8" t="s">
        <v>264</v>
      </c>
      <c r="D25" s="10">
        <v>1245</v>
      </c>
      <c r="E25" s="10">
        <f>_xll.AtlasFormulas.AtlasFunctions.AtlasBalance("PROD",DataAreaId,"T.InventTrans|inventDimId~inventDimId@T.InventDim","Sum|Qty|0","","","","","","","DateFinancial|ItemId|T2.InventSiteId|T2.InventLocationId",PeriodBeginning,$A25,$B25,$C25)</f>
        <v>-71</v>
      </c>
      <c r="F25" s="10">
        <f>_xll.AtlasFormulas.AtlasFunctions.AtlasBalance("PROD",DataAreaId,"T.InventTrans|inventDimId~inventDimId@T.InventDim","Sum|Qty|0","","","","","","","DateFinancial|ItemId|T2.InventSiteId|T2.InventLocationId",PeriodEnding,$A25,$B25,$C25)</f>
        <v>0</v>
      </c>
      <c r="G25" s="10">
        <f>AtlasReport_3_Table_1[[#This Row],[Current On-hand]]-AtlasReport_3_Table_1[[#This Row],[Trans backwords (Beginning)]]</f>
        <v>1316</v>
      </c>
      <c r="H25" s="10">
        <f>AtlasReport_3_Table_1[[#This Row],[Current On-hand]]-AtlasReport_3_Table_1[[#This Row],[Trans backwords (Ending)]]</f>
        <v>1245</v>
      </c>
    </row>
    <row r="26" spans="1:8" x14ac:dyDescent="0.25">
      <c r="A26" s="8" t="s">
        <v>276</v>
      </c>
      <c r="B26" s="8" t="s">
        <v>261</v>
      </c>
      <c r="C26" s="8" t="s">
        <v>81</v>
      </c>
      <c r="D26" s="10">
        <v>0</v>
      </c>
      <c r="E26" s="10">
        <f>_xll.AtlasFormulas.AtlasFunctions.AtlasBalance("PROD",DataAreaId,"T.InventTrans|inventDimId~inventDimId@T.InventDim","Sum|Qty|0","","","","","","","DateFinancial|ItemId|T2.InventSiteId|T2.InventLocationId",PeriodBeginning,$A26,$B26,$C26)</f>
        <v>0</v>
      </c>
      <c r="F26" s="10">
        <f>_xll.AtlasFormulas.AtlasFunctions.AtlasBalance("PROD",DataAreaId,"T.InventTrans|inventDimId~inventDimId@T.InventDim","Sum|Qty|0","","","","","","","DateFinancial|ItemId|T2.InventSiteId|T2.InventLocationId",PeriodEnding,$A26,$B26,$C26)</f>
        <v>0</v>
      </c>
      <c r="G26" s="10">
        <f>AtlasReport_3_Table_1[[#This Row],[Current On-hand]]-AtlasReport_3_Table_1[[#This Row],[Trans backwords (Beginning)]]</f>
        <v>0</v>
      </c>
      <c r="H26" s="10">
        <f>AtlasReport_3_Table_1[[#This Row],[Current On-hand]]-AtlasReport_3_Table_1[[#This Row],[Trans backwords (Ending)]]</f>
        <v>0</v>
      </c>
    </row>
    <row r="27" spans="1:8" x14ac:dyDescent="0.25">
      <c r="A27" s="8" t="s">
        <v>276</v>
      </c>
      <c r="B27" s="8" t="s">
        <v>261</v>
      </c>
      <c r="C27" s="8" t="s">
        <v>264</v>
      </c>
      <c r="D27" s="10">
        <v>8825</v>
      </c>
      <c r="E27" s="10">
        <f>_xll.AtlasFormulas.AtlasFunctions.AtlasBalance("PROD",DataAreaId,"T.InventTrans|inventDimId~inventDimId@T.InventDim","Sum|Qty|0","","","","","","","DateFinancial|ItemId|T2.InventSiteId|T2.InventLocationId",PeriodBeginning,$A27,$B27,$C27)</f>
        <v>-20.8</v>
      </c>
      <c r="F27" s="10">
        <f>_xll.AtlasFormulas.AtlasFunctions.AtlasBalance("PROD",DataAreaId,"T.InventTrans|inventDimId~inventDimId@T.InventDim","Sum|Qty|0","","","","","","","DateFinancial|ItemId|T2.InventSiteId|T2.InventLocationId",PeriodEnding,$A27,$B27,$C27)</f>
        <v>0</v>
      </c>
      <c r="G27" s="10">
        <f>AtlasReport_3_Table_1[[#This Row],[Current On-hand]]-AtlasReport_3_Table_1[[#This Row],[Trans backwords (Beginning)]]</f>
        <v>8845.7999999999993</v>
      </c>
      <c r="H27" s="10">
        <f>AtlasReport_3_Table_1[[#This Row],[Current On-hand]]-AtlasReport_3_Table_1[[#This Row],[Trans backwords (Ending)]]</f>
        <v>8825</v>
      </c>
    </row>
    <row r="28" spans="1:8" x14ac:dyDescent="0.25">
      <c r="A28" s="8" t="s">
        <v>277</v>
      </c>
      <c r="B28" s="8" t="s">
        <v>261</v>
      </c>
      <c r="C28" s="8" t="s">
        <v>81</v>
      </c>
      <c r="D28" s="10">
        <v>0</v>
      </c>
      <c r="E28" s="10">
        <f>_xll.AtlasFormulas.AtlasFunctions.AtlasBalance("PROD",DataAreaId,"T.InventTrans|inventDimId~inventDimId@T.InventDim","Sum|Qty|0","","","","","","","DateFinancial|ItemId|T2.InventSiteId|T2.InventLocationId",PeriodBeginning,$A28,$B28,$C28)</f>
        <v>0</v>
      </c>
      <c r="F28" s="10">
        <f>_xll.AtlasFormulas.AtlasFunctions.AtlasBalance("PROD",DataAreaId,"T.InventTrans|inventDimId~inventDimId@T.InventDim","Sum|Qty|0","","","","","","","DateFinancial|ItemId|T2.InventSiteId|T2.InventLocationId",PeriodEnding,$A28,$B28,$C28)</f>
        <v>0</v>
      </c>
      <c r="G28" s="10">
        <f>AtlasReport_3_Table_1[[#This Row],[Current On-hand]]-AtlasReport_3_Table_1[[#This Row],[Trans backwords (Beginning)]]</f>
        <v>0</v>
      </c>
      <c r="H28" s="10">
        <f>AtlasReport_3_Table_1[[#This Row],[Current On-hand]]-AtlasReport_3_Table_1[[#This Row],[Trans backwords (Ending)]]</f>
        <v>0</v>
      </c>
    </row>
    <row r="29" spans="1:8" x14ac:dyDescent="0.25">
      <c r="A29" s="8" t="s">
        <v>277</v>
      </c>
      <c r="B29" s="8" t="s">
        <v>261</v>
      </c>
      <c r="C29" s="8" t="s">
        <v>264</v>
      </c>
      <c r="D29" s="10">
        <v>675</v>
      </c>
      <c r="E29" s="10">
        <f>_xll.AtlasFormulas.AtlasFunctions.AtlasBalance("PROD",DataAreaId,"T.InventTrans|inventDimId~inventDimId@T.InventDim","Sum|Qty|0","","","","","","","DateFinancial|ItemId|T2.InventSiteId|T2.InventLocationId",PeriodBeginning,$A29,$B29,$C29)</f>
        <v>-43.2</v>
      </c>
      <c r="F29" s="10">
        <f>_xll.AtlasFormulas.AtlasFunctions.AtlasBalance("PROD",DataAreaId,"T.InventTrans|inventDimId~inventDimId@T.InventDim","Sum|Qty|0","","","","","","","DateFinancial|ItemId|T2.InventSiteId|T2.InventLocationId",PeriodEnding,$A29,$B29,$C29)</f>
        <v>0</v>
      </c>
      <c r="G29" s="10">
        <f>AtlasReport_3_Table_1[[#This Row],[Current On-hand]]-AtlasReport_3_Table_1[[#This Row],[Trans backwords (Beginning)]]</f>
        <v>718.2</v>
      </c>
      <c r="H29" s="10">
        <f>AtlasReport_3_Table_1[[#This Row],[Current On-hand]]-AtlasReport_3_Table_1[[#This Row],[Trans backwords (Ending)]]</f>
        <v>675</v>
      </c>
    </row>
    <row r="30" spans="1:8" x14ac:dyDescent="0.25">
      <c r="A30" s="8" t="s">
        <v>52</v>
      </c>
      <c r="B30" s="8" t="s">
        <v>261</v>
      </c>
      <c r="C30" s="8" t="s">
        <v>81</v>
      </c>
      <c r="D30" s="10">
        <v>0</v>
      </c>
      <c r="E30" s="10">
        <f>_xll.AtlasFormulas.AtlasFunctions.AtlasBalance("PROD",DataAreaId,"T.InventTrans|inventDimId~inventDimId@T.InventDim","Sum|Qty|0","","","","","","","DateFinancial|ItemId|T2.InventSiteId|T2.InventLocationId",PeriodBeginning,$A30,$B30,$C30)</f>
        <v>0</v>
      </c>
      <c r="F30" s="10">
        <f>_xll.AtlasFormulas.AtlasFunctions.AtlasBalance("PROD",DataAreaId,"T.InventTrans|inventDimId~inventDimId@T.InventDim","Sum|Qty|0","","","","","","","DateFinancial|ItemId|T2.InventSiteId|T2.InventLocationId",PeriodEnding,$A30,$B30,$C30)</f>
        <v>0</v>
      </c>
      <c r="G30" s="10">
        <f>AtlasReport_3_Table_1[[#This Row],[Current On-hand]]-AtlasReport_3_Table_1[[#This Row],[Trans backwords (Beginning)]]</f>
        <v>0</v>
      </c>
      <c r="H30" s="10">
        <f>AtlasReport_3_Table_1[[#This Row],[Current On-hand]]-AtlasReport_3_Table_1[[#This Row],[Trans backwords (Ending)]]</f>
        <v>0</v>
      </c>
    </row>
    <row r="31" spans="1:8" x14ac:dyDescent="0.25">
      <c r="A31" s="8" t="s">
        <v>52</v>
      </c>
      <c r="B31" s="8" t="s">
        <v>261</v>
      </c>
      <c r="C31" s="8" t="s">
        <v>262</v>
      </c>
      <c r="D31" s="10">
        <v>0</v>
      </c>
      <c r="E31" s="10">
        <f>_xll.AtlasFormulas.AtlasFunctions.AtlasBalance("PROD",DataAreaId,"T.InventTrans|inventDimId~inventDimId@T.InventDim","Sum|Qty|0","","","","","","","DateFinancial|ItemId|T2.InventSiteId|T2.InventLocationId",PeriodBeginning,$A31,$B31,$C31)</f>
        <v>0</v>
      </c>
      <c r="F31" s="10">
        <f>_xll.AtlasFormulas.AtlasFunctions.AtlasBalance("PROD",DataAreaId,"T.InventTrans|inventDimId~inventDimId@T.InventDim","Sum|Qty|0","","","","","","","DateFinancial|ItemId|T2.InventSiteId|T2.InventLocationId",PeriodEnding,$A31,$B31,$C31)</f>
        <v>0</v>
      </c>
      <c r="G31" s="10">
        <f>AtlasReport_3_Table_1[[#This Row],[Current On-hand]]-AtlasReport_3_Table_1[[#This Row],[Trans backwords (Beginning)]]</f>
        <v>0</v>
      </c>
      <c r="H31" s="10">
        <f>AtlasReport_3_Table_1[[#This Row],[Current On-hand]]-AtlasReport_3_Table_1[[#This Row],[Trans backwords (Ending)]]</f>
        <v>0</v>
      </c>
    </row>
    <row r="32" spans="1:8" x14ac:dyDescent="0.25">
      <c r="A32" s="8" t="s">
        <v>52</v>
      </c>
      <c r="B32" s="8" t="s">
        <v>261</v>
      </c>
      <c r="C32" s="8" t="s">
        <v>264</v>
      </c>
      <c r="D32" s="10">
        <v>39232.050000000003</v>
      </c>
      <c r="E32" s="10">
        <f>_xll.AtlasFormulas.AtlasFunctions.AtlasBalance("PROD",DataAreaId,"T.InventTrans|inventDimId~inventDimId@T.InventDim","Sum|Qty|0","","","","","","","DateFinancial|ItemId|T2.InventSiteId|T2.InventLocationId",PeriodBeginning,$A32,$B32,$C32)</f>
        <v>-1210.6500000000001</v>
      </c>
      <c r="F32" s="10">
        <f>_xll.AtlasFormulas.AtlasFunctions.AtlasBalance("PROD",DataAreaId,"T.InventTrans|inventDimId~inventDimId@T.InventDim","Sum|Qty|0","","","","","","","DateFinancial|ItemId|T2.InventSiteId|T2.InventLocationId",PeriodEnding,$A32,$B32,$C32)</f>
        <v>0</v>
      </c>
      <c r="G32" s="10">
        <f>AtlasReport_3_Table_1[[#This Row],[Current On-hand]]-AtlasReport_3_Table_1[[#This Row],[Trans backwords (Beginning)]]</f>
        <v>40442.700000000004</v>
      </c>
      <c r="H32" s="10">
        <f>AtlasReport_3_Table_1[[#This Row],[Current On-hand]]-AtlasReport_3_Table_1[[#This Row],[Trans backwords (Ending)]]</f>
        <v>39232.050000000003</v>
      </c>
    </row>
    <row r="33" spans="1:8" x14ac:dyDescent="0.25">
      <c r="A33" s="8" t="s">
        <v>136</v>
      </c>
      <c r="B33" s="8" t="s">
        <v>261</v>
      </c>
      <c r="C33" s="8" t="s">
        <v>81</v>
      </c>
      <c r="D33" s="10">
        <v>0</v>
      </c>
      <c r="E33" s="10">
        <f>_xll.AtlasFormulas.AtlasFunctions.AtlasBalance("PROD",DataAreaId,"T.InventTrans|inventDimId~inventDimId@T.InventDim","Sum|Qty|0","","","","","","","DateFinancial|ItemId|T2.InventSiteId|T2.InventLocationId",PeriodBeginning,$A33,$B33,$C33)</f>
        <v>0</v>
      </c>
      <c r="F33" s="10">
        <f>_xll.AtlasFormulas.AtlasFunctions.AtlasBalance("PROD",DataAreaId,"T.InventTrans|inventDimId~inventDimId@T.InventDim","Sum|Qty|0","","","","","","","DateFinancial|ItemId|T2.InventSiteId|T2.InventLocationId",PeriodEnding,$A33,$B33,$C33)</f>
        <v>0</v>
      </c>
      <c r="G33" s="10">
        <f>AtlasReport_3_Table_1[[#This Row],[Current On-hand]]-AtlasReport_3_Table_1[[#This Row],[Trans backwords (Beginning)]]</f>
        <v>0</v>
      </c>
      <c r="H33" s="10">
        <f>AtlasReport_3_Table_1[[#This Row],[Current On-hand]]-AtlasReport_3_Table_1[[#This Row],[Trans backwords (Ending)]]</f>
        <v>0</v>
      </c>
    </row>
    <row r="34" spans="1:8" x14ac:dyDescent="0.25">
      <c r="A34" s="8" t="s">
        <v>136</v>
      </c>
      <c r="B34" s="8" t="s">
        <v>261</v>
      </c>
      <c r="C34" s="8" t="s">
        <v>262</v>
      </c>
      <c r="D34" s="10">
        <v>0</v>
      </c>
      <c r="E34" s="10">
        <f>_xll.AtlasFormulas.AtlasFunctions.AtlasBalance("PROD",DataAreaId,"T.InventTrans|inventDimId~inventDimId@T.InventDim","Sum|Qty|0","","","","","","","DateFinancial|ItemId|T2.InventSiteId|T2.InventLocationId",PeriodBeginning,$A34,$B34,$C34)</f>
        <v>0</v>
      </c>
      <c r="F34" s="10">
        <f>_xll.AtlasFormulas.AtlasFunctions.AtlasBalance("PROD",DataAreaId,"T.InventTrans|inventDimId~inventDimId@T.InventDim","Sum|Qty|0","","","","","","","DateFinancial|ItemId|T2.InventSiteId|T2.InventLocationId",PeriodEnding,$A34,$B34,$C34)</f>
        <v>0</v>
      </c>
      <c r="G34" s="10">
        <f>AtlasReport_3_Table_1[[#This Row],[Current On-hand]]-AtlasReport_3_Table_1[[#This Row],[Trans backwords (Beginning)]]</f>
        <v>0</v>
      </c>
      <c r="H34" s="10">
        <f>AtlasReport_3_Table_1[[#This Row],[Current On-hand]]-AtlasReport_3_Table_1[[#This Row],[Trans backwords (Ending)]]</f>
        <v>0</v>
      </c>
    </row>
    <row r="35" spans="1:8" x14ac:dyDescent="0.25">
      <c r="A35" s="8" t="s">
        <v>136</v>
      </c>
      <c r="B35" s="8" t="s">
        <v>261</v>
      </c>
      <c r="C35" s="8" t="s">
        <v>264</v>
      </c>
      <c r="D35" s="10">
        <v>8404.5</v>
      </c>
      <c r="E35" s="10">
        <f>_xll.AtlasFormulas.AtlasFunctions.AtlasBalance("PROD",DataAreaId,"T.InventTrans|inventDimId~inventDimId@T.InventDim","Sum|Qty|0","","","","","","","DateFinancial|ItemId|T2.InventSiteId|T2.InventLocationId",PeriodBeginning,$A35,$B35,$C35)</f>
        <v>-14.6</v>
      </c>
      <c r="F35" s="10">
        <f>_xll.AtlasFormulas.AtlasFunctions.AtlasBalance("PROD",DataAreaId,"T.InventTrans|inventDimId~inventDimId@T.InventDim","Sum|Qty|0","","","","","","","DateFinancial|ItemId|T2.InventSiteId|T2.InventLocationId",PeriodEnding,$A35,$B35,$C35)</f>
        <v>0</v>
      </c>
      <c r="G35" s="10">
        <f>AtlasReport_3_Table_1[[#This Row],[Current On-hand]]-AtlasReport_3_Table_1[[#This Row],[Trans backwords (Beginning)]]</f>
        <v>8419.1</v>
      </c>
      <c r="H35" s="10">
        <f>AtlasReport_3_Table_1[[#This Row],[Current On-hand]]-AtlasReport_3_Table_1[[#This Row],[Trans backwords (Ending)]]</f>
        <v>8404.5</v>
      </c>
    </row>
    <row r="36" spans="1:8" x14ac:dyDescent="0.25">
      <c r="A36" s="8" t="s">
        <v>278</v>
      </c>
      <c r="B36" s="8" t="s">
        <v>261</v>
      </c>
      <c r="C36" s="8" t="s">
        <v>264</v>
      </c>
      <c r="D36" s="10">
        <v>429.31000000000006</v>
      </c>
      <c r="E36" s="10">
        <f>_xll.AtlasFormulas.AtlasFunctions.AtlasBalance("PROD",DataAreaId,"T.InventTrans|inventDimId~inventDimId@T.InventDim","Sum|Qty|0","","","","","","","DateFinancial|ItemId|T2.InventSiteId|T2.InventLocationId",PeriodBeginning,$A36,$B36,$C36)</f>
        <v>11.81</v>
      </c>
      <c r="F36" s="10">
        <f>_xll.AtlasFormulas.AtlasFunctions.AtlasBalance("PROD",DataAreaId,"T.InventTrans|inventDimId~inventDimId@T.InventDim","Sum|Qty|0","","","","","","","DateFinancial|ItemId|T2.InventSiteId|T2.InventLocationId",PeriodEnding,$A36,$B36,$C36)</f>
        <v>0</v>
      </c>
      <c r="G36" s="10">
        <f>AtlasReport_3_Table_1[[#This Row],[Current On-hand]]-AtlasReport_3_Table_1[[#This Row],[Trans backwords (Beginning)]]</f>
        <v>417.50000000000006</v>
      </c>
      <c r="H36" s="10">
        <f>AtlasReport_3_Table_1[[#This Row],[Current On-hand]]-AtlasReport_3_Table_1[[#This Row],[Trans backwords (Ending)]]</f>
        <v>429.31000000000006</v>
      </c>
    </row>
    <row r="37" spans="1:8" x14ac:dyDescent="0.25">
      <c r="A37" s="8" t="s">
        <v>279</v>
      </c>
      <c r="B37" s="8" t="s">
        <v>261</v>
      </c>
      <c r="C37" s="8" t="s">
        <v>81</v>
      </c>
      <c r="D37" s="10">
        <v>0</v>
      </c>
      <c r="E37" s="10">
        <f>_xll.AtlasFormulas.AtlasFunctions.AtlasBalance("PROD",DataAreaId,"T.InventTrans|inventDimId~inventDimId@T.InventDim","Sum|Qty|0","","","","","","","DateFinancial|ItemId|T2.InventSiteId|T2.InventLocationId",PeriodBeginning,$A37,$B37,$C37)</f>
        <v>0</v>
      </c>
      <c r="F37" s="10">
        <f>_xll.AtlasFormulas.AtlasFunctions.AtlasBalance("PROD",DataAreaId,"T.InventTrans|inventDimId~inventDimId@T.InventDim","Sum|Qty|0","","","","","","","DateFinancial|ItemId|T2.InventSiteId|T2.InventLocationId",PeriodEnding,$A37,$B37,$C37)</f>
        <v>0</v>
      </c>
      <c r="G37" s="10">
        <f>AtlasReport_3_Table_1[[#This Row],[Current On-hand]]-AtlasReport_3_Table_1[[#This Row],[Trans backwords (Beginning)]]</f>
        <v>0</v>
      </c>
      <c r="H37" s="10">
        <f>AtlasReport_3_Table_1[[#This Row],[Current On-hand]]-AtlasReport_3_Table_1[[#This Row],[Trans backwords (Ending)]]</f>
        <v>0</v>
      </c>
    </row>
    <row r="38" spans="1:8" x14ac:dyDescent="0.25">
      <c r="A38" s="8" t="s">
        <v>279</v>
      </c>
      <c r="B38" s="8" t="s">
        <v>261</v>
      </c>
      <c r="C38" s="8" t="s">
        <v>264</v>
      </c>
      <c r="D38" s="10">
        <v>0</v>
      </c>
      <c r="E38" s="10">
        <f>_xll.AtlasFormulas.AtlasFunctions.AtlasBalance("PROD",DataAreaId,"T.InventTrans|inventDimId~inventDimId@T.InventDim","Sum|Qty|0","","","","","","","DateFinancial|ItemId|T2.InventSiteId|T2.InventLocationId",PeriodBeginning,$A38,$B38,$C38)</f>
        <v>0</v>
      </c>
      <c r="F38" s="10">
        <f>_xll.AtlasFormulas.AtlasFunctions.AtlasBalance("PROD",DataAreaId,"T.InventTrans|inventDimId~inventDimId@T.InventDim","Sum|Qty|0","","","","","","","DateFinancial|ItemId|T2.InventSiteId|T2.InventLocationId",PeriodEnding,$A38,$B38,$C38)</f>
        <v>0</v>
      </c>
      <c r="G38" s="10">
        <f>AtlasReport_3_Table_1[[#This Row],[Current On-hand]]-AtlasReport_3_Table_1[[#This Row],[Trans backwords (Beginning)]]</f>
        <v>0</v>
      </c>
      <c r="H38" s="10">
        <f>AtlasReport_3_Table_1[[#This Row],[Current On-hand]]-AtlasReport_3_Table_1[[#This Row],[Trans backwords (Ending)]]</f>
        <v>0</v>
      </c>
    </row>
    <row r="39" spans="1:8" x14ac:dyDescent="0.25">
      <c r="A39" s="8" t="s">
        <v>280</v>
      </c>
      <c r="B39" s="8" t="s">
        <v>261</v>
      </c>
      <c r="C39" s="8" t="s">
        <v>264</v>
      </c>
      <c r="D39" s="10">
        <v>10</v>
      </c>
      <c r="E39" s="10">
        <f>_xll.AtlasFormulas.AtlasFunctions.AtlasBalance("PROD",DataAreaId,"T.InventTrans|inventDimId~inventDimId@T.InventDim","Sum|Qty|0","","","","","","","DateFinancial|ItemId|T2.InventSiteId|T2.InventLocationId",PeriodBeginning,$A39,$B39,$C39)</f>
        <v>0</v>
      </c>
      <c r="F39" s="10">
        <f>_xll.AtlasFormulas.AtlasFunctions.AtlasBalance("PROD",DataAreaId,"T.InventTrans|inventDimId~inventDimId@T.InventDim","Sum|Qty|0","","","","","","","DateFinancial|ItemId|T2.InventSiteId|T2.InventLocationId",PeriodEnding,$A39,$B39,$C39)</f>
        <v>0</v>
      </c>
      <c r="G39" s="10">
        <f>AtlasReport_3_Table_1[[#This Row],[Current On-hand]]-AtlasReport_3_Table_1[[#This Row],[Trans backwords (Beginning)]]</f>
        <v>10</v>
      </c>
      <c r="H39" s="10">
        <f>AtlasReport_3_Table_1[[#This Row],[Current On-hand]]-AtlasReport_3_Table_1[[#This Row],[Trans backwords (Ending)]]</f>
        <v>10</v>
      </c>
    </row>
    <row r="40" spans="1:8" x14ac:dyDescent="0.25">
      <c r="A40" s="8" t="s">
        <v>281</v>
      </c>
      <c r="B40" s="8" t="s">
        <v>261</v>
      </c>
      <c r="C40" s="8" t="s">
        <v>264</v>
      </c>
      <c r="D40" s="10">
        <v>4</v>
      </c>
      <c r="E40" s="10">
        <f>_xll.AtlasFormulas.AtlasFunctions.AtlasBalance("PROD",DataAreaId,"T.InventTrans|inventDimId~inventDimId@T.InventDim","Sum|Qty|0","","","","","","","DateFinancial|ItemId|T2.InventSiteId|T2.InventLocationId",PeriodBeginning,$A40,$B40,$C40)</f>
        <v>0</v>
      </c>
      <c r="F40" s="10">
        <f>_xll.AtlasFormulas.AtlasFunctions.AtlasBalance("PROD",DataAreaId,"T.InventTrans|inventDimId~inventDimId@T.InventDim","Sum|Qty|0","","","","","","","DateFinancial|ItemId|T2.InventSiteId|T2.InventLocationId",PeriodEnding,$A40,$B40,$C40)</f>
        <v>0</v>
      </c>
      <c r="G40" s="10">
        <f>AtlasReport_3_Table_1[[#This Row],[Current On-hand]]-AtlasReport_3_Table_1[[#This Row],[Trans backwords (Beginning)]]</f>
        <v>4</v>
      </c>
      <c r="H40" s="10">
        <f>AtlasReport_3_Table_1[[#This Row],[Current On-hand]]-AtlasReport_3_Table_1[[#This Row],[Trans backwords (Ending)]]</f>
        <v>4</v>
      </c>
    </row>
    <row r="41" spans="1:8" x14ac:dyDescent="0.25">
      <c r="A41" s="8" t="s">
        <v>282</v>
      </c>
      <c r="B41" s="8" t="s">
        <v>261</v>
      </c>
      <c r="C41" s="8" t="s">
        <v>81</v>
      </c>
      <c r="D41" s="10">
        <v>0</v>
      </c>
      <c r="E41" s="10">
        <f>_xll.AtlasFormulas.AtlasFunctions.AtlasBalance("PROD",DataAreaId,"T.InventTrans|inventDimId~inventDimId@T.InventDim","Sum|Qty|0","","","","","","","DateFinancial|ItemId|T2.InventSiteId|T2.InventLocationId",PeriodBeginning,$A41,$B41,$C41)</f>
        <v>0</v>
      </c>
      <c r="F41" s="10">
        <f>_xll.AtlasFormulas.AtlasFunctions.AtlasBalance("PROD",DataAreaId,"T.InventTrans|inventDimId~inventDimId@T.InventDim","Sum|Qty|0","","","","","","","DateFinancial|ItemId|T2.InventSiteId|T2.InventLocationId",PeriodEnding,$A41,$B41,$C41)</f>
        <v>0</v>
      </c>
      <c r="G41" s="10">
        <f>AtlasReport_3_Table_1[[#This Row],[Current On-hand]]-AtlasReport_3_Table_1[[#This Row],[Trans backwords (Beginning)]]</f>
        <v>0</v>
      </c>
      <c r="H41" s="10">
        <f>AtlasReport_3_Table_1[[#This Row],[Current On-hand]]-AtlasReport_3_Table_1[[#This Row],[Trans backwords (Ending)]]</f>
        <v>0</v>
      </c>
    </row>
    <row r="42" spans="1:8" x14ac:dyDescent="0.25">
      <c r="A42" s="8" t="s">
        <v>282</v>
      </c>
      <c r="B42" s="8" t="s">
        <v>261</v>
      </c>
      <c r="C42" s="8" t="s">
        <v>264</v>
      </c>
      <c r="D42" s="10">
        <v>435</v>
      </c>
      <c r="E42" s="10">
        <f>_xll.AtlasFormulas.AtlasFunctions.AtlasBalance("PROD",DataAreaId,"T.InventTrans|inventDimId~inventDimId@T.InventDim","Sum|Qty|0","","","","","","","DateFinancial|ItemId|T2.InventSiteId|T2.InventLocationId",PeriodBeginning,$A42,$B42,$C42)</f>
        <v>0</v>
      </c>
      <c r="F42" s="10">
        <f>_xll.AtlasFormulas.AtlasFunctions.AtlasBalance("PROD",DataAreaId,"T.InventTrans|inventDimId~inventDimId@T.InventDim","Sum|Qty|0","","","","","","","DateFinancial|ItemId|T2.InventSiteId|T2.InventLocationId",PeriodEnding,$A42,$B42,$C42)</f>
        <v>0</v>
      </c>
      <c r="G42" s="10">
        <f>AtlasReport_3_Table_1[[#This Row],[Current On-hand]]-AtlasReport_3_Table_1[[#This Row],[Trans backwords (Beginning)]]</f>
        <v>435</v>
      </c>
      <c r="H42" s="10">
        <f>AtlasReport_3_Table_1[[#This Row],[Current On-hand]]-AtlasReport_3_Table_1[[#This Row],[Trans backwords (Ending)]]</f>
        <v>435</v>
      </c>
    </row>
    <row r="43" spans="1:8" x14ac:dyDescent="0.25">
      <c r="A43" s="8" t="s">
        <v>283</v>
      </c>
      <c r="B43" s="8" t="s">
        <v>261</v>
      </c>
      <c r="C43" s="8" t="s">
        <v>81</v>
      </c>
      <c r="D43" s="10">
        <v>0</v>
      </c>
      <c r="E43" s="10">
        <f>_xll.AtlasFormulas.AtlasFunctions.AtlasBalance("PROD",DataAreaId,"T.InventTrans|inventDimId~inventDimId@T.InventDim","Sum|Qty|0","","","","","","","DateFinancial|ItemId|T2.InventSiteId|T2.InventLocationId",PeriodBeginning,$A43,$B43,$C43)</f>
        <v>0</v>
      </c>
      <c r="F43" s="10">
        <f>_xll.AtlasFormulas.AtlasFunctions.AtlasBalance("PROD",DataAreaId,"T.InventTrans|inventDimId~inventDimId@T.InventDim","Sum|Qty|0","","","","","","","DateFinancial|ItemId|T2.InventSiteId|T2.InventLocationId",PeriodEnding,$A43,$B43,$C43)</f>
        <v>0</v>
      </c>
      <c r="G43" s="10">
        <f>AtlasReport_3_Table_1[[#This Row],[Current On-hand]]-AtlasReport_3_Table_1[[#This Row],[Trans backwords (Beginning)]]</f>
        <v>0</v>
      </c>
      <c r="H43" s="10">
        <f>AtlasReport_3_Table_1[[#This Row],[Current On-hand]]-AtlasReport_3_Table_1[[#This Row],[Trans backwords (Ending)]]</f>
        <v>0</v>
      </c>
    </row>
    <row r="44" spans="1:8" x14ac:dyDescent="0.25">
      <c r="A44" s="8" t="s">
        <v>283</v>
      </c>
      <c r="B44" s="8" t="s">
        <v>261</v>
      </c>
      <c r="C44" s="8" t="s">
        <v>262</v>
      </c>
      <c r="D44" s="10">
        <v>0</v>
      </c>
      <c r="E44" s="10">
        <f>_xll.AtlasFormulas.AtlasFunctions.AtlasBalance("PROD",DataAreaId,"T.InventTrans|inventDimId~inventDimId@T.InventDim","Sum|Qty|0","","","","","","","DateFinancial|ItemId|T2.InventSiteId|T2.InventLocationId",PeriodBeginning,$A44,$B44,$C44)</f>
        <v>0</v>
      </c>
      <c r="F44" s="10">
        <f>_xll.AtlasFormulas.AtlasFunctions.AtlasBalance("PROD",DataAreaId,"T.InventTrans|inventDimId~inventDimId@T.InventDim","Sum|Qty|0","","","","","","","DateFinancial|ItemId|T2.InventSiteId|T2.InventLocationId",PeriodEnding,$A44,$B44,$C44)</f>
        <v>0</v>
      </c>
      <c r="G44" s="10">
        <f>AtlasReport_3_Table_1[[#This Row],[Current On-hand]]-AtlasReport_3_Table_1[[#This Row],[Trans backwords (Beginning)]]</f>
        <v>0</v>
      </c>
      <c r="H44" s="10">
        <f>AtlasReport_3_Table_1[[#This Row],[Current On-hand]]-AtlasReport_3_Table_1[[#This Row],[Trans backwords (Ending)]]</f>
        <v>0</v>
      </c>
    </row>
    <row r="45" spans="1:8" x14ac:dyDescent="0.25">
      <c r="A45" s="8" t="s">
        <v>283</v>
      </c>
      <c r="B45" s="8" t="s">
        <v>261</v>
      </c>
      <c r="C45" s="8" t="s">
        <v>264</v>
      </c>
      <c r="D45" s="10">
        <v>10864</v>
      </c>
      <c r="E45" s="10">
        <f>_xll.AtlasFormulas.AtlasFunctions.AtlasBalance("PROD",DataAreaId,"T.InventTrans|inventDimId~inventDimId@T.InventDim","Sum|Qty|0","","","","","","","DateFinancial|ItemId|T2.InventSiteId|T2.InventLocationId",PeriodBeginning,$A45,$B45,$C45)</f>
        <v>-32</v>
      </c>
      <c r="F45" s="10">
        <f>_xll.AtlasFormulas.AtlasFunctions.AtlasBalance("PROD",DataAreaId,"T.InventTrans|inventDimId~inventDimId@T.InventDim","Sum|Qty|0","","","","","","","DateFinancial|ItemId|T2.InventSiteId|T2.InventLocationId",PeriodEnding,$A45,$B45,$C45)</f>
        <v>0</v>
      </c>
      <c r="G45" s="10">
        <f>AtlasReport_3_Table_1[[#This Row],[Current On-hand]]-AtlasReport_3_Table_1[[#This Row],[Trans backwords (Beginning)]]</f>
        <v>10896</v>
      </c>
      <c r="H45" s="10">
        <f>AtlasReport_3_Table_1[[#This Row],[Current On-hand]]-AtlasReport_3_Table_1[[#This Row],[Trans backwords (Ending)]]</f>
        <v>10864</v>
      </c>
    </row>
    <row r="46" spans="1:8" x14ac:dyDescent="0.25">
      <c r="A46" s="8" t="s">
        <v>284</v>
      </c>
      <c r="B46" s="8" t="s">
        <v>261</v>
      </c>
      <c r="C46" s="8" t="s">
        <v>81</v>
      </c>
      <c r="D46" s="10">
        <v>0</v>
      </c>
      <c r="E46" s="10">
        <f>_xll.AtlasFormulas.AtlasFunctions.AtlasBalance("PROD",DataAreaId,"T.InventTrans|inventDimId~inventDimId@T.InventDim","Sum|Qty|0","","","","","","","DateFinancial|ItemId|T2.InventSiteId|T2.InventLocationId",PeriodBeginning,$A46,$B46,$C46)</f>
        <v>0</v>
      </c>
      <c r="F46" s="10">
        <f>_xll.AtlasFormulas.AtlasFunctions.AtlasBalance("PROD",DataAreaId,"T.InventTrans|inventDimId~inventDimId@T.InventDim","Sum|Qty|0","","","","","","","DateFinancial|ItemId|T2.InventSiteId|T2.InventLocationId",PeriodEnding,$A46,$B46,$C46)</f>
        <v>0</v>
      </c>
      <c r="G46" s="10">
        <f>AtlasReport_3_Table_1[[#This Row],[Current On-hand]]-AtlasReport_3_Table_1[[#This Row],[Trans backwords (Beginning)]]</f>
        <v>0</v>
      </c>
      <c r="H46" s="10">
        <f>AtlasReport_3_Table_1[[#This Row],[Current On-hand]]-AtlasReport_3_Table_1[[#This Row],[Trans backwords (Ending)]]</f>
        <v>0</v>
      </c>
    </row>
    <row r="47" spans="1:8" x14ac:dyDescent="0.25">
      <c r="A47" s="8" t="s">
        <v>284</v>
      </c>
      <c r="B47" s="8" t="s">
        <v>261</v>
      </c>
      <c r="C47" s="8" t="s">
        <v>262</v>
      </c>
      <c r="D47" s="10">
        <v>0</v>
      </c>
      <c r="E47" s="10">
        <f>_xll.AtlasFormulas.AtlasFunctions.AtlasBalance("PROD",DataAreaId,"T.InventTrans|inventDimId~inventDimId@T.InventDim","Sum|Qty|0","","","","","","","DateFinancial|ItemId|T2.InventSiteId|T2.InventLocationId",PeriodBeginning,$A47,$B47,$C47)</f>
        <v>0</v>
      </c>
      <c r="F47" s="10">
        <f>_xll.AtlasFormulas.AtlasFunctions.AtlasBalance("PROD",DataAreaId,"T.InventTrans|inventDimId~inventDimId@T.InventDim","Sum|Qty|0","","","","","","","DateFinancial|ItemId|T2.InventSiteId|T2.InventLocationId",PeriodEnding,$A47,$B47,$C47)</f>
        <v>0</v>
      </c>
      <c r="G47" s="10">
        <f>AtlasReport_3_Table_1[[#This Row],[Current On-hand]]-AtlasReport_3_Table_1[[#This Row],[Trans backwords (Beginning)]]</f>
        <v>0</v>
      </c>
      <c r="H47" s="10">
        <f>AtlasReport_3_Table_1[[#This Row],[Current On-hand]]-AtlasReport_3_Table_1[[#This Row],[Trans backwords (Ending)]]</f>
        <v>0</v>
      </c>
    </row>
    <row r="48" spans="1:8" x14ac:dyDescent="0.25">
      <c r="A48" s="8" t="s">
        <v>284</v>
      </c>
      <c r="B48" s="8" t="s">
        <v>261</v>
      </c>
      <c r="C48" s="8" t="s">
        <v>264</v>
      </c>
      <c r="D48" s="10">
        <v>9077.25</v>
      </c>
      <c r="E48" s="10">
        <f>_xll.AtlasFormulas.AtlasFunctions.AtlasBalance("PROD",DataAreaId,"T.InventTrans|inventDimId~inventDimId@T.InventDim","Sum|Qty|0","","","","","","","DateFinancial|ItemId|T2.InventSiteId|T2.InventLocationId",PeriodBeginning,$A48,$B48,$C48)</f>
        <v>-15.6</v>
      </c>
      <c r="F48" s="10">
        <f>_xll.AtlasFormulas.AtlasFunctions.AtlasBalance("PROD",DataAreaId,"T.InventTrans|inventDimId~inventDimId@T.InventDim","Sum|Qty|0","","","","","","","DateFinancial|ItemId|T2.InventSiteId|T2.InventLocationId",PeriodEnding,$A48,$B48,$C48)</f>
        <v>0</v>
      </c>
      <c r="G48" s="10">
        <f>AtlasReport_3_Table_1[[#This Row],[Current On-hand]]-AtlasReport_3_Table_1[[#This Row],[Trans backwords (Beginning)]]</f>
        <v>9092.85</v>
      </c>
      <c r="H48" s="10">
        <f>AtlasReport_3_Table_1[[#This Row],[Current On-hand]]-AtlasReport_3_Table_1[[#This Row],[Trans backwords (Ending)]]</f>
        <v>9077.25</v>
      </c>
    </row>
    <row r="49" spans="1:8" x14ac:dyDescent="0.25">
      <c r="A49" s="8" t="s">
        <v>137</v>
      </c>
      <c r="B49" s="8" t="s">
        <v>261</v>
      </c>
      <c r="C49" s="8" t="s">
        <v>81</v>
      </c>
      <c r="D49" s="10">
        <v>0</v>
      </c>
      <c r="E49" s="10">
        <f>_xll.AtlasFormulas.AtlasFunctions.AtlasBalance("PROD",DataAreaId,"T.InventTrans|inventDimId~inventDimId@T.InventDim","Sum|Qty|0","","","","","","","DateFinancial|ItemId|T2.InventSiteId|T2.InventLocationId",PeriodBeginning,$A49,$B49,$C49)</f>
        <v>0</v>
      </c>
      <c r="F49" s="10">
        <f>_xll.AtlasFormulas.AtlasFunctions.AtlasBalance("PROD",DataAreaId,"T.InventTrans|inventDimId~inventDimId@T.InventDim","Sum|Qty|0","","","","","","","DateFinancial|ItemId|T2.InventSiteId|T2.InventLocationId",PeriodEnding,$A49,$B49,$C49)</f>
        <v>0</v>
      </c>
      <c r="G49" s="10">
        <f>AtlasReport_3_Table_1[[#This Row],[Current On-hand]]-AtlasReport_3_Table_1[[#This Row],[Trans backwords (Beginning)]]</f>
        <v>0</v>
      </c>
      <c r="H49" s="10">
        <f>AtlasReport_3_Table_1[[#This Row],[Current On-hand]]-AtlasReport_3_Table_1[[#This Row],[Trans backwords (Ending)]]</f>
        <v>0</v>
      </c>
    </row>
    <row r="50" spans="1:8" x14ac:dyDescent="0.25">
      <c r="A50" s="8" t="s">
        <v>137</v>
      </c>
      <c r="B50" s="8" t="s">
        <v>261</v>
      </c>
      <c r="C50" s="8" t="s">
        <v>262</v>
      </c>
      <c r="D50" s="10">
        <v>0</v>
      </c>
      <c r="E50" s="10">
        <f>_xll.AtlasFormulas.AtlasFunctions.AtlasBalance("PROD",DataAreaId,"T.InventTrans|inventDimId~inventDimId@T.InventDim","Sum|Qty|0","","","","","","","DateFinancial|ItemId|T2.InventSiteId|T2.InventLocationId",PeriodBeginning,$A50,$B50,$C50)</f>
        <v>0</v>
      </c>
      <c r="F50" s="10">
        <f>_xll.AtlasFormulas.AtlasFunctions.AtlasBalance("PROD",DataAreaId,"T.InventTrans|inventDimId~inventDimId@T.InventDim","Sum|Qty|0","","","","","","","DateFinancial|ItemId|T2.InventSiteId|T2.InventLocationId",PeriodEnding,$A50,$B50,$C50)</f>
        <v>0</v>
      </c>
      <c r="G50" s="10">
        <f>AtlasReport_3_Table_1[[#This Row],[Current On-hand]]-AtlasReport_3_Table_1[[#This Row],[Trans backwords (Beginning)]]</f>
        <v>0</v>
      </c>
      <c r="H50" s="10">
        <f>AtlasReport_3_Table_1[[#This Row],[Current On-hand]]-AtlasReport_3_Table_1[[#This Row],[Trans backwords (Ending)]]</f>
        <v>0</v>
      </c>
    </row>
    <row r="51" spans="1:8" x14ac:dyDescent="0.25">
      <c r="A51" s="8" t="s">
        <v>137</v>
      </c>
      <c r="B51" s="8" t="s">
        <v>261</v>
      </c>
      <c r="C51" s="8" t="s">
        <v>264</v>
      </c>
      <c r="D51" s="10">
        <v>12823</v>
      </c>
      <c r="E51" s="10">
        <f>_xll.AtlasFormulas.AtlasFunctions.AtlasBalance("PROD",DataAreaId,"T.InventTrans|inventDimId~inventDimId@T.InventDim","Sum|Qty|0","","","","","","","DateFinancial|ItemId|T2.InventSiteId|T2.InventLocationId",PeriodBeginning,$A51,$B51,$C51)</f>
        <v>29.05</v>
      </c>
      <c r="F51" s="10">
        <f>_xll.AtlasFormulas.AtlasFunctions.AtlasBalance("PROD",DataAreaId,"T.InventTrans|inventDimId~inventDimId@T.InventDim","Sum|Qty|0","","","","","","","DateFinancial|ItemId|T2.InventSiteId|T2.InventLocationId",PeriodEnding,$A51,$B51,$C51)</f>
        <v>0</v>
      </c>
      <c r="G51" s="10">
        <f>AtlasReport_3_Table_1[[#This Row],[Current On-hand]]-AtlasReport_3_Table_1[[#This Row],[Trans backwords (Beginning)]]</f>
        <v>12793.95</v>
      </c>
      <c r="H51" s="10">
        <f>AtlasReport_3_Table_1[[#This Row],[Current On-hand]]-AtlasReport_3_Table_1[[#This Row],[Trans backwords (Ending)]]</f>
        <v>12823</v>
      </c>
    </row>
    <row r="52" spans="1:8" x14ac:dyDescent="0.25">
      <c r="A52" s="8" t="s">
        <v>285</v>
      </c>
      <c r="B52" s="8" t="s">
        <v>261</v>
      </c>
      <c r="C52" s="8" t="s">
        <v>81</v>
      </c>
      <c r="D52" s="10">
        <v>0</v>
      </c>
      <c r="E52" s="10">
        <f>_xll.AtlasFormulas.AtlasFunctions.AtlasBalance("PROD",DataAreaId,"T.InventTrans|inventDimId~inventDimId@T.InventDim","Sum|Qty|0","","","","","","","DateFinancial|ItemId|T2.InventSiteId|T2.InventLocationId",PeriodBeginning,$A52,$B52,$C52)</f>
        <v>0</v>
      </c>
      <c r="F52" s="10">
        <f>_xll.AtlasFormulas.AtlasFunctions.AtlasBalance("PROD",DataAreaId,"T.InventTrans|inventDimId~inventDimId@T.InventDim","Sum|Qty|0","","","","","","","DateFinancial|ItemId|T2.InventSiteId|T2.InventLocationId",PeriodEnding,$A52,$B52,$C52)</f>
        <v>0</v>
      </c>
      <c r="G52" s="10">
        <f>AtlasReport_3_Table_1[[#This Row],[Current On-hand]]-AtlasReport_3_Table_1[[#This Row],[Trans backwords (Beginning)]]</f>
        <v>0</v>
      </c>
      <c r="H52" s="10">
        <f>AtlasReport_3_Table_1[[#This Row],[Current On-hand]]-AtlasReport_3_Table_1[[#This Row],[Trans backwords (Ending)]]</f>
        <v>0</v>
      </c>
    </row>
    <row r="53" spans="1:8" x14ac:dyDescent="0.25">
      <c r="A53" s="8" t="s">
        <v>285</v>
      </c>
      <c r="B53" s="8" t="s">
        <v>261</v>
      </c>
      <c r="C53" s="8" t="s">
        <v>262</v>
      </c>
      <c r="D53" s="10">
        <v>0</v>
      </c>
      <c r="E53" s="10">
        <f>_xll.AtlasFormulas.AtlasFunctions.AtlasBalance("PROD",DataAreaId,"T.InventTrans|inventDimId~inventDimId@T.InventDim","Sum|Qty|0","","","","","","","DateFinancial|ItemId|T2.InventSiteId|T2.InventLocationId",PeriodBeginning,$A53,$B53,$C53)</f>
        <v>0</v>
      </c>
      <c r="F53" s="10">
        <f>_xll.AtlasFormulas.AtlasFunctions.AtlasBalance("PROD",DataAreaId,"T.InventTrans|inventDimId~inventDimId@T.InventDim","Sum|Qty|0","","","","","","","DateFinancial|ItemId|T2.InventSiteId|T2.InventLocationId",PeriodEnding,$A53,$B53,$C53)</f>
        <v>0</v>
      </c>
      <c r="G53" s="10">
        <f>AtlasReport_3_Table_1[[#This Row],[Current On-hand]]-AtlasReport_3_Table_1[[#This Row],[Trans backwords (Beginning)]]</f>
        <v>0</v>
      </c>
      <c r="H53" s="10">
        <f>AtlasReport_3_Table_1[[#This Row],[Current On-hand]]-AtlasReport_3_Table_1[[#This Row],[Trans backwords (Ending)]]</f>
        <v>0</v>
      </c>
    </row>
    <row r="54" spans="1:8" x14ac:dyDescent="0.25">
      <c r="A54" s="8" t="s">
        <v>285</v>
      </c>
      <c r="B54" s="8" t="s">
        <v>261</v>
      </c>
      <c r="C54" s="8" t="s">
        <v>264</v>
      </c>
      <c r="D54" s="10">
        <v>9365.85</v>
      </c>
      <c r="E54" s="10">
        <f>_xll.AtlasFormulas.AtlasFunctions.AtlasBalance("PROD",DataAreaId,"T.InventTrans|inventDimId~inventDimId@T.InventDim","Sum|Qty|0","","","","","","","DateFinancial|ItemId|T2.InventSiteId|T2.InventLocationId",PeriodBeginning,$A54,$B54,$C54)</f>
        <v>97.5</v>
      </c>
      <c r="F54" s="10">
        <f>_xll.AtlasFormulas.AtlasFunctions.AtlasBalance("PROD",DataAreaId,"T.InventTrans|inventDimId~inventDimId@T.InventDim","Sum|Qty|0","","","","","","","DateFinancial|ItemId|T2.InventSiteId|T2.InventLocationId",PeriodEnding,$A54,$B54,$C54)</f>
        <v>0</v>
      </c>
      <c r="G54" s="10">
        <f>AtlasReport_3_Table_1[[#This Row],[Current On-hand]]-AtlasReport_3_Table_1[[#This Row],[Trans backwords (Beginning)]]</f>
        <v>9268.35</v>
      </c>
      <c r="H54" s="10">
        <f>AtlasReport_3_Table_1[[#This Row],[Current On-hand]]-AtlasReport_3_Table_1[[#This Row],[Trans backwords (Ending)]]</f>
        <v>9365.85</v>
      </c>
    </row>
    <row r="55" spans="1:8" x14ac:dyDescent="0.25">
      <c r="A55" s="8" t="s">
        <v>286</v>
      </c>
      <c r="B55" s="8" t="s">
        <v>261</v>
      </c>
      <c r="C55" s="8" t="s">
        <v>264</v>
      </c>
      <c r="D55" s="10">
        <v>0</v>
      </c>
      <c r="E55" s="10">
        <f>_xll.AtlasFormulas.AtlasFunctions.AtlasBalance("PROD",DataAreaId,"T.InventTrans|inventDimId~inventDimId@T.InventDim","Sum|Qty|0","","","","","","","DateFinancial|ItemId|T2.InventSiteId|T2.InventLocationId",PeriodBeginning,$A55,$B55,$C55)</f>
        <v>-1</v>
      </c>
      <c r="F55" s="10">
        <f>_xll.AtlasFormulas.AtlasFunctions.AtlasBalance("PROD",DataAreaId,"T.InventTrans|inventDimId~inventDimId@T.InventDim","Sum|Qty|0","","","","","","","DateFinancial|ItemId|T2.InventSiteId|T2.InventLocationId",PeriodEnding,$A55,$B55,$C55)</f>
        <v>0</v>
      </c>
      <c r="G55" s="10">
        <f>AtlasReport_3_Table_1[[#This Row],[Current On-hand]]-AtlasReport_3_Table_1[[#This Row],[Trans backwords (Beginning)]]</f>
        <v>1</v>
      </c>
      <c r="H55" s="10">
        <f>AtlasReport_3_Table_1[[#This Row],[Current On-hand]]-AtlasReport_3_Table_1[[#This Row],[Trans backwords (Ending)]]</f>
        <v>0</v>
      </c>
    </row>
    <row r="56" spans="1:8" x14ac:dyDescent="0.25">
      <c r="A56" s="8" t="s">
        <v>287</v>
      </c>
      <c r="B56" s="8" t="s">
        <v>261</v>
      </c>
      <c r="C56" s="8" t="s">
        <v>264</v>
      </c>
      <c r="D56" s="10">
        <v>2387</v>
      </c>
      <c r="E56" s="10">
        <f>_xll.AtlasFormulas.AtlasFunctions.AtlasBalance("PROD",DataAreaId,"T.InventTrans|inventDimId~inventDimId@T.InventDim","Sum|Qty|0","","","","","","","DateFinancial|ItemId|T2.InventSiteId|T2.InventLocationId",PeriodBeginning,$A56,$B56,$C56)</f>
        <v>2</v>
      </c>
      <c r="F56" s="10">
        <f>_xll.AtlasFormulas.AtlasFunctions.AtlasBalance("PROD",DataAreaId,"T.InventTrans|inventDimId~inventDimId@T.InventDim","Sum|Qty|0","","","","","","","DateFinancial|ItemId|T2.InventSiteId|T2.InventLocationId",PeriodEnding,$A56,$B56,$C56)</f>
        <v>0</v>
      </c>
      <c r="G56" s="10">
        <f>AtlasReport_3_Table_1[[#This Row],[Current On-hand]]-AtlasReport_3_Table_1[[#This Row],[Trans backwords (Beginning)]]</f>
        <v>2385</v>
      </c>
      <c r="H56" s="10">
        <f>AtlasReport_3_Table_1[[#This Row],[Current On-hand]]-AtlasReport_3_Table_1[[#This Row],[Trans backwords (Ending)]]</f>
        <v>2387</v>
      </c>
    </row>
    <row r="57" spans="1:8" x14ac:dyDescent="0.25">
      <c r="A57" s="8" t="s">
        <v>288</v>
      </c>
      <c r="B57" s="8" t="s">
        <v>261</v>
      </c>
      <c r="C57" s="8" t="s">
        <v>262</v>
      </c>
      <c r="D57" s="10">
        <v>0</v>
      </c>
      <c r="E57" s="10">
        <f>_xll.AtlasFormulas.AtlasFunctions.AtlasBalance("PROD",DataAreaId,"T.InventTrans|inventDimId~inventDimId@T.InventDim","Sum|Qty|0","","","","","","","DateFinancial|ItemId|T2.InventSiteId|T2.InventLocationId",PeriodBeginning,$A57,$B57,$C57)</f>
        <v>0</v>
      </c>
      <c r="F57" s="10">
        <f>_xll.AtlasFormulas.AtlasFunctions.AtlasBalance("PROD",DataAreaId,"T.InventTrans|inventDimId~inventDimId@T.InventDim","Sum|Qty|0","","","","","","","DateFinancial|ItemId|T2.InventSiteId|T2.InventLocationId",PeriodEnding,$A57,$B57,$C57)</f>
        <v>0</v>
      </c>
      <c r="G57" s="10">
        <f>AtlasReport_3_Table_1[[#This Row],[Current On-hand]]-AtlasReport_3_Table_1[[#This Row],[Trans backwords (Beginning)]]</f>
        <v>0</v>
      </c>
      <c r="H57" s="10">
        <f>AtlasReport_3_Table_1[[#This Row],[Current On-hand]]-AtlasReport_3_Table_1[[#This Row],[Trans backwords (Ending)]]</f>
        <v>0</v>
      </c>
    </row>
    <row r="58" spans="1:8" x14ac:dyDescent="0.25">
      <c r="A58" s="8" t="s">
        <v>288</v>
      </c>
      <c r="B58" s="8" t="s">
        <v>261</v>
      </c>
      <c r="C58" s="8" t="s">
        <v>264</v>
      </c>
      <c r="D58" s="10">
        <v>0</v>
      </c>
      <c r="E58" s="10">
        <f>_xll.AtlasFormulas.AtlasFunctions.AtlasBalance("PROD",DataAreaId,"T.InventTrans|inventDimId~inventDimId@T.InventDim","Sum|Qty|0","","","","","","","DateFinancial|ItemId|T2.InventSiteId|T2.InventLocationId",PeriodBeginning,$A58,$B58,$C58)</f>
        <v>0</v>
      </c>
      <c r="F58" s="10">
        <f>_xll.AtlasFormulas.AtlasFunctions.AtlasBalance("PROD",DataAreaId,"T.InventTrans|inventDimId~inventDimId@T.InventDim","Sum|Qty|0","","","","","","","DateFinancial|ItemId|T2.InventSiteId|T2.InventLocationId",PeriodEnding,$A58,$B58,$C58)</f>
        <v>0</v>
      </c>
      <c r="G58" s="10">
        <f>AtlasReport_3_Table_1[[#This Row],[Current On-hand]]-AtlasReport_3_Table_1[[#This Row],[Trans backwords (Beginning)]]</f>
        <v>0</v>
      </c>
      <c r="H58" s="10">
        <f>AtlasReport_3_Table_1[[#This Row],[Current On-hand]]-AtlasReport_3_Table_1[[#This Row],[Trans backwords (Ending)]]</f>
        <v>0</v>
      </c>
    </row>
    <row r="59" spans="1:8" x14ac:dyDescent="0.25">
      <c r="A59" s="8" t="s">
        <v>53</v>
      </c>
      <c r="B59" s="8" t="s">
        <v>261</v>
      </c>
      <c r="C59" s="8" t="s">
        <v>289</v>
      </c>
      <c r="D59" s="10">
        <v>0</v>
      </c>
      <c r="E59" s="10">
        <f>_xll.AtlasFormulas.AtlasFunctions.AtlasBalance("PROD",DataAreaId,"T.InventTrans|inventDimId~inventDimId@T.InventDim","Sum|Qty|0","","","","","","","DateFinancial|ItemId|T2.InventSiteId|T2.InventLocationId",PeriodBeginning,$A59,$B59,$C59)</f>
        <v>0</v>
      </c>
      <c r="F59" s="10">
        <f>_xll.AtlasFormulas.AtlasFunctions.AtlasBalance("PROD",DataAreaId,"T.InventTrans|inventDimId~inventDimId@T.InventDim","Sum|Qty|0","","","","","","","DateFinancial|ItemId|T2.InventSiteId|T2.InventLocationId",PeriodEnding,$A59,$B59,$C59)</f>
        <v>0</v>
      </c>
      <c r="G59" s="10">
        <f>AtlasReport_3_Table_1[[#This Row],[Current On-hand]]-AtlasReport_3_Table_1[[#This Row],[Trans backwords (Beginning)]]</f>
        <v>0</v>
      </c>
      <c r="H59" s="10">
        <f>AtlasReport_3_Table_1[[#This Row],[Current On-hand]]-AtlasReport_3_Table_1[[#This Row],[Trans backwords (Ending)]]</f>
        <v>0</v>
      </c>
    </row>
    <row r="60" spans="1:8" x14ac:dyDescent="0.25">
      <c r="A60" s="8" t="s">
        <v>53</v>
      </c>
      <c r="B60" s="8" t="s">
        <v>261</v>
      </c>
      <c r="C60" s="8" t="s">
        <v>262</v>
      </c>
      <c r="D60" s="10">
        <v>0</v>
      </c>
      <c r="E60" s="10">
        <f>_xll.AtlasFormulas.AtlasFunctions.AtlasBalance("PROD",DataAreaId,"T.InventTrans|inventDimId~inventDimId@T.InventDim","Sum|Qty|0","","","","","","","DateFinancial|ItemId|T2.InventSiteId|T2.InventLocationId",PeriodBeginning,$A60,$B60,$C60)</f>
        <v>0</v>
      </c>
      <c r="F60" s="10">
        <f>_xll.AtlasFormulas.AtlasFunctions.AtlasBalance("PROD",DataAreaId,"T.InventTrans|inventDimId~inventDimId@T.InventDim","Sum|Qty|0","","","","","","","DateFinancial|ItemId|T2.InventSiteId|T2.InventLocationId",PeriodEnding,$A60,$B60,$C60)</f>
        <v>0</v>
      </c>
      <c r="G60" s="10">
        <f>AtlasReport_3_Table_1[[#This Row],[Current On-hand]]-AtlasReport_3_Table_1[[#This Row],[Trans backwords (Beginning)]]</f>
        <v>0</v>
      </c>
      <c r="H60" s="10">
        <f>AtlasReport_3_Table_1[[#This Row],[Current On-hand]]-AtlasReport_3_Table_1[[#This Row],[Trans backwords (Ending)]]</f>
        <v>0</v>
      </c>
    </row>
    <row r="61" spans="1:8" x14ac:dyDescent="0.25">
      <c r="A61" s="8" t="s">
        <v>53</v>
      </c>
      <c r="B61" s="8" t="s">
        <v>261</v>
      </c>
      <c r="C61" s="8" t="s">
        <v>290</v>
      </c>
      <c r="D61" s="10">
        <v>2</v>
      </c>
      <c r="E61" s="10">
        <f>_xll.AtlasFormulas.AtlasFunctions.AtlasBalance("PROD",DataAreaId,"T.InventTrans|inventDimId~inventDimId@T.InventDim","Sum|Qty|0","","","","","","","DateFinancial|ItemId|T2.InventSiteId|T2.InventLocationId",PeriodBeginning,$A61,$B61,$C61)</f>
        <v>1</v>
      </c>
      <c r="F61" s="10">
        <f>_xll.AtlasFormulas.AtlasFunctions.AtlasBalance("PROD",DataAreaId,"T.InventTrans|inventDimId~inventDimId@T.InventDim","Sum|Qty|0","","","","","","","DateFinancial|ItemId|T2.InventSiteId|T2.InventLocationId",PeriodEnding,$A61,$B61,$C61)</f>
        <v>0</v>
      </c>
      <c r="G61" s="10">
        <f>AtlasReport_3_Table_1[[#This Row],[Current On-hand]]-AtlasReport_3_Table_1[[#This Row],[Trans backwords (Beginning)]]</f>
        <v>1</v>
      </c>
      <c r="H61" s="10">
        <f>AtlasReport_3_Table_1[[#This Row],[Current On-hand]]-AtlasReport_3_Table_1[[#This Row],[Trans backwords (Ending)]]</f>
        <v>2</v>
      </c>
    </row>
    <row r="62" spans="1:8" x14ac:dyDescent="0.25">
      <c r="A62" s="8" t="s">
        <v>53</v>
      </c>
      <c r="B62" s="8" t="s">
        <v>261</v>
      </c>
      <c r="C62" s="8" t="s">
        <v>264</v>
      </c>
      <c r="D62" s="10">
        <v>11</v>
      </c>
      <c r="E62" s="10">
        <f>_xll.AtlasFormulas.AtlasFunctions.AtlasBalance("PROD",DataAreaId,"T.InventTrans|inventDimId~inventDimId@T.InventDim","Sum|Qty|0","","","","","","","DateFinancial|ItemId|T2.InventSiteId|T2.InventLocationId",PeriodBeginning,$A62,$B62,$C62)</f>
        <v>14</v>
      </c>
      <c r="F62" s="10">
        <f>_xll.AtlasFormulas.AtlasFunctions.AtlasBalance("PROD",DataAreaId,"T.InventTrans|inventDimId~inventDimId@T.InventDim","Sum|Qty|0","","","","","","","DateFinancial|ItemId|T2.InventSiteId|T2.InventLocationId",PeriodEnding,$A62,$B62,$C62)</f>
        <v>0</v>
      </c>
      <c r="G62" s="10">
        <f>AtlasReport_3_Table_1[[#This Row],[Current On-hand]]-AtlasReport_3_Table_1[[#This Row],[Trans backwords (Beginning)]]</f>
        <v>-3</v>
      </c>
      <c r="H62" s="10">
        <f>AtlasReport_3_Table_1[[#This Row],[Current On-hand]]-AtlasReport_3_Table_1[[#This Row],[Trans backwords (Ending)]]</f>
        <v>11</v>
      </c>
    </row>
    <row r="63" spans="1:8" x14ac:dyDescent="0.25">
      <c r="A63" s="8" t="s">
        <v>70</v>
      </c>
      <c r="B63" s="8" t="s">
        <v>261</v>
      </c>
      <c r="C63" s="8" t="s">
        <v>262</v>
      </c>
      <c r="D63" s="10">
        <v>0</v>
      </c>
      <c r="E63" s="10">
        <f>_xll.AtlasFormulas.AtlasFunctions.AtlasBalance("PROD",DataAreaId,"T.InventTrans|inventDimId~inventDimId@T.InventDim","Sum|Qty|0","","","","","","","DateFinancial|ItemId|T2.InventSiteId|T2.InventLocationId",PeriodBeginning,$A63,$B63,$C63)</f>
        <v>0</v>
      </c>
      <c r="F63" s="10">
        <f>_xll.AtlasFormulas.AtlasFunctions.AtlasBalance("PROD",DataAreaId,"T.InventTrans|inventDimId~inventDimId@T.InventDim","Sum|Qty|0","","","","","","","DateFinancial|ItemId|T2.InventSiteId|T2.InventLocationId",PeriodEnding,$A63,$B63,$C63)</f>
        <v>0</v>
      </c>
      <c r="G63" s="10">
        <f>AtlasReport_3_Table_1[[#This Row],[Current On-hand]]-AtlasReport_3_Table_1[[#This Row],[Trans backwords (Beginning)]]</f>
        <v>0</v>
      </c>
      <c r="H63" s="10">
        <f>AtlasReport_3_Table_1[[#This Row],[Current On-hand]]-AtlasReport_3_Table_1[[#This Row],[Trans backwords (Ending)]]</f>
        <v>0</v>
      </c>
    </row>
    <row r="64" spans="1:8" x14ac:dyDescent="0.25">
      <c r="A64" s="8" t="s">
        <v>291</v>
      </c>
      <c r="B64" s="8" t="s">
        <v>261</v>
      </c>
      <c r="C64" s="8" t="s">
        <v>262</v>
      </c>
      <c r="D64" s="10">
        <v>0</v>
      </c>
      <c r="E64" s="10">
        <f>_xll.AtlasFormulas.AtlasFunctions.AtlasBalance("PROD",DataAreaId,"T.InventTrans|inventDimId~inventDimId@T.InventDim","Sum|Qty|0","","","","","","","DateFinancial|ItemId|T2.InventSiteId|T2.InventLocationId",PeriodBeginning,$A64,$B64,$C64)</f>
        <v>0</v>
      </c>
      <c r="F64" s="10">
        <f>_xll.AtlasFormulas.AtlasFunctions.AtlasBalance("PROD",DataAreaId,"T.InventTrans|inventDimId~inventDimId@T.InventDim","Sum|Qty|0","","","","","","","DateFinancial|ItemId|T2.InventSiteId|T2.InventLocationId",PeriodEnding,$A64,$B64,$C64)</f>
        <v>0</v>
      </c>
      <c r="G64" s="10">
        <f>AtlasReport_3_Table_1[[#This Row],[Current On-hand]]-AtlasReport_3_Table_1[[#This Row],[Trans backwords (Beginning)]]</f>
        <v>0</v>
      </c>
      <c r="H64" s="10">
        <f>AtlasReport_3_Table_1[[#This Row],[Current On-hand]]-AtlasReport_3_Table_1[[#This Row],[Trans backwords (Ending)]]</f>
        <v>0</v>
      </c>
    </row>
    <row r="65" spans="1:8" x14ac:dyDescent="0.25">
      <c r="A65" s="8" t="s">
        <v>291</v>
      </c>
      <c r="B65" s="8" t="s">
        <v>261</v>
      </c>
      <c r="C65" s="8" t="s">
        <v>290</v>
      </c>
      <c r="D65" s="10">
        <v>1</v>
      </c>
      <c r="E65" s="10">
        <f>_xll.AtlasFormulas.AtlasFunctions.AtlasBalance("PROD",DataAreaId,"T.InventTrans|inventDimId~inventDimId@T.InventDim","Sum|Qty|0","","","","","","","DateFinancial|ItemId|T2.InventSiteId|T2.InventLocationId",PeriodBeginning,$A65,$B65,$C65)</f>
        <v>0</v>
      </c>
      <c r="F65" s="10">
        <f>_xll.AtlasFormulas.AtlasFunctions.AtlasBalance("PROD",DataAreaId,"T.InventTrans|inventDimId~inventDimId@T.InventDim","Sum|Qty|0","","","","","","","DateFinancial|ItemId|T2.InventSiteId|T2.InventLocationId",PeriodEnding,$A65,$B65,$C65)</f>
        <v>0</v>
      </c>
      <c r="G65" s="10">
        <f>AtlasReport_3_Table_1[[#This Row],[Current On-hand]]-AtlasReport_3_Table_1[[#This Row],[Trans backwords (Beginning)]]</f>
        <v>1</v>
      </c>
      <c r="H65" s="10">
        <f>AtlasReport_3_Table_1[[#This Row],[Current On-hand]]-AtlasReport_3_Table_1[[#This Row],[Trans backwords (Ending)]]</f>
        <v>1</v>
      </c>
    </row>
    <row r="66" spans="1:8" x14ac:dyDescent="0.25">
      <c r="A66" s="8" t="s">
        <v>291</v>
      </c>
      <c r="B66" s="8" t="s">
        <v>261</v>
      </c>
      <c r="C66" s="8" t="s">
        <v>264</v>
      </c>
      <c r="D66" s="10">
        <v>2</v>
      </c>
      <c r="E66" s="10">
        <f>_xll.AtlasFormulas.AtlasFunctions.AtlasBalance("PROD",DataAreaId,"T.InventTrans|inventDimId~inventDimId@T.InventDim","Sum|Qty|0","","","","","","","DateFinancial|ItemId|T2.InventSiteId|T2.InventLocationId",PeriodBeginning,$A66,$B66,$C66)</f>
        <v>0</v>
      </c>
      <c r="F66" s="10">
        <f>_xll.AtlasFormulas.AtlasFunctions.AtlasBalance("PROD",DataAreaId,"T.InventTrans|inventDimId~inventDimId@T.InventDim","Sum|Qty|0","","","","","","","DateFinancial|ItemId|T2.InventSiteId|T2.InventLocationId",PeriodEnding,$A66,$B66,$C66)</f>
        <v>0</v>
      </c>
      <c r="G66" s="10">
        <f>AtlasReport_3_Table_1[[#This Row],[Current On-hand]]-AtlasReport_3_Table_1[[#This Row],[Trans backwords (Beginning)]]</f>
        <v>2</v>
      </c>
      <c r="H66" s="10">
        <f>AtlasReport_3_Table_1[[#This Row],[Current On-hand]]-AtlasReport_3_Table_1[[#This Row],[Trans backwords (Ending)]]</f>
        <v>2</v>
      </c>
    </row>
    <row r="67" spans="1:8" x14ac:dyDescent="0.25">
      <c r="A67" s="8" t="s">
        <v>138</v>
      </c>
      <c r="B67" s="8" t="s">
        <v>261</v>
      </c>
      <c r="C67" s="8" t="s">
        <v>81</v>
      </c>
      <c r="D67" s="10">
        <v>0</v>
      </c>
      <c r="E67" s="10">
        <f>_xll.AtlasFormulas.AtlasFunctions.AtlasBalance("PROD",DataAreaId,"T.InventTrans|inventDimId~inventDimId@T.InventDim","Sum|Qty|0","","","","","","","DateFinancial|ItemId|T2.InventSiteId|T2.InventLocationId",PeriodBeginning,$A67,$B67,$C67)</f>
        <v>0</v>
      </c>
      <c r="F67" s="10">
        <f>_xll.AtlasFormulas.AtlasFunctions.AtlasBalance("PROD",DataAreaId,"T.InventTrans|inventDimId~inventDimId@T.InventDim","Sum|Qty|0","","","","","","","DateFinancial|ItemId|T2.InventSiteId|T2.InventLocationId",PeriodEnding,$A67,$B67,$C67)</f>
        <v>0</v>
      </c>
      <c r="G67" s="10">
        <f>AtlasReport_3_Table_1[[#This Row],[Current On-hand]]-AtlasReport_3_Table_1[[#This Row],[Trans backwords (Beginning)]]</f>
        <v>0</v>
      </c>
      <c r="H67" s="10">
        <f>AtlasReport_3_Table_1[[#This Row],[Current On-hand]]-AtlasReport_3_Table_1[[#This Row],[Trans backwords (Ending)]]</f>
        <v>0</v>
      </c>
    </row>
    <row r="68" spans="1:8" x14ac:dyDescent="0.25">
      <c r="A68" s="8" t="s">
        <v>138</v>
      </c>
      <c r="B68" s="8" t="s">
        <v>261</v>
      </c>
      <c r="C68" s="8" t="s">
        <v>264</v>
      </c>
      <c r="D68" s="10">
        <v>0</v>
      </c>
      <c r="E68" s="10">
        <f>_xll.AtlasFormulas.AtlasFunctions.AtlasBalance("PROD",DataAreaId,"T.InventTrans|inventDimId~inventDimId@T.InventDim","Sum|Qty|0","","","","","","","DateFinancial|ItemId|T2.InventSiteId|T2.InventLocationId",PeriodBeginning,$A68,$B68,$C68)</f>
        <v>-750</v>
      </c>
      <c r="F68" s="10">
        <f>_xll.AtlasFormulas.AtlasFunctions.AtlasBalance("PROD",DataAreaId,"T.InventTrans|inventDimId~inventDimId@T.InventDim","Sum|Qty|0","","","","","","","DateFinancial|ItemId|T2.InventSiteId|T2.InventLocationId",PeriodEnding,$A68,$B68,$C68)</f>
        <v>0</v>
      </c>
      <c r="G68" s="10">
        <f>AtlasReport_3_Table_1[[#This Row],[Current On-hand]]-AtlasReport_3_Table_1[[#This Row],[Trans backwords (Beginning)]]</f>
        <v>750</v>
      </c>
      <c r="H68" s="10">
        <f>AtlasReport_3_Table_1[[#This Row],[Current On-hand]]-AtlasReport_3_Table_1[[#This Row],[Trans backwords (Ending)]]</f>
        <v>0</v>
      </c>
    </row>
    <row r="69" spans="1:8" x14ac:dyDescent="0.25">
      <c r="A69" s="8" t="s">
        <v>139</v>
      </c>
      <c r="B69" s="8" t="s">
        <v>261</v>
      </c>
      <c r="C69" s="8" t="s">
        <v>81</v>
      </c>
      <c r="D69" s="10">
        <v>0</v>
      </c>
      <c r="E69" s="10">
        <f>_xll.AtlasFormulas.AtlasFunctions.AtlasBalance("PROD",DataAreaId,"T.InventTrans|inventDimId~inventDimId@T.InventDim","Sum|Qty|0","","","","","","","DateFinancial|ItemId|T2.InventSiteId|T2.InventLocationId",PeriodBeginning,$A69,$B69,$C69)</f>
        <v>0</v>
      </c>
      <c r="F69" s="10">
        <f>_xll.AtlasFormulas.AtlasFunctions.AtlasBalance("PROD",DataAreaId,"T.InventTrans|inventDimId~inventDimId@T.InventDim","Sum|Qty|0","","","","","","","DateFinancial|ItemId|T2.InventSiteId|T2.InventLocationId",PeriodEnding,$A69,$B69,$C69)</f>
        <v>0</v>
      </c>
      <c r="G69" s="10">
        <f>AtlasReport_3_Table_1[[#This Row],[Current On-hand]]-AtlasReport_3_Table_1[[#This Row],[Trans backwords (Beginning)]]</f>
        <v>0</v>
      </c>
      <c r="H69" s="10">
        <f>AtlasReport_3_Table_1[[#This Row],[Current On-hand]]-AtlasReport_3_Table_1[[#This Row],[Trans backwords (Ending)]]</f>
        <v>0</v>
      </c>
    </row>
    <row r="70" spans="1:8" x14ac:dyDescent="0.25">
      <c r="A70" s="8" t="s">
        <v>139</v>
      </c>
      <c r="B70" s="8" t="s">
        <v>261</v>
      </c>
      <c r="C70" s="8" t="s">
        <v>262</v>
      </c>
      <c r="D70" s="10">
        <v>0</v>
      </c>
      <c r="E70" s="10">
        <f>_xll.AtlasFormulas.AtlasFunctions.AtlasBalance("PROD",DataAreaId,"T.InventTrans|inventDimId~inventDimId@T.InventDim","Sum|Qty|0","","","","","","","DateFinancial|ItemId|T2.InventSiteId|T2.InventLocationId",PeriodBeginning,$A70,$B70,$C70)</f>
        <v>0</v>
      </c>
      <c r="F70" s="10">
        <f>_xll.AtlasFormulas.AtlasFunctions.AtlasBalance("PROD",DataAreaId,"T.InventTrans|inventDimId~inventDimId@T.InventDim","Sum|Qty|0","","","","","","","DateFinancial|ItemId|T2.InventSiteId|T2.InventLocationId",PeriodEnding,$A70,$B70,$C70)</f>
        <v>0</v>
      </c>
      <c r="G70" s="10">
        <f>AtlasReport_3_Table_1[[#This Row],[Current On-hand]]-AtlasReport_3_Table_1[[#This Row],[Trans backwords (Beginning)]]</f>
        <v>0</v>
      </c>
      <c r="H70" s="10">
        <f>AtlasReport_3_Table_1[[#This Row],[Current On-hand]]-AtlasReport_3_Table_1[[#This Row],[Trans backwords (Ending)]]</f>
        <v>0</v>
      </c>
    </row>
    <row r="71" spans="1:8" x14ac:dyDescent="0.25">
      <c r="A71" s="8" t="s">
        <v>139</v>
      </c>
      <c r="B71" s="8" t="s">
        <v>261</v>
      </c>
      <c r="C71" s="8" t="s">
        <v>264</v>
      </c>
      <c r="D71" s="10">
        <v>300</v>
      </c>
      <c r="E71" s="10">
        <f>_xll.AtlasFormulas.AtlasFunctions.AtlasBalance("PROD",DataAreaId,"T.InventTrans|inventDimId~inventDimId@T.InventDim","Sum|Qty|0","","","","","","","DateFinancial|ItemId|T2.InventSiteId|T2.InventLocationId",PeriodBeginning,$A71,$B71,$C71)</f>
        <v>35</v>
      </c>
      <c r="F71" s="10">
        <f>_xll.AtlasFormulas.AtlasFunctions.AtlasBalance("PROD",DataAreaId,"T.InventTrans|inventDimId~inventDimId@T.InventDim","Sum|Qty|0","","","","","","","DateFinancial|ItemId|T2.InventSiteId|T2.InventLocationId",PeriodEnding,$A71,$B71,$C71)</f>
        <v>0</v>
      </c>
      <c r="G71" s="10">
        <f>AtlasReport_3_Table_1[[#This Row],[Current On-hand]]-AtlasReport_3_Table_1[[#This Row],[Trans backwords (Beginning)]]</f>
        <v>265</v>
      </c>
      <c r="H71" s="10">
        <f>AtlasReport_3_Table_1[[#This Row],[Current On-hand]]-AtlasReport_3_Table_1[[#This Row],[Trans backwords (Ending)]]</f>
        <v>300</v>
      </c>
    </row>
    <row r="72" spans="1:8" x14ac:dyDescent="0.25">
      <c r="A72" s="8" t="s">
        <v>185</v>
      </c>
      <c r="B72" s="8" t="s">
        <v>261</v>
      </c>
      <c r="C72" s="8" t="s">
        <v>81</v>
      </c>
      <c r="D72" s="10">
        <v>0</v>
      </c>
      <c r="E72" s="10">
        <f>_xll.AtlasFormulas.AtlasFunctions.AtlasBalance("PROD",DataAreaId,"T.InventTrans|inventDimId~inventDimId@T.InventDim","Sum|Qty|0","","","","","","","DateFinancial|ItemId|T2.InventSiteId|T2.InventLocationId",PeriodBeginning,$A72,$B72,$C72)</f>
        <v>0</v>
      </c>
      <c r="F72" s="10">
        <f>_xll.AtlasFormulas.AtlasFunctions.AtlasBalance("PROD",DataAreaId,"T.InventTrans|inventDimId~inventDimId@T.InventDim","Sum|Qty|0","","","","","","","DateFinancial|ItemId|T2.InventSiteId|T2.InventLocationId",PeriodEnding,$A72,$B72,$C72)</f>
        <v>0</v>
      </c>
      <c r="G72" s="10">
        <f>AtlasReport_3_Table_1[[#This Row],[Current On-hand]]-AtlasReport_3_Table_1[[#This Row],[Trans backwords (Beginning)]]</f>
        <v>0</v>
      </c>
      <c r="H72" s="10">
        <f>AtlasReport_3_Table_1[[#This Row],[Current On-hand]]-AtlasReport_3_Table_1[[#This Row],[Trans backwords (Ending)]]</f>
        <v>0</v>
      </c>
    </row>
    <row r="73" spans="1:8" x14ac:dyDescent="0.25">
      <c r="A73" s="8" t="s">
        <v>185</v>
      </c>
      <c r="B73" s="8" t="s">
        <v>261</v>
      </c>
      <c r="C73" s="8" t="s">
        <v>264</v>
      </c>
      <c r="D73" s="10">
        <v>50</v>
      </c>
      <c r="E73" s="10">
        <f>_xll.AtlasFormulas.AtlasFunctions.AtlasBalance("PROD",DataAreaId,"T.InventTrans|inventDimId~inventDimId@T.InventDim","Sum|Qty|0","","","","","","","DateFinancial|ItemId|T2.InventSiteId|T2.InventLocationId",PeriodBeginning,$A73,$B73,$C73)</f>
        <v>36</v>
      </c>
      <c r="F73" s="10">
        <f>_xll.AtlasFormulas.AtlasFunctions.AtlasBalance("PROD",DataAreaId,"T.InventTrans|inventDimId~inventDimId@T.InventDim","Sum|Qty|0","","","","","","","DateFinancial|ItemId|T2.InventSiteId|T2.InventLocationId",PeriodEnding,$A73,$B73,$C73)</f>
        <v>0</v>
      </c>
      <c r="G73" s="10">
        <f>AtlasReport_3_Table_1[[#This Row],[Current On-hand]]-AtlasReport_3_Table_1[[#This Row],[Trans backwords (Beginning)]]</f>
        <v>14</v>
      </c>
      <c r="H73" s="10">
        <f>AtlasReport_3_Table_1[[#This Row],[Current On-hand]]-AtlasReport_3_Table_1[[#This Row],[Trans backwords (Ending)]]</f>
        <v>50</v>
      </c>
    </row>
    <row r="74" spans="1:8" x14ac:dyDescent="0.25">
      <c r="A74" s="8" t="s">
        <v>292</v>
      </c>
      <c r="B74" s="8" t="s">
        <v>261</v>
      </c>
      <c r="C74" s="8" t="s">
        <v>81</v>
      </c>
      <c r="D74" s="10">
        <v>0</v>
      </c>
      <c r="E74" s="10">
        <f>_xll.AtlasFormulas.AtlasFunctions.AtlasBalance("PROD",DataAreaId,"T.InventTrans|inventDimId~inventDimId@T.InventDim","Sum|Qty|0","","","","","","","DateFinancial|ItemId|T2.InventSiteId|T2.InventLocationId",PeriodBeginning,$A74,$B74,$C74)</f>
        <v>0</v>
      </c>
      <c r="F74" s="10">
        <f>_xll.AtlasFormulas.AtlasFunctions.AtlasBalance("PROD",DataAreaId,"T.InventTrans|inventDimId~inventDimId@T.InventDim","Sum|Qty|0","","","","","","","DateFinancial|ItemId|T2.InventSiteId|T2.InventLocationId",PeriodEnding,$A74,$B74,$C74)</f>
        <v>0</v>
      </c>
      <c r="G74" s="10">
        <f>AtlasReport_3_Table_1[[#This Row],[Current On-hand]]-AtlasReport_3_Table_1[[#This Row],[Trans backwords (Beginning)]]</f>
        <v>0</v>
      </c>
      <c r="H74" s="10">
        <f>AtlasReport_3_Table_1[[#This Row],[Current On-hand]]-AtlasReport_3_Table_1[[#This Row],[Trans backwords (Ending)]]</f>
        <v>0</v>
      </c>
    </row>
    <row r="75" spans="1:8" x14ac:dyDescent="0.25">
      <c r="A75" s="8" t="s">
        <v>292</v>
      </c>
      <c r="B75" s="8" t="s">
        <v>261</v>
      </c>
      <c r="C75" s="8" t="s">
        <v>263</v>
      </c>
      <c r="D75" s="10">
        <v>0</v>
      </c>
      <c r="E75" s="10">
        <f>_xll.AtlasFormulas.AtlasFunctions.AtlasBalance("PROD",DataAreaId,"T.InventTrans|inventDimId~inventDimId@T.InventDim","Sum|Qty|0","","","","","","","DateFinancial|ItemId|T2.InventSiteId|T2.InventLocationId",PeriodBeginning,$A75,$B75,$C75)</f>
        <v>0</v>
      </c>
      <c r="F75" s="10">
        <f>_xll.AtlasFormulas.AtlasFunctions.AtlasBalance("PROD",DataAreaId,"T.InventTrans|inventDimId~inventDimId@T.InventDim","Sum|Qty|0","","","","","","","DateFinancial|ItemId|T2.InventSiteId|T2.InventLocationId",PeriodEnding,$A75,$B75,$C75)</f>
        <v>0</v>
      </c>
      <c r="G75" s="10">
        <f>AtlasReport_3_Table_1[[#This Row],[Current On-hand]]-AtlasReport_3_Table_1[[#This Row],[Trans backwords (Beginning)]]</f>
        <v>0</v>
      </c>
      <c r="H75" s="10">
        <f>AtlasReport_3_Table_1[[#This Row],[Current On-hand]]-AtlasReport_3_Table_1[[#This Row],[Trans backwords (Ending)]]</f>
        <v>0</v>
      </c>
    </row>
    <row r="76" spans="1:8" x14ac:dyDescent="0.25">
      <c r="A76" s="8" t="s">
        <v>292</v>
      </c>
      <c r="B76" s="8" t="s">
        <v>261</v>
      </c>
      <c r="C76" s="8" t="s">
        <v>264</v>
      </c>
      <c r="D76" s="10">
        <v>0</v>
      </c>
      <c r="E76" s="10">
        <f>_xll.AtlasFormulas.AtlasFunctions.AtlasBalance("PROD",DataAreaId,"T.InventTrans|inventDimId~inventDimId@T.InventDim","Sum|Qty|0","","","","","","","DateFinancial|ItemId|T2.InventSiteId|T2.InventLocationId",PeriodBeginning,$A76,$B76,$C76)</f>
        <v>0</v>
      </c>
      <c r="F76" s="10">
        <f>_xll.AtlasFormulas.AtlasFunctions.AtlasBalance("PROD",DataAreaId,"T.InventTrans|inventDimId~inventDimId@T.InventDim","Sum|Qty|0","","","","","","","DateFinancial|ItemId|T2.InventSiteId|T2.InventLocationId",PeriodEnding,$A76,$B76,$C76)</f>
        <v>0</v>
      </c>
      <c r="G76" s="10">
        <f>AtlasReport_3_Table_1[[#This Row],[Current On-hand]]-AtlasReport_3_Table_1[[#This Row],[Trans backwords (Beginning)]]</f>
        <v>0</v>
      </c>
      <c r="H76" s="10">
        <f>AtlasReport_3_Table_1[[#This Row],[Current On-hand]]-AtlasReport_3_Table_1[[#This Row],[Trans backwords (Ending)]]</f>
        <v>0</v>
      </c>
    </row>
    <row r="77" spans="1:8" x14ac:dyDescent="0.25">
      <c r="A77" s="8" t="s">
        <v>292</v>
      </c>
      <c r="B77" s="8" t="s">
        <v>261</v>
      </c>
      <c r="C77" s="8" t="s">
        <v>265</v>
      </c>
      <c r="D77" s="10">
        <v>0</v>
      </c>
      <c r="E77" s="10">
        <f>_xll.AtlasFormulas.AtlasFunctions.AtlasBalance("PROD",DataAreaId,"T.InventTrans|inventDimId~inventDimId@T.InventDim","Sum|Qty|0","","","","","","","DateFinancial|ItemId|T2.InventSiteId|T2.InventLocationId",PeriodBeginning,$A77,$B77,$C77)</f>
        <v>0</v>
      </c>
      <c r="F77" s="10">
        <f>_xll.AtlasFormulas.AtlasFunctions.AtlasBalance("PROD",DataAreaId,"T.InventTrans|inventDimId~inventDimId@T.InventDim","Sum|Qty|0","","","","","","","DateFinancial|ItemId|T2.InventSiteId|T2.InventLocationId",PeriodEnding,$A77,$B77,$C77)</f>
        <v>0</v>
      </c>
      <c r="G77" s="10">
        <f>AtlasReport_3_Table_1[[#This Row],[Current On-hand]]-AtlasReport_3_Table_1[[#This Row],[Trans backwords (Beginning)]]</f>
        <v>0</v>
      </c>
      <c r="H77" s="10">
        <f>AtlasReport_3_Table_1[[#This Row],[Current On-hand]]-AtlasReport_3_Table_1[[#This Row],[Trans backwords (Ending)]]</f>
        <v>0</v>
      </c>
    </row>
    <row r="78" spans="1:8" x14ac:dyDescent="0.25">
      <c r="A78" s="8" t="s">
        <v>293</v>
      </c>
      <c r="B78" s="8" t="s">
        <v>261</v>
      </c>
      <c r="C78" s="8" t="s">
        <v>81</v>
      </c>
      <c r="D78" s="10">
        <v>0</v>
      </c>
      <c r="E78" s="10">
        <f>_xll.AtlasFormulas.AtlasFunctions.AtlasBalance("PROD",DataAreaId,"T.InventTrans|inventDimId~inventDimId@T.InventDim","Sum|Qty|0","","","","","","","DateFinancial|ItemId|T2.InventSiteId|T2.InventLocationId",PeriodBeginning,$A78,$B78,$C78)</f>
        <v>0</v>
      </c>
      <c r="F78" s="10">
        <f>_xll.AtlasFormulas.AtlasFunctions.AtlasBalance("PROD",DataAreaId,"T.InventTrans|inventDimId~inventDimId@T.InventDim","Sum|Qty|0","","","","","","","DateFinancial|ItemId|T2.InventSiteId|T2.InventLocationId",PeriodEnding,$A78,$B78,$C78)</f>
        <v>0</v>
      </c>
      <c r="G78" s="10">
        <f>AtlasReport_3_Table_1[[#This Row],[Current On-hand]]-AtlasReport_3_Table_1[[#This Row],[Trans backwords (Beginning)]]</f>
        <v>0</v>
      </c>
      <c r="H78" s="10">
        <f>AtlasReport_3_Table_1[[#This Row],[Current On-hand]]-AtlasReport_3_Table_1[[#This Row],[Trans backwords (Ending)]]</f>
        <v>0</v>
      </c>
    </row>
    <row r="79" spans="1:8" x14ac:dyDescent="0.25">
      <c r="A79" s="8" t="s">
        <v>293</v>
      </c>
      <c r="B79" s="8" t="s">
        <v>261</v>
      </c>
      <c r="C79" s="8" t="s">
        <v>262</v>
      </c>
      <c r="D79" s="10">
        <v>0</v>
      </c>
      <c r="E79" s="10">
        <f>_xll.AtlasFormulas.AtlasFunctions.AtlasBalance("PROD",DataAreaId,"T.InventTrans|inventDimId~inventDimId@T.InventDim","Sum|Qty|0","","","","","","","DateFinancial|ItemId|T2.InventSiteId|T2.InventLocationId",PeriodBeginning,$A79,$B79,$C79)</f>
        <v>0</v>
      </c>
      <c r="F79" s="10">
        <f>_xll.AtlasFormulas.AtlasFunctions.AtlasBalance("PROD",DataAreaId,"T.InventTrans|inventDimId~inventDimId@T.InventDim","Sum|Qty|0","","","","","","","DateFinancial|ItemId|T2.InventSiteId|T2.InventLocationId",PeriodEnding,$A79,$B79,$C79)</f>
        <v>0</v>
      </c>
      <c r="G79" s="10">
        <f>AtlasReport_3_Table_1[[#This Row],[Current On-hand]]-AtlasReport_3_Table_1[[#This Row],[Trans backwords (Beginning)]]</f>
        <v>0</v>
      </c>
      <c r="H79" s="10">
        <f>AtlasReport_3_Table_1[[#This Row],[Current On-hand]]-AtlasReport_3_Table_1[[#This Row],[Trans backwords (Ending)]]</f>
        <v>0</v>
      </c>
    </row>
    <row r="80" spans="1:8" x14ac:dyDescent="0.25">
      <c r="A80" s="8" t="s">
        <v>293</v>
      </c>
      <c r="B80" s="8" t="s">
        <v>261</v>
      </c>
      <c r="C80" s="8" t="s">
        <v>264</v>
      </c>
      <c r="D80" s="10">
        <v>30</v>
      </c>
      <c r="E80" s="10">
        <f>_xll.AtlasFormulas.AtlasFunctions.AtlasBalance("PROD",DataAreaId,"T.InventTrans|inventDimId~inventDimId@T.InventDim","Sum|Qty|0","","","","","","","DateFinancial|ItemId|T2.InventSiteId|T2.InventLocationId",PeriodBeginning,$A80,$B80,$C80)</f>
        <v>0</v>
      </c>
      <c r="F80" s="10">
        <f>_xll.AtlasFormulas.AtlasFunctions.AtlasBalance("PROD",DataAreaId,"T.InventTrans|inventDimId~inventDimId@T.InventDim","Sum|Qty|0","","","","","","","DateFinancial|ItemId|T2.InventSiteId|T2.InventLocationId",PeriodEnding,$A80,$B80,$C80)</f>
        <v>0</v>
      </c>
      <c r="G80" s="10">
        <f>AtlasReport_3_Table_1[[#This Row],[Current On-hand]]-AtlasReport_3_Table_1[[#This Row],[Trans backwords (Beginning)]]</f>
        <v>30</v>
      </c>
      <c r="H80" s="10">
        <f>AtlasReport_3_Table_1[[#This Row],[Current On-hand]]-AtlasReport_3_Table_1[[#This Row],[Trans backwords (Ending)]]</f>
        <v>30</v>
      </c>
    </row>
    <row r="81" spans="1:8" x14ac:dyDescent="0.25">
      <c r="A81" s="8" t="s">
        <v>294</v>
      </c>
      <c r="B81" s="8" t="s">
        <v>261</v>
      </c>
      <c r="C81" s="8" t="s">
        <v>81</v>
      </c>
      <c r="D81" s="10">
        <v>0</v>
      </c>
      <c r="E81" s="10">
        <f>_xll.AtlasFormulas.AtlasFunctions.AtlasBalance("PROD",DataAreaId,"T.InventTrans|inventDimId~inventDimId@T.InventDim","Sum|Qty|0","","","","","","","DateFinancial|ItemId|T2.InventSiteId|T2.InventLocationId",PeriodBeginning,$A81,$B81,$C81)</f>
        <v>0</v>
      </c>
      <c r="F81" s="10">
        <f>_xll.AtlasFormulas.AtlasFunctions.AtlasBalance("PROD",DataAreaId,"T.InventTrans|inventDimId~inventDimId@T.InventDim","Sum|Qty|0","","","","","","","DateFinancial|ItemId|T2.InventSiteId|T2.InventLocationId",PeriodEnding,$A81,$B81,$C81)</f>
        <v>0</v>
      </c>
      <c r="G81" s="10">
        <f>AtlasReport_3_Table_1[[#This Row],[Current On-hand]]-AtlasReport_3_Table_1[[#This Row],[Trans backwords (Beginning)]]</f>
        <v>0</v>
      </c>
      <c r="H81" s="10">
        <f>AtlasReport_3_Table_1[[#This Row],[Current On-hand]]-AtlasReport_3_Table_1[[#This Row],[Trans backwords (Ending)]]</f>
        <v>0</v>
      </c>
    </row>
    <row r="82" spans="1:8" x14ac:dyDescent="0.25">
      <c r="A82" s="8" t="s">
        <v>294</v>
      </c>
      <c r="B82" s="8" t="s">
        <v>261</v>
      </c>
      <c r="C82" s="8" t="s">
        <v>264</v>
      </c>
      <c r="D82" s="10">
        <v>0</v>
      </c>
      <c r="E82" s="10">
        <f>_xll.AtlasFormulas.AtlasFunctions.AtlasBalance("PROD",DataAreaId,"T.InventTrans|inventDimId~inventDimId@T.InventDim","Sum|Qty|0","","","","","","","DateFinancial|ItemId|T2.InventSiteId|T2.InventLocationId",PeriodBeginning,$A82,$B82,$C82)</f>
        <v>0</v>
      </c>
      <c r="F82" s="10">
        <f>_xll.AtlasFormulas.AtlasFunctions.AtlasBalance("PROD",DataAreaId,"T.InventTrans|inventDimId~inventDimId@T.InventDim","Sum|Qty|0","","","","","","","DateFinancial|ItemId|T2.InventSiteId|T2.InventLocationId",PeriodEnding,$A82,$B82,$C82)</f>
        <v>0</v>
      </c>
      <c r="G82" s="10">
        <f>AtlasReport_3_Table_1[[#This Row],[Current On-hand]]-AtlasReport_3_Table_1[[#This Row],[Trans backwords (Beginning)]]</f>
        <v>0</v>
      </c>
      <c r="H82" s="10">
        <f>AtlasReport_3_Table_1[[#This Row],[Current On-hand]]-AtlasReport_3_Table_1[[#This Row],[Trans backwords (Ending)]]</f>
        <v>0</v>
      </c>
    </row>
    <row r="83" spans="1:8" x14ac:dyDescent="0.25">
      <c r="A83" s="8" t="s">
        <v>295</v>
      </c>
      <c r="B83" s="8" t="s">
        <v>261</v>
      </c>
      <c r="C83" s="8" t="s">
        <v>81</v>
      </c>
      <c r="D83" s="10">
        <v>0</v>
      </c>
      <c r="E83" s="10">
        <f>_xll.AtlasFormulas.AtlasFunctions.AtlasBalance("PROD",DataAreaId,"T.InventTrans|inventDimId~inventDimId@T.InventDim","Sum|Qty|0","","","","","","","DateFinancial|ItemId|T2.InventSiteId|T2.InventLocationId",PeriodBeginning,$A83,$B83,$C83)</f>
        <v>0</v>
      </c>
      <c r="F83" s="10">
        <f>_xll.AtlasFormulas.AtlasFunctions.AtlasBalance("PROD",DataAreaId,"T.InventTrans|inventDimId~inventDimId@T.InventDim","Sum|Qty|0","","","","","","","DateFinancial|ItemId|T2.InventSiteId|T2.InventLocationId",PeriodEnding,$A83,$B83,$C83)</f>
        <v>0</v>
      </c>
      <c r="G83" s="10">
        <f>AtlasReport_3_Table_1[[#This Row],[Current On-hand]]-AtlasReport_3_Table_1[[#This Row],[Trans backwords (Beginning)]]</f>
        <v>0</v>
      </c>
      <c r="H83" s="10">
        <f>AtlasReport_3_Table_1[[#This Row],[Current On-hand]]-AtlasReport_3_Table_1[[#This Row],[Trans backwords (Ending)]]</f>
        <v>0</v>
      </c>
    </row>
    <row r="84" spans="1:8" x14ac:dyDescent="0.25">
      <c r="A84" s="8" t="s">
        <v>295</v>
      </c>
      <c r="B84" s="8" t="s">
        <v>261</v>
      </c>
      <c r="C84" s="8" t="s">
        <v>264</v>
      </c>
      <c r="D84" s="10">
        <v>90</v>
      </c>
      <c r="E84" s="10">
        <f>_xll.AtlasFormulas.AtlasFunctions.AtlasBalance("PROD",DataAreaId,"T.InventTrans|inventDimId~inventDimId@T.InventDim","Sum|Qty|0","","","","","","","DateFinancial|ItemId|T2.InventSiteId|T2.InventLocationId",PeriodBeginning,$A84,$B84,$C84)</f>
        <v>0</v>
      </c>
      <c r="F84" s="10">
        <f>_xll.AtlasFormulas.AtlasFunctions.AtlasBalance("PROD",DataAreaId,"T.InventTrans|inventDimId~inventDimId@T.InventDim","Sum|Qty|0","","","","","","","DateFinancial|ItemId|T2.InventSiteId|T2.InventLocationId",PeriodEnding,$A84,$B84,$C84)</f>
        <v>0</v>
      </c>
      <c r="G84" s="10">
        <f>AtlasReport_3_Table_1[[#This Row],[Current On-hand]]-AtlasReport_3_Table_1[[#This Row],[Trans backwords (Beginning)]]</f>
        <v>90</v>
      </c>
      <c r="H84" s="10">
        <f>AtlasReport_3_Table_1[[#This Row],[Current On-hand]]-AtlasReport_3_Table_1[[#This Row],[Trans backwords (Ending)]]</f>
        <v>90</v>
      </c>
    </row>
    <row r="85" spans="1:8" x14ac:dyDescent="0.25">
      <c r="A85" s="8" t="s">
        <v>296</v>
      </c>
      <c r="B85" s="8" t="s">
        <v>261</v>
      </c>
      <c r="C85" s="8" t="s">
        <v>81</v>
      </c>
      <c r="D85" s="10">
        <v>0</v>
      </c>
      <c r="E85" s="10">
        <f>_xll.AtlasFormulas.AtlasFunctions.AtlasBalance("PROD",DataAreaId,"T.InventTrans|inventDimId~inventDimId@T.InventDim","Sum|Qty|0","","","","","","","DateFinancial|ItemId|T2.InventSiteId|T2.InventLocationId",PeriodBeginning,$A85,$B85,$C85)</f>
        <v>0</v>
      </c>
      <c r="F85" s="10">
        <f>_xll.AtlasFormulas.AtlasFunctions.AtlasBalance("PROD",DataAreaId,"T.InventTrans|inventDimId~inventDimId@T.InventDim","Sum|Qty|0","","","","","","","DateFinancial|ItemId|T2.InventSiteId|T2.InventLocationId",PeriodEnding,$A85,$B85,$C85)</f>
        <v>0</v>
      </c>
      <c r="G85" s="10">
        <f>AtlasReport_3_Table_1[[#This Row],[Current On-hand]]-AtlasReport_3_Table_1[[#This Row],[Trans backwords (Beginning)]]</f>
        <v>0</v>
      </c>
      <c r="H85" s="10">
        <f>AtlasReport_3_Table_1[[#This Row],[Current On-hand]]-AtlasReport_3_Table_1[[#This Row],[Trans backwords (Ending)]]</f>
        <v>0</v>
      </c>
    </row>
    <row r="86" spans="1:8" x14ac:dyDescent="0.25">
      <c r="A86" s="8" t="s">
        <v>296</v>
      </c>
      <c r="B86" s="8" t="s">
        <v>261</v>
      </c>
      <c r="C86" s="8" t="s">
        <v>264</v>
      </c>
      <c r="D86" s="10">
        <v>0</v>
      </c>
      <c r="E86" s="10">
        <f>_xll.AtlasFormulas.AtlasFunctions.AtlasBalance("PROD",DataAreaId,"T.InventTrans|inventDimId~inventDimId@T.InventDim","Sum|Qty|0","","","","","","","DateFinancial|ItemId|T2.InventSiteId|T2.InventLocationId",PeriodBeginning,$A86,$B86,$C86)</f>
        <v>0</v>
      </c>
      <c r="F86" s="10">
        <f>_xll.AtlasFormulas.AtlasFunctions.AtlasBalance("PROD",DataAreaId,"T.InventTrans|inventDimId~inventDimId@T.InventDim","Sum|Qty|0","","","","","","","DateFinancial|ItemId|T2.InventSiteId|T2.InventLocationId",PeriodEnding,$A86,$B86,$C86)</f>
        <v>0</v>
      </c>
      <c r="G86" s="10">
        <f>AtlasReport_3_Table_1[[#This Row],[Current On-hand]]-AtlasReport_3_Table_1[[#This Row],[Trans backwords (Beginning)]]</f>
        <v>0</v>
      </c>
      <c r="H86" s="10">
        <f>AtlasReport_3_Table_1[[#This Row],[Current On-hand]]-AtlasReport_3_Table_1[[#This Row],[Trans backwords (Ending)]]</f>
        <v>0</v>
      </c>
    </row>
    <row r="87" spans="1:8" x14ac:dyDescent="0.25">
      <c r="A87" s="8" t="s">
        <v>297</v>
      </c>
      <c r="B87" s="8" t="s">
        <v>261</v>
      </c>
      <c r="C87" s="8" t="s">
        <v>264</v>
      </c>
      <c r="D87" s="10">
        <v>20.55</v>
      </c>
      <c r="E87" s="10">
        <f>_xll.AtlasFormulas.AtlasFunctions.AtlasBalance("PROD",DataAreaId,"T.InventTrans|inventDimId~inventDimId@T.InventDim","Sum|Qty|0","","","","","","","DateFinancial|ItemId|T2.InventSiteId|T2.InventLocationId",PeriodBeginning,$A87,$B87,$C87)</f>
        <v>-60.45</v>
      </c>
      <c r="F87" s="10">
        <f>_xll.AtlasFormulas.AtlasFunctions.AtlasBalance("PROD",DataAreaId,"T.InventTrans|inventDimId~inventDimId@T.InventDim","Sum|Qty|0","","","","","","","DateFinancial|ItemId|T2.InventSiteId|T2.InventLocationId",PeriodEnding,$A87,$B87,$C87)</f>
        <v>0</v>
      </c>
      <c r="G87" s="10">
        <f>AtlasReport_3_Table_1[[#This Row],[Current On-hand]]-AtlasReport_3_Table_1[[#This Row],[Trans backwords (Beginning)]]</f>
        <v>81</v>
      </c>
      <c r="H87" s="10">
        <f>AtlasReport_3_Table_1[[#This Row],[Current On-hand]]-AtlasReport_3_Table_1[[#This Row],[Trans backwords (Ending)]]</f>
        <v>20.55</v>
      </c>
    </row>
    <row r="88" spans="1:8" x14ac:dyDescent="0.25">
      <c r="A88" s="8" t="s">
        <v>22</v>
      </c>
      <c r="B88" s="8" t="s">
        <v>261</v>
      </c>
      <c r="C88" s="8" t="s">
        <v>290</v>
      </c>
      <c r="D88" s="10">
        <v>-3</v>
      </c>
      <c r="E88" s="10">
        <f>_xll.AtlasFormulas.AtlasFunctions.AtlasBalance("PROD",DataAreaId,"T.InventTrans|inventDimId~inventDimId@T.InventDim","Sum|Qty|0","","","","","","","DateFinancial|ItemId|T2.InventSiteId|T2.InventLocationId",PeriodBeginning,$A88,$B88,$C88)</f>
        <v>0</v>
      </c>
      <c r="F88" s="10">
        <f>_xll.AtlasFormulas.AtlasFunctions.AtlasBalance("PROD",DataAreaId,"T.InventTrans|inventDimId~inventDimId@T.InventDim","Sum|Qty|0","","","","","","","DateFinancial|ItemId|T2.InventSiteId|T2.InventLocationId",PeriodEnding,$A88,$B88,$C88)</f>
        <v>0</v>
      </c>
      <c r="G88" s="10">
        <f>AtlasReport_3_Table_1[[#This Row],[Current On-hand]]-AtlasReport_3_Table_1[[#This Row],[Trans backwords (Beginning)]]</f>
        <v>-3</v>
      </c>
      <c r="H88" s="10">
        <f>AtlasReport_3_Table_1[[#This Row],[Current On-hand]]-AtlasReport_3_Table_1[[#This Row],[Trans backwords (Ending)]]</f>
        <v>-3</v>
      </c>
    </row>
    <row r="89" spans="1:8" x14ac:dyDescent="0.25">
      <c r="A89" s="8" t="s">
        <v>22</v>
      </c>
      <c r="B89" s="8" t="s">
        <v>261</v>
      </c>
      <c r="C89" s="8" t="s">
        <v>264</v>
      </c>
      <c r="D89" s="10">
        <v>-1</v>
      </c>
      <c r="E89" s="10">
        <f>_xll.AtlasFormulas.AtlasFunctions.AtlasBalance("PROD",DataAreaId,"T.InventTrans|inventDimId~inventDimId@T.InventDim","Sum|Qty|0","","","","","","","DateFinancial|ItemId|T2.InventSiteId|T2.InventLocationId",PeriodBeginning,$A89,$B89,$C89)</f>
        <v>0</v>
      </c>
      <c r="F89" s="10">
        <f>_xll.AtlasFormulas.AtlasFunctions.AtlasBalance("PROD",DataAreaId,"T.InventTrans|inventDimId~inventDimId@T.InventDim","Sum|Qty|0","","","","","","","DateFinancial|ItemId|T2.InventSiteId|T2.InventLocationId",PeriodEnding,$A89,$B89,$C89)</f>
        <v>0</v>
      </c>
      <c r="G89" s="10">
        <f>AtlasReport_3_Table_1[[#This Row],[Current On-hand]]-AtlasReport_3_Table_1[[#This Row],[Trans backwords (Beginning)]]</f>
        <v>-1</v>
      </c>
      <c r="H89" s="10">
        <f>AtlasReport_3_Table_1[[#This Row],[Current On-hand]]-AtlasReport_3_Table_1[[#This Row],[Trans backwords (Ending)]]</f>
        <v>-1</v>
      </c>
    </row>
    <row r="90" spans="1:8" x14ac:dyDescent="0.25">
      <c r="A90" s="8" t="s">
        <v>298</v>
      </c>
      <c r="B90" s="8" t="s">
        <v>261</v>
      </c>
      <c r="C90" s="8" t="s">
        <v>81</v>
      </c>
      <c r="D90" s="10">
        <v>0</v>
      </c>
      <c r="E90" s="10">
        <f>_xll.AtlasFormulas.AtlasFunctions.AtlasBalance("PROD",DataAreaId,"T.InventTrans|inventDimId~inventDimId@T.InventDim","Sum|Qty|0","","","","","","","DateFinancial|ItemId|T2.InventSiteId|T2.InventLocationId",PeriodBeginning,$A90,$B90,$C90)</f>
        <v>0</v>
      </c>
      <c r="F90" s="10">
        <f>_xll.AtlasFormulas.AtlasFunctions.AtlasBalance("PROD",DataAreaId,"T.InventTrans|inventDimId~inventDimId@T.InventDim","Sum|Qty|0","","","","","","","DateFinancial|ItemId|T2.InventSiteId|T2.InventLocationId",PeriodEnding,$A90,$B90,$C90)</f>
        <v>0</v>
      </c>
      <c r="G90" s="10">
        <f>AtlasReport_3_Table_1[[#This Row],[Current On-hand]]-AtlasReport_3_Table_1[[#This Row],[Trans backwords (Beginning)]]</f>
        <v>0</v>
      </c>
      <c r="H90" s="10">
        <f>AtlasReport_3_Table_1[[#This Row],[Current On-hand]]-AtlasReport_3_Table_1[[#This Row],[Trans backwords (Ending)]]</f>
        <v>0</v>
      </c>
    </row>
    <row r="91" spans="1:8" x14ac:dyDescent="0.25">
      <c r="A91" s="8" t="s">
        <v>298</v>
      </c>
      <c r="B91" s="8" t="s">
        <v>261</v>
      </c>
      <c r="C91" s="8" t="s">
        <v>262</v>
      </c>
      <c r="D91" s="10">
        <v>0</v>
      </c>
      <c r="E91" s="10">
        <f>_xll.AtlasFormulas.AtlasFunctions.AtlasBalance("PROD",DataAreaId,"T.InventTrans|inventDimId~inventDimId@T.InventDim","Sum|Qty|0","","","","","","","DateFinancial|ItemId|T2.InventSiteId|T2.InventLocationId",PeriodBeginning,$A91,$B91,$C91)</f>
        <v>0</v>
      </c>
      <c r="F91" s="10">
        <f>_xll.AtlasFormulas.AtlasFunctions.AtlasBalance("PROD",DataAreaId,"T.InventTrans|inventDimId~inventDimId@T.InventDim","Sum|Qty|0","","","","","","","DateFinancial|ItemId|T2.InventSiteId|T2.InventLocationId",PeriodEnding,$A91,$B91,$C91)</f>
        <v>0</v>
      </c>
      <c r="G91" s="10">
        <f>AtlasReport_3_Table_1[[#This Row],[Current On-hand]]-AtlasReport_3_Table_1[[#This Row],[Trans backwords (Beginning)]]</f>
        <v>0</v>
      </c>
      <c r="H91" s="10">
        <f>AtlasReport_3_Table_1[[#This Row],[Current On-hand]]-AtlasReport_3_Table_1[[#This Row],[Trans backwords (Ending)]]</f>
        <v>0</v>
      </c>
    </row>
    <row r="92" spans="1:8" x14ac:dyDescent="0.25">
      <c r="A92" s="8" t="s">
        <v>298</v>
      </c>
      <c r="B92" s="8" t="s">
        <v>261</v>
      </c>
      <c r="C92" s="8" t="s">
        <v>264</v>
      </c>
      <c r="D92" s="10">
        <v>171</v>
      </c>
      <c r="E92" s="10">
        <f>_xll.AtlasFormulas.AtlasFunctions.AtlasBalance("PROD",DataAreaId,"T.InventTrans|inventDimId~inventDimId@T.InventDim","Sum|Qty|0","","","","","","","DateFinancial|ItemId|T2.InventSiteId|T2.InventLocationId",PeriodBeginning,$A92,$B92,$C92)</f>
        <v>39.9</v>
      </c>
      <c r="F92" s="10">
        <f>_xll.AtlasFormulas.AtlasFunctions.AtlasBalance("PROD",DataAreaId,"T.InventTrans|inventDimId~inventDimId@T.InventDim","Sum|Qty|0","","","","","","","DateFinancial|ItemId|T2.InventSiteId|T2.InventLocationId",PeriodEnding,$A92,$B92,$C92)</f>
        <v>0</v>
      </c>
      <c r="G92" s="10">
        <f>AtlasReport_3_Table_1[[#This Row],[Current On-hand]]-AtlasReport_3_Table_1[[#This Row],[Trans backwords (Beginning)]]</f>
        <v>131.1</v>
      </c>
      <c r="H92" s="10">
        <f>AtlasReport_3_Table_1[[#This Row],[Current On-hand]]-AtlasReport_3_Table_1[[#This Row],[Trans backwords (Ending)]]</f>
        <v>171</v>
      </c>
    </row>
    <row r="93" spans="1:8" x14ac:dyDescent="0.25">
      <c r="A93" s="8" t="s">
        <v>299</v>
      </c>
      <c r="B93" s="8" t="s">
        <v>261</v>
      </c>
      <c r="C93" s="8" t="s">
        <v>264</v>
      </c>
      <c r="D93" s="10">
        <v>0</v>
      </c>
      <c r="E93" s="10">
        <f>_xll.AtlasFormulas.AtlasFunctions.AtlasBalance("PROD",DataAreaId,"T.InventTrans|inventDimId~inventDimId@T.InventDim","Sum|Qty|0","","","","","","","DateFinancial|ItemId|T2.InventSiteId|T2.InventLocationId",PeriodBeginning,$A93,$B93,$C93)</f>
        <v>-1</v>
      </c>
      <c r="F93" s="10">
        <f>_xll.AtlasFormulas.AtlasFunctions.AtlasBalance("PROD",DataAreaId,"T.InventTrans|inventDimId~inventDimId@T.InventDim","Sum|Qty|0","","","","","","","DateFinancial|ItemId|T2.InventSiteId|T2.InventLocationId",PeriodEnding,$A93,$B93,$C93)</f>
        <v>0</v>
      </c>
      <c r="G93" s="10">
        <f>AtlasReport_3_Table_1[[#This Row],[Current On-hand]]-AtlasReport_3_Table_1[[#This Row],[Trans backwords (Beginning)]]</f>
        <v>1</v>
      </c>
      <c r="H93" s="10">
        <f>AtlasReport_3_Table_1[[#This Row],[Current On-hand]]-AtlasReport_3_Table_1[[#This Row],[Trans backwords (Ending)]]</f>
        <v>0</v>
      </c>
    </row>
    <row r="94" spans="1:8" x14ac:dyDescent="0.25">
      <c r="A94" s="8" t="s">
        <v>300</v>
      </c>
      <c r="B94" s="8" t="s">
        <v>261</v>
      </c>
      <c r="C94" s="8" t="s">
        <v>264</v>
      </c>
      <c r="D94" s="10">
        <v>0</v>
      </c>
      <c r="E94" s="10">
        <f>_xll.AtlasFormulas.AtlasFunctions.AtlasBalance("PROD",DataAreaId,"T.InventTrans|inventDimId~inventDimId@T.InventDim","Sum|Qty|0","","","","","","","DateFinancial|ItemId|T2.InventSiteId|T2.InventLocationId",PeriodBeginning,$A94,$B94,$C94)</f>
        <v>0</v>
      </c>
      <c r="F94" s="10">
        <f>_xll.AtlasFormulas.AtlasFunctions.AtlasBalance("PROD",DataAreaId,"T.InventTrans|inventDimId~inventDimId@T.InventDim","Sum|Qty|0","","","","","","","DateFinancial|ItemId|T2.InventSiteId|T2.InventLocationId",PeriodEnding,$A94,$B94,$C94)</f>
        <v>0</v>
      </c>
      <c r="G94" s="10">
        <f>AtlasReport_3_Table_1[[#This Row],[Current On-hand]]-AtlasReport_3_Table_1[[#This Row],[Trans backwords (Beginning)]]</f>
        <v>0</v>
      </c>
      <c r="H94" s="10">
        <f>AtlasReport_3_Table_1[[#This Row],[Current On-hand]]-AtlasReport_3_Table_1[[#This Row],[Trans backwords (Ending)]]</f>
        <v>0</v>
      </c>
    </row>
    <row r="95" spans="1:8" x14ac:dyDescent="0.25">
      <c r="A95" s="8" t="s">
        <v>301</v>
      </c>
      <c r="B95" s="8" t="s">
        <v>261</v>
      </c>
      <c r="C95" s="8" t="s">
        <v>264</v>
      </c>
      <c r="D95" s="10">
        <v>0</v>
      </c>
      <c r="E95" s="10">
        <f>_xll.AtlasFormulas.AtlasFunctions.AtlasBalance("PROD",DataAreaId,"T.InventTrans|inventDimId~inventDimId@T.InventDim","Sum|Qty|0","","","","","","","DateFinancial|ItemId|T2.InventSiteId|T2.InventLocationId",PeriodBeginning,$A95,$B95,$C95)</f>
        <v>-1</v>
      </c>
      <c r="F95" s="10">
        <f>_xll.AtlasFormulas.AtlasFunctions.AtlasBalance("PROD",DataAreaId,"T.InventTrans|inventDimId~inventDimId@T.InventDim","Sum|Qty|0","","","","","","","DateFinancial|ItemId|T2.InventSiteId|T2.InventLocationId",PeriodEnding,$A95,$B95,$C95)</f>
        <v>0</v>
      </c>
      <c r="G95" s="10">
        <f>AtlasReport_3_Table_1[[#This Row],[Current On-hand]]-AtlasReport_3_Table_1[[#This Row],[Trans backwords (Beginning)]]</f>
        <v>1</v>
      </c>
      <c r="H95" s="10">
        <f>AtlasReport_3_Table_1[[#This Row],[Current On-hand]]-AtlasReport_3_Table_1[[#This Row],[Trans backwords (Ending)]]</f>
        <v>0</v>
      </c>
    </row>
    <row r="96" spans="1:8" x14ac:dyDescent="0.25">
      <c r="A96" s="8" t="s">
        <v>302</v>
      </c>
      <c r="B96" s="8" t="s">
        <v>261</v>
      </c>
      <c r="C96" s="8" t="s">
        <v>81</v>
      </c>
      <c r="D96" s="10">
        <v>0</v>
      </c>
      <c r="E96" s="10">
        <f>_xll.AtlasFormulas.AtlasFunctions.AtlasBalance("PROD",DataAreaId,"T.InventTrans|inventDimId~inventDimId@T.InventDim","Sum|Qty|0","","","","","","","DateFinancial|ItemId|T2.InventSiteId|T2.InventLocationId",PeriodBeginning,$A96,$B96,$C96)</f>
        <v>0</v>
      </c>
      <c r="F96" s="10">
        <f>_xll.AtlasFormulas.AtlasFunctions.AtlasBalance("PROD",DataAreaId,"T.InventTrans|inventDimId~inventDimId@T.InventDim","Sum|Qty|0","","","","","","","DateFinancial|ItemId|T2.InventSiteId|T2.InventLocationId",PeriodEnding,$A96,$B96,$C96)</f>
        <v>0</v>
      </c>
      <c r="G96" s="10">
        <f>AtlasReport_3_Table_1[[#This Row],[Current On-hand]]-AtlasReport_3_Table_1[[#This Row],[Trans backwords (Beginning)]]</f>
        <v>0</v>
      </c>
      <c r="H96" s="10">
        <f>AtlasReport_3_Table_1[[#This Row],[Current On-hand]]-AtlasReport_3_Table_1[[#This Row],[Trans backwords (Ending)]]</f>
        <v>0</v>
      </c>
    </row>
    <row r="97" spans="1:8" x14ac:dyDescent="0.25">
      <c r="A97" s="8" t="s">
        <v>302</v>
      </c>
      <c r="B97" s="8" t="s">
        <v>261</v>
      </c>
      <c r="C97" s="8" t="s">
        <v>264</v>
      </c>
      <c r="D97" s="10">
        <v>159</v>
      </c>
      <c r="E97" s="10">
        <f>_xll.AtlasFormulas.AtlasFunctions.AtlasBalance("PROD",DataAreaId,"T.InventTrans|inventDimId~inventDimId@T.InventDim","Sum|Qty|0","","","","","","","DateFinancial|ItemId|T2.InventSiteId|T2.InventLocationId",PeriodBeginning,$A97,$B97,$C97)</f>
        <v>0</v>
      </c>
      <c r="F97" s="10">
        <f>_xll.AtlasFormulas.AtlasFunctions.AtlasBalance("PROD",DataAreaId,"T.InventTrans|inventDimId~inventDimId@T.InventDim","Sum|Qty|0","","","","","","","DateFinancial|ItemId|T2.InventSiteId|T2.InventLocationId",PeriodEnding,$A97,$B97,$C97)</f>
        <v>0</v>
      </c>
      <c r="G97" s="10">
        <f>AtlasReport_3_Table_1[[#This Row],[Current On-hand]]-AtlasReport_3_Table_1[[#This Row],[Trans backwords (Beginning)]]</f>
        <v>159</v>
      </c>
      <c r="H97" s="10">
        <f>AtlasReport_3_Table_1[[#This Row],[Current On-hand]]-AtlasReport_3_Table_1[[#This Row],[Trans backwords (Ending)]]</f>
        <v>159</v>
      </c>
    </row>
    <row r="98" spans="1:8" x14ac:dyDescent="0.25">
      <c r="A98" s="8" t="s">
        <v>303</v>
      </c>
      <c r="B98" s="8" t="s">
        <v>261</v>
      </c>
      <c r="C98" s="8" t="s">
        <v>264</v>
      </c>
      <c r="D98" s="10">
        <v>0</v>
      </c>
      <c r="E98" s="10">
        <f>_xll.AtlasFormulas.AtlasFunctions.AtlasBalance("PROD",DataAreaId,"T.InventTrans|inventDimId~inventDimId@T.InventDim","Sum|Qty|0","","","","","","","DateFinancial|ItemId|T2.InventSiteId|T2.InventLocationId",PeriodBeginning,$A98,$B98,$C98)</f>
        <v>-1</v>
      </c>
      <c r="F98" s="10">
        <f>_xll.AtlasFormulas.AtlasFunctions.AtlasBalance("PROD",DataAreaId,"T.InventTrans|inventDimId~inventDimId@T.InventDim","Sum|Qty|0","","","","","","","DateFinancial|ItemId|T2.InventSiteId|T2.InventLocationId",PeriodEnding,$A98,$B98,$C98)</f>
        <v>0</v>
      </c>
      <c r="G98" s="10">
        <f>AtlasReport_3_Table_1[[#This Row],[Current On-hand]]-AtlasReport_3_Table_1[[#This Row],[Trans backwords (Beginning)]]</f>
        <v>1</v>
      </c>
      <c r="H98" s="10">
        <f>AtlasReport_3_Table_1[[#This Row],[Current On-hand]]-AtlasReport_3_Table_1[[#This Row],[Trans backwords (Ending)]]</f>
        <v>0</v>
      </c>
    </row>
    <row r="99" spans="1:8" x14ac:dyDescent="0.25">
      <c r="A99" s="8" t="s">
        <v>304</v>
      </c>
      <c r="B99" s="8" t="s">
        <v>261</v>
      </c>
      <c r="C99" s="8" t="s">
        <v>81</v>
      </c>
      <c r="D99" s="10">
        <v>0</v>
      </c>
      <c r="E99" s="10">
        <f>_xll.AtlasFormulas.AtlasFunctions.AtlasBalance("PROD",DataAreaId,"T.InventTrans|inventDimId~inventDimId@T.InventDim","Sum|Qty|0","","","","","","","DateFinancial|ItemId|T2.InventSiteId|T2.InventLocationId",PeriodBeginning,$A99,$B99,$C99)</f>
        <v>0</v>
      </c>
      <c r="F99" s="10">
        <f>_xll.AtlasFormulas.AtlasFunctions.AtlasBalance("PROD",DataAreaId,"T.InventTrans|inventDimId~inventDimId@T.InventDim","Sum|Qty|0","","","","","","","DateFinancial|ItemId|T2.InventSiteId|T2.InventLocationId",PeriodEnding,$A99,$B99,$C99)</f>
        <v>0</v>
      </c>
      <c r="G99" s="10">
        <f>AtlasReport_3_Table_1[[#This Row],[Current On-hand]]-AtlasReport_3_Table_1[[#This Row],[Trans backwords (Beginning)]]</f>
        <v>0</v>
      </c>
      <c r="H99" s="10">
        <f>AtlasReport_3_Table_1[[#This Row],[Current On-hand]]-AtlasReport_3_Table_1[[#This Row],[Trans backwords (Ending)]]</f>
        <v>0</v>
      </c>
    </row>
    <row r="100" spans="1:8" x14ac:dyDescent="0.25">
      <c r="A100" s="8" t="s">
        <v>304</v>
      </c>
      <c r="B100" s="8" t="s">
        <v>261</v>
      </c>
      <c r="C100" s="8" t="s">
        <v>305</v>
      </c>
      <c r="D100" s="10">
        <v>0</v>
      </c>
      <c r="E100" s="10">
        <f>_xll.AtlasFormulas.AtlasFunctions.AtlasBalance("PROD",DataAreaId,"T.InventTrans|inventDimId~inventDimId@T.InventDim","Sum|Qty|0","","","","","","","DateFinancial|ItemId|T2.InventSiteId|T2.InventLocationId",PeriodBeginning,$A100,$B100,$C100)</f>
        <v>0</v>
      </c>
      <c r="F100" s="10">
        <f>_xll.AtlasFormulas.AtlasFunctions.AtlasBalance("PROD",DataAreaId,"T.InventTrans|inventDimId~inventDimId@T.InventDim","Sum|Qty|0","","","","","","","DateFinancial|ItemId|T2.InventSiteId|T2.InventLocationId",PeriodEnding,$A100,$B100,$C100)</f>
        <v>0</v>
      </c>
      <c r="G100" s="10">
        <f>AtlasReport_3_Table_1[[#This Row],[Current On-hand]]-AtlasReport_3_Table_1[[#This Row],[Trans backwords (Beginning)]]</f>
        <v>0</v>
      </c>
      <c r="H100" s="10">
        <f>AtlasReport_3_Table_1[[#This Row],[Current On-hand]]-AtlasReport_3_Table_1[[#This Row],[Trans backwords (Ending)]]</f>
        <v>0</v>
      </c>
    </row>
    <row r="101" spans="1:8" x14ac:dyDescent="0.25">
      <c r="A101" s="8" t="s">
        <v>304</v>
      </c>
      <c r="B101" s="8" t="s">
        <v>261</v>
      </c>
      <c r="C101" s="8" t="s">
        <v>264</v>
      </c>
      <c r="D101" s="10">
        <v>0</v>
      </c>
      <c r="E101" s="10">
        <f>_xll.AtlasFormulas.AtlasFunctions.AtlasBalance("PROD",DataAreaId,"T.InventTrans|inventDimId~inventDimId@T.InventDim","Sum|Qty|0","","","","","","","DateFinancial|ItemId|T2.InventSiteId|T2.InventLocationId",PeriodBeginning,$A101,$B101,$C101)</f>
        <v>0</v>
      </c>
      <c r="F101" s="10">
        <f>_xll.AtlasFormulas.AtlasFunctions.AtlasBalance("PROD",DataAreaId,"T.InventTrans|inventDimId~inventDimId@T.InventDim","Sum|Qty|0","","","","","","","DateFinancial|ItemId|T2.InventSiteId|T2.InventLocationId",PeriodEnding,$A101,$B101,$C101)</f>
        <v>0</v>
      </c>
      <c r="G101" s="10">
        <f>AtlasReport_3_Table_1[[#This Row],[Current On-hand]]-AtlasReport_3_Table_1[[#This Row],[Trans backwords (Beginning)]]</f>
        <v>0</v>
      </c>
      <c r="H101" s="10">
        <f>AtlasReport_3_Table_1[[#This Row],[Current On-hand]]-AtlasReport_3_Table_1[[#This Row],[Trans backwords (Ending)]]</f>
        <v>0</v>
      </c>
    </row>
    <row r="102" spans="1:8" x14ac:dyDescent="0.25">
      <c r="A102" s="8" t="s">
        <v>304</v>
      </c>
      <c r="B102" s="8" t="s">
        <v>261</v>
      </c>
      <c r="C102" s="8" t="s">
        <v>265</v>
      </c>
      <c r="D102" s="10">
        <v>0</v>
      </c>
      <c r="E102" s="10">
        <f>_xll.AtlasFormulas.AtlasFunctions.AtlasBalance("PROD",DataAreaId,"T.InventTrans|inventDimId~inventDimId@T.InventDim","Sum|Qty|0","","","","","","","DateFinancial|ItemId|T2.InventSiteId|T2.InventLocationId",PeriodBeginning,$A102,$B102,$C102)</f>
        <v>0</v>
      </c>
      <c r="F102" s="10">
        <f>_xll.AtlasFormulas.AtlasFunctions.AtlasBalance("PROD",DataAreaId,"T.InventTrans|inventDimId~inventDimId@T.InventDim","Sum|Qty|0","","","","","","","DateFinancial|ItemId|T2.InventSiteId|T2.InventLocationId",PeriodEnding,$A102,$B102,$C102)</f>
        <v>0</v>
      </c>
      <c r="G102" s="10">
        <f>AtlasReport_3_Table_1[[#This Row],[Current On-hand]]-AtlasReport_3_Table_1[[#This Row],[Trans backwords (Beginning)]]</f>
        <v>0</v>
      </c>
      <c r="H102" s="10">
        <f>AtlasReport_3_Table_1[[#This Row],[Current On-hand]]-AtlasReport_3_Table_1[[#This Row],[Trans backwords (Ending)]]</f>
        <v>0</v>
      </c>
    </row>
    <row r="103" spans="1:8" x14ac:dyDescent="0.25">
      <c r="A103" s="8" t="s">
        <v>306</v>
      </c>
      <c r="B103" s="8" t="s">
        <v>261</v>
      </c>
      <c r="C103" s="8" t="s">
        <v>81</v>
      </c>
      <c r="D103" s="10">
        <v>0</v>
      </c>
      <c r="E103" s="10">
        <f>_xll.AtlasFormulas.AtlasFunctions.AtlasBalance("PROD",DataAreaId,"T.InventTrans|inventDimId~inventDimId@T.InventDim","Sum|Qty|0","","","","","","","DateFinancial|ItemId|T2.InventSiteId|T2.InventLocationId",PeriodBeginning,$A103,$B103,$C103)</f>
        <v>0</v>
      </c>
      <c r="F103" s="10">
        <f>_xll.AtlasFormulas.AtlasFunctions.AtlasBalance("PROD",DataAreaId,"T.InventTrans|inventDimId~inventDimId@T.InventDim","Sum|Qty|0","","","","","","","DateFinancial|ItemId|T2.InventSiteId|T2.InventLocationId",PeriodEnding,$A103,$B103,$C103)</f>
        <v>0</v>
      </c>
      <c r="G103" s="10">
        <f>AtlasReport_3_Table_1[[#This Row],[Current On-hand]]-AtlasReport_3_Table_1[[#This Row],[Trans backwords (Beginning)]]</f>
        <v>0</v>
      </c>
      <c r="H103" s="10">
        <f>AtlasReport_3_Table_1[[#This Row],[Current On-hand]]-AtlasReport_3_Table_1[[#This Row],[Trans backwords (Ending)]]</f>
        <v>0</v>
      </c>
    </row>
    <row r="104" spans="1:8" x14ac:dyDescent="0.25">
      <c r="A104" s="8" t="s">
        <v>306</v>
      </c>
      <c r="B104" s="8" t="s">
        <v>261</v>
      </c>
      <c r="C104" s="8" t="s">
        <v>305</v>
      </c>
      <c r="D104" s="10">
        <v>0</v>
      </c>
      <c r="E104" s="10">
        <f>_xll.AtlasFormulas.AtlasFunctions.AtlasBalance("PROD",DataAreaId,"T.InventTrans|inventDimId~inventDimId@T.InventDim","Sum|Qty|0","","","","","","","DateFinancial|ItemId|T2.InventSiteId|T2.InventLocationId",PeriodBeginning,$A104,$B104,$C104)</f>
        <v>0</v>
      </c>
      <c r="F104" s="10">
        <f>_xll.AtlasFormulas.AtlasFunctions.AtlasBalance("PROD",DataAreaId,"T.InventTrans|inventDimId~inventDimId@T.InventDim","Sum|Qty|0","","","","","","","DateFinancial|ItemId|T2.InventSiteId|T2.InventLocationId",PeriodEnding,$A104,$B104,$C104)</f>
        <v>0</v>
      </c>
      <c r="G104" s="10">
        <f>AtlasReport_3_Table_1[[#This Row],[Current On-hand]]-AtlasReport_3_Table_1[[#This Row],[Trans backwords (Beginning)]]</f>
        <v>0</v>
      </c>
      <c r="H104" s="10">
        <f>AtlasReport_3_Table_1[[#This Row],[Current On-hand]]-AtlasReport_3_Table_1[[#This Row],[Trans backwords (Ending)]]</f>
        <v>0</v>
      </c>
    </row>
    <row r="105" spans="1:8" x14ac:dyDescent="0.25">
      <c r="A105" s="8" t="s">
        <v>306</v>
      </c>
      <c r="B105" s="8" t="s">
        <v>261</v>
      </c>
      <c r="C105" s="8" t="s">
        <v>290</v>
      </c>
      <c r="D105" s="10">
        <v>0</v>
      </c>
      <c r="E105" s="10">
        <f>_xll.AtlasFormulas.AtlasFunctions.AtlasBalance("PROD",DataAreaId,"T.InventTrans|inventDimId~inventDimId@T.InventDim","Sum|Qty|0","","","","","","","DateFinancial|ItemId|T2.InventSiteId|T2.InventLocationId",PeriodBeginning,$A105,$B105,$C105)</f>
        <v>0</v>
      </c>
      <c r="F105" s="10">
        <f>_xll.AtlasFormulas.AtlasFunctions.AtlasBalance("PROD",DataAreaId,"T.InventTrans|inventDimId~inventDimId@T.InventDim","Sum|Qty|0","","","","","","","DateFinancial|ItemId|T2.InventSiteId|T2.InventLocationId",PeriodEnding,$A105,$B105,$C105)</f>
        <v>0</v>
      </c>
      <c r="G105" s="10">
        <f>AtlasReport_3_Table_1[[#This Row],[Current On-hand]]-AtlasReport_3_Table_1[[#This Row],[Trans backwords (Beginning)]]</f>
        <v>0</v>
      </c>
      <c r="H105" s="10">
        <f>AtlasReport_3_Table_1[[#This Row],[Current On-hand]]-AtlasReport_3_Table_1[[#This Row],[Trans backwords (Ending)]]</f>
        <v>0</v>
      </c>
    </row>
    <row r="106" spans="1:8" x14ac:dyDescent="0.25">
      <c r="A106" s="8" t="s">
        <v>306</v>
      </c>
      <c r="B106" s="8" t="s">
        <v>261</v>
      </c>
      <c r="C106" s="8" t="s">
        <v>264</v>
      </c>
      <c r="D106" s="10">
        <v>0</v>
      </c>
      <c r="E106" s="10">
        <f>_xll.AtlasFormulas.AtlasFunctions.AtlasBalance("PROD",DataAreaId,"T.InventTrans|inventDimId~inventDimId@T.InventDim","Sum|Qty|0","","","","","","","DateFinancial|ItemId|T2.InventSiteId|T2.InventLocationId",PeriodBeginning,$A106,$B106,$C106)</f>
        <v>0</v>
      </c>
      <c r="F106" s="10">
        <f>_xll.AtlasFormulas.AtlasFunctions.AtlasBalance("PROD",DataAreaId,"T.InventTrans|inventDimId~inventDimId@T.InventDim","Sum|Qty|0","","","","","","","DateFinancial|ItemId|T2.InventSiteId|T2.InventLocationId",PeriodEnding,$A106,$B106,$C106)</f>
        <v>0</v>
      </c>
      <c r="G106" s="10">
        <f>AtlasReport_3_Table_1[[#This Row],[Current On-hand]]-AtlasReport_3_Table_1[[#This Row],[Trans backwords (Beginning)]]</f>
        <v>0</v>
      </c>
      <c r="H106" s="10">
        <f>AtlasReport_3_Table_1[[#This Row],[Current On-hand]]-AtlasReport_3_Table_1[[#This Row],[Trans backwords (Ending)]]</f>
        <v>0</v>
      </c>
    </row>
    <row r="107" spans="1:8" x14ac:dyDescent="0.25">
      <c r="A107" s="8" t="s">
        <v>306</v>
      </c>
      <c r="B107" s="8" t="s">
        <v>261</v>
      </c>
      <c r="C107" s="8" t="s">
        <v>265</v>
      </c>
      <c r="D107" s="10">
        <v>0</v>
      </c>
      <c r="E107" s="10">
        <f>_xll.AtlasFormulas.AtlasFunctions.AtlasBalance("PROD",DataAreaId,"T.InventTrans|inventDimId~inventDimId@T.InventDim","Sum|Qty|0","","","","","","","DateFinancial|ItemId|T2.InventSiteId|T2.InventLocationId",PeriodBeginning,$A107,$B107,$C107)</f>
        <v>0</v>
      </c>
      <c r="F107" s="10">
        <f>_xll.AtlasFormulas.AtlasFunctions.AtlasBalance("PROD",DataAreaId,"T.InventTrans|inventDimId~inventDimId@T.InventDim","Sum|Qty|0","","","","","","","DateFinancial|ItemId|T2.InventSiteId|T2.InventLocationId",PeriodEnding,$A107,$B107,$C107)</f>
        <v>0</v>
      </c>
      <c r="G107" s="10">
        <f>AtlasReport_3_Table_1[[#This Row],[Current On-hand]]-AtlasReport_3_Table_1[[#This Row],[Trans backwords (Beginning)]]</f>
        <v>0</v>
      </c>
      <c r="H107" s="10">
        <f>AtlasReport_3_Table_1[[#This Row],[Current On-hand]]-AtlasReport_3_Table_1[[#This Row],[Trans backwords (Ending)]]</f>
        <v>0</v>
      </c>
    </row>
    <row r="108" spans="1:8" x14ac:dyDescent="0.25">
      <c r="A108" s="8" t="s">
        <v>307</v>
      </c>
      <c r="B108" s="8" t="s">
        <v>261</v>
      </c>
      <c r="C108" s="8" t="s">
        <v>81</v>
      </c>
      <c r="D108" s="10">
        <v>0</v>
      </c>
      <c r="E108" s="10">
        <f>_xll.AtlasFormulas.AtlasFunctions.AtlasBalance("PROD",DataAreaId,"T.InventTrans|inventDimId~inventDimId@T.InventDim","Sum|Qty|0","","","","","","","DateFinancial|ItemId|T2.InventSiteId|T2.InventLocationId",PeriodBeginning,$A108,$B108,$C108)</f>
        <v>0</v>
      </c>
      <c r="F108" s="10">
        <f>_xll.AtlasFormulas.AtlasFunctions.AtlasBalance("PROD",DataAreaId,"T.InventTrans|inventDimId~inventDimId@T.InventDim","Sum|Qty|0","","","","","","","DateFinancial|ItemId|T2.InventSiteId|T2.InventLocationId",PeriodEnding,$A108,$B108,$C108)</f>
        <v>0</v>
      </c>
      <c r="G108" s="10">
        <f>AtlasReport_3_Table_1[[#This Row],[Current On-hand]]-AtlasReport_3_Table_1[[#This Row],[Trans backwords (Beginning)]]</f>
        <v>0</v>
      </c>
      <c r="H108" s="10">
        <f>AtlasReport_3_Table_1[[#This Row],[Current On-hand]]-AtlasReport_3_Table_1[[#This Row],[Trans backwords (Ending)]]</f>
        <v>0</v>
      </c>
    </row>
    <row r="109" spans="1:8" x14ac:dyDescent="0.25">
      <c r="A109" s="8" t="s">
        <v>307</v>
      </c>
      <c r="B109" s="8" t="s">
        <v>261</v>
      </c>
      <c r="C109" s="8" t="s">
        <v>262</v>
      </c>
      <c r="D109" s="10">
        <v>0</v>
      </c>
      <c r="E109" s="10">
        <f>_xll.AtlasFormulas.AtlasFunctions.AtlasBalance("PROD",DataAreaId,"T.InventTrans|inventDimId~inventDimId@T.InventDim","Sum|Qty|0","","","","","","","DateFinancial|ItemId|T2.InventSiteId|T2.InventLocationId",PeriodBeginning,$A109,$B109,$C109)</f>
        <v>0</v>
      </c>
      <c r="F109" s="10">
        <f>_xll.AtlasFormulas.AtlasFunctions.AtlasBalance("PROD",DataAreaId,"T.InventTrans|inventDimId~inventDimId@T.InventDim","Sum|Qty|0","","","","","","","DateFinancial|ItemId|T2.InventSiteId|T2.InventLocationId",PeriodEnding,$A109,$B109,$C109)</f>
        <v>0</v>
      </c>
      <c r="G109" s="10">
        <f>AtlasReport_3_Table_1[[#This Row],[Current On-hand]]-AtlasReport_3_Table_1[[#This Row],[Trans backwords (Beginning)]]</f>
        <v>0</v>
      </c>
      <c r="H109" s="10">
        <f>AtlasReport_3_Table_1[[#This Row],[Current On-hand]]-AtlasReport_3_Table_1[[#This Row],[Trans backwords (Ending)]]</f>
        <v>0</v>
      </c>
    </row>
    <row r="110" spans="1:8" x14ac:dyDescent="0.25">
      <c r="A110" s="8" t="s">
        <v>307</v>
      </c>
      <c r="B110" s="8" t="s">
        <v>261</v>
      </c>
      <c r="C110" s="8" t="s">
        <v>264</v>
      </c>
      <c r="D110" s="10">
        <v>3531</v>
      </c>
      <c r="E110" s="10">
        <f>_xll.AtlasFormulas.AtlasFunctions.AtlasBalance("PROD",DataAreaId,"T.InventTrans|inventDimId~inventDimId@T.InventDim","Sum|Qty|0","","","","","","","DateFinancial|ItemId|T2.InventSiteId|T2.InventLocationId",PeriodBeginning,$A110,$B110,$C110)</f>
        <v>-115</v>
      </c>
      <c r="F110" s="10">
        <f>_xll.AtlasFormulas.AtlasFunctions.AtlasBalance("PROD",DataAreaId,"T.InventTrans|inventDimId~inventDimId@T.InventDim","Sum|Qty|0","","","","","","","DateFinancial|ItemId|T2.InventSiteId|T2.InventLocationId",PeriodEnding,$A110,$B110,$C110)</f>
        <v>0</v>
      </c>
      <c r="G110" s="10">
        <f>AtlasReport_3_Table_1[[#This Row],[Current On-hand]]-AtlasReport_3_Table_1[[#This Row],[Trans backwords (Beginning)]]</f>
        <v>3646</v>
      </c>
      <c r="H110" s="10">
        <f>AtlasReport_3_Table_1[[#This Row],[Current On-hand]]-AtlasReport_3_Table_1[[#This Row],[Trans backwords (Ending)]]</f>
        <v>3531</v>
      </c>
    </row>
    <row r="111" spans="1:8" x14ac:dyDescent="0.25">
      <c r="A111" s="8" t="s">
        <v>140</v>
      </c>
      <c r="B111" s="8" t="s">
        <v>261</v>
      </c>
      <c r="C111" s="8" t="s">
        <v>81</v>
      </c>
      <c r="D111" s="10">
        <v>0</v>
      </c>
      <c r="E111" s="10">
        <f>_xll.AtlasFormulas.AtlasFunctions.AtlasBalance("PROD",DataAreaId,"T.InventTrans|inventDimId~inventDimId@T.InventDim","Sum|Qty|0","","","","","","","DateFinancial|ItemId|T2.InventSiteId|T2.InventLocationId",PeriodBeginning,$A111,$B111,$C111)</f>
        <v>0</v>
      </c>
      <c r="F111" s="10">
        <f>_xll.AtlasFormulas.AtlasFunctions.AtlasBalance("PROD",DataAreaId,"T.InventTrans|inventDimId~inventDimId@T.InventDim","Sum|Qty|0","","","","","","","DateFinancial|ItemId|T2.InventSiteId|T2.InventLocationId",PeriodEnding,$A111,$B111,$C111)</f>
        <v>0</v>
      </c>
      <c r="G111" s="10">
        <f>AtlasReport_3_Table_1[[#This Row],[Current On-hand]]-AtlasReport_3_Table_1[[#This Row],[Trans backwords (Beginning)]]</f>
        <v>0</v>
      </c>
      <c r="H111" s="10">
        <f>AtlasReport_3_Table_1[[#This Row],[Current On-hand]]-AtlasReport_3_Table_1[[#This Row],[Trans backwords (Ending)]]</f>
        <v>0</v>
      </c>
    </row>
    <row r="112" spans="1:8" x14ac:dyDescent="0.25">
      <c r="A112" s="8" t="s">
        <v>140</v>
      </c>
      <c r="B112" s="8" t="s">
        <v>261</v>
      </c>
      <c r="C112" s="8" t="s">
        <v>289</v>
      </c>
      <c r="D112" s="10">
        <v>20</v>
      </c>
      <c r="E112" s="10">
        <f>_xll.AtlasFormulas.AtlasFunctions.AtlasBalance("PROD",DataAreaId,"T.InventTrans|inventDimId~inventDimId@T.InventDim","Sum|Qty|0","","","","","","","DateFinancial|ItemId|T2.InventSiteId|T2.InventLocationId",PeriodBeginning,$A112,$B112,$C112)</f>
        <v>0</v>
      </c>
      <c r="F112" s="10">
        <f>_xll.AtlasFormulas.AtlasFunctions.AtlasBalance("PROD",DataAreaId,"T.InventTrans|inventDimId~inventDimId@T.InventDim","Sum|Qty|0","","","","","","","DateFinancial|ItemId|T2.InventSiteId|T2.InventLocationId",PeriodEnding,$A112,$B112,$C112)</f>
        <v>0</v>
      </c>
      <c r="G112" s="10">
        <f>AtlasReport_3_Table_1[[#This Row],[Current On-hand]]-AtlasReport_3_Table_1[[#This Row],[Trans backwords (Beginning)]]</f>
        <v>20</v>
      </c>
      <c r="H112" s="10">
        <f>AtlasReport_3_Table_1[[#This Row],[Current On-hand]]-AtlasReport_3_Table_1[[#This Row],[Trans backwords (Ending)]]</f>
        <v>20</v>
      </c>
    </row>
    <row r="113" spans="1:8" x14ac:dyDescent="0.25">
      <c r="A113" s="8" t="s">
        <v>140</v>
      </c>
      <c r="B113" s="8" t="s">
        <v>261</v>
      </c>
      <c r="C113" s="8" t="s">
        <v>264</v>
      </c>
      <c r="D113" s="10">
        <v>3164</v>
      </c>
      <c r="E113" s="10">
        <f>_xll.AtlasFormulas.AtlasFunctions.AtlasBalance("PROD",DataAreaId,"T.InventTrans|inventDimId~inventDimId@T.InventDim","Sum|Qty|0","","","","","","","DateFinancial|ItemId|T2.InventSiteId|T2.InventLocationId",PeriodBeginning,$A113,$B113,$C113)</f>
        <v>24</v>
      </c>
      <c r="F113" s="10">
        <f>_xll.AtlasFormulas.AtlasFunctions.AtlasBalance("PROD",DataAreaId,"T.InventTrans|inventDimId~inventDimId@T.InventDim","Sum|Qty|0","","","","","","","DateFinancial|ItemId|T2.InventSiteId|T2.InventLocationId",PeriodEnding,$A113,$B113,$C113)</f>
        <v>0</v>
      </c>
      <c r="G113" s="10">
        <f>AtlasReport_3_Table_1[[#This Row],[Current On-hand]]-AtlasReport_3_Table_1[[#This Row],[Trans backwords (Beginning)]]</f>
        <v>3140</v>
      </c>
      <c r="H113" s="10">
        <f>AtlasReport_3_Table_1[[#This Row],[Current On-hand]]-AtlasReport_3_Table_1[[#This Row],[Trans backwords (Ending)]]</f>
        <v>3164</v>
      </c>
    </row>
    <row r="114" spans="1:8" x14ac:dyDescent="0.25">
      <c r="A114" s="8" t="s">
        <v>140</v>
      </c>
      <c r="B114" s="8" t="s">
        <v>261</v>
      </c>
      <c r="C114" s="8" t="s">
        <v>265</v>
      </c>
      <c r="D114" s="10">
        <v>0</v>
      </c>
      <c r="E114" s="10">
        <f>_xll.AtlasFormulas.AtlasFunctions.AtlasBalance("PROD",DataAreaId,"T.InventTrans|inventDimId~inventDimId@T.InventDim","Sum|Qty|0","","","","","","","DateFinancial|ItemId|T2.InventSiteId|T2.InventLocationId",PeriodBeginning,$A114,$B114,$C114)</f>
        <v>0</v>
      </c>
      <c r="F114" s="10">
        <f>_xll.AtlasFormulas.AtlasFunctions.AtlasBalance("PROD",DataAreaId,"T.InventTrans|inventDimId~inventDimId@T.InventDim","Sum|Qty|0","","","","","","","DateFinancial|ItemId|T2.InventSiteId|T2.InventLocationId",PeriodEnding,$A114,$B114,$C114)</f>
        <v>0</v>
      </c>
      <c r="G114" s="10">
        <f>AtlasReport_3_Table_1[[#This Row],[Current On-hand]]-AtlasReport_3_Table_1[[#This Row],[Trans backwords (Beginning)]]</f>
        <v>0</v>
      </c>
      <c r="H114" s="10">
        <f>AtlasReport_3_Table_1[[#This Row],[Current On-hand]]-AtlasReport_3_Table_1[[#This Row],[Trans backwords (Ending)]]</f>
        <v>0</v>
      </c>
    </row>
    <row r="115" spans="1:8" x14ac:dyDescent="0.25">
      <c r="A115" s="8" t="s">
        <v>119</v>
      </c>
      <c r="B115" s="8" t="s">
        <v>261</v>
      </c>
      <c r="C115" s="8" t="s">
        <v>81</v>
      </c>
      <c r="D115" s="10">
        <v>0</v>
      </c>
      <c r="E115" s="10">
        <f>_xll.AtlasFormulas.AtlasFunctions.AtlasBalance("PROD",DataAreaId,"T.InventTrans|inventDimId~inventDimId@T.InventDim","Sum|Qty|0","","","","","","","DateFinancial|ItemId|T2.InventSiteId|T2.InventLocationId",PeriodBeginning,$A115,$B115,$C115)</f>
        <v>0</v>
      </c>
      <c r="F115" s="10">
        <f>_xll.AtlasFormulas.AtlasFunctions.AtlasBalance("PROD",DataAreaId,"T.InventTrans|inventDimId~inventDimId@T.InventDim","Sum|Qty|0","","","","","","","DateFinancial|ItemId|T2.InventSiteId|T2.InventLocationId",PeriodEnding,$A115,$B115,$C115)</f>
        <v>0</v>
      </c>
      <c r="G115" s="10">
        <f>AtlasReport_3_Table_1[[#This Row],[Current On-hand]]-AtlasReport_3_Table_1[[#This Row],[Trans backwords (Beginning)]]</f>
        <v>0</v>
      </c>
      <c r="H115" s="10">
        <f>AtlasReport_3_Table_1[[#This Row],[Current On-hand]]-AtlasReport_3_Table_1[[#This Row],[Trans backwords (Ending)]]</f>
        <v>0</v>
      </c>
    </row>
    <row r="116" spans="1:8" x14ac:dyDescent="0.25">
      <c r="A116" s="8" t="s">
        <v>119</v>
      </c>
      <c r="B116" s="8" t="s">
        <v>261</v>
      </c>
      <c r="C116" s="8" t="s">
        <v>289</v>
      </c>
      <c r="D116" s="10">
        <v>10</v>
      </c>
      <c r="E116" s="10">
        <f>_xll.AtlasFormulas.AtlasFunctions.AtlasBalance("PROD",DataAreaId,"T.InventTrans|inventDimId~inventDimId@T.InventDim","Sum|Qty|0","","","","","","","DateFinancial|ItemId|T2.InventSiteId|T2.InventLocationId",PeriodBeginning,$A116,$B116,$C116)</f>
        <v>0</v>
      </c>
      <c r="F116" s="10">
        <f>_xll.AtlasFormulas.AtlasFunctions.AtlasBalance("PROD",DataAreaId,"T.InventTrans|inventDimId~inventDimId@T.InventDim","Sum|Qty|0","","","","","","","DateFinancial|ItemId|T2.InventSiteId|T2.InventLocationId",PeriodEnding,$A116,$B116,$C116)</f>
        <v>0</v>
      </c>
      <c r="G116" s="10">
        <f>AtlasReport_3_Table_1[[#This Row],[Current On-hand]]-AtlasReport_3_Table_1[[#This Row],[Trans backwords (Beginning)]]</f>
        <v>10</v>
      </c>
      <c r="H116" s="10">
        <f>AtlasReport_3_Table_1[[#This Row],[Current On-hand]]-AtlasReport_3_Table_1[[#This Row],[Trans backwords (Ending)]]</f>
        <v>10</v>
      </c>
    </row>
    <row r="117" spans="1:8" x14ac:dyDescent="0.25">
      <c r="A117" s="8" t="s">
        <v>119</v>
      </c>
      <c r="B117" s="8" t="s">
        <v>261</v>
      </c>
      <c r="C117" s="8" t="s">
        <v>264</v>
      </c>
      <c r="D117" s="10">
        <v>1462</v>
      </c>
      <c r="E117" s="10">
        <f>_xll.AtlasFormulas.AtlasFunctions.AtlasBalance("PROD",DataAreaId,"T.InventTrans|inventDimId~inventDimId@T.InventDim","Sum|Qty|0","","","","","","","DateFinancial|ItemId|T2.InventSiteId|T2.InventLocationId",PeriodBeginning,$A117,$B117,$C117)</f>
        <v>-113</v>
      </c>
      <c r="F117" s="10">
        <f>_xll.AtlasFormulas.AtlasFunctions.AtlasBalance("PROD",DataAreaId,"T.InventTrans|inventDimId~inventDimId@T.InventDim","Sum|Qty|0","","","","","","","DateFinancial|ItemId|T2.InventSiteId|T2.InventLocationId",PeriodEnding,$A117,$B117,$C117)</f>
        <v>0</v>
      </c>
      <c r="G117" s="10">
        <f>AtlasReport_3_Table_1[[#This Row],[Current On-hand]]-AtlasReport_3_Table_1[[#This Row],[Trans backwords (Beginning)]]</f>
        <v>1575</v>
      </c>
      <c r="H117" s="10">
        <f>AtlasReport_3_Table_1[[#This Row],[Current On-hand]]-AtlasReport_3_Table_1[[#This Row],[Trans backwords (Ending)]]</f>
        <v>1462</v>
      </c>
    </row>
    <row r="118" spans="1:8" x14ac:dyDescent="0.25">
      <c r="A118" s="8" t="s">
        <v>119</v>
      </c>
      <c r="B118" s="8" t="s">
        <v>261</v>
      </c>
      <c r="C118" s="8" t="s">
        <v>265</v>
      </c>
      <c r="D118" s="10">
        <v>0</v>
      </c>
      <c r="E118" s="10">
        <f>_xll.AtlasFormulas.AtlasFunctions.AtlasBalance("PROD",DataAreaId,"T.InventTrans|inventDimId~inventDimId@T.InventDim","Sum|Qty|0","","","","","","","DateFinancial|ItemId|T2.InventSiteId|T2.InventLocationId",PeriodBeginning,$A118,$B118,$C118)</f>
        <v>0</v>
      </c>
      <c r="F118" s="10">
        <f>_xll.AtlasFormulas.AtlasFunctions.AtlasBalance("PROD",DataAreaId,"T.InventTrans|inventDimId~inventDimId@T.InventDim","Sum|Qty|0","","","","","","","DateFinancial|ItemId|T2.InventSiteId|T2.InventLocationId",PeriodEnding,$A118,$B118,$C118)</f>
        <v>0</v>
      </c>
      <c r="G118" s="10">
        <f>AtlasReport_3_Table_1[[#This Row],[Current On-hand]]-AtlasReport_3_Table_1[[#This Row],[Trans backwords (Beginning)]]</f>
        <v>0</v>
      </c>
      <c r="H118" s="10">
        <f>AtlasReport_3_Table_1[[#This Row],[Current On-hand]]-AtlasReport_3_Table_1[[#This Row],[Trans backwords (Ending)]]</f>
        <v>0</v>
      </c>
    </row>
    <row r="119" spans="1:8" x14ac:dyDescent="0.25">
      <c r="A119" s="8" t="s">
        <v>20</v>
      </c>
      <c r="B119" s="8" t="s">
        <v>261</v>
      </c>
      <c r="C119" s="8" t="s">
        <v>81</v>
      </c>
      <c r="D119" s="10">
        <v>0</v>
      </c>
      <c r="E119" s="10">
        <f>_xll.AtlasFormulas.AtlasFunctions.AtlasBalance("PROD",DataAreaId,"T.InventTrans|inventDimId~inventDimId@T.InventDim","Sum|Qty|0","","","","","","","DateFinancial|ItemId|T2.InventSiteId|T2.InventLocationId",PeriodBeginning,$A119,$B119,$C119)</f>
        <v>0</v>
      </c>
      <c r="F119" s="10">
        <f>_xll.AtlasFormulas.AtlasFunctions.AtlasBalance("PROD",DataAreaId,"T.InventTrans|inventDimId~inventDimId@T.InventDim","Sum|Qty|0","","","","","","","DateFinancial|ItemId|T2.InventSiteId|T2.InventLocationId",PeriodEnding,$A119,$B119,$C119)</f>
        <v>0</v>
      </c>
      <c r="G119" s="10">
        <f>AtlasReport_3_Table_1[[#This Row],[Current On-hand]]-AtlasReport_3_Table_1[[#This Row],[Trans backwords (Beginning)]]</f>
        <v>0</v>
      </c>
      <c r="H119" s="10">
        <f>AtlasReport_3_Table_1[[#This Row],[Current On-hand]]-AtlasReport_3_Table_1[[#This Row],[Trans backwords (Ending)]]</f>
        <v>0</v>
      </c>
    </row>
    <row r="120" spans="1:8" x14ac:dyDescent="0.25">
      <c r="A120" s="8" t="s">
        <v>20</v>
      </c>
      <c r="B120" s="8" t="s">
        <v>261</v>
      </c>
      <c r="C120" s="8" t="s">
        <v>305</v>
      </c>
      <c r="D120" s="10">
        <v>145.5</v>
      </c>
      <c r="E120" s="10">
        <f>_xll.AtlasFormulas.AtlasFunctions.AtlasBalance("PROD",DataAreaId,"T.InventTrans|inventDimId~inventDimId@T.InventDim","Sum|Qty|0","","","","","","","DateFinancial|ItemId|T2.InventSiteId|T2.InventLocationId",PeriodBeginning,$A120,$B120,$C120)</f>
        <v>0</v>
      </c>
      <c r="F120" s="10">
        <f>_xll.AtlasFormulas.AtlasFunctions.AtlasBalance("PROD",DataAreaId,"T.InventTrans|inventDimId~inventDimId@T.InventDim","Sum|Qty|0","","","","","","","DateFinancial|ItemId|T2.InventSiteId|T2.InventLocationId",PeriodEnding,$A120,$B120,$C120)</f>
        <v>0</v>
      </c>
      <c r="G120" s="10">
        <f>AtlasReport_3_Table_1[[#This Row],[Current On-hand]]-AtlasReport_3_Table_1[[#This Row],[Trans backwords (Beginning)]]</f>
        <v>145.5</v>
      </c>
      <c r="H120" s="10">
        <f>AtlasReport_3_Table_1[[#This Row],[Current On-hand]]-AtlasReport_3_Table_1[[#This Row],[Trans backwords (Ending)]]</f>
        <v>145.5</v>
      </c>
    </row>
    <row r="121" spans="1:8" x14ac:dyDescent="0.25">
      <c r="A121" s="8" t="s">
        <v>20</v>
      </c>
      <c r="B121" s="8" t="s">
        <v>261</v>
      </c>
      <c r="C121" s="8" t="s">
        <v>262</v>
      </c>
      <c r="D121" s="10">
        <v>0</v>
      </c>
      <c r="E121" s="10">
        <f>_xll.AtlasFormulas.AtlasFunctions.AtlasBalance("PROD",DataAreaId,"T.InventTrans|inventDimId~inventDimId@T.InventDim","Sum|Qty|0","","","","","","","DateFinancial|ItemId|T2.InventSiteId|T2.InventLocationId",PeriodBeginning,$A121,$B121,$C121)</f>
        <v>0</v>
      </c>
      <c r="F121" s="10">
        <f>_xll.AtlasFormulas.AtlasFunctions.AtlasBalance("PROD",DataAreaId,"T.InventTrans|inventDimId~inventDimId@T.InventDim","Sum|Qty|0","","","","","","","DateFinancial|ItemId|T2.InventSiteId|T2.InventLocationId",PeriodEnding,$A121,$B121,$C121)</f>
        <v>0</v>
      </c>
      <c r="G121" s="10">
        <f>AtlasReport_3_Table_1[[#This Row],[Current On-hand]]-AtlasReport_3_Table_1[[#This Row],[Trans backwords (Beginning)]]</f>
        <v>0</v>
      </c>
      <c r="H121" s="10">
        <f>AtlasReport_3_Table_1[[#This Row],[Current On-hand]]-AtlasReport_3_Table_1[[#This Row],[Trans backwords (Ending)]]</f>
        <v>0</v>
      </c>
    </row>
    <row r="122" spans="1:8" x14ac:dyDescent="0.25">
      <c r="A122" s="8" t="s">
        <v>20</v>
      </c>
      <c r="B122" s="8" t="s">
        <v>261</v>
      </c>
      <c r="C122" s="8" t="s">
        <v>290</v>
      </c>
      <c r="D122" s="10">
        <v>1891.55</v>
      </c>
      <c r="E122" s="10">
        <f>_xll.AtlasFormulas.AtlasFunctions.AtlasBalance("PROD",DataAreaId,"T.InventTrans|inventDimId~inventDimId@T.InventDim","Sum|Qty|0","","","","","","","DateFinancial|ItemId|T2.InventSiteId|T2.InventLocationId",PeriodBeginning,$A122,$B122,$C122)</f>
        <v>-0.25</v>
      </c>
      <c r="F122" s="10">
        <f>_xll.AtlasFormulas.AtlasFunctions.AtlasBalance("PROD",DataAreaId,"T.InventTrans|inventDimId~inventDimId@T.InventDim","Sum|Qty|0","","","","","","","DateFinancial|ItemId|T2.InventSiteId|T2.InventLocationId",PeriodEnding,$A122,$B122,$C122)</f>
        <v>0</v>
      </c>
      <c r="G122" s="10">
        <f>AtlasReport_3_Table_1[[#This Row],[Current On-hand]]-AtlasReport_3_Table_1[[#This Row],[Trans backwords (Beginning)]]</f>
        <v>1891.8</v>
      </c>
      <c r="H122" s="10">
        <f>AtlasReport_3_Table_1[[#This Row],[Current On-hand]]-AtlasReport_3_Table_1[[#This Row],[Trans backwords (Ending)]]</f>
        <v>1891.55</v>
      </c>
    </row>
    <row r="123" spans="1:8" x14ac:dyDescent="0.25">
      <c r="A123" s="8" t="s">
        <v>20</v>
      </c>
      <c r="B123" s="8" t="s">
        <v>261</v>
      </c>
      <c r="C123" s="8" t="s">
        <v>264</v>
      </c>
      <c r="D123" s="10">
        <v>5771.5</v>
      </c>
      <c r="E123" s="10">
        <f>_xll.AtlasFormulas.AtlasFunctions.AtlasBalance("PROD",DataAreaId,"T.InventTrans|inventDimId~inventDimId@T.InventDim","Sum|Qty|0","","","","","","","DateFinancial|ItemId|T2.InventSiteId|T2.InventLocationId",PeriodBeginning,$A123,$B123,$C123)</f>
        <v>-509.25</v>
      </c>
      <c r="F123" s="10">
        <f>_xll.AtlasFormulas.AtlasFunctions.AtlasBalance("PROD",DataAreaId,"T.InventTrans|inventDimId~inventDimId@T.InventDim","Sum|Qty|0","","","","","","","DateFinancial|ItemId|T2.InventSiteId|T2.InventLocationId",PeriodEnding,$A123,$B123,$C123)</f>
        <v>0</v>
      </c>
      <c r="G123" s="10">
        <f>AtlasReport_3_Table_1[[#This Row],[Current On-hand]]-AtlasReport_3_Table_1[[#This Row],[Trans backwords (Beginning)]]</f>
        <v>6280.75</v>
      </c>
      <c r="H123" s="10">
        <f>AtlasReport_3_Table_1[[#This Row],[Current On-hand]]-AtlasReport_3_Table_1[[#This Row],[Trans backwords (Ending)]]</f>
        <v>5771.5</v>
      </c>
    </row>
    <row r="124" spans="1:8" x14ac:dyDescent="0.25">
      <c r="A124" s="8" t="s">
        <v>20</v>
      </c>
      <c r="B124" s="8" t="s">
        <v>261</v>
      </c>
      <c r="C124" s="8" t="s">
        <v>265</v>
      </c>
      <c r="D124" s="10">
        <v>0</v>
      </c>
      <c r="E124" s="10">
        <f>_xll.AtlasFormulas.AtlasFunctions.AtlasBalance("PROD",DataAreaId,"T.InventTrans|inventDimId~inventDimId@T.InventDim","Sum|Qty|0","","","","","","","DateFinancial|ItemId|T2.InventSiteId|T2.InventLocationId",PeriodBeginning,$A124,$B124,$C124)</f>
        <v>0</v>
      </c>
      <c r="F124" s="10">
        <f>_xll.AtlasFormulas.AtlasFunctions.AtlasBalance("PROD",DataAreaId,"T.InventTrans|inventDimId~inventDimId@T.InventDim","Sum|Qty|0","","","","","","","DateFinancial|ItemId|T2.InventSiteId|T2.InventLocationId",PeriodEnding,$A124,$B124,$C124)</f>
        <v>0</v>
      </c>
      <c r="G124" s="10">
        <f>AtlasReport_3_Table_1[[#This Row],[Current On-hand]]-AtlasReport_3_Table_1[[#This Row],[Trans backwords (Beginning)]]</f>
        <v>0</v>
      </c>
      <c r="H124" s="10">
        <f>AtlasReport_3_Table_1[[#This Row],[Current On-hand]]-AtlasReport_3_Table_1[[#This Row],[Trans backwords (Ending)]]</f>
        <v>0</v>
      </c>
    </row>
    <row r="125" spans="1:8" x14ac:dyDescent="0.25">
      <c r="A125" s="8" t="s">
        <v>308</v>
      </c>
      <c r="B125" s="8" t="s">
        <v>261</v>
      </c>
      <c r="C125" s="8" t="s">
        <v>262</v>
      </c>
      <c r="D125" s="10">
        <v>0</v>
      </c>
      <c r="E125" s="10">
        <f>_xll.AtlasFormulas.AtlasFunctions.AtlasBalance("PROD",DataAreaId,"T.InventTrans|inventDimId~inventDimId@T.InventDim","Sum|Qty|0","","","","","","","DateFinancial|ItemId|T2.InventSiteId|T2.InventLocationId",PeriodBeginning,$A125,$B125,$C125)</f>
        <v>0</v>
      </c>
      <c r="F125" s="10">
        <f>_xll.AtlasFormulas.AtlasFunctions.AtlasBalance("PROD",DataAreaId,"T.InventTrans|inventDimId~inventDimId@T.InventDim","Sum|Qty|0","","","","","","","DateFinancial|ItemId|T2.InventSiteId|T2.InventLocationId",PeriodEnding,$A125,$B125,$C125)</f>
        <v>0</v>
      </c>
      <c r="G125" s="10">
        <f>AtlasReport_3_Table_1[[#This Row],[Current On-hand]]-AtlasReport_3_Table_1[[#This Row],[Trans backwords (Beginning)]]</f>
        <v>0</v>
      </c>
      <c r="H125" s="10">
        <f>AtlasReport_3_Table_1[[#This Row],[Current On-hand]]-AtlasReport_3_Table_1[[#This Row],[Trans backwords (Ending)]]</f>
        <v>0</v>
      </c>
    </row>
    <row r="126" spans="1:8" x14ac:dyDescent="0.25">
      <c r="A126" s="8" t="s">
        <v>309</v>
      </c>
      <c r="B126" s="8" t="s">
        <v>261</v>
      </c>
      <c r="C126" s="8" t="s">
        <v>81</v>
      </c>
      <c r="D126" s="10">
        <v>0</v>
      </c>
      <c r="E126" s="10">
        <f>_xll.AtlasFormulas.AtlasFunctions.AtlasBalance("PROD",DataAreaId,"T.InventTrans|inventDimId~inventDimId@T.InventDim","Sum|Qty|0","","","","","","","DateFinancial|ItemId|T2.InventSiteId|T2.InventLocationId",PeriodBeginning,$A126,$B126,$C126)</f>
        <v>0</v>
      </c>
      <c r="F126" s="10">
        <f>_xll.AtlasFormulas.AtlasFunctions.AtlasBalance("PROD",DataAreaId,"T.InventTrans|inventDimId~inventDimId@T.InventDim","Sum|Qty|0","","","","","","","DateFinancial|ItemId|T2.InventSiteId|T2.InventLocationId",PeriodEnding,$A126,$B126,$C126)</f>
        <v>0</v>
      </c>
      <c r="G126" s="10">
        <f>AtlasReport_3_Table_1[[#This Row],[Current On-hand]]-AtlasReport_3_Table_1[[#This Row],[Trans backwords (Beginning)]]</f>
        <v>0</v>
      </c>
      <c r="H126" s="10">
        <f>AtlasReport_3_Table_1[[#This Row],[Current On-hand]]-AtlasReport_3_Table_1[[#This Row],[Trans backwords (Ending)]]</f>
        <v>0</v>
      </c>
    </row>
    <row r="127" spans="1:8" x14ac:dyDescent="0.25">
      <c r="A127" s="8" t="s">
        <v>309</v>
      </c>
      <c r="B127" s="8" t="s">
        <v>261</v>
      </c>
      <c r="C127" s="8" t="s">
        <v>262</v>
      </c>
      <c r="D127" s="10">
        <v>0</v>
      </c>
      <c r="E127" s="10">
        <f>_xll.AtlasFormulas.AtlasFunctions.AtlasBalance("PROD",DataAreaId,"T.InventTrans|inventDimId~inventDimId@T.InventDim","Sum|Qty|0","","","","","","","DateFinancial|ItemId|T2.InventSiteId|T2.InventLocationId",PeriodBeginning,$A127,$B127,$C127)</f>
        <v>0</v>
      </c>
      <c r="F127" s="10">
        <f>_xll.AtlasFormulas.AtlasFunctions.AtlasBalance("PROD",DataAreaId,"T.InventTrans|inventDimId~inventDimId@T.InventDim","Sum|Qty|0","","","","","","","DateFinancial|ItemId|T2.InventSiteId|T2.InventLocationId",PeriodEnding,$A127,$B127,$C127)</f>
        <v>0</v>
      </c>
      <c r="G127" s="10">
        <f>AtlasReport_3_Table_1[[#This Row],[Current On-hand]]-AtlasReport_3_Table_1[[#This Row],[Trans backwords (Beginning)]]</f>
        <v>0</v>
      </c>
      <c r="H127" s="10">
        <f>AtlasReport_3_Table_1[[#This Row],[Current On-hand]]-AtlasReport_3_Table_1[[#This Row],[Trans backwords (Ending)]]</f>
        <v>0</v>
      </c>
    </row>
    <row r="128" spans="1:8" x14ac:dyDescent="0.25">
      <c r="A128" s="8" t="s">
        <v>309</v>
      </c>
      <c r="B128" s="8" t="s">
        <v>261</v>
      </c>
      <c r="C128" s="8" t="s">
        <v>264</v>
      </c>
      <c r="D128" s="10">
        <v>0</v>
      </c>
      <c r="E128" s="10">
        <f>_xll.AtlasFormulas.AtlasFunctions.AtlasBalance("PROD",DataAreaId,"T.InventTrans|inventDimId~inventDimId@T.InventDim","Sum|Qty|0","","","","","","","DateFinancial|ItemId|T2.InventSiteId|T2.InventLocationId",PeriodBeginning,$A128,$B128,$C128)</f>
        <v>0</v>
      </c>
      <c r="F128" s="10">
        <f>_xll.AtlasFormulas.AtlasFunctions.AtlasBalance("PROD",DataAreaId,"T.InventTrans|inventDimId~inventDimId@T.InventDim","Sum|Qty|0","","","","","","","DateFinancial|ItemId|T2.InventSiteId|T2.InventLocationId",PeriodEnding,$A128,$B128,$C128)</f>
        <v>0</v>
      </c>
      <c r="G128" s="10">
        <f>AtlasReport_3_Table_1[[#This Row],[Current On-hand]]-AtlasReport_3_Table_1[[#This Row],[Trans backwords (Beginning)]]</f>
        <v>0</v>
      </c>
      <c r="H128" s="10">
        <f>AtlasReport_3_Table_1[[#This Row],[Current On-hand]]-AtlasReport_3_Table_1[[#This Row],[Trans backwords (Ending)]]</f>
        <v>0</v>
      </c>
    </row>
    <row r="129" spans="1:8" x14ac:dyDescent="0.25">
      <c r="A129" s="8" t="s">
        <v>71</v>
      </c>
      <c r="B129" s="8" t="s">
        <v>261</v>
      </c>
      <c r="C129" s="8" t="s">
        <v>81</v>
      </c>
      <c r="D129" s="10">
        <v>0</v>
      </c>
      <c r="E129" s="10">
        <f>_xll.AtlasFormulas.AtlasFunctions.AtlasBalance("PROD",DataAreaId,"T.InventTrans|inventDimId~inventDimId@T.InventDim","Sum|Qty|0","","","","","","","DateFinancial|ItemId|T2.InventSiteId|T2.InventLocationId",PeriodBeginning,$A129,$B129,$C129)</f>
        <v>0</v>
      </c>
      <c r="F129" s="10">
        <f>_xll.AtlasFormulas.AtlasFunctions.AtlasBalance("PROD",DataAreaId,"T.InventTrans|inventDimId~inventDimId@T.InventDim","Sum|Qty|0","","","","","","","DateFinancial|ItemId|T2.InventSiteId|T2.InventLocationId",PeriodEnding,$A129,$B129,$C129)</f>
        <v>0</v>
      </c>
      <c r="G129" s="10">
        <f>AtlasReport_3_Table_1[[#This Row],[Current On-hand]]-AtlasReport_3_Table_1[[#This Row],[Trans backwords (Beginning)]]</f>
        <v>0</v>
      </c>
      <c r="H129" s="10">
        <f>AtlasReport_3_Table_1[[#This Row],[Current On-hand]]-AtlasReport_3_Table_1[[#This Row],[Trans backwords (Ending)]]</f>
        <v>0</v>
      </c>
    </row>
    <row r="130" spans="1:8" x14ac:dyDescent="0.25">
      <c r="A130" s="8" t="s">
        <v>71</v>
      </c>
      <c r="B130" s="8" t="s">
        <v>261</v>
      </c>
      <c r="C130" s="8" t="s">
        <v>262</v>
      </c>
      <c r="D130" s="10">
        <v>0</v>
      </c>
      <c r="E130" s="10">
        <f>_xll.AtlasFormulas.AtlasFunctions.AtlasBalance("PROD",DataAreaId,"T.InventTrans|inventDimId~inventDimId@T.InventDim","Sum|Qty|0","","","","","","","DateFinancial|ItemId|T2.InventSiteId|T2.InventLocationId",PeriodBeginning,$A130,$B130,$C130)</f>
        <v>0</v>
      </c>
      <c r="F130" s="10">
        <f>_xll.AtlasFormulas.AtlasFunctions.AtlasBalance("PROD",DataAreaId,"T.InventTrans|inventDimId~inventDimId@T.InventDim","Sum|Qty|0","","","","","","","DateFinancial|ItemId|T2.InventSiteId|T2.InventLocationId",PeriodEnding,$A130,$B130,$C130)</f>
        <v>0</v>
      </c>
      <c r="G130" s="10">
        <f>AtlasReport_3_Table_1[[#This Row],[Current On-hand]]-AtlasReport_3_Table_1[[#This Row],[Trans backwords (Beginning)]]</f>
        <v>0</v>
      </c>
      <c r="H130" s="10">
        <f>AtlasReport_3_Table_1[[#This Row],[Current On-hand]]-AtlasReport_3_Table_1[[#This Row],[Trans backwords (Ending)]]</f>
        <v>0</v>
      </c>
    </row>
    <row r="131" spans="1:8" x14ac:dyDescent="0.25">
      <c r="A131" s="8" t="s">
        <v>71</v>
      </c>
      <c r="B131" s="8" t="s">
        <v>261</v>
      </c>
      <c r="C131" s="8" t="s">
        <v>290</v>
      </c>
      <c r="D131" s="10">
        <v>2143.5</v>
      </c>
      <c r="E131" s="10">
        <f>_xll.AtlasFormulas.AtlasFunctions.AtlasBalance("PROD",DataAreaId,"T.InventTrans|inventDimId~inventDimId@T.InventDim","Sum|Qty|0","","","","","","","DateFinancial|ItemId|T2.InventSiteId|T2.InventLocationId",PeriodBeginning,$A131,$B131,$C131)</f>
        <v>118.5</v>
      </c>
      <c r="F131" s="10">
        <f>_xll.AtlasFormulas.AtlasFunctions.AtlasBalance("PROD",DataAreaId,"T.InventTrans|inventDimId~inventDimId@T.InventDim","Sum|Qty|0","","","","","","","DateFinancial|ItemId|T2.InventSiteId|T2.InventLocationId",PeriodEnding,$A131,$B131,$C131)</f>
        <v>0</v>
      </c>
      <c r="G131" s="10">
        <f>AtlasReport_3_Table_1[[#This Row],[Current On-hand]]-AtlasReport_3_Table_1[[#This Row],[Trans backwords (Beginning)]]</f>
        <v>2025</v>
      </c>
      <c r="H131" s="10">
        <f>AtlasReport_3_Table_1[[#This Row],[Current On-hand]]-AtlasReport_3_Table_1[[#This Row],[Trans backwords (Ending)]]</f>
        <v>2143.5</v>
      </c>
    </row>
    <row r="132" spans="1:8" x14ac:dyDescent="0.25">
      <c r="A132" s="8" t="s">
        <v>71</v>
      </c>
      <c r="B132" s="8" t="s">
        <v>261</v>
      </c>
      <c r="C132" s="8" t="s">
        <v>264</v>
      </c>
      <c r="D132" s="10">
        <v>6075</v>
      </c>
      <c r="E132" s="10">
        <f>_xll.AtlasFormulas.AtlasFunctions.AtlasBalance("PROD",DataAreaId,"T.InventTrans|inventDimId~inventDimId@T.InventDim","Sum|Qty|0","","","","","","","DateFinancial|ItemId|T2.InventSiteId|T2.InventLocationId",PeriodBeginning,$A132,$B132,$C132)</f>
        <v>0</v>
      </c>
      <c r="F132" s="10">
        <f>_xll.AtlasFormulas.AtlasFunctions.AtlasBalance("PROD",DataAreaId,"T.InventTrans|inventDimId~inventDimId@T.InventDim","Sum|Qty|0","","","","","","","DateFinancial|ItemId|T2.InventSiteId|T2.InventLocationId",PeriodEnding,$A132,$B132,$C132)</f>
        <v>0</v>
      </c>
      <c r="G132" s="10">
        <f>AtlasReport_3_Table_1[[#This Row],[Current On-hand]]-AtlasReport_3_Table_1[[#This Row],[Trans backwords (Beginning)]]</f>
        <v>6075</v>
      </c>
      <c r="H132" s="10">
        <f>AtlasReport_3_Table_1[[#This Row],[Current On-hand]]-AtlasReport_3_Table_1[[#This Row],[Trans backwords (Ending)]]</f>
        <v>6075</v>
      </c>
    </row>
    <row r="133" spans="1:8" x14ac:dyDescent="0.25">
      <c r="A133" s="8" t="s">
        <v>71</v>
      </c>
      <c r="B133" s="8" t="s">
        <v>261</v>
      </c>
      <c r="C133" s="8" t="s">
        <v>265</v>
      </c>
      <c r="D133" s="10">
        <v>0</v>
      </c>
      <c r="E133" s="10">
        <f>_xll.AtlasFormulas.AtlasFunctions.AtlasBalance("PROD",DataAreaId,"T.InventTrans|inventDimId~inventDimId@T.InventDim","Sum|Qty|0","","","","","","","DateFinancial|ItemId|T2.InventSiteId|T2.InventLocationId",PeriodBeginning,$A133,$B133,$C133)</f>
        <v>0</v>
      </c>
      <c r="F133" s="10">
        <f>_xll.AtlasFormulas.AtlasFunctions.AtlasBalance("PROD",DataAreaId,"T.InventTrans|inventDimId~inventDimId@T.InventDim","Sum|Qty|0","","","","","","","DateFinancial|ItemId|T2.InventSiteId|T2.InventLocationId",PeriodEnding,$A133,$B133,$C133)</f>
        <v>0</v>
      </c>
      <c r="G133" s="10">
        <f>AtlasReport_3_Table_1[[#This Row],[Current On-hand]]-AtlasReport_3_Table_1[[#This Row],[Trans backwords (Beginning)]]</f>
        <v>0</v>
      </c>
      <c r="H133" s="10">
        <f>AtlasReport_3_Table_1[[#This Row],[Current On-hand]]-AtlasReport_3_Table_1[[#This Row],[Trans backwords (Ending)]]</f>
        <v>0</v>
      </c>
    </row>
    <row r="134" spans="1:8" x14ac:dyDescent="0.25">
      <c r="A134" s="8" t="s">
        <v>192</v>
      </c>
      <c r="B134" s="8" t="s">
        <v>261</v>
      </c>
      <c r="C134" s="8" t="s">
        <v>81</v>
      </c>
      <c r="D134" s="10">
        <v>0</v>
      </c>
      <c r="E134" s="10">
        <f>_xll.AtlasFormulas.AtlasFunctions.AtlasBalance("PROD",DataAreaId,"T.InventTrans|inventDimId~inventDimId@T.InventDim","Sum|Qty|0","","","","","","","DateFinancial|ItemId|T2.InventSiteId|T2.InventLocationId",PeriodBeginning,$A134,$B134,$C134)</f>
        <v>0</v>
      </c>
      <c r="F134" s="10">
        <f>_xll.AtlasFormulas.AtlasFunctions.AtlasBalance("PROD",DataAreaId,"T.InventTrans|inventDimId~inventDimId@T.InventDim","Sum|Qty|0","","","","","","","DateFinancial|ItemId|T2.InventSiteId|T2.InventLocationId",PeriodEnding,$A134,$B134,$C134)</f>
        <v>0</v>
      </c>
      <c r="G134" s="10">
        <f>AtlasReport_3_Table_1[[#This Row],[Current On-hand]]-AtlasReport_3_Table_1[[#This Row],[Trans backwords (Beginning)]]</f>
        <v>0</v>
      </c>
      <c r="H134" s="10">
        <f>AtlasReport_3_Table_1[[#This Row],[Current On-hand]]-AtlasReport_3_Table_1[[#This Row],[Trans backwords (Ending)]]</f>
        <v>0</v>
      </c>
    </row>
    <row r="135" spans="1:8" x14ac:dyDescent="0.25">
      <c r="A135" s="8" t="s">
        <v>192</v>
      </c>
      <c r="B135" s="8" t="s">
        <v>261</v>
      </c>
      <c r="C135" s="8" t="s">
        <v>262</v>
      </c>
      <c r="D135" s="10">
        <v>0</v>
      </c>
      <c r="E135" s="10">
        <f>_xll.AtlasFormulas.AtlasFunctions.AtlasBalance("PROD",DataAreaId,"T.InventTrans|inventDimId~inventDimId@T.InventDim","Sum|Qty|0","","","","","","","DateFinancial|ItemId|T2.InventSiteId|T2.InventLocationId",PeriodBeginning,$A135,$B135,$C135)</f>
        <v>0</v>
      </c>
      <c r="F135" s="10">
        <f>_xll.AtlasFormulas.AtlasFunctions.AtlasBalance("PROD",DataAreaId,"T.InventTrans|inventDimId~inventDimId@T.InventDim","Sum|Qty|0","","","","","","","DateFinancial|ItemId|T2.InventSiteId|T2.InventLocationId",PeriodEnding,$A135,$B135,$C135)</f>
        <v>0</v>
      </c>
      <c r="G135" s="10">
        <f>AtlasReport_3_Table_1[[#This Row],[Current On-hand]]-AtlasReport_3_Table_1[[#This Row],[Trans backwords (Beginning)]]</f>
        <v>0</v>
      </c>
      <c r="H135" s="10">
        <f>AtlasReport_3_Table_1[[#This Row],[Current On-hand]]-AtlasReport_3_Table_1[[#This Row],[Trans backwords (Ending)]]</f>
        <v>0</v>
      </c>
    </row>
    <row r="136" spans="1:8" x14ac:dyDescent="0.25">
      <c r="A136" s="8" t="s">
        <v>18</v>
      </c>
      <c r="B136" s="8" t="s">
        <v>261</v>
      </c>
      <c r="C136" s="8" t="s">
        <v>81</v>
      </c>
      <c r="D136" s="10">
        <v>0</v>
      </c>
      <c r="E136" s="10">
        <f>_xll.AtlasFormulas.AtlasFunctions.AtlasBalance("PROD",DataAreaId,"T.InventTrans|inventDimId~inventDimId@T.InventDim","Sum|Qty|0","","","","","","","DateFinancial|ItemId|T2.InventSiteId|T2.InventLocationId",PeriodBeginning,$A136,$B136,$C136)</f>
        <v>0</v>
      </c>
      <c r="F136" s="10">
        <f>_xll.AtlasFormulas.AtlasFunctions.AtlasBalance("PROD",DataAreaId,"T.InventTrans|inventDimId~inventDimId@T.InventDim","Sum|Qty|0","","","","","","","DateFinancial|ItemId|T2.InventSiteId|T2.InventLocationId",PeriodEnding,$A136,$B136,$C136)</f>
        <v>0</v>
      </c>
      <c r="G136" s="10">
        <f>AtlasReport_3_Table_1[[#This Row],[Current On-hand]]-AtlasReport_3_Table_1[[#This Row],[Trans backwords (Beginning)]]</f>
        <v>0</v>
      </c>
      <c r="H136" s="10">
        <f>AtlasReport_3_Table_1[[#This Row],[Current On-hand]]-AtlasReport_3_Table_1[[#This Row],[Trans backwords (Ending)]]</f>
        <v>0</v>
      </c>
    </row>
    <row r="137" spans="1:8" x14ac:dyDescent="0.25">
      <c r="A137" s="8" t="s">
        <v>18</v>
      </c>
      <c r="B137" s="8" t="s">
        <v>261</v>
      </c>
      <c r="C137" s="8" t="s">
        <v>262</v>
      </c>
      <c r="D137" s="10">
        <v>0</v>
      </c>
      <c r="E137" s="10">
        <f>_xll.AtlasFormulas.AtlasFunctions.AtlasBalance("PROD",DataAreaId,"T.InventTrans|inventDimId~inventDimId@T.InventDim","Sum|Qty|0","","","","","","","DateFinancial|ItemId|T2.InventSiteId|T2.InventLocationId",PeriodBeginning,$A137,$B137,$C137)</f>
        <v>0</v>
      </c>
      <c r="F137" s="10">
        <f>_xll.AtlasFormulas.AtlasFunctions.AtlasBalance("PROD",DataAreaId,"T.InventTrans|inventDimId~inventDimId@T.InventDim","Sum|Qty|0","","","","","","","DateFinancial|ItemId|T2.InventSiteId|T2.InventLocationId",PeriodEnding,$A137,$B137,$C137)</f>
        <v>0</v>
      </c>
      <c r="G137" s="10">
        <f>AtlasReport_3_Table_1[[#This Row],[Current On-hand]]-AtlasReport_3_Table_1[[#This Row],[Trans backwords (Beginning)]]</f>
        <v>0</v>
      </c>
      <c r="H137" s="10">
        <f>AtlasReport_3_Table_1[[#This Row],[Current On-hand]]-AtlasReport_3_Table_1[[#This Row],[Trans backwords (Ending)]]</f>
        <v>0</v>
      </c>
    </row>
    <row r="138" spans="1:8" x14ac:dyDescent="0.25">
      <c r="A138" s="8" t="s">
        <v>18</v>
      </c>
      <c r="B138" s="8" t="s">
        <v>261</v>
      </c>
      <c r="C138" s="8" t="s">
        <v>290</v>
      </c>
      <c r="D138" s="10">
        <v>2193.75</v>
      </c>
      <c r="E138" s="10">
        <f>_xll.AtlasFormulas.AtlasFunctions.AtlasBalance("PROD",DataAreaId,"T.InventTrans|inventDimId~inventDimId@T.InventDim","Sum|Qty|0","","","","","","","DateFinancial|ItemId|T2.InventSiteId|T2.InventLocationId",PeriodBeginning,$A138,$B138,$C138)</f>
        <v>48.75</v>
      </c>
      <c r="F138" s="10">
        <f>_xll.AtlasFormulas.AtlasFunctions.AtlasBalance("PROD",DataAreaId,"T.InventTrans|inventDimId~inventDimId@T.InventDim","Sum|Qty|0","","","","","","","DateFinancial|ItemId|T2.InventSiteId|T2.InventLocationId",PeriodEnding,$A138,$B138,$C138)</f>
        <v>0</v>
      </c>
      <c r="G138" s="10">
        <f>AtlasReport_3_Table_1[[#This Row],[Current On-hand]]-AtlasReport_3_Table_1[[#This Row],[Trans backwords (Beginning)]]</f>
        <v>2145</v>
      </c>
      <c r="H138" s="10">
        <f>AtlasReport_3_Table_1[[#This Row],[Current On-hand]]-AtlasReport_3_Table_1[[#This Row],[Trans backwords (Ending)]]</f>
        <v>2193.75</v>
      </c>
    </row>
    <row r="139" spans="1:8" x14ac:dyDescent="0.25">
      <c r="A139" s="8" t="s">
        <v>18</v>
      </c>
      <c r="B139" s="8" t="s">
        <v>261</v>
      </c>
      <c r="C139" s="8" t="s">
        <v>264</v>
      </c>
      <c r="D139" s="10">
        <v>7702.5</v>
      </c>
      <c r="E139" s="10">
        <f>_xll.AtlasFormulas.AtlasFunctions.AtlasBalance("PROD",DataAreaId,"T.InventTrans|inventDimId~inventDimId@T.InventDim","Sum|Qty|0","","","","","","","DateFinancial|ItemId|T2.InventSiteId|T2.InventLocationId",PeriodBeginning,$A139,$B139,$C139)</f>
        <v>1083.5</v>
      </c>
      <c r="F139" s="10">
        <f>_xll.AtlasFormulas.AtlasFunctions.AtlasBalance("PROD",DataAreaId,"T.InventTrans|inventDimId~inventDimId@T.InventDim","Sum|Qty|0","","","","","","","DateFinancial|ItemId|T2.InventSiteId|T2.InventLocationId",PeriodEnding,$A139,$B139,$C139)</f>
        <v>0</v>
      </c>
      <c r="G139" s="10">
        <f>AtlasReport_3_Table_1[[#This Row],[Current On-hand]]-AtlasReport_3_Table_1[[#This Row],[Trans backwords (Beginning)]]</f>
        <v>6619</v>
      </c>
      <c r="H139" s="10">
        <f>AtlasReport_3_Table_1[[#This Row],[Current On-hand]]-AtlasReport_3_Table_1[[#This Row],[Trans backwords (Ending)]]</f>
        <v>7702.5</v>
      </c>
    </row>
    <row r="140" spans="1:8" x14ac:dyDescent="0.25">
      <c r="A140" s="8" t="s">
        <v>18</v>
      </c>
      <c r="B140" s="8" t="s">
        <v>261</v>
      </c>
      <c r="C140" s="8" t="s">
        <v>265</v>
      </c>
      <c r="D140" s="10">
        <v>0</v>
      </c>
      <c r="E140" s="10">
        <f>_xll.AtlasFormulas.AtlasFunctions.AtlasBalance("PROD",DataAreaId,"T.InventTrans|inventDimId~inventDimId@T.InventDim","Sum|Qty|0","","","","","","","DateFinancial|ItemId|T2.InventSiteId|T2.InventLocationId",PeriodBeginning,$A140,$B140,$C140)</f>
        <v>0</v>
      </c>
      <c r="F140" s="10">
        <f>_xll.AtlasFormulas.AtlasFunctions.AtlasBalance("PROD",DataAreaId,"T.InventTrans|inventDimId~inventDimId@T.InventDim","Sum|Qty|0","","","","","","","DateFinancial|ItemId|T2.InventSiteId|T2.InventLocationId",PeriodEnding,$A140,$B140,$C140)</f>
        <v>0</v>
      </c>
      <c r="G140" s="10">
        <f>AtlasReport_3_Table_1[[#This Row],[Current On-hand]]-AtlasReport_3_Table_1[[#This Row],[Trans backwords (Beginning)]]</f>
        <v>0</v>
      </c>
      <c r="H140" s="10">
        <f>AtlasReport_3_Table_1[[#This Row],[Current On-hand]]-AtlasReport_3_Table_1[[#This Row],[Trans backwords (Ending)]]</f>
        <v>0</v>
      </c>
    </row>
    <row r="141" spans="1:8" x14ac:dyDescent="0.25">
      <c r="A141" s="8" t="s">
        <v>310</v>
      </c>
      <c r="B141" s="8" t="s">
        <v>261</v>
      </c>
      <c r="C141" s="8" t="s">
        <v>81</v>
      </c>
      <c r="D141" s="10">
        <v>0</v>
      </c>
      <c r="E141" s="10">
        <f>_xll.AtlasFormulas.AtlasFunctions.AtlasBalance("PROD",DataAreaId,"T.InventTrans|inventDimId~inventDimId@T.InventDim","Sum|Qty|0","","","","","","","DateFinancial|ItemId|T2.InventSiteId|T2.InventLocationId",PeriodBeginning,$A141,$B141,$C141)</f>
        <v>0</v>
      </c>
      <c r="F141" s="10">
        <f>_xll.AtlasFormulas.AtlasFunctions.AtlasBalance("PROD",DataAreaId,"T.InventTrans|inventDimId~inventDimId@T.InventDim","Sum|Qty|0","","","","","","","DateFinancial|ItemId|T2.InventSiteId|T2.InventLocationId",PeriodEnding,$A141,$B141,$C141)</f>
        <v>0</v>
      </c>
      <c r="G141" s="10">
        <f>AtlasReport_3_Table_1[[#This Row],[Current On-hand]]-AtlasReport_3_Table_1[[#This Row],[Trans backwords (Beginning)]]</f>
        <v>0</v>
      </c>
      <c r="H141" s="10">
        <f>AtlasReport_3_Table_1[[#This Row],[Current On-hand]]-AtlasReport_3_Table_1[[#This Row],[Trans backwords (Ending)]]</f>
        <v>0</v>
      </c>
    </row>
    <row r="142" spans="1:8" x14ac:dyDescent="0.25">
      <c r="A142" s="8" t="s">
        <v>310</v>
      </c>
      <c r="B142" s="8" t="s">
        <v>261</v>
      </c>
      <c r="C142" s="8" t="s">
        <v>262</v>
      </c>
      <c r="D142" s="10">
        <v>0</v>
      </c>
      <c r="E142" s="10">
        <f>_xll.AtlasFormulas.AtlasFunctions.AtlasBalance("PROD",DataAreaId,"T.InventTrans|inventDimId~inventDimId@T.InventDim","Sum|Qty|0","","","","","","","DateFinancial|ItemId|T2.InventSiteId|T2.InventLocationId",PeriodBeginning,$A142,$B142,$C142)</f>
        <v>0</v>
      </c>
      <c r="F142" s="10">
        <f>_xll.AtlasFormulas.AtlasFunctions.AtlasBalance("PROD",DataAreaId,"T.InventTrans|inventDimId~inventDimId@T.InventDim","Sum|Qty|0","","","","","","","DateFinancial|ItemId|T2.InventSiteId|T2.InventLocationId",PeriodEnding,$A142,$B142,$C142)</f>
        <v>0</v>
      </c>
      <c r="G142" s="10">
        <f>AtlasReport_3_Table_1[[#This Row],[Current On-hand]]-AtlasReport_3_Table_1[[#This Row],[Trans backwords (Beginning)]]</f>
        <v>0</v>
      </c>
      <c r="H142" s="10">
        <f>AtlasReport_3_Table_1[[#This Row],[Current On-hand]]-AtlasReport_3_Table_1[[#This Row],[Trans backwords (Ending)]]</f>
        <v>0</v>
      </c>
    </row>
    <row r="143" spans="1:8" x14ac:dyDescent="0.25">
      <c r="A143" s="8" t="s">
        <v>311</v>
      </c>
      <c r="B143" s="8" t="s">
        <v>261</v>
      </c>
      <c r="C143" s="8" t="s">
        <v>262</v>
      </c>
      <c r="D143" s="10">
        <v>0</v>
      </c>
      <c r="E143" s="10">
        <f>_xll.AtlasFormulas.AtlasFunctions.AtlasBalance("PROD",DataAreaId,"T.InventTrans|inventDimId~inventDimId@T.InventDim","Sum|Qty|0","","","","","","","DateFinancial|ItemId|T2.InventSiteId|T2.InventLocationId",PeriodBeginning,$A143,$B143,$C143)</f>
        <v>0</v>
      </c>
      <c r="F143" s="10">
        <f>_xll.AtlasFormulas.AtlasFunctions.AtlasBalance("PROD",DataAreaId,"T.InventTrans|inventDimId~inventDimId@T.InventDim","Sum|Qty|0","","","","","","","DateFinancial|ItemId|T2.InventSiteId|T2.InventLocationId",PeriodEnding,$A143,$B143,$C143)</f>
        <v>0</v>
      </c>
      <c r="G143" s="10">
        <f>AtlasReport_3_Table_1[[#This Row],[Current On-hand]]-AtlasReport_3_Table_1[[#This Row],[Trans backwords (Beginning)]]</f>
        <v>0</v>
      </c>
      <c r="H143" s="10">
        <f>AtlasReport_3_Table_1[[#This Row],[Current On-hand]]-AtlasReport_3_Table_1[[#This Row],[Trans backwords (Ending)]]</f>
        <v>0</v>
      </c>
    </row>
    <row r="144" spans="1:8" x14ac:dyDescent="0.25">
      <c r="A144" s="8" t="s">
        <v>312</v>
      </c>
      <c r="B144" s="8" t="s">
        <v>261</v>
      </c>
      <c r="C144" s="8" t="s">
        <v>81</v>
      </c>
      <c r="D144" s="10">
        <v>0</v>
      </c>
      <c r="E144" s="10">
        <f>_xll.AtlasFormulas.AtlasFunctions.AtlasBalance("PROD",DataAreaId,"T.InventTrans|inventDimId~inventDimId@T.InventDim","Sum|Qty|0","","","","","","","DateFinancial|ItemId|T2.InventSiteId|T2.InventLocationId",PeriodBeginning,$A144,$B144,$C144)</f>
        <v>0</v>
      </c>
      <c r="F144" s="10">
        <f>_xll.AtlasFormulas.AtlasFunctions.AtlasBalance("PROD",DataAreaId,"T.InventTrans|inventDimId~inventDimId@T.InventDim","Sum|Qty|0","","","","","","","DateFinancial|ItemId|T2.InventSiteId|T2.InventLocationId",PeriodEnding,$A144,$B144,$C144)</f>
        <v>0</v>
      </c>
      <c r="G144" s="10">
        <f>AtlasReport_3_Table_1[[#This Row],[Current On-hand]]-AtlasReport_3_Table_1[[#This Row],[Trans backwords (Beginning)]]</f>
        <v>0</v>
      </c>
      <c r="H144" s="10">
        <f>AtlasReport_3_Table_1[[#This Row],[Current On-hand]]-AtlasReport_3_Table_1[[#This Row],[Trans backwords (Ending)]]</f>
        <v>0</v>
      </c>
    </row>
    <row r="145" spans="1:8" x14ac:dyDescent="0.25">
      <c r="A145" s="8" t="s">
        <v>312</v>
      </c>
      <c r="B145" s="8" t="s">
        <v>261</v>
      </c>
      <c r="C145" s="8" t="s">
        <v>262</v>
      </c>
      <c r="D145" s="10">
        <v>0</v>
      </c>
      <c r="E145" s="10">
        <f>_xll.AtlasFormulas.AtlasFunctions.AtlasBalance("PROD",DataAreaId,"T.InventTrans|inventDimId~inventDimId@T.InventDim","Sum|Qty|0","","","","","","","DateFinancial|ItemId|T2.InventSiteId|T2.InventLocationId",PeriodBeginning,$A145,$B145,$C145)</f>
        <v>0</v>
      </c>
      <c r="F145" s="10">
        <f>_xll.AtlasFormulas.AtlasFunctions.AtlasBalance("PROD",DataAreaId,"T.InventTrans|inventDimId~inventDimId@T.InventDim","Sum|Qty|0","","","","","","","DateFinancial|ItemId|T2.InventSiteId|T2.InventLocationId",PeriodEnding,$A145,$B145,$C145)</f>
        <v>0</v>
      </c>
      <c r="G145" s="10">
        <f>AtlasReport_3_Table_1[[#This Row],[Current On-hand]]-AtlasReport_3_Table_1[[#This Row],[Trans backwords (Beginning)]]</f>
        <v>0</v>
      </c>
      <c r="H145" s="10">
        <f>AtlasReport_3_Table_1[[#This Row],[Current On-hand]]-AtlasReport_3_Table_1[[#This Row],[Trans backwords (Ending)]]</f>
        <v>0</v>
      </c>
    </row>
    <row r="146" spans="1:8" x14ac:dyDescent="0.25">
      <c r="A146" s="8" t="s">
        <v>312</v>
      </c>
      <c r="B146" s="8" t="s">
        <v>261</v>
      </c>
      <c r="C146" s="8" t="s">
        <v>290</v>
      </c>
      <c r="D146" s="10">
        <v>0</v>
      </c>
      <c r="E146" s="10">
        <f>_xll.AtlasFormulas.AtlasFunctions.AtlasBalance("PROD",DataAreaId,"T.InventTrans|inventDimId~inventDimId@T.InventDim","Sum|Qty|0","","","","","","","DateFinancial|ItemId|T2.InventSiteId|T2.InventLocationId",PeriodBeginning,$A146,$B146,$C146)</f>
        <v>0</v>
      </c>
      <c r="F146" s="10">
        <f>_xll.AtlasFormulas.AtlasFunctions.AtlasBalance("PROD",DataAreaId,"T.InventTrans|inventDimId~inventDimId@T.InventDim","Sum|Qty|0","","","","","","","DateFinancial|ItemId|T2.InventSiteId|T2.InventLocationId",PeriodEnding,$A146,$B146,$C146)</f>
        <v>0</v>
      </c>
      <c r="G146" s="10">
        <f>AtlasReport_3_Table_1[[#This Row],[Current On-hand]]-AtlasReport_3_Table_1[[#This Row],[Trans backwords (Beginning)]]</f>
        <v>0</v>
      </c>
      <c r="H146" s="10">
        <f>AtlasReport_3_Table_1[[#This Row],[Current On-hand]]-AtlasReport_3_Table_1[[#This Row],[Trans backwords (Ending)]]</f>
        <v>0</v>
      </c>
    </row>
    <row r="147" spans="1:8" x14ac:dyDescent="0.25">
      <c r="A147" s="8" t="s">
        <v>312</v>
      </c>
      <c r="B147" s="8" t="s">
        <v>261</v>
      </c>
      <c r="C147" s="8" t="s">
        <v>264</v>
      </c>
      <c r="D147" s="10">
        <v>195</v>
      </c>
      <c r="E147" s="10">
        <f>_xll.AtlasFormulas.AtlasFunctions.AtlasBalance("PROD",DataAreaId,"T.InventTrans|inventDimId~inventDimId@T.InventDim","Sum|Qty|0","","","","","","","DateFinancial|ItemId|T2.InventSiteId|T2.InventLocationId",PeriodBeginning,$A147,$B147,$C147)</f>
        <v>-190</v>
      </c>
      <c r="F147" s="10">
        <f>_xll.AtlasFormulas.AtlasFunctions.AtlasBalance("PROD",DataAreaId,"T.InventTrans|inventDimId~inventDimId@T.InventDim","Sum|Qty|0","","","","","","","DateFinancial|ItemId|T2.InventSiteId|T2.InventLocationId",PeriodEnding,$A147,$B147,$C147)</f>
        <v>0</v>
      </c>
      <c r="G147" s="10">
        <f>AtlasReport_3_Table_1[[#This Row],[Current On-hand]]-AtlasReport_3_Table_1[[#This Row],[Trans backwords (Beginning)]]</f>
        <v>385</v>
      </c>
      <c r="H147" s="10">
        <f>AtlasReport_3_Table_1[[#This Row],[Current On-hand]]-AtlasReport_3_Table_1[[#This Row],[Trans backwords (Ending)]]</f>
        <v>195</v>
      </c>
    </row>
    <row r="148" spans="1:8" x14ac:dyDescent="0.25">
      <c r="A148" s="8" t="s">
        <v>312</v>
      </c>
      <c r="B148" s="8" t="s">
        <v>261</v>
      </c>
      <c r="C148" s="8" t="s">
        <v>265</v>
      </c>
      <c r="D148" s="10">
        <v>0</v>
      </c>
      <c r="E148" s="10">
        <f>_xll.AtlasFormulas.AtlasFunctions.AtlasBalance("PROD",DataAreaId,"T.InventTrans|inventDimId~inventDimId@T.InventDim","Sum|Qty|0","","","","","","","DateFinancial|ItemId|T2.InventSiteId|T2.InventLocationId",PeriodBeginning,$A148,$B148,$C148)</f>
        <v>0</v>
      </c>
      <c r="F148" s="10">
        <f>_xll.AtlasFormulas.AtlasFunctions.AtlasBalance("PROD",DataAreaId,"T.InventTrans|inventDimId~inventDimId@T.InventDim","Sum|Qty|0","","","","","","","DateFinancial|ItemId|T2.InventSiteId|T2.InventLocationId",PeriodEnding,$A148,$B148,$C148)</f>
        <v>0</v>
      </c>
      <c r="G148" s="10">
        <f>AtlasReport_3_Table_1[[#This Row],[Current On-hand]]-AtlasReport_3_Table_1[[#This Row],[Trans backwords (Beginning)]]</f>
        <v>0</v>
      </c>
      <c r="H148" s="10">
        <f>AtlasReport_3_Table_1[[#This Row],[Current On-hand]]-AtlasReport_3_Table_1[[#This Row],[Trans backwords (Ending)]]</f>
        <v>0</v>
      </c>
    </row>
    <row r="149" spans="1:8" x14ac:dyDescent="0.25">
      <c r="A149" s="8" t="s">
        <v>313</v>
      </c>
      <c r="B149" s="8" t="s">
        <v>261</v>
      </c>
      <c r="C149" s="8" t="s">
        <v>264</v>
      </c>
      <c r="D149" s="10">
        <v>0</v>
      </c>
      <c r="E149" s="10">
        <f>_xll.AtlasFormulas.AtlasFunctions.AtlasBalance("PROD",DataAreaId,"T.InventTrans|inventDimId~inventDimId@T.InventDim","Sum|Qty|0","","","","","","","DateFinancial|ItemId|T2.InventSiteId|T2.InventLocationId",PeriodBeginning,$A149,$B149,$C149)</f>
        <v>0</v>
      </c>
      <c r="F149" s="10">
        <f>_xll.AtlasFormulas.AtlasFunctions.AtlasBalance("PROD",DataAreaId,"T.InventTrans|inventDimId~inventDimId@T.InventDim","Sum|Qty|0","","","","","","","DateFinancial|ItemId|T2.InventSiteId|T2.InventLocationId",PeriodEnding,$A149,$B149,$C149)</f>
        <v>0</v>
      </c>
      <c r="G149" s="10">
        <f>AtlasReport_3_Table_1[[#This Row],[Current On-hand]]-AtlasReport_3_Table_1[[#This Row],[Trans backwords (Beginning)]]</f>
        <v>0</v>
      </c>
      <c r="H149" s="10">
        <f>AtlasReport_3_Table_1[[#This Row],[Current On-hand]]-AtlasReport_3_Table_1[[#This Row],[Trans backwords (Ending)]]</f>
        <v>0</v>
      </c>
    </row>
    <row r="150" spans="1:8" x14ac:dyDescent="0.25">
      <c r="A150" s="8" t="s">
        <v>314</v>
      </c>
      <c r="B150" s="8" t="s">
        <v>261</v>
      </c>
      <c r="C150" s="8" t="s">
        <v>264</v>
      </c>
      <c r="D150" s="10">
        <v>1</v>
      </c>
      <c r="E150" s="10">
        <f>_xll.AtlasFormulas.AtlasFunctions.AtlasBalance("PROD",DataAreaId,"T.InventTrans|inventDimId~inventDimId@T.InventDim","Sum|Qty|0","","","","","","","DateFinancial|ItemId|T2.InventSiteId|T2.InventLocationId",PeriodBeginning,$A150,$B150,$C150)</f>
        <v>0</v>
      </c>
      <c r="F150" s="10">
        <f>_xll.AtlasFormulas.AtlasFunctions.AtlasBalance("PROD",DataAreaId,"T.InventTrans|inventDimId~inventDimId@T.InventDim","Sum|Qty|0","","","","","","","DateFinancial|ItemId|T2.InventSiteId|T2.InventLocationId",PeriodEnding,$A150,$B150,$C150)</f>
        <v>0</v>
      </c>
      <c r="G150" s="10">
        <f>AtlasReport_3_Table_1[[#This Row],[Current On-hand]]-AtlasReport_3_Table_1[[#This Row],[Trans backwords (Beginning)]]</f>
        <v>1</v>
      </c>
      <c r="H150" s="10">
        <f>AtlasReport_3_Table_1[[#This Row],[Current On-hand]]-AtlasReport_3_Table_1[[#This Row],[Trans backwords (Ending)]]</f>
        <v>1</v>
      </c>
    </row>
    <row r="151" spans="1:8" x14ac:dyDescent="0.25">
      <c r="A151" s="8" t="s">
        <v>54</v>
      </c>
      <c r="B151" s="8" t="s">
        <v>261</v>
      </c>
      <c r="C151" s="8" t="s">
        <v>81</v>
      </c>
      <c r="D151" s="10">
        <v>0</v>
      </c>
      <c r="E151" s="10">
        <f>_xll.AtlasFormulas.AtlasFunctions.AtlasBalance("PROD",DataAreaId,"T.InventTrans|inventDimId~inventDimId@T.InventDim","Sum|Qty|0","","","","","","","DateFinancial|ItemId|T2.InventSiteId|T2.InventLocationId",PeriodBeginning,$A151,$B151,$C151)</f>
        <v>0</v>
      </c>
      <c r="F151" s="10">
        <f>_xll.AtlasFormulas.AtlasFunctions.AtlasBalance("PROD",DataAreaId,"T.InventTrans|inventDimId~inventDimId@T.InventDim","Sum|Qty|0","","","","","","","DateFinancial|ItemId|T2.InventSiteId|T2.InventLocationId",PeriodEnding,$A151,$B151,$C151)</f>
        <v>0</v>
      </c>
      <c r="G151" s="10">
        <f>AtlasReport_3_Table_1[[#This Row],[Current On-hand]]-AtlasReport_3_Table_1[[#This Row],[Trans backwords (Beginning)]]</f>
        <v>0</v>
      </c>
      <c r="H151" s="10">
        <f>AtlasReport_3_Table_1[[#This Row],[Current On-hand]]-AtlasReport_3_Table_1[[#This Row],[Trans backwords (Ending)]]</f>
        <v>0</v>
      </c>
    </row>
    <row r="152" spans="1:8" x14ac:dyDescent="0.25">
      <c r="A152" s="8" t="s">
        <v>54</v>
      </c>
      <c r="B152" s="8" t="s">
        <v>261</v>
      </c>
      <c r="C152" s="8" t="s">
        <v>262</v>
      </c>
      <c r="D152" s="10">
        <v>0</v>
      </c>
      <c r="E152" s="10">
        <f>_xll.AtlasFormulas.AtlasFunctions.AtlasBalance("PROD",DataAreaId,"T.InventTrans|inventDimId~inventDimId@T.InventDim","Sum|Qty|0","","","","","","","DateFinancial|ItemId|T2.InventSiteId|T2.InventLocationId",PeriodBeginning,$A152,$B152,$C152)</f>
        <v>0</v>
      </c>
      <c r="F152" s="10">
        <f>_xll.AtlasFormulas.AtlasFunctions.AtlasBalance("PROD",DataAreaId,"T.InventTrans|inventDimId~inventDimId@T.InventDim","Sum|Qty|0","","","","","","","DateFinancial|ItemId|T2.InventSiteId|T2.InventLocationId",PeriodEnding,$A152,$B152,$C152)</f>
        <v>0</v>
      </c>
      <c r="G152" s="10">
        <f>AtlasReport_3_Table_1[[#This Row],[Current On-hand]]-AtlasReport_3_Table_1[[#This Row],[Trans backwords (Beginning)]]</f>
        <v>0</v>
      </c>
      <c r="H152" s="10">
        <f>AtlasReport_3_Table_1[[#This Row],[Current On-hand]]-AtlasReport_3_Table_1[[#This Row],[Trans backwords (Ending)]]</f>
        <v>0</v>
      </c>
    </row>
    <row r="153" spans="1:8" x14ac:dyDescent="0.25">
      <c r="A153" s="8" t="s">
        <v>54</v>
      </c>
      <c r="B153" s="8" t="s">
        <v>261</v>
      </c>
      <c r="C153" s="8" t="s">
        <v>264</v>
      </c>
      <c r="D153" s="10">
        <v>2889.5</v>
      </c>
      <c r="E153" s="10">
        <f>_xll.AtlasFormulas.AtlasFunctions.AtlasBalance("PROD",DataAreaId,"T.InventTrans|inventDimId~inventDimId@T.InventDim","Sum|Qty|0","","","","","","","DateFinancial|ItemId|T2.InventSiteId|T2.InventLocationId",PeriodBeginning,$A153,$B153,$C153)</f>
        <v>-0.3</v>
      </c>
      <c r="F153" s="10">
        <f>_xll.AtlasFormulas.AtlasFunctions.AtlasBalance("PROD",DataAreaId,"T.InventTrans|inventDimId~inventDimId@T.InventDim","Sum|Qty|0","","","","","","","DateFinancial|ItemId|T2.InventSiteId|T2.InventLocationId",PeriodEnding,$A153,$B153,$C153)</f>
        <v>0</v>
      </c>
      <c r="G153" s="10">
        <f>AtlasReport_3_Table_1[[#This Row],[Current On-hand]]-AtlasReport_3_Table_1[[#This Row],[Trans backwords (Beginning)]]</f>
        <v>2889.8</v>
      </c>
      <c r="H153" s="10">
        <f>AtlasReport_3_Table_1[[#This Row],[Current On-hand]]-AtlasReport_3_Table_1[[#This Row],[Trans backwords (Ending)]]</f>
        <v>2889.5</v>
      </c>
    </row>
    <row r="154" spans="1:8" x14ac:dyDescent="0.25">
      <c r="A154" s="8" t="s">
        <v>141</v>
      </c>
      <c r="B154" s="8" t="s">
        <v>261</v>
      </c>
      <c r="C154" s="8" t="s">
        <v>81</v>
      </c>
      <c r="D154" s="10">
        <v>0</v>
      </c>
      <c r="E154" s="10">
        <f>_xll.AtlasFormulas.AtlasFunctions.AtlasBalance("PROD",DataAreaId,"T.InventTrans|inventDimId~inventDimId@T.InventDim","Sum|Qty|0","","","","","","","DateFinancial|ItemId|T2.InventSiteId|T2.InventLocationId",PeriodBeginning,$A154,$B154,$C154)</f>
        <v>0</v>
      </c>
      <c r="F154" s="10">
        <f>_xll.AtlasFormulas.AtlasFunctions.AtlasBalance("PROD",DataAreaId,"T.InventTrans|inventDimId~inventDimId@T.InventDim","Sum|Qty|0","","","","","","","DateFinancial|ItemId|T2.InventSiteId|T2.InventLocationId",PeriodEnding,$A154,$B154,$C154)</f>
        <v>0</v>
      </c>
      <c r="G154" s="10">
        <f>AtlasReport_3_Table_1[[#This Row],[Current On-hand]]-AtlasReport_3_Table_1[[#This Row],[Trans backwords (Beginning)]]</f>
        <v>0</v>
      </c>
      <c r="H154" s="10">
        <f>AtlasReport_3_Table_1[[#This Row],[Current On-hand]]-AtlasReport_3_Table_1[[#This Row],[Trans backwords (Ending)]]</f>
        <v>0</v>
      </c>
    </row>
    <row r="155" spans="1:8" x14ac:dyDescent="0.25">
      <c r="A155" s="8" t="s">
        <v>141</v>
      </c>
      <c r="B155" s="8" t="s">
        <v>261</v>
      </c>
      <c r="C155" s="8" t="s">
        <v>262</v>
      </c>
      <c r="D155" s="10">
        <v>0</v>
      </c>
      <c r="E155" s="10">
        <f>_xll.AtlasFormulas.AtlasFunctions.AtlasBalance("PROD",DataAreaId,"T.InventTrans|inventDimId~inventDimId@T.InventDim","Sum|Qty|0","","","","","","","DateFinancial|ItemId|T2.InventSiteId|T2.InventLocationId",PeriodBeginning,$A155,$B155,$C155)</f>
        <v>0</v>
      </c>
      <c r="F155" s="10">
        <f>_xll.AtlasFormulas.AtlasFunctions.AtlasBalance("PROD",DataAreaId,"T.InventTrans|inventDimId~inventDimId@T.InventDim","Sum|Qty|0","","","","","","","DateFinancial|ItemId|T2.InventSiteId|T2.InventLocationId",PeriodEnding,$A155,$B155,$C155)</f>
        <v>0</v>
      </c>
      <c r="G155" s="10">
        <f>AtlasReport_3_Table_1[[#This Row],[Current On-hand]]-AtlasReport_3_Table_1[[#This Row],[Trans backwords (Beginning)]]</f>
        <v>0</v>
      </c>
      <c r="H155" s="10">
        <f>AtlasReport_3_Table_1[[#This Row],[Current On-hand]]-AtlasReport_3_Table_1[[#This Row],[Trans backwords (Ending)]]</f>
        <v>0</v>
      </c>
    </row>
    <row r="156" spans="1:8" x14ac:dyDescent="0.25">
      <c r="A156" s="8" t="s">
        <v>141</v>
      </c>
      <c r="B156" s="8" t="s">
        <v>261</v>
      </c>
      <c r="C156" s="8" t="s">
        <v>264</v>
      </c>
      <c r="D156" s="10">
        <v>632.4</v>
      </c>
      <c r="E156" s="10">
        <f>_xll.AtlasFormulas.AtlasFunctions.AtlasBalance("PROD",DataAreaId,"T.InventTrans|inventDimId~inventDimId@T.InventDim","Sum|Qty|0","","","","","","","DateFinancial|ItemId|T2.InventSiteId|T2.InventLocationId",PeriodBeginning,$A156,$B156,$C156)</f>
        <v>0</v>
      </c>
      <c r="F156" s="10">
        <f>_xll.AtlasFormulas.AtlasFunctions.AtlasBalance("PROD",DataAreaId,"T.InventTrans|inventDimId~inventDimId@T.InventDim","Sum|Qty|0","","","","","","","DateFinancial|ItemId|T2.InventSiteId|T2.InventLocationId",PeriodEnding,$A156,$B156,$C156)</f>
        <v>0</v>
      </c>
      <c r="G156" s="10">
        <f>AtlasReport_3_Table_1[[#This Row],[Current On-hand]]-AtlasReport_3_Table_1[[#This Row],[Trans backwords (Beginning)]]</f>
        <v>632.4</v>
      </c>
      <c r="H156" s="10">
        <f>AtlasReport_3_Table_1[[#This Row],[Current On-hand]]-AtlasReport_3_Table_1[[#This Row],[Trans backwords (Ending)]]</f>
        <v>632.4</v>
      </c>
    </row>
    <row r="157" spans="1:8" x14ac:dyDescent="0.25">
      <c r="A157" s="8" t="s">
        <v>315</v>
      </c>
      <c r="B157" s="8" t="s">
        <v>261</v>
      </c>
      <c r="C157" s="8" t="s">
        <v>81</v>
      </c>
      <c r="D157" s="10">
        <v>0</v>
      </c>
      <c r="E157" s="10">
        <f>_xll.AtlasFormulas.AtlasFunctions.AtlasBalance("PROD",DataAreaId,"T.InventTrans|inventDimId~inventDimId@T.InventDim","Sum|Qty|0","","","","","","","DateFinancial|ItemId|T2.InventSiteId|T2.InventLocationId",PeriodBeginning,$A157,$B157,$C157)</f>
        <v>0</v>
      </c>
      <c r="F157" s="10">
        <f>_xll.AtlasFormulas.AtlasFunctions.AtlasBalance("PROD",DataAreaId,"T.InventTrans|inventDimId~inventDimId@T.InventDim","Sum|Qty|0","","","","","","","DateFinancial|ItemId|T2.InventSiteId|T2.InventLocationId",PeriodEnding,$A157,$B157,$C157)</f>
        <v>0</v>
      </c>
      <c r="G157" s="10">
        <f>AtlasReport_3_Table_1[[#This Row],[Current On-hand]]-AtlasReport_3_Table_1[[#This Row],[Trans backwords (Beginning)]]</f>
        <v>0</v>
      </c>
      <c r="H157" s="10">
        <f>AtlasReport_3_Table_1[[#This Row],[Current On-hand]]-AtlasReport_3_Table_1[[#This Row],[Trans backwords (Ending)]]</f>
        <v>0</v>
      </c>
    </row>
    <row r="158" spans="1:8" x14ac:dyDescent="0.25">
      <c r="A158" s="8" t="s">
        <v>315</v>
      </c>
      <c r="B158" s="8" t="s">
        <v>261</v>
      </c>
      <c r="C158" s="8" t="s">
        <v>264</v>
      </c>
      <c r="D158" s="10">
        <v>27</v>
      </c>
      <c r="E158" s="10">
        <f>_xll.AtlasFormulas.AtlasFunctions.AtlasBalance("PROD",DataAreaId,"T.InventTrans|inventDimId~inventDimId@T.InventDim","Sum|Qty|0","","","","","","","DateFinancial|ItemId|T2.InventSiteId|T2.InventLocationId",PeriodBeginning,$A158,$B158,$C158)</f>
        <v>9</v>
      </c>
      <c r="F158" s="10">
        <f>_xll.AtlasFormulas.AtlasFunctions.AtlasBalance("PROD",DataAreaId,"T.InventTrans|inventDimId~inventDimId@T.InventDim","Sum|Qty|0","","","","","","","DateFinancial|ItemId|T2.InventSiteId|T2.InventLocationId",PeriodEnding,$A158,$B158,$C158)</f>
        <v>0</v>
      </c>
      <c r="G158" s="10">
        <f>AtlasReport_3_Table_1[[#This Row],[Current On-hand]]-AtlasReport_3_Table_1[[#This Row],[Trans backwords (Beginning)]]</f>
        <v>18</v>
      </c>
      <c r="H158" s="10">
        <f>AtlasReport_3_Table_1[[#This Row],[Current On-hand]]-AtlasReport_3_Table_1[[#This Row],[Trans backwords (Ending)]]</f>
        <v>27</v>
      </c>
    </row>
    <row r="159" spans="1:8" x14ac:dyDescent="0.25">
      <c r="A159" s="8" t="s">
        <v>25</v>
      </c>
      <c r="B159" s="8" t="s">
        <v>261</v>
      </c>
      <c r="C159" s="8" t="s">
        <v>81</v>
      </c>
      <c r="D159" s="10">
        <v>0</v>
      </c>
      <c r="E159" s="10">
        <f>_xll.AtlasFormulas.AtlasFunctions.AtlasBalance("PROD",DataAreaId,"T.InventTrans|inventDimId~inventDimId@T.InventDim","Sum|Qty|0","","","","","","","DateFinancial|ItemId|T2.InventSiteId|T2.InventLocationId",PeriodBeginning,$A159,$B159,$C159)</f>
        <v>0</v>
      </c>
      <c r="F159" s="10">
        <f>_xll.AtlasFormulas.AtlasFunctions.AtlasBalance("PROD",DataAreaId,"T.InventTrans|inventDimId~inventDimId@T.InventDim","Sum|Qty|0","","","","","","","DateFinancial|ItemId|T2.InventSiteId|T2.InventLocationId",PeriodEnding,$A159,$B159,$C159)</f>
        <v>0</v>
      </c>
      <c r="G159" s="10">
        <f>AtlasReport_3_Table_1[[#This Row],[Current On-hand]]-AtlasReport_3_Table_1[[#This Row],[Trans backwords (Beginning)]]</f>
        <v>0</v>
      </c>
      <c r="H159" s="10">
        <f>AtlasReport_3_Table_1[[#This Row],[Current On-hand]]-AtlasReport_3_Table_1[[#This Row],[Trans backwords (Ending)]]</f>
        <v>0</v>
      </c>
    </row>
    <row r="160" spans="1:8" x14ac:dyDescent="0.25">
      <c r="A160" s="8" t="s">
        <v>25</v>
      </c>
      <c r="B160" s="8" t="s">
        <v>261</v>
      </c>
      <c r="C160" s="8" t="s">
        <v>262</v>
      </c>
      <c r="D160" s="10">
        <v>0</v>
      </c>
      <c r="E160" s="10">
        <f>_xll.AtlasFormulas.AtlasFunctions.AtlasBalance("PROD",DataAreaId,"T.InventTrans|inventDimId~inventDimId@T.InventDim","Sum|Qty|0","","","","","","","DateFinancial|ItemId|T2.InventSiteId|T2.InventLocationId",PeriodBeginning,$A160,$B160,$C160)</f>
        <v>0</v>
      </c>
      <c r="F160" s="10">
        <f>_xll.AtlasFormulas.AtlasFunctions.AtlasBalance("PROD",DataAreaId,"T.InventTrans|inventDimId~inventDimId@T.InventDim","Sum|Qty|0","","","","","","","DateFinancial|ItemId|T2.InventSiteId|T2.InventLocationId",PeriodEnding,$A160,$B160,$C160)</f>
        <v>0</v>
      </c>
      <c r="G160" s="10">
        <f>AtlasReport_3_Table_1[[#This Row],[Current On-hand]]-AtlasReport_3_Table_1[[#This Row],[Trans backwords (Beginning)]]</f>
        <v>0</v>
      </c>
      <c r="H160" s="10">
        <f>AtlasReport_3_Table_1[[#This Row],[Current On-hand]]-AtlasReport_3_Table_1[[#This Row],[Trans backwords (Ending)]]</f>
        <v>0</v>
      </c>
    </row>
    <row r="161" spans="1:8" x14ac:dyDescent="0.25">
      <c r="A161" s="8" t="s">
        <v>25</v>
      </c>
      <c r="B161" s="8" t="s">
        <v>261</v>
      </c>
      <c r="C161" s="8" t="s">
        <v>264</v>
      </c>
      <c r="D161" s="10">
        <v>1380.65</v>
      </c>
      <c r="E161" s="10">
        <f>_xll.AtlasFormulas.AtlasFunctions.AtlasBalance("PROD",DataAreaId,"T.InventTrans|inventDimId~inventDimId@T.InventDim","Sum|Qty|0","","","","","","","DateFinancial|ItemId|T2.InventSiteId|T2.InventLocationId",PeriodBeginning,$A161,$B161,$C161)</f>
        <v>1077.54</v>
      </c>
      <c r="F161" s="10">
        <f>_xll.AtlasFormulas.AtlasFunctions.AtlasBalance("PROD",DataAreaId,"T.InventTrans|inventDimId~inventDimId@T.InventDim","Sum|Qty|0","","","","","","","DateFinancial|ItemId|T2.InventSiteId|T2.InventLocationId",PeriodEnding,$A161,$B161,$C161)</f>
        <v>0</v>
      </c>
      <c r="G161" s="10">
        <f>AtlasReport_3_Table_1[[#This Row],[Current On-hand]]-AtlasReport_3_Table_1[[#This Row],[Trans backwords (Beginning)]]</f>
        <v>303.11000000000013</v>
      </c>
      <c r="H161" s="10">
        <f>AtlasReport_3_Table_1[[#This Row],[Current On-hand]]-AtlasReport_3_Table_1[[#This Row],[Trans backwords (Ending)]]</f>
        <v>1380.65</v>
      </c>
    </row>
    <row r="162" spans="1:8" x14ac:dyDescent="0.25">
      <c r="A162" s="8" t="s">
        <v>72</v>
      </c>
      <c r="B162" s="8" t="s">
        <v>261</v>
      </c>
      <c r="C162" s="8" t="s">
        <v>81</v>
      </c>
      <c r="D162" s="10">
        <v>0</v>
      </c>
      <c r="E162" s="10">
        <f>_xll.AtlasFormulas.AtlasFunctions.AtlasBalance("PROD",DataAreaId,"T.InventTrans|inventDimId~inventDimId@T.InventDim","Sum|Qty|0","","","","","","","DateFinancial|ItemId|T2.InventSiteId|T2.InventLocationId",PeriodBeginning,$A162,$B162,$C162)</f>
        <v>0</v>
      </c>
      <c r="F162" s="10">
        <f>_xll.AtlasFormulas.AtlasFunctions.AtlasBalance("PROD",DataAreaId,"T.InventTrans|inventDimId~inventDimId@T.InventDim","Sum|Qty|0","","","","","","","DateFinancial|ItemId|T2.InventSiteId|T2.InventLocationId",PeriodEnding,$A162,$B162,$C162)</f>
        <v>0</v>
      </c>
      <c r="G162" s="10">
        <f>AtlasReport_3_Table_1[[#This Row],[Current On-hand]]-AtlasReport_3_Table_1[[#This Row],[Trans backwords (Beginning)]]</f>
        <v>0</v>
      </c>
      <c r="H162" s="10">
        <f>AtlasReport_3_Table_1[[#This Row],[Current On-hand]]-AtlasReport_3_Table_1[[#This Row],[Trans backwords (Ending)]]</f>
        <v>0</v>
      </c>
    </row>
    <row r="163" spans="1:8" x14ac:dyDescent="0.25">
      <c r="A163" s="8" t="s">
        <v>72</v>
      </c>
      <c r="B163" s="8" t="s">
        <v>261</v>
      </c>
      <c r="C163" s="8" t="s">
        <v>262</v>
      </c>
      <c r="D163" s="10">
        <v>0</v>
      </c>
      <c r="E163" s="10">
        <f>_xll.AtlasFormulas.AtlasFunctions.AtlasBalance("PROD",DataAreaId,"T.InventTrans|inventDimId~inventDimId@T.InventDim","Sum|Qty|0","","","","","","","DateFinancial|ItemId|T2.InventSiteId|T2.InventLocationId",PeriodBeginning,$A163,$B163,$C163)</f>
        <v>0</v>
      </c>
      <c r="F163" s="10">
        <f>_xll.AtlasFormulas.AtlasFunctions.AtlasBalance("PROD",DataAreaId,"T.InventTrans|inventDimId~inventDimId@T.InventDim","Sum|Qty|0","","","","","","","DateFinancial|ItemId|T2.InventSiteId|T2.InventLocationId",PeriodEnding,$A163,$B163,$C163)</f>
        <v>0</v>
      </c>
      <c r="G163" s="10">
        <f>AtlasReport_3_Table_1[[#This Row],[Current On-hand]]-AtlasReport_3_Table_1[[#This Row],[Trans backwords (Beginning)]]</f>
        <v>0</v>
      </c>
      <c r="H163" s="10">
        <f>AtlasReport_3_Table_1[[#This Row],[Current On-hand]]-AtlasReport_3_Table_1[[#This Row],[Trans backwords (Ending)]]</f>
        <v>0</v>
      </c>
    </row>
    <row r="164" spans="1:8" x14ac:dyDescent="0.25">
      <c r="A164" s="8" t="s">
        <v>72</v>
      </c>
      <c r="B164" s="8" t="s">
        <v>261</v>
      </c>
      <c r="C164" s="8" t="s">
        <v>264</v>
      </c>
      <c r="D164" s="10">
        <v>1248.3</v>
      </c>
      <c r="E164" s="10">
        <f>_xll.AtlasFormulas.AtlasFunctions.AtlasBalance("PROD",DataAreaId,"T.InventTrans|inventDimId~inventDimId@T.InventDim","Sum|Qty|0","","","","","","","DateFinancial|ItemId|T2.InventSiteId|T2.InventLocationId",PeriodBeginning,$A164,$B164,$C164)</f>
        <v>4.92</v>
      </c>
      <c r="F164" s="10">
        <f>_xll.AtlasFormulas.AtlasFunctions.AtlasBalance("PROD",DataAreaId,"T.InventTrans|inventDimId~inventDimId@T.InventDim","Sum|Qty|0","","","","","","","DateFinancial|ItemId|T2.InventSiteId|T2.InventLocationId",PeriodEnding,$A164,$B164,$C164)</f>
        <v>0</v>
      </c>
      <c r="G164" s="10">
        <f>AtlasReport_3_Table_1[[#This Row],[Current On-hand]]-AtlasReport_3_Table_1[[#This Row],[Trans backwords (Beginning)]]</f>
        <v>1243.3799999999999</v>
      </c>
      <c r="H164" s="10">
        <f>AtlasReport_3_Table_1[[#This Row],[Current On-hand]]-AtlasReport_3_Table_1[[#This Row],[Trans backwords (Ending)]]</f>
        <v>1248.3</v>
      </c>
    </row>
    <row r="165" spans="1:8" x14ac:dyDescent="0.25">
      <c r="A165" s="8" t="s">
        <v>316</v>
      </c>
      <c r="B165" s="8" t="s">
        <v>261</v>
      </c>
      <c r="C165" s="8" t="s">
        <v>81</v>
      </c>
      <c r="D165" s="10">
        <v>0</v>
      </c>
      <c r="E165" s="10">
        <f>_xll.AtlasFormulas.AtlasFunctions.AtlasBalance("PROD",DataAreaId,"T.InventTrans|inventDimId~inventDimId@T.InventDim","Sum|Qty|0","","","","","","","DateFinancial|ItemId|T2.InventSiteId|T2.InventLocationId",PeriodBeginning,$A165,$B165,$C165)</f>
        <v>0</v>
      </c>
      <c r="F165" s="10">
        <f>_xll.AtlasFormulas.AtlasFunctions.AtlasBalance("PROD",DataAreaId,"T.InventTrans|inventDimId~inventDimId@T.InventDim","Sum|Qty|0","","","","","","","DateFinancial|ItemId|T2.InventSiteId|T2.InventLocationId",PeriodEnding,$A165,$B165,$C165)</f>
        <v>0</v>
      </c>
      <c r="G165" s="10">
        <f>AtlasReport_3_Table_1[[#This Row],[Current On-hand]]-AtlasReport_3_Table_1[[#This Row],[Trans backwords (Beginning)]]</f>
        <v>0</v>
      </c>
      <c r="H165" s="10">
        <f>AtlasReport_3_Table_1[[#This Row],[Current On-hand]]-AtlasReport_3_Table_1[[#This Row],[Trans backwords (Ending)]]</f>
        <v>0</v>
      </c>
    </row>
    <row r="166" spans="1:8" x14ac:dyDescent="0.25">
      <c r="A166" s="8" t="s">
        <v>316</v>
      </c>
      <c r="B166" s="8" t="s">
        <v>261</v>
      </c>
      <c r="C166" s="8" t="s">
        <v>264</v>
      </c>
      <c r="D166" s="10">
        <v>340.2</v>
      </c>
      <c r="E166" s="10">
        <f>_xll.AtlasFormulas.AtlasFunctions.AtlasBalance("PROD",DataAreaId,"T.InventTrans|inventDimId~inventDimId@T.InventDim","Sum|Qty|0","","","","","","","DateFinancial|ItemId|T2.InventSiteId|T2.InventLocationId",PeriodBeginning,$A166,$B166,$C166)</f>
        <v>0</v>
      </c>
      <c r="F166" s="10">
        <f>_xll.AtlasFormulas.AtlasFunctions.AtlasBalance("PROD",DataAreaId,"T.InventTrans|inventDimId~inventDimId@T.InventDim","Sum|Qty|0","","","","","","","DateFinancial|ItemId|T2.InventSiteId|T2.InventLocationId",PeriodEnding,$A166,$B166,$C166)</f>
        <v>0</v>
      </c>
      <c r="G166" s="10">
        <f>AtlasReport_3_Table_1[[#This Row],[Current On-hand]]-AtlasReport_3_Table_1[[#This Row],[Trans backwords (Beginning)]]</f>
        <v>340.2</v>
      </c>
      <c r="H166" s="10">
        <f>AtlasReport_3_Table_1[[#This Row],[Current On-hand]]-AtlasReport_3_Table_1[[#This Row],[Trans backwords (Ending)]]</f>
        <v>340.2</v>
      </c>
    </row>
    <row r="167" spans="1:8" x14ac:dyDescent="0.25">
      <c r="A167" s="8" t="s">
        <v>317</v>
      </c>
      <c r="B167" s="8" t="s">
        <v>261</v>
      </c>
      <c r="C167" s="8" t="s">
        <v>81</v>
      </c>
      <c r="D167" s="10">
        <v>0</v>
      </c>
      <c r="E167" s="10">
        <f>_xll.AtlasFormulas.AtlasFunctions.AtlasBalance("PROD",DataAreaId,"T.InventTrans|inventDimId~inventDimId@T.InventDim","Sum|Qty|0","","","","","","","DateFinancial|ItemId|T2.InventSiteId|T2.InventLocationId",PeriodBeginning,$A167,$B167,$C167)</f>
        <v>0</v>
      </c>
      <c r="F167" s="10">
        <f>_xll.AtlasFormulas.AtlasFunctions.AtlasBalance("PROD",DataAreaId,"T.InventTrans|inventDimId~inventDimId@T.InventDim","Sum|Qty|0","","","","","","","DateFinancial|ItemId|T2.InventSiteId|T2.InventLocationId",PeriodEnding,$A167,$B167,$C167)</f>
        <v>0</v>
      </c>
      <c r="G167" s="10">
        <f>AtlasReport_3_Table_1[[#This Row],[Current On-hand]]-AtlasReport_3_Table_1[[#This Row],[Trans backwords (Beginning)]]</f>
        <v>0</v>
      </c>
      <c r="H167" s="10">
        <f>AtlasReport_3_Table_1[[#This Row],[Current On-hand]]-AtlasReport_3_Table_1[[#This Row],[Trans backwords (Ending)]]</f>
        <v>0</v>
      </c>
    </row>
    <row r="168" spans="1:8" x14ac:dyDescent="0.25">
      <c r="A168" s="8" t="s">
        <v>317</v>
      </c>
      <c r="B168" s="8" t="s">
        <v>261</v>
      </c>
      <c r="C168" s="8" t="s">
        <v>264</v>
      </c>
      <c r="D168" s="10">
        <v>907.2</v>
      </c>
      <c r="E168" s="10">
        <f>_xll.AtlasFormulas.AtlasFunctions.AtlasBalance("PROD",DataAreaId,"T.InventTrans|inventDimId~inventDimId@T.InventDim","Sum|Qty|0","","","","","","","DateFinancial|ItemId|T2.InventSiteId|T2.InventLocationId",PeriodBeginning,$A168,$B168,$C168)</f>
        <v>22.4</v>
      </c>
      <c r="F168" s="10">
        <f>_xll.AtlasFormulas.AtlasFunctions.AtlasBalance("PROD",DataAreaId,"T.InventTrans|inventDimId~inventDimId@T.InventDim","Sum|Qty|0","","","","","","","DateFinancial|ItemId|T2.InventSiteId|T2.InventLocationId",PeriodEnding,$A168,$B168,$C168)</f>
        <v>0</v>
      </c>
      <c r="G168" s="10">
        <f>AtlasReport_3_Table_1[[#This Row],[Current On-hand]]-AtlasReport_3_Table_1[[#This Row],[Trans backwords (Beginning)]]</f>
        <v>884.80000000000007</v>
      </c>
      <c r="H168" s="10">
        <f>AtlasReport_3_Table_1[[#This Row],[Current On-hand]]-AtlasReport_3_Table_1[[#This Row],[Trans backwords (Ending)]]</f>
        <v>907.2</v>
      </c>
    </row>
    <row r="169" spans="1:8" x14ac:dyDescent="0.25">
      <c r="A169" s="8" t="s">
        <v>73</v>
      </c>
      <c r="B169" s="8" t="s">
        <v>261</v>
      </c>
      <c r="C169" s="8" t="s">
        <v>81</v>
      </c>
      <c r="D169" s="10">
        <v>0</v>
      </c>
      <c r="E169" s="10">
        <f>_xll.AtlasFormulas.AtlasFunctions.AtlasBalance("PROD",DataAreaId,"T.InventTrans|inventDimId~inventDimId@T.InventDim","Sum|Qty|0","","","","","","","DateFinancial|ItemId|T2.InventSiteId|T2.InventLocationId",PeriodBeginning,$A169,$B169,$C169)</f>
        <v>0</v>
      </c>
      <c r="F169" s="10">
        <f>_xll.AtlasFormulas.AtlasFunctions.AtlasBalance("PROD",DataAreaId,"T.InventTrans|inventDimId~inventDimId@T.InventDim","Sum|Qty|0","","","","","","","DateFinancial|ItemId|T2.InventSiteId|T2.InventLocationId",PeriodEnding,$A169,$B169,$C169)</f>
        <v>0</v>
      </c>
      <c r="G169" s="10">
        <f>AtlasReport_3_Table_1[[#This Row],[Current On-hand]]-AtlasReport_3_Table_1[[#This Row],[Trans backwords (Beginning)]]</f>
        <v>0</v>
      </c>
      <c r="H169" s="10">
        <f>AtlasReport_3_Table_1[[#This Row],[Current On-hand]]-AtlasReport_3_Table_1[[#This Row],[Trans backwords (Ending)]]</f>
        <v>0</v>
      </c>
    </row>
    <row r="170" spans="1:8" x14ac:dyDescent="0.25">
      <c r="A170" s="8" t="s">
        <v>73</v>
      </c>
      <c r="B170" s="8" t="s">
        <v>261</v>
      </c>
      <c r="C170" s="8" t="s">
        <v>262</v>
      </c>
      <c r="D170" s="10">
        <v>0</v>
      </c>
      <c r="E170" s="10">
        <f>_xll.AtlasFormulas.AtlasFunctions.AtlasBalance("PROD",DataAreaId,"T.InventTrans|inventDimId~inventDimId@T.InventDim","Sum|Qty|0","","","","","","","DateFinancial|ItemId|T2.InventSiteId|T2.InventLocationId",PeriodBeginning,$A170,$B170,$C170)</f>
        <v>0</v>
      </c>
      <c r="F170" s="10">
        <f>_xll.AtlasFormulas.AtlasFunctions.AtlasBalance("PROD",DataAreaId,"T.InventTrans|inventDimId~inventDimId@T.InventDim","Sum|Qty|0","","","","","","","DateFinancial|ItemId|T2.InventSiteId|T2.InventLocationId",PeriodEnding,$A170,$B170,$C170)</f>
        <v>0</v>
      </c>
      <c r="G170" s="10">
        <f>AtlasReport_3_Table_1[[#This Row],[Current On-hand]]-AtlasReport_3_Table_1[[#This Row],[Trans backwords (Beginning)]]</f>
        <v>0</v>
      </c>
      <c r="H170" s="10">
        <f>AtlasReport_3_Table_1[[#This Row],[Current On-hand]]-AtlasReport_3_Table_1[[#This Row],[Trans backwords (Ending)]]</f>
        <v>0</v>
      </c>
    </row>
    <row r="171" spans="1:8" x14ac:dyDescent="0.25">
      <c r="A171" s="8" t="s">
        <v>73</v>
      </c>
      <c r="B171" s="8" t="s">
        <v>261</v>
      </c>
      <c r="C171" s="8" t="s">
        <v>264</v>
      </c>
      <c r="D171" s="10">
        <v>3471.3</v>
      </c>
      <c r="E171" s="10">
        <f>_xll.AtlasFormulas.AtlasFunctions.AtlasBalance("PROD",DataAreaId,"T.InventTrans|inventDimId~inventDimId@T.InventDim","Sum|Qty|0","","","","","","","DateFinancial|ItemId|T2.InventSiteId|T2.InventLocationId",PeriodBeginning,$A171,$B171,$C171)</f>
        <v>-82.78</v>
      </c>
      <c r="F171" s="10">
        <f>_xll.AtlasFormulas.AtlasFunctions.AtlasBalance("PROD",DataAreaId,"T.InventTrans|inventDimId~inventDimId@T.InventDim","Sum|Qty|0","","","","","","","DateFinancial|ItemId|T2.InventSiteId|T2.InventLocationId",PeriodEnding,$A171,$B171,$C171)</f>
        <v>0</v>
      </c>
      <c r="G171" s="10">
        <f>AtlasReport_3_Table_1[[#This Row],[Current On-hand]]-AtlasReport_3_Table_1[[#This Row],[Trans backwords (Beginning)]]</f>
        <v>3554.0800000000004</v>
      </c>
      <c r="H171" s="10">
        <f>AtlasReport_3_Table_1[[#This Row],[Current On-hand]]-AtlasReport_3_Table_1[[#This Row],[Trans backwords (Ending)]]</f>
        <v>3471.3</v>
      </c>
    </row>
    <row r="172" spans="1:8" x14ac:dyDescent="0.25">
      <c r="A172" s="8" t="s">
        <v>194</v>
      </c>
      <c r="B172" s="8" t="s">
        <v>261</v>
      </c>
      <c r="C172" s="8" t="s">
        <v>81</v>
      </c>
      <c r="D172" s="10">
        <v>0</v>
      </c>
      <c r="E172" s="10">
        <f>_xll.AtlasFormulas.AtlasFunctions.AtlasBalance("PROD",DataAreaId,"T.InventTrans|inventDimId~inventDimId@T.InventDim","Sum|Qty|0","","","","","","","DateFinancial|ItemId|T2.InventSiteId|T2.InventLocationId",PeriodBeginning,$A172,$B172,$C172)</f>
        <v>0</v>
      </c>
      <c r="F172" s="10">
        <f>_xll.AtlasFormulas.AtlasFunctions.AtlasBalance("PROD",DataAreaId,"T.InventTrans|inventDimId~inventDimId@T.InventDim","Sum|Qty|0","","","","","","","DateFinancial|ItemId|T2.InventSiteId|T2.InventLocationId",PeriodEnding,$A172,$B172,$C172)</f>
        <v>0</v>
      </c>
      <c r="G172" s="10">
        <f>AtlasReport_3_Table_1[[#This Row],[Current On-hand]]-AtlasReport_3_Table_1[[#This Row],[Trans backwords (Beginning)]]</f>
        <v>0</v>
      </c>
      <c r="H172" s="10">
        <f>AtlasReport_3_Table_1[[#This Row],[Current On-hand]]-AtlasReport_3_Table_1[[#This Row],[Trans backwords (Ending)]]</f>
        <v>0</v>
      </c>
    </row>
    <row r="173" spans="1:8" x14ac:dyDescent="0.25">
      <c r="A173" s="8" t="s">
        <v>194</v>
      </c>
      <c r="B173" s="8" t="s">
        <v>261</v>
      </c>
      <c r="C173" s="8" t="s">
        <v>264</v>
      </c>
      <c r="D173" s="10">
        <v>1276.5</v>
      </c>
      <c r="E173" s="10">
        <f>_xll.AtlasFormulas.AtlasFunctions.AtlasBalance("PROD",DataAreaId,"T.InventTrans|inventDimId~inventDimId@T.InventDim","Sum|Qty|0","","","","","","","DateFinancial|ItemId|T2.InventSiteId|T2.InventLocationId",PeriodBeginning,$A173,$B173,$C173)</f>
        <v>-4.26</v>
      </c>
      <c r="F173" s="10">
        <f>_xll.AtlasFormulas.AtlasFunctions.AtlasBalance("PROD",DataAreaId,"T.InventTrans|inventDimId~inventDimId@T.InventDim","Sum|Qty|0","","","","","","","DateFinancial|ItemId|T2.InventSiteId|T2.InventLocationId",PeriodEnding,$A173,$B173,$C173)</f>
        <v>0</v>
      </c>
      <c r="G173" s="10">
        <f>AtlasReport_3_Table_1[[#This Row],[Current On-hand]]-AtlasReport_3_Table_1[[#This Row],[Trans backwords (Beginning)]]</f>
        <v>1280.76</v>
      </c>
      <c r="H173" s="10">
        <f>AtlasReport_3_Table_1[[#This Row],[Current On-hand]]-AtlasReport_3_Table_1[[#This Row],[Trans backwords (Ending)]]</f>
        <v>1276.5</v>
      </c>
    </row>
    <row r="174" spans="1:8" x14ac:dyDescent="0.25">
      <c r="A174" s="8" t="s">
        <v>142</v>
      </c>
      <c r="B174" s="8" t="s">
        <v>261</v>
      </c>
      <c r="C174" s="8" t="s">
        <v>81</v>
      </c>
      <c r="D174" s="10">
        <v>0</v>
      </c>
      <c r="E174" s="10">
        <f>_xll.AtlasFormulas.AtlasFunctions.AtlasBalance("PROD",DataAreaId,"T.InventTrans|inventDimId~inventDimId@T.InventDim","Sum|Qty|0","","","","","","","DateFinancial|ItemId|T2.InventSiteId|T2.InventLocationId",PeriodBeginning,$A174,$B174,$C174)</f>
        <v>0</v>
      </c>
      <c r="F174" s="10">
        <f>_xll.AtlasFormulas.AtlasFunctions.AtlasBalance("PROD",DataAreaId,"T.InventTrans|inventDimId~inventDimId@T.InventDim","Sum|Qty|0","","","","","","","DateFinancial|ItemId|T2.InventSiteId|T2.InventLocationId",PeriodEnding,$A174,$B174,$C174)</f>
        <v>0</v>
      </c>
      <c r="G174" s="10">
        <f>AtlasReport_3_Table_1[[#This Row],[Current On-hand]]-AtlasReport_3_Table_1[[#This Row],[Trans backwords (Beginning)]]</f>
        <v>0</v>
      </c>
      <c r="H174" s="10">
        <f>AtlasReport_3_Table_1[[#This Row],[Current On-hand]]-AtlasReport_3_Table_1[[#This Row],[Trans backwords (Ending)]]</f>
        <v>0</v>
      </c>
    </row>
    <row r="175" spans="1:8" x14ac:dyDescent="0.25">
      <c r="A175" s="8" t="s">
        <v>142</v>
      </c>
      <c r="B175" s="8" t="s">
        <v>261</v>
      </c>
      <c r="C175" s="8" t="s">
        <v>262</v>
      </c>
      <c r="D175" s="10">
        <v>0</v>
      </c>
      <c r="E175" s="10">
        <f>_xll.AtlasFormulas.AtlasFunctions.AtlasBalance("PROD",DataAreaId,"T.InventTrans|inventDimId~inventDimId@T.InventDim","Sum|Qty|0","","","","","","","DateFinancial|ItemId|T2.InventSiteId|T2.InventLocationId",PeriodBeginning,$A175,$B175,$C175)</f>
        <v>0</v>
      </c>
      <c r="F175" s="10">
        <f>_xll.AtlasFormulas.AtlasFunctions.AtlasBalance("PROD",DataAreaId,"T.InventTrans|inventDimId~inventDimId@T.InventDim","Sum|Qty|0","","","","","","","DateFinancial|ItemId|T2.InventSiteId|T2.InventLocationId",PeriodEnding,$A175,$B175,$C175)</f>
        <v>0</v>
      </c>
      <c r="G175" s="10">
        <f>AtlasReport_3_Table_1[[#This Row],[Current On-hand]]-AtlasReport_3_Table_1[[#This Row],[Trans backwords (Beginning)]]</f>
        <v>0</v>
      </c>
      <c r="H175" s="10">
        <f>AtlasReport_3_Table_1[[#This Row],[Current On-hand]]-AtlasReport_3_Table_1[[#This Row],[Trans backwords (Ending)]]</f>
        <v>0</v>
      </c>
    </row>
    <row r="176" spans="1:8" x14ac:dyDescent="0.25">
      <c r="A176" s="8" t="s">
        <v>142</v>
      </c>
      <c r="B176" s="8" t="s">
        <v>261</v>
      </c>
      <c r="C176" s="8" t="s">
        <v>264</v>
      </c>
      <c r="D176" s="10">
        <v>5794.2</v>
      </c>
      <c r="E176" s="10">
        <f>_xll.AtlasFormulas.AtlasFunctions.AtlasBalance("PROD",DataAreaId,"T.InventTrans|inventDimId~inventDimId@T.InventDim","Sum|Qty|0","","","","","","","DateFinancial|ItemId|T2.InventSiteId|T2.InventLocationId",PeriodBeginning,$A176,$B176,$C176)</f>
        <v>-162</v>
      </c>
      <c r="F176" s="10">
        <f>_xll.AtlasFormulas.AtlasFunctions.AtlasBalance("PROD",DataAreaId,"T.InventTrans|inventDimId~inventDimId@T.InventDim","Sum|Qty|0","","","","","","","DateFinancial|ItemId|T2.InventSiteId|T2.InventLocationId",PeriodEnding,$A176,$B176,$C176)</f>
        <v>0</v>
      </c>
      <c r="G176" s="10">
        <f>AtlasReport_3_Table_1[[#This Row],[Current On-hand]]-AtlasReport_3_Table_1[[#This Row],[Trans backwords (Beginning)]]</f>
        <v>5956.2</v>
      </c>
      <c r="H176" s="10">
        <f>AtlasReport_3_Table_1[[#This Row],[Current On-hand]]-AtlasReport_3_Table_1[[#This Row],[Trans backwords (Ending)]]</f>
        <v>5794.2</v>
      </c>
    </row>
    <row r="177" spans="1:8" x14ac:dyDescent="0.25">
      <c r="A177" s="8" t="s">
        <v>26</v>
      </c>
      <c r="B177" s="8" t="s">
        <v>261</v>
      </c>
      <c r="C177" s="8" t="s">
        <v>81</v>
      </c>
      <c r="D177" s="10">
        <v>0</v>
      </c>
      <c r="E177" s="10">
        <f>_xll.AtlasFormulas.AtlasFunctions.AtlasBalance("PROD",DataAreaId,"T.InventTrans|inventDimId~inventDimId@T.InventDim","Sum|Qty|0","","","","","","","DateFinancial|ItemId|T2.InventSiteId|T2.InventLocationId",PeriodBeginning,$A177,$B177,$C177)</f>
        <v>0</v>
      </c>
      <c r="F177" s="10">
        <f>_xll.AtlasFormulas.AtlasFunctions.AtlasBalance("PROD",DataAreaId,"T.InventTrans|inventDimId~inventDimId@T.InventDim","Sum|Qty|0","","","","","","","DateFinancial|ItemId|T2.InventSiteId|T2.InventLocationId",PeriodEnding,$A177,$B177,$C177)</f>
        <v>0</v>
      </c>
      <c r="G177" s="10">
        <f>AtlasReport_3_Table_1[[#This Row],[Current On-hand]]-AtlasReport_3_Table_1[[#This Row],[Trans backwords (Beginning)]]</f>
        <v>0</v>
      </c>
      <c r="H177" s="10">
        <f>AtlasReport_3_Table_1[[#This Row],[Current On-hand]]-AtlasReport_3_Table_1[[#This Row],[Trans backwords (Ending)]]</f>
        <v>0</v>
      </c>
    </row>
    <row r="178" spans="1:8" x14ac:dyDescent="0.25">
      <c r="A178" s="8" t="s">
        <v>26</v>
      </c>
      <c r="B178" s="8" t="s">
        <v>261</v>
      </c>
      <c r="C178" s="8" t="s">
        <v>262</v>
      </c>
      <c r="D178" s="10">
        <v>0</v>
      </c>
      <c r="E178" s="10">
        <f>_xll.AtlasFormulas.AtlasFunctions.AtlasBalance("PROD",DataAreaId,"T.InventTrans|inventDimId~inventDimId@T.InventDim","Sum|Qty|0","","","","","","","DateFinancial|ItemId|T2.InventSiteId|T2.InventLocationId",PeriodBeginning,$A178,$B178,$C178)</f>
        <v>0</v>
      </c>
      <c r="F178" s="10">
        <f>_xll.AtlasFormulas.AtlasFunctions.AtlasBalance("PROD",DataAreaId,"T.InventTrans|inventDimId~inventDimId@T.InventDim","Sum|Qty|0","","","","","","","DateFinancial|ItemId|T2.InventSiteId|T2.InventLocationId",PeriodEnding,$A178,$B178,$C178)</f>
        <v>0</v>
      </c>
      <c r="G178" s="10">
        <f>AtlasReport_3_Table_1[[#This Row],[Current On-hand]]-AtlasReport_3_Table_1[[#This Row],[Trans backwords (Beginning)]]</f>
        <v>0</v>
      </c>
      <c r="H178" s="10">
        <f>AtlasReport_3_Table_1[[#This Row],[Current On-hand]]-AtlasReport_3_Table_1[[#This Row],[Trans backwords (Ending)]]</f>
        <v>0</v>
      </c>
    </row>
    <row r="179" spans="1:8" x14ac:dyDescent="0.25">
      <c r="A179" s="8" t="s">
        <v>26</v>
      </c>
      <c r="B179" s="8" t="s">
        <v>261</v>
      </c>
      <c r="C179" s="8" t="s">
        <v>264</v>
      </c>
      <c r="D179" s="10">
        <v>853.91000000000008</v>
      </c>
      <c r="E179" s="10">
        <f>_xll.AtlasFormulas.AtlasFunctions.AtlasBalance("PROD",DataAreaId,"T.InventTrans|inventDimId~inventDimId@T.InventDim","Sum|Qty|0","","","","","","","DateFinancial|ItemId|T2.InventSiteId|T2.InventLocationId",PeriodBeginning,$A179,$B179,$C179)</f>
        <v>-0.6</v>
      </c>
      <c r="F179" s="10">
        <f>_xll.AtlasFormulas.AtlasFunctions.AtlasBalance("PROD",DataAreaId,"T.InventTrans|inventDimId~inventDimId@T.InventDim","Sum|Qty|0","","","","","","","DateFinancial|ItemId|T2.InventSiteId|T2.InventLocationId",PeriodEnding,$A179,$B179,$C179)</f>
        <v>0</v>
      </c>
      <c r="G179" s="10">
        <f>AtlasReport_3_Table_1[[#This Row],[Current On-hand]]-AtlasReport_3_Table_1[[#This Row],[Trans backwords (Beginning)]]</f>
        <v>854.5100000000001</v>
      </c>
      <c r="H179" s="10">
        <f>AtlasReport_3_Table_1[[#This Row],[Current On-hand]]-AtlasReport_3_Table_1[[#This Row],[Trans backwords (Ending)]]</f>
        <v>853.91000000000008</v>
      </c>
    </row>
    <row r="180" spans="1:8" x14ac:dyDescent="0.25">
      <c r="A180" s="8" t="s">
        <v>318</v>
      </c>
      <c r="B180" s="8" t="s">
        <v>261</v>
      </c>
      <c r="C180" s="8" t="s">
        <v>81</v>
      </c>
      <c r="D180" s="10">
        <v>0</v>
      </c>
      <c r="E180" s="10">
        <f>_xll.AtlasFormulas.AtlasFunctions.AtlasBalance("PROD",DataAreaId,"T.InventTrans|inventDimId~inventDimId@T.InventDim","Sum|Qty|0","","","","","","","DateFinancial|ItemId|T2.InventSiteId|T2.InventLocationId",PeriodBeginning,$A180,$B180,$C180)</f>
        <v>0</v>
      </c>
      <c r="F180" s="10">
        <f>_xll.AtlasFormulas.AtlasFunctions.AtlasBalance("PROD",DataAreaId,"T.InventTrans|inventDimId~inventDimId@T.InventDim","Sum|Qty|0","","","","","","","DateFinancial|ItemId|T2.InventSiteId|T2.InventLocationId",PeriodEnding,$A180,$B180,$C180)</f>
        <v>0</v>
      </c>
      <c r="G180" s="10">
        <f>AtlasReport_3_Table_1[[#This Row],[Current On-hand]]-AtlasReport_3_Table_1[[#This Row],[Trans backwords (Beginning)]]</f>
        <v>0</v>
      </c>
      <c r="H180" s="10">
        <f>AtlasReport_3_Table_1[[#This Row],[Current On-hand]]-AtlasReport_3_Table_1[[#This Row],[Trans backwords (Ending)]]</f>
        <v>0</v>
      </c>
    </row>
    <row r="181" spans="1:8" x14ac:dyDescent="0.25">
      <c r="A181" s="8" t="s">
        <v>318</v>
      </c>
      <c r="B181" s="8" t="s">
        <v>261</v>
      </c>
      <c r="C181" s="8" t="s">
        <v>262</v>
      </c>
      <c r="D181" s="10">
        <v>0</v>
      </c>
      <c r="E181" s="10">
        <f>_xll.AtlasFormulas.AtlasFunctions.AtlasBalance("PROD",DataAreaId,"T.InventTrans|inventDimId~inventDimId@T.InventDim","Sum|Qty|0","","","","","","","DateFinancial|ItemId|T2.InventSiteId|T2.InventLocationId",PeriodBeginning,$A181,$B181,$C181)</f>
        <v>0</v>
      </c>
      <c r="F181" s="10">
        <f>_xll.AtlasFormulas.AtlasFunctions.AtlasBalance("PROD",DataAreaId,"T.InventTrans|inventDimId~inventDimId@T.InventDim","Sum|Qty|0","","","","","","","DateFinancial|ItemId|T2.InventSiteId|T2.InventLocationId",PeriodEnding,$A181,$B181,$C181)</f>
        <v>0</v>
      </c>
      <c r="G181" s="10">
        <f>AtlasReport_3_Table_1[[#This Row],[Current On-hand]]-AtlasReport_3_Table_1[[#This Row],[Trans backwords (Beginning)]]</f>
        <v>0</v>
      </c>
      <c r="H181" s="10">
        <f>AtlasReport_3_Table_1[[#This Row],[Current On-hand]]-AtlasReport_3_Table_1[[#This Row],[Trans backwords (Ending)]]</f>
        <v>0</v>
      </c>
    </row>
    <row r="182" spans="1:8" x14ac:dyDescent="0.25">
      <c r="A182" s="8" t="s">
        <v>318</v>
      </c>
      <c r="B182" s="8" t="s">
        <v>261</v>
      </c>
      <c r="C182" s="8" t="s">
        <v>264</v>
      </c>
      <c r="D182" s="10">
        <v>0</v>
      </c>
      <c r="E182" s="10">
        <f>_xll.AtlasFormulas.AtlasFunctions.AtlasBalance("PROD",DataAreaId,"T.InventTrans|inventDimId~inventDimId@T.InventDim","Sum|Qty|0","","","","","","","DateFinancial|ItemId|T2.InventSiteId|T2.InventLocationId",PeriodBeginning,$A182,$B182,$C182)</f>
        <v>0</v>
      </c>
      <c r="F182" s="10">
        <f>_xll.AtlasFormulas.AtlasFunctions.AtlasBalance("PROD",DataAreaId,"T.InventTrans|inventDimId~inventDimId@T.InventDim","Sum|Qty|0","","","","","","","DateFinancial|ItemId|T2.InventSiteId|T2.InventLocationId",PeriodEnding,$A182,$B182,$C182)</f>
        <v>0</v>
      </c>
      <c r="G182" s="10">
        <f>AtlasReport_3_Table_1[[#This Row],[Current On-hand]]-AtlasReport_3_Table_1[[#This Row],[Trans backwords (Beginning)]]</f>
        <v>0</v>
      </c>
      <c r="H182" s="10">
        <f>AtlasReport_3_Table_1[[#This Row],[Current On-hand]]-AtlasReport_3_Table_1[[#This Row],[Trans backwords (Ending)]]</f>
        <v>0</v>
      </c>
    </row>
    <row r="183" spans="1:8" x14ac:dyDescent="0.25">
      <c r="A183" s="8" t="s">
        <v>319</v>
      </c>
      <c r="B183" s="8" t="s">
        <v>261</v>
      </c>
      <c r="C183" s="8" t="s">
        <v>264</v>
      </c>
      <c r="D183" s="10">
        <v>660</v>
      </c>
      <c r="E183" s="10">
        <f>_xll.AtlasFormulas.AtlasFunctions.AtlasBalance("PROD",DataAreaId,"T.InventTrans|inventDimId~inventDimId@T.InventDim","Sum|Qty|0","","","","","","","DateFinancial|ItemId|T2.InventSiteId|T2.InventLocationId",PeriodBeginning,$A183,$B183,$C183)</f>
        <v>0</v>
      </c>
      <c r="F183" s="10">
        <f>_xll.AtlasFormulas.AtlasFunctions.AtlasBalance("PROD",DataAreaId,"T.InventTrans|inventDimId~inventDimId@T.InventDim","Sum|Qty|0","","","","","","","DateFinancial|ItemId|T2.InventSiteId|T2.InventLocationId",PeriodEnding,$A183,$B183,$C183)</f>
        <v>0</v>
      </c>
      <c r="G183" s="10">
        <f>AtlasReport_3_Table_1[[#This Row],[Current On-hand]]-AtlasReport_3_Table_1[[#This Row],[Trans backwords (Beginning)]]</f>
        <v>660</v>
      </c>
      <c r="H183" s="10">
        <f>AtlasReport_3_Table_1[[#This Row],[Current On-hand]]-AtlasReport_3_Table_1[[#This Row],[Trans backwords (Ending)]]</f>
        <v>660</v>
      </c>
    </row>
    <row r="184" spans="1:8" x14ac:dyDescent="0.25">
      <c r="A184" s="8" t="s">
        <v>320</v>
      </c>
      <c r="B184" s="8" t="s">
        <v>261</v>
      </c>
      <c r="C184" s="8" t="s">
        <v>264</v>
      </c>
      <c r="D184" s="10">
        <v>1</v>
      </c>
      <c r="E184" s="10">
        <f>_xll.AtlasFormulas.AtlasFunctions.AtlasBalance("PROD",DataAreaId,"T.InventTrans|inventDimId~inventDimId@T.InventDim","Sum|Qty|0","","","","","","","DateFinancial|ItemId|T2.InventSiteId|T2.InventLocationId",PeriodBeginning,$A184,$B184,$C184)</f>
        <v>-5</v>
      </c>
      <c r="F184" s="10">
        <f>_xll.AtlasFormulas.AtlasFunctions.AtlasBalance("PROD",DataAreaId,"T.InventTrans|inventDimId~inventDimId@T.InventDim","Sum|Qty|0","","","","","","","DateFinancial|ItemId|T2.InventSiteId|T2.InventLocationId",PeriodEnding,$A184,$B184,$C184)</f>
        <v>0</v>
      </c>
      <c r="G184" s="10">
        <f>AtlasReport_3_Table_1[[#This Row],[Current On-hand]]-AtlasReport_3_Table_1[[#This Row],[Trans backwords (Beginning)]]</f>
        <v>6</v>
      </c>
      <c r="H184" s="10">
        <f>AtlasReport_3_Table_1[[#This Row],[Current On-hand]]-AtlasReport_3_Table_1[[#This Row],[Trans backwords (Ending)]]</f>
        <v>1</v>
      </c>
    </row>
    <row r="185" spans="1:8" x14ac:dyDescent="0.25">
      <c r="A185" s="8" t="s">
        <v>321</v>
      </c>
      <c r="B185" s="8" t="s">
        <v>261</v>
      </c>
      <c r="C185" s="8" t="s">
        <v>264</v>
      </c>
      <c r="D185" s="10">
        <v>-48</v>
      </c>
      <c r="E185" s="10">
        <f>_xll.AtlasFormulas.AtlasFunctions.AtlasBalance("PROD",DataAreaId,"T.InventTrans|inventDimId~inventDimId@T.InventDim","Sum|Qty|0","","","","","","","DateFinancial|ItemId|T2.InventSiteId|T2.InventLocationId",PeriodBeginning,$A185,$B185,$C185)</f>
        <v>-1</v>
      </c>
      <c r="F185" s="10">
        <f>_xll.AtlasFormulas.AtlasFunctions.AtlasBalance("PROD",DataAreaId,"T.InventTrans|inventDimId~inventDimId@T.InventDim","Sum|Qty|0","","","","","","","DateFinancial|ItemId|T2.InventSiteId|T2.InventLocationId",PeriodEnding,$A185,$B185,$C185)</f>
        <v>0</v>
      </c>
      <c r="G185" s="10">
        <f>AtlasReport_3_Table_1[[#This Row],[Current On-hand]]-AtlasReport_3_Table_1[[#This Row],[Trans backwords (Beginning)]]</f>
        <v>-47</v>
      </c>
      <c r="H185" s="10">
        <f>AtlasReport_3_Table_1[[#This Row],[Current On-hand]]-AtlasReport_3_Table_1[[#This Row],[Trans backwords (Ending)]]</f>
        <v>-48</v>
      </c>
    </row>
    <row r="186" spans="1:8" x14ac:dyDescent="0.25">
      <c r="A186" s="8" t="s">
        <v>322</v>
      </c>
      <c r="B186" s="8" t="s">
        <v>261</v>
      </c>
      <c r="C186" s="8" t="s">
        <v>264</v>
      </c>
      <c r="D186" s="10">
        <v>-1</v>
      </c>
      <c r="E186" s="10">
        <f>_xll.AtlasFormulas.AtlasFunctions.AtlasBalance("PROD",DataAreaId,"T.InventTrans|inventDimId~inventDimId@T.InventDim","Sum|Qty|0","","","","","","","DateFinancial|ItemId|T2.InventSiteId|T2.InventLocationId",PeriodBeginning,$A186,$B186,$C186)</f>
        <v>0</v>
      </c>
      <c r="F186" s="10">
        <f>_xll.AtlasFormulas.AtlasFunctions.AtlasBalance("PROD",DataAreaId,"T.InventTrans|inventDimId~inventDimId@T.InventDim","Sum|Qty|0","","","","","","","DateFinancial|ItemId|T2.InventSiteId|T2.InventLocationId",PeriodEnding,$A186,$B186,$C186)</f>
        <v>0</v>
      </c>
      <c r="G186" s="10">
        <f>AtlasReport_3_Table_1[[#This Row],[Current On-hand]]-AtlasReport_3_Table_1[[#This Row],[Trans backwords (Beginning)]]</f>
        <v>-1</v>
      </c>
      <c r="H186" s="10">
        <f>AtlasReport_3_Table_1[[#This Row],[Current On-hand]]-AtlasReport_3_Table_1[[#This Row],[Trans backwords (Ending)]]</f>
        <v>-1</v>
      </c>
    </row>
    <row r="187" spans="1:8" x14ac:dyDescent="0.25">
      <c r="A187" s="8" t="s">
        <v>323</v>
      </c>
      <c r="B187" s="8" t="s">
        <v>261</v>
      </c>
      <c r="C187" s="8" t="s">
        <v>264</v>
      </c>
      <c r="D187" s="10">
        <v>0</v>
      </c>
      <c r="E187" s="10">
        <f>_xll.AtlasFormulas.AtlasFunctions.AtlasBalance("PROD",DataAreaId,"T.InventTrans|inventDimId~inventDimId@T.InventDim","Sum|Qty|0","","","","","","","DateFinancial|ItemId|T2.InventSiteId|T2.InventLocationId",PeriodBeginning,$A187,$B187,$C187)</f>
        <v>-36</v>
      </c>
      <c r="F187" s="10">
        <f>_xll.AtlasFormulas.AtlasFunctions.AtlasBalance("PROD",DataAreaId,"T.InventTrans|inventDimId~inventDimId@T.InventDim","Sum|Qty|0","","","","","","","DateFinancial|ItemId|T2.InventSiteId|T2.InventLocationId",PeriodEnding,$A187,$B187,$C187)</f>
        <v>0</v>
      </c>
      <c r="G187" s="10">
        <f>AtlasReport_3_Table_1[[#This Row],[Current On-hand]]-AtlasReport_3_Table_1[[#This Row],[Trans backwords (Beginning)]]</f>
        <v>36</v>
      </c>
      <c r="H187" s="10">
        <f>AtlasReport_3_Table_1[[#This Row],[Current On-hand]]-AtlasReport_3_Table_1[[#This Row],[Trans backwords (Ending)]]</f>
        <v>0</v>
      </c>
    </row>
    <row r="188" spans="1:8" x14ac:dyDescent="0.25">
      <c r="A188" s="8" t="s">
        <v>324</v>
      </c>
      <c r="B188" s="8" t="s">
        <v>261</v>
      </c>
      <c r="C188" s="8" t="s">
        <v>264</v>
      </c>
      <c r="D188" s="10">
        <v>0</v>
      </c>
      <c r="E188" s="10">
        <f>_xll.AtlasFormulas.AtlasFunctions.AtlasBalance("PROD",DataAreaId,"T.InventTrans|inventDimId~inventDimId@T.InventDim","Sum|Qty|0","","","","","","","DateFinancial|ItemId|T2.InventSiteId|T2.InventLocationId",PeriodBeginning,$A188,$B188,$C188)</f>
        <v>0</v>
      </c>
      <c r="F188" s="10">
        <f>_xll.AtlasFormulas.AtlasFunctions.AtlasBalance("PROD",DataAreaId,"T.InventTrans|inventDimId~inventDimId@T.InventDim","Sum|Qty|0","","","","","","","DateFinancial|ItemId|T2.InventSiteId|T2.InventLocationId",PeriodEnding,$A188,$B188,$C188)</f>
        <v>0</v>
      </c>
      <c r="G188" s="10">
        <f>AtlasReport_3_Table_1[[#This Row],[Current On-hand]]-AtlasReport_3_Table_1[[#This Row],[Trans backwords (Beginning)]]</f>
        <v>0</v>
      </c>
      <c r="H188" s="10">
        <f>AtlasReport_3_Table_1[[#This Row],[Current On-hand]]-AtlasReport_3_Table_1[[#This Row],[Trans backwords (Ending)]]</f>
        <v>0</v>
      </c>
    </row>
    <row r="189" spans="1:8" x14ac:dyDescent="0.25">
      <c r="A189" s="8" t="s">
        <v>325</v>
      </c>
      <c r="B189" s="8" t="s">
        <v>261</v>
      </c>
      <c r="C189" s="8" t="s">
        <v>81</v>
      </c>
      <c r="D189" s="10">
        <v>0</v>
      </c>
      <c r="E189" s="10">
        <f>_xll.AtlasFormulas.AtlasFunctions.AtlasBalance("PROD",DataAreaId,"T.InventTrans|inventDimId~inventDimId@T.InventDim","Sum|Qty|0","","","","","","","DateFinancial|ItemId|T2.InventSiteId|T2.InventLocationId",PeriodBeginning,$A189,$B189,$C189)</f>
        <v>0</v>
      </c>
      <c r="F189" s="10">
        <f>_xll.AtlasFormulas.AtlasFunctions.AtlasBalance("PROD",DataAreaId,"T.InventTrans|inventDimId~inventDimId@T.InventDim","Sum|Qty|0","","","","","","","DateFinancial|ItemId|T2.InventSiteId|T2.InventLocationId",PeriodEnding,$A189,$B189,$C189)</f>
        <v>0</v>
      </c>
      <c r="G189" s="10">
        <f>AtlasReport_3_Table_1[[#This Row],[Current On-hand]]-AtlasReport_3_Table_1[[#This Row],[Trans backwords (Beginning)]]</f>
        <v>0</v>
      </c>
      <c r="H189" s="10">
        <f>AtlasReport_3_Table_1[[#This Row],[Current On-hand]]-AtlasReport_3_Table_1[[#This Row],[Trans backwords (Ending)]]</f>
        <v>0</v>
      </c>
    </row>
    <row r="190" spans="1:8" x14ac:dyDescent="0.25">
      <c r="A190" s="8" t="s">
        <v>325</v>
      </c>
      <c r="B190" s="8" t="s">
        <v>261</v>
      </c>
      <c r="C190" s="8" t="s">
        <v>264</v>
      </c>
      <c r="D190" s="10">
        <v>0</v>
      </c>
      <c r="E190" s="10">
        <f>_xll.AtlasFormulas.AtlasFunctions.AtlasBalance("PROD",DataAreaId,"T.InventTrans|inventDimId~inventDimId@T.InventDim","Sum|Qty|0","","","","","","","DateFinancial|ItemId|T2.InventSiteId|T2.InventLocationId",PeriodBeginning,$A190,$B190,$C190)</f>
        <v>0</v>
      </c>
      <c r="F190" s="10">
        <f>_xll.AtlasFormulas.AtlasFunctions.AtlasBalance("PROD",DataAreaId,"T.InventTrans|inventDimId~inventDimId@T.InventDim","Sum|Qty|0","","","","","","","DateFinancial|ItemId|T2.InventSiteId|T2.InventLocationId",PeriodEnding,$A190,$B190,$C190)</f>
        <v>0</v>
      </c>
      <c r="G190" s="10">
        <f>AtlasReport_3_Table_1[[#This Row],[Current On-hand]]-AtlasReport_3_Table_1[[#This Row],[Trans backwords (Beginning)]]</f>
        <v>0</v>
      </c>
      <c r="H190" s="10">
        <f>AtlasReport_3_Table_1[[#This Row],[Current On-hand]]-AtlasReport_3_Table_1[[#This Row],[Trans backwords (Ending)]]</f>
        <v>0</v>
      </c>
    </row>
    <row r="191" spans="1:8" x14ac:dyDescent="0.25">
      <c r="A191" s="8" t="s">
        <v>326</v>
      </c>
      <c r="B191" s="8" t="s">
        <v>261</v>
      </c>
      <c r="C191" s="8" t="s">
        <v>264</v>
      </c>
      <c r="D191" s="10">
        <v>8</v>
      </c>
      <c r="E191" s="10">
        <f>_xll.AtlasFormulas.AtlasFunctions.AtlasBalance("PROD",DataAreaId,"T.InventTrans|inventDimId~inventDimId@T.InventDim","Sum|Qty|0","","","","","","","DateFinancial|ItemId|T2.InventSiteId|T2.InventLocationId",PeriodBeginning,$A191,$B191,$C191)</f>
        <v>-170</v>
      </c>
      <c r="F191" s="10">
        <f>_xll.AtlasFormulas.AtlasFunctions.AtlasBalance("PROD",DataAreaId,"T.InventTrans|inventDimId~inventDimId@T.InventDim","Sum|Qty|0","","","","","","","DateFinancial|ItemId|T2.InventSiteId|T2.InventLocationId",PeriodEnding,$A191,$B191,$C191)</f>
        <v>0</v>
      </c>
      <c r="G191" s="10">
        <f>AtlasReport_3_Table_1[[#This Row],[Current On-hand]]-AtlasReport_3_Table_1[[#This Row],[Trans backwords (Beginning)]]</f>
        <v>178</v>
      </c>
      <c r="H191" s="10">
        <f>AtlasReport_3_Table_1[[#This Row],[Current On-hand]]-AtlasReport_3_Table_1[[#This Row],[Trans backwords (Ending)]]</f>
        <v>8</v>
      </c>
    </row>
    <row r="192" spans="1:8" x14ac:dyDescent="0.25">
      <c r="A192" s="8" t="s">
        <v>327</v>
      </c>
      <c r="B192" s="8" t="s">
        <v>261</v>
      </c>
      <c r="C192" s="8" t="s">
        <v>264</v>
      </c>
      <c r="D192" s="10">
        <v>0</v>
      </c>
      <c r="E192" s="10">
        <f>_xll.AtlasFormulas.AtlasFunctions.AtlasBalance("PROD",DataAreaId,"T.InventTrans|inventDimId~inventDimId@T.InventDim","Sum|Qty|0","","","","","","","DateFinancial|ItemId|T2.InventSiteId|T2.InventLocationId",PeriodBeginning,$A192,$B192,$C192)</f>
        <v>0</v>
      </c>
      <c r="F192" s="10">
        <f>_xll.AtlasFormulas.AtlasFunctions.AtlasBalance("PROD",DataAreaId,"T.InventTrans|inventDimId~inventDimId@T.InventDim","Sum|Qty|0","","","","","","","DateFinancial|ItemId|T2.InventSiteId|T2.InventLocationId",PeriodEnding,$A192,$B192,$C192)</f>
        <v>0</v>
      </c>
      <c r="G192" s="10">
        <f>AtlasReport_3_Table_1[[#This Row],[Current On-hand]]-AtlasReport_3_Table_1[[#This Row],[Trans backwords (Beginning)]]</f>
        <v>0</v>
      </c>
      <c r="H192" s="10">
        <f>AtlasReport_3_Table_1[[#This Row],[Current On-hand]]-AtlasReport_3_Table_1[[#This Row],[Trans backwords (Ending)]]</f>
        <v>0</v>
      </c>
    </row>
    <row r="193" spans="1:8" x14ac:dyDescent="0.25">
      <c r="A193" s="8" t="s">
        <v>328</v>
      </c>
      <c r="B193" s="8" t="s">
        <v>261</v>
      </c>
      <c r="C193" s="8" t="s">
        <v>264</v>
      </c>
      <c r="D193" s="10">
        <v>0</v>
      </c>
      <c r="E193" s="10">
        <f>_xll.AtlasFormulas.AtlasFunctions.AtlasBalance("PROD",DataAreaId,"T.InventTrans|inventDimId~inventDimId@T.InventDim","Sum|Qty|0","","","","","","","DateFinancial|ItemId|T2.InventSiteId|T2.InventLocationId",PeriodBeginning,$A193,$B193,$C193)</f>
        <v>0</v>
      </c>
      <c r="F193" s="10">
        <f>_xll.AtlasFormulas.AtlasFunctions.AtlasBalance("PROD",DataAreaId,"T.InventTrans|inventDimId~inventDimId@T.InventDim","Sum|Qty|0","","","","","","","DateFinancial|ItemId|T2.InventSiteId|T2.InventLocationId",PeriodEnding,$A193,$B193,$C193)</f>
        <v>0</v>
      </c>
      <c r="G193" s="10">
        <f>AtlasReport_3_Table_1[[#This Row],[Current On-hand]]-AtlasReport_3_Table_1[[#This Row],[Trans backwords (Beginning)]]</f>
        <v>0</v>
      </c>
      <c r="H193" s="10">
        <f>AtlasReport_3_Table_1[[#This Row],[Current On-hand]]-AtlasReport_3_Table_1[[#This Row],[Trans backwords (Ending)]]</f>
        <v>0</v>
      </c>
    </row>
    <row r="194" spans="1:8" x14ac:dyDescent="0.25">
      <c r="A194" s="8" t="s">
        <v>329</v>
      </c>
      <c r="B194" s="8" t="s">
        <v>261</v>
      </c>
      <c r="C194" s="8" t="s">
        <v>264</v>
      </c>
      <c r="D194" s="10">
        <v>0</v>
      </c>
      <c r="E194" s="10">
        <f>_xll.AtlasFormulas.AtlasFunctions.AtlasBalance("PROD",DataAreaId,"T.InventTrans|inventDimId~inventDimId@T.InventDim","Sum|Qty|0","","","","","","","DateFinancial|ItemId|T2.InventSiteId|T2.InventLocationId",PeriodBeginning,$A194,$B194,$C194)</f>
        <v>0</v>
      </c>
      <c r="F194" s="10">
        <f>_xll.AtlasFormulas.AtlasFunctions.AtlasBalance("PROD",DataAreaId,"T.InventTrans|inventDimId~inventDimId@T.InventDim","Sum|Qty|0","","","","","","","DateFinancial|ItemId|T2.InventSiteId|T2.InventLocationId",PeriodEnding,$A194,$B194,$C194)</f>
        <v>0</v>
      </c>
      <c r="G194" s="10">
        <f>AtlasReport_3_Table_1[[#This Row],[Current On-hand]]-AtlasReport_3_Table_1[[#This Row],[Trans backwords (Beginning)]]</f>
        <v>0</v>
      </c>
      <c r="H194" s="10">
        <f>AtlasReport_3_Table_1[[#This Row],[Current On-hand]]-AtlasReport_3_Table_1[[#This Row],[Trans backwords (Ending)]]</f>
        <v>0</v>
      </c>
    </row>
    <row r="195" spans="1:8" x14ac:dyDescent="0.25">
      <c r="A195" s="8" t="s">
        <v>330</v>
      </c>
      <c r="B195" s="8" t="s">
        <v>261</v>
      </c>
      <c r="C195" s="8" t="s">
        <v>264</v>
      </c>
      <c r="D195" s="10">
        <v>0</v>
      </c>
      <c r="E195" s="10">
        <f>_xll.AtlasFormulas.AtlasFunctions.AtlasBalance("PROD",DataAreaId,"T.InventTrans|inventDimId~inventDimId@T.InventDim","Sum|Qty|0","","","","","","","DateFinancial|ItemId|T2.InventSiteId|T2.InventLocationId",PeriodBeginning,$A195,$B195,$C195)</f>
        <v>0</v>
      </c>
      <c r="F195" s="10">
        <f>_xll.AtlasFormulas.AtlasFunctions.AtlasBalance("PROD",DataAreaId,"T.InventTrans|inventDimId~inventDimId@T.InventDim","Sum|Qty|0","","","","","","","DateFinancial|ItemId|T2.InventSiteId|T2.InventLocationId",PeriodEnding,$A195,$B195,$C195)</f>
        <v>0</v>
      </c>
      <c r="G195" s="10">
        <f>AtlasReport_3_Table_1[[#This Row],[Current On-hand]]-AtlasReport_3_Table_1[[#This Row],[Trans backwords (Beginning)]]</f>
        <v>0</v>
      </c>
      <c r="H195" s="10">
        <f>AtlasReport_3_Table_1[[#This Row],[Current On-hand]]-AtlasReport_3_Table_1[[#This Row],[Trans backwords (Ending)]]</f>
        <v>0</v>
      </c>
    </row>
    <row r="196" spans="1:8" x14ac:dyDescent="0.25">
      <c r="A196" s="8" t="s">
        <v>331</v>
      </c>
      <c r="B196" s="8" t="s">
        <v>261</v>
      </c>
      <c r="C196" s="8" t="s">
        <v>264</v>
      </c>
      <c r="D196" s="10">
        <v>0</v>
      </c>
      <c r="E196" s="10">
        <f>_xll.AtlasFormulas.AtlasFunctions.AtlasBalance("PROD",DataAreaId,"T.InventTrans|inventDimId~inventDimId@T.InventDim","Sum|Qty|0","","","","","","","DateFinancial|ItemId|T2.InventSiteId|T2.InventLocationId",PeriodBeginning,$A196,$B196,$C196)</f>
        <v>0</v>
      </c>
      <c r="F196" s="10">
        <f>_xll.AtlasFormulas.AtlasFunctions.AtlasBalance("PROD",DataAreaId,"T.InventTrans|inventDimId~inventDimId@T.InventDim","Sum|Qty|0","","","","","","","DateFinancial|ItemId|T2.InventSiteId|T2.InventLocationId",PeriodEnding,$A196,$B196,$C196)</f>
        <v>0</v>
      </c>
      <c r="G196" s="10">
        <f>AtlasReport_3_Table_1[[#This Row],[Current On-hand]]-AtlasReport_3_Table_1[[#This Row],[Trans backwords (Beginning)]]</f>
        <v>0</v>
      </c>
      <c r="H196" s="10">
        <f>AtlasReport_3_Table_1[[#This Row],[Current On-hand]]-AtlasReport_3_Table_1[[#This Row],[Trans backwords (Ending)]]</f>
        <v>0</v>
      </c>
    </row>
    <row r="197" spans="1:8" x14ac:dyDescent="0.25">
      <c r="A197" s="8" t="s">
        <v>332</v>
      </c>
      <c r="B197" s="8" t="s">
        <v>261</v>
      </c>
      <c r="C197" s="8" t="s">
        <v>264</v>
      </c>
      <c r="D197" s="10">
        <v>0</v>
      </c>
      <c r="E197" s="10">
        <f>_xll.AtlasFormulas.AtlasFunctions.AtlasBalance("PROD",DataAreaId,"T.InventTrans|inventDimId~inventDimId@T.InventDim","Sum|Qty|0","","","","","","","DateFinancial|ItemId|T2.InventSiteId|T2.InventLocationId",PeriodBeginning,$A197,$B197,$C197)</f>
        <v>-6</v>
      </c>
      <c r="F197" s="10">
        <f>_xll.AtlasFormulas.AtlasFunctions.AtlasBalance("PROD",DataAreaId,"T.InventTrans|inventDimId~inventDimId@T.InventDim","Sum|Qty|0","","","","","","","DateFinancial|ItemId|T2.InventSiteId|T2.InventLocationId",PeriodEnding,$A197,$B197,$C197)</f>
        <v>0</v>
      </c>
      <c r="G197" s="10">
        <f>AtlasReport_3_Table_1[[#This Row],[Current On-hand]]-AtlasReport_3_Table_1[[#This Row],[Trans backwords (Beginning)]]</f>
        <v>6</v>
      </c>
      <c r="H197" s="10">
        <f>AtlasReport_3_Table_1[[#This Row],[Current On-hand]]-AtlasReport_3_Table_1[[#This Row],[Trans backwords (Ending)]]</f>
        <v>0</v>
      </c>
    </row>
    <row r="198" spans="1:8" x14ac:dyDescent="0.25">
      <c r="A198" s="8" t="s">
        <v>333</v>
      </c>
      <c r="B198" s="8" t="s">
        <v>261</v>
      </c>
      <c r="C198" s="8" t="s">
        <v>264</v>
      </c>
      <c r="D198" s="10">
        <v>0</v>
      </c>
      <c r="E198" s="10">
        <f>_xll.AtlasFormulas.AtlasFunctions.AtlasBalance("PROD",DataAreaId,"T.InventTrans|inventDimId~inventDimId@T.InventDim","Sum|Qty|0","","","","","","","DateFinancial|ItemId|T2.InventSiteId|T2.InventLocationId",PeriodBeginning,$A198,$B198,$C198)</f>
        <v>-1</v>
      </c>
      <c r="F198" s="10">
        <f>_xll.AtlasFormulas.AtlasFunctions.AtlasBalance("PROD",DataAreaId,"T.InventTrans|inventDimId~inventDimId@T.InventDim","Sum|Qty|0","","","","","","","DateFinancial|ItemId|T2.InventSiteId|T2.InventLocationId",PeriodEnding,$A198,$B198,$C198)</f>
        <v>0</v>
      </c>
      <c r="G198" s="10">
        <f>AtlasReport_3_Table_1[[#This Row],[Current On-hand]]-AtlasReport_3_Table_1[[#This Row],[Trans backwords (Beginning)]]</f>
        <v>1</v>
      </c>
      <c r="H198" s="10">
        <f>AtlasReport_3_Table_1[[#This Row],[Current On-hand]]-AtlasReport_3_Table_1[[#This Row],[Trans backwords (Ending)]]</f>
        <v>0</v>
      </c>
    </row>
    <row r="199" spans="1:8" x14ac:dyDescent="0.25">
      <c r="A199" s="8" t="s">
        <v>334</v>
      </c>
      <c r="B199" s="8" t="s">
        <v>261</v>
      </c>
      <c r="C199" s="8" t="s">
        <v>264</v>
      </c>
      <c r="D199" s="10">
        <v>0</v>
      </c>
      <c r="E199" s="10">
        <f>_xll.AtlasFormulas.AtlasFunctions.AtlasBalance("PROD",DataAreaId,"T.InventTrans|inventDimId~inventDimId@T.InventDim","Sum|Qty|0","","","","","","","DateFinancial|ItemId|T2.InventSiteId|T2.InventLocationId",PeriodBeginning,$A199,$B199,$C199)</f>
        <v>0</v>
      </c>
      <c r="F199" s="10">
        <f>_xll.AtlasFormulas.AtlasFunctions.AtlasBalance("PROD",DataAreaId,"T.InventTrans|inventDimId~inventDimId@T.InventDim","Sum|Qty|0","","","","","","","DateFinancial|ItemId|T2.InventSiteId|T2.InventLocationId",PeriodEnding,$A199,$B199,$C199)</f>
        <v>0</v>
      </c>
      <c r="G199" s="10">
        <f>AtlasReport_3_Table_1[[#This Row],[Current On-hand]]-AtlasReport_3_Table_1[[#This Row],[Trans backwords (Beginning)]]</f>
        <v>0</v>
      </c>
      <c r="H199" s="10">
        <f>AtlasReport_3_Table_1[[#This Row],[Current On-hand]]-AtlasReport_3_Table_1[[#This Row],[Trans backwords (Ending)]]</f>
        <v>0</v>
      </c>
    </row>
    <row r="200" spans="1:8" x14ac:dyDescent="0.25">
      <c r="A200" s="8" t="s">
        <v>335</v>
      </c>
      <c r="B200" s="8" t="s">
        <v>261</v>
      </c>
      <c r="C200" s="8" t="s">
        <v>264</v>
      </c>
      <c r="D200" s="10">
        <v>0</v>
      </c>
      <c r="E200" s="10">
        <f>_xll.AtlasFormulas.AtlasFunctions.AtlasBalance("PROD",DataAreaId,"T.InventTrans|inventDimId~inventDimId@T.InventDim","Sum|Qty|0","","","","","","","DateFinancial|ItemId|T2.InventSiteId|T2.InventLocationId",PeriodBeginning,$A200,$B200,$C200)</f>
        <v>0</v>
      </c>
      <c r="F200" s="10">
        <f>_xll.AtlasFormulas.AtlasFunctions.AtlasBalance("PROD",DataAreaId,"T.InventTrans|inventDimId~inventDimId@T.InventDim","Sum|Qty|0","","","","","","","DateFinancial|ItemId|T2.InventSiteId|T2.InventLocationId",PeriodEnding,$A200,$B200,$C200)</f>
        <v>0</v>
      </c>
      <c r="G200" s="10">
        <f>AtlasReport_3_Table_1[[#This Row],[Current On-hand]]-AtlasReport_3_Table_1[[#This Row],[Trans backwords (Beginning)]]</f>
        <v>0</v>
      </c>
      <c r="H200" s="10">
        <f>AtlasReport_3_Table_1[[#This Row],[Current On-hand]]-AtlasReport_3_Table_1[[#This Row],[Trans backwords (Ending)]]</f>
        <v>0</v>
      </c>
    </row>
    <row r="201" spans="1:8" x14ac:dyDescent="0.25">
      <c r="A201" s="8" t="s">
        <v>336</v>
      </c>
      <c r="B201" s="8" t="s">
        <v>261</v>
      </c>
      <c r="C201" s="8" t="s">
        <v>264</v>
      </c>
      <c r="D201" s="10">
        <v>12</v>
      </c>
      <c r="E201" s="10">
        <f>_xll.AtlasFormulas.AtlasFunctions.AtlasBalance("PROD",DataAreaId,"T.InventTrans|inventDimId~inventDimId@T.InventDim","Sum|Qty|0","","","","","","","DateFinancial|ItemId|T2.InventSiteId|T2.InventLocationId",PeriodBeginning,$A201,$B201,$C201)</f>
        <v>0</v>
      </c>
      <c r="F201" s="10">
        <f>_xll.AtlasFormulas.AtlasFunctions.AtlasBalance("PROD",DataAreaId,"T.InventTrans|inventDimId~inventDimId@T.InventDim","Sum|Qty|0","","","","","","","DateFinancial|ItemId|T2.InventSiteId|T2.InventLocationId",PeriodEnding,$A201,$B201,$C201)</f>
        <v>0</v>
      </c>
      <c r="G201" s="10">
        <f>AtlasReport_3_Table_1[[#This Row],[Current On-hand]]-AtlasReport_3_Table_1[[#This Row],[Trans backwords (Beginning)]]</f>
        <v>12</v>
      </c>
      <c r="H201" s="10">
        <f>AtlasReport_3_Table_1[[#This Row],[Current On-hand]]-AtlasReport_3_Table_1[[#This Row],[Trans backwords (Ending)]]</f>
        <v>12</v>
      </c>
    </row>
    <row r="202" spans="1:8" x14ac:dyDescent="0.25">
      <c r="A202" s="8" t="s">
        <v>337</v>
      </c>
      <c r="B202" s="8" t="s">
        <v>261</v>
      </c>
      <c r="C202" s="8" t="s">
        <v>264</v>
      </c>
      <c r="D202" s="10">
        <v>0</v>
      </c>
      <c r="E202" s="10">
        <f>_xll.AtlasFormulas.AtlasFunctions.AtlasBalance("PROD",DataAreaId,"T.InventTrans|inventDimId~inventDimId@T.InventDim","Sum|Qty|0","","","","","","","DateFinancial|ItemId|T2.InventSiteId|T2.InventLocationId",PeriodBeginning,$A202,$B202,$C202)</f>
        <v>0</v>
      </c>
      <c r="F202" s="10">
        <f>_xll.AtlasFormulas.AtlasFunctions.AtlasBalance("PROD",DataAreaId,"T.InventTrans|inventDimId~inventDimId@T.InventDim","Sum|Qty|0","","","","","","","DateFinancial|ItemId|T2.InventSiteId|T2.InventLocationId",PeriodEnding,$A202,$B202,$C202)</f>
        <v>0</v>
      </c>
      <c r="G202" s="10">
        <f>AtlasReport_3_Table_1[[#This Row],[Current On-hand]]-AtlasReport_3_Table_1[[#This Row],[Trans backwords (Beginning)]]</f>
        <v>0</v>
      </c>
      <c r="H202" s="10">
        <f>AtlasReport_3_Table_1[[#This Row],[Current On-hand]]-AtlasReport_3_Table_1[[#This Row],[Trans backwords (Ending)]]</f>
        <v>0</v>
      </c>
    </row>
    <row r="203" spans="1:8" x14ac:dyDescent="0.25">
      <c r="A203" s="8" t="s">
        <v>338</v>
      </c>
      <c r="B203" s="8" t="s">
        <v>261</v>
      </c>
      <c r="C203" s="8" t="s">
        <v>264</v>
      </c>
      <c r="D203" s="10">
        <v>0</v>
      </c>
      <c r="E203" s="10">
        <f>_xll.AtlasFormulas.AtlasFunctions.AtlasBalance("PROD",DataAreaId,"T.InventTrans|inventDimId~inventDimId@T.InventDim","Sum|Qty|0","","","","","","","DateFinancial|ItemId|T2.InventSiteId|T2.InventLocationId",PeriodBeginning,$A203,$B203,$C203)</f>
        <v>0</v>
      </c>
      <c r="F203" s="10">
        <f>_xll.AtlasFormulas.AtlasFunctions.AtlasBalance("PROD",DataAreaId,"T.InventTrans|inventDimId~inventDimId@T.InventDim","Sum|Qty|0","","","","","","","DateFinancial|ItemId|T2.InventSiteId|T2.InventLocationId",PeriodEnding,$A203,$B203,$C203)</f>
        <v>0</v>
      </c>
      <c r="G203" s="10">
        <f>AtlasReport_3_Table_1[[#This Row],[Current On-hand]]-AtlasReport_3_Table_1[[#This Row],[Trans backwords (Beginning)]]</f>
        <v>0</v>
      </c>
      <c r="H203" s="10">
        <f>AtlasReport_3_Table_1[[#This Row],[Current On-hand]]-AtlasReport_3_Table_1[[#This Row],[Trans backwords (Ending)]]</f>
        <v>0</v>
      </c>
    </row>
    <row r="204" spans="1:8" x14ac:dyDescent="0.25">
      <c r="A204" s="8" t="s">
        <v>339</v>
      </c>
      <c r="B204" s="8" t="s">
        <v>261</v>
      </c>
      <c r="C204" s="8" t="s">
        <v>81</v>
      </c>
      <c r="D204" s="10">
        <v>0</v>
      </c>
      <c r="E204" s="10">
        <f>_xll.AtlasFormulas.AtlasFunctions.AtlasBalance("PROD",DataAreaId,"T.InventTrans|inventDimId~inventDimId@T.InventDim","Sum|Qty|0","","","","","","","DateFinancial|ItemId|T2.InventSiteId|T2.InventLocationId",PeriodBeginning,$A204,$B204,$C204)</f>
        <v>0</v>
      </c>
      <c r="F204" s="10">
        <f>_xll.AtlasFormulas.AtlasFunctions.AtlasBalance("PROD",DataAreaId,"T.InventTrans|inventDimId~inventDimId@T.InventDim","Sum|Qty|0","","","","","","","DateFinancial|ItemId|T2.InventSiteId|T2.InventLocationId",PeriodEnding,$A204,$B204,$C204)</f>
        <v>0</v>
      </c>
      <c r="G204" s="10">
        <f>AtlasReport_3_Table_1[[#This Row],[Current On-hand]]-AtlasReport_3_Table_1[[#This Row],[Trans backwords (Beginning)]]</f>
        <v>0</v>
      </c>
      <c r="H204" s="10">
        <f>AtlasReport_3_Table_1[[#This Row],[Current On-hand]]-AtlasReport_3_Table_1[[#This Row],[Trans backwords (Ending)]]</f>
        <v>0</v>
      </c>
    </row>
    <row r="205" spans="1:8" x14ac:dyDescent="0.25">
      <c r="A205" s="8" t="s">
        <v>339</v>
      </c>
      <c r="B205" s="8" t="s">
        <v>261</v>
      </c>
      <c r="C205" s="8" t="s">
        <v>262</v>
      </c>
      <c r="D205" s="10">
        <v>0</v>
      </c>
      <c r="E205" s="10">
        <f>_xll.AtlasFormulas.AtlasFunctions.AtlasBalance("PROD",DataAreaId,"T.InventTrans|inventDimId~inventDimId@T.InventDim","Sum|Qty|0","","","","","","","DateFinancial|ItemId|T2.InventSiteId|T2.InventLocationId",PeriodBeginning,$A205,$B205,$C205)</f>
        <v>0</v>
      </c>
      <c r="F205" s="10">
        <f>_xll.AtlasFormulas.AtlasFunctions.AtlasBalance("PROD",DataAreaId,"T.InventTrans|inventDimId~inventDimId@T.InventDim","Sum|Qty|0","","","","","","","DateFinancial|ItemId|T2.InventSiteId|T2.InventLocationId",PeriodEnding,$A205,$B205,$C205)</f>
        <v>0</v>
      </c>
      <c r="G205" s="10">
        <f>AtlasReport_3_Table_1[[#This Row],[Current On-hand]]-AtlasReport_3_Table_1[[#This Row],[Trans backwords (Beginning)]]</f>
        <v>0</v>
      </c>
      <c r="H205" s="10">
        <f>AtlasReport_3_Table_1[[#This Row],[Current On-hand]]-AtlasReport_3_Table_1[[#This Row],[Trans backwords (Ending)]]</f>
        <v>0</v>
      </c>
    </row>
    <row r="206" spans="1:8" x14ac:dyDescent="0.25">
      <c r="A206" s="8" t="s">
        <v>339</v>
      </c>
      <c r="B206" s="8" t="s">
        <v>261</v>
      </c>
      <c r="C206" s="8" t="s">
        <v>264</v>
      </c>
      <c r="D206" s="10">
        <v>0</v>
      </c>
      <c r="E206" s="10">
        <f>_xll.AtlasFormulas.AtlasFunctions.AtlasBalance("PROD",DataAreaId,"T.InventTrans|inventDimId~inventDimId@T.InventDim","Sum|Qty|0","","","","","","","DateFinancial|ItemId|T2.InventSiteId|T2.InventLocationId",PeriodBeginning,$A206,$B206,$C206)</f>
        <v>-1</v>
      </c>
      <c r="F206" s="10">
        <f>_xll.AtlasFormulas.AtlasFunctions.AtlasBalance("PROD",DataAreaId,"T.InventTrans|inventDimId~inventDimId@T.InventDim","Sum|Qty|0","","","","","","","DateFinancial|ItemId|T2.InventSiteId|T2.InventLocationId",PeriodEnding,$A206,$B206,$C206)</f>
        <v>0</v>
      </c>
      <c r="G206" s="10">
        <f>AtlasReport_3_Table_1[[#This Row],[Current On-hand]]-AtlasReport_3_Table_1[[#This Row],[Trans backwords (Beginning)]]</f>
        <v>1</v>
      </c>
      <c r="H206" s="10">
        <f>AtlasReport_3_Table_1[[#This Row],[Current On-hand]]-AtlasReport_3_Table_1[[#This Row],[Trans backwords (Ending)]]</f>
        <v>0</v>
      </c>
    </row>
    <row r="207" spans="1:8" x14ac:dyDescent="0.25">
      <c r="A207" s="8" t="s">
        <v>340</v>
      </c>
      <c r="B207" s="8" t="s">
        <v>261</v>
      </c>
      <c r="C207" s="8" t="s">
        <v>264</v>
      </c>
      <c r="D207" s="10">
        <v>0</v>
      </c>
      <c r="E207" s="10">
        <f>_xll.AtlasFormulas.AtlasFunctions.AtlasBalance("PROD",DataAreaId,"T.InventTrans|inventDimId~inventDimId@T.InventDim","Sum|Qty|0","","","","","","","DateFinancial|ItemId|T2.InventSiteId|T2.InventLocationId",PeriodBeginning,$A207,$B207,$C207)</f>
        <v>0</v>
      </c>
      <c r="F207" s="10">
        <f>_xll.AtlasFormulas.AtlasFunctions.AtlasBalance("PROD",DataAreaId,"T.InventTrans|inventDimId~inventDimId@T.InventDim","Sum|Qty|0","","","","","","","DateFinancial|ItemId|T2.InventSiteId|T2.InventLocationId",PeriodEnding,$A207,$B207,$C207)</f>
        <v>0</v>
      </c>
      <c r="G207" s="10">
        <f>AtlasReport_3_Table_1[[#This Row],[Current On-hand]]-AtlasReport_3_Table_1[[#This Row],[Trans backwords (Beginning)]]</f>
        <v>0</v>
      </c>
      <c r="H207" s="10">
        <f>AtlasReport_3_Table_1[[#This Row],[Current On-hand]]-AtlasReport_3_Table_1[[#This Row],[Trans backwords (Ending)]]</f>
        <v>0</v>
      </c>
    </row>
    <row r="208" spans="1:8" x14ac:dyDescent="0.25">
      <c r="A208" s="8" t="s">
        <v>341</v>
      </c>
      <c r="B208" s="8" t="s">
        <v>261</v>
      </c>
      <c r="C208" s="8" t="s">
        <v>264</v>
      </c>
      <c r="D208" s="10">
        <v>0</v>
      </c>
      <c r="E208" s="10">
        <f>_xll.AtlasFormulas.AtlasFunctions.AtlasBalance("PROD",DataAreaId,"T.InventTrans|inventDimId~inventDimId@T.InventDim","Sum|Qty|0","","","","","","","DateFinancial|ItemId|T2.InventSiteId|T2.InventLocationId",PeriodBeginning,$A208,$B208,$C208)</f>
        <v>-6</v>
      </c>
      <c r="F208" s="10">
        <f>_xll.AtlasFormulas.AtlasFunctions.AtlasBalance("PROD",DataAreaId,"T.InventTrans|inventDimId~inventDimId@T.InventDim","Sum|Qty|0","","","","","","","DateFinancial|ItemId|T2.InventSiteId|T2.InventLocationId",PeriodEnding,$A208,$B208,$C208)</f>
        <v>0</v>
      </c>
      <c r="G208" s="10">
        <f>AtlasReport_3_Table_1[[#This Row],[Current On-hand]]-AtlasReport_3_Table_1[[#This Row],[Trans backwords (Beginning)]]</f>
        <v>6</v>
      </c>
      <c r="H208" s="10">
        <f>AtlasReport_3_Table_1[[#This Row],[Current On-hand]]-AtlasReport_3_Table_1[[#This Row],[Trans backwords (Ending)]]</f>
        <v>0</v>
      </c>
    </row>
    <row r="209" spans="1:8" x14ac:dyDescent="0.25">
      <c r="A209" s="8" t="s">
        <v>342</v>
      </c>
      <c r="B209" s="8" t="s">
        <v>261</v>
      </c>
      <c r="C209" s="8" t="s">
        <v>264</v>
      </c>
      <c r="D209" s="10">
        <v>0</v>
      </c>
      <c r="E209" s="10">
        <f>_xll.AtlasFormulas.AtlasFunctions.AtlasBalance("PROD",DataAreaId,"T.InventTrans|inventDimId~inventDimId@T.InventDim","Sum|Qty|0","","","","","","","DateFinancial|ItemId|T2.InventSiteId|T2.InventLocationId",PeriodBeginning,$A209,$B209,$C209)</f>
        <v>-6</v>
      </c>
      <c r="F209" s="10">
        <f>_xll.AtlasFormulas.AtlasFunctions.AtlasBalance("PROD",DataAreaId,"T.InventTrans|inventDimId~inventDimId@T.InventDim","Sum|Qty|0","","","","","","","DateFinancial|ItemId|T2.InventSiteId|T2.InventLocationId",PeriodEnding,$A209,$B209,$C209)</f>
        <v>0</v>
      </c>
      <c r="G209" s="10">
        <f>AtlasReport_3_Table_1[[#This Row],[Current On-hand]]-AtlasReport_3_Table_1[[#This Row],[Trans backwords (Beginning)]]</f>
        <v>6</v>
      </c>
      <c r="H209" s="10">
        <f>AtlasReport_3_Table_1[[#This Row],[Current On-hand]]-AtlasReport_3_Table_1[[#This Row],[Trans backwords (Ending)]]</f>
        <v>0</v>
      </c>
    </row>
    <row r="210" spans="1:8" x14ac:dyDescent="0.25">
      <c r="A210" s="8" t="s">
        <v>343</v>
      </c>
      <c r="B210" s="8" t="s">
        <v>261</v>
      </c>
      <c r="C210" s="8" t="s">
        <v>264</v>
      </c>
      <c r="D210" s="10">
        <v>0</v>
      </c>
      <c r="E210" s="10">
        <f>_xll.AtlasFormulas.AtlasFunctions.AtlasBalance("PROD",DataAreaId,"T.InventTrans|inventDimId~inventDimId@T.InventDim","Sum|Qty|0","","","","","","","DateFinancial|ItemId|T2.InventSiteId|T2.InventLocationId",PeriodBeginning,$A210,$B210,$C210)</f>
        <v>0</v>
      </c>
      <c r="F210" s="10">
        <f>_xll.AtlasFormulas.AtlasFunctions.AtlasBalance("PROD",DataAreaId,"T.InventTrans|inventDimId~inventDimId@T.InventDim","Sum|Qty|0","","","","","","","DateFinancial|ItemId|T2.InventSiteId|T2.InventLocationId",PeriodEnding,$A210,$B210,$C210)</f>
        <v>0</v>
      </c>
      <c r="G210" s="10">
        <f>AtlasReport_3_Table_1[[#This Row],[Current On-hand]]-AtlasReport_3_Table_1[[#This Row],[Trans backwords (Beginning)]]</f>
        <v>0</v>
      </c>
      <c r="H210" s="10">
        <f>AtlasReport_3_Table_1[[#This Row],[Current On-hand]]-AtlasReport_3_Table_1[[#This Row],[Trans backwords (Ending)]]</f>
        <v>0</v>
      </c>
    </row>
    <row r="211" spans="1:8" x14ac:dyDescent="0.25">
      <c r="A211" s="8" t="s">
        <v>344</v>
      </c>
      <c r="B211" s="8" t="s">
        <v>261</v>
      </c>
      <c r="C211" s="8" t="s">
        <v>264</v>
      </c>
      <c r="D211" s="10">
        <v>0</v>
      </c>
      <c r="E211" s="10">
        <f>_xll.AtlasFormulas.AtlasFunctions.AtlasBalance("PROD",DataAreaId,"T.InventTrans|inventDimId~inventDimId@T.InventDim","Sum|Qty|0","","","","","","","DateFinancial|ItemId|T2.InventSiteId|T2.InventLocationId",PeriodBeginning,$A211,$B211,$C211)</f>
        <v>0</v>
      </c>
      <c r="F211" s="10">
        <f>_xll.AtlasFormulas.AtlasFunctions.AtlasBalance("PROD",DataAreaId,"T.InventTrans|inventDimId~inventDimId@T.InventDim","Sum|Qty|0","","","","","","","DateFinancial|ItemId|T2.InventSiteId|T2.InventLocationId",PeriodEnding,$A211,$B211,$C211)</f>
        <v>0</v>
      </c>
      <c r="G211" s="10">
        <f>AtlasReport_3_Table_1[[#This Row],[Current On-hand]]-AtlasReport_3_Table_1[[#This Row],[Trans backwords (Beginning)]]</f>
        <v>0</v>
      </c>
      <c r="H211" s="10">
        <f>AtlasReport_3_Table_1[[#This Row],[Current On-hand]]-AtlasReport_3_Table_1[[#This Row],[Trans backwords (Ending)]]</f>
        <v>0</v>
      </c>
    </row>
    <row r="212" spans="1:8" x14ac:dyDescent="0.25">
      <c r="A212" s="8" t="s">
        <v>345</v>
      </c>
      <c r="B212" s="8" t="s">
        <v>261</v>
      </c>
      <c r="C212" s="8" t="s">
        <v>264</v>
      </c>
      <c r="D212" s="10">
        <v>0</v>
      </c>
      <c r="E212" s="10">
        <f>_xll.AtlasFormulas.AtlasFunctions.AtlasBalance("PROD",DataAreaId,"T.InventTrans|inventDimId~inventDimId@T.InventDim","Sum|Qty|0","","","","","","","DateFinancial|ItemId|T2.InventSiteId|T2.InventLocationId",PeriodBeginning,$A212,$B212,$C212)</f>
        <v>-6</v>
      </c>
      <c r="F212" s="10">
        <f>_xll.AtlasFormulas.AtlasFunctions.AtlasBalance("PROD",DataAreaId,"T.InventTrans|inventDimId~inventDimId@T.InventDim","Sum|Qty|0","","","","","","","DateFinancial|ItemId|T2.InventSiteId|T2.InventLocationId",PeriodEnding,$A212,$B212,$C212)</f>
        <v>0</v>
      </c>
      <c r="G212" s="10">
        <f>AtlasReport_3_Table_1[[#This Row],[Current On-hand]]-AtlasReport_3_Table_1[[#This Row],[Trans backwords (Beginning)]]</f>
        <v>6</v>
      </c>
      <c r="H212" s="10">
        <f>AtlasReport_3_Table_1[[#This Row],[Current On-hand]]-AtlasReport_3_Table_1[[#This Row],[Trans backwords (Ending)]]</f>
        <v>0</v>
      </c>
    </row>
    <row r="213" spans="1:8" x14ac:dyDescent="0.25">
      <c r="A213" s="8" t="s">
        <v>346</v>
      </c>
      <c r="B213" s="8" t="s">
        <v>261</v>
      </c>
      <c r="C213" s="8" t="s">
        <v>264</v>
      </c>
      <c r="D213" s="10">
        <v>36</v>
      </c>
      <c r="E213" s="10">
        <f>_xll.AtlasFormulas.AtlasFunctions.AtlasBalance("PROD",DataAreaId,"T.InventTrans|inventDimId~inventDimId@T.InventDim","Sum|Qty|0","","","","","","","DateFinancial|ItemId|T2.InventSiteId|T2.InventLocationId",PeriodBeginning,$A213,$B213,$C213)</f>
        <v>0</v>
      </c>
      <c r="F213" s="10">
        <f>_xll.AtlasFormulas.AtlasFunctions.AtlasBalance("PROD",DataAreaId,"T.InventTrans|inventDimId~inventDimId@T.InventDim","Sum|Qty|0","","","","","","","DateFinancial|ItemId|T2.InventSiteId|T2.InventLocationId",PeriodEnding,$A213,$B213,$C213)</f>
        <v>0</v>
      </c>
      <c r="G213" s="10">
        <f>AtlasReport_3_Table_1[[#This Row],[Current On-hand]]-AtlasReport_3_Table_1[[#This Row],[Trans backwords (Beginning)]]</f>
        <v>36</v>
      </c>
      <c r="H213" s="10">
        <f>AtlasReport_3_Table_1[[#This Row],[Current On-hand]]-AtlasReport_3_Table_1[[#This Row],[Trans backwords (Ending)]]</f>
        <v>36</v>
      </c>
    </row>
    <row r="214" spans="1:8" x14ac:dyDescent="0.25">
      <c r="A214" s="8" t="s">
        <v>347</v>
      </c>
      <c r="B214" s="8" t="s">
        <v>261</v>
      </c>
      <c r="C214" s="8" t="s">
        <v>264</v>
      </c>
      <c r="D214" s="10">
        <v>4327</v>
      </c>
      <c r="E214" s="10">
        <f>_xll.AtlasFormulas.AtlasFunctions.AtlasBalance("PROD",DataAreaId,"T.InventTrans|inventDimId~inventDimId@T.InventDim","Sum|Qty|0","","","","","","","DateFinancial|ItemId|T2.InventSiteId|T2.InventLocationId",PeriodBeginning,$A214,$B214,$C214)</f>
        <v>-41</v>
      </c>
      <c r="F214" s="10">
        <f>_xll.AtlasFormulas.AtlasFunctions.AtlasBalance("PROD",DataAreaId,"T.InventTrans|inventDimId~inventDimId@T.InventDim","Sum|Qty|0","","","","","","","DateFinancial|ItemId|T2.InventSiteId|T2.InventLocationId",PeriodEnding,$A214,$B214,$C214)</f>
        <v>0</v>
      </c>
      <c r="G214" s="10">
        <f>AtlasReport_3_Table_1[[#This Row],[Current On-hand]]-AtlasReport_3_Table_1[[#This Row],[Trans backwords (Beginning)]]</f>
        <v>4368</v>
      </c>
      <c r="H214" s="10">
        <f>AtlasReport_3_Table_1[[#This Row],[Current On-hand]]-AtlasReport_3_Table_1[[#This Row],[Trans backwords (Ending)]]</f>
        <v>4327</v>
      </c>
    </row>
    <row r="215" spans="1:8" x14ac:dyDescent="0.25">
      <c r="A215" s="8" t="s">
        <v>348</v>
      </c>
      <c r="B215" s="8" t="s">
        <v>261</v>
      </c>
      <c r="C215" s="8" t="s">
        <v>81</v>
      </c>
      <c r="D215" s="10">
        <v>0</v>
      </c>
      <c r="E215" s="10">
        <f>_xll.AtlasFormulas.AtlasFunctions.AtlasBalance("PROD",DataAreaId,"T.InventTrans|inventDimId~inventDimId@T.InventDim","Sum|Qty|0","","","","","","","DateFinancial|ItemId|T2.InventSiteId|T2.InventLocationId",PeriodBeginning,$A215,$B215,$C215)</f>
        <v>0</v>
      </c>
      <c r="F215" s="10">
        <f>_xll.AtlasFormulas.AtlasFunctions.AtlasBalance("PROD",DataAreaId,"T.InventTrans|inventDimId~inventDimId@T.InventDim","Sum|Qty|0","","","","","","","DateFinancial|ItemId|T2.InventSiteId|T2.InventLocationId",PeriodEnding,$A215,$B215,$C215)</f>
        <v>0</v>
      </c>
      <c r="G215" s="10">
        <f>AtlasReport_3_Table_1[[#This Row],[Current On-hand]]-AtlasReport_3_Table_1[[#This Row],[Trans backwords (Beginning)]]</f>
        <v>0</v>
      </c>
      <c r="H215" s="10">
        <f>AtlasReport_3_Table_1[[#This Row],[Current On-hand]]-AtlasReport_3_Table_1[[#This Row],[Trans backwords (Ending)]]</f>
        <v>0</v>
      </c>
    </row>
    <row r="216" spans="1:8" x14ac:dyDescent="0.25">
      <c r="A216" s="8" t="s">
        <v>348</v>
      </c>
      <c r="B216" s="8" t="s">
        <v>261</v>
      </c>
      <c r="C216" s="8" t="s">
        <v>262</v>
      </c>
      <c r="D216" s="10">
        <v>0</v>
      </c>
      <c r="E216" s="10">
        <f>_xll.AtlasFormulas.AtlasFunctions.AtlasBalance("PROD",DataAreaId,"T.InventTrans|inventDimId~inventDimId@T.InventDim","Sum|Qty|0","","","","","","","DateFinancial|ItemId|T2.InventSiteId|T2.InventLocationId",PeriodBeginning,$A216,$B216,$C216)</f>
        <v>0</v>
      </c>
      <c r="F216" s="10">
        <f>_xll.AtlasFormulas.AtlasFunctions.AtlasBalance("PROD",DataAreaId,"T.InventTrans|inventDimId~inventDimId@T.InventDim","Sum|Qty|0","","","","","","","DateFinancial|ItemId|T2.InventSiteId|T2.InventLocationId",PeriodEnding,$A216,$B216,$C216)</f>
        <v>0</v>
      </c>
      <c r="G216" s="10">
        <f>AtlasReport_3_Table_1[[#This Row],[Current On-hand]]-AtlasReport_3_Table_1[[#This Row],[Trans backwords (Beginning)]]</f>
        <v>0</v>
      </c>
      <c r="H216" s="10">
        <f>AtlasReport_3_Table_1[[#This Row],[Current On-hand]]-AtlasReport_3_Table_1[[#This Row],[Trans backwords (Ending)]]</f>
        <v>0</v>
      </c>
    </row>
    <row r="217" spans="1:8" x14ac:dyDescent="0.25">
      <c r="A217" s="8" t="s">
        <v>348</v>
      </c>
      <c r="B217" s="8" t="s">
        <v>261</v>
      </c>
      <c r="C217" s="8" t="s">
        <v>264</v>
      </c>
      <c r="D217" s="10">
        <v>620</v>
      </c>
      <c r="E217" s="10">
        <f>_xll.AtlasFormulas.AtlasFunctions.AtlasBalance("PROD",DataAreaId,"T.InventTrans|inventDimId~inventDimId@T.InventDim","Sum|Qty|0","","","","","","","DateFinancial|ItemId|T2.InventSiteId|T2.InventLocationId",PeriodBeginning,$A217,$B217,$C217)</f>
        <v>-101</v>
      </c>
      <c r="F217" s="10">
        <f>_xll.AtlasFormulas.AtlasFunctions.AtlasBalance("PROD",DataAreaId,"T.InventTrans|inventDimId~inventDimId@T.InventDim","Sum|Qty|0","","","","","","","DateFinancial|ItemId|T2.InventSiteId|T2.InventLocationId",PeriodEnding,$A217,$B217,$C217)</f>
        <v>0</v>
      </c>
      <c r="G217" s="10">
        <f>AtlasReport_3_Table_1[[#This Row],[Current On-hand]]-AtlasReport_3_Table_1[[#This Row],[Trans backwords (Beginning)]]</f>
        <v>721</v>
      </c>
      <c r="H217" s="10">
        <f>AtlasReport_3_Table_1[[#This Row],[Current On-hand]]-AtlasReport_3_Table_1[[#This Row],[Trans backwords (Ending)]]</f>
        <v>620</v>
      </c>
    </row>
    <row r="218" spans="1:8" x14ac:dyDescent="0.25">
      <c r="A218" s="8" t="s">
        <v>349</v>
      </c>
      <c r="B218" s="8" t="s">
        <v>261</v>
      </c>
      <c r="C218" s="8" t="s">
        <v>81</v>
      </c>
      <c r="D218" s="10">
        <v>0</v>
      </c>
      <c r="E218" s="10">
        <f>_xll.AtlasFormulas.AtlasFunctions.AtlasBalance("PROD",DataAreaId,"T.InventTrans|inventDimId~inventDimId@T.InventDim","Sum|Qty|0","","","","","","","DateFinancial|ItemId|T2.InventSiteId|T2.InventLocationId",PeriodBeginning,$A218,$B218,$C218)</f>
        <v>0</v>
      </c>
      <c r="F218" s="10">
        <f>_xll.AtlasFormulas.AtlasFunctions.AtlasBalance("PROD",DataAreaId,"T.InventTrans|inventDimId~inventDimId@T.InventDim","Sum|Qty|0","","","","","","","DateFinancial|ItemId|T2.InventSiteId|T2.InventLocationId",PeriodEnding,$A218,$B218,$C218)</f>
        <v>0</v>
      </c>
      <c r="G218" s="10">
        <f>AtlasReport_3_Table_1[[#This Row],[Current On-hand]]-AtlasReport_3_Table_1[[#This Row],[Trans backwords (Beginning)]]</f>
        <v>0</v>
      </c>
      <c r="H218" s="10">
        <f>AtlasReport_3_Table_1[[#This Row],[Current On-hand]]-AtlasReport_3_Table_1[[#This Row],[Trans backwords (Ending)]]</f>
        <v>0</v>
      </c>
    </row>
    <row r="219" spans="1:8" x14ac:dyDescent="0.25">
      <c r="A219" s="8" t="s">
        <v>349</v>
      </c>
      <c r="B219" s="8" t="s">
        <v>261</v>
      </c>
      <c r="C219" s="8" t="s">
        <v>264</v>
      </c>
      <c r="D219" s="10">
        <v>439</v>
      </c>
      <c r="E219" s="10">
        <f>_xll.AtlasFormulas.AtlasFunctions.AtlasBalance("PROD",DataAreaId,"T.InventTrans|inventDimId~inventDimId@T.InventDim","Sum|Qty|0","","","","","","","DateFinancial|ItemId|T2.InventSiteId|T2.InventLocationId",PeriodBeginning,$A219,$B219,$C219)</f>
        <v>-1</v>
      </c>
      <c r="F219" s="10">
        <f>_xll.AtlasFormulas.AtlasFunctions.AtlasBalance("PROD",DataAreaId,"T.InventTrans|inventDimId~inventDimId@T.InventDim","Sum|Qty|0","","","","","","","DateFinancial|ItemId|T2.InventSiteId|T2.InventLocationId",PeriodEnding,$A219,$B219,$C219)</f>
        <v>0</v>
      </c>
      <c r="G219" s="10">
        <f>AtlasReport_3_Table_1[[#This Row],[Current On-hand]]-AtlasReport_3_Table_1[[#This Row],[Trans backwords (Beginning)]]</f>
        <v>440</v>
      </c>
      <c r="H219" s="10">
        <f>AtlasReport_3_Table_1[[#This Row],[Current On-hand]]-AtlasReport_3_Table_1[[#This Row],[Trans backwords (Ending)]]</f>
        <v>439</v>
      </c>
    </row>
    <row r="220" spans="1:8" x14ac:dyDescent="0.25">
      <c r="A220" s="8" t="s">
        <v>350</v>
      </c>
      <c r="B220" s="8" t="s">
        <v>261</v>
      </c>
      <c r="C220" s="8" t="s">
        <v>81</v>
      </c>
      <c r="D220" s="10">
        <v>0</v>
      </c>
      <c r="E220" s="10">
        <f>_xll.AtlasFormulas.AtlasFunctions.AtlasBalance("PROD",DataAreaId,"T.InventTrans|inventDimId~inventDimId@T.InventDim","Sum|Qty|0","","","","","","","DateFinancial|ItemId|T2.InventSiteId|T2.InventLocationId",PeriodBeginning,$A220,$B220,$C220)</f>
        <v>0</v>
      </c>
      <c r="F220" s="10">
        <f>_xll.AtlasFormulas.AtlasFunctions.AtlasBalance("PROD",DataAreaId,"T.InventTrans|inventDimId~inventDimId@T.InventDim","Sum|Qty|0","","","","","","","DateFinancial|ItemId|T2.InventSiteId|T2.InventLocationId",PeriodEnding,$A220,$B220,$C220)</f>
        <v>0</v>
      </c>
      <c r="G220" s="10">
        <f>AtlasReport_3_Table_1[[#This Row],[Current On-hand]]-AtlasReport_3_Table_1[[#This Row],[Trans backwords (Beginning)]]</f>
        <v>0</v>
      </c>
      <c r="H220" s="10">
        <f>AtlasReport_3_Table_1[[#This Row],[Current On-hand]]-AtlasReport_3_Table_1[[#This Row],[Trans backwords (Ending)]]</f>
        <v>0</v>
      </c>
    </row>
    <row r="221" spans="1:8" x14ac:dyDescent="0.25">
      <c r="A221" s="8" t="s">
        <v>350</v>
      </c>
      <c r="B221" s="8" t="s">
        <v>261</v>
      </c>
      <c r="C221" s="8" t="s">
        <v>264</v>
      </c>
      <c r="D221" s="10">
        <v>70</v>
      </c>
      <c r="E221" s="10">
        <f>_xll.AtlasFormulas.AtlasFunctions.AtlasBalance("PROD",DataAreaId,"T.InventTrans|inventDimId~inventDimId@T.InventDim","Sum|Qty|0","","","","","","","DateFinancial|ItemId|T2.InventSiteId|T2.InventLocationId",PeriodBeginning,$A221,$B221,$C221)</f>
        <v>-2</v>
      </c>
      <c r="F221" s="10">
        <f>_xll.AtlasFormulas.AtlasFunctions.AtlasBalance("PROD",DataAreaId,"T.InventTrans|inventDimId~inventDimId@T.InventDim","Sum|Qty|0","","","","","","","DateFinancial|ItemId|T2.InventSiteId|T2.InventLocationId",PeriodEnding,$A221,$B221,$C221)</f>
        <v>0</v>
      </c>
      <c r="G221" s="10">
        <f>AtlasReport_3_Table_1[[#This Row],[Current On-hand]]-AtlasReport_3_Table_1[[#This Row],[Trans backwords (Beginning)]]</f>
        <v>72</v>
      </c>
      <c r="H221" s="10">
        <f>AtlasReport_3_Table_1[[#This Row],[Current On-hand]]-AtlasReport_3_Table_1[[#This Row],[Trans backwords (Ending)]]</f>
        <v>70</v>
      </c>
    </row>
    <row r="222" spans="1:8" x14ac:dyDescent="0.25">
      <c r="A222" s="8" t="s">
        <v>351</v>
      </c>
      <c r="B222" s="8" t="s">
        <v>261</v>
      </c>
      <c r="C222" s="8" t="s">
        <v>81</v>
      </c>
      <c r="D222" s="10">
        <v>0</v>
      </c>
      <c r="E222" s="10">
        <f>_xll.AtlasFormulas.AtlasFunctions.AtlasBalance("PROD",DataAreaId,"T.InventTrans|inventDimId~inventDimId@T.InventDim","Sum|Qty|0","","","","","","","DateFinancial|ItemId|T2.InventSiteId|T2.InventLocationId",PeriodBeginning,$A222,$B222,$C222)</f>
        <v>0</v>
      </c>
      <c r="F222" s="10">
        <f>_xll.AtlasFormulas.AtlasFunctions.AtlasBalance("PROD",DataAreaId,"T.InventTrans|inventDimId~inventDimId@T.InventDim","Sum|Qty|0","","","","","","","DateFinancial|ItemId|T2.InventSiteId|T2.InventLocationId",PeriodEnding,$A222,$B222,$C222)</f>
        <v>0</v>
      </c>
      <c r="G222" s="10">
        <f>AtlasReport_3_Table_1[[#This Row],[Current On-hand]]-AtlasReport_3_Table_1[[#This Row],[Trans backwords (Beginning)]]</f>
        <v>0</v>
      </c>
      <c r="H222" s="10">
        <f>AtlasReport_3_Table_1[[#This Row],[Current On-hand]]-AtlasReport_3_Table_1[[#This Row],[Trans backwords (Ending)]]</f>
        <v>0</v>
      </c>
    </row>
    <row r="223" spans="1:8" x14ac:dyDescent="0.25">
      <c r="A223" s="8" t="s">
        <v>351</v>
      </c>
      <c r="B223" s="8" t="s">
        <v>261</v>
      </c>
      <c r="C223" s="8" t="s">
        <v>264</v>
      </c>
      <c r="D223" s="10">
        <v>2014</v>
      </c>
      <c r="E223" s="10">
        <f>_xll.AtlasFormulas.AtlasFunctions.AtlasBalance("PROD",DataAreaId,"T.InventTrans|inventDimId~inventDimId@T.InventDim","Sum|Qty|0","","","","","","","DateFinancial|ItemId|T2.InventSiteId|T2.InventLocationId",PeriodBeginning,$A223,$B223,$C223)</f>
        <v>32</v>
      </c>
      <c r="F223" s="10">
        <f>_xll.AtlasFormulas.AtlasFunctions.AtlasBalance("PROD",DataAreaId,"T.InventTrans|inventDimId~inventDimId@T.InventDim","Sum|Qty|0","","","","","","","DateFinancial|ItemId|T2.InventSiteId|T2.InventLocationId",PeriodEnding,$A223,$B223,$C223)</f>
        <v>0</v>
      </c>
      <c r="G223" s="10">
        <f>AtlasReport_3_Table_1[[#This Row],[Current On-hand]]-AtlasReport_3_Table_1[[#This Row],[Trans backwords (Beginning)]]</f>
        <v>1982</v>
      </c>
      <c r="H223" s="10">
        <f>AtlasReport_3_Table_1[[#This Row],[Current On-hand]]-AtlasReport_3_Table_1[[#This Row],[Trans backwords (Ending)]]</f>
        <v>2014</v>
      </c>
    </row>
    <row r="224" spans="1:8" x14ac:dyDescent="0.25">
      <c r="A224" s="8" t="s">
        <v>352</v>
      </c>
      <c r="B224" s="8" t="s">
        <v>261</v>
      </c>
      <c r="C224" s="8" t="s">
        <v>264</v>
      </c>
      <c r="D224" s="10">
        <v>0</v>
      </c>
      <c r="E224" s="10">
        <f>_xll.AtlasFormulas.AtlasFunctions.AtlasBalance("PROD",DataAreaId,"T.InventTrans|inventDimId~inventDimId@T.InventDim","Sum|Qty|0","","","","","","","DateFinancial|ItemId|T2.InventSiteId|T2.InventLocationId",PeriodBeginning,$A224,$B224,$C224)</f>
        <v>0</v>
      </c>
      <c r="F224" s="10">
        <f>_xll.AtlasFormulas.AtlasFunctions.AtlasBalance("PROD",DataAreaId,"T.InventTrans|inventDimId~inventDimId@T.InventDim","Sum|Qty|0","","","","","","","DateFinancial|ItemId|T2.InventSiteId|T2.InventLocationId",PeriodEnding,$A224,$B224,$C224)</f>
        <v>0</v>
      </c>
      <c r="G224" s="10">
        <f>AtlasReport_3_Table_1[[#This Row],[Current On-hand]]-AtlasReport_3_Table_1[[#This Row],[Trans backwords (Beginning)]]</f>
        <v>0</v>
      </c>
      <c r="H224" s="10">
        <f>AtlasReport_3_Table_1[[#This Row],[Current On-hand]]-AtlasReport_3_Table_1[[#This Row],[Trans backwords (Ending)]]</f>
        <v>0</v>
      </c>
    </row>
    <row r="225" spans="1:8" x14ac:dyDescent="0.25">
      <c r="A225" s="8" t="s">
        <v>353</v>
      </c>
      <c r="B225" s="8" t="s">
        <v>261</v>
      </c>
      <c r="C225" s="8" t="s">
        <v>81</v>
      </c>
      <c r="D225" s="10">
        <v>0</v>
      </c>
      <c r="E225" s="10">
        <f>_xll.AtlasFormulas.AtlasFunctions.AtlasBalance("PROD",DataAreaId,"T.InventTrans|inventDimId~inventDimId@T.InventDim","Sum|Qty|0","","","","","","","DateFinancial|ItemId|T2.InventSiteId|T2.InventLocationId",PeriodBeginning,$A225,$B225,$C225)</f>
        <v>0</v>
      </c>
      <c r="F225" s="10">
        <f>_xll.AtlasFormulas.AtlasFunctions.AtlasBalance("PROD",DataAreaId,"T.InventTrans|inventDimId~inventDimId@T.InventDim","Sum|Qty|0","","","","","","","DateFinancial|ItemId|T2.InventSiteId|T2.InventLocationId",PeriodEnding,$A225,$B225,$C225)</f>
        <v>0</v>
      </c>
      <c r="G225" s="10">
        <f>AtlasReport_3_Table_1[[#This Row],[Current On-hand]]-AtlasReport_3_Table_1[[#This Row],[Trans backwords (Beginning)]]</f>
        <v>0</v>
      </c>
      <c r="H225" s="10">
        <f>AtlasReport_3_Table_1[[#This Row],[Current On-hand]]-AtlasReport_3_Table_1[[#This Row],[Trans backwords (Ending)]]</f>
        <v>0</v>
      </c>
    </row>
    <row r="226" spans="1:8" x14ac:dyDescent="0.25">
      <c r="A226" s="8" t="s">
        <v>353</v>
      </c>
      <c r="B226" s="8" t="s">
        <v>261</v>
      </c>
      <c r="C226" s="8" t="s">
        <v>264</v>
      </c>
      <c r="D226" s="10">
        <v>180</v>
      </c>
      <c r="E226" s="10">
        <f>_xll.AtlasFormulas.AtlasFunctions.AtlasBalance("PROD",DataAreaId,"T.InventTrans|inventDimId~inventDimId@T.InventDim","Sum|Qty|0","","","","","","","DateFinancial|ItemId|T2.InventSiteId|T2.InventLocationId",PeriodBeginning,$A226,$B226,$C226)</f>
        <v>-12</v>
      </c>
      <c r="F226" s="10">
        <f>_xll.AtlasFormulas.AtlasFunctions.AtlasBalance("PROD",DataAreaId,"T.InventTrans|inventDimId~inventDimId@T.InventDim","Sum|Qty|0","","","","","","","DateFinancial|ItemId|T2.InventSiteId|T2.InventLocationId",PeriodEnding,$A226,$B226,$C226)</f>
        <v>0</v>
      </c>
      <c r="G226" s="10">
        <f>AtlasReport_3_Table_1[[#This Row],[Current On-hand]]-AtlasReport_3_Table_1[[#This Row],[Trans backwords (Beginning)]]</f>
        <v>192</v>
      </c>
      <c r="H226" s="10">
        <f>AtlasReport_3_Table_1[[#This Row],[Current On-hand]]-AtlasReport_3_Table_1[[#This Row],[Trans backwords (Ending)]]</f>
        <v>180</v>
      </c>
    </row>
    <row r="227" spans="1:8" x14ac:dyDescent="0.25">
      <c r="A227" s="8" t="s">
        <v>354</v>
      </c>
      <c r="B227" s="8" t="s">
        <v>261</v>
      </c>
      <c r="C227" s="8" t="s">
        <v>81</v>
      </c>
      <c r="D227" s="10">
        <v>0</v>
      </c>
      <c r="E227" s="10">
        <f>_xll.AtlasFormulas.AtlasFunctions.AtlasBalance("PROD",DataAreaId,"T.InventTrans|inventDimId~inventDimId@T.InventDim","Sum|Qty|0","","","","","","","DateFinancial|ItemId|T2.InventSiteId|T2.InventLocationId",PeriodBeginning,$A227,$B227,$C227)</f>
        <v>0</v>
      </c>
      <c r="F227" s="10">
        <f>_xll.AtlasFormulas.AtlasFunctions.AtlasBalance("PROD",DataAreaId,"T.InventTrans|inventDimId~inventDimId@T.InventDim","Sum|Qty|0","","","","","","","DateFinancial|ItemId|T2.InventSiteId|T2.InventLocationId",PeriodEnding,$A227,$B227,$C227)</f>
        <v>0</v>
      </c>
      <c r="G227" s="10">
        <f>AtlasReport_3_Table_1[[#This Row],[Current On-hand]]-AtlasReport_3_Table_1[[#This Row],[Trans backwords (Beginning)]]</f>
        <v>0</v>
      </c>
      <c r="H227" s="10">
        <f>AtlasReport_3_Table_1[[#This Row],[Current On-hand]]-AtlasReport_3_Table_1[[#This Row],[Trans backwords (Ending)]]</f>
        <v>0</v>
      </c>
    </row>
    <row r="228" spans="1:8" x14ac:dyDescent="0.25">
      <c r="A228" s="8" t="s">
        <v>354</v>
      </c>
      <c r="B228" s="8" t="s">
        <v>261</v>
      </c>
      <c r="C228" s="8" t="s">
        <v>264</v>
      </c>
      <c r="D228" s="10">
        <v>104</v>
      </c>
      <c r="E228" s="10">
        <f>_xll.AtlasFormulas.AtlasFunctions.AtlasBalance("PROD",DataAreaId,"T.InventTrans|inventDimId~inventDimId@T.InventDim","Sum|Qty|0","","","","","","","DateFinancial|ItemId|T2.InventSiteId|T2.InventLocationId",PeriodBeginning,$A228,$B228,$C228)</f>
        <v>1</v>
      </c>
      <c r="F228" s="10">
        <f>_xll.AtlasFormulas.AtlasFunctions.AtlasBalance("PROD",DataAreaId,"T.InventTrans|inventDimId~inventDimId@T.InventDim","Sum|Qty|0","","","","","","","DateFinancial|ItemId|T2.InventSiteId|T2.InventLocationId",PeriodEnding,$A228,$B228,$C228)</f>
        <v>0</v>
      </c>
      <c r="G228" s="10">
        <f>AtlasReport_3_Table_1[[#This Row],[Current On-hand]]-AtlasReport_3_Table_1[[#This Row],[Trans backwords (Beginning)]]</f>
        <v>103</v>
      </c>
      <c r="H228" s="10">
        <f>AtlasReport_3_Table_1[[#This Row],[Current On-hand]]-AtlasReport_3_Table_1[[#This Row],[Trans backwords (Ending)]]</f>
        <v>104</v>
      </c>
    </row>
    <row r="229" spans="1:8" x14ac:dyDescent="0.25">
      <c r="A229" s="8" t="s">
        <v>355</v>
      </c>
      <c r="B229" s="8" t="s">
        <v>261</v>
      </c>
      <c r="C229" s="8" t="s">
        <v>81</v>
      </c>
      <c r="D229" s="10">
        <v>0</v>
      </c>
      <c r="E229" s="10">
        <f>_xll.AtlasFormulas.AtlasFunctions.AtlasBalance("PROD",DataAreaId,"T.InventTrans|inventDimId~inventDimId@T.InventDim","Sum|Qty|0","","","","","","","DateFinancial|ItemId|T2.InventSiteId|T2.InventLocationId",PeriodBeginning,$A229,$B229,$C229)</f>
        <v>0</v>
      </c>
      <c r="F229" s="10">
        <f>_xll.AtlasFormulas.AtlasFunctions.AtlasBalance("PROD",DataAreaId,"T.InventTrans|inventDimId~inventDimId@T.InventDim","Sum|Qty|0","","","","","","","DateFinancial|ItemId|T2.InventSiteId|T2.InventLocationId",PeriodEnding,$A229,$B229,$C229)</f>
        <v>0</v>
      </c>
      <c r="G229" s="10">
        <f>AtlasReport_3_Table_1[[#This Row],[Current On-hand]]-AtlasReport_3_Table_1[[#This Row],[Trans backwords (Beginning)]]</f>
        <v>0</v>
      </c>
      <c r="H229" s="10">
        <f>AtlasReport_3_Table_1[[#This Row],[Current On-hand]]-AtlasReport_3_Table_1[[#This Row],[Trans backwords (Ending)]]</f>
        <v>0</v>
      </c>
    </row>
    <row r="230" spans="1:8" x14ac:dyDescent="0.25">
      <c r="A230" s="8" t="s">
        <v>355</v>
      </c>
      <c r="B230" s="8" t="s">
        <v>261</v>
      </c>
      <c r="C230" s="8" t="s">
        <v>264</v>
      </c>
      <c r="D230" s="10">
        <v>1</v>
      </c>
      <c r="E230" s="10">
        <f>_xll.AtlasFormulas.AtlasFunctions.AtlasBalance("PROD",DataAreaId,"T.InventTrans|inventDimId~inventDimId@T.InventDim","Sum|Qty|0","","","","","","","DateFinancial|ItemId|T2.InventSiteId|T2.InventLocationId",PeriodBeginning,$A230,$B230,$C230)</f>
        <v>-43</v>
      </c>
      <c r="F230" s="10">
        <f>_xll.AtlasFormulas.AtlasFunctions.AtlasBalance("PROD",DataAreaId,"T.InventTrans|inventDimId~inventDimId@T.InventDim","Sum|Qty|0","","","","","","","DateFinancial|ItemId|T2.InventSiteId|T2.InventLocationId",PeriodEnding,$A230,$B230,$C230)</f>
        <v>0</v>
      </c>
      <c r="G230" s="10">
        <f>AtlasReport_3_Table_1[[#This Row],[Current On-hand]]-AtlasReport_3_Table_1[[#This Row],[Trans backwords (Beginning)]]</f>
        <v>44</v>
      </c>
      <c r="H230" s="10">
        <f>AtlasReport_3_Table_1[[#This Row],[Current On-hand]]-AtlasReport_3_Table_1[[#This Row],[Trans backwords (Ending)]]</f>
        <v>1</v>
      </c>
    </row>
    <row r="231" spans="1:8" x14ac:dyDescent="0.25">
      <c r="A231" s="8" t="s">
        <v>356</v>
      </c>
      <c r="B231" s="8" t="s">
        <v>261</v>
      </c>
      <c r="C231" s="8" t="s">
        <v>81</v>
      </c>
      <c r="D231" s="10">
        <v>0</v>
      </c>
      <c r="E231" s="10">
        <f>_xll.AtlasFormulas.AtlasFunctions.AtlasBalance("PROD",DataAreaId,"T.InventTrans|inventDimId~inventDimId@T.InventDim","Sum|Qty|0","","","","","","","DateFinancial|ItemId|T2.InventSiteId|T2.InventLocationId",PeriodBeginning,$A231,$B231,$C231)</f>
        <v>0</v>
      </c>
      <c r="F231" s="10">
        <f>_xll.AtlasFormulas.AtlasFunctions.AtlasBalance("PROD",DataAreaId,"T.InventTrans|inventDimId~inventDimId@T.InventDim","Sum|Qty|0","","","","","","","DateFinancial|ItemId|T2.InventSiteId|T2.InventLocationId",PeriodEnding,$A231,$B231,$C231)</f>
        <v>0</v>
      </c>
      <c r="G231" s="10">
        <f>AtlasReport_3_Table_1[[#This Row],[Current On-hand]]-AtlasReport_3_Table_1[[#This Row],[Trans backwords (Beginning)]]</f>
        <v>0</v>
      </c>
      <c r="H231" s="10">
        <f>AtlasReport_3_Table_1[[#This Row],[Current On-hand]]-AtlasReport_3_Table_1[[#This Row],[Trans backwords (Ending)]]</f>
        <v>0</v>
      </c>
    </row>
    <row r="232" spans="1:8" x14ac:dyDescent="0.25">
      <c r="A232" s="8" t="s">
        <v>356</v>
      </c>
      <c r="B232" s="8" t="s">
        <v>261</v>
      </c>
      <c r="C232" s="8" t="s">
        <v>264</v>
      </c>
      <c r="D232" s="10">
        <v>0</v>
      </c>
      <c r="E232" s="10">
        <f>_xll.AtlasFormulas.AtlasFunctions.AtlasBalance("PROD",DataAreaId,"T.InventTrans|inventDimId~inventDimId@T.InventDim","Sum|Qty|0","","","","","","","DateFinancial|ItemId|T2.InventSiteId|T2.InventLocationId",PeriodBeginning,$A232,$B232,$C232)</f>
        <v>0</v>
      </c>
      <c r="F232" s="10">
        <f>_xll.AtlasFormulas.AtlasFunctions.AtlasBalance("PROD",DataAreaId,"T.InventTrans|inventDimId~inventDimId@T.InventDim","Sum|Qty|0","","","","","","","DateFinancial|ItemId|T2.InventSiteId|T2.InventLocationId",PeriodEnding,$A232,$B232,$C232)</f>
        <v>0</v>
      </c>
      <c r="G232" s="10">
        <f>AtlasReport_3_Table_1[[#This Row],[Current On-hand]]-AtlasReport_3_Table_1[[#This Row],[Trans backwords (Beginning)]]</f>
        <v>0</v>
      </c>
      <c r="H232" s="10">
        <f>AtlasReport_3_Table_1[[#This Row],[Current On-hand]]-AtlasReport_3_Table_1[[#This Row],[Trans backwords (Ending)]]</f>
        <v>0</v>
      </c>
    </row>
    <row r="233" spans="1:8" x14ac:dyDescent="0.25">
      <c r="A233" s="8" t="s">
        <v>357</v>
      </c>
      <c r="B233" s="8" t="s">
        <v>261</v>
      </c>
      <c r="C233" s="8" t="s">
        <v>81</v>
      </c>
      <c r="D233" s="10">
        <v>0</v>
      </c>
      <c r="E233" s="10">
        <f>_xll.AtlasFormulas.AtlasFunctions.AtlasBalance("PROD",DataAreaId,"T.InventTrans|inventDimId~inventDimId@T.InventDim","Sum|Qty|0","","","","","","","DateFinancial|ItemId|T2.InventSiteId|T2.InventLocationId",PeriodBeginning,$A233,$B233,$C233)</f>
        <v>0</v>
      </c>
      <c r="F233" s="10">
        <f>_xll.AtlasFormulas.AtlasFunctions.AtlasBalance("PROD",DataAreaId,"T.InventTrans|inventDimId~inventDimId@T.InventDim","Sum|Qty|0","","","","","","","DateFinancial|ItemId|T2.InventSiteId|T2.InventLocationId",PeriodEnding,$A233,$B233,$C233)</f>
        <v>0</v>
      </c>
      <c r="G233" s="10">
        <f>AtlasReport_3_Table_1[[#This Row],[Current On-hand]]-AtlasReport_3_Table_1[[#This Row],[Trans backwords (Beginning)]]</f>
        <v>0</v>
      </c>
      <c r="H233" s="10">
        <f>AtlasReport_3_Table_1[[#This Row],[Current On-hand]]-AtlasReport_3_Table_1[[#This Row],[Trans backwords (Ending)]]</f>
        <v>0</v>
      </c>
    </row>
    <row r="234" spans="1:8" x14ac:dyDescent="0.25">
      <c r="A234" s="8" t="s">
        <v>357</v>
      </c>
      <c r="B234" s="8" t="s">
        <v>261</v>
      </c>
      <c r="C234" s="8" t="s">
        <v>264</v>
      </c>
      <c r="D234" s="10">
        <v>0</v>
      </c>
      <c r="E234" s="10">
        <f>_xll.AtlasFormulas.AtlasFunctions.AtlasBalance("PROD",DataAreaId,"T.InventTrans|inventDimId~inventDimId@T.InventDim","Sum|Qty|0","","","","","","","DateFinancial|ItemId|T2.InventSiteId|T2.InventLocationId",PeriodBeginning,$A234,$B234,$C234)</f>
        <v>0</v>
      </c>
      <c r="F234" s="10">
        <f>_xll.AtlasFormulas.AtlasFunctions.AtlasBalance("PROD",DataAreaId,"T.InventTrans|inventDimId~inventDimId@T.InventDim","Sum|Qty|0","","","","","","","DateFinancial|ItemId|T2.InventSiteId|T2.InventLocationId",PeriodEnding,$A234,$B234,$C234)</f>
        <v>0</v>
      </c>
      <c r="G234" s="10">
        <f>AtlasReport_3_Table_1[[#This Row],[Current On-hand]]-AtlasReport_3_Table_1[[#This Row],[Trans backwords (Beginning)]]</f>
        <v>0</v>
      </c>
      <c r="H234" s="10">
        <f>AtlasReport_3_Table_1[[#This Row],[Current On-hand]]-AtlasReport_3_Table_1[[#This Row],[Trans backwords (Ending)]]</f>
        <v>0</v>
      </c>
    </row>
    <row r="235" spans="1:8" x14ac:dyDescent="0.25">
      <c r="A235" s="8" t="s">
        <v>358</v>
      </c>
      <c r="B235" s="8" t="s">
        <v>261</v>
      </c>
      <c r="C235" s="8" t="s">
        <v>81</v>
      </c>
      <c r="D235" s="10">
        <v>0</v>
      </c>
      <c r="E235" s="10">
        <f>_xll.AtlasFormulas.AtlasFunctions.AtlasBalance("PROD",DataAreaId,"T.InventTrans|inventDimId~inventDimId@T.InventDim","Sum|Qty|0","","","","","","","DateFinancial|ItemId|T2.InventSiteId|T2.InventLocationId",PeriodBeginning,$A235,$B235,$C235)</f>
        <v>0</v>
      </c>
      <c r="F235" s="10">
        <f>_xll.AtlasFormulas.AtlasFunctions.AtlasBalance("PROD",DataAreaId,"T.InventTrans|inventDimId~inventDimId@T.InventDim","Sum|Qty|0","","","","","","","DateFinancial|ItemId|T2.InventSiteId|T2.InventLocationId",PeriodEnding,$A235,$B235,$C235)</f>
        <v>0</v>
      </c>
      <c r="G235" s="10">
        <f>AtlasReport_3_Table_1[[#This Row],[Current On-hand]]-AtlasReport_3_Table_1[[#This Row],[Trans backwords (Beginning)]]</f>
        <v>0</v>
      </c>
      <c r="H235" s="10">
        <f>AtlasReport_3_Table_1[[#This Row],[Current On-hand]]-AtlasReport_3_Table_1[[#This Row],[Trans backwords (Ending)]]</f>
        <v>0</v>
      </c>
    </row>
    <row r="236" spans="1:8" x14ac:dyDescent="0.25">
      <c r="A236" s="8" t="s">
        <v>358</v>
      </c>
      <c r="B236" s="8" t="s">
        <v>261</v>
      </c>
      <c r="C236" s="8" t="s">
        <v>262</v>
      </c>
      <c r="D236" s="10">
        <v>0</v>
      </c>
      <c r="E236" s="10">
        <f>_xll.AtlasFormulas.AtlasFunctions.AtlasBalance("PROD",DataAreaId,"T.InventTrans|inventDimId~inventDimId@T.InventDim","Sum|Qty|0","","","","","","","DateFinancial|ItemId|T2.InventSiteId|T2.InventLocationId",PeriodBeginning,$A236,$B236,$C236)</f>
        <v>0</v>
      </c>
      <c r="F236" s="10">
        <f>_xll.AtlasFormulas.AtlasFunctions.AtlasBalance("PROD",DataAreaId,"T.InventTrans|inventDimId~inventDimId@T.InventDim","Sum|Qty|0","","","","","","","DateFinancial|ItemId|T2.InventSiteId|T2.InventLocationId",PeriodEnding,$A236,$B236,$C236)</f>
        <v>0</v>
      </c>
      <c r="G236" s="10">
        <f>AtlasReport_3_Table_1[[#This Row],[Current On-hand]]-AtlasReport_3_Table_1[[#This Row],[Trans backwords (Beginning)]]</f>
        <v>0</v>
      </c>
      <c r="H236" s="10">
        <f>AtlasReport_3_Table_1[[#This Row],[Current On-hand]]-AtlasReport_3_Table_1[[#This Row],[Trans backwords (Ending)]]</f>
        <v>0</v>
      </c>
    </row>
    <row r="237" spans="1:8" x14ac:dyDescent="0.25">
      <c r="A237" s="8" t="s">
        <v>358</v>
      </c>
      <c r="B237" s="8" t="s">
        <v>261</v>
      </c>
      <c r="C237" s="8" t="s">
        <v>264</v>
      </c>
      <c r="D237" s="10">
        <v>30022.409999999996</v>
      </c>
      <c r="E237" s="10">
        <f>_xll.AtlasFormulas.AtlasFunctions.AtlasBalance("PROD",DataAreaId,"T.InventTrans|inventDimId~inventDimId@T.InventDim","Sum|Qty|0","","","","","","","DateFinancial|ItemId|T2.InventSiteId|T2.InventLocationId",PeriodBeginning,$A237,$B237,$C237)</f>
        <v>688.43</v>
      </c>
      <c r="F237" s="10">
        <f>_xll.AtlasFormulas.AtlasFunctions.AtlasBalance("PROD",DataAreaId,"T.InventTrans|inventDimId~inventDimId@T.InventDim","Sum|Qty|0","","","","","","","DateFinancial|ItemId|T2.InventSiteId|T2.InventLocationId",PeriodEnding,$A237,$B237,$C237)</f>
        <v>0</v>
      </c>
      <c r="G237" s="10">
        <f>AtlasReport_3_Table_1[[#This Row],[Current On-hand]]-AtlasReport_3_Table_1[[#This Row],[Trans backwords (Beginning)]]</f>
        <v>29333.979999999996</v>
      </c>
      <c r="H237" s="10">
        <f>AtlasReport_3_Table_1[[#This Row],[Current On-hand]]-AtlasReport_3_Table_1[[#This Row],[Trans backwords (Ending)]]</f>
        <v>30022.409999999996</v>
      </c>
    </row>
    <row r="238" spans="1:8" x14ac:dyDescent="0.25">
      <c r="A238" s="8" t="s">
        <v>359</v>
      </c>
      <c r="B238" s="8" t="s">
        <v>261</v>
      </c>
      <c r="C238" s="8" t="s">
        <v>264</v>
      </c>
      <c r="D238" s="10">
        <v>3</v>
      </c>
      <c r="E238" s="10">
        <f>_xll.AtlasFormulas.AtlasFunctions.AtlasBalance("PROD",DataAreaId,"T.InventTrans|inventDimId~inventDimId@T.InventDim","Sum|Qty|0","","","","","","","DateFinancial|ItemId|T2.InventSiteId|T2.InventLocationId",PeriodBeginning,$A238,$B238,$C238)</f>
        <v>2</v>
      </c>
      <c r="F238" s="10">
        <f>_xll.AtlasFormulas.AtlasFunctions.AtlasBalance("PROD",DataAreaId,"T.InventTrans|inventDimId~inventDimId@T.InventDim","Sum|Qty|0","","","","","","","DateFinancial|ItemId|T2.InventSiteId|T2.InventLocationId",PeriodEnding,$A238,$B238,$C238)</f>
        <v>0</v>
      </c>
      <c r="G238" s="10">
        <f>AtlasReport_3_Table_1[[#This Row],[Current On-hand]]-AtlasReport_3_Table_1[[#This Row],[Trans backwords (Beginning)]]</f>
        <v>1</v>
      </c>
      <c r="H238" s="10">
        <f>AtlasReport_3_Table_1[[#This Row],[Current On-hand]]-AtlasReport_3_Table_1[[#This Row],[Trans backwords (Ending)]]</f>
        <v>3</v>
      </c>
    </row>
    <row r="239" spans="1:8" x14ac:dyDescent="0.25">
      <c r="A239" s="8" t="s">
        <v>360</v>
      </c>
      <c r="B239" s="8" t="s">
        <v>261</v>
      </c>
      <c r="C239" s="8" t="s">
        <v>264</v>
      </c>
      <c r="D239" s="10">
        <v>6</v>
      </c>
      <c r="E239" s="10">
        <f>_xll.AtlasFormulas.AtlasFunctions.AtlasBalance("PROD",DataAreaId,"T.InventTrans|inventDimId~inventDimId@T.InventDim","Sum|Qty|0","","","","","","","DateFinancial|ItemId|T2.InventSiteId|T2.InventLocationId",PeriodBeginning,$A239,$B239,$C239)</f>
        <v>0</v>
      </c>
      <c r="F239" s="10">
        <f>_xll.AtlasFormulas.AtlasFunctions.AtlasBalance("PROD",DataAreaId,"T.InventTrans|inventDimId~inventDimId@T.InventDim","Sum|Qty|0","","","","","","","DateFinancial|ItemId|T2.InventSiteId|T2.InventLocationId",PeriodEnding,$A239,$B239,$C239)</f>
        <v>0</v>
      </c>
      <c r="G239" s="10">
        <f>AtlasReport_3_Table_1[[#This Row],[Current On-hand]]-AtlasReport_3_Table_1[[#This Row],[Trans backwords (Beginning)]]</f>
        <v>6</v>
      </c>
      <c r="H239" s="10">
        <f>AtlasReport_3_Table_1[[#This Row],[Current On-hand]]-AtlasReport_3_Table_1[[#This Row],[Trans backwords (Ending)]]</f>
        <v>6</v>
      </c>
    </row>
    <row r="240" spans="1:8" x14ac:dyDescent="0.25">
      <c r="A240" s="8" t="s">
        <v>361</v>
      </c>
      <c r="B240" s="8" t="s">
        <v>261</v>
      </c>
      <c r="C240" s="8" t="s">
        <v>264</v>
      </c>
      <c r="D240" s="10">
        <v>2</v>
      </c>
      <c r="E240" s="10">
        <f>_xll.AtlasFormulas.AtlasFunctions.AtlasBalance("PROD",DataAreaId,"T.InventTrans|inventDimId~inventDimId@T.InventDim","Sum|Qty|0","","","","","","","DateFinancial|ItemId|T2.InventSiteId|T2.InventLocationId",PeriodBeginning,$A240,$B240,$C240)</f>
        <v>0</v>
      </c>
      <c r="F240" s="10">
        <f>_xll.AtlasFormulas.AtlasFunctions.AtlasBalance("PROD",DataAreaId,"T.InventTrans|inventDimId~inventDimId@T.InventDim","Sum|Qty|0","","","","","","","DateFinancial|ItemId|T2.InventSiteId|T2.InventLocationId",PeriodEnding,$A240,$B240,$C240)</f>
        <v>0</v>
      </c>
      <c r="G240" s="10">
        <f>AtlasReport_3_Table_1[[#This Row],[Current On-hand]]-AtlasReport_3_Table_1[[#This Row],[Trans backwords (Beginning)]]</f>
        <v>2</v>
      </c>
      <c r="H240" s="10">
        <f>AtlasReport_3_Table_1[[#This Row],[Current On-hand]]-AtlasReport_3_Table_1[[#This Row],[Trans backwords (Ending)]]</f>
        <v>2</v>
      </c>
    </row>
    <row r="241" spans="1:8" x14ac:dyDescent="0.25">
      <c r="A241" s="8" t="s">
        <v>362</v>
      </c>
      <c r="B241" s="8" t="s">
        <v>261</v>
      </c>
      <c r="C241" s="8" t="s">
        <v>264</v>
      </c>
      <c r="D241" s="10">
        <v>1</v>
      </c>
      <c r="E241" s="10">
        <f>_xll.AtlasFormulas.AtlasFunctions.AtlasBalance("PROD",DataAreaId,"T.InventTrans|inventDimId~inventDimId@T.InventDim","Sum|Qty|0","","","","","","","DateFinancial|ItemId|T2.InventSiteId|T2.InventLocationId",PeriodBeginning,$A241,$B241,$C241)</f>
        <v>3</v>
      </c>
      <c r="F241" s="10">
        <f>_xll.AtlasFormulas.AtlasFunctions.AtlasBalance("PROD",DataAreaId,"T.InventTrans|inventDimId~inventDimId@T.InventDim","Sum|Qty|0","","","","","","","DateFinancial|ItemId|T2.InventSiteId|T2.InventLocationId",PeriodEnding,$A241,$B241,$C241)</f>
        <v>0</v>
      </c>
      <c r="G241" s="10">
        <f>AtlasReport_3_Table_1[[#This Row],[Current On-hand]]-AtlasReport_3_Table_1[[#This Row],[Trans backwords (Beginning)]]</f>
        <v>-2</v>
      </c>
      <c r="H241" s="10">
        <f>AtlasReport_3_Table_1[[#This Row],[Current On-hand]]-AtlasReport_3_Table_1[[#This Row],[Trans backwords (Ending)]]</f>
        <v>1</v>
      </c>
    </row>
    <row r="242" spans="1:8" x14ac:dyDescent="0.25">
      <c r="A242" s="8" t="s">
        <v>363</v>
      </c>
      <c r="B242" s="8" t="s">
        <v>261</v>
      </c>
      <c r="C242" s="8" t="s">
        <v>264</v>
      </c>
      <c r="D242" s="10">
        <v>0</v>
      </c>
      <c r="E242" s="10">
        <f>_xll.AtlasFormulas.AtlasFunctions.AtlasBalance("PROD",DataAreaId,"T.InventTrans|inventDimId~inventDimId@T.InventDim","Sum|Qty|0","","","","","","","DateFinancial|ItemId|T2.InventSiteId|T2.InventLocationId",PeriodBeginning,$A242,$B242,$C242)</f>
        <v>0</v>
      </c>
      <c r="F242" s="10">
        <f>_xll.AtlasFormulas.AtlasFunctions.AtlasBalance("PROD",DataAreaId,"T.InventTrans|inventDimId~inventDimId@T.InventDim","Sum|Qty|0","","","","","","","DateFinancial|ItemId|T2.InventSiteId|T2.InventLocationId",PeriodEnding,$A242,$B242,$C242)</f>
        <v>0</v>
      </c>
      <c r="G242" s="10">
        <f>AtlasReport_3_Table_1[[#This Row],[Current On-hand]]-AtlasReport_3_Table_1[[#This Row],[Trans backwords (Beginning)]]</f>
        <v>0</v>
      </c>
      <c r="H242" s="10">
        <f>AtlasReport_3_Table_1[[#This Row],[Current On-hand]]-AtlasReport_3_Table_1[[#This Row],[Trans backwords (Ending)]]</f>
        <v>0</v>
      </c>
    </row>
    <row r="243" spans="1:8" x14ac:dyDescent="0.25">
      <c r="A243" s="8" t="s">
        <v>364</v>
      </c>
      <c r="B243" s="8" t="s">
        <v>261</v>
      </c>
      <c r="C243" s="8" t="s">
        <v>264</v>
      </c>
      <c r="D243" s="10">
        <v>0</v>
      </c>
      <c r="E243" s="10">
        <f>_xll.AtlasFormulas.AtlasFunctions.AtlasBalance("PROD",DataAreaId,"T.InventTrans|inventDimId~inventDimId@T.InventDim","Sum|Qty|0","","","","","","","DateFinancial|ItemId|T2.InventSiteId|T2.InventLocationId",PeriodBeginning,$A243,$B243,$C243)</f>
        <v>0</v>
      </c>
      <c r="F243" s="10">
        <f>_xll.AtlasFormulas.AtlasFunctions.AtlasBalance("PROD",DataAreaId,"T.InventTrans|inventDimId~inventDimId@T.InventDim","Sum|Qty|0","","","","","","","DateFinancial|ItemId|T2.InventSiteId|T2.InventLocationId",PeriodEnding,$A243,$B243,$C243)</f>
        <v>0</v>
      </c>
      <c r="G243" s="10">
        <f>AtlasReport_3_Table_1[[#This Row],[Current On-hand]]-AtlasReport_3_Table_1[[#This Row],[Trans backwords (Beginning)]]</f>
        <v>0</v>
      </c>
      <c r="H243" s="10">
        <f>AtlasReport_3_Table_1[[#This Row],[Current On-hand]]-AtlasReport_3_Table_1[[#This Row],[Trans backwords (Ending)]]</f>
        <v>0</v>
      </c>
    </row>
    <row r="244" spans="1:8" x14ac:dyDescent="0.25">
      <c r="A244" s="8" t="s">
        <v>365</v>
      </c>
      <c r="B244" s="8" t="s">
        <v>261</v>
      </c>
      <c r="C244" s="8" t="s">
        <v>264</v>
      </c>
      <c r="D244" s="10">
        <v>0</v>
      </c>
      <c r="E244" s="10">
        <f>_xll.AtlasFormulas.AtlasFunctions.AtlasBalance("PROD",DataAreaId,"T.InventTrans|inventDimId~inventDimId@T.InventDim","Sum|Qty|0","","","","","","","DateFinancial|ItemId|T2.InventSiteId|T2.InventLocationId",PeriodBeginning,$A244,$B244,$C244)</f>
        <v>0</v>
      </c>
      <c r="F244" s="10">
        <f>_xll.AtlasFormulas.AtlasFunctions.AtlasBalance("PROD",DataAreaId,"T.InventTrans|inventDimId~inventDimId@T.InventDim","Sum|Qty|0","","","","","","","DateFinancial|ItemId|T2.InventSiteId|T2.InventLocationId",PeriodEnding,$A244,$B244,$C244)</f>
        <v>0</v>
      </c>
      <c r="G244" s="10">
        <f>AtlasReport_3_Table_1[[#This Row],[Current On-hand]]-AtlasReport_3_Table_1[[#This Row],[Trans backwords (Beginning)]]</f>
        <v>0</v>
      </c>
      <c r="H244" s="10">
        <f>AtlasReport_3_Table_1[[#This Row],[Current On-hand]]-AtlasReport_3_Table_1[[#This Row],[Trans backwords (Ending)]]</f>
        <v>0</v>
      </c>
    </row>
    <row r="245" spans="1:8" x14ac:dyDescent="0.25">
      <c r="A245" s="8" t="s">
        <v>366</v>
      </c>
      <c r="B245" s="8" t="s">
        <v>261</v>
      </c>
      <c r="C245" s="8" t="s">
        <v>81</v>
      </c>
      <c r="D245" s="10">
        <v>0</v>
      </c>
      <c r="E245" s="10">
        <f>_xll.AtlasFormulas.AtlasFunctions.AtlasBalance("PROD",DataAreaId,"T.InventTrans|inventDimId~inventDimId@T.InventDim","Sum|Qty|0","","","","","","","DateFinancial|ItemId|T2.InventSiteId|T2.InventLocationId",PeriodBeginning,$A245,$B245,$C245)</f>
        <v>0</v>
      </c>
      <c r="F245" s="10">
        <f>_xll.AtlasFormulas.AtlasFunctions.AtlasBalance("PROD",DataAreaId,"T.InventTrans|inventDimId~inventDimId@T.InventDim","Sum|Qty|0","","","","","","","DateFinancial|ItemId|T2.InventSiteId|T2.InventLocationId",PeriodEnding,$A245,$B245,$C245)</f>
        <v>0</v>
      </c>
      <c r="G245" s="10">
        <f>AtlasReport_3_Table_1[[#This Row],[Current On-hand]]-AtlasReport_3_Table_1[[#This Row],[Trans backwords (Beginning)]]</f>
        <v>0</v>
      </c>
      <c r="H245" s="10">
        <f>AtlasReport_3_Table_1[[#This Row],[Current On-hand]]-AtlasReport_3_Table_1[[#This Row],[Trans backwords (Ending)]]</f>
        <v>0</v>
      </c>
    </row>
    <row r="246" spans="1:8" x14ac:dyDescent="0.25">
      <c r="A246" s="8" t="s">
        <v>366</v>
      </c>
      <c r="B246" s="8" t="s">
        <v>261</v>
      </c>
      <c r="C246" s="8" t="s">
        <v>264</v>
      </c>
      <c r="D246" s="10">
        <v>5751</v>
      </c>
      <c r="E246" s="10">
        <f>_xll.AtlasFormulas.AtlasFunctions.AtlasBalance("PROD",DataAreaId,"T.InventTrans|inventDimId~inventDimId@T.InventDim","Sum|Qty|0","","","","","","","DateFinancial|ItemId|T2.InventSiteId|T2.InventLocationId",PeriodBeginning,$A246,$B246,$C246)</f>
        <v>51</v>
      </c>
      <c r="F246" s="10">
        <f>_xll.AtlasFormulas.AtlasFunctions.AtlasBalance("PROD",DataAreaId,"T.InventTrans|inventDimId~inventDimId@T.InventDim","Sum|Qty|0","","","","","","","DateFinancial|ItemId|T2.InventSiteId|T2.InventLocationId",PeriodEnding,$A246,$B246,$C246)</f>
        <v>0</v>
      </c>
      <c r="G246" s="10">
        <f>AtlasReport_3_Table_1[[#This Row],[Current On-hand]]-AtlasReport_3_Table_1[[#This Row],[Trans backwords (Beginning)]]</f>
        <v>5700</v>
      </c>
      <c r="H246" s="10">
        <f>AtlasReport_3_Table_1[[#This Row],[Current On-hand]]-AtlasReport_3_Table_1[[#This Row],[Trans backwords (Ending)]]</f>
        <v>5751</v>
      </c>
    </row>
    <row r="247" spans="1:8" x14ac:dyDescent="0.25">
      <c r="A247" s="8" t="s">
        <v>367</v>
      </c>
      <c r="B247" s="8" t="s">
        <v>261</v>
      </c>
      <c r="C247" s="8" t="s">
        <v>264</v>
      </c>
      <c r="D247" s="10">
        <v>6096</v>
      </c>
      <c r="E247" s="10">
        <f>_xll.AtlasFormulas.AtlasFunctions.AtlasBalance("PROD",DataAreaId,"T.InventTrans|inventDimId~inventDimId@T.InventDim","Sum|Qty|0","","","","","","","DateFinancial|ItemId|T2.InventSiteId|T2.InventLocationId",PeriodBeginning,$A247,$B247,$C247)</f>
        <v>0</v>
      </c>
      <c r="F247" s="10">
        <f>_xll.AtlasFormulas.AtlasFunctions.AtlasBalance("PROD",DataAreaId,"T.InventTrans|inventDimId~inventDimId@T.InventDim","Sum|Qty|0","","","","","","","DateFinancial|ItemId|T2.InventSiteId|T2.InventLocationId",PeriodEnding,$A247,$B247,$C247)</f>
        <v>0</v>
      </c>
      <c r="G247" s="10">
        <f>AtlasReport_3_Table_1[[#This Row],[Current On-hand]]-AtlasReport_3_Table_1[[#This Row],[Trans backwords (Beginning)]]</f>
        <v>6096</v>
      </c>
      <c r="H247" s="10">
        <f>AtlasReport_3_Table_1[[#This Row],[Current On-hand]]-AtlasReport_3_Table_1[[#This Row],[Trans backwords (Ending)]]</f>
        <v>6096</v>
      </c>
    </row>
    <row r="248" spans="1:8" x14ac:dyDescent="0.25">
      <c r="A248" s="8" t="s">
        <v>368</v>
      </c>
      <c r="B248" s="8" t="s">
        <v>261</v>
      </c>
      <c r="C248" s="8" t="s">
        <v>264</v>
      </c>
      <c r="D248" s="10">
        <v>3587</v>
      </c>
      <c r="E248" s="10">
        <f>_xll.AtlasFormulas.AtlasFunctions.AtlasBalance("PROD",DataAreaId,"T.InventTrans|inventDimId~inventDimId@T.InventDim","Sum|Qty|0","","","","","","","DateFinancial|ItemId|T2.InventSiteId|T2.InventLocationId",PeriodBeginning,$A248,$B248,$C248)</f>
        <v>-0.85</v>
      </c>
      <c r="F248" s="10">
        <f>_xll.AtlasFormulas.AtlasFunctions.AtlasBalance("PROD",DataAreaId,"T.InventTrans|inventDimId~inventDimId@T.InventDim","Sum|Qty|0","","","","","","","DateFinancial|ItemId|T2.InventSiteId|T2.InventLocationId",PeriodEnding,$A248,$B248,$C248)</f>
        <v>0</v>
      </c>
      <c r="G248" s="10">
        <f>AtlasReport_3_Table_1[[#This Row],[Current On-hand]]-AtlasReport_3_Table_1[[#This Row],[Trans backwords (Beginning)]]</f>
        <v>3587.85</v>
      </c>
      <c r="H248" s="10">
        <f>AtlasReport_3_Table_1[[#This Row],[Current On-hand]]-AtlasReport_3_Table_1[[#This Row],[Trans backwords (Ending)]]</f>
        <v>3587</v>
      </c>
    </row>
    <row r="249" spans="1:8" x14ac:dyDescent="0.25">
      <c r="A249" s="8" t="s">
        <v>369</v>
      </c>
      <c r="B249" s="8" t="s">
        <v>261</v>
      </c>
      <c r="C249" s="8" t="s">
        <v>264</v>
      </c>
      <c r="D249" s="10">
        <v>5005</v>
      </c>
      <c r="E249" s="10">
        <f>_xll.AtlasFormulas.AtlasFunctions.AtlasBalance("PROD",DataAreaId,"T.InventTrans|inventDimId~inventDimId@T.InventDim","Sum|Qty|0","","","","","","","DateFinancial|ItemId|T2.InventSiteId|T2.InventLocationId",PeriodBeginning,$A249,$B249,$C249)</f>
        <v>-130</v>
      </c>
      <c r="F249" s="10">
        <f>_xll.AtlasFormulas.AtlasFunctions.AtlasBalance("PROD",DataAreaId,"T.InventTrans|inventDimId~inventDimId@T.InventDim","Sum|Qty|0","","","","","","","DateFinancial|ItemId|T2.InventSiteId|T2.InventLocationId",PeriodEnding,$A249,$B249,$C249)</f>
        <v>0</v>
      </c>
      <c r="G249" s="10">
        <f>AtlasReport_3_Table_1[[#This Row],[Current On-hand]]-AtlasReport_3_Table_1[[#This Row],[Trans backwords (Beginning)]]</f>
        <v>5135</v>
      </c>
      <c r="H249" s="10">
        <f>AtlasReport_3_Table_1[[#This Row],[Current On-hand]]-AtlasReport_3_Table_1[[#This Row],[Trans backwords (Ending)]]</f>
        <v>5005</v>
      </c>
    </row>
    <row r="250" spans="1:8" x14ac:dyDescent="0.25">
      <c r="A250" s="8" t="s">
        <v>370</v>
      </c>
      <c r="B250" s="8" t="s">
        <v>261</v>
      </c>
      <c r="C250" s="8" t="s">
        <v>81</v>
      </c>
      <c r="D250" s="10">
        <v>0</v>
      </c>
      <c r="E250" s="10">
        <f>_xll.AtlasFormulas.AtlasFunctions.AtlasBalance("PROD",DataAreaId,"T.InventTrans|inventDimId~inventDimId@T.InventDim","Sum|Qty|0","","","","","","","DateFinancial|ItemId|T2.InventSiteId|T2.InventLocationId",PeriodBeginning,$A250,$B250,$C250)</f>
        <v>0</v>
      </c>
      <c r="F250" s="10">
        <f>_xll.AtlasFormulas.AtlasFunctions.AtlasBalance("PROD",DataAreaId,"T.InventTrans|inventDimId~inventDimId@T.InventDim","Sum|Qty|0","","","","","","","DateFinancial|ItemId|T2.InventSiteId|T2.InventLocationId",PeriodEnding,$A250,$B250,$C250)</f>
        <v>0</v>
      </c>
      <c r="G250" s="10">
        <f>AtlasReport_3_Table_1[[#This Row],[Current On-hand]]-AtlasReport_3_Table_1[[#This Row],[Trans backwords (Beginning)]]</f>
        <v>0</v>
      </c>
      <c r="H250" s="10">
        <f>AtlasReport_3_Table_1[[#This Row],[Current On-hand]]-AtlasReport_3_Table_1[[#This Row],[Trans backwords (Ending)]]</f>
        <v>0</v>
      </c>
    </row>
    <row r="251" spans="1:8" x14ac:dyDescent="0.25">
      <c r="A251" s="8" t="s">
        <v>370</v>
      </c>
      <c r="B251" s="8" t="s">
        <v>261</v>
      </c>
      <c r="C251" s="8" t="s">
        <v>264</v>
      </c>
      <c r="D251" s="10">
        <v>4368</v>
      </c>
      <c r="E251" s="10">
        <f>_xll.AtlasFormulas.AtlasFunctions.AtlasBalance("PROD",DataAreaId,"T.InventTrans|inventDimId~inventDimId@T.InventDim","Sum|Qty|0","","","","","","","DateFinancial|ItemId|T2.InventSiteId|T2.InventLocationId",PeriodBeginning,$A251,$B251,$C251)</f>
        <v>-20</v>
      </c>
      <c r="F251" s="10">
        <f>_xll.AtlasFormulas.AtlasFunctions.AtlasBalance("PROD",DataAreaId,"T.InventTrans|inventDimId~inventDimId@T.InventDim","Sum|Qty|0","","","","","","","DateFinancial|ItemId|T2.InventSiteId|T2.InventLocationId",PeriodEnding,$A251,$B251,$C251)</f>
        <v>0</v>
      </c>
      <c r="G251" s="10">
        <f>AtlasReport_3_Table_1[[#This Row],[Current On-hand]]-AtlasReport_3_Table_1[[#This Row],[Trans backwords (Beginning)]]</f>
        <v>4388</v>
      </c>
      <c r="H251" s="10">
        <f>AtlasReport_3_Table_1[[#This Row],[Current On-hand]]-AtlasReport_3_Table_1[[#This Row],[Trans backwords (Ending)]]</f>
        <v>4368</v>
      </c>
    </row>
    <row r="252" spans="1:8" x14ac:dyDescent="0.25">
      <c r="A252" s="8" t="s">
        <v>371</v>
      </c>
      <c r="B252" s="8" t="s">
        <v>261</v>
      </c>
      <c r="C252" s="8" t="s">
        <v>264</v>
      </c>
      <c r="D252" s="10">
        <v>7670</v>
      </c>
      <c r="E252" s="10">
        <f>_xll.AtlasFormulas.AtlasFunctions.AtlasBalance("PROD",DataAreaId,"T.InventTrans|inventDimId~inventDimId@T.InventDim","Sum|Qty|0","","","","","","","DateFinancial|ItemId|T2.InventSiteId|T2.InventLocationId",PeriodBeginning,$A252,$B252,$C252)</f>
        <v>-7</v>
      </c>
      <c r="F252" s="10">
        <f>_xll.AtlasFormulas.AtlasFunctions.AtlasBalance("PROD",DataAreaId,"T.InventTrans|inventDimId~inventDimId@T.InventDim","Sum|Qty|0","","","","","","","DateFinancial|ItemId|T2.InventSiteId|T2.InventLocationId",PeriodEnding,$A252,$B252,$C252)</f>
        <v>0</v>
      </c>
      <c r="G252" s="10">
        <f>AtlasReport_3_Table_1[[#This Row],[Current On-hand]]-AtlasReport_3_Table_1[[#This Row],[Trans backwords (Beginning)]]</f>
        <v>7677</v>
      </c>
      <c r="H252" s="10">
        <f>AtlasReport_3_Table_1[[#This Row],[Current On-hand]]-AtlasReport_3_Table_1[[#This Row],[Trans backwords (Ending)]]</f>
        <v>7670</v>
      </c>
    </row>
    <row r="253" spans="1:8" x14ac:dyDescent="0.25">
      <c r="A253" s="8" t="s">
        <v>372</v>
      </c>
      <c r="B253" s="8" t="s">
        <v>261</v>
      </c>
      <c r="C253" s="8" t="s">
        <v>81</v>
      </c>
      <c r="D253" s="10">
        <v>0</v>
      </c>
      <c r="E253" s="10">
        <f>_xll.AtlasFormulas.AtlasFunctions.AtlasBalance("PROD",DataAreaId,"T.InventTrans|inventDimId~inventDimId@T.InventDim","Sum|Qty|0","","","","","","","DateFinancial|ItemId|T2.InventSiteId|T2.InventLocationId",PeriodBeginning,$A253,$B253,$C253)</f>
        <v>0</v>
      </c>
      <c r="F253" s="10">
        <f>_xll.AtlasFormulas.AtlasFunctions.AtlasBalance("PROD",DataAreaId,"T.InventTrans|inventDimId~inventDimId@T.InventDim","Sum|Qty|0","","","","","","","DateFinancial|ItemId|T2.InventSiteId|T2.InventLocationId",PeriodEnding,$A253,$B253,$C253)</f>
        <v>0</v>
      </c>
      <c r="G253" s="10">
        <f>AtlasReport_3_Table_1[[#This Row],[Current On-hand]]-AtlasReport_3_Table_1[[#This Row],[Trans backwords (Beginning)]]</f>
        <v>0</v>
      </c>
      <c r="H253" s="10">
        <f>AtlasReport_3_Table_1[[#This Row],[Current On-hand]]-AtlasReport_3_Table_1[[#This Row],[Trans backwords (Ending)]]</f>
        <v>0</v>
      </c>
    </row>
    <row r="254" spans="1:8" x14ac:dyDescent="0.25">
      <c r="A254" s="8" t="s">
        <v>372</v>
      </c>
      <c r="B254" s="8" t="s">
        <v>261</v>
      </c>
      <c r="C254" s="8" t="s">
        <v>264</v>
      </c>
      <c r="D254" s="10">
        <v>4238</v>
      </c>
      <c r="E254" s="10">
        <f>_xll.AtlasFormulas.AtlasFunctions.AtlasBalance("PROD",DataAreaId,"T.InventTrans|inventDimId~inventDimId@T.InventDim","Sum|Qty|0","","","","","","","DateFinancial|ItemId|T2.InventSiteId|T2.InventLocationId",PeriodBeginning,$A254,$B254,$C254)</f>
        <v>-85</v>
      </c>
      <c r="F254" s="10">
        <f>_xll.AtlasFormulas.AtlasFunctions.AtlasBalance("PROD",DataAreaId,"T.InventTrans|inventDimId~inventDimId@T.InventDim","Sum|Qty|0","","","","","","","DateFinancial|ItemId|T2.InventSiteId|T2.InventLocationId",PeriodEnding,$A254,$B254,$C254)</f>
        <v>0</v>
      </c>
      <c r="G254" s="10">
        <f>AtlasReport_3_Table_1[[#This Row],[Current On-hand]]-AtlasReport_3_Table_1[[#This Row],[Trans backwords (Beginning)]]</f>
        <v>4323</v>
      </c>
      <c r="H254" s="10">
        <f>AtlasReport_3_Table_1[[#This Row],[Current On-hand]]-AtlasReport_3_Table_1[[#This Row],[Trans backwords (Ending)]]</f>
        <v>4238</v>
      </c>
    </row>
    <row r="255" spans="1:8" x14ac:dyDescent="0.25">
      <c r="A255" s="8" t="s">
        <v>373</v>
      </c>
      <c r="B255" s="8" t="s">
        <v>261</v>
      </c>
      <c r="C255" s="8" t="s">
        <v>81</v>
      </c>
      <c r="D255" s="10">
        <v>0</v>
      </c>
      <c r="E255" s="10">
        <f>_xll.AtlasFormulas.AtlasFunctions.AtlasBalance("PROD",DataAreaId,"T.InventTrans|inventDimId~inventDimId@T.InventDim","Sum|Qty|0","","","","","","","DateFinancial|ItemId|T2.InventSiteId|T2.InventLocationId",PeriodBeginning,$A255,$B255,$C255)</f>
        <v>0</v>
      </c>
      <c r="F255" s="10">
        <f>_xll.AtlasFormulas.AtlasFunctions.AtlasBalance("PROD",DataAreaId,"T.InventTrans|inventDimId~inventDimId@T.InventDim","Sum|Qty|0","","","","","","","DateFinancial|ItemId|T2.InventSiteId|T2.InventLocationId",PeriodEnding,$A255,$B255,$C255)</f>
        <v>0</v>
      </c>
      <c r="G255" s="10">
        <f>AtlasReport_3_Table_1[[#This Row],[Current On-hand]]-AtlasReport_3_Table_1[[#This Row],[Trans backwords (Beginning)]]</f>
        <v>0</v>
      </c>
      <c r="H255" s="10">
        <f>AtlasReport_3_Table_1[[#This Row],[Current On-hand]]-AtlasReport_3_Table_1[[#This Row],[Trans backwords (Ending)]]</f>
        <v>0</v>
      </c>
    </row>
    <row r="256" spans="1:8" x14ac:dyDescent="0.25">
      <c r="A256" s="8" t="s">
        <v>373</v>
      </c>
      <c r="B256" s="8" t="s">
        <v>261</v>
      </c>
      <c r="C256" s="8" t="s">
        <v>264</v>
      </c>
      <c r="D256" s="10">
        <v>4456</v>
      </c>
      <c r="E256" s="10">
        <f>_xll.AtlasFormulas.AtlasFunctions.AtlasBalance("PROD",DataAreaId,"T.InventTrans|inventDimId~inventDimId@T.InventDim","Sum|Qty|0","","","","","","","DateFinancial|ItemId|T2.InventSiteId|T2.InventLocationId",PeriodBeginning,$A256,$B256,$C256)</f>
        <v>-3</v>
      </c>
      <c r="F256" s="10">
        <f>_xll.AtlasFormulas.AtlasFunctions.AtlasBalance("PROD",DataAreaId,"T.InventTrans|inventDimId~inventDimId@T.InventDim","Sum|Qty|0","","","","","","","DateFinancial|ItemId|T2.InventSiteId|T2.InventLocationId",PeriodEnding,$A256,$B256,$C256)</f>
        <v>0</v>
      </c>
      <c r="G256" s="10">
        <f>AtlasReport_3_Table_1[[#This Row],[Current On-hand]]-AtlasReport_3_Table_1[[#This Row],[Trans backwords (Beginning)]]</f>
        <v>4459</v>
      </c>
      <c r="H256" s="10">
        <f>AtlasReport_3_Table_1[[#This Row],[Current On-hand]]-AtlasReport_3_Table_1[[#This Row],[Trans backwords (Ending)]]</f>
        <v>4456</v>
      </c>
    </row>
    <row r="257" spans="1:8" x14ac:dyDescent="0.25">
      <c r="A257" s="8" t="s">
        <v>374</v>
      </c>
      <c r="B257" s="8" t="s">
        <v>261</v>
      </c>
      <c r="C257" s="8" t="s">
        <v>81</v>
      </c>
      <c r="D257" s="10">
        <v>0</v>
      </c>
      <c r="E257" s="10">
        <f>_xll.AtlasFormulas.AtlasFunctions.AtlasBalance("PROD",DataAreaId,"T.InventTrans|inventDimId~inventDimId@T.InventDim","Sum|Qty|0","","","","","","","DateFinancial|ItemId|T2.InventSiteId|T2.InventLocationId",PeriodBeginning,$A257,$B257,$C257)</f>
        <v>0</v>
      </c>
      <c r="F257" s="10">
        <f>_xll.AtlasFormulas.AtlasFunctions.AtlasBalance("PROD",DataAreaId,"T.InventTrans|inventDimId~inventDimId@T.InventDim","Sum|Qty|0","","","","","","","DateFinancial|ItemId|T2.InventSiteId|T2.InventLocationId",PeriodEnding,$A257,$B257,$C257)</f>
        <v>0</v>
      </c>
      <c r="G257" s="10">
        <f>AtlasReport_3_Table_1[[#This Row],[Current On-hand]]-AtlasReport_3_Table_1[[#This Row],[Trans backwords (Beginning)]]</f>
        <v>0</v>
      </c>
      <c r="H257" s="10">
        <f>AtlasReport_3_Table_1[[#This Row],[Current On-hand]]-AtlasReport_3_Table_1[[#This Row],[Trans backwords (Ending)]]</f>
        <v>0</v>
      </c>
    </row>
    <row r="258" spans="1:8" x14ac:dyDescent="0.25">
      <c r="A258" s="8" t="s">
        <v>374</v>
      </c>
      <c r="B258" s="8" t="s">
        <v>261</v>
      </c>
      <c r="C258" s="8" t="s">
        <v>264</v>
      </c>
      <c r="D258" s="10">
        <v>2567</v>
      </c>
      <c r="E258" s="10">
        <f>_xll.AtlasFormulas.AtlasFunctions.AtlasBalance("PROD",DataAreaId,"T.InventTrans|inventDimId~inventDimId@T.InventDim","Sum|Qty|0","","","","","","","DateFinancial|ItemId|T2.InventSiteId|T2.InventLocationId",PeriodBeginning,$A258,$B258,$C258)</f>
        <v>-36</v>
      </c>
      <c r="F258" s="10">
        <f>_xll.AtlasFormulas.AtlasFunctions.AtlasBalance("PROD",DataAreaId,"T.InventTrans|inventDimId~inventDimId@T.InventDim","Sum|Qty|0","","","","","","","DateFinancial|ItemId|T2.InventSiteId|T2.InventLocationId",PeriodEnding,$A258,$B258,$C258)</f>
        <v>0</v>
      </c>
      <c r="G258" s="10">
        <f>AtlasReport_3_Table_1[[#This Row],[Current On-hand]]-AtlasReport_3_Table_1[[#This Row],[Trans backwords (Beginning)]]</f>
        <v>2603</v>
      </c>
      <c r="H258" s="10">
        <f>AtlasReport_3_Table_1[[#This Row],[Current On-hand]]-AtlasReport_3_Table_1[[#This Row],[Trans backwords (Ending)]]</f>
        <v>2567</v>
      </c>
    </row>
    <row r="259" spans="1:8" x14ac:dyDescent="0.25">
      <c r="A259" s="8" t="s">
        <v>375</v>
      </c>
      <c r="B259" s="8" t="s">
        <v>261</v>
      </c>
      <c r="C259" s="8" t="s">
        <v>81</v>
      </c>
      <c r="D259" s="10">
        <v>0</v>
      </c>
      <c r="E259" s="10">
        <f>_xll.AtlasFormulas.AtlasFunctions.AtlasBalance("PROD",DataAreaId,"T.InventTrans|inventDimId~inventDimId@T.InventDim","Sum|Qty|0","","","","","","","DateFinancial|ItemId|T2.InventSiteId|T2.InventLocationId",PeriodBeginning,$A259,$B259,$C259)</f>
        <v>0</v>
      </c>
      <c r="F259" s="10">
        <f>_xll.AtlasFormulas.AtlasFunctions.AtlasBalance("PROD",DataAreaId,"T.InventTrans|inventDimId~inventDimId@T.InventDim","Sum|Qty|0","","","","","","","DateFinancial|ItemId|T2.InventSiteId|T2.InventLocationId",PeriodEnding,$A259,$B259,$C259)</f>
        <v>0</v>
      </c>
      <c r="G259" s="10">
        <f>AtlasReport_3_Table_1[[#This Row],[Current On-hand]]-AtlasReport_3_Table_1[[#This Row],[Trans backwords (Beginning)]]</f>
        <v>0</v>
      </c>
      <c r="H259" s="10">
        <f>AtlasReport_3_Table_1[[#This Row],[Current On-hand]]-AtlasReport_3_Table_1[[#This Row],[Trans backwords (Ending)]]</f>
        <v>0</v>
      </c>
    </row>
    <row r="260" spans="1:8" x14ac:dyDescent="0.25">
      <c r="A260" s="8" t="s">
        <v>375</v>
      </c>
      <c r="B260" s="8" t="s">
        <v>261</v>
      </c>
      <c r="C260" s="8" t="s">
        <v>264</v>
      </c>
      <c r="D260" s="10">
        <v>1390</v>
      </c>
      <c r="E260" s="10">
        <f>_xll.AtlasFormulas.AtlasFunctions.AtlasBalance("PROD",DataAreaId,"T.InventTrans|inventDimId~inventDimId@T.InventDim","Sum|Qty|0","","","","","","","DateFinancial|ItemId|T2.InventSiteId|T2.InventLocationId",PeriodBeginning,$A260,$B260,$C260)</f>
        <v>0</v>
      </c>
      <c r="F260" s="10">
        <f>_xll.AtlasFormulas.AtlasFunctions.AtlasBalance("PROD",DataAreaId,"T.InventTrans|inventDimId~inventDimId@T.InventDim","Sum|Qty|0","","","","","","","DateFinancial|ItemId|T2.InventSiteId|T2.InventLocationId",PeriodEnding,$A260,$B260,$C260)</f>
        <v>0</v>
      </c>
      <c r="G260" s="10">
        <f>AtlasReport_3_Table_1[[#This Row],[Current On-hand]]-AtlasReport_3_Table_1[[#This Row],[Trans backwords (Beginning)]]</f>
        <v>1390</v>
      </c>
      <c r="H260" s="10">
        <f>AtlasReport_3_Table_1[[#This Row],[Current On-hand]]-AtlasReport_3_Table_1[[#This Row],[Trans backwords (Ending)]]</f>
        <v>1390</v>
      </c>
    </row>
    <row r="261" spans="1:8" x14ac:dyDescent="0.25">
      <c r="A261" s="8" t="s">
        <v>376</v>
      </c>
      <c r="B261" s="8" t="s">
        <v>261</v>
      </c>
      <c r="C261" s="8" t="s">
        <v>81</v>
      </c>
      <c r="D261" s="10">
        <v>0</v>
      </c>
      <c r="E261" s="10">
        <f>_xll.AtlasFormulas.AtlasFunctions.AtlasBalance("PROD",DataAreaId,"T.InventTrans|inventDimId~inventDimId@T.InventDim","Sum|Qty|0","","","","","","","DateFinancial|ItemId|T2.InventSiteId|T2.InventLocationId",PeriodBeginning,$A261,$B261,$C261)</f>
        <v>0</v>
      </c>
      <c r="F261" s="10">
        <f>_xll.AtlasFormulas.AtlasFunctions.AtlasBalance("PROD",DataAreaId,"T.InventTrans|inventDimId~inventDimId@T.InventDim","Sum|Qty|0","","","","","","","DateFinancial|ItemId|T2.InventSiteId|T2.InventLocationId",PeriodEnding,$A261,$B261,$C261)</f>
        <v>0</v>
      </c>
      <c r="G261" s="10">
        <f>AtlasReport_3_Table_1[[#This Row],[Current On-hand]]-AtlasReport_3_Table_1[[#This Row],[Trans backwords (Beginning)]]</f>
        <v>0</v>
      </c>
      <c r="H261" s="10">
        <f>AtlasReport_3_Table_1[[#This Row],[Current On-hand]]-AtlasReport_3_Table_1[[#This Row],[Trans backwords (Ending)]]</f>
        <v>0</v>
      </c>
    </row>
    <row r="262" spans="1:8" x14ac:dyDescent="0.25">
      <c r="A262" s="8" t="s">
        <v>376</v>
      </c>
      <c r="B262" s="8" t="s">
        <v>261</v>
      </c>
      <c r="C262" s="8" t="s">
        <v>264</v>
      </c>
      <c r="D262" s="10">
        <v>282</v>
      </c>
      <c r="E262" s="10">
        <f>_xll.AtlasFormulas.AtlasFunctions.AtlasBalance("PROD",DataAreaId,"T.InventTrans|inventDimId~inventDimId@T.InventDim","Sum|Qty|0","","","","","","","DateFinancial|ItemId|T2.InventSiteId|T2.InventLocationId",PeriodBeginning,$A262,$B262,$C262)</f>
        <v>212</v>
      </c>
      <c r="F262" s="10">
        <f>_xll.AtlasFormulas.AtlasFunctions.AtlasBalance("PROD",DataAreaId,"T.InventTrans|inventDimId~inventDimId@T.InventDim","Sum|Qty|0","","","","","","","DateFinancial|ItemId|T2.InventSiteId|T2.InventLocationId",PeriodEnding,$A262,$B262,$C262)</f>
        <v>0</v>
      </c>
      <c r="G262" s="10">
        <f>AtlasReport_3_Table_1[[#This Row],[Current On-hand]]-AtlasReport_3_Table_1[[#This Row],[Trans backwords (Beginning)]]</f>
        <v>70</v>
      </c>
      <c r="H262" s="10">
        <f>AtlasReport_3_Table_1[[#This Row],[Current On-hand]]-AtlasReport_3_Table_1[[#This Row],[Trans backwords (Ending)]]</f>
        <v>282</v>
      </c>
    </row>
    <row r="263" spans="1:8" x14ac:dyDescent="0.25">
      <c r="A263" s="8" t="s">
        <v>377</v>
      </c>
      <c r="B263" s="8" t="s">
        <v>261</v>
      </c>
      <c r="C263" s="8" t="s">
        <v>264</v>
      </c>
      <c r="D263" s="10">
        <v>0</v>
      </c>
      <c r="E263" s="10">
        <f>_xll.AtlasFormulas.AtlasFunctions.AtlasBalance("PROD",DataAreaId,"T.InventTrans|inventDimId~inventDimId@T.InventDim","Sum|Qty|0","","","","","","","DateFinancial|ItemId|T2.InventSiteId|T2.InventLocationId",PeriodBeginning,$A263,$B263,$C263)</f>
        <v>0</v>
      </c>
      <c r="F263" s="10">
        <f>_xll.AtlasFormulas.AtlasFunctions.AtlasBalance("PROD",DataAreaId,"T.InventTrans|inventDimId~inventDimId@T.InventDim","Sum|Qty|0","","","","","","","DateFinancial|ItemId|T2.InventSiteId|T2.InventLocationId",PeriodEnding,$A263,$B263,$C263)</f>
        <v>0</v>
      </c>
      <c r="G263" s="10">
        <f>AtlasReport_3_Table_1[[#This Row],[Current On-hand]]-AtlasReport_3_Table_1[[#This Row],[Trans backwords (Beginning)]]</f>
        <v>0</v>
      </c>
      <c r="H263" s="10">
        <f>AtlasReport_3_Table_1[[#This Row],[Current On-hand]]-AtlasReport_3_Table_1[[#This Row],[Trans backwords (Ending)]]</f>
        <v>0</v>
      </c>
    </row>
    <row r="264" spans="1:8" x14ac:dyDescent="0.25">
      <c r="A264" s="8" t="s">
        <v>378</v>
      </c>
      <c r="B264" s="8" t="s">
        <v>261</v>
      </c>
      <c r="C264" s="8" t="s">
        <v>81</v>
      </c>
      <c r="D264" s="10">
        <v>0</v>
      </c>
      <c r="E264" s="10">
        <f>_xll.AtlasFormulas.AtlasFunctions.AtlasBalance("PROD",DataAreaId,"T.InventTrans|inventDimId~inventDimId@T.InventDim","Sum|Qty|0","","","","","","","DateFinancial|ItemId|T2.InventSiteId|T2.InventLocationId",PeriodBeginning,$A264,$B264,$C264)</f>
        <v>0</v>
      </c>
      <c r="F264" s="10">
        <f>_xll.AtlasFormulas.AtlasFunctions.AtlasBalance("PROD",DataAreaId,"T.InventTrans|inventDimId~inventDimId@T.InventDim","Sum|Qty|0","","","","","","","DateFinancial|ItemId|T2.InventSiteId|T2.InventLocationId",PeriodEnding,$A264,$B264,$C264)</f>
        <v>0</v>
      </c>
      <c r="G264" s="10">
        <f>AtlasReport_3_Table_1[[#This Row],[Current On-hand]]-AtlasReport_3_Table_1[[#This Row],[Trans backwords (Beginning)]]</f>
        <v>0</v>
      </c>
      <c r="H264" s="10">
        <f>AtlasReport_3_Table_1[[#This Row],[Current On-hand]]-AtlasReport_3_Table_1[[#This Row],[Trans backwords (Ending)]]</f>
        <v>0</v>
      </c>
    </row>
    <row r="265" spans="1:8" x14ac:dyDescent="0.25">
      <c r="A265" s="8" t="s">
        <v>378</v>
      </c>
      <c r="B265" s="8" t="s">
        <v>261</v>
      </c>
      <c r="C265" s="8" t="s">
        <v>290</v>
      </c>
      <c r="D265" s="10">
        <v>112.5</v>
      </c>
      <c r="E265" s="10">
        <f>_xll.AtlasFormulas.AtlasFunctions.AtlasBalance("PROD",DataAreaId,"T.InventTrans|inventDimId~inventDimId@T.InventDim","Sum|Qty|0","","","","","","","DateFinancial|ItemId|T2.InventSiteId|T2.InventLocationId",PeriodBeginning,$A265,$B265,$C265)</f>
        <v>12.5</v>
      </c>
      <c r="F265" s="10">
        <f>_xll.AtlasFormulas.AtlasFunctions.AtlasBalance("PROD",DataAreaId,"T.InventTrans|inventDimId~inventDimId@T.InventDim","Sum|Qty|0","","","","","","","DateFinancial|ItemId|T2.InventSiteId|T2.InventLocationId",PeriodEnding,$A265,$B265,$C265)</f>
        <v>0</v>
      </c>
      <c r="G265" s="10">
        <f>AtlasReport_3_Table_1[[#This Row],[Current On-hand]]-AtlasReport_3_Table_1[[#This Row],[Trans backwords (Beginning)]]</f>
        <v>100</v>
      </c>
      <c r="H265" s="10">
        <f>AtlasReport_3_Table_1[[#This Row],[Current On-hand]]-AtlasReport_3_Table_1[[#This Row],[Trans backwords (Ending)]]</f>
        <v>112.5</v>
      </c>
    </row>
    <row r="266" spans="1:8" x14ac:dyDescent="0.25">
      <c r="A266" s="8" t="s">
        <v>378</v>
      </c>
      <c r="B266" s="8" t="s">
        <v>261</v>
      </c>
      <c r="C266" s="8" t="s">
        <v>264</v>
      </c>
      <c r="D266" s="10">
        <v>0</v>
      </c>
      <c r="E266" s="10">
        <f>_xll.AtlasFormulas.AtlasFunctions.AtlasBalance("PROD",DataAreaId,"T.InventTrans|inventDimId~inventDimId@T.InventDim","Sum|Qty|0","","","","","","","DateFinancial|ItemId|T2.InventSiteId|T2.InventLocationId",PeriodBeginning,$A266,$B266,$C266)</f>
        <v>0</v>
      </c>
      <c r="F266" s="10">
        <f>_xll.AtlasFormulas.AtlasFunctions.AtlasBalance("PROD",DataAreaId,"T.InventTrans|inventDimId~inventDimId@T.InventDim","Sum|Qty|0","","","","","","","DateFinancial|ItemId|T2.InventSiteId|T2.InventLocationId",PeriodEnding,$A266,$B266,$C266)</f>
        <v>0</v>
      </c>
      <c r="G266" s="10">
        <f>AtlasReport_3_Table_1[[#This Row],[Current On-hand]]-AtlasReport_3_Table_1[[#This Row],[Trans backwords (Beginning)]]</f>
        <v>0</v>
      </c>
      <c r="H266" s="10">
        <f>AtlasReport_3_Table_1[[#This Row],[Current On-hand]]-AtlasReport_3_Table_1[[#This Row],[Trans backwords (Ending)]]</f>
        <v>0</v>
      </c>
    </row>
    <row r="267" spans="1:8" x14ac:dyDescent="0.25">
      <c r="A267" s="8" t="s">
        <v>378</v>
      </c>
      <c r="B267" s="8" t="s">
        <v>261</v>
      </c>
      <c r="C267" s="8" t="s">
        <v>265</v>
      </c>
      <c r="D267" s="10">
        <v>0</v>
      </c>
      <c r="E267" s="10">
        <f>_xll.AtlasFormulas.AtlasFunctions.AtlasBalance("PROD",DataAreaId,"T.InventTrans|inventDimId~inventDimId@T.InventDim","Sum|Qty|0","","","","","","","DateFinancial|ItemId|T2.InventSiteId|T2.InventLocationId",PeriodBeginning,$A267,$B267,$C267)</f>
        <v>0</v>
      </c>
      <c r="F267" s="10">
        <f>_xll.AtlasFormulas.AtlasFunctions.AtlasBalance("PROD",DataAreaId,"T.InventTrans|inventDimId~inventDimId@T.InventDim","Sum|Qty|0","","","","","","","DateFinancial|ItemId|T2.InventSiteId|T2.InventLocationId",PeriodEnding,$A267,$B267,$C267)</f>
        <v>0</v>
      </c>
      <c r="G267" s="10">
        <f>AtlasReport_3_Table_1[[#This Row],[Current On-hand]]-AtlasReport_3_Table_1[[#This Row],[Trans backwords (Beginning)]]</f>
        <v>0</v>
      </c>
      <c r="H267" s="10">
        <f>AtlasReport_3_Table_1[[#This Row],[Current On-hand]]-AtlasReport_3_Table_1[[#This Row],[Trans backwords (Ending)]]</f>
        <v>0</v>
      </c>
    </row>
    <row r="268" spans="1:8" x14ac:dyDescent="0.25">
      <c r="A268" s="8" t="s">
        <v>379</v>
      </c>
      <c r="B268" s="8" t="s">
        <v>261</v>
      </c>
      <c r="C268" s="8" t="s">
        <v>81</v>
      </c>
      <c r="D268" s="10">
        <v>0</v>
      </c>
      <c r="E268" s="10">
        <f>_xll.AtlasFormulas.AtlasFunctions.AtlasBalance("PROD",DataAreaId,"T.InventTrans|inventDimId~inventDimId@T.InventDim","Sum|Qty|0","","","","","","","DateFinancial|ItemId|T2.InventSiteId|T2.InventLocationId",PeriodBeginning,$A268,$B268,$C268)</f>
        <v>0</v>
      </c>
      <c r="F268" s="10">
        <f>_xll.AtlasFormulas.AtlasFunctions.AtlasBalance("PROD",DataAreaId,"T.InventTrans|inventDimId~inventDimId@T.InventDim","Sum|Qty|0","","","","","","","DateFinancial|ItemId|T2.InventSiteId|T2.InventLocationId",PeriodEnding,$A268,$B268,$C268)</f>
        <v>0</v>
      </c>
      <c r="G268" s="10">
        <f>AtlasReport_3_Table_1[[#This Row],[Current On-hand]]-AtlasReport_3_Table_1[[#This Row],[Trans backwords (Beginning)]]</f>
        <v>0</v>
      </c>
      <c r="H268" s="10">
        <f>AtlasReport_3_Table_1[[#This Row],[Current On-hand]]-AtlasReport_3_Table_1[[#This Row],[Trans backwords (Ending)]]</f>
        <v>0</v>
      </c>
    </row>
    <row r="269" spans="1:8" x14ac:dyDescent="0.25">
      <c r="A269" s="8" t="s">
        <v>379</v>
      </c>
      <c r="B269" s="8" t="s">
        <v>261</v>
      </c>
      <c r="C269" s="8" t="s">
        <v>262</v>
      </c>
      <c r="D269" s="10">
        <v>0</v>
      </c>
      <c r="E269" s="10">
        <f>_xll.AtlasFormulas.AtlasFunctions.AtlasBalance("PROD",DataAreaId,"T.InventTrans|inventDimId~inventDimId@T.InventDim","Sum|Qty|0","","","","","","","DateFinancial|ItemId|T2.InventSiteId|T2.InventLocationId",PeriodBeginning,$A269,$B269,$C269)</f>
        <v>0</v>
      </c>
      <c r="F269" s="10">
        <f>_xll.AtlasFormulas.AtlasFunctions.AtlasBalance("PROD",DataAreaId,"T.InventTrans|inventDimId~inventDimId@T.InventDim","Sum|Qty|0","","","","","","","DateFinancial|ItemId|T2.InventSiteId|T2.InventLocationId",PeriodEnding,$A269,$B269,$C269)</f>
        <v>0</v>
      </c>
      <c r="G269" s="10">
        <f>AtlasReport_3_Table_1[[#This Row],[Current On-hand]]-AtlasReport_3_Table_1[[#This Row],[Trans backwords (Beginning)]]</f>
        <v>0</v>
      </c>
      <c r="H269" s="10">
        <f>AtlasReport_3_Table_1[[#This Row],[Current On-hand]]-AtlasReport_3_Table_1[[#This Row],[Trans backwords (Ending)]]</f>
        <v>0</v>
      </c>
    </row>
    <row r="270" spans="1:8" x14ac:dyDescent="0.25">
      <c r="A270" s="8" t="s">
        <v>379</v>
      </c>
      <c r="B270" s="8" t="s">
        <v>261</v>
      </c>
      <c r="C270" s="8" t="s">
        <v>290</v>
      </c>
      <c r="D270" s="10">
        <v>20</v>
      </c>
      <c r="E270" s="10">
        <f>_xll.AtlasFormulas.AtlasFunctions.AtlasBalance("PROD",DataAreaId,"T.InventTrans|inventDimId~inventDimId@T.InventDim","Sum|Qty|0","","","","","","","DateFinancial|ItemId|T2.InventSiteId|T2.InventLocationId",PeriodBeginning,$A270,$B270,$C270)</f>
        <v>0</v>
      </c>
      <c r="F270" s="10">
        <f>_xll.AtlasFormulas.AtlasFunctions.AtlasBalance("PROD",DataAreaId,"T.InventTrans|inventDimId~inventDimId@T.InventDim","Sum|Qty|0","","","","","","","DateFinancial|ItemId|T2.InventSiteId|T2.InventLocationId",PeriodEnding,$A270,$B270,$C270)</f>
        <v>0</v>
      </c>
      <c r="G270" s="10">
        <f>AtlasReport_3_Table_1[[#This Row],[Current On-hand]]-AtlasReport_3_Table_1[[#This Row],[Trans backwords (Beginning)]]</f>
        <v>20</v>
      </c>
      <c r="H270" s="10">
        <f>AtlasReport_3_Table_1[[#This Row],[Current On-hand]]-AtlasReport_3_Table_1[[#This Row],[Trans backwords (Ending)]]</f>
        <v>20</v>
      </c>
    </row>
    <row r="271" spans="1:8" x14ac:dyDescent="0.25">
      <c r="A271" s="8" t="s">
        <v>379</v>
      </c>
      <c r="B271" s="8" t="s">
        <v>261</v>
      </c>
      <c r="C271" s="8" t="s">
        <v>264</v>
      </c>
      <c r="D271" s="10">
        <v>380</v>
      </c>
      <c r="E271" s="10">
        <f>_xll.AtlasFormulas.AtlasFunctions.AtlasBalance("PROD",DataAreaId,"T.InventTrans|inventDimId~inventDimId@T.InventDim","Sum|Qty|0","","","","","","","DateFinancial|ItemId|T2.InventSiteId|T2.InventLocationId",PeriodBeginning,$A271,$B271,$C271)</f>
        <v>0</v>
      </c>
      <c r="F271" s="10">
        <f>_xll.AtlasFormulas.AtlasFunctions.AtlasBalance("PROD",DataAreaId,"T.InventTrans|inventDimId~inventDimId@T.InventDim","Sum|Qty|0","","","","","","","DateFinancial|ItemId|T2.InventSiteId|T2.InventLocationId",PeriodEnding,$A271,$B271,$C271)</f>
        <v>0</v>
      </c>
      <c r="G271" s="10">
        <f>AtlasReport_3_Table_1[[#This Row],[Current On-hand]]-AtlasReport_3_Table_1[[#This Row],[Trans backwords (Beginning)]]</f>
        <v>380</v>
      </c>
      <c r="H271" s="10">
        <f>AtlasReport_3_Table_1[[#This Row],[Current On-hand]]-AtlasReport_3_Table_1[[#This Row],[Trans backwords (Ending)]]</f>
        <v>380</v>
      </c>
    </row>
    <row r="272" spans="1:8" x14ac:dyDescent="0.25">
      <c r="A272" s="8" t="s">
        <v>380</v>
      </c>
      <c r="B272" s="8" t="s">
        <v>261</v>
      </c>
      <c r="C272" s="8" t="s">
        <v>264</v>
      </c>
      <c r="D272" s="10">
        <v>100</v>
      </c>
      <c r="E272" s="10">
        <f>_xll.AtlasFormulas.AtlasFunctions.AtlasBalance("PROD",DataAreaId,"T.InventTrans|inventDimId~inventDimId@T.InventDim","Sum|Qty|0","","","","","","","DateFinancial|ItemId|T2.InventSiteId|T2.InventLocationId",PeriodBeginning,$A272,$B272,$C272)</f>
        <v>0</v>
      </c>
      <c r="F272" s="10">
        <f>_xll.AtlasFormulas.AtlasFunctions.AtlasBalance("PROD",DataAreaId,"T.InventTrans|inventDimId~inventDimId@T.InventDim","Sum|Qty|0","","","","","","","DateFinancial|ItemId|T2.InventSiteId|T2.InventLocationId",PeriodEnding,$A272,$B272,$C272)</f>
        <v>0</v>
      </c>
      <c r="G272" s="10">
        <f>AtlasReport_3_Table_1[[#This Row],[Current On-hand]]-AtlasReport_3_Table_1[[#This Row],[Trans backwords (Beginning)]]</f>
        <v>100</v>
      </c>
      <c r="H272" s="10">
        <f>AtlasReport_3_Table_1[[#This Row],[Current On-hand]]-AtlasReport_3_Table_1[[#This Row],[Trans backwords (Ending)]]</f>
        <v>100</v>
      </c>
    </row>
    <row r="273" spans="1:8" x14ac:dyDescent="0.25">
      <c r="A273" s="8" t="s">
        <v>381</v>
      </c>
      <c r="B273" s="8" t="s">
        <v>261</v>
      </c>
      <c r="C273" s="8" t="s">
        <v>81</v>
      </c>
      <c r="D273" s="10">
        <v>0</v>
      </c>
      <c r="E273" s="10">
        <f>_xll.AtlasFormulas.AtlasFunctions.AtlasBalance("PROD",DataAreaId,"T.InventTrans|inventDimId~inventDimId@T.InventDim","Sum|Qty|0","","","","","","","DateFinancial|ItemId|T2.InventSiteId|T2.InventLocationId",PeriodBeginning,$A273,$B273,$C273)</f>
        <v>0</v>
      </c>
      <c r="F273" s="10">
        <f>_xll.AtlasFormulas.AtlasFunctions.AtlasBalance("PROD",DataAreaId,"T.InventTrans|inventDimId~inventDimId@T.InventDim","Sum|Qty|0","","","","","","","DateFinancial|ItemId|T2.InventSiteId|T2.InventLocationId",PeriodEnding,$A273,$B273,$C273)</f>
        <v>0</v>
      </c>
      <c r="G273" s="10">
        <f>AtlasReport_3_Table_1[[#This Row],[Current On-hand]]-AtlasReport_3_Table_1[[#This Row],[Trans backwords (Beginning)]]</f>
        <v>0</v>
      </c>
      <c r="H273" s="10">
        <f>AtlasReport_3_Table_1[[#This Row],[Current On-hand]]-AtlasReport_3_Table_1[[#This Row],[Trans backwords (Ending)]]</f>
        <v>0</v>
      </c>
    </row>
    <row r="274" spans="1:8" x14ac:dyDescent="0.25">
      <c r="A274" s="8" t="s">
        <v>381</v>
      </c>
      <c r="B274" s="8" t="s">
        <v>261</v>
      </c>
      <c r="C274" s="8" t="s">
        <v>262</v>
      </c>
      <c r="D274" s="10">
        <v>0</v>
      </c>
      <c r="E274" s="10">
        <f>_xll.AtlasFormulas.AtlasFunctions.AtlasBalance("PROD",DataAreaId,"T.InventTrans|inventDimId~inventDimId@T.InventDim","Sum|Qty|0","","","","","","","DateFinancial|ItemId|T2.InventSiteId|T2.InventLocationId",PeriodBeginning,$A274,$B274,$C274)</f>
        <v>0</v>
      </c>
      <c r="F274" s="10">
        <f>_xll.AtlasFormulas.AtlasFunctions.AtlasBalance("PROD",DataAreaId,"T.InventTrans|inventDimId~inventDimId@T.InventDim","Sum|Qty|0","","","","","","","DateFinancial|ItemId|T2.InventSiteId|T2.InventLocationId",PeriodEnding,$A274,$B274,$C274)</f>
        <v>0</v>
      </c>
      <c r="G274" s="10">
        <f>AtlasReport_3_Table_1[[#This Row],[Current On-hand]]-AtlasReport_3_Table_1[[#This Row],[Trans backwords (Beginning)]]</f>
        <v>0</v>
      </c>
      <c r="H274" s="10">
        <f>AtlasReport_3_Table_1[[#This Row],[Current On-hand]]-AtlasReport_3_Table_1[[#This Row],[Trans backwords (Ending)]]</f>
        <v>0</v>
      </c>
    </row>
    <row r="275" spans="1:8" x14ac:dyDescent="0.25">
      <c r="A275" s="8" t="s">
        <v>381</v>
      </c>
      <c r="B275" s="8" t="s">
        <v>261</v>
      </c>
      <c r="C275" s="8" t="s">
        <v>290</v>
      </c>
      <c r="D275" s="10">
        <v>0</v>
      </c>
      <c r="E275" s="10">
        <f>_xll.AtlasFormulas.AtlasFunctions.AtlasBalance("PROD",DataAreaId,"T.InventTrans|inventDimId~inventDimId@T.InventDim","Sum|Qty|0","","","","","","","DateFinancial|ItemId|T2.InventSiteId|T2.InventLocationId",PeriodBeginning,$A275,$B275,$C275)</f>
        <v>0</v>
      </c>
      <c r="F275" s="10">
        <f>_xll.AtlasFormulas.AtlasFunctions.AtlasBalance("PROD",DataAreaId,"T.InventTrans|inventDimId~inventDimId@T.InventDim","Sum|Qty|0","","","","","","","DateFinancial|ItemId|T2.InventSiteId|T2.InventLocationId",PeriodEnding,$A275,$B275,$C275)</f>
        <v>0</v>
      </c>
      <c r="G275" s="10">
        <f>AtlasReport_3_Table_1[[#This Row],[Current On-hand]]-AtlasReport_3_Table_1[[#This Row],[Trans backwords (Beginning)]]</f>
        <v>0</v>
      </c>
      <c r="H275" s="10">
        <f>AtlasReport_3_Table_1[[#This Row],[Current On-hand]]-AtlasReport_3_Table_1[[#This Row],[Trans backwords (Ending)]]</f>
        <v>0</v>
      </c>
    </row>
    <row r="276" spans="1:8" x14ac:dyDescent="0.25">
      <c r="A276" s="8" t="s">
        <v>381</v>
      </c>
      <c r="B276" s="8" t="s">
        <v>261</v>
      </c>
      <c r="C276" s="8" t="s">
        <v>264</v>
      </c>
      <c r="D276" s="10">
        <v>1917.5</v>
      </c>
      <c r="E276" s="10">
        <f>_xll.AtlasFormulas.AtlasFunctions.AtlasBalance("PROD",DataAreaId,"T.InventTrans|inventDimId~inventDimId@T.InventDim","Sum|Qty|0","","","","","","","DateFinancial|ItemId|T2.InventSiteId|T2.InventLocationId",PeriodBeginning,$A276,$B276,$C276)</f>
        <v>292.5</v>
      </c>
      <c r="F276" s="10">
        <f>_xll.AtlasFormulas.AtlasFunctions.AtlasBalance("PROD",DataAreaId,"T.InventTrans|inventDimId~inventDimId@T.InventDim","Sum|Qty|0","","","","","","","DateFinancial|ItemId|T2.InventSiteId|T2.InventLocationId",PeriodEnding,$A276,$B276,$C276)</f>
        <v>0</v>
      </c>
      <c r="G276" s="10">
        <f>AtlasReport_3_Table_1[[#This Row],[Current On-hand]]-AtlasReport_3_Table_1[[#This Row],[Trans backwords (Beginning)]]</f>
        <v>1625</v>
      </c>
      <c r="H276" s="10">
        <f>AtlasReport_3_Table_1[[#This Row],[Current On-hand]]-AtlasReport_3_Table_1[[#This Row],[Trans backwords (Ending)]]</f>
        <v>1917.5</v>
      </c>
    </row>
    <row r="277" spans="1:8" x14ac:dyDescent="0.25">
      <c r="A277" s="8" t="s">
        <v>382</v>
      </c>
      <c r="B277" s="8" t="s">
        <v>261</v>
      </c>
      <c r="C277" s="8" t="s">
        <v>81</v>
      </c>
      <c r="D277" s="10">
        <v>0</v>
      </c>
      <c r="E277" s="10">
        <f>_xll.AtlasFormulas.AtlasFunctions.AtlasBalance("PROD",DataAreaId,"T.InventTrans|inventDimId~inventDimId@T.InventDim","Sum|Qty|0","","","","","","","DateFinancial|ItemId|T2.InventSiteId|T2.InventLocationId",PeriodBeginning,$A277,$B277,$C277)</f>
        <v>0</v>
      </c>
      <c r="F277" s="10">
        <f>_xll.AtlasFormulas.AtlasFunctions.AtlasBalance("PROD",DataAreaId,"T.InventTrans|inventDimId~inventDimId@T.InventDim","Sum|Qty|0","","","","","","","DateFinancial|ItemId|T2.InventSiteId|T2.InventLocationId",PeriodEnding,$A277,$B277,$C277)</f>
        <v>0</v>
      </c>
      <c r="G277" s="10">
        <f>AtlasReport_3_Table_1[[#This Row],[Current On-hand]]-AtlasReport_3_Table_1[[#This Row],[Trans backwords (Beginning)]]</f>
        <v>0</v>
      </c>
      <c r="H277" s="10">
        <f>AtlasReport_3_Table_1[[#This Row],[Current On-hand]]-AtlasReport_3_Table_1[[#This Row],[Trans backwords (Ending)]]</f>
        <v>0</v>
      </c>
    </row>
    <row r="278" spans="1:8" x14ac:dyDescent="0.25">
      <c r="A278" s="8" t="s">
        <v>382</v>
      </c>
      <c r="B278" s="8" t="s">
        <v>261</v>
      </c>
      <c r="C278" s="8" t="s">
        <v>290</v>
      </c>
      <c r="D278" s="10">
        <v>0</v>
      </c>
      <c r="E278" s="10">
        <f>_xll.AtlasFormulas.AtlasFunctions.AtlasBalance("PROD",DataAreaId,"T.InventTrans|inventDimId~inventDimId@T.InventDim","Sum|Qty|0","","","","","","","DateFinancial|ItemId|T2.InventSiteId|T2.InventLocationId",PeriodBeginning,$A278,$B278,$C278)</f>
        <v>-435</v>
      </c>
      <c r="F278" s="10">
        <f>_xll.AtlasFormulas.AtlasFunctions.AtlasBalance("PROD",DataAreaId,"T.InventTrans|inventDimId~inventDimId@T.InventDim","Sum|Qty|0","","","","","","","DateFinancial|ItemId|T2.InventSiteId|T2.InventLocationId",PeriodEnding,$A278,$B278,$C278)</f>
        <v>0</v>
      </c>
      <c r="G278" s="10">
        <f>AtlasReport_3_Table_1[[#This Row],[Current On-hand]]-AtlasReport_3_Table_1[[#This Row],[Trans backwords (Beginning)]]</f>
        <v>435</v>
      </c>
      <c r="H278" s="10">
        <f>AtlasReport_3_Table_1[[#This Row],[Current On-hand]]-AtlasReport_3_Table_1[[#This Row],[Trans backwords (Ending)]]</f>
        <v>0</v>
      </c>
    </row>
    <row r="279" spans="1:8" x14ac:dyDescent="0.25">
      <c r="A279" s="8" t="s">
        <v>382</v>
      </c>
      <c r="B279" s="8" t="s">
        <v>261</v>
      </c>
      <c r="C279" s="8" t="s">
        <v>264</v>
      </c>
      <c r="D279" s="10">
        <v>1522.5</v>
      </c>
      <c r="E279" s="10">
        <f>_xll.AtlasFormulas.AtlasFunctions.AtlasBalance("PROD",DataAreaId,"T.InventTrans|inventDimId~inventDimId@T.InventDim","Sum|Qty|0","","","","","","","DateFinancial|ItemId|T2.InventSiteId|T2.InventLocationId",PeriodBeginning,$A279,$B279,$C279)</f>
        <v>0</v>
      </c>
      <c r="F279" s="10">
        <f>_xll.AtlasFormulas.AtlasFunctions.AtlasBalance("PROD",DataAreaId,"T.InventTrans|inventDimId~inventDimId@T.InventDim","Sum|Qty|0","","","","","","","DateFinancial|ItemId|T2.InventSiteId|T2.InventLocationId",PeriodEnding,$A279,$B279,$C279)</f>
        <v>0</v>
      </c>
      <c r="G279" s="10">
        <f>AtlasReport_3_Table_1[[#This Row],[Current On-hand]]-AtlasReport_3_Table_1[[#This Row],[Trans backwords (Beginning)]]</f>
        <v>1522.5</v>
      </c>
      <c r="H279" s="10">
        <f>AtlasReport_3_Table_1[[#This Row],[Current On-hand]]-AtlasReport_3_Table_1[[#This Row],[Trans backwords (Ending)]]</f>
        <v>1522.5</v>
      </c>
    </row>
    <row r="280" spans="1:8" x14ac:dyDescent="0.25">
      <c r="A280" s="8" t="s">
        <v>15</v>
      </c>
      <c r="B280" s="8" t="s">
        <v>261</v>
      </c>
      <c r="C280" s="8" t="s">
        <v>81</v>
      </c>
      <c r="D280" s="10">
        <v>0</v>
      </c>
      <c r="E280" s="10">
        <f>_xll.AtlasFormulas.AtlasFunctions.AtlasBalance("PROD",DataAreaId,"T.InventTrans|inventDimId~inventDimId@T.InventDim","Sum|Qty|0","","","","","","","DateFinancial|ItemId|T2.InventSiteId|T2.InventLocationId",PeriodBeginning,$A280,$B280,$C280)</f>
        <v>0</v>
      </c>
      <c r="F280" s="10">
        <f>_xll.AtlasFormulas.AtlasFunctions.AtlasBalance("PROD",DataAreaId,"T.InventTrans|inventDimId~inventDimId@T.InventDim","Sum|Qty|0","","","","","","","DateFinancial|ItemId|T2.InventSiteId|T2.InventLocationId",PeriodEnding,$A280,$B280,$C280)</f>
        <v>0</v>
      </c>
      <c r="G280" s="10">
        <f>AtlasReport_3_Table_1[[#This Row],[Current On-hand]]-AtlasReport_3_Table_1[[#This Row],[Trans backwords (Beginning)]]</f>
        <v>0</v>
      </c>
      <c r="H280" s="10">
        <f>AtlasReport_3_Table_1[[#This Row],[Current On-hand]]-AtlasReport_3_Table_1[[#This Row],[Trans backwords (Ending)]]</f>
        <v>0</v>
      </c>
    </row>
    <row r="281" spans="1:8" x14ac:dyDescent="0.25">
      <c r="A281" s="8" t="s">
        <v>15</v>
      </c>
      <c r="B281" s="8" t="s">
        <v>261</v>
      </c>
      <c r="C281" s="8" t="s">
        <v>383</v>
      </c>
      <c r="D281" s="10">
        <v>0</v>
      </c>
      <c r="E281" s="10">
        <f>_xll.AtlasFormulas.AtlasFunctions.AtlasBalance("PROD",DataAreaId,"T.InventTrans|inventDimId~inventDimId@T.InventDim","Sum|Qty|0","","","","","","","DateFinancial|ItemId|T2.InventSiteId|T2.InventLocationId",PeriodBeginning,$A281,$B281,$C281)</f>
        <v>0</v>
      </c>
      <c r="F281" s="10">
        <f>_xll.AtlasFormulas.AtlasFunctions.AtlasBalance("PROD",DataAreaId,"T.InventTrans|inventDimId~inventDimId@T.InventDim","Sum|Qty|0","","","","","","","DateFinancial|ItemId|T2.InventSiteId|T2.InventLocationId",PeriodEnding,$A281,$B281,$C281)</f>
        <v>0</v>
      </c>
      <c r="G281" s="10">
        <f>AtlasReport_3_Table_1[[#This Row],[Current On-hand]]-AtlasReport_3_Table_1[[#This Row],[Trans backwords (Beginning)]]</f>
        <v>0</v>
      </c>
      <c r="H281" s="10">
        <f>AtlasReport_3_Table_1[[#This Row],[Current On-hand]]-AtlasReport_3_Table_1[[#This Row],[Trans backwords (Ending)]]</f>
        <v>0</v>
      </c>
    </row>
    <row r="282" spans="1:8" x14ac:dyDescent="0.25">
      <c r="A282" s="8" t="s">
        <v>15</v>
      </c>
      <c r="B282" s="8" t="s">
        <v>261</v>
      </c>
      <c r="C282" s="8" t="s">
        <v>305</v>
      </c>
      <c r="D282" s="10">
        <v>145.5</v>
      </c>
      <c r="E282" s="10">
        <f>_xll.AtlasFormulas.AtlasFunctions.AtlasBalance("PROD",DataAreaId,"T.InventTrans|inventDimId~inventDimId@T.InventDim","Sum|Qty|0","","","","","","","DateFinancial|ItemId|T2.InventSiteId|T2.InventLocationId",PeriodBeginning,$A282,$B282,$C282)</f>
        <v>0</v>
      </c>
      <c r="F282" s="10">
        <f>_xll.AtlasFormulas.AtlasFunctions.AtlasBalance("PROD",DataAreaId,"T.InventTrans|inventDimId~inventDimId@T.InventDim","Sum|Qty|0","","","","","","","DateFinancial|ItemId|T2.InventSiteId|T2.InventLocationId",PeriodEnding,$A282,$B282,$C282)</f>
        <v>0</v>
      </c>
      <c r="G282" s="10">
        <f>AtlasReport_3_Table_1[[#This Row],[Current On-hand]]-AtlasReport_3_Table_1[[#This Row],[Trans backwords (Beginning)]]</f>
        <v>145.5</v>
      </c>
      <c r="H282" s="10">
        <f>AtlasReport_3_Table_1[[#This Row],[Current On-hand]]-AtlasReport_3_Table_1[[#This Row],[Trans backwords (Ending)]]</f>
        <v>145.5</v>
      </c>
    </row>
    <row r="283" spans="1:8" x14ac:dyDescent="0.25">
      <c r="A283" s="8" t="s">
        <v>15</v>
      </c>
      <c r="B283" s="8" t="s">
        <v>261</v>
      </c>
      <c r="C283" s="8" t="s">
        <v>262</v>
      </c>
      <c r="D283" s="10">
        <v>0</v>
      </c>
      <c r="E283" s="10">
        <f>_xll.AtlasFormulas.AtlasFunctions.AtlasBalance("PROD",DataAreaId,"T.InventTrans|inventDimId~inventDimId@T.InventDim","Sum|Qty|0","","","","","","","DateFinancial|ItemId|T2.InventSiteId|T2.InventLocationId",PeriodBeginning,$A283,$B283,$C283)</f>
        <v>0</v>
      </c>
      <c r="F283" s="10">
        <f>_xll.AtlasFormulas.AtlasFunctions.AtlasBalance("PROD",DataAreaId,"T.InventTrans|inventDimId~inventDimId@T.InventDim","Sum|Qty|0","","","","","","","DateFinancial|ItemId|T2.InventSiteId|T2.InventLocationId",PeriodEnding,$A283,$B283,$C283)</f>
        <v>0</v>
      </c>
      <c r="G283" s="10">
        <f>AtlasReport_3_Table_1[[#This Row],[Current On-hand]]-AtlasReport_3_Table_1[[#This Row],[Trans backwords (Beginning)]]</f>
        <v>0</v>
      </c>
      <c r="H283" s="10">
        <f>AtlasReport_3_Table_1[[#This Row],[Current On-hand]]-AtlasReport_3_Table_1[[#This Row],[Trans backwords (Ending)]]</f>
        <v>0</v>
      </c>
    </row>
    <row r="284" spans="1:8" x14ac:dyDescent="0.25">
      <c r="A284" s="8" t="s">
        <v>15</v>
      </c>
      <c r="B284" s="8" t="s">
        <v>261</v>
      </c>
      <c r="C284" s="8" t="s">
        <v>290</v>
      </c>
      <c r="D284" s="10">
        <v>739.15</v>
      </c>
      <c r="E284" s="10">
        <f>_xll.AtlasFormulas.AtlasFunctions.AtlasBalance("PROD",DataAreaId,"T.InventTrans|inventDimId~inventDimId@T.InventDim","Sum|Qty|0","","","","","","","DateFinancial|ItemId|T2.InventSiteId|T2.InventLocationId",PeriodBeginning,$A284,$B284,$C284)</f>
        <v>205.65</v>
      </c>
      <c r="F284" s="10">
        <f>_xll.AtlasFormulas.AtlasFunctions.AtlasBalance("PROD",DataAreaId,"T.InventTrans|inventDimId~inventDimId@T.InventDim","Sum|Qty|0","","","","","","","DateFinancial|ItemId|T2.InventSiteId|T2.InventLocationId",PeriodEnding,$A284,$B284,$C284)</f>
        <v>0</v>
      </c>
      <c r="G284" s="10">
        <f>AtlasReport_3_Table_1[[#This Row],[Current On-hand]]-AtlasReport_3_Table_1[[#This Row],[Trans backwords (Beginning)]]</f>
        <v>533.5</v>
      </c>
      <c r="H284" s="10">
        <f>AtlasReport_3_Table_1[[#This Row],[Current On-hand]]-AtlasReport_3_Table_1[[#This Row],[Trans backwords (Ending)]]</f>
        <v>739.15</v>
      </c>
    </row>
    <row r="285" spans="1:8" x14ac:dyDescent="0.25">
      <c r="A285" s="8" t="s">
        <v>15</v>
      </c>
      <c r="B285" s="8" t="s">
        <v>261</v>
      </c>
      <c r="C285" s="8" t="s">
        <v>264</v>
      </c>
      <c r="D285" s="10">
        <v>1018.5</v>
      </c>
      <c r="E285" s="10">
        <f>_xll.AtlasFormulas.AtlasFunctions.AtlasBalance("PROD",DataAreaId,"T.InventTrans|inventDimId~inventDimId@T.InventDim","Sum|Qty|0","","","","","","","DateFinancial|ItemId|T2.InventSiteId|T2.InventLocationId",PeriodBeginning,$A285,$B285,$C285)</f>
        <v>-145.5</v>
      </c>
      <c r="F285" s="10">
        <f>_xll.AtlasFormulas.AtlasFunctions.AtlasBalance("PROD",DataAreaId,"T.InventTrans|inventDimId~inventDimId@T.InventDim","Sum|Qty|0","","","","","","","DateFinancial|ItemId|T2.InventSiteId|T2.InventLocationId",PeriodEnding,$A285,$B285,$C285)</f>
        <v>0</v>
      </c>
      <c r="G285" s="10">
        <f>AtlasReport_3_Table_1[[#This Row],[Current On-hand]]-AtlasReport_3_Table_1[[#This Row],[Trans backwords (Beginning)]]</f>
        <v>1164</v>
      </c>
      <c r="H285" s="10">
        <f>AtlasReport_3_Table_1[[#This Row],[Current On-hand]]-AtlasReport_3_Table_1[[#This Row],[Trans backwords (Ending)]]</f>
        <v>1018.5</v>
      </c>
    </row>
    <row r="286" spans="1:8" x14ac:dyDescent="0.25">
      <c r="A286" s="8" t="s">
        <v>15</v>
      </c>
      <c r="B286" s="8" t="s">
        <v>261</v>
      </c>
      <c r="C286" s="8" t="s">
        <v>265</v>
      </c>
      <c r="D286" s="10">
        <v>0</v>
      </c>
      <c r="E286" s="10">
        <f>_xll.AtlasFormulas.AtlasFunctions.AtlasBalance("PROD",DataAreaId,"T.InventTrans|inventDimId~inventDimId@T.InventDim","Sum|Qty|0","","","","","","","DateFinancial|ItemId|T2.InventSiteId|T2.InventLocationId",PeriodBeginning,$A286,$B286,$C286)</f>
        <v>0</v>
      </c>
      <c r="F286" s="10">
        <f>_xll.AtlasFormulas.AtlasFunctions.AtlasBalance("PROD",DataAreaId,"T.InventTrans|inventDimId~inventDimId@T.InventDim","Sum|Qty|0","","","","","","","DateFinancial|ItemId|T2.InventSiteId|T2.InventLocationId",PeriodEnding,$A286,$B286,$C286)</f>
        <v>0</v>
      </c>
      <c r="G286" s="10">
        <f>AtlasReport_3_Table_1[[#This Row],[Current On-hand]]-AtlasReport_3_Table_1[[#This Row],[Trans backwords (Beginning)]]</f>
        <v>0</v>
      </c>
      <c r="H286" s="10">
        <f>AtlasReport_3_Table_1[[#This Row],[Current On-hand]]-AtlasReport_3_Table_1[[#This Row],[Trans backwords (Ending)]]</f>
        <v>0</v>
      </c>
    </row>
    <row r="287" spans="1:8" x14ac:dyDescent="0.25">
      <c r="A287" s="8" t="s">
        <v>384</v>
      </c>
      <c r="B287" s="8" t="s">
        <v>261</v>
      </c>
      <c r="C287" s="8" t="s">
        <v>81</v>
      </c>
      <c r="D287" s="10">
        <v>0</v>
      </c>
      <c r="E287" s="10">
        <f>_xll.AtlasFormulas.AtlasFunctions.AtlasBalance("PROD",DataAreaId,"T.InventTrans|inventDimId~inventDimId@T.InventDim","Sum|Qty|0","","","","","","","DateFinancial|ItemId|T2.InventSiteId|T2.InventLocationId",PeriodBeginning,$A287,$B287,$C287)</f>
        <v>0</v>
      </c>
      <c r="F287" s="10">
        <f>_xll.AtlasFormulas.AtlasFunctions.AtlasBalance("PROD",DataAreaId,"T.InventTrans|inventDimId~inventDimId@T.InventDim","Sum|Qty|0","","","","","","","DateFinancial|ItemId|T2.InventSiteId|T2.InventLocationId",PeriodEnding,$A287,$B287,$C287)</f>
        <v>0</v>
      </c>
      <c r="G287" s="10">
        <f>AtlasReport_3_Table_1[[#This Row],[Current On-hand]]-AtlasReport_3_Table_1[[#This Row],[Trans backwords (Beginning)]]</f>
        <v>0</v>
      </c>
      <c r="H287" s="10">
        <f>AtlasReport_3_Table_1[[#This Row],[Current On-hand]]-AtlasReport_3_Table_1[[#This Row],[Trans backwords (Ending)]]</f>
        <v>0</v>
      </c>
    </row>
    <row r="288" spans="1:8" x14ac:dyDescent="0.25">
      <c r="A288" s="8" t="s">
        <v>384</v>
      </c>
      <c r="B288" s="8" t="s">
        <v>261</v>
      </c>
      <c r="C288" s="8" t="s">
        <v>262</v>
      </c>
      <c r="D288" s="10">
        <v>0</v>
      </c>
      <c r="E288" s="10">
        <f>_xll.AtlasFormulas.AtlasFunctions.AtlasBalance("PROD",DataAreaId,"T.InventTrans|inventDimId~inventDimId@T.InventDim","Sum|Qty|0","","","","","","","DateFinancial|ItemId|T2.InventSiteId|T2.InventLocationId",PeriodBeginning,$A288,$B288,$C288)</f>
        <v>0</v>
      </c>
      <c r="F288" s="10">
        <f>_xll.AtlasFormulas.AtlasFunctions.AtlasBalance("PROD",DataAreaId,"T.InventTrans|inventDimId~inventDimId@T.InventDim","Sum|Qty|0","","","","","","","DateFinancial|ItemId|T2.InventSiteId|T2.InventLocationId",PeriodEnding,$A288,$B288,$C288)</f>
        <v>0</v>
      </c>
      <c r="G288" s="10">
        <f>AtlasReport_3_Table_1[[#This Row],[Current On-hand]]-AtlasReport_3_Table_1[[#This Row],[Trans backwords (Beginning)]]</f>
        <v>0</v>
      </c>
      <c r="H288" s="10">
        <f>AtlasReport_3_Table_1[[#This Row],[Current On-hand]]-AtlasReport_3_Table_1[[#This Row],[Trans backwords (Ending)]]</f>
        <v>0</v>
      </c>
    </row>
    <row r="289" spans="1:8" x14ac:dyDescent="0.25">
      <c r="A289" s="8" t="s">
        <v>385</v>
      </c>
      <c r="B289" s="8" t="s">
        <v>261</v>
      </c>
      <c r="C289" s="8" t="s">
        <v>262</v>
      </c>
      <c r="D289" s="10">
        <v>0</v>
      </c>
      <c r="E289" s="10">
        <f>_xll.AtlasFormulas.AtlasFunctions.AtlasBalance("PROD",DataAreaId,"T.InventTrans|inventDimId~inventDimId@T.InventDim","Sum|Qty|0","","","","","","","DateFinancial|ItemId|T2.InventSiteId|T2.InventLocationId",PeriodBeginning,$A289,$B289,$C289)</f>
        <v>0</v>
      </c>
      <c r="F289" s="10">
        <f>_xll.AtlasFormulas.AtlasFunctions.AtlasBalance("PROD",DataAreaId,"T.InventTrans|inventDimId~inventDimId@T.InventDim","Sum|Qty|0","","","","","","","DateFinancial|ItemId|T2.InventSiteId|T2.InventLocationId",PeriodEnding,$A289,$B289,$C289)</f>
        <v>0</v>
      </c>
      <c r="G289" s="10">
        <f>AtlasReport_3_Table_1[[#This Row],[Current On-hand]]-AtlasReport_3_Table_1[[#This Row],[Trans backwords (Beginning)]]</f>
        <v>0</v>
      </c>
      <c r="H289" s="10">
        <f>AtlasReport_3_Table_1[[#This Row],[Current On-hand]]-AtlasReport_3_Table_1[[#This Row],[Trans backwords (Ending)]]</f>
        <v>0</v>
      </c>
    </row>
    <row r="290" spans="1:8" x14ac:dyDescent="0.25">
      <c r="A290" s="8" t="s">
        <v>385</v>
      </c>
      <c r="B290" s="8" t="s">
        <v>261</v>
      </c>
      <c r="C290" s="8" t="s">
        <v>264</v>
      </c>
      <c r="D290" s="10">
        <v>0</v>
      </c>
      <c r="E290" s="10">
        <f>_xll.AtlasFormulas.AtlasFunctions.AtlasBalance("PROD",DataAreaId,"T.InventTrans|inventDimId~inventDimId@T.InventDim","Sum|Qty|0","","","","","","","DateFinancial|ItemId|T2.InventSiteId|T2.InventLocationId",PeriodBeginning,$A290,$B290,$C290)</f>
        <v>0</v>
      </c>
      <c r="F290" s="10">
        <f>_xll.AtlasFormulas.AtlasFunctions.AtlasBalance("PROD",DataAreaId,"T.InventTrans|inventDimId~inventDimId@T.InventDim","Sum|Qty|0","","","","","","","DateFinancial|ItemId|T2.InventSiteId|T2.InventLocationId",PeriodEnding,$A290,$B290,$C290)</f>
        <v>0</v>
      </c>
      <c r="G290" s="10">
        <f>AtlasReport_3_Table_1[[#This Row],[Current On-hand]]-AtlasReport_3_Table_1[[#This Row],[Trans backwords (Beginning)]]</f>
        <v>0</v>
      </c>
      <c r="H290" s="10">
        <f>AtlasReport_3_Table_1[[#This Row],[Current On-hand]]-AtlasReport_3_Table_1[[#This Row],[Trans backwords (Ending)]]</f>
        <v>0</v>
      </c>
    </row>
    <row r="291" spans="1:8" x14ac:dyDescent="0.25">
      <c r="A291" s="8" t="s">
        <v>386</v>
      </c>
      <c r="B291" s="8" t="s">
        <v>261</v>
      </c>
      <c r="C291" s="8" t="s">
        <v>81</v>
      </c>
      <c r="D291" s="10">
        <v>0</v>
      </c>
      <c r="E291" s="10">
        <f>_xll.AtlasFormulas.AtlasFunctions.AtlasBalance("PROD",DataAreaId,"T.InventTrans|inventDimId~inventDimId@T.InventDim","Sum|Qty|0","","","","","","","DateFinancial|ItemId|T2.InventSiteId|T2.InventLocationId",PeriodBeginning,$A291,$B291,$C291)</f>
        <v>0</v>
      </c>
      <c r="F291" s="10">
        <f>_xll.AtlasFormulas.AtlasFunctions.AtlasBalance("PROD",DataAreaId,"T.InventTrans|inventDimId~inventDimId@T.InventDim","Sum|Qty|0","","","","","","","DateFinancial|ItemId|T2.InventSiteId|T2.InventLocationId",PeriodEnding,$A291,$B291,$C291)</f>
        <v>0</v>
      </c>
      <c r="G291" s="10">
        <f>AtlasReport_3_Table_1[[#This Row],[Current On-hand]]-AtlasReport_3_Table_1[[#This Row],[Trans backwords (Beginning)]]</f>
        <v>0</v>
      </c>
      <c r="H291" s="10">
        <f>AtlasReport_3_Table_1[[#This Row],[Current On-hand]]-AtlasReport_3_Table_1[[#This Row],[Trans backwords (Ending)]]</f>
        <v>0</v>
      </c>
    </row>
    <row r="292" spans="1:8" x14ac:dyDescent="0.25">
      <c r="A292" s="8" t="s">
        <v>386</v>
      </c>
      <c r="B292" s="8" t="s">
        <v>261</v>
      </c>
      <c r="C292" s="8" t="s">
        <v>262</v>
      </c>
      <c r="D292" s="10">
        <v>0</v>
      </c>
      <c r="E292" s="10">
        <f>_xll.AtlasFormulas.AtlasFunctions.AtlasBalance("PROD",DataAreaId,"T.InventTrans|inventDimId~inventDimId@T.InventDim","Sum|Qty|0","","","","","","","DateFinancial|ItemId|T2.InventSiteId|T2.InventLocationId",PeriodBeginning,$A292,$B292,$C292)</f>
        <v>0</v>
      </c>
      <c r="F292" s="10">
        <f>_xll.AtlasFormulas.AtlasFunctions.AtlasBalance("PROD",DataAreaId,"T.InventTrans|inventDimId~inventDimId@T.InventDim","Sum|Qty|0","","","","","","","DateFinancial|ItemId|T2.InventSiteId|T2.InventLocationId",PeriodEnding,$A292,$B292,$C292)</f>
        <v>0</v>
      </c>
      <c r="G292" s="10">
        <f>AtlasReport_3_Table_1[[#This Row],[Current On-hand]]-AtlasReport_3_Table_1[[#This Row],[Trans backwords (Beginning)]]</f>
        <v>0</v>
      </c>
      <c r="H292" s="10">
        <f>AtlasReport_3_Table_1[[#This Row],[Current On-hand]]-AtlasReport_3_Table_1[[#This Row],[Trans backwords (Ending)]]</f>
        <v>0</v>
      </c>
    </row>
    <row r="293" spans="1:8" x14ac:dyDescent="0.25">
      <c r="A293" s="8" t="s">
        <v>386</v>
      </c>
      <c r="B293" s="8" t="s">
        <v>261</v>
      </c>
      <c r="C293" s="8" t="s">
        <v>264</v>
      </c>
      <c r="D293" s="10">
        <v>68</v>
      </c>
      <c r="E293" s="10">
        <f>_xll.AtlasFormulas.AtlasFunctions.AtlasBalance("PROD",DataAreaId,"T.InventTrans|inventDimId~inventDimId@T.InventDim","Sum|Qty|0","","","","","","","DateFinancial|ItemId|T2.InventSiteId|T2.InventLocationId",PeriodBeginning,$A293,$B293,$C293)</f>
        <v>-2</v>
      </c>
      <c r="F293" s="10">
        <f>_xll.AtlasFormulas.AtlasFunctions.AtlasBalance("PROD",DataAreaId,"T.InventTrans|inventDimId~inventDimId@T.InventDim","Sum|Qty|0","","","","","","","DateFinancial|ItemId|T2.InventSiteId|T2.InventLocationId",PeriodEnding,$A293,$B293,$C293)</f>
        <v>0</v>
      </c>
      <c r="G293" s="10">
        <f>AtlasReport_3_Table_1[[#This Row],[Current On-hand]]-AtlasReport_3_Table_1[[#This Row],[Trans backwords (Beginning)]]</f>
        <v>70</v>
      </c>
      <c r="H293" s="10">
        <f>AtlasReport_3_Table_1[[#This Row],[Current On-hand]]-AtlasReport_3_Table_1[[#This Row],[Trans backwords (Ending)]]</f>
        <v>68</v>
      </c>
    </row>
    <row r="294" spans="1:8" x14ac:dyDescent="0.25">
      <c r="A294" s="8" t="s">
        <v>27</v>
      </c>
      <c r="B294" s="8" t="s">
        <v>261</v>
      </c>
      <c r="C294" s="8" t="s">
        <v>81</v>
      </c>
      <c r="D294" s="10">
        <v>0</v>
      </c>
      <c r="E294" s="10">
        <f>_xll.AtlasFormulas.AtlasFunctions.AtlasBalance("PROD",DataAreaId,"T.InventTrans|inventDimId~inventDimId@T.InventDim","Sum|Qty|0","","","","","","","DateFinancial|ItemId|T2.InventSiteId|T2.InventLocationId",PeriodBeginning,$A294,$B294,$C294)</f>
        <v>0</v>
      </c>
      <c r="F294" s="10">
        <f>_xll.AtlasFormulas.AtlasFunctions.AtlasBalance("PROD",DataAreaId,"T.InventTrans|inventDimId~inventDimId@T.InventDim","Sum|Qty|0","","","","","","","DateFinancial|ItemId|T2.InventSiteId|T2.InventLocationId",PeriodEnding,$A294,$B294,$C294)</f>
        <v>0</v>
      </c>
      <c r="G294" s="10">
        <f>AtlasReport_3_Table_1[[#This Row],[Current On-hand]]-AtlasReport_3_Table_1[[#This Row],[Trans backwords (Beginning)]]</f>
        <v>0</v>
      </c>
      <c r="H294" s="10">
        <f>AtlasReport_3_Table_1[[#This Row],[Current On-hand]]-AtlasReport_3_Table_1[[#This Row],[Trans backwords (Ending)]]</f>
        <v>0</v>
      </c>
    </row>
    <row r="295" spans="1:8" x14ac:dyDescent="0.25">
      <c r="A295" s="8" t="s">
        <v>27</v>
      </c>
      <c r="B295" s="8" t="s">
        <v>261</v>
      </c>
      <c r="C295" s="8" t="s">
        <v>262</v>
      </c>
      <c r="D295" s="10">
        <v>0</v>
      </c>
      <c r="E295" s="10">
        <f>_xll.AtlasFormulas.AtlasFunctions.AtlasBalance("PROD",DataAreaId,"T.InventTrans|inventDimId~inventDimId@T.InventDim","Sum|Qty|0","","","","","","","DateFinancial|ItemId|T2.InventSiteId|T2.InventLocationId",PeriodBeginning,$A295,$B295,$C295)</f>
        <v>0</v>
      </c>
      <c r="F295" s="10">
        <f>_xll.AtlasFormulas.AtlasFunctions.AtlasBalance("PROD",DataAreaId,"T.InventTrans|inventDimId~inventDimId@T.InventDim","Sum|Qty|0","","","","","","","DateFinancial|ItemId|T2.InventSiteId|T2.InventLocationId",PeriodEnding,$A295,$B295,$C295)</f>
        <v>0</v>
      </c>
      <c r="G295" s="10">
        <f>AtlasReport_3_Table_1[[#This Row],[Current On-hand]]-AtlasReport_3_Table_1[[#This Row],[Trans backwords (Beginning)]]</f>
        <v>0</v>
      </c>
      <c r="H295" s="10">
        <f>AtlasReport_3_Table_1[[#This Row],[Current On-hand]]-AtlasReport_3_Table_1[[#This Row],[Trans backwords (Ending)]]</f>
        <v>0</v>
      </c>
    </row>
    <row r="296" spans="1:8" x14ac:dyDescent="0.25">
      <c r="A296" s="8" t="s">
        <v>27</v>
      </c>
      <c r="B296" s="8" t="s">
        <v>261</v>
      </c>
      <c r="C296" s="8" t="s">
        <v>290</v>
      </c>
      <c r="D296" s="10">
        <v>1734</v>
      </c>
      <c r="E296" s="10">
        <f>_xll.AtlasFormulas.AtlasFunctions.AtlasBalance("PROD",DataAreaId,"T.InventTrans|inventDimId~inventDimId@T.InventDim","Sum|Qty|0","","","","","","","DateFinancial|ItemId|T2.InventSiteId|T2.InventLocationId",PeriodBeginning,$A296,$B296,$C296)</f>
        <v>9</v>
      </c>
      <c r="F296" s="10">
        <f>_xll.AtlasFormulas.AtlasFunctions.AtlasBalance("PROD",DataAreaId,"T.InventTrans|inventDimId~inventDimId@T.InventDim","Sum|Qty|0","","","","","","","DateFinancial|ItemId|T2.InventSiteId|T2.InventLocationId",PeriodEnding,$A296,$B296,$C296)</f>
        <v>0</v>
      </c>
      <c r="G296" s="10">
        <f>AtlasReport_3_Table_1[[#This Row],[Current On-hand]]-AtlasReport_3_Table_1[[#This Row],[Trans backwords (Beginning)]]</f>
        <v>1725</v>
      </c>
      <c r="H296" s="10">
        <f>AtlasReport_3_Table_1[[#This Row],[Current On-hand]]-AtlasReport_3_Table_1[[#This Row],[Trans backwords (Ending)]]</f>
        <v>1734</v>
      </c>
    </row>
    <row r="297" spans="1:8" x14ac:dyDescent="0.25">
      <c r="A297" s="8" t="s">
        <v>27</v>
      </c>
      <c r="B297" s="8" t="s">
        <v>261</v>
      </c>
      <c r="C297" s="8" t="s">
        <v>264</v>
      </c>
      <c r="D297" s="10">
        <v>6825</v>
      </c>
      <c r="E297" s="10">
        <f>_xll.AtlasFormulas.AtlasFunctions.AtlasBalance("PROD",DataAreaId,"T.InventTrans|inventDimId~inventDimId@T.InventDim","Sum|Qty|0","","","","","","","DateFinancial|ItemId|T2.InventSiteId|T2.InventLocationId",PeriodBeginning,$A297,$B297,$C297)</f>
        <v>0</v>
      </c>
      <c r="F297" s="10">
        <f>_xll.AtlasFormulas.AtlasFunctions.AtlasBalance("PROD",DataAreaId,"T.InventTrans|inventDimId~inventDimId@T.InventDim","Sum|Qty|0","","","","","","","DateFinancial|ItemId|T2.InventSiteId|T2.InventLocationId",PeriodEnding,$A297,$B297,$C297)</f>
        <v>0</v>
      </c>
      <c r="G297" s="10">
        <f>AtlasReport_3_Table_1[[#This Row],[Current On-hand]]-AtlasReport_3_Table_1[[#This Row],[Trans backwords (Beginning)]]</f>
        <v>6825</v>
      </c>
      <c r="H297" s="10">
        <f>AtlasReport_3_Table_1[[#This Row],[Current On-hand]]-AtlasReport_3_Table_1[[#This Row],[Trans backwords (Ending)]]</f>
        <v>6825</v>
      </c>
    </row>
    <row r="298" spans="1:8" x14ac:dyDescent="0.25">
      <c r="A298" s="8" t="s">
        <v>27</v>
      </c>
      <c r="B298" s="8" t="s">
        <v>261</v>
      </c>
      <c r="C298" s="8" t="s">
        <v>265</v>
      </c>
      <c r="D298" s="10">
        <v>0</v>
      </c>
      <c r="E298" s="10">
        <f>_xll.AtlasFormulas.AtlasFunctions.AtlasBalance("PROD",DataAreaId,"T.InventTrans|inventDimId~inventDimId@T.InventDim","Sum|Qty|0","","","","","","","DateFinancial|ItemId|T2.InventSiteId|T2.InventLocationId",PeriodBeginning,$A298,$B298,$C298)</f>
        <v>0</v>
      </c>
      <c r="F298" s="10">
        <f>_xll.AtlasFormulas.AtlasFunctions.AtlasBalance("PROD",DataAreaId,"T.InventTrans|inventDimId~inventDimId@T.InventDim","Sum|Qty|0","","","","","","","DateFinancial|ItemId|T2.InventSiteId|T2.InventLocationId",PeriodEnding,$A298,$B298,$C298)</f>
        <v>0</v>
      </c>
      <c r="G298" s="10">
        <f>AtlasReport_3_Table_1[[#This Row],[Current On-hand]]-AtlasReport_3_Table_1[[#This Row],[Trans backwords (Beginning)]]</f>
        <v>0</v>
      </c>
      <c r="H298" s="10">
        <f>AtlasReport_3_Table_1[[#This Row],[Current On-hand]]-AtlasReport_3_Table_1[[#This Row],[Trans backwords (Ending)]]</f>
        <v>0</v>
      </c>
    </row>
    <row r="299" spans="1:8" x14ac:dyDescent="0.25">
      <c r="A299" s="8" t="s">
        <v>196</v>
      </c>
      <c r="B299" s="8" t="s">
        <v>261</v>
      </c>
      <c r="C299" s="8" t="s">
        <v>81</v>
      </c>
      <c r="D299" s="10">
        <v>0</v>
      </c>
      <c r="E299" s="10">
        <f>_xll.AtlasFormulas.AtlasFunctions.AtlasBalance("PROD",DataAreaId,"T.InventTrans|inventDimId~inventDimId@T.InventDim","Sum|Qty|0","","","","","","","DateFinancial|ItemId|T2.InventSiteId|T2.InventLocationId",PeriodBeginning,$A299,$B299,$C299)</f>
        <v>0</v>
      </c>
      <c r="F299" s="10">
        <f>_xll.AtlasFormulas.AtlasFunctions.AtlasBalance("PROD",DataAreaId,"T.InventTrans|inventDimId~inventDimId@T.InventDim","Sum|Qty|0","","","","","","","DateFinancial|ItemId|T2.InventSiteId|T2.InventLocationId",PeriodEnding,$A299,$B299,$C299)</f>
        <v>0</v>
      </c>
      <c r="G299" s="10">
        <f>AtlasReport_3_Table_1[[#This Row],[Current On-hand]]-AtlasReport_3_Table_1[[#This Row],[Trans backwords (Beginning)]]</f>
        <v>0</v>
      </c>
      <c r="H299" s="10">
        <f>AtlasReport_3_Table_1[[#This Row],[Current On-hand]]-AtlasReport_3_Table_1[[#This Row],[Trans backwords (Ending)]]</f>
        <v>0</v>
      </c>
    </row>
    <row r="300" spans="1:8" x14ac:dyDescent="0.25">
      <c r="A300" s="8" t="s">
        <v>196</v>
      </c>
      <c r="B300" s="8" t="s">
        <v>261</v>
      </c>
      <c r="C300" s="8" t="s">
        <v>262</v>
      </c>
      <c r="D300" s="10">
        <v>0</v>
      </c>
      <c r="E300" s="10">
        <f>_xll.AtlasFormulas.AtlasFunctions.AtlasBalance("PROD",DataAreaId,"T.InventTrans|inventDimId~inventDimId@T.InventDim","Sum|Qty|0","","","","","","","DateFinancial|ItemId|T2.InventSiteId|T2.InventLocationId",PeriodBeginning,$A300,$B300,$C300)</f>
        <v>0</v>
      </c>
      <c r="F300" s="10">
        <f>_xll.AtlasFormulas.AtlasFunctions.AtlasBalance("PROD",DataAreaId,"T.InventTrans|inventDimId~inventDimId@T.InventDim","Sum|Qty|0","","","","","","","DateFinancial|ItemId|T2.InventSiteId|T2.InventLocationId",PeriodEnding,$A300,$B300,$C300)</f>
        <v>0</v>
      </c>
      <c r="G300" s="10">
        <f>AtlasReport_3_Table_1[[#This Row],[Current On-hand]]-AtlasReport_3_Table_1[[#This Row],[Trans backwords (Beginning)]]</f>
        <v>0</v>
      </c>
      <c r="H300" s="10">
        <f>AtlasReport_3_Table_1[[#This Row],[Current On-hand]]-AtlasReport_3_Table_1[[#This Row],[Trans backwords (Ending)]]</f>
        <v>0</v>
      </c>
    </row>
    <row r="301" spans="1:8" x14ac:dyDescent="0.25">
      <c r="A301" s="8" t="s">
        <v>196</v>
      </c>
      <c r="B301" s="8" t="s">
        <v>261</v>
      </c>
      <c r="C301" s="8" t="s">
        <v>264</v>
      </c>
      <c r="D301" s="10">
        <v>0</v>
      </c>
      <c r="E301" s="10">
        <f>_xll.AtlasFormulas.AtlasFunctions.AtlasBalance("PROD",DataAreaId,"T.InventTrans|inventDimId~inventDimId@T.InventDim","Sum|Qty|0","","","","","","","DateFinancial|ItemId|T2.InventSiteId|T2.InventLocationId",PeriodBeginning,$A301,$B301,$C301)</f>
        <v>0</v>
      </c>
      <c r="F301" s="10">
        <f>_xll.AtlasFormulas.AtlasFunctions.AtlasBalance("PROD",DataAreaId,"T.InventTrans|inventDimId~inventDimId@T.InventDim","Sum|Qty|0","","","","","","","DateFinancial|ItemId|T2.InventSiteId|T2.InventLocationId",PeriodEnding,$A301,$B301,$C301)</f>
        <v>0</v>
      </c>
      <c r="G301" s="10">
        <f>AtlasReport_3_Table_1[[#This Row],[Current On-hand]]-AtlasReport_3_Table_1[[#This Row],[Trans backwords (Beginning)]]</f>
        <v>0</v>
      </c>
      <c r="H301" s="10">
        <f>AtlasReport_3_Table_1[[#This Row],[Current On-hand]]-AtlasReport_3_Table_1[[#This Row],[Trans backwords (Ending)]]</f>
        <v>0</v>
      </c>
    </row>
    <row r="302" spans="1:8" x14ac:dyDescent="0.25">
      <c r="A302" s="8" t="s">
        <v>387</v>
      </c>
      <c r="B302" s="8" t="s">
        <v>261</v>
      </c>
      <c r="C302" s="8" t="s">
        <v>81</v>
      </c>
      <c r="D302" s="10">
        <v>0</v>
      </c>
      <c r="E302" s="10">
        <f>_xll.AtlasFormulas.AtlasFunctions.AtlasBalance("PROD",DataAreaId,"T.InventTrans|inventDimId~inventDimId@T.InventDim","Sum|Qty|0","","","","","","","DateFinancial|ItemId|T2.InventSiteId|T2.InventLocationId",PeriodBeginning,$A302,$B302,$C302)</f>
        <v>0</v>
      </c>
      <c r="F302" s="10">
        <f>_xll.AtlasFormulas.AtlasFunctions.AtlasBalance("PROD",DataAreaId,"T.InventTrans|inventDimId~inventDimId@T.InventDim","Sum|Qty|0","","","","","","","DateFinancial|ItemId|T2.InventSiteId|T2.InventLocationId",PeriodEnding,$A302,$B302,$C302)</f>
        <v>0</v>
      </c>
      <c r="G302" s="10">
        <f>AtlasReport_3_Table_1[[#This Row],[Current On-hand]]-AtlasReport_3_Table_1[[#This Row],[Trans backwords (Beginning)]]</f>
        <v>0</v>
      </c>
      <c r="H302" s="10">
        <f>AtlasReport_3_Table_1[[#This Row],[Current On-hand]]-AtlasReport_3_Table_1[[#This Row],[Trans backwords (Ending)]]</f>
        <v>0</v>
      </c>
    </row>
    <row r="303" spans="1:8" x14ac:dyDescent="0.25">
      <c r="A303" s="8" t="s">
        <v>387</v>
      </c>
      <c r="B303" s="8" t="s">
        <v>261</v>
      </c>
      <c r="C303" s="8" t="s">
        <v>262</v>
      </c>
      <c r="D303" s="10">
        <v>0</v>
      </c>
      <c r="E303" s="10">
        <f>_xll.AtlasFormulas.AtlasFunctions.AtlasBalance("PROD",DataAreaId,"T.InventTrans|inventDimId~inventDimId@T.InventDim","Sum|Qty|0","","","","","","","DateFinancial|ItemId|T2.InventSiteId|T2.InventLocationId",PeriodBeginning,$A303,$B303,$C303)</f>
        <v>0</v>
      </c>
      <c r="F303" s="10">
        <f>_xll.AtlasFormulas.AtlasFunctions.AtlasBalance("PROD",DataAreaId,"T.InventTrans|inventDimId~inventDimId@T.InventDim","Sum|Qty|0","","","","","","","DateFinancial|ItemId|T2.InventSiteId|T2.InventLocationId",PeriodEnding,$A303,$B303,$C303)</f>
        <v>0</v>
      </c>
      <c r="G303" s="10">
        <f>AtlasReport_3_Table_1[[#This Row],[Current On-hand]]-AtlasReport_3_Table_1[[#This Row],[Trans backwords (Beginning)]]</f>
        <v>0</v>
      </c>
      <c r="H303" s="10">
        <f>AtlasReport_3_Table_1[[#This Row],[Current On-hand]]-AtlasReport_3_Table_1[[#This Row],[Trans backwords (Ending)]]</f>
        <v>0</v>
      </c>
    </row>
    <row r="304" spans="1:8" x14ac:dyDescent="0.25">
      <c r="A304" s="8" t="s">
        <v>387</v>
      </c>
      <c r="B304" s="8" t="s">
        <v>261</v>
      </c>
      <c r="C304" s="8" t="s">
        <v>264</v>
      </c>
      <c r="D304" s="10">
        <v>0</v>
      </c>
      <c r="E304" s="10">
        <f>_xll.AtlasFormulas.AtlasFunctions.AtlasBalance("PROD",DataAreaId,"T.InventTrans|inventDimId~inventDimId@T.InventDim","Sum|Qty|0","","","","","","","DateFinancial|ItemId|T2.InventSiteId|T2.InventLocationId",PeriodBeginning,$A304,$B304,$C304)</f>
        <v>0</v>
      </c>
      <c r="F304" s="10">
        <f>_xll.AtlasFormulas.AtlasFunctions.AtlasBalance("PROD",DataAreaId,"T.InventTrans|inventDimId~inventDimId@T.InventDim","Sum|Qty|0","","","","","","","DateFinancial|ItemId|T2.InventSiteId|T2.InventLocationId",PeriodEnding,$A304,$B304,$C304)</f>
        <v>0</v>
      </c>
      <c r="G304" s="10">
        <f>AtlasReport_3_Table_1[[#This Row],[Current On-hand]]-AtlasReport_3_Table_1[[#This Row],[Trans backwords (Beginning)]]</f>
        <v>0</v>
      </c>
      <c r="H304" s="10">
        <f>AtlasReport_3_Table_1[[#This Row],[Current On-hand]]-AtlasReport_3_Table_1[[#This Row],[Trans backwords (Ending)]]</f>
        <v>0</v>
      </c>
    </row>
    <row r="305" spans="1:8" x14ac:dyDescent="0.25">
      <c r="A305" s="8" t="s">
        <v>16</v>
      </c>
      <c r="B305" s="8" t="s">
        <v>261</v>
      </c>
      <c r="C305" s="8" t="s">
        <v>81</v>
      </c>
      <c r="D305" s="10">
        <v>0</v>
      </c>
      <c r="E305" s="10">
        <f>_xll.AtlasFormulas.AtlasFunctions.AtlasBalance("PROD",DataAreaId,"T.InventTrans|inventDimId~inventDimId@T.InventDim","Sum|Qty|0","","","","","","","DateFinancial|ItemId|T2.InventSiteId|T2.InventLocationId",PeriodBeginning,$A305,$B305,$C305)</f>
        <v>0</v>
      </c>
      <c r="F305" s="10">
        <f>_xll.AtlasFormulas.AtlasFunctions.AtlasBalance("PROD",DataAreaId,"T.InventTrans|inventDimId~inventDimId@T.InventDim","Sum|Qty|0","","","","","","","DateFinancial|ItemId|T2.InventSiteId|T2.InventLocationId",PeriodEnding,$A305,$B305,$C305)</f>
        <v>0</v>
      </c>
      <c r="G305" s="10">
        <f>AtlasReport_3_Table_1[[#This Row],[Current On-hand]]-AtlasReport_3_Table_1[[#This Row],[Trans backwords (Beginning)]]</f>
        <v>0</v>
      </c>
      <c r="H305" s="10">
        <f>AtlasReport_3_Table_1[[#This Row],[Current On-hand]]-AtlasReport_3_Table_1[[#This Row],[Trans backwords (Ending)]]</f>
        <v>0</v>
      </c>
    </row>
    <row r="306" spans="1:8" x14ac:dyDescent="0.25">
      <c r="A306" s="8" t="s">
        <v>16</v>
      </c>
      <c r="B306" s="8" t="s">
        <v>261</v>
      </c>
      <c r="C306" s="8" t="s">
        <v>262</v>
      </c>
      <c r="D306" s="10">
        <v>0</v>
      </c>
      <c r="E306" s="10">
        <f>_xll.AtlasFormulas.AtlasFunctions.AtlasBalance("PROD",DataAreaId,"T.InventTrans|inventDimId~inventDimId@T.InventDim","Sum|Qty|0","","","","","","","DateFinancial|ItemId|T2.InventSiteId|T2.InventLocationId",PeriodBeginning,$A306,$B306,$C306)</f>
        <v>0</v>
      </c>
      <c r="F306" s="10">
        <f>_xll.AtlasFormulas.AtlasFunctions.AtlasBalance("PROD",DataAreaId,"T.InventTrans|inventDimId~inventDimId@T.InventDim","Sum|Qty|0","","","","","","","DateFinancial|ItemId|T2.InventSiteId|T2.InventLocationId",PeriodEnding,$A306,$B306,$C306)</f>
        <v>0</v>
      </c>
      <c r="G306" s="10">
        <f>AtlasReport_3_Table_1[[#This Row],[Current On-hand]]-AtlasReport_3_Table_1[[#This Row],[Trans backwords (Beginning)]]</f>
        <v>0</v>
      </c>
      <c r="H306" s="10">
        <f>AtlasReport_3_Table_1[[#This Row],[Current On-hand]]-AtlasReport_3_Table_1[[#This Row],[Trans backwords (Ending)]]</f>
        <v>0</v>
      </c>
    </row>
    <row r="307" spans="1:8" x14ac:dyDescent="0.25">
      <c r="A307" s="8" t="s">
        <v>16</v>
      </c>
      <c r="B307" s="8" t="s">
        <v>261</v>
      </c>
      <c r="C307" s="8" t="s">
        <v>290</v>
      </c>
      <c r="D307" s="10">
        <v>3539.25</v>
      </c>
      <c r="E307" s="10">
        <f>_xll.AtlasFormulas.AtlasFunctions.AtlasBalance("PROD",DataAreaId,"T.InventTrans|inventDimId~inventDimId@T.InventDim","Sum|Qty|0","","","","","","","DateFinancial|ItemId|T2.InventSiteId|T2.InventLocationId",PeriodBeginning,$A307,$B307,$C307)</f>
        <v>-1140.75</v>
      </c>
      <c r="F307" s="10">
        <f>_xll.AtlasFormulas.AtlasFunctions.AtlasBalance("PROD",DataAreaId,"T.InventTrans|inventDimId~inventDimId@T.InventDim","Sum|Qty|0","","","","","","","DateFinancial|ItemId|T2.InventSiteId|T2.InventLocationId",PeriodEnding,$A307,$B307,$C307)</f>
        <v>0</v>
      </c>
      <c r="G307" s="10">
        <f>AtlasReport_3_Table_1[[#This Row],[Current On-hand]]-AtlasReport_3_Table_1[[#This Row],[Trans backwords (Beginning)]]</f>
        <v>4680</v>
      </c>
      <c r="H307" s="10">
        <f>AtlasReport_3_Table_1[[#This Row],[Current On-hand]]-AtlasReport_3_Table_1[[#This Row],[Trans backwords (Ending)]]</f>
        <v>3539.25</v>
      </c>
    </row>
    <row r="308" spans="1:8" x14ac:dyDescent="0.25">
      <c r="A308" s="8" t="s">
        <v>16</v>
      </c>
      <c r="B308" s="8" t="s">
        <v>261</v>
      </c>
      <c r="C308" s="8" t="s">
        <v>264</v>
      </c>
      <c r="D308" s="10">
        <v>8970</v>
      </c>
      <c r="E308" s="10">
        <f>_xll.AtlasFormulas.AtlasFunctions.AtlasBalance("PROD",DataAreaId,"T.InventTrans|inventDimId~inventDimId@T.InventDim","Sum|Qty|0","","","","","","","DateFinancial|ItemId|T2.InventSiteId|T2.InventLocationId",PeriodBeginning,$A308,$B308,$C308)</f>
        <v>-1365</v>
      </c>
      <c r="F308" s="10">
        <f>_xll.AtlasFormulas.AtlasFunctions.AtlasBalance("PROD",DataAreaId,"T.InventTrans|inventDimId~inventDimId@T.InventDim","Sum|Qty|0","","","","","","","DateFinancial|ItemId|T2.InventSiteId|T2.InventLocationId",PeriodEnding,$A308,$B308,$C308)</f>
        <v>0</v>
      </c>
      <c r="G308" s="10">
        <f>AtlasReport_3_Table_1[[#This Row],[Current On-hand]]-AtlasReport_3_Table_1[[#This Row],[Trans backwords (Beginning)]]</f>
        <v>10335</v>
      </c>
      <c r="H308" s="10">
        <f>AtlasReport_3_Table_1[[#This Row],[Current On-hand]]-AtlasReport_3_Table_1[[#This Row],[Trans backwords (Ending)]]</f>
        <v>8970</v>
      </c>
    </row>
    <row r="309" spans="1:8" x14ac:dyDescent="0.25">
      <c r="A309" s="8" t="s">
        <v>16</v>
      </c>
      <c r="B309" s="8" t="s">
        <v>261</v>
      </c>
      <c r="C309" s="8" t="s">
        <v>265</v>
      </c>
      <c r="D309" s="10">
        <v>0</v>
      </c>
      <c r="E309" s="10">
        <f>_xll.AtlasFormulas.AtlasFunctions.AtlasBalance("PROD",DataAreaId,"T.InventTrans|inventDimId~inventDimId@T.InventDim","Sum|Qty|0","","","","","","","DateFinancial|ItemId|T2.InventSiteId|T2.InventLocationId",PeriodBeginning,$A309,$B309,$C309)</f>
        <v>0</v>
      </c>
      <c r="F309" s="10">
        <f>_xll.AtlasFormulas.AtlasFunctions.AtlasBalance("PROD",DataAreaId,"T.InventTrans|inventDimId~inventDimId@T.InventDim","Sum|Qty|0","","","","","","","DateFinancial|ItemId|T2.InventSiteId|T2.InventLocationId",PeriodEnding,$A309,$B309,$C309)</f>
        <v>0</v>
      </c>
      <c r="G309" s="10">
        <f>AtlasReport_3_Table_1[[#This Row],[Current On-hand]]-AtlasReport_3_Table_1[[#This Row],[Trans backwords (Beginning)]]</f>
        <v>0</v>
      </c>
      <c r="H309" s="10">
        <f>AtlasReport_3_Table_1[[#This Row],[Current On-hand]]-AtlasReport_3_Table_1[[#This Row],[Trans backwords (Ending)]]</f>
        <v>0</v>
      </c>
    </row>
    <row r="310" spans="1:8" x14ac:dyDescent="0.25">
      <c r="A310" s="8" t="s">
        <v>388</v>
      </c>
      <c r="B310" s="8" t="s">
        <v>261</v>
      </c>
      <c r="C310" s="8" t="s">
        <v>81</v>
      </c>
      <c r="D310" s="10">
        <v>0</v>
      </c>
      <c r="E310" s="10">
        <f>_xll.AtlasFormulas.AtlasFunctions.AtlasBalance("PROD",DataAreaId,"T.InventTrans|inventDimId~inventDimId@T.InventDim","Sum|Qty|0","","","","","","","DateFinancial|ItemId|T2.InventSiteId|T2.InventLocationId",PeriodBeginning,$A310,$B310,$C310)</f>
        <v>0</v>
      </c>
      <c r="F310" s="10">
        <f>_xll.AtlasFormulas.AtlasFunctions.AtlasBalance("PROD",DataAreaId,"T.InventTrans|inventDimId~inventDimId@T.InventDim","Sum|Qty|0","","","","","","","DateFinancial|ItemId|T2.InventSiteId|T2.InventLocationId",PeriodEnding,$A310,$B310,$C310)</f>
        <v>0</v>
      </c>
      <c r="G310" s="10">
        <f>AtlasReport_3_Table_1[[#This Row],[Current On-hand]]-AtlasReport_3_Table_1[[#This Row],[Trans backwords (Beginning)]]</f>
        <v>0</v>
      </c>
      <c r="H310" s="10">
        <f>AtlasReport_3_Table_1[[#This Row],[Current On-hand]]-AtlasReport_3_Table_1[[#This Row],[Trans backwords (Ending)]]</f>
        <v>0</v>
      </c>
    </row>
    <row r="311" spans="1:8" x14ac:dyDescent="0.25">
      <c r="A311" s="8" t="s">
        <v>388</v>
      </c>
      <c r="B311" s="8" t="s">
        <v>261</v>
      </c>
      <c r="C311" s="8" t="s">
        <v>262</v>
      </c>
      <c r="D311" s="10">
        <v>0</v>
      </c>
      <c r="E311" s="10">
        <f>_xll.AtlasFormulas.AtlasFunctions.AtlasBalance("PROD",DataAreaId,"T.InventTrans|inventDimId~inventDimId@T.InventDim","Sum|Qty|0","","","","","","","DateFinancial|ItemId|T2.InventSiteId|T2.InventLocationId",PeriodBeginning,$A311,$B311,$C311)</f>
        <v>0</v>
      </c>
      <c r="F311" s="10">
        <f>_xll.AtlasFormulas.AtlasFunctions.AtlasBalance("PROD",DataAreaId,"T.InventTrans|inventDimId~inventDimId@T.InventDim","Sum|Qty|0","","","","","","","DateFinancial|ItemId|T2.InventSiteId|T2.InventLocationId",PeriodEnding,$A311,$B311,$C311)</f>
        <v>0</v>
      </c>
      <c r="G311" s="10">
        <f>AtlasReport_3_Table_1[[#This Row],[Current On-hand]]-AtlasReport_3_Table_1[[#This Row],[Trans backwords (Beginning)]]</f>
        <v>0</v>
      </c>
      <c r="H311" s="10">
        <f>AtlasReport_3_Table_1[[#This Row],[Current On-hand]]-AtlasReport_3_Table_1[[#This Row],[Trans backwords (Ending)]]</f>
        <v>0</v>
      </c>
    </row>
    <row r="312" spans="1:8" x14ac:dyDescent="0.25">
      <c r="A312" s="8" t="s">
        <v>388</v>
      </c>
      <c r="B312" s="8" t="s">
        <v>261</v>
      </c>
      <c r="C312" s="8" t="s">
        <v>264</v>
      </c>
      <c r="D312" s="10">
        <v>1755</v>
      </c>
      <c r="E312" s="10">
        <f>_xll.AtlasFormulas.AtlasFunctions.AtlasBalance("PROD",DataAreaId,"T.InventTrans|inventDimId~inventDimId@T.InventDim","Sum|Qty|0","","","","","","","DateFinancial|ItemId|T2.InventSiteId|T2.InventLocationId",PeriodBeginning,$A312,$B312,$C312)</f>
        <v>0</v>
      </c>
      <c r="F312" s="10">
        <f>_xll.AtlasFormulas.AtlasFunctions.AtlasBalance("PROD",DataAreaId,"T.InventTrans|inventDimId~inventDimId@T.InventDim","Sum|Qty|0","","","","","","","DateFinancial|ItemId|T2.InventSiteId|T2.InventLocationId",PeriodEnding,$A312,$B312,$C312)</f>
        <v>0</v>
      </c>
      <c r="G312" s="10">
        <f>AtlasReport_3_Table_1[[#This Row],[Current On-hand]]-AtlasReport_3_Table_1[[#This Row],[Trans backwords (Beginning)]]</f>
        <v>1755</v>
      </c>
      <c r="H312" s="10">
        <f>AtlasReport_3_Table_1[[#This Row],[Current On-hand]]-AtlasReport_3_Table_1[[#This Row],[Trans backwords (Ending)]]</f>
        <v>1755</v>
      </c>
    </row>
    <row r="313" spans="1:8" x14ac:dyDescent="0.25">
      <c r="A313" s="8" t="s">
        <v>389</v>
      </c>
      <c r="B313" s="8" t="s">
        <v>261</v>
      </c>
      <c r="C313" s="8" t="s">
        <v>81</v>
      </c>
      <c r="D313" s="10">
        <v>0</v>
      </c>
      <c r="E313" s="10">
        <f>_xll.AtlasFormulas.AtlasFunctions.AtlasBalance("PROD",DataAreaId,"T.InventTrans|inventDimId~inventDimId@T.InventDim","Sum|Qty|0","","","","","","","DateFinancial|ItemId|T2.InventSiteId|T2.InventLocationId",PeriodBeginning,$A313,$B313,$C313)</f>
        <v>0</v>
      </c>
      <c r="F313" s="10">
        <f>_xll.AtlasFormulas.AtlasFunctions.AtlasBalance("PROD",DataAreaId,"T.InventTrans|inventDimId~inventDimId@T.InventDim","Sum|Qty|0","","","","","","","DateFinancial|ItemId|T2.InventSiteId|T2.InventLocationId",PeriodEnding,$A313,$B313,$C313)</f>
        <v>0</v>
      </c>
      <c r="G313" s="10">
        <f>AtlasReport_3_Table_1[[#This Row],[Current On-hand]]-AtlasReport_3_Table_1[[#This Row],[Trans backwords (Beginning)]]</f>
        <v>0</v>
      </c>
      <c r="H313" s="10">
        <f>AtlasReport_3_Table_1[[#This Row],[Current On-hand]]-AtlasReport_3_Table_1[[#This Row],[Trans backwords (Ending)]]</f>
        <v>0</v>
      </c>
    </row>
    <row r="314" spans="1:8" x14ac:dyDescent="0.25">
      <c r="A314" s="8" t="s">
        <v>389</v>
      </c>
      <c r="B314" s="8" t="s">
        <v>261</v>
      </c>
      <c r="C314" s="8" t="s">
        <v>262</v>
      </c>
      <c r="D314" s="10">
        <v>0</v>
      </c>
      <c r="E314" s="10">
        <f>_xll.AtlasFormulas.AtlasFunctions.AtlasBalance("PROD",DataAreaId,"T.InventTrans|inventDimId~inventDimId@T.InventDim","Sum|Qty|0","","","","","","","DateFinancial|ItemId|T2.InventSiteId|T2.InventLocationId",PeriodBeginning,$A314,$B314,$C314)</f>
        <v>0</v>
      </c>
      <c r="F314" s="10">
        <f>_xll.AtlasFormulas.AtlasFunctions.AtlasBalance("PROD",DataAreaId,"T.InventTrans|inventDimId~inventDimId@T.InventDim","Sum|Qty|0","","","","","","","DateFinancial|ItemId|T2.InventSiteId|T2.InventLocationId",PeriodEnding,$A314,$B314,$C314)</f>
        <v>0</v>
      </c>
      <c r="G314" s="10">
        <f>AtlasReport_3_Table_1[[#This Row],[Current On-hand]]-AtlasReport_3_Table_1[[#This Row],[Trans backwords (Beginning)]]</f>
        <v>0</v>
      </c>
      <c r="H314" s="10">
        <f>AtlasReport_3_Table_1[[#This Row],[Current On-hand]]-AtlasReport_3_Table_1[[#This Row],[Trans backwords (Ending)]]</f>
        <v>0</v>
      </c>
    </row>
    <row r="315" spans="1:8" x14ac:dyDescent="0.25">
      <c r="A315" s="8" t="s">
        <v>389</v>
      </c>
      <c r="B315" s="8" t="s">
        <v>261</v>
      </c>
      <c r="C315" s="8" t="s">
        <v>264</v>
      </c>
      <c r="D315" s="10">
        <v>0</v>
      </c>
      <c r="E315" s="10">
        <f>_xll.AtlasFormulas.AtlasFunctions.AtlasBalance("PROD",DataAreaId,"T.InventTrans|inventDimId~inventDimId@T.InventDim","Sum|Qty|0","","","","","","","DateFinancial|ItemId|T2.InventSiteId|T2.InventLocationId",PeriodBeginning,$A315,$B315,$C315)</f>
        <v>0</v>
      </c>
      <c r="F315" s="10">
        <f>_xll.AtlasFormulas.AtlasFunctions.AtlasBalance("PROD",DataAreaId,"T.InventTrans|inventDimId~inventDimId@T.InventDim","Sum|Qty|0","","","","","","","DateFinancial|ItemId|T2.InventSiteId|T2.InventLocationId",PeriodEnding,$A315,$B315,$C315)</f>
        <v>0</v>
      </c>
      <c r="G315" s="10">
        <f>AtlasReport_3_Table_1[[#This Row],[Current On-hand]]-AtlasReport_3_Table_1[[#This Row],[Trans backwords (Beginning)]]</f>
        <v>0</v>
      </c>
      <c r="H315" s="10">
        <f>AtlasReport_3_Table_1[[#This Row],[Current On-hand]]-AtlasReport_3_Table_1[[#This Row],[Trans backwords (Ending)]]</f>
        <v>0</v>
      </c>
    </row>
    <row r="316" spans="1:8" x14ac:dyDescent="0.25">
      <c r="A316" s="8" t="s">
        <v>390</v>
      </c>
      <c r="B316" s="8" t="s">
        <v>261</v>
      </c>
      <c r="C316" s="8" t="s">
        <v>262</v>
      </c>
      <c r="D316" s="10">
        <v>0</v>
      </c>
      <c r="E316" s="10">
        <f>_xll.AtlasFormulas.AtlasFunctions.AtlasBalance("PROD",DataAreaId,"T.InventTrans|inventDimId~inventDimId@T.InventDim","Sum|Qty|0","","","","","","","DateFinancial|ItemId|T2.InventSiteId|T2.InventLocationId",PeriodBeginning,$A316,$B316,$C316)</f>
        <v>0</v>
      </c>
      <c r="F316" s="10">
        <f>_xll.AtlasFormulas.AtlasFunctions.AtlasBalance("PROD",DataAreaId,"T.InventTrans|inventDimId~inventDimId@T.InventDim","Sum|Qty|0","","","","","","","DateFinancial|ItemId|T2.InventSiteId|T2.InventLocationId",PeriodEnding,$A316,$B316,$C316)</f>
        <v>0</v>
      </c>
      <c r="G316" s="10">
        <f>AtlasReport_3_Table_1[[#This Row],[Current On-hand]]-AtlasReport_3_Table_1[[#This Row],[Trans backwords (Beginning)]]</f>
        <v>0</v>
      </c>
      <c r="H316" s="10">
        <f>AtlasReport_3_Table_1[[#This Row],[Current On-hand]]-AtlasReport_3_Table_1[[#This Row],[Trans backwords (Ending)]]</f>
        <v>0</v>
      </c>
    </row>
    <row r="317" spans="1:8" x14ac:dyDescent="0.25">
      <c r="A317" s="8" t="s">
        <v>391</v>
      </c>
      <c r="B317" s="8" t="s">
        <v>261</v>
      </c>
      <c r="C317" s="8" t="s">
        <v>81</v>
      </c>
      <c r="D317" s="10">
        <v>0</v>
      </c>
      <c r="E317" s="10">
        <f>_xll.AtlasFormulas.AtlasFunctions.AtlasBalance("PROD",DataAreaId,"T.InventTrans|inventDimId~inventDimId@T.InventDim","Sum|Qty|0","","","","","","","DateFinancial|ItemId|T2.InventSiteId|T2.InventLocationId",PeriodBeginning,$A317,$B317,$C317)</f>
        <v>0</v>
      </c>
      <c r="F317" s="10">
        <f>_xll.AtlasFormulas.AtlasFunctions.AtlasBalance("PROD",DataAreaId,"T.InventTrans|inventDimId~inventDimId@T.InventDim","Sum|Qty|0","","","","","","","DateFinancial|ItemId|T2.InventSiteId|T2.InventLocationId",PeriodEnding,$A317,$B317,$C317)</f>
        <v>0</v>
      </c>
      <c r="G317" s="10">
        <f>AtlasReport_3_Table_1[[#This Row],[Current On-hand]]-AtlasReport_3_Table_1[[#This Row],[Trans backwords (Beginning)]]</f>
        <v>0</v>
      </c>
      <c r="H317" s="10">
        <f>AtlasReport_3_Table_1[[#This Row],[Current On-hand]]-AtlasReport_3_Table_1[[#This Row],[Trans backwords (Ending)]]</f>
        <v>0</v>
      </c>
    </row>
    <row r="318" spans="1:8" x14ac:dyDescent="0.25">
      <c r="A318" s="8" t="s">
        <v>391</v>
      </c>
      <c r="B318" s="8" t="s">
        <v>261</v>
      </c>
      <c r="C318" s="8" t="s">
        <v>264</v>
      </c>
      <c r="D318" s="10">
        <v>0</v>
      </c>
      <c r="E318" s="10">
        <f>_xll.AtlasFormulas.AtlasFunctions.AtlasBalance("PROD",DataAreaId,"T.InventTrans|inventDimId~inventDimId@T.InventDim","Sum|Qty|0","","","","","","","DateFinancial|ItemId|T2.InventSiteId|T2.InventLocationId",PeriodBeginning,$A318,$B318,$C318)</f>
        <v>-3217.5</v>
      </c>
      <c r="F318" s="10">
        <f>_xll.AtlasFormulas.AtlasFunctions.AtlasBalance("PROD",DataAreaId,"T.InventTrans|inventDimId~inventDimId@T.InventDim","Sum|Qty|0","","","","","","","DateFinancial|ItemId|T2.InventSiteId|T2.InventLocationId",PeriodEnding,$A318,$B318,$C318)</f>
        <v>0</v>
      </c>
      <c r="G318" s="10">
        <f>AtlasReport_3_Table_1[[#This Row],[Current On-hand]]-AtlasReport_3_Table_1[[#This Row],[Trans backwords (Beginning)]]</f>
        <v>3217.5</v>
      </c>
      <c r="H318" s="10">
        <f>AtlasReport_3_Table_1[[#This Row],[Current On-hand]]-AtlasReport_3_Table_1[[#This Row],[Trans backwords (Ending)]]</f>
        <v>0</v>
      </c>
    </row>
    <row r="319" spans="1:8" x14ac:dyDescent="0.25">
      <c r="A319" s="8" t="s">
        <v>392</v>
      </c>
      <c r="B319" s="8" t="s">
        <v>261</v>
      </c>
      <c r="C319" s="8" t="s">
        <v>262</v>
      </c>
      <c r="D319" s="10">
        <v>0</v>
      </c>
      <c r="E319" s="10">
        <f>_xll.AtlasFormulas.AtlasFunctions.AtlasBalance("PROD",DataAreaId,"T.InventTrans|inventDimId~inventDimId@T.InventDim","Sum|Qty|0","","","","","","","DateFinancial|ItemId|T2.InventSiteId|T2.InventLocationId",PeriodBeginning,$A319,$B319,$C319)</f>
        <v>0</v>
      </c>
      <c r="F319" s="10">
        <f>_xll.AtlasFormulas.AtlasFunctions.AtlasBalance("PROD",DataAreaId,"T.InventTrans|inventDimId~inventDimId@T.InventDim","Sum|Qty|0","","","","","","","DateFinancial|ItemId|T2.InventSiteId|T2.InventLocationId",PeriodEnding,$A319,$B319,$C319)</f>
        <v>0</v>
      </c>
      <c r="G319" s="10">
        <f>AtlasReport_3_Table_1[[#This Row],[Current On-hand]]-AtlasReport_3_Table_1[[#This Row],[Trans backwords (Beginning)]]</f>
        <v>0</v>
      </c>
      <c r="H319" s="10">
        <f>AtlasReport_3_Table_1[[#This Row],[Current On-hand]]-AtlasReport_3_Table_1[[#This Row],[Trans backwords (Ending)]]</f>
        <v>0</v>
      </c>
    </row>
    <row r="320" spans="1:8" x14ac:dyDescent="0.25">
      <c r="A320" s="8" t="s">
        <v>392</v>
      </c>
      <c r="B320" s="8" t="s">
        <v>261</v>
      </c>
      <c r="C320" s="8" t="s">
        <v>264</v>
      </c>
      <c r="D320" s="10">
        <v>1180</v>
      </c>
      <c r="E320" s="10">
        <f>_xll.AtlasFormulas.AtlasFunctions.AtlasBalance("PROD",DataAreaId,"T.InventTrans|inventDimId~inventDimId@T.InventDim","Sum|Qty|0","","","","","","","DateFinancial|ItemId|T2.InventSiteId|T2.InventLocationId",PeriodBeginning,$A320,$B320,$C320)</f>
        <v>-240</v>
      </c>
      <c r="F320" s="10">
        <f>_xll.AtlasFormulas.AtlasFunctions.AtlasBalance("PROD",DataAreaId,"T.InventTrans|inventDimId~inventDimId@T.InventDim","Sum|Qty|0","","","","","","","DateFinancial|ItemId|T2.InventSiteId|T2.InventLocationId",PeriodEnding,$A320,$B320,$C320)</f>
        <v>0</v>
      </c>
      <c r="G320" s="10">
        <f>AtlasReport_3_Table_1[[#This Row],[Current On-hand]]-AtlasReport_3_Table_1[[#This Row],[Trans backwords (Beginning)]]</f>
        <v>1420</v>
      </c>
      <c r="H320" s="10">
        <f>AtlasReport_3_Table_1[[#This Row],[Current On-hand]]-AtlasReport_3_Table_1[[#This Row],[Trans backwords (Ending)]]</f>
        <v>1180</v>
      </c>
    </row>
    <row r="321" spans="1:8" x14ac:dyDescent="0.25">
      <c r="A321" s="8" t="s">
        <v>393</v>
      </c>
      <c r="B321" s="8" t="s">
        <v>261</v>
      </c>
      <c r="C321" s="8" t="s">
        <v>264</v>
      </c>
      <c r="D321" s="10">
        <v>0</v>
      </c>
      <c r="E321" s="10">
        <f>_xll.AtlasFormulas.AtlasFunctions.AtlasBalance("PROD",DataAreaId,"T.InventTrans|inventDimId~inventDimId@T.InventDim","Sum|Qty|0","","","","","","","DateFinancial|ItemId|T2.InventSiteId|T2.InventLocationId",PeriodBeginning,$A321,$B321,$C321)</f>
        <v>0</v>
      </c>
      <c r="F321" s="10">
        <f>_xll.AtlasFormulas.AtlasFunctions.AtlasBalance("PROD",DataAreaId,"T.InventTrans|inventDimId~inventDimId@T.InventDim","Sum|Qty|0","","","","","","","DateFinancial|ItemId|T2.InventSiteId|T2.InventLocationId",PeriodEnding,$A321,$B321,$C321)</f>
        <v>0</v>
      </c>
      <c r="G321" s="10">
        <f>AtlasReport_3_Table_1[[#This Row],[Current On-hand]]-AtlasReport_3_Table_1[[#This Row],[Trans backwords (Beginning)]]</f>
        <v>0</v>
      </c>
      <c r="H321" s="10">
        <f>AtlasReport_3_Table_1[[#This Row],[Current On-hand]]-AtlasReport_3_Table_1[[#This Row],[Trans backwords (Ending)]]</f>
        <v>0</v>
      </c>
    </row>
    <row r="322" spans="1:8" x14ac:dyDescent="0.25">
      <c r="A322" s="8" t="s">
        <v>143</v>
      </c>
      <c r="B322" s="8" t="s">
        <v>261</v>
      </c>
      <c r="C322" s="8" t="s">
        <v>81</v>
      </c>
      <c r="D322" s="10">
        <v>0</v>
      </c>
      <c r="E322" s="10">
        <f>_xll.AtlasFormulas.AtlasFunctions.AtlasBalance("PROD",DataAreaId,"T.InventTrans|inventDimId~inventDimId@T.InventDim","Sum|Qty|0","","","","","","","DateFinancial|ItemId|T2.InventSiteId|T2.InventLocationId",PeriodBeginning,$A322,$B322,$C322)</f>
        <v>0</v>
      </c>
      <c r="F322" s="10">
        <f>_xll.AtlasFormulas.AtlasFunctions.AtlasBalance("PROD",DataAreaId,"T.InventTrans|inventDimId~inventDimId@T.InventDim","Sum|Qty|0","","","","","","","DateFinancial|ItemId|T2.InventSiteId|T2.InventLocationId",PeriodEnding,$A322,$B322,$C322)</f>
        <v>0</v>
      </c>
      <c r="G322" s="10">
        <f>AtlasReport_3_Table_1[[#This Row],[Current On-hand]]-AtlasReport_3_Table_1[[#This Row],[Trans backwords (Beginning)]]</f>
        <v>0</v>
      </c>
      <c r="H322" s="10">
        <f>AtlasReport_3_Table_1[[#This Row],[Current On-hand]]-AtlasReport_3_Table_1[[#This Row],[Trans backwords (Ending)]]</f>
        <v>0</v>
      </c>
    </row>
    <row r="323" spans="1:8" x14ac:dyDescent="0.25">
      <c r="A323" s="8" t="s">
        <v>143</v>
      </c>
      <c r="B323" s="8" t="s">
        <v>261</v>
      </c>
      <c r="C323" s="8" t="s">
        <v>264</v>
      </c>
      <c r="D323" s="10">
        <v>0</v>
      </c>
      <c r="E323" s="10">
        <f>_xll.AtlasFormulas.AtlasFunctions.AtlasBalance("PROD",DataAreaId,"T.InventTrans|inventDimId~inventDimId@T.InventDim","Sum|Qty|0","","","","","","","DateFinancial|ItemId|T2.InventSiteId|T2.InventLocationId",PeriodBeginning,$A323,$B323,$C323)</f>
        <v>0</v>
      </c>
      <c r="F323" s="10">
        <f>_xll.AtlasFormulas.AtlasFunctions.AtlasBalance("PROD",DataAreaId,"T.InventTrans|inventDimId~inventDimId@T.InventDim","Sum|Qty|0","","","","","","","DateFinancial|ItemId|T2.InventSiteId|T2.InventLocationId",PeriodEnding,$A323,$B323,$C323)</f>
        <v>0</v>
      </c>
      <c r="G323" s="10">
        <f>AtlasReport_3_Table_1[[#This Row],[Current On-hand]]-AtlasReport_3_Table_1[[#This Row],[Trans backwords (Beginning)]]</f>
        <v>0</v>
      </c>
      <c r="H323" s="10">
        <f>AtlasReport_3_Table_1[[#This Row],[Current On-hand]]-AtlasReport_3_Table_1[[#This Row],[Trans backwords (Ending)]]</f>
        <v>0</v>
      </c>
    </row>
    <row r="324" spans="1:8" x14ac:dyDescent="0.25">
      <c r="A324" s="8" t="s">
        <v>394</v>
      </c>
      <c r="B324" s="8" t="s">
        <v>261</v>
      </c>
      <c r="C324" s="8" t="s">
        <v>264</v>
      </c>
      <c r="D324" s="10">
        <v>0</v>
      </c>
      <c r="E324" s="10">
        <f>_xll.AtlasFormulas.AtlasFunctions.AtlasBalance("PROD",DataAreaId,"T.InventTrans|inventDimId~inventDimId@T.InventDim","Sum|Qty|0","","","","","","","DateFinancial|ItemId|T2.InventSiteId|T2.InventLocationId",PeriodBeginning,$A324,$B324,$C324)</f>
        <v>0</v>
      </c>
      <c r="F324" s="10">
        <f>_xll.AtlasFormulas.AtlasFunctions.AtlasBalance("PROD",DataAreaId,"T.InventTrans|inventDimId~inventDimId@T.InventDim","Sum|Qty|0","","","","","","","DateFinancial|ItemId|T2.InventSiteId|T2.InventLocationId",PeriodEnding,$A324,$B324,$C324)</f>
        <v>0</v>
      </c>
      <c r="G324" s="10">
        <f>AtlasReport_3_Table_1[[#This Row],[Current On-hand]]-AtlasReport_3_Table_1[[#This Row],[Trans backwords (Beginning)]]</f>
        <v>0</v>
      </c>
      <c r="H324" s="10">
        <f>AtlasReport_3_Table_1[[#This Row],[Current On-hand]]-AtlasReport_3_Table_1[[#This Row],[Trans backwords (Ending)]]</f>
        <v>0</v>
      </c>
    </row>
    <row r="325" spans="1:8" x14ac:dyDescent="0.25">
      <c r="A325" s="8" t="s">
        <v>395</v>
      </c>
      <c r="B325" s="8" t="s">
        <v>261</v>
      </c>
      <c r="C325" s="8" t="s">
        <v>81</v>
      </c>
      <c r="D325" s="10">
        <v>0</v>
      </c>
      <c r="E325" s="10">
        <f>_xll.AtlasFormulas.AtlasFunctions.AtlasBalance("PROD",DataAreaId,"T.InventTrans|inventDimId~inventDimId@T.InventDim","Sum|Qty|0","","","","","","","DateFinancial|ItemId|T2.InventSiteId|T2.InventLocationId",PeriodBeginning,$A325,$B325,$C325)</f>
        <v>0</v>
      </c>
      <c r="F325" s="10">
        <f>_xll.AtlasFormulas.AtlasFunctions.AtlasBalance("PROD",DataAreaId,"T.InventTrans|inventDimId~inventDimId@T.InventDim","Sum|Qty|0","","","","","","","DateFinancial|ItemId|T2.InventSiteId|T2.InventLocationId",PeriodEnding,$A325,$B325,$C325)</f>
        <v>0</v>
      </c>
      <c r="G325" s="10">
        <f>AtlasReport_3_Table_1[[#This Row],[Current On-hand]]-AtlasReport_3_Table_1[[#This Row],[Trans backwords (Beginning)]]</f>
        <v>0</v>
      </c>
      <c r="H325" s="10">
        <f>AtlasReport_3_Table_1[[#This Row],[Current On-hand]]-AtlasReport_3_Table_1[[#This Row],[Trans backwords (Ending)]]</f>
        <v>0</v>
      </c>
    </row>
    <row r="326" spans="1:8" x14ac:dyDescent="0.25">
      <c r="A326" s="8" t="s">
        <v>395</v>
      </c>
      <c r="B326" s="8" t="s">
        <v>261</v>
      </c>
      <c r="C326" s="8" t="s">
        <v>264</v>
      </c>
      <c r="D326" s="10">
        <v>0</v>
      </c>
      <c r="E326" s="10">
        <f>_xll.AtlasFormulas.AtlasFunctions.AtlasBalance("PROD",DataAreaId,"T.InventTrans|inventDimId~inventDimId@T.InventDim","Sum|Qty|0","","","","","","","DateFinancial|ItemId|T2.InventSiteId|T2.InventLocationId",PeriodBeginning,$A326,$B326,$C326)</f>
        <v>0</v>
      </c>
      <c r="F326" s="10">
        <f>_xll.AtlasFormulas.AtlasFunctions.AtlasBalance("PROD",DataAreaId,"T.InventTrans|inventDimId~inventDimId@T.InventDim","Sum|Qty|0","","","","","","","DateFinancial|ItemId|T2.InventSiteId|T2.InventLocationId",PeriodEnding,$A326,$B326,$C326)</f>
        <v>0</v>
      </c>
      <c r="G326" s="10">
        <f>AtlasReport_3_Table_1[[#This Row],[Current On-hand]]-AtlasReport_3_Table_1[[#This Row],[Trans backwords (Beginning)]]</f>
        <v>0</v>
      </c>
      <c r="H326" s="10">
        <f>AtlasReport_3_Table_1[[#This Row],[Current On-hand]]-AtlasReport_3_Table_1[[#This Row],[Trans backwords (Ending)]]</f>
        <v>0</v>
      </c>
    </row>
    <row r="327" spans="1:8" x14ac:dyDescent="0.25">
      <c r="A327" s="8" t="s">
        <v>396</v>
      </c>
      <c r="B327" s="8" t="s">
        <v>261</v>
      </c>
      <c r="C327" s="8" t="s">
        <v>264</v>
      </c>
      <c r="D327" s="10">
        <v>0</v>
      </c>
      <c r="E327" s="10">
        <f>_xll.AtlasFormulas.AtlasFunctions.AtlasBalance("PROD",DataAreaId,"T.InventTrans|inventDimId~inventDimId@T.InventDim","Sum|Qty|0","","","","","","","DateFinancial|ItemId|T2.InventSiteId|T2.InventLocationId",PeriodBeginning,$A327,$B327,$C327)</f>
        <v>0</v>
      </c>
      <c r="F327" s="10">
        <f>_xll.AtlasFormulas.AtlasFunctions.AtlasBalance("PROD",DataAreaId,"T.InventTrans|inventDimId~inventDimId@T.InventDim","Sum|Qty|0","","","","","","","DateFinancial|ItemId|T2.InventSiteId|T2.InventLocationId",PeriodEnding,$A327,$B327,$C327)</f>
        <v>0</v>
      </c>
      <c r="G327" s="10">
        <f>AtlasReport_3_Table_1[[#This Row],[Current On-hand]]-AtlasReport_3_Table_1[[#This Row],[Trans backwords (Beginning)]]</f>
        <v>0</v>
      </c>
      <c r="H327" s="10">
        <f>AtlasReport_3_Table_1[[#This Row],[Current On-hand]]-AtlasReport_3_Table_1[[#This Row],[Trans backwords (Ending)]]</f>
        <v>0</v>
      </c>
    </row>
    <row r="328" spans="1:8" x14ac:dyDescent="0.25">
      <c r="A328" s="8" t="s">
        <v>144</v>
      </c>
      <c r="B328" s="8" t="s">
        <v>261</v>
      </c>
      <c r="C328" s="8" t="s">
        <v>81</v>
      </c>
      <c r="D328" s="10">
        <v>0</v>
      </c>
      <c r="E328" s="10">
        <f>_xll.AtlasFormulas.AtlasFunctions.AtlasBalance("PROD",DataAreaId,"T.InventTrans|inventDimId~inventDimId@T.InventDim","Sum|Qty|0","","","","","","","DateFinancial|ItemId|T2.InventSiteId|T2.InventLocationId",PeriodBeginning,$A328,$B328,$C328)</f>
        <v>0</v>
      </c>
      <c r="F328" s="10">
        <f>_xll.AtlasFormulas.AtlasFunctions.AtlasBalance("PROD",DataAreaId,"T.InventTrans|inventDimId~inventDimId@T.InventDim","Sum|Qty|0","","","","","","","DateFinancial|ItemId|T2.InventSiteId|T2.InventLocationId",PeriodEnding,$A328,$B328,$C328)</f>
        <v>0</v>
      </c>
      <c r="G328" s="10">
        <f>AtlasReport_3_Table_1[[#This Row],[Current On-hand]]-AtlasReport_3_Table_1[[#This Row],[Trans backwords (Beginning)]]</f>
        <v>0</v>
      </c>
      <c r="H328" s="10">
        <f>AtlasReport_3_Table_1[[#This Row],[Current On-hand]]-AtlasReport_3_Table_1[[#This Row],[Trans backwords (Ending)]]</f>
        <v>0</v>
      </c>
    </row>
    <row r="329" spans="1:8" x14ac:dyDescent="0.25">
      <c r="A329" s="8" t="s">
        <v>144</v>
      </c>
      <c r="B329" s="8" t="s">
        <v>261</v>
      </c>
      <c r="C329" s="8" t="s">
        <v>262</v>
      </c>
      <c r="D329" s="10">
        <v>0</v>
      </c>
      <c r="E329" s="10">
        <f>_xll.AtlasFormulas.AtlasFunctions.AtlasBalance("PROD",DataAreaId,"T.InventTrans|inventDimId~inventDimId@T.InventDim","Sum|Qty|0","","","","","","","DateFinancial|ItemId|T2.InventSiteId|T2.InventLocationId",PeriodBeginning,$A329,$B329,$C329)</f>
        <v>0</v>
      </c>
      <c r="F329" s="10">
        <f>_xll.AtlasFormulas.AtlasFunctions.AtlasBalance("PROD",DataAreaId,"T.InventTrans|inventDimId~inventDimId@T.InventDim","Sum|Qty|0","","","","","","","DateFinancial|ItemId|T2.InventSiteId|T2.InventLocationId",PeriodEnding,$A329,$B329,$C329)</f>
        <v>0</v>
      </c>
      <c r="G329" s="10">
        <f>AtlasReport_3_Table_1[[#This Row],[Current On-hand]]-AtlasReport_3_Table_1[[#This Row],[Trans backwords (Beginning)]]</f>
        <v>0</v>
      </c>
      <c r="H329" s="10">
        <f>AtlasReport_3_Table_1[[#This Row],[Current On-hand]]-AtlasReport_3_Table_1[[#This Row],[Trans backwords (Ending)]]</f>
        <v>0</v>
      </c>
    </row>
    <row r="330" spans="1:8" x14ac:dyDescent="0.25">
      <c r="A330" s="8" t="s">
        <v>144</v>
      </c>
      <c r="B330" s="8" t="s">
        <v>261</v>
      </c>
      <c r="C330" s="8" t="s">
        <v>264</v>
      </c>
      <c r="D330" s="10">
        <v>971.5</v>
      </c>
      <c r="E330" s="10">
        <f>_xll.AtlasFormulas.AtlasFunctions.AtlasBalance("PROD",DataAreaId,"T.InventTrans|inventDimId~inventDimId@T.InventDim","Sum|Qty|0","","","","","","","DateFinancial|ItemId|T2.InventSiteId|T2.InventLocationId",PeriodBeginning,$A330,$B330,$C330)</f>
        <v>0</v>
      </c>
      <c r="F330" s="10">
        <f>_xll.AtlasFormulas.AtlasFunctions.AtlasBalance("PROD",DataAreaId,"T.InventTrans|inventDimId~inventDimId@T.InventDim","Sum|Qty|0","","","","","","","DateFinancial|ItemId|T2.InventSiteId|T2.InventLocationId",PeriodEnding,$A330,$B330,$C330)</f>
        <v>0</v>
      </c>
      <c r="G330" s="10">
        <f>AtlasReport_3_Table_1[[#This Row],[Current On-hand]]-AtlasReport_3_Table_1[[#This Row],[Trans backwords (Beginning)]]</f>
        <v>971.5</v>
      </c>
      <c r="H330" s="10">
        <f>AtlasReport_3_Table_1[[#This Row],[Current On-hand]]-AtlasReport_3_Table_1[[#This Row],[Trans backwords (Ending)]]</f>
        <v>971.5</v>
      </c>
    </row>
    <row r="331" spans="1:8" x14ac:dyDescent="0.25">
      <c r="A331" s="8" t="s">
        <v>397</v>
      </c>
      <c r="B331" s="8" t="s">
        <v>261</v>
      </c>
      <c r="C331" s="8" t="s">
        <v>81</v>
      </c>
      <c r="D331" s="10">
        <v>0</v>
      </c>
      <c r="E331" s="10">
        <f>_xll.AtlasFormulas.AtlasFunctions.AtlasBalance("PROD",DataAreaId,"T.InventTrans|inventDimId~inventDimId@T.InventDim","Sum|Qty|0","","","","","","","DateFinancial|ItemId|T2.InventSiteId|T2.InventLocationId",PeriodBeginning,$A331,$B331,$C331)</f>
        <v>0</v>
      </c>
      <c r="F331" s="10">
        <f>_xll.AtlasFormulas.AtlasFunctions.AtlasBalance("PROD",DataAreaId,"T.InventTrans|inventDimId~inventDimId@T.InventDim","Sum|Qty|0","","","","","","","DateFinancial|ItemId|T2.InventSiteId|T2.InventLocationId",PeriodEnding,$A331,$B331,$C331)</f>
        <v>0</v>
      </c>
      <c r="G331" s="10">
        <f>AtlasReport_3_Table_1[[#This Row],[Current On-hand]]-AtlasReport_3_Table_1[[#This Row],[Trans backwords (Beginning)]]</f>
        <v>0</v>
      </c>
      <c r="H331" s="10">
        <f>AtlasReport_3_Table_1[[#This Row],[Current On-hand]]-AtlasReport_3_Table_1[[#This Row],[Trans backwords (Ending)]]</f>
        <v>0</v>
      </c>
    </row>
    <row r="332" spans="1:8" x14ac:dyDescent="0.25">
      <c r="A332" s="8" t="s">
        <v>397</v>
      </c>
      <c r="B332" s="8" t="s">
        <v>261</v>
      </c>
      <c r="C332" s="8" t="s">
        <v>262</v>
      </c>
      <c r="D332" s="10">
        <v>0</v>
      </c>
      <c r="E332" s="10">
        <f>_xll.AtlasFormulas.AtlasFunctions.AtlasBalance("PROD",DataAreaId,"T.InventTrans|inventDimId~inventDimId@T.InventDim","Sum|Qty|0","","","","","","","DateFinancial|ItemId|T2.InventSiteId|T2.InventLocationId",PeriodBeginning,$A332,$B332,$C332)</f>
        <v>0</v>
      </c>
      <c r="F332" s="10">
        <f>_xll.AtlasFormulas.AtlasFunctions.AtlasBalance("PROD",DataAreaId,"T.InventTrans|inventDimId~inventDimId@T.InventDim","Sum|Qty|0","","","","","","","DateFinancial|ItemId|T2.InventSiteId|T2.InventLocationId",PeriodEnding,$A332,$B332,$C332)</f>
        <v>0</v>
      </c>
      <c r="G332" s="10">
        <f>AtlasReport_3_Table_1[[#This Row],[Current On-hand]]-AtlasReport_3_Table_1[[#This Row],[Trans backwords (Beginning)]]</f>
        <v>0</v>
      </c>
      <c r="H332" s="10">
        <f>AtlasReport_3_Table_1[[#This Row],[Current On-hand]]-AtlasReport_3_Table_1[[#This Row],[Trans backwords (Ending)]]</f>
        <v>0</v>
      </c>
    </row>
    <row r="333" spans="1:8" x14ac:dyDescent="0.25">
      <c r="A333" s="8" t="s">
        <v>397</v>
      </c>
      <c r="B333" s="8" t="s">
        <v>261</v>
      </c>
      <c r="C333" s="8" t="s">
        <v>264</v>
      </c>
      <c r="D333" s="10">
        <v>2782.51</v>
      </c>
      <c r="E333" s="10">
        <f>_xll.AtlasFormulas.AtlasFunctions.AtlasBalance("PROD",DataAreaId,"T.InventTrans|inventDimId~inventDimId@T.InventDim","Sum|Qty|0","","","","","","","DateFinancial|ItemId|T2.InventSiteId|T2.InventLocationId",PeriodBeginning,$A333,$B333,$C333)</f>
        <v>0</v>
      </c>
      <c r="F333" s="10">
        <f>_xll.AtlasFormulas.AtlasFunctions.AtlasBalance("PROD",DataAreaId,"T.InventTrans|inventDimId~inventDimId@T.InventDim","Sum|Qty|0","","","","","","","DateFinancial|ItemId|T2.InventSiteId|T2.InventLocationId",PeriodEnding,$A333,$B333,$C333)</f>
        <v>0</v>
      </c>
      <c r="G333" s="10">
        <f>AtlasReport_3_Table_1[[#This Row],[Current On-hand]]-AtlasReport_3_Table_1[[#This Row],[Trans backwords (Beginning)]]</f>
        <v>2782.51</v>
      </c>
      <c r="H333" s="10">
        <f>AtlasReport_3_Table_1[[#This Row],[Current On-hand]]-AtlasReport_3_Table_1[[#This Row],[Trans backwords (Ending)]]</f>
        <v>2782.51</v>
      </c>
    </row>
    <row r="334" spans="1:8" x14ac:dyDescent="0.25">
      <c r="A334" s="8" t="s">
        <v>145</v>
      </c>
      <c r="B334" s="8" t="s">
        <v>261</v>
      </c>
      <c r="C334" s="8" t="s">
        <v>81</v>
      </c>
      <c r="D334" s="10">
        <v>0</v>
      </c>
      <c r="E334" s="10">
        <f>_xll.AtlasFormulas.AtlasFunctions.AtlasBalance("PROD",DataAreaId,"T.InventTrans|inventDimId~inventDimId@T.InventDim","Sum|Qty|0","","","","","","","DateFinancial|ItemId|T2.InventSiteId|T2.InventLocationId",PeriodBeginning,$A334,$B334,$C334)</f>
        <v>0</v>
      </c>
      <c r="F334" s="10">
        <f>_xll.AtlasFormulas.AtlasFunctions.AtlasBalance("PROD",DataAreaId,"T.InventTrans|inventDimId~inventDimId@T.InventDim","Sum|Qty|0","","","","","","","DateFinancial|ItemId|T2.InventSiteId|T2.InventLocationId",PeriodEnding,$A334,$B334,$C334)</f>
        <v>0</v>
      </c>
      <c r="G334" s="10">
        <f>AtlasReport_3_Table_1[[#This Row],[Current On-hand]]-AtlasReport_3_Table_1[[#This Row],[Trans backwords (Beginning)]]</f>
        <v>0</v>
      </c>
      <c r="H334" s="10">
        <f>AtlasReport_3_Table_1[[#This Row],[Current On-hand]]-AtlasReport_3_Table_1[[#This Row],[Trans backwords (Ending)]]</f>
        <v>0</v>
      </c>
    </row>
    <row r="335" spans="1:8" x14ac:dyDescent="0.25">
      <c r="A335" s="8" t="s">
        <v>145</v>
      </c>
      <c r="B335" s="8" t="s">
        <v>261</v>
      </c>
      <c r="C335" s="8" t="s">
        <v>262</v>
      </c>
      <c r="D335" s="10">
        <v>0</v>
      </c>
      <c r="E335" s="10">
        <f>_xll.AtlasFormulas.AtlasFunctions.AtlasBalance("PROD",DataAreaId,"T.InventTrans|inventDimId~inventDimId@T.InventDim","Sum|Qty|0","","","","","","","DateFinancial|ItemId|T2.InventSiteId|T2.InventLocationId",PeriodBeginning,$A335,$B335,$C335)</f>
        <v>0</v>
      </c>
      <c r="F335" s="10">
        <f>_xll.AtlasFormulas.AtlasFunctions.AtlasBalance("PROD",DataAreaId,"T.InventTrans|inventDimId~inventDimId@T.InventDim","Sum|Qty|0","","","","","","","DateFinancial|ItemId|T2.InventSiteId|T2.InventLocationId",PeriodEnding,$A335,$B335,$C335)</f>
        <v>0</v>
      </c>
      <c r="G335" s="10">
        <f>AtlasReport_3_Table_1[[#This Row],[Current On-hand]]-AtlasReport_3_Table_1[[#This Row],[Trans backwords (Beginning)]]</f>
        <v>0</v>
      </c>
      <c r="H335" s="10">
        <f>AtlasReport_3_Table_1[[#This Row],[Current On-hand]]-AtlasReport_3_Table_1[[#This Row],[Trans backwords (Ending)]]</f>
        <v>0</v>
      </c>
    </row>
    <row r="336" spans="1:8" x14ac:dyDescent="0.25">
      <c r="A336" s="8" t="s">
        <v>145</v>
      </c>
      <c r="B336" s="8" t="s">
        <v>261</v>
      </c>
      <c r="C336" s="8" t="s">
        <v>264</v>
      </c>
      <c r="D336" s="10">
        <v>4521</v>
      </c>
      <c r="E336" s="10">
        <f>_xll.AtlasFormulas.AtlasFunctions.AtlasBalance("PROD",DataAreaId,"T.InventTrans|inventDimId~inventDimId@T.InventDim","Sum|Qty|0","","","","","","","DateFinancial|ItemId|T2.InventSiteId|T2.InventLocationId",PeriodBeginning,$A336,$B336,$C336)</f>
        <v>-204.84</v>
      </c>
      <c r="F336" s="10">
        <f>_xll.AtlasFormulas.AtlasFunctions.AtlasBalance("PROD",DataAreaId,"T.InventTrans|inventDimId~inventDimId@T.InventDim","Sum|Qty|0","","","","","","","DateFinancial|ItemId|T2.InventSiteId|T2.InventLocationId",PeriodEnding,$A336,$B336,$C336)</f>
        <v>0</v>
      </c>
      <c r="G336" s="10">
        <f>AtlasReport_3_Table_1[[#This Row],[Current On-hand]]-AtlasReport_3_Table_1[[#This Row],[Trans backwords (Beginning)]]</f>
        <v>4725.84</v>
      </c>
      <c r="H336" s="10">
        <f>AtlasReport_3_Table_1[[#This Row],[Current On-hand]]-AtlasReport_3_Table_1[[#This Row],[Trans backwords (Ending)]]</f>
        <v>4521</v>
      </c>
    </row>
    <row r="337" spans="1:8" x14ac:dyDescent="0.25">
      <c r="A337" s="8" t="s">
        <v>398</v>
      </c>
      <c r="B337" s="8" t="s">
        <v>261</v>
      </c>
      <c r="C337" s="8" t="s">
        <v>262</v>
      </c>
      <c r="D337" s="10">
        <v>0</v>
      </c>
      <c r="E337" s="10">
        <f>_xll.AtlasFormulas.AtlasFunctions.AtlasBalance("PROD",DataAreaId,"T.InventTrans|inventDimId~inventDimId@T.InventDim","Sum|Qty|0","","","","","","","DateFinancial|ItemId|T2.InventSiteId|T2.InventLocationId",PeriodBeginning,$A337,$B337,$C337)</f>
        <v>0</v>
      </c>
      <c r="F337" s="10">
        <f>_xll.AtlasFormulas.AtlasFunctions.AtlasBalance("PROD",DataAreaId,"T.InventTrans|inventDimId~inventDimId@T.InventDim","Sum|Qty|0","","","","","","","DateFinancial|ItemId|T2.InventSiteId|T2.InventLocationId",PeriodEnding,$A337,$B337,$C337)</f>
        <v>0</v>
      </c>
      <c r="G337" s="10">
        <f>AtlasReport_3_Table_1[[#This Row],[Current On-hand]]-AtlasReport_3_Table_1[[#This Row],[Trans backwords (Beginning)]]</f>
        <v>0</v>
      </c>
      <c r="H337" s="10">
        <f>AtlasReport_3_Table_1[[#This Row],[Current On-hand]]-AtlasReport_3_Table_1[[#This Row],[Trans backwords (Ending)]]</f>
        <v>0</v>
      </c>
    </row>
    <row r="338" spans="1:8" x14ac:dyDescent="0.25">
      <c r="A338" s="8" t="s">
        <v>398</v>
      </c>
      <c r="B338" s="8" t="s">
        <v>261</v>
      </c>
      <c r="C338" s="8" t="s">
        <v>264</v>
      </c>
      <c r="D338" s="10">
        <v>0</v>
      </c>
      <c r="E338" s="10">
        <f>_xll.AtlasFormulas.AtlasFunctions.AtlasBalance("PROD",DataAreaId,"T.InventTrans|inventDimId~inventDimId@T.InventDim","Sum|Qty|0","","","","","","","DateFinancial|ItemId|T2.InventSiteId|T2.InventLocationId",PeriodBeginning,$A338,$B338,$C338)</f>
        <v>0</v>
      </c>
      <c r="F338" s="10">
        <f>_xll.AtlasFormulas.AtlasFunctions.AtlasBalance("PROD",DataAreaId,"T.InventTrans|inventDimId~inventDimId@T.InventDim","Sum|Qty|0","","","","","","","DateFinancial|ItemId|T2.InventSiteId|T2.InventLocationId",PeriodEnding,$A338,$B338,$C338)</f>
        <v>0</v>
      </c>
      <c r="G338" s="10">
        <f>AtlasReport_3_Table_1[[#This Row],[Current On-hand]]-AtlasReport_3_Table_1[[#This Row],[Trans backwords (Beginning)]]</f>
        <v>0</v>
      </c>
      <c r="H338" s="10">
        <f>AtlasReport_3_Table_1[[#This Row],[Current On-hand]]-AtlasReport_3_Table_1[[#This Row],[Trans backwords (Ending)]]</f>
        <v>0</v>
      </c>
    </row>
    <row r="339" spans="1:8" x14ac:dyDescent="0.25">
      <c r="A339" s="8" t="s">
        <v>74</v>
      </c>
      <c r="B339" s="8" t="s">
        <v>261</v>
      </c>
      <c r="C339" s="8" t="s">
        <v>81</v>
      </c>
      <c r="D339" s="10">
        <v>0</v>
      </c>
      <c r="E339" s="10">
        <f>_xll.AtlasFormulas.AtlasFunctions.AtlasBalance("PROD",DataAreaId,"T.InventTrans|inventDimId~inventDimId@T.InventDim","Sum|Qty|0","","","","","","","DateFinancial|ItemId|T2.InventSiteId|T2.InventLocationId",PeriodBeginning,$A339,$B339,$C339)</f>
        <v>0</v>
      </c>
      <c r="F339" s="10">
        <f>_xll.AtlasFormulas.AtlasFunctions.AtlasBalance("PROD",DataAreaId,"T.InventTrans|inventDimId~inventDimId@T.InventDim","Sum|Qty|0","","","","","","","DateFinancial|ItemId|T2.InventSiteId|T2.InventLocationId",PeriodEnding,$A339,$B339,$C339)</f>
        <v>0</v>
      </c>
      <c r="G339" s="10">
        <f>AtlasReport_3_Table_1[[#This Row],[Current On-hand]]-AtlasReport_3_Table_1[[#This Row],[Trans backwords (Beginning)]]</f>
        <v>0</v>
      </c>
      <c r="H339" s="10">
        <f>AtlasReport_3_Table_1[[#This Row],[Current On-hand]]-AtlasReport_3_Table_1[[#This Row],[Trans backwords (Ending)]]</f>
        <v>0</v>
      </c>
    </row>
    <row r="340" spans="1:8" x14ac:dyDescent="0.25">
      <c r="A340" s="8" t="s">
        <v>74</v>
      </c>
      <c r="B340" s="8" t="s">
        <v>261</v>
      </c>
      <c r="C340" s="8" t="s">
        <v>262</v>
      </c>
      <c r="D340" s="10">
        <v>0</v>
      </c>
      <c r="E340" s="10">
        <f>_xll.AtlasFormulas.AtlasFunctions.AtlasBalance("PROD",DataAreaId,"T.InventTrans|inventDimId~inventDimId@T.InventDim","Sum|Qty|0","","","","","","","DateFinancial|ItemId|T2.InventSiteId|T2.InventLocationId",PeriodBeginning,$A340,$B340,$C340)</f>
        <v>0</v>
      </c>
      <c r="F340" s="10">
        <f>_xll.AtlasFormulas.AtlasFunctions.AtlasBalance("PROD",DataAreaId,"T.InventTrans|inventDimId~inventDimId@T.InventDim","Sum|Qty|0","","","","","","","DateFinancial|ItemId|T2.InventSiteId|T2.InventLocationId",PeriodEnding,$A340,$B340,$C340)</f>
        <v>0</v>
      </c>
      <c r="G340" s="10">
        <f>AtlasReport_3_Table_1[[#This Row],[Current On-hand]]-AtlasReport_3_Table_1[[#This Row],[Trans backwords (Beginning)]]</f>
        <v>0</v>
      </c>
      <c r="H340" s="10">
        <f>AtlasReport_3_Table_1[[#This Row],[Current On-hand]]-AtlasReport_3_Table_1[[#This Row],[Trans backwords (Ending)]]</f>
        <v>0</v>
      </c>
    </row>
    <row r="341" spans="1:8" x14ac:dyDescent="0.25">
      <c r="A341" s="8" t="s">
        <v>74</v>
      </c>
      <c r="B341" s="8" t="s">
        <v>261</v>
      </c>
      <c r="C341" s="8" t="s">
        <v>264</v>
      </c>
      <c r="D341" s="10">
        <v>2801.6</v>
      </c>
      <c r="E341" s="10">
        <f>_xll.AtlasFormulas.AtlasFunctions.AtlasBalance("PROD",DataAreaId,"T.InventTrans|inventDimId~inventDimId@T.InventDim","Sum|Qty|0","","","","","","","DateFinancial|ItemId|T2.InventSiteId|T2.InventLocationId",PeriodBeginning,$A341,$B341,$C341)</f>
        <v>1.94</v>
      </c>
      <c r="F341" s="10">
        <f>_xll.AtlasFormulas.AtlasFunctions.AtlasBalance("PROD",DataAreaId,"T.InventTrans|inventDimId~inventDimId@T.InventDim","Sum|Qty|0","","","","","","","DateFinancial|ItemId|T2.InventSiteId|T2.InventLocationId",PeriodEnding,$A341,$B341,$C341)</f>
        <v>0</v>
      </c>
      <c r="G341" s="10">
        <f>AtlasReport_3_Table_1[[#This Row],[Current On-hand]]-AtlasReport_3_Table_1[[#This Row],[Trans backwords (Beginning)]]</f>
        <v>2799.66</v>
      </c>
      <c r="H341" s="10">
        <f>AtlasReport_3_Table_1[[#This Row],[Current On-hand]]-AtlasReport_3_Table_1[[#This Row],[Trans backwords (Ending)]]</f>
        <v>2801.6</v>
      </c>
    </row>
    <row r="342" spans="1:8" x14ac:dyDescent="0.25">
      <c r="A342" s="8" t="s">
        <v>74</v>
      </c>
      <c r="B342" s="8" t="s">
        <v>261</v>
      </c>
      <c r="C342" s="8" t="s">
        <v>265</v>
      </c>
      <c r="D342" s="10">
        <v>0</v>
      </c>
      <c r="E342" s="10">
        <f>_xll.AtlasFormulas.AtlasFunctions.AtlasBalance("PROD",DataAreaId,"T.InventTrans|inventDimId~inventDimId@T.InventDim","Sum|Qty|0","","","","","","","DateFinancial|ItemId|T2.InventSiteId|T2.InventLocationId",PeriodBeginning,$A342,$B342,$C342)</f>
        <v>0</v>
      </c>
      <c r="F342" s="10">
        <f>_xll.AtlasFormulas.AtlasFunctions.AtlasBalance("PROD",DataAreaId,"T.InventTrans|inventDimId~inventDimId@T.InventDim","Sum|Qty|0","","","","","","","DateFinancial|ItemId|T2.InventSiteId|T2.InventLocationId",PeriodEnding,$A342,$B342,$C342)</f>
        <v>0</v>
      </c>
      <c r="G342" s="10">
        <f>AtlasReport_3_Table_1[[#This Row],[Current On-hand]]-AtlasReport_3_Table_1[[#This Row],[Trans backwords (Beginning)]]</f>
        <v>0</v>
      </c>
      <c r="H342" s="10">
        <f>AtlasReport_3_Table_1[[#This Row],[Current On-hand]]-AtlasReport_3_Table_1[[#This Row],[Trans backwords (Ending)]]</f>
        <v>0</v>
      </c>
    </row>
    <row r="343" spans="1:8" x14ac:dyDescent="0.25">
      <c r="A343" s="8" t="s">
        <v>101</v>
      </c>
      <c r="B343" s="8" t="s">
        <v>261</v>
      </c>
      <c r="C343" s="8" t="s">
        <v>81</v>
      </c>
      <c r="D343" s="10">
        <v>0</v>
      </c>
      <c r="E343" s="10">
        <f>_xll.AtlasFormulas.AtlasFunctions.AtlasBalance("PROD",DataAreaId,"T.InventTrans|inventDimId~inventDimId@T.InventDim","Sum|Qty|0","","","","","","","DateFinancial|ItemId|T2.InventSiteId|T2.InventLocationId",PeriodBeginning,$A343,$B343,$C343)</f>
        <v>0</v>
      </c>
      <c r="F343" s="10">
        <f>_xll.AtlasFormulas.AtlasFunctions.AtlasBalance("PROD",DataAreaId,"T.InventTrans|inventDimId~inventDimId@T.InventDim","Sum|Qty|0","","","","","","","DateFinancial|ItemId|T2.InventSiteId|T2.InventLocationId",PeriodEnding,$A343,$B343,$C343)</f>
        <v>0</v>
      </c>
      <c r="G343" s="10">
        <f>AtlasReport_3_Table_1[[#This Row],[Current On-hand]]-AtlasReport_3_Table_1[[#This Row],[Trans backwords (Beginning)]]</f>
        <v>0</v>
      </c>
      <c r="H343" s="10">
        <f>AtlasReport_3_Table_1[[#This Row],[Current On-hand]]-AtlasReport_3_Table_1[[#This Row],[Trans backwords (Ending)]]</f>
        <v>0</v>
      </c>
    </row>
    <row r="344" spans="1:8" x14ac:dyDescent="0.25">
      <c r="A344" s="8" t="s">
        <v>101</v>
      </c>
      <c r="B344" s="8" t="s">
        <v>261</v>
      </c>
      <c r="C344" s="8" t="s">
        <v>262</v>
      </c>
      <c r="D344" s="10">
        <v>0</v>
      </c>
      <c r="E344" s="10">
        <f>_xll.AtlasFormulas.AtlasFunctions.AtlasBalance("PROD",DataAreaId,"T.InventTrans|inventDimId~inventDimId@T.InventDim","Sum|Qty|0","","","","","","","DateFinancial|ItemId|T2.InventSiteId|T2.InventLocationId",PeriodBeginning,$A344,$B344,$C344)</f>
        <v>0</v>
      </c>
      <c r="F344" s="10">
        <f>_xll.AtlasFormulas.AtlasFunctions.AtlasBalance("PROD",DataAreaId,"T.InventTrans|inventDimId~inventDimId@T.InventDim","Sum|Qty|0","","","","","","","DateFinancial|ItemId|T2.InventSiteId|T2.InventLocationId",PeriodEnding,$A344,$B344,$C344)</f>
        <v>0</v>
      </c>
      <c r="G344" s="10">
        <f>AtlasReport_3_Table_1[[#This Row],[Current On-hand]]-AtlasReport_3_Table_1[[#This Row],[Trans backwords (Beginning)]]</f>
        <v>0</v>
      </c>
      <c r="H344" s="10">
        <f>AtlasReport_3_Table_1[[#This Row],[Current On-hand]]-AtlasReport_3_Table_1[[#This Row],[Trans backwords (Ending)]]</f>
        <v>0</v>
      </c>
    </row>
    <row r="345" spans="1:8" x14ac:dyDescent="0.25">
      <c r="A345" s="8" t="s">
        <v>101</v>
      </c>
      <c r="B345" s="8" t="s">
        <v>261</v>
      </c>
      <c r="C345" s="8" t="s">
        <v>264</v>
      </c>
      <c r="D345" s="10">
        <v>2112.73</v>
      </c>
      <c r="E345" s="10">
        <f>_xll.AtlasFormulas.AtlasFunctions.AtlasBalance("PROD",DataAreaId,"T.InventTrans|inventDimId~inventDimId@T.InventDim","Sum|Qty|0","","","","","","","DateFinancial|ItemId|T2.InventSiteId|T2.InventLocationId",PeriodBeginning,$A345,$B345,$C345)</f>
        <v>7.66</v>
      </c>
      <c r="F345" s="10">
        <f>_xll.AtlasFormulas.AtlasFunctions.AtlasBalance("PROD",DataAreaId,"T.InventTrans|inventDimId~inventDimId@T.InventDim","Sum|Qty|0","","","","","","","DateFinancial|ItemId|T2.InventSiteId|T2.InventLocationId",PeriodEnding,$A345,$B345,$C345)</f>
        <v>0</v>
      </c>
      <c r="G345" s="10">
        <f>AtlasReport_3_Table_1[[#This Row],[Current On-hand]]-AtlasReport_3_Table_1[[#This Row],[Trans backwords (Beginning)]]</f>
        <v>2105.0700000000002</v>
      </c>
      <c r="H345" s="10">
        <f>AtlasReport_3_Table_1[[#This Row],[Current On-hand]]-AtlasReport_3_Table_1[[#This Row],[Trans backwords (Ending)]]</f>
        <v>2112.73</v>
      </c>
    </row>
    <row r="346" spans="1:8" x14ac:dyDescent="0.25">
      <c r="A346" s="8" t="s">
        <v>101</v>
      </c>
      <c r="B346" s="8" t="s">
        <v>261</v>
      </c>
      <c r="C346" s="8" t="s">
        <v>265</v>
      </c>
      <c r="D346" s="10">
        <v>0</v>
      </c>
      <c r="E346" s="10">
        <f>_xll.AtlasFormulas.AtlasFunctions.AtlasBalance("PROD",DataAreaId,"T.InventTrans|inventDimId~inventDimId@T.InventDim","Sum|Qty|0","","","","","","","DateFinancial|ItemId|T2.InventSiteId|T2.InventLocationId",PeriodBeginning,$A346,$B346,$C346)</f>
        <v>0</v>
      </c>
      <c r="F346" s="10">
        <f>_xll.AtlasFormulas.AtlasFunctions.AtlasBalance("PROD",DataAreaId,"T.InventTrans|inventDimId~inventDimId@T.InventDim","Sum|Qty|0","","","","","","","DateFinancial|ItemId|T2.InventSiteId|T2.InventLocationId",PeriodEnding,$A346,$B346,$C346)</f>
        <v>0</v>
      </c>
      <c r="G346" s="10">
        <f>AtlasReport_3_Table_1[[#This Row],[Current On-hand]]-AtlasReport_3_Table_1[[#This Row],[Trans backwords (Beginning)]]</f>
        <v>0</v>
      </c>
      <c r="H346" s="10">
        <f>AtlasReport_3_Table_1[[#This Row],[Current On-hand]]-AtlasReport_3_Table_1[[#This Row],[Trans backwords (Ending)]]</f>
        <v>0</v>
      </c>
    </row>
    <row r="347" spans="1:8" x14ac:dyDescent="0.25">
      <c r="A347" s="8" t="s">
        <v>75</v>
      </c>
      <c r="B347" s="8" t="s">
        <v>261</v>
      </c>
      <c r="C347" s="8" t="s">
        <v>81</v>
      </c>
      <c r="D347" s="10">
        <v>0</v>
      </c>
      <c r="E347" s="10">
        <f>_xll.AtlasFormulas.AtlasFunctions.AtlasBalance("PROD",DataAreaId,"T.InventTrans|inventDimId~inventDimId@T.InventDim","Sum|Qty|0","","","","","","","DateFinancial|ItemId|T2.InventSiteId|T2.InventLocationId",PeriodBeginning,$A347,$B347,$C347)</f>
        <v>0</v>
      </c>
      <c r="F347" s="10">
        <f>_xll.AtlasFormulas.AtlasFunctions.AtlasBalance("PROD",DataAreaId,"T.InventTrans|inventDimId~inventDimId@T.InventDim","Sum|Qty|0","","","","","","","DateFinancial|ItemId|T2.InventSiteId|T2.InventLocationId",PeriodEnding,$A347,$B347,$C347)</f>
        <v>0</v>
      </c>
      <c r="G347" s="10">
        <f>AtlasReport_3_Table_1[[#This Row],[Current On-hand]]-AtlasReport_3_Table_1[[#This Row],[Trans backwords (Beginning)]]</f>
        <v>0</v>
      </c>
      <c r="H347" s="10">
        <f>AtlasReport_3_Table_1[[#This Row],[Current On-hand]]-AtlasReport_3_Table_1[[#This Row],[Trans backwords (Ending)]]</f>
        <v>0</v>
      </c>
    </row>
    <row r="348" spans="1:8" x14ac:dyDescent="0.25">
      <c r="A348" s="8" t="s">
        <v>75</v>
      </c>
      <c r="B348" s="8" t="s">
        <v>261</v>
      </c>
      <c r="C348" s="8" t="s">
        <v>262</v>
      </c>
      <c r="D348" s="10">
        <v>0</v>
      </c>
      <c r="E348" s="10">
        <f>_xll.AtlasFormulas.AtlasFunctions.AtlasBalance("PROD",DataAreaId,"T.InventTrans|inventDimId~inventDimId@T.InventDim","Sum|Qty|0","","","","","","","DateFinancial|ItemId|T2.InventSiteId|T2.InventLocationId",PeriodBeginning,$A348,$B348,$C348)</f>
        <v>0</v>
      </c>
      <c r="F348" s="10">
        <f>_xll.AtlasFormulas.AtlasFunctions.AtlasBalance("PROD",DataAreaId,"T.InventTrans|inventDimId~inventDimId@T.InventDim","Sum|Qty|0","","","","","","","DateFinancial|ItemId|T2.InventSiteId|T2.InventLocationId",PeriodEnding,$A348,$B348,$C348)</f>
        <v>0</v>
      </c>
      <c r="G348" s="10">
        <f>AtlasReport_3_Table_1[[#This Row],[Current On-hand]]-AtlasReport_3_Table_1[[#This Row],[Trans backwords (Beginning)]]</f>
        <v>0</v>
      </c>
      <c r="H348" s="10">
        <f>AtlasReport_3_Table_1[[#This Row],[Current On-hand]]-AtlasReport_3_Table_1[[#This Row],[Trans backwords (Ending)]]</f>
        <v>0</v>
      </c>
    </row>
    <row r="349" spans="1:8" x14ac:dyDescent="0.25">
      <c r="A349" s="8" t="s">
        <v>75</v>
      </c>
      <c r="B349" s="8" t="s">
        <v>261</v>
      </c>
      <c r="C349" s="8" t="s">
        <v>264</v>
      </c>
      <c r="D349" s="10">
        <v>929.4</v>
      </c>
      <c r="E349" s="10">
        <f>_xll.AtlasFormulas.AtlasFunctions.AtlasBalance("PROD",DataAreaId,"T.InventTrans|inventDimId~inventDimId@T.InventDim","Sum|Qty|0","","","","","","","DateFinancial|ItemId|T2.InventSiteId|T2.InventLocationId",PeriodBeginning,$A349,$B349,$C349)</f>
        <v>-22.55</v>
      </c>
      <c r="F349" s="10">
        <f>_xll.AtlasFormulas.AtlasFunctions.AtlasBalance("PROD",DataAreaId,"T.InventTrans|inventDimId~inventDimId@T.InventDim","Sum|Qty|0","","","","","","","DateFinancial|ItemId|T2.InventSiteId|T2.InventLocationId",PeriodEnding,$A349,$B349,$C349)</f>
        <v>0</v>
      </c>
      <c r="G349" s="10">
        <f>AtlasReport_3_Table_1[[#This Row],[Current On-hand]]-AtlasReport_3_Table_1[[#This Row],[Trans backwords (Beginning)]]</f>
        <v>951.94999999999993</v>
      </c>
      <c r="H349" s="10">
        <f>AtlasReport_3_Table_1[[#This Row],[Current On-hand]]-AtlasReport_3_Table_1[[#This Row],[Trans backwords (Ending)]]</f>
        <v>929.4</v>
      </c>
    </row>
    <row r="350" spans="1:8" x14ac:dyDescent="0.25">
      <c r="A350" s="8" t="s">
        <v>55</v>
      </c>
      <c r="B350" s="8" t="s">
        <v>261</v>
      </c>
      <c r="C350" s="8" t="s">
        <v>81</v>
      </c>
      <c r="D350" s="10">
        <v>0</v>
      </c>
      <c r="E350" s="10">
        <f>_xll.AtlasFormulas.AtlasFunctions.AtlasBalance("PROD",DataAreaId,"T.InventTrans|inventDimId~inventDimId@T.InventDim","Sum|Qty|0","","","","","","","DateFinancial|ItemId|T2.InventSiteId|T2.InventLocationId",PeriodBeginning,$A350,$B350,$C350)</f>
        <v>0</v>
      </c>
      <c r="F350" s="10">
        <f>_xll.AtlasFormulas.AtlasFunctions.AtlasBalance("PROD",DataAreaId,"T.InventTrans|inventDimId~inventDimId@T.InventDim","Sum|Qty|0","","","","","","","DateFinancial|ItemId|T2.InventSiteId|T2.InventLocationId",PeriodEnding,$A350,$B350,$C350)</f>
        <v>0</v>
      </c>
      <c r="G350" s="10">
        <f>AtlasReport_3_Table_1[[#This Row],[Current On-hand]]-AtlasReport_3_Table_1[[#This Row],[Trans backwords (Beginning)]]</f>
        <v>0</v>
      </c>
      <c r="H350" s="10">
        <f>AtlasReport_3_Table_1[[#This Row],[Current On-hand]]-AtlasReport_3_Table_1[[#This Row],[Trans backwords (Ending)]]</f>
        <v>0</v>
      </c>
    </row>
    <row r="351" spans="1:8" x14ac:dyDescent="0.25">
      <c r="A351" s="8" t="s">
        <v>55</v>
      </c>
      <c r="B351" s="8" t="s">
        <v>261</v>
      </c>
      <c r="C351" s="8" t="s">
        <v>262</v>
      </c>
      <c r="D351" s="10">
        <v>0</v>
      </c>
      <c r="E351" s="10">
        <f>_xll.AtlasFormulas.AtlasFunctions.AtlasBalance("PROD",DataAreaId,"T.InventTrans|inventDimId~inventDimId@T.InventDim","Sum|Qty|0","","","","","","","DateFinancial|ItemId|T2.InventSiteId|T2.InventLocationId",PeriodBeginning,$A351,$B351,$C351)</f>
        <v>0</v>
      </c>
      <c r="F351" s="10">
        <f>_xll.AtlasFormulas.AtlasFunctions.AtlasBalance("PROD",DataAreaId,"T.InventTrans|inventDimId~inventDimId@T.InventDim","Sum|Qty|0","","","","","","","DateFinancial|ItemId|T2.InventSiteId|T2.InventLocationId",PeriodEnding,$A351,$B351,$C351)</f>
        <v>0</v>
      </c>
      <c r="G351" s="10">
        <f>AtlasReport_3_Table_1[[#This Row],[Current On-hand]]-AtlasReport_3_Table_1[[#This Row],[Trans backwords (Beginning)]]</f>
        <v>0</v>
      </c>
      <c r="H351" s="10">
        <f>AtlasReport_3_Table_1[[#This Row],[Current On-hand]]-AtlasReport_3_Table_1[[#This Row],[Trans backwords (Ending)]]</f>
        <v>0</v>
      </c>
    </row>
    <row r="352" spans="1:8" x14ac:dyDescent="0.25">
      <c r="A352" s="8" t="s">
        <v>55</v>
      </c>
      <c r="B352" s="8" t="s">
        <v>261</v>
      </c>
      <c r="C352" s="8" t="s">
        <v>264</v>
      </c>
      <c r="D352" s="10">
        <v>3766.48</v>
      </c>
      <c r="E352" s="10">
        <f>_xll.AtlasFormulas.AtlasFunctions.AtlasBalance("PROD",DataAreaId,"T.InventTrans|inventDimId~inventDimId@T.InventDim","Sum|Qty|0","","","","","","","DateFinancial|ItemId|T2.InventSiteId|T2.InventLocationId",PeriodBeginning,$A352,$B352,$C352)</f>
        <v>-603.54999999999995</v>
      </c>
      <c r="F352" s="10">
        <f>_xll.AtlasFormulas.AtlasFunctions.AtlasBalance("PROD",DataAreaId,"T.InventTrans|inventDimId~inventDimId@T.InventDim","Sum|Qty|0","","","","","","","DateFinancial|ItemId|T2.InventSiteId|T2.InventLocationId",PeriodEnding,$A352,$B352,$C352)</f>
        <v>0</v>
      </c>
      <c r="G352" s="10">
        <f>AtlasReport_3_Table_1[[#This Row],[Current On-hand]]-AtlasReport_3_Table_1[[#This Row],[Trans backwords (Beginning)]]</f>
        <v>4370.03</v>
      </c>
      <c r="H352" s="10">
        <f>AtlasReport_3_Table_1[[#This Row],[Current On-hand]]-AtlasReport_3_Table_1[[#This Row],[Trans backwords (Ending)]]</f>
        <v>3766.48</v>
      </c>
    </row>
    <row r="353" spans="1:8" x14ac:dyDescent="0.25">
      <c r="A353" s="8" t="s">
        <v>55</v>
      </c>
      <c r="B353" s="8" t="s">
        <v>261</v>
      </c>
      <c r="C353" s="8" t="s">
        <v>265</v>
      </c>
      <c r="D353" s="10">
        <v>0</v>
      </c>
      <c r="E353" s="10">
        <f>_xll.AtlasFormulas.AtlasFunctions.AtlasBalance("PROD",DataAreaId,"T.InventTrans|inventDimId~inventDimId@T.InventDim","Sum|Qty|0","","","","","","","DateFinancial|ItemId|T2.InventSiteId|T2.InventLocationId",PeriodBeginning,$A353,$B353,$C353)</f>
        <v>0</v>
      </c>
      <c r="F353" s="10">
        <f>_xll.AtlasFormulas.AtlasFunctions.AtlasBalance("PROD",DataAreaId,"T.InventTrans|inventDimId~inventDimId@T.InventDim","Sum|Qty|0","","","","","","","DateFinancial|ItemId|T2.InventSiteId|T2.InventLocationId",PeriodEnding,$A353,$B353,$C353)</f>
        <v>0</v>
      </c>
      <c r="G353" s="10">
        <f>AtlasReport_3_Table_1[[#This Row],[Current On-hand]]-AtlasReport_3_Table_1[[#This Row],[Trans backwords (Beginning)]]</f>
        <v>0</v>
      </c>
      <c r="H353" s="10">
        <f>AtlasReport_3_Table_1[[#This Row],[Current On-hand]]-AtlasReport_3_Table_1[[#This Row],[Trans backwords (Ending)]]</f>
        <v>0</v>
      </c>
    </row>
    <row r="354" spans="1:8" x14ac:dyDescent="0.25">
      <c r="A354" s="8" t="s">
        <v>399</v>
      </c>
      <c r="B354" s="8" t="s">
        <v>261</v>
      </c>
      <c r="C354" s="8" t="s">
        <v>264</v>
      </c>
      <c r="D354" s="10">
        <v>0</v>
      </c>
      <c r="E354" s="10">
        <f>_xll.AtlasFormulas.AtlasFunctions.AtlasBalance("PROD",DataAreaId,"T.InventTrans|inventDimId~inventDimId@T.InventDim","Sum|Qty|0","","","","","","","DateFinancial|ItemId|T2.InventSiteId|T2.InventLocationId",PeriodBeginning,$A354,$B354,$C354)</f>
        <v>-3.22</v>
      </c>
      <c r="F354" s="10">
        <f>_xll.AtlasFormulas.AtlasFunctions.AtlasBalance("PROD",DataAreaId,"T.InventTrans|inventDimId~inventDimId@T.InventDim","Sum|Qty|0","","","","","","","DateFinancial|ItemId|T2.InventSiteId|T2.InventLocationId",PeriodEnding,$A354,$B354,$C354)</f>
        <v>0</v>
      </c>
      <c r="G354" s="10">
        <f>AtlasReport_3_Table_1[[#This Row],[Current On-hand]]-AtlasReport_3_Table_1[[#This Row],[Trans backwords (Beginning)]]</f>
        <v>3.22</v>
      </c>
      <c r="H354" s="10">
        <f>AtlasReport_3_Table_1[[#This Row],[Current On-hand]]-AtlasReport_3_Table_1[[#This Row],[Trans backwords (Ending)]]</f>
        <v>0</v>
      </c>
    </row>
    <row r="355" spans="1:8" x14ac:dyDescent="0.25">
      <c r="A355" s="8" t="s">
        <v>111</v>
      </c>
      <c r="B355" s="8" t="s">
        <v>261</v>
      </c>
      <c r="C355" s="8" t="s">
        <v>81</v>
      </c>
      <c r="D355" s="10">
        <v>0</v>
      </c>
      <c r="E355" s="10">
        <f>_xll.AtlasFormulas.AtlasFunctions.AtlasBalance("PROD",DataAreaId,"T.InventTrans|inventDimId~inventDimId@T.InventDim","Sum|Qty|0","","","","","","","DateFinancial|ItemId|T2.InventSiteId|T2.InventLocationId",PeriodBeginning,$A355,$B355,$C355)</f>
        <v>0</v>
      </c>
      <c r="F355" s="10">
        <f>_xll.AtlasFormulas.AtlasFunctions.AtlasBalance("PROD",DataAreaId,"T.InventTrans|inventDimId~inventDimId@T.InventDim","Sum|Qty|0","","","","","","","DateFinancial|ItemId|T2.InventSiteId|T2.InventLocationId",PeriodEnding,$A355,$B355,$C355)</f>
        <v>0</v>
      </c>
      <c r="G355" s="10">
        <f>AtlasReport_3_Table_1[[#This Row],[Current On-hand]]-AtlasReport_3_Table_1[[#This Row],[Trans backwords (Beginning)]]</f>
        <v>0</v>
      </c>
      <c r="H355" s="10">
        <f>AtlasReport_3_Table_1[[#This Row],[Current On-hand]]-AtlasReport_3_Table_1[[#This Row],[Trans backwords (Ending)]]</f>
        <v>0</v>
      </c>
    </row>
    <row r="356" spans="1:8" x14ac:dyDescent="0.25">
      <c r="A356" s="8" t="s">
        <v>111</v>
      </c>
      <c r="B356" s="8" t="s">
        <v>261</v>
      </c>
      <c r="C356" s="8" t="s">
        <v>262</v>
      </c>
      <c r="D356" s="10">
        <v>0</v>
      </c>
      <c r="E356" s="10">
        <f>_xll.AtlasFormulas.AtlasFunctions.AtlasBalance("PROD",DataAreaId,"T.InventTrans|inventDimId~inventDimId@T.InventDim","Sum|Qty|0","","","","","","","DateFinancial|ItemId|T2.InventSiteId|T2.InventLocationId",PeriodBeginning,$A356,$B356,$C356)</f>
        <v>0</v>
      </c>
      <c r="F356" s="10">
        <f>_xll.AtlasFormulas.AtlasFunctions.AtlasBalance("PROD",DataAreaId,"T.InventTrans|inventDimId~inventDimId@T.InventDim","Sum|Qty|0","","","","","","","DateFinancial|ItemId|T2.InventSiteId|T2.InventLocationId",PeriodEnding,$A356,$B356,$C356)</f>
        <v>0</v>
      </c>
      <c r="G356" s="10">
        <f>AtlasReport_3_Table_1[[#This Row],[Current On-hand]]-AtlasReport_3_Table_1[[#This Row],[Trans backwords (Beginning)]]</f>
        <v>0</v>
      </c>
      <c r="H356" s="10">
        <f>AtlasReport_3_Table_1[[#This Row],[Current On-hand]]-AtlasReport_3_Table_1[[#This Row],[Trans backwords (Ending)]]</f>
        <v>0</v>
      </c>
    </row>
    <row r="357" spans="1:8" x14ac:dyDescent="0.25">
      <c r="A357" s="8" t="s">
        <v>111</v>
      </c>
      <c r="B357" s="8" t="s">
        <v>261</v>
      </c>
      <c r="C357" s="8" t="s">
        <v>264</v>
      </c>
      <c r="D357" s="10">
        <v>288.8</v>
      </c>
      <c r="E357" s="10">
        <f>_xll.AtlasFormulas.AtlasFunctions.AtlasBalance("PROD",DataAreaId,"T.InventTrans|inventDimId~inventDimId@T.InventDim","Sum|Qty|0","","","","","","","DateFinancial|ItemId|T2.InventSiteId|T2.InventLocationId",PeriodBeginning,$A357,$B357,$C357)</f>
        <v>-34.04</v>
      </c>
      <c r="F357" s="10">
        <f>_xll.AtlasFormulas.AtlasFunctions.AtlasBalance("PROD",DataAreaId,"T.InventTrans|inventDimId~inventDimId@T.InventDim","Sum|Qty|0","","","","","","","DateFinancial|ItemId|T2.InventSiteId|T2.InventLocationId",PeriodEnding,$A357,$B357,$C357)</f>
        <v>0</v>
      </c>
      <c r="G357" s="10">
        <f>AtlasReport_3_Table_1[[#This Row],[Current On-hand]]-AtlasReport_3_Table_1[[#This Row],[Trans backwords (Beginning)]]</f>
        <v>322.84000000000003</v>
      </c>
      <c r="H357" s="10">
        <f>AtlasReport_3_Table_1[[#This Row],[Current On-hand]]-AtlasReport_3_Table_1[[#This Row],[Trans backwords (Ending)]]</f>
        <v>288.8</v>
      </c>
    </row>
    <row r="358" spans="1:8" x14ac:dyDescent="0.25">
      <c r="A358" s="8" t="s">
        <v>111</v>
      </c>
      <c r="B358" s="8" t="s">
        <v>261</v>
      </c>
      <c r="C358" s="8" t="s">
        <v>265</v>
      </c>
      <c r="D358" s="10">
        <v>0</v>
      </c>
      <c r="E358" s="10">
        <f>_xll.AtlasFormulas.AtlasFunctions.AtlasBalance("PROD",DataAreaId,"T.InventTrans|inventDimId~inventDimId@T.InventDim","Sum|Qty|0","","","","","","","DateFinancial|ItemId|T2.InventSiteId|T2.InventLocationId",PeriodBeginning,$A358,$B358,$C358)</f>
        <v>0</v>
      </c>
      <c r="F358" s="10">
        <f>_xll.AtlasFormulas.AtlasFunctions.AtlasBalance("PROD",DataAreaId,"T.InventTrans|inventDimId~inventDimId@T.InventDim","Sum|Qty|0","","","","","","","DateFinancial|ItemId|T2.InventSiteId|T2.InventLocationId",PeriodEnding,$A358,$B358,$C358)</f>
        <v>0</v>
      </c>
      <c r="G358" s="10">
        <f>AtlasReport_3_Table_1[[#This Row],[Current On-hand]]-AtlasReport_3_Table_1[[#This Row],[Trans backwords (Beginning)]]</f>
        <v>0</v>
      </c>
      <c r="H358" s="10">
        <f>AtlasReport_3_Table_1[[#This Row],[Current On-hand]]-AtlasReport_3_Table_1[[#This Row],[Trans backwords (Ending)]]</f>
        <v>0</v>
      </c>
    </row>
    <row r="359" spans="1:8" x14ac:dyDescent="0.25">
      <c r="A359" s="8" t="s">
        <v>56</v>
      </c>
      <c r="B359" s="8" t="s">
        <v>261</v>
      </c>
      <c r="C359" s="8" t="s">
        <v>81</v>
      </c>
      <c r="D359" s="10">
        <v>0</v>
      </c>
      <c r="E359" s="10">
        <f>_xll.AtlasFormulas.AtlasFunctions.AtlasBalance("PROD",DataAreaId,"T.InventTrans|inventDimId~inventDimId@T.InventDim","Sum|Qty|0","","","","","","","DateFinancial|ItemId|T2.InventSiteId|T2.InventLocationId",PeriodBeginning,$A359,$B359,$C359)</f>
        <v>0</v>
      </c>
      <c r="F359" s="10">
        <f>_xll.AtlasFormulas.AtlasFunctions.AtlasBalance("PROD",DataAreaId,"T.InventTrans|inventDimId~inventDimId@T.InventDim","Sum|Qty|0","","","","","","","DateFinancial|ItemId|T2.InventSiteId|T2.InventLocationId",PeriodEnding,$A359,$B359,$C359)</f>
        <v>0</v>
      </c>
      <c r="G359" s="10">
        <f>AtlasReport_3_Table_1[[#This Row],[Current On-hand]]-AtlasReport_3_Table_1[[#This Row],[Trans backwords (Beginning)]]</f>
        <v>0</v>
      </c>
      <c r="H359" s="10">
        <f>AtlasReport_3_Table_1[[#This Row],[Current On-hand]]-AtlasReport_3_Table_1[[#This Row],[Trans backwords (Ending)]]</f>
        <v>0</v>
      </c>
    </row>
    <row r="360" spans="1:8" x14ac:dyDescent="0.25">
      <c r="A360" s="8" t="s">
        <v>56</v>
      </c>
      <c r="B360" s="8" t="s">
        <v>261</v>
      </c>
      <c r="C360" s="8" t="s">
        <v>262</v>
      </c>
      <c r="D360" s="10">
        <v>0</v>
      </c>
      <c r="E360" s="10">
        <f>_xll.AtlasFormulas.AtlasFunctions.AtlasBalance("PROD",DataAreaId,"T.InventTrans|inventDimId~inventDimId@T.InventDim","Sum|Qty|0","","","","","","","DateFinancial|ItemId|T2.InventSiteId|T2.InventLocationId",PeriodBeginning,$A360,$B360,$C360)</f>
        <v>0</v>
      </c>
      <c r="F360" s="10">
        <f>_xll.AtlasFormulas.AtlasFunctions.AtlasBalance("PROD",DataAreaId,"T.InventTrans|inventDimId~inventDimId@T.InventDim","Sum|Qty|0","","","","","","","DateFinancial|ItemId|T2.InventSiteId|T2.InventLocationId",PeriodEnding,$A360,$B360,$C360)</f>
        <v>0</v>
      </c>
      <c r="G360" s="10">
        <f>AtlasReport_3_Table_1[[#This Row],[Current On-hand]]-AtlasReport_3_Table_1[[#This Row],[Trans backwords (Beginning)]]</f>
        <v>0</v>
      </c>
      <c r="H360" s="10">
        <f>AtlasReport_3_Table_1[[#This Row],[Current On-hand]]-AtlasReport_3_Table_1[[#This Row],[Trans backwords (Ending)]]</f>
        <v>0</v>
      </c>
    </row>
    <row r="361" spans="1:8" x14ac:dyDescent="0.25">
      <c r="A361" s="8" t="s">
        <v>56</v>
      </c>
      <c r="B361" s="8" t="s">
        <v>261</v>
      </c>
      <c r="C361" s="8" t="s">
        <v>264</v>
      </c>
      <c r="D361" s="10">
        <v>6207.7</v>
      </c>
      <c r="E361" s="10">
        <f>_xll.AtlasFormulas.AtlasFunctions.AtlasBalance("PROD",DataAreaId,"T.InventTrans|inventDimId~inventDimId@T.InventDim","Sum|Qty|0","","","","","","","DateFinancial|ItemId|T2.InventSiteId|T2.InventLocationId",PeriodBeginning,$A361,$B361,$C361)</f>
        <v>-46.81</v>
      </c>
      <c r="F361" s="10">
        <f>_xll.AtlasFormulas.AtlasFunctions.AtlasBalance("PROD",DataAreaId,"T.InventTrans|inventDimId~inventDimId@T.InventDim","Sum|Qty|0","","","","","","","DateFinancial|ItemId|T2.InventSiteId|T2.InventLocationId",PeriodEnding,$A361,$B361,$C361)</f>
        <v>0</v>
      </c>
      <c r="G361" s="10">
        <f>AtlasReport_3_Table_1[[#This Row],[Current On-hand]]-AtlasReport_3_Table_1[[#This Row],[Trans backwords (Beginning)]]</f>
        <v>6254.51</v>
      </c>
      <c r="H361" s="10">
        <f>AtlasReport_3_Table_1[[#This Row],[Current On-hand]]-AtlasReport_3_Table_1[[#This Row],[Trans backwords (Ending)]]</f>
        <v>6207.7</v>
      </c>
    </row>
    <row r="362" spans="1:8" x14ac:dyDescent="0.25">
      <c r="A362" s="8" t="s">
        <v>56</v>
      </c>
      <c r="B362" s="8" t="s">
        <v>261</v>
      </c>
      <c r="C362" s="8" t="s">
        <v>265</v>
      </c>
      <c r="D362" s="10">
        <v>0</v>
      </c>
      <c r="E362" s="10">
        <f>_xll.AtlasFormulas.AtlasFunctions.AtlasBalance("PROD",DataAreaId,"T.InventTrans|inventDimId~inventDimId@T.InventDim","Sum|Qty|0","","","","","","","DateFinancial|ItemId|T2.InventSiteId|T2.InventLocationId",PeriodBeginning,$A362,$B362,$C362)</f>
        <v>0</v>
      </c>
      <c r="F362" s="10">
        <f>_xll.AtlasFormulas.AtlasFunctions.AtlasBalance("PROD",DataAreaId,"T.InventTrans|inventDimId~inventDimId@T.InventDim","Sum|Qty|0","","","","","","","DateFinancial|ItemId|T2.InventSiteId|T2.InventLocationId",PeriodEnding,$A362,$B362,$C362)</f>
        <v>0</v>
      </c>
      <c r="G362" s="10">
        <f>AtlasReport_3_Table_1[[#This Row],[Current On-hand]]-AtlasReport_3_Table_1[[#This Row],[Trans backwords (Beginning)]]</f>
        <v>0</v>
      </c>
      <c r="H362" s="10">
        <f>AtlasReport_3_Table_1[[#This Row],[Current On-hand]]-AtlasReport_3_Table_1[[#This Row],[Trans backwords (Ending)]]</f>
        <v>0</v>
      </c>
    </row>
    <row r="363" spans="1:8" x14ac:dyDescent="0.25">
      <c r="A363" s="8" t="s">
        <v>57</v>
      </c>
      <c r="B363" s="8" t="s">
        <v>261</v>
      </c>
      <c r="C363" s="8" t="s">
        <v>81</v>
      </c>
      <c r="D363" s="10">
        <v>0</v>
      </c>
      <c r="E363" s="10">
        <f>_xll.AtlasFormulas.AtlasFunctions.AtlasBalance("PROD",DataAreaId,"T.InventTrans|inventDimId~inventDimId@T.InventDim","Sum|Qty|0","","","","","","","DateFinancial|ItemId|T2.InventSiteId|T2.InventLocationId",PeriodBeginning,$A363,$B363,$C363)</f>
        <v>0</v>
      </c>
      <c r="F363" s="10">
        <f>_xll.AtlasFormulas.AtlasFunctions.AtlasBalance("PROD",DataAreaId,"T.InventTrans|inventDimId~inventDimId@T.InventDim","Sum|Qty|0","","","","","","","DateFinancial|ItemId|T2.InventSiteId|T2.InventLocationId",PeriodEnding,$A363,$B363,$C363)</f>
        <v>0</v>
      </c>
      <c r="G363" s="10">
        <f>AtlasReport_3_Table_1[[#This Row],[Current On-hand]]-AtlasReport_3_Table_1[[#This Row],[Trans backwords (Beginning)]]</f>
        <v>0</v>
      </c>
      <c r="H363" s="10">
        <f>AtlasReport_3_Table_1[[#This Row],[Current On-hand]]-AtlasReport_3_Table_1[[#This Row],[Trans backwords (Ending)]]</f>
        <v>0</v>
      </c>
    </row>
    <row r="364" spans="1:8" x14ac:dyDescent="0.25">
      <c r="A364" s="8" t="s">
        <v>57</v>
      </c>
      <c r="B364" s="8" t="s">
        <v>261</v>
      </c>
      <c r="C364" s="8" t="s">
        <v>262</v>
      </c>
      <c r="D364" s="10">
        <v>0</v>
      </c>
      <c r="E364" s="10">
        <f>_xll.AtlasFormulas.AtlasFunctions.AtlasBalance("PROD",DataAreaId,"T.InventTrans|inventDimId~inventDimId@T.InventDim","Sum|Qty|0","","","","","","","DateFinancial|ItemId|T2.InventSiteId|T2.InventLocationId",PeriodBeginning,$A364,$B364,$C364)</f>
        <v>0</v>
      </c>
      <c r="F364" s="10">
        <f>_xll.AtlasFormulas.AtlasFunctions.AtlasBalance("PROD",DataAreaId,"T.InventTrans|inventDimId~inventDimId@T.InventDim","Sum|Qty|0","","","","","","","DateFinancial|ItemId|T2.InventSiteId|T2.InventLocationId",PeriodEnding,$A364,$B364,$C364)</f>
        <v>0</v>
      </c>
      <c r="G364" s="10">
        <f>AtlasReport_3_Table_1[[#This Row],[Current On-hand]]-AtlasReport_3_Table_1[[#This Row],[Trans backwords (Beginning)]]</f>
        <v>0</v>
      </c>
      <c r="H364" s="10">
        <f>AtlasReport_3_Table_1[[#This Row],[Current On-hand]]-AtlasReport_3_Table_1[[#This Row],[Trans backwords (Ending)]]</f>
        <v>0</v>
      </c>
    </row>
    <row r="365" spans="1:8" x14ac:dyDescent="0.25">
      <c r="A365" s="8" t="s">
        <v>57</v>
      </c>
      <c r="B365" s="8" t="s">
        <v>261</v>
      </c>
      <c r="C365" s="8" t="s">
        <v>264</v>
      </c>
      <c r="D365" s="10">
        <v>1055.44</v>
      </c>
      <c r="E365" s="10">
        <f>_xll.AtlasFormulas.AtlasFunctions.AtlasBalance("PROD",DataAreaId,"T.InventTrans|inventDimId~inventDimId@T.InventDim","Sum|Qty|0","","","","","","","DateFinancial|ItemId|T2.InventSiteId|T2.InventLocationId",PeriodBeginning,$A365,$B365,$C365)</f>
        <v>-42.65</v>
      </c>
      <c r="F365" s="10">
        <f>_xll.AtlasFormulas.AtlasFunctions.AtlasBalance("PROD",DataAreaId,"T.InventTrans|inventDimId~inventDimId@T.InventDim","Sum|Qty|0","","","","","","","DateFinancial|ItemId|T2.InventSiteId|T2.InventLocationId",PeriodEnding,$A365,$B365,$C365)</f>
        <v>0</v>
      </c>
      <c r="G365" s="10">
        <f>AtlasReport_3_Table_1[[#This Row],[Current On-hand]]-AtlasReport_3_Table_1[[#This Row],[Trans backwords (Beginning)]]</f>
        <v>1098.0900000000001</v>
      </c>
      <c r="H365" s="10">
        <f>AtlasReport_3_Table_1[[#This Row],[Current On-hand]]-AtlasReport_3_Table_1[[#This Row],[Trans backwords (Ending)]]</f>
        <v>1055.44</v>
      </c>
    </row>
    <row r="366" spans="1:8" x14ac:dyDescent="0.25">
      <c r="A366" s="8" t="s">
        <v>57</v>
      </c>
      <c r="B366" s="8" t="s">
        <v>261</v>
      </c>
      <c r="C366" s="8" t="s">
        <v>265</v>
      </c>
      <c r="D366" s="10">
        <v>0</v>
      </c>
      <c r="E366" s="10">
        <f>_xll.AtlasFormulas.AtlasFunctions.AtlasBalance("PROD",DataAreaId,"T.InventTrans|inventDimId~inventDimId@T.InventDim","Sum|Qty|0","","","","","","","DateFinancial|ItemId|T2.InventSiteId|T2.InventLocationId",PeriodBeginning,$A366,$B366,$C366)</f>
        <v>0</v>
      </c>
      <c r="F366" s="10">
        <f>_xll.AtlasFormulas.AtlasFunctions.AtlasBalance("PROD",DataAreaId,"T.InventTrans|inventDimId~inventDimId@T.InventDim","Sum|Qty|0","","","","","","","DateFinancial|ItemId|T2.InventSiteId|T2.InventLocationId",PeriodEnding,$A366,$B366,$C366)</f>
        <v>0</v>
      </c>
      <c r="G366" s="10">
        <f>AtlasReport_3_Table_1[[#This Row],[Current On-hand]]-AtlasReport_3_Table_1[[#This Row],[Trans backwords (Beginning)]]</f>
        <v>0</v>
      </c>
      <c r="H366" s="10">
        <f>AtlasReport_3_Table_1[[#This Row],[Current On-hand]]-AtlasReport_3_Table_1[[#This Row],[Trans backwords (Ending)]]</f>
        <v>0</v>
      </c>
    </row>
    <row r="367" spans="1:8" x14ac:dyDescent="0.25">
      <c r="A367" s="8" t="s">
        <v>97</v>
      </c>
      <c r="B367" s="8" t="s">
        <v>261</v>
      </c>
      <c r="C367" s="8" t="s">
        <v>81</v>
      </c>
      <c r="D367" s="10">
        <v>0</v>
      </c>
      <c r="E367" s="10">
        <f>_xll.AtlasFormulas.AtlasFunctions.AtlasBalance("PROD",DataAreaId,"T.InventTrans|inventDimId~inventDimId@T.InventDim","Sum|Qty|0","","","","","","","DateFinancial|ItemId|T2.InventSiteId|T2.InventLocationId",PeriodBeginning,$A367,$B367,$C367)</f>
        <v>0</v>
      </c>
      <c r="F367" s="10">
        <f>_xll.AtlasFormulas.AtlasFunctions.AtlasBalance("PROD",DataAreaId,"T.InventTrans|inventDimId~inventDimId@T.InventDim","Sum|Qty|0","","","","","","","DateFinancial|ItemId|T2.InventSiteId|T2.InventLocationId",PeriodEnding,$A367,$B367,$C367)</f>
        <v>0</v>
      </c>
      <c r="G367" s="10">
        <f>AtlasReport_3_Table_1[[#This Row],[Current On-hand]]-AtlasReport_3_Table_1[[#This Row],[Trans backwords (Beginning)]]</f>
        <v>0</v>
      </c>
      <c r="H367" s="10">
        <f>AtlasReport_3_Table_1[[#This Row],[Current On-hand]]-AtlasReport_3_Table_1[[#This Row],[Trans backwords (Ending)]]</f>
        <v>0</v>
      </c>
    </row>
    <row r="368" spans="1:8" x14ac:dyDescent="0.25">
      <c r="A368" s="8" t="s">
        <v>97</v>
      </c>
      <c r="B368" s="8" t="s">
        <v>261</v>
      </c>
      <c r="C368" s="8" t="s">
        <v>383</v>
      </c>
      <c r="D368" s="10">
        <v>0</v>
      </c>
      <c r="E368" s="10">
        <f>_xll.AtlasFormulas.AtlasFunctions.AtlasBalance("PROD",DataAreaId,"T.InventTrans|inventDimId~inventDimId@T.InventDim","Sum|Qty|0","","","","","","","DateFinancial|ItemId|T2.InventSiteId|T2.InventLocationId",PeriodBeginning,$A368,$B368,$C368)</f>
        <v>0</v>
      </c>
      <c r="F368" s="10">
        <f>_xll.AtlasFormulas.AtlasFunctions.AtlasBalance("PROD",DataAreaId,"T.InventTrans|inventDimId~inventDimId@T.InventDim","Sum|Qty|0","","","","","","","DateFinancial|ItemId|T2.InventSiteId|T2.InventLocationId",PeriodEnding,$A368,$B368,$C368)</f>
        <v>0</v>
      </c>
      <c r="G368" s="10">
        <f>AtlasReport_3_Table_1[[#This Row],[Current On-hand]]-AtlasReport_3_Table_1[[#This Row],[Trans backwords (Beginning)]]</f>
        <v>0</v>
      </c>
      <c r="H368" s="10">
        <f>AtlasReport_3_Table_1[[#This Row],[Current On-hand]]-AtlasReport_3_Table_1[[#This Row],[Trans backwords (Ending)]]</f>
        <v>0</v>
      </c>
    </row>
    <row r="369" spans="1:8" x14ac:dyDescent="0.25">
      <c r="A369" s="8" t="s">
        <v>97</v>
      </c>
      <c r="B369" s="8" t="s">
        <v>261</v>
      </c>
      <c r="C369" s="8" t="s">
        <v>262</v>
      </c>
      <c r="D369" s="10">
        <v>0</v>
      </c>
      <c r="E369" s="10">
        <f>_xll.AtlasFormulas.AtlasFunctions.AtlasBalance("PROD",DataAreaId,"T.InventTrans|inventDimId~inventDimId@T.InventDim","Sum|Qty|0","","","","","","","DateFinancial|ItemId|T2.InventSiteId|T2.InventLocationId",PeriodBeginning,$A369,$B369,$C369)</f>
        <v>0</v>
      </c>
      <c r="F369" s="10">
        <f>_xll.AtlasFormulas.AtlasFunctions.AtlasBalance("PROD",DataAreaId,"T.InventTrans|inventDimId~inventDimId@T.InventDim","Sum|Qty|0","","","","","","","DateFinancial|ItemId|T2.InventSiteId|T2.InventLocationId",PeriodEnding,$A369,$B369,$C369)</f>
        <v>0</v>
      </c>
      <c r="G369" s="10">
        <f>AtlasReport_3_Table_1[[#This Row],[Current On-hand]]-AtlasReport_3_Table_1[[#This Row],[Trans backwords (Beginning)]]</f>
        <v>0</v>
      </c>
      <c r="H369" s="10">
        <f>AtlasReport_3_Table_1[[#This Row],[Current On-hand]]-AtlasReport_3_Table_1[[#This Row],[Trans backwords (Ending)]]</f>
        <v>0</v>
      </c>
    </row>
    <row r="370" spans="1:8" x14ac:dyDescent="0.25">
      <c r="A370" s="8" t="s">
        <v>97</v>
      </c>
      <c r="B370" s="8" t="s">
        <v>261</v>
      </c>
      <c r="C370" s="8" t="s">
        <v>264</v>
      </c>
      <c r="D370" s="10">
        <v>729.85</v>
      </c>
      <c r="E370" s="10">
        <f>_xll.AtlasFormulas.AtlasFunctions.AtlasBalance("PROD",DataAreaId,"T.InventTrans|inventDimId~inventDimId@T.InventDim","Sum|Qty|0","","","","","","","DateFinancial|ItemId|T2.InventSiteId|T2.InventLocationId",PeriodBeginning,$A370,$B370,$C370)</f>
        <v>-462.31</v>
      </c>
      <c r="F370" s="10">
        <f>_xll.AtlasFormulas.AtlasFunctions.AtlasBalance("PROD",DataAreaId,"T.InventTrans|inventDimId~inventDimId@T.InventDim","Sum|Qty|0","","","","","","","DateFinancial|ItemId|T2.InventSiteId|T2.InventLocationId",PeriodEnding,$A370,$B370,$C370)</f>
        <v>0</v>
      </c>
      <c r="G370" s="10">
        <f>AtlasReport_3_Table_1[[#This Row],[Current On-hand]]-AtlasReport_3_Table_1[[#This Row],[Trans backwords (Beginning)]]</f>
        <v>1192.1600000000001</v>
      </c>
      <c r="H370" s="10">
        <f>AtlasReport_3_Table_1[[#This Row],[Current On-hand]]-AtlasReport_3_Table_1[[#This Row],[Trans backwords (Ending)]]</f>
        <v>729.85</v>
      </c>
    </row>
    <row r="371" spans="1:8" x14ac:dyDescent="0.25">
      <c r="A371" s="8" t="s">
        <v>97</v>
      </c>
      <c r="B371" s="8" t="s">
        <v>261</v>
      </c>
      <c r="C371" s="8" t="s">
        <v>265</v>
      </c>
      <c r="D371" s="10">
        <v>0</v>
      </c>
      <c r="E371" s="10">
        <f>_xll.AtlasFormulas.AtlasFunctions.AtlasBalance("PROD",DataAreaId,"T.InventTrans|inventDimId~inventDimId@T.InventDim","Sum|Qty|0","","","","","","","DateFinancial|ItemId|T2.InventSiteId|T2.InventLocationId",PeriodBeginning,$A371,$B371,$C371)</f>
        <v>0</v>
      </c>
      <c r="F371" s="10">
        <f>_xll.AtlasFormulas.AtlasFunctions.AtlasBalance("PROD",DataAreaId,"T.InventTrans|inventDimId~inventDimId@T.InventDim","Sum|Qty|0","","","","","","","DateFinancial|ItemId|T2.InventSiteId|T2.InventLocationId",PeriodEnding,$A371,$B371,$C371)</f>
        <v>0</v>
      </c>
      <c r="G371" s="10">
        <f>AtlasReport_3_Table_1[[#This Row],[Current On-hand]]-AtlasReport_3_Table_1[[#This Row],[Trans backwords (Beginning)]]</f>
        <v>0</v>
      </c>
      <c r="H371" s="10">
        <f>AtlasReport_3_Table_1[[#This Row],[Current On-hand]]-AtlasReport_3_Table_1[[#This Row],[Trans backwords (Ending)]]</f>
        <v>0</v>
      </c>
    </row>
    <row r="372" spans="1:8" x14ac:dyDescent="0.25">
      <c r="A372" s="8" t="s">
        <v>29</v>
      </c>
      <c r="B372" s="8" t="s">
        <v>261</v>
      </c>
      <c r="C372" s="8" t="s">
        <v>81</v>
      </c>
      <c r="D372" s="10">
        <v>0</v>
      </c>
      <c r="E372" s="10">
        <f>_xll.AtlasFormulas.AtlasFunctions.AtlasBalance("PROD",DataAreaId,"T.InventTrans|inventDimId~inventDimId@T.InventDim","Sum|Qty|0","","","","","","","DateFinancial|ItemId|T2.InventSiteId|T2.InventLocationId",PeriodBeginning,$A372,$B372,$C372)</f>
        <v>0</v>
      </c>
      <c r="F372" s="10">
        <f>_xll.AtlasFormulas.AtlasFunctions.AtlasBalance("PROD",DataAreaId,"T.InventTrans|inventDimId~inventDimId@T.InventDim","Sum|Qty|0","","","","","","","DateFinancial|ItemId|T2.InventSiteId|T2.InventLocationId",PeriodEnding,$A372,$B372,$C372)</f>
        <v>0</v>
      </c>
      <c r="G372" s="10">
        <f>AtlasReport_3_Table_1[[#This Row],[Current On-hand]]-AtlasReport_3_Table_1[[#This Row],[Trans backwords (Beginning)]]</f>
        <v>0</v>
      </c>
      <c r="H372" s="10">
        <f>AtlasReport_3_Table_1[[#This Row],[Current On-hand]]-AtlasReport_3_Table_1[[#This Row],[Trans backwords (Ending)]]</f>
        <v>0</v>
      </c>
    </row>
    <row r="373" spans="1:8" x14ac:dyDescent="0.25">
      <c r="A373" s="8" t="s">
        <v>29</v>
      </c>
      <c r="B373" s="8" t="s">
        <v>261</v>
      </c>
      <c r="C373" s="8" t="s">
        <v>262</v>
      </c>
      <c r="D373" s="10">
        <v>0</v>
      </c>
      <c r="E373" s="10">
        <f>_xll.AtlasFormulas.AtlasFunctions.AtlasBalance("PROD",DataAreaId,"T.InventTrans|inventDimId~inventDimId@T.InventDim","Sum|Qty|0","","","","","","","DateFinancial|ItemId|T2.InventSiteId|T2.InventLocationId",PeriodBeginning,$A373,$B373,$C373)</f>
        <v>0</v>
      </c>
      <c r="F373" s="10">
        <f>_xll.AtlasFormulas.AtlasFunctions.AtlasBalance("PROD",DataAreaId,"T.InventTrans|inventDimId~inventDimId@T.InventDim","Sum|Qty|0","","","","","","","DateFinancial|ItemId|T2.InventSiteId|T2.InventLocationId",PeriodEnding,$A373,$B373,$C373)</f>
        <v>0</v>
      </c>
      <c r="G373" s="10">
        <f>AtlasReport_3_Table_1[[#This Row],[Current On-hand]]-AtlasReport_3_Table_1[[#This Row],[Trans backwords (Beginning)]]</f>
        <v>0</v>
      </c>
      <c r="H373" s="10">
        <f>AtlasReport_3_Table_1[[#This Row],[Current On-hand]]-AtlasReport_3_Table_1[[#This Row],[Trans backwords (Ending)]]</f>
        <v>0</v>
      </c>
    </row>
    <row r="374" spans="1:8" x14ac:dyDescent="0.25">
      <c r="A374" s="8" t="s">
        <v>29</v>
      </c>
      <c r="B374" s="8" t="s">
        <v>261</v>
      </c>
      <c r="C374" s="8" t="s">
        <v>264</v>
      </c>
      <c r="D374" s="10">
        <v>1244.7</v>
      </c>
      <c r="E374" s="10">
        <f>_xll.AtlasFormulas.AtlasFunctions.AtlasBalance("PROD",DataAreaId,"T.InventTrans|inventDimId~inventDimId@T.InventDim","Sum|Qty|0","","","","","","","DateFinancial|ItemId|T2.InventSiteId|T2.InventLocationId",PeriodBeginning,$A374,$B374,$C374)</f>
        <v>-11.03</v>
      </c>
      <c r="F374" s="10">
        <f>_xll.AtlasFormulas.AtlasFunctions.AtlasBalance("PROD",DataAreaId,"T.InventTrans|inventDimId~inventDimId@T.InventDim","Sum|Qty|0","","","","","","","DateFinancial|ItemId|T2.InventSiteId|T2.InventLocationId",PeriodEnding,$A374,$B374,$C374)</f>
        <v>0</v>
      </c>
      <c r="G374" s="10">
        <f>AtlasReport_3_Table_1[[#This Row],[Current On-hand]]-AtlasReport_3_Table_1[[#This Row],[Trans backwords (Beginning)]]</f>
        <v>1255.73</v>
      </c>
      <c r="H374" s="10">
        <f>AtlasReport_3_Table_1[[#This Row],[Current On-hand]]-AtlasReport_3_Table_1[[#This Row],[Trans backwords (Ending)]]</f>
        <v>1244.7</v>
      </c>
    </row>
    <row r="375" spans="1:8" x14ac:dyDescent="0.25">
      <c r="A375" s="8" t="s">
        <v>29</v>
      </c>
      <c r="B375" s="8" t="s">
        <v>261</v>
      </c>
      <c r="C375" s="8" t="s">
        <v>265</v>
      </c>
      <c r="D375" s="10">
        <v>0</v>
      </c>
      <c r="E375" s="10">
        <f>_xll.AtlasFormulas.AtlasFunctions.AtlasBalance("PROD",DataAreaId,"T.InventTrans|inventDimId~inventDimId@T.InventDim","Sum|Qty|0","","","","","","","DateFinancial|ItemId|T2.InventSiteId|T2.InventLocationId",PeriodBeginning,$A375,$B375,$C375)</f>
        <v>0</v>
      </c>
      <c r="F375" s="10">
        <f>_xll.AtlasFormulas.AtlasFunctions.AtlasBalance("PROD",DataAreaId,"T.InventTrans|inventDimId~inventDimId@T.InventDim","Sum|Qty|0","","","","","","","DateFinancial|ItemId|T2.InventSiteId|T2.InventLocationId",PeriodEnding,$A375,$B375,$C375)</f>
        <v>0</v>
      </c>
      <c r="G375" s="10">
        <f>AtlasReport_3_Table_1[[#This Row],[Current On-hand]]-AtlasReport_3_Table_1[[#This Row],[Trans backwords (Beginning)]]</f>
        <v>0</v>
      </c>
      <c r="H375" s="10">
        <f>AtlasReport_3_Table_1[[#This Row],[Current On-hand]]-AtlasReport_3_Table_1[[#This Row],[Trans backwords (Ending)]]</f>
        <v>0</v>
      </c>
    </row>
    <row r="376" spans="1:8" x14ac:dyDescent="0.25">
      <c r="A376" s="8" t="s">
        <v>121</v>
      </c>
      <c r="B376" s="8" t="s">
        <v>261</v>
      </c>
      <c r="C376" s="8" t="s">
        <v>81</v>
      </c>
      <c r="D376" s="10">
        <v>0</v>
      </c>
      <c r="E376" s="10">
        <f>_xll.AtlasFormulas.AtlasFunctions.AtlasBalance("PROD",DataAreaId,"T.InventTrans|inventDimId~inventDimId@T.InventDim","Sum|Qty|0","","","","","","","DateFinancial|ItemId|T2.InventSiteId|T2.InventLocationId",PeriodBeginning,$A376,$B376,$C376)</f>
        <v>0</v>
      </c>
      <c r="F376" s="10">
        <f>_xll.AtlasFormulas.AtlasFunctions.AtlasBalance("PROD",DataAreaId,"T.InventTrans|inventDimId~inventDimId@T.InventDim","Sum|Qty|0","","","","","","","DateFinancial|ItemId|T2.InventSiteId|T2.InventLocationId",PeriodEnding,$A376,$B376,$C376)</f>
        <v>0</v>
      </c>
      <c r="G376" s="10">
        <f>AtlasReport_3_Table_1[[#This Row],[Current On-hand]]-AtlasReport_3_Table_1[[#This Row],[Trans backwords (Beginning)]]</f>
        <v>0</v>
      </c>
      <c r="H376" s="10">
        <f>AtlasReport_3_Table_1[[#This Row],[Current On-hand]]-AtlasReport_3_Table_1[[#This Row],[Trans backwords (Ending)]]</f>
        <v>0</v>
      </c>
    </row>
    <row r="377" spans="1:8" x14ac:dyDescent="0.25">
      <c r="A377" s="8" t="s">
        <v>121</v>
      </c>
      <c r="B377" s="8" t="s">
        <v>261</v>
      </c>
      <c r="C377" s="8" t="s">
        <v>262</v>
      </c>
      <c r="D377" s="10">
        <v>0</v>
      </c>
      <c r="E377" s="10">
        <f>_xll.AtlasFormulas.AtlasFunctions.AtlasBalance("PROD",DataAreaId,"T.InventTrans|inventDimId~inventDimId@T.InventDim","Sum|Qty|0","","","","","","","DateFinancial|ItemId|T2.InventSiteId|T2.InventLocationId",PeriodBeginning,$A377,$B377,$C377)</f>
        <v>0</v>
      </c>
      <c r="F377" s="10">
        <f>_xll.AtlasFormulas.AtlasFunctions.AtlasBalance("PROD",DataAreaId,"T.InventTrans|inventDimId~inventDimId@T.InventDim","Sum|Qty|0","","","","","","","DateFinancial|ItemId|T2.InventSiteId|T2.InventLocationId",PeriodEnding,$A377,$B377,$C377)</f>
        <v>0</v>
      </c>
      <c r="G377" s="10">
        <f>AtlasReport_3_Table_1[[#This Row],[Current On-hand]]-AtlasReport_3_Table_1[[#This Row],[Trans backwords (Beginning)]]</f>
        <v>0</v>
      </c>
      <c r="H377" s="10">
        <f>AtlasReport_3_Table_1[[#This Row],[Current On-hand]]-AtlasReport_3_Table_1[[#This Row],[Trans backwords (Ending)]]</f>
        <v>0</v>
      </c>
    </row>
    <row r="378" spans="1:8" x14ac:dyDescent="0.25">
      <c r="A378" s="8" t="s">
        <v>121</v>
      </c>
      <c r="B378" s="8" t="s">
        <v>261</v>
      </c>
      <c r="C378" s="8" t="s">
        <v>264</v>
      </c>
      <c r="D378" s="10">
        <v>966.81000000000006</v>
      </c>
      <c r="E378" s="10">
        <f>_xll.AtlasFormulas.AtlasFunctions.AtlasBalance("PROD",DataAreaId,"T.InventTrans|inventDimId~inventDimId@T.InventDim","Sum|Qty|0","","","","","","","DateFinancial|ItemId|T2.InventSiteId|T2.InventLocationId",PeriodBeginning,$A378,$B378,$C378)</f>
        <v>-40.43</v>
      </c>
      <c r="F378" s="10">
        <f>_xll.AtlasFormulas.AtlasFunctions.AtlasBalance("PROD",DataAreaId,"T.InventTrans|inventDimId~inventDimId@T.InventDim","Sum|Qty|0","","","","","","","DateFinancial|ItemId|T2.InventSiteId|T2.InventLocationId",PeriodEnding,$A378,$B378,$C378)</f>
        <v>0</v>
      </c>
      <c r="G378" s="10">
        <f>AtlasReport_3_Table_1[[#This Row],[Current On-hand]]-AtlasReport_3_Table_1[[#This Row],[Trans backwords (Beginning)]]</f>
        <v>1007.24</v>
      </c>
      <c r="H378" s="10">
        <f>AtlasReport_3_Table_1[[#This Row],[Current On-hand]]-AtlasReport_3_Table_1[[#This Row],[Trans backwords (Ending)]]</f>
        <v>966.81000000000006</v>
      </c>
    </row>
    <row r="379" spans="1:8" x14ac:dyDescent="0.25">
      <c r="A379" s="8" t="s">
        <v>121</v>
      </c>
      <c r="B379" s="8" t="s">
        <v>261</v>
      </c>
      <c r="C379" s="8" t="s">
        <v>265</v>
      </c>
      <c r="D379" s="10">
        <v>0</v>
      </c>
      <c r="E379" s="10">
        <f>_xll.AtlasFormulas.AtlasFunctions.AtlasBalance("PROD",DataAreaId,"T.InventTrans|inventDimId~inventDimId@T.InventDim","Sum|Qty|0","","","","","","","DateFinancial|ItemId|T2.InventSiteId|T2.InventLocationId",PeriodBeginning,$A379,$B379,$C379)</f>
        <v>0</v>
      </c>
      <c r="F379" s="10">
        <f>_xll.AtlasFormulas.AtlasFunctions.AtlasBalance("PROD",DataAreaId,"T.InventTrans|inventDimId~inventDimId@T.InventDim","Sum|Qty|0","","","","","","","DateFinancial|ItemId|T2.InventSiteId|T2.InventLocationId",PeriodEnding,$A379,$B379,$C379)</f>
        <v>0</v>
      </c>
      <c r="G379" s="10">
        <f>AtlasReport_3_Table_1[[#This Row],[Current On-hand]]-AtlasReport_3_Table_1[[#This Row],[Trans backwords (Beginning)]]</f>
        <v>0</v>
      </c>
      <c r="H379" s="10">
        <f>AtlasReport_3_Table_1[[#This Row],[Current On-hand]]-AtlasReport_3_Table_1[[#This Row],[Trans backwords (Ending)]]</f>
        <v>0</v>
      </c>
    </row>
    <row r="380" spans="1:8" x14ac:dyDescent="0.25">
      <c r="A380" s="8" t="s">
        <v>106</v>
      </c>
      <c r="B380" s="8" t="s">
        <v>261</v>
      </c>
      <c r="C380" s="8" t="s">
        <v>81</v>
      </c>
      <c r="D380" s="10">
        <v>0</v>
      </c>
      <c r="E380" s="10">
        <f>_xll.AtlasFormulas.AtlasFunctions.AtlasBalance("PROD",DataAreaId,"T.InventTrans|inventDimId~inventDimId@T.InventDim","Sum|Qty|0","","","","","","","DateFinancial|ItemId|T2.InventSiteId|T2.InventLocationId",PeriodBeginning,$A380,$B380,$C380)</f>
        <v>0</v>
      </c>
      <c r="F380" s="10">
        <f>_xll.AtlasFormulas.AtlasFunctions.AtlasBalance("PROD",DataAreaId,"T.InventTrans|inventDimId~inventDimId@T.InventDim","Sum|Qty|0","","","","","","","DateFinancial|ItemId|T2.InventSiteId|T2.InventLocationId",PeriodEnding,$A380,$B380,$C380)</f>
        <v>0</v>
      </c>
      <c r="G380" s="10">
        <f>AtlasReport_3_Table_1[[#This Row],[Current On-hand]]-AtlasReport_3_Table_1[[#This Row],[Trans backwords (Beginning)]]</f>
        <v>0</v>
      </c>
      <c r="H380" s="10">
        <f>AtlasReport_3_Table_1[[#This Row],[Current On-hand]]-AtlasReport_3_Table_1[[#This Row],[Trans backwords (Ending)]]</f>
        <v>0</v>
      </c>
    </row>
    <row r="381" spans="1:8" x14ac:dyDescent="0.25">
      <c r="A381" s="8" t="s">
        <v>106</v>
      </c>
      <c r="B381" s="8" t="s">
        <v>261</v>
      </c>
      <c r="C381" s="8" t="s">
        <v>383</v>
      </c>
      <c r="D381" s="10">
        <v>0</v>
      </c>
      <c r="E381" s="10">
        <f>_xll.AtlasFormulas.AtlasFunctions.AtlasBalance("PROD",DataAreaId,"T.InventTrans|inventDimId~inventDimId@T.InventDim","Sum|Qty|0","","","","","","","DateFinancial|ItemId|T2.InventSiteId|T2.InventLocationId",PeriodBeginning,$A381,$B381,$C381)</f>
        <v>0</v>
      </c>
      <c r="F381" s="10">
        <f>_xll.AtlasFormulas.AtlasFunctions.AtlasBalance("PROD",DataAreaId,"T.InventTrans|inventDimId~inventDimId@T.InventDim","Sum|Qty|0","","","","","","","DateFinancial|ItemId|T2.InventSiteId|T2.InventLocationId",PeriodEnding,$A381,$B381,$C381)</f>
        <v>0</v>
      </c>
      <c r="G381" s="10">
        <f>AtlasReport_3_Table_1[[#This Row],[Current On-hand]]-AtlasReport_3_Table_1[[#This Row],[Trans backwords (Beginning)]]</f>
        <v>0</v>
      </c>
      <c r="H381" s="10">
        <f>AtlasReport_3_Table_1[[#This Row],[Current On-hand]]-AtlasReport_3_Table_1[[#This Row],[Trans backwords (Ending)]]</f>
        <v>0</v>
      </c>
    </row>
    <row r="382" spans="1:8" x14ac:dyDescent="0.25">
      <c r="A382" s="8" t="s">
        <v>106</v>
      </c>
      <c r="B382" s="8" t="s">
        <v>261</v>
      </c>
      <c r="C382" s="8" t="s">
        <v>262</v>
      </c>
      <c r="D382" s="10">
        <v>0</v>
      </c>
      <c r="E382" s="10">
        <f>_xll.AtlasFormulas.AtlasFunctions.AtlasBalance("PROD",DataAreaId,"T.InventTrans|inventDimId~inventDimId@T.InventDim","Sum|Qty|0","","","","","","","DateFinancial|ItemId|T2.InventSiteId|T2.InventLocationId",PeriodBeginning,$A382,$B382,$C382)</f>
        <v>0</v>
      </c>
      <c r="F382" s="10">
        <f>_xll.AtlasFormulas.AtlasFunctions.AtlasBalance("PROD",DataAreaId,"T.InventTrans|inventDimId~inventDimId@T.InventDim","Sum|Qty|0","","","","","","","DateFinancial|ItemId|T2.InventSiteId|T2.InventLocationId",PeriodEnding,$A382,$B382,$C382)</f>
        <v>0</v>
      </c>
      <c r="G382" s="10">
        <f>AtlasReport_3_Table_1[[#This Row],[Current On-hand]]-AtlasReport_3_Table_1[[#This Row],[Trans backwords (Beginning)]]</f>
        <v>0</v>
      </c>
      <c r="H382" s="10">
        <f>AtlasReport_3_Table_1[[#This Row],[Current On-hand]]-AtlasReport_3_Table_1[[#This Row],[Trans backwords (Ending)]]</f>
        <v>0</v>
      </c>
    </row>
    <row r="383" spans="1:8" x14ac:dyDescent="0.25">
      <c r="A383" s="8" t="s">
        <v>106</v>
      </c>
      <c r="B383" s="8" t="s">
        <v>261</v>
      </c>
      <c r="C383" s="8" t="s">
        <v>264</v>
      </c>
      <c r="D383" s="10">
        <v>1201.2</v>
      </c>
      <c r="E383" s="10">
        <f>_xll.AtlasFormulas.AtlasFunctions.AtlasBalance("PROD",DataAreaId,"T.InventTrans|inventDimId~inventDimId@T.InventDim","Sum|Qty|0","","","","","","","DateFinancial|ItemId|T2.InventSiteId|T2.InventLocationId",PeriodBeginning,$A383,$B383,$C383)</f>
        <v>-483.29</v>
      </c>
      <c r="F383" s="10">
        <f>_xll.AtlasFormulas.AtlasFunctions.AtlasBalance("PROD",DataAreaId,"T.InventTrans|inventDimId~inventDimId@T.InventDim","Sum|Qty|0","","","","","","","DateFinancial|ItemId|T2.InventSiteId|T2.InventLocationId",PeriodEnding,$A383,$B383,$C383)</f>
        <v>0</v>
      </c>
      <c r="G383" s="10">
        <f>AtlasReport_3_Table_1[[#This Row],[Current On-hand]]-AtlasReport_3_Table_1[[#This Row],[Trans backwords (Beginning)]]</f>
        <v>1684.49</v>
      </c>
      <c r="H383" s="10">
        <f>AtlasReport_3_Table_1[[#This Row],[Current On-hand]]-AtlasReport_3_Table_1[[#This Row],[Trans backwords (Ending)]]</f>
        <v>1201.2</v>
      </c>
    </row>
    <row r="384" spans="1:8" x14ac:dyDescent="0.25">
      <c r="A384" s="8" t="s">
        <v>106</v>
      </c>
      <c r="B384" s="8" t="s">
        <v>261</v>
      </c>
      <c r="C384" s="8" t="s">
        <v>265</v>
      </c>
      <c r="D384" s="10">
        <v>0</v>
      </c>
      <c r="E384" s="10">
        <f>_xll.AtlasFormulas.AtlasFunctions.AtlasBalance("PROD",DataAreaId,"T.InventTrans|inventDimId~inventDimId@T.InventDim","Sum|Qty|0","","","","","","","DateFinancial|ItemId|T2.InventSiteId|T2.InventLocationId",PeriodBeginning,$A384,$B384,$C384)</f>
        <v>0</v>
      </c>
      <c r="F384" s="10">
        <f>_xll.AtlasFormulas.AtlasFunctions.AtlasBalance("PROD",DataAreaId,"T.InventTrans|inventDimId~inventDimId@T.InventDim","Sum|Qty|0","","","","","","","DateFinancial|ItemId|T2.InventSiteId|T2.InventLocationId",PeriodEnding,$A384,$B384,$C384)</f>
        <v>0</v>
      </c>
      <c r="G384" s="10">
        <f>AtlasReport_3_Table_1[[#This Row],[Current On-hand]]-AtlasReport_3_Table_1[[#This Row],[Trans backwords (Beginning)]]</f>
        <v>0</v>
      </c>
      <c r="H384" s="10">
        <f>AtlasReport_3_Table_1[[#This Row],[Current On-hand]]-AtlasReport_3_Table_1[[#This Row],[Trans backwords (Ending)]]</f>
        <v>0</v>
      </c>
    </row>
    <row r="385" spans="1:8" x14ac:dyDescent="0.25">
      <c r="A385" s="8" t="s">
        <v>400</v>
      </c>
      <c r="B385" s="8" t="s">
        <v>261</v>
      </c>
      <c r="C385" s="8" t="s">
        <v>81</v>
      </c>
      <c r="D385" s="10">
        <v>0</v>
      </c>
      <c r="E385" s="10">
        <f>_xll.AtlasFormulas.AtlasFunctions.AtlasBalance("PROD",DataAreaId,"T.InventTrans|inventDimId~inventDimId@T.InventDim","Sum|Qty|0","","","","","","","DateFinancial|ItemId|T2.InventSiteId|T2.InventLocationId",PeriodBeginning,$A385,$B385,$C385)</f>
        <v>0</v>
      </c>
      <c r="F385" s="10">
        <f>_xll.AtlasFormulas.AtlasFunctions.AtlasBalance("PROD",DataAreaId,"T.InventTrans|inventDimId~inventDimId@T.InventDim","Sum|Qty|0","","","","","","","DateFinancial|ItemId|T2.InventSiteId|T2.InventLocationId",PeriodEnding,$A385,$B385,$C385)</f>
        <v>0</v>
      </c>
      <c r="G385" s="10">
        <f>AtlasReport_3_Table_1[[#This Row],[Current On-hand]]-AtlasReport_3_Table_1[[#This Row],[Trans backwords (Beginning)]]</f>
        <v>0</v>
      </c>
      <c r="H385" s="10">
        <f>AtlasReport_3_Table_1[[#This Row],[Current On-hand]]-AtlasReport_3_Table_1[[#This Row],[Trans backwords (Ending)]]</f>
        <v>0</v>
      </c>
    </row>
    <row r="386" spans="1:8" x14ac:dyDescent="0.25">
      <c r="A386" s="8" t="s">
        <v>400</v>
      </c>
      <c r="B386" s="8" t="s">
        <v>261</v>
      </c>
      <c r="C386" s="8" t="s">
        <v>383</v>
      </c>
      <c r="D386" s="10">
        <v>0</v>
      </c>
      <c r="E386" s="10">
        <f>_xll.AtlasFormulas.AtlasFunctions.AtlasBalance("PROD",DataAreaId,"T.InventTrans|inventDimId~inventDimId@T.InventDim","Sum|Qty|0","","","","","","","DateFinancial|ItemId|T2.InventSiteId|T2.InventLocationId",PeriodBeginning,$A386,$B386,$C386)</f>
        <v>0</v>
      </c>
      <c r="F386" s="10">
        <f>_xll.AtlasFormulas.AtlasFunctions.AtlasBalance("PROD",DataAreaId,"T.InventTrans|inventDimId~inventDimId@T.InventDim","Sum|Qty|0","","","","","","","DateFinancial|ItemId|T2.InventSiteId|T2.InventLocationId",PeriodEnding,$A386,$B386,$C386)</f>
        <v>0</v>
      </c>
      <c r="G386" s="10">
        <f>AtlasReport_3_Table_1[[#This Row],[Current On-hand]]-AtlasReport_3_Table_1[[#This Row],[Trans backwords (Beginning)]]</f>
        <v>0</v>
      </c>
      <c r="H386" s="10">
        <f>AtlasReport_3_Table_1[[#This Row],[Current On-hand]]-AtlasReport_3_Table_1[[#This Row],[Trans backwords (Ending)]]</f>
        <v>0</v>
      </c>
    </row>
    <row r="387" spans="1:8" x14ac:dyDescent="0.25">
      <c r="A387" s="8" t="s">
        <v>400</v>
      </c>
      <c r="B387" s="8" t="s">
        <v>261</v>
      </c>
      <c r="C387" s="8" t="s">
        <v>264</v>
      </c>
      <c r="D387" s="10">
        <v>21.23</v>
      </c>
      <c r="E387" s="10">
        <f>_xll.AtlasFormulas.AtlasFunctions.AtlasBalance("PROD",DataAreaId,"T.InventTrans|inventDimId~inventDimId@T.InventDim","Sum|Qty|0","","","","","","","DateFinancial|ItemId|T2.InventSiteId|T2.InventLocationId",PeriodBeginning,$A387,$B387,$C387)</f>
        <v>-2.77</v>
      </c>
      <c r="F387" s="10">
        <f>_xll.AtlasFormulas.AtlasFunctions.AtlasBalance("PROD",DataAreaId,"T.InventTrans|inventDimId~inventDimId@T.InventDim","Sum|Qty|0","","","","","","","DateFinancial|ItemId|T2.InventSiteId|T2.InventLocationId",PeriodEnding,$A387,$B387,$C387)</f>
        <v>0</v>
      </c>
      <c r="G387" s="10">
        <f>AtlasReport_3_Table_1[[#This Row],[Current On-hand]]-AtlasReport_3_Table_1[[#This Row],[Trans backwords (Beginning)]]</f>
        <v>24</v>
      </c>
      <c r="H387" s="10">
        <f>AtlasReport_3_Table_1[[#This Row],[Current On-hand]]-AtlasReport_3_Table_1[[#This Row],[Trans backwords (Ending)]]</f>
        <v>21.23</v>
      </c>
    </row>
    <row r="388" spans="1:8" x14ac:dyDescent="0.25">
      <c r="A388" s="8" t="s">
        <v>58</v>
      </c>
      <c r="B388" s="8" t="s">
        <v>261</v>
      </c>
      <c r="C388" s="8" t="s">
        <v>81</v>
      </c>
      <c r="D388" s="10">
        <v>0</v>
      </c>
      <c r="E388" s="10">
        <f>_xll.AtlasFormulas.AtlasFunctions.AtlasBalance("PROD",DataAreaId,"T.InventTrans|inventDimId~inventDimId@T.InventDim","Sum|Qty|0","","","","","","","DateFinancial|ItemId|T2.InventSiteId|T2.InventLocationId",PeriodBeginning,$A388,$B388,$C388)</f>
        <v>0</v>
      </c>
      <c r="F388" s="10">
        <f>_xll.AtlasFormulas.AtlasFunctions.AtlasBalance("PROD",DataAreaId,"T.InventTrans|inventDimId~inventDimId@T.InventDim","Sum|Qty|0","","","","","","","DateFinancial|ItemId|T2.InventSiteId|T2.InventLocationId",PeriodEnding,$A388,$B388,$C388)</f>
        <v>0</v>
      </c>
      <c r="G388" s="10">
        <f>AtlasReport_3_Table_1[[#This Row],[Current On-hand]]-AtlasReport_3_Table_1[[#This Row],[Trans backwords (Beginning)]]</f>
        <v>0</v>
      </c>
      <c r="H388" s="10">
        <f>AtlasReport_3_Table_1[[#This Row],[Current On-hand]]-AtlasReport_3_Table_1[[#This Row],[Trans backwords (Ending)]]</f>
        <v>0</v>
      </c>
    </row>
    <row r="389" spans="1:8" x14ac:dyDescent="0.25">
      <c r="A389" s="8" t="s">
        <v>58</v>
      </c>
      <c r="B389" s="8" t="s">
        <v>261</v>
      </c>
      <c r="C389" s="8" t="s">
        <v>383</v>
      </c>
      <c r="D389" s="10">
        <v>0</v>
      </c>
      <c r="E389" s="10">
        <f>_xll.AtlasFormulas.AtlasFunctions.AtlasBalance("PROD",DataAreaId,"T.InventTrans|inventDimId~inventDimId@T.InventDim","Sum|Qty|0","","","","","","","DateFinancial|ItemId|T2.InventSiteId|T2.InventLocationId",PeriodBeginning,$A389,$B389,$C389)</f>
        <v>0</v>
      </c>
      <c r="F389" s="10">
        <f>_xll.AtlasFormulas.AtlasFunctions.AtlasBalance("PROD",DataAreaId,"T.InventTrans|inventDimId~inventDimId@T.InventDim","Sum|Qty|0","","","","","","","DateFinancial|ItemId|T2.InventSiteId|T2.InventLocationId",PeriodEnding,$A389,$B389,$C389)</f>
        <v>0</v>
      </c>
      <c r="G389" s="10">
        <f>AtlasReport_3_Table_1[[#This Row],[Current On-hand]]-AtlasReport_3_Table_1[[#This Row],[Trans backwords (Beginning)]]</f>
        <v>0</v>
      </c>
      <c r="H389" s="10">
        <f>AtlasReport_3_Table_1[[#This Row],[Current On-hand]]-AtlasReport_3_Table_1[[#This Row],[Trans backwords (Ending)]]</f>
        <v>0</v>
      </c>
    </row>
    <row r="390" spans="1:8" x14ac:dyDescent="0.25">
      <c r="A390" s="8" t="s">
        <v>58</v>
      </c>
      <c r="B390" s="8" t="s">
        <v>261</v>
      </c>
      <c r="C390" s="8" t="s">
        <v>305</v>
      </c>
      <c r="D390" s="10">
        <v>0</v>
      </c>
      <c r="E390" s="10">
        <f>_xll.AtlasFormulas.AtlasFunctions.AtlasBalance("PROD",DataAreaId,"T.InventTrans|inventDimId~inventDimId@T.InventDim","Sum|Qty|0","","","","","","","DateFinancial|ItemId|T2.InventSiteId|T2.InventLocationId",PeriodBeginning,$A390,$B390,$C390)</f>
        <v>0</v>
      </c>
      <c r="F390" s="10">
        <f>_xll.AtlasFormulas.AtlasFunctions.AtlasBalance("PROD",DataAreaId,"T.InventTrans|inventDimId~inventDimId@T.InventDim","Sum|Qty|0","","","","","","","DateFinancial|ItemId|T2.InventSiteId|T2.InventLocationId",PeriodEnding,$A390,$B390,$C390)</f>
        <v>0</v>
      </c>
      <c r="G390" s="10">
        <f>AtlasReport_3_Table_1[[#This Row],[Current On-hand]]-AtlasReport_3_Table_1[[#This Row],[Trans backwords (Beginning)]]</f>
        <v>0</v>
      </c>
      <c r="H390" s="10">
        <f>AtlasReport_3_Table_1[[#This Row],[Current On-hand]]-AtlasReport_3_Table_1[[#This Row],[Trans backwords (Ending)]]</f>
        <v>0</v>
      </c>
    </row>
    <row r="391" spans="1:8" x14ac:dyDescent="0.25">
      <c r="A391" s="8" t="s">
        <v>58</v>
      </c>
      <c r="B391" s="8" t="s">
        <v>261</v>
      </c>
      <c r="C391" s="8" t="s">
        <v>262</v>
      </c>
      <c r="D391" s="10">
        <v>0</v>
      </c>
      <c r="E391" s="10">
        <f>_xll.AtlasFormulas.AtlasFunctions.AtlasBalance("PROD",DataAreaId,"T.InventTrans|inventDimId~inventDimId@T.InventDim","Sum|Qty|0","","","","","","","DateFinancial|ItemId|T2.InventSiteId|T2.InventLocationId",PeriodBeginning,$A391,$B391,$C391)</f>
        <v>0</v>
      </c>
      <c r="F391" s="10">
        <f>_xll.AtlasFormulas.AtlasFunctions.AtlasBalance("PROD",DataAreaId,"T.InventTrans|inventDimId~inventDimId@T.InventDim","Sum|Qty|0","","","","","","","DateFinancial|ItemId|T2.InventSiteId|T2.InventLocationId",PeriodEnding,$A391,$B391,$C391)</f>
        <v>0</v>
      </c>
      <c r="G391" s="10">
        <f>AtlasReport_3_Table_1[[#This Row],[Current On-hand]]-AtlasReport_3_Table_1[[#This Row],[Trans backwords (Beginning)]]</f>
        <v>0</v>
      </c>
      <c r="H391" s="10">
        <f>AtlasReport_3_Table_1[[#This Row],[Current On-hand]]-AtlasReport_3_Table_1[[#This Row],[Trans backwords (Ending)]]</f>
        <v>0</v>
      </c>
    </row>
    <row r="392" spans="1:8" x14ac:dyDescent="0.25">
      <c r="A392" s="8" t="s">
        <v>58</v>
      </c>
      <c r="B392" s="8" t="s">
        <v>261</v>
      </c>
      <c r="C392" s="8" t="s">
        <v>264</v>
      </c>
      <c r="D392" s="10">
        <v>1429</v>
      </c>
      <c r="E392" s="10">
        <f>_xll.AtlasFormulas.AtlasFunctions.AtlasBalance("PROD",DataAreaId,"T.InventTrans|inventDimId~inventDimId@T.InventDim","Sum|Qty|0","","","","","","","DateFinancial|ItemId|T2.InventSiteId|T2.InventLocationId",PeriodBeginning,$A392,$B392,$C392)</f>
        <v>-345.65</v>
      </c>
      <c r="F392" s="10">
        <f>_xll.AtlasFormulas.AtlasFunctions.AtlasBalance("PROD",DataAreaId,"T.InventTrans|inventDimId~inventDimId@T.InventDim","Sum|Qty|0","","","","","","","DateFinancial|ItemId|T2.InventSiteId|T2.InventLocationId",PeriodEnding,$A392,$B392,$C392)</f>
        <v>0</v>
      </c>
      <c r="G392" s="10">
        <f>AtlasReport_3_Table_1[[#This Row],[Current On-hand]]-AtlasReport_3_Table_1[[#This Row],[Trans backwords (Beginning)]]</f>
        <v>1774.65</v>
      </c>
      <c r="H392" s="10">
        <f>AtlasReport_3_Table_1[[#This Row],[Current On-hand]]-AtlasReport_3_Table_1[[#This Row],[Trans backwords (Ending)]]</f>
        <v>1429</v>
      </c>
    </row>
    <row r="393" spans="1:8" x14ac:dyDescent="0.25">
      <c r="A393" s="8" t="s">
        <v>58</v>
      </c>
      <c r="B393" s="8" t="s">
        <v>261</v>
      </c>
      <c r="C393" s="8" t="s">
        <v>265</v>
      </c>
      <c r="D393" s="10">
        <v>0</v>
      </c>
      <c r="E393" s="10">
        <f>_xll.AtlasFormulas.AtlasFunctions.AtlasBalance("PROD",DataAreaId,"T.InventTrans|inventDimId~inventDimId@T.InventDim","Sum|Qty|0","","","","","","","DateFinancial|ItemId|T2.InventSiteId|T2.InventLocationId",PeriodBeginning,$A393,$B393,$C393)</f>
        <v>0</v>
      </c>
      <c r="F393" s="10">
        <f>_xll.AtlasFormulas.AtlasFunctions.AtlasBalance("PROD",DataAreaId,"T.InventTrans|inventDimId~inventDimId@T.InventDim","Sum|Qty|0","","","","","","","DateFinancial|ItemId|T2.InventSiteId|T2.InventLocationId",PeriodEnding,$A393,$B393,$C393)</f>
        <v>0</v>
      </c>
      <c r="G393" s="10">
        <f>AtlasReport_3_Table_1[[#This Row],[Current On-hand]]-AtlasReport_3_Table_1[[#This Row],[Trans backwords (Beginning)]]</f>
        <v>0</v>
      </c>
      <c r="H393" s="10">
        <f>AtlasReport_3_Table_1[[#This Row],[Current On-hand]]-AtlasReport_3_Table_1[[#This Row],[Trans backwords (Ending)]]</f>
        <v>0</v>
      </c>
    </row>
    <row r="394" spans="1:8" x14ac:dyDescent="0.25">
      <c r="A394" s="8" t="s">
        <v>401</v>
      </c>
      <c r="B394" s="8" t="s">
        <v>261</v>
      </c>
      <c r="C394" s="8" t="s">
        <v>264</v>
      </c>
      <c r="D394" s="10">
        <v>150</v>
      </c>
      <c r="E394" s="10">
        <f>_xll.AtlasFormulas.AtlasFunctions.AtlasBalance("PROD",DataAreaId,"T.InventTrans|inventDimId~inventDimId@T.InventDim","Sum|Qty|0","","","","","","","DateFinancial|ItemId|T2.InventSiteId|T2.InventLocationId",PeriodBeginning,$A394,$B394,$C394)</f>
        <v>0</v>
      </c>
      <c r="F394" s="10">
        <f>_xll.AtlasFormulas.AtlasFunctions.AtlasBalance("PROD",DataAreaId,"T.InventTrans|inventDimId~inventDimId@T.InventDim","Sum|Qty|0","","","","","","","DateFinancial|ItemId|T2.InventSiteId|T2.InventLocationId",PeriodEnding,$A394,$B394,$C394)</f>
        <v>0</v>
      </c>
      <c r="G394" s="10">
        <f>AtlasReport_3_Table_1[[#This Row],[Current On-hand]]-AtlasReport_3_Table_1[[#This Row],[Trans backwords (Beginning)]]</f>
        <v>150</v>
      </c>
      <c r="H394" s="10">
        <f>AtlasReport_3_Table_1[[#This Row],[Current On-hand]]-AtlasReport_3_Table_1[[#This Row],[Trans backwords (Ending)]]</f>
        <v>150</v>
      </c>
    </row>
    <row r="395" spans="1:8" x14ac:dyDescent="0.25">
      <c r="A395" s="8" t="s">
        <v>402</v>
      </c>
      <c r="B395" s="8" t="s">
        <v>261</v>
      </c>
      <c r="C395" s="8" t="s">
        <v>81</v>
      </c>
      <c r="D395" s="10">
        <v>0</v>
      </c>
      <c r="E395" s="10">
        <f>_xll.AtlasFormulas.AtlasFunctions.AtlasBalance("PROD",DataAreaId,"T.InventTrans|inventDimId~inventDimId@T.InventDim","Sum|Qty|0","","","","","","","DateFinancial|ItemId|T2.InventSiteId|T2.InventLocationId",PeriodBeginning,$A395,$B395,$C395)</f>
        <v>0</v>
      </c>
      <c r="F395" s="10">
        <f>_xll.AtlasFormulas.AtlasFunctions.AtlasBalance("PROD",DataAreaId,"T.InventTrans|inventDimId~inventDimId@T.InventDim","Sum|Qty|0","","","","","","","DateFinancial|ItemId|T2.InventSiteId|T2.InventLocationId",PeriodEnding,$A395,$B395,$C395)</f>
        <v>0</v>
      </c>
      <c r="G395" s="10">
        <f>AtlasReport_3_Table_1[[#This Row],[Current On-hand]]-AtlasReport_3_Table_1[[#This Row],[Trans backwords (Beginning)]]</f>
        <v>0</v>
      </c>
      <c r="H395" s="10">
        <f>AtlasReport_3_Table_1[[#This Row],[Current On-hand]]-AtlasReport_3_Table_1[[#This Row],[Trans backwords (Ending)]]</f>
        <v>0</v>
      </c>
    </row>
    <row r="396" spans="1:8" x14ac:dyDescent="0.25">
      <c r="A396" s="8" t="s">
        <v>402</v>
      </c>
      <c r="B396" s="8" t="s">
        <v>261</v>
      </c>
      <c r="C396" s="8" t="s">
        <v>264</v>
      </c>
      <c r="D396" s="10">
        <v>501.21000000000004</v>
      </c>
      <c r="E396" s="10">
        <f>_xll.AtlasFormulas.AtlasFunctions.AtlasBalance("PROD",DataAreaId,"T.InventTrans|inventDimId~inventDimId@T.InventDim","Sum|Qty|0","","","","","","","DateFinancial|ItemId|T2.InventSiteId|T2.InventLocationId",PeriodBeginning,$A396,$B396,$C396)</f>
        <v>-0.93</v>
      </c>
      <c r="F396" s="10">
        <f>_xll.AtlasFormulas.AtlasFunctions.AtlasBalance("PROD",DataAreaId,"T.InventTrans|inventDimId~inventDimId@T.InventDim","Sum|Qty|0","","","","","","","DateFinancial|ItemId|T2.InventSiteId|T2.InventLocationId",PeriodEnding,$A396,$B396,$C396)</f>
        <v>0</v>
      </c>
      <c r="G396" s="10">
        <f>AtlasReport_3_Table_1[[#This Row],[Current On-hand]]-AtlasReport_3_Table_1[[#This Row],[Trans backwords (Beginning)]]</f>
        <v>502.14000000000004</v>
      </c>
      <c r="H396" s="10">
        <f>AtlasReport_3_Table_1[[#This Row],[Current On-hand]]-AtlasReport_3_Table_1[[#This Row],[Trans backwords (Ending)]]</f>
        <v>501.21000000000004</v>
      </c>
    </row>
    <row r="397" spans="1:8" x14ac:dyDescent="0.25">
      <c r="A397" s="8" t="s">
        <v>99</v>
      </c>
      <c r="B397" s="8" t="s">
        <v>261</v>
      </c>
      <c r="C397" s="8" t="s">
        <v>81</v>
      </c>
      <c r="D397" s="10">
        <v>0</v>
      </c>
      <c r="E397" s="10">
        <f>_xll.AtlasFormulas.AtlasFunctions.AtlasBalance("PROD",DataAreaId,"T.InventTrans|inventDimId~inventDimId@T.InventDim","Sum|Qty|0","","","","","","","DateFinancial|ItemId|T2.InventSiteId|T2.InventLocationId",PeriodBeginning,$A397,$B397,$C397)</f>
        <v>0</v>
      </c>
      <c r="F397" s="10">
        <f>_xll.AtlasFormulas.AtlasFunctions.AtlasBalance("PROD",DataAreaId,"T.InventTrans|inventDimId~inventDimId@T.InventDim","Sum|Qty|0","","","","","","","DateFinancial|ItemId|T2.InventSiteId|T2.InventLocationId",PeriodEnding,$A397,$B397,$C397)</f>
        <v>0</v>
      </c>
      <c r="G397" s="10">
        <f>AtlasReport_3_Table_1[[#This Row],[Current On-hand]]-AtlasReport_3_Table_1[[#This Row],[Trans backwords (Beginning)]]</f>
        <v>0</v>
      </c>
      <c r="H397" s="10">
        <f>AtlasReport_3_Table_1[[#This Row],[Current On-hand]]-AtlasReport_3_Table_1[[#This Row],[Trans backwords (Ending)]]</f>
        <v>0</v>
      </c>
    </row>
    <row r="398" spans="1:8" x14ac:dyDescent="0.25">
      <c r="A398" s="8" t="s">
        <v>99</v>
      </c>
      <c r="B398" s="8" t="s">
        <v>261</v>
      </c>
      <c r="C398" s="8" t="s">
        <v>262</v>
      </c>
      <c r="D398" s="10">
        <v>0</v>
      </c>
      <c r="E398" s="10">
        <f>_xll.AtlasFormulas.AtlasFunctions.AtlasBalance("PROD",DataAreaId,"T.InventTrans|inventDimId~inventDimId@T.InventDim","Sum|Qty|0","","","","","","","DateFinancial|ItemId|T2.InventSiteId|T2.InventLocationId",PeriodBeginning,$A398,$B398,$C398)</f>
        <v>0</v>
      </c>
      <c r="F398" s="10">
        <f>_xll.AtlasFormulas.AtlasFunctions.AtlasBalance("PROD",DataAreaId,"T.InventTrans|inventDimId~inventDimId@T.InventDim","Sum|Qty|0","","","","","","","DateFinancial|ItemId|T2.InventSiteId|T2.InventLocationId",PeriodEnding,$A398,$B398,$C398)</f>
        <v>0</v>
      </c>
      <c r="G398" s="10">
        <f>AtlasReport_3_Table_1[[#This Row],[Current On-hand]]-AtlasReport_3_Table_1[[#This Row],[Trans backwords (Beginning)]]</f>
        <v>0</v>
      </c>
      <c r="H398" s="10">
        <f>AtlasReport_3_Table_1[[#This Row],[Current On-hand]]-AtlasReport_3_Table_1[[#This Row],[Trans backwords (Ending)]]</f>
        <v>0</v>
      </c>
    </row>
    <row r="399" spans="1:8" x14ac:dyDescent="0.25">
      <c r="A399" s="8" t="s">
        <v>99</v>
      </c>
      <c r="B399" s="8" t="s">
        <v>261</v>
      </c>
      <c r="C399" s="8" t="s">
        <v>264</v>
      </c>
      <c r="D399" s="10">
        <v>1346.86</v>
      </c>
      <c r="E399" s="10">
        <f>_xll.AtlasFormulas.AtlasFunctions.AtlasBalance("PROD",DataAreaId,"T.InventTrans|inventDimId~inventDimId@T.InventDim","Sum|Qty|0","","","","","","","DateFinancial|ItemId|T2.InventSiteId|T2.InventLocationId",PeriodBeginning,$A399,$B399,$C399)</f>
        <v>-27.1</v>
      </c>
      <c r="F399" s="10">
        <f>_xll.AtlasFormulas.AtlasFunctions.AtlasBalance("PROD",DataAreaId,"T.InventTrans|inventDimId~inventDimId@T.InventDim","Sum|Qty|0","","","","","","","DateFinancial|ItemId|T2.InventSiteId|T2.InventLocationId",PeriodEnding,$A399,$B399,$C399)</f>
        <v>0</v>
      </c>
      <c r="G399" s="10">
        <f>AtlasReport_3_Table_1[[#This Row],[Current On-hand]]-AtlasReport_3_Table_1[[#This Row],[Trans backwords (Beginning)]]</f>
        <v>1373.9599999999998</v>
      </c>
      <c r="H399" s="10">
        <f>AtlasReport_3_Table_1[[#This Row],[Current On-hand]]-AtlasReport_3_Table_1[[#This Row],[Trans backwords (Ending)]]</f>
        <v>1346.86</v>
      </c>
    </row>
    <row r="400" spans="1:8" x14ac:dyDescent="0.25">
      <c r="A400" s="8" t="s">
        <v>99</v>
      </c>
      <c r="B400" s="8" t="s">
        <v>261</v>
      </c>
      <c r="C400" s="8" t="s">
        <v>265</v>
      </c>
      <c r="D400" s="10">
        <v>0</v>
      </c>
      <c r="E400" s="10">
        <f>_xll.AtlasFormulas.AtlasFunctions.AtlasBalance("PROD",DataAreaId,"T.InventTrans|inventDimId~inventDimId@T.InventDim","Sum|Qty|0","","","","","","","DateFinancial|ItemId|T2.InventSiteId|T2.InventLocationId",PeriodBeginning,$A400,$B400,$C400)</f>
        <v>0</v>
      </c>
      <c r="F400" s="10">
        <f>_xll.AtlasFormulas.AtlasFunctions.AtlasBalance("PROD",DataAreaId,"T.InventTrans|inventDimId~inventDimId@T.InventDim","Sum|Qty|0","","","","","","","DateFinancial|ItemId|T2.InventSiteId|T2.InventLocationId",PeriodEnding,$A400,$B400,$C400)</f>
        <v>0</v>
      </c>
      <c r="G400" s="10">
        <f>AtlasReport_3_Table_1[[#This Row],[Current On-hand]]-AtlasReport_3_Table_1[[#This Row],[Trans backwords (Beginning)]]</f>
        <v>0</v>
      </c>
      <c r="H400" s="10">
        <f>AtlasReport_3_Table_1[[#This Row],[Current On-hand]]-AtlasReport_3_Table_1[[#This Row],[Trans backwords (Ending)]]</f>
        <v>0</v>
      </c>
    </row>
    <row r="401" spans="1:8" x14ac:dyDescent="0.25">
      <c r="A401" s="8" t="s">
        <v>59</v>
      </c>
      <c r="B401" s="8" t="s">
        <v>261</v>
      </c>
      <c r="C401" s="8" t="s">
        <v>81</v>
      </c>
      <c r="D401" s="10">
        <v>0</v>
      </c>
      <c r="E401" s="10">
        <f>_xll.AtlasFormulas.AtlasFunctions.AtlasBalance("PROD",DataAreaId,"T.InventTrans|inventDimId~inventDimId@T.InventDim","Sum|Qty|0","","","","","","","DateFinancial|ItemId|T2.InventSiteId|T2.InventLocationId",PeriodBeginning,$A401,$B401,$C401)</f>
        <v>0</v>
      </c>
      <c r="F401" s="10">
        <f>_xll.AtlasFormulas.AtlasFunctions.AtlasBalance("PROD",DataAreaId,"T.InventTrans|inventDimId~inventDimId@T.InventDim","Sum|Qty|0","","","","","","","DateFinancial|ItemId|T2.InventSiteId|T2.InventLocationId",PeriodEnding,$A401,$B401,$C401)</f>
        <v>0</v>
      </c>
      <c r="G401" s="10">
        <f>AtlasReport_3_Table_1[[#This Row],[Current On-hand]]-AtlasReport_3_Table_1[[#This Row],[Trans backwords (Beginning)]]</f>
        <v>0</v>
      </c>
      <c r="H401" s="10">
        <f>AtlasReport_3_Table_1[[#This Row],[Current On-hand]]-AtlasReport_3_Table_1[[#This Row],[Trans backwords (Ending)]]</f>
        <v>0</v>
      </c>
    </row>
    <row r="402" spans="1:8" x14ac:dyDescent="0.25">
      <c r="A402" s="8" t="s">
        <v>59</v>
      </c>
      <c r="B402" s="8" t="s">
        <v>261</v>
      </c>
      <c r="C402" s="8" t="s">
        <v>383</v>
      </c>
      <c r="D402" s="10">
        <v>0</v>
      </c>
      <c r="E402" s="10">
        <f>_xll.AtlasFormulas.AtlasFunctions.AtlasBalance("PROD",DataAreaId,"T.InventTrans|inventDimId~inventDimId@T.InventDim","Sum|Qty|0","","","","","","","DateFinancial|ItemId|T2.InventSiteId|T2.InventLocationId",PeriodBeginning,$A402,$B402,$C402)</f>
        <v>0</v>
      </c>
      <c r="F402" s="10">
        <f>_xll.AtlasFormulas.AtlasFunctions.AtlasBalance("PROD",DataAreaId,"T.InventTrans|inventDimId~inventDimId@T.InventDim","Sum|Qty|0","","","","","","","DateFinancial|ItemId|T2.InventSiteId|T2.InventLocationId",PeriodEnding,$A402,$B402,$C402)</f>
        <v>0</v>
      </c>
      <c r="G402" s="10">
        <f>AtlasReport_3_Table_1[[#This Row],[Current On-hand]]-AtlasReport_3_Table_1[[#This Row],[Trans backwords (Beginning)]]</f>
        <v>0</v>
      </c>
      <c r="H402" s="10">
        <f>AtlasReport_3_Table_1[[#This Row],[Current On-hand]]-AtlasReport_3_Table_1[[#This Row],[Trans backwords (Ending)]]</f>
        <v>0</v>
      </c>
    </row>
    <row r="403" spans="1:8" x14ac:dyDescent="0.25">
      <c r="A403" s="8" t="s">
        <v>59</v>
      </c>
      <c r="B403" s="8" t="s">
        <v>261</v>
      </c>
      <c r="C403" s="8" t="s">
        <v>305</v>
      </c>
      <c r="D403" s="10">
        <v>0</v>
      </c>
      <c r="E403" s="10">
        <f>_xll.AtlasFormulas.AtlasFunctions.AtlasBalance("PROD",DataAreaId,"T.InventTrans|inventDimId~inventDimId@T.InventDim","Sum|Qty|0","","","","","","","DateFinancial|ItemId|T2.InventSiteId|T2.InventLocationId",PeriodBeginning,$A403,$B403,$C403)</f>
        <v>0</v>
      </c>
      <c r="F403" s="10">
        <f>_xll.AtlasFormulas.AtlasFunctions.AtlasBalance("PROD",DataAreaId,"T.InventTrans|inventDimId~inventDimId@T.InventDim","Sum|Qty|0","","","","","","","DateFinancial|ItemId|T2.InventSiteId|T2.InventLocationId",PeriodEnding,$A403,$B403,$C403)</f>
        <v>0</v>
      </c>
      <c r="G403" s="10">
        <f>AtlasReport_3_Table_1[[#This Row],[Current On-hand]]-AtlasReport_3_Table_1[[#This Row],[Trans backwords (Beginning)]]</f>
        <v>0</v>
      </c>
      <c r="H403" s="10">
        <f>AtlasReport_3_Table_1[[#This Row],[Current On-hand]]-AtlasReport_3_Table_1[[#This Row],[Trans backwords (Ending)]]</f>
        <v>0</v>
      </c>
    </row>
    <row r="404" spans="1:8" x14ac:dyDescent="0.25">
      <c r="A404" s="8" t="s">
        <v>59</v>
      </c>
      <c r="B404" s="8" t="s">
        <v>261</v>
      </c>
      <c r="C404" s="8" t="s">
        <v>262</v>
      </c>
      <c r="D404" s="10">
        <v>0</v>
      </c>
      <c r="E404" s="10">
        <f>_xll.AtlasFormulas.AtlasFunctions.AtlasBalance("PROD",DataAreaId,"T.InventTrans|inventDimId~inventDimId@T.InventDim","Sum|Qty|0","","","","","","","DateFinancial|ItemId|T2.InventSiteId|T2.InventLocationId",PeriodBeginning,$A404,$B404,$C404)</f>
        <v>0</v>
      </c>
      <c r="F404" s="10">
        <f>_xll.AtlasFormulas.AtlasFunctions.AtlasBalance("PROD",DataAreaId,"T.InventTrans|inventDimId~inventDimId@T.InventDim","Sum|Qty|0","","","","","","","DateFinancial|ItemId|T2.InventSiteId|T2.InventLocationId",PeriodEnding,$A404,$B404,$C404)</f>
        <v>0</v>
      </c>
      <c r="G404" s="10">
        <f>AtlasReport_3_Table_1[[#This Row],[Current On-hand]]-AtlasReport_3_Table_1[[#This Row],[Trans backwords (Beginning)]]</f>
        <v>0</v>
      </c>
      <c r="H404" s="10">
        <f>AtlasReport_3_Table_1[[#This Row],[Current On-hand]]-AtlasReport_3_Table_1[[#This Row],[Trans backwords (Ending)]]</f>
        <v>0</v>
      </c>
    </row>
    <row r="405" spans="1:8" x14ac:dyDescent="0.25">
      <c r="A405" s="8" t="s">
        <v>59</v>
      </c>
      <c r="B405" s="8" t="s">
        <v>261</v>
      </c>
      <c r="C405" s="8" t="s">
        <v>264</v>
      </c>
      <c r="D405" s="10">
        <v>1105.6300000000001</v>
      </c>
      <c r="E405" s="10">
        <f>_xll.AtlasFormulas.AtlasFunctions.AtlasBalance("PROD",DataAreaId,"T.InventTrans|inventDimId~inventDimId@T.InventDim","Sum|Qty|0","","","","","","","DateFinancial|ItemId|T2.InventSiteId|T2.InventLocationId",PeriodBeginning,$A405,$B405,$C405)</f>
        <v>-588.24</v>
      </c>
      <c r="F405" s="10">
        <f>_xll.AtlasFormulas.AtlasFunctions.AtlasBalance("PROD",DataAreaId,"T.InventTrans|inventDimId~inventDimId@T.InventDim","Sum|Qty|0","","","","","","","DateFinancial|ItemId|T2.InventSiteId|T2.InventLocationId",PeriodEnding,$A405,$B405,$C405)</f>
        <v>0</v>
      </c>
      <c r="G405" s="10">
        <f>AtlasReport_3_Table_1[[#This Row],[Current On-hand]]-AtlasReport_3_Table_1[[#This Row],[Trans backwords (Beginning)]]</f>
        <v>1693.8700000000001</v>
      </c>
      <c r="H405" s="10">
        <f>AtlasReport_3_Table_1[[#This Row],[Current On-hand]]-AtlasReport_3_Table_1[[#This Row],[Trans backwords (Ending)]]</f>
        <v>1105.6300000000001</v>
      </c>
    </row>
    <row r="406" spans="1:8" x14ac:dyDescent="0.25">
      <c r="A406" s="8" t="s">
        <v>59</v>
      </c>
      <c r="B406" s="8" t="s">
        <v>261</v>
      </c>
      <c r="C406" s="8" t="s">
        <v>265</v>
      </c>
      <c r="D406" s="10">
        <v>0</v>
      </c>
      <c r="E406" s="10">
        <f>_xll.AtlasFormulas.AtlasFunctions.AtlasBalance("PROD",DataAreaId,"T.InventTrans|inventDimId~inventDimId@T.InventDim","Sum|Qty|0","","","","","","","DateFinancial|ItemId|T2.InventSiteId|T2.InventLocationId",PeriodBeginning,$A406,$B406,$C406)</f>
        <v>0</v>
      </c>
      <c r="F406" s="10">
        <f>_xll.AtlasFormulas.AtlasFunctions.AtlasBalance("PROD",DataAreaId,"T.InventTrans|inventDimId~inventDimId@T.InventDim","Sum|Qty|0","","","","","","","DateFinancial|ItemId|T2.InventSiteId|T2.InventLocationId",PeriodEnding,$A406,$B406,$C406)</f>
        <v>0</v>
      </c>
      <c r="G406" s="10">
        <f>AtlasReport_3_Table_1[[#This Row],[Current On-hand]]-AtlasReport_3_Table_1[[#This Row],[Trans backwords (Beginning)]]</f>
        <v>0</v>
      </c>
      <c r="H406" s="10">
        <f>AtlasReport_3_Table_1[[#This Row],[Current On-hand]]-AtlasReport_3_Table_1[[#This Row],[Trans backwords (Ending)]]</f>
        <v>0</v>
      </c>
    </row>
    <row r="407" spans="1:8" x14ac:dyDescent="0.25">
      <c r="A407" s="8" t="s">
        <v>123</v>
      </c>
      <c r="B407" s="8" t="s">
        <v>261</v>
      </c>
      <c r="C407" s="8" t="s">
        <v>81</v>
      </c>
      <c r="D407" s="10">
        <v>0</v>
      </c>
      <c r="E407" s="10">
        <f>_xll.AtlasFormulas.AtlasFunctions.AtlasBalance("PROD",DataAreaId,"T.InventTrans|inventDimId~inventDimId@T.InventDim","Sum|Qty|0","","","","","","","DateFinancial|ItemId|T2.InventSiteId|T2.InventLocationId",PeriodBeginning,$A407,$B407,$C407)</f>
        <v>0</v>
      </c>
      <c r="F407" s="10">
        <f>_xll.AtlasFormulas.AtlasFunctions.AtlasBalance("PROD",DataAreaId,"T.InventTrans|inventDimId~inventDimId@T.InventDim","Sum|Qty|0","","","","","","","DateFinancial|ItemId|T2.InventSiteId|T2.InventLocationId",PeriodEnding,$A407,$B407,$C407)</f>
        <v>0</v>
      </c>
      <c r="G407" s="10">
        <f>AtlasReport_3_Table_1[[#This Row],[Current On-hand]]-AtlasReport_3_Table_1[[#This Row],[Trans backwords (Beginning)]]</f>
        <v>0</v>
      </c>
      <c r="H407" s="10">
        <f>AtlasReport_3_Table_1[[#This Row],[Current On-hand]]-AtlasReport_3_Table_1[[#This Row],[Trans backwords (Ending)]]</f>
        <v>0</v>
      </c>
    </row>
    <row r="408" spans="1:8" x14ac:dyDescent="0.25">
      <c r="A408" s="8" t="s">
        <v>123</v>
      </c>
      <c r="B408" s="8" t="s">
        <v>261</v>
      </c>
      <c r="C408" s="8" t="s">
        <v>262</v>
      </c>
      <c r="D408" s="10">
        <v>0</v>
      </c>
      <c r="E408" s="10">
        <f>_xll.AtlasFormulas.AtlasFunctions.AtlasBalance("PROD",DataAreaId,"T.InventTrans|inventDimId~inventDimId@T.InventDim","Sum|Qty|0","","","","","","","DateFinancial|ItemId|T2.InventSiteId|T2.InventLocationId",PeriodBeginning,$A408,$B408,$C408)</f>
        <v>0</v>
      </c>
      <c r="F408" s="10">
        <f>_xll.AtlasFormulas.AtlasFunctions.AtlasBalance("PROD",DataAreaId,"T.InventTrans|inventDimId~inventDimId@T.InventDim","Sum|Qty|0","","","","","","","DateFinancial|ItemId|T2.InventSiteId|T2.InventLocationId",PeriodEnding,$A408,$B408,$C408)</f>
        <v>0</v>
      </c>
      <c r="G408" s="10">
        <f>AtlasReport_3_Table_1[[#This Row],[Current On-hand]]-AtlasReport_3_Table_1[[#This Row],[Trans backwords (Beginning)]]</f>
        <v>0</v>
      </c>
      <c r="H408" s="10">
        <f>AtlasReport_3_Table_1[[#This Row],[Current On-hand]]-AtlasReport_3_Table_1[[#This Row],[Trans backwords (Ending)]]</f>
        <v>0</v>
      </c>
    </row>
    <row r="409" spans="1:8" x14ac:dyDescent="0.25">
      <c r="A409" s="8" t="s">
        <v>123</v>
      </c>
      <c r="B409" s="8" t="s">
        <v>261</v>
      </c>
      <c r="C409" s="8" t="s">
        <v>264</v>
      </c>
      <c r="D409" s="10">
        <v>1453.81</v>
      </c>
      <c r="E409" s="10">
        <f>_xll.AtlasFormulas.AtlasFunctions.AtlasBalance("PROD",DataAreaId,"T.InventTrans|inventDimId~inventDimId@T.InventDim","Sum|Qty|0","","","","","","","DateFinancial|ItemId|T2.InventSiteId|T2.InventLocationId",PeriodBeginning,$A409,$B409,$C409)</f>
        <v>484.75</v>
      </c>
      <c r="F409" s="10">
        <f>_xll.AtlasFormulas.AtlasFunctions.AtlasBalance("PROD",DataAreaId,"T.InventTrans|inventDimId~inventDimId@T.InventDim","Sum|Qty|0","","","","","","","DateFinancial|ItemId|T2.InventSiteId|T2.InventLocationId",PeriodEnding,$A409,$B409,$C409)</f>
        <v>0</v>
      </c>
      <c r="G409" s="10">
        <f>AtlasReport_3_Table_1[[#This Row],[Current On-hand]]-AtlasReport_3_Table_1[[#This Row],[Trans backwords (Beginning)]]</f>
        <v>969.06</v>
      </c>
      <c r="H409" s="10">
        <f>AtlasReport_3_Table_1[[#This Row],[Current On-hand]]-AtlasReport_3_Table_1[[#This Row],[Trans backwords (Ending)]]</f>
        <v>1453.81</v>
      </c>
    </row>
    <row r="410" spans="1:8" x14ac:dyDescent="0.25">
      <c r="A410" s="8" t="s">
        <v>123</v>
      </c>
      <c r="B410" s="8" t="s">
        <v>261</v>
      </c>
      <c r="C410" s="8" t="s">
        <v>265</v>
      </c>
      <c r="D410" s="10">
        <v>0</v>
      </c>
      <c r="E410" s="10">
        <f>_xll.AtlasFormulas.AtlasFunctions.AtlasBalance("PROD",DataAreaId,"T.InventTrans|inventDimId~inventDimId@T.InventDim","Sum|Qty|0","","","","","","","DateFinancial|ItemId|T2.InventSiteId|T2.InventLocationId",PeriodBeginning,$A410,$B410,$C410)</f>
        <v>0</v>
      </c>
      <c r="F410" s="10">
        <f>_xll.AtlasFormulas.AtlasFunctions.AtlasBalance("PROD",DataAreaId,"T.InventTrans|inventDimId~inventDimId@T.InventDim","Sum|Qty|0","","","","","","","DateFinancial|ItemId|T2.InventSiteId|T2.InventLocationId",PeriodEnding,$A410,$B410,$C410)</f>
        <v>0</v>
      </c>
      <c r="G410" s="10">
        <f>AtlasReport_3_Table_1[[#This Row],[Current On-hand]]-AtlasReport_3_Table_1[[#This Row],[Trans backwords (Beginning)]]</f>
        <v>0</v>
      </c>
      <c r="H410" s="10">
        <f>AtlasReport_3_Table_1[[#This Row],[Current On-hand]]-AtlasReport_3_Table_1[[#This Row],[Trans backwords (Ending)]]</f>
        <v>0</v>
      </c>
    </row>
    <row r="411" spans="1:8" x14ac:dyDescent="0.25">
      <c r="A411" s="8" t="s">
        <v>76</v>
      </c>
      <c r="B411" s="8" t="s">
        <v>261</v>
      </c>
      <c r="C411" s="8" t="s">
        <v>81</v>
      </c>
      <c r="D411" s="10">
        <v>0</v>
      </c>
      <c r="E411" s="10">
        <f>_xll.AtlasFormulas.AtlasFunctions.AtlasBalance("PROD",DataAreaId,"T.InventTrans|inventDimId~inventDimId@T.InventDim","Sum|Qty|0","","","","","","","DateFinancial|ItemId|T2.InventSiteId|T2.InventLocationId",PeriodBeginning,$A411,$B411,$C411)</f>
        <v>0</v>
      </c>
      <c r="F411" s="10">
        <f>_xll.AtlasFormulas.AtlasFunctions.AtlasBalance("PROD",DataAreaId,"T.InventTrans|inventDimId~inventDimId@T.InventDim","Sum|Qty|0","","","","","","","DateFinancial|ItemId|T2.InventSiteId|T2.InventLocationId",PeriodEnding,$A411,$B411,$C411)</f>
        <v>0</v>
      </c>
      <c r="G411" s="10">
        <f>AtlasReport_3_Table_1[[#This Row],[Current On-hand]]-AtlasReport_3_Table_1[[#This Row],[Trans backwords (Beginning)]]</f>
        <v>0</v>
      </c>
      <c r="H411" s="10">
        <f>AtlasReport_3_Table_1[[#This Row],[Current On-hand]]-AtlasReport_3_Table_1[[#This Row],[Trans backwords (Ending)]]</f>
        <v>0</v>
      </c>
    </row>
    <row r="412" spans="1:8" x14ac:dyDescent="0.25">
      <c r="A412" s="8" t="s">
        <v>76</v>
      </c>
      <c r="B412" s="8" t="s">
        <v>261</v>
      </c>
      <c r="C412" s="8" t="s">
        <v>262</v>
      </c>
      <c r="D412" s="10">
        <v>0</v>
      </c>
      <c r="E412" s="10">
        <f>_xll.AtlasFormulas.AtlasFunctions.AtlasBalance("PROD",DataAreaId,"T.InventTrans|inventDimId~inventDimId@T.InventDim","Sum|Qty|0","","","","","","","DateFinancial|ItemId|T2.InventSiteId|T2.InventLocationId",PeriodBeginning,$A412,$B412,$C412)</f>
        <v>0</v>
      </c>
      <c r="F412" s="10">
        <f>_xll.AtlasFormulas.AtlasFunctions.AtlasBalance("PROD",DataAreaId,"T.InventTrans|inventDimId~inventDimId@T.InventDim","Sum|Qty|0","","","","","","","DateFinancial|ItemId|T2.InventSiteId|T2.InventLocationId",PeriodEnding,$A412,$B412,$C412)</f>
        <v>0</v>
      </c>
      <c r="G412" s="10">
        <f>AtlasReport_3_Table_1[[#This Row],[Current On-hand]]-AtlasReport_3_Table_1[[#This Row],[Trans backwords (Beginning)]]</f>
        <v>0</v>
      </c>
      <c r="H412" s="10">
        <f>AtlasReport_3_Table_1[[#This Row],[Current On-hand]]-AtlasReport_3_Table_1[[#This Row],[Trans backwords (Ending)]]</f>
        <v>0</v>
      </c>
    </row>
    <row r="413" spans="1:8" x14ac:dyDescent="0.25">
      <c r="A413" s="8" t="s">
        <v>76</v>
      </c>
      <c r="B413" s="8" t="s">
        <v>261</v>
      </c>
      <c r="C413" s="8" t="s">
        <v>264</v>
      </c>
      <c r="D413" s="10">
        <v>1031.05</v>
      </c>
      <c r="E413" s="10">
        <f>_xll.AtlasFormulas.AtlasFunctions.AtlasBalance("PROD",DataAreaId,"T.InventTrans|inventDimId~inventDimId@T.InventDim","Sum|Qty|0","","","","","","","DateFinancial|ItemId|T2.InventSiteId|T2.InventLocationId",PeriodBeginning,$A413,$B413,$C413)</f>
        <v>-146.15</v>
      </c>
      <c r="F413" s="10">
        <f>_xll.AtlasFormulas.AtlasFunctions.AtlasBalance("PROD",DataAreaId,"T.InventTrans|inventDimId~inventDimId@T.InventDim","Sum|Qty|0","","","","","","","DateFinancial|ItemId|T2.InventSiteId|T2.InventLocationId",PeriodEnding,$A413,$B413,$C413)</f>
        <v>0</v>
      </c>
      <c r="G413" s="10">
        <f>AtlasReport_3_Table_1[[#This Row],[Current On-hand]]-AtlasReport_3_Table_1[[#This Row],[Trans backwords (Beginning)]]</f>
        <v>1177.2</v>
      </c>
      <c r="H413" s="10">
        <f>AtlasReport_3_Table_1[[#This Row],[Current On-hand]]-AtlasReport_3_Table_1[[#This Row],[Trans backwords (Ending)]]</f>
        <v>1031.05</v>
      </c>
    </row>
    <row r="414" spans="1:8" x14ac:dyDescent="0.25">
      <c r="A414" s="8" t="s">
        <v>403</v>
      </c>
      <c r="B414" s="8" t="s">
        <v>261</v>
      </c>
      <c r="C414" s="8" t="s">
        <v>264</v>
      </c>
      <c r="D414" s="10">
        <v>0</v>
      </c>
      <c r="E414" s="10">
        <f>_xll.AtlasFormulas.AtlasFunctions.AtlasBalance("PROD",DataAreaId,"T.InventTrans|inventDimId~inventDimId@T.InventDim","Sum|Qty|0","","","","","","","DateFinancial|ItemId|T2.InventSiteId|T2.InventLocationId",PeriodBeginning,$A414,$B414,$C414)</f>
        <v>0</v>
      </c>
      <c r="F414" s="10">
        <f>_xll.AtlasFormulas.AtlasFunctions.AtlasBalance("PROD",DataAreaId,"T.InventTrans|inventDimId~inventDimId@T.InventDim","Sum|Qty|0","","","","","","","DateFinancial|ItemId|T2.InventSiteId|T2.InventLocationId",PeriodEnding,$A414,$B414,$C414)</f>
        <v>0</v>
      </c>
      <c r="G414" s="10">
        <f>AtlasReport_3_Table_1[[#This Row],[Current On-hand]]-AtlasReport_3_Table_1[[#This Row],[Trans backwords (Beginning)]]</f>
        <v>0</v>
      </c>
      <c r="H414" s="10">
        <f>AtlasReport_3_Table_1[[#This Row],[Current On-hand]]-AtlasReport_3_Table_1[[#This Row],[Trans backwords (Ending)]]</f>
        <v>0</v>
      </c>
    </row>
    <row r="415" spans="1:8" x14ac:dyDescent="0.25">
      <c r="A415" s="8" t="s">
        <v>60</v>
      </c>
      <c r="B415" s="8" t="s">
        <v>261</v>
      </c>
      <c r="C415" s="8" t="s">
        <v>81</v>
      </c>
      <c r="D415" s="10">
        <v>0</v>
      </c>
      <c r="E415" s="10">
        <f>_xll.AtlasFormulas.AtlasFunctions.AtlasBalance("PROD",DataAreaId,"T.InventTrans|inventDimId~inventDimId@T.InventDim","Sum|Qty|0","","","","","","","DateFinancial|ItemId|T2.InventSiteId|T2.InventLocationId",PeriodBeginning,$A415,$B415,$C415)</f>
        <v>0</v>
      </c>
      <c r="F415" s="10">
        <f>_xll.AtlasFormulas.AtlasFunctions.AtlasBalance("PROD",DataAreaId,"T.InventTrans|inventDimId~inventDimId@T.InventDim","Sum|Qty|0","","","","","","","DateFinancial|ItemId|T2.InventSiteId|T2.InventLocationId",PeriodEnding,$A415,$B415,$C415)</f>
        <v>0</v>
      </c>
      <c r="G415" s="10">
        <f>AtlasReport_3_Table_1[[#This Row],[Current On-hand]]-AtlasReport_3_Table_1[[#This Row],[Trans backwords (Beginning)]]</f>
        <v>0</v>
      </c>
      <c r="H415" s="10">
        <f>AtlasReport_3_Table_1[[#This Row],[Current On-hand]]-AtlasReport_3_Table_1[[#This Row],[Trans backwords (Ending)]]</f>
        <v>0</v>
      </c>
    </row>
    <row r="416" spans="1:8" x14ac:dyDescent="0.25">
      <c r="A416" s="8" t="s">
        <v>60</v>
      </c>
      <c r="B416" s="8" t="s">
        <v>261</v>
      </c>
      <c r="C416" s="8" t="s">
        <v>262</v>
      </c>
      <c r="D416" s="10">
        <v>0</v>
      </c>
      <c r="E416" s="10">
        <f>_xll.AtlasFormulas.AtlasFunctions.AtlasBalance("PROD",DataAreaId,"T.InventTrans|inventDimId~inventDimId@T.InventDim","Sum|Qty|0","","","","","","","DateFinancial|ItemId|T2.InventSiteId|T2.InventLocationId",PeriodBeginning,$A416,$B416,$C416)</f>
        <v>0</v>
      </c>
      <c r="F416" s="10">
        <f>_xll.AtlasFormulas.AtlasFunctions.AtlasBalance("PROD",DataAreaId,"T.InventTrans|inventDimId~inventDimId@T.InventDim","Sum|Qty|0","","","","","","","DateFinancial|ItemId|T2.InventSiteId|T2.InventLocationId",PeriodEnding,$A416,$B416,$C416)</f>
        <v>0</v>
      </c>
      <c r="G416" s="10">
        <f>AtlasReport_3_Table_1[[#This Row],[Current On-hand]]-AtlasReport_3_Table_1[[#This Row],[Trans backwords (Beginning)]]</f>
        <v>0</v>
      </c>
      <c r="H416" s="10">
        <f>AtlasReport_3_Table_1[[#This Row],[Current On-hand]]-AtlasReport_3_Table_1[[#This Row],[Trans backwords (Ending)]]</f>
        <v>0</v>
      </c>
    </row>
    <row r="417" spans="1:8" x14ac:dyDescent="0.25">
      <c r="A417" s="8" t="s">
        <v>60</v>
      </c>
      <c r="B417" s="8" t="s">
        <v>261</v>
      </c>
      <c r="C417" s="8" t="s">
        <v>264</v>
      </c>
      <c r="D417" s="10">
        <v>383.5</v>
      </c>
      <c r="E417" s="10">
        <f>_xll.AtlasFormulas.AtlasFunctions.AtlasBalance("PROD",DataAreaId,"T.InventTrans|inventDimId~inventDimId@T.InventDim","Sum|Qty|0","","","","","","","DateFinancial|ItemId|T2.InventSiteId|T2.InventLocationId",PeriodBeginning,$A417,$B417,$C417)</f>
        <v>7</v>
      </c>
      <c r="F417" s="10">
        <f>_xll.AtlasFormulas.AtlasFunctions.AtlasBalance("PROD",DataAreaId,"T.InventTrans|inventDimId~inventDimId@T.InventDim","Sum|Qty|0","","","","","","","DateFinancial|ItemId|T2.InventSiteId|T2.InventLocationId",PeriodEnding,$A417,$B417,$C417)</f>
        <v>0</v>
      </c>
      <c r="G417" s="10">
        <f>AtlasReport_3_Table_1[[#This Row],[Current On-hand]]-AtlasReport_3_Table_1[[#This Row],[Trans backwords (Beginning)]]</f>
        <v>376.5</v>
      </c>
      <c r="H417" s="10">
        <f>AtlasReport_3_Table_1[[#This Row],[Current On-hand]]-AtlasReport_3_Table_1[[#This Row],[Trans backwords (Ending)]]</f>
        <v>383.5</v>
      </c>
    </row>
    <row r="418" spans="1:8" x14ac:dyDescent="0.25">
      <c r="A418" s="8" t="s">
        <v>61</v>
      </c>
      <c r="B418" s="8" t="s">
        <v>261</v>
      </c>
      <c r="C418" s="8" t="s">
        <v>81</v>
      </c>
      <c r="D418" s="10">
        <v>0</v>
      </c>
      <c r="E418" s="10">
        <f>_xll.AtlasFormulas.AtlasFunctions.AtlasBalance("PROD",DataAreaId,"T.InventTrans|inventDimId~inventDimId@T.InventDim","Sum|Qty|0","","","","","","","DateFinancial|ItemId|T2.InventSiteId|T2.InventLocationId",PeriodBeginning,$A418,$B418,$C418)</f>
        <v>0</v>
      </c>
      <c r="F418" s="10">
        <f>_xll.AtlasFormulas.AtlasFunctions.AtlasBalance("PROD",DataAreaId,"T.InventTrans|inventDimId~inventDimId@T.InventDim","Sum|Qty|0","","","","","","","DateFinancial|ItemId|T2.InventSiteId|T2.InventLocationId",PeriodEnding,$A418,$B418,$C418)</f>
        <v>0</v>
      </c>
      <c r="G418" s="10">
        <f>AtlasReport_3_Table_1[[#This Row],[Current On-hand]]-AtlasReport_3_Table_1[[#This Row],[Trans backwords (Beginning)]]</f>
        <v>0</v>
      </c>
      <c r="H418" s="10">
        <f>AtlasReport_3_Table_1[[#This Row],[Current On-hand]]-AtlasReport_3_Table_1[[#This Row],[Trans backwords (Ending)]]</f>
        <v>0</v>
      </c>
    </row>
    <row r="419" spans="1:8" x14ac:dyDescent="0.25">
      <c r="A419" s="8" t="s">
        <v>61</v>
      </c>
      <c r="B419" s="8" t="s">
        <v>261</v>
      </c>
      <c r="C419" s="8" t="s">
        <v>262</v>
      </c>
      <c r="D419" s="10">
        <v>0</v>
      </c>
      <c r="E419" s="10">
        <f>_xll.AtlasFormulas.AtlasFunctions.AtlasBalance("PROD",DataAreaId,"T.InventTrans|inventDimId~inventDimId@T.InventDim","Sum|Qty|0","","","","","","","DateFinancial|ItemId|T2.InventSiteId|T2.InventLocationId",PeriodBeginning,$A419,$B419,$C419)</f>
        <v>0</v>
      </c>
      <c r="F419" s="10">
        <f>_xll.AtlasFormulas.AtlasFunctions.AtlasBalance("PROD",DataAreaId,"T.InventTrans|inventDimId~inventDimId@T.InventDim","Sum|Qty|0","","","","","","","DateFinancial|ItemId|T2.InventSiteId|T2.InventLocationId",PeriodEnding,$A419,$B419,$C419)</f>
        <v>0</v>
      </c>
      <c r="G419" s="10">
        <f>AtlasReport_3_Table_1[[#This Row],[Current On-hand]]-AtlasReport_3_Table_1[[#This Row],[Trans backwords (Beginning)]]</f>
        <v>0</v>
      </c>
      <c r="H419" s="10">
        <f>AtlasReport_3_Table_1[[#This Row],[Current On-hand]]-AtlasReport_3_Table_1[[#This Row],[Trans backwords (Ending)]]</f>
        <v>0</v>
      </c>
    </row>
    <row r="420" spans="1:8" x14ac:dyDescent="0.25">
      <c r="A420" s="8" t="s">
        <v>61</v>
      </c>
      <c r="B420" s="8" t="s">
        <v>261</v>
      </c>
      <c r="C420" s="8" t="s">
        <v>264</v>
      </c>
      <c r="D420" s="10">
        <v>836.56000000000006</v>
      </c>
      <c r="E420" s="10">
        <f>_xll.AtlasFormulas.AtlasFunctions.AtlasBalance("PROD",DataAreaId,"T.InventTrans|inventDimId~inventDimId@T.InventDim","Sum|Qty|0","","","","","","","DateFinancial|ItemId|T2.InventSiteId|T2.InventLocationId",PeriodBeginning,$A420,$B420,$C420)</f>
        <v>-2.04</v>
      </c>
      <c r="F420" s="10">
        <f>_xll.AtlasFormulas.AtlasFunctions.AtlasBalance("PROD",DataAreaId,"T.InventTrans|inventDimId~inventDimId@T.InventDim","Sum|Qty|0","","","","","","","DateFinancial|ItemId|T2.InventSiteId|T2.InventLocationId",PeriodEnding,$A420,$B420,$C420)</f>
        <v>0</v>
      </c>
      <c r="G420" s="10">
        <f>AtlasReport_3_Table_1[[#This Row],[Current On-hand]]-AtlasReport_3_Table_1[[#This Row],[Trans backwords (Beginning)]]</f>
        <v>838.6</v>
      </c>
      <c r="H420" s="10">
        <f>AtlasReport_3_Table_1[[#This Row],[Current On-hand]]-AtlasReport_3_Table_1[[#This Row],[Trans backwords (Ending)]]</f>
        <v>836.56000000000006</v>
      </c>
    </row>
    <row r="421" spans="1:8" x14ac:dyDescent="0.25">
      <c r="A421" s="8" t="s">
        <v>24</v>
      </c>
      <c r="B421" s="8" t="s">
        <v>261</v>
      </c>
      <c r="C421" s="8" t="s">
        <v>81</v>
      </c>
      <c r="D421" s="10">
        <v>0</v>
      </c>
      <c r="E421" s="10">
        <f>_xll.AtlasFormulas.AtlasFunctions.AtlasBalance("PROD",DataAreaId,"T.InventTrans|inventDimId~inventDimId@T.InventDim","Sum|Qty|0","","","","","","","DateFinancial|ItemId|T2.InventSiteId|T2.InventLocationId",PeriodBeginning,$A421,$B421,$C421)</f>
        <v>0</v>
      </c>
      <c r="F421" s="10">
        <f>_xll.AtlasFormulas.AtlasFunctions.AtlasBalance("PROD",DataAreaId,"T.InventTrans|inventDimId~inventDimId@T.InventDim","Sum|Qty|0","","","","","","","DateFinancial|ItemId|T2.InventSiteId|T2.InventLocationId",PeriodEnding,$A421,$B421,$C421)</f>
        <v>0</v>
      </c>
      <c r="G421" s="10">
        <f>AtlasReport_3_Table_1[[#This Row],[Current On-hand]]-AtlasReport_3_Table_1[[#This Row],[Trans backwords (Beginning)]]</f>
        <v>0</v>
      </c>
      <c r="H421" s="10">
        <f>AtlasReport_3_Table_1[[#This Row],[Current On-hand]]-AtlasReport_3_Table_1[[#This Row],[Trans backwords (Ending)]]</f>
        <v>0</v>
      </c>
    </row>
    <row r="422" spans="1:8" x14ac:dyDescent="0.25">
      <c r="A422" s="8" t="s">
        <v>24</v>
      </c>
      <c r="B422" s="8" t="s">
        <v>261</v>
      </c>
      <c r="C422" s="8" t="s">
        <v>262</v>
      </c>
      <c r="D422" s="10">
        <v>0</v>
      </c>
      <c r="E422" s="10">
        <f>_xll.AtlasFormulas.AtlasFunctions.AtlasBalance("PROD",DataAreaId,"T.InventTrans|inventDimId~inventDimId@T.InventDim","Sum|Qty|0","","","","","","","DateFinancial|ItemId|T2.InventSiteId|T2.InventLocationId",PeriodBeginning,$A422,$B422,$C422)</f>
        <v>0</v>
      </c>
      <c r="F422" s="10">
        <f>_xll.AtlasFormulas.AtlasFunctions.AtlasBalance("PROD",DataAreaId,"T.InventTrans|inventDimId~inventDimId@T.InventDim","Sum|Qty|0","","","","","","","DateFinancial|ItemId|T2.InventSiteId|T2.InventLocationId",PeriodEnding,$A422,$B422,$C422)</f>
        <v>0</v>
      </c>
      <c r="G422" s="10">
        <f>AtlasReport_3_Table_1[[#This Row],[Current On-hand]]-AtlasReport_3_Table_1[[#This Row],[Trans backwords (Beginning)]]</f>
        <v>0</v>
      </c>
      <c r="H422" s="10">
        <f>AtlasReport_3_Table_1[[#This Row],[Current On-hand]]-AtlasReport_3_Table_1[[#This Row],[Trans backwords (Ending)]]</f>
        <v>0</v>
      </c>
    </row>
    <row r="423" spans="1:8" x14ac:dyDescent="0.25">
      <c r="A423" s="8" t="s">
        <v>24</v>
      </c>
      <c r="B423" s="8" t="s">
        <v>261</v>
      </c>
      <c r="C423" s="8" t="s">
        <v>264</v>
      </c>
      <c r="D423" s="10">
        <v>500.7</v>
      </c>
      <c r="E423" s="10">
        <f>_xll.AtlasFormulas.AtlasFunctions.AtlasBalance("PROD",DataAreaId,"T.InventTrans|inventDimId~inventDimId@T.InventDim","Sum|Qty|0","","","","","","","DateFinancial|ItemId|T2.InventSiteId|T2.InventLocationId",PeriodBeginning,$A423,$B423,$C423)</f>
        <v>-26.1</v>
      </c>
      <c r="F423" s="10">
        <f>_xll.AtlasFormulas.AtlasFunctions.AtlasBalance("PROD",DataAreaId,"T.InventTrans|inventDimId~inventDimId@T.InventDim","Sum|Qty|0","","","","","","","DateFinancial|ItemId|T2.InventSiteId|T2.InventLocationId",PeriodEnding,$A423,$B423,$C423)</f>
        <v>0</v>
      </c>
      <c r="G423" s="10">
        <f>AtlasReport_3_Table_1[[#This Row],[Current On-hand]]-AtlasReport_3_Table_1[[#This Row],[Trans backwords (Beginning)]]</f>
        <v>526.79999999999995</v>
      </c>
      <c r="H423" s="10">
        <f>AtlasReport_3_Table_1[[#This Row],[Current On-hand]]-AtlasReport_3_Table_1[[#This Row],[Trans backwords (Ending)]]</f>
        <v>500.7</v>
      </c>
    </row>
    <row r="424" spans="1:8" x14ac:dyDescent="0.25">
      <c r="A424" s="8" t="s">
        <v>77</v>
      </c>
      <c r="B424" s="8" t="s">
        <v>261</v>
      </c>
      <c r="C424" s="8" t="s">
        <v>81</v>
      </c>
      <c r="D424" s="10">
        <v>0</v>
      </c>
      <c r="E424" s="10">
        <f>_xll.AtlasFormulas.AtlasFunctions.AtlasBalance("PROD",DataAreaId,"T.InventTrans|inventDimId~inventDimId@T.InventDim","Sum|Qty|0","","","","","","","DateFinancial|ItemId|T2.InventSiteId|T2.InventLocationId",PeriodBeginning,$A424,$B424,$C424)</f>
        <v>0</v>
      </c>
      <c r="F424" s="10">
        <f>_xll.AtlasFormulas.AtlasFunctions.AtlasBalance("PROD",DataAreaId,"T.InventTrans|inventDimId~inventDimId@T.InventDim","Sum|Qty|0","","","","","","","DateFinancial|ItemId|T2.InventSiteId|T2.InventLocationId",PeriodEnding,$A424,$B424,$C424)</f>
        <v>0</v>
      </c>
      <c r="G424" s="10">
        <f>AtlasReport_3_Table_1[[#This Row],[Current On-hand]]-AtlasReport_3_Table_1[[#This Row],[Trans backwords (Beginning)]]</f>
        <v>0</v>
      </c>
      <c r="H424" s="10">
        <f>AtlasReport_3_Table_1[[#This Row],[Current On-hand]]-AtlasReport_3_Table_1[[#This Row],[Trans backwords (Ending)]]</f>
        <v>0</v>
      </c>
    </row>
    <row r="425" spans="1:8" x14ac:dyDescent="0.25">
      <c r="A425" s="8" t="s">
        <v>77</v>
      </c>
      <c r="B425" s="8" t="s">
        <v>261</v>
      </c>
      <c r="C425" s="8" t="s">
        <v>262</v>
      </c>
      <c r="D425" s="10">
        <v>0</v>
      </c>
      <c r="E425" s="10">
        <f>_xll.AtlasFormulas.AtlasFunctions.AtlasBalance("PROD",DataAreaId,"T.InventTrans|inventDimId~inventDimId@T.InventDim","Sum|Qty|0","","","","","","","DateFinancial|ItemId|T2.InventSiteId|T2.InventLocationId",PeriodBeginning,$A425,$B425,$C425)</f>
        <v>0</v>
      </c>
      <c r="F425" s="10">
        <f>_xll.AtlasFormulas.AtlasFunctions.AtlasBalance("PROD",DataAreaId,"T.InventTrans|inventDimId~inventDimId@T.InventDim","Sum|Qty|0","","","","","","","DateFinancial|ItemId|T2.InventSiteId|T2.InventLocationId",PeriodEnding,$A425,$B425,$C425)</f>
        <v>0</v>
      </c>
      <c r="G425" s="10">
        <f>AtlasReport_3_Table_1[[#This Row],[Current On-hand]]-AtlasReport_3_Table_1[[#This Row],[Trans backwords (Beginning)]]</f>
        <v>0</v>
      </c>
      <c r="H425" s="10">
        <f>AtlasReport_3_Table_1[[#This Row],[Current On-hand]]-AtlasReport_3_Table_1[[#This Row],[Trans backwords (Ending)]]</f>
        <v>0</v>
      </c>
    </row>
    <row r="426" spans="1:8" x14ac:dyDescent="0.25">
      <c r="A426" s="8" t="s">
        <v>77</v>
      </c>
      <c r="B426" s="8" t="s">
        <v>261</v>
      </c>
      <c r="C426" s="8" t="s">
        <v>264</v>
      </c>
      <c r="D426" s="10">
        <v>988.2</v>
      </c>
      <c r="E426" s="10">
        <f>_xll.AtlasFormulas.AtlasFunctions.AtlasBalance("PROD",DataAreaId,"T.InventTrans|inventDimId~inventDimId@T.InventDim","Sum|Qty|0","","","","","","","DateFinancial|ItemId|T2.InventSiteId|T2.InventLocationId",PeriodBeginning,$A426,$B426,$C426)</f>
        <v>-87.21</v>
      </c>
      <c r="F426" s="10">
        <f>_xll.AtlasFormulas.AtlasFunctions.AtlasBalance("PROD",DataAreaId,"T.InventTrans|inventDimId~inventDimId@T.InventDim","Sum|Qty|0","","","","","","","DateFinancial|ItemId|T2.InventSiteId|T2.InventLocationId",PeriodEnding,$A426,$B426,$C426)</f>
        <v>0</v>
      </c>
      <c r="G426" s="10">
        <f>AtlasReport_3_Table_1[[#This Row],[Current On-hand]]-AtlasReport_3_Table_1[[#This Row],[Trans backwords (Beginning)]]</f>
        <v>1075.4100000000001</v>
      </c>
      <c r="H426" s="10">
        <f>AtlasReport_3_Table_1[[#This Row],[Current On-hand]]-AtlasReport_3_Table_1[[#This Row],[Trans backwords (Ending)]]</f>
        <v>988.2</v>
      </c>
    </row>
    <row r="427" spans="1:8" x14ac:dyDescent="0.25">
      <c r="A427" s="8" t="s">
        <v>78</v>
      </c>
      <c r="B427" s="8" t="s">
        <v>261</v>
      </c>
      <c r="C427" s="8" t="s">
        <v>81</v>
      </c>
      <c r="D427" s="10">
        <v>0</v>
      </c>
      <c r="E427" s="10">
        <f>_xll.AtlasFormulas.AtlasFunctions.AtlasBalance("PROD",DataAreaId,"T.InventTrans|inventDimId~inventDimId@T.InventDim","Sum|Qty|0","","","","","","","DateFinancial|ItemId|T2.InventSiteId|T2.InventLocationId",PeriodBeginning,$A427,$B427,$C427)</f>
        <v>0</v>
      </c>
      <c r="F427" s="10">
        <f>_xll.AtlasFormulas.AtlasFunctions.AtlasBalance("PROD",DataAreaId,"T.InventTrans|inventDimId~inventDimId@T.InventDim","Sum|Qty|0","","","","","","","DateFinancial|ItemId|T2.InventSiteId|T2.InventLocationId",PeriodEnding,$A427,$B427,$C427)</f>
        <v>0</v>
      </c>
      <c r="G427" s="10">
        <f>AtlasReport_3_Table_1[[#This Row],[Current On-hand]]-AtlasReport_3_Table_1[[#This Row],[Trans backwords (Beginning)]]</f>
        <v>0</v>
      </c>
      <c r="H427" s="10">
        <f>AtlasReport_3_Table_1[[#This Row],[Current On-hand]]-AtlasReport_3_Table_1[[#This Row],[Trans backwords (Ending)]]</f>
        <v>0</v>
      </c>
    </row>
    <row r="428" spans="1:8" x14ac:dyDescent="0.25">
      <c r="A428" s="8" t="s">
        <v>78</v>
      </c>
      <c r="B428" s="8" t="s">
        <v>261</v>
      </c>
      <c r="C428" s="8" t="s">
        <v>262</v>
      </c>
      <c r="D428" s="10">
        <v>0</v>
      </c>
      <c r="E428" s="10">
        <f>_xll.AtlasFormulas.AtlasFunctions.AtlasBalance("PROD",DataAreaId,"T.InventTrans|inventDimId~inventDimId@T.InventDim","Sum|Qty|0","","","","","","","DateFinancial|ItemId|T2.InventSiteId|T2.InventLocationId",PeriodBeginning,$A428,$B428,$C428)</f>
        <v>0</v>
      </c>
      <c r="F428" s="10">
        <f>_xll.AtlasFormulas.AtlasFunctions.AtlasBalance("PROD",DataAreaId,"T.InventTrans|inventDimId~inventDimId@T.InventDim","Sum|Qty|0","","","","","","","DateFinancial|ItemId|T2.InventSiteId|T2.InventLocationId",PeriodEnding,$A428,$B428,$C428)</f>
        <v>0</v>
      </c>
      <c r="G428" s="10">
        <f>AtlasReport_3_Table_1[[#This Row],[Current On-hand]]-AtlasReport_3_Table_1[[#This Row],[Trans backwords (Beginning)]]</f>
        <v>0</v>
      </c>
      <c r="H428" s="10">
        <f>AtlasReport_3_Table_1[[#This Row],[Current On-hand]]-AtlasReport_3_Table_1[[#This Row],[Trans backwords (Ending)]]</f>
        <v>0</v>
      </c>
    </row>
    <row r="429" spans="1:8" x14ac:dyDescent="0.25">
      <c r="A429" s="8" t="s">
        <v>78</v>
      </c>
      <c r="B429" s="8" t="s">
        <v>261</v>
      </c>
      <c r="C429" s="8" t="s">
        <v>264</v>
      </c>
      <c r="D429" s="10">
        <v>547.26</v>
      </c>
      <c r="E429" s="10">
        <f>_xll.AtlasFormulas.AtlasFunctions.AtlasBalance("PROD",DataAreaId,"T.InventTrans|inventDimId~inventDimId@T.InventDim","Sum|Qty|0","","","","","","","DateFinancial|ItemId|T2.InventSiteId|T2.InventLocationId",PeriodBeginning,$A429,$B429,$C429)</f>
        <v>-44.23</v>
      </c>
      <c r="F429" s="10">
        <f>_xll.AtlasFormulas.AtlasFunctions.AtlasBalance("PROD",DataAreaId,"T.InventTrans|inventDimId~inventDimId@T.InventDim","Sum|Qty|0","","","","","","","DateFinancial|ItemId|T2.InventSiteId|T2.InventLocationId",PeriodEnding,$A429,$B429,$C429)</f>
        <v>0</v>
      </c>
      <c r="G429" s="10">
        <f>AtlasReport_3_Table_1[[#This Row],[Current On-hand]]-AtlasReport_3_Table_1[[#This Row],[Trans backwords (Beginning)]]</f>
        <v>591.49</v>
      </c>
      <c r="H429" s="10">
        <f>AtlasReport_3_Table_1[[#This Row],[Current On-hand]]-AtlasReport_3_Table_1[[#This Row],[Trans backwords (Ending)]]</f>
        <v>547.26</v>
      </c>
    </row>
    <row r="430" spans="1:8" x14ac:dyDescent="0.25">
      <c r="A430" s="8" t="s">
        <v>62</v>
      </c>
      <c r="B430" s="8" t="s">
        <v>261</v>
      </c>
      <c r="C430" s="8" t="s">
        <v>81</v>
      </c>
      <c r="D430" s="10">
        <v>0</v>
      </c>
      <c r="E430" s="10">
        <f>_xll.AtlasFormulas.AtlasFunctions.AtlasBalance("PROD",DataAreaId,"T.InventTrans|inventDimId~inventDimId@T.InventDim","Sum|Qty|0","","","","","","","DateFinancial|ItemId|T2.InventSiteId|T2.InventLocationId",PeriodBeginning,$A430,$B430,$C430)</f>
        <v>0</v>
      </c>
      <c r="F430" s="10">
        <f>_xll.AtlasFormulas.AtlasFunctions.AtlasBalance("PROD",DataAreaId,"T.InventTrans|inventDimId~inventDimId@T.InventDim","Sum|Qty|0","","","","","","","DateFinancial|ItemId|T2.InventSiteId|T2.InventLocationId",PeriodEnding,$A430,$B430,$C430)</f>
        <v>0</v>
      </c>
      <c r="G430" s="10">
        <f>AtlasReport_3_Table_1[[#This Row],[Current On-hand]]-AtlasReport_3_Table_1[[#This Row],[Trans backwords (Beginning)]]</f>
        <v>0</v>
      </c>
      <c r="H430" s="10">
        <f>AtlasReport_3_Table_1[[#This Row],[Current On-hand]]-AtlasReport_3_Table_1[[#This Row],[Trans backwords (Ending)]]</f>
        <v>0</v>
      </c>
    </row>
    <row r="431" spans="1:8" x14ac:dyDescent="0.25">
      <c r="A431" s="8" t="s">
        <v>62</v>
      </c>
      <c r="B431" s="8" t="s">
        <v>261</v>
      </c>
      <c r="C431" s="8" t="s">
        <v>262</v>
      </c>
      <c r="D431" s="10">
        <v>0</v>
      </c>
      <c r="E431" s="10">
        <f>_xll.AtlasFormulas.AtlasFunctions.AtlasBalance("PROD",DataAreaId,"T.InventTrans|inventDimId~inventDimId@T.InventDim","Sum|Qty|0","","","","","","","DateFinancial|ItemId|T2.InventSiteId|T2.InventLocationId",PeriodBeginning,$A431,$B431,$C431)</f>
        <v>0</v>
      </c>
      <c r="F431" s="10">
        <f>_xll.AtlasFormulas.AtlasFunctions.AtlasBalance("PROD",DataAreaId,"T.InventTrans|inventDimId~inventDimId@T.InventDim","Sum|Qty|0","","","","","","","DateFinancial|ItemId|T2.InventSiteId|T2.InventLocationId",PeriodEnding,$A431,$B431,$C431)</f>
        <v>0</v>
      </c>
      <c r="G431" s="10">
        <f>AtlasReport_3_Table_1[[#This Row],[Current On-hand]]-AtlasReport_3_Table_1[[#This Row],[Trans backwords (Beginning)]]</f>
        <v>0</v>
      </c>
      <c r="H431" s="10">
        <f>AtlasReport_3_Table_1[[#This Row],[Current On-hand]]-AtlasReport_3_Table_1[[#This Row],[Trans backwords (Ending)]]</f>
        <v>0</v>
      </c>
    </row>
    <row r="432" spans="1:8" x14ac:dyDescent="0.25">
      <c r="A432" s="8" t="s">
        <v>62</v>
      </c>
      <c r="B432" s="8" t="s">
        <v>261</v>
      </c>
      <c r="C432" s="8" t="s">
        <v>264</v>
      </c>
      <c r="D432" s="10">
        <v>738.23</v>
      </c>
      <c r="E432" s="10">
        <f>_xll.AtlasFormulas.AtlasFunctions.AtlasBalance("PROD",DataAreaId,"T.InventTrans|inventDimId~inventDimId@T.InventDim","Sum|Qty|0","","","","","","","DateFinancial|ItemId|T2.InventSiteId|T2.InventLocationId",PeriodBeginning,$A432,$B432,$C432)</f>
        <v>-34.75</v>
      </c>
      <c r="F432" s="10">
        <f>_xll.AtlasFormulas.AtlasFunctions.AtlasBalance("PROD",DataAreaId,"T.InventTrans|inventDimId~inventDimId@T.InventDim","Sum|Qty|0","","","","","","","DateFinancial|ItemId|T2.InventSiteId|T2.InventLocationId",PeriodEnding,$A432,$B432,$C432)</f>
        <v>0</v>
      </c>
      <c r="G432" s="10">
        <f>AtlasReport_3_Table_1[[#This Row],[Current On-hand]]-AtlasReport_3_Table_1[[#This Row],[Trans backwords (Beginning)]]</f>
        <v>772.98</v>
      </c>
      <c r="H432" s="10">
        <f>AtlasReport_3_Table_1[[#This Row],[Current On-hand]]-AtlasReport_3_Table_1[[#This Row],[Trans backwords (Ending)]]</f>
        <v>738.23</v>
      </c>
    </row>
    <row r="433" spans="1:8" x14ac:dyDescent="0.25">
      <c r="A433" s="8" t="s">
        <v>63</v>
      </c>
      <c r="B433" s="8" t="s">
        <v>261</v>
      </c>
      <c r="C433" s="8" t="s">
        <v>81</v>
      </c>
      <c r="D433" s="10">
        <v>0</v>
      </c>
      <c r="E433" s="10">
        <f>_xll.AtlasFormulas.AtlasFunctions.AtlasBalance("PROD",DataAreaId,"T.InventTrans|inventDimId~inventDimId@T.InventDim","Sum|Qty|0","","","","","","","DateFinancial|ItemId|T2.InventSiteId|T2.InventLocationId",PeriodBeginning,$A433,$B433,$C433)</f>
        <v>0</v>
      </c>
      <c r="F433" s="10">
        <f>_xll.AtlasFormulas.AtlasFunctions.AtlasBalance("PROD",DataAreaId,"T.InventTrans|inventDimId~inventDimId@T.InventDim","Sum|Qty|0","","","","","","","DateFinancial|ItemId|T2.InventSiteId|T2.InventLocationId",PeriodEnding,$A433,$B433,$C433)</f>
        <v>0</v>
      </c>
      <c r="G433" s="10">
        <f>AtlasReport_3_Table_1[[#This Row],[Current On-hand]]-AtlasReport_3_Table_1[[#This Row],[Trans backwords (Beginning)]]</f>
        <v>0</v>
      </c>
      <c r="H433" s="10">
        <f>AtlasReport_3_Table_1[[#This Row],[Current On-hand]]-AtlasReport_3_Table_1[[#This Row],[Trans backwords (Ending)]]</f>
        <v>0</v>
      </c>
    </row>
    <row r="434" spans="1:8" x14ac:dyDescent="0.25">
      <c r="A434" s="8" t="s">
        <v>63</v>
      </c>
      <c r="B434" s="8" t="s">
        <v>261</v>
      </c>
      <c r="C434" s="8" t="s">
        <v>262</v>
      </c>
      <c r="D434" s="10">
        <v>0</v>
      </c>
      <c r="E434" s="10">
        <f>_xll.AtlasFormulas.AtlasFunctions.AtlasBalance("PROD",DataAreaId,"T.InventTrans|inventDimId~inventDimId@T.InventDim","Sum|Qty|0","","","","","","","DateFinancial|ItemId|T2.InventSiteId|T2.InventLocationId",PeriodBeginning,$A434,$B434,$C434)</f>
        <v>0</v>
      </c>
      <c r="F434" s="10">
        <f>_xll.AtlasFormulas.AtlasFunctions.AtlasBalance("PROD",DataAreaId,"T.InventTrans|inventDimId~inventDimId@T.InventDim","Sum|Qty|0","","","","","","","DateFinancial|ItemId|T2.InventSiteId|T2.InventLocationId",PeriodEnding,$A434,$B434,$C434)</f>
        <v>0</v>
      </c>
      <c r="G434" s="10">
        <f>AtlasReport_3_Table_1[[#This Row],[Current On-hand]]-AtlasReport_3_Table_1[[#This Row],[Trans backwords (Beginning)]]</f>
        <v>0</v>
      </c>
      <c r="H434" s="10">
        <f>AtlasReport_3_Table_1[[#This Row],[Current On-hand]]-AtlasReport_3_Table_1[[#This Row],[Trans backwords (Ending)]]</f>
        <v>0</v>
      </c>
    </row>
    <row r="435" spans="1:8" x14ac:dyDescent="0.25">
      <c r="A435" s="8" t="s">
        <v>63</v>
      </c>
      <c r="B435" s="8" t="s">
        <v>261</v>
      </c>
      <c r="C435" s="8" t="s">
        <v>263</v>
      </c>
      <c r="D435" s="10">
        <v>0</v>
      </c>
      <c r="E435" s="10">
        <f>_xll.AtlasFormulas.AtlasFunctions.AtlasBalance("PROD",DataAreaId,"T.InventTrans|inventDimId~inventDimId@T.InventDim","Sum|Qty|0","","","","","","","DateFinancial|ItemId|T2.InventSiteId|T2.InventLocationId",PeriodBeginning,$A435,$B435,$C435)</f>
        <v>0</v>
      </c>
      <c r="F435" s="10">
        <f>_xll.AtlasFormulas.AtlasFunctions.AtlasBalance("PROD",DataAreaId,"T.InventTrans|inventDimId~inventDimId@T.InventDim","Sum|Qty|0","","","","","","","DateFinancial|ItemId|T2.InventSiteId|T2.InventLocationId",PeriodEnding,$A435,$B435,$C435)</f>
        <v>0</v>
      </c>
      <c r="G435" s="10">
        <f>AtlasReport_3_Table_1[[#This Row],[Current On-hand]]-AtlasReport_3_Table_1[[#This Row],[Trans backwords (Beginning)]]</f>
        <v>0</v>
      </c>
      <c r="H435" s="10">
        <f>AtlasReport_3_Table_1[[#This Row],[Current On-hand]]-AtlasReport_3_Table_1[[#This Row],[Trans backwords (Ending)]]</f>
        <v>0</v>
      </c>
    </row>
    <row r="436" spans="1:8" x14ac:dyDescent="0.25">
      <c r="A436" s="8" t="s">
        <v>63</v>
      </c>
      <c r="B436" s="8" t="s">
        <v>261</v>
      </c>
      <c r="C436" s="8" t="s">
        <v>264</v>
      </c>
      <c r="D436" s="10">
        <v>2115.88</v>
      </c>
      <c r="E436" s="10">
        <f>_xll.AtlasFormulas.AtlasFunctions.AtlasBalance("PROD",DataAreaId,"T.InventTrans|inventDimId~inventDimId@T.InventDim","Sum|Qty|0","","","","","","","DateFinancial|ItemId|T2.InventSiteId|T2.InventLocationId",PeriodBeginning,$A436,$B436,$C436)</f>
        <v>1577.73</v>
      </c>
      <c r="F436" s="10">
        <f>_xll.AtlasFormulas.AtlasFunctions.AtlasBalance("PROD",DataAreaId,"T.InventTrans|inventDimId~inventDimId@T.InventDim","Sum|Qty|0","","","","","","","DateFinancial|ItemId|T2.InventSiteId|T2.InventLocationId",PeriodEnding,$A436,$B436,$C436)</f>
        <v>0</v>
      </c>
      <c r="G436" s="10">
        <f>AtlasReport_3_Table_1[[#This Row],[Current On-hand]]-AtlasReport_3_Table_1[[#This Row],[Trans backwords (Beginning)]]</f>
        <v>538.15000000000009</v>
      </c>
      <c r="H436" s="10">
        <f>AtlasReport_3_Table_1[[#This Row],[Current On-hand]]-AtlasReport_3_Table_1[[#This Row],[Trans backwords (Ending)]]</f>
        <v>2115.88</v>
      </c>
    </row>
    <row r="437" spans="1:8" x14ac:dyDescent="0.25">
      <c r="A437" s="8" t="s">
        <v>404</v>
      </c>
      <c r="B437" s="8" t="s">
        <v>261</v>
      </c>
      <c r="C437" s="8" t="s">
        <v>81</v>
      </c>
      <c r="D437" s="10">
        <v>0</v>
      </c>
      <c r="E437" s="10">
        <f>_xll.AtlasFormulas.AtlasFunctions.AtlasBalance("PROD",DataAreaId,"T.InventTrans|inventDimId~inventDimId@T.InventDim","Sum|Qty|0","","","","","","","DateFinancial|ItemId|T2.InventSiteId|T2.InventLocationId",PeriodBeginning,$A437,$B437,$C437)</f>
        <v>0</v>
      </c>
      <c r="F437" s="10">
        <f>_xll.AtlasFormulas.AtlasFunctions.AtlasBalance("PROD",DataAreaId,"T.InventTrans|inventDimId~inventDimId@T.InventDim","Sum|Qty|0","","","","","","","DateFinancial|ItemId|T2.InventSiteId|T2.InventLocationId",PeriodEnding,$A437,$B437,$C437)</f>
        <v>0</v>
      </c>
      <c r="G437" s="10">
        <f>AtlasReport_3_Table_1[[#This Row],[Current On-hand]]-AtlasReport_3_Table_1[[#This Row],[Trans backwords (Beginning)]]</f>
        <v>0</v>
      </c>
      <c r="H437" s="10">
        <f>AtlasReport_3_Table_1[[#This Row],[Current On-hand]]-AtlasReport_3_Table_1[[#This Row],[Trans backwords (Ending)]]</f>
        <v>0</v>
      </c>
    </row>
    <row r="438" spans="1:8" x14ac:dyDescent="0.25">
      <c r="A438" s="8" t="s">
        <v>404</v>
      </c>
      <c r="B438" s="8" t="s">
        <v>261</v>
      </c>
      <c r="C438" s="8" t="s">
        <v>262</v>
      </c>
      <c r="D438" s="10">
        <v>0</v>
      </c>
      <c r="E438" s="10">
        <f>_xll.AtlasFormulas.AtlasFunctions.AtlasBalance("PROD",DataAreaId,"T.InventTrans|inventDimId~inventDimId@T.InventDim","Sum|Qty|0","","","","","","","DateFinancial|ItemId|T2.InventSiteId|T2.InventLocationId",PeriodBeginning,$A438,$B438,$C438)</f>
        <v>0</v>
      </c>
      <c r="F438" s="10">
        <f>_xll.AtlasFormulas.AtlasFunctions.AtlasBalance("PROD",DataAreaId,"T.InventTrans|inventDimId~inventDimId@T.InventDim","Sum|Qty|0","","","","","","","DateFinancial|ItemId|T2.InventSiteId|T2.InventLocationId",PeriodEnding,$A438,$B438,$C438)</f>
        <v>0</v>
      </c>
      <c r="G438" s="10">
        <f>AtlasReport_3_Table_1[[#This Row],[Current On-hand]]-AtlasReport_3_Table_1[[#This Row],[Trans backwords (Beginning)]]</f>
        <v>0</v>
      </c>
      <c r="H438" s="10">
        <f>AtlasReport_3_Table_1[[#This Row],[Current On-hand]]-AtlasReport_3_Table_1[[#This Row],[Trans backwords (Ending)]]</f>
        <v>0</v>
      </c>
    </row>
    <row r="439" spans="1:8" x14ac:dyDescent="0.25">
      <c r="A439" s="8" t="s">
        <v>404</v>
      </c>
      <c r="B439" s="8" t="s">
        <v>261</v>
      </c>
      <c r="C439" s="8" t="s">
        <v>264</v>
      </c>
      <c r="D439" s="10">
        <v>480</v>
      </c>
      <c r="E439" s="10">
        <f>_xll.AtlasFormulas.AtlasFunctions.AtlasBalance("PROD",DataAreaId,"T.InventTrans|inventDimId~inventDimId@T.InventDim","Sum|Qty|0","","","","","","","DateFinancial|ItemId|T2.InventSiteId|T2.InventLocationId",PeriodBeginning,$A439,$B439,$C439)</f>
        <v>-126</v>
      </c>
      <c r="F439" s="10">
        <f>_xll.AtlasFormulas.AtlasFunctions.AtlasBalance("PROD",DataAreaId,"T.InventTrans|inventDimId~inventDimId@T.InventDim","Sum|Qty|0","","","","","","","DateFinancial|ItemId|T2.InventSiteId|T2.InventLocationId",PeriodEnding,$A439,$B439,$C439)</f>
        <v>0</v>
      </c>
      <c r="G439" s="10">
        <f>AtlasReport_3_Table_1[[#This Row],[Current On-hand]]-AtlasReport_3_Table_1[[#This Row],[Trans backwords (Beginning)]]</f>
        <v>606</v>
      </c>
      <c r="H439" s="10">
        <f>AtlasReport_3_Table_1[[#This Row],[Current On-hand]]-AtlasReport_3_Table_1[[#This Row],[Trans backwords (Ending)]]</f>
        <v>480</v>
      </c>
    </row>
    <row r="440" spans="1:8" x14ac:dyDescent="0.25">
      <c r="A440" s="8" t="s">
        <v>405</v>
      </c>
      <c r="B440" s="8" t="s">
        <v>261</v>
      </c>
      <c r="C440" s="8" t="s">
        <v>81</v>
      </c>
      <c r="D440" s="10">
        <v>0</v>
      </c>
      <c r="E440" s="10">
        <f>_xll.AtlasFormulas.AtlasFunctions.AtlasBalance("PROD",DataAreaId,"T.InventTrans|inventDimId~inventDimId@T.InventDim","Sum|Qty|0","","","","","","","DateFinancial|ItemId|T2.InventSiteId|T2.InventLocationId",PeriodBeginning,$A440,$B440,$C440)</f>
        <v>0</v>
      </c>
      <c r="F440" s="10">
        <f>_xll.AtlasFormulas.AtlasFunctions.AtlasBalance("PROD",DataAreaId,"T.InventTrans|inventDimId~inventDimId@T.InventDim","Sum|Qty|0","","","","","","","DateFinancial|ItemId|T2.InventSiteId|T2.InventLocationId",PeriodEnding,$A440,$B440,$C440)</f>
        <v>0</v>
      </c>
      <c r="G440" s="10">
        <f>AtlasReport_3_Table_1[[#This Row],[Current On-hand]]-AtlasReport_3_Table_1[[#This Row],[Trans backwords (Beginning)]]</f>
        <v>0</v>
      </c>
      <c r="H440" s="10">
        <f>AtlasReport_3_Table_1[[#This Row],[Current On-hand]]-AtlasReport_3_Table_1[[#This Row],[Trans backwords (Ending)]]</f>
        <v>0</v>
      </c>
    </row>
    <row r="441" spans="1:8" x14ac:dyDescent="0.25">
      <c r="A441" s="8" t="s">
        <v>405</v>
      </c>
      <c r="B441" s="8" t="s">
        <v>261</v>
      </c>
      <c r="C441" s="8" t="s">
        <v>262</v>
      </c>
      <c r="D441" s="10">
        <v>0</v>
      </c>
      <c r="E441" s="10">
        <f>_xll.AtlasFormulas.AtlasFunctions.AtlasBalance("PROD",DataAreaId,"T.InventTrans|inventDimId~inventDimId@T.InventDim","Sum|Qty|0","","","","","","","DateFinancial|ItemId|T2.InventSiteId|T2.InventLocationId",PeriodBeginning,$A441,$B441,$C441)</f>
        <v>0</v>
      </c>
      <c r="F441" s="10">
        <f>_xll.AtlasFormulas.AtlasFunctions.AtlasBalance("PROD",DataAreaId,"T.InventTrans|inventDimId~inventDimId@T.InventDim","Sum|Qty|0","","","","","","","DateFinancial|ItemId|T2.InventSiteId|T2.InventLocationId",PeriodEnding,$A441,$B441,$C441)</f>
        <v>0</v>
      </c>
      <c r="G441" s="10">
        <f>AtlasReport_3_Table_1[[#This Row],[Current On-hand]]-AtlasReport_3_Table_1[[#This Row],[Trans backwords (Beginning)]]</f>
        <v>0</v>
      </c>
      <c r="H441" s="10">
        <f>AtlasReport_3_Table_1[[#This Row],[Current On-hand]]-AtlasReport_3_Table_1[[#This Row],[Trans backwords (Ending)]]</f>
        <v>0</v>
      </c>
    </row>
    <row r="442" spans="1:8" x14ac:dyDescent="0.25">
      <c r="A442" s="8" t="s">
        <v>405</v>
      </c>
      <c r="B442" s="8" t="s">
        <v>261</v>
      </c>
      <c r="C442" s="8" t="s">
        <v>264</v>
      </c>
      <c r="D442" s="10">
        <v>468</v>
      </c>
      <c r="E442" s="10">
        <f>_xll.AtlasFormulas.AtlasFunctions.AtlasBalance("PROD",DataAreaId,"T.InventTrans|inventDimId~inventDimId@T.InventDim","Sum|Qty|0","","","","","","","DateFinancial|ItemId|T2.InventSiteId|T2.InventLocationId",PeriodBeginning,$A442,$B442,$C442)</f>
        <v>-156</v>
      </c>
      <c r="F442" s="10">
        <f>_xll.AtlasFormulas.AtlasFunctions.AtlasBalance("PROD",DataAreaId,"T.InventTrans|inventDimId~inventDimId@T.InventDim","Sum|Qty|0","","","","","","","DateFinancial|ItemId|T2.InventSiteId|T2.InventLocationId",PeriodEnding,$A442,$B442,$C442)</f>
        <v>0</v>
      </c>
      <c r="G442" s="10">
        <f>AtlasReport_3_Table_1[[#This Row],[Current On-hand]]-AtlasReport_3_Table_1[[#This Row],[Trans backwords (Beginning)]]</f>
        <v>624</v>
      </c>
      <c r="H442" s="10">
        <f>AtlasReport_3_Table_1[[#This Row],[Current On-hand]]-AtlasReport_3_Table_1[[#This Row],[Trans backwords (Ending)]]</f>
        <v>468</v>
      </c>
    </row>
    <row r="443" spans="1:8" x14ac:dyDescent="0.25">
      <c r="A443" s="8" t="s">
        <v>406</v>
      </c>
      <c r="B443" s="8" t="s">
        <v>261</v>
      </c>
      <c r="C443" s="8" t="s">
        <v>81</v>
      </c>
      <c r="D443" s="10">
        <v>0</v>
      </c>
      <c r="E443" s="10">
        <f>_xll.AtlasFormulas.AtlasFunctions.AtlasBalance("PROD",DataAreaId,"T.InventTrans|inventDimId~inventDimId@T.InventDim","Sum|Qty|0","","","","","","","DateFinancial|ItemId|T2.InventSiteId|T2.InventLocationId",PeriodBeginning,$A443,$B443,$C443)</f>
        <v>0</v>
      </c>
      <c r="F443" s="10">
        <f>_xll.AtlasFormulas.AtlasFunctions.AtlasBalance("PROD",DataAreaId,"T.InventTrans|inventDimId~inventDimId@T.InventDim","Sum|Qty|0","","","","","","","DateFinancial|ItemId|T2.InventSiteId|T2.InventLocationId",PeriodEnding,$A443,$B443,$C443)</f>
        <v>0</v>
      </c>
      <c r="G443" s="10">
        <f>AtlasReport_3_Table_1[[#This Row],[Current On-hand]]-AtlasReport_3_Table_1[[#This Row],[Trans backwords (Beginning)]]</f>
        <v>0</v>
      </c>
      <c r="H443" s="10">
        <f>AtlasReport_3_Table_1[[#This Row],[Current On-hand]]-AtlasReport_3_Table_1[[#This Row],[Trans backwords (Ending)]]</f>
        <v>0</v>
      </c>
    </row>
    <row r="444" spans="1:8" x14ac:dyDescent="0.25">
      <c r="A444" s="8" t="s">
        <v>406</v>
      </c>
      <c r="B444" s="8" t="s">
        <v>261</v>
      </c>
      <c r="C444" s="8" t="s">
        <v>264</v>
      </c>
      <c r="D444" s="10">
        <v>0</v>
      </c>
      <c r="E444" s="10">
        <f>_xll.AtlasFormulas.AtlasFunctions.AtlasBalance("PROD",DataAreaId,"T.InventTrans|inventDimId~inventDimId@T.InventDim","Sum|Qty|0","","","","","","","DateFinancial|ItemId|T2.InventSiteId|T2.InventLocationId",PeriodBeginning,$A444,$B444,$C444)</f>
        <v>0</v>
      </c>
      <c r="F444" s="10">
        <f>_xll.AtlasFormulas.AtlasFunctions.AtlasBalance("PROD",DataAreaId,"T.InventTrans|inventDimId~inventDimId@T.InventDim","Sum|Qty|0","","","","","","","DateFinancial|ItemId|T2.InventSiteId|T2.InventLocationId",PeriodEnding,$A444,$B444,$C444)</f>
        <v>0</v>
      </c>
      <c r="G444" s="10">
        <f>AtlasReport_3_Table_1[[#This Row],[Current On-hand]]-AtlasReport_3_Table_1[[#This Row],[Trans backwords (Beginning)]]</f>
        <v>0</v>
      </c>
      <c r="H444" s="10">
        <f>AtlasReport_3_Table_1[[#This Row],[Current On-hand]]-AtlasReport_3_Table_1[[#This Row],[Trans backwords (Ending)]]</f>
        <v>0</v>
      </c>
    </row>
    <row r="445" spans="1:8" x14ac:dyDescent="0.25">
      <c r="A445" s="8" t="s">
        <v>407</v>
      </c>
      <c r="B445" s="8" t="s">
        <v>261</v>
      </c>
      <c r="C445" s="8" t="s">
        <v>264</v>
      </c>
      <c r="D445" s="10">
        <v>0</v>
      </c>
      <c r="E445" s="10">
        <f>_xll.AtlasFormulas.AtlasFunctions.AtlasBalance("PROD",DataAreaId,"T.InventTrans|inventDimId~inventDimId@T.InventDim","Sum|Qty|0","","","","","","","DateFinancial|ItemId|T2.InventSiteId|T2.InventLocationId",PeriodBeginning,$A445,$B445,$C445)</f>
        <v>0</v>
      </c>
      <c r="F445" s="10">
        <f>_xll.AtlasFormulas.AtlasFunctions.AtlasBalance("PROD",DataAreaId,"T.InventTrans|inventDimId~inventDimId@T.InventDim","Sum|Qty|0","","","","","","","DateFinancial|ItemId|T2.InventSiteId|T2.InventLocationId",PeriodEnding,$A445,$B445,$C445)</f>
        <v>0</v>
      </c>
      <c r="G445" s="10">
        <f>AtlasReport_3_Table_1[[#This Row],[Current On-hand]]-AtlasReport_3_Table_1[[#This Row],[Trans backwords (Beginning)]]</f>
        <v>0</v>
      </c>
      <c r="H445" s="10">
        <f>AtlasReport_3_Table_1[[#This Row],[Current On-hand]]-AtlasReport_3_Table_1[[#This Row],[Trans backwords (Ending)]]</f>
        <v>0</v>
      </c>
    </row>
    <row r="446" spans="1:8" x14ac:dyDescent="0.25">
      <c r="A446" s="8" t="s">
        <v>408</v>
      </c>
      <c r="B446" s="8" t="s">
        <v>261</v>
      </c>
      <c r="C446" s="8" t="s">
        <v>264</v>
      </c>
      <c r="D446" s="10">
        <v>0</v>
      </c>
      <c r="E446" s="10">
        <f>_xll.AtlasFormulas.AtlasFunctions.AtlasBalance("PROD",DataAreaId,"T.InventTrans|inventDimId~inventDimId@T.InventDim","Sum|Qty|0","","","","","","","DateFinancial|ItemId|T2.InventSiteId|T2.InventLocationId",PeriodBeginning,$A446,$B446,$C446)</f>
        <v>0</v>
      </c>
      <c r="F446" s="10">
        <f>_xll.AtlasFormulas.AtlasFunctions.AtlasBalance("PROD",DataAreaId,"T.InventTrans|inventDimId~inventDimId@T.InventDim","Sum|Qty|0","","","","","","","DateFinancial|ItemId|T2.InventSiteId|T2.InventLocationId",PeriodEnding,$A446,$B446,$C446)</f>
        <v>0</v>
      </c>
      <c r="G446" s="10">
        <f>AtlasReport_3_Table_1[[#This Row],[Current On-hand]]-AtlasReport_3_Table_1[[#This Row],[Trans backwords (Beginning)]]</f>
        <v>0</v>
      </c>
      <c r="H446" s="10">
        <f>AtlasReport_3_Table_1[[#This Row],[Current On-hand]]-AtlasReport_3_Table_1[[#This Row],[Trans backwords (Ending)]]</f>
        <v>0</v>
      </c>
    </row>
    <row r="447" spans="1:8" x14ac:dyDescent="0.25">
      <c r="A447" s="8" t="s">
        <v>103</v>
      </c>
      <c r="B447" s="8" t="s">
        <v>261</v>
      </c>
      <c r="C447" s="8" t="s">
        <v>264</v>
      </c>
      <c r="D447" s="10">
        <v>0</v>
      </c>
      <c r="E447" s="10">
        <f>_xll.AtlasFormulas.AtlasFunctions.AtlasBalance("PROD",DataAreaId,"T.InventTrans|inventDimId~inventDimId@T.InventDim","Sum|Qty|0","","","","","","","DateFinancial|ItemId|T2.InventSiteId|T2.InventLocationId",PeriodBeginning,$A447,$B447,$C447)</f>
        <v>-21</v>
      </c>
      <c r="F447" s="10">
        <f>_xll.AtlasFormulas.AtlasFunctions.AtlasBalance("PROD",DataAreaId,"T.InventTrans|inventDimId~inventDimId@T.InventDim","Sum|Qty|0","","","","","","","DateFinancial|ItemId|T2.InventSiteId|T2.InventLocationId",PeriodEnding,$A447,$B447,$C447)</f>
        <v>0</v>
      </c>
      <c r="G447" s="10">
        <f>AtlasReport_3_Table_1[[#This Row],[Current On-hand]]-AtlasReport_3_Table_1[[#This Row],[Trans backwords (Beginning)]]</f>
        <v>21</v>
      </c>
      <c r="H447" s="10">
        <f>AtlasReport_3_Table_1[[#This Row],[Current On-hand]]-AtlasReport_3_Table_1[[#This Row],[Trans backwords (Ending)]]</f>
        <v>0</v>
      </c>
    </row>
    <row r="448" spans="1:8" x14ac:dyDescent="0.25">
      <c r="A448" s="8" t="s">
        <v>129</v>
      </c>
      <c r="B448" s="8" t="s">
        <v>261</v>
      </c>
      <c r="C448" s="8" t="s">
        <v>264</v>
      </c>
      <c r="D448" s="10">
        <v>0</v>
      </c>
      <c r="E448" s="10">
        <f>_xll.AtlasFormulas.AtlasFunctions.AtlasBalance("PROD",DataAreaId,"T.InventTrans|inventDimId~inventDimId@T.InventDim","Sum|Qty|0","","","","","","","DateFinancial|ItemId|T2.InventSiteId|T2.InventLocationId",PeriodBeginning,$A448,$B448,$C448)</f>
        <v>-1</v>
      </c>
      <c r="F448" s="10">
        <f>_xll.AtlasFormulas.AtlasFunctions.AtlasBalance("PROD",DataAreaId,"T.InventTrans|inventDimId~inventDimId@T.InventDim","Sum|Qty|0","","","","","","","DateFinancial|ItemId|T2.InventSiteId|T2.InventLocationId",PeriodEnding,$A448,$B448,$C448)</f>
        <v>0</v>
      </c>
      <c r="G448" s="10">
        <f>AtlasReport_3_Table_1[[#This Row],[Current On-hand]]-AtlasReport_3_Table_1[[#This Row],[Trans backwords (Beginning)]]</f>
        <v>1</v>
      </c>
      <c r="H448" s="10">
        <f>AtlasReport_3_Table_1[[#This Row],[Current On-hand]]-AtlasReport_3_Table_1[[#This Row],[Trans backwords (Ending)]]</f>
        <v>0</v>
      </c>
    </row>
    <row r="449" spans="1:8" x14ac:dyDescent="0.25">
      <c r="A449" s="8" t="s">
        <v>131</v>
      </c>
      <c r="B449" s="8" t="s">
        <v>261</v>
      </c>
      <c r="C449" s="8" t="s">
        <v>81</v>
      </c>
      <c r="D449" s="10">
        <v>0</v>
      </c>
      <c r="E449" s="10">
        <f>_xll.AtlasFormulas.AtlasFunctions.AtlasBalance("PROD",DataAreaId,"T.InventTrans|inventDimId~inventDimId@T.InventDim","Sum|Qty|0","","","","","","","DateFinancial|ItemId|T2.InventSiteId|T2.InventLocationId",PeriodBeginning,$A449,$B449,$C449)</f>
        <v>0</v>
      </c>
      <c r="F449" s="10">
        <f>_xll.AtlasFormulas.AtlasFunctions.AtlasBalance("PROD",DataAreaId,"T.InventTrans|inventDimId~inventDimId@T.InventDim","Sum|Qty|0","","","","","","","DateFinancial|ItemId|T2.InventSiteId|T2.InventLocationId",PeriodEnding,$A449,$B449,$C449)</f>
        <v>0</v>
      </c>
      <c r="G449" s="10">
        <f>AtlasReport_3_Table_1[[#This Row],[Current On-hand]]-AtlasReport_3_Table_1[[#This Row],[Trans backwords (Beginning)]]</f>
        <v>0</v>
      </c>
      <c r="H449" s="10">
        <f>AtlasReport_3_Table_1[[#This Row],[Current On-hand]]-AtlasReport_3_Table_1[[#This Row],[Trans backwords (Ending)]]</f>
        <v>0</v>
      </c>
    </row>
    <row r="450" spans="1:8" x14ac:dyDescent="0.25">
      <c r="A450" s="8" t="s">
        <v>131</v>
      </c>
      <c r="B450" s="8" t="s">
        <v>261</v>
      </c>
      <c r="C450" s="8" t="s">
        <v>264</v>
      </c>
      <c r="D450" s="10">
        <v>250</v>
      </c>
      <c r="E450" s="10">
        <f>_xll.AtlasFormulas.AtlasFunctions.AtlasBalance("PROD",DataAreaId,"T.InventTrans|inventDimId~inventDimId@T.InventDim","Sum|Qty|0","","","","","","","DateFinancial|ItemId|T2.InventSiteId|T2.InventLocationId",PeriodBeginning,$A450,$B450,$C450)</f>
        <v>-21</v>
      </c>
      <c r="F450" s="10">
        <f>_xll.AtlasFormulas.AtlasFunctions.AtlasBalance("PROD",DataAreaId,"T.InventTrans|inventDimId~inventDimId@T.InventDim","Sum|Qty|0","","","","","","","DateFinancial|ItemId|T2.InventSiteId|T2.InventLocationId",PeriodEnding,$A450,$B450,$C450)</f>
        <v>0</v>
      </c>
      <c r="G450" s="10">
        <f>AtlasReport_3_Table_1[[#This Row],[Current On-hand]]-AtlasReport_3_Table_1[[#This Row],[Trans backwords (Beginning)]]</f>
        <v>271</v>
      </c>
      <c r="H450" s="10">
        <f>AtlasReport_3_Table_1[[#This Row],[Current On-hand]]-AtlasReport_3_Table_1[[#This Row],[Trans backwords (Ending)]]</f>
        <v>250</v>
      </c>
    </row>
    <row r="451" spans="1:8" x14ac:dyDescent="0.25">
      <c r="A451" s="8" t="s">
        <v>134</v>
      </c>
      <c r="B451" s="8" t="s">
        <v>261</v>
      </c>
      <c r="C451" s="8" t="s">
        <v>81</v>
      </c>
      <c r="D451" s="10">
        <v>0</v>
      </c>
      <c r="E451" s="10">
        <f>_xll.AtlasFormulas.AtlasFunctions.AtlasBalance("PROD",DataAreaId,"T.InventTrans|inventDimId~inventDimId@T.InventDim","Sum|Qty|0","","","","","","","DateFinancial|ItemId|T2.InventSiteId|T2.InventLocationId",PeriodBeginning,$A451,$B451,$C451)</f>
        <v>0</v>
      </c>
      <c r="F451" s="10">
        <f>_xll.AtlasFormulas.AtlasFunctions.AtlasBalance("PROD",DataAreaId,"T.InventTrans|inventDimId~inventDimId@T.InventDim","Sum|Qty|0","","","","","","","DateFinancial|ItemId|T2.InventSiteId|T2.InventLocationId",PeriodEnding,$A451,$B451,$C451)</f>
        <v>0</v>
      </c>
      <c r="G451" s="10">
        <f>AtlasReport_3_Table_1[[#This Row],[Current On-hand]]-AtlasReport_3_Table_1[[#This Row],[Trans backwords (Beginning)]]</f>
        <v>0</v>
      </c>
      <c r="H451" s="10">
        <f>AtlasReport_3_Table_1[[#This Row],[Current On-hand]]-AtlasReport_3_Table_1[[#This Row],[Trans backwords (Ending)]]</f>
        <v>0</v>
      </c>
    </row>
    <row r="452" spans="1:8" x14ac:dyDescent="0.25">
      <c r="A452" s="8" t="s">
        <v>134</v>
      </c>
      <c r="B452" s="8" t="s">
        <v>261</v>
      </c>
      <c r="C452" s="8" t="s">
        <v>264</v>
      </c>
      <c r="D452" s="10">
        <v>149</v>
      </c>
      <c r="E452" s="10">
        <f>_xll.AtlasFormulas.AtlasFunctions.AtlasBalance("PROD",DataAreaId,"T.InventTrans|inventDimId~inventDimId@T.InventDim","Sum|Qty|0","","","","","","","DateFinancial|ItemId|T2.InventSiteId|T2.InventLocationId",PeriodBeginning,$A452,$B452,$C452)</f>
        <v>-1</v>
      </c>
      <c r="F452" s="10">
        <f>_xll.AtlasFormulas.AtlasFunctions.AtlasBalance("PROD",DataAreaId,"T.InventTrans|inventDimId~inventDimId@T.InventDim","Sum|Qty|0","","","","","","","DateFinancial|ItemId|T2.InventSiteId|T2.InventLocationId",PeriodEnding,$A452,$B452,$C452)</f>
        <v>0</v>
      </c>
      <c r="G452" s="10">
        <f>AtlasReport_3_Table_1[[#This Row],[Current On-hand]]-AtlasReport_3_Table_1[[#This Row],[Trans backwords (Beginning)]]</f>
        <v>150</v>
      </c>
      <c r="H452" s="10">
        <f>AtlasReport_3_Table_1[[#This Row],[Current On-hand]]-AtlasReport_3_Table_1[[#This Row],[Trans backwords (Ending)]]</f>
        <v>149</v>
      </c>
    </row>
    <row r="453" spans="1:8" x14ac:dyDescent="0.25">
      <c r="A453" s="8" t="s">
        <v>409</v>
      </c>
      <c r="B453" s="8" t="s">
        <v>261</v>
      </c>
      <c r="C453" s="8" t="s">
        <v>81</v>
      </c>
      <c r="D453" s="10">
        <v>0</v>
      </c>
      <c r="E453" s="10">
        <f>_xll.AtlasFormulas.AtlasFunctions.AtlasBalance("PROD",DataAreaId,"T.InventTrans|inventDimId~inventDimId@T.InventDim","Sum|Qty|0","","","","","","","DateFinancial|ItemId|T2.InventSiteId|T2.InventLocationId",PeriodBeginning,$A453,$B453,$C453)</f>
        <v>0</v>
      </c>
      <c r="F453" s="10">
        <f>_xll.AtlasFormulas.AtlasFunctions.AtlasBalance("PROD",DataAreaId,"T.InventTrans|inventDimId~inventDimId@T.InventDim","Sum|Qty|0","","","","","","","DateFinancial|ItemId|T2.InventSiteId|T2.InventLocationId",PeriodEnding,$A453,$B453,$C453)</f>
        <v>0</v>
      </c>
      <c r="G453" s="10">
        <f>AtlasReport_3_Table_1[[#This Row],[Current On-hand]]-AtlasReport_3_Table_1[[#This Row],[Trans backwords (Beginning)]]</f>
        <v>0</v>
      </c>
      <c r="H453" s="10">
        <f>AtlasReport_3_Table_1[[#This Row],[Current On-hand]]-AtlasReport_3_Table_1[[#This Row],[Trans backwords (Ending)]]</f>
        <v>0</v>
      </c>
    </row>
    <row r="454" spans="1:8" x14ac:dyDescent="0.25">
      <c r="A454" s="8" t="s">
        <v>409</v>
      </c>
      <c r="B454" s="8" t="s">
        <v>261</v>
      </c>
      <c r="C454" s="8" t="s">
        <v>264</v>
      </c>
      <c r="D454" s="10">
        <v>13</v>
      </c>
      <c r="E454" s="10">
        <f>_xll.AtlasFormulas.AtlasFunctions.AtlasBalance("PROD",DataAreaId,"T.InventTrans|inventDimId~inventDimId@T.InventDim","Sum|Qty|0","","","","","","","DateFinancial|ItemId|T2.InventSiteId|T2.InventLocationId",PeriodBeginning,$A454,$B454,$C454)</f>
        <v>-1</v>
      </c>
      <c r="F454" s="10">
        <f>_xll.AtlasFormulas.AtlasFunctions.AtlasBalance("PROD",DataAreaId,"T.InventTrans|inventDimId~inventDimId@T.InventDim","Sum|Qty|0","","","","","","","DateFinancial|ItemId|T2.InventSiteId|T2.InventLocationId",PeriodEnding,$A454,$B454,$C454)</f>
        <v>0</v>
      </c>
      <c r="G454" s="10">
        <f>AtlasReport_3_Table_1[[#This Row],[Current On-hand]]-AtlasReport_3_Table_1[[#This Row],[Trans backwords (Beginning)]]</f>
        <v>14</v>
      </c>
      <c r="H454" s="10">
        <f>AtlasReport_3_Table_1[[#This Row],[Current On-hand]]-AtlasReport_3_Table_1[[#This Row],[Trans backwords (Ending)]]</f>
        <v>13</v>
      </c>
    </row>
    <row r="455" spans="1:8" x14ac:dyDescent="0.25">
      <c r="A455" s="8" t="s">
        <v>79</v>
      </c>
      <c r="B455" s="8" t="s">
        <v>261</v>
      </c>
      <c r="C455" s="8" t="s">
        <v>81</v>
      </c>
      <c r="D455" s="10">
        <v>0</v>
      </c>
      <c r="E455" s="10">
        <f>_xll.AtlasFormulas.AtlasFunctions.AtlasBalance("PROD",DataAreaId,"T.InventTrans|inventDimId~inventDimId@T.InventDim","Sum|Qty|0","","","","","","","DateFinancial|ItemId|T2.InventSiteId|T2.InventLocationId",PeriodBeginning,$A455,$B455,$C455)</f>
        <v>0</v>
      </c>
      <c r="F455" s="10">
        <f>_xll.AtlasFormulas.AtlasFunctions.AtlasBalance("PROD",DataAreaId,"T.InventTrans|inventDimId~inventDimId@T.InventDim","Sum|Qty|0","","","","","","","DateFinancial|ItemId|T2.InventSiteId|T2.InventLocationId",PeriodEnding,$A455,$B455,$C455)</f>
        <v>0</v>
      </c>
      <c r="G455" s="10">
        <f>AtlasReport_3_Table_1[[#This Row],[Current On-hand]]-AtlasReport_3_Table_1[[#This Row],[Trans backwords (Beginning)]]</f>
        <v>0</v>
      </c>
      <c r="H455" s="10">
        <f>AtlasReport_3_Table_1[[#This Row],[Current On-hand]]-AtlasReport_3_Table_1[[#This Row],[Trans backwords (Ending)]]</f>
        <v>0</v>
      </c>
    </row>
    <row r="456" spans="1:8" x14ac:dyDescent="0.25">
      <c r="A456" s="8" t="s">
        <v>79</v>
      </c>
      <c r="B456" s="8" t="s">
        <v>261</v>
      </c>
      <c r="C456" s="8" t="s">
        <v>383</v>
      </c>
      <c r="D456" s="10">
        <v>0</v>
      </c>
      <c r="E456" s="10">
        <f>_xll.AtlasFormulas.AtlasFunctions.AtlasBalance("PROD",DataAreaId,"T.InventTrans|inventDimId~inventDimId@T.InventDim","Sum|Qty|0","","","","","","","DateFinancial|ItemId|T2.InventSiteId|T2.InventLocationId",PeriodBeginning,$A456,$B456,$C456)</f>
        <v>0</v>
      </c>
      <c r="F456" s="10">
        <f>_xll.AtlasFormulas.AtlasFunctions.AtlasBalance("PROD",DataAreaId,"T.InventTrans|inventDimId~inventDimId@T.InventDim","Sum|Qty|0","","","","","","","DateFinancial|ItemId|T2.InventSiteId|T2.InventLocationId",PeriodEnding,$A456,$B456,$C456)</f>
        <v>0</v>
      </c>
      <c r="G456" s="10">
        <f>AtlasReport_3_Table_1[[#This Row],[Current On-hand]]-AtlasReport_3_Table_1[[#This Row],[Trans backwords (Beginning)]]</f>
        <v>0</v>
      </c>
      <c r="H456" s="10">
        <f>AtlasReport_3_Table_1[[#This Row],[Current On-hand]]-AtlasReport_3_Table_1[[#This Row],[Trans backwords (Ending)]]</f>
        <v>0</v>
      </c>
    </row>
    <row r="457" spans="1:8" x14ac:dyDescent="0.25">
      <c r="A457" s="8" t="s">
        <v>79</v>
      </c>
      <c r="B457" s="8" t="s">
        <v>261</v>
      </c>
      <c r="C457" s="8" t="s">
        <v>305</v>
      </c>
      <c r="D457" s="10">
        <v>0</v>
      </c>
      <c r="E457" s="10">
        <f>_xll.AtlasFormulas.AtlasFunctions.AtlasBalance("PROD",DataAreaId,"T.InventTrans|inventDimId~inventDimId@T.InventDim","Sum|Qty|0","","","","","","","DateFinancial|ItemId|T2.InventSiteId|T2.InventLocationId",PeriodBeginning,$A457,$B457,$C457)</f>
        <v>0</v>
      </c>
      <c r="F457" s="10">
        <f>_xll.AtlasFormulas.AtlasFunctions.AtlasBalance("PROD",DataAreaId,"T.InventTrans|inventDimId~inventDimId@T.InventDim","Sum|Qty|0","","","","","","","DateFinancial|ItemId|T2.InventSiteId|T2.InventLocationId",PeriodEnding,$A457,$B457,$C457)</f>
        <v>0</v>
      </c>
      <c r="G457" s="10">
        <f>AtlasReport_3_Table_1[[#This Row],[Current On-hand]]-AtlasReport_3_Table_1[[#This Row],[Trans backwords (Beginning)]]</f>
        <v>0</v>
      </c>
      <c r="H457" s="10">
        <f>AtlasReport_3_Table_1[[#This Row],[Current On-hand]]-AtlasReport_3_Table_1[[#This Row],[Trans backwords (Ending)]]</f>
        <v>0</v>
      </c>
    </row>
    <row r="458" spans="1:8" x14ac:dyDescent="0.25">
      <c r="A458" s="8" t="s">
        <v>79</v>
      </c>
      <c r="B458" s="8" t="s">
        <v>261</v>
      </c>
      <c r="C458" s="8" t="s">
        <v>262</v>
      </c>
      <c r="D458" s="10">
        <v>0</v>
      </c>
      <c r="E458" s="10">
        <f>_xll.AtlasFormulas.AtlasFunctions.AtlasBalance("PROD",DataAreaId,"T.InventTrans|inventDimId~inventDimId@T.InventDim","Sum|Qty|0","","","","","","","DateFinancial|ItemId|T2.InventSiteId|T2.InventLocationId",PeriodBeginning,$A458,$B458,$C458)</f>
        <v>0</v>
      </c>
      <c r="F458" s="10">
        <f>_xll.AtlasFormulas.AtlasFunctions.AtlasBalance("PROD",DataAreaId,"T.InventTrans|inventDimId~inventDimId@T.InventDim","Sum|Qty|0","","","","","","","DateFinancial|ItemId|T2.InventSiteId|T2.InventLocationId",PeriodEnding,$A458,$B458,$C458)</f>
        <v>0</v>
      </c>
      <c r="G458" s="10">
        <f>AtlasReport_3_Table_1[[#This Row],[Current On-hand]]-AtlasReport_3_Table_1[[#This Row],[Trans backwords (Beginning)]]</f>
        <v>0</v>
      </c>
      <c r="H458" s="10">
        <f>AtlasReport_3_Table_1[[#This Row],[Current On-hand]]-AtlasReport_3_Table_1[[#This Row],[Trans backwords (Ending)]]</f>
        <v>0</v>
      </c>
    </row>
    <row r="459" spans="1:8" x14ac:dyDescent="0.25">
      <c r="A459" s="8" t="s">
        <v>79</v>
      </c>
      <c r="B459" s="8" t="s">
        <v>261</v>
      </c>
      <c r="C459" s="8" t="s">
        <v>264</v>
      </c>
      <c r="D459" s="10">
        <v>1</v>
      </c>
      <c r="E459" s="10">
        <f>_xll.AtlasFormulas.AtlasFunctions.AtlasBalance("PROD",DataAreaId,"T.InventTrans|inventDimId~inventDimId@T.InventDim","Sum|Qty|0","","","","","","","DateFinancial|ItemId|T2.InventSiteId|T2.InventLocationId",PeriodBeginning,$A459,$B459,$C459)</f>
        <v>1</v>
      </c>
      <c r="F459" s="10">
        <f>_xll.AtlasFormulas.AtlasFunctions.AtlasBalance("PROD",DataAreaId,"T.InventTrans|inventDimId~inventDimId@T.InventDim","Sum|Qty|0","","","","","","","DateFinancial|ItemId|T2.InventSiteId|T2.InventLocationId",PeriodEnding,$A459,$B459,$C459)</f>
        <v>0</v>
      </c>
      <c r="G459" s="10">
        <f>AtlasReport_3_Table_1[[#This Row],[Current On-hand]]-AtlasReport_3_Table_1[[#This Row],[Trans backwords (Beginning)]]</f>
        <v>0</v>
      </c>
      <c r="H459" s="10">
        <f>AtlasReport_3_Table_1[[#This Row],[Current On-hand]]-AtlasReport_3_Table_1[[#This Row],[Trans backwords (Ending)]]</f>
        <v>1</v>
      </c>
    </row>
    <row r="460" spans="1:8" x14ac:dyDescent="0.25">
      <c r="A460" s="8" t="s">
        <v>108</v>
      </c>
      <c r="B460" s="8" t="s">
        <v>261</v>
      </c>
      <c r="C460" s="8" t="s">
        <v>81</v>
      </c>
      <c r="D460" s="10">
        <v>0</v>
      </c>
      <c r="E460" s="10">
        <f>_xll.AtlasFormulas.AtlasFunctions.AtlasBalance("PROD",DataAreaId,"T.InventTrans|inventDimId~inventDimId@T.InventDim","Sum|Qty|0","","","","","","","DateFinancial|ItemId|T2.InventSiteId|T2.InventLocationId",PeriodBeginning,$A460,$B460,$C460)</f>
        <v>0</v>
      </c>
      <c r="F460" s="10">
        <f>_xll.AtlasFormulas.AtlasFunctions.AtlasBalance("PROD",DataAreaId,"T.InventTrans|inventDimId~inventDimId@T.InventDim","Sum|Qty|0","","","","","","","DateFinancial|ItemId|T2.InventSiteId|T2.InventLocationId",PeriodEnding,$A460,$B460,$C460)</f>
        <v>0</v>
      </c>
      <c r="G460" s="10">
        <f>AtlasReport_3_Table_1[[#This Row],[Current On-hand]]-AtlasReport_3_Table_1[[#This Row],[Trans backwords (Beginning)]]</f>
        <v>0</v>
      </c>
      <c r="H460" s="10">
        <f>AtlasReport_3_Table_1[[#This Row],[Current On-hand]]-AtlasReport_3_Table_1[[#This Row],[Trans backwords (Ending)]]</f>
        <v>0</v>
      </c>
    </row>
    <row r="461" spans="1:8" x14ac:dyDescent="0.25">
      <c r="A461" s="8" t="s">
        <v>108</v>
      </c>
      <c r="B461" s="8" t="s">
        <v>261</v>
      </c>
      <c r="C461" s="8" t="s">
        <v>383</v>
      </c>
      <c r="D461" s="10">
        <v>1</v>
      </c>
      <c r="E461" s="10">
        <f>_xll.AtlasFormulas.AtlasFunctions.AtlasBalance("PROD",DataAreaId,"T.InventTrans|inventDimId~inventDimId@T.InventDim","Sum|Qty|0","","","","","","","DateFinancial|ItemId|T2.InventSiteId|T2.InventLocationId",PeriodBeginning,$A461,$B461,$C461)</f>
        <v>0</v>
      </c>
      <c r="F461" s="10">
        <f>_xll.AtlasFormulas.AtlasFunctions.AtlasBalance("PROD",DataAreaId,"T.InventTrans|inventDimId~inventDimId@T.InventDim","Sum|Qty|0","","","","","","","DateFinancial|ItemId|T2.InventSiteId|T2.InventLocationId",PeriodEnding,$A461,$B461,$C461)</f>
        <v>0</v>
      </c>
      <c r="G461" s="10">
        <f>AtlasReport_3_Table_1[[#This Row],[Current On-hand]]-AtlasReport_3_Table_1[[#This Row],[Trans backwords (Beginning)]]</f>
        <v>1</v>
      </c>
      <c r="H461" s="10">
        <f>AtlasReport_3_Table_1[[#This Row],[Current On-hand]]-AtlasReport_3_Table_1[[#This Row],[Trans backwords (Ending)]]</f>
        <v>1</v>
      </c>
    </row>
    <row r="462" spans="1:8" x14ac:dyDescent="0.25">
      <c r="A462" s="8" t="s">
        <v>108</v>
      </c>
      <c r="B462" s="8" t="s">
        <v>261</v>
      </c>
      <c r="C462" s="8" t="s">
        <v>264</v>
      </c>
      <c r="D462" s="10">
        <v>0</v>
      </c>
      <c r="E462" s="10">
        <f>_xll.AtlasFormulas.AtlasFunctions.AtlasBalance("PROD",DataAreaId,"T.InventTrans|inventDimId~inventDimId@T.InventDim","Sum|Qty|0","","","","","","","DateFinancial|ItemId|T2.InventSiteId|T2.InventLocationId",PeriodBeginning,$A462,$B462,$C462)</f>
        <v>-1</v>
      </c>
      <c r="F462" s="10">
        <f>_xll.AtlasFormulas.AtlasFunctions.AtlasBalance("PROD",DataAreaId,"T.InventTrans|inventDimId~inventDimId@T.InventDim","Sum|Qty|0","","","","","","","DateFinancial|ItemId|T2.InventSiteId|T2.InventLocationId",PeriodEnding,$A462,$B462,$C462)</f>
        <v>0</v>
      </c>
      <c r="G462" s="10">
        <f>AtlasReport_3_Table_1[[#This Row],[Current On-hand]]-AtlasReport_3_Table_1[[#This Row],[Trans backwords (Beginning)]]</f>
        <v>1</v>
      </c>
      <c r="H462" s="10">
        <f>AtlasReport_3_Table_1[[#This Row],[Current On-hand]]-AtlasReport_3_Table_1[[#This Row],[Trans backwords (Ending)]]</f>
        <v>0</v>
      </c>
    </row>
    <row r="463" spans="1:8" x14ac:dyDescent="0.25">
      <c r="A463" s="8" t="s">
        <v>410</v>
      </c>
      <c r="B463" s="8" t="s">
        <v>261</v>
      </c>
      <c r="C463" s="8" t="s">
        <v>81</v>
      </c>
      <c r="D463" s="10">
        <v>0</v>
      </c>
      <c r="E463" s="10">
        <f>_xll.AtlasFormulas.AtlasFunctions.AtlasBalance("PROD",DataAreaId,"T.InventTrans|inventDimId~inventDimId@T.InventDim","Sum|Qty|0","","","","","","","DateFinancial|ItemId|T2.InventSiteId|T2.InventLocationId",PeriodBeginning,$A463,$B463,$C463)</f>
        <v>0</v>
      </c>
      <c r="F463" s="10">
        <f>_xll.AtlasFormulas.AtlasFunctions.AtlasBalance("PROD",DataAreaId,"T.InventTrans|inventDimId~inventDimId@T.InventDim","Sum|Qty|0","","","","","","","DateFinancial|ItemId|T2.InventSiteId|T2.InventLocationId",PeriodEnding,$A463,$B463,$C463)</f>
        <v>0</v>
      </c>
      <c r="G463" s="10">
        <f>AtlasReport_3_Table_1[[#This Row],[Current On-hand]]-AtlasReport_3_Table_1[[#This Row],[Trans backwords (Beginning)]]</f>
        <v>0</v>
      </c>
      <c r="H463" s="10">
        <f>AtlasReport_3_Table_1[[#This Row],[Current On-hand]]-AtlasReport_3_Table_1[[#This Row],[Trans backwords (Ending)]]</f>
        <v>0</v>
      </c>
    </row>
    <row r="464" spans="1:8" x14ac:dyDescent="0.25">
      <c r="A464" s="8" t="s">
        <v>410</v>
      </c>
      <c r="B464" s="8" t="s">
        <v>261</v>
      </c>
      <c r="C464" s="8" t="s">
        <v>264</v>
      </c>
      <c r="D464" s="10">
        <v>0</v>
      </c>
      <c r="E464" s="10">
        <f>_xll.AtlasFormulas.AtlasFunctions.AtlasBalance("PROD",DataAreaId,"T.InventTrans|inventDimId~inventDimId@T.InventDim","Sum|Qty|0","","","","","","","DateFinancial|ItemId|T2.InventSiteId|T2.InventLocationId",PeriodBeginning,$A464,$B464,$C464)</f>
        <v>0</v>
      </c>
      <c r="F464" s="10">
        <f>_xll.AtlasFormulas.AtlasFunctions.AtlasBalance("PROD",DataAreaId,"T.InventTrans|inventDimId~inventDimId@T.InventDim","Sum|Qty|0","","","","","","","DateFinancial|ItemId|T2.InventSiteId|T2.InventLocationId",PeriodEnding,$A464,$B464,$C464)</f>
        <v>0</v>
      </c>
      <c r="G464" s="10">
        <f>AtlasReport_3_Table_1[[#This Row],[Current On-hand]]-AtlasReport_3_Table_1[[#This Row],[Trans backwords (Beginning)]]</f>
        <v>0</v>
      </c>
      <c r="H464" s="10">
        <f>AtlasReport_3_Table_1[[#This Row],[Current On-hand]]-AtlasReport_3_Table_1[[#This Row],[Trans backwords (Ending)]]</f>
        <v>0</v>
      </c>
    </row>
    <row r="465" spans="1:8" x14ac:dyDescent="0.25">
      <c r="A465" s="8" t="s">
        <v>411</v>
      </c>
      <c r="B465" s="8" t="s">
        <v>261</v>
      </c>
      <c r="C465" s="8" t="s">
        <v>81</v>
      </c>
      <c r="D465" s="10">
        <v>0</v>
      </c>
      <c r="E465" s="10">
        <f>_xll.AtlasFormulas.AtlasFunctions.AtlasBalance("PROD",DataAreaId,"T.InventTrans|inventDimId~inventDimId@T.InventDim","Sum|Qty|0","","","","","","","DateFinancial|ItemId|T2.InventSiteId|T2.InventLocationId",PeriodBeginning,$A465,$B465,$C465)</f>
        <v>0</v>
      </c>
      <c r="F465" s="10">
        <f>_xll.AtlasFormulas.AtlasFunctions.AtlasBalance("PROD",DataAreaId,"T.InventTrans|inventDimId~inventDimId@T.InventDim","Sum|Qty|0","","","","","","","DateFinancial|ItemId|T2.InventSiteId|T2.InventLocationId",PeriodEnding,$A465,$B465,$C465)</f>
        <v>0</v>
      </c>
      <c r="G465" s="10">
        <f>AtlasReport_3_Table_1[[#This Row],[Current On-hand]]-AtlasReport_3_Table_1[[#This Row],[Trans backwords (Beginning)]]</f>
        <v>0</v>
      </c>
      <c r="H465" s="10">
        <f>AtlasReport_3_Table_1[[#This Row],[Current On-hand]]-AtlasReport_3_Table_1[[#This Row],[Trans backwords (Ending)]]</f>
        <v>0</v>
      </c>
    </row>
    <row r="466" spans="1:8" x14ac:dyDescent="0.25">
      <c r="A466" s="8" t="s">
        <v>411</v>
      </c>
      <c r="B466" s="8" t="s">
        <v>261</v>
      </c>
      <c r="C466" s="8" t="s">
        <v>264</v>
      </c>
      <c r="D466" s="10">
        <v>348</v>
      </c>
      <c r="E466" s="10">
        <f>_xll.AtlasFormulas.AtlasFunctions.AtlasBalance("PROD",DataAreaId,"T.InventTrans|inventDimId~inventDimId@T.InventDim","Sum|Qty|0","","","","","","","DateFinancial|ItemId|T2.InventSiteId|T2.InventLocationId",PeriodBeginning,$A466,$B466,$C466)</f>
        <v>-90.5</v>
      </c>
      <c r="F466" s="10">
        <f>_xll.AtlasFormulas.AtlasFunctions.AtlasBalance("PROD",DataAreaId,"T.InventTrans|inventDimId~inventDimId@T.InventDim","Sum|Qty|0","","","","","","","DateFinancial|ItemId|T2.InventSiteId|T2.InventLocationId",PeriodEnding,$A466,$B466,$C466)</f>
        <v>0</v>
      </c>
      <c r="G466" s="10">
        <f>AtlasReport_3_Table_1[[#This Row],[Current On-hand]]-AtlasReport_3_Table_1[[#This Row],[Trans backwords (Beginning)]]</f>
        <v>438.5</v>
      </c>
      <c r="H466" s="10">
        <f>AtlasReport_3_Table_1[[#This Row],[Current On-hand]]-AtlasReport_3_Table_1[[#This Row],[Trans backwords (Ending)]]</f>
        <v>348</v>
      </c>
    </row>
    <row r="467" spans="1:8" x14ac:dyDescent="0.25">
      <c r="A467" s="8" t="s">
        <v>412</v>
      </c>
      <c r="B467" s="8" t="s">
        <v>261</v>
      </c>
      <c r="C467" s="8" t="s">
        <v>81</v>
      </c>
      <c r="D467" s="10">
        <v>0</v>
      </c>
      <c r="E467" s="10">
        <f>_xll.AtlasFormulas.AtlasFunctions.AtlasBalance("PROD",DataAreaId,"T.InventTrans|inventDimId~inventDimId@T.InventDim","Sum|Qty|0","","","","","","","DateFinancial|ItemId|T2.InventSiteId|T2.InventLocationId",PeriodBeginning,$A467,$B467,$C467)</f>
        <v>0</v>
      </c>
      <c r="F467" s="10">
        <f>_xll.AtlasFormulas.AtlasFunctions.AtlasBalance("PROD",DataAreaId,"T.InventTrans|inventDimId~inventDimId@T.InventDim","Sum|Qty|0","","","","","","","DateFinancial|ItemId|T2.InventSiteId|T2.InventLocationId",PeriodEnding,$A467,$B467,$C467)</f>
        <v>0</v>
      </c>
      <c r="G467" s="10">
        <f>AtlasReport_3_Table_1[[#This Row],[Current On-hand]]-AtlasReport_3_Table_1[[#This Row],[Trans backwords (Beginning)]]</f>
        <v>0</v>
      </c>
      <c r="H467" s="10">
        <f>AtlasReport_3_Table_1[[#This Row],[Current On-hand]]-AtlasReport_3_Table_1[[#This Row],[Trans backwords (Ending)]]</f>
        <v>0</v>
      </c>
    </row>
    <row r="468" spans="1:8" x14ac:dyDescent="0.25">
      <c r="A468" s="8" t="s">
        <v>412</v>
      </c>
      <c r="B468" s="8" t="s">
        <v>261</v>
      </c>
      <c r="C468" s="8" t="s">
        <v>264</v>
      </c>
      <c r="D468" s="10">
        <v>78</v>
      </c>
      <c r="E468" s="10">
        <f>_xll.AtlasFormulas.AtlasFunctions.AtlasBalance("PROD",DataAreaId,"T.InventTrans|inventDimId~inventDimId@T.InventDim","Sum|Qty|0","","","","","","","DateFinancial|ItemId|T2.InventSiteId|T2.InventLocationId",PeriodBeginning,$A468,$B468,$C468)</f>
        <v>0</v>
      </c>
      <c r="F468" s="10">
        <f>_xll.AtlasFormulas.AtlasFunctions.AtlasBalance("PROD",DataAreaId,"T.InventTrans|inventDimId~inventDimId@T.InventDim","Sum|Qty|0","","","","","","","DateFinancial|ItemId|T2.InventSiteId|T2.InventLocationId",PeriodEnding,$A468,$B468,$C468)</f>
        <v>0</v>
      </c>
      <c r="G468" s="10">
        <f>AtlasReport_3_Table_1[[#This Row],[Current On-hand]]-AtlasReport_3_Table_1[[#This Row],[Trans backwords (Beginning)]]</f>
        <v>78</v>
      </c>
      <c r="H468" s="10">
        <f>AtlasReport_3_Table_1[[#This Row],[Current On-hand]]-AtlasReport_3_Table_1[[#This Row],[Trans backwords (Ending)]]</f>
        <v>78</v>
      </c>
    </row>
    <row r="469" spans="1:8" x14ac:dyDescent="0.25">
      <c r="A469" s="8" t="s">
        <v>413</v>
      </c>
      <c r="B469" s="8" t="s">
        <v>261</v>
      </c>
      <c r="C469" s="8" t="s">
        <v>81</v>
      </c>
      <c r="D469" s="10">
        <v>0</v>
      </c>
      <c r="E469" s="10">
        <f>_xll.AtlasFormulas.AtlasFunctions.AtlasBalance("PROD",DataAreaId,"T.InventTrans|inventDimId~inventDimId@T.InventDim","Sum|Qty|0","","","","","","","DateFinancial|ItemId|T2.InventSiteId|T2.InventLocationId",PeriodBeginning,$A469,$B469,$C469)</f>
        <v>0</v>
      </c>
      <c r="F469" s="10">
        <f>_xll.AtlasFormulas.AtlasFunctions.AtlasBalance("PROD",DataAreaId,"T.InventTrans|inventDimId~inventDimId@T.InventDim","Sum|Qty|0","","","","","","","DateFinancial|ItemId|T2.InventSiteId|T2.InventLocationId",PeriodEnding,$A469,$B469,$C469)</f>
        <v>0</v>
      </c>
      <c r="G469" s="10">
        <f>AtlasReport_3_Table_1[[#This Row],[Current On-hand]]-AtlasReport_3_Table_1[[#This Row],[Trans backwords (Beginning)]]</f>
        <v>0</v>
      </c>
      <c r="H469" s="10">
        <f>AtlasReport_3_Table_1[[#This Row],[Current On-hand]]-AtlasReport_3_Table_1[[#This Row],[Trans backwords (Ending)]]</f>
        <v>0</v>
      </c>
    </row>
    <row r="470" spans="1:8" x14ac:dyDescent="0.25">
      <c r="A470" s="8" t="s">
        <v>413</v>
      </c>
      <c r="B470" s="8" t="s">
        <v>261</v>
      </c>
      <c r="C470" s="8" t="s">
        <v>264</v>
      </c>
      <c r="D470" s="10">
        <v>268</v>
      </c>
      <c r="E470" s="10">
        <f>_xll.AtlasFormulas.AtlasFunctions.AtlasBalance("PROD",DataAreaId,"T.InventTrans|inventDimId~inventDimId@T.InventDim","Sum|Qty|0","","","","","","","DateFinancial|ItemId|T2.InventSiteId|T2.InventLocationId",PeriodBeginning,$A470,$B470,$C470)</f>
        <v>82</v>
      </c>
      <c r="F470" s="10">
        <f>_xll.AtlasFormulas.AtlasFunctions.AtlasBalance("PROD",DataAreaId,"T.InventTrans|inventDimId~inventDimId@T.InventDim","Sum|Qty|0","","","","","","","DateFinancial|ItemId|T2.InventSiteId|T2.InventLocationId",PeriodEnding,$A470,$B470,$C470)</f>
        <v>0</v>
      </c>
      <c r="G470" s="10">
        <f>AtlasReport_3_Table_1[[#This Row],[Current On-hand]]-AtlasReport_3_Table_1[[#This Row],[Trans backwords (Beginning)]]</f>
        <v>186</v>
      </c>
      <c r="H470" s="10">
        <f>AtlasReport_3_Table_1[[#This Row],[Current On-hand]]-AtlasReport_3_Table_1[[#This Row],[Trans backwords (Ending)]]</f>
        <v>268</v>
      </c>
    </row>
    <row r="471" spans="1:8" x14ac:dyDescent="0.25">
      <c r="A471" s="8" t="s">
        <v>414</v>
      </c>
      <c r="B471" s="8" t="s">
        <v>261</v>
      </c>
      <c r="C471" s="8" t="s">
        <v>81</v>
      </c>
      <c r="D471" s="10">
        <v>0</v>
      </c>
      <c r="E471" s="10">
        <f>_xll.AtlasFormulas.AtlasFunctions.AtlasBalance("PROD",DataAreaId,"T.InventTrans|inventDimId~inventDimId@T.InventDim","Sum|Qty|0","","","","","","","DateFinancial|ItemId|T2.InventSiteId|T2.InventLocationId",PeriodBeginning,$A471,$B471,$C471)</f>
        <v>0</v>
      </c>
      <c r="F471" s="10">
        <f>_xll.AtlasFormulas.AtlasFunctions.AtlasBalance("PROD",DataAreaId,"T.InventTrans|inventDimId~inventDimId@T.InventDim","Sum|Qty|0","","","","","","","DateFinancial|ItemId|T2.InventSiteId|T2.InventLocationId",PeriodEnding,$A471,$B471,$C471)</f>
        <v>0</v>
      </c>
      <c r="G471" s="10">
        <f>AtlasReport_3_Table_1[[#This Row],[Current On-hand]]-AtlasReport_3_Table_1[[#This Row],[Trans backwords (Beginning)]]</f>
        <v>0</v>
      </c>
      <c r="H471" s="10">
        <f>AtlasReport_3_Table_1[[#This Row],[Current On-hand]]-AtlasReport_3_Table_1[[#This Row],[Trans backwords (Ending)]]</f>
        <v>0</v>
      </c>
    </row>
    <row r="472" spans="1:8" x14ac:dyDescent="0.25">
      <c r="A472" s="8" t="s">
        <v>414</v>
      </c>
      <c r="B472" s="8" t="s">
        <v>261</v>
      </c>
      <c r="C472" s="8" t="s">
        <v>264</v>
      </c>
      <c r="D472" s="10">
        <v>233</v>
      </c>
      <c r="E472" s="10">
        <f>_xll.AtlasFormulas.AtlasFunctions.AtlasBalance("PROD",DataAreaId,"T.InventTrans|inventDimId~inventDimId@T.InventDim","Sum|Qty|0","","","","","","","DateFinancial|ItemId|T2.InventSiteId|T2.InventLocationId",PeriodBeginning,$A472,$B472,$C472)</f>
        <v>202</v>
      </c>
      <c r="F472" s="10">
        <f>_xll.AtlasFormulas.AtlasFunctions.AtlasBalance("PROD",DataAreaId,"T.InventTrans|inventDimId~inventDimId@T.InventDim","Sum|Qty|0","","","","","","","DateFinancial|ItemId|T2.InventSiteId|T2.InventLocationId",PeriodEnding,$A472,$B472,$C472)</f>
        <v>0</v>
      </c>
      <c r="G472" s="10">
        <f>AtlasReport_3_Table_1[[#This Row],[Current On-hand]]-AtlasReport_3_Table_1[[#This Row],[Trans backwords (Beginning)]]</f>
        <v>31</v>
      </c>
      <c r="H472" s="10">
        <f>AtlasReport_3_Table_1[[#This Row],[Current On-hand]]-AtlasReport_3_Table_1[[#This Row],[Trans backwords (Ending)]]</f>
        <v>233</v>
      </c>
    </row>
    <row r="473" spans="1:8" x14ac:dyDescent="0.25">
      <c r="A473" s="8" t="s">
        <v>415</v>
      </c>
      <c r="B473" s="8" t="s">
        <v>261</v>
      </c>
      <c r="C473" s="8" t="s">
        <v>81</v>
      </c>
      <c r="D473" s="10">
        <v>0</v>
      </c>
      <c r="E473" s="10">
        <f>_xll.AtlasFormulas.AtlasFunctions.AtlasBalance("PROD",DataAreaId,"T.InventTrans|inventDimId~inventDimId@T.InventDim","Sum|Qty|0","","","","","","","DateFinancial|ItemId|T2.InventSiteId|T2.InventLocationId",PeriodBeginning,$A473,$B473,$C473)</f>
        <v>0</v>
      </c>
      <c r="F473" s="10">
        <f>_xll.AtlasFormulas.AtlasFunctions.AtlasBalance("PROD",DataAreaId,"T.InventTrans|inventDimId~inventDimId@T.InventDim","Sum|Qty|0","","","","","","","DateFinancial|ItemId|T2.InventSiteId|T2.InventLocationId",PeriodEnding,$A473,$B473,$C473)</f>
        <v>0</v>
      </c>
      <c r="G473" s="10">
        <f>AtlasReport_3_Table_1[[#This Row],[Current On-hand]]-AtlasReport_3_Table_1[[#This Row],[Trans backwords (Beginning)]]</f>
        <v>0</v>
      </c>
      <c r="H473" s="10">
        <f>AtlasReport_3_Table_1[[#This Row],[Current On-hand]]-AtlasReport_3_Table_1[[#This Row],[Trans backwords (Ending)]]</f>
        <v>0</v>
      </c>
    </row>
    <row r="474" spans="1:8" x14ac:dyDescent="0.25">
      <c r="A474" s="8" t="s">
        <v>415</v>
      </c>
      <c r="B474" s="8" t="s">
        <v>261</v>
      </c>
      <c r="C474" s="8" t="s">
        <v>264</v>
      </c>
      <c r="D474" s="10">
        <v>93</v>
      </c>
      <c r="E474" s="10">
        <f>_xll.AtlasFormulas.AtlasFunctions.AtlasBalance("PROD",DataAreaId,"T.InventTrans|inventDimId~inventDimId@T.InventDim","Sum|Qty|0","","","","","","","DateFinancial|ItemId|T2.InventSiteId|T2.InventLocationId",PeriodBeginning,$A474,$B474,$C474)</f>
        <v>-4</v>
      </c>
      <c r="F474" s="10">
        <f>_xll.AtlasFormulas.AtlasFunctions.AtlasBalance("PROD",DataAreaId,"T.InventTrans|inventDimId~inventDimId@T.InventDim","Sum|Qty|0","","","","","","","DateFinancial|ItemId|T2.InventSiteId|T2.InventLocationId",PeriodEnding,$A474,$B474,$C474)</f>
        <v>0</v>
      </c>
      <c r="G474" s="10">
        <f>AtlasReport_3_Table_1[[#This Row],[Current On-hand]]-AtlasReport_3_Table_1[[#This Row],[Trans backwords (Beginning)]]</f>
        <v>97</v>
      </c>
      <c r="H474" s="10">
        <f>AtlasReport_3_Table_1[[#This Row],[Current On-hand]]-AtlasReport_3_Table_1[[#This Row],[Trans backwords (Ending)]]</f>
        <v>93</v>
      </c>
    </row>
    <row r="475" spans="1:8" x14ac:dyDescent="0.25">
      <c r="A475" s="8" t="s">
        <v>416</v>
      </c>
      <c r="B475" s="8" t="s">
        <v>261</v>
      </c>
      <c r="C475" s="8" t="s">
        <v>81</v>
      </c>
      <c r="D475" s="10">
        <v>0</v>
      </c>
      <c r="E475" s="10">
        <f>_xll.AtlasFormulas.AtlasFunctions.AtlasBalance("PROD",DataAreaId,"T.InventTrans|inventDimId~inventDimId@T.InventDim","Sum|Qty|0","","","","","","","DateFinancial|ItemId|T2.InventSiteId|T2.InventLocationId",PeriodBeginning,$A475,$B475,$C475)</f>
        <v>0</v>
      </c>
      <c r="F475" s="10">
        <f>_xll.AtlasFormulas.AtlasFunctions.AtlasBalance("PROD",DataAreaId,"T.InventTrans|inventDimId~inventDimId@T.InventDim","Sum|Qty|0","","","","","","","DateFinancial|ItemId|T2.InventSiteId|T2.InventLocationId",PeriodEnding,$A475,$B475,$C475)</f>
        <v>0</v>
      </c>
      <c r="G475" s="10">
        <f>AtlasReport_3_Table_1[[#This Row],[Current On-hand]]-AtlasReport_3_Table_1[[#This Row],[Trans backwords (Beginning)]]</f>
        <v>0</v>
      </c>
      <c r="H475" s="10">
        <f>AtlasReport_3_Table_1[[#This Row],[Current On-hand]]-AtlasReport_3_Table_1[[#This Row],[Trans backwords (Ending)]]</f>
        <v>0</v>
      </c>
    </row>
    <row r="476" spans="1:8" x14ac:dyDescent="0.25">
      <c r="A476" s="8" t="s">
        <v>416</v>
      </c>
      <c r="B476" s="8" t="s">
        <v>261</v>
      </c>
      <c r="C476" s="8" t="s">
        <v>262</v>
      </c>
      <c r="D476" s="10">
        <v>0</v>
      </c>
      <c r="E476" s="10">
        <f>_xll.AtlasFormulas.AtlasFunctions.AtlasBalance("PROD",DataAreaId,"T.InventTrans|inventDimId~inventDimId@T.InventDim","Sum|Qty|0","","","","","","","DateFinancial|ItemId|T2.InventSiteId|T2.InventLocationId",PeriodBeginning,$A476,$B476,$C476)</f>
        <v>0</v>
      </c>
      <c r="F476" s="10">
        <f>_xll.AtlasFormulas.AtlasFunctions.AtlasBalance("PROD",DataAreaId,"T.InventTrans|inventDimId~inventDimId@T.InventDim","Sum|Qty|0","","","","","","","DateFinancial|ItemId|T2.InventSiteId|T2.InventLocationId",PeriodEnding,$A476,$B476,$C476)</f>
        <v>0</v>
      </c>
      <c r="G476" s="10">
        <f>AtlasReport_3_Table_1[[#This Row],[Current On-hand]]-AtlasReport_3_Table_1[[#This Row],[Trans backwords (Beginning)]]</f>
        <v>0</v>
      </c>
      <c r="H476" s="10">
        <f>AtlasReport_3_Table_1[[#This Row],[Current On-hand]]-AtlasReport_3_Table_1[[#This Row],[Trans backwords (Ending)]]</f>
        <v>0</v>
      </c>
    </row>
    <row r="477" spans="1:8" x14ac:dyDescent="0.25">
      <c r="A477" s="8" t="s">
        <v>416</v>
      </c>
      <c r="B477" s="8" t="s">
        <v>261</v>
      </c>
      <c r="C477" s="8" t="s">
        <v>264</v>
      </c>
      <c r="D477" s="10">
        <v>454</v>
      </c>
      <c r="E477" s="10">
        <f>_xll.AtlasFormulas.AtlasFunctions.AtlasBalance("PROD",DataAreaId,"T.InventTrans|inventDimId~inventDimId@T.InventDim","Sum|Qty|0","","","","","","","DateFinancial|ItemId|T2.InventSiteId|T2.InventLocationId",PeriodBeginning,$A477,$B477,$C477)</f>
        <v>212</v>
      </c>
      <c r="F477" s="10">
        <f>_xll.AtlasFormulas.AtlasFunctions.AtlasBalance("PROD",DataAreaId,"T.InventTrans|inventDimId~inventDimId@T.InventDim","Sum|Qty|0","","","","","","","DateFinancial|ItemId|T2.InventSiteId|T2.InventLocationId",PeriodEnding,$A477,$B477,$C477)</f>
        <v>0</v>
      </c>
      <c r="G477" s="10">
        <f>AtlasReport_3_Table_1[[#This Row],[Current On-hand]]-AtlasReport_3_Table_1[[#This Row],[Trans backwords (Beginning)]]</f>
        <v>242</v>
      </c>
      <c r="H477" s="10">
        <f>AtlasReport_3_Table_1[[#This Row],[Current On-hand]]-AtlasReport_3_Table_1[[#This Row],[Trans backwords (Ending)]]</f>
        <v>454</v>
      </c>
    </row>
    <row r="478" spans="1:8" x14ac:dyDescent="0.25">
      <c r="A478" s="8" t="s">
        <v>417</v>
      </c>
      <c r="B478" s="8" t="s">
        <v>261</v>
      </c>
      <c r="C478" s="8" t="s">
        <v>81</v>
      </c>
      <c r="D478" s="10">
        <v>0</v>
      </c>
      <c r="E478" s="10">
        <f>_xll.AtlasFormulas.AtlasFunctions.AtlasBalance("PROD",DataAreaId,"T.InventTrans|inventDimId~inventDimId@T.InventDim","Sum|Qty|0","","","","","","","DateFinancial|ItemId|T2.InventSiteId|T2.InventLocationId",PeriodBeginning,$A478,$B478,$C478)</f>
        <v>0</v>
      </c>
      <c r="F478" s="10">
        <f>_xll.AtlasFormulas.AtlasFunctions.AtlasBalance("PROD",DataAreaId,"T.InventTrans|inventDimId~inventDimId@T.InventDim","Sum|Qty|0","","","","","","","DateFinancial|ItemId|T2.InventSiteId|T2.InventLocationId",PeriodEnding,$A478,$B478,$C478)</f>
        <v>0</v>
      </c>
      <c r="G478" s="10">
        <f>AtlasReport_3_Table_1[[#This Row],[Current On-hand]]-AtlasReport_3_Table_1[[#This Row],[Trans backwords (Beginning)]]</f>
        <v>0</v>
      </c>
      <c r="H478" s="10">
        <f>AtlasReport_3_Table_1[[#This Row],[Current On-hand]]-AtlasReport_3_Table_1[[#This Row],[Trans backwords (Ending)]]</f>
        <v>0</v>
      </c>
    </row>
    <row r="479" spans="1:8" x14ac:dyDescent="0.25">
      <c r="A479" s="8" t="s">
        <v>417</v>
      </c>
      <c r="B479" s="8" t="s">
        <v>261</v>
      </c>
      <c r="C479" s="8" t="s">
        <v>262</v>
      </c>
      <c r="D479" s="10">
        <v>0</v>
      </c>
      <c r="E479" s="10">
        <f>_xll.AtlasFormulas.AtlasFunctions.AtlasBalance("PROD",DataAreaId,"T.InventTrans|inventDimId~inventDimId@T.InventDim","Sum|Qty|0","","","","","","","DateFinancial|ItemId|T2.InventSiteId|T2.InventLocationId",PeriodBeginning,$A479,$B479,$C479)</f>
        <v>0</v>
      </c>
      <c r="F479" s="10">
        <f>_xll.AtlasFormulas.AtlasFunctions.AtlasBalance("PROD",DataAreaId,"T.InventTrans|inventDimId~inventDimId@T.InventDim","Sum|Qty|0","","","","","","","DateFinancial|ItemId|T2.InventSiteId|T2.InventLocationId",PeriodEnding,$A479,$B479,$C479)</f>
        <v>0</v>
      </c>
      <c r="G479" s="10">
        <f>AtlasReport_3_Table_1[[#This Row],[Current On-hand]]-AtlasReport_3_Table_1[[#This Row],[Trans backwords (Beginning)]]</f>
        <v>0</v>
      </c>
      <c r="H479" s="10">
        <f>AtlasReport_3_Table_1[[#This Row],[Current On-hand]]-AtlasReport_3_Table_1[[#This Row],[Trans backwords (Ending)]]</f>
        <v>0</v>
      </c>
    </row>
    <row r="480" spans="1:8" x14ac:dyDescent="0.25">
      <c r="A480" s="8" t="s">
        <v>417</v>
      </c>
      <c r="B480" s="8" t="s">
        <v>261</v>
      </c>
      <c r="C480" s="8" t="s">
        <v>264</v>
      </c>
      <c r="D480" s="10">
        <v>361</v>
      </c>
      <c r="E480" s="10">
        <f>_xll.AtlasFormulas.AtlasFunctions.AtlasBalance("PROD",DataAreaId,"T.InventTrans|inventDimId~inventDimId@T.InventDim","Sum|Qty|0","","","","","","","DateFinancial|ItemId|T2.InventSiteId|T2.InventLocationId",PeriodBeginning,$A480,$B480,$C480)</f>
        <v>275</v>
      </c>
      <c r="F480" s="10">
        <f>_xll.AtlasFormulas.AtlasFunctions.AtlasBalance("PROD",DataAreaId,"T.InventTrans|inventDimId~inventDimId@T.InventDim","Sum|Qty|0","","","","","","","DateFinancial|ItemId|T2.InventSiteId|T2.InventLocationId",PeriodEnding,$A480,$B480,$C480)</f>
        <v>0</v>
      </c>
      <c r="G480" s="10">
        <f>AtlasReport_3_Table_1[[#This Row],[Current On-hand]]-AtlasReport_3_Table_1[[#This Row],[Trans backwords (Beginning)]]</f>
        <v>86</v>
      </c>
      <c r="H480" s="10">
        <f>AtlasReport_3_Table_1[[#This Row],[Current On-hand]]-AtlasReport_3_Table_1[[#This Row],[Trans backwords (Ending)]]</f>
        <v>361</v>
      </c>
    </row>
    <row r="481" spans="1:8" x14ac:dyDescent="0.25">
      <c r="A481" s="8" t="s">
        <v>418</v>
      </c>
      <c r="B481" s="8" t="s">
        <v>261</v>
      </c>
      <c r="C481" s="8" t="s">
        <v>81</v>
      </c>
      <c r="D481" s="10">
        <v>0</v>
      </c>
      <c r="E481" s="10">
        <f>_xll.AtlasFormulas.AtlasFunctions.AtlasBalance("PROD",DataAreaId,"T.InventTrans|inventDimId~inventDimId@T.InventDim","Sum|Qty|0","","","","","","","DateFinancial|ItemId|T2.InventSiteId|T2.InventLocationId",PeriodBeginning,$A481,$B481,$C481)</f>
        <v>0</v>
      </c>
      <c r="F481" s="10">
        <f>_xll.AtlasFormulas.AtlasFunctions.AtlasBalance("PROD",DataAreaId,"T.InventTrans|inventDimId~inventDimId@T.InventDim","Sum|Qty|0","","","","","","","DateFinancial|ItemId|T2.InventSiteId|T2.InventLocationId",PeriodEnding,$A481,$B481,$C481)</f>
        <v>0</v>
      </c>
      <c r="G481" s="10">
        <f>AtlasReport_3_Table_1[[#This Row],[Current On-hand]]-AtlasReport_3_Table_1[[#This Row],[Trans backwords (Beginning)]]</f>
        <v>0</v>
      </c>
      <c r="H481" s="10">
        <f>AtlasReport_3_Table_1[[#This Row],[Current On-hand]]-AtlasReport_3_Table_1[[#This Row],[Trans backwords (Ending)]]</f>
        <v>0</v>
      </c>
    </row>
    <row r="482" spans="1:8" x14ac:dyDescent="0.25">
      <c r="A482" s="8" t="s">
        <v>418</v>
      </c>
      <c r="B482" s="8" t="s">
        <v>261</v>
      </c>
      <c r="C482" s="8" t="s">
        <v>264</v>
      </c>
      <c r="D482" s="10">
        <v>77</v>
      </c>
      <c r="E482" s="10">
        <f>_xll.AtlasFormulas.AtlasFunctions.AtlasBalance("PROD",DataAreaId,"T.InventTrans|inventDimId~inventDimId@T.InventDim","Sum|Qty|0","","","","","","","DateFinancial|ItemId|T2.InventSiteId|T2.InventLocationId",PeriodBeginning,$A482,$B482,$C482)</f>
        <v>1</v>
      </c>
      <c r="F482" s="10">
        <f>_xll.AtlasFormulas.AtlasFunctions.AtlasBalance("PROD",DataAreaId,"T.InventTrans|inventDimId~inventDimId@T.InventDim","Sum|Qty|0","","","","","","","DateFinancial|ItemId|T2.InventSiteId|T2.InventLocationId",PeriodEnding,$A482,$B482,$C482)</f>
        <v>0</v>
      </c>
      <c r="G482" s="10">
        <f>AtlasReport_3_Table_1[[#This Row],[Current On-hand]]-AtlasReport_3_Table_1[[#This Row],[Trans backwords (Beginning)]]</f>
        <v>76</v>
      </c>
      <c r="H482" s="10">
        <f>AtlasReport_3_Table_1[[#This Row],[Current On-hand]]-AtlasReport_3_Table_1[[#This Row],[Trans backwords (Ending)]]</f>
        <v>77</v>
      </c>
    </row>
    <row r="483" spans="1:8" x14ac:dyDescent="0.25">
      <c r="A483" s="8" t="s">
        <v>64</v>
      </c>
      <c r="B483" s="8" t="s">
        <v>261</v>
      </c>
      <c r="C483" s="8" t="s">
        <v>81</v>
      </c>
      <c r="D483" s="10">
        <v>0</v>
      </c>
      <c r="E483" s="10">
        <f>_xll.AtlasFormulas.AtlasFunctions.AtlasBalance("PROD",DataAreaId,"T.InventTrans|inventDimId~inventDimId@T.InventDim","Sum|Qty|0","","","","","","","DateFinancial|ItemId|T2.InventSiteId|T2.InventLocationId",PeriodBeginning,$A483,$B483,$C483)</f>
        <v>0</v>
      </c>
      <c r="F483" s="10">
        <f>_xll.AtlasFormulas.AtlasFunctions.AtlasBalance("PROD",DataAreaId,"T.InventTrans|inventDimId~inventDimId@T.InventDim","Sum|Qty|0","","","","","","","DateFinancial|ItemId|T2.InventSiteId|T2.InventLocationId",PeriodEnding,$A483,$B483,$C483)</f>
        <v>0</v>
      </c>
      <c r="G483" s="10">
        <f>AtlasReport_3_Table_1[[#This Row],[Current On-hand]]-AtlasReport_3_Table_1[[#This Row],[Trans backwords (Beginning)]]</f>
        <v>0</v>
      </c>
      <c r="H483" s="10">
        <f>AtlasReport_3_Table_1[[#This Row],[Current On-hand]]-AtlasReport_3_Table_1[[#This Row],[Trans backwords (Ending)]]</f>
        <v>0</v>
      </c>
    </row>
    <row r="484" spans="1:8" x14ac:dyDescent="0.25">
      <c r="A484" s="8" t="s">
        <v>64</v>
      </c>
      <c r="B484" s="8" t="s">
        <v>261</v>
      </c>
      <c r="C484" s="8" t="s">
        <v>262</v>
      </c>
      <c r="D484" s="10">
        <v>0</v>
      </c>
      <c r="E484" s="10">
        <f>_xll.AtlasFormulas.AtlasFunctions.AtlasBalance("PROD",DataAreaId,"T.InventTrans|inventDimId~inventDimId@T.InventDim","Sum|Qty|0","","","","","","","DateFinancial|ItemId|T2.InventSiteId|T2.InventLocationId",PeriodBeginning,$A484,$B484,$C484)</f>
        <v>0</v>
      </c>
      <c r="F484" s="10">
        <f>_xll.AtlasFormulas.AtlasFunctions.AtlasBalance("PROD",DataAreaId,"T.InventTrans|inventDimId~inventDimId@T.InventDim","Sum|Qty|0","","","","","","","DateFinancial|ItemId|T2.InventSiteId|T2.InventLocationId",PeriodEnding,$A484,$B484,$C484)</f>
        <v>0</v>
      </c>
      <c r="G484" s="10">
        <f>AtlasReport_3_Table_1[[#This Row],[Current On-hand]]-AtlasReport_3_Table_1[[#This Row],[Trans backwords (Beginning)]]</f>
        <v>0</v>
      </c>
      <c r="H484" s="10">
        <f>AtlasReport_3_Table_1[[#This Row],[Current On-hand]]-AtlasReport_3_Table_1[[#This Row],[Trans backwords (Ending)]]</f>
        <v>0</v>
      </c>
    </row>
    <row r="485" spans="1:8" x14ac:dyDescent="0.25">
      <c r="A485" s="8" t="s">
        <v>64</v>
      </c>
      <c r="B485" s="8" t="s">
        <v>261</v>
      </c>
      <c r="C485" s="8" t="s">
        <v>264</v>
      </c>
      <c r="D485" s="10">
        <v>0</v>
      </c>
      <c r="E485" s="10">
        <f>_xll.AtlasFormulas.AtlasFunctions.AtlasBalance("PROD",DataAreaId,"T.InventTrans|inventDimId~inventDimId@T.InventDim","Sum|Qty|0","","","","","","","DateFinancial|ItemId|T2.InventSiteId|T2.InventLocationId",PeriodBeginning,$A485,$B485,$C485)</f>
        <v>0</v>
      </c>
      <c r="F485" s="10">
        <f>_xll.AtlasFormulas.AtlasFunctions.AtlasBalance("PROD",DataAreaId,"T.InventTrans|inventDimId~inventDimId@T.InventDim","Sum|Qty|0","","","","","","","DateFinancial|ItemId|T2.InventSiteId|T2.InventLocationId",PeriodEnding,$A485,$B485,$C485)</f>
        <v>0</v>
      </c>
      <c r="G485" s="10">
        <f>AtlasReport_3_Table_1[[#This Row],[Current On-hand]]-AtlasReport_3_Table_1[[#This Row],[Trans backwords (Beginning)]]</f>
        <v>0</v>
      </c>
      <c r="H485" s="10">
        <f>AtlasReport_3_Table_1[[#This Row],[Current On-hand]]-AtlasReport_3_Table_1[[#This Row],[Trans backwords (Ending)]]</f>
        <v>0</v>
      </c>
    </row>
    <row r="486" spans="1:8" x14ac:dyDescent="0.25">
      <c r="A486" s="8" t="s">
        <v>146</v>
      </c>
      <c r="B486" s="8" t="s">
        <v>261</v>
      </c>
      <c r="C486" s="8" t="s">
        <v>81</v>
      </c>
      <c r="D486" s="10">
        <v>0</v>
      </c>
      <c r="E486" s="10">
        <f>_xll.AtlasFormulas.AtlasFunctions.AtlasBalance("PROD",DataAreaId,"T.InventTrans|inventDimId~inventDimId@T.InventDim","Sum|Qty|0","","","","","","","DateFinancial|ItemId|T2.InventSiteId|T2.InventLocationId",PeriodBeginning,$A486,$B486,$C486)</f>
        <v>0</v>
      </c>
      <c r="F486" s="10">
        <f>_xll.AtlasFormulas.AtlasFunctions.AtlasBalance("PROD",DataAreaId,"T.InventTrans|inventDimId~inventDimId@T.InventDim","Sum|Qty|0","","","","","","","DateFinancial|ItemId|T2.InventSiteId|T2.InventLocationId",PeriodEnding,$A486,$B486,$C486)</f>
        <v>0</v>
      </c>
      <c r="G486" s="10">
        <f>AtlasReport_3_Table_1[[#This Row],[Current On-hand]]-AtlasReport_3_Table_1[[#This Row],[Trans backwords (Beginning)]]</f>
        <v>0</v>
      </c>
      <c r="H486" s="10">
        <f>AtlasReport_3_Table_1[[#This Row],[Current On-hand]]-AtlasReport_3_Table_1[[#This Row],[Trans backwords (Ending)]]</f>
        <v>0</v>
      </c>
    </row>
    <row r="487" spans="1:8" x14ac:dyDescent="0.25">
      <c r="A487" s="8" t="s">
        <v>146</v>
      </c>
      <c r="B487" s="8" t="s">
        <v>261</v>
      </c>
      <c r="C487" s="8" t="s">
        <v>264</v>
      </c>
      <c r="D487" s="10">
        <v>0</v>
      </c>
      <c r="E487" s="10">
        <f>_xll.AtlasFormulas.AtlasFunctions.AtlasBalance("PROD",DataAreaId,"T.InventTrans|inventDimId~inventDimId@T.InventDim","Sum|Qty|0","","","","","","","DateFinancial|ItemId|T2.InventSiteId|T2.InventLocationId",PeriodBeginning,$A487,$B487,$C487)</f>
        <v>-1</v>
      </c>
      <c r="F487" s="10">
        <f>_xll.AtlasFormulas.AtlasFunctions.AtlasBalance("PROD",DataAreaId,"T.InventTrans|inventDimId~inventDimId@T.InventDim","Sum|Qty|0","","","","","","","DateFinancial|ItemId|T2.InventSiteId|T2.InventLocationId",PeriodEnding,$A487,$B487,$C487)</f>
        <v>0</v>
      </c>
      <c r="G487" s="10">
        <f>AtlasReport_3_Table_1[[#This Row],[Current On-hand]]-AtlasReport_3_Table_1[[#This Row],[Trans backwords (Beginning)]]</f>
        <v>1</v>
      </c>
      <c r="H487" s="10">
        <f>AtlasReport_3_Table_1[[#This Row],[Current On-hand]]-AtlasReport_3_Table_1[[#This Row],[Trans backwords (Ending)]]</f>
        <v>0</v>
      </c>
    </row>
    <row r="488" spans="1:8" x14ac:dyDescent="0.25">
      <c r="A488" s="8" t="s">
        <v>128</v>
      </c>
      <c r="B488" s="8" t="s">
        <v>261</v>
      </c>
      <c r="C488" s="8" t="s">
        <v>81</v>
      </c>
      <c r="D488" s="10">
        <v>0</v>
      </c>
      <c r="E488" s="10">
        <f>_xll.AtlasFormulas.AtlasFunctions.AtlasBalance("PROD",DataAreaId,"T.InventTrans|inventDimId~inventDimId@T.InventDim","Sum|Qty|0","","","","","","","DateFinancial|ItemId|T2.InventSiteId|T2.InventLocationId",PeriodBeginning,$A488,$B488,$C488)</f>
        <v>0</v>
      </c>
      <c r="F488" s="10">
        <f>_xll.AtlasFormulas.AtlasFunctions.AtlasBalance("PROD",DataAreaId,"T.InventTrans|inventDimId~inventDimId@T.InventDim","Sum|Qty|0","","","","","","","DateFinancial|ItemId|T2.InventSiteId|T2.InventLocationId",PeriodEnding,$A488,$B488,$C488)</f>
        <v>0</v>
      </c>
      <c r="G488" s="10">
        <f>AtlasReport_3_Table_1[[#This Row],[Current On-hand]]-AtlasReport_3_Table_1[[#This Row],[Trans backwords (Beginning)]]</f>
        <v>0</v>
      </c>
      <c r="H488" s="10">
        <f>AtlasReport_3_Table_1[[#This Row],[Current On-hand]]-AtlasReport_3_Table_1[[#This Row],[Trans backwords (Ending)]]</f>
        <v>0</v>
      </c>
    </row>
    <row r="489" spans="1:8" x14ac:dyDescent="0.25">
      <c r="A489" s="8" t="s">
        <v>128</v>
      </c>
      <c r="B489" s="8" t="s">
        <v>261</v>
      </c>
      <c r="C489" s="8" t="s">
        <v>262</v>
      </c>
      <c r="D489" s="10">
        <v>0</v>
      </c>
      <c r="E489" s="10">
        <f>_xll.AtlasFormulas.AtlasFunctions.AtlasBalance("PROD",DataAreaId,"T.InventTrans|inventDimId~inventDimId@T.InventDim","Sum|Qty|0","","","","","","","DateFinancial|ItemId|T2.InventSiteId|T2.InventLocationId",PeriodBeginning,$A489,$B489,$C489)</f>
        <v>0</v>
      </c>
      <c r="F489" s="10">
        <f>_xll.AtlasFormulas.AtlasFunctions.AtlasBalance("PROD",DataAreaId,"T.InventTrans|inventDimId~inventDimId@T.InventDim","Sum|Qty|0","","","","","","","DateFinancial|ItemId|T2.InventSiteId|T2.InventLocationId",PeriodEnding,$A489,$B489,$C489)</f>
        <v>0</v>
      </c>
      <c r="G489" s="10">
        <f>AtlasReport_3_Table_1[[#This Row],[Current On-hand]]-AtlasReport_3_Table_1[[#This Row],[Trans backwords (Beginning)]]</f>
        <v>0</v>
      </c>
      <c r="H489" s="10">
        <f>AtlasReport_3_Table_1[[#This Row],[Current On-hand]]-AtlasReport_3_Table_1[[#This Row],[Trans backwords (Ending)]]</f>
        <v>0</v>
      </c>
    </row>
    <row r="490" spans="1:8" x14ac:dyDescent="0.25">
      <c r="A490" s="8" t="s">
        <v>128</v>
      </c>
      <c r="B490" s="8" t="s">
        <v>261</v>
      </c>
      <c r="C490" s="8" t="s">
        <v>264</v>
      </c>
      <c r="D490" s="10">
        <v>0</v>
      </c>
      <c r="E490" s="10">
        <f>_xll.AtlasFormulas.AtlasFunctions.AtlasBalance("PROD",DataAreaId,"T.InventTrans|inventDimId~inventDimId@T.InventDim","Sum|Qty|0","","","","","","","DateFinancial|ItemId|T2.InventSiteId|T2.InventLocationId",PeriodBeginning,$A490,$B490,$C490)</f>
        <v>0</v>
      </c>
      <c r="F490" s="10">
        <f>_xll.AtlasFormulas.AtlasFunctions.AtlasBalance("PROD",DataAreaId,"T.InventTrans|inventDimId~inventDimId@T.InventDim","Sum|Qty|0","","","","","","","DateFinancial|ItemId|T2.InventSiteId|T2.InventLocationId",PeriodEnding,$A490,$B490,$C490)</f>
        <v>0</v>
      </c>
      <c r="G490" s="10">
        <f>AtlasReport_3_Table_1[[#This Row],[Current On-hand]]-AtlasReport_3_Table_1[[#This Row],[Trans backwords (Beginning)]]</f>
        <v>0</v>
      </c>
      <c r="H490" s="10">
        <f>AtlasReport_3_Table_1[[#This Row],[Current On-hand]]-AtlasReport_3_Table_1[[#This Row],[Trans backwords (Ending)]]</f>
        <v>0</v>
      </c>
    </row>
    <row r="491" spans="1:8" x14ac:dyDescent="0.25">
      <c r="A491" s="8" t="s">
        <v>147</v>
      </c>
      <c r="B491" s="8" t="s">
        <v>261</v>
      </c>
      <c r="C491" s="8" t="s">
        <v>81</v>
      </c>
      <c r="D491" s="10">
        <v>0</v>
      </c>
      <c r="E491" s="10">
        <f>_xll.AtlasFormulas.AtlasFunctions.AtlasBalance("PROD",DataAreaId,"T.InventTrans|inventDimId~inventDimId@T.InventDim","Sum|Qty|0","","","","","","","DateFinancial|ItemId|T2.InventSiteId|T2.InventLocationId",PeriodBeginning,$A491,$B491,$C491)</f>
        <v>0</v>
      </c>
      <c r="F491" s="10">
        <f>_xll.AtlasFormulas.AtlasFunctions.AtlasBalance("PROD",DataAreaId,"T.InventTrans|inventDimId~inventDimId@T.InventDim","Sum|Qty|0","","","","","","","DateFinancial|ItemId|T2.InventSiteId|T2.InventLocationId",PeriodEnding,$A491,$B491,$C491)</f>
        <v>0</v>
      </c>
      <c r="G491" s="10">
        <f>AtlasReport_3_Table_1[[#This Row],[Current On-hand]]-AtlasReport_3_Table_1[[#This Row],[Trans backwords (Beginning)]]</f>
        <v>0</v>
      </c>
      <c r="H491" s="10">
        <f>AtlasReport_3_Table_1[[#This Row],[Current On-hand]]-AtlasReport_3_Table_1[[#This Row],[Trans backwords (Ending)]]</f>
        <v>0</v>
      </c>
    </row>
    <row r="492" spans="1:8" x14ac:dyDescent="0.25">
      <c r="A492" s="8" t="s">
        <v>147</v>
      </c>
      <c r="B492" s="8" t="s">
        <v>261</v>
      </c>
      <c r="C492" s="8" t="s">
        <v>264</v>
      </c>
      <c r="D492" s="10">
        <v>0</v>
      </c>
      <c r="E492" s="10">
        <f>_xll.AtlasFormulas.AtlasFunctions.AtlasBalance("PROD",DataAreaId,"T.InventTrans|inventDimId~inventDimId@T.InventDim","Sum|Qty|0","","","","","","","DateFinancial|ItemId|T2.InventSiteId|T2.InventLocationId",PeriodBeginning,$A492,$B492,$C492)</f>
        <v>0</v>
      </c>
      <c r="F492" s="10">
        <f>_xll.AtlasFormulas.AtlasFunctions.AtlasBalance("PROD",DataAreaId,"T.InventTrans|inventDimId~inventDimId@T.InventDim","Sum|Qty|0","","","","","","","DateFinancial|ItemId|T2.InventSiteId|T2.InventLocationId",PeriodEnding,$A492,$B492,$C492)</f>
        <v>0</v>
      </c>
      <c r="G492" s="10">
        <f>AtlasReport_3_Table_1[[#This Row],[Current On-hand]]-AtlasReport_3_Table_1[[#This Row],[Trans backwords (Beginning)]]</f>
        <v>0</v>
      </c>
      <c r="H492" s="10">
        <f>AtlasReport_3_Table_1[[#This Row],[Current On-hand]]-AtlasReport_3_Table_1[[#This Row],[Trans backwords (Ending)]]</f>
        <v>0</v>
      </c>
    </row>
    <row r="493" spans="1:8" x14ac:dyDescent="0.25">
      <c r="A493" s="8" t="s">
        <v>80</v>
      </c>
      <c r="B493" s="8" t="s">
        <v>261</v>
      </c>
      <c r="C493" s="8" t="s">
        <v>81</v>
      </c>
      <c r="D493" s="10">
        <v>0</v>
      </c>
      <c r="E493" s="10">
        <f>_xll.AtlasFormulas.AtlasFunctions.AtlasBalance("PROD",DataAreaId,"T.InventTrans|inventDimId~inventDimId@T.InventDim","Sum|Qty|0","","","","","","","DateFinancial|ItemId|T2.InventSiteId|T2.InventLocationId",PeriodBeginning,$A493,$B493,$C493)</f>
        <v>0</v>
      </c>
      <c r="F493" s="10">
        <f>_xll.AtlasFormulas.AtlasFunctions.AtlasBalance("PROD",DataAreaId,"T.InventTrans|inventDimId~inventDimId@T.InventDim","Sum|Qty|0","","","","","","","DateFinancial|ItemId|T2.InventSiteId|T2.InventLocationId",PeriodEnding,$A493,$B493,$C493)</f>
        <v>0</v>
      </c>
      <c r="G493" s="10">
        <f>AtlasReport_3_Table_1[[#This Row],[Current On-hand]]-AtlasReport_3_Table_1[[#This Row],[Trans backwords (Beginning)]]</f>
        <v>0</v>
      </c>
      <c r="H493" s="10">
        <f>AtlasReport_3_Table_1[[#This Row],[Current On-hand]]-AtlasReport_3_Table_1[[#This Row],[Trans backwords (Ending)]]</f>
        <v>0</v>
      </c>
    </row>
    <row r="494" spans="1:8" x14ac:dyDescent="0.25">
      <c r="A494" s="8" t="s">
        <v>80</v>
      </c>
      <c r="B494" s="8" t="s">
        <v>261</v>
      </c>
      <c r="C494" s="8" t="s">
        <v>262</v>
      </c>
      <c r="D494" s="10">
        <v>0</v>
      </c>
      <c r="E494" s="10">
        <f>_xll.AtlasFormulas.AtlasFunctions.AtlasBalance("PROD",DataAreaId,"T.InventTrans|inventDimId~inventDimId@T.InventDim","Sum|Qty|0","","","","","","","DateFinancial|ItemId|T2.InventSiteId|T2.InventLocationId",PeriodBeginning,$A494,$B494,$C494)</f>
        <v>0</v>
      </c>
      <c r="F494" s="10">
        <f>_xll.AtlasFormulas.AtlasFunctions.AtlasBalance("PROD",DataAreaId,"T.InventTrans|inventDimId~inventDimId@T.InventDim","Sum|Qty|0","","","","","","","DateFinancial|ItemId|T2.InventSiteId|T2.InventLocationId",PeriodEnding,$A494,$B494,$C494)</f>
        <v>0</v>
      </c>
      <c r="G494" s="10">
        <f>AtlasReport_3_Table_1[[#This Row],[Current On-hand]]-AtlasReport_3_Table_1[[#This Row],[Trans backwords (Beginning)]]</f>
        <v>0</v>
      </c>
      <c r="H494" s="10">
        <f>AtlasReport_3_Table_1[[#This Row],[Current On-hand]]-AtlasReport_3_Table_1[[#This Row],[Trans backwords (Ending)]]</f>
        <v>0</v>
      </c>
    </row>
    <row r="495" spans="1:8" x14ac:dyDescent="0.25">
      <c r="A495" s="8" t="s">
        <v>80</v>
      </c>
      <c r="B495" s="8" t="s">
        <v>261</v>
      </c>
      <c r="C495" s="8" t="s">
        <v>264</v>
      </c>
      <c r="D495" s="10">
        <v>0</v>
      </c>
      <c r="E495" s="10">
        <f>_xll.AtlasFormulas.AtlasFunctions.AtlasBalance("PROD",DataAreaId,"T.InventTrans|inventDimId~inventDimId@T.InventDim","Sum|Qty|0","","","","","","","DateFinancial|ItemId|T2.InventSiteId|T2.InventLocationId",PeriodBeginning,$A495,$B495,$C495)</f>
        <v>0</v>
      </c>
      <c r="F495" s="10">
        <f>_xll.AtlasFormulas.AtlasFunctions.AtlasBalance("PROD",DataAreaId,"T.InventTrans|inventDimId~inventDimId@T.InventDim","Sum|Qty|0","","","","","","","DateFinancial|ItemId|T2.InventSiteId|T2.InventLocationId",PeriodEnding,$A495,$B495,$C495)</f>
        <v>0</v>
      </c>
      <c r="G495" s="10">
        <f>AtlasReport_3_Table_1[[#This Row],[Current On-hand]]-AtlasReport_3_Table_1[[#This Row],[Trans backwords (Beginning)]]</f>
        <v>0</v>
      </c>
      <c r="H495" s="10">
        <f>AtlasReport_3_Table_1[[#This Row],[Current On-hand]]-AtlasReport_3_Table_1[[#This Row],[Trans backwords (Ending)]]</f>
        <v>0</v>
      </c>
    </row>
    <row r="496" spans="1:8" x14ac:dyDescent="0.25">
      <c r="A496" s="8" t="s">
        <v>148</v>
      </c>
      <c r="B496" s="8" t="s">
        <v>261</v>
      </c>
      <c r="C496" s="8" t="s">
        <v>81</v>
      </c>
      <c r="D496" s="10">
        <v>0</v>
      </c>
      <c r="E496" s="10">
        <f>_xll.AtlasFormulas.AtlasFunctions.AtlasBalance("PROD",DataAreaId,"T.InventTrans|inventDimId~inventDimId@T.InventDim","Sum|Qty|0","","","","","","","DateFinancial|ItemId|T2.InventSiteId|T2.InventLocationId",PeriodBeginning,$A496,$B496,$C496)</f>
        <v>0</v>
      </c>
      <c r="F496" s="10">
        <f>_xll.AtlasFormulas.AtlasFunctions.AtlasBalance("PROD",DataAreaId,"T.InventTrans|inventDimId~inventDimId@T.InventDim","Sum|Qty|0","","","","","","","DateFinancial|ItemId|T2.InventSiteId|T2.InventLocationId",PeriodEnding,$A496,$B496,$C496)</f>
        <v>0</v>
      </c>
      <c r="G496" s="10">
        <f>AtlasReport_3_Table_1[[#This Row],[Current On-hand]]-AtlasReport_3_Table_1[[#This Row],[Trans backwords (Beginning)]]</f>
        <v>0</v>
      </c>
      <c r="H496" s="10">
        <f>AtlasReport_3_Table_1[[#This Row],[Current On-hand]]-AtlasReport_3_Table_1[[#This Row],[Trans backwords (Ending)]]</f>
        <v>0</v>
      </c>
    </row>
    <row r="497" spans="1:8" x14ac:dyDescent="0.25">
      <c r="A497" s="8" t="s">
        <v>148</v>
      </c>
      <c r="B497" s="8" t="s">
        <v>261</v>
      </c>
      <c r="C497" s="8" t="s">
        <v>262</v>
      </c>
      <c r="D497" s="10">
        <v>0</v>
      </c>
      <c r="E497" s="10">
        <f>_xll.AtlasFormulas.AtlasFunctions.AtlasBalance("PROD",DataAreaId,"T.InventTrans|inventDimId~inventDimId@T.InventDim","Sum|Qty|0","","","","","","","DateFinancial|ItemId|T2.InventSiteId|T2.InventLocationId",PeriodBeginning,$A497,$B497,$C497)</f>
        <v>0</v>
      </c>
      <c r="F497" s="10">
        <f>_xll.AtlasFormulas.AtlasFunctions.AtlasBalance("PROD",DataAreaId,"T.InventTrans|inventDimId~inventDimId@T.InventDim","Sum|Qty|0","","","","","","","DateFinancial|ItemId|T2.InventSiteId|T2.InventLocationId",PeriodEnding,$A497,$B497,$C497)</f>
        <v>0</v>
      </c>
      <c r="G497" s="10">
        <f>AtlasReport_3_Table_1[[#This Row],[Current On-hand]]-AtlasReport_3_Table_1[[#This Row],[Trans backwords (Beginning)]]</f>
        <v>0</v>
      </c>
      <c r="H497" s="10">
        <f>AtlasReport_3_Table_1[[#This Row],[Current On-hand]]-AtlasReport_3_Table_1[[#This Row],[Trans backwords (Ending)]]</f>
        <v>0</v>
      </c>
    </row>
    <row r="498" spans="1:8" x14ac:dyDescent="0.25">
      <c r="A498" s="8" t="s">
        <v>148</v>
      </c>
      <c r="B498" s="8" t="s">
        <v>261</v>
      </c>
      <c r="C498" s="8" t="s">
        <v>264</v>
      </c>
      <c r="D498" s="10">
        <v>0</v>
      </c>
      <c r="E498" s="10">
        <f>_xll.AtlasFormulas.AtlasFunctions.AtlasBalance("PROD",DataAreaId,"T.InventTrans|inventDimId~inventDimId@T.InventDim","Sum|Qty|0","","","","","","","DateFinancial|ItemId|T2.InventSiteId|T2.InventLocationId",PeriodBeginning,$A498,$B498,$C498)</f>
        <v>0</v>
      </c>
      <c r="F498" s="10">
        <f>_xll.AtlasFormulas.AtlasFunctions.AtlasBalance("PROD",DataAreaId,"T.InventTrans|inventDimId~inventDimId@T.InventDim","Sum|Qty|0","","","","","","","DateFinancial|ItemId|T2.InventSiteId|T2.InventLocationId",PeriodEnding,$A498,$B498,$C498)</f>
        <v>0</v>
      </c>
      <c r="G498" s="10">
        <f>AtlasReport_3_Table_1[[#This Row],[Current On-hand]]-AtlasReport_3_Table_1[[#This Row],[Trans backwords (Beginning)]]</f>
        <v>0</v>
      </c>
      <c r="H498" s="10">
        <f>AtlasReport_3_Table_1[[#This Row],[Current On-hand]]-AtlasReport_3_Table_1[[#This Row],[Trans backwords (Ending)]]</f>
        <v>0</v>
      </c>
    </row>
    <row r="499" spans="1:8" x14ac:dyDescent="0.25">
      <c r="A499" s="8" t="s">
        <v>419</v>
      </c>
      <c r="B499" s="8" t="s">
        <v>261</v>
      </c>
      <c r="C499" s="8" t="s">
        <v>81</v>
      </c>
      <c r="D499" s="10">
        <v>0</v>
      </c>
      <c r="E499" s="10">
        <f>_xll.AtlasFormulas.AtlasFunctions.AtlasBalance("PROD",DataAreaId,"T.InventTrans|inventDimId~inventDimId@T.InventDim","Sum|Qty|0","","","","","","","DateFinancial|ItemId|T2.InventSiteId|T2.InventLocationId",PeriodBeginning,$A499,$B499,$C499)</f>
        <v>0</v>
      </c>
      <c r="F499" s="10">
        <f>_xll.AtlasFormulas.AtlasFunctions.AtlasBalance("PROD",DataAreaId,"T.InventTrans|inventDimId~inventDimId@T.InventDim","Sum|Qty|0","","","","","","","DateFinancial|ItemId|T2.InventSiteId|T2.InventLocationId",PeriodEnding,$A499,$B499,$C499)</f>
        <v>0</v>
      </c>
      <c r="G499" s="10">
        <f>AtlasReport_3_Table_1[[#This Row],[Current On-hand]]-AtlasReport_3_Table_1[[#This Row],[Trans backwords (Beginning)]]</f>
        <v>0</v>
      </c>
      <c r="H499" s="10">
        <f>AtlasReport_3_Table_1[[#This Row],[Current On-hand]]-AtlasReport_3_Table_1[[#This Row],[Trans backwords (Ending)]]</f>
        <v>0</v>
      </c>
    </row>
    <row r="500" spans="1:8" x14ac:dyDescent="0.25">
      <c r="A500" s="8" t="s">
        <v>419</v>
      </c>
      <c r="B500" s="8" t="s">
        <v>261</v>
      </c>
      <c r="C500" s="8" t="s">
        <v>264</v>
      </c>
      <c r="D500" s="10">
        <v>0</v>
      </c>
      <c r="E500" s="10">
        <f>_xll.AtlasFormulas.AtlasFunctions.AtlasBalance("PROD",DataAreaId,"T.InventTrans|inventDimId~inventDimId@T.InventDim","Sum|Qty|0","","","","","","","DateFinancial|ItemId|T2.InventSiteId|T2.InventLocationId",PeriodBeginning,$A500,$B500,$C500)</f>
        <v>0</v>
      </c>
      <c r="F500" s="10">
        <f>_xll.AtlasFormulas.AtlasFunctions.AtlasBalance("PROD",DataAreaId,"T.InventTrans|inventDimId~inventDimId@T.InventDim","Sum|Qty|0","","","","","","","DateFinancial|ItemId|T2.InventSiteId|T2.InventLocationId",PeriodEnding,$A500,$B500,$C500)</f>
        <v>0</v>
      </c>
      <c r="G500" s="10">
        <f>AtlasReport_3_Table_1[[#This Row],[Current On-hand]]-AtlasReport_3_Table_1[[#This Row],[Trans backwords (Beginning)]]</f>
        <v>0</v>
      </c>
      <c r="H500" s="10">
        <f>AtlasReport_3_Table_1[[#This Row],[Current On-hand]]-AtlasReport_3_Table_1[[#This Row],[Trans backwords (Ending)]]</f>
        <v>0</v>
      </c>
    </row>
    <row r="501" spans="1:8" x14ac:dyDescent="0.25">
      <c r="A501" s="8" t="s">
        <v>420</v>
      </c>
      <c r="B501" s="8" t="s">
        <v>261</v>
      </c>
      <c r="C501" s="8" t="s">
        <v>81</v>
      </c>
      <c r="D501" s="10">
        <v>0</v>
      </c>
      <c r="E501" s="10">
        <f>_xll.AtlasFormulas.AtlasFunctions.AtlasBalance("PROD",DataAreaId,"T.InventTrans|inventDimId~inventDimId@T.InventDim","Sum|Qty|0","","","","","","","DateFinancial|ItemId|T2.InventSiteId|T2.InventLocationId",PeriodBeginning,$A501,$B501,$C501)</f>
        <v>0</v>
      </c>
      <c r="F501" s="10">
        <f>_xll.AtlasFormulas.AtlasFunctions.AtlasBalance("PROD",DataAreaId,"T.InventTrans|inventDimId~inventDimId@T.InventDim","Sum|Qty|0","","","","","","","DateFinancial|ItemId|T2.InventSiteId|T2.InventLocationId",PeriodEnding,$A501,$B501,$C501)</f>
        <v>0</v>
      </c>
      <c r="G501" s="10">
        <f>AtlasReport_3_Table_1[[#This Row],[Current On-hand]]-AtlasReport_3_Table_1[[#This Row],[Trans backwords (Beginning)]]</f>
        <v>0</v>
      </c>
      <c r="H501" s="10">
        <f>AtlasReport_3_Table_1[[#This Row],[Current On-hand]]-AtlasReport_3_Table_1[[#This Row],[Trans backwords (Ending)]]</f>
        <v>0</v>
      </c>
    </row>
    <row r="502" spans="1:8" x14ac:dyDescent="0.25">
      <c r="A502" s="8" t="s">
        <v>420</v>
      </c>
      <c r="B502" s="8" t="s">
        <v>261</v>
      </c>
      <c r="C502" s="8" t="s">
        <v>264</v>
      </c>
      <c r="D502" s="10">
        <v>0</v>
      </c>
      <c r="E502" s="10">
        <f>_xll.AtlasFormulas.AtlasFunctions.AtlasBalance("PROD",DataAreaId,"T.InventTrans|inventDimId~inventDimId@T.InventDim","Sum|Qty|0","","","","","","","DateFinancial|ItemId|T2.InventSiteId|T2.InventLocationId",PeriodBeginning,$A502,$B502,$C502)</f>
        <v>0</v>
      </c>
      <c r="F502" s="10">
        <f>_xll.AtlasFormulas.AtlasFunctions.AtlasBalance("PROD",DataAreaId,"T.InventTrans|inventDimId~inventDimId@T.InventDim","Sum|Qty|0","","","","","","","DateFinancial|ItemId|T2.InventSiteId|T2.InventLocationId",PeriodEnding,$A502,$B502,$C502)</f>
        <v>0</v>
      </c>
      <c r="G502" s="10">
        <f>AtlasReport_3_Table_1[[#This Row],[Current On-hand]]-AtlasReport_3_Table_1[[#This Row],[Trans backwords (Beginning)]]</f>
        <v>0</v>
      </c>
      <c r="H502" s="10">
        <f>AtlasReport_3_Table_1[[#This Row],[Current On-hand]]-AtlasReport_3_Table_1[[#This Row],[Trans backwords (Ending)]]</f>
        <v>0</v>
      </c>
    </row>
    <row r="503" spans="1:8" x14ac:dyDescent="0.25">
      <c r="A503" s="8" t="s">
        <v>421</v>
      </c>
      <c r="B503" s="8" t="s">
        <v>261</v>
      </c>
      <c r="C503" s="8" t="s">
        <v>81</v>
      </c>
      <c r="D503" s="10">
        <v>0</v>
      </c>
      <c r="E503" s="10">
        <f>_xll.AtlasFormulas.AtlasFunctions.AtlasBalance("PROD",DataAreaId,"T.InventTrans|inventDimId~inventDimId@T.InventDim","Sum|Qty|0","","","","","","","DateFinancial|ItemId|T2.InventSiteId|T2.InventLocationId",PeriodBeginning,$A503,$B503,$C503)</f>
        <v>0</v>
      </c>
      <c r="F503" s="10">
        <f>_xll.AtlasFormulas.AtlasFunctions.AtlasBalance("PROD",DataAreaId,"T.InventTrans|inventDimId~inventDimId@T.InventDim","Sum|Qty|0","","","","","","","DateFinancial|ItemId|T2.InventSiteId|T2.InventLocationId",PeriodEnding,$A503,$B503,$C503)</f>
        <v>0</v>
      </c>
      <c r="G503" s="10">
        <f>AtlasReport_3_Table_1[[#This Row],[Current On-hand]]-AtlasReport_3_Table_1[[#This Row],[Trans backwords (Beginning)]]</f>
        <v>0</v>
      </c>
      <c r="H503" s="10">
        <f>AtlasReport_3_Table_1[[#This Row],[Current On-hand]]-AtlasReport_3_Table_1[[#This Row],[Trans backwords (Ending)]]</f>
        <v>0</v>
      </c>
    </row>
    <row r="504" spans="1:8" x14ac:dyDescent="0.25">
      <c r="A504" s="8" t="s">
        <v>421</v>
      </c>
      <c r="B504" s="8" t="s">
        <v>261</v>
      </c>
      <c r="C504" s="8" t="s">
        <v>264</v>
      </c>
      <c r="D504" s="10">
        <v>81</v>
      </c>
      <c r="E504" s="10">
        <f>_xll.AtlasFormulas.AtlasFunctions.AtlasBalance("PROD",DataAreaId,"T.InventTrans|inventDimId~inventDimId@T.InventDim","Sum|Qty|0","","","","","","","DateFinancial|ItemId|T2.InventSiteId|T2.InventLocationId",PeriodBeginning,$A504,$B504,$C504)</f>
        <v>-1</v>
      </c>
      <c r="F504" s="10">
        <f>_xll.AtlasFormulas.AtlasFunctions.AtlasBalance("PROD",DataAreaId,"T.InventTrans|inventDimId~inventDimId@T.InventDim","Sum|Qty|0","","","","","","","DateFinancial|ItemId|T2.InventSiteId|T2.InventLocationId",PeriodEnding,$A504,$B504,$C504)</f>
        <v>0</v>
      </c>
      <c r="G504" s="10">
        <f>AtlasReport_3_Table_1[[#This Row],[Current On-hand]]-AtlasReport_3_Table_1[[#This Row],[Trans backwords (Beginning)]]</f>
        <v>82</v>
      </c>
      <c r="H504" s="10">
        <f>AtlasReport_3_Table_1[[#This Row],[Current On-hand]]-AtlasReport_3_Table_1[[#This Row],[Trans backwords (Ending)]]</f>
        <v>81</v>
      </c>
    </row>
    <row r="505" spans="1:8" x14ac:dyDescent="0.25">
      <c r="A505" s="8" t="s">
        <v>422</v>
      </c>
      <c r="B505" s="8" t="s">
        <v>261</v>
      </c>
      <c r="C505" s="8" t="s">
        <v>81</v>
      </c>
      <c r="D505" s="10">
        <v>0</v>
      </c>
      <c r="E505" s="10">
        <f>_xll.AtlasFormulas.AtlasFunctions.AtlasBalance("PROD",DataAreaId,"T.InventTrans|inventDimId~inventDimId@T.InventDim","Sum|Qty|0","","","","","","","DateFinancial|ItemId|T2.InventSiteId|T2.InventLocationId",PeriodBeginning,$A505,$B505,$C505)</f>
        <v>0</v>
      </c>
      <c r="F505" s="10">
        <f>_xll.AtlasFormulas.AtlasFunctions.AtlasBalance("PROD",DataAreaId,"T.InventTrans|inventDimId~inventDimId@T.InventDim","Sum|Qty|0","","","","","","","DateFinancial|ItemId|T2.InventSiteId|T2.InventLocationId",PeriodEnding,$A505,$B505,$C505)</f>
        <v>0</v>
      </c>
      <c r="G505" s="10">
        <f>AtlasReport_3_Table_1[[#This Row],[Current On-hand]]-AtlasReport_3_Table_1[[#This Row],[Trans backwords (Beginning)]]</f>
        <v>0</v>
      </c>
      <c r="H505" s="10">
        <f>AtlasReport_3_Table_1[[#This Row],[Current On-hand]]-AtlasReport_3_Table_1[[#This Row],[Trans backwords (Ending)]]</f>
        <v>0</v>
      </c>
    </row>
    <row r="506" spans="1:8" x14ac:dyDescent="0.25">
      <c r="A506" s="8" t="s">
        <v>422</v>
      </c>
      <c r="B506" s="8" t="s">
        <v>261</v>
      </c>
      <c r="C506" s="8" t="s">
        <v>264</v>
      </c>
      <c r="D506" s="10">
        <v>214</v>
      </c>
      <c r="E506" s="10">
        <f>_xll.AtlasFormulas.AtlasFunctions.AtlasBalance("PROD",DataAreaId,"T.InventTrans|inventDimId~inventDimId@T.InventDim","Sum|Qty|0","","","","","","","DateFinancial|ItemId|T2.InventSiteId|T2.InventLocationId",PeriodBeginning,$A506,$B506,$C506)</f>
        <v>28</v>
      </c>
      <c r="F506" s="10">
        <f>_xll.AtlasFormulas.AtlasFunctions.AtlasBalance("PROD",DataAreaId,"T.InventTrans|inventDimId~inventDimId@T.InventDim","Sum|Qty|0","","","","","","","DateFinancial|ItemId|T2.InventSiteId|T2.InventLocationId",PeriodEnding,$A506,$B506,$C506)</f>
        <v>0</v>
      </c>
      <c r="G506" s="10">
        <f>AtlasReport_3_Table_1[[#This Row],[Current On-hand]]-AtlasReport_3_Table_1[[#This Row],[Trans backwords (Beginning)]]</f>
        <v>186</v>
      </c>
      <c r="H506" s="10">
        <f>AtlasReport_3_Table_1[[#This Row],[Current On-hand]]-AtlasReport_3_Table_1[[#This Row],[Trans backwords (Ending)]]</f>
        <v>214</v>
      </c>
    </row>
    <row r="507" spans="1:8" x14ac:dyDescent="0.25">
      <c r="A507" s="8" t="s">
        <v>423</v>
      </c>
      <c r="B507" s="8" t="s">
        <v>261</v>
      </c>
      <c r="C507" s="8" t="s">
        <v>81</v>
      </c>
      <c r="D507" s="10">
        <v>0</v>
      </c>
      <c r="E507" s="10">
        <f>_xll.AtlasFormulas.AtlasFunctions.AtlasBalance("PROD",DataAreaId,"T.InventTrans|inventDimId~inventDimId@T.InventDim","Sum|Qty|0","","","","","","","DateFinancial|ItemId|T2.InventSiteId|T2.InventLocationId",PeriodBeginning,$A507,$B507,$C507)</f>
        <v>0</v>
      </c>
      <c r="F507" s="10">
        <f>_xll.AtlasFormulas.AtlasFunctions.AtlasBalance("PROD",DataAreaId,"T.InventTrans|inventDimId~inventDimId@T.InventDim","Sum|Qty|0","","","","","","","DateFinancial|ItemId|T2.InventSiteId|T2.InventLocationId",PeriodEnding,$A507,$B507,$C507)</f>
        <v>0</v>
      </c>
      <c r="G507" s="10">
        <f>AtlasReport_3_Table_1[[#This Row],[Current On-hand]]-AtlasReport_3_Table_1[[#This Row],[Trans backwords (Beginning)]]</f>
        <v>0</v>
      </c>
      <c r="H507" s="10">
        <f>AtlasReport_3_Table_1[[#This Row],[Current On-hand]]-AtlasReport_3_Table_1[[#This Row],[Trans backwords (Ending)]]</f>
        <v>0</v>
      </c>
    </row>
    <row r="508" spans="1:8" x14ac:dyDescent="0.25">
      <c r="A508" s="8" t="s">
        <v>423</v>
      </c>
      <c r="B508" s="8" t="s">
        <v>261</v>
      </c>
      <c r="C508" s="8" t="s">
        <v>264</v>
      </c>
      <c r="D508" s="10">
        <v>234</v>
      </c>
      <c r="E508" s="10">
        <f>_xll.AtlasFormulas.AtlasFunctions.AtlasBalance("PROD",DataAreaId,"T.InventTrans|inventDimId~inventDimId@T.InventDim","Sum|Qty|0","","","","","","","DateFinancial|ItemId|T2.InventSiteId|T2.InventLocationId",PeriodBeginning,$A508,$B508,$C508)</f>
        <v>210</v>
      </c>
      <c r="F508" s="10">
        <f>_xll.AtlasFormulas.AtlasFunctions.AtlasBalance("PROD",DataAreaId,"T.InventTrans|inventDimId~inventDimId@T.InventDim","Sum|Qty|0","","","","","","","DateFinancial|ItemId|T2.InventSiteId|T2.InventLocationId",PeriodEnding,$A508,$B508,$C508)</f>
        <v>0</v>
      </c>
      <c r="G508" s="10">
        <f>AtlasReport_3_Table_1[[#This Row],[Current On-hand]]-AtlasReport_3_Table_1[[#This Row],[Trans backwords (Beginning)]]</f>
        <v>24</v>
      </c>
      <c r="H508" s="10">
        <f>AtlasReport_3_Table_1[[#This Row],[Current On-hand]]-AtlasReport_3_Table_1[[#This Row],[Trans backwords (Ending)]]</f>
        <v>234</v>
      </c>
    </row>
    <row r="509" spans="1:8" x14ac:dyDescent="0.25">
      <c r="A509" s="8" t="s">
        <v>424</v>
      </c>
      <c r="B509" s="8" t="s">
        <v>261</v>
      </c>
      <c r="C509" s="8" t="s">
        <v>81</v>
      </c>
      <c r="D509" s="10">
        <v>0</v>
      </c>
      <c r="E509" s="10">
        <f>_xll.AtlasFormulas.AtlasFunctions.AtlasBalance("PROD",DataAreaId,"T.InventTrans|inventDimId~inventDimId@T.InventDim","Sum|Qty|0","","","","","","","DateFinancial|ItemId|T2.InventSiteId|T2.InventLocationId",PeriodBeginning,$A509,$B509,$C509)</f>
        <v>0</v>
      </c>
      <c r="F509" s="10">
        <f>_xll.AtlasFormulas.AtlasFunctions.AtlasBalance("PROD",DataAreaId,"T.InventTrans|inventDimId~inventDimId@T.InventDim","Sum|Qty|0","","","","","","","DateFinancial|ItemId|T2.InventSiteId|T2.InventLocationId",PeriodEnding,$A509,$B509,$C509)</f>
        <v>0</v>
      </c>
      <c r="G509" s="10">
        <f>AtlasReport_3_Table_1[[#This Row],[Current On-hand]]-AtlasReport_3_Table_1[[#This Row],[Trans backwords (Beginning)]]</f>
        <v>0</v>
      </c>
      <c r="H509" s="10">
        <f>AtlasReport_3_Table_1[[#This Row],[Current On-hand]]-AtlasReport_3_Table_1[[#This Row],[Trans backwords (Ending)]]</f>
        <v>0</v>
      </c>
    </row>
    <row r="510" spans="1:8" x14ac:dyDescent="0.25">
      <c r="A510" s="8" t="s">
        <v>424</v>
      </c>
      <c r="B510" s="8" t="s">
        <v>261</v>
      </c>
      <c r="C510" s="8" t="s">
        <v>264</v>
      </c>
      <c r="D510" s="10">
        <v>93</v>
      </c>
      <c r="E510" s="10">
        <f>_xll.AtlasFormulas.AtlasFunctions.AtlasBalance("PROD",DataAreaId,"T.InventTrans|inventDimId~inventDimId@T.InventDim","Sum|Qty|0","","","","","","","DateFinancial|ItemId|T2.InventSiteId|T2.InventLocationId",PeriodBeginning,$A510,$B510,$C510)</f>
        <v>-2</v>
      </c>
      <c r="F510" s="10">
        <f>_xll.AtlasFormulas.AtlasFunctions.AtlasBalance("PROD",DataAreaId,"T.InventTrans|inventDimId~inventDimId@T.InventDim","Sum|Qty|0","","","","","","","DateFinancial|ItemId|T2.InventSiteId|T2.InventLocationId",PeriodEnding,$A510,$B510,$C510)</f>
        <v>0</v>
      </c>
      <c r="G510" s="10">
        <f>AtlasReport_3_Table_1[[#This Row],[Current On-hand]]-AtlasReport_3_Table_1[[#This Row],[Trans backwords (Beginning)]]</f>
        <v>95</v>
      </c>
      <c r="H510" s="10">
        <f>AtlasReport_3_Table_1[[#This Row],[Current On-hand]]-AtlasReport_3_Table_1[[#This Row],[Trans backwords (Ending)]]</f>
        <v>93</v>
      </c>
    </row>
    <row r="511" spans="1:8" x14ac:dyDescent="0.25">
      <c r="A511" s="8" t="s">
        <v>425</v>
      </c>
      <c r="B511" s="8" t="s">
        <v>261</v>
      </c>
      <c r="C511" s="8" t="s">
        <v>81</v>
      </c>
      <c r="D511" s="10">
        <v>0</v>
      </c>
      <c r="E511" s="10">
        <f>_xll.AtlasFormulas.AtlasFunctions.AtlasBalance("PROD",DataAreaId,"T.InventTrans|inventDimId~inventDimId@T.InventDim","Sum|Qty|0","","","","","","","DateFinancial|ItemId|T2.InventSiteId|T2.InventLocationId",PeriodBeginning,$A511,$B511,$C511)</f>
        <v>0</v>
      </c>
      <c r="F511" s="10">
        <f>_xll.AtlasFormulas.AtlasFunctions.AtlasBalance("PROD",DataAreaId,"T.InventTrans|inventDimId~inventDimId@T.InventDim","Sum|Qty|0","","","","","","","DateFinancial|ItemId|T2.InventSiteId|T2.InventLocationId",PeriodEnding,$A511,$B511,$C511)</f>
        <v>0</v>
      </c>
      <c r="G511" s="10">
        <f>AtlasReport_3_Table_1[[#This Row],[Current On-hand]]-AtlasReport_3_Table_1[[#This Row],[Trans backwords (Beginning)]]</f>
        <v>0</v>
      </c>
      <c r="H511" s="10">
        <f>AtlasReport_3_Table_1[[#This Row],[Current On-hand]]-AtlasReport_3_Table_1[[#This Row],[Trans backwords (Ending)]]</f>
        <v>0</v>
      </c>
    </row>
    <row r="512" spans="1:8" x14ac:dyDescent="0.25">
      <c r="A512" s="8" t="s">
        <v>425</v>
      </c>
      <c r="B512" s="8" t="s">
        <v>261</v>
      </c>
      <c r="C512" s="8" t="s">
        <v>264</v>
      </c>
      <c r="D512" s="10">
        <v>378</v>
      </c>
      <c r="E512" s="10">
        <f>_xll.AtlasFormulas.AtlasFunctions.AtlasBalance("PROD",DataAreaId,"T.InventTrans|inventDimId~inventDimId@T.InventDim","Sum|Qty|0","","","","","","","DateFinancial|ItemId|T2.InventSiteId|T2.InventLocationId",PeriodBeginning,$A512,$B512,$C512)</f>
        <v>129</v>
      </c>
      <c r="F512" s="10">
        <f>_xll.AtlasFormulas.AtlasFunctions.AtlasBalance("PROD",DataAreaId,"T.InventTrans|inventDimId~inventDimId@T.InventDim","Sum|Qty|0","","","","","","","DateFinancial|ItemId|T2.InventSiteId|T2.InventLocationId",PeriodEnding,$A512,$B512,$C512)</f>
        <v>0</v>
      </c>
      <c r="G512" s="10">
        <f>AtlasReport_3_Table_1[[#This Row],[Current On-hand]]-AtlasReport_3_Table_1[[#This Row],[Trans backwords (Beginning)]]</f>
        <v>249</v>
      </c>
      <c r="H512" s="10">
        <f>AtlasReport_3_Table_1[[#This Row],[Current On-hand]]-AtlasReport_3_Table_1[[#This Row],[Trans backwords (Ending)]]</f>
        <v>378</v>
      </c>
    </row>
    <row r="513" spans="1:8" x14ac:dyDescent="0.25">
      <c r="A513" s="8" t="s">
        <v>426</v>
      </c>
      <c r="B513" s="8" t="s">
        <v>261</v>
      </c>
      <c r="C513" s="8" t="s">
        <v>81</v>
      </c>
      <c r="D513" s="10">
        <v>0</v>
      </c>
      <c r="E513" s="10">
        <f>_xll.AtlasFormulas.AtlasFunctions.AtlasBalance("PROD",DataAreaId,"T.InventTrans|inventDimId~inventDimId@T.InventDim","Sum|Qty|0","","","","","","","DateFinancial|ItemId|T2.InventSiteId|T2.InventLocationId",PeriodBeginning,$A513,$B513,$C513)</f>
        <v>0</v>
      </c>
      <c r="F513" s="10">
        <f>_xll.AtlasFormulas.AtlasFunctions.AtlasBalance("PROD",DataAreaId,"T.InventTrans|inventDimId~inventDimId@T.InventDim","Sum|Qty|0","","","","","","","DateFinancial|ItemId|T2.InventSiteId|T2.InventLocationId",PeriodEnding,$A513,$B513,$C513)</f>
        <v>0</v>
      </c>
      <c r="G513" s="10">
        <f>AtlasReport_3_Table_1[[#This Row],[Current On-hand]]-AtlasReport_3_Table_1[[#This Row],[Trans backwords (Beginning)]]</f>
        <v>0</v>
      </c>
      <c r="H513" s="10">
        <f>AtlasReport_3_Table_1[[#This Row],[Current On-hand]]-AtlasReport_3_Table_1[[#This Row],[Trans backwords (Ending)]]</f>
        <v>0</v>
      </c>
    </row>
    <row r="514" spans="1:8" x14ac:dyDescent="0.25">
      <c r="A514" s="8" t="s">
        <v>426</v>
      </c>
      <c r="B514" s="8" t="s">
        <v>261</v>
      </c>
      <c r="C514" s="8" t="s">
        <v>264</v>
      </c>
      <c r="D514" s="10">
        <v>381</v>
      </c>
      <c r="E514" s="10">
        <f>_xll.AtlasFormulas.AtlasFunctions.AtlasBalance("PROD",DataAreaId,"T.InventTrans|inventDimId~inventDimId@T.InventDim","Sum|Qty|0","","","","","","","DateFinancial|ItemId|T2.InventSiteId|T2.InventLocationId",PeriodBeginning,$A514,$B514,$C514)</f>
        <v>321</v>
      </c>
      <c r="F514" s="10">
        <f>_xll.AtlasFormulas.AtlasFunctions.AtlasBalance("PROD",DataAreaId,"T.InventTrans|inventDimId~inventDimId@T.InventDim","Sum|Qty|0","","","","","","","DateFinancial|ItemId|T2.InventSiteId|T2.InventLocationId",PeriodEnding,$A514,$B514,$C514)</f>
        <v>0</v>
      </c>
      <c r="G514" s="10">
        <f>AtlasReport_3_Table_1[[#This Row],[Current On-hand]]-AtlasReport_3_Table_1[[#This Row],[Trans backwords (Beginning)]]</f>
        <v>60</v>
      </c>
      <c r="H514" s="10">
        <f>AtlasReport_3_Table_1[[#This Row],[Current On-hand]]-AtlasReport_3_Table_1[[#This Row],[Trans backwords (Ending)]]</f>
        <v>381</v>
      </c>
    </row>
    <row r="515" spans="1:8" x14ac:dyDescent="0.25">
      <c r="A515" s="8" t="s">
        <v>427</v>
      </c>
      <c r="B515" s="8" t="s">
        <v>261</v>
      </c>
      <c r="C515" s="8" t="s">
        <v>81</v>
      </c>
      <c r="D515" s="10">
        <v>0</v>
      </c>
      <c r="E515" s="10">
        <f>_xll.AtlasFormulas.AtlasFunctions.AtlasBalance("PROD",DataAreaId,"T.InventTrans|inventDimId~inventDimId@T.InventDim","Sum|Qty|0","","","","","","","DateFinancial|ItemId|T2.InventSiteId|T2.InventLocationId",PeriodBeginning,$A515,$B515,$C515)</f>
        <v>0</v>
      </c>
      <c r="F515" s="10">
        <f>_xll.AtlasFormulas.AtlasFunctions.AtlasBalance("PROD",DataAreaId,"T.InventTrans|inventDimId~inventDimId@T.InventDim","Sum|Qty|0","","","","","","","DateFinancial|ItemId|T2.InventSiteId|T2.InventLocationId",PeriodEnding,$A515,$B515,$C515)</f>
        <v>0</v>
      </c>
      <c r="G515" s="10">
        <f>AtlasReport_3_Table_1[[#This Row],[Current On-hand]]-AtlasReport_3_Table_1[[#This Row],[Trans backwords (Beginning)]]</f>
        <v>0</v>
      </c>
      <c r="H515" s="10">
        <f>AtlasReport_3_Table_1[[#This Row],[Current On-hand]]-AtlasReport_3_Table_1[[#This Row],[Trans backwords (Ending)]]</f>
        <v>0</v>
      </c>
    </row>
    <row r="516" spans="1:8" x14ac:dyDescent="0.25">
      <c r="A516" s="8" t="s">
        <v>427</v>
      </c>
      <c r="B516" s="8" t="s">
        <v>261</v>
      </c>
      <c r="C516" s="8" t="s">
        <v>264</v>
      </c>
      <c r="D516" s="10">
        <v>100</v>
      </c>
      <c r="E516" s="10">
        <f>_xll.AtlasFormulas.AtlasFunctions.AtlasBalance("PROD",DataAreaId,"T.InventTrans|inventDimId~inventDimId@T.InventDim","Sum|Qty|0","","","","","","","DateFinancial|ItemId|T2.InventSiteId|T2.InventLocationId",PeriodBeginning,$A516,$B516,$C516)</f>
        <v>-21</v>
      </c>
      <c r="F516" s="10">
        <f>_xll.AtlasFormulas.AtlasFunctions.AtlasBalance("PROD",DataAreaId,"T.InventTrans|inventDimId~inventDimId@T.InventDim","Sum|Qty|0","","","","","","","DateFinancial|ItemId|T2.InventSiteId|T2.InventLocationId",PeriodEnding,$A516,$B516,$C516)</f>
        <v>0</v>
      </c>
      <c r="G516" s="10">
        <f>AtlasReport_3_Table_1[[#This Row],[Current On-hand]]-AtlasReport_3_Table_1[[#This Row],[Trans backwords (Beginning)]]</f>
        <v>121</v>
      </c>
      <c r="H516" s="10">
        <f>AtlasReport_3_Table_1[[#This Row],[Current On-hand]]-AtlasReport_3_Table_1[[#This Row],[Trans backwords (Ending)]]</f>
        <v>100</v>
      </c>
    </row>
    <row r="517" spans="1:8" x14ac:dyDescent="0.25">
      <c r="A517" s="8" t="s">
        <v>65</v>
      </c>
      <c r="B517" s="8" t="s">
        <v>261</v>
      </c>
      <c r="C517" s="8" t="s">
        <v>81</v>
      </c>
      <c r="D517" s="10">
        <v>0</v>
      </c>
      <c r="E517" s="10">
        <f>_xll.AtlasFormulas.AtlasFunctions.AtlasBalance("PROD",DataAreaId,"T.InventTrans|inventDimId~inventDimId@T.InventDim","Sum|Qty|0","","","","","","","DateFinancial|ItemId|T2.InventSiteId|T2.InventLocationId",PeriodBeginning,$A517,$B517,$C517)</f>
        <v>0</v>
      </c>
      <c r="F517" s="10">
        <f>_xll.AtlasFormulas.AtlasFunctions.AtlasBalance("PROD",DataAreaId,"T.InventTrans|inventDimId~inventDimId@T.InventDim","Sum|Qty|0","","","","","","","DateFinancial|ItemId|T2.InventSiteId|T2.InventLocationId",PeriodEnding,$A517,$B517,$C517)</f>
        <v>0</v>
      </c>
      <c r="G517" s="10">
        <f>AtlasReport_3_Table_1[[#This Row],[Current On-hand]]-AtlasReport_3_Table_1[[#This Row],[Trans backwords (Beginning)]]</f>
        <v>0</v>
      </c>
      <c r="H517" s="10">
        <f>AtlasReport_3_Table_1[[#This Row],[Current On-hand]]-AtlasReport_3_Table_1[[#This Row],[Trans backwords (Ending)]]</f>
        <v>0</v>
      </c>
    </row>
    <row r="518" spans="1:8" x14ac:dyDescent="0.25">
      <c r="A518" s="8" t="s">
        <v>65</v>
      </c>
      <c r="B518" s="8" t="s">
        <v>261</v>
      </c>
      <c r="C518" s="8" t="s">
        <v>289</v>
      </c>
      <c r="D518" s="10">
        <v>2</v>
      </c>
      <c r="E518" s="10">
        <f>_xll.AtlasFormulas.AtlasFunctions.AtlasBalance("PROD",DataAreaId,"T.InventTrans|inventDimId~inventDimId@T.InventDim","Sum|Qty|0","","","","","","","DateFinancial|ItemId|T2.InventSiteId|T2.InventLocationId",PeriodBeginning,$A518,$B518,$C518)</f>
        <v>0</v>
      </c>
      <c r="F518" s="10">
        <f>_xll.AtlasFormulas.AtlasFunctions.AtlasBalance("PROD",DataAreaId,"T.InventTrans|inventDimId~inventDimId@T.InventDim","Sum|Qty|0","","","","","","","DateFinancial|ItemId|T2.InventSiteId|T2.InventLocationId",PeriodEnding,$A518,$B518,$C518)</f>
        <v>0</v>
      </c>
      <c r="G518" s="10">
        <f>AtlasReport_3_Table_1[[#This Row],[Current On-hand]]-AtlasReport_3_Table_1[[#This Row],[Trans backwords (Beginning)]]</f>
        <v>2</v>
      </c>
      <c r="H518" s="10">
        <f>AtlasReport_3_Table_1[[#This Row],[Current On-hand]]-AtlasReport_3_Table_1[[#This Row],[Trans backwords (Ending)]]</f>
        <v>2</v>
      </c>
    </row>
    <row r="519" spans="1:8" x14ac:dyDescent="0.25">
      <c r="A519" s="8" t="s">
        <v>65</v>
      </c>
      <c r="B519" s="8" t="s">
        <v>261</v>
      </c>
      <c r="C519" s="8" t="s">
        <v>262</v>
      </c>
      <c r="D519" s="10">
        <v>0</v>
      </c>
      <c r="E519" s="10">
        <f>_xll.AtlasFormulas.AtlasFunctions.AtlasBalance("PROD",DataAreaId,"T.InventTrans|inventDimId~inventDimId@T.InventDim","Sum|Qty|0","","","","","","","DateFinancial|ItemId|T2.InventSiteId|T2.InventLocationId",PeriodBeginning,$A519,$B519,$C519)</f>
        <v>0</v>
      </c>
      <c r="F519" s="10">
        <f>_xll.AtlasFormulas.AtlasFunctions.AtlasBalance("PROD",DataAreaId,"T.InventTrans|inventDimId~inventDimId@T.InventDim","Sum|Qty|0","","","","","","","DateFinancial|ItemId|T2.InventSiteId|T2.InventLocationId",PeriodEnding,$A519,$B519,$C519)</f>
        <v>0</v>
      </c>
      <c r="G519" s="10">
        <f>AtlasReport_3_Table_1[[#This Row],[Current On-hand]]-AtlasReport_3_Table_1[[#This Row],[Trans backwords (Beginning)]]</f>
        <v>0</v>
      </c>
      <c r="H519" s="10">
        <f>AtlasReport_3_Table_1[[#This Row],[Current On-hand]]-AtlasReport_3_Table_1[[#This Row],[Trans backwords (Ending)]]</f>
        <v>0</v>
      </c>
    </row>
    <row r="520" spans="1:8" x14ac:dyDescent="0.25">
      <c r="A520" s="8" t="s">
        <v>65</v>
      </c>
      <c r="B520" s="8" t="s">
        <v>261</v>
      </c>
      <c r="C520" s="8" t="s">
        <v>264</v>
      </c>
      <c r="D520" s="10">
        <v>6</v>
      </c>
      <c r="E520" s="10">
        <f>_xll.AtlasFormulas.AtlasFunctions.AtlasBalance("PROD",DataAreaId,"T.InventTrans|inventDimId~inventDimId@T.InventDim","Sum|Qty|0","","","","","","","DateFinancial|ItemId|T2.InventSiteId|T2.InventLocationId",PeriodBeginning,$A520,$B520,$C520)</f>
        <v>4</v>
      </c>
      <c r="F520" s="10">
        <f>_xll.AtlasFormulas.AtlasFunctions.AtlasBalance("PROD",DataAreaId,"T.InventTrans|inventDimId~inventDimId@T.InventDim","Sum|Qty|0","","","","","","","DateFinancial|ItemId|T2.InventSiteId|T2.InventLocationId",PeriodEnding,$A520,$B520,$C520)</f>
        <v>0</v>
      </c>
      <c r="G520" s="10">
        <f>AtlasReport_3_Table_1[[#This Row],[Current On-hand]]-AtlasReport_3_Table_1[[#This Row],[Trans backwords (Beginning)]]</f>
        <v>2</v>
      </c>
      <c r="H520" s="10">
        <f>AtlasReport_3_Table_1[[#This Row],[Current On-hand]]-AtlasReport_3_Table_1[[#This Row],[Trans backwords (Ending)]]</f>
        <v>6</v>
      </c>
    </row>
    <row r="521" spans="1:8" x14ac:dyDescent="0.25">
      <c r="A521" s="8" t="s">
        <v>65</v>
      </c>
      <c r="B521" s="8" t="s">
        <v>261</v>
      </c>
      <c r="C521" s="8" t="s">
        <v>265</v>
      </c>
      <c r="D521" s="10">
        <v>0</v>
      </c>
      <c r="E521" s="10">
        <f>_xll.AtlasFormulas.AtlasFunctions.AtlasBalance("PROD",DataAreaId,"T.InventTrans|inventDimId~inventDimId@T.InventDim","Sum|Qty|0","","","","","","","DateFinancial|ItemId|T2.InventSiteId|T2.InventLocationId",PeriodBeginning,$A521,$B521,$C521)</f>
        <v>0</v>
      </c>
      <c r="F521" s="10">
        <f>_xll.AtlasFormulas.AtlasFunctions.AtlasBalance("PROD",DataAreaId,"T.InventTrans|inventDimId~inventDimId@T.InventDim","Sum|Qty|0","","","","","","","DateFinancial|ItemId|T2.InventSiteId|T2.InventLocationId",PeriodEnding,$A521,$B521,$C521)</f>
        <v>0</v>
      </c>
      <c r="G521" s="10">
        <f>AtlasReport_3_Table_1[[#This Row],[Current On-hand]]-AtlasReport_3_Table_1[[#This Row],[Trans backwords (Beginning)]]</f>
        <v>0</v>
      </c>
      <c r="H521" s="10">
        <f>AtlasReport_3_Table_1[[#This Row],[Current On-hand]]-AtlasReport_3_Table_1[[#This Row],[Trans backwords (Ending)]]</f>
        <v>0</v>
      </c>
    </row>
    <row r="522" spans="1:8" x14ac:dyDescent="0.25">
      <c r="A522" s="8" t="s">
        <v>428</v>
      </c>
      <c r="B522" s="8" t="s">
        <v>261</v>
      </c>
      <c r="C522" s="8" t="s">
        <v>264</v>
      </c>
      <c r="D522" s="10">
        <v>1</v>
      </c>
      <c r="E522" s="10">
        <f>_xll.AtlasFormulas.AtlasFunctions.AtlasBalance("PROD",DataAreaId,"T.InventTrans|inventDimId~inventDimId@T.InventDim","Sum|Qty|0","","","","","","","DateFinancial|ItemId|T2.InventSiteId|T2.InventLocationId",PeriodBeginning,$A522,$B522,$C522)</f>
        <v>-1</v>
      </c>
      <c r="F522" s="10">
        <f>_xll.AtlasFormulas.AtlasFunctions.AtlasBalance("PROD",DataAreaId,"T.InventTrans|inventDimId~inventDimId@T.InventDim","Sum|Qty|0","","","","","","","DateFinancial|ItemId|T2.InventSiteId|T2.InventLocationId",PeriodEnding,$A522,$B522,$C522)</f>
        <v>0</v>
      </c>
      <c r="G522" s="10">
        <f>AtlasReport_3_Table_1[[#This Row],[Current On-hand]]-AtlasReport_3_Table_1[[#This Row],[Trans backwords (Beginning)]]</f>
        <v>2</v>
      </c>
      <c r="H522" s="10">
        <f>AtlasReport_3_Table_1[[#This Row],[Current On-hand]]-AtlasReport_3_Table_1[[#This Row],[Trans backwords (Ending)]]</f>
        <v>1</v>
      </c>
    </row>
    <row r="523" spans="1:8" x14ac:dyDescent="0.25">
      <c r="A523" s="8" t="s">
        <v>66</v>
      </c>
      <c r="B523" s="8" t="s">
        <v>261</v>
      </c>
      <c r="C523" s="8" t="s">
        <v>81</v>
      </c>
      <c r="D523" s="10">
        <v>0</v>
      </c>
      <c r="E523" s="10">
        <f>_xll.AtlasFormulas.AtlasFunctions.AtlasBalance("PROD",DataAreaId,"T.InventTrans|inventDimId~inventDimId@T.InventDim","Sum|Qty|0","","","","","","","DateFinancial|ItemId|T2.InventSiteId|T2.InventLocationId",PeriodBeginning,$A523,$B523,$C523)</f>
        <v>0</v>
      </c>
      <c r="F523" s="10">
        <f>_xll.AtlasFormulas.AtlasFunctions.AtlasBalance("PROD",DataAreaId,"T.InventTrans|inventDimId~inventDimId@T.InventDim","Sum|Qty|0","","","","","","","DateFinancial|ItemId|T2.InventSiteId|T2.InventLocationId",PeriodEnding,$A523,$B523,$C523)</f>
        <v>0</v>
      </c>
      <c r="G523" s="10">
        <f>AtlasReport_3_Table_1[[#This Row],[Current On-hand]]-AtlasReport_3_Table_1[[#This Row],[Trans backwords (Beginning)]]</f>
        <v>0</v>
      </c>
      <c r="H523" s="10">
        <f>AtlasReport_3_Table_1[[#This Row],[Current On-hand]]-AtlasReport_3_Table_1[[#This Row],[Trans backwords (Ending)]]</f>
        <v>0</v>
      </c>
    </row>
    <row r="524" spans="1:8" x14ac:dyDescent="0.25">
      <c r="A524" s="8" t="s">
        <v>66</v>
      </c>
      <c r="B524" s="8" t="s">
        <v>261</v>
      </c>
      <c r="C524" s="8" t="s">
        <v>289</v>
      </c>
      <c r="D524" s="10">
        <v>2</v>
      </c>
      <c r="E524" s="10">
        <f>_xll.AtlasFormulas.AtlasFunctions.AtlasBalance("PROD",DataAreaId,"T.InventTrans|inventDimId~inventDimId@T.InventDim","Sum|Qty|0","","","","","","","DateFinancial|ItemId|T2.InventSiteId|T2.InventLocationId",PeriodBeginning,$A524,$B524,$C524)</f>
        <v>1</v>
      </c>
      <c r="F524" s="10">
        <f>_xll.AtlasFormulas.AtlasFunctions.AtlasBalance("PROD",DataAreaId,"T.InventTrans|inventDimId~inventDimId@T.InventDim","Sum|Qty|0","","","","","","","DateFinancial|ItemId|T2.InventSiteId|T2.InventLocationId",PeriodEnding,$A524,$B524,$C524)</f>
        <v>0</v>
      </c>
      <c r="G524" s="10">
        <f>AtlasReport_3_Table_1[[#This Row],[Current On-hand]]-AtlasReport_3_Table_1[[#This Row],[Trans backwords (Beginning)]]</f>
        <v>1</v>
      </c>
      <c r="H524" s="10">
        <f>AtlasReport_3_Table_1[[#This Row],[Current On-hand]]-AtlasReport_3_Table_1[[#This Row],[Trans backwords (Ending)]]</f>
        <v>2</v>
      </c>
    </row>
    <row r="525" spans="1:8" x14ac:dyDescent="0.25">
      <c r="A525" s="8" t="s">
        <v>66</v>
      </c>
      <c r="B525" s="8" t="s">
        <v>261</v>
      </c>
      <c r="C525" s="8" t="s">
        <v>305</v>
      </c>
      <c r="D525" s="10">
        <v>0</v>
      </c>
      <c r="E525" s="10">
        <f>_xll.AtlasFormulas.AtlasFunctions.AtlasBalance("PROD",DataAreaId,"T.InventTrans|inventDimId~inventDimId@T.InventDim","Sum|Qty|0","","","","","","","DateFinancial|ItemId|T2.InventSiteId|T2.InventLocationId",PeriodBeginning,$A525,$B525,$C525)</f>
        <v>0</v>
      </c>
      <c r="F525" s="10">
        <f>_xll.AtlasFormulas.AtlasFunctions.AtlasBalance("PROD",DataAreaId,"T.InventTrans|inventDimId~inventDimId@T.InventDim","Sum|Qty|0","","","","","","","DateFinancial|ItemId|T2.InventSiteId|T2.InventLocationId",PeriodEnding,$A525,$B525,$C525)</f>
        <v>0</v>
      </c>
      <c r="G525" s="10">
        <f>AtlasReport_3_Table_1[[#This Row],[Current On-hand]]-AtlasReport_3_Table_1[[#This Row],[Trans backwords (Beginning)]]</f>
        <v>0</v>
      </c>
      <c r="H525" s="10">
        <f>AtlasReport_3_Table_1[[#This Row],[Current On-hand]]-AtlasReport_3_Table_1[[#This Row],[Trans backwords (Ending)]]</f>
        <v>0</v>
      </c>
    </row>
    <row r="526" spans="1:8" x14ac:dyDescent="0.25">
      <c r="A526" s="8" t="s">
        <v>66</v>
      </c>
      <c r="B526" s="8" t="s">
        <v>261</v>
      </c>
      <c r="C526" s="8" t="s">
        <v>262</v>
      </c>
      <c r="D526" s="10">
        <v>0</v>
      </c>
      <c r="E526" s="10">
        <f>_xll.AtlasFormulas.AtlasFunctions.AtlasBalance("PROD",DataAreaId,"T.InventTrans|inventDimId~inventDimId@T.InventDim","Sum|Qty|0","","","","","","","DateFinancial|ItemId|T2.InventSiteId|T2.InventLocationId",PeriodBeginning,$A526,$B526,$C526)</f>
        <v>0</v>
      </c>
      <c r="F526" s="10">
        <f>_xll.AtlasFormulas.AtlasFunctions.AtlasBalance("PROD",DataAreaId,"T.InventTrans|inventDimId~inventDimId@T.InventDim","Sum|Qty|0","","","","","","","DateFinancial|ItemId|T2.InventSiteId|T2.InventLocationId",PeriodEnding,$A526,$B526,$C526)</f>
        <v>0</v>
      </c>
      <c r="G526" s="10">
        <f>AtlasReport_3_Table_1[[#This Row],[Current On-hand]]-AtlasReport_3_Table_1[[#This Row],[Trans backwords (Beginning)]]</f>
        <v>0</v>
      </c>
      <c r="H526" s="10">
        <f>AtlasReport_3_Table_1[[#This Row],[Current On-hand]]-AtlasReport_3_Table_1[[#This Row],[Trans backwords (Ending)]]</f>
        <v>0</v>
      </c>
    </row>
    <row r="527" spans="1:8" x14ac:dyDescent="0.25">
      <c r="A527" s="8" t="s">
        <v>66</v>
      </c>
      <c r="B527" s="8" t="s">
        <v>261</v>
      </c>
      <c r="C527" s="8" t="s">
        <v>264</v>
      </c>
      <c r="D527" s="10">
        <v>8</v>
      </c>
      <c r="E527" s="10">
        <f>_xll.AtlasFormulas.AtlasFunctions.AtlasBalance("PROD",DataAreaId,"T.InventTrans|inventDimId~inventDimId@T.InventDim","Sum|Qty|0","","","","","","","DateFinancial|ItemId|T2.InventSiteId|T2.InventLocationId",PeriodBeginning,$A527,$B527,$C527)</f>
        <v>4</v>
      </c>
      <c r="F527" s="10">
        <f>_xll.AtlasFormulas.AtlasFunctions.AtlasBalance("PROD",DataAreaId,"T.InventTrans|inventDimId~inventDimId@T.InventDim","Sum|Qty|0","","","","","","","DateFinancial|ItemId|T2.InventSiteId|T2.InventLocationId",PeriodEnding,$A527,$B527,$C527)</f>
        <v>0</v>
      </c>
      <c r="G527" s="10">
        <f>AtlasReport_3_Table_1[[#This Row],[Current On-hand]]-AtlasReport_3_Table_1[[#This Row],[Trans backwords (Beginning)]]</f>
        <v>4</v>
      </c>
      <c r="H527" s="10">
        <f>AtlasReport_3_Table_1[[#This Row],[Current On-hand]]-AtlasReport_3_Table_1[[#This Row],[Trans backwords (Ending)]]</f>
        <v>8</v>
      </c>
    </row>
    <row r="528" spans="1:8" x14ac:dyDescent="0.25">
      <c r="A528" s="8" t="s">
        <v>66</v>
      </c>
      <c r="B528" s="8" t="s">
        <v>261</v>
      </c>
      <c r="C528" s="8" t="s">
        <v>265</v>
      </c>
      <c r="D528" s="10">
        <v>0</v>
      </c>
      <c r="E528" s="10">
        <f>_xll.AtlasFormulas.AtlasFunctions.AtlasBalance("PROD",DataAreaId,"T.InventTrans|inventDimId~inventDimId@T.InventDim","Sum|Qty|0","","","","","","","DateFinancial|ItemId|T2.InventSiteId|T2.InventLocationId",PeriodBeginning,$A528,$B528,$C528)</f>
        <v>0</v>
      </c>
      <c r="F528" s="10">
        <f>_xll.AtlasFormulas.AtlasFunctions.AtlasBalance("PROD",DataAreaId,"T.InventTrans|inventDimId~inventDimId@T.InventDim","Sum|Qty|0","","","","","","","DateFinancial|ItemId|T2.InventSiteId|T2.InventLocationId",PeriodEnding,$A528,$B528,$C528)</f>
        <v>0</v>
      </c>
      <c r="G528" s="10">
        <f>AtlasReport_3_Table_1[[#This Row],[Current On-hand]]-AtlasReport_3_Table_1[[#This Row],[Trans backwords (Beginning)]]</f>
        <v>0</v>
      </c>
      <c r="H528" s="10">
        <f>AtlasReport_3_Table_1[[#This Row],[Current On-hand]]-AtlasReport_3_Table_1[[#This Row],[Trans backwords (Ending)]]</f>
        <v>0</v>
      </c>
    </row>
    <row r="529" spans="1:8" x14ac:dyDescent="0.25">
      <c r="A529" s="8" t="s">
        <v>429</v>
      </c>
      <c r="B529" s="8" t="s">
        <v>261</v>
      </c>
      <c r="C529" s="8" t="s">
        <v>264</v>
      </c>
      <c r="D529" s="10">
        <v>17</v>
      </c>
      <c r="E529" s="10">
        <f>_xll.AtlasFormulas.AtlasFunctions.AtlasBalance("PROD",DataAreaId,"T.InventTrans|inventDimId~inventDimId@T.InventDim","Sum|Qty|0","","","","","","","DateFinancial|ItemId|T2.InventSiteId|T2.InventLocationId",PeriodBeginning,$A529,$B529,$C529)</f>
        <v>-9</v>
      </c>
      <c r="F529" s="10">
        <f>_xll.AtlasFormulas.AtlasFunctions.AtlasBalance("PROD",DataAreaId,"T.InventTrans|inventDimId~inventDimId@T.InventDim","Sum|Qty|0","","","","","","","DateFinancial|ItemId|T2.InventSiteId|T2.InventLocationId",PeriodEnding,$A529,$B529,$C529)</f>
        <v>0</v>
      </c>
      <c r="G529" s="10">
        <f>AtlasReport_3_Table_1[[#This Row],[Current On-hand]]-AtlasReport_3_Table_1[[#This Row],[Trans backwords (Beginning)]]</f>
        <v>26</v>
      </c>
      <c r="H529" s="10">
        <f>AtlasReport_3_Table_1[[#This Row],[Current On-hand]]-AtlasReport_3_Table_1[[#This Row],[Trans backwords (Ending)]]</f>
        <v>17</v>
      </c>
    </row>
    <row r="530" spans="1:8" x14ac:dyDescent="0.25">
      <c r="A530" s="8" t="s">
        <v>430</v>
      </c>
      <c r="B530" s="8" t="s">
        <v>261</v>
      </c>
      <c r="C530" s="8" t="s">
        <v>264</v>
      </c>
      <c r="D530" s="10">
        <v>14</v>
      </c>
      <c r="E530" s="10">
        <f>_xll.AtlasFormulas.AtlasFunctions.AtlasBalance("PROD",DataAreaId,"T.InventTrans|inventDimId~inventDimId@T.InventDim","Sum|Qty|0","","","","","","","DateFinancial|ItemId|T2.InventSiteId|T2.InventLocationId",PeriodBeginning,$A530,$B530,$C530)</f>
        <v>0</v>
      </c>
      <c r="F530" s="10">
        <f>_xll.AtlasFormulas.AtlasFunctions.AtlasBalance("PROD",DataAreaId,"T.InventTrans|inventDimId~inventDimId@T.InventDim","Sum|Qty|0","","","","","","","DateFinancial|ItemId|T2.InventSiteId|T2.InventLocationId",PeriodEnding,$A530,$B530,$C530)</f>
        <v>0</v>
      </c>
      <c r="G530" s="10">
        <f>AtlasReport_3_Table_1[[#This Row],[Current On-hand]]-AtlasReport_3_Table_1[[#This Row],[Trans backwords (Beginning)]]</f>
        <v>14</v>
      </c>
      <c r="H530" s="10">
        <f>AtlasReport_3_Table_1[[#This Row],[Current On-hand]]-AtlasReport_3_Table_1[[#This Row],[Trans backwords (Ending)]]</f>
        <v>14</v>
      </c>
    </row>
    <row r="531" spans="1:8" x14ac:dyDescent="0.25">
      <c r="A531" s="8" t="s">
        <v>431</v>
      </c>
      <c r="B531" s="8" t="s">
        <v>261</v>
      </c>
      <c r="C531" s="8" t="s">
        <v>264</v>
      </c>
      <c r="D531" s="10">
        <v>6</v>
      </c>
      <c r="E531" s="10">
        <f>_xll.AtlasFormulas.AtlasFunctions.AtlasBalance("PROD",DataAreaId,"T.InventTrans|inventDimId~inventDimId@T.InventDim","Sum|Qty|0","","","","","","","DateFinancial|ItemId|T2.InventSiteId|T2.InventLocationId",PeriodBeginning,$A531,$B531,$C531)</f>
        <v>0</v>
      </c>
      <c r="F531" s="10">
        <f>_xll.AtlasFormulas.AtlasFunctions.AtlasBalance("PROD",DataAreaId,"T.InventTrans|inventDimId~inventDimId@T.InventDim","Sum|Qty|0","","","","","","","DateFinancial|ItemId|T2.InventSiteId|T2.InventLocationId",PeriodEnding,$A531,$B531,$C531)</f>
        <v>0</v>
      </c>
      <c r="G531" s="10">
        <f>AtlasReport_3_Table_1[[#This Row],[Current On-hand]]-AtlasReport_3_Table_1[[#This Row],[Trans backwords (Beginning)]]</f>
        <v>6</v>
      </c>
      <c r="H531" s="10">
        <f>AtlasReport_3_Table_1[[#This Row],[Current On-hand]]-AtlasReport_3_Table_1[[#This Row],[Trans backwords (Ending)]]</f>
        <v>6</v>
      </c>
    </row>
    <row r="532" spans="1:8" x14ac:dyDescent="0.25">
      <c r="A532" s="8" t="s">
        <v>432</v>
      </c>
      <c r="B532" s="8" t="s">
        <v>261</v>
      </c>
      <c r="C532" s="8" t="s">
        <v>81</v>
      </c>
      <c r="D532" s="10">
        <v>0</v>
      </c>
      <c r="E532" s="10">
        <f>_xll.AtlasFormulas.AtlasFunctions.AtlasBalance("PROD",DataAreaId,"T.InventTrans|inventDimId~inventDimId@T.InventDim","Sum|Qty|0","","","","","","","DateFinancial|ItemId|T2.InventSiteId|T2.InventLocationId",PeriodBeginning,$A532,$B532,$C532)</f>
        <v>0</v>
      </c>
      <c r="F532" s="10">
        <f>_xll.AtlasFormulas.AtlasFunctions.AtlasBalance("PROD",DataAreaId,"T.InventTrans|inventDimId~inventDimId@T.InventDim","Sum|Qty|0","","","","","","","DateFinancial|ItemId|T2.InventSiteId|T2.InventLocationId",PeriodEnding,$A532,$B532,$C532)</f>
        <v>0</v>
      </c>
      <c r="G532" s="10">
        <f>AtlasReport_3_Table_1[[#This Row],[Current On-hand]]-AtlasReport_3_Table_1[[#This Row],[Trans backwords (Beginning)]]</f>
        <v>0</v>
      </c>
      <c r="H532" s="10">
        <f>AtlasReport_3_Table_1[[#This Row],[Current On-hand]]-AtlasReport_3_Table_1[[#This Row],[Trans backwords (Ending)]]</f>
        <v>0</v>
      </c>
    </row>
    <row r="533" spans="1:8" x14ac:dyDescent="0.25">
      <c r="A533" s="8" t="s">
        <v>432</v>
      </c>
      <c r="B533" s="8" t="s">
        <v>261</v>
      </c>
      <c r="C533" s="8" t="s">
        <v>264</v>
      </c>
      <c r="D533" s="10">
        <v>3</v>
      </c>
      <c r="E533" s="10">
        <f>_xll.AtlasFormulas.AtlasFunctions.AtlasBalance("PROD",DataAreaId,"T.InventTrans|inventDimId~inventDimId@T.InventDim","Sum|Qty|0","","","","","","","DateFinancial|ItemId|T2.InventSiteId|T2.InventLocationId",PeriodBeginning,$A533,$B533,$C533)</f>
        <v>0</v>
      </c>
      <c r="F533" s="10">
        <f>_xll.AtlasFormulas.AtlasFunctions.AtlasBalance("PROD",DataAreaId,"T.InventTrans|inventDimId~inventDimId@T.InventDim","Sum|Qty|0","","","","","","","DateFinancial|ItemId|T2.InventSiteId|T2.InventLocationId",PeriodEnding,$A533,$B533,$C533)</f>
        <v>0</v>
      </c>
      <c r="G533" s="10">
        <f>AtlasReport_3_Table_1[[#This Row],[Current On-hand]]-AtlasReport_3_Table_1[[#This Row],[Trans backwords (Beginning)]]</f>
        <v>3</v>
      </c>
      <c r="H533" s="10">
        <f>AtlasReport_3_Table_1[[#This Row],[Current On-hand]]-AtlasReport_3_Table_1[[#This Row],[Trans backwords (Ending)]]</f>
        <v>3</v>
      </c>
    </row>
    <row r="534" spans="1:8" x14ac:dyDescent="0.25">
      <c r="A534" s="8" t="s">
        <v>433</v>
      </c>
      <c r="B534" s="8" t="s">
        <v>261</v>
      </c>
      <c r="C534" s="8" t="s">
        <v>81</v>
      </c>
      <c r="D534" s="10">
        <v>0</v>
      </c>
      <c r="E534" s="10">
        <f>_xll.AtlasFormulas.AtlasFunctions.AtlasBalance("PROD",DataAreaId,"T.InventTrans|inventDimId~inventDimId@T.InventDim","Sum|Qty|0","","","","","","","DateFinancial|ItemId|T2.InventSiteId|T2.InventLocationId",PeriodBeginning,$A534,$B534,$C534)</f>
        <v>0</v>
      </c>
      <c r="F534" s="10">
        <f>_xll.AtlasFormulas.AtlasFunctions.AtlasBalance("PROD",DataAreaId,"T.InventTrans|inventDimId~inventDimId@T.InventDim","Sum|Qty|0","","","","","","","DateFinancial|ItemId|T2.InventSiteId|T2.InventLocationId",PeriodEnding,$A534,$B534,$C534)</f>
        <v>0</v>
      </c>
      <c r="G534" s="10">
        <f>AtlasReport_3_Table_1[[#This Row],[Current On-hand]]-AtlasReport_3_Table_1[[#This Row],[Trans backwords (Beginning)]]</f>
        <v>0</v>
      </c>
      <c r="H534" s="10">
        <f>AtlasReport_3_Table_1[[#This Row],[Current On-hand]]-AtlasReport_3_Table_1[[#This Row],[Trans backwords (Ending)]]</f>
        <v>0</v>
      </c>
    </row>
    <row r="535" spans="1:8" x14ac:dyDescent="0.25">
      <c r="A535" s="8" t="s">
        <v>433</v>
      </c>
      <c r="B535" s="8" t="s">
        <v>261</v>
      </c>
      <c r="C535" s="8" t="s">
        <v>264</v>
      </c>
      <c r="D535" s="10">
        <v>2</v>
      </c>
      <c r="E535" s="10">
        <f>_xll.AtlasFormulas.AtlasFunctions.AtlasBalance("PROD",DataAreaId,"T.InventTrans|inventDimId~inventDimId@T.InventDim","Sum|Qty|0","","","","","","","DateFinancial|ItemId|T2.InventSiteId|T2.InventLocationId",PeriodBeginning,$A535,$B535,$C535)</f>
        <v>-1</v>
      </c>
      <c r="F535" s="10">
        <f>_xll.AtlasFormulas.AtlasFunctions.AtlasBalance("PROD",DataAreaId,"T.InventTrans|inventDimId~inventDimId@T.InventDim","Sum|Qty|0","","","","","","","DateFinancial|ItemId|T2.InventSiteId|T2.InventLocationId",PeriodEnding,$A535,$B535,$C535)</f>
        <v>0</v>
      </c>
      <c r="G535" s="10">
        <f>AtlasReport_3_Table_1[[#This Row],[Current On-hand]]-AtlasReport_3_Table_1[[#This Row],[Trans backwords (Beginning)]]</f>
        <v>3</v>
      </c>
      <c r="H535" s="10">
        <f>AtlasReport_3_Table_1[[#This Row],[Current On-hand]]-AtlasReport_3_Table_1[[#This Row],[Trans backwords (Ending)]]</f>
        <v>2</v>
      </c>
    </row>
    <row r="536" spans="1:8" x14ac:dyDescent="0.25">
      <c r="A536" s="8" t="s">
        <v>434</v>
      </c>
      <c r="B536" s="8" t="s">
        <v>261</v>
      </c>
      <c r="C536" s="8" t="s">
        <v>262</v>
      </c>
      <c r="D536" s="10">
        <v>0</v>
      </c>
      <c r="E536" s="10">
        <f>_xll.AtlasFormulas.AtlasFunctions.AtlasBalance("PROD",DataAreaId,"T.InventTrans|inventDimId~inventDimId@T.InventDim","Sum|Qty|0","","","","","","","DateFinancial|ItemId|T2.InventSiteId|T2.InventLocationId",PeriodBeginning,$A536,$B536,$C536)</f>
        <v>0</v>
      </c>
      <c r="F536" s="10">
        <f>_xll.AtlasFormulas.AtlasFunctions.AtlasBalance("PROD",DataAreaId,"T.InventTrans|inventDimId~inventDimId@T.InventDim","Sum|Qty|0","","","","","","","DateFinancial|ItemId|T2.InventSiteId|T2.InventLocationId",PeriodEnding,$A536,$B536,$C536)</f>
        <v>0</v>
      </c>
      <c r="G536" s="10">
        <f>AtlasReport_3_Table_1[[#This Row],[Current On-hand]]-AtlasReport_3_Table_1[[#This Row],[Trans backwords (Beginning)]]</f>
        <v>0</v>
      </c>
      <c r="H536" s="10">
        <f>AtlasReport_3_Table_1[[#This Row],[Current On-hand]]-AtlasReport_3_Table_1[[#This Row],[Trans backwords (Ending)]]</f>
        <v>0</v>
      </c>
    </row>
    <row r="537" spans="1:8" x14ac:dyDescent="0.25">
      <c r="A537" s="8" t="s">
        <v>434</v>
      </c>
      <c r="B537" s="8" t="s">
        <v>261</v>
      </c>
      <c r="C537" s="8" t="s">
        <v>264</v>
      </c>
      <c r="D537" s="10">
        <v>125</v>
      </c>
      <c r="E537" s="10">
        <f>_xll.AtlasFormulas.AtlasFunctions.AtlasBalance("PROD",DataAreaId,"T.InventTrans|inventDimId~inventDimId@T.InventDim","Sum|Qty|0","","","","","","","DateFinancial|ItemId|T2.InventSiteId|T2.InventLocationId",PeriodBeginning,$A537,$B537,$C537)</f>
        <v>-4</v>
      </c>
      <c r="F537" s="10">
        <f>_xll.AtlasFormulas.AtlasFunctions.AtlasBalance("PROD",DataAreaId,"T.InventTrans|inventDimId~inventDimId@T.InventDim","Sum|Qty|0","","","","","","","DateFinancial|ItemId|T2.InventSiteId|T2.InventLocationId",PeriodEnding,$A537,$B537,$C537)</f>
        <v>0</v>
      </c>
      <c r="G537" s="10">
        <f>AtlasReport_3_Table_1[[#This Row],[Current On-hand]]-AtlasReport_3_Table_1[[#This Row],[Trans backwords (Beginning)]]</f>
        <v>129</v>
      </c>
      <c r="H537" s="10">
        <f>AtlasReport_3_Table_1[[#This Row],[Current On-hand]]-AtlasReport_3_Table_1[[#This Row],[Trans backwords (Ending)]]</f>
        <v>125</v>
      </c>
    </row>
    <row r="538" spans="1:8" x14ac:dyDescent="0.25">
      <c r="A538" s="8" t="s">
        <v>435</v>
      </c>
      <c r="B538" s="8" t="s">
        <v>261</v>
      </c>
      <c r="C538" s="8" t="s">
        <v>81</v>
      </c>
      <c r="D538" s="10">
        <v>0</v>
      </c>
      <c r="E538" s="10">
        <f>_xll.AtlasFormulas.AtlasFunctions.AtlasBalance("PROD",DataAreaId,"T.InventTrans|inventDimId~inventDimId@T.InventDim","Sum|Qty|0","","","","","","","DateFinancial|ItemId|T2.InventSiteId|T2.InventLocationId",PeriodBeginning,$A538,$B538,$C538)</f>
        <v>0</v>
      </c>
      <c r="F538" s="10">
        <f>_xll.AtlasFormulas.AtlasFunctions.AtlasBalance("PROD",DataAreaId,"T.InventTrans|inventDimId~inventDimId@T.InventDim","Sum|Qty|0","","","","","","","DateFinancial|ItemId|T2.InventSiteId|T2.InventLocationId",PeriodEnding,$A538,$B538,$C538)</f>
        <v>0</v>
      </c>
      <c r="G538" s="10">
        <f>AtlasReport_3_Table_1[[#This Row],[Current On-hand]]-AtlasReport_3_Table_1[[#This Row],[Trans backwords (Beginning)]]</f>
        <v>0</v>
      </c>
      <c r="H538" s="10">
        <f>AtlasReport_3_Table_1[[#This Row],[Current On-hand]]-AtlasReport_3_Table_1[[#This Row],[Trans backwords (Ending)]]</f>
        <v>0</v>
      </c>
    </row>
    <row r="539" spans="1:8" x14ac:dyDescent="0.25">
      <c r="A539" s="8" t="s">
        <v>435</v>
      </c>
      <c r="B539" s="8" t="s">
        <v>261</v>
      </c>
      <c r="C539" s="8" t="s">
        <v>262</v>
      </c>
      <c r="D539" s="10">
        <v>0</v>
      </c>
      <c r="E539" s="10">
        <f>_xll.AtlasFormulas.AtlasFunctions.AtlasBalance("PROD",DataAreaId,"T.InventTrans|inventDimId~inventDimId@T.InventDim","Sum|Qty|0","","","","","","","DateFinancial|ItemId|T2.InventSiteId|T2.InventLocationId",PeriodBeginning,$A539,$B539,$C539)</f>
        <v>0</v>
      </c>
      <c r="F539" s="10">
        <f>_xll.AtlasFormulas.AtlasFunctions.AtlasBalance("PROD",DataAreaId,"T.InventTrans|inventDimId~inventDimId@T.InventDim","Sum|Qty|0","","","","","","","DateFinancial|ItemId|T2.InventSiteId|T2.InventLocationId",PeriodEnding,$A539,$B539,$C539)</f>
        <v>0</v>
      </c>
      <c r="G539" s="10">
        <f>AtlasReport_3_Table_1[[#This Row],[Current On-hand]]-AtlasReport_3_Table_1[[#This Row],[Trans backwords (Beginning)]]</f>
        <v>0</v>
      </c>
      <c r="H539" s="10">
        <f>AtlasReport_3_Table_1[[#This Row],[Current On-hand]]-AtlasReport_3_Table_1[[#This Row],[Trans backwords (Ending)]]</f>
        <v>0</v>
      </c>
    </row>
    <row r="540" spans="1:8" x14ac:dyDescent="0.25">
      <c r="A540" s="8" t="s">
        <v>435</v>
      </c>
      <c r="B540" s="8" t="s">
        <v>261</v>
      </c>
      <c r="C540" s="8" t="s">
        <v>264</v>
      </c>
      <c r="D540" s="10">
        <v>5094</v>
      </c>
      <c r="E540" s="10">
        <f>_xll.AtlasFormulas.AtlasFunctions.AtlasBalance("PROD",DataAreaId,"T.InventTrans|inventDimId~inventDimId@T.InventDim","Sum|Qty|0","","","","","","","DateFinancial|ItemId|T2.InventSiteId|T2.InventLocationId",PeriodBeginning,$A540,$B540,$C540)</f>
        <v>-154</v>
      </c>
      <c r="F540" s="10">
        <f>_xll.AtlasFormulas.AtlasFunctions.AtlasBalance("PROD",DataAreaId,"T.InventTrans|inventDimId~inventDimId@T.InventDim","Sum|Qty|0","","","","","","","DateFinancial|ItemId|T2.InventSiteId|T2.InventLocationId",PeriodEnding,$A540,$B540,$C540)</f>
        <v>0</v>
      </c>
      <c r="G540" s="10">
        <f>AtlasReport_3_Table_1[[#This Row],[Current On-hand]]-AtlasReport_3_Table_1[[#This Row],[Trans backwords (Beginning)]]</f>
        <v>5248</v>
      </c>
      <c r="H540" s="10">
        <f>AtlasReport_3_Table_1[[#This Row],[Current On-hand]]-AtlasReport_3_Table_1[[#This Row],[Trans backwords (Ending)]]</f>
        <v>5094</v>
      </c>
    </row>
    <row r="541" spans="1:8" x14ac:dyDescent="0.25">
      <c r="A541" s="8" t="s">
        <v>436</v>
      </c>
      <c r="B541" s="8" t="s">
        <v>261</v>
      </c>
      <c r="C541" s="8" t="s">
        <v>81</v>
      </c>
      <c r="D541" s="10">
        <v>0</v>
      </c>
      <c r="E541" s="10">
        <f>_xll.AtlasFormulas.AtlasFunctions.AtlasBalance("PROD",DataAreaId,"T.InventTrans|inventDimId~inventDimId@T.InventDim","Sum|Qty|0","","","","","","","DateFinancial|ItemId|T2.InventSiteId|T2.InventLocationId",PeriodBeginning,$A541,$B541,$C541)</f>
        <v>0</v>
      </c>
      <c r="F541" s="10">
        <f>_xll.AtlasFormulas.AtlasFunctions.AtlasBalance("PROD",DataAreaId,"T.InventTrans|inventDimId~inventDimId@T.InventDim","Sum|Qty|0","","","","","","","DateFinancial|ItemId|T2.InventSiteId|T2.InventLocationId",PeriodEnding,$A541,$B541,$C541)</f>
        <v>0</v>
      </c>
      <c r="G541" s="10">
        <f>AtlasReport_3_Table_1[[#This Row],[Current On-hand]]-AtlasReport_3_Table_1[[#This Row],[Trans backwords (Beginning)]]</f>
        <v>0</v>
      </c>
      <c r="H541" s="10">
        <f>AtlasReport_3_Table_1[[#This Row],[Current On-hand]]-AtlasReport_3_Table_1[[#This Row],[Trans backwords (Ending)]]</f>
        <v>0</v>
      </c>
    </row>
    <row r="542" spans="1:8" x14ac:dyDescent="0.25">
      <c r="A542" s="8" t="s">
        <v>436</v>
      </c>
      <c r="B542" s="8" t="s">
        <v>261</v>
      </c>
      <c r="C542" s="8" t="s">
        <v>262</v>
      </c>
      <c r="D542" s="10">
        <v>0</v>
      </c>
      <c r="E542" s="10">
        <f>_xll.AtlasFormulas.AtlasFunctions.AtlasBalance("PROD",DataAreaId,"T.InventTrans|inventDimId~inventDimId@T.InventDim","Sum|Qty|0","","","","","","","DateFinancial|ItemId|T2.InventSiteId|T2.InventLocationId",PeriodBeginning,$A542,$B542,$C542)</f>
        <v>0</v>
      </c>
      <c r="F542" s="10">
        <f>_xll.AtlasFormulas.AtlasFunctions.AtlasBalance("PROD",DataAreaId,"T.InventTrans|inventDimId~inventDimId@T.InventDim","Sum|Qty|0","","","","","","","DateFinancial|ItemId|T2.InventSiteId|T2.InventLocationId",PeriodEnding,$A542,$B542,$C542)</f>
        <v>0</v>
      </c>
      <c r="G542" s="10">
        <f>AtlasReport_3_Table_1[[#This Row],[Current On-hand]]-AtlasReport_3_Table_1[[#This Row],[Trans backwords (Beginning)]]</f>
        <v>0</v>
      </c>
      <c r="H542" s="10">
        <f>AtlasReport_3_Table_1[[#This Row],[Current On-hand]]-AtlasReport_3_Table_1[[#This Row],[Trans backwords (Ending)]]</f>
        <v>0</v>
      </c>
    </row>
    <row r="543" spans="1:8" x14ac:dyDescent="0.25">
      <c r="A543" s="8" t="s">
        <v>436</v>
      </c>
      <c r="B543" s="8" t="s">
        <v>261</v>
      </c>
      <c r="C543" s="8" t="s">
        <v>264</v>
      </c>
      <c r="D543" s="10">
        <v>5474</v>
      </c>
      <c r="E543" s="10">
        <f>_xll.AtlasFormulas.AtlasFunctions.AtlasBalance("PROD",DataAreaId,"T.InventTrans|inventDimId~inventDimId@T.InventDim","Sum|Qty|0","","","","","","","DateFinancial|ItemId|T2.InventSiteId|T2.InventLocationId",PeriodBeginning,$A543,$B543,$C543)</f>
        <v>-50</v>
      </c>
      <c r="F543" s="10">
        <f>_xll.AtlasFormulas.AtlasFunctions.AtlasBalance("PROD",DataAreaId,"T.InventTrans|inventDimId~inventDimId@T.InventDim","Sum|Qty|0","","","","","","","DateFinancial|ItemId|T2.InventSiteId|T2.InventLocationId",PeriodEnding,$A543,$B543,$C543)</f>
        <v>0</v>
      </c>
      <c r="G543" s="10">
        <f>AtlasReport_3_Table_1[[#This Row],[Current On-hand]]-AtlasReport_3_Table_1[[#This Row],[Trans backwords (Beginning)]]</f>
        <v>5524</v>
      </c>
      <c r="H543" s="10">
        <f>AtlasReport_3_Table_1[[#This Row],[Current On-hand]]-AtlasReport_3_Table_1[[#This Row],[Trans backwords (Ending)]]</f>
        <v>5474</v>
      </c>
    </row>
    <row r="544" spans="1:8" x14ac:dyDescent="0.25">
      <c r="A544" s="8" t="s">
        <v>437</v>
      </c>
      <c r="B544" s="8" t="s">
        <v>261</v>
      </c>
      <c r="C544" s="8" t="s">
        <v>81</v>
      </c>
      <c r="D544" s="10">
        <v>0</v>
      </c>
      <c r="E544" s="10">
        <f>_xll.AtlasFormulas.AtlasFunctions.AtlasBalance("PROD",DataAreaId,"T.InventTrans|inventDimId~inventDimId@T.InventDim","Sum|Qty|0","","","","","","","DateFinancial|ItemId|T2.InventSiteId|T2.InventLocationId",PeriodBeginning,$A544,$B544,$C544)</f>
        <v>0</v>
      </c>
      <c r="F544" s="10">
        <f>_xll.AtlasFormulas.AtlasFunctions.AtlasBalance("PROD",DataAreaId,"T.InventTrans|inventDimId~inventDimId@T.InventDim","Sum|Qty|0","","","","","","","DateFinancial|ItemId|T2.InventSiteId|T2.InventLocationId",PeriodEnding,$A544,$B544,$C544)</f>
        <v>0</v>
      </c>
      <c r="G544" s="10">
        <f>AtlasReport_3_Table_1[[#This Row],[Current On-hand]]-AtlasReport_3_Table_1[[#This Row],[Trans backwords (Beginning)]]</f>
        <v>0</v>
      </c>
      <c r="H544" s="10">
        <f>AtlasReport_3_Table_1[[#This Row],[Current On-hand]]-AtlasReport_3_Table_1[[#This Row],[Trans backwords (Ending)]]</f>
        <v>0</v>
      </c>
    </row>
    <row r="545" spans="1:8" x14ac:dyDescent="0.25">
      <c r="A545" s="8" t="s">
        <v>437</v>
      </c>
      <c r="B545" s="8" t="s">
        <v>261</v>
      </c>
      <c r="C545" s="8" t="s">
        <v>262</v>
      </c>
      <c r="D545" s="10">
        <v>0</v>
      </c>
      <c r="E545" s="10">
        <f>_xll.AtlasFormulas.AtlasFunctions.AtlasBalance("PROD",DataAreaId,"T.InventTrans|inventDimId~inventDimId@T.InventDim","Sum|Qty|0","","","","","","","DateFinancial|ItemId|T2.InventSiteId|T2.InventLocationId",PeriodBeginning,$A545,$B545,$C545)</f>
        <v>0</v>
      </c>
      <c r="F545" s="10">
        <f>_xll.AtlasFormulas.AtlasFunctions.AtlasBalance("PROD",DataAreaId,"T.InventTrans|inventDimId~inventDimId@T.InventDim","Sum|Qty|0","","","","","","","DateFinancial|ItemId|T2.InventSiteId|T2.InventLocationId",PeriodEnding,$A545,$B545,$C545)</f>
        <v>0</v>
      </c>
      <c r="G545" s="10">
        <f>AtlasReport_3_Table_1[[#This Row],[Current On-hand]]-AtlasReport_3_Table_1[[#This Row],[Trans backwords (Beginning)]]</f>
        <v>0</v>
      </c>
      <c r="H545" s="10">
        <f>AtlasReport_3_Table_1[[#This Row],[Current On-hand]]-AtlasReport_3_Table_1[[#This Row],[Trans backwords (Ending)]]</f>
        <v>0</v>
      </c>
    </row>
    <row r="546" spans="1:8" x14ac:dyDescent="0.25">
      <c r="A546" s="8" t="s">
        <v>437</v>
      </c>
      <c r="B546" s="8" t="s">
        <v>261</v>
      </c>
      <c r="C546" s="8" t="s">
        <v>264</v>
      </c>
      <c r="D546" s="10">
        <v>5249</v>
      </c>
      <c r="E546" s="10">
        <f>_xll.AtlasFormulas.AtlasFunctions.AtlasBalance("PROD",DataAreaId,"T.InventTrans|inventDimId~inventDimId@T.InventDim","Sum|Qty|0","","","","","","","DateFinancial|ItemId|T2.InventSiteId|T2.InventLocationId",PeriodBeginning,$A546,$B546,$C546)</f>
        <v>-95</v>
      </c>
      <c r="F546" s="10">
        <f>_xll.AtlasFormulas.AtlasFunctions.AtlasBalance("PROD",DataAreaId,"T.InventTrans|inventDimId~inventDimId@T.InventDim","Sum|Qty|0","","","","","","","DateFinancial|ItemId|T2.InventSiteId|T2.InventLocationId",PeriodEnding,$A546,$B546,$C546)</f>
        <v>0</v>
      </c>
      <c r="G546" s="10">
        <f>AtlasReport_3_Table_1[[#This Row],[Current On-hand]]-AtlasReport_3_Table_1[[#This Row],[Trans backwords (Beginning)]]</f>
        <v>5344</v>
      </c>
      <c r="H546" s="10">
        <f>AtlasReport_3_Table_1[[#This Row],[Current On-hand]]-AtlasReport_3_Table_1[[#This Row],[Trans backwords (Ending)]]</f>
        <v>5249</v>
      </c>
    </row>
    <row r="547" spans="1:8" x14ac:dyDescent="0.25">
      <c r="A547" s="8" t="s">
        <v>438</v>
      </c>
      <c r="B547" s="8" t="s">
        <v>261</v>
      </c>
      <c r="C547" s="8" t="s">
        <v>264</v>
      </c>
      <c r="D547" s="10">
        <v>0</v>
      </c>
      <c r="E547" s="10">
        <f>_xll.AtlasFormulas.AtlasFunctions.AtlasBalance("PROD",DataAreaId,"T.InventTrans|inventDimId~inventDimId@T.InventDim","Sum|Qty|0","","","","","","","DateFinancial|ItemId|T2.InventSiteId|T2.InventLocationId",PeriodBeginning,$A547,$B547,$C547)</f>
        <v>0</v>
      </c>
      <c r="F547" s="10">
        <f>_xll.AtlasFormulas.AtlasFunctions.AtlasBalance("PROD",DataAreaId,"T.InventTrans|inventDimId~inventDimId@T.InventDim","Sum|Qty|0","","","","","","","DateFinancial|ItemId|T2.InventSiteId|T2.InventLocationId",PeriodEnding,$A547,$B547,$C547)</f>
        <v>0</v>
      </c>
      <c r="G547" s="10">
        <f>AtlasReport_3_Table_1[[#This Row],[Current On-hand]]-AtlasReport_3_Table_1[[#This Row],[Trans backwords (Beginning)]]</f>
        <v>0</v>
      </c>
      <c r="H547" s="10">
        <f>AtlasReport_3_Table_1[[#This Row],[Current On-hand]]-AtlasReport_3_Table_1[[#This Row],[Trans backwords (Ending)]]</f>
        <v>0</v>
      </c>
    </row>
    <row r="548" spans="1:8" x14ac:dyDescent="0.25">
      <c r="A548" s="8" t="s">
        <v>439</v>
      </c>
      <c r="B548" s="8" t="s">
        <v>261</v>
      </c>
      <c r="C548" s="8" t="s">
        <v>264</v>
      </c>
      <c r="D548" s="10">
        <v>1</v>
      </c>
      <c r="E548" s="10">
        <f>_xll.AtlasFormulas.AtlasFunctions.AtlasBalance("PROD",DataAreaId,"T.InventTrans|inventDimId~inventDimId@T.InventDim","Sum|Qty|0","","","","","","","DateFinancial|ItemId|T2.InventSiteId|T2.InventLocationId",PeriodBeginning,$A548,$B548,$C548)</f>
        <v>0</v>
      </c>
      <c r="F548" s="10">
        <f>_xll.AtlasFormulas.AtlasFunctions.AtlasBalance("PROD",DataAreaId,"T.InventTrans|inventDimId~inventDimId@T.InventDim","Sum|Qty|0","","","","","","","DateFinancial|ItemId|T2.InventSiteId|T2.InventLocationId",PeriodEnding,$A548,$B548,$C548)</f>
        <v>0</v>
      </c>
      <c r="G548" s="10">
        <f>AtlasReport_3_Table_1[[#This Row],[Current On-hand]]-AtlasReport_3_Table_1[[#This Row],[Trans backwords (Beginning)]]</f>
        <v>1</v>
      </c>
      <c r="H548" s="10">
        <f>AtlasReport_3_Table_1[[#This Row],[Current On-hand]]-AtlasReport_3_Table_1[[#This Row],[Trans backwords (Ending)]]</f>
        <v>1</v>
      </c>
    </row>
    <row r="549" spans="1:8" x14ac:dyDescent="0.25">
      <c r="A549" s="8" t="s">
        <v>440</v>
      </c>
      <c r="B549" s="8" t="s">
        <v>261</v>
      </c>
      <c r="C549" s="8" t="s">
        <v>264</v>
      </c>
      <c r="D549" s="10">
        <v>1</v>
      </c>
      <c r="E549" s="10">
        <f>_xll.AtlasFormulas.AtlasFunctions.AtlasBalance("PROD",DataAreaId,"T.InventTrans|inventDimId~inventDimId@T.InventDim","Sum|Qty|0","","","","","","","DateFinancial|ItemId|T2.InventSiteId|T2.InventLocationId",PeriodBeginning,$A549,$B549,$C549)</f>
        <v>0</v>
      </c>
      <c r="F549" s="10">
        <f>_xll.AtlasFormulas.AtlasFunctions.AtlasBalance("PROD",DataAreaId,"T.InventTrans|inventDimId~inventDimId@T.InventDim","Sum|Qty|0","","","","","","","DateFinancial|ItemId|T2.InventSiteId|T2.InventLocationId",PeriodEnding,$A549,$B549,$C549)</f>
        <v>0</v>
      </c>
      <c r="G549" s="10">
        <f>AtlasReport_3_Table_1[[#This Row],[Current On-hand]]-AtlasReport_3_Table_1[[#This Row],[Trans backwords (Beginning)]]</f>
        <v>1</v>
      </c>
      <c r="H549" s="10">
        <f>AtlasReport_3_Table_1[[#This Row],[Current On-hand]]-AtlasReport_3_Table_1[[#This Row],[Trans backwords (Ending)]]</f>
        <v>1</v>
      </c>
    </row>
    <row r="550" spans="1:8" x14ac:dyDescent="0.25">
      <c r="A550" s="8" t="s">
        <v>441</v>
      </c>
      <c r="B550" s="8" t="s">
        <v>261</v>
      </c>
      <c r="C550" s="8" t="s">
        <v>264</v>
      </c>
      <c r="D550" s="10">
        <v>2</v>
      </c>
      <c r="E550" s="10">
        <f>_xll.AtlasFormulas.AtlasFunctions.AtlasBalance("PROD",DataAreaId,"T.InventTrans|inventDimId~inventDimId@T.InventDim","Sum|Qty|0","","","","","","","DateFinancial|ItemId|T2.InventSiteId|T2.InventLocationId",PeriodBeginning,$A550,$B550,$C550)</f>
        <v>0</v>
      </c>
      <c r="F550" s="10">
        <f>_xll.AtlasFormulas.AtlasFunctions.AtlasBalance("PROD",DataAreaId,"T.InventTrans|inventDimId~inventDimId@T.InventDim","Sum|Qty|0","","","","","","","DateFinancial|ItemId|T2.InventSiteId|T2.InventLocationId",PeriodEnding,$A550,$B550,$C550)</f>
        <v>0</v>
      </c>
      <c r="G550" s="10">
        <f>AtlasReport_3_Table_1[[#This Row],[Current On-hand]]-AtlasReport_3_Table_1[[#This Row],[Trans backwords (Beginning)]]</f>
        <v>2</v>
      </c>
      <c r="H550" s="10">
        <f>AtlasReport_3_Table_1[[#This Row],[Current On-hand]]-AtlasReport_3_Table_1[[#This Row],[Trans backwords (Ending)]]</f>
        <v>2</v>
      </c>
    </row>
    <row r="551" spans="1:8" x14ac:dyDescent="0.25">
      <c r="A551" s="8" t="s">
        <v>442</v>
      </c>
      <c r="B551" s="8" t="s">
        <v>261</v>
      </c>
      <c r="C551" s="8" t="s">
        <v>264</v>
      </c>
      <c r="D551" s="10">
        <v>650</v>
      </c>
      <c r="E551" s="10">
        <f>_xll.AtlasFormulas.AtlasFunctions.AtlasBalance("PROD",DataAreaId,"T.InventTrans|inventDimId~inventDimId@T.InventDim","Sum|Qty|0","","","","","","","DateFinancial|ItemId|T2.InventSiteId|T2.InventLocationId",PeriodBeginning,$A551,$B551,$C551)</f>
        <v>2</v>
      </c>
      <c r="F551" s="10">
        <f>_xll.AtlasFormulas.AtlasFunctions.AtlasBalance("PROD",DataAreaId,"T.InventTrans|inventDimId~inventDimId@T.InventDim","Sum|Qty|0","","","","","","","DateFinancial|ItemId|T2.InventSiteId|T2.InventLocationId",PeriodEnding,$A551,$B551,$C551)</f>
        <v>0</v>
      </c>
      <c r="G551" s="10">
        <f>AtlasReport_3_Table_1[[#This Row],[Current On-hand]]-AtlasReport_3_Table_1[[#This Row],[Trans backwords (Beginning)]]</f>
        <v>648</v>
      </c>
      <c r="H551" s="10">
        <f>AtlasReport_3_Table_1[[#This Row],[Current On-hand]]-AtlasReport_3_Table_1[[#This Row],[Trans backwords (Ending)]]</f>
        <v>650</v>
      </c>
    </row>
    <row r="552" spans="1:8" x14ac:dyDescent="0.25">
      <c r="A552" s="8" t="s">
        <v>443</v>
      </c>
      <c r="B552" s="8" t="s">
        <v>261</v>
      </c>
      <c r="C552" s="8" t="s">
        <v>264</v>
      </c>
      <c r="D552" s="10">
        <v>448</v>
      </c>
      <c r="E552" s="10">
        <f>_xll.AtlasFormulas.AtlasFunctions.AtlasBalance("PROD",DataAreaId,"T.InventTrans|inventDimId~inventDimId@T.InventDim","Sum|Qty|0","","","","","","","DateFinancial|ItemId|T2.InventSiteId|T2.InventLocationId",PeriodBeginning,$A552,$B552,$C552)</f>
        <v>0</v>
      </c>
      <c r="F552" s="10">
        <f>_xll.AtlasFormulas.AtlasFunctions.AtlasBalance("PROD",DataAreaId,"T.InventTrans|inventDimId~inventDimId@T.InventDim","Sum|Qty|0","","","","","","","DateFinancial|ItemId|T2.InventSiteId|T2.InventLocationId",PeriodEnding,$A552,$B552,$C552)</f>
        <v>0</v>
      </c>
      <c r="G552" s="10">
        <f>AtlasReport_3_Table_1[[#This Row],[Current On-hand]]-AtlasReport_3_Table_1[[#This Row],[Trans backwords (Beginning)]]</f>
        <v>448</v>
      </c>
      <c r="H552" s="10">
        <f>AtlasReport_3_Table_1[[#This Row],[Current On-hand]]-AtlasReport_3_Table_1[[#This Row],[Trans backwords (Ending)]]</f>
        <v>448</v>
      </c>
    </row>
    <row r="553" spans="1:8" x14ac:dyDescent="0.25">
      <c r="A553" s="8" t="s">
        <v>444</v>
      </c>
      <c r="B553" s="8" t="s">
        <v>261</v>
      </c>
      <c r="C553" s="8" t="s">
        <v>81</v>
      </c>
      <c r="D553" s="10">
        <v>0</v>
      </c>
      <c r="E553" s="10">
        <f>_xll.AtlasFormulas.AtlasFunctions.AtlasBalance("PROD",DataAreaId,"T.InventTrans|inventDimId~inventDimId@T.InventDim","Sum|Qty|0","","","","","","","DateFinancial|ItemId|T2.InventSiteId|T2.InventLocationId",PeriodBeginning,$A553,$B553,$C553)</f>
        <v>0</v>
      </c>
      <c r="F553" s="10">
        <f>_xll.AtlasFormulas.AtlasFunctions.AtlasBalance("PROD",DataAreaId,"T.InventTrans|inventDimId~inventDimId@T.InventDim","Sum|Qty|0","","","","","","","DateFinancial|ItemId|T2.InventSiteId|T2.InventLocationId",PeriodEnding,$A553,$B553,$C553)</f>
        <v>0</v>
      </c>
      <c r="G553" s="10">
        <f>AtlasReport_3_Table_1[[#This Row],[Current On-hand]]-AtlasReport_3_Table_1[[#This Row],[Trans backwords (Beginning)]]</f>
        <v>0</v>
      </c>
      <c r="H553" s="10">
        <f>AtlasReport_3_Table_1[[#This Row],[Current On-hand]]-AtlasReport_3_Table_1[[#This Row],[Trans backwords (Ending)]]</f>
        <v>0</v>
      </c>
    </row>
    <row r="554" spans="1:8" x14ac:dyDescent="0.25">
      <c r="A554" s="8" t="s">
        <v>444</v>
      </c>
      <c r="B554" s="8" t="s">
        <v>261</v>
      </c>
      <c r="C554" s="8" t="s">
        <v>264</v>
      </c>
      <c r="D554" s="10">
        <v>2</v>
      </c>
      <c r="E554" s="10">
        <f>_xll.AtlasFormulas.AtlasFunctions.AtlasBalance("PROD",DataAreaId,"T.InventTrans|inventDimId~inventDimId@T.InventDim","Sum|Qty|0","","","","","","","DateFinancial|ItemId|T2.InventSiteId|T2.InventLocationId",PeriodBeginning,$A554,$B554,$C554)</f>
        <v>-3</v>
      </c>
      <c r="F554" s="10">
        <f>_xll.AtlasFormulas.AtlasFunctions.AtlasBalance("PROD",DataAreaId,"T.InventTrans|inventDimId~inventDimId@T.InventDim","Sum|Qty|0","","","","","","","DateFinancial|ItemId|T2.InventSiteId|T2.InventLocationId",PeriodEnding,$A554,$B554,$C554)</f>
        <v>0</v>
      </c>
      <c r="G554" s="10">
        <f>AtlasReport_3_Table_1[[#This Row],[Current On-hand]]-AtlasReport_3_Table_1[[#This Row],[Trans backwords (Beginning)]]</f>
        <v>5</v>
      </c>
      <c r="H554" s="10">
        <f>AtlasReport_3_Table_1[[#This Row],[Current On-hand]]-AtlasReport_3_Table_1[[#This Row],[Trans backwords (Ending)]]</f>
        <v>2</v>
      </c>
    </row>
    <row r="555" spans="1:8" x14ac:dyDescent="0.25">
      <c r="A555" s="8" t="s">
        <v>445</v>
      </c>
      <c r="B555" s="8" t="s">
        <v>261</v>
      </c>
      <c r="C555" s="8" t="s">
        <v>264</v>
      </c>
      <c r="D555" s="10">
        <v>0</v>
      </c>
      <c r="E555" s="10">
        <f>_xll.AtlasFormulas.AtlasFunctions.AtlasBalance("PROD",DataAreaId,"T.InventTrans|inventDimId~inventDimId@T.InventDim","Sum|Qty|0","","","","","","","DateFinancial|ItemId|T2.InventSiteId|T2.InventLocationId",PeriodBeginning,$A555,$B555,$C555)</f>
        <v>-0.53</v>
      </c>
      <c r="F555" s="10">
        <f>_xll.AtlasFormulas.AtlasFunctions.AtlasBalance("PROD",DataAreaId,"T.InventTrans|inventDimId~inventDimId@T.InventDim","Sum|Qty|0","","","","","","","DateFinancial|ItemId|T2.InventSiteId|T2.InventLocationId",PeriodEnding,$A555,$B555,$C555)</f>
        <v>0</v>
      </c>
      <c r="G555" s="10">
        <f>AtlasReport_3_Table_1[[#This Row],[Current On-hand]]-AtlasReport_3_Table_1[[#This Row],[Trans backwords (Beginning)]]</f>
        <v>0.53</v>
      </c>
      <c r="H555" s="10">
        <f>AtlasReport_3_Table_1[[#This Row],[Current On-hand]]-AtlasReport_3_Table_1[[#This Row],[Trans backwords (Ending)]]</f>
        <v>0</v>
      </c>
    </row>
    <row r="556" spans="1:8" x14ac:dyDescent="0.25">
      <c r="A556" s="8" t="s">
        <v>207</v>
      </c>
      <c r="B556" s="8" t="s">
        <v>261</v>
      </c>
      <c r="C556" s="8" t="s">
        <v>264</v>
      </c>
      <c r="D556" s="10">
        <v>12</v>
      </c>
      <c r="E556" s="10">
        <f>_xll.AtlasFormulas.AtlasFunctions.AtlasBalance("PROD",DataAreaId,"T.InventTrans|inventDimId~inventDimId@T.InventDim","Sum|Qty|0","","","","","","","DateFinancial|ItemId|T2.InventSiteId|T2.InventLocationId",PeriodBeginning,$A556,$B556,$C556)</f>
        <v>0</v>
      </c>
      <c r="F556" s="10">
        <f>_xll.AtlasFormulas.AtlasFunctions.AtlasBalance("PROD",DataAreaId,"T.InventTrans|inventDimId~inventDimId@T.InventDim","Sum|Qty|0","","","","","","","DateFinancial|ItemId|T2.InventSiteId|T2.InventLocationId",PeriodEnding,$A556,$B556,$C556)</f>
        <v>0</v>
      </c>
      <c r="G556" s="10">
        <f>AtlasReport_3_Table_1[[#This Row],[Current On-hand]]-AtlasReport_3_Table_1[[#This Row],[Trans backwords (Beginning)]]</f>
        <v>12</v>
      </c>
      <c r="H556" s="10">
        <f>AtlasReport_3_Table_1[[#This Row],[Current On-hand]]-AtlasReport_3_Table_1[[#This Row],[Trans backwords (Ending)]]</f>
        <v>12</v>
      </c>
    </row>
    <row r="557" spans="1:8" x14ac:dyDescent="0.25">
      <c r="A557" s="8" t="s">
        <v>446</v>
      </c>
      <c r="B557" s="8" t="s">
        <v>261</v>
      </c>
      <c r="C557" s="8" t="s">
        <v>264</v>
      </c>
      <c r="D557" s="10">
        <v>835</v>
      </c>
      <c r="E557" s="10">
        <f>_xll.AtlasFormulas.AtlasFunctions.AtlasBalance("PROD",DataAreaId,"T.InventTrans|inventDimId~inventDimId@T.InventDim","Sum|Qty|0","","","","","","","DateFinancial|ItemId|T2.InventSiteId|T2.InventLocationId",PeriodBeginning,$A557,$B557,$C557)</f>
        <v>-232</v>
      </c>
      <c r="F557" s="10">
        <f>_xll.AtlasFormulas.AtlasFunctions.AtlasBalance("PROD",DataAreaId,"T.InventTrans|inventDimId~inventDimId@T.InventDim","Sum|Qty|0","","","","","","","DateFinancial|ItemId|T2.InventSiteId|T2.InventLocationId",PeriodEnding,$A557,$B557,$C557)</f>
        <v>0</v>
      </c>
      <c r="G557" s="10">
        <f>AtlasReport_3_Table_1[[#This Row],[Current On-hand]]-AtlasReport_3_Table_1[[#This Row],[Trans backwords (Beginning)]]</f>
        <v>1067</v>
      </c>
      <c r="H557" s="10">
        <f>AtlasReport_3_Table_1[[#This Row],[Current On-hand]]-AtlasReport_3_Table_1[[#This Row],[Trans backwords (Ending)]]</f>
        <v>835</v>
      </c>
    </row>
    <row r="558" spans="1:8" x14ac:dyDescent="0.25">
      <c r="A558" s="8" t="s">
        <v>447</v>
      </c>
      <c r="B558" s="8" t="s">
        <v>261</v>
      </c>
      <c r="C558" s="8" t="s">
        <v>81</v>
      </c>
      <c r="D558" s="10">
        <v>0</v>
      </c>
      <c r="E558" s="10">
        <f>_xll.AtlasFormulas.AtlasFunctions.AtlasBalance("PROD",DataAreaId,"T.InventTrans|inventDimId~inventDimId@T.InventDim","Sum|Qty|0","","","","","","","DateFinancial|ItemId|T2.InventSiteId|T2.InventLocationId",PeriodBeginning,$A558,$B558,$C558)</f>
        <v>0</v>
      </c>
      <c r="F558" s="10">
        <f>_xll.AtlasFormulas.AtlasFunctions.AtlasBalance("PROD",DataAreaId,"T.InventTrans|inventDimId~inventDimId@T.InventDim","Sum|Qty|0","","","","","","","DateFinancial|ItemId|T2.InventSiteId|T2.InventLocationId",PeriodEnding,$A558,$B558,$C558)</f>
        <v>0</v>
      </c>
      <c r="G558" s="10">
        <f>AtlasReport_3_Table_1[[#This Row],[Current On-hand]]-AtlasReport_3_Table_1[[#This Row],[Trans backwords (Beginning)]]</f>
        <v>0</v>
      </c>
      <c r="H558" s="10">
        <f>AtlasReport_3_Table_1[[#This Row],[Current On-hand]]-AtlasReport_3_Table_1[[#This Row],[Trans backwords (Ending)]]</f>
        <v>0</v>
      </c>
    </row>
    <row r="559" spans="1:8" x14ac:dyDescent="0.25">
      <c r="A559" s="8" t="s">
        <v>447</v>
      </c>
      <c r="B559" s="8" t="s">
        <v>261</v>
      </c>
      <c r="C559" s="8" t="s">
        <v>264</v>
      </c>
      <c r="D559" s="10">
        <v>224</v>
      </c>
      <c r="E559" s="10">
        <f>_xll.AtlasFormulas.AtlasFunctions.AtlasBalance("PROD",DataAreaId,"T.InventTrans|inventDimId~inventDimId@T.InventDim","Sum|Qty|0","","","","","","","DateFinancial|ItemId|T2.InventSiteId|T2.InventLocationId",PeriodBeginning,$A559,$B559,$C559)</f>
        <v>-227</v>
      </c>
      <c r="F559" s="10">
        <f>_xll.AtlasFormulas.AtlasFunctions.AtlasBalance("PROD",DataAreaId,"T.InventTrans|inventDimId~inventDimId@T.InventDim","Sum|Qty|0","","","","","","","DateFinancial|ItemId|T2.InventSiteId|T2.InventLocationId",PeriodEnding,$A559,$B559,$C559)</f>
        <v>0</v>
      </c>
      <c r="G559" s="10">
        <f>AtlasReport_3_Table_1[[#This Row],[Current On-hand]]-AtlasReport_3_Table_1[[#This Row],[Trans backwords (Beginning)]]</f>
        <v>451</v>
      </c>
      <c r="H559" s="10">
        <f>AtlasReport_3_Table_1[[#This Row],[Current On-hand]]-AtlasReport_3_Table_1[[#This Row],[Trans backwords (Ending)]]</f>
        <v>224</v>
      </c>
    </row>
    <row r="560" spans="1:8" x14ac:dyDescent="0.25">
      <c r="A560" s="8" t="s">
        <v>448</v>
      </c>
      <c r="B560" s="8" t="s">
        <v>261</v>
      </c>
      <c r="C560" s="8" t="s">
        <v>264</v>
      </c>
      <c r="D560" s="10">
        <v>202</v>
      </c>
      <c r="E560" s="10">
        <f>_xll.AtlasFormulas.AtlasFunctions.AtlasBalance("PROD",DataAreaId,"T.InventTrans|inventDimId~inventDimId@T.InventDim","Sum|Qty|0","","","","","","","DateFinancial|ItemId|T2.InventSiteId|T2.InventLocationId",PeriodBeginning,$A560,$B560,$C560)</f>
        <v>-17</v>
      </c>
      <c r="F560" s="10">
        <f>_xll.AtlasFormulas.AtlasFunctions.AtlasBalance("PROD",DataAreaId,"T.InventTrans|inventDimId~inventDimId@T.InventDim","Sum|Qty|0","","","","","","","DateFinancial|ItemId|T2.InventSiteId|T2.InventLocationId",PeriodEnding,$A560,$B560,$C560)</f>
        <v>0</v>
      </c>
      <c r="G560" s="10">
        <f>AtlasReport_3_Table_1[[#This Row],[Current On-hand]]-AtlasReport_3_Table_1[[#This Row],[Trans backwords (Beginning)]]</f>
        <v>219</v>
      </c>
      <c r="H560" s="10">
        <f>AtlasReport_3_Table_1[[#This Row],[Current On-hand]]-AtlasReport_3_Table_1[[#This Row],[Trans backwords (Ending)]]</f>
        <v>202</v>
      </c>
    </row>
    <row r="561" spans="1:8" x14ac:dyDescent="0.25">
      <c r="A561" s="8" t="s">
        <v>449</v>
      </c>
      <c r="B561" s="8" t="s">
        <v>261</v>
      </c>
      <c r="C561" s="8" t="s">
        <v>264</v>
      </c>
      <c r="D561" s="10">
        <v>211</v>
      </c>
      <c r="E561" s="10">
        <f>_xll.AtlasFormulas.AtlasFunctions.AtlasBalance("PROD",DataAreaId,"T.InventTrans|inventDimId~inventDimId@T.InventDim","Sum|Qty|0","","","","","","","DateFinancial|ItemId|T2.InventSiteId|T2.InventLocationId",PeriodBeginning,$A561,$B561,$C561)</f>
        <v>-13</v>
      </c>
      <c r="F561" s="10">
        <f>_xll.AtlasFormulas.AtlasFunctions.AtlasBalance("PROD",DataAreaId,"T.InventTrans|inventDimId~inventDimId@T.InventDim","Sum|Qty|0","","","","","","","DateFinancial|ItemId|T2.InventSiteId|T2.InventLocationId",PeriodEnding,$A561,$B561,$C561)</f>
        <v>0</v>
      </c>
      <c r="G561" s="10">
        <f>AtlasReport_3_Table_1[[#This Row],[Current On-hand]]-AtlasReport_3_Table_1[[#This Row],[Trans backwords (Beginning)]]</f>
        <v>224</v>
      </c>
      <c r="H561" s="10">
        <f>AtlasReport_3_Table_1[[#This Row],[Current On-hand]]-AtlasReport_3_Table_1[[#This Row],[Trans backwords (Ending)]]</f>
        <v>211</v>
      </c>
    </row>
    <row r="562" spans="1:8" x14ac:dyDescent="0.25">
      <c r="A562" s="8" t="s">
        <v>149</v>
      </c>
      <c r="B562" s="8" t="s">
        <v>261</v>
      </c>
      <c r="C562" s="8" t="s">
        <v>81</v>
      </c>
      <c r="D562" s="10">
        <v>0</v>
      </c>
      <c r="E562" s="10">
        <f>_xll.AtlasFormulas.AtlasFunctions.AtlasBalance("PROD",DataAreaId,"T.InventTrans|inventDimId~inventDimId@T.InventDim","Sum|Qty|0","","","","","","","DateFinancial|ItemId|T2.InventSiteId|T2.InventLocationId",PeriodBeginning,$A562,$B562,$C562)</f>
        <v>0</v>
      </c>
      <c r="F562" s="10">
        <f>_xll.AtlasFormulas.AtlasFunctions.AtlasBalance("PROD",DataAreaId,"T.InventTrans|inventDimId~inventDimId@T.InventDim","Sum|Qty|0","","","","","","","DateFinancial|ItemId|T2.InventSiteId|T2.InventLocationId",PeriodEnding,$A562,$B562,$C562)</f>
        <v>0</v>
      </c>
      <c r="G562" s="10">
        <f>AtlasReport_3_Table_1[[#This Row],[Current On-hand]]-AtlasReport_3_Table_1[[#This Row],[Trans backwords (Beginning)]]</f>
        <v>0</v>
      </c>
      <c r="H562" s="10">
        <f>AtlasReport_3_Table_1[[#This Row],[Current On-hand]]-AtlasReport_3_Table_1[[#This Row],[Trans backwords (Ending)]]</f>
        <v>0</v>
      </c>
    </row>
    <row r="563" spans="1:8" x14ac:dyDescent="0.25">
      <c r="A563" s="8" t="s">
        <v>149</v>
      </c>
      <c r="B563" s="8" t="s">
        <v>261</v>
      </c>
      <c r="C563" s="8" t="s">
        <v>289</v>
      </c>
      <c r="D563" s="10">
        <v>1</v>
      </c>
      <c r="E563" s="10">
        <f>_xll.AtlasFormulas.AtlasFunctions.AtlasBalance("PROD",DataAreaId,"T.InventTrans|inventDimId~inventDimId@T.InventDim","Sum|Qty|0","","","","","","","DateFinancial|ItemId|T2.InventSiteId|T2.InventLocationId",PeriodBeginning,$A563,$B563,$C563)</f>
        <v>0</v>
      </c>
      <c r="F563" s="10">
        <f>_xll.AtlasFormulas.AtlasFunctions.AtlasBalance("PROD",DataAreaId,"T.InventTrans|inventDimId~inventDimId@T.InventDim","Sum|Qty|0","","","","","","","DateFinancial|ItemId|T2.InventSiteId|T2.InventLocationId",PeriodEnding,$A563,$B563,$C563)</f>
        <v>0</v>
      </c>
      <c r="G563" s="10">
        <f>AtlasReport_3_Table_1[[#This Row],[Current On-hand]]-AtlasReport_3_Table_1[[#This Row],[Trans backwords (Beginning)]]</f>
        <v>1</v>
      </c>
      <c r="H563" s="10">
        <f>AtlasReport_3_Table_1[[#This Row],[Current On-hand]]-AtlasReport_3_Table_1[[#This Row],[Trans backwords (Ending)]]</f>
        <v>1</v>
      </c>
    </row>
    <row r="564" spans="1:8" x14ac:dyDescent="0.25">
      <c r="A564" s="8" t="s">
        <v>149</v>
      </c>
      <c r="B564" s="8" t="s">
        <v>261</v>
      </c>
      <c r="C564" s="8" t="s">
        <v>262</v>
      </c>
      <c r="D564" s="10">
        <v>0</v>
      </c>
      <c r="E564" s="10">
        <f>_xll.AtlasFormulas.AtlasFunctions.AtlasBalance("PROD",DataAreaId,"T.InventTrans|inventDimId~inventDimId@T.InventDim","Sum|Qty|0","","","","","","","DateFinancial|ItemId|T2.InventSiteId|T2.InventLocationId",PeriodBeginning,$A564,$B564,$C564)</f>
        <v>0</v>
      </c>
      <c r="F564" s="10">
        <f>_xll.AtlasFormulas.AtlasFunctions.AtlasBalance("PROD",DataAreaId,"T.InventTrans|inventDimId~inventDimId@T.InventDim","Sum|Qty|0","","","","","","","DateFinancial|ItemId|T2.InventSiteId|T2.InventLocationId",PeriodEnding,$A564,$B564,$C564)</f>
        <v>0</v>
      </c>
      <c r="G564" s="10">
        <f>AtlasReport_3_Table_1[[#This Row],[Current On-hand]]-AtlasReport_3_Table_1[[#This Row],[Trans backwords (Beginning)]]</f>
        <v>0</v>
      </c>
      <c r="H564" s="10">
        <f>AtlasReport_3_Table_1[[#This Row],[Current On-hand]]-AtlasReport_3_Table_1[[#This Row],[Trans backwords (Ending)]]</f>
        <v>0</v>
      </c>
    </row>
    <row r="565" spans="1:8" x14ac:dyDescent="0.25">
      <c r="A565" s="8" t="s">
        <v>149</v>
      </c>
      <c r="B565" s="8" t="s">
        <v>261</v>
      </c>
      <c r="C565" s="8" t="s">
        <v>264</v>
      </c>
      <c r="D565" s="10">
        <v>559</v>
      </c>
      <c r="E565" s="10">
        <f>_xll.AtlasFormulas.AtlasFunctions.AtlasBalance("PROD",DataAreaId,"T.InventTrans|inventDimId~inventDimId@T.InventDim","Sum|Qty|0","","","","","","","DateFinancial|ItemId|T2.InventSiteId|T2.InventLocationId",PeriodBeginning,$A565,$B565,$C565)</f>
        <v>-2</v>
      </c>
      <c r="F565" s="10">
        <f>_xll.AtlasFormulas.AtlasFunctions.AtlasBalance("PROD",DataAreaId,"T.InventTrans|inventDimId~inventDimId@T.InventDim","Sum|Qty|0","","","","","","","DateFinancial|ItemId|T2.InventSiteId|T2.InventLocationId",PeriodEnding,$A565,$B565,$C565)</f>
        <v>0</v>
      </c>
      <c r="G565" s="10">
        <f>AtlasReport_3_Table_1[[#This Row],[Current On-hand]]-AtlasReport_3_Table_1[[#This Row],[Trans backwords (Beginning)]]</f>
        <v>561</v>
      </c>
      <c r="H565" s="10">
        <f>AtlasReport_3_Table_1[[#This Row],[Current On-hand]]-AtlasReport_3_Table_1[[#This Row],[Trans backwords (Ending)]]</f>
        <v>559</v>
      </c>
    </row>
    <row r="566" spans="1:8" x14ac:dyDescent="0.25">
      <c r="A566" s="8" t="s">
        <v>149</v>
      </c>
      <c r="B566" s="8" t="s">
        <v>261</v>
      </c>
      <c r="C566" s="8" t="s">
        <v>265</v>
      </c>
      <c r="D566" s="10">
        <v>0</v>
      </c>
      <c r="E566" s="10">
        <f>_xll.AtlasFormulas.AtlasFunctions.AtlasBalance("PROD",DataAreaId,"T.InventTrans|inventDimId~inventDimId@T.InventDim","Sum|Qty|0","","","","","","","DateFinancial|ItemId|T2.InventSiteId|T2.InventLocationId",PeriodBeginning,$A566,$B566,$C566)</f>
        <v>0</v>
      </c>
      <c r="F566" s="10">
        <f>_xll.AtlasFormulas.AtlasFunctions.AtlasBalance("PROD",DataAreaId,"T.InventTrans|inventDimId~inventDimId@T.InventDim","Sum|Qty|0","","","","","","","DateFinancial|ItemId|T2.InventSiteId|T2.InventLocationId",PeriodEnding,$A566,$B566,$C566)</f>
        <v>0</v>
      </c>
      <c r="G566" s="10">
        <f>AtlasReport_3_Table_1[[#This Row],[Current On-hand]]-AtlasReport_3_Table_1[[#This Row],[Trans backwords (Beginning)]]</f>
        <v>0</v>
      </c>
      <c r="H566" s="10">
        <f>AtlasReport_3_Table_1[[#This Row],[Current On-hand]]-AtlasReport_3_Table_1[[#This Row],[Trans backwords (Ending)]]</f>
        <v>0</v>
      </c>
    </row>
    <row r="567" spans="1:8" x14ac:dyDescent="0.25">
      <c r="A567" s="8" t="s">
        <v>450</v>
      </c>
      <c r="B567" s="8" t="s">
        <v>261</v>
      </c>
      <c r="C567" s="8" t="s">
        <v>81</v>
      </c>
      <c r="D567" s="10">
        <v>0</v>
      </c>
      <c r="E567" s="10">
        <f>_xll.AtlasFormulas.AtlasFunctions.AtlasBalance("PROD",DataAreaId,"T.InventTrans|inventDimId~inventDimId@T.InventDim","Sum|Qty|0","","","","","","","DateFinancial|ItemId|T2.InventSiteId|T2.InventLocationId",PeriodBeginning,$A567,$B567,$C567)</f>
        <v>0</v>
      </c>
      <c r="F567" s="10">
        <f>_xll.AtlasFormulas.AtlasFunctions.AtlasBalance("PROD",DataAreaId,"T.InventTrans|inventDimId~inventDimId@T.InventDim","Sum|Qty|0","","","","","","","DateFinancial|ItemId|T2.InventSiteId|T2.InventLocationId",PeriodEnding,$A567,$B567,$C567)</f>
        <v>0</v>
      </c>
      <c r="G567" s="10">
        <f>AtlasReport_3_Table_1[[#This Row],[Current On-hand]]-AtlasReport_3_Table_1[[#This Row],[Trans backwords (Beginning)]]</f>
        <v>0</v>
      </c>
      <c r="H567" s="10">
        <f>AtlasReport_3_Table_1[[#This Row],[Current On-hand]]-AtlasReport_3_Table_1[[#This Row],[Trans backwords (Ending)]]</f>
        <v>0</v>
      </c>
    </row>
    <row r="568" spans="1:8" x14ac:dyDescent="0.25">
      <c r="A568" s="8" t="s">
        <v>450</v>
      </c>
      <c r="B568" s="8" t="s">
        <v>261</v>
      </c>
      <c r="C568" s="8" t="s">
        <v>262</v>
      </c>
      <c r="D568" s="10">
        <v>0</v>
      </c>
      <c r="E568" s="10">
        <f>_xll.AtlasFormulas.AtlasFunctions.AtlasBalance("PROD",DataAreaId,"T.InventTrans|inventDimId~inventDimId@T.InventDim","Sum|Qty|0","","","","","","","DateFinancial|ItemId|T2.InventSiteId|T2.InventLocationId",PeriodBeginning,$A568,$B568,$C568)</f>
        <v>0</v>
      </c>
      <c r="F568" s="10">
        <f>_xll.AtlasFormulas.AtlasFunctions.AtlasBalance("PROD",DataAreaId,"T.InventTrans|inventDimId~inventDimId@T.InventDim","Sum|Qty|0","","","","","","","DateFinancial|ItemId|T2.InventSiteId|T2.InventLocationId",PeriodEnding,$A568,$B568,$C568)</f>
        <v>0</v>
      </c>
      <c r="G568" s="10">
        <f>AtlasReport_3_Table_1[[#This Row],[Current On-hand]]-AtlasReport_3_Table_1[[#This Row],[Trans backwords (Beginning)]]</f>
        <v>0</v>
      </c>
      <c r="H568" s="10">
        <f>AtlasReport_3_Table_1[[#This Row],[Current On-hand]]-AtlasReport_3_Table_1[[#This Row],[Trans backwords (Ending)]]</f>
        <v>0</v>
      </c>
    </row>
    <row r="569" spans="1:8" x14ac:dyDescent="0.25">
      <c r="A569" s="8" t="s">
        <v>450</v>
      </c>
      <c r="B569" s="8" t="s">
        <v>261</v>
      </c>
      <c r="C569" s="8" t="s">
        <v>264</v>
      </c>
      <c r="D569" s="10">
        <v>0</v>
      </c>
      <c r="E569" s="10">
        <f>_xll.AtlasFormulas.AtlasFunctions.AtlasBalance("PROD",DataAreaId,"T.InventTrans|inventDimId~inventDimId@T.InventDim","Sum|Qty|0","","","","","","","DateFinancial|ItemId|T2.InventSiteId|T2.InventLocationId",PeriodBeginning,$A569,$B569,$C569)</f>
        <v>0</v>
      </c>
      <c r="F569" s="10">
        <f>_xll.AtlasFormulas.AtlasFunctions.AtlasBalance("PROD",DataAreaId,"T.InventTrans|inventDimId~inventDimId@T.InventDim","Sum|Qty|0","","","","","","","DateFinancial|ItemId|T2.InventSiteId|T2.InventLocationId",PeriodEnding,$A569,$B569,$C569)</f>
        <v>0</v>
      </c>
      <c r="G569" s="10">
        <f>AtlasReport_3_Table_1[[#This Row],[Current On-hand]]-AtlasReport_3_Table_1[[#This Row],[Trans backwords (Beginning)]]</f>
        <v>0</v>
      </c>
      <c r="H569" s="10">
        <f>AtlasReport_3_Table_1[[#This Row],[Current On-hand]]-AtlasReport_3_Table_1[[#This Row],[Trans backwords (Ending)]]</f>
        <v>0</v>
      </c>
    </row>
    <row r="570" spans="1:8" x14ac:dyDescent="0.25">
      <c r="A570" s="8" t="s">
        <v>451</v>
      </c>
      <c r="B570" s="8" t="s">
        <v>261</v>
      </c>
      <c r="C570" s="8" t="s">
        <v>264</v>
      </c>
      <c r="D570" s="10">
        <v>162</v>
      </c>
      <c r="E570" s="10">
        <f>_xll.AtlasFormulas.AtlasFunctions.AtlasBalance("PROD",DataAreaId,"T.InventTrans|inventDimId~inventDimId@T.InventDim","Sum|Qty|0","","","","","","","DateFinancial|ItemId|T2.InventSiteId|T2.InventLocationId",PeriodBeginning,$A570,$B570,$C570)</f>
        <v>1</v>
      </c>
      <c r="F570" s="10">
        <f>_xll.AtlasFormulas.AtlasFunctions.AtlasBalance("PROD",DataAreaId,"T.InventTrans|inventDimId~inventDimId@T.InventDim","Sum|Qty|0","","","","","","","DateFinancial|ItemId|T2.InventSiteId|T2.InventLocationId",PeriodEnding,$A570,$B570,$C570)</f>
        <v>0</v>
      </c>
      <c r="G570" s="10">
        <f>AtlasReport_3_Table_1[[#This Row],[Current On-hand]]-AtlasReport_3_Table_1[[#This Row],[Trans backwords (Beginning)]]</f>
        <v>161</v>
      </c>
      <c r="H570" s="10">
        <f>AtlasReport_3_Table_1[[#This Row],[Current On-hand]]-AtlasReport_3_Table_1[[#This Row],[Trans backwords (Ending)]]</f>
        <v>162</v>
      </c>
    </row>
    <row r="571" spans="1:8" x14ac:dyDescent="0.25">
      <c r="A571" s="8" t="s">
        <v>452</v>
      </c>
      <c r="B571" s="8" t="s">
        <v>261</v>
      </c>
      <c r="C571" s="8" t="s">
        <v>264</v>
      </c>
      <c r="D571" s="10">
        <v>2269</v>
      </c>
      <c r="E571" s="10">
        <f>_xll.AtlasFormulas.AtlasFunctions.AtlasBalance("PROD",DataAreaId,"T.InventTrans|inventDimId~inventDimId@T.InventDim","Sum|Qty|0","","","","","","","DateFinancial|ItemId|T2.InventSiteId|T2.InventLocationId",PeriodBeginning,$A571,$B571,$C571)</f>
        <v>6</v>
      </c>
      <c r="F571" s="10">
        <f>_xll.AtlasFormulas.AtlasFunctions.AtlasBalance("PROD",DataAreaId,"T.InventTrans|inventDimId~inventDimId@T.InventDim","Sum|Qty|0","","","","","","","DateFinancial|ItemId|T2.InventSiteId|T2.InventLocationId",PeriodEnding,$A571,$B571,$C571)</f>
        <v>0</v>
      </c>
      <c r="G571" s="10">
        <f>AtlasReport_3_Table_1[[#This Row],[Current On-hand]]-AtlasReport_3_Table_1[[#This Row],[Trans backwords (Beginning)]]</f>
        <v>2263</v>
      </c>
      <c r="H571" s="10">
        <f>AtlasReport_3_Table_1[[#This Row],[Current On-hand]]-AtlasReport_3_Table_1[[#This Row],[Trans backwords (Ending)]]</f>
        <v>2269</v>
      </c>
    </row>
    <row r="572" spans="1:8" x14ac:dyDescent="0.25">
      <c r="A572" s="8" t="s">
        <v>114</v>
      </c>
      <c r="B572" s="8" t="s">
        <v>261</v>
      </c>
      <c r="C572" s="8" t="s">
        <v>81</v>
      </c>
      <c r="D572" s="10">
        <v>0</v>
      </c>
      <c r="E572" s="10">
        <f>_xll.AtlasFormulas.AtlasFunctions.AtlasBalance("PROD",DataAreaId,"T.InventTrans|inventDimId~inventDimId@T.InventDim","Sum|Qty|0","","","","","","","DateFinancial|ItemId|T2.InventSiteId|T2.InventLocationId",PeriodBeginning,$A572,$B572,$C572)</f>
        <v>0</v>
      </c>
      <c r="F572" s="10">
        <f>_xll.AtlasFormulas.AtlasFunctions.AtlasBalance("PROD",DataAreaId,"T.InventTrans|inventDimId~inventDimId@T.InventDim","Sum|Qty|0","","","","","","","DateFinancial|ItemId|T2.InventSiteId|T2.InventLocationId",PeriodEnding,$A572,$B572,$C572)</f>
        <v>0</v>
      </c>
      <c r="G572" s="10">
        <f>AtlasReport_3_Table_1[[#This Row],[Current On-hand]]-AtlasReport_3_Table_1[[#This Row],[Trans backwords (Beginning)]]</f>
        <v>0</v>
      </c>
      <c r="H572" s="10">
        <f>AtlasReport_3_Table_1[[#This Row],[Current On-hand]]-AtlasReport_3_Table_1[[#This Row],[Trans backwords (Ending)]]</f>
        <v>0</v>
      </c>
    </row>
    <row r="573" spans="1:8" x14ac:dyDescent="0.25">
      <c r="A573" s="8" t="s">
        <v>114</v>
      </c>
      <c r="B573" s="8" t="s">
        <v>261</v>
      </c>
      <c r="C573" s="8" t="s">
        <v>262</v>
      </c>
      <c r="D573" s="10">
        <v>0</v>
      </c>
      <c r="E573" s="10">
        <f>_xll.AtlasFormulas.AtlasFunctions.AtlasBalance("PROD",DataAreaId,"T.InventTrans|inventDimId~inventDimId@T.InventDim","Sum|Qty|0","","","","","","","DateFinancial|ItemId|T2.InventSiteId|T2.InventLocationId",PeriodBeginning,$A573,$B573,$C573)</f>
        <v>0</v>
      </c>
      <c r="F573" s="10">
        <f>_xll.AtlasFormulas.AtlasFunctions.AtlasBalance("PROD",DataAreaId,"T.InventTrans|inventDimId~inventDimId@T.InventDim","Sum|Qty|0","","","","","","","DateFinancial|ItemId|T2.InventSiteId|T2.InventLocationId",PeriodEnding,$A573,$B573,$C573)</f>
        <v>0</v>
      </c>
      <c r="G573" s="10">
        <f>AtlasReport_3_Table_1[[#This Row],[Current On-hand]]-AtlasReport_3_Table_1[[#This Row],[Trans backwords (Beginning)]]</f>
        <v>0</v>
      </c>
      <c r="H573" s="10">
        <f>AtlasReport_3_Table_1[[#This Row],[Current On-hand]]-AtlasReport_3_Table_1[[#This Row],[Trans backwords (Ending)]]</f>
        <v>0</v>
      </c>
    </row>
    <row r="574" spans="1:8" x14ac:dyDescent="0.25">
      <c r="A574" s="8" t="s">
        <v>114</v>
      </c>
      <c r="B574" s="8" t="s">
        <v>261</v>
      </c>
      <c r="C574" s="8" t="s">
        <v>264</v>
      </c>
      <c r="D574" s="10">
        <v>44</v>
      </c>
      <c r="E574" s="10">
        <f>_xll.AtlasFormulas.AtlasFunctions.AtlasBalance("PROD",DataAreaId,"T.InventTrans|inventDimId~inventDimId@T.InventDim","Sum|Qty|0","","","","","","","DateFinancial|ItemId|T2.InventSiteId|T2.InventLocationId",PeriodBeginning,$A574,$B574,$C574)</f>
        <v>-1</v>
      </c>
      <c r="F574" s="10">
        <f>_xll.AtlasFormulas.AtlasFunctions.AtlasBalance("PROD",DataAreaId,"T.InventTrans|inventDimId~inventDimId@T.InventDim","Sum|Qty|0","","","","","","","DateFinancial|ItemId|T2.InventSiteId|T2.InventLocationId",PeriodEnding,$A574,$B574,$C574)</f>
        <v>0</v>
      </c>
      <c r="G574" s="10">
        <f>AtlasReport_3_Table_1[[#This Row],[Current On-hand]]-AtlasReport_3_Table_1[[#This Row],[Trans backwords (Beginning)]]</f>
        <v>45</v>
      </c>
      <c r="H574" s="10">
        <f>AtlasReport_3_Table_1[[#This Row],[Current On-hand]]-AtlasReport_3_Table_1[[#This Row],[Trans backwords (Ending)]]</f>
        <v>44</v>
      </c>
    </row>
    <row r="575" spans="1:8" x14ac:dyDescent="0.25">
      <c r="A575" s="8" t="s">
        <v>453</v>
      </c>
      <c r="B575" s="8" t="s">
        <v>261</v>
      </c>
      <c r="C575" s="8" t="s">
        <v>264</v>
      </c>
      <c r="D575" s="10">
        <v>0</v>
      </c>
      <c r="E575" s="10">
        <f>_xll.AtlasFormulas.AtlasFunctions.AtlasBalance("PROD",DataAreaId,"T.InventTrans|inventDimId~inventDimId@T.InventDim","Sum|Qty|0","","","","","","","DateFinancial|ItemId|T2.InventSiteId|T2.InventLocationId",PeriodBeginning,$A575,$B575,$C575)</f>
        <v>0</v>
      </c>
      <c r="F575" s="10">
        <f>_xll.AtlasFormulas.AtlasFunctions.AtlasBalance("PROD",DataAreaId,"T.InventTrans|inventDimId~inventDimId@T.InventDim","Sum|Qty|0","","","","","","","DateFinancial|ItemId|T2.InventSiteId|T2.InventLocationId",PeriodEnding,$A575,$B575,$C575)</f>
        <v>0</v>
      </c>
      <c r="G575" s="10">
        <f>AtlasReport_3_Table_1[[#This Row],[Current On-hand]]-AtlasReport_3_Table_1[[#This Row],[Trans backwords (Beginning)]]</f>
        <v>0</v>
      </c>
      <c r="H575" s="10">
        <f>AtlasReport_3_Table_1[[#This Row],[Current On-hand]]-AtlasReport_3_Table_1[[#This Row],[Trans backwords (Ending)]]</f>
        <v>0</v>
      </c>
    </row>
    <row r="576" spans="1:8" x14ac:dyDescent="0.25">
      <c r="A576" s="8" t="s">
        <v>454</v>
      </c>
      <c r="B576" s="8" t="s">
        <v>261</v>
      </c>
      <c r="C576" s="8" t="s">
        <v>264</v>
      </c>
      <c r="D576" s="10">
        <v>0</v>
      </c>
      <c r="E576" s="10">
        <f>_xll.AtlasFormulas.AtlasFunctions.AtlasBalance("PROD",DataAreaId,"T.InventTrans|inventDimId~inventDimId@T.InventDim","Sum|Qty|0","","","","","","","DateFinancial|ItemId|T2.InventSiteId|T2.InventLocationId",PeriodBeginning,$A576,$B576,$C576)</f>
        <v>0</v>
      </c>
      <c r="F576" s="10">
        <f>_xll.AtlasFormulas.AtlasFunctions.AtlasBalance("PROD",DataAreaId,"T.InventTrans|inventDimId~inventDimId@T.InventDim","Sum|Qty|0","","","","","","","DateFinancial|ItemId|T2.InventSiteId|T2.InventLocationId",PeriodEnding,$A576,$B576,$C576)</f>
        <v>0</v>
      </c>
      <c r="G576" s="10">
        <f>AtlasReport_3_Table_1[[#This Row],[Current On-hand]]-AtlasReport_3_Table_1[[#This Row],[Trans backwords (Beginning)]]</f>
        <v>0</v>
      </c>
      <c r="H576" s="10">
        <f>AtlasReport_3_Table_1[[#This Row],[Current On-hand]]-AtlasReport_3_Table_1[[#This Row],[Trans backwords (Ending)]]</f>
        <v>0</v>
      </c>
    </row>
    <row r="577" spans="1:8" x14ac:dyDescent="0.25">
      <c r="A577" s="8" t="s">
        <v>455</v>
      </c>
      <c r="B577" s="8" t="s">
        <v>261</v>
      </c>
      <c r="C577" s="8" t="s">
        <v>81</v>
      </c>
      <c r="D577" s="10">
        <v>0</v>
      </c>
      <c r="E577" s="10">
        <f>_xll.AtlasFormulas.AtlasFunctions.AtlasBalance("PROD",DataAreaId,"T.InventTrans|inventDimId~inventDimId@T.InventDim","Sum|Qty|0","","","","","","","DateFinancial|ItemId|T2.InventSiteId|T2.InventLocationId",PeriodBeginning,$A577,$B577,$C577)</f>
        <v>0</v>
      </c>
      <c r="F577" s="10">
        <f>_xll.AtlasFormulas.AtlasFunctions.AtlasBalance("PROD",DataAreaId,"T.InventTrans|inventDimId~inventDimId@T.InventDim","Sum|Qty|0","","","","","","","DateFinancial|ItemId|T2.InventSiteId|T2.InventLocationId",PeriodEnding,$A577,$B577,$C577)</f>
        <v>0</v>
      </c>
      <c r="G577" s="10">
        <f>AtlasReport_3_Table_1[[#This Row],[Current On-hand]]-AtlasReport_3_Table_1[[#This Row],[Trans backwords (Beginning)]]</f>
        <v>0</v>
      </c>
      <c r="H577" s="10">
        <f>AtlasReport_3_Table_1[[#This Row],[Current On-hand]]-AtlasReport_3_Table_1[[#This Row],[Trans backwords (Ending)]]</f>
        <v>0</v>
      </c>
    </row>
    <row r="578" spans="1:8" x14ac:dyDescent="0.25">
      <c r="A578" s="8" t="s">
        <v>455</v>
      </c>
      <c r="B578" s="8" t="s">
        <v>261</v>
      </c>
      <c r="C578" s="8" t="s">
        <v>264</v>
      </c>
      <c r="D578" s="10">
        <v>59</v>
      </c>
      <c r="E578" s="10">
        <f>_xll.AtlasFormulas.AtlasFunctions.AtlasBalance("PROD",DataAreaId,"T.InventTrans|inventDimId~inventDimId@T.InventDim","Sum|Qty|0","","","","","","","DateFinancial|ItemId|T2.InventSiteId|T2.InventLocationId",PeriodBeginning,$A578,$B578,$C578)</f>
        <v>6</v>
      </c>
      <c r="F578" s="10">
        <f>_xll.AtlasFormulas.AtlasFunctions.AtlasBalance("PROD",DataAreaId,"T.InventTrans|inventDimId~inventDimId@T.InventDim","Sum|Qty|0","","","","","","","DateFinancial|ItemId|T2.InventSiteId|T2.InventLocationId",PeriodEnding,$A578,$B578,$C578)</f>
        <v>0</v>
      </c>
      <c r="G578" s="10">
        <f>AtlasReport_3_Table_1[[#This Row],[Current On-hand]]-AtlasReport_3_Table_1[[#This Row],[Trans backwords (Beginning)]]</f>
        <v>53</v>
      </c>
      <c r="H578" s="10">
        <f>AtlasReport_3_Table_1[[#This Row],[Current On-hand]]-AtlasReport_3_Table_1[[#This Row],[Trans backwords (Ending)]]</f>
        <v>59</v>
      </c>
    </row>
    <row r="579" spans="1:8" x14ac:dyDescent="0.25">
      <c r="A579" s="8" t="s">
        <v>456</v>
      </c>
      <c r="B579" s="8" t="s">
        <v>261</v>
      </c>
      <c r="C579" s="8" t="s">
        <v>81</v>
      </c>
      <c r="D579" s="10">
        <v>0</v>
      </c>
      <c r="E579" s="10">
        <f>_xll.AtlasFormulas.AtlasFunctions.AtlasBalance("PROD",DataAreaId,"T.InventTrans|inventDimId~inventDimId@T.InventDim","Sum|Qty|0","","","","","","","DateFinancial|ItemId|T2.InventSiteId|T2.InventLocationId",PeriodBeginning,$A579,$B579,$C579)</f>
        <v>0</v>
      </c>
      <c r="F579" s="10">
        <f>_xll.AtlasFormulas.AtlasFunctions.AtlasBalance("PROD",DataAreaId,"T.InventTrans|inventDimId~inventDimId@T.InventDim","Sum|Qty|0","","","","","","","DateFinancial|ItemId|T2.InventSiteId|T2.InventLocationId",PeriodEnding,$A579,$B579,$C579)</f>
        <v>0</v>
      </c>
      <c r="G579" s="10">
        <f>AtlasReport_3_Table_1[[#This Row],[Current On-hand]]-AtlasReport_3_Table_1[[#This Row],[Trans backwords (Beginning)]]</f>
        <v>0</v>
      </c>
      <c r="H579" s="10">
        <f>AtlasReport_3_Table_1[[#This Row],[Current On-hand]]-AtlasReport_3_Table_1[[#This Row],[Trans backwords (Ending)]]</f>
        <v>0</v>
      </c>
    </row>
    <row r="580" spans="1:8" x14ac:dyDescent="0.25">
      <c r="A580" s="8" t="s">
        <v>456</v>
      </c>
      <c r="B580" s="8" t="s">
        <v>261</v>
      </c>
      <c r="C580" s="8" t="s">
        <v>264</v>
      </c>
      <c r="D580" s="10">
        <v>0</v>
      </c>
      <c r="E580" s="10">
        <f>_xll.AtlasFormulas.AtlasFunctions.AtlasBalance("PROD",DataAreaId,"T.InventTrans|inventDimId~inventDimId@T.InventDim","Sum|Qty|0","","","","","","","DateFinancial|ItemId|T2.InventSiteId|T2.InventLocationId",PeriodBeginning,$A580,$B580,$C580)</f>
        <v>0</v>
      </c>
      <c r="F580" s="10">
        <f>_xll.AtlasFormulas.AtlasFunctions.AtlasBalance("PROD",DataAreaId,"T.InventTrans|inventDimId~inventDimId@T.InventDim","Sum|Qty|0","","","","","","","DateFinancial|ItemId|T2.InventSiteId|T2.InventLocationId",PeriodEnding,$A580,$B580,$C580)</f>
        <v>0</v>
      </c>
      <c r="G580" s="10">
        <f>AtlasReport_3_Table_1[[#This Row],[Current On-hand]]-AtlasReport_3_Table_1[[#This Row],[Trans backwords (Beginning)]]</f>
        <v>0</v>
      </c>
      <c r="H580" s="10">
        <f>AtlasReport_3_Table_1[[#This Row],[Current On-hand]]-AtlasReport_3_Table_1[[#This Row],[Trans backwords (Ending)]]</f>
        <v>0</v>
      </c>
    </row>
    <row r="581" spans="1:8" x14ac:dyDescent="0.25">
      <c r="A581" s="8" t="s">
        <v>457</v>
      </c>
      <c r="B581" s="8" t="s">
        <v>261</v>
      </c>
      <c r="C581" s="8" t="s">
        <v>81</v>
      </c>
      <c r="D581" s="10">
        <v>0</v>
      </c>
      <c r="E581" s="10">
        <f>_xll.AtlasFormulas.AtlasFunctions.AtlasBalance("PROD",DataAreaId,"T.InventTrans|inventDimId~inventDimId@T.InventDim","Sum|Qty|0","","","","","","","DateFinancial|ItemId|T2.InventSiteId|T2.InventLocationId",PeriodBeginning,$A581,$B581,$C581)</f>
        <v>0</v>
      </c>
      <c r="F581" s="10">
        <f>_xll.AtlasFormulas.AtlasFunctions.AtlasBalance("PROD",DataAreaId,"T.InventTrans|inventDimId~inventDimId@T.InventDim","Sum|Qty|0","","","","","","","DateFinancial|ItemId|T2.InventSiteId|T2.InventLocationId",PeriodEnding,$A581,$B581,$C581)</f>
        <v>0</v>
      </c>
      <c r="G581" s="10">
        <f>AtlasReport_3_Table_1[[#This Row],[Current On-hand]]-AtlasReport_3_Table_1[[#This Row],[Trans backwords (Beginning)]]</f>
        <v>0</v>
      </c>
      <c r="H581" s="10">
        <f>AtlasReport_3_Table_1[[#This Row],[Current On-hand]]-AtlasReport_3_Table_1[[#This Row],[Trans backwords (Ending)]]</f>
        <v>0</v>
      </c>
    </row>
    <row r="582" spans="1:8" x14ac:dyDescent="0.25">
      <c r="A582" s="8" t="s">
        <v>457</v>
      </c>
      <c r="B582" s="8" t="s">
        <v>261</v>
      </c>
      <c r="C582" s="8" t="s">
        <v>305</v>
      </c>
      <c r="D582" s="10">
        <v>0</v>
      </c>
      <c r="E582" s="10">
        <f>_xll.AtlasFormulas.AtlasFunctions.AtlasBalance("PROD",DataAreaId,"T.InventTrans|inventDimId~inventDimId@T.InventDim","Sum|Qty|0","","","","","","","DateFinancial|ItemId|T2.InventSiteId|T2.InventLocationId",PeriodBeginning,$A582,$B582,$C582)</f>
        <v>0</v>
      </c>
      <c r="F582" s="10">
        <f>_xll.AtlasFormulas.AtlasFunctions.AtlasBalance("PROD",DataAreaId,"T.InventTrans|inventDimId~inventDimId@T.InventDim","Sum|Qty|0","","","","","","","DateFinancial|ItemId|T2.InventSiteId|T2.InventLocationId",PeriodEnding,$A582,$B582,$C582)</f>
        <v>0</v>
      </c>
      <c r="G582" s="10">
        <f>AtlasReport_3_Table_1[[#This Row],[Current On-hand]]-AtlasReport_3_Table_1[[#This Row],[Trans backwords (Beginning)]]</f>
        <v>0</v>
      </c>
      <c r="H582" s="10">
        <f>AtlasReport_3_Table_1[[#This Row],[Current On-hand]]-AtlasReport_3_Table_1[[#This Row],[Trans backwords (Ending)]]</f>
        <v>0</v>
      </c>
    </row>
    <row r="583" spans="1:8" x14ac:dyDescent="0.25">
      <c r="A583" s="8" t="s">
        <v>457</v>
      </c>
      <c r="B583" s="8" t="s">
        <v>261</v>
      </c>
      <c r="C583" s="8" t="s">
        <v>262</v>
      </c>
      <c r="D583" s="10">
        <v>0</v>
      </c>
      <c r="E583" s="10">
        <f>_xll.AtlasFormulas.AtlasFunctions.AtlasBalance("PROD",DataAreaId,"T.InventTrans|inventDimId~inventDimId@T.InventDim","Sum|Qty|0","","","","","","","DateFinancial|ItemId|T2.InventSiteId|T2.InventLocationId",PeriodBeginning,$A583,$B583,$C583)</f>
        <v>0</v>
      </c>
      <c r="F583" s="10">
        <f>_xll.AtlasFormulas.AtlasFunctions.AtlasBalance("PROD",DataAreaId,"T.InventTrans|inventDimId~inventDimId@T.InventDim","Sum|Qty|0","","","","","","","DateFinancial|ItemId|T2.InventSiteId|T2.InventLocationId",PeriodEnding,$A583,$B583,$C583)</f>
        <v>0</v>
      </c>
      <c r="G583" s="10">
        <f>AtlasReport_3_Table_1[[#This Row],[Current On-hand]]-AtlasReport_3_Table_1[[#This Row],[Trans backwords (Beginning)]]</f>
        <v>0</v>
      </c>
      <c r="H583" s="10">
        <f>AtlasReport_3_Table_1[[#This Row],[Current On-hand]]-AtlasReport_3_Table_1[[#This Row],[Trans backwords (Ending)]]</f>
        <v>0</v>
      </c>
    </row>
    <row r="584" spans="1:8" x14ac:dyDescent="0.25">
      <c r="A584" s="8" t="s">
        <v>457</v>
      </c>
      <c r="B584" s="8" t="s">
        <v>261</v>
      </c>
      <c r="C584" s="8" t="s">
        <v>264</v>
      </c>
      <c r="D584" s="10">
        <v>0</v>
      </c>
      <c r="E584" s="10">
        <f>_xll.AtlasFormulas.AtlasFunctions.AtlasBalance("PROD",DataAreaId,"T.InventTrans|inventDimId~inventDimId@T.InventDim","Sum|Qty|0","","","","","","","DateFinancial|ItemId|T2.InventSiteId|T2.InventLocationId",PeriodBeginning,$A584,$B584,$C584)</f>
        <v>-1</v>
      </c>
      <c r="F584" s="10">
        <f>_xll.AtlasFormulas.AtlasFunctions.AtlasBalance("PROD",DataAreaId,"T.InventTrans|inventDimId~inventDimId@T.InventDim","Sum|Qty|0","","","","","","","DateFinancial|ItemId|T2.InventSiteId|T2.InventLocationId",PeriodEnding,$A584,$B584,$C584)</f>
        <v>0</v>
      </c>
      <c r="G584" s="10">
        <f>AtlasReport_3_Table_1[[#This Row],[Current On-hand]]-AtlasReport_3_Table_1[[#This Row],[Trans backwords (Beginning)]]</f>
        <v>1</v>
      </c>
      <c r="H584" s="10">
        <f>AtlasReport_3_Table_1[[#This Row],[Current On-hand]]-AtlasReport_3_Table_1[[#This Row],[Trans backwords (Ending)]]</f>
        <v>0</v>
      </c>
    </row>
    <row r="585" spans="1:8" x14ac:dyDescent="0.25">
      <c r="A585" s="8" t="s">
        <v>23</v>
      </c>
      <c r="B585" s="8" t="s">
        <v>261</v>
      </c>
      <c r="C585" s="8" t="s">
        <v>81</v>
      </c>
      <c r="D585" s="10">
        <v>0</v>
      </c>
      <c r="E585" s="10">
        <f>_xll.AtlasFormulas.AtlasFunctions.AtlasBalance("PROD",DataAreaId,"T.InventTrans|inventDimId~inventDimId@T.InventDim","Sum|Qty|0","","","","","","","DateFinancial|ItemId|T2.InventSiteId|T2.InventLocationId",PeriodBeginning,$A585,$B585,$C585)</f>
        <v>0</v>
      </c>
      <c r="F585" s="10">
        <f>_xll.AtlasFormulas.AtlasFunctions.AtlasBalance("PROD",DataAreaId,"T.InventTrans|inventDimId~inventDimId@T.InventDim","Sum|Qty|0","","","","","","","DateFinancial|ItemId|T2.InventSiteId|T2.InventLocationId",PeriodEnding,$A585,$B585,$C585)</f>
        <v>0</v>
      </c>
      <c r="G585" s="10">
        <f>AtlasReport_3_Table_1[[#This Row],[Current On-hand]]-AtlasReport_3_Table_1[[#This Row],[Trans backwords (Beginning)]]</f>
        <v>0</v>
      </c>
      <c r="H585" s="10">
        <f>AtlasReport_3_Table_1[[#This Row],[Current On-hand]]-AtlasReport_3_Table_1[[#This Row],[Trans backwords (Ending)]]</f>
        <v>0</v>
      </c>
    </row>
    <row r="586" spans="1:8" x14ac:dyDescent="0.25">
      <c r="A586" s="8" t="s">
        <v>23</v>
      </c>
      <c r="B586" s="8" t="s">
        <v>261</v>
      </c>
      <c r="C586" s="8" t="s">
        <v>289</v>
      </c>
      <c r="D586" s="10">
        <v>0</v>
      </c>
      <c r="E586" s="10">
        <f>_xll.AtlasFormulas.AtlasFunctions.AtlasBalance("PROD",DataAreaId,"T.InventTrans|inventDimId~inventDimId@T.InventDim","Sum|Qty|0","","","","","","","DateFinancial|ItemId|T2.InventSiteId|T2.InventLocationId",PeriodBeginning,$A586,$B586,$C586)</f>
        <v>-2</v>
      </c>
      <c r="F586" s="10">
        <f>_xll.AtlasFormulas.AtlasFunctions.AtlasBalance("PROD",DataAreaId,"T.InventTrans|inventDimId~inventDimId@T.InventDim","Sum|Qty|0","","","","","","","DateFinancial|ItemId|T2.InventSiteId|T2.InventLocationId",PeriodEnding,$A586,$B586,$C586)</f>
        <v>0</v>
      </c>
      <c r="G586" s="10">
        <f>AtlasReport_3_Table_1[[#This Row],[Current On-hand]]-AtlasReport_3_Table_1[[#This Row],[Trans backwords (Beginning)]]</f>
        <v>2</v>
      </c>
      <c r="H586" s="10">
        <f>AtlasReport_3_Table_1[[#This Row],[Current On-hand]]-AtlasReport_3_Table_1[[#This Row],[Trans backwords (Ending)]]</f>
        <v>0</v>
      </c>
    </row>
    <row r="587" spans="1:8" x14ac:dyDescent="0.25">
      <c r="A587" s="8" t="s">
        <v>23</v>
      </c>
      <c r="B587" s="8" t="s">
        <v>261</v>
      </c>
      <c r="C587" s="8" t="s">
        <v>262</v>
      </c>
      <c r="D587" s="10">
        <v>0</v>
      </c>
      <c r="E587" s="10">
        <f>_xll.AtlasFormulas.AtlasFunctions.AtlasBalance("PROD",DataAreaId,"T.InventTrans|inventDimId~inventDimId@T.InventDim","Sum|Qty|0","","","","","","","DateFinancial|ItemId|T2.InventSiteId|T2.InventLocationId",PeriodBeginning,$A587,$B587,$C587)</f>
        <v>0</v>
      </c>
      <c r="F587" s="10">
        <f>_xll.AtlasFormulas.AtlasFunctions.AtlasBalance("PROD",DataAreaId,"T.InventTrans|inventDimId~inventDimId@T.InventDim","Sum|Qty|0","","","","","","","DateFinancial|ItemId|T2.InventSiteId|T2.InventLocationId",PeriodEnding,$A587,$B587,$C587)</f>
        <v>0</v>
      </c>
      <c r="G587" s="10">
        <f>AtlasReport_3_Table_1[[#This Row],[Current On-hand]]-AtlasReport_3_Table_1[[#This Row],[Trans backwords (Beginning)]]</f>
        <v>0</v>
      </c>
      <c r="H587" s="10">
        <f>AtlasReport_3_Table_1[[#This Row],[Current On-hand]]-AtlasReport_3_Table_1[[#This Row],[Trans backwords (Ending)]]</f>
        <v>0</v>
      </c>
    </row>
    <row r="588" spans="1:8" x14ac:dyDescent="0.25">
      <c r="A588" s="8" t="s">
        <v>23</v>
      </c>
      <c r="B588" s="8" t="s">
        <v>261</v>
      </c>
      <c r="C588" s="8" t="s">
        <v>264</v>
      </c>
      <c r="D588" s="10">
        <v>477</v>
      </c>
      <c r="E588" s="10">
        <f>_xll.AtlasFormulas.AtlasFunctions.AtlasBalance("PROD",DataAreaId,"T.InventTrans|inventDimId~inventDimId@T.InventDim","Sum|Qty|0","","","","","","","DateFinancial|ItemId|T2.InventSiteId|T2.InventLocationId",PeriodBeginning,$A588,$B588,$C588)</f>
        <v>-54</v>
      </c>
      <c r="F588" s="10">
        <f>_xll.AtlasFormulas.AtlasFunctions.AtlasBalance("PROD",DataAreaId,"T.InventTrans|inventDimId~inventDimId@T.InventDim","Sum|Qty|0","","","","","","","DateFinancial|ItemId|T2.InventSiteId|T2.InventLocationId",PeriodEnding,$A588,$B588,$C588)</f>
        <v>0</v>
      </c>
      <c r="G588" s="10">
        <f>AtlasReport_3_Table_1[[#This Row],[Current On-hand]]-AtlasReport_3_Table_1[[#This Row],[Trans backwords (Beginning)]]</f>
        <v>531</v>
      </c>
      <c r="H588" s="10">
        <f>AtlasReport_3_Table_1[[#This Row],[Current On-hand]]-AtlasReport_3_Table_1[[#This Row],[Trans backwords (Ending)]]</f>
        <v>477</v>
      </c>
    </row>
    <row r="589" spans="1:8" x14ac:dyDescent="0.25">
      <c r="A589" s="8" t="s">
        <v>23</v>
      </c>
      <c r="B589" s="8" t="s">
        <v>261</v>
      </c>
      <c r="C589" s="8" t="s">
        <v>265</v>
      </c>
      <c r="D589" s="10">
        <v>0</v>
      </c>
      <c r="E589" s="10">
        <f>_xll.AtlasFormulas.AtlasFunctions.AtlasBalance("PROD",DataAreaId,"T.InventTrans|inventDimId~inventDimId@T.InventDim","Sum|Qty|0","","","","","","","DateFinancial|ItemId|T2.InventSiteId|T2.InventLocationId",PeriodBeginning,$A589,$B589,$C589)</f>
        <v>0</v>
      </c>
      <c r="F589" s="10">
        <f>_xll.AtlasFormulas.AtlasFunctions.AtlasBalance("PROD",DataAreaId,"T.InventTrans|inventDimId~inventDimId@T.InventDim","Sum|Qty|0","","","","","","","DateFinancial|ItemId|T2.InventSiteId|T2.InventLocationId",PeriodEnding,$A589,$B589,$C589)</f>
        <v>0</v>
      </c>
      <c r="G589" s="10">
        <f>AtlasReport_3_Table_1[[#This Row],[Current On-hand]]-AtlasReport_3_Table_1[[#This Row],[Trans backwords (Beginning)]]</f>
        <v>0</v>
      </c>
      <c r="H589" s="10">
        <f>AtlasReport_3_Table_1[[#This Row],[Current On-hand]]-AtlasReport_3_Table_1[[#This Row],[Trans backwords (Ending)]]</f>
        <v>0</v>
      </c>
    </row>
    <row r="590" spans="1:8" x14ac:dyDescent="0.25">
      <c r="A590" s="8" t="s">
        <v>67</v>
      </c>
      <c r="B590" s="8" t="s">
        <v>261</v>
      </c>
      <c r="C590" s="8" t="s">
        <v>81</v>
      </c>
      <c r="D590" s="10">
        <v>0</v>
      </c>
      <c r="E590" s="10">
        <f>_xll.AtlasFormulas.AtlasFunctions.AtlasBalance("PROD",DataAreaId,"T.InventTrans|inventDimId~inventDimId@T.InventDim","Sum|Qty|0","","","","","","","DateFinancial|ItemId|T2.InventSiteId|T2.InventLocationId",PeriodBeginning,$A590,$B590,$C590)</f>
        <v>0</v>
      </c>
      <c r="F590" s="10">
        <f>_xll.AtlasFormulas.AtlasFunctions.AtlasBalance("PROD",DataAreaId,"T.InventTrans|inventDimId~inventDimId@T.InventDim","Sum|Qty|0","","","","","","","DateFinancial|ItemId|T2.InventSiteId|T2.InventLocationId",PeriodEnding,$A590,$B590,$C590)</f>
        <v>0</v>
      </c>
      <c r="G590" s="10">
        <f>AtlasReport_3_Table_1[[#This Row],[Current On-hand]]-AtlasReport_3_Table_1[[#This Row],[Trans backwords (Beginning)]]</f>
        <v>0</v>
      </c>
      <c r="H590" s="10">
        <f>AtlasReport_3_Table_1[[#This Row],[Current On-hand]]-AtlasReport_3_Table_1[[#This Row],[Trans backwords (Ending)]]</f>
        <v>0</v>
      </c>
    </row>
    <row r="591" spans="1:8" x14ac:dyDescent="0.25">
      <c r="A591" s="8" t="s">
        <v>67</v>
      </c>
      <c r="B591" s="8" t="s">
        <v>261</v>
      </c>
      <c r="C591" s="8" t="s">
        <v>383</v>
      </c>
      <c r="D591" s="10">
        <v>0</v>
      </c>
      <c r="E591" s="10">
        <f>_xll.AtlasFormulas.AtlasFunctions.AtlasBalance("PROD",DataAreaId,"T.InventTrans|inventDimId~inventDimId@T.InventDim","Sum|Qty|0","","","","","","","DateFinancial|ItemId|T2.InventSiteId|T2.InventLocationId",PeriodBeginning,$A591,$B591,$C591)</f>
        <v>0</v>
      </c>
      <c r="F591" s="10">
        <f>_xll.AtlasFormulas.AtlasFunctions.AtlasBalance("PROD",DataAreaId,"T.InventTrans|inventDimId~inventDimId@T.InventDim","Sum|Qty|0","","","","","","","DateFinancial|ItemId|T2.InventSiteId|T2.InventLocationId",PeriodEnding,$A591,$B591,$C591)</f>
        <v>0</v>
      </c>
      <c r="G591" s="10">
        <f>AtlasReport_3_Table_1[[#This Row],[Current On-hand]]-AtlasReport_3_Table_1[[#This Row],[Trans backwords (Beginning)]]</f>
        <v>0</v>
      </c>
      <c r="H591" s="10">
        <f>AtlasReport_3_Table_1[[#This Row],[Current On-hand]]-AtlasReport_3_Table_1[[#This Row],[Trans backwords (Ending)]]</f>
        <v>0</v>
      </c>
    </row>
    <row r="592" spans="1:8" x14ac:dyDescent="0.25">
      <c r="A592" s="8" t="s">
        <v>67</v>
      </c>
      <c r="B592" s="8" t="s">
        <v>261</v>
      </c>
      <c r="C592" s="8" t="s">
        <v>289</v>
      </c>
      <c r="D592" s="10">
        <v>0</v>
      </c>
      <c r="E592" s="10">
        <f>_xll.AtlasFormulas.AtlasFunctions.AtlasBalance("PROD",DataAreaId,"T.InventTrans|inventDimId~inventDimId@T.InventDim","Sum|Qty|0","","","","","","","DateFinancial|ItemId|T2.InventSiteId|T2.InventLocationId",PeriodBeginning,$A592,$B592,$C592)</f>
        <v>0</v>
      </c>
      <c r="F592" s="10">
        <f>_xll.AtlasFormulas.AtlasFunctions.AtlasBalance("PROD",DataAreaId,"T.InventTrans|inventDimId~inventDimId@T.InventDim","Sum|Qty|0","","","","","","","DateFinancial|ItemId|T2.InventSiteId|T2.InventLocationId",PeriodEnding,$A592,$B592,$C592)</f>
        <v>0</v>
      </c>
      <c r="G592" s="10">
        <f>AtlasReport_3_Table_1[[#This Row],[Current On-hand]]-AtlasReport_3_Table_1[[#This Row],[Trans backwords (Beginning)]]</f>
        <v>0</v>
      </c>
      <c r="H592" s="10">
        <f>AtlasReport_3_Table_1[[#This Row],[Current On-hand]]-AtlasReport_3_Table_1[[#This Row],[Trans backwords (Ending)]]</f>
        <v>0</v>
      </c>
    </row>
    <row r="593" spans="1:8" x14ac:dyDescent="0.25">
      <c r="A593" s="8" t="s">
        <v>67</v>
      </c>
      <c r="B593" s="8" t="s">
        <v>261</v>
      </c>
      <c r="C593" s="8" t="s">
        <v>305</v>
      </c>
      <c r="D593" s="10">
        <v>0</v>
      </c>
      <c r="E593" s="10">
        <f>_xll.AtlasFormulas.AtlasFunctions.AtlasBalance("PROD",DataAreaId,"T.InventTrans|inventDimId~inventDimId@T.InventDim","Sum|Qty|0","","","","","","","DateFinancial|ItemId|T2.InventSiteId|T2.InventLocationId",PeriodBeginning,$A593,$B593,$C593)</f>
        <v>0</v>
      </c>
      <c r="F593" s="10">
        <f>_xll.AtlasFormulas.AtlasFunctions.AtlasBalance("PROD",DataAreaId,"T.InventTrans|inventDimId~inventDimId@T.InventDim","Sum|Qty|0","","","","","","","DateFinancial|ItemId|T2.InventSiteId|T2.InventLocationId",PeriodEnding,$A593,$B593,$C593)</f>
        <v>0</v>
      </c>
      <c r="G593" s="10">
        <f>AtlasReport_3_Table_1[[#This Row],[Current On-hand]]-AtlasReport_3_Table_1[[#This Row],[Trans backwords (Beginning)]]</f>
        <v>0</v>
      </c>
      <c r="H593" s="10">
        <f>AtlasReport_3_Table_1[[#This Row],[Current On-hand]]-AtlasReport_3_Table_1[[#This Row],[Trans backwords (Ending)]]</f>
        <v>0</v>
      </c>
    </row>
    <row r="594" spans="1:8" x14ac:dyDescent="0.25">
      <c r="A594" s="8" t="s">
        <v>67</v>
      </c>
      <c r="B594" s="8" t="s">
        <v>261</v>
      </c>
      <c r="C594" s="8" t="s">
        <v>262</v>
      </c>
      <c r="D594" s="10">
        <v>0</v>
      </c>
      <c r="E594" s="10">
        <f>_xll.AtlasFormulas.AtlasFunctions.AtlasBalance("PROD",DataAreaId,"T.InventTrans|inventDimId~inventDimId@T.InventDim","Sum|Qty|0","","","","","","","DateFinancial|ItemId|T2.InventSiteId|T2.InventLocationId",PeriodBeginning,$A594,$B594,$C594)</f>
        <v>0</v>
      </c>
      <c r="F594" s="10">
        <f>_xll.AtlasFormulas.AtlasFunctions.AtlasBalance("PROD",DataAreaId,"T.InventTrans|inventDimId~inventDimId@T.InventDim","Sum|Qty|0","","","","","","","DateFinancial|ItemId|T2.InventSiteId|T2.InventLocationId",PeriodEnding,$A594,$B594,$C594)</f>
        <v>0</v>
      </c>
      <c r="G594" s="10">
        <f>AtlasReport_3_Table_1[[#This Row],[Current On-hand]]-AtlasReport_3_Table_1[[#This Row],[Trans backwords (Beginning)]]</f>
        <v>0</v>
      </c>
      <c r="H594" s="10">
        <f>AtlasReport_3_Table_1[[#This Row],[Current On-hand]]-AtlasReport_3_Table_1[[#This Row],[Trans backwords (Ending)]]</f>
        <v>0</v>
      </c>
    </row>
    <row r="595" spans="1:8" x14ac:dyDescent="0.25">
      <c r="A595" s="8" t="s">
        <v>67</v>
      </c>
      <c r="B595" s="8" t="s">
        <v>261</v>
      </c>
      <c r="C595" s="8" t="s">
        <v>264</v>
      </c>
      <c r="D595" s="10">
        <v>590</v>
      </c>
      <c r="E595" s="10">
        <f>_xll.AtlasFormulas.AtlasFunctions.AtlasBalance("PROD",DataAreaId,"T.InventTrans|inventDimId~inventDimId@T.InventDim","Sum|Qty|0","","","","","","","DateFinancial|ItemId|T2.InventSiteId|T2.InventLocationId",PeriodBeginning,$A595,$B595,$C595)</f>
        <v>-59</v>
      </c>
      <c r="F595" s="10">
        <f>_xll.AtlasFormulas.AtlasFunctions.AtlasBalance("PROD",DataAreaId,"T.InventTrans|inventDimId~inventDimId@T.InventDim","Sum|Qty|0","","","","","","","DateFinancial|ItemId|T2.InventSiteId|T2.InventLocationId",PeriodEnding,$A595,$B595,$C595)</f>
        <v>0</v>
      </c>
      <c r="G595" s="10">
        <f>AtlasReport_3_Table_1[[#This Row],[Current On-hand]]-AtlasReport_3_Table_1[[#This Row],[Trans backwords (Beginning)]]</f>
        <v>649</v>
      </c>
      <c r="H595" s="10">
        <f>AtlasReport_3_Table_1[[#This Row],[Current On-hand]]-AtlasReport_3_Table_1[[#This Row],[Trans backwords (Ending)]]</f>
        <v>590</v>
      </c>
    </row>
    <row r="596" spans="1:8" x14ac:dyDescent="0.25">
      <c r="A596" s="8" t="s">
        <v>67</v>
      </c>
      <c r="B596" s="8" t="s">
        <v>261</v>
      </c>
      <c r="C596" s="8" t="s">
        <v>265</v>
      </c>
      <c r="D596" s="10">
        <v>0</v>
      </c>
      <c r="E596" s="10">
        <f>_xll.AtlasFormulas.AtlasFunctions.AtlasBalance("PROD",DataAreaId,"T.InventTrans|inventDimId~inventDimId@T.InventDim","Sum|Qty|0","","","","","","","DateFinancial|ItemId|T2.InventSiteId|T2.InventLocationId",PeriodBeginning,$A596,$B596,$C596)</f>
        <v>0</v>
      </c>
      <c r="F596" s="10">
        <f>_xll.AtlasFormulas.AtlasFunctions.AtlasBalance("PROD",DataAreaId,"T.InventTrans|inventDimId~inventDimId@T.InventDim","Sum|Qty|0","","","","","","","DateFinancial|ItemId|T2.InventSiteId|T2.InventLocationId",PeriodEnding,$A596,$B596,$C596)</f>
        <v>0</v>
      </c>
      <c r="G596" s="10">
        <f>AtlasReport_3_Table_1[[#This Row],[Current On-hand]]-AtlasReport_3_Table_1[[#This Row],[Trans backwords (Beginning)]]</f>
        <v>0</v>
      </c>
      <c r="H596" s="10">
        <f>AtlasReport_3_Table_1[[#This Row],[Current On-hand]]-AtlasReport_3_Table_1[[#This Row],[Trans backwords (Ending)]]</f>
        <v>0</v>
      </c>
    </row>
    <row r="597" spans="1:8" x14ac:dyDescent="0.25">
      <c r="A597" s="8" t="s">
        <v>28</v>
      </c>
      <c r="B597" s="8" t="s">
        <v>261</v>
      </c>
      <c r="C597" s="8" t="s">
        <v>81</v>
      </c>
      <c r="D597" s="10">
        <v>0</v>
      </c>
      <c r="E597" s="10">
        <f>_xll.AtlasFormulas.AtlasFunctions.AtlasBalance("PROD",DataAreaId,"T.InventTrans|inventDimId~inventDimId@T.InventDim","Sum|Qty|0","","","","","","","DateFinancial|ItemId|T2.InventSiteId|T2.InventLocationId",PeriodBeginning,$A597,$B597,$C597)</f>
        <v>0</v>
      </c>
      <c r="F597" s="10">
        <f>_xll.AtlasFormulas.AtlasFunctions.AtlasBalance("PROD",DataAreaId,"T.InventTrans|inventDimId~inventDimId@T.InventDim","Sum|Qty|0","","","","","","","DateFinancial|ItemId|T2.InventSiteId|T2.InventLocationId",PeriodEnding,$A597,$B597,$C597)</f>
        <v>0</v>
      </c>
      <c r="G597" s="10">
        <f>AtlasReport_3_Table_1[[#This Row],[Current On-hand]]-AtlasReport_3_Table_1[[#This Row],[Trans backwords (Beginning)]]</f>
        <v>0</v>
      </c>
      <c r="H597" s="10">
        <f>AtlasReport_3_Table_1[[#This Row],[Current On-hand]]-AtlasReport_3_Table_1[[#This Row],[Trans backwords (Ending)]]</f>
        <v>0</v>
      </c>
    </row>
    <row r="598" spans="1:8" x14ac:dyDescent="0.25">
      <c r="A598" s="8" t="s">
        <v>28</v>
      </c>
      <c r="B598" s="8" t="s">
        <v>261</v>
      </c>
      <c r="C598" s="8" t="s">
        <v>262</v>
      </c>
      <c r="D598" s="10">
        <v>0</v>
      </c>
      <c r="E598" s="10">
        <f>_xll.AtlasFormulas.AtlasFunctions.AtlasBalance("PROD",DataAreaId,"T.InventTrans|inventDimId~inventDimId@T.InventDim","Sum|Qty|0","","","","","","","DateFinancial|ItemId|T2.InventSiteId|T2.InventLocationId",PeriodBeginning,$A598,$B598,$C598)</f>
        <v>0</v>
      </c>
      <c r="F598" s="10">
        <f>_xll.AtlasFormulas.AtlasFunctions.AtlasBalance("PROD",DataAreaId,"T.InventTrans|inventDimId~inventDimId@T.InventDim","Sum|Qty|0","","","","","","","DateFinancial|ItemId|T2.InventSiteId|T2.InventLocationId",PeriodEnding,$A598,$B598,$C598)</f>
        <v>0</v>
      </c>
      <c r="G598" s="10">
        <f>AtlasReport_3_Table_1[[#This Row],[Current On-hand]]-AtlasReport_3_Table_1[[#This Row],[Trans backwords (Beginning)]]</f>
        <v>0</v>
      </c>
      <c r="H598" s="10">
        <f>AtlasReport_3_Table_1[[#This Row],[Current On-hand]]-AtlasReport_3_Table_1[[#This Row],[Trans backwords (Ending)]]</f>
        <v>0</v>
      </c>
    </row>
    <row r="599" spans="1:8" x14ac:dyDescent="0.25">
      <c r="A599" s="8" t="s">
        <v>28</v>
      </c>
      <c r="B599" s="8" t="s">
        <v>261</v>
      </c>
      <c r="C599" s="8" t="s">
        <v>264</v>
      </c>
      <c r="D599" s="10">
        <v>61</v>
      </c>
      <c r="E599" s="10">
        <f>_xll.AtlasFormulas.AtlasFunctions.AtlasBalance("PROD",DataAreaId,"T.InventTrans|inventDimId~inventDimId@T.InventDim","Sum|Qty|0","","","","","","","DateFinancial|ItemId|T2.InventSiteId|T2.InventLocationId",PeriodBeginning,$A599,$B599,$C599)</f>
        <v>-1</v>
      </c>
      <c r="F599" s="10">
        <f>_xll.AtlasFormulas.AtlasFunctions.AtlasBalance("PROD",DataAreaId,"T.InventTrans|inventDimId~inventDimId@T.InventDim","Sum|Qty|0","","","","","","","DateFinancial|ItemId|T2.InventSiteId|T2.InventLocationId",PeriodEnding,$A599,$B599,$C599)</f>
        <v>0</v>
      </c>
      <c r="G599" s="10">
        <f>AtlasReport_3_Table_1[[#This Row],[Current On-hand]]-AtlasReport_3_Table_1[[#This Row],[Trans backwords (Beginning)]]</f>
        <v>62</v>
      </c>
      <c r="H599" s="10">
        <f>AtlasReport_3_Table_1[[#This Row],[Current On-hand]]-AtlasReport_3_Table_1[[#This Row],[Trans backwords (Ending)]]</f>
        <v>61</v>
      </c>
    </row>
    <row r="600" spans="1:8" x14ac:dyDescent="0.25">
      <c r="A600" s="8" t="s">
        <v>458</v>
      </c>
      <c r="B600" s="8" t="s">
        <v>261</v>
      </c>
      <c r="C600" s="8" t="s">
        <v>264</v>
      </c>
      <c r="D600" s="10">
        <v>700</v>
      </c>
      <c r="E600" s="10">
        <f>_xll.AtlasFormulas.AtlasFunctions.AtlasBalance("PROD",DataAreaId,"T.InventTrans|inventDimId~inventDimId@T.InventDim","Sum|Qty|0","","","","","","","DateFinancial|ItemId|T2.InventSiteId|T2.InventLocationId",PeriodBeginning,$A600,$B600,$C600)</f>
        <v>0</v>
      </c>
      <c r="F600" s="10">
        <f>_xll.AtlasFormulas.AtlasFunctions.AtlasBalance("PROD",DataAreaId,"T.InventTrans|inventDimId~inventDimId@T.InventDim","Sum|Qty|0","","","","","","","DateFinancial|ItemId|T2.InventSiteId|T2.InventLocationId",PeriodEnding,$A600,$B600,$C600)</f>
        <v>0</v>
      </c>
      <c r="G600" s="10">
        <f>AtlasReport_3_Table_1[[#This Row],[Current On-hand]]-AtlasReport_3_Table_1[[#This Row],[Trans backwords (Beginning)]]</f>
        <v>700</v>
      </c>
      <c r="H600" s="10">
        <f>AtlasReport_3_Table_1[[#This Row],[Current On-hand]]-AtlasReport_3_Table_1[[#This Row],[Trans backwords (Ending)]]</f>
        <v>700</v>
      </c>
    </row>
    <row r="601" spans="1:8" x14ac:dyDescent="0.25">
      <c r="A601" s="8" t="s">
        <v>459</v>
      </c>
      <c r="B601" s="8" t="s">
        <v>261</v>
      </c>
      <c r="C601" s="8" t="s">
        <v>264</v>
      </c>
      <c r="D601" s="10">
        <v>2390</v>
      </c>
      <c r="E601" s="10">
        <f>_xll.AtlasFormulas.AtlasFunctions.AtlasBalance("PROD",DataAreaId,"T.InventTrans|inventDimId~inventDimId@T.InventDim","Sum|Qty|0","","","","","","","DateFinancial|ItemId|T2.InventSiteId|T2.InventLocationId",PeriodBeginning,$A601,$B601,$C601)</f>
        <v>0</v>
      </c>
      <c r="F601" s="10">
        <f>_xll.AtlasFormulas.AtlasFunctions.AtlasBalance("PROD",DataAreaId,"T.InventTrans|inventDimId~inventDimId@T.InventDim","Sum|Qty|0","","","","","","","DateFinancial|ItemId|T2.InventSiteId|T2.InventLocationId",PeriodEnding,$A601,$B601,$C601)</f>
        <v>0</v>
      </c>
      <c r="G601" s="10">
        <f>AtlasReport_3_Table_1[[#This Row],[Current On-hand]]-AtlasReport_3_Table_1[[#This Row],[Trans backwords (Beginning)]]</f>
        <v>2390</v>
      </c>
      <c r="H601" s="10">
        <f>AtlasReport_3_Table_1[[#This Row],[Current On-hand]]-AtlasReport_3_Table_1[[#This Row],[Trans backwords (Ending)]]</f>
        <v>2390</v>
      </c>
    </row>
    <row r="602" spans="1:8" x14ac:dyDescent="0.25">
      <c r="A602" s="8" t="s">
        <v>460</v>
      </c>
      <c r="B602" s="8" t="s">
        <v>261</v>
      </c>
      <c r="C602" s="8" t="s">
        <v>264</v>
      </c>
      <c r="D602" s="10">
        <v>300</v>
      </c>
      <c r="E602" s="10">
        <f>_xll.AtlasFormulas.AtlasFunctions.AtlasBalance("PROD",DataAreaId,"T.InventTrans|inventDimId~inventDimId@T.InventDim","Sum|Qty|0","","","","","","","DateFinancial|ItemId|T2.InventSiteId|T2.InventLocationId",PeriodBeginning,$A602,$B602,$C602)</f>
        <v>0</v>
      </c>
      <c r="F602" s="10">
        <f>_xll.AtlasFormulas.AtlasFunctions.AtlasBalance("PROD",DataAreaId,"T.InventTrans|inventDimId~inventDimId@T.InventDim","Sum|Qty|0","","","","","","","DateFinancial|ItemId|T2.InventSiteId|T2.InventLocationId",PeriodEnding,$A602,$B602,$C602)</f>
        <v>0</v>
      </c>
      <c r="G602" s="10">
        <f>AtlasReport_3_Table_1[[#This Row],[Current On-hand]]-AtlasReport_3_Table_1[[#This Row],[Trans backwords (Beginning)]]</f>
        <v>300</v>
      </c>
      <c r="H602" s="10">
        <f>AtlasReport_3_Table_1[[#This Row],[Current On-hand]]-AtlasReport_3_Table_1[[#This Row],[Trans backwords (Ending)]]</f>
        <v>300</v>
      </c>
    </row>
    <row r="603" spans="1:8" x14ac:dyDescent="0.25">
      <c r="A603" s="8" t="s">
        <v>461</v>
      </c>
      <c r="B603" s="8" t="s">
        <v>261</v>
      </c>
      <c r="C603" s="8" t="s">
        <v>264</v>
      </c>
      <c r="D603" s="10">
        <v>280</v>
      </c>
      <c r="E603" s="10">
        <f>_xll.AtlasFormulas.AtlasFunctions.AtlasBalance("PROD",DataAreaId,"T.InventTrans|inventDimId~inventDimId@T.InventDim","Sum|Qty|0","","","","","","","DateFinancial|ItemId|T2.InventSiteId|T2.InventLocationId",PeriodBeginning,$A603,$B603,$C603)</f>
        <v>0</v>
      </c>
      <c r="F603" s="10">
        <f>_xll.AtlasFormulas.AtlasFunctions.AtlasBalance("PROD",DataAreaId,"T.InventTrans|inventDimId~inventDimId@T.InventDim","Sum|Qty|0","","","","","","","DateFinancial|ItemId|T2.InventSiteId|T2.InventLocationId",PeriodEnding,$A603,$B603,$C603)</f>
        <v>0</v>
      </c>
      <c r="G603" s="10">
        <f>AtlasReport_3_Table_1[[#This Row],[Current On-hand]]-AtlasReport_3_Table_1[[#This Row],[Trans backwords (Beginning)]]</f>
        <v>280</v>
      </c>
      <c r="H603" s="10">
        <f>AtlasReport_3_Table_1[[#This Row],[Current On-hand]]-AtlasReport_3_Table_1[[#This Row],[Trans backwords (Ending)]]</f>
        <v>280</v>
      </c>
    </row>
    <row r="604" spans="1:8" x14ac:dyDescent="0.25">
      <c r="A604" s="8" t="s">
        <v>462</v>
      </c>
      <c r="B604" s="8" t="s">
        <v>261</v>
      </c>
      <c r="C604" s="8" t="s">
        <v>264</v>
      </c>
      <c r="D604" s="10">
        <v>140</v>
      </c>
      <c r="E604" s="10">
        <f>_xll.AtlasFormulas.AtlasFunctions.AtlasBalance("PROD",DataAreaId,"T.InventTrans|inventDimId~inventDimId@T.InventDim","Sum|Qty|0","","","","","","","DateFinancial|ItemId|T2.InventSiteId|T2.InventLocationId",PeriodBeginning,$A604,$B604,$C604)</f>
        <v>0</v>
      </c>
      <c r="F604" s="10">
        <f>_xll.AtlasFormulas.AtlasFunctions.AtlasBalance("PROD",DataAreaId,"T.InventTrans|inventDimId~inventDimId@T.InventDim","Sum|Qty|0","","","","","","","DateFinancial|ItemId|T2.InventSiteId|T2.InventLocationId",PeriodEnding,$A604,$B604,$C604)</f>
        <v>0</v>
      </c>
      <c r="G604" s="10">
        <f>AtlasReport_3_Table_1[[#This Row],[Current On-hand]]-AtlasReport_3_Table_1[[#This Row],[Trans backwords (Beginning)]]</f>
        <v>140</v>
      </c>
      <c r="H604" s="10">
        <f>AtlasReport_3_Table_1[[#This Row],[Current On-hand]]-AtlasReport_3_Table_1[[#This Row],[Trans backwords (Ending)]]</f>
        <v>140</v>
      </c>
    </row>
    <row r="605" spans="1:8" x14ac:dyDescent="0.25">
      <c r="A605" s="8" t="s">
        <v>463</v>
      </c>
      <c r="B605" s="8" t="s">
        <v>261</v>
      </c>
      <c r="C605" s="8" t="s">
        <v>264</v>
      </c>
      <c r="D605" s="10">
        <v>1376</v>
      </c>
      <c r="E605" s="10">
        <f>_xll.AtlasFormulas.AtlasFunctions.AtlasBalance("PROD",DataAreaId,"T.InventTrans|inventDimId~inventDimId@T.InventDim","Sum|Qty|0","","","","","","","DateFinancial|ItemId|T2.InventSiteId|T2.InventLocationId",PeriodBeginning,$A605,$B605,$C605)</f>
        <v>0</v>
      </c>
      <c r="F605" s="10">
        <f>_xll.AtlasFormulas.AtlasFunctions.AtlasBalance("PROD",DataAreaId,"T.InventTrans|inventDimId~inventDimId@T.InventDim","Sum|Qty|0","","","","","","","DateFinancial|ItemId|T2.InventSiteId|T2.InventLocationId",PeriodEnding,$A605,$B605,$C605)</f>
        <v>0</v>
      </c>
      <c r="G605" s="10">
        <f>AtlasReport_3_Table_1[[#This Row],[Current On-hand]]-AtlasReport_3_Table_1[[#This Row],[Trans backwords (Beginning)]]</f>
        <v>1376</v>
      </c>
      <c r="H605" s="10">
        <f>AtlasReport_3_Table_1[[#This Row],[Current On-hand]]-AtlasReport_3_Table_1[[#This Row],[Trans backwords (Ending)]]</f>
        <v>1376</v>
      </c>
    </row>
    <row r="606" spans="1:8" x14ac:dyDescent="0.25">
      <c r="A606" s="8" t="s">
        <v>464</v>
      </c>
      <c r="B606" s="8" t="s">
        <v>261</v>
      </c>
      <c r="C606" s="8" t="s">
        <v>264</v>
      </c>
      <c r="D606" s="10">
        <v>1040</v>
      </c>
      <c r="E606" s="10">
        <f>_xll.AtlasFormulas.AtlasFunctions.AtlasBalance("PROD",DataAreaId,"T.InventTrans|inventDimId~inventDimId@T.InventDim","Sum|Qty|0","","","","","","","DateFinancial|ItemId|T2.InventSiteId|T2.InventLocationId",PeriodBeginning,$A606,$B606,$C606)</f>
        <v>0</v>
      </c>
      <c r="F606" s="10">
        <f>_xll.AtlasFormulas.AtlasFunctions.AtlasBalance("PROD",DataAreaId,"T.InventTrans|inventDimId~inventDimId@T.InventDim","Sum|Qty|0","","","","","","","DateFinancial|ItemId|T2.InventSiteId|T2.InventLocationId",PeriodEnding,$A606,$B606,$C606)</f>
        <v>0</v>
      </c>
      <c r="G606" s="10">
        <f>AtlasReport_3_Table_1[[#This Row],[Current On-hand]]-AtlasReport_3_Table_1[[#This Row],[Trans backwords (Beginning)]]</f>
        <v>1040</v>
      </c>
      <c r="H606" s="10">
        <f>AtlasReport_3_Table_1[[#This Row],[Current On-hand]]-AtlasReport_3_Table_1[[#This Row],[Trans backwords (Ending)]]</f>
        <v>1040</v>
      </c>
    </row>
    <row r="607" spans="1:8" x14ac:dyDescent="0.25">
      <c r="A607" s="8" t="s">
        <v>465</v>
      </c>
      <c r="B607" s="8" t="s">
        <v>261</v>
      </c>
      <c r="C607" s="8" t="s">
        <v>264</v>
      </c>
      <c r="D607" s="10">
        <v>900</v>
      </c>
      <c r="E607" s="10">
        <f>_xll.AtlasFormulas.AtlasFunctions.AtlasBalance("PROD",DataAreaId,"T.InventTrans|inventDimId~inventDimId@T.InventDim","Sum|Qty|0","","","","","","","DateFinancial|ItemId|T2.InventSiteId|T2.InventLocationId",PeriodBeginning,$A607,$B607,$C607)</f>
        <v>0</v>
      </c>
      <c r="F607" s="10">
        <f>_xll.AtlasFormulas.AtlasFunctions.AtlasBalance("PROD",DataAreaId,"T.InventTrans|inventDimId~inventDimId@T.InventDim","Sum|Qty|0","","","","","","","DateFinancial|ItemId|T2.InventSiteId|T2.InventLocationId",PeriodEnding,$A607,$B607,$C607)</f>
        <v>0</v>
      </c>
      <c r="G607" s="10">
        <f>AtlasReport_3_Table_1[[#This Row],[Current On-hand]]-AtlasReport_3_Table_1[[#This Row],[Trans backwords (Beginning)]]</f>
        <v>900</v>
      </c>
      <c r="H607" s="10">
        <f>AtlasReport_3_Table_1[[#This Row],[Current On-hand]]-AtlasReport_3_Table_1[[#This Row],[Trans backwords (Ending)]]</f>
        <v>900</v>
      </c>
    </row>
    <row r="608" spans="1:8" x14ac:dyDescent="0.25">
      <c r="A608" s="8" t="s">
        <v>466</v>
      </c>
      <c r="B608" s="8" t="s">
        <v>261</v>
      </c>
      <c r="C608" s="8" t="s">
        <v>264</v>
      </c>
      <c r="D608" s="10">
        <v>150</v>
      </c>
      <c r="E608" s="10">
        <f>_xll.AtlasFormulas.AtlasFunctions.AtlasBalance("PROD",DataAreaId,"T.InventTrans|inventDimId~inventDimId@T.InventDim","Sum|Qty|0","","","","","","","DateFinancial|ItemId|T2.InventSiteId|T2.InventLocationId",PeriodBeginning,$A608,$B608,$C608)</f>
        <v>0</v>
      </c>
      <c r="F608" s="10">
        <f>_xll.AtlasFormulas.AtlasFunctions.AtlasBalance("PROD",DataAreaId,"T.InventTrans|inventDimId~inventDimId@T.InventDim","Sum|Qty|0","","","","","","","DateFinancial|ItemId|T2.InventSiteId|T2.InventLocationId",PeriodEnding,$A608,$B608,$C608)</f>
        <v>0</v>
      </c>
      <c r="G608" s="10">
        <f>AtlasReport_3_Table_1[[#This Row],[Current On-hand]]-AtlasReport_3_Table_1[[#This Row],[Trans backwords (Beginning)]]</f>
        <v>150</v>
      </c>
      <c r="H608" s="10">
        <f>AtlasReport_3_Table_1[[#This Row],[Current On-hand]]-AtlasReport_3_Table_1[[#This Row],[Trans backwords (Ending)]]</f>
        <v>150</v>
      </c>
    </row>
    <row r="609" spans="1:8" x14ac:dyDescent="0.25">
      <c r="A609" s="8" t="s">
        <v>467</v>
      </c>
      <c r="B609" s="8" t="s">
        <v>261</v>
      </c>
      <c r="C609" s="8" t="s">
        <v>264</v>
      </c>
      <c r="D609" s="10">
        <v>250</v>
      </c>
      <c r="E609" s="10">
        <f>_xll.AtlasFormulas.AtlasFunctions.AtlasBalance("PROD",DataAreaId,"T.InventTrans|inventDimId~inventDimId@T.InventDim","Sum|Qty|0","","","","","","","DateFinancial|ItemId|T2.InventSiteId|T2.InventLocationId",PeriodBeginning,$A609,$B609,$C609)</f>
        <v>0</v>
      </c>
      <c r="F609" s="10">
        <f>_xll.AtlasFormulas.AtlasFunctions.AtlasBalance("PROD",DataAreaId,"T.InventTrans|inventDimId~inventDimId@T.InventDim","Sum|Qty|0","","","","","","","DateFinancial|ItemId|T2.InventSiteId|T2.InventLocationId",PeriodEnding,$A609,$B609,$C609)</f>
        <v>0</v>
      </c>
      <c r="G609" s="10">
        <f>AtlasReport_3_Table_1[[#This Row],[Current On-hand]]-AtlasReport_3_Table_1[[#This Row],[Trans backwords (Beginning)]]</f>
        <v>250</v>
      </c>
      <c r="H609" s="10">
        <f>AtlasReport_3_Table_1[[#This Row],[Current On-hand]]-AtlasReport_3_Table_1[[#This Row],[Trans backwords (Ending)]]</f>
        <v>250</v>
      </c>
    </row>
    <row r="610" spans="1:8" x14ac:dyDescent="0.25">
      <c r="A610" s="8" t="s">
        <v>468</v>
      </c>
      <c r="B610" s="8" t="s">
        <v>261</v>
      </c>
      <c r="C610" s="8" t="s">
        <v>264</v>
      </c>
      <c r="D610" s="10">
        <v>1913</v>
      </c>
      <c r="E610" s="10">
        <f>_xll.AtlasFormulas.AtlasFunctions.AtlasBalance("PROD",DataAreaId,"T.InventTrans|inventDimId~inventDimId@T.InventDim","Sum|Qty|0","","","","","","","DateFinancial|ItemId|T2.InventSiteId|T2.InventLocationId",PeriodBeginning,$A610,$B610,$C610)</f>
        <v>0</v>
      </c>
      <c r="F610" s="10">
        <f>_xll.AtlasFormulas.AtlasFunctions.AtlasBalance("PROD",DataAreaId,"T.InventTrans|inventDimId~inventDimId@T.InventDim","Sum|Qty|0","","","","","","","DateFinancial|ItemId|T2.InventSiteId|T2.InventLocationId",PeriodEnding,$A610,$B610,$C610)</f>
        <v>0</v>
      </c>
      <c r="G610" s="10">
        <f>AtlasReport_3_Table_1[[#This Row],[Current On-hand]]-AtlasReport_3_Table_1[[#This Row],[Trans backwords (Beginning)]]</f>
        <v>1913</v>
      </c>
      <c r="H610" s="10">
        <f>AtlasReport_3_Table_1[[#This Row],[Current On-hand]]-AtlasReport_3_Table_1[[#This Row],[Trans backwords (Ending)]]</f>
        <v>1913</v>
      </c>
    </row>
    <row r="611" spans="1:8" x14ac:dyDescent="0.25">
      <c r="A611" s="8" t="s">
        <v>469</v>
      </c>
      <c r="B611" s="8" t="s">
        <v>261</v>
      </c>
      <c r="C611" s="8" t="s">
        <v>264</v>
      </c>
      <c r="D611" s="10">
        <v>3</v>
      </c>
      <c r="E611" s="10">
        <f>_xll.AtlasFormulas.AtlasFunctions.AtlasBalance("PROD",DataAreaId,"T.InventTrans|inventDimId~inventDimId@T.InventDim","Sum|Qty|0","","","","","","","DateFinancial|ItemId|T2.InventSiteId|T2.InventLocationId",PeriodBeginning,$A611,$B611,$C611)</f>
        <v>0</v>
      </c>
      <c r="F611" s="10">
        <f>_xll.AtlasFormulas.AtlasFunctions.AtlasBalance("PROD",DataAreaId,"T.InventTrans|inventDimId~inventDimId@T.InventDim","Sum|Qty|0","","","","","","","DateFinancial|ItemId|T2.InventSiteId|T2.InventLocationId",PeriodEnding,$A611,$B611,$C611)</f>
        <v>0</v>
      </c>
      <c r="G611" s="10">
        <f>AtlasReport_3_Table_1[[#This Row],[Current On-hand]]-AtlasReport_3_Table_1[[#This Row],[Trans backwords (Beginning)]]</f>
        <v>3</v>
      </c>
      <c r="H611" s="10">
        <f>AtlasReport_3_Table_1[[#This Row],[Current On-hand]]-AtlasReport_3_Table_1[[#This Row],[Trans backwords (Ending)]]</f>
        <v>3</v>
      </c>
    </row>
    <row r="612" spans="1:8" x14ac:dyDescent="0.25">
      <c r="A612" s="8" t="s">
        <v>470</v>
      </c>
      <c r="B612" s="8" t="s">
        <v>261</v>
      </c>
      <c r="C612" s="8" t="s">
        <v>264</v>
      </c>
      <c r="D612" s="10">
        <v>3</v>
      </c>
      <c r="E612" s="10">
        <f>_xll.AtlasFormulas.AtlasFunctions.AtlasBalance("PROD",DataAreaId,"T.InventTrans|inventDimId~inventDimId@T.InventDim","Sum|Qty|0","","","","","","","DateFinancial|ItemId|T2.InventSiteId|T2.InventLocationId",PeriodBeginning,$A612,$B612,$C612)</f>
        <v>0</v>
      </c>
      <c r="F612" s="10">
        <f>_xll.AtlasFormulas.AtlasFunctions.AtlasBalance("PROD",DataAreaId,"T.InventTrans|inventDimId~inventDimId@T.InventDim","Sum|Qty|0","","","","","","","DateFinancial|ItemId|T2.InventSiteId|T2.InventLocationId",PeriodEnding,$A612,$B612,$C612)</f>
        <v>0</v>
      </c>
      <c r="G612" s="10">
        <f>AtlasReport_3_Table_1[[#This Row],[Current On-hand]]-AtlasReport_3_Table_1[[#This Row],[Trans backwords (Beginning)]]</f>
        <v>3</v>
      </c>
      <c r="H612" s="10">
        <f>AtlasReport_3_Table_1[[#This Row],[Current On-hand]]-AtlasReport_3_Table_1[[#This Row],[Trans backwords (Ending)]]</f>
        <v>3</v>
      </c>
    </row>
    <row r="613" spans="1:8" x14ac:dyDescent="0.25">
      <c r="A613" s="8" t="s">
        <v>471</v>
      </c>
      <c r="B613" s="8" t="s">
        <v>261</v>
      </c>
      <c r="C613" s="8" t="s">
        <v>264</v>
      </c>
      <c r="D613" s="10">
        <v>3</v>
      </c>
      <c r="E613" s="10">
        <f>_xll.AtlasFormulas.AtlasFunctions.AtlasBalance("PROD",DataAreaId,"T.InventTrans|inventDimId~inventDimId@T.InventDim","Sum|Qty|0","","","","","","","DateFinancial|ItemId|T2.InventSiteId|T2.InventLocationId",PeriodBeginning,$A613,$B613,$C613)</f>
        <v>0</v>
      </c>
      <c r="F613" s="10">
        <f>_xll.AtlasFormulas.AtlasFunctions.AtlasBalance("PROD",DataAreaId,"T.InventTrans|inventDimId~inventDimId@T.InventDim","Sum|Qty|0","","","","","","","DateFinancial|ItemId|T2.InventSiteId|T2.InventLocationId",PeriodEnding,$A613,$B613,$C613)</f>
        <v>0</v>
      </c>
      <c r="G613" s="10">
        <f>AtlasReport_3_Table_1[[#This Row],[Current On-hand]]-AtlasReport_3_Table_1[[#This Row],[Trans backwords (Beginning)]]</f>
        <v>3</v>
      </c>
      <c r="H613" s="10">
        <f>AtlasReport_3_Table_1[[#This Row],[Current On-hand]]-AtlasReport_3_Table_1[[#This Row],[Trans backwords (Ending)]]</f>
        <v>3</v>
      </c>
    </row>
    <row r="614" spans="1:8" x14ac:dyDescent="0.25">
      <c r="A614" s="8" t="s">
        <v>472</v>
      </c>
      <c r="B614" s="8" t="s">
        <v>261</v>
      </c>
      <c r="C614" s="8" t="s">
        <v>264</v>
      </c>
      <c r="D614" s="10">
        <v>3</v>
      </c>
      <c r="E614" s="10">
        <f>_xll.AtlasFormulas.AtlasFunctions.AtlasBalance("PROD",DataAreaId,"T.InventTrans|inventDimId~inventDimId@T.InventDim","Sum|Qty|0","","","","","","","DateFinancial|ItemId|T2.InventSiteId|T2.InventLocationId",PeriodBeginning,$A614,$B614,$C614)</f>
        <v>0</v>
      </c>
      <c r="F614" s="10">
        <f>_xll.AtlasFormulas.AtlasFunctions.AtlasBalance("PROD",DataAreaId,"T.InventTrans|inventDimId~inventDimId@T.InventDim","Sum|Qty|0","","","","","","","DateFinancial|ItemId|T2.InventSiteId|T2.InventLocationId",PeriodEnding,$A614,$B614,$C614)</f>
        <v>0</v>
      </c>
      <c r="G614" s="10">
        <f>AtlasReport_3_Table_1[[#This Row],[Current On-hand]]-AtlasReport_3_Table_1[[#This Row],[Trans backwords (Beginning)]]</f>
        <v>3</v>
      </c>
      <c r="H614" s="10">
        <f>AtlasReport_3_Table_1[[#This Row],[Current On-hand]]-AtlasReport_3_Table_1[[#This Row],[Trans backwords (Ending)]]</f>
        <v>3</v>
      </c>
    </row>
    <row r="615" spans="1:8" x14ac:dyDescent="0.25">
      <c r="A615" s="8" t="s">
        <v>473</v>
      </c>
      <c r="B615" s="8" t="s">
        <v>261</v>
      </c>
      <c r="C615" s="8" t="s">
        <v>264</v>
      </c>
      <c r="D615" s="10">
        <v>3</v>
      </c>
      <c r="E615" s="10">
        <f>_xll.AtlasFormulas.AtlasFunctions.AtlasBalance("PROD",DataAreaId,"T.InventTrans|inventDimId~inventDimId@T.InventDim","Sum|Qty|0","","","","","","","DateFinancial|ItemId|T2.InventSiteId|T2.InventLocationId",PeriodBeginning,$A615,$B615,$C615)</f>
        <v>0</v>
      </c>
      <c r="F615" s="10">
        <f>_xll.AtlasFormulas.AtlasFunctions.AtlasBalance("PROD",DataAreaId,"T.InventTrans|inventDimId~inventDimId@T.InventDim","Sum|Qty|0","","","","","","","DateFinancial|ItemId|T2.InventSiteId|T2.InventLocationId",PeriodEnding,$A615,$B615,$C615)</f>
        <v>0</v>
      </c>
      <c r="G615" s="10">
        <f>AtlasReport_3_Table_1[[#This Row],[Current On-hand]]-AtlasReport_3_Table_1[[#This Row],[Trans backwords (Beginning)]]</f>
        <v>3</v>
      </c>
      <c r="H615" s="10">
        <f>AtlasReport_3_Table_1[[#This Row],[Current On-hand]]-AtlasReport_3_Table_1[[#This Row],[Trans backwords (Ending)]]</f>
        <v>3</v>
      </c>
    </row>
    <row r="616" spans="1:8" x14ac:dyDescent="0.25">
      <c r="A616" s="8" t="s">
        <v>474</v>
      </c>
      <c r="B616" s="8" t="s">
        <v>261</v>
      </c>
      <c r="C616" s="8" t="s">
        <v>264</v>
      </c>
      <c r="D616" s="10">
        <v>3</v>
      </c>
      <c r="E616" s="10">
        <f>_xll.AtlasFormulas.AtlasFunctions.AtlasBalance("PROD",DataAreaId,"T.InventTrans|inventDimId~inventDimId@T.InventDim","Sum|Qty|0","","","","","","","DateFinancial|ItemId|T2.InventSiteId|T2.InventLocationId",PeriodBeginning,$A616,$B616,$C616)</f>
        <v>0</v>
      </c>
      <c r="F616" s="10">
        <f>_xll.AtlasFormulas.AtlasFunctions.AtlasBalance("PROD",DataAreaId,"T.InventTrans|inventDimId~inventDimId@T.InventDim","Sum|Qty|0","","","","","","","DateFinancial|ItemId|T2.InventSiteId|T2.InventLocationId",PeriodEnding,$A616,$B616,$C616)</f>
        <v>0</v>
      </c>
      <c r="G616" s="10">
        <f>AtlasReport_3_Table_1[[#This Row],[Current On-hand]]-AtlasReport_3_Table_1[[#This Row],[Trans backwords (Beginning)]]</f>
        <v>3</v>
      </c>
      <c r="H616" s="10">
        <f>AtlasReport_3_Table_1[[#This Row],[Current On-hand]]-AtlasReport_3_Table_1[[#This Row],[Trans backwords (Ending)]]</f>
        <v>3</v>
      </c>
    </row>
    <row r="617" spans="1:8" x14ac:dyDescent="0.25">
      <c r="A617" s="8" t="s">
        <v>475</v>
      </c>
      <c r="B617" s="8" t="s">
        <v>261</v>
      </c>
      <c r="C617" s="8" t="s">
        <v>264</v>
      </c>
      <c r="D617" s="10">
        <v>47</v>
      </c>
      <c r="E617" s="10">
        <f>_xll.AtlasFormulas.AtlasFunctions.AtlasBalance("PROD",DataAreaId,"T.InventTrans|inventDimId~inventDimId@T.InventDim","Sum|Qty|0","","","","","","","DateFinancial|ItemId|T2.InventSiteId|T2.InventLocationId",PeriodBeginning,$A617,$B617,$C617)</f>
        <v>0</v>
      </c>
      <c r="F617" s="10">
        <f>_xll.AtlasFormulas.AtlasFunctions.AtlasBalance("PROD",DataAreaId,"T.InventTrans|inventDimId~inventDimId@T.InventDim","Sum|Qty|0","","","","","","","DateFinancial|ItemId|T2.InventSiteId|T2.InventLocationId",PeriodEnding,$A617,$B617,$C617)</f>
        <v>0</v>
      </c>
      <c r="G617" s="10">
        <f>AtlasReport_3_Table_1[[#This Row],[Current On-hand]]-AtlasReport_3_Table_1[[#This Row],[Trans backwords (Beginning)]]</f>
        <v>47</v>
      </c>
      <c r="H617" s="10">
        <f>AtlasReport_3_Table_1[[#This Row],[Current On-hand]]-AtlasReport_3_Table_1[[#This Row],[Trans backwords (Ending)]]</f>
        <v>47</v>
      </c>
    </row>
    <row r="618" spans="1:8" x14ac:dyDescent="0.25">
      <c r="A618" s="8" t="s">
        <v>476</v>
      </c>
      <c r="B618" s="8" t="s">
        <v>261</v>
      </c>
      <c r="C618" s="8" t="s">
        <v>264</v>
      </c>
      <c r="D618" s="10">
        <v>842</v>
      </c>
      <c r="E618" s="10">
        <f>_xll.AtlasFormulas.AtlasFunctions.AtlasBalance("PROD",DataAreaId,"T.InventTrans|inventDimId~inventDimId@T.InventDim","Sum|Qty|0","","","","","","","DateFinancial|ItemId|T2.InventSiteId|T2.InventLocationId",PeriodBeginning,$A618,$B618,$C618)</f>
        <v>0</v>
      </c>
      <c r="F618" s="10">
        <f>_xll.AtlasFormulas.AtlasFunctions.AtlasBalance("PROD",DataAreaId,"T.InventTrans|inventDimId~inventDimId@T.InventDim","Sum|Qty|0","","","","","","","DateFinancial|ItemId|T2.InventSiteId|T2.InventLocationId",PeriodEnding,$A618,$B618,$C618)</f>
        <v>0</v>
      </c>
      <c r="G618" s="10">
        <f>AtlasReport_3_Table_1[[#This Row],[Current On-hand]]-AtlasReport_3_Table_1[[#This Row],[Trans backwords (Beginning)]]</f>
        <v>842</v>
      </c>
      <c r="H618" s="10">
        <f>AtlasReport_3_Table_1[[#This Row],[Current On-hand]]-AtlasReport_3_Table_1[[#This Row],[Trans backwords (Ending)]]</f>
        <v>842</v>
      </c>
    </row>
    <row r="619" spans="1:8" x14ac:dyDescent="0.25">
      <c r="A619" s="8" t="s">
        <v>477</v>
      </c>
      <c r="B619" s="8" t="s">
        <v>261</v>
      </c>
      <c r="C619" s="8" t="s">
        <v>264</v>
      </c>
      <c r="D619" s="10">
        <v>6000</v>
      </c>
      <c r="E619" s="10">
        <f>_xll.AtlasFormulas.AtlasFunctions.AtlasBalance("PROD",DataAreaId,"T.InventTrans|inventDimId~inventDimId@T.InventDim","Sum|Qty|0","","","","","","","DateFinancial|ItemId|T2.InventSiteId|T2.InventLocationId",PeriodBeginning,$A619,$B619,$C619)</f>
        <v>0</v>
      </c>
      <c r="F619" s="10">
        <f>_xll.AtlasFormulas.AtlasFunctions.AtlasBalance("PROD",DataAreaId,"T.InventTrans|inventDimId~inventDimId@T.InventDim","Sum|Qty|0","","","","","","","DateFinancial|ItemId|T2.InventSiteId|T2.InventLocationId",PeriodEnding,$A619,$B619,$C619)</f>
        <v>0</v>
      </c>
      <c r="G619" s="10">
        <f>AtlasReport_3_Table_1[[#This Row],[Current On-hand]]-AtlasReport_3_Table_1[[#This Row],[Trans backwords (Beginning)]]</f>
        <v>6000</v>
      </c>
      <c r="H619" s="10">
        <f>AtlasReport_3_Table_1[[#This Row],[Current On-hand]]-AtlasReport_3_Table_1[[#This Row],[Trans backwords (Ending)]]</f>
        <v>6000</v>
      </c>
    </row>
    <row r="620" spans="1:8" x14ac:dyDescent="0.25">
      <c r="A620" s="8" t="s">
        <v>478</v>
      </c>
      <c r="B620" s="8" t="s">
        <v>261</v>
      </c>
      <c r="C620" s="8" t="s">
        <v>264</v>
      </c>
      <c r="D620" s="10">
        <v>1</v>
      </c>
      <c r="E620" s="10">
        <f>_xll.AtlasFormulas.AtlasFunctions.AtlasBalance("PROD",DataAreaId,"T.InventTrans|inventDimId~inventDimId@T.InventDim","Sum|Qty|0","","","","","","","DateFinancial|ItemId|T2.InventSiteId|T2.InventLocationId",PeriodBeginning,$A620,$B620,$C620)</f>
        <v>0</v>
      </c>
      <c r="F620" s="10">
        <f>_xll.AtlasFormulas.AtlasFunctions.AtlasBalance("PROD",DataAreaId,"T.InventTrans|inventDimId~inventDimId@T.InventDim","Sum|Qty|0","","","","","","","DateFinancial|ItemId|T2.InventSiteId|T2.InventLocationId",PeriodEnding,$A620,$B620,$C620)</f>
        <v>0</v>
      </c>
      <c r="G620" s="10">
        <f>AtlasReport_3_Table_1[[#This Row],[Current On-hand]]-AtlasReport_3_Table_1[[#This Row],[Trans backwords (Beginning)]]</f>
        <v>1</v>
      </c>
      <c r="H620" s="10">
        <f>AtlasReport_3_Table_1[[#This Row],[Current On-hand]]-AtlasReport_3_Table_1[[#This Row],[Trans backwords (Ending)]]</f>
        <v>1</v>
      </c>
    </row>
    <row r="621" spans="1:8" x14ac:dyDescent="0.25">
      <c r="A621" s="8" t="s">
        <v>479</v>
      </c>
      <c r="B621" s="8" t="s">
        <v>261</v>
      </c>
      <c r="C621" s="8" t="s">
        <v>264</v>
      </c>
      <c r="D621" s="10">
        <v>6</v>
      </c>
      <c r="E621" s="10">
        <f>_xll.AtlasFormulas.AtlasFunctions.AtlasBalance("PROD",DataAreaId,"T.InventTrans|inventDimId~inventDimId@T.InventDim","Sum|Qty|0","","","","","","","DateFinancial|ItemId|T2.InventSiteId|T2.InventLocationId",PeriodBeginning,$A621,$B621,$C621)</f>
        <v>0</v>
      </c>
      <c r="F621" s="10">
        <f>_xll.AtlasFormulas.AtlasFunctions.AtlasBalance("PROD",DataAreaId,"T.InventTrans|inventDimId~inventDimId@T.InventDim","Sum|Qty|0","","","","","","","DateFinancial|ItemId|T2.InventSiteId|T2.InventLocationId",PeriodEnding,$A621,$B621,$C621)</f>
        <v>0</v>
      </c>
      <c r="G621" s="10">
        <f>AtlasReport_3_Table_1[[#This Row],[Current On-hand]]-AtlasReport_3_Table_1[[#This Row],[Trans backwords (Beginning)]]</f>
        <v>6</v>
      </c>
      <c r="H621" s="10">
        <f>AtlasReport_3_Table_1[[#This Row],[Current On-hand]]-AtlasReport_3_Table_1[[#This Row],[Trans backwords (Ending)]]</f>
        <v>6</v>
      </c>
    </row>
    <row r="622" spans="1:8" x14ac:dyDescent="0.25">
      <c r="A622" s="8" t="s">
        <v>480</v>
      </c>
      <c r="B622" s="8" t="s">
        <v>261</v>
      </c>
      <c r="C622" s="8" t="s">
        <v>264</v>
      </c>
      <c r="D622" s="10">
        <v>1</v>
      </c>
      <c r="E622" s="10">
        <f>_xll.AtlasFormulas.AtlasFunctions.AtlasBalance("PROD",DataAreaId,"T.InventTrans|inventDimId~inventDimId@T.InventDim","Sum|Qty|0","","","","","","","DateFinancial|ItemId|T2.InventSiteId|T2.InventLocationId",PeriodBeginning,$A622,$B622,$C622)</f>
        <v>0</v>
      </c>
      <c r="F622" s="10">
        <f>_xll.AtlasFormulas.AtlasFunctions.AtlasBalance("PROD",DataAreaId,"T.InventTrans|inventDimId~inventDimId@T.InventDim","Sum|Qty|0","","","","","","","DateFinancial|ItemId|T2.InventSiteId|T2.InventLocationId",PeriodEnding,$A622,$B622,$C622)</f>
        <v>0</v>
      </c>
      <c r="G622" s="10">
        <f>AtlasReport_3_Table_1[[#This Row],[Current On-hand]]-AtlasReport_3_Table_1[[#This Row],[Trans backwords (Beginning)]]</f>
        <v>1</v>
      </c>
      <c r="H622" s="10">
        <f>AtlasReport_3_Table_1[[#This Row],[Current On-hand]]-AtlasReport_3_Table_1[[#This Row],[Trans backwords (Ending)]]</f>
        <v>1</v>
      </c>
    </row>
    <row r="623" spans="1:8" x14ac:dyDescent="0.25">
      <c r="A623" s="8" t="s">
        <v>481</v>
      </c>
      <c r="B623" s="8" t="s">
        <v>261</v>
      </c>
      <c r="C623" s="8" t="s">
        <v>264</v>
      </c>
      <c r="D623" s="10">
        <v>750</v>
      </c>
      <c r="E623" s="10">
        <f>_xll.AtlasFormulas.AtlasFunctions.AtlasBalance("PROD",DataAreaId,"T.InventTrans|inventDimId~inventDimId@T.InventDim","Sum|Qty|0","","","","","","","DateFinancial|ItemId|T2.InventSiteId|T2.InventLocationId",PeriodBeginning,$A623,$B623,$C623)</f>
        <v>0</v>
      </c>
      <c r="F623" s="10">
        <f>_xll.AtlasFormulas.AtlasFunctions.AtlasBalance("PROD",DataAreaId,"T.InventTrans|inventDimId~inventDimId@T.InventDim","Sum|Qty|0","","","","","","","DateFinancial|ItemId|T2.InventSiteId|T2.InventLocationId",PeriodEnding,$A623,$B623,$C623)</f>
        <v>0</v>
      </c>
      <c r="G623" s="10">
        <f>AtlasReport_3_Table_1[[#This Row],[Current On-hand]]-AtlasReport_3_Table_1[[#This Row],[Trans backwords (Beginning)]]</f>
        <v>750</v>
      </c>
      <c r="H623" s="10">
        <f>AtlasReport_3_Table_1[[#This Row],[Current On-hand]]-AtlasReport_3_Table_1[[#This Row],[Trans backwords (Ending)]]</f>
        <v>750</v>
      </c>
    </row>
    <row r="624" spans="1:8" x14ac:dyDescent="0.25">
      <c r="A624" s="8" t="s">
        <v>482</v>
      </c>
      <c r="B624" s="8" t="s">
        <v>261</v>
      </c>
      <c r="C624" s="8" t="s">
        <v>264</v>
      </c>
      <c r="D624" s="10">
        <v>2100</v>
      </c>
      <c r="E624" s="10">
        <f>_xll.AtlasFormulas.AtlasFunctions.AtlasBalance("PROD",DataAreaId,"T.InventTrans|inventDimId~inventDimId@T.InventDim","Sum|Qty|0","","","","","","","DateFinancial|ItemId|T2.InventSiteId|T2.InventLocationId",PeriodBeginning,$A624,$B624,$C624)</f>
        <v>0</v>
      </c>
      <c r="F624" s="10">
        <f>_xll.AtlasFormulas.AtlasFunctions.AtlasBalance("PROD",DataAreaId,"T.InventTrans|inventDimId~inventDimId@T.InventDim","Sum|Qty|0","","","","","","","DateFinancial|ItemId|T2.InventSiteId|T2.InventLocationId",PeriodEnding,$A624,$B624,$C624)</f>
        <v>0</v>
      </c>
      <c r="G624" s="10">
        <f>AtlasReport_3_Table_1[[#This Row],[Current On-hand]]-AtlasReport_3_Table_1[[#This Row],[Trans backwords (Beginning)]]</f>
        <v>2100</v>
      </c>
      <c r="H624" s="10">
        <f>AtlasReport_3_Table_1[[#This Row],[Current On-hand]]-AtlasReport_3_Table_1[[#This Row],[Trans backwords (Ending)]]</f>
        <v>2100</v>
      </c>
    </row>
    <row r="625" spans="1:8" x14ac:dyDescent="0.25">
      <c r="A625" s="8" t="s">
        <v>483</v>
      </c>
      <c r="B625" s="8" t="s">
        <v>261</v>
      </c>
      <c r="C625" s="8" t="s">
        <v>264</v>
      </c>
      <c r="D625" s="10">
        <v>1500</v>
      </c>
      <c r="E625" s="10">
        <f>_xll.AtlasFormulas.AtlasFunctions.AtlasBalance("PROD",DataAreaId,"T.InventTrans|inventDimId~inventDimId@T.InventDim","Sum|Qty|0","","","","","","","DateFinancial|ItemId|T2.InventSiteId|T2.InventLocationId",PeriodBeginning,$A625,$B625,$C625)</f>
        <v>0</v>
      </c>
      <c r="F625" s="10">
        <f>_xll.AtlasFormulas.AtlasFunctions.AtlasBalance("PROD",DataAreaId,"T.InventTrans|inventDimId~inventDimId@T.InventDim","Sum|Qty|0","","","","","","","DateFinancial|ItemId|T2.InventSiteId|T2.InventLocationId",PeriodEnding,$A625,$B625,$C625)</f>
        <v>0</v>
      </c>
      <c r="G625" s="10">
        <f>AtlasReport_3_Table_1[[#This Row],[Current On-hand]]-AtlasReport_3_Table_1[[#This Row],[Trans backwords (Beginning)]]</f>
        <v>1500</v>
      </c>
      <c r="H625" s="10">
        <f>AtlasReport_3_Table_1[[#This Row],[Current On-hand]]-AtlasReport_3_Table_1[[#This Row],[Trans backwords (Ending)]]</f>
        <v>1500</v>
      </c>
    </row>
    <row r="626" spans="1:8" x14ac:dyDescent="0.25">
      <c r="A626" s="8" t="s">
        <v>484</v>
      </c>
      <c r="B626" s="8" t="s">
        <v>261</v>
      </c>
      <c r="C626" s="8" t="s">
        <v>264</v>
      </c>
      <c r="D626" s="10">
        <v>1000</v>
      </c>
      <c r="E626" s="10">
        <f>_xll.AtlasFormulas.AtlasFunctions.AtlasBalance("PROD",DataAreaId,"T.InventTrans|inventDimId~inventDimId@T.InventDim","Sum|Qty|0","","","","","","","DateFinancial|ItemId|T2.InventSiteId|T2.InventLocationId",PeriodBeginning,$A626,$B626,$C626)</f>
        <v>0</v>
      </c>
      <c r="F626" s="10">
        <f>_xll.AtlasFormulas.AtlasFunctions.AtlasBalance("PROD",DataAreaId,"T.InventTrans|inventDimId~inventDimId@T.InventDim","Sum|Qty|0","","","","","","","DateFinancial|ItemId|T2.InventSiteId|T2.InventLocationId",PeriodEnding,$A626,$B626,$C626)</f>
        <v>0</v>
      </c>
      <c r="G626" s="10">
        <f>AtlasReport_3_Table_1[[#This Row],[Current On-hand]]-AtlasReport_3_Table_1[[#This Row],[Trans backwords (Beginning)]]</f>
        <v>1000</v>
      </c>
      <c r="H626" s="10">
        <f>AtlasReport_3_Table_1[[#This Row],[Current On-hand]]-AtlasReport_3_Table_1[[#This Row],[Trans backwords (Ending)]]</f>
        <v>1000</v>
      </c>
    </row>
    <row r="627" spans="1:8" x14ac:dyDescent="0.25">
      <c r="A627" s="8" t="s">
        <v>485</v>
      </c>
      <c r="B627" s="8" t="s">
        <v>261</v>
      </c>
      <c r="C627" s="8" t="s">
        <v>264</v>
      </c>
      <c r="D627" s="10">
        <v>1000</v>
      </c>
      <c r="E627" s="10">
        <f>_xll.AtlasFormulas.AtlasFunctions.AtlasBalance("PROD",DataAreaId,"T.InventTrans|inventDimId~inventDimId@T.InventDim","Sum|Qty|0","","","","","","","DateFinancial|ItemId|T2.InventSiteId|T2.InventLocationId",PeriodBeginning,$A627,$B627,$C627)</f>
        <v>0</v>
      </c>
      <c r="F627" s="10">
        <f>_xll.AtlasFormulas.AtlasFunctions.AtlasBalance("PROD",DataAreaId,"T.InventTrans|inventDimId~inventDimId@T.InventDim","Sum|Qty|0","","","","","","","DateFinancial|ItemId|T2.InventSiteId|T2.InventLocationId",PeriodEnding,$A627,$B627,$C627)</f>
        <v>0</v>
      </c>
      <c r="G627" s="10">
        <f>AtlasReport_3_Table_1[[#This Row],[Current On-hand]]-AtlasReport_3_Table_1[[#This Row],[Trans backwords (Beginning)]]</f>
        <v>1000</v>
      </c>
      <c r="H627" s="10">
        <f>AtlasReport_3_Table_1[[#This Row],[Current On-hand]]-AtlasReport_3_Table_1[[#This Row],[Trans backwords (Ending)]]</f>
        <v>1000</v>
      </c>
    </row>
    <row r="628" spans="1:8" x14ac:dyDescent="0.25">
      <c r="A628" s="8" t="s">
        <v>486</v>
      </c>
      <c r="B628" s="8" t="s">
        <v>261</v>
      </c>
      <c r="C628" s="8" t="s">
        <v>264</v>
      </c>
      <c r="D628" s="10">
        <v>1700</v>
      </c>
      <c r="E628" s="10">
        <f>_xll.AtlasFormulas.AtlasFunctions.AtlasBalance("PROD",DataAreaId,"T.InventTrans|inventDimId~inventDimId@T.InventDim","Sum|Qty|0","","","","","","","DateFinancial|ItemId|T2.InventSiteId|T2.InventLocationId",PeriodBeginning,$A628,$B628,$C628)</f>
        <v>0</v>
      </c>
      <c r="F628" s="10">
        <f>_xll.AtlasFormulas.AtlasFunctions.AtlasBalance("PROD",DataAreaId,"T.InventTrans|inventDimId~inventDimId@T.InventDim","Sum|Qty|0","","","","","","","DateFinancial|ItemId|T2.InventSiteId|T2.InventLocationId",PeriodEnding,$A628,$B628,$C628)</f>
        <v>0</v>
      </c>
      <c r="G628" s="10">
        <f>AtlasReport_3_Table_1[[#This Row],[Current On-hand]]-AtlasReport_3_Table_1[[#This Row],[Trans backwords (Beginning)]]</f>
        <v>1700</v>
      </c>
      <c r="H628" s="10">
        <f>AtlasReport_3_Table_1[[#This Row],[Current On-hand]]-AtlasReport_3_Table_1[[#This Row],[Trans backwords (Ending)]]</f>
        <v>1700</v>
      </c>
    </row>
    <row r="629" spans="1:8" x14ac:dyDescent="0.25">
      <c r="A629" s="8" t="s">
        <v>487</v>
      </c>
      <c r="B629" s="8" t="s">
        <v>261</v>
      </c>
      <c r="C629" s="8" t="s">
        <v>264</v>
      </c>
      <c r="D629" s="10">
        <v>1000</v>
      </c>
      <c r="E629" s="10">
        <f>_xll.AtlasFormulas.AtlasFunctions.AtlasBalance("PROD",DataAreaId,"T.InventTrans|inventDimId~inventDimId@T.InventDim","Sum|Qty|0","","","","","","","DateFinancial|ItemId|T2.InventSiteId|T2.InventLocationId",PeriodBeginning,$A629,$B629,$C629)</f>
        <v>0</v>
      </c>
      <c r="F629" s="10">
        <f>_xll.AtlasFormulas.AtlasFunctions.AtlasBalance("PROD",DataAreaId,"T.InventTrans|inventDimId~inventDimId@T.InventDim","Sum|Qty|0","","","","","","","DateFinancial|ItemId|T2.InventSiteId|T2.InventLocationId",PeriodEnding,$A629,$B629,$C629)</f>
        <v>0</v>
      </c>
      <c r="G629" s="10">
        <f>AtlasReport_3_Table_1[[#This Row],[Current On-hand]]-AtlasReport_3_Table_1[[#This Row],[Trans backwords (Beginning)]]</f>
        <v>1000</v>
      </c>
      <c r="H629" s="10">
        <f>AtlasReport_3_Table_1[[#This Row],[Current On-hand]]-AtlasReport_3_Table_1[[#This Row],[Trans backwords (Ending)]]</f>
        <v>1000</v>
      </c>
    </row>
    <row r="630" spans="1:8" x14ac:dyDescent="0.25">
      <c r="A630" s="8" t="s">
        <v>488</v>
      </c>
      <c r="B630" s="8" t="s">
        <v>261</v>
      </c>
      <c r="C630" s="8" t="s">
        <v>264</v>
      </c>
      <c r="D630" s="10">
        <v>900</v>
      </c>
      <c r="E630" s="10">
        <f>_xll.AtlasFormulas.AtlasFunctions.AtlasBalance("PROD",DataAreaId,"T.InventTrans|inventDimId~inventDimId@T.InventDim","Sum|Qty|0","","","","","","","DateFinancial|ItemId|T2.InventSiteId|T2.InventLocationId",PeriodBeginning,$A630,$B630,$C630)</f>
        <v>0</v>
      </c>
      <c r="F630" s="10">
        <f>_xll.AtlasFormulas.AtlasFunctions.AtlasBalance("PROD",DataAreaId,"T.InventTrans|inventDimId~inventDimId@T.InventDim","Sum|Qty|0","","","","","","","DateFinancial|ItemId|T2.InventSiteId|T2.InventLocationId",PeriodEnding,$A630,$B630,$C630)</f>
        <v>0</v>
      </c>
      <c r="G630" s="10">
        <f>AtlasReport_3_Table_1[[#This Row],[Current On-hand]]-AtlasReport_3_Table_1[[#This Row],[Trans backwords (Beginning)]]</f>
        <v>900</v>
      </c>
      <c r="H630" s="10">
        <f>AtlasReport_3_Table_1[[#This Row],[Current On-hand]]-AtlasReport_3_Table_1[[#This Row],[Trans backwords (Ending)]]</f>
        <v>900</v>
      </c>
    </row>
    <row r="631" spans="1:8" x14ac:dyDescent="0.25">
      <c r="A631" s="8" t="s">
        <v>489</v>
      </c>
      <c r="B631" s="8" t="s">
        <v>261</v>
      </c>
      <c r="C631" s="8" t="s">
        <v>264</v>
      </c>
      <c r="D631" s="10">
        <v>1900</v>
      </c>
      <c r="E631" s="10">
        <f>_xll.AtlasFormulas.AtlasFunctions.AtlasBalance("PROD",DataAreaId,"T.InventTrans|inventDimId~inventDimId@T.InventDim","Sum|Qty|0","","","","","","","DateFinancial|ItemId|T2.InventSiteId|T2.InventLocationId",PeriodBeginning,$A631,$B631,$C631)</f>
        <v>0</v>
      </c>
      <c r="F631" s="10">
        <f>_xll.AtlasFormulas.AtlasFunctions.AtlasBalance("PROD",DataAreaId,"T.InventTrans|inventDimId~inventDimId@T.InventDim","Sum|Qty|0","","","","","","","DateFinancial|ItemId|T2.InventSiteId|T2.InventLocationId",PeriodEnding,$A631,$B631,$C631)</f>
        <v>0</v>
      </c>
      <c r="G631" s="10">
        <f>AtlasReport_3_Table_1[[#This Row],[Current On-hand]]-AtlasReport_3_Table_1[[#This Row],[Trans backwords (Beginning)]]</f>
        <v>1900</v>
      </c>
      <c r="H631" s="10">
        <f>AtlasReport_3_Table_1[[#This Row],[Current On-hand]]-AtlasReport_3_Table_1[[#This Row],[Trans backwords (Ending)]]</f>
        <v>1900</v>
      </c>
    </row>
    <row r="632" spans="1:8" x14ac:dyDescent="0.25">
      <c r="A632" s="8" t="s">
        <v>490</v>
      </c>
      <c r="B632" s="8" t="s">
        <v>261</v>
      </c>
      <c r="C632" s="8" t="s">
        <v>264</v>
      </c>
      <c r="D632" s="10">
        <v>850</v>
      </c>
      <c r="E632" s="10">
        <f>_xll.AtlasFormulas.AtlasFunctions.AtlasBalance("PROD",DataAreaId,"T.InventTrans|inventDimId~inventDimId@T.InventDim","Sum|Qty|0","","","","","","","DateFinancial|ItemId|T2.InventSiteId|T2.InventLocationId",PeriodBeginning,$A632,$B632,$C632)</f>
        <v>0</v>
      </c>
      <c r="F632" s="10">
        <f>_xll.AtlasFormulas.AtlasFunctions.AtlasBalance("PROD",DataAreaId,"T.InventTrans|inventDimId~inventDimId@T.InventDim","Sum|Qty|0","","","","","","","DateFinancial|ItemId|T2.InventSiteId|T2.InventLocationId",PeriodEnding,$A632,$B632,$C632)</f>
        <v>0</v>
      </c>
      <c r="G632" s="10">
        <f>AtlasReport_3_Table_1[[#This Row],[Current On-hand]]-AtlasReport_3_Table_1[[#This Row],[Trans backwords (Beginning)]]</f>
        <v>850</v>
      </c>
      <c r="H632" s="10">
        <f>AtlasReport_3_Table_1[[#This Row],[Current On-hand]]-AtlasReport_3_Table_1[[#This Row],[Trans backwords (Ending)]]</f>
        <v>850</v>
      </c>
    </row>
    <row r="633" spans="1:8" x14ac:dyDescent="0.25">
      <c r="A633" s="8" t="s">
        <v>491</v>
      </c>
      <c r="B633" s="8" t="s">
        <v>261</v>
      </c>
      <c r="C633" s="8" t="s">
        <v>264</v>
      </c>
      <c r="D633" s="10">
        <v>1800</v>
      </c>
      <c r="E633" s="10">
        <f>_xll.AtlasFormulas.AtlasFunctions.AtlasBalance("PROD",DataAreaId,"T.InventTrans|inventDimId~inventDimId@T.InventDim","Sum|Qty|0","","","","","","","DateFinancial|ItemId|T2.InventSiteId|T2.InventLocationId",PeriodBeginning,$A633,$B633,$C633)</f>
        <v>0</v>
      </c>
      <c r="F633" s="10">
        <f>_xll.AtlasFormulas.AtlasFunctions.AtlasBalance("PROD",DataAreaId,"T.InventTrans|inventDimId~inventDimId@T.InventDim","Sum|Qty|0","","","","","","","DateFinancial|ItemId|T2.InventSiteId|T2.InventLocationId",PeriodEnding,$A633,$B633,$C633)</f>
        <v>0</v>
      </c>
      <c r="G633" s="10">
        <f>AtlasReport_3_Table_1[[#This Row],[Current On-hand]]-AtlasReport_3_Table_1[[#This Row],[Trans backwords (Beginning)]]</f>
        <v>1800</v>
      </c>
      <c r="H633" s="10">
        <f>AtlasReport_3_Table_1[[#This Row],[Current On-hand]]-AtlasReport_3_Table_1[[#This Row],[Trans backwords (Ending)]]</f>
        <v>1800</v>
      </c>
    </row>
    <row r="634" spans="1:8" x14ac:dyDescent="0.25">
      <c r="A634" s="8" t="s">
        <v>492</v>
      </c>
      <c r="B634" s="8" t="s">
        <v>261</v>
      </c>
      <c r="C634" s="8" t="s">
        <v>264</v>
      </c>
      <c r="D634" s="10">
        <v>1800</v>
      </c>
      <c r="E634" s="10">
        <f>_xll.AtlasFormulas.AtlasFunctions.AtlasBalance("PROD",DataAreaId,"T.InventTrans|inventDimId~inventDimId@T.InventDim","Sum|Qty|0","","","","","","","DateFinancial|ItemId|T2.InventSiteId|T2.InventLocationId",PeriodBeginning,$A634,$B634,$C634)</f>
        <v>0</v>
      </c>
      <c r="F634" s="10">
        <f>_xll.AtlasFormulas.AtlasFunctions.AtlasBalance("PROD",DataAreaId,"T.InventTrans|inventDimId~inventDimId@T.InventDim","Sum|Qty|0","","","","","","","DateFinancial|ItemId|T2.InventSiteId|T2.InventLocationId",PeriodEnding,$A634,$B634,$C634)</f>
        <v>0</v>
      </c>
      <c r="G634" s="10">
        <f>AtlasReport_3_Table_1[[#This Row],[Current On-hand]]-AtlasReport_3_Table_1[[#This Row],[Trans backwords (Beginning)]]</f>
        <v>1800</v>
      </c>
      <c r="H634" s="10">
        <f>AtlasReport_3_Table_1[[#This Row],[Current On-hand]]-AtlasReport_3_Table_1[[#This Row],[Trans backwords (Ending)]]</f>
        <v>1800</v>
      </c>
    </row>
    <row r="635" spans="1:8" x14ac:dyDescent="0.25">
      <c r="A635" s="8" t="s">
        <v>493</v>
      </c>
      <c r="B635" s="8" t="s">
        <v>261</v>
      </c>
      <c r="C635" s="8" t="s">
        <v>264</v>
      </c>
      <c r="D635" s="10">
        <v>67</v>
      </c>
      <c r="E635" s="10">
        <f>_xll.AtlasFormulas.AtlasFunctions.AtlasBalance("PROD",DataAreaId,"T.InventTrans|inventDimId~inventDimId@T.InventDim","Sum|Qty|0","","","","","","","DateFinancial|ItemId|T2.InventSiteId|T2.InventLocationId",PeriodBeginning,$A635,$B635,$C635)</f>
        <v>0</v>
      </c>
      <c r="F635" s="10">
        <f>_xll.AtlasFormulas.AtlasFunctions.AtlasBalance("PROD",DataAreaId,"T.InventTrans|inventDimId~inventDimId@T.InventDim","Sum|Qty|0","","","","","","","DateFinancial|ItemId|T2.InventSiteId|T2.InventLocationId",PeriodEnding,$A635,$B635,$C635)</f>
        <v>0</v>
      </c>
      <c r="G635" s="10">
        <f>AtlasReport_3_Table_1[[#This Row],[Current On-hand]]-AtlasReport_3_Table_1[[#This Row],[Trans backwords (Beginning)]]</f>
        <v>67</v>
      </c>
      <c r="H635" s="10">
        <f>AtlasReport_3_Table_1[[#This Row],[Current On-hand]]-AtlasReport_3_Table_1[[#This Row],[Trans backwords (Ending)]]</f>
        <v>67</v>
      </c>
    </row>
    <row r="636" spans="1:8" x14ac:dyDescent="0.25">
      <c r="A636" s="8" t="s">
        <v>494</v>
      </c>
      <c r="B636" s="8" t="s">
        <v>261</v>
      </c>
      <c r="C636" s="8" t="s">
        <v>264</v>
      </c>
      <c r="D636" s="10">
        <v>1264</v>
      </c>
      <c r="E636" s="10">
        <f>_xll.AtlasFormulas.AtlasFunctions.AtlasBalance("PROD",DataAreaId,"T.InventTrans|inventDimId~inventDimId@T.InventDim","Sum|Qty|0","","","","","","","DateFinancial|ItemId|T2.InventSiteId|T2.InventLocationId",PeriodBeginning,$A636,$B636,$C636)</f>
        <v>0</v>
      </c>
      <c r="F636" s="10">
        <f>_xll.AtlasFormulas.AtlasFunctions.AtlasBalance("PROD",DataAreaId,"T.InventTrans|inventDimId~inventDimId@T.InventDim","Sum|Qty|0","","","","","","","DateFinancial|ItemId|T2.InventSiteId|T2.InventLocationId",PeriodEnding,$A636,$B636,$C636)</f>
        <v>0</v>
      </c>
      <c r="G636" s="10">
        <f>AtlasReport_3_Table_1[[#This Row],[Current On-hand]]-AtlasReport_3_Table_1[[#This Row],[Trans backwords (Beginning)]]</f>
        <v>1264</v>
      </c>
      <c r="H636" s="10">
        <f>AtlasReport_3_Table_1[[#This Row],[Current On-hand]]-AtlasReport_3_Table_1[[#This Row],[Trans backwords (Ending)]]</f>
        <v>1264</v>
      </c>
    </row>
    <row r="637" spans="1:8" x14ac:dyDescent="0.25">
      <c r="A637" s="8" t="s">
        <v>495</v>
      </c>
      <c r="B637" s="8" t="s">
        <v>261</v>
      </c>
      <c r="C637" s="8" t="s">
        <v>264</v>
      </c>
      <c r="D637" s="10">
        <v>150</v>
      </c>
      <c r="E637" s="10">
        <f>_xll.AtlasFormulas.AtlasFunctions.AtlasBalance("PROD",DataAreaId,"T.InventTrans|inventDimId~inventDimId@T.InventDim","Sum|Qty|0","","","","","","","DateFinancial|ItemId|T2.InventSiteId|T2.InventLocationId",PeriodBeginning,$A637,$B637,$C637)</f>
        <v>0</v>
      </c>
      <c r="F637" s="10">
        <f>_xll.AtlasFormulas.AtlasFunctions.AtlasBalance("PROD",DataAreaId,"T.InventTrans|inventDimId~inventDimId@T.InventDim","Sum|Qty|0","","","","","","","DateFinancial|ItemId|T2.InventSiteId|T2.InventLocationId",PeriodEnding,$A637,$B637,$C637)</f>
        <v>0</v>
      </c>
      <c r="G637" s="10">
        <f>AtlasReport_3_Table_1[[#This Row],[Current On-hand]]-AtlasReport_3_Table_1[[#This Row],[Trans backwords (Beginning)]]</f>
        <v>150</v>
      </c>
      <c r="H637" s="10">
        <f>AtlasReport_3_Table_1[[#This Row],[Current On-hand]]-AtlasReport_3_Table_1[[#This Row],[Trans backwords (Ending)]]</f>
        <v>150</v>
      </c>
    </row>
    <row r="638" spans="1:8" x14ac:dyDescent="0.25">
      <c r="A638" s="8" t="s">
        <v>496</v>
      </c>
      <c r="B638" s="8" t="s">
        <v>261</v>
      </c>
      <c r="C638" s="8" t="s">
        <v>264</v>
      </c>
      <c r="D638" s="10">
        <v>592</v>
      </c>
      <c r="E638" s="10">
        <f>_xll.AtlasFormulas.AtlasFunctions.AtlasBalance("PROD",DataAreaId,"T.InventTrans|inventDimId~inventDimId@T.InventDim","Sum|Qty|0","","","","","","","DateFinancial|ItemId|T2.InventSiteId|T2.InventLocationId",PeriodBeginning,$A638,$B638,$C638)</f>
        <v>0</v>
      </c>
      <c r="F638" s="10">
        <f>_xll.AtlasFormulas.AtlasFunctions.AtlasBalance("PROD",DataAreaId,"T.InventTrans|inventDimId~inventDimId@T.InventDim","Sum|Qty|0","","","","","","","DateFinancial|ItemId|T2.InventSiteId|T2.InventLocationId",PeriodEnding,$A638,$B638,$C638)</f>
        <v>0</v>
      </c>
      <c r="G638" s="10">
        <f>AtlasReport_3_Table_1[[#This Row],[Current On-hand]]-AtlasReport_3_Table_1[[#This Row],[Trans backwords (Beginning)]]</f>
        <v>592</v>
      </c>
      <c r="H638" s="10">
        <f>AtlasReport_3_Table_1[[#This Row],[Current On-hand]]-AtlasReport_3_Table_1[[#This Row],[Trans backwords (Ending)]]</f>
        <v>592</v>
      </c>
    </row>
    <row r="639" spans="1:8" x14ac:dyDescent="0.25">
      <c r="A639" s="8" t="s">
        <v>497</v>
      </c>
      <c r="B639" s="8" t="s">
        <v>261</v>
      </c>
      <c r="C639" s="8" t="s">
        <v>264</v>
      </c>
      <c r="D639" s="10">
        <v>350</v>
      </c>
      <c r="E639" s="10">
        <f>_xll.AtlasFormulas.AtlasFunctions.AtlasBalance("PROD",DataAreaId,"T.InventTrans|inventDimId~inventDimId@T.InventDim","Sum|Qty|0","","","","","","","DateFinancial|ItemId|T2.InventSiteId|T2.InventLocationId",PeriodBeginning,$A639,$B639,$C639)</f>
        <v>0</v>
      </c>
      <c r="F639" s="10">
        <f>_xll.AtlasFormulas.AtlasFunctions.AtlasBalance("PROD",DataAreaId,"T.InventTrans|inventDimId~inventDimId@T.InventDim","Sum|Qty|0","","","","","","","DateFinancial|ItemId|T2.InventSiteId|T2.InventLocationId",PeriodEnding,$A639,$B639,$C639)</f>
        <v>0</v>
      </c>
      <c r="G639" s="10">
        <f>AtlasReport_3_Table_1[[#This Row],[Current On-hand]]-AtlasReport_3_Table_1[[#This Row],[Trans backwords (Beginning)]]</f>
        <v>350</v>
      </c>
      <c r="H639" s="10">
        <f>AtlasReport_3_Table_1[[#This Row],[Current On-hand]]-AtlasReport_3_Table_1[[#This Row],[Trans backwords (Ending)]]</f>
        <v>350</v>
      </c>
    </row>
    <row r="640" spans="1:8" x14ac:dyDescent="0.25">
      <c r="A640" s="8" t="s">
        <v>498</v>
      </c>
      <c r="B640" s="8" t="s">
        <v>261</v>
      </c>
      <c r="C640" s="8" t="s">
        <v>264</v>
      </c>
      <c r="D640" s="10">
        <v>60</v>
      </c>
      <c r="E640" s="10">
        <f>_xll.AtlasFormulas.AtlasFunctions.AtlasBalance("PROD",DataAreaId,"T.InventTrans|inventDimId~inventDimId@T.InventDim","Sum|Qty|0","","","","","","","DateFinancial|ItemId|T2.InventSiteId|T2.InventLocationId",PeriodBeginning,$A640,$B640,$C640)</f>
        <v>0</v>
      </c>
      <c r="F640" s="10">
        <f>_xll.AtlasFormulas.AtlasFunctions.AtlasBalance("PROD",DataAreaId,"T.InventTrans|inventDimId~inventDimId@T.InventDim","Sum|Qty|0","","","","","","","DateFinancial|ItemId|T2.InventSiteId|T2.InventLocationId",PeriodEnding,$A640,$B640,$C640)</f>
        <v>0</v>
      </c>
      <c r="G640" s="10">
        <f>AtlasReport_3_Table_1[[#This Row],[Current On-hand]]-AtlasReport_3_Table_1[[#This Row],[Trans backwords (Beginning)]]</f>
        <v>60</v>
      </c>
      <c r="H640" s="10">
        <f>AtlasReport_3_Table_1[[#This Row],[Current On-hand]]-AtlasReport_3_Table_1[[#This Row],[Trans backwords (Ending)]]</f>
        <v>60</v>
      </c>
    </row>
    <row r="641" spans="1:8" x14ac:dyDescent="0.25">
      <c r="A641" s="8" t="s">
        <v>499</v>
      </c>
      <c r="B641" s="8" t="s">
        <v>261</v>
      </c>
      <c r="C641" s="8" t="s">
        <v>264</v>
      </c>
      <c r="D641" s="10">
        <v>500</v>
      </c>
      <c r="E641" s="10">
        <f>_xll.AtlasFormulas.AtlasFunctions.AtlasBalance("PROD",DataAreaId,"T.InventTrans|inventDimId~inventDimId@T.InventDim","Sum|Qty|0","","","","","","","DateFinancial|ItemId|T2.InventSiteId|T2.InventLocationId",PeriodBeginning,$A641,$B641,$C641)</f>
        <v>0</v>
      </c>
      <c r="F641" s="10">
        <f>_xll.AtlasFormulas.AtlasFunctions.AtlasBalance("PROD",DataAreaId,"T.InventTrans|inventDimId~inventDimId@T.InventDim","Sum|Qty|0","","","","","","","DateFinancial|ItemId|T2.InventSiteId|T2.InventLocationId",PeriodEnding,$A641,$B641,$C641)</f>
        <v>0</v>
      </c>
      <c r="G641" s="10">
        <f>AtlasReport_3_Table_1[[#This Row],[Current On-hand]]-AtlasReport_3_Table_1[[#This Row],[Trans backwords (Beginning)]]</f>
        <v>500</v>
      </c>
      <c r="H641" s="10">
        <f>AtlasReport_3_Table_1[[#This Row],[Current On-hand]]-AtlasReport_3_Table_1[[#This Row],[Trans backwords (Ending)]]</f>
        <v>500</v>
      </c>
    </row>
    <row r="642" spans="1:8" x14ac:dyDescent="0.25">
      <c r="A642" s="8" t="s">
        <v>500</v>
      </c>
      <c r="B642" s="8" t="s">
        <v>261</v>
      </c>
      <c r="C642" s="8" t="s">
        <v>262</v>
      </c>
      <c r="D642" s="10">
        <v>-2</v>
      </c>
      <c r="E642" s="10">
        <f>_xll.AtlasFormulas.AtlasFunctions.AtlasBalance("PROD",DataAreaId,"T.InventTrans|inventDimId~inventDimId@T.InventDim","Sum|Qty|0","","","","","","","DateFinancial|ItemId|T2.InventSiteId|T2.InventLocationId",PeriodBeginning,$A642,$B642,$C642)</f>
        <v>0</v>
      </c>
      <c r="F642" s="10">
        <f>_xll.AtlasFormulas.AtlasFunctions.AtlasBalance("PROD",DataAreaId,"T.InventTrans|inventDimId~inventDimId@T.InventDim","Sum|Qty|0","","","","","","","DateFinancial|ItemId|T2.InventSiteId|T2.InventLocationId",PeriodEnding,$A642,$B642,$C642)</f>
        <v>0</v>
      </c>
      <c r="G642" s="10">
        <f>AtlasReport_3_Table_1[[#This Row],[Current On-hand]]-AtlasReport_3_Table_1[[#This Row],[Trans backwords (Beginning)]]</f>
        <v>-2</v>
      </c>
      <c r="H642" s="10">
        <f>AtlasReport_3_Table_1[[#This Row],[Current On-hand]]-AtlasReport_3_Table_1[[#This Row],[Trans backwords (Ending)]]</f>
        <v>-2</v>
      </c>
    </row>
    <row r="643" spans="1:8" x14ac:dyDescent="0.25">
      <c r="A643" s="8" t="s">
        <v>500</v>
      </c>
      <c r="B643" s="8" t="s">
        <v>261</v>
      </c>
      <c r="C643" s="8" t="s">
        <v>264</v>
      </c>
      <c r="D643" s="10">
        <v>0</v>
      </c>
      <c r="E643" s="10">
        <f>_xll.AtlasFormulas.AtlasFunctions.AtlasBalance("PROD",DataAreaId,"T.InventTrans|inventDimId~inventDimId@T.InventDim","Sum|Qty|0","","","","","","","DateFinancial|ItemId|T2.InventSiteId|T2.InventLocationId",PeriodBeginning,$A643,$B643,$C643)</f>
        <v>0</v>
      </c>
      <c r="F643" s="10">
        <f>_xll.AtlasFormulas.AtlasFunctions.AtlasBalance("PROD",DataAreaId,"T.InventTrans|inventDimId~inventDimId@T.InventDim","Sum|Qty|0","","","","","","","DateFinancial|ItemId|T2.InventSiteId|T2.InventLocationId",PeriodEnding,$A643,$B643,$C643)</f>
        <v>0</v>
      </c>
      <c r="G643" s="10">
        <f>AtlasReport_3_Table_1[[#This Row],[Current On-hand]]-AtlasReport_3_Table_1[[#This Row],[Trans backwords (Beginning)]]</f>
        <v>0</v>
      </c>
      <c r="H643" s="10">
        <f>AtlasReport_3_Table_1[[#This Row],[Current On-hand]]-AtlasReport_3_Table_1[[#This Row],[Trans backwords (Ending)]]</f>
        <v>0</v>
      </c>
    </row>
    <row r="644" spans="1:8" x14ac:dyDescent="0.25">
      <c r="A644" s="8" t="s">
        <v>501</v>
      </c>
      <c r="B644" s="8" t="s">
        <v>261</v>
      </c>
      <c r="C644" s="8" t="s">
        <v>81</v>
      </c>
      <c r="D644" s="10">
        <v>0</v>
      </c>
      <c r="E644" s="10">
        <f>_xll.AtlasFormulas.AtlasFunctions.AtlasBalance("PROD",DataAreaId,"T.InventTrans|inventDimId~inventDimId@T.InventDim","Sum|Qty|0","","","","","","","DateFinancial|ItemId|T2.InventSiteId|T2.InventLocationId",PeriodBeginning,$A644,$B644,$C644)</f>
        <v>0</v>
      </c>
      <c r="F644" s="10">
        <f>_xll.AtlasFormulas.AtlasFunctions.AtlasBalance("PROD",DataAreaId,"T.InventTrans|inventDimId~inventDimId@T.InventDim","Sum|Qty|0","","","","","","","DateFinancial|ItemId|T2.InventSiteId|T2.InventLocationId",PeriodEnding,$A644,$B644,$C644)</f>
        <v>0</v>
      </c>
      <c r="G644" s="10">
        <f>AtlasReport_3_Table_1[[#This Row],[Current On-hand]]-AtlasReport_3_Table_1[[#This Row],[Trans backwords (Beginning)]]</f>
        <v>0</v>
      </c>
      <c r="H644" s="10">
        <f>AtlasReport_3_Table_1[[#This Row],[Current On-hand]]-AtlasReport_3_Table_1[[#This Row],[Trans backwords (Ending)]]</f>
        <v>0</v>
      </c>
    </row>
    <row r="645" spans="1:8" x14ac:dyDescent="0.25">
      <c r="A645" s="8" t="s">
        <v>501</v>
      </c>
      <c r="B645" s="8" t="s">
        <v>261</v>
      </c>
      <c r="C645" s="8" t="s">
        <v>262</v>
      </c>
      <c r="D645" s="10">
        <v>0</v>
      </c>
      <c r="E645" s="10">
        <f>_xll.AtlasFormulas.AtlasFunctions.AtlasBalance("PROD",DataAreaId,"T.InventTrans|inventDimId~inventDimId@T.InventDim","Sum|Qty|0","","","","","","","DateFinancial|ItemId|T2.InventSiteId|T2.InventLocationId",PeriodBeginning,$A645,$B645,$C645)</f>
        <v>0</v>
      </c>
      <c r="F645" s="10">
        <f>_xll.AtlasFormulas.AtlasFunctions.AtlasBalance("PROD",DataAreaId,"T.InventTrans|inventDimId~inventDimId@T.InventDim","Sum|Qty|0","","","","","","","DateFinancial|ItemId|T2.InventSiteId|T2.InventLocationId",PeriodEnding,$A645,$B645,$C645)</f>
        <v>0</v>
      </c>
      <c r="G645" s="10">
        <f>AtlasReport_3_Table_1[[#This Row],[Current On-hand]]-AtlasReport_3_Table_1[[#This Row],[Trans backwords (Beginning)]]</f>
        <v>0</v>
      </c>
      <c r="H645" s="10">
        <f>AtlasReport_3_Table_1[[#This Row],[Current On-hand]]-AtlasReport_3_Table_1[[#This Row],[Trans backwords (Ending)]]</f>
        <v>0</v>
      </c>
    </row>
    <row r="646" spans="1:8" x14ac:dyDescent="0.25">
      <c r="A646" s="8" t="s">
        <v>501</v>
      </c>
      <c r="B646" s="8" t="s">
        <v>261</v>
      </c>
      <c r="C646" s="8" t="s">
        <v>264</v>
      </c>
      <c r="D646" s="10">
        <v>2621</v>
      </c>
      <c r="E646" s="10">
        <f>_xll.AtlasFormulas.AtlasFunctions.AtlasBalance("PROD",DataAreaId,"T.InventTrans|inventDimId~inventDimId@T.InventDim","Sum|Qty|0","","","","","","","DateFinancial|ItemId|T2.InventSiteId|T2.InventLocationId",PeriodBeginning,$A646,$B646,$C646)</f>
        <v>-1</v>
      </c>
      <c r="F646" s="10">
        <f>_xll.AtlasFormulas.AtlasFunctions.AtlasBalance("PROD",DataAreaId,"T.InventTrans|inventDimId~inventDimId@T.InventDim","Sum|Qty|0","","","","","","","DateFinancial|ItemId|T2.InventSiteId|T2.InventLocationId",PeriodEnding,$A646,$B646,$C646)</f>
        <v>0</v>
      </c>
      <c r="G646" s="10">
        <f>AtlasReport_3_Table_1[[#This Row],[Current On-hand]]-AtlasReport_3_Table_1[[#This Row],[Trans backwords (Beginning)]]</f>
        <v>2622</v>
      </c>
      <c r="H646" s="10">
        <f>AtlasReport_3_Table_1[[#This Row],[Current On-hand]]-AtlasReport_3_Table_1[[#This Row],[Trans backwords (Ending)]]</f>
        <v>2621</v>
      </c>
    </row>
    <row r="647" spans="1:8" x14ac:dyDescent="0.25">
      <c r="A647" s="8" t="s">
        <v>502</v>
      </c>
      <c r="B647" s="8" t="s">
        <v>261</v>
      </c>
      <c r="C647" s="8" t="s">
        <v>81</v>
      </c>
      <c r="D647" s="10">
        <v>0</v>
      </c>
      <c r="E647" s="10">
        <f>_xll.AtlasFormulas.AtlasFunctions.AtlasBalance("PROD",DataAreaId,"T.InventTrans|inventDimId~inventDimId@T.InventDim","Sum|Qty|0","","","","","","","DateFinancial|ItemId|T2.InventSiteId|T2.InventLocationId",PeriodBeginning,$A647,$B647,$C647)</f>
        <v>0</v>
      </c>
      <c r="F647" s="10">
        <f>_xll.AtlasFormulas.AtlasFunctions.AtlasBalance("PROD",DataAreaId,"T.InventTrans|inventDimId~inventDimId@T.InventDim","Sum|Qty|0","","","","","","","DateFinancial|ItemId|T2.InventSiteId|T2.InventLocationId",PeriodEnding,$A647,$B647,$C647)</f>
        <v>0</v>
      </c>
      <c r="G647" s="10">
        <f>AtlasReport_3_Table_1[[#This Row],[Current On-hand]]-AtlasReport_3_Table_1[[#This Row],[Trans backwords (Beginning)]]</f>
        <v>0</v>
      </c>
      <c r="H647" s="10">
        <f>AtlasReport_3_Table_1[[#This Row],[Current On-hand]]-AtlasReport_3_Table_1[[#This Row],[Trans backwords (Ending)]]</f>
        <v>0</v>
      </c>
    </row>
    <row r="648" spans="1:8" x14ac:dyDescent="0.25">
      <c r="A648" s="8" t="s">
        <v>502</v>
      </c>
      <c r="B648" s="8" t="s">
        <v>261</v>
      </c>
      <c r="C648" s="8" t="s">
        <v>264</v>
      </c>
      <c r="D648" s="10">
        <v>54.7</v>
      </c>
      <c r="E648" s="10">
        <f>_xll.AtlasFormulas.AtlasFunctions.AtlasBalance("PROD",DataAreaId,"T.InventTrans|inventDimId~inventDimId@T.InventDim","Sum|Qty|0","","","","","","","DateFinancial|ItemId|T2.InventSiteId|T2.InventLocationId",PeriodBeginning,$A648,$B648,$C648)</f>
        <v>-31.9</v>
      </c>
      <c r="F648" s="10">
        <f>_xll.AtlasFormulas.AtlasFunctions.AtlasBalance("PROD",DataAreaId,"T.InventTrans|inventDimId~inventDimId@T.InventDim","Sum|Qty|0","","","","","","","DateFinancial|ItemId|T2.InventSiteId|T2.InventLocationId",PeriodEnding,$A648,$B648,$C648)</f>
        <v>0</v>
      </c>
      <c r="G648" s="10">
        <f>AtlasReport_3_Table_1[[#This Row],[Current On-hand]]-AtlasReport_3_Table_1[[#This Row],[Trans backwords (Beginning)]]</f>
        <v>86.6</v>
      </c>
      <c r="H648" s="10">
        <f>AtlasReport_3_Table_1[[#This Row],[Current On-hand]]-AtlasReport_3_Table_1[[#This Row],[Trans backwords (Ending)]]</f>
        <v>54.7</v>
      </c>
    </row>
    <row r="649" spans="1:8" x14ac:dyDescent="0.25">
      <c r="A649" s="8" t="s">
        <v>503</v>
      </c>
      <c r="B649" s="8" t="s">
        <v>261</v>
      </c>
      <c r="C649" s="8" t="s">
        <v>264</v>
      </c>
      <c r="D649" s="10">
        <v>3448</v>
      </c>
      <c r="E649" s="10">
        <f>_xll.AtlasFormulas.AtlasFunctions.AtlasBalance("PROD",DataAreaId,"T.InventTrans|inventDimId~inventDimId@T.InventDim","Sum|Qty|0","","","","","","","DateFinancial|ItemId|T2.InventSiteId|T2.InventLocationId",PeriodBeginning,$A649,$B649,$C649)</f>
        <v>-2</v>
      </c>
      <c r="F649" s="10">
        <f>_xll.AtlasFormulas.AtlasFunctions.AtlasBalance("PROD",DataAreaId,"T.InventTrans|inventDimId~inventDimId@T.InventDim","Sum|Qty|0","","","","","","","DateFinancial|ItemId|T2.InventSiteId|T2.InventLocationId",PeriodEnding,$A649,$B649,$C649)</f>
        <v>0</v>
      </c>
      <c r="G649" s="10">
        <f>AtlasReport_3_Table_1[[#This Row],[Current On-hand]]-AtlasReport_3_Table_1[[#This Row],[Trans backwords (Beginning)]]</f>
        <v>3450</v>
      </c>
      <c r="H649" s="10">
        <f>AtlasReport_3_Table_1[[#This Row],[Current On-hand]]-AtlasReport_3_Table_1[[#This Row],[Trans backwords (Ending)]]</f>
        <v>3448</v>
      </c>
    </row>
    <row r="650" spans="1:8" x14ac:dyDescent="0.25">
      <c r="A650" s="8" t="s">
        <v>504</v>
      </c>
      <c r="B650" s="8" t="s">
        <v>261</v>
      </c>
      <c r="C650" s="8" t="s">
        <v>81</v>
      </c>
      <c r="D650" s="10">
        <v>0</v>
      </c>
      <c r="E650" s="10">
        <f>_xll.AtlasFormulas.AtlasFunctions.AtlasBalance("PROD",DataAreaId,"T.InventTrans|inventDimId~inventDimId@T.InventDim","Sum|Qty|0","","","","","","","DateFinancial|ItemId|T2.InventSiteId|T2.InventLocationId",PeriodBeginning,$A650,$B650,$C650)</f>
        <v>0</v>
      </c>
      <c r="F650" s="10">
        <f>_xll.AtlasFormulas.AtlasFunctions.AtlasBalance("PROD",DataAreaId,"T.InventTrans|inventDimId~inventDimId@T.InventDim","Sum|Qty|0","","","","","","","DateFinancial|ItemId|T2.InventSiteId|T2.InventLocationId",PeriodEnding,$A650,$B650,$C650)</f>
        <v>0</v>
      </c>
      <c r="G650" s="10">
        <f>AtlasReport_3_Table_1[[#This Row],[Current On-hand]]-AtlasReport_3_Table_1[[#This Row],[Trans backwords (Beginning)]]</f>
        <v>0</v>
      </c>
      <c r="H650" s="10">
        <f>AtlasReport_3_Table_1[[#This Row],[Current On-hand]]-AtlasReport_3_Table_1[[#This Row],[Trans backwords (Ending)]]</f>
        <v>0</v>
      </c>
    </row>
    <row r="651" spans="1:8" x14ac:dyDescent="0.25">
      <c r="A651" s="8" t="s">
        <v>504</v>
      </c>
      <c r="B651" s="8" t="s">
        <v>261</v>
      </c>
      <c r="C651" s="8" t="s">
        <v>264</v>
      </c>
      <c r="D651" s="10">
        <v>262</v>
      </c>
      <c r="E651" s="10">
        <f>_xll.AtlasFormulas.AtlasFunctions.AtlasBalance("PROD",DataAreaId,"T.InventTrans|inventDimId~inventDimId@T.InventDim","Sum|Qty|0","","","","","","","DateFinancial|ItemId|T2.InventSiteId|T2.InventLocationId",PeriodBeginning,$A651,$B651,$C651)</f>
        <v>0</v>
      </c>
      <c r="F651" s="10">
        <f>_xll.AtlasFormulas.AtlasFunctions.AtlasBalance("PROD",DataAreaId,"T.InventTrans|inventDimId~inventDimId@T.InventDim","Sum|Qty|0","","","","","","","DateFinancial|ItemId|T2.InventSiteId|T2.InventLocationId",PeriodEnding,$A651,$B651,$C651)</f>
        <v>0</v>
      </c>
      <c r="G651" s="10">
        <f>AtlasReport_3_Table_1[[#This Row],[Current On-hand]]-AtlasReport_3_Table_1[[#This Row],[Trans backwords (Beginning)]]</f>
        <v>262</v>
      </c>
      <c r="H651" s="10">
        <f>AtlasReport_3_Table_1[[#This Row],[Current On-hand]]-AtlasReport_3_Table_1[[#This Row],[Trans backwords (Ending)]]</f>
        <v>262</v>
      </c>
    </row>
    <row r="652" spans="1:8" x14ac:dyDescent="0.25">
      <c r="A652" s="8" t="s">
        <v>505</v>
      </c>
      <c r="B652" s="8" t="s">
        <v>261</v>
      </c>
      <c r="C652" s="8" t="s">
        <v>264</v>
      </c>
      <c r="D652" s="10">
        <v>0</v>
      </c>
      <c r="E652" s="10">
        <f>_xll.AtlasFormulas.AtlasFunctions.AtlasBalance("PROD",DataAreaId,"T.InventTrans|inventDimId~inventDimId@T.InventDim","Sum|Qty|0","","","","","","","DateFinancial|ItemId|T2.InventSiteId|T2.InventLocationId",PeriodBeginning,$A652,$B652,$C652)</f>
        <v>0</v>
      </c>
      <c r="F652" s="10">
        <f>_xll.AtlasFormulas.AtlasFunctions.AtlasBalance("PROD",DataAreaId,"T.InventTrans|inventDimId~inventDimId@T.InventDim","Sum|Qty|0","","","","","","","DateFinancial|ItemId|T2.InventSiteId|T2.InventLocationId",PeriodEnding,$A652,$B652,$C652)</f>
        <v>0</v>
      </c>
      <c r="G652" s="10">
        <f>AtlasReport_3_Table_1[[#This Row],[Current On-hand]]-AtlasReport_3_Table_1[[#This Row],[Trans backwords (Beginning)]]</f>
        <v>0</v>
      </c>
      <c r="H652" s="10">
        <f>AtlasReport_3_Table_1[[#This Row],[Current On-hand]]-AtlasReport_3_Table_1[[#This Row],[Trans backwords (Ending)]]</f>
        <v>0</v>
      </c>
    </row>
    <row r="653" spans="1:8" x14ac:dyDescent="0.25">
      <c r="A653" s="8" t="s">
        <v>506</v>
      </c>
      <c r="B653" s="8" t="s">
        <v>261</v>
      </c>
      <c r="C653" s="8" t="s">
        <v>264</v>
      </c>
      <c r="D653" s="10">
        <v>38</v>
      </c>
      <c r="E653" s="10">
        <f>_xll.AtlasFormulas.AtlasFunctions.AtlasBalance("PROD",DataAreaId,"T.InventTrans|inventDimId~inventDimId@T.InventDim","Sum|Qty|0","","","","","","","DateFinancial|ItemId|T2.InventSiteId|T2.InventLocationId",PeriodBeginning,$A653,$B653,$C653)</f>
        <v>0</v>
      </c>
      <c r="F653" s="10">
        <f>_xll.AtlasFormulas.AtlasFunctions.AtlasBalance("PROD",DataAreaId,"T.InventTrans|inventDimId~inventDimId@T.InventDim","Sum|Qty|0","","","","","","","DateFinancial|ItemId|T2.InventSiteId|T2.InventLocationId",PeriodEnding,$A653,$B653,$C653)</f>
        <v>0</v>
      </c>
      <c r="G653" s="10">
        <f>AtlasReport_3_Table_1[[#This Row],[Current On-hand]]-AtlasReport_3_Table_1[[#This Row],[Trans backwords (Beginning)]]</f>
        <v>38</v>
      </c>
      <c r="H653" s="10">
        <f>AtlasReport_3_Table_1[[#This Row],[Current On-hand]]-AtlasReport_3_Table_1[[#This Row],[Trans backwords (Ending)]]</f>
        <v>38</v>
      </c>
    </row>
    <row r="654" spans="1:8" x14ac:dyDescent="0.25">
      <c r="A654" s="8" t="s">
        <v>507</v>
      </c>
      <c r="B654" s="8" t="s">
        <v>261</v>
      </c>
      <c r="C654" s="8" t="s">
        <v>81</v>
      </c>
      <c r="D654" s="10">
        <v>0</v>
      </c>
      <c r="E654" s="10">
        <f>_xll.AtlasFormulas.AtlasFunctions.AtlasBalance("PROD",DataAreaId,"T.InventTrans|inventDimId~inventDimId@T.InventDim","Sum|Qty|0","","","","","","","DateFinancial|ItemId|T2.InventSiteId|T2.InventLocationId",PeriodBeginning,$A654,$B654,$C654)</f>
        <v>0</v>
      </c>
      <c r="F654" s="10">
        <f>_xll.AtlasFormulas.AtlasFunctions.AtlasBalance("PROD",DataAreaId,"T.InventTrans|inventDimId~inventDimId@T.InventDim","Sum|Qty|0","","","","","","","DateFinancial|ItemId|T2.InventSiteId|T2.InventLocationId",PeriodEnding,$A654,$B654,$C654)</f>
        <v>0</v>
      </c>
      <c r="G654" s="10">
        <f>AtlasReport_3_Table_1[[#This Row],[Current On-hand]]-AtlasReport_3_Table_1[[#This Row],[Trans backwords (Beginning)]]</f>
        <v>0</v>
      </c>
      <c r="H654" s="10">
        <f>AtlasReport_3_Table_1[[#This Row],[Current On-hand]]-AtlasReport_3_Table_1[[#This Row],[Trans backwords (Ending)]]</f>
        <v>0</v>
      </c>
    </row>
    <row r="655" spans="1:8" x14ac:dyDescent="0.25">
      <c r="A655" s="8" t="s">
        <v>507</v>
      </c>
      <c r="B655" s="8" t="s">
        <v>261</v>
      </c>
      <c r="C655" s="8" t="s">
        <v>264</v>
      </c>
      <c r="D655" s="10">
        <v>394</v>
      </c>
      <c r="E655" s="10">
        <f>_xll.AtlasFormulas.AtlasFunctions.AtlasBalance("PROD",DataAreaId,"T.InventTrans|inventDimId~inventDimId@T.InventDim","Sum|Qty|0","","","","","","","DateFinancial|ItemId|T2.InventSiteId|T2.InventLocationId",PeriodBeginning,$A655,$B655,$C655)</f>
        <v>0</v>
      </c>
      <c r="F655" s="10">
        <f>_xll.AtlasFormulas.AtlasFunctions.AtlasBalance("PROD",DataAreaId,"T.InventTrans|inventDimId~inventDimId@T.InventDim","Sum|Qty|0","","","","","","","DateFinancial|ItemId|T2.InventSiteId|T2.InventLocationId",PeriodEnding,$A655,$B655,$C655)</f>
        <v>0</v>
      </c>
      <c r="G655" s="10">
        <f>AtlasReport_3_Table_1[[#This Row],[Current On-hand]]-AtlasReport_3_Table_1[[#This Row],[Trans backwords (Beginning)]]</f>
        <v>394</v>
      </c>
      <c r="H655" s="10">
        <f>AtlasReport_3_Table_1[[#This Row],[Current On-hand]]-AtlasReport_3_Table_1[[#This Row],[Trans backwords (Ending)]]</f>
        <v>394</v>
      </c>
    </row>
    <row r="656" spans="1:8" x14ac:dyDescent="0.25">
      <c r="A656" s="8" t="s">
        <v>508</v>
      </c>
      <c r="B656" s="8" t="s">
        <v>261</v>
      </c>
      <c r="C656" s="8" t="s">
        <v>81</v>
      </c>
      <c r="D656" s="10">
        <v>0</v>
      </c>
      <c r="E656" s="10">
        <f>_xll.AtlasFormulas.AtlasFunctions.AtlasBalance("PROD",DataAreaId,"T.InventTrans|inventDimId~inventDimId@T.InventDim","Sum|Qty|0","","","","","","","DateFinancial|ItemId|T2.InventSiteId|T2.InventLocationId",PeriodBeginning,$A656,$B656,$C656)</f>
        <v>0</v>
      </c>
      <c r="F656" s="10">
        <f>_xll.AtlasFormulas.AtlasFunctions.AtlasBalance("PROD",DataAreaId,"T.InventTrans|inventDimId~inventDimId@T.InventDim","Sum|Qty|0","","","","","","","DateFinancial|ItemId|T2.InventSiteId|T2.InventLocationId",PeriodEnding,$A656,$B656,$C656)</f>
        <v>0</v>
      </c>
      <c r="G656" s="10">
        <f>AtlasReport_3_Table_1[[#This Row],[Current On-hand]]-AtlasReport_3_Table_1[[#This Row],[Trans backwords (Beginning)]]</f>
        <v>0</v>
      </c>
      <c r="H656" s="10">
        <f>AtlasReport_3_Table_1[[#This Row],[Current On-hand]]-AtlasReport_3_Table_1[[#This Row],[Trans backwords (Ending)]]</f>
        <v>0</v>
      </c>
    </row>
    <row r="657" spans="1:8" x14ac:dyDescent="0.25">
      <c r="A657" s="8" t="s">
        <v>508</v>
      </c>
      <c r="B657" s="8" t="s">
        <v>261</v>
      </c>
      <c r="C657" s="8" t="s">
        <v>264</v>
      </c>
      <c r="D657" s="10">
        <v>0</v>
      </c>
      <c r="E657" s="10">
        <f>_xll.AtlasFormulas.AtlasFunctions.AtlasBalance("PROD",DataAreaId,"T.InventTrans|inventDimId~inventDimId@T.InventDim","Sum|Qty|0","","","","","","","DateFinancial|ItemId|T2.InventSiteId|T2.InventLocationId",PeriodBeginning,$A657,$B657,$C657)</f>
        <v>0</v>
      </c>
      <c r="F657" s="10">
        <f>_xll.AtlasFormulas.AtlasFunctions.AtlasBalance("PROD",DataAreaId,"T.InventTrans|inventDimId~inventDimId@T.InventDim","Sum|Qty|0","","","","","","","DateFinancial|ItemId|T2.InventSiteId|T2.InventLocationId",PeriodEnding,$A657,$B657,$C657)</f>
        <v>0</v>
      </c>
      <c r="G657" s="10">
        <f>AtlasReport_3_Table_1[[#This Row],[Current On-hand]]-AtlasReport_3_Table_1[[#This Row],[Trans backwords (Beginning)]]</f>
        <v>0</v>
      </c>
      <c r="H657" s="10">
        <f>AtlasReport_3_Table_1[[#This Row],[Current On-hand]]-AtlasReport_3_Table_1[[#This Row],[Trans backwords (Ending)]]</f>
        <v>0</v>
      </c>
    </row>
    <row r="658" spans="1:8" x14ac:dyDescent="0.25">
      <c r="A658" s="8" t="s">
        <v>509</v>
      </c>
      <c r="B658" s="8" t="s">
        <v>261</v>
      </c>
      <c r="C658" s="8" t="s">
        <v>264</v>
      </c>
      <c r="D658" s="10">
        <v>0</v>
      </c>
      <c r="E658" s="10">
        <f>_xll.AtlasFormulas.AtlasFunctions.AtlasBalance("PROD",DataAreaId,"T.InventTrans|inventDimId~inventDimId@T.InventDim","Sum|Qty|0","","","","","","","DateFinancial|ItemId|T2.InventSiteId|T2.InventLocationId",PeriodBeginning,$A658,$B658,$C658)</f>
        <v>0</v>
      </c>
      <c r="F658" s="10">
        <f>_xll.AtlasFormulas.AtlasFunctions.AtlasBalance("PROD",DataAreaId,"T.InventTrans|inventDimId~inventDimId@T.InventDim","Sum|Qty|0","","","","","","","DateFinancial|ItemId|T2.InventSiteId|T2.InventLocationId",PeriodEnding,$A658,$B658,$C658)</f>
        <v>0</v>
      </c>
      <c r="G658" s="10">
        <f>AtlasReport_3_Table_1[[#This Row],[Current On-hand]]-AtlasReport_3_Table_1[[#This Row],[Trans backwords (Beginning)]]</f>
        <v>0</v>
      </c>
      <c r="H658" s="10">
        <f>AtlasReport_3_Table_1[[#This Row],[Current On-hand]]-AtlasReport_3_Table_1[[#This Row],[Trans backwords (Ending)]]</f>
        <v>0</v>
      </c>
    </row>
    <row r="659" spans="1:8" x14ac:dyDescent="0.25">
      <c r="A659" s="8" t="s">
        <v>510</v>
      </c>
      <c r="B659" s="8" t="s">
        <v>261</v>
      </c>
      <c r="C659" s="8" t="s">
        <v>264</v>
      </c>
      <c r="D659" s="10">
        <v>0</v>
      </c>
      <c r="E659" s="10">
        <f>_xll.AtlasFormulas.AtlasFunctions.AtlasBalance("PROD",DataAreaId,"T.InventTrans|inventDimId~inventDimId@T.InventDim","Sum|Qty|0","","","","","","","DateFinancial|ItemId|T2.InventSiteId|T2.InventLocationId",PeriodBeginning,$A659,$B659,$C659)</f>
        <v>0</v>
      </c>
      <c r="F659" s="10">
        <f>_xll.AtlasFormulas.AtlasFunctions.AtlasBalance("PROD",DataAreaId,"T.InventTrans|inventDimId~inventDimId@T.InventDim","Sum|Qty|0","","","","","","","DateFinancial|ItemId|T2.InventSiteId|T2.InventLocationId",PeriodEnding,$A659,$B659,$C659)</f>
        <v>0</v>
      </c>
      <c r="G659" s="10">
        <f>AtlasReport_3_Table_1[[#This Row],[Current On-hand]]-AtlasReport_3_Table_1[[#This Row],[Trans backwords (Beginning)]]</f>
        <v>0</v>
      </c>
      <c r="H659" s="10">
        <f>AtlasReport_3_Table_1[[#This Row],[Current On-hand]]-AtlasReport_3_Table_1[[#This Row],[Trans backwords (Ending)]]</f>
        <v>0</v>
      </c>
    </row>
    <row r="660" spans="1:8" x14ac:dyDescent="0.25">
      <c r="A660" s="8" t="s">
        <v>511</v>
      </c>
      <c r="B660" s="8" t="s">
        <v>261</v>
      </c>
      <c r="C660" s="8" t="s">
        <v>264</v>
      </c>
      <c r="D660" s="10">
        <v>0</v>
      </c>
      <c r="E660" s="10">
        <f>_xll.AtlasFormulas.AtlasFunctions.AtlasBalance("PROD",DataAreaId,"T.InventTrans|inventDimId~inventDimId@T.InventDim","Sum|Qty|0","","","","","","","DateFinancial|ItemId|T2.InventSiteId|T2.InventLocationId",PeriodBeginning,$A660,$B660,$C660)</f>
        <v>0</v>
      </c>
      <c r="F660" s="10">
        <f>_xll.AtlasFormulas.AtlasFunctions.AtlasBalance("PROD",DataAreaId,"T.InventTrans|inventDimId~inventDimId@T.InventDim","Sum|Qty|0","","","","","","","DateFinancial|ItemId|T2.InventSiteId|T2.InventLocationId",PeriodEnding,$A660,$B660,$C660)</f>
        <v>0</v>
      </c>
      <c r="G660" s="10">
        <f>AtlasReport_3_Table_1[[#This Row],[Current On-hand]]-AtlasReport_3_Table_1[[#This Row],[Trans backwords (Beginning)]]</f>
        <v>0</v>
      </c>
      <c r="H660" s="10">
        <f>AtlasReport_3_Table_1[[#This Row],[Current On-hand]]-AtlasReport_3_Table_1[[#This Row],[Trans backwords (Ending)]]</f>
        <v>0</v>
      </c>
    </row>
    <row r="661" spans="1:8" x14ac:dyDescent="0.25">
      <c r="A661" s="8" t="s">
        <v>512</v>
      </c>
      <c r="B661" s="8" t="s">
        <v>261</v>
      </c>
      <c r="C661" s="8" t="s">
        <v>264</v>
      </c>
      <c r="D661" s="10">
        <v>0</v>
      </c>
      <c r="E661" s="10">
        <f>_xll.AtlasFormulas.AtlasFunctions.AtlasBalance("PROD",DataAreaId,"T.InventTrans|inventDimId~inventDimId@T.InventDim","Sum|Qty|0","","","","","","","DateFinancial|ItemId|T2.InventSiteId|T2.InventLocationId",PeriodBeginning,$A661,$B661,$C661)</f>
        <v>0</v>
      </c>
      <c r="F661" s="10">
        <f>_xll.AtlasFormulas.AtlasFunctions.AtlasBalance("PROD",DataAreaId,"T.InventTrans|inventDimId~inventDimId@T.InventDim","Sum|Qty|0","","","","","","","DateFinancial|ItemId|T2.InventSiteId|T2.InventLocationId",PeriodEnding,$A661,$B661,$C661)</f>
        <v>0</v>
      </c>
      <c r="G661" s="10">
        <f>AtlasReport_3_Table_1[[#This Row],[Current On-hand]]-AtlasReport_3_Table_1[[#This Row],[Trans backwords (Beginning)]]</f>
        <v>0</v>
      </c>
      <c r="H661" s="10">
        <f>AtlasReport_3_Table_1[[#This Row],[Current On-hand]]-AtlasReport_3_Table_1[[#This Row],[Trans backwords (Ending)]]</f>
        <v>0</v>
      </c>
    </row>
    <row r="662" spans="1:8" x14ac:dyDescent="0.25">
      <c r="A662" s="8" t="s">
        <v>513</v>
      </c>
      <c r="B662" s="8" t="s">
        <v>261</v>
      </c>
      <c r="C662" s="8" t="s">
        <v>81</v>
      </c>
      <c r="D662" s="10">
        <v>0</v>
      </c>
      <c r="E662" s="10">
        <f>_xll.AtlasFormulas.AtlasFunctions.AtlasBalance("PROD",DataAreaId,"T.InventTrans|inventDimId~inventDimId@T.InventDim","Sum|Qty|0","","","","","","","DateFinancial|ItemId|T2.InventSiteId|T2.InventLocationId",PeriodBeginning,$A662,$B662,$C662)</f>
        <v>0</v>
      </c>
      <c r="F662" s="10">
        <f>_xll.AtlasFormulas.AtlasFunctions.AtlasBalance("PROD",DataAreaId,"T.InventTrans|inventDimId~inventDimId@T.InventDim","Sum|Qty|0","","","","","","","DateFinancial|ItemId|T2.InventSiteId|T2.InventLocationId",PeriodEnding,$A662,$B662,$C662)</f>
        <v>0</v>
      </c>
      <c r="G662" s="10">
        <f>AtlasReport_3_Table_1[[#This Row],[Current On-hand]]-AtlasReport_3_Table_1[[#This Row],[Trans backwords (Beginning)]]</f>
        <v>0</v>
      </c>
      <c r="H662" s="10">
        <f>AtlasReport_3_Table_1[[#This Row],[Current On-hand]]-AtlasReport_3_Table_1[[#This Row],[Trans backwords (Ending)]]</f>
        <v>0</v>
      </c>
    </row>
    <row r="663" spans="1:8" x14ac:dyDescent="0.25">
      <c r="A663" s="8" t="s">
        <v>513</v>
      </c>
      <c r="B663" s="8" t="s">
        <v>261</v>
      </c>
      <c r="C663" s="8" t="s">
        <v>264</v>
      </c>
      <c r="D663" s="10">
        <v>810</v>
      </c>
      <c r="E663" s="10">
        <f>_xll.AtlasFormulas.AtlasFunctions.AtlasBalance("PROD",DataAreaId,"T.InventTrans|inventDimId~inventDimId@T.InventDim","Sum|Qty|0","","","","","","","DateFinancial|ItemId|T2.InventSiteId|T2.InventLocationId",PeriodBeginning,$A663,$B663,$C663)</f>
        <v>1</v>
      </c>
      <c r="F663" s="10">
        <f>_xll.AtlasFormulas.AtlasFunctions.AtlasBalance("PROD",DataAreaId,"T.InventTrans|inventDimId~inventDimId@T.InventDim","Sum|Qty|0","","","","","","","DateFinancial|ItemId|T2.InventSiteId|T2.InventLocationId",PeriodEnding,$A663,$B663,$C663)</f>
        <v>0</v>
      </c>
      <c r="G663" s="10">
        <f>AtlasReport_3_Table_1[[#This Row],[Current On-hand]]-AtlasReport_3_Table_1[[#This Row],[Trans backwords (Beginning)]]</f>
        <v>809</v>
      </c>
      <c r="H663" s="10">
        <f>AtlasReport_3_Table_1[[#This Row],[Current On-hand]]-AtlasReport_3_Table_1[[#This Row],[Trans backwords (Ending)]]</f>
        <v>810</v>
      </c>
    </row>
    <row r="664" spans="1:8" x14ac:dyDescent="0.25">
      <c r="A664" s="8" t="s">
        <v>514</v>
      </c>
      <c r="B664" s="8" t="s">
        <v>261</v>
      </c>
      <c r="C664" s="8" t="s">
        <v>81</v>
      </c>
      <c r="D664" s="10">
        <v>0</v>
      </c>
      <c r="E664" s="10">
        <f>_xll.AtlasFormulas.AtlasFunctions.AtlasBalance("PROD",DataAreaId,"T.InventTrans|inventDimId~inventDimId@T.InventDim","Sum|Qty|0","","","","","","","DateFinancial|ItemId|T2.InventSiteId|T2.InventLocationId",PeriodBeginning,$A664,$B664,$C664)</f>
        <v>0</v>
      </c>
      <c r="F664" s="10">
        <f>_xll.AtlasFormulas.AtlasFunctions.AtlasBalance("PROD",DataAreaId,"T.InventTrans|inventDimId~inventDimId@T.InventDim","Sum|Qty|0","","","","","","","DateFinancial|ItemId|T2.InventSiteId|T2.InventLocationId",PeriodEnding,$A664,$B664,$C664)</f>
        <v>0</v>
      </c>
      <c r="G664" s="10">
        <f>AtlasReport_3_Table_1[[#This Row],[Current On-hand]]-AtlasReport_3_Table_1[[#This Row],[Trans backwords (Beginning)]]</f>
        <v>0</v>
      </c>
      <c r="H664" s="10">
        <f>AtlasReport_3_Table_1[[#This Row],[Current On-hand]]-AtlasReport_3_Table_1[[#This Row],[Trans backwords (Ending)]]</f>
        <v>0</v>
      </c>
    </row>
    <row r="665" spans="1:8" x14ac:dyDescent="0.25">
      <c r="A665" s="8" t="s">
        <v>514</v>
      </c>
      <c r="B665" s="8" t="s">
        <v>261</v>
      </c>
      <c r="C665" s="8" t="s">
        <v>305</v>
      </c>
      <c r="D665" s="10">
        <v>0</v>
      </c>
      <c r="E665" s="10">
        <f>_xll.AtlasFormulas.AtlasFunctions.AtlasBalance("PROD",DataAreaId,"T.InventTrans|inventDimId~inventDimId@T.InventDim","Sum|Qty|0","","","","","","","DateFinancial|ItemId|T2.InventSiteId|T2.InventLocationId",PeriodBeginning,$A665,$B665,$C665)</f>
        <v>0</v>
      </c>
      <c r="F665" s="10">
        <f>_xll.AtlasFormulas.AtlasFunctions.AtlasBalance("PROD",DataAreaId,"T.InventTrans|inventDimId~inventDimId@T.InventDim","Sum|Qty|0","","","","","","","DateFinancial|ItemId|T2.InventSiteId|T2.InventLocationId",PeriodEnding,$A665,$B665,$C665)</f>
        <v>0</v>
      </c>
      <c r="G665" s="10">
        <f>AtlasReport_3_Table_1[[#This Row],[Current On-hand]]-AtlasReport_3_Table_1[[#This Row],[Trans backwords (Beginning)]]</f>
        <v>0</v>
      </c>
      <c r="H665" s="10">
        <f>AtlasReport_3_Table_1[[#This Row],[Current On-hand]]-AtlasReport_3_Table_1[[#This Row],[Trans backwords (Ending)]]</f>
        <v>0</v>
      </c>
    </row>
    <row r="666" spans="1:8" x14ac:dyDescent="0.25">
      <c r="A666" s="8" t="s">
        <v>514</v>
      </c>
      <c r="B666" s="8" t="s">
        <v>261</v>
      </c>
      <c r="C666" s="8" t="s">
        <v>262</v>
      </c>
      <c r="D666" s="10">
        <v>0</v>
      </c>
      <c r="E666" s="10">
        <f>_xll.AtlasFormulas.AtlasFunctions.AtlasBalance("PROD",DataAreaId,"T.InventTrans|inventDimId~inventDimId@T.InventDim","Sum|Qty|0","","","","","","","DateFinancial|ItemId|T2.InventSiteId|T2.InventLocationId",PeriodBeginning,$A666,$B666,$C666)</f>
        <v>0</v>
      </c>
      <c r="F666" s="10">
        <f>_xll.AtlasFormulas.AtlasFunctions.AtlasBalance("PROD",DataAreaId,"T.InventTrans|inventDimId~inventDimId@T.InventDim","Sum|Qty|0","","","","","","","DateFinancial|ItemId|T2.InventSiteId|T2.InventLocationId",PeriodEnding,$A666,$B666,$C666)</f>
        <v>0</v>
      </c>
      <c r="G666" s="10">
        <f>AtlasReport_3_Table_1[[#This Row],[Current On-hand]]-AtlasReport_3_Table_1[[#This Row],[Trans backwords (Beginning)]]</f>
        <v>0</v>
      </c>
      <c r="H666" s="10">
        <f>AtlasReport_3_Table_1[[#This Row],[Current On-hand]]-AtlasReport_3_Table_1[[#This Row],[Trans backwords (Ending)]]</f>
        <v>0</v>
      </c>
    </row>
    <row r="667" spans="1:8" x14ac:dyDescent="0.25">
      <c r="A667" s="8" t="s">
        <v>514</v>
      </c>
      <c r="B667" s="8" t="s">
        <v>261</v>
      </c>
      <c r="C667" s="8" t="s">
        <v>264</v>
      </c>
      <c r="D667" s="10">
        <v>2440</v>
      </c>
      <c r="E667" s="10">
        <f>_xll.AtlasFormulas.AtlasFunctions.AtlasBalance("PROD",DataAreaId,"T.InventTrans|inventDimId~inventDimId@T.InventDim","Sum|Qty|0","","","","","","","DateFinancial|ItemId|T2.InventSiteId|T2.InventLocationId",PeriodBeginning,$A667,$B667,$C667)</f>
        <v>0</v>
      </c>
      <c r="F667" s="10">
        <f>_xll.AtlasFormulas.AtlasFunctions.AtlasBalance("PROD",DataAreaId,"T.InventTrans|inventDimId~inventDimId@T.InventDim","Sum|Qty|0","","","","","","","DateFinancial|ItemId|T2.InventSiteId|T2.InventLocationId",PeriodEnding,$A667,$B667,$C667)</f>
        <v>0</v>
      </c>
      <c r="G667" s="10">
        <f>AtlasReport_3_Table_1[[#This Row],[Current On-hand]]-AtlasReport_3_Table_1[[#This Row],[Trans backwords (Beginning)]]</f>
        <v>2440</v>
      </c>
      <c r="H667" s="10">
        <f>AtlasReport_3_Table_1[[#This Row],[Current On-hand]]-AtlasReport_3_Table_1[[#This Row],[Trans backwords (Ending)]]</f>
        <v>2440</v>
      </c>
    </row>
    <row r="668" spans="1:8" x14ac:dyDescent="0.25">
      <c r="A668" s="8" t="s">
        <v>515</v>
      </c>
      <c r="B668" s="8" t="s">
        <v>261</v>
      </c>
      <c r="C668" s="8" t="s">
        <v>81</v>
      </c>
      <c r="D668" s="10">
        <v>0</v>
      </c>
      <c r="E668" s="10">
        <f>_xll.AtlasFormulas.AtlasFunctions.AtlasBalance("PROD",DataAreaId,"T.InventTrans|inventDimId~inventDimId@T.InventDim","Sum|Qty|0","","","","","","","DateFinancial|ItemId|T2.InventSiteId|T2.InventLocationId",PeriodBeginning,$A668,$B668,$C668)</f>
        <v>0</v>
      </c>
      <c r="F668" s="10">
        <f>_xll.AtlasFormulas.AtlasFunctions.AtlasBalance("PROD",DataAreaId,"T.InventTrans|inventDimId~inventDimId@T.InventDim","Sum|Qty|0","","","","","","","DateFinancial|ItemId|T2.InventSiteId|T2.InventLocationId",PeriodEnding,$A668,$B668,$C668)</f>
        <v>0</v>
      </c>
      <c r="G668" s="10">
        <f>AtlasReport_3_Table_1[[#This Row],[Current On-hand]]-AtlasReport_3_Table_1[[#This Row],[Trans backwords (Beginning)]]</f>
        <v>0</v>
      </c>
      <c r="H668" s="10">
        <f>AtlasReport_3_Table_1[[#This Row],[Current On-hand]]-AtlasReport_3_Table_1[[#This Row],[Trans backwords (Ending)]]</f>
        <v>0</v>
      </c>
    </row>
    <row r="669" spans="1:8" x14ac:dyDescent="0.25">
      <c r="A669" s="8" t="s">
        <v>515</v>
      </c>
      <c r="B669" s="8" t="s">
        <v>261</v>
      </c>
      <c r="C669" s="8" t="s">
        <v>262</v>
      </c>
      <c r="D669" s="10">
        <v>0</v>
      </c>
      <c r="E669" s="10">
        <f>_xll.AtlasFormulas.AtlasFunctions.AtlasBalance("PROD",DataAreaId,"T.InventTrans|inventDimId~inventDimId@T.InventDim","Sum|Qty|0","","","","","","","DateFinancial|ItemId|T2.InventSiteId|T2.InventLocationId",PeriodBeginning,$A669,$B669,$C669)</f>
        <v>0</v>
      </c>
      <c r="F669" s="10">
        <f>_xll.AtlasFormulas.AtlasFunctions.AtlasBalance("PROD",DataAreaId,"T.InventTrans|inventDimId~inventDimId@T.InventDim","Sum|Qty|0","","","","","","","DateFinancial|ItemId|T2.InventSiteId|T2.InventLocationId",PeriodEnding,$A669,$B669,$C669)</f>
        <v>0</v>
      </c>
      <c r="G669" s="10">
        <f>AtlasReport_3_Table_1[[#This Row],[Current On-hand]]-AtlasReport_3_Table_1[[#This Row],[Trans backwords (Beginning)]]</f>
        <v>0</v>
      </c>
      <c r="H669" s="10">
        <f>AtlasReport_3_Table_1[[#This Row],[Current On-hand]]-AtlasReport_3_Table_1[[#This Row],[Trans backwords (Ending)]]</f>
        <v>0</v>
      </c>
    </row>
    <row r="670" spans="1:8" x14ac:dyDescent="0.25">
      <c r="A670" s="8" t="s">
        <v>515</v>
      </c>
      <c r="B670" s="8" t="s">
        <v>261</v>
      </c>
      <c r="C670" s="8" t="s">
        <v>264</v>
      </c>
      <c r="D670" s="10">
        <v>3700</v>
      </c>
      <c r="E670" s="10">
        <f>_xll.AtlasFormulas.AtlasFunctions.AtlasBalance("PROD",DataAreaId,"T.InventTrans|inventDimId~inventDimId@T.InventDim","Sum|Qty|0","","","","","","","DateFinancial|ItemId|T2.InventSiteId|T2.InventLocationId",PeriodBeginning,$A670,$B670,$C670)</f>
        <v>50</v>
      </c>
      <c r="F670" s="10">
        <f>_xll.AtlasFormulas.AtlasFunctions.AtlasBalance("PROD",DataAreaId,"T.InventTrans|inventDimId~inventDimId@T.InventDim","Sum|Qty|0","","","","","","","DateFinancial|ItemId|T2.InventSiteId|T2.InventLocationId",PeriodEnding,$A670,$B670,$C670)</f>
        <v>0</v>
      </c>
      <c r="G670" s="10">
        <f>AtlasReport_3_Table_1[[#This Row],[Current On-hand]]-AtlasReport_3_Table_1[[#This Row],[Trans backwords (Beginning)]]</f>
        <v>3650</v>
      </c>
      <c r="H670" s="10">
        <f>AtlasReport_3_Table_1[[#This Row],[Current On-hand]]-AtlasReport_3_Table_1[[#This Row],[Trans backwords (Ending)]]</f>
        <v>3700</v>
      </c>
    </row>
    <row r="671" spans="1:8" x14ac:dyDescent="0.25">
      <c r="A671" s="8" t="s">
        <v>516</v>
      </c>
      <c r="B671" s="8" t="s">
        <v>261</v>
      </c>
      <c r="C671" s="8" t="s">
        <v>81</v>
      </c>
      <c r="D671" s="10">
        <v>0</v>
      </c>
      <c r="E671" s="10">
        <f>_xll.AtlasFormulas.AtlasFunctions.AtlasBalance("PROD",DataAreaId,"T.InventTrans|inventDimId~inventDimId@T.InventDim","Sum|Qty|0","","","","","","","DateFinancial|ItemId|T2.InventSiteId|T2.InventLocationId",PeriodBeginning,$A671,$B671,$C671)</f>
        <v>0</v>
      </c>
      <c r="F671" s="10">
        <f>_xll.AtlasFormulas.AtlasFunctions.AtlasBalance("PROD",DataAreaId,"T.InventTrans|inventDimId~inventDimId@T.InventDim","Sum|Qty|0","","","","","","","DateFinancial|ItemId|T2.InventSiteId|T2.InventLocationId",PeriodEnding,$A671,$B671,$C671)</f>
        <v>0</v>
      </c>
      <c r="G671" s="10">
        <f>AtlasReport_3_Table_1[[#This Row],[Current On-hand]]-AtlasReport_3_Table_1[[#This Row],[Trans backwords (Beginning)]]</f>
        <v>0</v>
      </c>
      <c r="H671" s="10">
        <f>AtlasReport_3_Table_1[[#This Row],[Current On-hand]]-AtlasReport_3_Table_1[[#This Row],[Trans backwords (Ending)]]</f>
        <v>0</v>
      </c>
    </row>
    <row r="672" spans="1:8" x14ac:dyDescent="0.25">
      <c r="A672" s="8" t="s">
        <v>516</v>
      </c>
      <c r="B672" s="8" t="s">
        <v>261</v>
      </c>
      <c r="C672" s="8" t="s">
        <v>305</v>
      </c>
      <c r="D672" s="10">
        <v>0</v>
      </c>
      <c r="E672" s="10">
        <f>_xll.AtlasFormulas.AtlasFunctions.AtlasBalance("PROD",DataAreaId,"T.InventTrans|inventDimId~inventDimId@T.InventDim","Sum|Qty|0","","","","","","","DateFinancial|ItemId|T2.InventSiteId|T2.InventLocationId",PeriodBeginning,$A672,$B672,$C672)</f>
        <v>0</v>
      </c>
      <c r="F672" s="10">
        <f>_xll.AtlasFormulas.AtlasFunctions.AtlasBalance("PROD",DataAreaId,"T.InventTrans|inventDimId~inventDimId@T.InventDim","Sum|Qty|0","","","","","","","DateFinancial|ItemId|T2.InventSiteId|T2.InventLocationId",PeriodEnding,$A672,$B672,$C672)</f>
        <v>0</v>
      </c>
      <c r="G672" s="10">
        <f>AtlasReport_3_Table_1[[#This Row],[Current On-hand]]-AtlasReport_3_Table_1[[#This Row],[Trans backwords (Beginning)]]</f>
        <v>0</v>
      </c>
      <c r="H672" s="10">
        <f>AtlasReport_3_Table_1[[#This Row],[Current On-hand]]-AtlasReport_3_Table_1[[#This Row],[Trans backwords (Ending)]]</f>
        <v>0</v>
      </c>
    </row>
    <row r="673" spans="1:8" x14ac:dyDescent="0.25">
      <c r="A673" s="8" t="s">
        <v>516</v>
      </c>
      <c r="B673" s="8" t="s">
        <v>261</v>
      </c>
      <c r="C673" s="8" t="s">
        <v>264</v>
      </c>
      <c r="D673" s="10">
        <v>5990</v>
      </c>
      <c r="E673" s="10">
        <f>_xll.AtlasFormulas.AtlasFunctions.AtlasBalance("PROD",DataAreaId,"T.InventTrans|inventDimId~inventDimId@T.InventDim","Sum|Qty|0","","","","","","","DateFinancial|ItemId|T2.InventSiteId|T2.InventLocationId",PeriodBeginning,$A673,$B673,$C673)</f>
        <v>0</v>
      </c>
      <c r="F673" s="10">
        <f>_xll.AtlasFormulas.AtlasFunctions.AtlasBalance("PROD",DataAreaId,"T.InventTrans|inventDimId~inventDimId@T.InventDim","Sum|Qty|0","","","","","","","DateFinancial|ItemId|T2.InventSiteId|T2.InventLocationId",PeriodEnding,$A673,$B673,$C673)</f>
        <v>0</v>
      </c>
      <c r="G673" s="10">
        <f>AtlasReport_3_Table_1[[#This Row],[Current On-hand]]-AtlasReport_3_Table_1[[#This Row],[Trans backwords (Beginning)]]</f>
        <v>5990</v>
      </c>
      <c r="H673" s="10">
        <f>AtlasReport_3_Table_1[[#This Row],[Current On-hand]]-AtlasReport_3_Table_1[[#This Row],[Trans backwords (Ending)]]</f>
        <v>5990</v>
      </c>
    </row>
    <row r="674" spans="1:8" x14ac:dyDescent="0.25">
      <c r="A674" s="8" t="s">
        <v>517</v>
      </c>
      <c r="B674" s="8" t="s">
        <v>261</v>
      </c>
      <c r="C674" s="8" t="s">
        <v>290</v>
      </c>
      <c r="D674" s="10">
        <v>-1213</v>
      </c>
      <c r="E674" s="10">
        <f>_xll.AtlasFormulas.AtlasFunctions.AtlasBalance("PROD",DataAreaId,"T.InventTrans|inventDimId~inventDimId@T.InventDim","Sum|Qty|0","","","","","","","DateFinancial|ItemId|T2.InventSiteId|T2.InventLocationId",PeriodBeginning,$A674,$B674,$C674)</f>
        <v>0</v>
      </c>
      <c r="F674" s="10">
        <f>_xll.AtlasFormulas.AtlasFunctions.AtlasBalance("PROD",DataAreaId,"T.InventTrans|inventDimId~inventDimId@T.InventDim","Sum|Qty|0","","","","","","","DateFinancial|ItemId|T2.InventSiteId|T2.InventLocationId",PeriodEnding,$A674,$B674,$C674)</f>
        <v>0</v>
      </c>
      <c r="G674" s="10">
        <f>AtlasReport_3_Table_1[[#This Row],[Current On-hand]]-AtlasReport_3_Table_1[[#This Row],[Trans backwords (Beginning)]]</f>
        <v>-1213</v>
      </c>
      <c r="H674" s="10">
        <f>AtlasReport_3_Table_1[[#This Row],[Current On-hand]]-AtlasReport_3_Table_1[[#This Row],[Trans backwords (Ending)]]</f>
        <v>-1213</v>
      </c>
    </row>
    <row r="675" spans="1:8" x14ac:dyDescent="0.25">
      <c r="A675" s="8" t="s">
        <v>517</v>
      </c>
      <c r="B675" s="8" t="s">
        <v>261</v>
      </c>
      <c r="C675" s="8" t="s">
        <v>264</v>
      </c>
      <c r="D675" s="10">
        <v>-46</v>
      </c>
      <c r="E675" s="10">
        <f>_xll.AtlasFormulas.AtlasFunctions.AtlasBalance("PROD",DataAreaId,"T.InventTrans|inventDimId~inventDimId@T.InventDim","Sum|Qty|0","","","","","","","DateFinancial|ItemId|T2.InventSiteId|T2.InventLocationId",PeriodBeginning,$A675,$B675,$C675)</f>
        <v>0</v>
      </c>
      <c r="F675" s="10">
        <f>_xll.AtlasFormulas.AtlasFunctions.AtlasBalance("PROD",DataAreaId,"T.InventTrans|inventDimId~inventDimId@T.InventDim","Sum|Qty|0","","","","","","","DateFinancial|ItemId|T2.InventSiteId|T2.InventLocationId",PeriodEnding,$A675,$B675,$C675)</f>
        <v>0</v>
      </c>
      <c r="G675" s="10">
        <f>AtlasReport_3_Table_1[[#This Row],[Current On-hand]]-AtlasReport_3_Table_1[[#This Row],[Trans backwords (Beginning)]]</f>
        <v>-46</v>
      </c>
      <c r="H675" s="10">
        <f>AtlasReport_3_Table_1[[#This Row],[Current On-hand]]-AtlasReport_3_Table_1[[#This Row],[Trans backwords (Ending)]]</f>
        <v>-46</v>
      </c>
    </row>
    <row r="676" spans="1:8" x14ac:dyDescent="0.25">
      <c r="A676" s="8" t="s">
        <v>518</v>
      </c>
      <c r="B676" s="8" t="s">
        <v>261</v>
      </c>
      <c r="C676" s="8" t="s">
        <v>81</v>
      </c>
      <c r="D676" s="10">
        <v>0</v>
      </c>
      <c r="E676" s="10">
        <f>_xll.AtlasFormulas.AtlasFunctions.AtlasBalance("PROD",DataAreaId,"T.InventTrans|inventDimId~inventDimId@T.InventDim","Sum|Qty|0","","","","","","","DateFinancial|ItemId|T2.InventSiteId|T2.InventLocationId",PeriodBeginning,$A676,$B676,$C676)</f>
        <v>0</v>
      </c>
      <c r="F676" s="10">
        <f>_xll.AtlasFormulas.AtlasFunctions.AtlasBalance("PROD",DataAreaId,"T.InventTrans|inventDimId~inventDimId@T.InventDim","Sum|Qty|0","","","","","","","DateFinancial|ItemId|T2.InventSiteId|T2.InventLocationId",PeriodEnding,$A676,$B676,$C676)</f>
        <v>0</v>
      </c>
      <c r="G676" s="10">
        <f>AtlasReport_3_Table_1[[#This Row],[Current On-hand]]-AtlasReport_3_Table_1[[#This Row],[Trans backwords (Beginning)]]</f>
        <v>0</v>
      </c>
      <c r="H676" s="10">
        <f>AtlasReport_3_Table_1[[#This Row],[Current On-hand]]-AtlasReport_3_Table_1[[#This Row],[Trans backwords (Ending)]]</f>
        <v>0</v>
      </c>
    </row>
    <row r="677" spans="1:8" x14ac:dyDescent="0.25">
      <c r="A677" s="8" t="s">
        <v>518</v>
      </c>
      <c r="B677" s="8" t="s">
        <v>261</v>
      </c>
      <c r="C677" s="8" t="s">
        <v>264</v>
      </c>
      <c r="D677" s="10">
        <v>97</v>
      </c>
      <c r="E677" s="10">
        <f>_xll.AtlasFormulas.AtlasFunctions.AtlasBalance("PROD",DataAreaId,"T.InventTrans|inventDimId~inventDimId@T.InventDim","Sum|Qty|0","","","","","","","DateFinancial|ItemId|T2.InventSiteId|T2.InventLocationId",PeriodBeginning,$A677,$B677,$C677)</f>
        <v>-3</v>
      </c>
      <c r="F677" s="10">
        <f>_xll.AtlasFormulas.AtlasFunctions.AtlasBalance("PROD",DataAreaId,"T.InventTrans|inventDimId~inventDimId@T.InventDim","Sum|Qty|0","","","","","","","DateFinancial|ItemId|T2.InventSiteId|T2.InventLocationId",PeriodEnding,$A677,$B677,$C677)</f>
        <v>0</v>
      </c>
      <c r="G677" s="10">
        <f>AtlasReport_3_Table_1[[#This Row],[Current On-hand]]-AtlasReport_3_Table_1[[#This Row],[Trans backwords (Beginning)]]</f>
        <v>100</v>
      </c>
      <c r="H677" s="10">
        <f>AtlasReport_3_Table_1[[#This Row],[Current On-hand]]-AtlasReport_3_Table_1[[#This Row],[Trans backwords (Ending)]]</f>
        <v>97</v>
      </c>
    </row>
    <row r="678" spans="1:8" x14ac:dyDescent="0.25">
      <c r="A678" s="8" t="s">
        <v>519</v>
      </c>
      <c r="B678" s="8" t="s">
        <v>261</v>
      </c>
      <c r="C678" s="8" t="s">
        <v>81</v>
      </c>
      <c r="D678" s="10">
        <v>0</v>
      </c>
      <c r="E678" s="10">
        <f>_xll.AtlasFormulas.AtlasFunctions.AtlasBalance("PROD",DataAreaId,"T.InventTrans|inventDimId~inventDimId@T.InventDim","Sum|Qty|0","","","","","","","DateFinancial|ItemId|T2.InventSiteId|T2.InventLocationId",PeriodBeginning,$A678,$B678,$C678)</f>
        <v>0</v>
      </c>
      <c r="F678" s="10">
        <f>_xll.AtlasFormulas.AtlasFunctions.AtlasBalance("PROD",DataAreaId,"T.InventTrans|inventDimId~inventDimId@T.InventDim","Sum|Qty|0","","","","","","","DateFinancial|ItemId|T2.InventSiteId|T2.InventLocationId",PeriodEnding,$A678,$B678,$C678)</f>
        <v>0</v>
      </c>
      <c r="G678" s="10">
        <f>AtlasReport_3_Table_1[[#This Row],[Current On-hand]]-AtlasReport_3_Table_1[[#This Row],[Trans backwords (Beginning)]]</f>
        <v>0</v>
      </c>
      <c r="H678" s="10">
        <f>AtlasReport_3_Table_1[[#This Row],[Current On-hand]]-AtlasReport_3_Table_1[[#This Row],[Trans backwords (Ending)]]</f>
        <v>0</v>
      </c>
    </row>
    <row r="679" spans="1:8" x14ac:dyDescent="0.25">
      <c r="A679" s="8" t="s">
        <v>519</v>
      </c>
      <c r="B679" s="8" t="s">
        <v>261</v>
      </c>
      <c r="C679" s="8" t="s">
        <v>264</v>
      </c>
      <c r="D679" s="10">
        <v>0</v>
      </c>
      <c r="E679" s="10">
        <f>_xll.AtlasFormulas.AtlasFunctions.AtlasBalance("PROD",DataAreaId,"T.InventTrans|inventDimId~inventDimId@T.InventDim","Sum|Qty|0","","","","","","","DateFinancial|ItemId|T2.InventSiteId|T2.InventLocationId",PeriodBeginning,$A679,$B679,$C679)</f>
        <v>0</v>
      </c>
      <c r="F679" s="10">
        <f>_xll.AtlasFormulas.AtlasFunctions.AtlasBalance("PROD",DataAreaId,"T.InventTrans|inventDimId~inventDimId@T.InventDim","Sum|Qty|0","","","","","","","DateFinancial|ItemId|T2.InventSiteId|T2.InventLocationId",PeriodEnding,$A679,$B679,$C679)</f>
        <v>0</v>
      </c>
      <c r="G679" s="10">
        <f>AtlasReport_3_Table_1[[#This Row],[Current On-hand]]-AtlasReport_3_Table_1[[#This Row],[Trans backwords (Beginning)]]</f>
        <v>0</v>
      </c>
      <c r="H679" s="10">
        <f>AtlasReport_3_Table_1[[#This Row],[Current On-hand]]-AtlasReport_3_Table_1[[#This Row],[Trans backwords (Ending)]]</f>
        <v>0</v>
      </c>
    </row>
    <row r="680" spans="1:8" x14ac:dyDescent="0.25">
      <c r="A680" s="8" t="s">
        <v>520</v>
      </c>
      <c r="B680" s="8" t="s">
        <v>261</v>
      </c>
      <c r="C680" s="8" t="s">
        <v>81</v>
      </c>
      <c r="D680" s="10">
        <v>0</v>
      </c>
      <c r="E680" s="10">
        <f>_xll.AtlasFormulas.AtlasFunctions.AtlasBalance("PROD",DataAreaId,"T.InventTrans|inventDimId~inventDimId@T.InventDim","Sum|Qty|0","","","","","","","DateFinancial|ItemId|T2.InventSiteId|T2.InventLocationId",PeriodBeginning,$A680,$B680,$C680)</f>
        <v>0</v>
      </c>
      <c r="F680" s="10">
        <f>_xll.AtlasFormulas.AtlasFunctions.AtlasBalance("PROD",DataAreaId,"T.InventTrans|inventDimId~inventDimId@T.InventDim","Sum|Qty|0","","","","","","","DateFinancial|ItemId|T2.InventSiteId|T2.InventLocationId",PeriodEnding,$A680,$B680,$C680)</f>
        <v>0</v>
      </c>
      <c r="G680" s="10">
        <f>AtlasReport_3_Table_1[[#This Row],[Current On-hand]]-AtlasReport_3_Table_1[[#This Row],[Trans backwords (Beginning)]]</f>
        <v>0</v>
      </c>
      <c r="H680" s="10">
        <f>AtlasReport_3_Table_1[[#This Row],[Current On-hand]]-AtlasReport_3_Table_1[[#This Row],[Trans backwords (Ending)]]</f>
        <v>0</v>
      </c>
    </row>
    <row r="681" spans="1:8" x14ac:dyDescent="0.25">
      <c r="A681" s="8" t="s">
        <v>520</v>
      </c>
      <c r="B681" s="8" t="s">
        <v>261</v>
      </c>
      <c r="C681" s="8" t="s">
        <v>264</v>
      </c>
      <c r="D681" s="10">
        <v>0</v>
      </c>
      <c r="E681" s="10">
        <f>_xll.AtlasFormulas.AtlasFunctions.AtlasBalance("PROD",DataAreaId,"T.InventTrans|inventDimId~inventDimId@T.InventDim","Sum|Qty|0","","","","","","","DateFinancial|ItemId|T2.InventSiteId|T2.InventLocationId",PeriodBeginning,$A681,$B681,$C681)</f>
        <v>0</v>
      </c>
      <c r="F681" s="10">
        <f>_xll.AtlasFormulas.AtlasFunctions.AtlasBalance("PROD",DataAreaId,"T.InventTrans|inventDimId~inventDimId@T.InventDim","Sum|Qty|0","","","","","","","DateFinancial|ItemId|T2.InventSiteId|T2.InventLocationId",PeriodEnding,$A681,$B681,$C681)</f>
        <v>0</v>
      </c>
      <c r="G681" s="10">
        <f>AtlasReport_3_Table_1[[#This Row],[Current On-hand]]-AtlasReport_3_Table_1[[#This Row],[Trans backwords (Beginning)]]</f>
        <v>0</v>
      </c>
      <c r="H681" s="10">
        <f>AtlasReport_3_Table_1[[#This Row],[Current On-hand]]-AtlasReport_3_Table_1[[#This Row],[Trans backwords (Ending)]]</f>
        <v>0</v>
      </c>
    </row>
    <row r="682" spans="1:8" x14ac:dyDescent="0.25">
      <c r="A682" s="8" t="s">
        <v>150</v>
      </c>
      <c r="B682" s="8" t="s">
        <v>261</v>
      </c>
      <c r="C682" s="8" t="s">
        <v>81</v>
      </c>
      <c r="D682" s="10">
        <v>0</v>
      </c>
      <c r="E682" s="10">
        <f>_xll.AtlasFormulas.AtlasFunctions.AtlasBalance("PROD",DataAreaId,"T.InventTrans|inventDimId~inventDimId@T.InventDim","Sum|Qty|0","","","","","","","DateFinancial|ItemId|T2.InventSiteId|T2.InventLocationId",PeriodBeginning,$A682,$B682,$C682)</f>
        <v>0</v>
      </c>
      <c r="F682" s="10">
        <f>_xll.AtlasFormulas.AtlasFunctions.AtlasBalance("PROD",DataAreaId,"T.InventTrans|inventDimId~inventDimId@T.InventDim","Sum|Qty|0","","","","","","","DateFinancial|ItemId|T2.InventSiteId|T2.InventLocationId",PeriodEnding,$A682,$B682,$C682)</f>
        <v>0</v>
      </c>
      <c r="G682" s="10">
        <f>AtlasReport_3_Table_1[[#This Row],[Current On-hand]]-AtlasReport_3_Table_1[[#This Row],[Trans backwords (Beginning)]]</f>
        <v>0</v>
      </c>
      <c r="H682" s="10">
        <f>AtlasReport_3_Table_1[[#This Row],[Current On-hand]]-AtlasReport_3_Table_1[[#This Row],[Trans backwords (Ending)]]</f>
        <v>0</v>
      </c>
    </row>
    <row r="683" spans="1:8" x14ac:dyDescent="0.25">
      <c r="A683" s="8" t="s">
        <v>150</v>
      </c>
      <c r="B683" s="8" t="s">
        <v>261</v>
      </c>
      <c r="C683" s="8" t="s">
        <v>264</v>
      </c>
      <c r="D683" s="10">
        <v>0</v>
      </c>
      <c r="E683" s="10">
        <f>_xll.AtlasFormulas.AtlasFunctions.AtlasBalance("PROD",DataAreaId,"T.InventTrans|inventDimId~inventDimId@T.InventDim","Sum|Qty|0","","","","","","","DateFinancial|ItemId|T2.InventSiteId|T2.InventLocationId",PeriodBeginning,$A683,$B683,$C683)</f>
        <v>0</v>
      </c>
      <c r="F683" s="10">
        <f>_xll.AtlasFormulas.AtlasFunctions.AtlasBalance("PROD",DataAreaId,"T.InventTrans|inventDimId~inventDimId@T.InventDim","Sum|Qty|0","","","","","","","DateFinancial|ItemId|T2.InventSiteId|T2.InventLocationId",PeriodEnding,$A683,$B683,$C683)</f>
        <v>0</v>
      </c>
      <c r="G683" s="10">
        <f>AtlasReport_3_Table_1[[#This Row],[Current On-hand]]-AtlasReport_3_Table_1[[#This Row],[Trans backwords (Beginning)]]</f>
        <v>0</v>
      </c>
      <c r="H683" s="10">
        <f>AtlasReport_3_Table_1[[#This Row],[Current On-hand]]-AtlasReport_3_Table_1[[#This Row],[Trans backwords (Ending)]]</f>
        <v>0</v>
      </c>
    </row>
    <row r="684" spans="1:8" x14ac:dyDescent="0.25">
      <c r="A684" s="8" t="s">
        <v>151</v>
      </c>
      <c r="B684" s="8" t="s">
        <v>261</v>
      </c>
      <c r="C684" s="8" t="s">
        <v>81</v>
      </c>
      <c r="D684" s="10">
        <v>0</v>
      </c>
      <c r="E684" s="10">
        <f>_xll.AtlasFormulas.AtlasFunctions.AtlasBalance("PROD",DataAreaId,"T.InventTrans|inventDimId~inventDimId@T.InventDim","Sum|Qty|0","","","","","","","DateFinancial|ItemId|T2.InventSiteId|T2.InventLocationId",PeriodBeginning,$A684,$B684,$C684)</f>
        <v>0</v>
      </c>
      <c r="F684" s="10">
        <f>_xll.AtlasFormulas.AtlasFunctions.AtlasBalance("PROD",DataAreaId,"T.InventTrans|inventDimId~inventDimId@T.InventDim","Sum|Qty|0","","","","","","","DateFinancial|ItemId|T2.InventSiteId|T2.InventLocationId",PeriodEnding,$A684,$B684,$C684)</f>
        <v>0</v>
      </c>
      <c r="G684" s="10">
        <f>AtlasReport_3_Table_1[[#This Row],[Current On-hand]]-AtlasReport_3_Table_1[[#This Row],[Trans backwords (Beginning)]]</f>
        <v>0</v>
      </c>
      <c r="H684" s="10">
        <f>AtlasReport_3_Table_1[[#This Row],[Current On-hand]]-AtlasReport_3_Table_1[[#This Row],[Trans backwords (Ending)]]</f>
        <v>0</v>
      </c>
    </row>
    <row r="685" spans="1:8" x14ac:dyDescent="0.25">
      <c r="A685" s="8" t="s">
        <v>151</v>
      </c>
      <c r="B685" s="8" t="s">
        <v>261</v>
      </c>
      <c r="C685" s="8" t="s">
        <v>264</v>
      </c>
      <c r="D685" s="10">
        <v>0</v>
      </c>
      <c r="E685" s="10">
        <f>_xll.AtlasFormulas.AtlasFunctions.AtlasBalance("PROD",DataAreaId,"T.InventTrans|inventDimId~inventDimId@T.InventDim","Sum|Qty|0","","","","","","","DateFinancial|ItemId|T2.InventSiteId|T2.InventLocationId",PeriodBeginning,$A685,$B685,$C685)</f>
        <v>0</v>
      </c>
      <c r="F685" s="10">
        <f>_xll.AtlasFormulas.AtlasFunctions.AtlasBalance("PROD",DataAreaId,"T.InventTrans|inventDimId~inventDimId@T.InventDim","Sum|Qty|0","","","","","","","DateFinancial|ItemId|T2.InventSiteId|T2.InventLocationId",PeriodEnding,$A685,$B685,$C685)</f>
        <v>0</v>
      </c>
      <c r="G685" s="10">
        <f>AtlasReport_3_Table_1[[#This Row],[Current On-hand]]-AtlasReport_3_Table_1[[#This Row],[Trans backwords (Beginning)]]</f>
        <v>0</v>
      </c>
      <c r="H685" s="10">
        <f>AtlasReport_3_Table_1[[#This Row],[Current On-hand]]-AtlasReport_3_Table_1[[#This Row],[Trans backwords (Ending)]]</f>
        <v>0</v>
      </c>
    </row>
    <row r="686" spans="1:8" x14ac:dyDescent="0.25">
      <c r="A686" s="8" t="s">
        <v>521</v>
      </c>
      <c r="B686" s="8" t="s">
        <v>261</v>
      </c>
      <c r="C686" s="8" t="s">
        <v>81</v>
      </c>
      <c r="D686" s="10">
        <v>0</v>
      </c>
      <c r="E686" s="10">
        <f>_xll.AtlasFormulas.AtlasFunctions.AtlasBalance("PROD",DataAreaId,"T.InventTrans|inventDimId~inventDimId@T.InventDim","Sum|Qty|0","","","","","","","DateFinancial|ItemId|T2.InventSiteId|T2.InventLocationId",PeriodBeginning,$A686,$B686,$C686)</f>
        <v>0</v>
      </c>
      <c r="F686" s="10">
        <f>_xll.AtlasFormulas.AtlasFunctions.AtlasBalance("PROD",DataAreaId,"T.InventTrans|inventDimId~inventDimId@T.InventDim","Sum|Qty|0","","","","","","","DateFinancial|ItemId|T2.InventSiteId|T2.InventLocationId",PeriodEnding,$A686,$B686,$C686)</f>
        <v>0</v>
      </c>
      <c r="G686" s="10">
        <f>AtlasReport_3_Table_1[[#This Row],[Current On-hand]]-AtlasReport_3_Table_1[[#This Row],[Trans backwords (Beginning)]]</f>
        <v>0</v>
      </c>
      <c r="H686" s="10">
        <f>AtlasReport_3_Table_1[[#This Row],[Current On-hand]]-AtlasReport_3_Table_1[[#This Row],[Trans backwords (Ending)]]</f>
        <v>0</v>
      </c>
    </row>
    <row r="687" spans="1:8" x14ac:dyDescent="0.25">
      <c r="A687" s="8" t="s">
        <v>521</v>
      </c>
      <c r="B687" s="8" t="s">
        <v>261</v>
      </c>
      <c r="C687" s="8" t="s">
        <v>264</v>
      </c>
      <c r="D687" s="10">
        <v>34</v>
      </c>
      <c r="E687" s="10">
        <f>_xll.AtlasFormulas.AtlasFunctions.AtlasBalance("PROD",DataAreaId,"T.InventTrans|inventDimId~inventDimId@T.InventDim","Sum|Qty|0","","","","","","","DateFinancial|ItemId|T2.InventSiteId|T2.InventLocationId",PeriodBeginning,$A687,$B687,$C687)</f>
        <v>-2</v>
      </c>
      <c r="F687" s="10">
        <f>_xll.AtlasFormulas.AtlasFunctions.AtlasBalance("PROD",DataAreaId,"T.InventTrans|inventDimId~inventDimId@T.InventDim","Sum|Qty|0","","","","","","","DateFinancial|ItemId|T2.InventSiteId|T2.InventLocationId",PeriodEnding,$A687,$B687,$C687)</f>
        <v>0</v>
      </c>
      <c r="G687" s="10">
        <f>AtlasReport_3_Table_1[[#This Row],[Current On-hand]]-AtlasReport_3_Table_1[[#This Row],[Trans backwords (Beginning)]]</f>
        <v>36</v>
      </c>
      <c r="H687" s="10">
        <f>AtlasReport_3_Table_1[[#This Row],[Current On-hand]]-AtlasReport_3_Table_1[[#This Row],[Trans backwords (Ending)]]</f>
        <v>34</v>
      </c>
    </row>
    <row r="688" spans="1:8" x14ac:dyDescent="0.25">
      <c r="A688" s="8" t="s">
        <v>522</v>
      </c>
      <c r="B688" s="8" t="s">
        <v>261</v>
      </c>
      <c r="C688" s="8" t="s">
        <v>264</v>
      </c>
      <c r="D688" s="10">
        <v>15</v>
      </c>
      <c r="E688" s="10">
        <f>_xll.AtlasFormulas.AtlasFunctions.AtlasBalance("PROD",DataAreaId,"T.InventTrans|inventDimId~inventDimId@T.InventDim","Sum|Qty|0","","","","","","","DateFinancial|ItemId|T2.InventSiteId|T2.InventLocationId",PeriodBeginning,$A688,$B688,$C688)</f>
        <v>1</v>
      </c>
      <c r="F688" s="10">
        <f>_xll.AtlasFormulas.AtlasFunctions.AtlasBalance("PROD",DataAreaId,"T.InventTrans|inventDimId~inventDimId@T.InventDim","Sum|Qty|0","","","","","","","DateFinancial|ItemId|T2.InventSiteId|T2.InventLocationId",PeriodEnding,$A688,$B688,$C688)</f>
        <v>0</v>
      </c>
      <c r="G688" s="10">
        <f>AtlasReport_3_Table_1[[#This Row],[Current On-hand]]-AtlasReport_3_Table_1[[#This Row],[Trans backwords (Beginning)]]</f>
        <v>14</v>
      </c>
      <c r="H688" s="10">
        <f>AtlasReport_3_Table_1[[#This Row],[Current On-hand]]-AtlasReport_3_Table_1[[#This Row],[Trans backwords (Ending)]]</f>
        <v>15</v>
      </c>
    </row>
    <row r="689" spans="1:8" x14ac:dyDescent="0.25">
      <c r="A689" s="8" t="s">
        <v>523</v>
      </c>
      <c r="B689" s="8" t="s">
        <v>261</v>
      </c>
      <c r="C689" s="8" t="s">
        <v>264</v>
      </c>
      <c r="D689" s="10">
        <v>880</v>
      </c>
      <c r="E689" s="10">
        <f>_xll.AtlasFormulas.AtlasFunctions.AtlasBalance("PROD",DataAreaId,"T.InventTrans|inventDimId~inventDimId@T.InventDim","Sum|Qty|0","","","","","","","DateFinancial|ItemId|T2.InventSiteId|T2.InventLocationId",PeriodBeginning,$A689,$B689,$C689)</f>
        <v>0</v>
      </c>
      <c r="F689" s="10">
        <f>_xll.AtlasFormulas.AtlasFunctions.AtlasBalance("PROD",DataAreaId,"T.InventTrans|inventDimId~inventDimId@T.InventDim","Sum|Qty|0","","","","","","","DateFinancial|ItemId|T2.InventSiteId|T2.InventLocationId",PeriodEnding,$A689,$B689,$C689)</f>
        <v>0</v>
      </c>
      <c r="G689" s="10">
        <f>AtlasReport_3_Table_1[[#This Row],[Current On-hand]]-AtlasReport_3_Table_1[[#This Row],[Trans backwords (Beginning)]]</f>
        <v>880</v>
      </c>
      <c r="H689" s="10">
        <f>AtlasReport_3_Table_1[[#This Row],[Current On-hand]]-AtlasReport_3_Table_1[[#This Row],[Trans backwords (Ending)]]</f>
        <v>880</v>
      </c>
    </row>
    <row r="690" spans="1:8" x14ac:dyDescent="0.25">
      <c r="A690" s="8" t="s">
        <v>524</v>
      </c>
      <c r="B690" s="8" t="s">
        <v>261</v>
      </c>
      <c r="C690" s="8" t="s">
        <v>81</v>
      </c>
      <c r="D690" s="10">
        <v>0</v>
      </c>
      <c r="E690" s="10">
        <f>_xll.AtlasFormulas.AtlasFunctions.AtlasBalance("PROD",DataAreaId,"T.InventTrans|inventDimId~inventDimId@T.InventDim","Sum|Qty|0","","","","","","","DateFinancial|ItemId|T2.InventSiteId|T2.InventLocationId",PeriodBeginning,$A690,$B690,$C690)</f>
        <v>0</v>
      </c>
      <c r="F690" s="10">
        <f>_xll.AtlasFormulas.AtlasFunctions.AtlasBalance("PROD",DataAreaId,"T.InventTrans|inventDimId~inventDimId@T.InventDim","Sum|Qty|0","","","","","","","DateFinancial|ItemId|T2.InventSiteId|T2.InventLocationId",PeriodEnding,$A690,$B690,$C690)</f>
        <v>0</v>
      </c>
      <c r="G690" s="10">
        <f>AtlasReport_3_Table_1[[#This Row],[Current On-hand]]-AtlasReport_3_Table_1[[#This Row],[Trans backwords (Beginning)]]</f>
        <v>0</v>
      </c>
      <c r="H690" s="10">
        <f>AtlasReport_3_Table_1[[#This Row],[Current On-hand]]-AtlasReport_3_Table_1[[#This Row],[Trans backwords (Ending)]]</f>
        <v>0</v>
      </c>
    </row>
    <row r="691" spans="1:8" x14ac:dyDescent="0.25">
      <c r="A691" s="8" t="s">
        <v>524</v>
      </c>
      <c r="B691" s="8" t="s">
        <v>261</v>
      </c>
      <c r="C691" s="8" t="s">
        <v>264</v>
      </c>
      <c r="D691" s="10">
        <v>0</v>
      </c>
      <c r="E691" s="10">
        <f>_xll.AtlasFormulas.AtlasFunctions.AtlasBalance("PROD",DataAreaId,"T.InventTrans|inventDimId~inventDimId@T.InventDim","Sum|Qty|0","","","","","","","DateFinancial|ItemId|T2.InventSiteId|T2.InventLocationId",PeriodBeginning,$A691,$B691,$C691)</f>
        <v>0</v>
      </c>
      <c r="F691" s="10">
        <f>_xll.AtlasFormulas.AtlasFunctions.AtlasBalance("PROD",DataAreaId,"T.InventTrans|inventDimId~inventDimId@T.InventDim","Sum|Qty|0","","","","","","","DateFinancial|ItemId|T2.InventSiteId|T2.InventLocationId",PeriodEnding,$A691,$B691,$C691)</f>
        <v>0</v>
      </c>
      <c r="G691" s="10">
        <f>AtlasReport_3_Table_1[[#This Row],[Current On-hand]]-AtlasReport_3_Table_1[[#This Row],[Trans backwords (Beginning)]]</f>
        <v>0</v>
      </c>
      <c r="H691" s="10">
        <f>AtlasReport_3_Table_1[[#This Row],[Current On-hand]]-AtlasReport_3_Table_1[[#This Row],[Trans backwords (Ending)]]</f>
        <v>0</v>
      </c>
    </row>
    <row r="692" spans="1:8" x14ac:dyDescent="0.25">
      <c r="A692" s="8" t="s">
        <v>525</v>
      </c>
      <c r="B692" s="8" t="s">
        <v>261</v>
      </c>
      <c r="C692" s="8" t="s">
        <v>264</v>
      </c>
      <c r="D692" s="10">
        <v>0</v>
      </c>
      <c r="E692" s="10">
        <f>_xll.AtlasFormulas.AtlasFunctions.AtlasBalance("PROD",DataAreaId,"T.InventTrans|inventDimId~inventDimId@T.InventDim","Sum|Qty|0","","","","","","","DateFinancial|ItemId|T2.InventSiteId|T2.InventLocationId",PeriodBeginning,$A692,$B692,$C692)</f>
        <v>0</v>
      </c>
      <c r="F692" s="10">
        <f>_xll.AtlasFormulas.AtlasFunctions.AtlasBalance("PROD",DataAreaId,"T.InventTrans|inventDimId~inventDimId@T.InventDim","Sum|Qty|0","","","","","","","DateFinancial|ItemId|T2.InventSiteId|T2.InventLocationId",PeriodEnding,$A692,$B692,$C692)</f>
        <v>0</v>
      </c>
      <c r="G692" s="10">
        <f>AtlasReport_3_Table_1[[#This Row],[Current On-hand]]-AtlasReport_3_Table_1[[#This Row],[Trans backwords (Beginning)]]</f>
        <v>0</v>
      </c>
      <c r="H692" s="10">
        <f>AtlasReport_3_Table_1[[#This Row],[Current On-hand]]-AtlasReport_3_Table_1[[#This Row],[Trans backwords (Ending)]]</f>
        <v>0</v>
      </c>
    </row>
    <row r="693" spans="1:8" x14ac:dyDescent="0.25">
      <c r="A693" s="8" t="s">
        <v>526</v>
      </c>
      <c r="B693" s="8" t="s">
        <v>261</v>
      </c>
      <c r="C693" s="8" t="s">
        <v>81</v>
      </c>
      <c r="D693" s="10">
        <v>0</v>
      </c>
      <c r="E693" s="10">
        <f>_xll.AtlasFormulas.AtlasFunctions.AtlasBalance("PROD",DataAreaId,"T.InventTrans|inventDimId~inventDimId@T.InventDim","Sum|Qty|0","","","","","","","DateFinancial|ItemId|T2.InventSiteId|T2.InventLocationId",PeriodBeginning,$A693,$B693,$C693)</f>
        <v>0</v>
      </c>
      <c r="F693" s="10">
        <f>_xll.AtlasFormulas.AtlasFunctions.AtlasBalance("PROD",DataAreaId,"T.InventTrans|inventDimId~inventDimId@T.InventDim","Sum|Qty|0","","","","","","","DateFinancial|ItemId|T2.InventSiteId|T2.InventLocationId",PeriodEnding,$A693,$B693,$C693)</f>
        <v>0</v>
      </c>
      <c r="G693" s="10">
        <f>AtlasReport_3_Table_1[[#This Row],[Current On-hand]]-AtlasReport_3_Table_1[[#This Row],[Trans backwords (Beginning)]]</f>
        <v>0</v>
      </c>
      <c r="H693" s="10">
        <f>AtlasReport_3_Table_1[[#This Row],[Current On-hand]]-AtlasReport_3_Table_1[[#This Row],[Trans backwords (Ending)]]</f>
        <v>0</v>
      </c>
    </row>
    <row r="694" spans="1:8" x14ac:dyDescent="0.25">
      <c r="A694" s="8" t="s">
        <v>526</v>
      </c>
      <c r="B694" s="8" t="s">
        <v>261</v>
      </c>
      <c r="C694" s="8" t="s">
        <v>264</v>
      </c>
      <c r="D694" s="10">
        <v>0</v>
      </c>
      <c r="E694" s="10">
        <f>_xll.AtlasFormulas.AtlasFunctions.AtlasBalance("PROD",DataAreaId,"T.InventTrans|inventDimId~inventDimId@T.InventDim","Sum|Qty|0","","","","","","","DateFinancial|ItemId|T2.InventSiteId|T2.InventLocationId",PeriodBeginning,$A694,$B694,$C694)</f>
        <v>0</v>
      </c>
      <c r="F694" s="10">
        <f>_xll.AtlasFormulas.AtlasFunctions.AtlasBalance("PROD",DataAreaId,"T.InventTrans|inventDimId~inventDimId@T.InventDim","Sum|Qty|0","","","","","","","DateFinancial|ItemId|T2.InventSiteId|T2.InventLocationId",PeriodEnding,$A694,$B694,$C694)</f>
        <v>0</v>
      </c>
      <c r="G694" s="10">
        <f>AtlasReport_3_Table_1[[#This Row],[Current On-hand]]-AtlasReport_3_Table_1[[#This Row],[Trans backwords (Beginning)]]</f>
        <v>0</v>
      </c>
      <c r="H694" s="10">
        <f>AtlasReport_3_Table_1[[#This Row],[Current On-hand]]-AtlasReport_3_Table_1[[#This Row],[Trans backwords (Ending)]]</f>
        <v>0</v>
      </c>
    </row>
    <row r="695" spans="1:8" x14ac:dyDescent="0.25">
      <c r="A695" s="8" t="s">
        <v>527</v>
      </c>
      <c r="B695" s="8" t="s">
        <v>261</v>
      </c>
      <c r="C695" s="8" t="s">
        <v>81</v>
      </c>
      <c r="D695" s="10">
        <v>0</v>
      </c>
      <c r="E695" s="10">
        <f>_xll.AtlasFormulas.AtlasFunctions.AtlasBalance("PROD",DataAreaId,"T.InventTrans|inventDimId~inventDimId@T.InventDim","Sum|Qty|0","","","","","","","DateFinancial|ItemId|T2.InventSiteId|T2.InventLocationId",PeriodBeginning,$A695,$B695,$C695)</f>
        <v>0</v>
      </c>
      <c r="F695" s="10">
        <f>_xll.AtlasFormulas.AtlasFunctions.AtlasBalance("PROD",DataAreaId,"T.InventTrans|inventDimId~inventDimId@T.InventDim","Sum|Qty|0","","","","","","","DateFinancial|ItemId|T2.InventSiteId|T2.InventLocationId",PeriodEnding,$A695,$B695,$C695)</f>
        <v>0</v>
      </c>
      <c r="G695" s="10">
        <f>AtlasReport_3_Table_1[[#This Row],[Current On-hand]]-AtlasReport_3_Table_1[[#This Row],[Trans backwords (Beginning)]]</f>
        <v>0</v>
      </c>
      <c r="H695" s="10">
        <f>AtlasReport_3_Table_1[[#This Row],[Current On-hand]]-AtlasReport_3_Table_1[[#This Row],[Trans backwords (Ending)]]</f>
        <v>0</v>
      </c>
    </row>
    <row r="696" spans="1:8" x14ac:dyDescent="0.25">
      <c r="A696" s="8" t="s">
        <v>527</v>
      </c>
      <c r="B696" s="8" t="s">
        <v>261</v>
      </c>
      <c r="C696" s="8" t="s">
        <v>264</v>
      </c>
      <c r="D696" s="10">
        <v>0</v>
      </c>
      <c r="E696" s="10">
        <f>_xll.AtlasFormulas.AtlasFunctions.AtlasBalance("PROD",DataAreaId,"T.InventTrans|inventDimId~inventDimId@T.InventDim","Sum|Qty|0","","","","","","","DateFinancial|ItemId|T2.InventSiteId|T2.InventLocationId",PeriodBeginning,$A696,$B696,$C696)</f>
        <v>0</v>
      </c>
      <c r="F696" s="10">
        <f>_xll.AtlasFormulas.AtlasFunctions.AtlasBalance("PROD",DataAreaId,"T.InventTrans|inventDimId~inventDimId@T.InventDim","Sum|Qty|0","","","","","","","DateFinancial|ItemId|T2.InventSiteId|T2.InventLocationId",PeriodEnding,$A696,$B696,$C696)</f>
        <v>0</v>
      </c>
      <c r="G696" s="10">
        <f>AtlasReport_3_Table_1[[#This Row],[Current On-hand]]-AtlasReport_3_Table_1[[#This Row],[Trans backwords (Beginning)]]</f>
        <v>0</v>
      </c>
      <c r="H696" s="10">
        <f>AtlasReport_3_Table_1[[#This Row],[Current On-hand]]-AtlasReport_3_Table_1[[#This Row],[Trans backwords (Ending)]]</f>
        <v>0</v>
      </c>
    </row>
    <row r="697" spans="1:8" x14ac:dyDescent="0.25">
      <c r="A697" s="8" t="s">
        <v>528</v>
      </c>
      <c r="B697" s="8" t="s">
        <v>261</v>
      </c>
      <c r="C697" s="8" t="s">
        <v>81</v>
      </c>
      <c r="D697" s="10">
        <v>0</v>
      </c>
      <c r="E697" s="10">
        <f>_xll.AtlasFormulas.AtlasFunctions.AtlasBalance("PROD",DataAreaId,"T.InventTrans|inventDimId~inventDimId@T.InventDim","Sum|Qty|0","","","","","","","DateFinancial|ItemId|T2.InventSiteId|T2.InventLocationId",PeriodBeginning,$A697,$B697,$C697)</f>
        <v>0</v>
      </c>
      <c r="F697" s="10">
        <f>_xll.AtlasFormulas.AtlasFunctions.AtlasBalance("PROD",DataAreaId,"T.InventTrans|inventDimId~inventDimId@T.InventDim","Sum|Qty|0","","","","","","","DateFinancial|ItemId|T2.InventSiteId|T2.InventLocationId",PeriodEnding,$A697,$B697,$C697)</f>
        <v>0</v>
      </c>
      <c r="G697" s="10">
        <f>AtlasReport_3_Table_1[[#This Row],[Current On-hand]]-AtlasReport_3_Table_1[[#This Row],[Trans backwords (Beginning)]]</f>
        <v>0</v>
      </c>
      <c r="H697" s="10">
        <f>AtlasReport_3_Table_1[[#This Row],[Current On-hand]]-AtlasReport_3_Table_1[[#This Row],[Trans backwords (Ending)]]</f>
        <v>0</v>
      </c>
    </row>
    <row r="698" spans="1:8" x14ac:dyDescent="0.25">
      <c r="A698" s="8" t="s">
        <v>528</v>
      </c>
      <c r="B698" s="8" t="s">
        <v>261</v>
      </c>
      <c r="C698" s="8" t="s">
        <v>264</v>
      </c>
      <c r="D698" s="10">
        <v>0</v>
      </c>
      <c r="E698" s="10">
        <f>_xll.AtlasFormulas.AtlasFunctions.AtlasBalance("PROD",DataAreaId,"T.InventTrans|inventDimId~inventDimId@T.InventDim","Sum|Qty|0","","","","","","","DateFinancial|ItemId|T2.InventSiteId|T2.InventLocationId",PeriodBeginning,$A698,$B698,$C698)</f>
        <v>0</v>
      </c>
      <c r="F698" s="10">
        <f>_xll.AtlasFormulas.AtlasFunctions.AtlasBalance("PROD",DataAreaId,"T.InventTrans|inventDimId~inventDimId@T.InventDim","Sum|Qty|0","","","","","","","DateFinancial|ItemId|T2.InventSiteId|T2.InventLocationId",PeriodEnding,$A698,$B698,$C698)</f>
        <v>0</v>
      </c>
      <c r="G698" s="10">
        <f>AtlasReport_3_Table_1[[#This Row],[Current On-hand]]-AtlasReport_3_Table_1[[#This Row],[Trans backwords (Beginning)]]</f>
        <v>0</v>
      </c>
      <c r="H698" s="10">
        <f>AtlasReport_3_Table_1[[#This Row],[Current On-hand]]-AtlasReport_3_Table_1[[#This Row],[Trans backwords (Ending)]]</f>
        <v>0</v>
      </c>
    </row>
    <row r="699" spans="1:8" x14ac:dyDescent="0.25">
      <c r="A699" s="8" t="s">
        <v>529</v>
      </c>
      <c r="B699" s="8" t="s">
        <v>261</v>
      </c>
      <c r="C699" s="8" t="s">
        <v>264</v>
      </c>
      <c r="D699" s="10">
        <v>0</v>
      </c>
      <c r="E699" s="10">
        <f>_xll.AtlasFormulas.AtlasFunctions.AtlasBalance("PROD",DataAreaId,"T.InventTrans|inventDimId~inventDimId@T.InventDim","Sum|Qty|0","","","","","","","DateFinancial|ItemId|T2.InventSiteId|T2.InventLocationId",PeriodBeginning,$A699,$B699,$C699)</f>
        <v>0</v>
      </c>
      <c r="F699" s="10">
        <f>_xll.AtlasFormulas.AtlasFunctions.AtlasBalance("PROD",DataAreaId,"T.InventTrans|inventDimId~inventDimId@T.InventDim","Sum|Qty|0","","","","","","","DateFinancial|ItemId|T2.InventSiteId|T2.InventLocationId",PeriodEnding,$A699,$B699,$C699)</f>
        <v>0</v>
      </c>
      <c r="G699" s="10">
        <f>AtlasReport_3_Table_1[[#This Row],[Current On-hand]]-AtlasReport_3_Table_1[[#This Row],[Trans backwords (Beginning)]]</f>
        <v>0</v>
      </c>
      <c r="H699" s="10">
        <f>AtlasReport_3_Table_1[[#This Row],[Current On-hand]]-AtlasReport_3_Table_1[[#This Row],[Trans backwords (Ending)]]</f>
        <v>0</v>
      </c>
    </row>
    <row r="700" spans="1:8" x14ac:dyDescent="0.25">
      <c r="A700" s="8" t="s">
        <v>530</v>
      </c>
      <c r="B700" s="8" t="s">
        <v>261</v>
      </c>
      <c r="C700" s="8" t="s">
        <v>264</v>
      </c>
      <c r="D700" s="10">
        <v>0</v>
      </c>
      <c r="E700" s="10">
        <f>_xll.AtlasFormulas.AtlasFunctions.AtlasBalance("PROD",DataAreaId,"T.InventTrans|inventDimId~inventDimId@T.InventDim","Sum|Qty|0","","","","","","","DateFinancial|ItemId|T2.InventSiteId|T2.InventLocationId",PeriodBeginning,$A700,$B700,$C700)</f>
        <v>0</v>
      </c>
      <c r="F700" s="10">
        <f>_xll.AtlasFormulas.AtlasFunctions.AtlasBalance("PROD",DataAreaId,"T.InventTrans|inventDimId~inventDimId@T.InventDim","Sum|Qty|0","","","","","","","DateFinancial|ItemId|T2.InventSiteId|T2.InventLocationId",PeriodEnding,$A700,$B700,$C700)</f>
        <v>0</v>
      </c>
      <c r="G700" s="10">
        <f>AtlasReport_3_Table_1[[#This Row],[Current On-hand]]-AtlasReport_3_Table_1[[#This Row],[Trans backwords (Beginning)]]</f>
        <v>0</v>
      </c>
      <c r="H700" s="10">
        <f>AtlasReport_3_Table_1[[#This Row],[Current On-hand]]-AtlasReport_3_Table_1[[#This Row],[Trans backwords (Ending)]]</f>
        <v>0</v>
      </c>
    </row>
    <row r="701" spans="1:8" x14ac:dyDescent="0.25">
      <c r="A701" s="8" t="s">
        <v>531</v>
      </c>
      <c r="B701" s="8" t="s">
        <v>261</v>
      </c>
      <c r="C701" s="8" t="s">
        <v>81</v>
      </c>
      <c r="D701" s="10">
        <v>0</v>
      </c>
      <c r="E701" s="10">
        <f>_xll.AtlasFormulas.AtlasFunctions.AtlasBalance("PROD",DataAreaId,"T.InventTrans|inventDimId~inventDimId@T.InventDim","Sum|Qty|0","","","","","","","DateFinancial|ItemId|T2.InventSiteId|T2.InventLocationId",PeriodBeginning,$A701,$B701,$C701)</f>
        <v>0</v>
      </c>
      <c r="F701" s="10">
        <f>_xll.AtlasFormulas.AtlasFunctions.AtlasBalance("PROD",DataAreaId,"T.InventTrans|inventDimId~inventDimId@T.InventDim","Sum|Qty|0","","","","","","","DateFinancial|ItemId|T2.InventSiteId|T2.InventLocationId",PeriodEnding,$A701,$B701,$C701)</f>
        <v>0</v>
      </c>
      <c r="G701" s="10">
        <f>AtlasReport_3_Table_1[[#This Row],[Current On-hand]]-AtlasReport_3_Table_1[[#This Row],[Trans backwords (Beginning)]]</f>
        <v>0</v>
      </c>
      <c r="H701" s="10">
        <f>AtlasReport_3_Table_1[[#This Row],[Current On-hand]]-AtlasReport_3_Table_1[[#This Row],[Trans backwords (Ending)]]</f>
        <v>0</v>
      </c>
    </row>
    <row r="702" spans="1:8" x14ac:dyDescent="0.25">
      <c r="A702" s="8" t="s">
        <v>531</v>
      </c>
      <c r="B702" s="8" t="s">
        <v>261</v>
      </c>
      <c r="C702" s="8" t="s">
        <v>264</v>
      </c>
      <c r="D702" s="10">
        <v>0</v>
      </c>
      <c r="E702" s="10">
        <f>_xll.AtlasFormulas.AtlasFunctions.AtlasBalance("PROD",DataAreaId,"T.InventTrans|inventDimId~inventDimId@T.InventDim","Sum|Qty|0","","","","","","","DateFinancial|ItemId|T2.InventSiteId|T2.InventLocationId",PeriodBeginning,$A702,$B702,$C702)</f>
        <v>0</v>
      </c>
      <c r="F702" s="10">
        <f>_xll.AtlasFormulas.AtlasFunctions.AtlasBalance("PROD",DataAreaId,"T.InventTrans|inventDimId~inventDimId@T.InventDim","Sum|Qty|0","","","","","","","DateFinancial|ItemId|T2.InventSiteId|T2.InventLocationId",PeriodEnding,$A702,$B702,$C702)</f>
        <v>0</v>
      </c>
      <c r="G702" s="10">
        <f>AtlasReport_3_Table_1[[#This Row],[Current On-hand]]-AtlasReport_3_Table_1[[#This Row],[Trans backwords (Beginning)]]</f>
        <v>0</v>
      </c>
      <c r="H702" s="10">
        <f>AtlasReport_3_Table_1[[#This Row],[Current On-hand]]-AtlasReport_3_Table_1[[#This Row],[Trans backwords (Ending)]]</f>
        <v>0</v>
      </c>
    </row>
    <row r="703" spans="1:8" x14ac:dyDescent="0.25">
      <c r="A703" s="8" t="s">
        <v>532</v>
      </c>
      <c r="B703" s="8" t="s">
        <v>261</v>
      </c>
      <c r="C703" s="8" t="s">
        <v>81</v>
      </c>
      <c r="D703" s="10">
        <v>0</v>
      </c>
      <c r="E703" s="10">
        <f>_xll.AtlasFormulas.AtlasFunctions.AtlasBalance("PROD",DataAreaId,"T.InventTrans|inventDimId~inventDimId@T.InventDim","Sum|Qty|0","","","","","","","DateFinancial|ItemId|T2.InventSiteId|T2.InventLocationId",PeriodBeginning,$A703,$B703,$C703)</f>
        <v>0</v>
      </c>
      <c r="F703" s="10">
        <f>_xll.AtlasFormulas.AtlasFunctions.AtlasBalance("PROD",DataAreaId,"T.InventTrans|inventDimId~inventDimId@T.InventDim","Sum|Qty|0","","","","","","","DateFinancial|ItemId|T2.InventSiteId|T2.InventLocationId",PeriodEnding,$A703,$B703,$C703)</f>
        <v>0</v>
      </c>
      <c r="G703" s="10">
        <f>AtlasReport_3_Table_1[[#This Row],[Current On-hand]]-AtlasReport_3_Table_1[[#This Row],[Trans backwords (Beginning)]]</f>
        <v>0</v>
      </c>
      <c r="H703" s="10">
        <f>AtlasReport_3_Table_1[[#This Row],[Current On-hand]]-AtlasReport_3_Table_1[[#This Row],[Trans backwords (Ending)]]</f>
        <v>0</v>
      </c>
    </row>
    <row r="704" spans="1:8" x14ac:dyDescent="0.25">
      <c r="A704" s="8" t="s">
        <v>532</v>
      </c>
      <c r="B704" s="8" t="s">
        <v>261</v>
      </c>
      <c r="C704" s="8" t="s">
        <v>262</v>
      </c>
      <c r="D704" s="10">
        <v>0</v>
      </c>
      <c r="E704" s="10">
        <f>_xll.AtlasFormulas.AtlasFunctions.AtlasBalance("PROD",DataAreaId,"T.InventTrans|inventDimId~inventDimId@T.InventDim","Sum|Qty|0","","","","","","","DateFinancial|ItemId|T2.InventSiteId|T2.InventLocationId",PeriodBeginning,$A704,$B704,$C704)</f>
        <v>0</v>
      </c>
      <c r="F704" s="10">
        <f>_xll.AtlasFormulas.AtlasFunctions.AtlasBalance("PROD",DataAreaId,"T.InventTrans|inventDimId~inventDimId@T.InventDim","Sum|Qty|0","","","","","","","DateFinancial|ItemId|T2.InventSiteId|T2.InventLocationId",PeriodEnding,$A704,$B704,$C704)</f>
        <v>0</v>
      </c>
      <c r="G704" s="10">
        <f>AtlasReport_3_Table_1[[#This Row],[Current On-hand]]-AtlasReport_3_Table_1[[#This Row],[Trans backwords (Beginning)]]</f>
        <v>0</v>
      </c>
      <c r="H704" s="10">
        <f>AtlasReport_3_Table_1[[#This Row],[Current On-hand]]-AtlasReport_3_Table_1[[#This Row],[Trans backwords (Ending)]]</f>
        <v>0</v>
      </c>
    </row>
    <row r="705" spans="1:8" x14ac:dyDescent="0.25">
      <c r="A705" s="8" t="s">
        <v>532</v>
      </c>
      <c r="B705" s="8" t="s">
        <v>261</v>
      </c>
      <c r="C705" s="8" t="s">
        <v>264</v>
      </c>
      <c r="D705" s="10">
        <v>0</v>
      </c>
      <c r="E705" s="10">
        <f>_xll.AtlasFormulas.AtlasFunctions.AtlasBalance("PROD",DataAreaId,"T.InventTrans|inventDimId~inventDimId@T.InventDim","Sum|Qty|0","","","","","","","DateFinancial|ItemId|T2.InventSiteId|T2.InventLocationId",PeriodBeginning,$A705,$B705,$C705)</f>
        <v>0</v>
      </c>
      <c r="F705" s="10">
        <f>_xll.AtlasFormulas.AtlasFunctions.AtlasBalance("PROD",DataAreaId,"T.InventTrans|inventDimId~inventDimId@T.InventDim","Sum|Qty|0","","","","","","","DateFinancial|ItemId|T2.InventSiteId|T2.InventLocationId",PeriodEnding,$A705,$B705,$C705)</f>
        <v>0</v>
      </c>
      <c r="G705" s="10">
        <f>AtlasReport_3_Table_1[[#This Row],[Current On-hand]]-AtlasReport_3_Table_1[[#This Row],[Trans backwords (Beginning)]]</f>
        <v>0</v>
      </c>
      <c r="H705" s="10">
        <f>AtlasReport_3_Table_1[[#This Row],[Current On-hand]]-AtlasReport_3_Table_1[[#This Row],[Trans backwords (Ending)]]</f>
        <v>0</v>
      </c>
    </row>
    <row r="706" spans="1:8" x14ac:dyDescent="0.25">
      <c r="A706" s="8" t="s">
        <v>532</v>
      </c>
      <c r="B706" s="8" t="s">
        <v>261</v>
      </c>
      <c r="C706" s="8" t="s">
        <v>265</v>
      </c>
      <c r="D706" s="10">
        <v>0</v>
      </c>
      <c r="E706" s="10">
        <f>_xll.AtlasFormulas.AtlasFunctions.AtlasBalance("PROD",DataAreaId,"T.InventTrans|inventDimId~inventDimId@T.InventDim","Sum|Qty|0","","","","","","","DateFinancial|ItemId|T2.InventSiteId|T2.InventLocationId",PeriodBeginning,$A706,$B706,$C706)</f>
        <v>0</v>
      </c>
      <c r="F706" s="10">
        <f>_xll.AtlasFormulas.AtlasFunctions.AtlasBalance("PROD",DataAreaId,"T.InventTrans|inventDimId~inventDimId@T.InventDim","Sum|Qty|0","","","","","","","DateFinancial|ItemId|T2.InventSiteId|T2.InventLocationId",PeriodEnding,$A706,$B706,$C706)</f>
        <v>0</v>
      </c>
      <c r="G706" s="10">
        <f>AtlasReport_3_Table_1[[#This Row],[Current On-hand]]-AtlasReport_3_Table_1[[#This Row],[Trans backwords (Beginning)]]</f>
        <v>0</v>
      </c>
      <c r="H706" s="10">
        <f>AtlasReport_3_Table_1[[#This Row],[Current On-hand]]-AtlasReport_3_Table_1[[#This Row],[Trans backwords (Ending)]]</f>
        <v>0</v>
      </c>
    </row>
    <row r="707" spans="1:8" x14ac:dyDescent="0.25">
      <c r="A707" s="8" t="s">
        <v>533</v>
      </c>
      <c r="B707" s="8" t="s">
        <v>261</v>
      </c>
      <c r="C707" s="8" t="s">
        <v>81</v>
      </c>
      <c r="D707" s="10">
        <v>0</v>
      </c>
      <c r="E707" s="10">
        <f>_xll.AtlasFormulas.AtlasFunctions.AtlasBalance("PROD",DataAreaId,"T.InventTrans|inventDimId~inventDimId@T.InventDim","Sum|Qty|0","","","","","","","DateFinancial|ItemId|T2.InventSiteId|T2.InventLocationId",PeriodBeginning,$A707,$B707,$C707)</f>
        <v>0</v>
      </c>
      <c r="F707" s="10">
        <f>_xll.AtlasFormulas.AtlasFunctions.AtlasBalance("PROD",DataAreaId,"T.InventTrans|inventDimId~inventDimId@T.InventDim","Sum|Qty|0","","","","","","","DateFinancial|ItemId|T2.InventSiteId|T2.InventLocationId",PeriodEnding,$A707,$B707,$C707)</f>
        <v>0</v>
      </c>
      <c r="G707" s="10">
        <f>AtlasReport_3_Table_1[[#This Row],[Current On-hand]]-AtlasReport_3_Table_1[[#This Row],[Trans backwords (Beginning)]]</f>
        <v>0</v>
      </c>
      <c r="H707" s="10">
        <f>AtlasReport_3_Table_1[[#This Row],[Current On-hand]]-AtlasReport_3_Table_1[[#This Row],[Trans backwords (Ending)]]</f>
        <v>0</v>
      </c>
    </row>
    <row r="708" spans="1:8" x14ac:dyDescent="0.25">
      <c r="A708" s="8" t="s">
        <v>533</v>
      </c>
      <c r="B708" s="8" t="s">
        <v>261</v>
      </c>
      <c r="C708" s="8" t="s">
        <v>262</v>
      </c>
      <c r="D708" s="10">
        <v>0</v>
      </c>
      <c r="E708" s="10">
        <f>_xll.AtlasFormulas.AtlasFunctions.AtlasBalance("PROD",DataAreaId,"T.InventTrans|inventDimId~inventDimId@T.InventDim","Sum|Qty|0","","","","","","","DateFinancial|ItemId|T2.InventSiteId|T2.InventLocationId",PeriodBeginning,$A708,$B708,$C708)</f>
        <v>0</v>
      </c>
      <c r="F708" s="10">
        <f>_xll.AtlasFormulas.AtlasFunctions.AtlasBalance("PROD",DataAreaId,"T.InventTrans|inventDimId~inventDimId@T.InventDim","Sum|Qty|0","","","","","","","DateFinancial|ItemId|T2.InventSiteId|T2.InventLocationId",PeriodEnding,$A708,$B708,$C708)</f>
        <v>0</v>
      </c>
      <c r="G708" s="10">
        <f>AtlasReport_3_Table_1[[#This Row],[Current On-hand]]-AtlasReport_3_Table_1[[#This Row],[Trans backwords (Beginning)]]</f>
        <v>0</v>
      </c>
      <c r="H708" s="10">
        <f>AtlasReport_3_Table_1[[#This Row],[Current On-hand]]-AtlasReport_3_Table_1[[#This Row],[Trans backwords (Ending)]]</f>
        <v>0</v>
      </c>
    </row>
    <row r="709" spans="1:8" x14ac:dyDescent="0.25">
      <c r="A709" s="8" t="s">
        <v>533</v>
      </c>
      <c r="B709" s="8" t="s">
        <v>261</v>
      </c>
      <c r="C709" s="8" t="s">
        <v>264</v>
      </c>
      <c r="D709" s="10">
        <v>0</v>
      </c>
      <c r="E709" s="10">
        <f>_xll.AtlasFormulas.AtlasFunctions.AtlasBalance("PROD",DataAreaId,"T.InventTrans|inventDimId~inventDimId@T.InventDim","Sum|Qty|0","","","","","","","DateFinancial|ItemId|T2.InventSiteId|T2.InventLocationId",PeriodBeginning,$A709,$B709,$C709)</f>
        <v>0</v>
      </c>
      <c r="F709" s="10">
        <f>_xll.AtlasFormulas.AtlasFunctions.AtlasBalance("PROD",DataAreaId,"T.InventTrans|inventDimId~inventDimId@T.InventDim","Sum|Qty|0","","","","","","","DateFinancial|ItemId|T2.InventSiteId|T2.InventLocationId",PeriodEnding,$A709,$B709,$C709)</f>
        <v>0</v>
      </c>
      <c r="G709" s="10">
        <f>AtlasReport_3_Table_1[[#This Row],[Current On-hand]]-AtlasReport_3_Table_1[[#This Row],[Trans backwords (Beginning)]]</f>
        <v>0</v>
      </c>
      <c r="H709" s="10">
        <f>AtlasReport_3_Table_1[[#This Row],[Current On-hand]]-AtlasReport_3_Table_1[[#This Row],[Trans backwords (Ending)]]</f>
        <v>0</v>
      </c>
    </row>
    <row r="710" spans="1:8" x14ac:dyDescent="0.25">
      <c r="A710" s="8" t="s">
        <v>534</v>
      </c>
      <c r="B710" s="8" t="s">
        <v>261</v>
      </c>
      <c r="C710" s="8" t="s">
        <v>81</v>
      </c>
      <c r="D710" s="10">
        <v>0</v>
      </c>
      <c r="E710" s="10">
        <f>_xll.AtlasFormulas.AtlasFunctions.AtlasBalance("PROD",DataAreaId,"T.InventTrans|inventDimId~inventDimId@T.InventDim","Sum|Qty|0","","","","","","","DateFinancial|ItemId|T2.InventSiteId|T2.InventLocationId",PeriodBeginning,$A710,$B710,$C710)</f>
        <v>0</v>
      </c>
      <c r="F710" s="10">
        <f>_xll.AtlasFormulas.AtlasFunctions.AtlasBalance("PROD",DataAreaId,"T.InventTrans|inventDimId~inventDimId@T.InventDim","Sum|Qty|0","","","","","","","DateFinancial|ItemId|T2.InventSiteId|T2.InventLocationId",PeriodEnding,$A710,$B710,$C710)</f>
        <v>0</v>
      </c>
      <c r="G710" s="10">
        <f>AtlasReport_3_Table_1[[#This Row],[Current On-hand]]-AtlasReport_3_Table_1[[#This Row],[Trans backwords (Beginning)]]</f>
        <v>0</v>
      </c>
      <c r="H710" s="10">
        <f>AtlasReport_3_Table_1[[#This Row],[Current On-hand]]-AtlasReport_3_Table_1[[#This Row],[Trans backwords (Ending)]]</f>
        <v>0</v>
      </c>
    </row>
    <row r="711" spans="1:8" x14ac:dyDescent="0.25">
      <c r="A711" s="8" t="s">
        <v>534</v>
      </c>
      <c r="B711" s="8" t="s">
        <v>261</v>
      </c>
      <c r="C711" s="8" t="s">
        <v>264</v>
      </c>
      <c r="D711" s="10">
        <v>0</v>
      </c>
      <c r="E711" s="10">
        <f>_xll.AtlasFormulas.AtlasFunctions.AtlasBalance("PROD",DataAreaId,"T.InventTrans|inventDimId~inventDimId@T.InventDim","Sum|Qty|0","","","","","","","DateFinancial|ItemId|T2.InventSiteId|T2.InventLocationId",PeriodBeginning,$A711,$B711,$C711)</f>
        <v>0</v>
      </c>
      <c r="F711" s="10">
        <f>_xll.AtlasFormulas.AtlasFunctions.AtlasBalance("PROD",DataAreaId,"T.InventTrans|inventDimId~inventDimId@T.InventDim","Sum|Qty|0","","","","","","","DateFinancial|ItemId|T2.InventSiteId|T2.InventLocationId",PeriodEnding,$A711,$B711,$C711)</f>
        <v>0</v>
      </c>
      <c r="G711" s="10">
        <f>AtlasReport_3_Table_1[[#This Row],[Current On-hand]]-AtlasReport_3_Table_1[[#This Row],[Trans backwords (Beginning)]]</f>
        <v>0</v>
      </c>
      <c r="H711" s="10">
        <f>AtlasReport_3_Table_1[[#This Row],[Current On-hand]]-AtlasReport_3_Table_1[[#This Row],[Trans backwords (Ending)]]</f>
        <v>0</v>
      </c>
    </row>
    <row r="712" spans="1:8" x14ac:dyDescent="0.25">
      <c r="A712" s="8" t="s">
        <v>535</v>
      </c>
      <c r="B712" s="8" t="s">
        <v>261</v>
      </c>
      <c r="C712" s="8" t="s">
        <v>81</v>
      </c>
      <c r="D712" s="10">
        <v>0</v>
      </c>
      <c r="E712" s="10">
        <f>_xll.AtlasFormulas.AtlasFunctions.AtlasBalance("PROD",DataAreaId,"T.InventTrans|inventDimId~inventDimId@T.InventDim","Sum|Qty|0","","","","","","","DateFinancial|ItemId|T2.InventSiteId|T2.InventLocationId",PeriodBeginning,$A712,$B712,$C712)</f>
        <v>0</v>
      </c>
      <c r="F712" s="10">
        <f>_xll.AtlasFormulas.AtlasFunctions.AtlasBalance("PROD",DataAreaId,"T.InventTrans|inventDimId~inventDimId@T.InventDim","Sum|Qty|0","","","","","","","DateFinancial|ItemId|T2.InventSiteId|T2.InventLocationId",PeriodEnding,$A712,$B712,$C712)</f>
        <v>0</v>
      </c>
      <c r="G712" s="10">
        <f>AtlasReport_3_Table_1[[#This Row],[Current On-hand]]-AtlasReport_3_Table_1[[#This Row],[Trans backwords (Beginning)]]</f>
        <v>0</v>
      </c>
      <c r="H712" s="10">
        <f>AtlasReport_3_Table_1[[#This Row],[Current On-hand]]-AtlasReport_3_Table_1[[#This Row],[Trans backwords (Ending)]]</f>
        <v>0</v>
      </c>
    </row>
    <row r="713" spans="1:8" x14ac:dyDescent="0.25">
      <c r="A713" s="8" t="s">
        <v>535</v>
      </c>
      <c r="B713" s="8" t="s">
        <v>261</v>
      </c>
      <c r="C713" s="8" t="s">
        <v>264</v>
      </c>
      <c r="D713" s="10">
        <v>0</v>
      </c>
      <c r="E713" s="10">
        <f>_xll.AtlasFormulas.AtlasFunctions.AtlasBalance("PROD",DataAreaId,"T.InventTrans|inventDimId~inventDimId@T.InventDim","Sum|Qty|0","","","","","","","DateFinancial|ItemId|T2.InventSiteId|T2.InventLocationId",PeriodBeginning,$A713,$B713,$C713)</f>
        <v>0</v>
      </c>
      <c r="F713" s="10">
        <f>_xll.AtlasFormulas.AtlasFunctions.AtlasBalance("PROD",DataAreaId,"T.InventTrans|inventDimId~inventDimId@T.InventDim","Sum|Qty|0","","","","","","","DateFinancial|ItemId|T2.InventSiteId|T2.InventLocationId",PeriodEnding,$A713,$B713,$C713)</f>
        <v>0</v>
      </c>
      <c r="G713" s="10">
        <f>AtlasReport_3_Table_1[[#This Row],[Current On-hand]]-AtlasReport_3_Table_1[[#This Row],[Trans backwords (Beginning)]]</f>
        <v>0</v>
      </c>
      <c r="H713" s="10">
        <f>AtlasReport_3_Table_1[[#This Row],[Current On-hand]]-AtlasReport_3_Table_1[[#This Row],[Trans backwords (Ending)]]</f>
        <v>0</v>
      </c>
    </row>
    <row r="714" spans="1:8" x14ac:dyDescent="0.25">
      <c r="A714" s="8" t="s">
        <v>535</v>
      </c>
      <c r="B714" s="8" t="s">
        <v>261</v>
      </c>
      <c r="C714" s="8" t="s">
        <v>265</v>
      </c>
      <c r="D714" s="10">
        <v>0</v>
      </c>
      <c r="E714" s="10">
        <f>_xll.AtlasFormulas.AtlasFunctions.AtlasBalance("PROD",DataAreaId,"T.InventTrans|inventDimId~inventDimId@T.InventDim","Sum|Qty|0","","","","","","","DateFinancial|ItemId|T2.InventSiteId|T2.InventLocationId",PeriodBeginning,$A714,$B714,$C714)</f>
        <v>0</v>
      </c>
      <c r="F714" s="10">
        <f>_xll.AtlasFormulas.AtlasFunctions.AtlasBalance("PROD",DataAreaId,"T.InventTrans|inventDimId~inventDimId@T.InventDim","Sum|Qty|0","","","","","","","DateFinancial|ItemId|T2.InventSiteId|T2.InventLocationId",PeriodEnding,$A714,$B714,$C714)</f>
        <v>0</v>
      </c>
      <c r="G714" s="10">
        <f>AtlasReport_3_Table_1[[#This Row],[Current On-hand]]-AtlasReport_3_Table_1[[#This Row],[Trans backwords (Beginning)]]</f>
        <v>0</v>
      </c>
      <c r="H714" s="10">
        <f>AtlasReport_3_Table_1[[#This Row],[Current On-hand]]-AtlasReport_3_Table_1[[#This Row],[Trans backwords (Ending)]]</f>
        <v>0</v>
      </c>
    </row>
    <row r="715" spans="1:8" x14ac:dyDescent="0.25">
      <c r="A715" s="8" t="s">
        <v>536</v>
      </c>
      <c r="B715" s="8" t="s">
        <v>261</v>
      </c>
      <c r="C715" s="8" t="s">
        <v>81</v>
      </c>
      <c r="D715" s="10">
        <v>0</v>
      </c>
      <c r="E715" s="10">
        <f>_xll.AtlasFormulas.AtlasFunctions.AtlasBalance("PROD",DataAreaId,"T.InventTrans|inventDimId~inventDimId@T.InventDim","Sum|Qty|0","","","","","","","DateFinancial|ItemId|T2.InventSiteId|T2.InventLocationId",PeriodBeginning,$A715,$B715,$C715)</f>
        <v>0</v>
      </c>
      <c r="F715" s="10">
        <f>_xll.AtlasFormulas.AtlasFunctions.AtlasBalance("PROD",DataAreaId,"T.InventTrans|inventDimId~inventDimId@T.InventDim","Sum|Qty|0","","","","","","","DateFinancial|ItemId|T2.InventSiteId|T2.InventLocationId",PeriodEnding,$A715,$B715,$C715)</f>
        <v>0</v>
      </c>
      <c r="G715" s="10">
        <f>AtlasReport_3_Table_1[[#This Row],[Current On-hand]]-AtlasReport_3_Table_1[[#This Row],[Trans backwords (Beginning)]]</f>
        <v>0</v>
      </c>
      <c r="H715" s="10">
        <f>AtlasReport_3_Table_1[[#This Row],[Current On-hand]]-AtlasReport_3_Table_1[[#This Row],[Trans backwords (Ending)]]</f>
        <v>0</v>
      </c>
    </row>
    <row r="716" spans="1:8" x14ac:dyDescent="0.25">
      <c r="A716" s="8" t="s">
        <v>536</v>
      </c>
      <c r="B716" s="8" t="s">
        <v>261</v>
      </c>
      <c r="C716" s="8" t="s">
        <v>264</v>
      </c>
      <c r="D716" s="10">
        <v>0</v>
      </c>
      <c r="E716" s="10">
        <f>_xll.AtlasFormulas.AtlasFunctions.AtlasBalance("PROD",DataAreaId,"T.InventTrans|inventDimId~inventDimId@T.InventDim","Sum|Qty|0","","","","","","","DateFinancial|ItemId|T2.InventSiteId|T2.InventLocationId",PeriodBeginning,$A716,$B716,$C716)</f>
        <v>0</v>
      </c>
      <c r="F716" s="10">
        <f>_xll.AtlasFormulas.AtlasFunctions.AtlasBalance("PROD",DataAreaId,"T.InventTrans|inventDimId~inventDimId@T.InventDim","Sum|Qty|0","","","","","","","DateFinancial|ItemId|T2.InventSiteId|T2.InventLocationId",PeriodEnding,$A716,$B716,$C716)</f>
        <v>0</v>
      </c>
      <c r="G716" s="10">
        <f>AtlasReport_3_Table_1[[#This Row],[Current On-hand]]-AtlasReport_3_Table_1[[#This Row],[Trans backwords (Beginning)]]</f>
        <v>0</v>
      </c>
      <c r="H716" s="10">
        <f>AtlasReport_3_Table_1[[#This Row],[Current On-hand]]-AtlasReport_3_Table_1[[#This Row],[Trans backwords (Ending)]]</f>
        <v>0</v>
      </c>
    </row>
    <row r="717" spans="1:8" x14ac:dyDescent="0.25">
      <c r="A717" s="8" t="s">
        <v>536</v>
      </c>
      <c r="B717" s="8" t="s">
        <v>261</v>
      </c>
      <c r="C717" s="8" t="s">
        <v>265</v>
      </c>
      <c r="D717" s="10">
        <v>0</v>
      </c>
      <c r="E717" s="10">
        <f>_xll.AtlasFormulas.AtlasFunctions.AtlasBalance("PROD",DataAreaId,"T.InventTrans|inventDimId~inventDimId@T.InventDim","Sum|Qty|0","","","","","","","DateFinancial|ItemId|T2.InventSiteId|T2.InventLocationId",PeriodBeginning,$A717,$B717,$C717)</f>
        <v>0</v>
      </c>
      <c r="F717" s="10">
        <f>_xll.AtlasFormulas.AtlasFunctions.AtlasBalance("PROD",DataAreaId,"T.InventTrans|inventDimId~inventDimId@T.InventDim","Sum|Qty|0","","","","","","","DateFinancial|ItemId|T2.InventSiteId|T2.InventLocationId",PeriodEnding,$A717,$B717,$C717)</f>
        <v>0</v>
      </c>
      <c r="G717" s="10">
        <f>AtlasReport_3_Table_1[[#This Row],[Current On-hand]]-AtlasReport_3_Table_1[[#This Row],[Trans backwords (Beginning)]]</f>
        <v>0</v>
      </c>
      <c r="H717" s="10">
        <f>AtlasReport_3_Table_1[[#This Row],[Current On-hand]]-AtlasReport_3_Table_1[[#This Row],[Trans backwords (Ending)]]</f>
        <v>0</v>
      </c>
    </row>
    <row r="718" spans="1:8" x14ac:dyDescent="0.25">
      <c r="A718" s="8" t="s">
        <v>537</v>
      </c>
      <c r="B718" s="8" t="s">
        <v>261</v>
      </c>
      <c r="C718" s="8" t="s">
        <v>264</v>
      </c>
      <c r="D718" s="10">
        <v>0</v>
      </c>
      <c r="E718" s="10">
        <f>_xll.AtlasFormulas.AtlasFunctions.AtlasBalance("PROD",DataAreaId,"T.InventTrans|inventDimId~inventDimId@T.InventDim","Sum|Qty|0","","","","","","","DateFinancial|ItemId|T2.InventSiteId|T2.InventLocationId",PeriodBeginning,$A718,$B718,$C718)</f>
        <v>0</v>
      </c>
      <c r="F718" s="10">
        <f>_xll.AtlasFormulas.AtlasFunctions.AtlasBalance("PROD",DataAreaId,"T.InventTrans|inventDimId~inventDimId@T.InventDim","Sum|Qty|0","","","","","","","DateFinancial|ItemId|T2.InventSiteId|T2.InventLocationId",PeriodEnding,$A718,$B718,$C718)</f>
        <v>0</v>
      </c>
      <c r="G718" s="10">
        <f>AtlasReport_3_Table_1[[#This Row],[Current On-hand]]-AtlasReport_3_Table_1[[#This Row],[Trans backwords (Beginning)]]</f>
        <v>0</v>
      </c>
      <c r="H718" s="10">
        <f>AtlasReport_3_Table_1[[#This Row],[Current On-hand]]-AtlasReport_3_Table_1[[#This Row],[Trans backwords (Ending)]]</f>
        <v>0</v>
      </c>
    </row>
    <row r="719" spans="1:8" x14ac:dyDescent="0.25">
      <c r="A719" s="8" t="s">
        <v>538</v>
      </c>
      <c r="B719" s="8" t="s">
        <v>261</v>
      </c>
      <c r="C719" s="8" t="s">
        <v>264</v>
      </c>
      <c r="D719" s="10">
        <v>0</v>
      </c>
      <c r="E719" s="10">
        <f>_xll.AtlasFormulas.AtlasFunctions.AtlasBalance("PROD",DataAreaId,"T.InventTrans|inventDimId~inventDimId@T.InventDim","Sum|Qty|0","","","","","","","DateFinancial|ItemId|T2.InventSiteId|T2.InventLocationId",PeriodBeginning,$A719,$B719,$C719)</f>
        <v>0</v>
      </c>
      <c r="F719" s="10">
        <f>_xll.AtlasFormulas.AtlasFunctions.AtlasBalance("PROD",DataAreaId,"T.InventTrans|inventDimId~inventDimId@T.InventDim","Sum|Qty|0","","","","","","","DateFinancial|ItemId|T2.InventSiteId|T2.InventLocationId",PeriodEnding,$A719,$B719,$C719)</f>
        <v>0</v>
      </c>
      <c r="G719" s="10">
        <f>AtlasReport_3_Table_1[[#This Row],[Current On-hand]]-AtlasReport_3_Table_1[[#This Row],[Trans backwords (Beginning)]]</f>
        <v>0</v>
      </c>
      <c r="H719" s="10">
        <f>AtlasReport_3_Table_1[[#This Row],[Current On-hand]]-AtlasReport_3_Table_1[[#This Row],[Trans backwords (Ending)]]</f>
        <v>0</v>
      </c>
    </row>
    <row r="720" spans="1:8" x14ac:dyDescent="0.25">
      <c r="A720" s="8" t="s">
        <v>539</v>
      </c>
      <c r="B720" s="8" t="s">
        <v>261</v>
      </c>
      <c r="C720" s="8" t="s">
        <v>264</v>
      </c>
      <c r="D720" s="10">
        <v>0</v>
      </c>
      <c r="E720" s="10">
        <f>_xll.AtlasFormulas.AtlasFunctions.AtlasBalance("PROD",DataAreaId,"T.InventTrans|inventDimId~inventDimId@T.InventDim","Sum|Qty|0","","","","","","","DateFinancial|ItemId|T2.InventSiteId|T2.InventLocationId",PeriodBeginning,$A720,$B720,$C720)</f>
        <v>0</v>
      </c>
      <c r="F720" s="10">
        <f>_xll.AtlasFormulas.AtlasFunctions.AtlasBalance("PROD",DataAreaId,"T.InventTrans|inventDimId~inventDimId@T.InventDim","Sum|Qty|0","","","","","","","DateFinancial|ItemId|T2.InventSiteId|T2.InventLocationId",PeriodEnding,$A720,$B720,$C720)</f>
        <v>0</v>
      </c>
      <c r="G720" s="10">
        <f>AtlasReport_3_Table_1[[#This Row],[Current On-hand]]-AtlasReport_3_Table_1[[#This Row],[Trans backwords (Beginning)]]</f>
        <v>0</v>
      </c>
      <c r="H720" s="10">
        <f>AtlasReport_3_Table_1[[#This Row],[Current On-hand]]-AtlasReport_3_Table_1[[#This Row],[Trans backwords (Ending)]]</f>
        <v>0</v>
      </c>
    </row>
    <row r="721" spans="1:8" x14ac:dyDescent="0.25">
      <c r="A721" s="8" t="s">
        <v>540</v>
      </c>
      <c r="B721" s="8" t="s">
        <v>261</v>
      </c>
      <c r="C721" s="8" t="s">
        <v>81</v>
      </c>
      <c r="D721" s="10">
        <v>0</v>
      </c>
      <c r="E721" s="10">
        <f>_xll.AtlasFormulas.AtlasFunctions.AtlasBalance("PROD",DataAreaId,"T.InventTrans|inventDimId~inventDimId@T.InventDim","Sum|Qty|0","","","","","","","DateFinancial|ItemId|T2.InventSiteId|T2.InventLocationId",PeriodBeginning,$A721,$B721,$C721)</f>
        <v>0</v>
      </c>
      <c r="F721" s="10">
        <f>_xll.AtlasFormulas.AtlasFunctions.AtlasBalance("PROD",DataAreaId,"T.InventTrans|inventDimId~inventDimId@T.InventDim","Sum|Qty|0","","","","","","","DateFinancial|ItemId|T2.InventSiteId|T2.InventLocationId",PeriodEnding,$A721,$B721,$C721)</f>
        <v>0</v>
      </c>
      <c r="G721" s="10">
        <f>AtlasReport_3_Table_1[[#This Row],[Current On-hand]]-AtlasReport_3_Table_1[[#This Row],[Trans backwords (Beginning)]]</f>
        <v>0</v>
      </c>
      <c r="H721" s="10">
        <f>AtlasReport_3_Table_1[[#This Row],[Current On-hand]]-AtlasReport_3_Table_1[[#This Row],[Trans backwords (Ending)]]</f>
        <v>0</v>
      </c>
    </row>
    <row r="722" spans="1:8" x14ac:dyDescent="0.25">
      <c r="A722" s="8" t="s">
        <v>540</v>
      </c>
      <c r="B722" s="8" t="s">
        <v>261</v>
      </c>
      <c r="C722" s="8" t="s">
        <v>264</v>
      </c>
      <c r="D722" s="10">
        <v>0</v>
      </c>
      <c r="E722" s="10">
        <f>_xll.AtlasFormulas.AtlasFunctions.AtlasBalance("PROD",DataAreaId,"T.InventTrans|inventDimId~inventDimId@T.InventDim","Sum|Qty|0","","","","","","","DateFinancial|ItemId|T2.InventSiteId|T2.InventLocationId",PeriodBeginning,$A722,$B722,$C722)</f>
        <v>0</v>
      </c>
      <c r="F722" s="10">
        <f>_xll.AtlasFormulas.AtlasFunctions.AtlasBalance("PROD",DataAreaId,"T.InventTrans|inventDimId~inventDimId@T.InventDim","Sum|Qty|0","","","","","","","DateFinancial|ItemId|T2.InventSiteId|T2.InventLocationId",PeriodEnding,$A722,$B722,$C722)</f>
        <v>0</v>
      </c>
      <c r="G722" s="10">
        <f>AtlasReport_3_Table_1[[#This Row],[Current On-hand]]-AtlasReport_3_Table_1[[#This Row],[Trans backwords (Beginning)]]</f>
        <v>0</v>
      </c>
      <c r="H722" s="10">
        <f>AtlasReport_3_Table_1[[#This Row],[Current On-hand]]-AtlasReport_3_Table_1[[#This Row],[Trans backwords (Ending)]]</f>
        <v>0</v>
      </c>
    </row>
    <row r="723" spans="1:8" x14ac:dyDescent="0.25">
      <c r="A723" s="8" t="s">
        <v>541</v>
      </c>
      <c r="B723" s="8" t="s">
        <v>261</v>
      </c>
      <c r="C723" s="8" t="s">
        <v>264</v>
      </c>
      <c r="D723" s="10">
        <v>0</v>
      </c>
      <c r="E723" s="10">
        <f>_xll.AtlasFormulas.AtlasFunctions.AtlasBalance("PROD",DataAreaId,"T.InventTrans|inventDimId~inventDimId@T.InventDim","Sum|Qty|0","","","","","","","DateFinancial|ItemId|T2.InventSiteId|T2.InventLocationId",PeriodBeginning,$A723,$B723,$C723)</f>
        <v>0</v>
      </c>
      <c r="F723" s="10">
        <f>_xll.AtlasFormulas.AtlasFunctions.AtlasBalance("PROD",DataAreaId,"T.InventTrans|inventDimId~inventDimId@T.InventDim","Sum|Qty|0","","","","","","","DateFinancial|ItemId|T2.InventSiteId|T2.InventLocationId",PeriodEnding,$A723,$B723,$C723)</f>
        <v>0</v>
      </c>
      <c r="G723" s="10">
        <f>AtlasReport_3_Table_1[[#This Row],[Current On-hand]]-AtlasReport_3_Table_1[[#This Row],[Trans backwords (Beginning)]]</f>
        <v>0</v>
      </c>
      <c r="H723" s="10">
        <f>AtlasReport_3_Table_1[[#This Row],[Current On-hand]]-AtlasReport_3_Table_1[[#This Row],[Trans backwords (Ending)]]</f>
        <v>0</v>
      </c>
    </row>
    <row r="724" spans="1:8" x14ac:dyDescent="0.25">
      <c r="A724" s="8" t="s">
        <v>542</v>
      </c>
      <c r="B724" s="8" t="s">
        <v>261</v>
      </c>
      <c r="C724" s="8" t="s">
        <v>81</v>
      </c>
      <c r="D724" s="10">
        <v>0</v>
      </c>
      <c r="E724" s="10">
        <f>_xll.AtlasFormulas.AtlasFunctions.AtlasBalance("PROD",DataAreaId,"T.InventTrans|inventDimId~inventDimId@T.InventDim","Sum|Qty|0","","","","","","","DateFinancial|ItemId|T2.InventSiteId|T2.InventLocationId",PeriodBeginning,$A724,$B724,$C724)</f>
        <v>0</v>
      </c>
      <c r="F724" s="10">
        <f>_xll.AtlasFormulas.AtlasFunctions.AtlasBalance("PROD",DataAreaId,"T.InventTrans|inventDimId~inventDimId@T.InventDim","Sum|Qty|0","","","","","","","DateFinancial|ItemId|T2.InventSiteId|T2.InventLocationId",PeriodEnding,$A724,$B724,$C724)</f>
        <v>0</v>
      </c>
      <c r="G724" s="10">
        <f>AtlasReport_3_Table_1[[#This Row],[Current On-hand]]-AtlasReport_3_Table_1[[#This Row],[Trans backwords (Beginning)]]</f>
        <v>0</v>
      </c>
      <c r="H724" s="10">
        <f>AtlasReport_3_Table_1[[#This Row],[Current On-hand]]-AtlasReport_3_Table_1[[#This Row],[Trans backwords (Ending)]]</f>
        <v>0</v>
      </c>
    </row>
    <row r="725" spans="1:8" x14ac:dyDescent="0.25">
      <c r="A725" s="8" t="s">
        <v>542</v>
      </c>
      <c r="B725" s="8" t="s">
        <v>261</v>
      </c>
      <c r="C725" s="8" t="s">
        <v>264</v>
      </c>
      <c r="D725" s="10">
        <v>27</v>
      </c>
      <c r="E725" s="10">
        <f>_xll.AtlasFormulas.AtlasFunctions.AtlasBalance("PROD",DataAreaId,"T.InventTrans|inventDimId~inventDimId@T.InventDim","Sum|Qty|0","","","","","","","DateFinancial|ItemId|T2.InventSiteId|T2.InventLocationId",PeriodBeginning,$A725,$B725,$C725)</f>
        <v>-20</v>
      </c>
      <c r="F725" s="10">
        <f>_xll.AtlasFormulas.AtlasFunctions.AtlasBalance("PROD",DataAreaId,"T.InventTrans|inventDimId~inventDimId@T.InventDim","Sum|Qty|0","","","","","","","DateFinancial|ItemId|T2.InventSiteId|T2.InventLocationId",PeriodEnding,$A725,$B725,$C725)</f>
        <v>0</v>
      </c>
      <c r="G725" s="10">
        <f>AtlasReport_3_Table_1[[#This Row],[Current On-hand]]-AtlasReport_3_Table_1[[#This Row],[Trans backwords (Beginning)]]</f>
        <v>47</v>
      </c>
      <c r="H725" s="10">
        <f>AtlasReport_3_Table_1[[#This Row],[Current On-hand]]-AtlasReport_3_Table_1[[#This Row],[Trans backwords (Ending)]]</f>
        <v>27</v>
      </c>
    </row>
    <row r="726" spans="1:8" x14ac:dyDescent="0.25">
      <c r="A726" s="8" t="s">
        <v>543</v>
      </c>
      <c r="B726" s="8" t="s">
        <v>261</v>
      </c>
      <c r="C726" s="8" t="s">
        <v>81</v>
      </c>
      <c r="D726" s="10">
        <v>0</v>
      </c>
      <c r="E726" s="10">
        <f>_xll.AtlasFormulas.AtlasFunctions.AtlasBalance("PROD",DataAreaId,"T.InventTrans|inventDimId~inventDimId@T.InventDim","Sum|Qty|0","","","","","","","DateFinancial|ItemId|T2.InventSiteId|T2.InventLocationId",PeriodBeginning,$A726,$B726,$C726)</f>
        <v>0</v>
      </c>
      <c r="F726" s="10">
        <f>_xll.AtlasFormulas.AtlasFunctions.AtlasBalance("PROD",DataAreaId,"T.InventTrans|inventDimId~inventDimId@T.InventDim","Sum|Qty|0","","","","","","","DateFinancial|ItemId|T2.InventSiteId|T2.InventLocationId",PeriodEnding,$A726,$B726,$C726)</f>
        <v>0</v>
      </c>
      <c r="G726" s="10">
        <f>AtlasReport_3_Table_1[[#This Row],[Current On-hand]]-AtlasReport_3_Table_1[[#This Row],[Trans backwords (Beginning)]]</f>
        <v>0</v>
      </c>
      <c r="H726" s="10">
        <f>AtlasReport_3_Table_1[[#This Row],[Current On-hand]]-AtlasReport_3_Table_1[[#This Row],[Trans backwords (Ending)]]</f>
        <v>0</v>
      </c>
    </row>
    <row r="727" spans="1:8" x14ac:dyDescent="0.25">
      <c r="A727" s="8" t="s">
        <v>543</v>
      </c>
      <c r="B727" s="8" t="s">
        <v>261</v>
      </c>
      <c r="C727" s="8" t="s">
        <v>264</v>
      </c>
      <c r="D727" s="10">
        <v>0</v>
      </c>
      <c r="E727" s="10">
        <f>_xll.AtlasFormulas.AtlasFunctions.AtlasBalance("PROD",DataAreaId,"T.InventTrans|inventDimId~inventDimId@T.InventDim","Sum|Qty|0","","","","","","","DateFinancial|ItemId|T2.InventSiteId|T2.InventLocationId",PeriodBeginning,$A727,$B727,$C727)</f>
        <v>0</v>
      </c>
      <c r="F727" s="10">
        <f>_xll.AtlasFormulas.AtlasFunctions.AtlasBalance("PROD",DataAreaId,"T.InventTrans|inventDimId~inventDimId@T.InventDim","Sum|Qty|0","","","","","","","DateFinancial|ItemId|T2.InventSiteId|T2.InventLocationId",PeriodEnding,$A727,$B727,$C727)</f>
        <v>0</v>
      </c>
      <c r="G727" s="10">
        <f>AtlasReport_3_Table_1[[#This Row],[Current On-hand]]-AtlasReport_3_Table_1[[#This Row],[Trans backwords (Beginning)]]</f>
        <v>0</v>
      </c>
      <c r="H727" s="10">
        <f>AtlasReport_3_Table_1[[#This Row],[Current On-hand]]-AtlasReport_3_Table_1[[#This Row],[Trans backwords (Ending)]]</f>
        <v>0</v>
      </c>
    </row>
    <row r="728" spans="1:8" x14ac:dyDescent="0.25">
      <c r="A728" s="8" t="s">
        <v>68</v>
      </c>
      <c r="B728" s="8" t="s">
        <v>261</v>
      </c>
      <c r="C728" s="8" t="s">
        <v>81</v>
      </c>
      <c r="D728" s="10">
        <v>0</v>
      </c>
      <c r="E728" s="10">
        <f>_xll.AtlasFormulas.AtlasFunctions.AtlasBalance("PROD",DataAreaId,"T.InventTrans|inventDimId~inventDimId@T.InventDim","Sum|Qty|0","","","","","","","DateFinancial|ItemId|T2.InventSiteId|T2.InventLocationId",PeriodBeginning,$A728,$B728,$C728)</f>
        <v>0</v>
      </c>
      <c r="F728" s="10">
        <f>_xll.AtlasFormulas.AtlasFunctions.AtlasBalance("PROD",DataAreaId,"T.InventTrans|inventDimId~inventDimId@T.InventDim","Sum|Qty|0","","","","","","","DateFinancial|ItemId|T2.InventSiteId|T2.InventLocationId",PeriodEnding,$A728,$B728,$C728)</f>
        <v>0</v>
      </c>
      <c r="G728" s="10">
        <f>AtlasReport_3_Table_1[[#This Row],[Current On-hand]]-AtlasReport_3_Table_1[[#This Row],[Trans backwords (Beginning)]]</f>
        <v>0</v>
      </c>
      <c r="H728" s="10">
        <f>AtlasReport_3_Table_1[[#This Row],[Current On-hand]]-AtlasReport_3_Table_1[[#This Row],[Trans backwords (Ending)]]</f>
        <v>0</v>
      </c>
    </row>
    <row r="729" spans="1:8" x14ac:dyDescent="0.25">
      <c r="A729" s="8" t="s">
        <v>68</v>
      </c>
      <c r="B729" s="8" t="s">
        <v>261</v>
      </c>
      <c r="C729" s="8" t="s">
        <v>289</v>
      </c>
      <c r="D729" s="10">
        <v>1</v>
      </c>
      <c r="E729" s="10">
        <f>_xll.AtlasFormulas.AtlasFunctions.AtlasBalance("PROD",DataAreaId,"T.InventTrans|inventDimId~inventDimId@T.InventDim","Sum|Qty|0","","","","","","","DateFinancial|ItemId|T2.InventSiteId|T2.InventLocationId",PeriodBeginning,$A729,$B729,$C729)</f>
        <v>0</v>
      </c>
      <c r="F729" s="10">
        <f>_xll.AtlasFormulas.AtlasFunctions.AtlasBalance("PROD",DataAreaId,"T.InventTrans|inventDimId~inventDimId@T.InventDim","Sum|Qty|0","","","","","","","DateFinancial|ItemId|T2.InventSiteId|T2.InventLocationId",PeriodEnding,$A729,$B729,$C729)</f>
        <v>0</v>
      </c>
      <c r="G729" s="10">
        <f>AtlasReport_3_Table_1[[#This Row],[Current On-hand]]-AtlasReport_3_Table_1[[#This Row],[Trans backwords (Beginning)]]</f>
        <v>1</v>
      </c>
      <c r="H729" s="10">
        <f>AtlasReport_3_Table_1[[#This Row],[Current On-hand]]-AtlasReport_3_Table_1[[#This Row],[Trans backwords (Ending)]]</f>
        <v>1</v>
      </c>
    </row>
    <row r="730" spans="1:8" x14ac:dyDescent="0.25">
      <c r="A730" s="8" t="s">
        <v>68</v>
      </c>
      <c r="B730" s="8" t="s">
        <v>261</v>
      </c>
      <c r="C730" s="8" t="s">
        <v>262</v>
      </c>
      <c r="D730" s="10">
        <v>0</v>
      </c>
      <c r="E730" s="10">
        <f>_xll.AtlasFormulas.AtlasFunctions.AtlasBalance("PROD",DataAreaId,"T.InventTrans|inventDimId~inventDimId@T.InventDim","Sum|Qty|0","","","","","","","DateFinancial|ItemId|T2.InventSiteId|T2.InventLocationId",PeriodBeginning,$A730,$B730,$C730)</f>
        <v>0</v>
      </c>
      <c r="F730" s="10">
        <f>_xll.AtlasFormulas.AtlasFunctions.AtlasBalance("PROD",DataAreaId,"T.InventTrans|inventDimId~inventDimId@T.InventDim","Sum|Qty|0","","","","","","","DateFinancial|ItemId|T2.InventSiteId|T2.InventLocationId",PeriodEnding,$A730,$B730,$C730)</f>
        <v>0</v>
      </c>
      <c r="G730" s="10">
        <f>AtlasReport_3_Table_1[[#This Row],[Current On-hand]]-AtlasReport_3_Table_1[[#This Row],[Trans backwords (Beginning)]]</f>
        <v>0</v>
      </c>
      <c r="H730" s="10">
        <f>AtlasReport_3_Table_1[[#This Row],[Current On-hand]]-AtlasReport_3_Table_1[[#This Row],[Trans backwords (Ending)]]</f>
        <v>0</v>
      </c>
    </row>
    <row r="731" spans="1:8" x14ac:dyDescent="0.25">
      <c r="A731" s="8" t="s">
        <v>68</v>
      </c>
      <c r="B731" s="8" t="s">
        <v>261</v>
      </c>
      <c r="C731" s="8" t="s">
        <v>264</v>
      </c>
      <c r="D731" s="10">
        <v>0</v>
      </c>
      <c r="E731" s="10">
        <f>_xll.AtlasFormulas.AtlasFunctions.AtlasBalance("PROD",DataAreaId,"T.InventTrans|inventDimId~inventDimId@T.InventDim","Sum|Qty|0","","","","","","","DateFinancial|ItemId|T2.InventSiteId|T2.InventLocationId",PeriodBeginning,$A731,$B731,$C731)</f>
        <v>0</v>
      </c>
      <c r="F731" s="10">
        <f>_xll.AtlasFormulas.AtlasFunctions.AtlasBalance("PROD",DataAreaId,"T.InventTrans|inventDimId~inventDimId@T.InventDim","Sum|Qty|0","","","","","","","DateFinancial|ItemId|T2.InventSiteId|T2.InventLocationId",PeriodEnding,$A731,$B731,$C731)</f>
        <v>0</v>
      </c>
      <c r="G731" s="10">
        <f>AtlasReport_3_Table_1[[#This Row],[Current On-hand]]-AtlasReport_3_Table_1[[#This Row],[Trans backwords (Beginning)]]</f>
        <v>0</v>
      </c>
      <c r="H731" s="10">
        <f>AtlasReport_3_Table_1[[#This Row],[Current On-hand]]-AtlasReport_3_Table_1[[#This Row],[Trans backwords (Ending)]]</f>
        <v>0</v>
      </c>
    </row>
    <row r="732" spans="1:8" x14ac:dyDescent="0.25">
      <c r="A732" s="8" t="s">
        <v>68</v>
      </c>
      <c r="B732" s="8" t="s">
        <v>261</v>
      </c>
      <c r="C732" s="8" t="s">
        <v>265</v>
      </c>
      <c r="D732" s="10">
        <v>0</v>
      </c>
      <c r="E732" s="10">
        <f>_xll.AtlasFormulas.AtlasFunctions.AtlasBalance("PROD",DataAreaId,"T.InventTrans|inventDimId~inventDimId@T.InventDim","Sum|Qty|0","","","","","","","DateFinancial|ItemId|T2.InventSiteId|T2.InventLocationId",PeriodBeginning,$A732,$B732,$C732)</f>
        <v>0</v>
      </c>
      <c r="F732" s="10">
        <f>_xll.AtlasFormulas.AtlasFunctions.AtlasBalance("PROD",DataAreaId,"T.InventTrans|inventDimId~inventDimId@T.InventDim","Sum|Qty|0","","","","","","","DateFinancial|ItemId|T2.InventSiteId|T2.InventLocationId",PeriodEnding,$A732,$B732,$C732)</f>
        <v>0</v>
      </c>
      <c r="G732" s="10">
        <f>AtlasReport_3_Table_1[[#This Row],[Current On-hand]]-AtlasReport_3_Table_1[[#This Row],[Trans backwords (Beginning)]]</f>
        <v>0</v>
      </c>
      <c r="H732" s="10">
        <f>AtlasReport_3_Table_1[[#This Row],[Current On-hand]]-AtlasReport_3_Table_1[[#This Row],[Trans backwords (Ending)]]</f>
        <v>0</v>
      </c>
    </row>
    <row r="733" spans="1:8" x14ac:dyDescent="0.25">
      <c r="A733" s="8" t="s">
        <v>240</v>
      </c>
      <c r="B733" s="8" t="s">
        <v>261</v>
      </c>
      <c r="C733" s="8" t="s">
        <v>81</v>
      </c>
      <c r="D733" s="10">
        <v>0</v>
      </c>
      <c r="E733" s="10">
        <f>_xll.AtlasFormulas.AtlasFunctions.AtlasBalance("PROD",DataAreaId,"T.InventTrans|inventDimId~inventDimId@T.InventDim","Sum|Qty|0","","","","","","","DateFinancial|ItemId|T2.InventSiteId|T2.InventLocationId",PeriodBeginning,$A733,$B733,$C733)</f>
        <v>0</v>
      </c>
      <c r="F733" s="10">
        <f>_xll.AtlasFormulas.AtlasFunctions.AtlasBalance("PROD",DataAreaId,"T.InventTrans|inventDimId~inventDimId@T.InventDim","Sum|Qty|0","","","","","","","DateFinancial|ItemId|T2.InventSiteId|T2.InventLocationId",PeriodEnding,$A733,$B733,$C733)</f>
        <v>0</v>
      </c>
      <c r="G733" s="10">
        <f>AtlasReport_3_Table_1[[#This Row],[Current On-hand]]-AtlasReport_3_Table_1[[#This Row],[Trans backwords (Beginning)]]</f>
        <v>0</v>
      </c>
      <c r="H733" s="10">
        <f>AtlasReport_3_Table_1[[#This Row],[Current On-hand]]-AtlasReport_3_Table_1[[#This Row],[Trans backwords (Ending)]]</f>
        <v>0</v>
      </c>
    </row>
    <row r="734" spans="1:8" x14ac:dyDescent="0.25">
      <c r="A734" s="8" t="s">
        <v>240</v>
      </c>
      <c r="B734" s="8" t="s">
        <v>261</v>
      </c>
      <c r="C734" s="8" t="s">
        <v>264</v>
      </c>
      <c r="D734" s="10">
        <v>84</v>
      </c>
      <c r="E734" s="10">
        <f>_xll.AtlasFormulas.AtlasFunctions.AtlasBalance("PROD",DataAreaId,"T.InventTrans|inventDimId~inventDimId@T.InventDim","Sum|Qty|0","","","","","","","DateFinancial|ItemId|T2.InventSiteId|T2.InventLocationId",PeriodBeginning,$A734,$B734,$C734)</f>
        <v>0</v>
      </c>
      <c r="F734" s="10">
        <f>_xll.AtlasFormulas.AtlasFunctions.AtlasBalance("PROD",DataAreaId,"T.InventTrans|inventDimId~inventDimId@T.InventDim","Sum|Qty|0","","","","","","","DateFinancial|ItemId|T2.InventSiteId|T2.InventLocationId",PeriodEnding,$A734,$B734,$C734)</f>
        <v>0</v>
      </c>
      <c r="G734" s="10">
        <f>AtlasReport_3_Table_1[[#This Row],[Current On-hand]]-AtlasReport_3_Table_1[[#This Row],[Trans backwords (Beginning)]]</f>
        <v>84</v>
      </c>
      <c r="H734" s="10">
        <f>AtlasReport_3_Table_1[[#This Row],[Current On-hand]]-AtlasReport_3_Table_1[[#This Row],[Trans backwords (Ending)]]</f>
        <v>84</v>
      </c>
    </row>
    <row r="735" spans="1:8" x14ac:dyDescent="0.25">
      <c r="A735" s="8" t="s">
        <v>242</v>
      </c>
      <c r="B735" s="8" t="s">
        <v>261</v>
      </c>
      <c r="C735" s="8" t="s">
        <v>81</v>
      </c>
      <c r="D735" s="10">
        <v>0</v>
      </c>
      <c r="E735" s="10">
        <f>_xll.AtlasFormulas.AtlasFunctions.AtlasBalance("PROD",DataAreaId,"T.InventTrans|inventDimId~inventDimId@T.InventDim","Sum|Qty|0","","","","","","","DateFinancial|ItemId|T2.InventSiteId|T2.InventLocationId",PeriodBeginning,$A735,$B735,$C735)</f>
        <v>0</v>
      </c>
      <c r="F735" s="10">
        <f>_xll.AtlasFormulas.AtlasFunctions.AtlasBalance("PROD",DataAreaId,"T.InventTrans|inventDimId~inventDimId@T.InventDim","Sum|Qty|0","","","","","","","DateFinancial|ItemId|T2.InventSiteId|T2.InventLocationId",PeriodEnding,$A735,$B735,$C735)</f>
        <v>0</v>
      </c>
      <c r="G735" s="10">
        <f>AtlasReport_3_Table_1[[#This Row],[Current On-hand]]-AtlasReport_3_Table_1[[#This Row],[Trans backwords (Beginning)]]</f>
        <v>0</v>
      </c>
      <c r="H735" s="10">
        <f>AtlasReport_3_Table_1[[#This Row],[Current On-hand]]-AtlasReport_3_Table_1[[#This Row],[Trans backwords (Ending)]]</f>
        <v>0</v>
      </c>
    </row>
    <row r="736" spans="1:8" x14ac:dyDescent="0.25">
      <c r="A736" s="8" t="s">
        <v>242</v>
      </c>
      <c r="B736" s="8" t="s">
        <v>261</v>
      </c>
      <c r="C736" s="8" t="s">
        <v>289</v>
      </c>
      <c r="D736" s="10">
        <v>2</v>
      </c>
      <c r="E736" s="10">
        <f>_xll.AtlasFormulas.AtlasFunctions.AtlasBalance("PROD",DataAreaId,"T.InventTrans|inventDimId~inventDimId@T.InventDim","Sum|Qty|0","","","","","","","DateFinancial|ItemId|T2.InventSiteId|T2.InventLocationId",PeriodBeginning,$A736,$B736,$C736)</f>
        <v>0</v>
      </c>
      <c r="F736" s="10">
        <f>_xll.AtlasFormulas.AtlasFunctions.AtlasBalance("PROD",DataAreaId,"T.InventTrans|inventDimId~inventDimId@T.InventDim","Sum|Qty|0","","","","","","","DateFinancial|ItemId|T2.InventSiteId|T2.InventLocationId",PeriodEnding,$A736,$B736,$C736)</f>
        <v>0</v>
      </c>
      <c r="G736" s="10">
        <f>AtlasReport_3_Table_1[[#This Row],[Current On-hand]]-AtlasReport_3_Table_1[[#This Row],[Trans backwords (Beginning)]]</f>
        <v>2</v>
      </c>
      <c r="H736" s="10">
        <f>AtlasReport_3_Table_1[[#This Row],[Current On-hand]]-AtlasReport_3_Table_1[[#This Row],[Trans backwords (Ending)]]</f>
        <v>2</v>
      </c>
    </row>
    <row r="737" spans="1:8" x14ac:dyDescent="0.25">
      <c r="A737" s="8" t="s">
        <v>242</v>
      </c>
      <c r="B737" s="8" t="s">
        <v>261</v>
      </c>
      <c r="C737" s="8" t="s">
        <v>262</v>
      </c>
      <c r="D737" s="10">
        <v>0</v>
      </c>
      <c r="E737" s="10">
        <f>_xll.AtlasFormulas.AtlasFunctions.AtlasBalance("PROD",DataAreaId,"T.InventTrans|inventDimId~inventDimId@T.InventDim","Sum|Qty|0","","","","","","","DateFinancial|ItemId|T2.InventSiteId|T2.InventLocationId",PeriodBeginning,$A737,$B737,$C737)</f>
        <v>0</v>
      </c>
      <c r="F737" s="10">
        <f>_xll.AtlasFormulas.AtlasFunctions.AtlasBalance("PROD",DataAreaId,"T.InventTrans|inventDimId~inventDimId@T.InventDim","Sum|Qty|0","","","","","","","DateFinancial|ItemId|T2.InventSiteId|T2.InventLocationId",PeriodEnding,$A737,$B737,$C737)</f>
        <v>0</v>
      </c>
      <c r="G737" s="10">
        <f>AtlasReport_3_Table_1[[#This Row],[Current On-hand]]-AtlasReport_3_Table_1[[#This Row],[Trans backwords (Beginning)]]</f>
        <v>0</v>
      </c>
      <c r="H737" s="10">
        <f>AtlasReport_3_Table_1[[#This Row],[Current On-hand]]-AtlasReport_3_Table_1[[#This Row],[Trans backwords (Ending)]]</f>
        <v>0</v>
      </c>
    </row>
    <row r="738" spans="1:8" x14ac:dyDescent="0.25">
      <c r="A738" s="8" t="s">
        <v>242</v>
      </c>
      <c r="B738" s="8" t="s">
        <v>261</v>
      </c>
      <c r="C738" s="8" t="s">
        <v>264</v>
      </c>
      <c r="D738" s="10">
        <v>104</v>
      </c>
      <c r="E738" s="10">
        <f>_xll.AtlasFormulas.AtlasFunctions.AtlasBalance("PROD",DataAreaId,"T.InventTrans|inventDimId~inventDimId@T.InventDim","Sum|Qty|0","","","","","","","DateFinancial|ItemId|T2.InventSiteId|T2.InventLocationId",PeriodBeginning,$A738,$B738,$C738)</f>
        <v>-7</v>
      </c>
      <c r="F738" s="10">
        <f>_xll.AtlasFormulas.AtlasFunctions.AtlasBalance("PROD",DataAreaId,"T.InventTrans|inventDimId~inventDimId@T.InventDim","Sum|Qty|0","","","","","","","DateFinancial|ItemId|T2.InventSiteId|T2.InventLocationId",PeriodEnding,$A738,$B738,$C738)</f>
        <v>0</v>
      </c>
      <c r="G738" s="10">
        <f>AtlasReport_3_Table_1[[#This Row],[Current On-hand]]-AtlasReport_3_Table_1[[#This Row],[Trans backwords (Beginning)]]</f>
        <v>111</v>
      </c>
      <c r="H738" s="10">
        <f>AtlasReport_3_Table_1[[#This Row],[Current On-hand]]-AtlasReport_3_Table_1[[#This Row],[Trans backwords (Ending)]]</f>
        <v>104</v>
      </c>
    </row>
    <row r="739" spans="1:8" x14ac:dyDescent="0.25">
      <c r="A739" s="8" t="s">
        <v>544</v>
      </c>
      <c r="B739" s="8" t="s">
        <v>261</v>
      </c>
      <c r="C739" s="8" t="s">
        <v>81</v>
      </c>
      <c r="D739" s="10">
        <v>0</v>
      </c>
      <c r="E739" s="10">
        <f>_xll.AtlasFormulas.AtlasFunctions.AtlasBalance("PROD",DataAreaId,"T.InventTrans|inventDimId~inventDimId@T.InventDim","Sum|Qty|0","","","","","","","DateFinancial|ItemId|T2.InventSiteId|T2.InventLocationId",PeriodBeginning,$A739,$B739,$C739)</f>
        <v>0</v>
      </c>
      <c r="F739" s="10">
        <f>_xll.AtlasFormulas.AtlasFunctions.AtlasBalance("PROD",DataAreaId,"T.InventTrans|inventDimId~inventDimId@T.InventDim","Sum|Qty|0","","","","","","","DateFinancial|ItemId|T2.InventSiteId|T2.InventLocationId",PeriodEnding,$A739,$B739,$C739)</f>
        <v>0</v>
      </c>
      <c r="G739" s="10">
        <f>AtlasReport_3_Table_1[[#This Row],[Current On-hand]]-AtlasReport_3_Table_1[[#This Row],[Trans backwords (Beginning)]]</f>
        <v>0</v>
      </c>
      <c r="H739" s="10">
        <f>AtlasReport_3_Table_1[[#This Row],[Current On-hand]]-AtlasReport_3_Table_1[[#This Row],[Trans backwords (Ending)]]</f>
        <v>0</v>
      </c>
    </row>
    <row r="740" spans="1:8" x14ac:dyDescent="0.25">
      <c r="A740" s="8" t="s">
        <v>544</v>
      </c>
      <c r="B740" s="8" t="s">
        <v>261</v>
      </c>
      <c r="C740" s="8" t="s">
        <v>264</v>
      </c>
      <c r="D740" s="10">
        <v>0</v>
      </c>
      <c r="E740" s="10">
        <f>_xll.AtlasFormulas.AtlasFunctions.AtlasBalance("PROD",DataAreaId,"T.InventTrans|inventDimId~inventDimId@T.InventDim","Sum|Qty|0","","","","","","","DateFinancial|ItemId|T2.InventSiteId|T2.InventLocationId",PeriodBeginning,$A740,$B740,$C740)</f>
        <v>0</v>
      </c>
      <c r="F740" s="10">
        <f>_xll.AtlasFormulas.AtlasFunctions.AtlasBalance("PROD",DataAreaId,"T.InventTrans|inventDimId~inventDimId@T.InventDim","Sum|Qty|0","","","","","","","DateFinancial|ItemId|T2.InventSiteId|T2.InventLocationId",PeriodEnding,$A740,$B740,$C740)</f>
        <v>0</v>
      </c>
      <c r="G740" s="10">
        <f>AtlasReport_3_Table_1[[#This Row],[Current On-hand]]-AtlasReport_3_Table_1[[#This Row],[Trans backwords (Beginning)]]</f>
        <v>0</v>
      </c>
      <c r="H740" s="10">
        <f>AtlasReport_3_Table_1[[#This Row],[Current On-hand]]-AtlasReport_3_Table_1[[#This Row],[Trans backwords (Ending)]]</f>
        <v>0</v>
      </c>
    </row>
    <row r="741" spans="1:8" x14ac:dyDescent="0.25">
      <c r="A741" s="8" t="s">
        <v>545</v>
      </c>
      <c r="B741" s="8" t="s">
        <v>261</v>
      </c>
      <c r="C741" s="8" t="s">
        <v>81</v>
      </c>
      <c r="D741" s="10">
        <v>0</v>
      </c>
      <c r="E741" s="10">
        <f>_xll.AtlasFormulas.AtlasFunctions.AtlasBalance("PROD",DataAreaId,"T.InventTrans|inventDimId~inventDimId@T.InventDim","Sum|Qty|0","","","","","","","DateFinancial|ItemId|T2.InventSiteId|T2.InventLocationId",PeriodBeginning,$A741,$B741,$C741)</f>
        <v>0</v>
      </c>
      <c r="F741" s="10">
        <f>_xll.AtlasFormulas.AtlasFunctions.AtlasBalance("PROD",DataAreaId,"T.InventTrans|inventDimId~inventDimId@T.InventDim","Sum|Qty|0","","","","","","","DateFinancial|ItemId|T2.InventSiteId|T2.InventLocationId",PeriodEnding,$A741,$B741,$C741)</f>
        <v>0</v>
      </c>
      <c r="G741" s="10">
        <f>AtlasReport_3_Table_1[[#This Row],[Current On-hand]]-AtlasReport_3_Table_1[[#This Row],[Trans backwords (Beginning)]]</f>
        <v>0</v>
      </c>
      <c r="H741" s="10">
        <f>AtlasReport_3_Table_1[[#This Row],[Current On-hand]]-AtlasReport_3_Table_1[[#This Row],[Trans backwords (Ending)]]</f>
        <v>0</v>
      </c>
    </row>
    <row r="742" spans="1:8" x14ac:dyDescent="0.25">
      <c r="A742" s="8" t="s">
        <v>545</v>
      </c>
      <c r="B742" s="8" t="s">
        <v>261</v>
      </c>
      <c r="C742" s="8" t="s">
        <v>264</v>
      </c>
      <c r="D742" s="10">
        <v>0</v>
      </c>
      <c r="E742" s="10">
        <f>_xll.AtlasFormulas.AtlasFunctions.AtlasBalance("PROD",DataAreaId,"T.InventTrans|inventDimId~inventDimId@T.InventDim","Sum|Qty|0","","","","","","","DateFinancial|ItemId|T2.InventSiteId|T2.InventLocationId",PeriodBeginning,$A742,$B742,$C742)</f>
        <v>0</v>
      </c>
      <c r="F742" s="10">
        <f>_xll.AtlasFormulas.AtlasFunctions.AtlasBalance("PROD",DataAreaId,"T.InventTrans|inventDimId~inventDimId@T.InventDim","Sum|Qty|0","","","","","","","DateFinancial|ItemId|T2.InventSiteId|T2.InventLocationId",PeriodEnding,$A742,$B742,$C742)</f>
        <v>0</v>
      </c>
      <c r="G742" s="10">
        <f>AtlasReport_3_Table_1[[#This Row],[Current On-hand]]-AtlasReport_3_Table_1[[#This Row],[Trans backwords (Beginning)]]</f>
        <v>0</v>
      </c>
      <c r="H742" s="10">
        <f>AtlasReport_3_Table_1[[#This Row],[Current On-hand]]-AtlasReport_3_Table_1[[#This Row],[Trans backwords (Ending)]]</f>
        <v>0</v>
      </c>
    </row>
    <row r="743" spans="1:8" x14ac:dyDescent="0.25">
      <c r="A743" s="8" t="s">
        <v>117</v>
      </c>
      <c r="B743" s="8" t="s">
        <v>261</v>
      </c>
      <c r="C743" s="8" t="s">
        <v>81</v>
      </c>
      <c r="D743" s="10">
        <v>0</v>
      </c>
      <c r="E743" s="10">
        <f>_xll.AtlasFormulas.AtlasFunctions.AtlasBalance("PROD",DataAreaId,"T.InventTrans|inventDimId~inventDimId@T.InventDim","Sum|Qty|0","","","","","","","DateFinancial|ItemId|T2.InventSiteId|T2.InventLocationId",PeriodBeginning,$A743,$B743,$C743)</f>
        <v>0</v>
      </c>
      <c r="F743" s="10">
        <f>_xll.AtlasFormulas.AtlasFunctions.AtlasBalance("PROD",DataAreaId,"T.InventTrans|inventDimId~inventDimId@T.InventDim","Sum|Qty|0","","","","","","","DateFinancial|ItemId|T2.InventSiteId|T2.InventLocationId",PeriodEnding,$A743,$B743,$C743)</f>
        <v>0</v>
      </c>
      <c r="G743" s="10">
        <f>AtlasReport_3_Table_1[[#This Row],[Current On-hand]]-AtlasReport_3_Table_1[[#This Row],[Trans backwords (Beginning)]]</f>
        <v>0</v>
      </c>
      <c r="H743" s="10">
        <f>AtlasReport_3_Table_1[[#This Row],[Current On-hand]]-AtlasReport_3_Table_1[[#This Row],[Trans backwords (Ending)]]</f>
        <v>0</v>
      </c>
    </row>
    <row r="744" spans="1:8" x14ac:dyDescent="0.25">
      <c r="A744" s="8" t="s">
        <v>117</v>
      </c>
      <c r="B744" s="8" t="s">
        <v>261</v>
      </c>
      <c r="C744" s="8" t="s">
        <v>289</v>
      </c>
      <c r="D744" s="10">
        <v>0</v>
      </c>
      <c r="E744" s="10">
        <f>_xll.AtlasFormulas.AtlasFunctions.AtlasBalance("PROD",DataAreaId,"T.InventTrans|inventDimId~inventDimId@T.InventDim","Sum|Qty|0","","","","","","","DateFinancial|ItemId|T2.InventSiteId|T2.InventLocationId",PeriodBeginning,$A744,$B744,$C744)</f>
        <v>0</v>
      </c>
      <c r="F744" s="10">
        <f>_xll.AtlasFormulas.AtlasFunctions.AtlasBalance("PROD",DataAreaId,"T.InventTrans|inventDimId~inventDimId@T.InventDim","Sum|Qty|0","","","","","","","DateFinancial|ItemId|T2.InventSiteId|T2.InventLocationId",PeriodEnding,$A744,$B744,$C744)</f>
        <v>0</v>
      </c>
      <c r="G744" s="10">
        <f>AtlasReport_3_Table_1[[#This Row],[Current On-hand]]-AtlasReport_3_Table_1[[#This Row],[Trans backwords (Beginning)]]</f>
        <v>0</v>
      </c>
      <c r="H744" s="10">
        <f>AtlasReport_3_Table_1[[#This Row],[Current On-hand]]-AtlasReport_3_Table_1[[#This Row],[Trans backwords (Ending)]]</f>
        <v>0</v>
      </c>
    </row>
    <row r="745" spans="1:8" x14ac:dyDescent="0.25">
      <c r="A745" s="8" t="s">
        <v>117</v>
      </c>
      <c r="B745" s="8" t="s">
        <v>261</v>
      </c>
      <c r="C745" s="8" t="s">
        <v>264</v>
      </c>
      <c r="D745" s="10">
        <v>0</v>
      </c>
      <c r="E745" s="10">
        <f>_xll.AtlasFormulas.AtlasFunctions.AtlasBalance("PROD",DataAreaId,"T.InventTrans|inventDimId~inventDimId@T.InventDim","Sum|Qty|0","","","","","","","DateFinancial|ItemId|T2.InventSiteId|T2.InventLocationId",PeriodBeginning,$A745,$B745,$C745)</f>
        <v>-2</v>
      </c>
      <c r="F745" s="10">
        <f>_xll.AtlasFormulas.AtlasFunctions.AtlasBalance("PROD",DataAreaId,"T.InventTrans|inventDimId~inventDimId@T.InventDim","Sum|Qty|0","","","","","","","DateFinancial|ItemId|T2.InventSiteId|T2.InventLocationId",PeriodEnding,$A745,$B745,$C745)</f>
        <v>0</v>
      </c>
      <c r="G745" s="10">
        <f>AtlasReport_3_Table_1[[#This Row],[Current On-hand]]-AtlasReport_3_Table_1[[#This Row],[Trans backwords (Beginning)]]</f>
        <v>2</v>
      </c>
      <c r="H745" s="10">
        <f>AtlasReport_3_Table_1[[#This Row],[Current On-hand]]-AtlasReport_3_Table_1[[#This Row],[Trans backwords (Ending)]]</f>
        <v>0</v>
      </c>
    </row>
    <row r="746" spans="1:8" x14ac:dyDescent="0.25">
      <c r="A746" s="8" t="s">
        <v>117</v>
      </c>
      <c r="B746" s="8" t="s">
        <v>261</v>
      </c>
      <c r="C746" s="8" t="s">
        <v>265</v>
      </c>
      <c r="D746" s="10">
        <v>0</v>
      </c>
      <c r="E746" s="10">
        <f>_xll.AtlasFormulas.AtlasFunctions.AtlasBalance("PROD",DataAreaId,"T.InventTrans|inventDimId~inventDimId@T.InventDim","Sum|Qty|0","","","","","","","DateFinancial|ItemId|T2.InventSiteId|T2.InventLocationId",PeriodBeginning,$A746,$B746,$C746)</f>
        <v>0</v>
      </c>
      <c r="F746" s="10">
        <f>_xll.AtlasFormulas.AtlasFunctions.AtlasBalance("PROD",DataAreaId,"T.InventTrans|inventDimId~inventDimId@T.InventDim","Sum|Qty|0","","","","","","","DateFinancial|ItemId|T2.InventSiteId|T2.InventLocationId",PeriodEnding,$A746,$B746,$C746)</f>
        <v>0</v>
      </c>
      <c r="G746" s="10">
        <f>AtlasReport_3_Table_1[[#This Row],[Current On-hand]]-AtlasReport_3_Table_1[[#This Row],[Trans backwords (Beginning)]]</f>
        <v>0</v>
      </c>
      <c r="H746" s="10">
        <f>AtlasReport_3_Table_1[[#This Row],[Current On-hand]]-AtlasReport_3_Table_1[[#This Row],[Trans backwords (Ending)]]</f>
        <v>0</v>
      </c>
    </row>
    <row r="747" spans="1:8" x14ac:dyDescent="0.25">
      <c r="A747" s="8" t="s">
        <v>244</v>
      </c>
      <c r="B747" s="8" t="s">
        <v>261</v>
      </c>
      <c r="C747" s="8" t="s">
        <v>81</v>
      </c>
      <c r="D747" s="10">
        <v>0</v>
      </c>
      <c r="E747" s="10">
        <f>_xll.AtlasFormulas.AtlasFunctions.AtlasBalance("PROD",DataAreaId,"T.InventTrans|inventDimId~inventDimId@T.InventDim","Sum|Qty|0","","","","","","","DateFinancial|ItemId|T2.InventSiteId|T2.InventLocationId",PeriodBeginning,$A747,$B747,$C747)</f>
        <v>0</v>
      </c>
      <c r="F747" s="10">
        <f>_xll.AtlasFormulas.AtlasFunctions.AtlasBalance("PROD",DataAreaId,"T.InventTrans|inventDimId~inventDimId@T.InventDim","Sum|Qty|0","","","","","","","DateFinancial|ItemId|T2.InventSiteId|T2.InventLocationId",PeriodEnding,$A747,$B747,$C747)</f>
        <v>0</v>
      </c>
      <c r="G747" s="10">
        <f>AtlasReport_3_Table_1[[#This Row],[Current On-hand]]-AtlasReport_3_Table_1[[#This Row],[Trans backwords (Beginning)]]</f>
        <v>0</v>
      </c>
      <c r="H747" s="10">
        <f>AtlasReport_3_Table_1[[#This Row],[Current On-hand]]-AtlasReport_3_Table_1[[#This Row],[Trans backwords (Ending)]]</f>
        <v>0</v>
      </c>
    </row>
    <row r="748" spans="1:8" x14ac:dyDescent="0.25">
      <c r="A748" s="8" t="s">
        <v>244</v>
      </c>
      <c r="B748" s="8" t="s">
        <v>261</v>
      </c>
      <c r="C748" s="8" t="s">
        <v>264</v>
      </c>
      <c r="D748" s="10">
        <v>70</v>
      </c>
      <c r="E748" s="10">
        <f>_xll.AtlasFormulas.AtlasFunctions.AtlasBalance("PROD",DataAreaId,"T.InventTrans|inventDimId~inventDimId@T.InventDim","Sum|Qty|0","","","","","","","DateFinancial|ItemId|T2.InventSiteId|T2.InventLocationId",PeriodBeginning,$A748,$B748,$C748)</f>
        <v>0</v>
      </c>
      <c r="F748" s="10">
        <f>_xll.AtlasFormulas.AtlasFunctions.AtlasBalance("PROD",DataAreaId,"T.InventTrans|inventDimId~inventDimId@T.InventDim","Sum|Qty|0","","","","","","","DateFinancial|ItemId|T2.InventSiteId|T2.InventLocationId",PeriodEnding,$A748,$B748,$C748)</f>
        <v>0</v>
      </c>
      <c r="G748" s="10">
        <f>AtlasReport_3_Table_1[[#This Row],[Current On-hand]]-AtlasReport_3_Table_1[[#This Row],[Trans backwords (Beginning)]]</f>
        <v>70</v>
      </c>
      <c r="H748" s="10">
        <f>AtlasReport_3_Table_1[[#This Row],[Current On-hand]]-AtlasReport_3_Table_1[[#This Row],[Trans backwords (Ending)]]</f>
        <v>70</v>
      </c>
    </row>
    <row r="749" spans="1:8" x14ac:dyDescent="0.25">
      <c r="A749" s="8" t="s">
        <v>546</v>
      </c>
      <c r="B749" s="8" t="s">
        <v>261</v>
      </c>
      <c r="C749" s="8" t="s">
        <v>81</v>
      </c>
      <c r="D749" s="10">
        <v>0</v>
      </c>
      <c r="E749" s="10">
        <f>_xll.AtlasFormulas.AtlasFunctions.AtlasBalance("PROD",DataAreaId,"T.InventTrans|inventDimId~inventDimId@T.InventDim","Sum|Qty|0","","","","","","","DateFinancial|ItemId|T2.InventSiteId|T2.InventLocationId",PeriodBeginning,$A749,$B749,$C749)</f>
        <v>0</v>
      </c>
      <c r="F749" s="10">
        <f>_xll.AtlasFormulas.AtlasFunctions.AtlasBalance("PROD",DataAreaId,"T.InventTrans|inventDimId~inventDimId@T.InventDim","Sum|Qty|0","","","","","","","DateFinancial|ItemId|T2.InventSiteId|T2.InventLocationId",PeriodEnding,$A749,$B749,$C749)</f>
        <v>0</v>
      </c>
      <c r="G749" s="10">
        <f>AtlasReport_3_Table_1[[#This Row],[Current On-hand]]-AtlasReport_3_Table_1[[#This Row],[Trans backwords (Beginning)]]</f>
        <v>0</v>
      </c>
      <c r="H749" s="10">
        <f>AtlasReport_3_Table_1[[#This Row],[Current On-hand]]-AtlasReport_3_Table_1[[#This Row],[Trans backwords (Ending)]]</f>
        <v>0</v>
      </c>
    </row>
    <row r="750" spans="1:8" x14ac:dyDescent="0.25">
      <c r="A750" s="8" t="s">
        <v>546</v>
      </c>
      <c r="B750" s="8" t="s">
        <v>261</v>
      </c>
      <c r="C750" s="8" t="s">
        <v>262</v>
      </c>
      <c r="D750" s="10">
        <v>0</v>
      </c>
      <c r="E750" s="10">
        <f>_xll.AtlasFormulas.AtlasFunctions.AtlasBalance("PROD",DataAreaId,"T.InventTrans|inventDimId~inventDimId@T.InventDim","Sum|Qty|0","","","","","","","DateFinancial|ItemId|T2.InventSiteId|T2.InventLocationId",PeriodBeginning,$A750,$B750,$C750)</f>
        <v>0</v>
      </c>
      <c r="F750" s="10">
        <f>_xll.AtlasFormulas.AtlasFunctions.AtlasBalance("PROD",DataAreaId,"T.InventTrans|inventDimId~inventDimId@T.InventDim","Sum|Qty|0","","","","","","","DateFinancial|ItemId|T2.InventSiteId|T2.InventLocationId",PeriodEnding,$A750,$B750,$C750)</f>
        <v>0</v>
      </c>
      <c r="G750" s="10">
        <f>AtlasReport_3_Table_1[[#This Row],[Current On-hand]]-AtlasReport_3_Table_1[[#This Row],[Trans backwords (Beginning)]]</f>
        <v>0</v>
      </c>
      <c r="H750" s="10">
        <f>AtlasReport_3_Table_1[[#This Row],[Current On-hand]]-AtlasReport_3_Table_1[[#This Row],[Trans backwords (Ending)]]</f>
        <v>0</v>
      </c>
    </row>
    <row r="751" spans="1:8" x14ac:dyDescent="0.25">
      <c r="A751" s="8" t="s">
        <v>546</v>
      </c>
      <c r="B751" s="8" t="s">
        <v>261</v>
      </c>
      <c r="C751" s="8" t="s">
        <v>264</v>
      </c>
      <c r="D751" s="10">
        <v>70</v>
      </c>
      <c r="E751" s="10">
        <f>_xll.AtlasFormulas.AtlasFunctions.AtlasBalance("PROD",DataAreaId,"T.InventTrans|inventDimId~inventDimId@T.InventDim","Sum|Qty|0","","","","","","","DateFinancial|ItemId|T2.InventSiteId|T2.InventLocationId",PeriodBeginning,$A751,$B751,$C751)</f>
        <v>6</v>
      </c>
      <c r="F751" s="10">
        <f>_xll.AtlasFormulas.AtlasFunctions.AtlasBalance("PROD",DataAreaId,"T.InventTrans|inventDimId~inventDimId@T.InventDim","Sum|Qty|0","","","","","","","DateFinancial|ItemId|T2.InventSiteId|T2.InventLocationId",PeriodEnding,$A751,$B751,$C751)</f>
        <v>0</v>
      </c>
      <c r="G751" s="10">
        <f>AtlasReport_3_Table_1[[#This Row],[Current On-hand]]-AtlasReport_3_Table_1[[#This Row],[Trans backwords (Beginning)]]</f>
        <v>64</v>
      </c>
      <c r="H751" s="10">
        <f>AtlasReport_3_Table_1[[#This Row],[Current On-hand]]-AtlasReport_3_Table_1[[#This Row],[Trans backwords (Ending)]]</f>
        <v>70</v>
      </c>
    </row>
    <row r="752" spans="1:8" x14ac:dyDescent="0.25">
      <c r="A752" s="8" t="s">
        <v>547</v>
      </c>
      <c r="B752" s="8" t="s">
        <v>261</v>
      </c>
      <c r="C752" s="8" t="s">
        <v>81</v>
      </c>
      <c r="D752" s="10">
        <v>0</v>
      </c>
      <c r="E752" s="10">
        <f>_xll.AtlasFormulas.AtlasFunctions.AtlasBalance("PROD",DataAreaId,"T.InventTrans|inventDimId~inventDimId@T.InventDim","Sum|Qty|0","","","","","","","DateFinancial|ItemId|T2.InventSiteId|T2.InventLocationId",PeriodBeginning,$A752,$B752,$C752)</f>
        <v>0</v>
      </c>
      <c r="F752" s="10">
        <f>_xll.AtlasFormulas.AtlasFunctions.AtlasBalance("PROD",DataAreaId,"T.InventTrans|inventDimId~inventDimId@T.InventDim","Sum|Qty|0","","","","","","","DateFinancial|ItemId|T2.InventSiteId|T2.InventLocationId",PeriodEnding,$A752,$B752,$C752)</f>
        <v>0</v>
      </c>
      <c r="G752" s="10">
        <f>AtlasReport_3_Table_1[[#This Row],[Current On-hand]]-AtlasReport_3_Table_1[[#This Row],[Trans backwords (Beginning)]]</f>
        <v>0</v>
      </c>
      <c r="H752" s="10">
        <f>AtlasReport_3_Table_1[[#This Row],[Current On-hand]]-AtlasReport_3_Table_1[[#This Row],[Trans backwords (Ending)]]</f>
        <v>0</v>
      </c>
    </row>
    <row r="753" spans="1:8" x14ac:dyDescent="0.25">
      <c r="A753" s="8" t="s">
        <v>547</v>
      </c>
      <c r="B753" s="8" t="s">
        <v>261</v>
      </c>
      <c r="C753" s="8" t="s">
        <v>264</v>
      </c>
      <c r="D753" s="10">
        <v>0</v>
      </c>
      <c r="E753" s="10">
        <f>_xll.AtlasFormulas.AtlasFunctions.AtlasBalance("PROD",DataAreaId,"T.InventTrans|inventDimId~inventDimId@T.InventDim","Sum|Qty|0","","","","","","","DateFinancial|ItemId|T2.InventSiteId|T2.InventLocationId",PeriodBeginning,$A753,$B753,$C753)</f>
        <v>0</v>
      </c>
      <c r="F753" s="10">
        <f>_xll.AtlasFormulas.AtlasFunctions.AtlasBalance("PROD",DataAreaId,"T.InventTrans|inventDimId~inventDimId@T.InventDim","Sum|Qty|0","","","","","","","DateFinancial|ItemId|T2.InventSiteId|T2.InventLocationId",PeriodEnding,$A753,$B753,$C753)</f>
        <v>0</v>
      </c>
      <c r="G753" s="10">
        <f>AtlasReport_3_Table_1[[#This Row],[Current On-hand]]-AtlasReport_3_Table_1[[#This Row],[Trans backwords (Beginning)]]</f>
        <v>0</v>
      </c>
      <c r="H753" s="10">
        <f>AtlasReport_3_Table_1[[#This Row],[Current On-hand]]-AtlasReport_3_Table_1[[#This Row],[Trans backwords (Ending)]]</f>
        <v>0</v>
      </c>
    </row>
    <row r="754" spans="1:8" x14ac:dyDescent="0.25">
      <c r="A754" s="8" t="s">
        <v>548</v>
      </c>
      <c r="B754" s="8" t="s">
        <v>261</v>
      </c>
      <c r="C754" s="8" t="s">
        <v>81</v>
      </c>
      <c r="D754" s="10">
        <v>0</v>
      </c>
      <c r="E754" s="10">
        <f>_xll.AtlasFormulas.AtlasFunctions.AtlasBalance("PROD",DataAreaId,"T.InventTrans|inventDimId~inventDimId@T.InventDim","Sum|Qty|0","","","","","","","DateFinancial|ItemId|T2.InventSiteId|T2.InventLocationId",PeriodBeginning,$A754,$B754,$C754)</f>
        <v>0</v>
      </c>
      <c r="F754" s="10">
        <f>_xll.AtlasFormulas.AtlasFunctions.AtlasBalance("PROD",DataAreaId,"T.InventTrans|inventDimId~inventDimId@T.InventDim","Sum|Qty|0","","","","","","","DateFinancial|ItemId|T2.InventSiteId|T2.InventLocationId",PeriodEnding,$A754,$B754,$C754)</f>
        <v>0</v>
      </c>
      <c r="G754" s="10">
        <f>AtlasReport_3_Table_1[[#This Row],[Current On-hand]]-AtlasReport_3_Table_1[[#This Row],[Trans backwords (Beginning)]]</f>
        <v>0</v>
      </c>
      <c r="H754" s="10">
        <f>AtlasReport_3_Table_1[[#This Row],[Current On-hand]]-AtlasReport_3_Table_1[[#This Row],[Trans backwords (Ending)]]</f>
        <v>0</v>
      </c>
    </row>
    <row r="755" spans="1:8" x14ac:dyDescent="0.25">
      <c r="A755" s="8" t="s">
        <v>548</v>
      </c>
      <c r="B755" s="8" t="s">
        <v>261</v>
      </c>
      <c r="C755" s="8" t="s">
        <v>264</v>
      </c>
      <c r="D755" s="10">
        <v>0</v>
      </c>
      <c r="E755" s="10">
        <f>_xll.AtlasFormulas.AtlasFunctions.AtlasBalance("PROD",DataAreaId,"T.InventTrans|inventDimId~inventDimId@T.InventDim","Sum|Qty|0","","","","","","","DateFinancial|ItemId|T2.InventSiteId|T2.InventLocationId",PeriodBeginning,$A755,$B755,$C755)</f>
        <v>0</v>
      </c>
      <c r="F755" s="10">
        <f>_xll.AtlasFormulas.AtlasFunctions.AtlasBalance("PROD",DataAreaId,"T.InventTrans|inventDimId~inventDimId@T.InventDim","Sum|Qty|0","","","","","","","DateFinancial|ItemId|T2.InventSiteId|T2.InventLocationId",PeriodEnding,$A755,$B755,$C755)</f>
        <v>0</v>
      </c>
      <c r="G755" s="10">
        <f>AtlasReport_3_Table_1[[#This Row],[Current On-hand]]-AtlasReport_3_Table_1[[#This Row],[Trans backwords (Beginning)]]</f>
        <v>0</v>
      </c>
      <c r="H755" s="10">
        <f>AtlasReport_3_Table_1[[#This Row],[Current On-hand]]-AtlasReport_3_Table_1[[#This Row],[Trans backwords (Ending)]]</f>
        <v>0</v>
      </c>
    </row>
    <row r="756" spans="1:8" x14ac:dyDescent="0.25">
      <c r="A756" s="8" t="s">
        <v>549</v>
      </c>
      <c r="B756" s="8" t="s">
        <v>261</v>
      </c>
      <c r="C756" s="8" t="s">
        <v>81</v>
      </c>
      <c r="D756" s="10">
        <v>0</v>
      </c>
      <c r="E756" s="10">
        <f>_xll.AtlasFormulas.AtlasFunctions.AtlasBalance("PROD",DataAreaId,"T.InventTrans|inventDimId~inventDimId@T.InventDim","Sum|Qty|0","","","","","","","DateFinancial|ItemId|T2.InventSiteId|T2.InventLocationId",PeriodBeginning,$A756,$B756,$C756)</f>
        <v>0</v>
      </c>
      <c r="F756" s="10">
        <f>_xll.AtlasFormulas.AtlasFunctions.AtlasBalance("PROD",DataAreaId,"T.InventTrans|inventDimId~inventDimId@T.InventDim","Sum|Qty|0","","","","","","","DateFinancial|ItemId|T2.InventSiteId|T2.InventLocationId",PeriodEnding,$A756,$B756,$C756)</f>
        <v>0</v>
      </c>
      <c r="G756" s="10">
        <f>AtlasReport_3_Table_1[[#This Row],[Current On-hand]]-AtlasReport_3_Table_1[[#This Row],[Trans backwords (Beginning)]]</f>
        <v>0</v>
      </c>
      <c r="H756" s="10">
        <f>AtlasReport_3_Table_1[[#This Row],[Current On-hand]]-AtlasReport_3_Table_1[[#This Row],[Trans backwords (Ending)]]</f>
        <v>0</v>
      </c>
    </row>
    <row r="757" spans="1:8" x14ac:dyDescent="0.25">
      <c r="A757" s="8" t="s">
        <v>549</v>
      </c>
      <c r="B757" s="8" t="s">
        <v>261</v>
      </c>
      <c r="C757" s="8" t="s">
        <v>264</v>
      </c>
      <c r="D757" s="10">
        <v>0</v>
      </c>
      <c r="E757" s="10">
        <f>_xll.AtlasFormulas.AtlasFunctions.AtlasBalance("PROD",DataAreaId,"T.InventTrans|inventDimId~inventDimId@T.InventDim","Sum|Qty|0","","","","","","","DateFinancial|ItemId|T2.InventSiteId|T2.InventLocationId",PeriodBeginning,$A757,$B757,$C757)</f>
        <v>0</v>
      </c>
      <c r="F757" s="10">
        <f>_xll.AtlasFormulas.AtlasFunctions.AtlasBalance("PROD",DataAreaId,"T.InventTrans|inventDimId~inventDimId@T.InventDim","Sum|Qty|0","","","","","","","DateFinancial|ItemId|T2.InventSiteId|T2.InventLocationId",PeriodEnding,$A757,$B757,$C757)</f>
        <v>0</v>
      </c>
      <c r="G757" s="10">
        <f>AtlasReport_3_Table_1[[#This Row],[Current On-hand]]-AtlasReport_3_Table_1[[#This Row],[Trans backwords (Beginning)]]</f>
        <v>0</v>
      </c>
      <c r="H757" s="10">
        <f>AtlasReport_3_Table_1[[#This Row],[Current On-hand]]-AtlasReport_3_Table_1[[#This Row],[Trans backwords (Ending)]]</f>
        <v>0</v>
      </c>
    </row>
    <row r="758" spans="1:8" x14ac:dyDescent="0.25">
      <c r="A758" s="8" t="s">
        <v>550</v>
      </c>
      <c r="B758" s="8" t="s">
        <v>261</v>
      </c>
      <c r="C758" s="8" t="s">
        <v>81</v>
      </c>
      <c r="D758" s="10">
        <v>0</v>
      </c>
      <c r="E758" s="10">
        <f>_xll.AtlasFormulas.AtlasFunctions.AtlasBalance("PROD",DataAreaId,"T.InventTrans|inventDimId~inventDimId@T.InventDim","Sum|Qty|0","","","","","","","DateFinancial|ItemId|T2.InventSiteId|T2.InventLocationId",PeriodBeginning,$A758,$B758,$C758)</f>
        <v>0</v>
      </c>
      <c r="F758" s="10">
        <f>_xll.AtlasFormulas.AtlasFunctions.AtlasBalance("PROD",DataAreaId,"T.InventTrans|inventDimId~inventDimId@T.InventDim","Sum|Qty|0","","","","","","","DateFinancial|ItemId|T2.InventSiteId|T2.InventLocationId",PeriodEnding,$A758,$B758,$C758)</f>
        <v>0</v>
      </c>
      <c r="G758" s="10">
        <f>AtlasReport_3_Table_1[[#This Row],[Current On-hand]]-AtlasReport_3_Table_1[[#This Row],[Trans backwords (Beginning)]]</f>
        <v>0</v>
      </c>
      <c r="H758" s="10">
        <f>AtlasReport_3_Table_1[[#This Row],[Current On-hand]]-AtlasReport_3_Table_1[[#This Row],[Trans backwords (Ending)]]</f>
        <v>0</v>
      </c>
    </row>
    <row r="759" spans="1:8" x14ac:dyDescent="0.25">
      <c r="A759" s="8" t="s">
        <v>550</v>
      </c>
      <c r="B759" s="8" t="s">
        <v>261</v>
      </c>
      <c r="C759" s="8" t="s">
        <v>264</v>
      </c>
      <c r="D759" s="10">
        <v>43</v>
      </c>
      <c r="E759" s="10">
        <f>_xll.AtlasFormulas.AtlasFunctions.AtlasBalance("PROD",DataAreaId,"T.InventTrans|inventDimId~inventDimId@T.InventDim","Sum|Qty|0","","","","","","","DateFinancial|ItemId|T2.InventSiteId|T2.InventLocationId",PeriodBeginning,$A759,$B759,$C759)</f>
        <v>-12</v>
      </c>
      <c r="F759" s="10">
        <f>_xll.AtlasFormulas.AtlasFunctions.AtlasBalance("PROD",DataAreaId,"T.InventTrans|inventDimId~inventDimId@T.InventDim","Sum|Qty|0","","","","","","","DateFinancial|ItemId|T2.InventSiteId|T2.InventLocationId",PeriodEnding,$A759,$B759,$C759)</f>
        <v>0</v>
      </c>
      <c r="G759" s="10">
        <f>AtlasReport_3_Table_1[[#This Row],[Current On-hand]]-AtlasReport_3_Table_1[[#This Row],[Trans backwords (Beginning)]]</f>
        <v>55</v>
      </c>
      <c r="H759" s="10">
        <f>AtlasReport_3_Table_1[[#This Row],[Current On-hand]]-AtlasReport_3_Table_1[[#This Row],[Trans backwords (Ending)]]</f>
        <v>43</v>
      </c>
    </row>
    <row r="760" spans="1:8" x14ac:dyDescent="0.25">
      <c r="A760" s="8" t="s">
        <v>551</v>
      </c>
      <c r="B760" s="8" t="s">
        <v>261</v>
      </c>
      <c r="C760" s="8" t="s">
        <v>81</v>
      </c>
      <c r="D760" s="10">
        <v>0</v>
      </c>
      <c r="E760" s="10">
        <f>_xll.AtlasFormulas.AtlasFunctions.AtlasBalance("PROD",DataAreaId,"T.InventTrans|inventDimId~inventDimId@T.InventDim","Sum|Qty|0","","","","","","","DateFinancial|ItemId|T2.InventSiteId|T2.InventLocationId",PeriodBeginning,$A760,$B760,$C760)</f>
        <v>0</v>
      </c>
      <c r="F760" s="10">
        <f>_xll.AtlasFormulas.AtlasFunctions.AtlasBalance("PROD",DataAreaId,"T.InventTrans|inventDimId~inventDimId@T.InventDim","Sum|Qty|0","","","","","","","DateFinancial|ItemId|T2.InventSiteId|T2.InventLocationId",PeriodEnding,$A760,$B760,$C760)</f>
        <v>0</v>
      </c>
      <c r="G760" s="10">
        <f>AtlasReport_3_Table_1[[#This Row],[Current On-hand]]-AtlasReport_3_Table_1[[#This Row],[Trans backwords (Beginning)]]</f>
        <v>0</v>
      </c>
      <c r="H760" s="10">
        <f>AtlasReport_3_Table_1[[#This Row],[Current On-hand]]-AtlasReport_3_Table_1[[#This Row],[Trans backwords (Ending)]]</f>
        <v>0</v>
      </c>
    </row>
    <row r="761" spans="1:8" x14ac:dyDescent="0.25">
      <c r="A761" s="8" t="s">
        <v>551</v>
      </c>
      <c r="B761" s="8" t="s">
        <v>261</v>
      </c>
      <c r="C761" s="8" t="s">
        <v>289</v>
      </c>
      <c r="D761" s="10">
        <v>1</v>
      </c>
      <c r="E761" s="10">
        <f>_xll.AtlasFormulas.AtlasFunctions.AtlasBalance("PROD",DataAreaId,"T.InventTrans|inventDimId~inventDimId@T.InventDim","Sum|Qty|0","","","","","","","DateFinancial|ItemId|T2.InventSiteId|T2.InventLocationId",PeriodBeginning,$A761,$B761,$C761)</f>
        <v>0</v>
      </c>
      <c r="F761" s="10">
        <f>_xll.AtlasFormulas.AtlasFunctions.AtlasBalance("PROD",DataAreaId,"T.InventTrans|inventDimId~inventDimId@T.InventDim","Sum|Qty|0","","","","","","","DateFinancial|ItemId|T2.InventSiteId|T2.InventLocationId",PeriodEnding,$A761,$B761,$C761)</f>
        <v>0</v>
      </c>
      <c r="G761" s="10">
        <f>AtlasReport_3_Table_1[[#This Row],[Current On-hand]]-AtlasReport_3_Table_1[[#This Row],[Trans backwords (Beginning)]]</f>
        <v>1</v>
      </c>
      <c r="H761" s="10">
        <f>AtlasReport_3_Table_1[[#This Row],[Current On-hand]]-AtlasReport_3_Table_1[[#This Row],[Trans backwords (Ending)]]</f>
        <v>1</v>
      </c>
    </row>
    <row r="762" spans="1:8" x14ac:dyDescent="0.25">
      <c r="A762" s="8" t="s">
        <v>551</v>
      </c>
      <c r="B762" s="8" t="s">
        <v>261</v>
      </c>
      <c r="C762" s="8" t="s">
        <v>305</v>
      </c>
      <c r="D762" s="10">
        <v>0</v>
      </c>
      <c r="E762" s="10">
        <f>_xll.AtlasFormulas.AtlasFunctions.AtlasBalance("PROD",DataAreaId,"T.InventTrans|inventDimId~inventDimId@T.InventDim","Sum|Qty|0","","","","","","","DateFinancial|ItemId|T2.InventSiteId|T2.InventLocationId",PeriodBeginning,$A762,$B762,$C762)</f>
        <v>0</v>
      </c>
      <c r="F762" s="10">
        <f>_xll.AtlasFormulas.AtlasFunctions.AtlasBalance("PROD",DataAreaId,"T.InventTrans|inventDimId~inventDimId@T.InventDim","Sum|Qty|0","","","","","","","DateFinancial|ItemId|T2.InventSiteId|T2.InventLocationId",PeriodEnding,$A762,$B762,$C762)</f>
        <v>0</v>
      </c>
      <c r="G762" s="10">
        <f>AtlasReport_3_Table_1[[#This Row],[Current On-hand]]-AtlasReport_3_Table_1[[#This Row],[Trans backwords (Beginning)]]</f>
        <v>0</v>
      </c>
      <c r="H762" s="10">
        <f>AtlasReport_3_Table_1[[#This Row],[Current On-hand]]-AtlasReport_3_Table_1[[#This Row],[Trans backwords (Ending)]]</f>
        <v>0</v>
      </c>
    </row>
    <row r="763" spans="1:8" x14ac:dyDescent="0.25">
      <c r="A763" s="8" t="s">
        <v>551</v>
      </c>
      <c r="B763" s="8" t="s">
        <v>261</v>
      </c>
      <c r="C763" s="8" t="s">
        <v>262</v>
      </c>
      <c r="D763" s="10">
        <v>0</v>
      </c>
      <c r="E763" s="10">
        <f>_xll.AtlasFormulas.AtlasFunctions.AtlasBalance("PROD",DataAreaId,"T.InventTrans|inventDimId~inventDimId@T.InventDim","Sum|Qty|0","","","","","","","DateFinancial|ItemId|T2.InventSiteId|T2.InventLocationId",PeriodBeginning,$A763,$B763,$C763)</f>
        <v>0</v>
      </c>
      <c r="F763" s="10">
        <f>_xll.AtlasFormulas.AtlasFunctions.AtlasBalance("PROD",DataAreaId,"T.InventTrans|inventDimId~inventDimId@T.InventDim","Sum|Qty|0","","","","","","","DateFinancial|ItemId|T2.InventSiteId|T2.InventLocationId",PeriodEnding,$A763,$B763,$C763)</f>
        <v>0</v>
      </c>
      <c r="G763" s="10">
        <f>AtlasReport_3_Table_1[[#This Row],[Current On-hand]]-AtlasReport_3_Table_1[[#This Row],[Trans backwords (Beginning)]]</f>
        <v>0</v>
      </c>
      <c r="H763" s="10">
        <f>AtlasReport_3_Table_1[[#This Row],[Current On-hand]]-AtlasReport_3_Table_1[[#This Row],[Trans backwords (Ending)]]</f>
        <v>0</v>
      </c>
    </row>
    <row r="764" spans="1:8" x14ac:dyDescent="0.25">
      <c r="A764" s="8" t="s">
        <v>551</v>
      </c>
      <c r="B764" s="8" t="s">
        <v>261</v>
      </c>
      <c r="C764" s="8" t="s">
        <v>264</v>
      </c>
      <c r="D764" s="10">
        <v>29</v>
      </c>
      <c r="E764" s="10">
        <f>_xll.AtlasFormulas.AtlasFunctions.AtlasBalance("PROD",DataAreaId,"T.InventTrans|inventDimId~inventDimId@T.InventDim","Sum|Qty|0","","","","","","","DateFinancial|ItemId|T2.InventSiteId|T2.InventLocationId",PeriodBeginning,$A764,$B764,$C764)</f>
        <v>-11</v>
      </c>
      <c r="F764" s="10">
        <f>_xll.AtlasFormulas.AtlasFunctions.AtlasBalance("PROD",DataAreaId,"T.InventTrans|inventDimId~inventDimId@T.InventDim","Sum|Qty|0","","","","","","","DateFinancial|ItemId|T2.InventSiteId|T2.InventLocationId",PeriodEnding,$A764,$B764,$C764)</f>
        <v>0</v>
      </c>
      <c r="G764" s="10">
        <f>AtlasReport_3_Table_1[[#This Row],[Current On-hand]]-AtlasReport_3_Table_1[[#This Row],[Trans backwords (Beginning)]]</f>
        <v>40</v>
      </c>
      <c r="H764" s="10">
        <f>AtlasReport_3_Table_1[[#This Row],[Current On-hand]]-AtlasReport_3_Table_1[[#This Row],[Trans backwords (Ending)]]</f>
        <v>29</v>
      </c>
    </row>
    <row r="765" spans="1:8" x14ac:dyDescent="0.25">
      <c r="A765" s="8" t="s">
        <v>105</v>
      </c>
      <c r="B765" s="8" t="s">
        <v>261</v>
      </c>
      <c r="C765" s="8" t="s">
        <v>81</v>
      </c>
      <c r="D765" s="10">
        <v>0</v>
      </c>
      <c r="E765" s="10">
        <f>_xll.AtlasFormulas.AtlasFunctions.AtlasBalance("PROD",DataAreaId,"T.InventTrans|inventDimId~inventDimId@T.InventDim","Sum|Qty|0","","","","","","","DateFinancial|ItemId|T2.InventSiteId|T2.InventLocationId",PeriodBeginning,$A765,$B765,$C765)</f>
        <v>0</v>
      </c>
      <c r="F765" s="10">
        <f>_xll.AtlasFormulas.AtlasFunctions.AtlasBalance("PROD",DataAreaId,"T.InventTrans|inventDimId~inventDimId@T.InventDim","Sum|Qty|0","","","","","","","DateFinancial|ItemId|T2.InventSiteId|T2.InventLocationId",PeriodEnding,$A765,$B765,$C765)</f>
        <v>0</v>
      </c>
      <c r="G765" s="10">
        <f>AtlasReport_3_Table_1[[#This Row],[Current On-hand]]-AtlasReport_3_Table_1[[#This Row],[Trans backwords (Beginning)]]</f>
        <v>0</v>
      </c>
      <c r="H765" s="10">
        <f>AtlasReport_3_Table_1[[#This Row],[Current On-hand]]-AtlasReport_3_Table_1[[#This Row],[Trans backwords (Ending)]]</f>
        <v>0</v>
      </c>
    </row>
    <row r="766" spans="1:8" x14ac:dyDescent="0.25">
      <c r="A766" s="8" t="s">
        <v>105</v>
      </c>
      <c r="B766" s="8" t="s">
        <v>261</v>
      </c>
      <c r="C766" s="8" t="s">
        <v>289</v>
      </c>
      <c r="D766" s="10">
        <v>1</v>
      </c>
      <c r="E766" s="10">
        <f>_xll.AtlasFormulas.AtlasFunctions.AtlasBalance("PROD",DataAreaId,"T.InventTrans|inventDimId~inventDimId@T.InventDim","Sum|Qty|0","","","","","","","DateFinancial|ItemId|T2.InventSiteId|T2.InventLocationId",PeriodBeginning,$A766,$B766,$C766)</f>
        <v>0</v>
      </c>
      <c r="F766" s="10">
        <f>_xll.AtlasFormulas.AtlasFunctions.AtlasBalance("PROD",DataAreaId,"T.InventTrans|inventDimId~inventDimId@T.InventDim","Sum|Qty|0","","","","","","","DateFinancial|ItemId|T2.InventSiteId|T2.InventLocationId",PeriodEnding,$A766,$B766,$C766)</f>
        <v>0</v>
      </c>
      <c r="G766" s="10">
        <f>AtlasReport_3_Table_1[[#This Row],[Current On-hand]]-AtlasReport_3_Table_1[[#This Row],[Trans backwords (Beginning)]]</f>
        <v>1</v>
      </c>
      <c r="H766" s="10">
        <f>AtlasReport_3_Table_1[[#This Row],[Current On-hand]]-AtlasReport_3_Table_1[[#This Row],[Trans backwords (Ending)]]</f>
        <v>1</v>
      </c>
    </row>
    <row r="767" spans="1:8" x14ac:dyDescent="0.25">
      <c r="A767" s="8" t="s">
        <v>105</v>
      </c>
      <c r="B767" s="8" t="s">
        <v>261</v>
      </c>
      <c r="C767" s="8" t="s">
        <v>264</v>
      </c>
      <c r="D767" s="10">
        <v>23</v>
      </c>
      <c r="E767" s="10">
        <f>_xll.AtlasFormulas.AtlasFunctions.AtlasBalance("PROD",DataAreaId,"T.InventTrans|inventDimId~inventDimId@T.InventDim","Sum|Qty|0","","","","","","","DateFinancial|ItemId|T2.InventSiteId|T2.InventLocationId",PeriodBeginning,$A767,$B767,$C767)</f>
        <v>-16</v>
      </c>
      <c r="F767" s="10">
        <f>_xll.AtlasFormulas.AtlasFunctions.AtlasBalance("PROD",DataAreaId,"T.InventTrans|inventDimId~inventDimId@T.InventDim","Sum|Qty|0","","","","","","","DateFinancial|ItemId|T2.InventSiteId|T2.InventLocationId",PeriodEnding,$A767,$B767,$C767)</f>
        <v>0</v>
      </c>
      <c r="G767" s="10">
        <f>AtlasReport_3_Table_1[[#This Row],[Current On-hand]]-AtlasReport_3_Table_1[[#This Row],[Trans backwords (Beginning)]]</f>
        <v>39</v>
      </c>
      <c r="H767" s="10">
        <f>AtlasReport_3_Table_1[[#This Row],[Current On-hand]]-AtlasReport_3_Table_1[[#This Row],[Trans backwords (Ending)]]</f>
        <v>23</v>
      </c>
    </row>
    <row r="768" spans="1:8" x14ac:dyDescent="0.25">
      <c r="A768" s="8" t="s">
        <v>552</v>
      </c>
      <c r="B768" s="8" t="s">
        <v>261</v>
      </c>
      <c r="C768" s="8" t="s">
        <v>264</v>
      </c>
      <c r="D768" s="10">
        <v>0</v>
      </c>
      <c r="E768" s="10">
        <f>_xll.AtlasFormulas.AtlasFunctions.AtlasBalance("PROD",DataAreaId,"T.InventTrans|inventDimId~inventDimId@T.InventDim","Sum|Qty|0","","","","","","","DateFinancial|ItemId|T2.InventSiteId|T2.InventLocationId",PeriodBeginning,$A768,$B768,$C768)</f>
        <v>0</v>
      </c>
      <c r="F768" s="10">
        <f>_xll.AtlasFormulas.AtlasFunctions.AtlasBalance("PROD",DataAreaId,"T.InventTrans|inventDimId~inventDimId@T.InventDim","Sum|Qty|0","","","","","","","DateFinancial|ItemId|T2.InventSiteId|T2.InventLocationId",PeriodEnding,$A768,$B768,$C768)</f>
        <v>0</v>
      </c>
      <c r="G768" s="10">
        <f>AtlasReport_3_Table_1[[#This Row],[Current On-hand]]-AtlasReport_3_Table_1[[#This Row],[Trans backwords (Beginning)]]</f>
        <v>0</v>
      </c>
      <c r="H768" s="10">
        <f>AtlasReport_3_Table_1[[#This Row],[Current On-hand]]-AtlasReport_3_Table_1[[#This Row],[Trans backwords (Ending)]]</f>
        <v>0</v>
      </c>
    </row>
    <row r="769" spans="1:8" x14ac:dyDescent="0.25">
      <c r="A769" s="8" t="s">
        <v>553</v>
      </c>
      <c r="B769" s="8" t="s">
        <v>261</v>
      </c>
      <c r="C769" s="8" t="s">
        <v>264</v>
      </c>
      <c r="D769" s="10">
        <v>0</v>
      </c>
      <c r="E769" s="10">
        <f>_xll.AtlasFormulas.AtlasFunctions.AtlasBalance("PROD",DataAreaId,"T.InventTrans|inventDimId~inventDimId@T.InventDim","Sum|Qty|0","","","","","","","DateFinancial|ItemId|T2.InventSiteId|T2.InventLocationId",PeriodBeginning,$A769,$B769,$C769)</f>
        <v>0</v>
      </c>
      <c r="F769" s="10">
        <f>_xll.AtlasFormulas.AtlasFunctions.AtlasBalance("PROD",DataAreaId,"T.InventTrans|inventDimId~inventDimId@T.InventDim","Sum|Qty|0","","","","","","","DateFinancial|ItemId|T2.InventSiteId|T2.InventLocationId",PeriodEnding,$A769,$B769,$C769)</f>
        <v>0</v>
      </c>
      <c r="G769" s="10">
        <f>AtlasReport_3_Table_1[[#This Row],[Current On-hand]]-AtlasReport_3_Table_1[[#This Row],[Trans backwords (Beginning)]]</f>
        <v>0</v>
      </c>
      <c r="H769" s="10">
        <f>AtlasReport_3_Table_1[[#This Row],[Current On-hand]]-AtlasReport_3_Table_1[[#This Row],[Trans backwords (Ending)]]</f>
        <v>0</v>
      </c>
    </row>
    <row r="770" spans="1:8" x14ac:dyDescent="0.25">
      <c r="A770" s="8" t="s">
        <v>554</v>
      </c>
      <c r="B770" s="8" t="s">
        <v>261</v>
      </c>
      <c r="C770" s="8" t="s">
        <v>264</v>
      </c>
      <c r="D770" s="10">
        <v>0</v>
      </c>
      <c r="E770" s="10">
        <f>_xll.AtlasFormulas.AtlasFunctions.AtlasBalance("PROD",DataAreaId,"T.InventTrans|inventDimId~inventDimId@T.InventDim","Sum|Qty|0","","","","","","","DateFinancial|ItemId|T2.InventSiteId|T2.InventLocationId",PeriodBeginning,$A770,$B770,$C770)</f>
        <v>0</v>
      </c>
      <c r="F770" s="10">
        <f>_xll.AtlasFormulas.AtlasFunctions.AtlasBalance("PROD",DataAreaId,"T.InventTrans|inventDimId~inventDimId@T.InventDim","Sum|Qty|0","","","","","","","DateFinancial|ItemId|T2.InventSiteId|T2.InventLocationId",PeriodEnding,$A770,$B770,$C770)</f>
        <v>0</v>
      </c>
      <c r="G770" s="10">
        <f>AtlasReport_3_Table_1[[#This Row],[Current On-hand]]-AtlasReport_3_Table_1[[#This Row],[Trans backwords (Beginning)]]</f>
        <v>0</v>
      </c>
      <c r="H770" s="10">
        <f>AtlasReport_3_Table_1[[#This Row],[Current On-hand]]-AtlasReport_3_Table_1[[#This Row],[Trans backwords (Ending)]]</f>
        <v>0</v>
      </c>
    </row>
    <row r="771" spans="1:8" x14ac:dyDescent="0.25">
      <c r="A771" s="8" t="s">
        <v>555</v>
      </c>
      <c r="B771" s="8" t="s">
        <v>261</v>
      </c>
      <c r="C771" s="8" t="s">
        <v>264</v>
      </c>
      <c r="D771" s="10">
        <v>15000</v>
      </c>
      <c r="E771" s="10">
        <f>_xll.AtlasFormulas.AtlasFunctions.AtlasBalance("PROD",DataAreaId,"T.InventTrans|inventDimId~inventDimId@T.InventDim","Sum|Qty|0","","","","","","","DateFinancial|ItemId|T2.InventSiteId|T2.InventLocationId",PeriodBeginning,$A771,$B771,$C771)</f>
        <v>0</v>
      </c>
      <c r="F771" s="10">
        <f>_xll.AtlasFormulas.AtlasFunctions.AtlasBalance("PROD",DataAreaId,"T.InventTrans|inventDimId~inventDimId@T.InventDim","Sum|Qty|0","","","","","","","DateFinancial|ItemId|T2.InventSiteId|T2.InventLocationId",PeriodEnding,$A771,$B771,$C771)</f>
        <v>0</v>
      </c>
      <c r="G771" s="10">
        <f>AtlasReport_3_Table_1[[#This Row],[Current On-hand]]-AtlasReport_3_Table_1[[#This Row],[Trans backwords (Beginning)]]</f>
        <v>15000</v>
      </c>
      <c r="H771" s="10">
        <f>AtlasReport_3_Table_1[[#This Row],[Current On-hand]]-AtlasReport_3_Table_1[[#This Row],[Trans backwords (Ending)]]</f>
        <v>15000</v>
      </c>
    </row>
    <row r="772" spans="1:8" x14ac:dyDescent="0.25">
      <c r="A772" s="8" t="s">
        <v>556</v>
      </c>
      <c r="B772" s="8" t="s">
        <v>261</v>
      </c>
      <c r="C772" s="8" t="s">
        <v>81</v>
      </c>
      <c r="D772" s="10">
        <v>0</v>
      </c>
      <c r="E772" s="10">
        <f>_xll.AtlasFormulas.AtlasFunctions.AtlasBalance("PROD",DataAreaId,"T.InventTrans|inventDimId~inventDimId@T.InventDim","Sum|Qty|0","","","","","","","DateFinancial|ItemId|T2.InventSiteId|T2.InventLocationId",PeriodBeginning,$A772,$B772,$C772)</f>
        <v>0</v>
      </c>
      <c r="F772" s="10">
        <f>_xll.AtlasFormulas.AtlasFunctions.AtlasBalance("PROD",DataAreaId,"T.InventTrans|inventDimId~inventDimId@T.InventDim","Sum|Qty|0","","","","","","","DateFinancial|ItemId|T2.InventSiteId|T2.InventLocationId",PeriodEnding,$A772,$B772,$C772)</f>
        <v>0</v>
      </c>
      <c r="G772" s="10">
        <f>AtlasReport_3_Table_1[[#This Row],[Current On-hand]]-AtlasReport_3_Table_1[[#This Row],[Trans backwords (Beginning)]]</f>
        <v>0</v>
      </c>
      <c r="H772" s="10">
        <f>AtlasReport_3_Table_1[[#This Row],[Current On-hand]]-AtlasReport_3_Table_1[[#This Row],[Trans backwords (Ending)]]</f>
        <v>0</v>
      </c>
    </row>
    <row r="773" spans="1:8" x14ac:dyDescent="0.25">
      <c r="A773" s="8" t="s">
        <v>556</v>
      </c>
      <c r="B773" s="8" t="s">
        <v>261</v>
      </c>
      <c r="C773" s="8" t="s">
        <v>264</v>
      </c>
      <c r="D773" s="10">
        <v>690</v>
      </c>
      <c r="E773" s="10">
        <f>_xll.AtlasFormulas.AtlasFunctions.AtlasBalance("PROD",DataAreaId,"T.InventTrans|inventDimId~inventDimId@T.InventDim","Sum|Qty|0","","","","","","","DateFinancial|ItemId|T2.InventSiteId|T2.InventLocationId",PeriodBeginning,$A773,$B773,$C773)</f>
        <v>232</v>
      </c>
      <c r="F773" s="10">
        <f>_xll.AtlasFormulas.AtlasFunctions.AtlasBalance("PROD",DataAreaId,"T.InventTrans|inventDimId~inventDimId@T.InventDim","Sum|Qty|0","","","","","","","DateFinancial|ItemId|T2.InventSiteId|T2.InventLocationId",PeriodEnding,$A773,$B773,$C773)</f>
        <v>0</v>
      </c>
      <c r="G773" s="10">
        <f>AtlasReport_3_Table_1[[#This Row],[Current On-hand]]-AtlasReport_3_Table_1[[#This Row],[Trans backwords (Beginning)]]</f>
        <v>458</v>
      </c>
      <c r="H773" s="10">
        <f>AtlasReport_3_Table_1[[#This Row],[Current On-hand]]-AtlasReport_3_Table_1[[#This Row],[Trans backwords (Ending)]]</f>
        <v>690</v>
      </c>
    </row>
    <row r="774" spans="1:8" x14ac:dyDescent="0.25">
      <c r="A774" s="8" t="s">
        <v>557</v>
      </c>
      <c r="B774" s="8" t="s">
        <v>261</v>
      </c>
      <c r="C774" s="8" t="s">
        <v>264</v>
      </c>
      <c r="D774" s="10">
        <v>0</v>
      </c>
      <c r="E774" s="10">
        <f>_xll.AtlasFormulas.AtlasFunctions.AtlasBalance("PROD",DataAreaId,"T.InventTrans|inventDimId~inventDimId@T.InventDim","Sum|Qty|0","","","","","","","DateFinancial|ItemId|T2.InventSiteId|T2.InventLocationId",PeriodBeginning,$A774,$B774,$C774)</f>
        <v>0</v>
      </c>
      <c r="F774" s="10">
        <f>_xll.AtlasFormulas.AtlasFunctions.AtlasBalance("PROD",DataAreaId,"T.InventTrans|inventDimId~inventDimId@T.InventDim","Sum|Qty|0","","","","","","","DateFinancial|ItemId|T2.InventSiteId|T2.InventLocationId",PeriodEnding,$A774,$B774,$C774)</f>
        <v>0</v>
      </c>
      <c r="G774" s="10">
        <f>AtlasReport_3_Table_1[[#This Row],[Current On-hand]]-AtlasReport_3_Table_1[[#This Row],[Trans backwords (Beginning)]]</f>
        <v>0</v>
      </c>
      <c r="H774" s="10">
        <f>AtlasReport_3_Table_1[[#This Row],[Current On-hand]]-AtlasReport_3_Table_1[[#This Row],[Trans backwords (Ending)]]</f>
        <v>0</v>
      </c>
    </row>
    <row r="775" spans="1:8" x14ac:dyDescent="0.25">
      <c r="A775" s="8" t="s">
        <v>558</v>
      </c>
      <c r="B775" s="8" t="s">
        <v>261</v>
      </c>
      <c r="C775" s="8" t="s">
        <v>264</v>
      </c>
      <c r="D775" s="10">
        <v>0</v>
      </c>
      <c r="E775" s="10">
        <f>_xll.AtlasFormulas.AtlasFunctions.AtlasBalance("PROD",DataAreaId,"T.InventTrans|inventDimId~inventDimId@T.InventDim","Sum|Qty|0","","","","","","","DateFinancial|ItemId|T2.InventSiteId|T2.InventLocationId",PeriodBeginning,$A775,$B775,$C775)</f>
        <v>0</v>
      </c>
      <c r="F775" s="10">
        <f>_xll.AtlasFormulas.AtlasFunctions.AtlasBalance("PROD",DataAreaId,"T.InventTrans|inventDimId~inventDimId@T.InventDim","Sum|Qty|0","","","","","","","DateFinancial|ItemId|T2.InventSiteId|T2.InventLocationId",PeriodEnding,$A775,$B775,$C775)</f>
        <v>0</v>
      </c>
      <c r="G775" s="10">
        <f>AtlasReport_3_Table_1[[#This Row],[Current On-hand]]-AtlasReport_3_Table_1[[#This Row],[Trans backwords (Beginning)]]</f>
        <v>0</v>
      </c>
      <c r="H775" s="10">
        <f>AtlasReport_3_Table_1[[#This Row],[Current On-hand]]-AtlasReport_3_Table_1[[#This Row],[Trans backwords (Ending)]]</f>
        <v>0</v>
      </c>
    </row>
    <row r="776" spans="1:8" x14ac:dyDescent="0.25">
      <c r="A776" s="8" t="s">
        <v>559</v>
      </c>
      <c r="B776" s="8" t="s">
        <v>261</v>
      </c>
      <c r="C776" s="8" t="s">
        <v>264</v>
      </c>
      <c r="D776" s="10">
        <v>0</v>
      </c>
      <c r="E776" s="10">
        <f>_xll.AtlasFormulas.AtlasFunctions.AtlasBalance("PROD",DataAreaId,"T.InventTrans|inventDimId~inventDimId@T.InventDim","Sum|Qty|0","","","","","","","DateFinancial|ItemId|T2.InventSiteId|T2.InventLocationId",PeriodBeginning,$A776,$B776,$C776)</f>
        <v>0</v>
      </c>
      <c r="F776" s="10">
        <f>_xll.AtlasFormulas.AtlasFunctions.AtlasBalance("PROD",DataAreaId,"T.InventTrans|inventDimId~inventDimId@T.InventDim","Sum|Qty|0","","","","","","","DateFinancial|ItemId|T2.InventSiteId|T2.InventLocationId",PeriodEnding,$A776,$B776,$C776)</f>
        <v>0</v>
      </c>
      <c r="G776" s="10">
        <f>AtlasReport_3_Table_1[[#This Row],[Current On-hand]]-AtlasReport_3_Table_1[[#This Row],[Trans backwords (Beginning)]]</f>
        <v>0</v>
      </c>
      <c r="H776" s="10">
        <f>AtlasReport_3_Table_1[[#This Row],[Current On-hand]]-AtlasReport_3_Table_1[[#This Row],[Trans backwords (Ending)]]</f>
        <v>0</v>
      </c>
    </row>
    <row r="777" spans="1:8" x14ac:dyDescent="0.25">
      <c r="A777" s="8" t="s">
        <v>560</v>
      </c>
      <c r="B777" s="8" t="s">
        <v>261</v>
      </c>
      <c r="C777" s="8" t="s">
        <v>264</v>
      </c>
      <c r="D777" s="10">
        <v>42</v>
      </c>
      <c r="E777" s="10">
        <f>_xll.AtlasFormulas.AtlasFunctions.AtlasBalance("PROD",DataAreaId,"T.InventTrans|inventDimId~inventDimId@T.InventDim","Sum|Qty|0","","","","","","","DateFinancial|ItemId|T2.InventSiteId|T2.InventLocationId",PeriodBeginning,$A777,$B777,$C777)</f>
        <v>0</v>
      </c>
      <c r="F777" s="10">
        <f>_xll.AtlasFormulas.AtlasFunctions.AtlasBalance("PROD",DataAreaId,"T.InventTrans|inventDimId~inventDimId@T.InventDim","Sum|Qty|0","","","","","","","DateFinancial|ItemId|T2.InventSiteId|T2.InventLocationId",PeriodEnding,$A777,$B777,$C777)</f>
        <v>0</v>
      </c>
      <c r="G777" s="10">
        <f>AtlasReport_3_Table_1[[#This Row],[Current On-hand]]-AtlasReport_3_Table_1[[#This Row],[Trans backwords (Beginning)]]</f>
        <v>42</v>
      </c>
      <c r="H777" s="10">
        <f>AtlasReport_3_Table_1[[#This Row],[Current On-hand]]-AtlasReport_3_Table_1[[#This Row],[Trans backwords (Ending)]]</f>
        <v>42</v>
      </c>
    </row>
    <row r="778" spans="1:8" x14ac:dyDescent="0.25">
      <c r="A778" s="8" t="s">
        <v>561</v>
      </c>
      <c r="B778" s="8" t="s">
        <v>261</v>
      </c>
      <c r="C778" s="8" t="s">
        <v>290</v>
      </c>
      <c r="D778" s="10">
        <v>0</v>
      </c>
      <c r="E778" s="10">
        <f>_xll.AtlasFormulas.AtlasFunctions.AtlasBalance("PROD",DataAreaId,"T.InventTrans|inventDimId~inventDimId@T.InventDim","Sum|Qty|0","","","","","","","DateFinancial|ItemId|T2.InventSiteId|T2.InventLocationId",PeriodBeginning,$A778,$B778,$C778)</f>
        <v>0</v>
      </c>
      <c r="F778" s="10">
        <f>_xll.AtlasFormulas.AtlasFunctions.AtlasBalance("PROD",DataAreaId,"T.InventTrans|inventDimId~inventDimId@T.InventDim","Sum|Qty|0","","","","","","","DateFinancial|ItemId|T2.InventSiteId|T2.InventLocationId",PeriodEnding,$A778,$B778,$C778)</f>
        <v>0</v>
      </c>
      <c r="G778" s="10">
        <f>AtlasReport_3_Table_1[[#This Row],[Current On-hand]]-AtlasReport_3_Table_1[[#This Row],[Trans backwords (Beginning)]]</f>
        <v>0</v>
      </c>
      <c r="H778" s="10">
        <f>AtlasReport_3_Table_1[[#This Row],[Current On-hand]]-AtlasReport_3_Table_1[[#This Row],[Trans backwords (Ending)]]</f>
        <v>0</v>
      </c>
    </row>
    <row r="779" spans="1:8" x14ac:dyDescent="0.25">
      <c r="A779" s="8" t="s">
        <v>561</v>
      </c>
      <c r="B779" s="8" t="s">
        <v>261</v>
      </c>
      <c r="C779" s="8" t="s">
        <v>264</v>
      </c>
      <c r="D779" s="10">
        <v>0</v>
      </c>
      <c r="E779" s="10">
        <f>_xll.AtlasFormulas.AtlasFunctions.AtlasBalance("PROD",DataAreaId,"T.InventTrans|inventDimId~inventDimId@T.InventDim","Sum|Qty|0","","","","","","","DateFinancial|ItemId|T2.InventSiteId|T2.InventLocationId",PeriodBeginning,$A779,$B779,$C779)</f>
        <v>0</v>
      </c>
      <c r="F779" s="10">
        <f>_xll.AtlasFormulas.AtlasFunctions.AtlasBalance("PROD",DataAreaId,"T.InventTrans|inventDimId~inventDimId@T.InventDim","Sum|Qty|0","","","","","","","DateFinancial|ItemId|T2.InventSiteId|T2.InventLocationId",PeriodEnding,$A779,$B779,$C779)</f>
        <v>0</v>
      </c>
      <c r="G779" s="10">
        <f>AtlasReport_3_Table_1[[#This Row],[Current On-hand]]-AtlasReport_3_Table_1[[#This Row],[Trans backwords (Beginning)]]</f>
        <v>0</v>
      </c>
      <c r="H779" s="10">
        <f>AtlasReport_3_Table_1[[#This Row],[Current On-hand]]-AtlasReport_3_Table_1[[#This Row],[Trans backwords (Ending)]]</f>
        <v>0</v>
      </c>
    </row>
    <row r="780" spans="1:8" x14ac:dyDescent="0.25">
      <c r="A780" s="8" t="s">
        <v>562</v>
      </c>
      <c r="B780" s="8" t="s">
        <v>261</v>
      </c>
      <c r="C780" s="8" t="s">
        <v>264</v>
      </c>
      <c r="D780" s="10">
        <v>0</v>
      </c>
      <c r="E780" s="10">
        <f>_xll.AtlasFormulas.AtlasFunctions.AtlasBalance("PROD",DataAreaId,"T.InventTrans|inventDimId~inventDimId@T.InventDim","Sum|Qty|0","","","","","","","DateFinancial|ItemId|T2.InventSiteId|T2.InventLocationId",PeriodBeginning,$A780,$B780,$C780)</f>
        <v>0</v>
      </c>
      <c r="F780" s="10">
        <f>_xll.AtlasFormulas.AtlasFunctions.AtlasBalance("PROD",DataAreaId,"T.InventTrans|inventDimId~inventDimId@T.InventDim","Sum|Qty|0","","","","","","","DateFinancial|ItemId|T2.InventSiteId|T2.InventLocationId",PeriodEnding,$A780,$B780,$C780)</f>
        <v>0</v>
      </c>
      <c r="G780" s="10">
        <f>AtlasReport_3_Table_1[[#This Row],[Current On-hand]]-AtlasReport_3_Table_1[[#This Row],[Trans backwords (Beginning)]]</f>
        <v>0</v>
      </c>
      <c r="H780" s="10">
        <f>AtlasReport_3_Table_1[[#This Row],[Current On-hand]]-AtlasReport_3_Table_1[[#This Row],[Trans backwords (Ending)]]</f>
        <v>0</v>
      </c>
    </row>
    <row r="781" spans="1:8" x14ac:dyDescent="0.25">
      <c r="A781" s="8" t="s">
        <v>563</v>
      </c>
      <c r="B781" s="8" t="s">
        <v>261</v>
      </c>
      <c r="C781" s="8" t="s">
        <v>81</v>
      </c>
      <c r="D781" s="10">
        <v>0</v>
      </c>
      <c r="E781" s="10">
        <f>_xll.AtlasFormulas.AtlasFunctions.AtlasBalance("PROD",DataAreaId,"T.InventTrans|inventDimId~inventDimId@T.InventDim","Sum|Qty|0","","","","","","","DateFinancial|ItemId|T2.InventSiteId|T2.InventLocationId",PeriodBeginning,$A781,$B781,$C781)</f>
        <v>0</v>
      </c>
      <c r="F781" s="10">
        <f>_xll.AtlasFormulas.AtlasFunctions.AtlasBalance("PROD",DataAreaId,"T.InventTrans|inventDimId~inventDimId@T.InventDim","Sum|Qty|0","","","","","","","DateFinancial|ItemId|T2.InventSiteId|T2.InventLocationId",PeriodEnding,$A781,$B781,$C781)</f>
        <v>0</v>
      </c>
      <c r="G781" s="10">
        <f>AtlasReport_3_Table_1[[#This Row],[Current On-hand]]-AtlasReport_3_Table_1[[#This Row],[Trans backwords (Beginning)]]</f>
        <v>0</v>
      </c>
      <c r="H781" s="10">
        <f>AtlasReport_3_Table_1[[#This Row],[Current On-hand]]-AtlasReport_3_Table_1[[#This Row],[Trans backwords (Ending)]]</f>
        <v>0</v>
      </c>
    </row>
    <row r="782" spans="1:8" x14ac:dyDescent="0.25">
      <c r="A782" s="8" t="s">
        <v>563</v>
      </c>
      <c r="B782" s="8" t="s">
        <v>261</v>
      </c>
      <c r="C782" s="8" t="s">
        <v>290</v>
      </c>
      <c r="D782" s="10">
        <v>0</v>
      </c>
      <c r="E782" s="10">
        <f>_xll.AtlasFormulas.AtlasFunctions.AtlasBalance("PROD",DataAreaId,"T.InventTrans|inventDimId~inventDimId@T.InventDim","Sum|Qty|0","","","","","","","DateFinancial|ItemId|T2.InventSiteId|T2.InventLocationId",PeriodBeginning,$A782,$B782,$C782)</f>
        <v>0</v>
      </c>
      <c r="F782" s="10">
        <f>_xll.AtlasFormulas.AtlasFunctions.AtlasBalance("PROD",DataAreaId,"T.InventTrans|inventDimId~inventDimId@T.InventDim","Sum|Qty|0","","","","","","","DateFinancial|ItemId|T2.InventSiteId|T2.InventLocationId",PeriodEnding,$A782,$B782,$C782)</f>
        <v>0</v>
      </c>
      <c r="G782" s="10">
        <f>AtlasReport_3_Table_1[[#This Row],[Current On-hand]]-AtlasReport_3_Table_1[[#This Row],[Trans backwords (Beginning)]]</f>
        <v>0</v>
      </c>
      <c r="H782" s="10">
        <f>AtlasReport_3_Table_1[[#This Row],[Current On-hand]]-AtlasReport_3_Table_1[[#This Row],[Trans backwords (Ending)]]</f>
        <v>0</v>
      </c>
    </row>
    <row r="783" spans="1:8" x14ac:dyDescent="0.25">
      <c r="A783" s="8" t="s">
        <v>563</v>
      </c>
      <c r="B783" s="8" t="s">
        <v>261</v>
      </c>
      <c r="C783" s="8" t="s">
        <v>264</v>
      </c>
      <c r="D783" s="10">
        <v>0</v>
      </c>
      <c r="E783" s="10">
        <f>_xll.AtlasFormulas.AtlasFunctions.AtlasBalance("PROD",DataAreaId,"T.InventTrans|inventDimId~inventDimId@T.InventDim","Sum|Qty|0","","","","","","","DateFinancial|ItemId|T2.InventSiteId|T2.InventLocationId",PeriodBeginning,$A783,$B783,$C783)</f>
        <v>0</v>
      </c>
      <c r="F783" s="10">
        <f>_xll.AtlasFormulas.AtlasFunctions.AtlasBalance("PROD",DataAreaId,"T.InventTrans|inventDimId~inventDimId@T.InventDim","Sum|Qty|0","","","","","","","DateFinancial|ItemId|T2.InventSiteId|T2.InventLocationId",PeriodEnding,$A783,$B783,$C783)</f>
        <v>0</v>
      </c>
      <c r="G783" s="10">
        <f>AtlasReport_3_Table_1[[#This Row],[Current On-hand]]-AtlasReport_3_Table_1[[#This Row],[Trans backwords (Beginning)]]</f>
        <v>0</v>
      </c>
      <c r="H783" s="10">
        <f>AtlasReport_3_Table_1[[#This Row],[Current On-hand]]-AtlasReport_3_Table_1[[#This Row],[Trans backwords (Ending)]]</f>
        <v>0</v>
      </c>
    </row>
    <row r="784" spans="1:8" x14ac:dyDescent="0.25">
      <c r="A784" s="8" t="s">
        <v>214</v>
      </c>
      <c r="B784" s="8" t="s">
        <v>261</v>
      </c>
      <c r="C784" s="8" t="s">
        <v>264</v>
      </c>
      <c r="D784" s="10">
        <v>13</v>
      </c>
      <c r="E784" s="10">
        <f>_xll.AtlasFormulas.AtlasFunctions.AtlasBalance("PROD",DataAreaId,"T.InventTrans|inventDimId~inventDimId@T.InventDim","Sum|Qty|0","","","","","","","DateFinancial|ItemId|T2.InventSiteId|T2.InventLocationId",PeriodBeginning,$A784,$B784,$C784)</f>
        <v>0</v>
      </c>
      <c r="F784" s="10">
        <f>_xll.AtlasFormulas.AtlasFunctions.AtlasBalance("PROD",DataAreaId,"T.InventTrans|inventDimId~inventDimId@T.InventDim","Sum|Qty|0","","","","","","","DateFinancial|ItemId|T2.InventSiteId|T2.InventLocationId",PeriodEnding,$A784,$B784,$C784)</f>
        <v>0</v>
      </c>
      <c r="G784" s="10">
        <f>AtlasReport_3_Table_1[[#This Row],[Current On-hand]]-AtlasReport_3_Table_1[[#This Row],[Trans backwords (Beginning)]]</f>
        <v>13</v>
      </c>
      <c r="H784" s="10">
        <f>AtlasReport_3_Table_1[[#This Row],[Current On-hand]]-AtlasReport_3_Table_1[[#This Row],[Trans backwords (Ending)]]</f>
        <v>13</v>
      </c>
    </row>
    <row r="785" spans="1:8" x14ac:dyDescent="0.25">
      <c r="A785" s="8" t="s">
        <v>215</v>
      </c>
      <c r="B785" s="8" t="s">
        <v>261</v>
      </c>
      <c r="C785" s="8" t="s">
        <v>264</v>
      </c>
      <c r="D785" s="10">
        <v>0</v>
      </c>
      <c r="E785" s="10">
        <f>_xll.AtlasFormulas.AtlasFunctions.AtlasBalance("PROD",DataAreaId,"T.InventTrans|inventDimId~inventDimId@T.InventDim","Sum|Qty|0","","","","","","","DateFinancial|ItemId|T2.InventSiteId|T2.InventLocationId",PeriodBeginning,$A785,$B785,$C785)</f>
        <v>0</v>
      </c>
      <c r="F785" s="10">
        <f>_xll.AtlasFormulas.AtlasFunctions.AtlasBalance("PROD",DataAreaId,"T.InventTrans|inventDimId~inventDimId@T.InventDim","Sum|Qty|0","","","","","","","DateFinancial|ItemId|T2.InventSiteId|T2.InventLocationId",PeriodEnding,$A785,$B785,$C785)</f>
        <v>0</v>
      </c>
      <c r="G785" s="10">
        <f>AtlasReport_3_Table_1[[#This Row],[Current On-hand]]-AtlasReport_3_Table_1[[#This Row],[Trans backwords (Beginning)]]</f>
        <v>0</v>
      </c>
      <c r="H785" s="10">
        <f>AtlasReport_3_Table_1[[#This Row],[Current On-hand]]-AtlasReport_3_Table_1[[#This Row],[Trans backwords (Ending)]]</f>
        <v>0</v>
      </c>
    </row>
    <row r="786" spans="1:8" x14ac:dyDescent="0.25">
      <c r="A786" s="8" t="s">
        <v>217</v>
      </c>
      <c r="B786" s="8" t="s">
        <v>261</v>
      </c>
      <c r="C786" s="8" t="s">
        <v>264</v>
      </c>
      <c r="D786" s="10">
        <v>0</v>
      </c>
      <c r="E786" s="10">
        <f>_xll.AtlasFormulas.AtlasFunctions.AtlasBalance("PROD",DataAreaId,"T.InventTrans|inventDimId~inventDimId@T.InventDim","Sum|Qty|0","","","","","","","DateFinancial|ItemId|T2.InventSiteId|T2.InventLocationId",PeriodBeginning,$A786,$B786,$C786)</f>
        <v>0</v>
      </c>
      <c r="F786" s="10">
        <f>_xll.AtlasFormulas.AtlasFunctions.AtlasBalance("PROD",DataAreaId,"T.InventTrans|inventDimId~inventDimId@T.InventDim","Sum|Qty|0","","","","","","","DateFinancial|ItemId|T2.InventSiteId|T2.InventLocationId",PeriodEnding,$A786,$B786,$C786)</f>
        <v>0</v>
      </c>
      <c r="G786" s="10">
        <f>AtlasReport_3_Table_1[[#This Row],[Current On-hand]]-AtlasReport_3_Table_1[[#This Row],[Trans backwords (Beginning)]]</f>
        <v>0</v>
      </c>
      <c r="H786" s="10">
        <f>AtlasReport_3_Table_1[[#This Row],[Current On-hand]]-AtlasReport_3_Table_1[[#This Row],[Trans backwords (Ending)]]</f>
        <v>0</v>
      </c>
    </row>
    <row r="787" spans="1:8" x14ac:dyDescent="0.25">
      <c r="A787" s="8" t="s">
        <v>220</v>
      </c>
      <c r="B787" s="8" t="s">
        <v>261</v>
      </c>
      <c r="C787" s="8" t="s">
        <v>262</v>
      </c>
      <c r="D787" s="10">
        <v>0</v>
      </c>
      <c r="E787" s="10">
        <f>_xll.AtlasFormulas.AtlasFunctions.AtlasBalance("PROD",DataAreaId,"T.InventTrans|inventDimId~inventDimId@T.InventDim","Sum|Qty|0","","","","","","","DateFinancial|ItemId|T2.InventSiteId|T2.InventLocationId",PeriodBeginning,$A787,$B787,$C787)</f>
        <v>0</v>
      </c>
      <c r="F787" s="10">
        <f>_xll.AtlasFormulas.AtlasFunctions.AtlasBalance("PROD",DataAreaId,"T.InventTrans|inventDimId~inventDimId@T.InventDim","Sum|Qty|0","","","","","","","DateFinancial|ItemId|T2.InventSiteId|T2.InventLocationId",PeriodEnding,$A787,$B787,$C787)</f>
        <v>0</v>
      </c>
      <c r="G787" s="10">
        <f>AtlasReport_3_Table_1[[#This Row],[Current On-hand]]-AtlasReport_3_Table_1[[#This Row],[Trans backwords (Beginning)]]</f>
        <v>0</v>
      </c>
      <c r="H787" s="10">
        <f>AtlasReport_3_Table_1[[#This Row],[Current On-hand]]-AtlasReport_3_Table_1[[#This Row],[Trans backwords (Ending)]]</f>
        <v>0</v>
      </c>
    </row>
    <row r="788" spans="1:8" x14ac:dyDescent="0.25">
      <c r="A788" s="8" t="s">
        <v>220</v>
      </c>
      <c r="B788" s="8" t="s">
        <v>261</v>
      </c>
      <c r="C788" s="8" t="s">
        <v>264</v>
      </c>
      <c r="D788" s="10">
        <v>614</v>
      </c>
      <c r="E788" s="10">
        <f>_xll.AtlasFormulas.AtlasFunctions.AtlasBalance("PROD",DataAreaId,"T.InventTrans|inventDimId~inventDimId@T.InventDim","Sum|Qty|0","","","","","","","DateFinancial|ItemId|T2.InventSiteId|T2.InventLocationId",PeriodBeginning,$A788,$B788,$C788)</f>
        <v>0</v>
      </c>
      <c r="F788" s="10">
        <f>_xll.AtlasFormulas.AtlasFunctions.AtlasBalance("PROD",DataAreaId,"T.InventTrans|inventDimId~inventDimId@T.InventDim","Sum|Qty|0","","","","","","","DateFinancial|ItemId|T2.InventSiteId|T2.InventLocationId",PeriodEnding,$A788,$B788,$C788)</f>
        <v>0</v>
      </c>
      <c r="G788" s="10">
        <f>AtlasReport_3_Table_1[[#This Row],[Current On-hand]]-AtlasReport_3_Table_1[[#This Row],[Trans backwords (Beginning)]]</f>
        <v>614</v>
      </c>
      <c r="H788" s="10">
        <f>AtlasReport_3_Table_1[[#This Row],[Current On-hand]]-AtlasReport_3_Table_1[[#This Row],[Trans backwords (Ending)]]</f>
        <v>614</v>
      </c>
    </row>
    <row r="789" spans="1:8" x14ac:dyDescent="0.25">
      <c r="A789" s="8" t="s">
        <v>69</v>
      </c>
      <c r="B789" s="8" t="s">
        <v>261</v>
      </c>
      <c r="C789" s="8" t="s">
        <v>262</v>
      </c>
      <c r="D789" s="10">
        <v>0</v>
      </c>
      <c r="E789" s="10">
        <f>_xll.AtlasFormulas.AtlasFunctions.AtlasBalance("PROD",DataAreaId,"T.InventTrans|inventDimId~inventDimId@T.InventDim","Sum|Qty|0","","","","","","","DateFinancial|ItemId|T2.InventSiteId|T2.InventLocationId",PeriodBeginning,$A789,$B789,$C789)</f>
        <v>0</v>
      </c>
      <c r="F789" s="10">
        <f>_xll.AtlasFormulas.AtlasFunctions.AtlasBalance("PROD",DataAreaId,"T.InventTrans|inventDimId~inventDimId@T.InventDim","Sum|Qty|0","","","","","","","DateFinancial|ItemId|T2.InventSiteId|T2.InventLocationId",PeriodEnding,$A789,$B789,$C789)</f>
        <v>0</v>
      </c>
      <c r="G789" s="10">
        <f>AtlasReport_3_Table_1[[#This Row],[Current On-hand]]-AtlasReport_3_Table_1[[#This Row],[Trans backwords (Beginning)]]</f>
        <v>0</v>
      </c>
      <c r="H789" s="10">
        <f>AtlasReport_3_Table_1[[#This Row],[Current On-hand]]-AtlasReport_3_Table_1[[#This Row],[Trans backwords (Ending)]]</f>
        <v>0</v>
      </c>
    </row>
    <row r="790" spans="1:8" x14ac:dyDescent="0.25">
      <c r="A790" s="8" t="s">
        <v>69</v>
      </c>
      <c r="B790" s="8" t="s">
        <v>261</v>
      </c>
      <c r="C790" s="8" t="s">
        <v>264</v>
      </c>
      <c r="D790" s="10">
        <v>0</v>
      </c>
      <c r="E790" s="10">
        <f>_xll.AtlasFormulas.AtlasFunctions.AtlasBalance("PROD",DataAreaId,"T.InventTrans|inventDimId~inventDimId@T.InventDim","Sum|Qty|0","","","","","","","DateFinancial|ItemId|T2.InventSiteId|T2.InventLocationId",PeriodBeginning,$A790,$B790,$C790)</f>
        <v>0</v>
      </c>
      <c r="F790" s="10">
        <f>_xll.AtlasFormulas.AtlasFunctions.AtlasBalance("PROD",DataAreaId,"T.InventTrans|inventDimId~inventDimId@T.InventDim","Sum|Qty|0","","","","","","","DateFinancial|ItemId|T2.InventSiteId|T2.InventLocationId",PeriodEnding,$A790,$B790,$C790)</f>
        <v>0</v>
      </c>
      <c r="G790" s="10">
        <f>AtlasReport_3_Table_1[[#This Row],[Current On-hand]]-AtlasReport_3_Table_1[[#This Row],[Trans backwords (Beginning)]]</f>
        <v>0</v>
      </c>
      <c r="H790" s="10">
        <f>AtlasReport_3_Table_1[[#This Row],[Current On-hand]]-AtlasReport_3_Table_1[[#This Row],[Trans backwords (Ending)]]</f>
        <v>0</v>
      </c>
    </row>
    <row r="791" spans="1:8" x14ac:dyDescent="0.25">
      <c r="A791" s="8" t="s">
        <v>564</v>
      </c>
      <c r="B791" s="8" t="s">
        <v>261</v>
      </c>
      <c r="C791" s="8" t="s">
        <v>264</v>
      </c>
      <c r="D791" s="10">
        <v>7</v>
      </c>
      <c r="E791" s="10">
        <f>_xll.AtlasFormulas.AtlasFunctions.AtlasBalance("PROD",DataAreaId,"T.InventTrans|inventDimId~inventDimId@T.InventDim","Sum|Qty|0","","","","","","","DateFinancial|ItemId|T2.InventSiteId|T2.InventLocationId",PeriodBeginning,$A791,$B791,$C791)</f>
        <v>-2</v>
      </c>
      <c r="F791" s="10">
        <f>_xll.AtlasFormulas.AtlasFunctions.AtlasBalance("PROD",DataAreaId,"T.InventTrans|inventDimId~inventDimId@T.InventDim","Sum|Qty|0","","","","","","","DateFinancial|ItemId|T2.InventSiteId|T2.InventLocationId",PeriodEnding,$A791,$B791,$C791)</f>
        <v>0</v>
      </c>
      <c r="G791" s="10">
        <f>AtlasReport_3_Table_1[[#This Row],[Current On-hand]]-AtlasReport_3_Table_1[[#This Row],[Trans backwords (Beginning)]]</f>
        <v>9</v>
      </c>
      <c r="H791" s="10">
        <f>AtlasReport_3_Table_1[[#This Row],[Current On-hand]]-AtlasReport_3_Table_1[[#This Row],[Trans backwords (Ending)]]</f>
        <v>7</v>
      </c>
    </row>
    <row r="792" spans="1:8" x14ac:dyDescent="0.25">
      <c r="A792" s="8" t="s">
        <v>565</v>
      </c>
      <c r="B792" s="8" t="s">
        <v>261</v>
      </c>
      <c r="C792" s="8" t="s">
        <v>264</v>
      </c>
      <c r="D792" s="10">
        <v>0</v>
      </c>
      <c r="E792" s="10">
        <f>_xll.AtlasFormulas.AtlasFunctions.AtlasBalance("PROD",DataAreaId,"T.InventTrans|inventDimId~inventDimId@T.InventDim","Sum|Qty|0","","","","","","","DateFinancial|ItemId|T2.InventSiteId|T2.InventLocationId",PeriodBeginning,$A792,$B792,$C792)</f>
        <v>0</v>
      </c>
      <c r="F792" s="10">
        <f>_xll.AtlasFormulas.AtlasFunctions.AtlasBalance("PROD",DataAreaId,"T.InventTrans|inventDimId~inventDimId@T.InventDim","Sum|Qty|0","","","","","","","DateFinancial|ItemId|T2.InventSiteId|T2.InventLocationId",PeriodEnding,$A792,$B792,$C792)</f>
        <v>0</v>
      </c>
      <c r="G792" s="10">
        <f>AtlasReport_3_Table_1[[#This Row],[Current On-hand]]-AtlasReport_3_Table_1[[#This Row],[Trans backwords (Beginning)]]</f>
        <v>0</v>
      </c>
      <c r="H792" s="10">
        <f>AtlasReport_3_Table_1[[#This Row],[Current On-hand]]-AtlasReport_3_Table_1[[#This Row],[Trans backwords (Ending)]]</f>
        <v>0</v>
      </c>
    </row>
    <row r="793" spans="1:8" x14ac:dyDescent="0.25">
      <c r="A793" s="8" t="s">
        <v>566</v>
      </c>
      <c r="B793" s="8" t="s">
        <v>261</v>
      </c>
      <c r="C793" s="8" t="s">
        <v>264</v>
      </c>
      <c r="D793" s="10">
        <v>700</v>
      </c>
      <c r="E793" s="10">
        <f>_xll.AtlasFormulas.AtlasFunctions.AtlasBalance("PROD",DataAreaId,"T.InventTrans|inventDimId~inventDimId@T.InventDim","Sum|Qty|0","","","","","","","DateFinancial|ItemId|T2.InventSiteId|T2.InventLocationId",PeriodBeginning,$A793,$B793,$C793)</f>
        <v>0</v>
      </c>
      <c r="F793" s="10">
        <f>_xll.AtlasFormulas.AtlasFunctions.AtlasBalance("PROD",DataAreaId,"T.InventTrans|inventDimId~inventDimId@T.InventDim","Sum|Qty|0","","","","","","","DateFinancial|ItemId|T2.InventSiteId|T2.InventLocationId",PeriodEnding,$A793,$B793,$C793)</f>
        <v>0</v>
      </c>
      <c r="G793" s="10">
        <f>AtlasReport_3_Table_1[[#This Row],[Current On-hand]]-AtlasReport_3_Table_1[[#This Row],[Trans backwords (Beginning)]]</f>
        <v>700</v>
      </c>
      <c r="H793" s="10">
        <f>AtlasReport_3_Table_1[[#This Row],[Current On-hand]]-AtlasReport_3_Table_1[[#This Row],[Trans backwords (Ending)]]</f>
        <v>700</v>
      </c>
    </row>
    <row r="794" spans="1:8" x14ac:dyDescent="0.25">
      <c r="A794" s="8" t="s">
        <v>567</v>
      </c>
      <c r="B794" s="8" t="s">
        <v>261</v>
      </c>
      <c r="C794" s="8" t="s">
        <v>264</v>
      </c>
      <c r="D794" s="10">
        <v>5</v>
      </c>
      <c r="E794" s="10">
        <f>_xll.AtlasFormulas.AtlasFunctions.AtlasBalance("PROD",DataAreaId,"T.InventTrans|inventDimId~inventDimId@T.InventDim","Sum|Qty|0","","","","","","","DateFinancial|ItemId|T2.InventSiteId|T2.InventLocationId",PeriodBeginning,$A794,$B794,$C794)</f>
        <v>-30</v>
      </c>
      <c r="F794" s="10">
        <f>_xll.AtlasFormulas.AtlasFunctions.AtlasBalance("PROD",DataAreaId,"T.InventTrans|inventDimId~inventDimId@T.InventDim","Sum|Qty|0","","","","","","","DateFinancial|ItemId|T2.InventSiteId|T2.InventLocationId",PeriodEnding,$A794,$B794,$C794)</f>
        <v>0</v>
      </c>
      <c r="G794" s="10">
        <f>AtlasReport_3_Table_1[[#This Row],[Current On-hand]]-AtlasReport_3_Table_1[[#This Row],[Trans backwords (Beginning)]]</f>
        <v>35</v>
      </c>
      <c r="H794" s="10">
        <f>AtlasReport_3_Table_1[[#This Row],[Current On-hand]]-AtlasReport_3_Table_1[[#This Row],[Trans backwords (Ending)]]</f>
        <v>5</v>
      </c>
    </row>
    <row r="795" spans="1:8" x14ac:dyDescent="0.25">
      <c r="A795" s="8" t="s">
        <v>568</v>
      </c>
      <c r="B795" s="8" t="s">
        <v>261</v>
      </c>
      <c r="C795" s="8" t="s">
        <v>264</v>
      </c>
      <c r="D795" s="10">
        <v>260</v>
      </c>
      <c r="E795" s="10">
        <f>_xll.AtlasFormulas.AtlasFunctions.AtlasBalance("PROD",DataAreaId,"T.InventTrans|inventDimId~inventDimId@T.InventDim","Sum|Qty|0","","","","","","","DateFinancial|ItemId|T2.InventSiteId|T2.InventLocationId",PeriodBeginning,$A795,$B795,$C795)</f>
        <v>-228</v>
      </c>
      <c r="F795" s="10">
        <f>_xll.AtlasFormulas.AtlasFunctions.AtlasBalance("PROD",DataAreaId,"T.InventTrans|inventDimId~inventDimId@T.InventDim","Sum|Qty|0","","","","","","","DateFinancial|ItemId|T2.InventSiteId|T2.InventLocationId",PeriodEnding,$A795,$B795,$C795)</f>
        <v>0</v>
      </c>
      <c r="G795" s="10">
        <f>AtlasReport_3_Table_1[[#This Row],[Current On-hand]]-AtlasReport_3_Table_1[[#This Row],[Trans backwords (Beginning)]]</f>
        <v>488</v>
      </c>
      <c r="H795" s="10">
        <f>AtlasReport_3_Table_1[[#This Row],[Current On-hand]]-AtlasReport_3_Table_1[[#This Row],[Trans backwords (Ending)]]</f>
        <v>260</v>
      </c>
    </row>
    <row r="796" spans="1:8" x14ac:dyDescent="0.25">
      <c r="A796" s="8" t="s">
        <v>569</v>
      </c>
      <c r="B796" s="8" t="s">
        <v>261</v>
      </c>
      <c r="C796" s="8" t="s">
        <v>264</v>
      </c>
      <c r="D796" s="10">
        <v>21</v>
      </c>
      <c r="E796" s="10">
        <f>_xll.AtlasFormulas.AtlasFunctions.AtlasBalance("PROD",DataAreaId,"T.InventTrans|inventDimId~inventDimId@T.InventDim","Sum|Qty|0","","","","","","","DateFinancial|ItemId|T2.InventSiteId|T2.InventLocationId",PeriodBeginning,$A796,$B796,$C796)</f>
        <v>-5</v>
      </c>
      <c r="F796" s="10">
        <f>_xll.AtlasFormulas.AtlasFunctions.AtlasBalance("PROD",DataAreaId,"T.InventTrans|inventDimId~inventDimId@T.InventDim","Sum|Qty|0","","","","","","","DateFinancial|ItemId|T2.InventSiteId|T2.InventLocationId",PeriodEnding,$A796,$B796,$C796)</f>
        <v>0</v>
      </c>
      <c r="G796" s="10">
        <f>AtlasReport_3_Table_1[[#This Row],[Current On-hand]]-AtlasReport_3_Table_1[[#This Row],[Trans backwords (Beginning)]]</f>
        <v>26</v>
      </c>
      <c r="H796" s="10">
        <f>AtlasReport_3_Table_1[[#This Row],[Current On-hand]]-AtlasReport_3_Table_1[[#This Row],[Trans backwords (Ending)]]</f>
        <v>21</v>
      </c>
    </row>
    <row r="797" spans="1:8" x14ac:dyDescent="0.25">
      <c r="A797" s="8" t="s">
        <v>570</v>
      </c>
      <c r="B797" s="8" t="s">
        <v>261</v>
      </c>
      <c r="C797" s="8" t="s">
        <v>264</v>
      </c>
      <c r="D797" s="10">
        <v>84</v>
      </c>
      <c r="E797" s="10">
        <f>_xll.AtlasFormulas.AtlasFunctions.AtlasBalance("PROD",DataAreaId,"T.InventTrans|inventDimId~inventDimId@T.InventDim","Sum|Qty|0","","","","","","","DateFinancial|ItemId|T2.InventSiteId|T2.InventLocationId",PeriodBeginning,$A797,$B797,$C797)</f>
        <v>-39</v>
      </c>
      <c r="F797" s="10">
        <f>_xll.AtlasFormulas.AtlasFunctions.AtlasBalance("PROD",DataAreaId,"T.InventTrans|inventDimId~inventDimId@T.InventDim","Sum|Qty|0","","","","","","","DateFinancial|ItemId|T2.InventSiteId|T2.InventLocationId",PeriodEnding,$A797,$B797,$C797)</f>
        <v>0</v>
      </c>
      <c r="G797" s="10">
        <f>AtlasReport_3_Table_1[[#This Row],[Current On-hand]]-AtlasReport_3_Table_1[[#This Row],[Trans backwords (Beginning)]]</f>
        <v>123</v>
      </c>
      <c r="H797" s="10">
        <f>AtlasReport_3_Table_1[[#This Row],[Current On-hand]]-AtlasReport_3_Table_1[[#This Row],[Trans backwords (Ending)]]</f>
        <v>84</v>
      </c>
    </row>
    <row r="798" spans="1:8" x14ac:dyDescent="0.25">
      <c r="A798" s="8" t="s">
        <v>571</v>
      </c>
      <c r="B798" s="8" t="s">
        <v>261</v>
      </c>
      <c r="C798" s="8" t="s">
        <v>264</v>
      </c>
      <c r="D798" s="10">
        <v>7</v>
      </c>
      <c r="E798" s="10">
        <f>_xll.AtlasFormulas.AtlasFunctions.AtlasBalance("PROD",DataAreaId,"T.InventTrans|inventDimId~inventDimId@T.InventDim","Sum|Qty|0","","","","","","","DateFinancial|ItemId|T2.InventSiteId|T2.InventLocationId",PeriodBeginning,$A798,$B798,$C798)</f>
        <v>-1</v>
      </c>
      <c r="F798" s="10">
        <f>_xll.AtlasFormulas.AtlasFunctions.AtlasBalance("PROD",DataAreaId,"T.InventTrans|inventDimId~inventDimId@T.InventDim","Sum|Qty|0","","","","","","","DateFinancial|ItemId|T2.InventSiteId|T2.InventLocationId",PeriodEnding,$A798,$B798,$C798)</f>
        <v>0</v>
      </c>
      <c r="G798" s="10">
        <f>AtlasReport_3_Table_1[[#This Row],[Current On-hand]]-AtlasReport_3_Table_1[[#This Row],[Trans backwords (Beginning)]]</f>
        <v>8</v>
      </c>
      <c r="H798" s="10">
        <f>AtlasReport_3_Table_1[[#This Row],[Current On-hand]]-AtlasReport_3_Table_1[[#This Row],[Trans backwords (Ending)]]</f>
        <v>7</v>
      </c>
    </row>
    <row r="799" spans="1:8" x14ac:dyDescent="0.25">
      <c r="A799" s="8" t="s">
        <v>572</v>
      </c>
      <c r="B799" s="8" t="s">
        <v>261</v>
      </c>
      <c r="C799" s="8" t="s">
        <v>264</v>
      </c>
      <c r="D799" s="10">
        <v>0</v>
      </c>
      <c r="E799" s="10">
        <f>_xll.AtlasFormulas.AtlasFunctions.AtlasBalance("PROD",DataAreaId,"T.InventTrans|inventDimId~inventDimId@T.InventDim","Sum|Qty|0","","","","","","","DateFinancial|ItemId|T2.InventSiteId|T2.InventLocationId",PeriodBeginning,$A799,$B799,$C799)</f>
        <v>0</v>
      </c>
      <c r="F799" s="10">
        <f>_xll.AtlasFormulas.AtlasFunctions.AtlasBalance("PROD",DataAreaId,"T.InventTrans|inventDimId~inventDimId@T.InventDim","Sum|Qty|0","","","","","","","DateFinancial|ItemId|T2.InventSiteId|T2.InventLocationId",PeriodEnding,$A799,$B799,$C799)</f>
        <v>0</v>
      </c>
      <c r="G799" s="10">
        <f>AtlasReport_3_Table_1[[#This Row],[Current On-hand]]-AtlasReport_3_Table_1[[#This Row],[Trans backwords (Beginning)]]</f>
        <v>0</v>
      </c>
      <c r="H799" s="10">
        <f>AtlasReport_3_Table_1[[#This Row],[Current On-hand]]-AtlasReport_3_Table_1[[#This Row],[Trans backwords (Ending)]]</f>
        <v>0</v>
      </c>
    </row>
    <row r="800" spans="1:8" x14ac:dyDescent="0.25">
      <c r="A800" s="8" t="s">
        <v>573</v>
      </c>
      <c r="B800" s="8" t="s">
        <v>261</v>
      </c>
      <c r="C800" s="8" t="s">
        <v>264</v>
      </c>
      <c r="D800" s="10">
        <v>82</v>
      </c>
      <c r="E800" s="10">
        <f>_xll.AtlasFormulas.AtlasFunctions.AtlasBalance("PROD",DataAreaId,"T.InventTrans|inventDimId~inventDimId@T.InventDim","Sum|Qty|0","","","","","","","DateFinancial|ItemId|T2.InventSiteId|T2.InventLocationId",PeriodBeginning,$A800,$B800,$C800)</f>
        <v>78</v>
      </c>
      <c r="F800" s="10">
        <f>_xll.AtlasFormulas.AtlasFunctions.AtlasBalance("PROD",DataAreaId,"T.InventTrans|inventDimId~inventDimId@T.InventDim","Sum|Qty|0","","","","","","","DateFinancial|ItemId|T2.InventSiteId|T2.InventLocationId",PeriodEnding,$A800,$B800,$C800)</f>
        <v>0</v>
      </c>
      <c r="G800" s="10">
        <f>AtlasReport_3_Table_1[[#This Row],[Current On-hand]]-AtlasReport_3_Table_1[[#This Row],[Trans backwords (Beginning)]]</f>
        <v>4</v>
      </c>
      <c r="H800" s="10">
        <f>AtlasReport_3_Table_1[[#This Row],[Current On-hand]]-AtlasReport_3_Table_1[[#This Row],[Trans backwords (Ending)]]</f>
        <v>82</v>
      </c>
    </row>
    <row r="801" spans="1:8" x14ac:dyDescent="0.25">
      <c r="A801" s="8" t="s">
        <v>574</v>
      </c>
      <c r="B801" s="8" t="s">
        <v>261</v>
      </c>
      <c r="C801" s="8" t="s">
        <v>264</v>
      </c>
      <c r="D801" s="10">
        <v>0</v>
      </c>
      <c r="E801" s="10">
        <f>_xll.AtlasFormulas.AtlasFunctions.AtlasBalance("PROD",DataAreaId,"T.InventTrans|inventDimId~inventDimId@T.InventDim","Sum|Qty|0","","","","","","","DateFinancial|ItemId|T2.InventSiteId|T2.InventLocationId",PeriodBeginning,$A801,$B801,$C801)</f>
        <v>0</v>
      </c>
      <c r="F801" s="10">
        <f>_xll.AtlasFormulas.AtlasFunctions.AtlasBalance("PROD",DataAreaId,"T.InventTrans|inventDimId~inventDimId@T.InventDim","Sum|Qty|0","","","","","","","DateFinancial|ItemId|T2.InventSiteId|T2.InventLocationId",PeriodEnding,$A801,$B801,$C801)</f>
        <v>0</v>
      </c>
      <c r="G801" s="10">
        <f>AtlasReport_3_Table_1[[#This Row],[Current On-hand]]-AtlasReport_3_Table_1[[#This Row],[Trans backwords (Beginning)]]</f>
        <v>0</v>
      </c>
      <c r="H801" s="10">
        <f>AtlasReport_3_Table_1[[#This Row],[Current On-hand]]-AtlasReport_3_Table_1[[#This Row],[Trans backwords (Ending)]]</f>
        <v>0</v>
      </c>
    </row>
    <row r="802" spans="1:8" x14ac:dyDescent="0.25">
      <c r="A802" s="8" t="s">
        <v>575</v>
      </c>
      <c r="B802" s="8" t="s">
        <v>261</v>
      </c>
      <c r="C802" s="8" t="s">
        <v>264</v>
      </c>
      <c r="D802" s="10">
        <v>726</v>
      </c>
      <c r="E802" s="10">
        <f>_xll.AtlasFormulas.AtlasFunctions.AtlasBalance("PROD",DataAreaId,"T.InventTrans|inventDimId~inventDimId@T.InventDim","Sum|Qty|0","","","","","","","DateFinancial|ItemId|T2.InventSiteId|T2.InventLocationId",PeriodBeginning,$A802,$B802,$C802)</f>
        <v>623</v>
      </c>
      <c r="F802" s="10">
        <f>_xll.AtlasFormulas.AtlasFunctions.AtlasBalance("PROD",DataAreaId,"T.InventTrans|inventDimId~inventDimId@T.InventDim","Sum|Qty|0","","","","","","","DateFinancial|ItemId|T2.InventSiteId|T2.InventLocationId",PeriodEnding,$A802,$B802,$C802)</f>
        <v>0</v>
      </c>
      <c r="G802" s="10">
        <f>AtlasReport_3_Table_1[[#This Row],[Current On-hand]]-AtlasReport_3_Table_1[[#This Row],[Trans backwords (Beginning)]]</f>
        <v>103</v>
      </c>
      <c r="H802" s="10">
        <f>AtlasReport_3_Table_1[[#This Row],[Current On-hand]]-AtlasReport_3_Table_1[[#This Row],[Trans backwords (Ending)]]</f>
        <v>726</v>
      </c>
    </row>
    <row r="803" spans="1:8" x14ac:dyDescent="0.25">
      <c r="A803" s="8" t="s">
        <v>576</v>
      </c>
      <c r="B803" s="8" t="s">
        <v>261</v>
      </c>
      <c r="C803" s="8" t="s">
        <v>264</v>
      </c>
      <c r="D803" s="10">
        <v>70</v>
      </c>
      <c r="E803" s="10">
        <f>_xll.AtlasFormulas.AtlasFunctions.AtlasBalance("PROD",DataAreaId,"T.InventTrans|inventDimId~inventDimId@T.InventDim","Sum|Qty|0","","","","","","","DateFinancial|ItemId|T2.InventSiteId|T2.InventLocationId",PeriodBeginning,$A803,$B803,$C803)</f>
        <v>33</v>
      </c>
      <c r="F803" s="10">
        <f>_xll.AtlasFormulas.AtlasFunctions.AtlasBalance("PROD",DataAreaId,"T.InventTrans|inventDimId~inventDimId@T.InventDim","Sum|Qty|0","","","","","","","DateFinancial|ItemId|T2.InventSiteId|T2.InventLocationId",PeriodEnding,$A803,$B803,$C803)</f>
        <v>0</v>
      </c>
      <c r="G803" s="10">
        <f>AtlasReport_3_Table_1[[#This Row],[Current On-hand]]-AtlasReport_3_Table_1[[#This Row],[Trans backwords (Beginning)]]</f>
        <v>37</v>
      </c>
      <c r="H803" s="10">
        <f>AtlasReport_3_Table_1[[#This Row],[Current On-hand]]-AtlasReport_3_Table_1[[#This Row],[Trans backwords (Ending)]]</f>
        <v>70</v>
      </c>
    </row>
    <row r="804" spans="1:8" x14ac:dyDescent="0.25">
      <c r="A804" s="8" t="s">
        <v>577</v>
      </c>
      <c r="B804" s="8" t="s">
        <v>261</v>
      </c>
      <c r="C804" s="8" t="s">
        <v>264</v>
      </c>
      <c r="D804" s="10">
        <v>331</v>
      </c>
      <c r="E804" s="10">
        <f>_xll.AtlasFormulas.AtlasFunctions.AtlasBalance("PROD",DataAreaId,"T.InventTrans|inventDimId~inventDimId@T.InventDim","Sum|Qty|0","","","","","","","DateFinancial|ItemId|T2.InventSiteId|T2.InventLocationId",PeriodBeginning,$A804,$B804,$C804)</f>
        <v>327</v>
      </c>
      <c r="F804" s="10">
        <f>_xll.AtlasFormulas.AtlasFunctions.AtlasBalance("PROD",DataAreaId,"T.InventTrans|inventDimId~inventDimId@T.InventDim","Sum|Qty|0","","","","","","","DateFinancial|ItemId|T2.InventSiteId|T2.InventLocationId",PeriodEnding,$A804,$B804,$C804)</f>
        <v>0</v>
      </c>
      <c r="G804" s="10">
        <f>AtlasReport_3_Table_1[[#This Row],[Current On-hand]]-AtlasReport_3_Table_1[[#This Row],[Trans backwords (Beginning)]]</f>
        <v>4</v>
      </c>
      <c r="H804" s="10">
        <f>AtlasReport_3_Table_1[[#This Row],[Current On-hand]]-AtlasReport_3_Table_1[[#This Row],[Trans backwords (Ending)]]</f>
        <v>331</v>
      </c>
    </row>
    <row r="805" spans="1:8" x14ac:dyDescent="0.25">
      <c r="A805" s="8" t="s">
        <v>578</v>
      </c>
      <c r="B805" s="8" t="s">
        <v>261</v>
      </c>
      <c r="C805" s="8" t="s">
        <v>264</v>
      </c>
      <c r="D805" s="10">
        <v>160</v>
      </c>
      <c r="E805" s="10">
        <f>_xll.AtlasFormulas.AtlasFunctions.AtlasBalance("PROD",DataAreaId,"T.InventTrans|inventDimId~inventDimId@T.InventDim","Sum|Qty|0","","","","","","","DateFinancial|ItemId|T2.InventSiteId|T2.InventLocationId",PeriodBeginning,$A805,$B805,$C805)</f>
        <v>159</v>
      </c>
      <c r="F805" s="10">
        <f>_xll.AtlasFormulas.AtlasFunctions.AtlasBalance("PROD",DataAreaId,"T.InventTrans|inventDimId~inventDimId@T.InventDim","Sum|Qty|0","","","","","","","DateFinancial|ItemId|T2.InventSiteId|T2.InventLocationId",PeriodEnding,$A805,$B805,$C805)</f>
        <v>0</v>
      </c>
      <c r="G805" s="10">
        <f>AtlasReport_3_Table_1[[#This Row],[Current On-hand]]-AtlasReport_3_Table_1[[#This Row],[Trans backwords (Beginning)]]</f>
        <v>1</v>
      </c>
      <c r="H805" s="10">
        <f>AtlasReport_3_Table_1[[#This Row],[Current On-hand]]-AtlasReport_3_Table_1[[#This Row],[Trans backwords (Ending)]]</f>
        <v>160</v>
      </c>
    </row>
    <row r="806" spans="1:8" x14ac:dyDescent="0.25">
      <c r="A806" s="8" t="s">
        <v>579</v>
      </c>
      <c r="B806" s="8" t="s">
        <v>261</v>
      </c>
      <c r="C806" s="8" t="s">
        <v>264</v>
      </c>
      <c r="D806" s="10">
        <v>0</v>
      </c>
      <c r="E806" s="10">
        <f>_xll.AtlasFormulas.AtlasFunctions.AtlasBalance("PROD",DataAreaId,"T.InventTrans|inventDimId~inventDimId@T.InventDim","Sum|Qty|0","","","","","","","DateFinancial|ItemId|T2.InventSiteId|T2.InventLocationId",PeriodBeginning,$A806,$B806,$C806)</f>
        <v>-15</v>
      </c>
      <c r="F806" s="10">
        <f>_xll.AtlasFormulas.AtlasFunctions.AtlasBalance("PROD",DataAreaId,"T.InventTrans|inventDimId~inventDimId@T.InventDim","Sum|Qty|0","","","","","","","DateFinancial|ItemId|T2.InventSiteId|T2.InventLocationId",PeriodEnding,$A806,$B806,$C806)</f>
        <v>0</v>
      </c>
      <c r="G806" s="10">
        <f>AtlasReport_3_Table_1[[#This Row],[Current On-hand]]-AtlasReport_3_Table_1[[#This Row],[Trans backwords (Beginning)]]</f>
        <v>15</v>
      </c>
      <c r="H806" s="10">
        <f>AtlasReport_3_Table_1[[#This Row],[Current On-hand]]-AtlasReport_3_Table_1[[#This Row],[Trans backwords (Ending)]]</f>
        <v>0</v>
      </c>
    </row>
    <row r="807" spans="1:8" x14ac:dyDescent="0.25">
      <c r="A807" s="8" t="s">
        <v>580</v>
      </c>
      <c r="B807" s="8" t="s">
        <v>261</v>
      </c>
      <c r="C807" s="8" t="s">
        <v>264</v>
      </c>
      <c r="D807" s="10">
        <v>1000</v>
      </c>
      <c r="E807" s="10">
        <f>_xll.AtlasFormulas.AtlasFunctions.AtlasBalance("PROD",DataAreaId,"T.InventTrans|inventDimId~inventDimId@T.InventDim","Sum|Qty|0","","","","","","","DateFinancial|ItemId|T2.InventSiteId|T2.InventLocationId",PeriodBeginning,$A807,$B807,$C807)</f>
        <v>-450</v>
      </c>
      <c r="F807" s="10">
        <f>_xll.AtlasFormulas.AtlasFunctions.AtlasBalance("PROD",DataAreaId,"T.InventTrans|inventDimId~inventDimId@T.InventDim","Sum|Qty|0","","","","","","","DateFinancial|ItemId|T2.InventSiteId|T2.InventLocationId",PeriodEnding,$A807,$B807,$C807)</f>
        <v>0</v>
      </c>
      <c r="G807" s="10">
        <f>AtlasReport_3_Table_1[[#This Row],[Current On-hand]]-AtlasReport_3_Table_1[[#This Row],[Trans backwords (Beginning)]]</f>
        <v>1450</v>
      </c>
      <c r="H807" s="10">
        <f>AtlasReport_3_Table_1[[#This Row],[Current On-hand]]-AtlasReport_3_Table_1[[#This Row],[Trans backwords (Ending)]]</f>
        <v>1000</v>
      </c>
    </row>
    <row r="808" spans="1:8" x14ac:dyDescent="0.25">
      <c r="A808" s="8" t="s">
        <v>581</v>
      </c>
      <c r="B808" s="8" t="s">
        <v>261</v>
      </c>
      <c r="C808" s="8" t="s">
        <v>264</v>
      </c>
      <c r="D808" s="10">
        <v>1000</v>
      </c>
      <c r="E808" s="10">
        <f>_xll.AtlasFormulas.AtlasFunctions.AtlasBalance("PROD",DataAreaId,"T.InventTrans|inventDimId~inventDimId@T.InventDim","Sum|Qty|0","","","","","","","DateFinancial|ItemId|T2.InventSiteId|T2.InventLocationId",PeriodBeginning,$A808,$B808,$C808)</f>
        <v>999</v>
      </c>
      <c r="F808" s="10">
        <f>_xll.AtlasFormulas.AtlasFunctions.AtlasBalance("PROD",DataAreaId,"T.InventTrans|inventDimId~inventDimId@T.InventDim","Sum|Qty|0","","","","","","","DateFinancial|ItemId|T2.InventSiteId|T2.InventLocationId",PeriodEnding,$A808,$B808,$C808)</f>
        <v>0</v>
      </c>
      <c r="G808" s="10">
        <f>AtlasReport_3_Table_1[[#This Row],[Current On-hand]]-AtlasReport_3_Table_1[[#This Row],[Trans backwords (Beginning)]]</f>
        <v>1</v>
      </c>
      <c r="H808" s="10">
        <f>AtlasReport_3_Table_1[[#This Row],[Current On-hand]]-AtlasReport_3_Table_1[[#This Row],[Trans backwords (Ending)]]</f>
        <v>1000</v>
      </c>
    </row>
    <row r="809" spans="1:8" x14ac:dyDescent="0.25">
      <c r="A809" s="8" t="s">
        <v>582</v>
      </c>
      <c r="B809" s="8" t="s">
        <v>261</v>
      </c>
      <c r="C809" s="8" t="s">
        <v>264</v>
      </c>
      <c r="D809" s="10">
        <v>1000</v>
      </c>
      <c r="E809" s="10">
        <f>_xll.AtlasFormulas.AtlasFunctions.AtlasBalance("PROD",DataAreaId,"T.InventTrans|inventDimId~inventDimId@T.InventDim","Sum|Qty|0","","","","","","","DateFinancial|ItemId|T2.InventSiteId|T2.InventLocationId",PeriodBeginning,$A809,$B809,$C809)</f>
        <v>998</v>
      </c>
      <c r="F809" s="10">
        <f>_xll.AtlasFormulas.AtlasFunctions.AtlasBalance("PROD",DataAreaId,"T.InventTrans|inventDimId~inventDimId@T.InventDim","Sum|Qty|0","","","","","","","DateFinancial|ItemId|T2.InventSiteId|T2.InventLocationId",PeriodEnding,$A809,$B809,$C809)</f>
        <v>0</v>
      </c>
      <c r="G809" s="10">
        <f>AtlasReport_3_Table_1[[#This Row],[Current On-hand]]-AtlasReport_3_Table_1[[#This Row],[Trans backwords (Beginning)]]</f>
        <v>2</v>
      </c>
      <c r="H809" s="10">
        <f>AtlasReport_3_Table_1[[#This Row],[Current On-hand]]-AtlasReport_3_Table_1[[#This Row],[Trans backwords (Ending)]]</f>
        <v>1000</v>
      </c>
    </row>
    <row r="810" spans="1:8" x14ac:dyDescent="0.25">
      <c r="A810" s="8" t="s">
        <v>583</v>
      </c>
      <c r="B810" s="8" t="s">
        <v>261</v>
      </c>
      <c r="C810" s="8" t="s">
        <v>264</v>
      </c>
      <c r="D810" s="10">
        <v>1000</v>
      </c>
      <c r="E810" s="10">
        <f>_xll.AtlasFormulas.AtlasFunctions.AtlasBalance("PROD",DataAreaId,"T.InventTrans|inventDimId~inventDimId@T.InventDim","Sum|Qty|0","","","","","","","DateFinancial|ItemId|T2.InventSiteId|T2.InventLocationId",PeriodBeginning,$A810,$B810,$C810)</f>
        <v>999</v>
      </c>
      <c r="F810" s="10">
        <f>_xll.AtlasFormulas.AtlasFunctions.AtlasBalance("PROD",DataAreaId,"T.InventTrans|inventDimId~inventDimId@T.InventDim","Sum|Qty|0","","","","","","","DateFinancial|ItemId|T2.InventSiteId|T2.InventLocationId",PeriodEnding,$A810,$B810,$C810)</f>
        <v>0</v>
      </c>
      <c r="G810" s="10">
        <f>AtlasReport_3_Table_1[[#This Row],[Current On-hand]]-AtlasReport_3_Table_1[[#This Row],[Trans backwords (Beginning)]]</f>
        <v>1</v>
      </c>
      <c r="H810" s="10">
        <f>AtlasReport_3_Table_1[[#This Row],[Current On-hand]]-AtlasReport_3_Table_1[[#This Row],[Trans backwords (Ending)]]</f>
        <v>1000</v>
      </c>
    </row>
    <row r="811" spans="1:8" x14ac:dyDescent="0.25">
      <c r="A811" s="8" t="s">
        <v>584</v>
      </c>
      <c r="B811" s="8" t="s">
        <v>261</v>
      </c>
      <c r="C811" s="8" t="s">
        <v>264</v>
      </c>
      <c r="D811" s="10">
        <v>2500</v>
      </c>
      <c r="E811" s="10">
        <f>_xll.AtlasFormulas.AtlasFunctions.AtlasBalance("PROD",DataAreaId,"T.InventTrans|inventDimId~inventDimId@T.InventDim","Sum|Qty|0","","","","","","","DateFinancial|ItemId|T2.InventSiteId|T2.InventLocationId",PeriodBeginning,$A811,$B811,$C811)</f>
        <v>2497</v>
      </c>
      <c r="F811" s="10">
        <f>_xll.AtlasFormulas.AtlasFunctions.AtlasBalance("PROD",DataAreaId,"T.InventTrans|inventDimId~inventDimId@T.InventDim","Sum|Qty|0","","","","","","","DateFinancial|ItemId|T2.InventSiteId|T2.InventLocationId",PeriodEnding,$A811,$B811,$C811)</f>
        <v>0</v>
      </c>
      <c r="G811" s="10">
        <f>AtlasReport_3_Table_1[[#This Row],[Current On-hand]]-AtlasReport_3_Table_1[[#This Row],[Trans backwords (Beginning)]]</f>
        <v>3</v>
      </c>
      <c r="H811" s="10">
        <f>AtlasReport_3_Table_1[[#This Row],[Current On-hand]]-AtlasReport_3_Table_1[[#This Row],[Trans backwords (Ending)]]</f>
        <v>2500</v>
      </c>
    </row>
    <row r="812" spans="1:8" x14ac:dyDescent="0.25">
      <c r="A812" s="8" t="s">
        <v>585</v>
      </c>
      <c r="B812" s="8" t="s">
        <v>261</v>
      </c>
      <c r="C812" s="8" t="s">
        <v>264</v>
      </c>
      <c r="D812" s="10">
        <v>4500</v>
      </c>
      <c r="E812" s="10">
        <f>_xll.AtlasFormulas.AtlasFunctions.AtlasBalance("PROD",DataAreaId,"T.InventTrans|inventDimId~inventDimId@T.InventDim","Sum|Qty|0","","","","","","","DateFinancial|ItemId|T2.InventSiteId|T2.InventLocationId",PeriodBeginning,$A812,$B812,$C812)</f>
        <v>4479</v>
      </c>
      <c r="F812" s="10">
        <f>_xll.AtlasFormulas.AtlasFunctions.AtlasBalance("PROD",DataAreaId,"T.InventTrans|inventDimId~inventDimId@T.InventDim","Sum|Qty|0","","","","","","","DateFinancial|ItemId|T2.InventSiteId|T2.InventLocationId",PeriodEnding,$A812,$B812,$C812)</f>
        <v>0</v>
      </c>
      <c r="G812" s="10">
        <f>AtlasReport_3_Table_1[[#This Row],[Current On-hand]]-AtlasReport_3_Table_1[[#This Row],[Trans backwords (Beginning)]]</f>
        <v>21</v>
      </c>
      <c r="H812" s="10">
        <f>AtlasReport_3_Table_1[[#This Row],[Current On-hand]]-AtlasReport_3_Table_1[[#This Row],[Trans backwords (Ending)]]</f>
        <v>4500</v>
      </c>
    </row>
    <row r="813" spans="1:8" x14ac:dyDescent="0.25">
      <c r="A813" s="8" t="s">
        <v>586</v>
      </c>
      <c r="B813" s="8" t="s">
        <v>261</v>
      </c>
      <c r="C813" s="8" t="s">
        <v>264</v>
      </c>
      <c r="D813" s="10">
        <v>332</v>
      </c>
      <c r="E813" s="10">
        <f>_xll.AtlasFormulas.AtlasFunctions.AtlasBalance("PROD",DataAreaId,"T.InventTrans|inventDimId~inventDimId@T.InventDim","Sum|Qty|0","","","","","","","DateFinancial|ItemId|T2.InventSiteId|T2.InventLocationId",PeriodBeginning,$A813,$B813,$C813)</f>
        <v>242</v>
      </c>
      <c r="F813" s="10">
        <f>_xll.AtlasFormulas.AtlasFunctions.AtlasBalance("PROD",DataAreaId,"T.InventTrans|inventDimId~inventDimId@T.InventDim","Sum|Qty|0","","","","","","","DateFinancial|ItemId|T2.InventSiteId|T2.InventLocationId",PeriodEnding,$A813,$B813,$C813)</f>
        <v>0</v>
      </c>
      <c r="G813" s="10">
        <f>AtlasReport_3_Table_1[[#This Row],[Current On-hand]]-AtlasReport_3_Table_1[[#This Row],[Trans backwords (Beginning)]]</f>
        <v>90</v>
      </c>
      <c r="H813" s="10">
        <f>AtlasReport_3_Table_1[[#This Row],[Current On-hand]]-AtlasReport_3_Table_1[[#This Row],[Trans backwords (Ending)]]</f>
        <v>332</v>
      </c>
    </row>
    <row r="814" spans="1:8" x14ac:dyDescent="0.25">
      <c r="A814" s="8" t="s">
        <v>587</v>
      </c>
      <c r="B814" s="8" t="s">
        <v>261</v>
      </c>
      <c r="C814" s="8" t="s">
        <v>262</v>
      </c>
      <c r="D814" s="10">
        <v>0</v>
      </c>
      <c r="E814" s="10">
        <f>_xll.AtlasFormulas.AtlasFunctions.AtlasBalance("PROD",DataAreaId,"T.InventTrans|inventDimId~inventDimId@T.InventDim","Sum|Qty|0","","","","","","","DateFinancial|ItemId|T2.InventSiteId|T2.InventLocationId",PeriodBeginning,$A814,$B814,$C814)</f>
        <v>0</v>
      </c>
      <c r="F814" s="10">
        <f>_xll.AtlasFormulas.AtlasFunctions.AtlasBalance("PROD",DataAreaId,"T.InventTrans|inventDimId~inventDimId@T.InventDim","Sum|Qty|0","","","","","","","DateFinancial|ItemId|T2.InventSiteId|T2.InventLocationId",PeriodEnding,$A814,$B814,$C814)</f>
        <v>0</v>
      </c>
      <c r="G814" s="10">
        <f>AtlasReport_3_Table_1[[#This Row],[Current On-hand]]-AtlasReport_3_Table_1[[#This Row],[Trans backwords (Beginning)]]</f>
        <v>0</v>
      </c>
      <c r="H814" s="10">
        <f>AtlasReport_3_Table_1[[#This Row],[Current On-hand]]-AtlasReport_3_Table_1[[#This Row],[Trans backwords (Ending)]]</f>
        <v>0</v>
      </c>
    </row>
    <row r="815" spans="1:8" x14ac:dyDescent="0.25">
      <c r="A815" s="8" t="s">
        <v>587</v>
      </c>
      <c r="B815" s="8" t="s">
        <v>261</v>
      </c>
      <c r="C815" s="8" t="s">
        <v>264</v>
      </c>
      <c r="D815" s="10">
        <v>41</v>
      </c>
      <c r="E815" s="10">
        <f>_xll.AtlasFormulas.AtlasFunctions.AtlasBalance("PROD",DataAreaId,"T.InventTrans|inventDimId~inventDimId@T.InventDim","Sum|Qty|0","","","","","","","DateFinancial|ItemId|T2.InventSiteId|T2.InventLocationId",PeriodBeginning,$A815,$B815,$C815)</f>
        <v>-4</v>
      </c>
      <c r="F815" s="10">
        <f>_xll.AtlasFormulas.AtlasFunctions.AtlasBalance("PROD",DataAreaId,"T.InventTrans|inventDimId~inventDimId@T.InventDim","Sum|Qty|0","","","","","","","DateFinancial|ItemId|T2.InventSiteId|T2.InventLocationId",PeriodEnding,$A815,$B815,$C815)</f>
        <v>0</v>
      </c>
      <c r="G815" s="10">
        <f>AtlasReport_3_Table_1[[#This Row],[Current On-hand]]-AtlasReport_3_Table_1[[#This Row],[Trans backwords (Beginning)]]</f>
        <v>45</v>
      </c>
      <c r="H815" s="10">
        <f>AtlasReport_3_Table_1[[#This Row],[Current On-hand]]-AtlasReport_3_Table_1[[#This Row],[Trans backwords (Ending)]]</f>
        <v>41</v>
      </c>
    </row>
    <row r="816" spans="1:8" x14ac:dyDescent="0.25">
      <c r="A816" s="8" t="s">
        <v>588</v>
      </c>
      <c r="B816" s="8" t="s">
        <v>261</v>
      </c>
      <c r="C816" s="8" t="s">
        <v>264</v>
      </c>
      <c r="D816" s="10">
        <v>8</v>
      </c>
      <c r="E816" s="10">
        <f>_xll.AtlasFormulas.AtlasFunctions.AtlasBalance("PROD",DataAreaId,"T.InventTrans|inventDimId~inventDimId@T.InventDim","Sum|Qty|0","","","","","","","DateFinancial|ItemId|T2.InventSiteId|T2.InventLocationId",PeriodBeginning,$A816,$B816,$C816)</f>
        <v>-3</v>
      </c>
      <c r="F816" s="10">
        <f>_xll.AtlasFormulas.AtlasFunctions.AtlasBalance("PROD",DataAreaId,"T.InventTrans|inventDimId~inventDimId@T.InventDim","Sum|Qty|0","","","","","","","DateFinancial|ItemId|T2.InventSiteId|T2.InventLocationId",PeriodEnding,$A816,$B816,$C816)</f>
        <v>0</v>
      </c>
      <c r="G816" s="10">
        <f>AtlasReport_3_Table_1[[#This Row],[Current On-hand]]-AtlasReport_3_Table_1[[#This Row],[Trans backwords (Beginning)]]</f>
        <v>11</v>
      </c>
      <c r="H816" s="10">
        <f>AtlasReport_3_Table_1[[#This Row],[Current On-hand]]-AtlasReport_3_Table_1[[#This Row],[Trans backwords (Ending)]]</f>
        <v>8</v>
      </c>
    </row>
    <row r="817" spans="1:8" x14ac:dyDescent="0.25">
      <c r="A817" s="8" t="s">
        <v>589</v>
      </c>
      <c r="B817" s="8" t="s">
        <v>261</v>
      </c>
      <c r="C817" s="8" t="s">
        <v>264</v>
      </c>
      <c r="D817" s="10">
        <v>6</v>
      </c>
      <c r="E817" s="10">
        <f>_xll.AtlasFormulas.AtlasFunctions.AtlasBalance("PROD",DataAreaId,"T.InventTrans|inventDimId~inventDimId@T.InventDim","Sum|Qty|0","","","","","","","DateFinancial|ItemId|T2.InventSiteId|T2.InventLocationId",PeriodBeginning,$A817,$B817,$C817)</f>
        <v>-6</v>
      </c>
      <c r="F817" s="10">
        <f>_xll.AtlasFormulas.AtlasFunctions.AtlasBalance("PROD",DataAreaId,"T.InventTrans|inventDimId~inventDimId@T.InventDim","Sum|Qty|0","","","","","","","DateFinancial|ItemId|T2.InventSiteId|T2.InventLocationId",PeriodEnding,$A817,$B817,$C817)</f>
        <v>0</v>
      </c>
      <c r="G817" s="10">
        <f>AtlasReport_3_Table_1[[#This Row],[Current On-hand]]-AtlasReport_3_Table_1[[#This Row],[Trans backwords (Beginning)]]</f>
        <v>12</v>
      </c>
      <c r="H817" s="10">
        <f>AtlasReport_3_Table_1[[#This Row],[Current On-hand]]-AtlasReport_3_Table_1[[#This Row],[Trans backwords (Ending)]]</f>
        <v>6</v>
      </c>
    </row>
    <row r="818" spans="1:8" x14ac:dyDescent="0.25">
      <c r="A818" s="8" t="s">
        <v>590</v>
      </c>
      <c r="B818" s="8" t="s">
        <v>261</v>
      </c>
      <c r="C818" s="8" t="s">
        <v>264</v>
      </c>
      <c r="D818" s="10">
        <v>132</v>
      </c>
      <c r="E818" s="10">
        <f>_xll.AtlasFormulas.AtlasFunctions.AtlasBalance("PROD",DataAreaId,"T.InventTrans|inventDimId~inventDimId@T.InventDim","Sum|Qty|0","","","","","","","DateFinancial|ItemId|T2.InventSiteId|T2.InventLocationId",PeriodBeginning,$A818,$B818,$C818)</f>
        <v>46</v>
      </c>
      <c r="F818" s="10">
        <f>_xll.AtlasFormulas.AtlasFunctions.AtlasBalance("PROD",DataAreaId,"T.InventTrans|inventDimId~inventDimId@T.InventDim","Sum|Qty|0","","","","","","","DateFinancial|ItemId|T2.InventSiteId|T2.InventLocationId",PeriodEnding,$A818,$B818,$C818)</f>
        <v>0</v>
      </c>
      <c r="G818" s="10">
        <f>AtlasReport_3_Table_1[[#This Row],[Current On-hand]]-AtlasReport_3_Table_1[[#This Row],[Trans backwords (Beginning)]]</f>
        <v>86</v>
      </c>
      <c r="H818" s="10">
        <f>AtlasReport_3_Table_1[[#This Row],[Current On-hand]]-AtlasReport_3_Table_1[[#This Row],[Trans backwords (Ending)]]</f>
        <v>132</v>
      </c>
    </row>
    <row r="819" spans="1:8" x14ac:dyDescent="0.25">
      <c r="A819" s="8" t="s">
        <v>591</v>
      </c>
      <c r="B819" s="8" t="s">
        <v>261</v>
      </c>
      <c r="C819" s="8" t="s">
        <v>264</v>
      </c>
      <c r="D819" s="10">
        <v>0</v>
      </c>
      <c r="E819" s="10">
        <f>_xll.AtlasFormulas.AtlasFunctions.AtlasBalance("PROD",DataAreaId,"T.InventTrans|inventDimId~inventDimId@T.InventDim","Sum|Qty|0","","","","","","","DateFinancial|ItemId|T2.InventSiteId|T2.InventLocationId",PeriodBeginning,$A819,$B819,$C819)</f>
        <v>-1</v>
      </c>
      <c r="F819" s="10">
        <f>_xll.AtlasFormulas.AtlasFunctions.AtlasBalance("PROD",DataAreaId,"T.InventTrans|inventDimId~inventDimId@T.InventDim","Sum|Qty|0","","","","","","","DateFinancial|ItemId|T2.InventSiteId|T2.InventLocationId",PeriodEnding,$A819,$B819,$C819)</f>
        <v>0</v>
      </c>
      <c r="G819" s="10">
        <f>AtlasReport_3_Table_1[[#This Row],[Current On-hand]]-AtlasReport_3_Table_1[[#This Row],[Trans backwords (Beginning)]]</f>
        <v>1</v>
      </c>
      <c r="H819" s="10">
        <f>AtlasReport_3_Table_1[[#This Row],[Current On-hand]]-AtlasReport_3_Table_1[[#This Row],[Trans backwords (Ending)]]</f>
        <v>0</v>
      </c>
    </row>
    <row r="820" spans="1:8" x14ac:dyDescent="0.25">
      <c r="A820" s="8" t="s">
        <v>592</v>
      </c>
      <c r="B820" s="8" t="s">
        <v>261</v>
      </c>
      <c r="C820" s="8" t="s">
        <v>264</v>
      </c>
      <c r="D820" s="10">
        <v>0</v>
      </c>
      <c r="E820" s="10">
        <f>_xll.AtlasFormulas.AtlasFunctions.AtlasBalance("PROD",DataAreaId,"T.InventTrans|inventDimId~inventDimId@T.InventDim","Sum|Qty|0","","","","","","","DateFinancial|ItemId|T2.InventSiteId|T2.InventLocationId",PeriodBeginning,$A820,$B820,$C820)</f>
        <v>-4</v>
      </c>
      <c r="F820" s="10">
        <f>_xll.AtlasFormulas.AtlasFunctions.AtlasBalance("PROD",DataAreaId,"T.InventTrans|inventDimId~inventDimId@T.InventDim","Sum|Qty|0","","","","","","","DateFinancial|ItemId|T2.InventSiteId|T2.InventLocationId",PeriodEnding,$A820,$B820,$C820)</f>
        <v>0</v>
      </c>
      <c r="G820" s="10">
        <f>AtlasReport_3_Table_1[[#This Row],[Current On-hand]]-AtlasReport_3_Table_1[[#This Row],[Trans backwords (Beginning)]]</f>
        <v>4</v>
      </c>
      <c r="H820" s="10">
        <f>AtlasReport_3_Table_1[[#This Row],[Current On-hand]]-AtlasReport_3_Table_1[[#This Row],[Trans backwords (Ending)]]</f>
        <v>0</v>
      </c>
    </row>
    <row r="821" spans="1:8" x14ac:dyDescent="0.25">
      <c r="A821" s="8" t="s">
        <v>593</v>
      </c>
      <c r="B821" s="8" t="s">
        <v>261</v>
      </c>
      <c r="C821" s="8" t="s">
        <v>264</v>
      </c>
      <c r="D821" s="10">
        <v>5</v>
      </c>
      <c r="E821" s="10">
        <f>_xll.AtlasFormulas.AtlasFunctions.AtlasBalance("PROD",DataAreaId,"T.InventTrans|inventDimId~inventDimId@T.InventDim","Sum|Qty|0","","","","","","","DateFinancial|ItemId|T2.InventSiteId|T2.InventLocationId",PeriodBeginning,$A821,$B821,$C821)</f>
        <v>-1</v>
      </c>
      <c r="F821" s="10">
        <f>_xll.AtlasFormulas.AtlasFunctions.AtlasBalance("PROD",DataAreaId,"T.InventTrans|inventDimId~inventDimId@T.InventDim","Sum|Qty|0","","","","","","","DateFinancial|ItemId|T2.InventSiteId|T2.InventLocationId",PeriodEnding,$A821,$B821,$C821)</f>
        <v>0</v>
      </c>
      <c r="G821" s="10">
        <f>AtlasReport_3_Table_1[[#This Row],[Current On-hand]]-AtlasReport_3_Table_1[[#This Row],[Trans backwords (Beginning)]]</f>
        <v>6</v>
      </c>
      <c r="H821" s="10">
        <f>AtlasReport_3_Table_1[[#This Row],[Current On-hand]]-AtlasReport_3_Table_1[[#This Row],[Trans backwords (Ending)]]</f>
        <v>5</v>
      </c>
    </row>
    <row r="822" spans="1:8" x14ac:dyDescent="0.25">
      <c r="A822" s="8" t="s">
        <v>594</v>
      </c>
      <c r="B822" s="8" t="s">
        <v>261</v>
      </c>
      <c r="C822" s="8" t="s">
        <v>264</v>
      </c>
      <c r="D822" s="10">
        <v>89</v>
      </c>
      <c r="E822" s="10">
        <f>_xll.AtlasFormulas.AtlasFunctions.AtlasBalance("PROD",DataAreaId,"T.InventTrans|inventDimId~inventDimId@T.InventDim","Sum|Qty|0","","","","","","","DateFinancial|ItemId|T2.InventSiteId|T2.InventLocationId",PeriodBeginning,$A822,$B822,$C822)</f>
        <v>-217</v>
      </c>
      <c r="F822" s="10">
        <f>_xll.AtlasFormulas.AtlasFunctions.AtlasBalance("PROD",DataAreaId,"T.InventTrans|inventDimId~inventDimId@T.InventDim","Sum|Qty|0","","","","","","","DateFinancial|ItemId|T2.InventSiteId|T2.InventLocationId",PeriodEnding,$A822,$B822,$C822)</f>
        <v>0</v>
      </c>
      <c r="G822" s="10">
        <f>AtlasReport_3_Table_1[[#This Row],[Current On-hand]]-AtlasReport_3_Table_1[[#This Row],[Trans backwords (Beginning)]]</f>
        <v>306</v>
      </c>
      <c r="H822" s="10">
        <f>AtlasReport_3_Table_1[[#This Row],[Current On-hand]]-AtlasReport_3_Table_1[[#This Row],[Trans backwords (Ending)]]</f>
        <v>89</v>
      </c>
    </row>
    <row r="823" spans="1:8" x14ac:dyDescent="0.25">
      <c r="A823" s="8" t="s">
        <v>595</v>
      </c>
      <c r="B823" s="8" t="s">
        <v>261</v>
      </c>
      <c r="C823" s="8" t="s">
        <v>264</v>
      </c>
      <c r="D823" s="10">
        <v>150</v>
      </c>
      <c r="E823" s="10">
        <f>_xll.AtlasFormulas.AtlasFunctions.AtlasBalance("PROD",DataAreaId,"T.InventTrans|inventDimId~inventDimId@T.InventDim","Sum|Qty|0","","","","","","","DateFinancial|ItemId|T2.InventSiteId|T2.InventLocationId",PeriodBeginning,$A823,$B823,$C823)</f>
        <v>-50</v>
      </c>
      <c r="F823" s="10">
        <f>_xll.AtlasFormulas.AtlasFunctions.AtlasBalance("PROD",DataAreaId,"T.InventTrans|inventDimId~inventDimId@T.InventDim","Sum|Qty|0","","","","","","","DateFinancial|ItemId|T2.InventSiteId|T2.InventLocationId",PeriodEnding,$A823,$B823,$C823)</f>
        <v>0</v>
      </c>
      <c r="G823" s="10">
        <f>AtlasReport_3_Table_1[[#This Row],[Current On-hand]]-AtlasReport_3_Table_1[[#This Row],[Trans backwords (Beginning)]]</f>
        <v>200</v>
      </c>
      <c r="H823" s="10">
        <f>AtlasReport_3_Table_1[[#This Row],[Current On-hand]]-AtlasReport_3_Table_1[[#This Row],[Trans backwords (Ending)]]</f>
        <v>150</v>
      </c>
    </row>
    <row r="824" spans="1:8" x14ac:dyDescent="0.25">
      <c r="A824" s="8" t="s">
        <v>596</v>
      </c>
      <c r="B824" s="8" t="s">
        <v>261</v>
      </c>
      <c r="C824" s="8" t="s">
        <v>264</v>
      </c>
      <c r="D824" s="10">
        <v>850</v>
      </c>
      <c r="E824" s="10">
        <f>_xll.AtlasFormulas.AtlasFunctions.AtlasBalance("PROD",DataAreaId,"T.InventTrans|inventDimId~inventDimId@T.InventDim","Sum|Qty|0","","","","","","","DateFinancial|ItemId|T2.InventSiteId|T2.InventLocationId",PeriodBeginning,$A824,$B824,$C824)</f>
        <v>250</v>
      </c>
      <c r="F824" s="10">
        <f>_xll.AtlasFormulas.AtlasFunctions.AtlasBalance("PROD",DataAreaId,"T.InventTrans|inventDimId~inventDimId@T.InventDim","Sum|Qty|0","","","","","","","DateFinancial|ItemId|T2.InventSiteId|T2.InventLocationId",PeriodEnding,$A824,$B824,$C824)</f>
        <v>0</v>
      </c>
      <c r="G824" s="10">
        <f>AtlasReport_3_Table_1[[#This Row],[Current On-hand]]-AtlasReport_3_Table_1[[#This Row],[Trans backwords (Beginning)]]</f>
        <v>600</v>
      </c>
      <c r="H824" s="10">
        <f>AtlasReport_3_Table_1[[#This Row],[Current On-hand]]-AtlasReport_3_Table_1[[#This Row],[Trans backwords (Ending)]]</f>
        <v>850</v>
      </c>
    </row>
    <row r="825" spans="1:8" x14ac:dyDescent="0.25">
      <c r="A825" s="8" t="s">
        <v>597</v>
      </c>
      <c r="B825" s="8" t="s">
        <v>261</v>
      </c>
      <c r="C825" s="8" t="s">
        <v>264</v>
      </c>
      <c r="D825" s="10">
        <v>920</v>
      </c>
      <c r="E825" s="10">
        <f>_xll.AtlasFormulas.AtlasFunctions.AtlasBalance("PROD",DataAreaId,"T.InventTrans|inventDimId~inventDimId@T.InventDim","Sum|Qty|0","","","","","","","DateFinancial|ItemId|T2.InventSiteId|T2.InventLocationId",PeriodBeginning,$A825,$B825,$C825)</f>
        <v>620</v>
      </c>
      <c r="F825" s="10">
        <f>_xll.AtlasFormulas.AtlasFunctions.AtlasBalance("PROD",DataAreaId,"T.InventTrans|inventDimId~inventDimId@T.InventDim","Sum|Qty|0","","","","","","","DateFinancial|ItemId|T2.InventSiteId|T2.InventLocationId",PeriodEnding,$A825,$B825,$C825)</f>
        <v>0</v>
      </c>
      <c r="G825" s="10">
        <f>AtlasReport_3_Table_1[[#This Row],[Current On-hand]]-AtlasReport_3_Table_1[[#This Row],[Trans backwords (Beginning)]]</f>
        <v>300</v>
      </c>
      <c r="H825" s="10">
        <f>AtlasReport_3_Table_1[[#This Row],[Current On-hand]]-AtlasReport_3_Table_1[[#This Row],[Trans backwords (Ending)]]</f>
        <v>920</v>
      </c>
    </row>
    <row r="826" spans="1:8" x14ac:dyDescent="0.25">
      <c r="A826" s="8" t="s">
        <v>598</v>
      </c>
      <c r="B826" s="8" t="s">
        <v>261</v>
      </c>
      <c r="C826" s="8" t="s">
        <v>264</v>
      </c>
      <c r="D826" s="10">
        <v>22</v>
      </c>
      <c r="E826" s="10">
        <f>_xll.AtlasFormulas.AtlasFunctions.AtlasBalance("PROD",DataAreaId,"T.InventTrans|inventDimId~inventDimId@T.InventDim","Sum|Qty|0","","","","","","","DateFinancial|ItemId|T2.InventSiteId|T2.InventLocationId",PeriodBeginning,$A826,$B826,$C826)</f>
        <v>-10</v>
      </c>
      <c r="F826" s="10">
        <f>_xll.AtlasFormulas.AtlasFunctions.AtlasBalance("PROD",DataAreaId,"T.InventTrans|inventDimId~inventDimId@T.InventDim","Sum|Qty|0","","","","","","","DateFinancial|ItemId|T2.InventSiteId|T2.InventLocationId",PeriodEnding,$A826,$B826,$C826)</f>
        <v>0</v>
      </c>
      <c r="G826" s="10">
        <f>AtlasReport_3_Table_1[[#This Row],[Current On-hand]]-AtlasReport_3_Table_1[[#This Row],[Trans backwords (Beginning)]]</f>
        <v>32</v>
      </c>
      <c r="H826" s="10">
        <f>AtlasReport_3_Table_1[[#This Row],[Current On-hand]]-AtlasReport_3_Table_1[[#This Row],[Trans backwords (Ending)]]</f>
        <v>22</v>
      </c>
    </row>
    <row r="827" spans="1:8" x14ac:dyDescent="0.25">
      <c r="A827" s="8" t="s">
        <v>599</v>
      </c>
      <c r="B827" s="8" t="s">
        <v>261</v>
      </c>
      <c r="C827" s="8" t="s">
        <v>264</v>
      </c>
      <c r="D827" s="10">
        <v>66</v>
      </c>
      <c r="E827" s="10">
        <f>_xll.AtlasFormulas.AtlasFunctions.AtlasBalance("PROD",DataAreaId,"T.InventTrans|inventDimId~inventDimId@T.InventDim","Sum|Qty|0","","","","","","","DateFinancial|ItemId|T2.InventSiteId|T2.InventLocationId",PeriodBeginning,$A827,$B827,$C827)</f>
        <v>-7</v>
      </c>
      <c r="F827" s="10">
        <f>_xll.AtlasFormulas.AtlasFunctions.AtlasBalance("PROD",DataAreaId,"T.InventTrans|inventDimId~inventDimId@T.InventDim","Sum|Qty|0","","","","","","","DateFinancial|ItemId|T2.InventSiteId|T2.InventLocationId",PeriodEnding,$A827,$B827,$C827)</f>
        <v>0</v>
      </c>
      <c r="G827" s="10">
        <f>AtlasReport_3_Table_1[[#This Row],[Current On-hand]]-AtlasReport_3_Table_1[[#This Row],[Trans backwords (Beginning)]]</f>
        <v>73</v>
      </c>
      <c r="H827" s="10">
        <f>AtlasReport_3_Table_1[[#This Row],[Current On-hand]]-AtlasReport_3_Table_1[[#This Row],[Trans backwords (Ending)]]</f>
        <v>66</v>
      </c>
    </row>
    <row r="828" spans="1:8" x14ac:dyDescent="0.25">
      <c r="A828" s="8" t="s">
        <v>600</v>
      </c>
      <c r="B828" s="8" t="s">
        <v>261</v>
      </c>
      <c r="C828" s="8" t="s">
        <v>264</v>
      </c>
      <c r="D828" s="10">
        <v>94</v>
      </c>
      <c r="E828" s="10">
        <f>_xll.AtlasFormulas.AtlasFunctions.AtlasBalance("PROD",DataAreaId,"T.InventTrans|inventDimId~inventDimId@T.InventDim","Sum|Qty|0","","","","","","","DateFinancial|ItemId|T2.InventSiteId|T2.InventLocationId",PeriodBeginning,$A828,$B828,$C828)</f>
        <v>-10</v>
      </c>
      <c r="F828" s="10">
        <f>_xll.AtlasFormulas.AtlasFunctions.AtlasBalance("PROD",DataAreaId,"T.InventTrans|inventDimId~inventDimId@T.InventDim","Sum|Qty|0","","","","","","","DateFinancial|ItemId|T2.InventSiteId|T2.InventLocationId",PeriodEnding,$A828,$B828,$C828)</f>
        <v>0</v>
      </c>
      <c r="G828" s="10">
        <f>AtlasReport_3_Table_1[[#This Row],[Current On-hand]]-AtlasReport_3_Table_1[[#This Row],[Trans backwords (Beginning)]]</f>
        <v>104</v>
      </c>
      <c r="H828" s="10">
        <f>AtlasReport_3_Table_1[[#This Row],[Current On-hand]]-AtlasReport_3_Table_1[[#This Row],[Trans backwords (Ending)]]</f>
        <v>94</v>
      </c>
    </row>
    <row r="829" spans="1:8" x14ac:dyDescent="0.25">
      <c r="A829" s="8" t="s">
        <v>601</v>
      </c>
      <c r="B829" s="8" t="s">
        <v>261</v>
      </c>
      <c r="C829" s="8" t="s">
        <v>264</v>
      </c>
      <c r="D829" s="10">
        <v>0</v>
      </c>
      <c r="E829" s="10">
        <f>_xll.AtlasFormulas.AtlasFunctions.AtlasBalance("PROD",DataAreaId,"T.InventTrans|inventDimId~inventDimId@T.InventDim","Sum|Qty|0","","","","","","","DateFinancial|ItemId|T2.InventSiteId|T2.InventLocationId",PeriodBeginning,$A829,$B829,$C829)</f>
        <v>0</v>
      </c>
      <c r="F829" s="10">
        <f>_xll.AtlasFormulas.AtlasFunctions.AtlasBalance("PROD",DataAreaId,"T.InventTrans|inventDimId~inventDimId@T.InventDim","Sum|Qty|0","","","","","","","DateFinancial|ItemId|T2.InventSiteId|T2.InventLocationId",PeriodEnding,$A829,$B829,$C829)</f>
        <v>0</v>
      </c>
      <c r="G829" s="10">
        <f>AtlasReport_3_Table_1[[#This Row],[Current On-hand]]-AtlasReport_3_Table_1[[#This Row],[Trans backwords (Beginning)]]</f>
        <v>0</v>
      </c>
      <c r="H829" s="10">
        <f>AtlasReport_3_Table_1[[#This Row],[Current On-hand]]-AtlasReport_3_Table_1[[#This Row],[Trans backwords (Ending)]]</f>
        <v>0</v>
      </c>
    </row>
    <row r="830" spans="1:8" x14ac:dyDescent="0.25">
      <c r="A830" s="8" t="s">
        <v>602</v>
      </c>
      <c r="B830" s="8" t="s">
        <v>261</v>
      </c>
      <c r="C830" s="8" t="s">
        <v>264</v>
      </c>
      <c r="D830" s="10">
        <v>18</v>
      </c>
      <c r="E830" s="10">
        <f>_xll.AtlasFormulas.AtlasFunctions.AtlasBalance("PROD",DataAreaId,"T.InventTrans|inventDimId~inventDimId@T.InventDim","Sum|Qty|0","","","","","","","DateFinancial|ItemId|T2.InventSiteId|T2.InventLocationId",PeriodBeginning,$A830,$B830,$C830)</f>
        <v>-1</v>
      </c>
      <c r="F830" s="10">
        <f>_xll.AtlasFormulas.AtlasFunctions.AtlasBalance("PROD",DataAreaId,"T.InventTrans|inventDimId~inventDimId@T.InventDim","Sum|Qty|0","","","","","","","DateFinancial|ItemId|T2.InventSiteId|T2.InventLocationId",PeriodEnding,$A830,$B830,$C830)</f>
        <v>0</v>
      </c>
      <c r="G830" s="10">
        <f>AtlasReport_3_Table_1[[#This Row],[Current On-hand]]-AtlasReport_3_Table_1[[#This Row],[Trans backwords (Beginning)]]</f>
        <v>19</v>
      </c>
      <c r="H830" s="10">
        <f>AtlasReport_3_Table_1[[#This Row],[Current On-hand]]-AtlasReport_3_Table_1[[#This Row],[Trans backwords (Ending)]]</f>
        <v>18</v>
      </c>
    </row>
    <row r="831" spans="1:8" x14ac:dyDescent="0.25">
      <c r="A831" s="8" t="s">
        <v>603</v>
      </c>
      <c r="B831" s="8" t="s">
        <v>261</v>
      </c>
      <c r="C831" s="8" t="s">
        <v>264</v>
      </c>
      <c r="D831" s="10">
        <v>34</v>
      </c>
      <c r="E831" s="10">
        <f>_xll.AtlasFormulas.AtlasFunctions.AtlasBalance("PROD",DataAreaId,"T.InventTrans|inventDimId~inventDimId@T.InventDim","Sum|Qty|0","","","","","","","DateFinancial|ItemId|T2.InventSiteId|T2.InventLocationId",PeriodBeginning,$A831,$B831,$C831)</f>
        <v>-24</v>
      </c>
      <c r="F831" s="10">
        <f>_xll.AtlasFormulas.AtlasFunctions.AtlasBalance("PROD",DataAreaId,"T.InventTrans|inventDimId~inventDimId@T.InventDim","Sum|Qty|0","","","","","","","DateFinancial|ItemId|T2.InventSiteId|T2.InventLocationId",PeriodEnding,$A831,$B831,$C831)</f>
        <v>0</v>
      </c>
      <c r="G831" s="10">
        <f>AtlasReport_3_Table_1[[#This Row],[Current On-hand]]-AtlasReport_3_Table_1[[#This Row],[Trans backwords (Beginning)]]</f>
        <v>58</v>
      </c>
      <c r="H831" s="10">
        <f>AtlasReport_3_Table_1[[#This Row],[Current On-hand]]-AtlasReport_3_Table_1[[#This Row],[Trans backwords (Ending)]]</f>
        <v>34</v>
      </c>
    </row>
    <row r="832" spans="1:8" x14ac:dyDescent="0.25">
      <c r="A832" s="8" t="s">
        <v>604</v>
      </c>
      <c r="B832" s="8" t="s">
        <v>261</v>
      </c>
      <c r="C832" s="8" t="s">
        <v>264</v>
      </c>
      <c r="D832" s="10">
        <v>7</v>
      </c>
      <c r="E832" s="10">
        <f>_xll.AtlasFormulas.AtlasFunctions.AtlasBalance("PROD",DataAreaId,"T.InventTrans|inventDimId~inventDimId@T.InventDim","Sum|Qty|0","","","","","","","DateFinancial|ItemId|T2.InventSiteId|T2.InventLocationId",PeriodBeginning,$A832,$B832,$C832)</f>
        <v>-1</v>
      </c>
      <c r="F832" s="10">
        <f>_xll.AtlasFormulas.AtlasFunctions.AtlasBalance("PROD",DataAreaId,"T.InventTrans|inventDimId~inventDimId@T.InventDim","Sum|Qty|0","","","","","","","DateFinancial|ItemId|T2.InventSiteId|T2.InventLocationId",PeriodEnding,$A832,$B832,$C832)</f>
        <v>0</v>
      </c>
      <c r="G832" s="10">
        <f>AtlasReport_3_Table_1[[#This Row],[Current On-hand]]-AtlasReport_3_Table_1[[#This Row],[Trans backwords (Beginning)]]</f>
        <v>8</v>
      </c>
      <c r="H832" s="10">
        <f>AtlasReport_3_Table_1[[#This Row],[Current On-hand]]-AtlasReport_3_Table_1[[#This Row],[Trans backwords (Ending)]]</f>
        <v>7</v>
      </c>
    </row>
    <row r="833" spans="1:8" x14ac:dyDescent="0.25">
      <c r="A833" s="8" t="s">
        <v>605</v>
      </c>
      <c r="B833" s="8" t="s">
        <v>261</v>
      </c>
      <c r="C833" s="8" t="s">
        <v>264</v>
      </c>
      <c r="D833" s="10">
        <v>24</v>
      </c>
      <c r="E833" s="10">
        <f>_xll.AtlasFormulas.AtlasFunctions.AtlasBalance("PROD",DataAreaId,"T.InventTrans|inventDimId~inventDimId@T.InventDim","Sum|Qty|0","","","","","","","DateFinancial|ItemId|T2.InventSiteId|T2.InventLocationId",PeriodBeginning,$A833,$B833,$C833)</f>
        <v>0</v>
      </c>
      <c r="F833" s="10">
        <f>_xll.AtlasFormulas.AtlasFunctions.AtlasBalance("PROD",DataAreaId,"T.InventTrans|inventDimId~inventDimId@T.InventDim","Sum|Qty|0","","","","","","","DateFinancial|ItemId|T2.InventSiteId|T2.InventLocationId",PeriodEnding,$A833,$B833,$C833)</f>
        <v>0</v>
      </c>
      <c r="G833" s="10">
        <f>AtlasReport_3_Table_1[[#This Row],[Current On-hand]]-AtlasReport_3_Table_1[[#This Row],[Trans backwords (Beginning)]]</f>
        <v>24</v>
      </c>
      <c r="H833" s="10">
        <f>AtlasReport_3_Table_1[[#This Row],[Current On-hand]]-AtlasReport_3_Table_1[[#This Row],[Trans backwords (Ending)]]</f>
        <v>24</v>
      </c>
    </row>
    <row r="834" spans="1:8" x14ac:dyDescent="0.25">
      <c r="A834" s="8" t="s">
        <v>606</v>
      </c>
      <c r="B834" s="8" t="s">
        <v>261</v>
      </c>
      <c r="C834" s="8" t="s">
        <v>264</v>
      </c>
      <c r="D834" s="10">
        <v>73</v>
      </c>
      <c r="E834" s="10">
        <f>_xll.AtlasFormulas.AtlasFunctions.AtlasBalance("PROD",DataAreaId,"T.InventTrans|inventDimId~inventDimId@T.InventDim","Sum|Qty|0","","","","","","","DateFinancial|ItemId|T2.InventSiteId|T2.InventLocationId",PeriodBeginning,$A834,$B834,$C834)</f>
        <v>-54</v>
      </c>
      <c r="F834" s="10">
        <f>_xll.AtlasFormulas.AtlasFunctions.AtlasBalance("PROD",DataAreaId,"T.InventTrans|inventDimId~inventDimId@T.InventDim","Sum|Qty|0","","","","","","","DateFinancial|ItemId|T2.InventSiteId|T2.InventLocationId",PeriodEnding,$A834,$B834,$C834)</f>
        <v>0</v>
      </c>
      <c r="G834" s="10">
        <f>AtlasReport_3_Table_1[[#This Row],[Current On-hand]]-AtlasReport_3_Table_1[[#This Row],[Trans backwords (Beginning)]]</f>
        <v>127</v>
      </c>
      <c r="H834" s="10">
        <f>AtlasReport_3_Table_1[[#This Row],[Current On-hand]]-AtlasReport_3_Table_1[[#This Row],[Trans backwords (Ending)]]</f>
        <v>73</v>
      </c>
    </row>
    <row r="835" spans="1:8" x14ac:dyDescent="0.25">
      <c r="A835" s="3" t="s">
        <v>13</v>
      </c>
      <c r="B835" s="7"/>
      <c r="C835" s="7"/>
      <c r="D835" s="9">
        <f>SUBTOTAL(109,AtlasReport_3_Table_1[Current On-hand])</f>
        <v>438890.82</v>
      </c>
      <c r="E835" s="9">
        <f>SUBTOTAL(109,AtlasReport_3_Table_1[Trans backwords (Beginning)])</f>
        <v>4076.1699999999973</v>
      </c>
      <c r="F835" s="9">
        <f>SUBTOTAL(109,AtlasReport_3_Table_1[Trans backwords (Ending)])</f>
        <v>0</v>
      </c>
      <c r="G835" s="9">
        <f>SUBTOTAL(109,AtlasReport_3_Table_1[Beginning On-hand])</f>
        <v>434814.65</v>
      </c>
      <c r="H835" s="9">
        <f>SUBTOTAL(109,AtlasReport_3_Table_1[Ending On-hand])</f>
        <v>438890.82</v>
      </c>
    </row>
    <row r="836" spans="1:8" x14ac:dyDescent="0.25">
      <c r="A836" s="3"/>
      <c r="B836" s="3"/>
      <c r="C836" s="3"/>
      <c r="D836" s="9"/>
      <c r="E836" s="9"/>
      <c r="F836" s="9"/>
      <c r="G836" s="9"/>
      <c r="H836" s="9"/>
    </row>
    <row r="837" spans="1:8" x14ac:dyDescent="0.25">
      <c r="A837" s="3"/>
      <c r="B837" s="3"/>
      <c r="C837" s="3"/>
      <c r="D837" s="9"/>
      <c r="E837" s="9"/>
      <c r="F837" s="9"/>
      <c r="G837" s="9"/>
      <c r="H837" s="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78"/>
  <sheetViews>
    <sheetView workbookViewId="0">
      <selection activeCell="A8" sqref="A8"/>
    </sheetView>
  </sheetViews>
  <sheetFormatPr defaultRowHeight="15" x14ac:dyDescent="0.25"/>
  <cols>
    <col min="1" max="1" width="15.42578125" customWidth="1"/>
    <col min="2" max="2" width="6.7109375" customWidth="1"/>
    <col min="3" max="3" width="13.5703125" customWidth="1"/>
    <col min="4" max="4" width="11" customWidth="1"/>
    <col min="5" max="5" width="18" customWidth="1"/>
    <col min="6" max="6" width="32.7109375" customWidth="1"/>
    <col min="7" max="7" width="29.7109375" customWidth="1"/>
    <col min="8" max="8" width="25.85546875" customWidth="1"/>
    <col min="9" max="9" width="22.85546875" customWidth="1"/>
    <col min="10" max="10" width="40" customWidth="1"/>
    <col min="11" max="11" width="37.140625" customWidth="1"/>
    <col min="12" max="12" width="25" customWidth="1"/>
    <col min="13" max="13" width="22" customWidth="1"/>
  </cols>
  <sheetData>
    <row r="1" spans="1:13" ht="22.5" x14ac:dyDescent="0.3">
      <c r="A1" s="2" t="s">
        <v>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25">
      <c r="A2" s="3" t="s">
        <v>6</v>
      </c>
      <c r="B2" s="3" t="s">
        <v>49</v>
      </c>
      <c r="C2" s="3" t="s">
        <v>50</v>
      </c>
      <c r="D2" s="3" t="s">
        <v>12</v>
      </c>
      <c r="E2" s="3" t="s">
        <v>42</v>
      </c>
      <c r="F2" s="3" t="s">
        <v>155</v>
      </c>
      <c r="G2" s="3" t="s">
        <v>156</v>
      </c>
      <c r="H2" s="3" t="s">
        <v>90</v>
      </c>
      <c r="I2" s="3" t="s">
        <v>91</v>
      </c>
      <c r="J2" s="3" t="s">
        <v>157</v>
      </c>
      <c r="K2" s="3" t="s">
        <v>158</v>
      </c>
      <c r="L2" s="3" t="s">
        <v>153</v>
      </c>
      <c r="M2" s="3" t="s">
        <v>154</v>
      </c>
    </row>
    <row r="3" spans="1:13" x14ac:dyDescent="0.25">
      <c r="A3" s="8" t="s">
        <v>260</v>
      </c>
      <c r="B3" s="8" t="s">
        <v>261</v>
      </c>
      <c r="C3" s="8" t="s">
        <v>263</v>
      </c>
      <c r="D3" s="4">
        <v>51</v>
      </c>
      <c r="E3" s="4">
        <v>0</v>
      </c>
      <c r="F3" s="4">
        <f>_xll.AtlasFormulas.AtlasFunctions.AtlasBalance("PROD",DataAreaId,"T.TPPTrans_sst|InventDimId~inventDimId@T.InventDim","Sum|Qty|0","","","","","","","ItemId|TransDate|T2.InventSiteId|T2.InventLocationId",$A3,PeriodBeginning,$B3,$C3)</f>
        <v>0</v>
      </c>
      <c r="G3" s="4">
        <f>_xll.AtlasFormulas.AtlasFunctions.AtlasBalance("PROD",DataAreaId,"T.TPPTrans_sst|InventDimId~inventDimId@T.InventDim","Sum|Qty|0","","","","","","","ItemId|TransDate|T2.InventSiteId|T2.InventLocationId",$A3,PeriodEnding,$B3,$C3)</f>
        <v>0</v>
      </c>
      <c r="H3" s="4">
        <f>AtlasReport_4_Table_1[[#This Row],[Quantity]]-AtlasReport_4_Table_1[[#This Row],[TPP trans backwards (Beginning)]]</f>
        <v>51</v>
      </c>
      <c r="I3" s="4">
        <f>AtlasReport_4_Table_1[[#This Row],[Quantity]]-AtlasReport_4_Table_1[[#This Row],[TPP trans backwards (Ending)]]</f>
        <v>51</v>
      </c>
      <c r="J3" s="4">
        <f>_xll.AtlasFormulas.AtlasFunctions.AtlasBalance("PROD",DataAreaId,"T.TPPTrans_sst|InventDimId~inventDimId@T.InventDim","Sum|CostAmount|0","","","","","","","ItemId|TransDate|T2.InventSiteId|T2.InventLocationId",$A3,PeriodBeginning,$B3,$C3)</f>
        <v>0</v>
      </c>
      <c r="K3" s="4">
        <f>_xll.AtlasFormulas.AtlasFunctions.AtlasBalance("PROD",DataAreaId,"T.TPPTrans_sst|InventDimId~inventDimId@T.InventDim","Sum|CostAmount|0","","","","","","","ItemId|TransDate|T2.InventSiteId|T2.InventLocationId",$A3,PeriodEnding,$B3,$C3)</f>
        <v>0</v>
      </c>
      <c r="L3" s="4">
        <f>AtlasReport_4_Table_1[[#This Row],[TPP cost amount]]-AtlasReport_4_Table_1[[#This Row],[TPP trans backwards balance (Beginning)]]</f>
        <v>0</v>
      </c>
      <c r="M3" s="4">
        <f>AtlasReport_4_Table_1[[#This Row],[TPP cost amount]]-AtlasReport_4_Table_1[[#This Row],[TPP Balance (Beginning)]]</f>
        <v>0</v>
      </c>
    </row>
    <row r="4" spans="1:13" x14ac:dyDescent="0.25">
      <c r="A4" s="8" t="s">
        <v>260</v>
      </c>
      <c r="B4" s="8" t="s">
        <v>261</v>
      </c>
      <c r="C4" s="8" t="s">
        <v>264</v>
      </c>
      <c r="D4" s="4">
        <v>80</v>
      </c>
      <c r="E4" s="4">
        <v>0</v>
      </c>
      <c r="F4" s="4">
        <f>_xll.AtlasFormulas.AtlasFunctions.AtlasBalance("PROD",DataAreaId,"T.TPPTrans_sst|InventDimId~inventDimId@T.InventDim","Sum|Qty|0","","","","","","","ItemId|TransDate|T2.InventSiteId|T2.InventLocationId",$A4,PeriodBeginning,$B4,$C4)</f>
        <v>0</v>
      </c>
      <c r="G4" s="4">
        <f>_xll.AtlasFormulas.AtlasFunctions.AtlasBalance("PROD",DataAreaId,"T.TPPTrans_sst|InventDimId~inventDimId@T.InventDim","Sum|Qty|0","","","","","","","ItemId|TransDate|T2.InventSiteId|T2.InventLocationId",$A4,PeriodEnding,$B4,$C4)</f>
        <v>0</v>
      </c>
      <c r="H4" s="4">
        <f>AtlasReport_4_Table_1[[#This Row],[Quantity]]-AtlasReport_4_Table_1[[#This Row],[TPP trans backwards (Beginning)]]</f>
        <v>80</v>
      </c>
      <c r="I4" s="4">
        <f>AtlasReport_4_Table_1[[#This Row],[Quantity]]-AtlasReport_4_Table_1[[#This Row],[TPP trans backwards (Ending)]]</f>
        <v>80</v>
      </c>
      <c r="J4" s="4">
        <f>_xll.AtlasFormulas.AtlasFunctions.AtlasBalance("PROD",DataAreaId,"T.TPPTrans_sst|InventDimId~inventDimId@T.InventDim","Sum|CostAmount|0","","","","","","","ItemId|TransDate|T2.InventSiteId|T2.InventLocationId",$A4,PeriodBeginning,$B4,$C4)</f>
        <v>0</v>
      </c>
      <c r="K4" s="4">
        <f>_xll.AtlasFormulas.AtlasFunctions.AtlasBalance("PROD",DataAreaId,"T.TPPTrans_sst|InventDimId~inventDimId@T.InventDim","Sum|CostAmount|0","","","","","","","ItemId|TransDate|T2.InventSiteId|T2.InventLocationId",$A4,PeriodEnding,$B4,$C4)</f>
        <v>0</v>
      </c>
      <c r="L4" s="4">
        <f>AtlasReport_4_Table_1[[#This Row],[TPP cost amount]]-AtlasReport_4_Table_1[[#This Row],[TPP trans backwards balance (Beginning)]]</f>
        <v>0</v>
      </c>
      <c r="M4" s="4">
        <f>AtlasReport_4_Table_1[[#This Row],[TPP cost amount]]-AtlasReport_4_Table_1[[#This Row],[TPP Balance (Beginning)]]</f>
        <v>0</v>
      </c>
    </row>
    <row r="5" spans="1:13" x14ac:dyDescent="0.25">
      <c r="A5" s="8" t="s">
        <v>267</v>
      </c>
      <c r="B5" s="8" t="s">
        <v>261</v>
      </c>
      <c r="C5" s="8" t="s">
        <v>264</v>
      </c>
      <c r="D5" s="4">
        <v>70</v>
      </c>
      <c r="E5" s="4">
        <v>0</v>
      </c>
      <c r="F5" s="4">
        <f>_xll.AtlasFormulas.AtlasFunctions.AtlasBalance("PROD",DataAreaId,"T.TPPTrans_sst|InventDimId~inventDimId@T.InventDim","Sum|Qty|0","","","","","","","ItemId|TransDate|T2.InventSiteId|T2.InventLocationId",$A5,PeriodBeginning,$B5,$C5)</f>
        <v>0</v>
      </c>
      <c r="G5" s="4">
        <f>_xll.AtlasFormulas.AtlasFunctions.AtlasBalance("PROD",DataAreaId,"T.TPPTrans_sst|InventDimId~inventDimId@T.InventDim","Sum|Qty|0","","","","","","","ItemId|TransDate|T2.InventSiteId|T2.InventLocationId",$A5,PeriodEnding,$B5,$C5)</f>
        <v>0</v>
      </c>
      <c r="H5" s="4">
        <f>AtlasReport_4_Table_1[[#This Row],[Quantity]]-AtlasReport_4_Table_1[[#This Row],[TPP trans backwards (Beginning)]]</f>
        <v>70</v>
      </c>
      <c r="I5" s="4">
        <f>AtlasReport_4_Table_1[[#This Row],[Quantity]]-AtlasReport_4_Table_1[[#This Row],[TPP trans backwards (Ending)]]</f>
        <v>70</v>
      </c>
      <c r="J5" s="4">
        <f>_xll.AtlasFormulas.AtlasFunctions.AtlasBalance("PROD",DataAreaId,"T.TPPTrans_sst|InventDimId~inventDimId@T.InventDim","Sum|CostAmount|0","","","","","","","ItemId|TransDate|T2.InventSiteId|T2.InventLocationId",$A5,PeriodBeginning,$B5,$C5)</f>
        <v>0</v>
      </c>
      <c r="K5" s="4">
        <f>_xll.AtlasFormulas.AtlasFunctions.AtlasBalance("PROD",DataAreaId,"T.TPPTrans_sst|InventDimId~inventDimId@T.InventDim","Sum|CostAmount|0","","","","","","","ItemId|TransDate|T2.InventSiteId|T2.InventLocationId",$A5,PeriodEnding,$B5,$C5)</f>
        <v>0</v>
      </c>
      <c r="L5" s="4">
        <f>AtlasReport_4_Table_1[[#This Row],[TPP cost amount]]-AtlasReport_4_Table_1[[#This Row],[TPP trans backwards balance (Beginning)]]</f>
        <v>0</v>
      </c>
      <c r="M5" s="4">
        <f>AtlasReport_4_Table_1[[#This Row],[TPP cost amount]]-AtlasReport_4_Table_1[[#This Row],[TPP Balance (Beginning)]]</f>
        <v>0</v>
      </c>
    </row>
    <row r="6" spans="1:13" x14ac:dyDescent="0.25">
      <c r="A6" s="8" t="s">
        <v>268</v>
      </c>
      <c r="B6" s="8" t="s">
        <v>261</v>
      </c>
      <c r="C6" s="8" t="s">
        <v>264</v>
      </c>
      <c r="D6" s="4">
        <v>5564</v>
      </c>
      <c r="E6" s="4">
        <v>0</v>
      </c>
      <c r="F6" s="4">
        <f>_xll.AtlasFormulas.AtlasFunctions.AtlasBalance("PROD",DataAreaId,"T.TPPTrans_sst|InventDimId~inventDimId@T.InventDim","Sum|Qty|0","","","","","","","ItemId|TransDate|T2.InventSiteId|T2.InventLocationId",$A6,PeriodBeginning,$B6,$C6)</f>
        <v>0</v>
      </c>
      <c r="G6" s="4">
        <f>_xll.AtlasFormulas.AtlasFunctions.AtlasBalance("PROD",DataAreaId,"T.TPPTrans_sst|InventDimId~inventDimId@T.InventDim","Sum|Qty|0","","","","","","","ItemId|TransDate|T2.InventSiteId|T2.InventLocationId",$A6,PeriodEnding,$B6,$C6)</f>
        <v>0</v>
      </c>
      <c r="H6" s="4">
        <f>AtlasReport_4_Table_1[[#This Row],[Quantity]]-AtlasReport_4_Table_1[[#This Row],[TPP trans backwards (Beginning)]]</f>
        <v>5564</v>
      </c>
      <c r="I6" s="4">
        <f>AtlasReport_4_Table_1[[#This Row],[Quantity]]-AtlasReport_4_Table_1[[#This Row],[TPP trans backwards (Ending)]]</f>
        <v>5564</v>
      </c>
      <c r="J6" s="4">
        <f>_xll.AtlasFormulas.AtlasFunctions.AtlasBalance("PROD",DataAreaId,"T.TPPTrans_sst|InventDimId~inventDimId@T.InventDim","Sum|CostAmount|0","","","","","","","ItemId|TransDate|T2.InventSiteId|T2.InventLocationId",$A6,PeriodBeginning,$B6,$C6)</f>
        <v>0</v>
      </c>
      <c r="K6" s="4">
        <f>_xll.AtlasFormulas.AtlasFunctions.AtlasBalance("PROD",DataAreaId,"T.TPPTrans_sst|InventDimId~inventDimId@T.InventDim","Sum|CostAmount|0","","","","","","","ItemId|TransDate|T2.InventSiteId|T2.InventLocationId",$A6,PeriodEnding,$B6,$C6)</f>
        <v>0</v>
      </c>
      <c r="L6" s="4">
        <f>AtlasReport_4_Table_1[[#This Row],[TPP cost amount]]-AtlasReport_4_Table_1[[#This Row],[TPP trans backwards balance (Beginning)]]</f>
        <v>0</v>
      </c>
      <c r="M6" s="4">
        <f>AtlasReport_4_Table_1[[#This Row],[TPP cost amount]]-AtlasReport_4_Table_1[[#This Row],[TPP Balance (Beginning)]]</f>
        <v>0</v>
      </c>
    </row>
    <row r="7" spans="1:13" x14ac:dyDescent="0.25">
      <c r="A7" s="8" t="s">
        <v>270</v>
      </c>
      <c r="B7" s="8" t="s">
        <v>261</v>
      </c>
      <c r="C7" s="8" t="s">
        <v>264</v>
      </c>
      <c r="D7" s="4">
        <v>1005</v>
      </c>
      <c r="E7" s="4">
        <v>0</v>
      </c>
      <c r="F7" s="4">
        <f>_xll.AtlasFormulas.AtlasFunctions.AtlasBalance("PROD",DataAreaId,"T.TPPTrans_sst|InventDimId~inventDimId@T.InventDim","Sum|Qty|0","","","","","","","ItemId|TransDate|T2.InventSiteId|T2.InventLocationId",$A7,PeriodBeginning,$B7,$C7)</f>
        <v>0</v>
      </c>
      <c r="G7" s="4">
        <f>_xll.AtlasFormulas.AtlasFunctions.AtlasBalance("PROD",DataAreaId,"T.TPPTrans_sst|InventDimId~inventDimId@T.InventDim","Sum|Qty|0","","","","","","","ItemId|TransDate|T2.InventSiteId|T2.InventLocationId",$A7,PeriodEnding,$B7,$C7)</f>
        <v>0</v>
      </c>
      <c r="H7" s="4">
        <f>AtlasReport_4_Table_1[[#This Row],[Quantity]]-AtlasReport_4_Table_1[[#This Row],[TPP trans backwards (Beginning)]]</f>
        <v>1005</v>
      </c>
      <c r="I7" s="4">
        <f>AtlasReport_4_Table_1[[#This Row],[Quantity]]-AtlasReport_4_Table_1[[#This Row],[TPP trans backwards (Ending)]]</f>
        <v>1005</v>
      </c>
      <c r="J7" s="4">
        <f>_xll.AtlasFormulas.AtlasFunctions.AtlasBalance("PROD",DataAreaId,"T.TPPTrans_sst|InventDimId~inventDimId@T.InventDim","Sum|CostAmount|0","","","","","","","ItemId|TransDate|T2.InventSiteId|T2.InventLocationId",$A7,PeriodBeginning,$B7,$C7)</f>
        <v>0</v>
      </c>
      <c r="K7" s="4">
        <f>_xll.AtlasFormulas.AtlasFunctions.AtlasBalance("PROD",DataAreaId,"T.TPPTrans_sst|InventDimId~inventDimId@T.InventDim","Sum|CostAmount|0","","","","","","","ItemId|TransDate|T2.InventSiteId|T2.InventLocationId",$A7,PeriodEnding,$B7,$C7)</f>
        <v>0</v>
      </c>
      <c r="L7" s="4">
        <f>AtlasReport_4_Table_1[[#This Row],[TPP cost amount]]-AtlasReport_4_Table_1[[#This Row],[TPP trans backwards balance (Beginning)]]</f>
        <v>0</v>
      </c>
      <c r="M7" s="4">
        <f>AtlasReport_4_Table_1[[#This Row],[TPP cost amount]]-AtlasReport_4_Table_1[[#This Row],[TPP Balance (Beginning)]]</f>
        <v>0</v>
      </c>
    </row>
    <row r="8" spans="1:13" x14ac:dyDescent="0.25">
      <c r="A8" s="8" t="s">
        <v>272</v>
      </c>
      <c r="B8" s="8" t="s">
        <v>261</v>
      </c>
      <c r="C8" s="8" t="s">
        <v>264</v>
      </c>
      <c r="D8" s="4">
        <v>1140</v>
      </c>
      <c r="E8" s="4">
        <v>0</v>
      </c>
      <c r="F8" s="4">
        <f>_xll.AtlasFormulas.AtlasFunctions.AtlasBalance("PROD",DataAreaId,"T.TPPTrans_sst|InventDimId~inventDimId@T.InventDim","Sum|Qty|0","","","","","","","ItemId|TransDate|T2.InventSiteId|T2.InventLocationId",$A8,PeriodBeginning,$B8,$C8)</f>
        <v>0</v>
      </c>
      <c r="G8" s="4">
        <f>_xll.AtlasFormulas.AtlasFunctions.AtlasBalance("PROD",DataAreaId,"T.TPPTrans_sst|InventDimId~inventDimId@T.InventDim","Sum|Qty|0","","","","","","","ItemId|TransDate|T2.InventSiteId|T2.InventLocationId",$A8,PeriodEnding,$B8,$C8)</f>
        <v>0</v>
      </c>
      <c r="H8" s="4">
        <f>AtlasReport_4_Table_1[[#This Row],[Quantity]]-AtlasReport_4_Table_1[[#This Row],[TPP trans backwards (Beginning)]]</f>
        <v>1140</v>
      </c>
      <c r="I8" s="4">
        <f>AtlasReport_4_Table_1[[#This Row],[Quantity]]-AtlasReport_4_Table_1[[#This Row],[TPP trans backwards (Ending)]]</f>
        <v>1140</v>
      </c>
      <c r="J8" s="4">
        <f>_xll.AtlasFormulas.AtlasFunctions.AtlasBalance("PROD",DataAreaId,"T.TPPTrans_sst|InventDimId~inventDimId@T.InventDim","Sum|CostAmount|0","","","","","","","ItemId|TransDate|T2.InventSiteId|T2.InventLocationId",$A8,PeriodBeginning,$B8,$C8)</f>
        <v>0</v>
      </c>
      <c r="K8" s="4">
        <f>_xll.AtlasFormulas.AtlasFunctions.AtlasBalance("PROD",DataAreaId,"T.TPPTrans_sst|InventDimId~inventDimId@T.InventDim","Sum|CostAmount|0","","","","","","","ItemId|TransDate|T2.InventSiteId|T2.InventLocationId",$A8,PeriodEnding,$B8,$C8)</f>
        <v>0</v>
      </c>
      <c r="L8" s="4">
        <f>AtlasReport_4_Table_1[[#This Row],[TPP cost amount]]-AtlasReport_4_Table_1[[#This Row],[TPP trans backwards balance (Beginning)]]</f>
        <v>0</v>
      </c>
      <c r="M8" s="4">
        <f>AtlasReport_4_Table_1[[#This Row],[TPP cost amount]]-AtlasReport_4_Table_1[[#This Row],[TPP Balance (Beginning)]]</f>
        <v>0</v>
      </c>
    </row>
    <row r="9" spans="1:13" x14ac:dyDescent="0.25">
      <c r="A9" s="8" t="s">
        <v>273</v>
      </c>
      <c r="B9" s="8" t="s">
        <v>261</v>
      </c>
      <c r="C9" s="8" t="s">
        <v>264</v>
      </c>
      <c r="D9" s="4">
        <v>179</v>
      </c>
      <c r="E9" s="4">
        <v>0</v>
      </c>
      <c r="F9" s="4">
        <f>_xll.AtlasFormulas.AtlasFunctions.AtlasBalance("PROD",DataAreaId,"T.TPPTrans_sst|InventDimId~inventDimId@T.InventDim","Sum|Qty|0","","","","","","","ItemId|TransDate|T2.InventSiteId|T2.InventLocationId",$A9,PeriodBeginning,$B9,$C9)</f>
        <v>0</v>
      </c>
      <c r="G9" s="4">
        <f>_xll.AtlasFormulas.AtlasFunctions.AtlasBalance("PROD",DataAreaId,"T.TPPTrans_sst|InventDimId~inventDimId@T.InventDim","Sum|Qty|0","","","","","","","ItemId|TransDate|T2.InventSiteId|T2.InventLocationId",$A9,PeriodEnding,$B9,$C9)</f>
        <v>0</v>
      </c>
      <c r="H9" s="4">
        <f>AtlasReport_4_Table_1[[#This Row],[Quantity]]-AtlasReport_4_Table_1[[#This Row],[TPP trans backwards (Beginning)]]</f>
        <v>179</v>
      </c>
      <c r="I9" s="4">
        <f>AtlasReport_4_Table_1[[#This Row],[Quantity]]-AtlasReport_4_Table_1[[#This Row],[TPP trans backwards (Ending)]]</f>
        <v>179</v>
      </c>
      <c r="J9" s="4">
        <f>_xll.AtlasFormulas.AtlasFunctions.AtlasBalance("PROD",DataAreaId,"T.TPPTrans_sst|InventDimId~inventDimId@T.InventDim","Sum|CostAmount|0","","","","","","","ItemId|TransDate|T2.InventSiteId|T2.InventLocationId",$A9,PeriodBeginning,$B9,$C9)</f>
        <v>0</v>
      </c>
      <c r="K9" s="4">
        <f>_xll.AtlasFormulas.AtlasFunctions.AtlasBalance("PROD",DataAreaId,"T.TPPTrans_sst|InventDimId~inventDimId@T.InventDim","Sum|CostAmount|0","","","","","","","ItemId|TransDate|T2.InventSiteId|T2.InventLocationId",$A9,PeriodEnding,$B9,$C9)</f>
        <v>0</v>
      </c>
      <c r="L9" s="4">
        <f>AtlasReport_4_Table_1[[#This Row],[TPP cost amount]]-AtlasReport_4_Table_1[[#This Row],[TPP trans backwards balance (Beginning)]]</f>
        <v>0</v>
      </c>
      <c r="M9" s="4">
        <f>AtlasReport_4_Table_1[[#This Row],[TPP cost amount]]-AtlasReport_4_Table_1[[#This Row],[TPP Balance (Beginning)]]</f>
        <v>0</v>
      </c>
    </row>
    <row r="10" spans="1:13" x14ac:dyDescent="0.25">
      <c r="A10" s="8" t="s">
        <v>274</v>
      </c>
      <c r="B10" s="8" t="s">
        <v>261</v>
      </c>
      <c r="C10" s="8" t="s">
        <v>264</v>
      </c>
      <c r="D10" s="4">
        <v>390.7</v>
      </c>
      <c r="E10" s="4">
        <v>0</v>
      </c>
      <c r="F10" s="4">
        <f>_xll.AtlasFormulas.AtlasFunctions.AtlasBalance("PROD",DataAreaId,"T.TPPTrans_sst|InventDimId~inventDimId@T.InventDim","Sum|Qty|0","","","","","","","ItemId|TransDate|T2.InventSiteId|T2.InventLocationId",$A10,PeriodBeginning,$B10,$C10)</f>
        <v>0</v>
      </c>
      <c r="G10" s="4">
        <f>_xll.AtlasFormulas.AtlasFunctions.AtlasBalance("PROD",DataAreaId,"T.TPPTrans_sst|InventDimId~inventDimId@T.InventDim","Sum|Qty|0","","","","","","","ItemId|TransDate|T2.InventSiteId|T2.InventLocationId",$A10,PeriodEnding,$B10,$C10)</f>
        <v>0</v>
      </c>
      <c r="H10" s="4">
        <f>AtlasReport_4_Table_1[[#This Row],[Quantity]]-AtlasReport_4_Table_1[[#This Row],[TPP trans backwards (Beginning)]]</f>
        <v>390.7</v>
      </c>
      <c r="I10" s="4">
        <f>AtlasReport_4_Table_1[[#This Row],[Quantity]]-AtlasReport_4_Table_1[[#This Row],[TPP trans backwards (Ending)]]</f>
        <v>390.7</v>
      </c>
      <c r="J10" s="4">
        <f>_xll.AtlasFormulas.AtlasFunctions.AtlasBalance("PROD",DataAreaId,"T.TPPTrans_sst|InventDimId~inventDimId@T.InventDim","Sum|CostAmount|0","","","","","","","ItemId|TransDate|T2.InventSiteId|T2.InventLocationId",$A10,PeriodBeginning,$B10,$C10)</f>
        <v>0</v>
      </c>
      <c r="K10" s="4">
        <f>_xll.AtlasFormulas.AtlasFunctions.AtlasBalance("PROD",DataAreaId,"T.TPPTrans_sst|InventDimId~inventDimId@T.InventDim","Sum|CostAmount|0","","","","","","","ItemId|TransDate|T2.InventSiteId|T2.InventLocationId",$A10,PeriodEnding,$B10,$C10)</f>
        <v>0</v>
      </c>
      <c r="L10" s="4">
        <f>AtlasReport_4_Table_1[[#This Row],[TPP cost amount]]-AtlasReport_4_Table_1[[#This Row],[TPP trans backwards balance (Beginning)]]</f>
        <v>0</v>
      </c>
      <c r="M10" s="4">
        <f>AtlasReport_4_Table_1[[#This Row],[TPP cost amount]]-AtlasReport_4_Table_1[[#This Row],[TPP Balance (Beginning)]]</f>
        <v>0</v>
      </c>
    </row>
    <row r="11" spans="1:13" x14ac:dyDescent="0.25">
      <c r="A11" s="8" t="s">
        <v>275</v>
      </c>
      <c r="B11" s="8" t="s">
        <v>261</v>
      </c>
      <c r="C11" s="8" t="s">
        <v>264</v>
      </c>
      <c r="D11" s="4">
        <v>290</v>
      </c>
      <c r="E11" s="4">
        <v>0</v>
      </c>
      <c r="F11" s="4">
        <f>_xll.AtlasFormulas.AtlasFunctions.AtlasBalance("PROD",DataAreaId,"T.TPPTrans_sst|InventDimId~inventDimId@T.InventDim","Sum|Qty|0","","","","","","","ItemId|TransDate|T2.InventSiteId|T2.InventLocationId",$A11,PeriodBeginning,$B11,$C11)</f>
        <v>0</v>
      </c>
      <c r="G11" s="4">
        <f>_xll.AtlasFormulas.AtlasFunctions.AtlasBalance("PROD",DataAreaId,"T.TPPTrans_sst|InventDimId~inventDimId@T.InventDim","Sum|Qty|0","","","","","","","ItemId|TransDate|T2.InventSiteId|T2.InventLocationId",$A11,PeriodEnding,$B11,$C11)</f>
        <v>0</v>
      </c>
      <c r="H11" s="4">
        <f>AtlasReport_4_Table_1[[#This Row],[Quantity]]-AtlasReport_4_Table_1[[#This Row],[TPP trans backwards (Beginning)]]</f>
        <v>290</v>
      </c>
      <c r="I11" s="4">
        <f>AtlasReport_4_Table_1[[#This Row],[Quantity]]-AtlasReport_4_Table_1[[#This Row],[TPP trans backwards (Ending)]]</f>
        <v>290</v>
      </c>
      <c r="J11" s="4">
        <f>_xll.AtlasFormulas.AtlasFunctions.AtlasBalance("PROD",DataAreaId,"T.TPPTrans_sst|InventDimId~inventDimId@T.InventDim","Sum|CostAmount|0","","","","","","","ItemId|TransDate|T2.InventSiteId|T2.InventLocationId",$A11,PeriodBeginning,$B11,$C11)</f>
        <v>0</v>
      </c>
      <c r="K11" s="4">
        <f>_xll.AtlasFormulas.AtlasFunctions.AtlasBalance("PROD",DataAreaId,"T.TPPTrans_sst|InventDimId~inventDimId@T.InventDim","Sum|CostAmount|0","","","","","","","ItemId|TransDate|T2.InventSiteId|T2.InventLocationId",$A11,PeriodEnding,$B11,$C11)</f>
        <v>0</v>
      </c>
      <c r="L11" s="4">
        <f>AtlasReport_4_Table_1[[#This Row],[TPP cost amount]]-AtlasReport_4_Table_1[[#This Row],[TPP trans backwards balance (Beginning)]]</f>
        <v>0</v>
      </c>
      <c r="M11" s="4">
        <f>AtlasReport_4_Table_1[[#This Row],[TPP cost amount]]-AtlasReport_4_Table_1[[#This Row],[TPP Balance (Beginning)]]</f>
        <v>0</v>
      </c>
    </row>
    <row r="12" spans="1:13" x14ac:dyDescent="0.25">
      <c r="A12" s="8" t="s">
        <v>276</v>
      </c>
      <c r="B12" s="8" t="s">
        <v>261</v>
      </c>
      <c r="C12" s="8" t="s">
        <v>264</v>
      </c>
      <c r="D12" s="4">
        <v>11021</v>
      </c>
      <c r="E12" s="4">
        <v>0</v>
      </c>
      <c r="F12" s="4">
        <f>_xll.AtlasFormulas.AtlasFunctions.AtlasBalance("PROD",DataAreaId,"T.TPPTrans_sst|InventDimId~inventDimId@T.InventDim","Sum|Qty|0","","","","","","","ItemId|TransDate|T2.InventSiteId|T2.InventLocationId",$A12,PeriodBeginning,$B12,$C12)</f>
        <v>0</v>
      </c>
      <c r="G12" s="4">
        <f>_xll.AtlasFormulas.AtlasFunctions.AtlasBalance("PROD",DataAreaId,"T.TPPTrans_sst|InventDimId~inventDimId@T.InventDim","Sum|Qty|0","","","","","","","ItemId|TransDate|T2.InventSiteId|T2.InventLocationId",$A12,PeriodEnding,$B12,$C12)</f>
        <v>0</v>
      </c>
      <c r="H12" s="4">
        <f>AtlasReport_4_Table_1[[#This Row],[Quantity]]-AtlasReport_4_Table_1[[#This Row],[TPP trans backwards (Beginning)]]</f>
        <v>11021</v>
      </c>
      <c r="I12" s="4">
        <f>AtlasReport_4_Table_1[[#This Row],[Quantity]]-AtlasReport_4_Table_1[[#This Row],[TPP trans backwards (Ending)]]</f>
        <v>11021</v>
      </c>
      <c r="J12" s="4">
        <f>_xll.AtlasFormulas.AtlasFunctions.AtlasBalance("PROD",DataAreaId,"T.TPPTrans_sst|InventDimId~inventDimId@T.InventDim","Sum|CostAmount|0","","","","","","","ItemId|TransDate|T2.InventSiteId|T2.InventLocationId",$A12,PeriodBeginning,$B12,$C12)</f>
        <v>0</v>
      </c>
      <c r="K12" s="4">
        <f>_xll.AtlasFormulas.AtlasFunctions.AtlasBalance("PROD",DataAreaId,"T.TPPTrans_sst|InventDimId~inventDimId@T.InventDim","Sum|CostAmount|0","","","","","","","ItemId|TransDate|T2.InventSiteId|T2.InventLocationId",$A12,PeriodEnding,$B12,$C12)</f>
        <v>0</v>
      </c>
      <c r="L12" s="4">
        <f>AtlasReport_4_Table_1[[#This Row],[TPP cost amount]]-AtlasReport_4_Table_1[[#This Row],[TPP trans backwards balance (Beginning)]]</f>
        <v>0</v>
      </c>
      <c r="M12" s="4">
        <f>AtlasReport_4_Table_1[[#This Row],[TPP cost amount]]-AtlasReport_4_Table_1[[#This Row],[TPP Balance (Beginning)]]</f>
        <v>0</v>
      </c>
    </row>
    <row r="13" spans="1:13" x14ac:dyDescent="0.25">
      <c r="A13" s="8" t="s">
        <v>277</v>
      </c>
      <c r="B13" s="8" t="s">
        <v>261</v>
      </c>
      <c r="C13" s="8" t="s">
        <v>264</v>
      </c>
      <c r="D13" s="4">
        <v>2734</v>
      </c>
      <c r="E13" s="4">
        <v>0</v>
      </c>
      <c r="F13" s="4">
        <f>_xll.AtlasFormulas.AtlasFunctions.AtlasBalance("PROD",DataAreaId,"T.TPPTrans_sst|InventDimId~inventDimId@T.InventDim","Sum|Qty|0","","","","","","","ItemId|TransDate|T2.InventSiteId|T2.InventLocationId",$A13,PeriodBeginning,$B13,$C13)</f>
        <v>0</v>
      </c>
      <c r="G13" s="4">
        <f>_xll.AtlasFormulas.AtlasFunctions.AtlasBalance("PROD",DataAreaId,"T.TPPTrans_sst|InventDimId~inventDimId@T.InventDim","Sum|Qty|0","","","","","","","ItemId|TransDate|T2.InventSiteId|T2.InventLocationId",$A13,PeriodEnding,$B13,$C13)</f>
        <v>0</v>
      </c>
      <c r="H13" s="4">
        <f>AtlasReport_4_Table_1[[#This Row],[Quantity]]-AtlasReport_4_Table_1[[#This Row],[TPP trans backwards (Beginning)]]</f>
        <v>2734</v>
      </c>
      <c r="I13" s="4">
        <f>AtlasReport_4_Table_1[[#This Row],[Quantity]]-AtlasReport_4_Table_1[[#This Row],[TPP trans backwards (Ending)]]</f>
        <v>2734</v>
      </c>
      <c r="J13" s="4">
        <f>_xll.AtlasFormulas.AtlasFunctions.AtlasBalance("PROD",DataAreaId,"T.TPPTrans_sst|InventDimId~inventDimId@T.InventDim","Sum|CostAmount|0","","","","","","","ItemId|TransDate|T2.InventSiteId|T2.InventLocationId",$A13,PeriodBeginning,$B13,$C13)</f>
        <v>0</v>
      </c>
      <c r="K13" s="4">
        <f>_xll.AtlasFormulas.AtlasFunctions.AtlasBalance("PROD",DataAreaId,"T.TPPTrans_sst|InventDimId~inventDimId@T.InventDim","Sum|CostAmount|0","","","","","","","ItemId|TransDate|T2.InventSiteId|T2.InventLocationId",$A13,PeriodEnding,$B13,$C13)</f>
        <v>0</v>
      </c>
      <c r="L13" s="4">
        <f>AtlasReport_4_Table_1[[#This Row],[TPP cost amount]]-AtlasReport_4_Table_1[[#This Row],[TPP trans backwards balance (Beginning)]]</f>
        <v>0</v>
      </c>
      <c r="M13" s="4">
        <f>AtlasReport_4_Table_1[[#This Row],[TPP cost amount]]-AtlasReport_4_Table_1[[#This Row],[TPP Balance (Beginning)]]</f>
        <v>0</v>
      </c>
    </row>
    <row r="14" spans="1:13" x14ac:dyDescent="0.25">
      <c r="A14" s="8" t="s">
        <v>52</v>
      </c>
      <c r="B14" s="8" t="s">
        <v>261</v>
      </c>
      <c r="C14" s="8" t="s">
        <v>264</v>
      </c>
      <c r="D14" s="4">
        <v>52543.7</v>
      </c>
      <c r="E14" s="4">
        <v>0</v>
      </c>
      <c r="F14" s="4">
        <f>_xll.AtlasFormulas.AtlasFunctions.AtlasBalance("PROD",DataAreaId,"T.TPPTrans_sst|InventDimId~inventDimId@T.InventDim","Sum|Qty|0","","","","","","","ItemId|TransDate|T2.InventSiteId|T2.InventLocationId",$A14,PeriodBeginning,$B14,$C14)</f>
        <v>0</v>
      </c>
      <c r="G14" s="4">
        <f>_xll.AtlasFormulas.AtlasFunctions.AtlasBalance("PROD",DataAreaId,"T.TPPTrans_sst|InventDimId~inventDimId@T.InventDim","Sum|Qty|0","","","","","","","ItemId|TransDate|T2.InventSiteId|T2.InventLocationId",$A14,PeriodEnding,$B14,$C14)</f>
        <v>0</v>
      </c>
      <c r="H14" s="4">
        <f>AtlasReport_4_Table_1[[#This Row],[Quantity]]-AtlasReport_4_Table_1[[#This Row],[TPP trans backwards (Beginning)]]</f>
        <v>52543.7</v>
      </c>
      <c r="I14" s="4">
        <f>AtlasReport_4_Table_1[[#This Row],[Quantity]]-AtlasReport_4_Table_1[[#This Row],[TPP trans backwards (Ending)]]</f>
        <v>52543.7</v>
      </c>
      <c r="J14" s="4">
        <f>_xll.AtlasFormulas.AtlasFunctions.AtlasBalance("PROD",DataAreaId,"T.TPPTrans_sst|InventDimId~inventDimId@T.InventDim","Sum|CostAmount|0","","","","","","","ItemId|TransDate|T2.InventSiteId|T2.InventLocationId",$A14,PeriodBeginning,$B14,$C14)</f>
        <v>0</v>
      </c>
      <c r="K14" s="4">
        <f>_xll.AtlasFormulas.AtlasFunctions.AtlasBalance("PROD",DataAreaId,"T.TPPTrans_sst|InventDimId~inventDimId@T.InventDim","Sum|CostAmount|0","","","","","","","ItemId|TransDate|T2.InventSiteId|T2.InventLocationId",$A14,PeriodEnding,$B14,$C14)</f>
        <v>0</v>
      </c>
      <c r="L14" s="4">
        <f>AtlasReport_4_Table_1[[#This Row],[TPP cost amount]]-AtlasReport_4_Table_1[[#This Row],[TPP trans backwards balance (Beginning)]]</f>
        <v>0</v>
      </c>
      <c r="M14" s="4">
        <f>AtlasReport_4_Table_1[[#This Row],[TPP cost amount]]-AtlasReport_4_Table_1[[#This Row],[TPP Balance (Beginning)]]</f>
        <v>0</v>
      </c>
    </row>
    <row r="15" spans="1:13" x14ac:dyDescent="0.25">
      <c r="A15" s="8" t="s">
        <v>136</v>
      </c>
      <c r="B15" s="8" t="s">
        <v>261</v>
      </c>
      <c r="C15" s="8" t="s">
        <v>264</v>
      </c>
      <c r="D15" s="4">
        <v>13781.6</v>
      </c>
      <c r="E15" s="4">
        <v>0</v>
      </c>
      <c r="F15" s="4">
        <f>_xll.AtlasFormulas.AtlasFunctions.AtlasBalance("PROD",DataAreaId,"T.TPPTrans_sst|InventDimId~inventDimId@T.InventDim","Sum|Qty|0","","","","","","","ItemId|TransDate|T2.InventSiteId|T2.InventLocationId",$A15,PeriodBeginning,$B15,$C15)</f>
        <v>0</v>
      </c>
      <c r="G15" s="4">
        <f>_xll.AtlasFormulas.AtlasFunctions.AtlasBalance("PROD",DataAreaId,"T.TPPTrans_sst|InventDimId~inventDimId@T.InventDim","Sum|Qty|0","","","","","","","ItemId|TransDate|T2.InventSiteId|T2.InventLocationId",$A15,PeriodEnding,$B15,$C15)</f>
        <v>0</v>
      </c>
      <c r="H15" s="4">
        <f>AtlasReport_4_Table_1[[#This Row],[Quantity]]-AtlasReport_4_Table_1[[#This Row],[TPP trans backwards (Beginning)]]</f>
        <v>13781.6</v>
      </c>
      <c r="I15" s="4">
        <f>AtlasReport_4_Table_1[[#This Row],[Quantity]]-AtlasReport_4_Table_1[[#This Row],[TPP trans backwards (Ending)]]</f>
        <v>13781.6</v>
      </c>
      <c r="J15" s="4">
        <f>_xll.AtlasFormulas.AtlasFunctions.AtlasBalance("PROD",DataAreaId,"T.TPPTrans_sst|InventDimId~inventDimId@T.InventDim","Sum|CostAmount|0","","","","","","","ItemId|TransDate|T2.InventSiteId|T2.InventLocationId",$A15,PeriodBeginning,$B15,$C15)</f>
        <v>0</v>
      </c>
      <c r="K15" s="4">
        <f>_xll.AtlasFormulas.AtlasFunctions.AtlasBalance("PROD",DataAreaId,"T.TPPTrans_sst|InventDimId~inventDimId@T.InventDim","Sum|CostAmount|0","","","","","","","ItemId|TransDate|T2.InventSiteId|T2.InventLocationId",$A15,PeriodEnding,$B15,$C15)</f>
        <v>0</v>
      </c>
      <c r="L15" s="4">
        <f>AtlasReport_4_Table_1[[#This Row],[TPP cost amount]]-AtlasReport_4_Table_1[[#This Row],[TPP trans backwards balance (Beginning)]]</f>
        <v>0</v>
      </c>
      <c r="M15" s="4">
        <f>AtlasReport_4_Table_1[[#This Row],[TPP cost amount]]-AtlasReport_4_Table_1[[#This Row],[TPP Balance (Beginning)]]</f>
        <v>0</v>
      </c>
    </row>
    <row r="16" spans="1:13" x14ac:dyDescent="0.25">
      <c r="A16" s="8" t="s">
        <v>278</v>
      </c>
      <c r="B16" s="8" t="s">
        <v>261</v>
      </c>
      <c r="C16" s="8" t="s">
        <v>264</v>
      </c>
      <c r="D16" s="4">
        <v>417.5</v>
      </c>
      <c r="E16" s="4">
        <v>0</v>
      </c>
      <c r="F16" s="4">
        <f>_xll.AtlasFormulas.AtlasFunctions.AtlasBalance("PROD",DataAreaId,"T.TPPTrans_sst|InventDimId~inventDimId@T.InventDim","Sum|Qty|0","","","","","","","ItemId|TransDate|T2.InventSiteId|T2.InventLocationId",$A16,PeriodBeginning,$B16,$C16)</f>
        <v>0</v>
      </c>
      <c r="G16" s="4">
        <f>_xll.AtlasFormulas.AtlasFunctions.AtlasBalance("PROD",DataAreaId,"T.TPPTrans_sst|InventDimId~inventDimId@T.InventDim","Sum|Qty|0","","","","","","","ItemId|TransDate|T2.InventSiteId|T2.InventLocationId",$A16,PeriodEnding,$B16,$C16)</f>
        <v>0</v>
      </c>
      <c r="H16" s="4">
        <f>AtlasReport_4_Table_1[[#This Row],[Quantity]]-AtlasReport_4_Table_1[[#This Row],[TPP trans backwards (Beginning)]]</f>
        <v>417.5</v>
      </c>
      <c r="I16" s="4">
        <f>AtlasReport_4_Table_1[[#This Row],[Quantity]]-AtlasReport_4_Table_1[[#This Row],[TPP trans backwards (Ending)]]</f>
        <v>417.5</v>
      </c>
      <c r="J16" s="4">
        <f>_xll.AtlasFormulas.AtlasFunctions.AtlasBalance("PROD",DataAreaId,"T.TPPTrans_sst|InventDimId~inventDimId@T.InventDim","Sum|CostAmount|0","","","","","","","ItemId|TransDate|T2.InventSiteId|T2.InventLocationId",$A16,PeriodBeginning,$B16,$C16)</f>
        <v>0</v>
      </c>
      <c r="K16" s="4">
        <f>_xll.AtlasFormulas.AtlasFunctions.AtlasBalance("PROD",DataAreaId,"T.TPPTrans_sst|InventDimId~inventDimId@T.InventDim","Sum|CostAmount|0","","","","","","","ItemId|TransDate|T2.InventSiteId|T2.InventLocationId",$A16,PeriodEnding,$B16,$C16)</f>
        <v>0</v>
      </c>
      <c r="L16" s="4">
        <f>AtlasReport_4_Table_1[[#This Row],[TPP cost amount]]-AtlasReport_4_Table_1[[#This Row],[TPP trans backwards balance (Beginning)]]</f>
        <v>0</v>
      </c>
      <c r="M16" s="4">
        <f>AtlasReport_4_Table_1[[#This Row],[TPP cost amount]]-AtlasReport_4_Table_1[[#This Row],[TPP Balance (Beginning)]]</f>
        <v>0</v>
      </c>
    </row>
    <row r="17" spans="1:13" x14ac:dyDescent="0.25">
      <c r="A17" s="8" t="s">
        <v>280</v>
      </c>
      <c r="B17" s="8" t="s">
        <v>261</v>
      </c>
      <c r="C17" s="8" t="s">
        <v>264</v>
      </c>
      <c r="D17" s="4">
        <v>10</v>
      </c>
      <c r="E17" s="4">
        <v>0</v>
      </c>
      <c r="F17" s="4">
        <f>_xll.AtlasFormulas.AtlasFunctions.AtlasBalance("PROD",DataAreaId,"T.TPPTrans_sst|InventDimId~inventDimId@T.InventDim","Sum|Qty|0","","","","","","","ItemId|TransDate|T2.InventSiteId|T2.InventLocationId",$A17,PeriodBeginning,$B17,$C17)</f>
        <v>0</v>
      </c>
      <c r="G17" s="4">
        <f>_xll.AtlasFormulas.AtlasFunctions.AtlasBalance("PROD",DataAreaId,"T.TPPTrans_sst|InventDimId~inventDimId@T.InventDim","Sum|Qty|0","","","","","","","ItemId|TransDate|T2.InventSiteId|T2.InventLocationId",$A17,PeriodEnding,$B17,$C17)</f>
        <v>0</v>
      </c>
      <c r="H17" s="4">
        <f>AtlasReport_4_Table_1[[#This Row],[Quantity]]-AtlasReport_4_Table_1[[#This Row],[TPP trans backwards (Beginning)]]</f>
        <v>10</v>
      </c>
      <c r="I17" s="4">
        <f>AtlasReport_4_Table_1[[#This Row],[Quantity]]-AtlasReport_4_Table_1[[#This Row],[TPP trans backwards (Ending)]]</f>
        <v>10</v>
      </c>
      <c r="J17" s="4">
        <f>_xll.AtlasFormulas.AtlasFunctions.AtlasBalance("PROD",DataAreaId,"T.TPPTrans_sst|InventDimId~inventDimId@T.InventDim","Sum|CostAmount|0","","","","","","","ItemId|TransDate|T2.InventSiteId|T2.InventLocationId",$A17,PeriodBeginning,$B17,$C17)</f>
        <v>0</v>
      </c>
      <c r="K17" s="4">
        <f>_xll.AtlasFormulas.AtlasFunctions.AtlasBalance("PROD",DataAreaId,"T.TPPTrans_sst|InventDimId~inventDimId@T.InventDim","Sum|CostAmount|0","","","","","","","ItemId|TransDate|T2.InventSiteId|T2.InventLocationId",$A17,PeriodEnding,$B17,$C17)</f>
        <v>0</v>
      </c>
      <c r="L17" s="4">
        <f>AtlasReport_4_Table_1[[#This Row],[TPP cost amount]]-AtlasReport_4_Table_1[[#This Row],[TPP trans backwards balance (Beginning)]]</f>
        <v>0</v>
      </c>
      <c r="M17" s="4">
        <f>AtlasReport_4_Table_1[[#This Row],[TPP cost amount]]-AtlasReport_4_Table_1[[#This Row],[TPP Balance (Beginning)]]</f>
        <v>0</v>
      </c>
    </row>
    <row r="18" spans="1:13" x14ac:dyDescent="0.25">
      <c r="A18" s="8" t="s">
        <v>281</v>
      </c>
      <c r="B18" s="8" t="s">
        <v>261</v>
      </c>
      <c r="C18" s="8" t="s">
        <v>264</v>
      </c>
      <c r="D18" s="4">
        <v>0</v>
      </c>
      <c r="E18" s="4">
        <v>0</v>
      </c>
      <c r="F18" s="4">
        <f>_xll.AtlasFormulas.AtlasFunctions.AtlasBalance("PROD",DataAreaId,"T.TPPTrans_sst|InventDimId~inventDimId@T.InventDim","Sum|Qty|0","","","","","","","ItemId|TransDate|T2.InventSiteId|T2.InventLocationId",$A18,PeriodBeginning,$B18,$C18)</f>
        <v>0</v>
      </c>
      <c r="G18" s="4">
        <f>_xll.AtlasFormulas.AtlasFunctions.AtlasBalance("PROD",DataAreaId,"T.TPPTrans_sst|InventDimId~inventDimId@T.InventDim","Sum|Qty|0","","","","","","","ItemId|TransDate|T2.InventSiteId|T2.InventLocationId",$A18,PeriodEnding,$B18,$C18)</f>
        <v>0</v>
      </c>
      <c r="H18" s="4">
        <f>AtlasReport_4_Table_1[[#This Row],[Quantity]]-AtlasReport_4_Table_1[[#This Row],[TPP trans backwards (Beginning)]]</f>
        <v>0</v>
      </c>
      <c r="I18" s="4">
        <f>AtlasReport_4_Table_1[[#This Row],[Quantity]]-AtlasReport_4_Table_1[[#This Row],[TPP trans backwards (Ending)]]</f>
        <v>0</v>
      </c>
      <c r="J18" s="4">
        <f>_xll.AtlasFormulas.AtlasFunctions.AtlasBalance("PROD",DataAreaId,"T.TPPTrans_sst|InventDimId~inventDimId@T.InventDim","Sum|CostAmount|0","","","","","","","ItemId|TransDate|T2.InventSiteId|T2.InventLocationId",$A18,PeriodBeginning,$B18,$C18)</f>
        <v>0</v>
      </c>
      <c r="K18" s="4">
        <f>_xll.AtlasFormulas.AtlasFunctions.AtlasBalance("PROD",DataAreaId,"T.TPPTrans_sst|InventDimId~inventDimId@T.InventDim","Sum|CostAmount|0","","","","","","","ItemId|TransDate|T2.InventSiteId|T2.InventLocationId",$A18,PeriodEnding,$B18,$C18)</f>
        <v>0</v>
      </c>
      <c r="L18" s="4">
        <f>AtlasReport_4_Table_1[[#This Row],[TPP cost amount]]-AtlasReport_4_Table_1[[#This Row],[TPP trans backwards balance (Beginning)]]</f>
        <v>0</v>
      </c>
      <c r="M18" s="4">
        <f>AtlasReport_4_Table_1[[#This Row],[TPP cost amount]]-AtlasReport_4_Table_1[[#This Row],[TPP Balance (Beginning)]]</f>
        <v>0</v>
      </c>
    </row>
    <row r="19" spans="1:13" x14ac:dyDescent="0.25">
      <c r="A19" s="8" t="s">
        <v>282</v>
      </c>
      <c r="B19" s="8" t="s">
        <v>261</v>
      </c>
      <c r="C19" s="8" t="s">
        <v>264</v>
      </c>
      <c r="D19" s="4">
        <v>435</v>
      </c>
      <c r="E19" s="4">
        <v>0</v>
      </c>
      <c r="F19" s="4">
        <f>_xll.AtlasFormulas.AtlasFunctions.AtlasBalance("PROD",DataAreaId,"T.TPPTrans_sst|InventDimId~inventDimId@T.InventDim","Sum|Qty|0","","","","","","","ItemId|TransDate|T2.InventSiteId|T2.InventLocationId",$A19,PeriodBeginning,$B19,$C19)</f>
        <v>0</v>
      </c>
      <c r="G19" s="4">
        <f>_xll.AtlasFormulas.AtlasFunctions.AtlasBalance("PROD",DataAreaId,"T.TPPTrans_sst|InventDimId~inventDimId@T.InventDim","Sum|Qty|0","","","","","","","ItemId|TransDate|T2.InventSiteId|T2.InventLocationId",$A19,PeriodEnding,$B19,$C19)</f>
        <v>0</v>
      </c>
      <c r="H19" s="4">
        <f>AtlasReport_4_Table_1[[#This Row],[Quantity]]-AtlasReport_4_Table_1[[#This Row],[TPP trans backwards (Beginning)]]</f>
        <v>435</v>
      </c>
      <c r="I19" s="4">
        <f>AtlasReport_4_Table_1[[#This Row],[Quantity]]-AtlasReport_4_Table_1[[#This Row],[TPP trans backwards (Ending)]]</f>
        <v>435</v>
      </c>
      <c r="J19" s="4">
        <f>_xll.AtlasFormulas.AtlasFunctions.AtlasBalance("PROD",DataAreaId,"T.TPPTrans_sst|InventDimId~inventDimId@T.InventDim","Sum|CostAmount|0","","","","","","","ItemId|TransDate|T2.InventSiteId|T2.InventLocationId",$A19,PeriodBeginning,$B19,$C19)</f>
        <v>0</v>
      </c>
      <c r="K19" s="4">
        <f>_xll.AtlasFormulas.AtlasFunctions.AtlasBalance("PROD",DataAreaId,"T.TPPTrans_sst|InventDimId~inventDimId@T.InventDim","Sum|CostAmount|0","","","","","","","ItemId|TransDate|T2.InventSiteId|T2.InventLocationId",$A19,PeriodEnding,$B19,$C19)</f>
        <v>0</v>
      </c>
      <c r="L19" s="4">
        <f>AtlasReport_4_Table_1[[#This Row],[TPP cost amount]]-AtlasReport_4_Table_1[[#This Row],[TPP trans backwards balance (Beginning)]]</f>
        <v>0</v>
      </c>
      <c r="M19" s="4">
        <f>AtlasReport_4_Table_1[[#This Row],[TPP cost amount]]-AtlasReport_4_Table_1[[#This Row],[TPP Balance (Beginning)]]</f>
        <v>0</v>
      </c>
    </row>
    <row r="20" spans="1:13" x14ac:dyDescent="0.25">
      <c r="A20" s="8" t="s">
        <v>283</v>
      </c>
      <c r="B20" s="8" t="s">
        <v>261</v>
      </c>
      <c r="C20" s="8" t="s">
        <v>264</v>
      </c>
      <c r="D20" s="4">
        <v>10896</v>
      </c>
      <c r="E20" s="4">
        <v>0</v>
      </c>
      <c r="F20" s="4">
        <f>_xll.AtlasFormulas.AtlasFunctions.AtlasBalance("PROD",DataAreaId,"T.TPPTrans_sst|InventDimId~inventDimId@T.InventDim","Sum|Qty|0","","","","","","","ItemId|TransDate|T2.InventSiteId|T2.InventLocationId",$A20,PeriodBeginning,$B20,$C20)</f>
        <v>0</v>
      </c>
      <c r="G20" s="4">
        <f>_xll.AtlasFormulas.AtlasFunctions.AtlasBalance("PROD",DataAreaId,"T.TPPTrans_sst|InventDimId~inventDimId@T.InventDim","Sum|Qty|0","","","","","","","ItemId|TransDate|T2.InventSiteId|T2.InventLocationId",$A20,PeriodEnding,$B20,$C20)</f>
        <v>0</v>
      </c>
      <c r="H20" s="4">
        <f>AtlasReport_4_Table_1[[#This Row],[Quantity]]-AtlasReport_4_Table_1[[#This Row],[TPP trans backwards (Beginning)]]</f>
        <v>10896</v>
      </c>
      <c r="I20" s="4">
        <f>AtlasReport_4_Table_1[[#This Row],[Quantity]]-AtlasReport_4_Table_1[[#This Row],[TPP trans backwards (Ending)]]</f>
        <v>10896</v>
      </c>
      <c r="J20" s="4">
        <f>_xll.AtlasFormulas.AtlasFunctions.AtlasBalance("PROD",DataAreaId,"T.TPPTrans_sst|InventDimId~inventDimId@T.InventDim","Sum|CostAmount|0","","","","","","","ItemId|TransDate|T2.InventSiteId|T2.InventLocationId",$A20,PeriodBeginning,$B20,$C20)</f>
        <v>0</v>
      </c>
      <c r="K20" s="4">
        <f>_xll.AtlasFormulas.AtlasFunctions.AtlasBalance("PROD",DataAreaId,"T.TPPTrans_sst|InventDimId~inventDimId@T.InventDim","Sum|CostAmount|0","","","","","","","ItemId|TransDate|T2.InventSiteId|T2.InventLocationId",$A20,PeriodEnding,$B20,$C20)</f>
        <v>0</v>
      </c>
      <c r="L20" s="4">
        <f>AtlasReport_4_Table_1[[#This Row],[TPP cost amount]]-AtlasReport_4_Table_1[[#This Row],[TPP trans backwards balance (Beginning)]]</f>
        <v>0</v>
      </c>
      <c r="M20" s="4">
        <f>AtlasReport_4_Table_1[[#This Row],[TPP cost amount]]-AtlasReport_4_Table_1[[#This Row],[TPP Balance (Beginning)]]</f>
        <v>0</v>
      </c>
    </row>
    <row r="21" spans="1:13" x14ac:dyDescent="0.25">
      <c r="A21" s="8" t="s">
        <v>284</v>
      </c>
      <c r="B21" s="8" t="s">
        <v>261</v>
      </c>
      <c r="C21" s="8" t="s">
        <v>264</v>
      </c>
      <c r="D21" s="4">
        <v>9385.35</v>
      </c>
      <c r="E21" s="4">
        <v>0</v>
      </c>
      <c r="F21" s="4">
        <f>_xll.AtlasFormulas.AtlasFunctions.AtlasBalance("PROD",DataAreaId,"T.TPPTrans_sst|InventDimId~inventDimId@T.InventDim","Sum|Qty|0","","","","","","","ItemId|TransDate|T2.InventSiteId|T2.InventLocationId",$A21,PeriodBeginning,$B21,$C21)</f>
        <v>0</v>
      </c>
      <c r="G21" s="4">
        <f>_xll.AtlasFormulas.AtlasFunctions.AtlasBalance("PROD",DataAreaId,"T.TPPTrans_sst|InventDimId~inventDimId@T.InventDim","Sum|Qty|0","","","","","","","ItemId|TransDate|T2.InventSiteId|T2.InventLocationId",$A21,PeriodEnding,$B21,$C21)</f>
        <v>0</v>
      </c>
      <c r="H21" s="4">
        <f>AtlasReport_4_Table_1[[#This Row],[Quantity]]-AtlasReport_4_Table_1[[#This Row],[TPP trans backwards (Beginning)]]</f>
        <v>9385.35</v>
      </c>
      <c r="I21" s="4">
        <f>AtlasReport_4_Table_1[[#This Row],[Quantity]]-AtlasReport_4_Table_1[[#This Row],[TPP trans backwards (Ending)]]</f>
        <v>9385.35</v>
      </c>
      <c r="J21" s="4">
        <f>_xll.AtlasFormulas.AtlasFunctions.AtlasBalance("PROD",DataAreaId,"T.TPPTrans_sst|InventDimId~inventDimId@T.InventDim","Sum|CostAmount|0","","","","","","","ItemId|TransDate|T2.InventSiteId|T2.InventLocationId",$A21,PeriodBeginning,$B21,$C21)</f>
        <v>0</v>
      </c>
      <c r="K21" s="4">
        <f>_xll.AtlasFormulas.AtlasFunctions.AtlasBalance("PROD",DataAreaId,"T.TPPTrans_sst|InventDimId~inventDimId@T.InventDim","Sum|CostAmount|0","","","","","","","ItemId|TransDate|T2.InventSiteId|T2.InventLocationId",$A21,PeriodEnding,$B21,$C21)</f>
        <v>0</v>
      </c>
      <c r="L21" s="4">
        <f>AtlasReport_4_Table_1[[#This Row],[TPP cost amount]]-AtlasReport_4_Table_1[[#This Row],[TPP trans backwards balance (Beginning)]]</f>
        <v>0</v>
      </c>
      <c r="M21" s="4">
        <f>AtlasReport_4_Table_1[[#This Row],[TPP cost amount]]-AtlasReport_4_Table_1[[#This Row],[TPP Balance (Beginning)]]</f>
        <v>0</v>
      </c>
    </row>
    <row r="22" spans="1:13" x14ac:dyDescent="0.25">
      <c r="A22" s="8" t="s">
        <v>137</v>
      </c>
      <c r="B22" s="8" t="s">
        <v>261</v>
      </c>
      <c r="C22" s="8" t="s">
        <v>264</v>
      </c>
      <c r="D22" s="4">
        <v>7452.9</v>
      </c>
      <c r="E22" s="4">
        <v>0</v>
      </c>
      <c r="F22" s="4">
        <f>_xll.AtlasFormulas.AtlasFunctions.AtlasBalance("PROD",DataAreaId,"T.TPPTrans_sst|InventDimId~inventDimId@T.InventDim","Sum|Qty|0","","","","","","","ItemId|TransDate|T2.InventSiteId|T2.InventLocationId",$A22,PeriodBeginning,$B22,$C22)</f>
        <v>0</v>
      </c>
      <c r="G22" s="4">
        <f>_xll.AtlasFormulas.AtlasFunctions.AtlasBalance("PROD",DataAreaId,"T.TPPTrans_sst|InventDimId~inventDimId@T.InventDim","Sum|Qty|0","","","","","","","ItemId|TransDate|T2.InventSiteId|T2.InventLocationId",$A22,PeriodEnding,$B22,$C22)</f>
        <v>0</v>
      </c>
      <c r="H22" s="4">
        <f>AtlasReport_4_Table_1[[#This Row],[Quantity]]-AtlasReport_4_Table_1[[#This Row],[TPP trans backwards (Beginning)]]</f>
        <v>7452.9</v>
      </c>
      <c r="I22" s="4">
        <f>AtlasReport_4_Table_1[[#This Row],[Quantity]]-AtlasReport_4_Table_1[[#This Row],[TPP trans backwards (Ending)]]</f>
        <v>7452.9</v>
      </c>
      <c r="J22" s="4">
        <f>_xll.AtlasFormulas.AtlasFunctions.AtlasBalance("PROD",DataAreaId,"T.TPPTrans_sst|InventDimId~inventDimId@T.InventDim","Sum|CostAmount|0","","","","","","","ItemId|TransDate|T2.InventSiteId|T2.InventLocationId",$A22,PeriodBeginning,$B22,$C22)</f>
        <v>0</v>
      </c>
      <c r="K22" s="4">
        <f>_xll.AtlasFormulas.AtlasFunctions.AtlasBalance("PROD",DataAreaId,"T.TPPTrans_sst|InventDimId~inventDimId@T.InventDim","Sum|CostAmount|0","","","","","","","ItemId|TransDate|T2.InventSiteId|T2.InventLocationId",$A22,PeriodEnding,$B22,$C22)</f>
        <v>0</v>
      </c>
      <c r="L22" s="4">
        <f>AtlasReport_4_Table_1[[#This Row],[TPP cost amount]]-AtlasReport_4_Table_1[[#This Row],[TPP trans backwards balance (Beginning)]]</f>
        <v>0</v>
      </c>
      <c r="M22" s="4">
        <f>AtlasReport_4_Table_1[[#This Row],[TPP cost amount]]-AtlasReport_4_Table_1[[#This Row],[TPP Balance (Beginning)]]</f>
        <v>0</v>
      </c>
    </row>
    <row r="23" spans="1:13" x14ac:dyDescent="0.25">
      <c r="A23" s="8" t="s">
        <v>285</v>
      </c>
      <c r="B23" s="8" t="s">
        <v>261</v>
      </c>
      <c r="C23" s="8" t="s">
        <v>264</v>
      </c>
      <c r="D23" s="4">
        <v>14728.35</v>
      </c>
      <c r="E23" s="4">
        <v>0</v>
      </c>
      <c r="F23" s="4">
        <f>_xll.AtlasFormulas.AtlasFunctions.AtlasBalance("PROD",DataAreaId,"T.TPPTrans_sst|InventDimId~inventDimId@T.InventDim","Sum|Qty|0","","","","","","","ItemId|TransDate|T2.InventSiteId|T2.InventLocationId",$A23,PeriodBeginning,$B23,$C23)</f>
        <v>0</v>
      </c>
      <c r="G23" s="4">
        <f>_xll.AtlasFormulas.AtlasFunctions.AtlasBalance("PROD",DataAreaId,"T.TPPTrans_sst|InventDimId~inventDimId@T.InventDim","Sum|Qty|0","","","","","","","ItemId|TransDate|T2.InventSiteId|T2.InventLocationId",$A23,PeriodEnding,$B23,$C23)</f>
        <v>0</v>
      </c>
      <c r="H23" s="4">
        <f>AtlasReport_4_Table_1[[#This Row],[Quantity]]-AtlasReport_4_Table_1[[#This Row],[TPP trans backwards (Beginning)]]</f>
        <v>14728.35</v>
      </c>
      <c r="I23" s="4">
        <f>AtlasReport_4_Table_1[[#This Row],[Quantity]]-AtlasReport_4_Table_1[[#This Row],[TPP trans backwards (Ending)]]</f>
        <v>14728.35</v>
      </c>
      <c r="J23" s="4">
        <f>_xll.AtlasFormulas.AtlasFunctions.AtlasBalance("PROD",DataAreaId,"T.TPPTrans_sst|InventDimId~inventDimId@T.InventDim","Sum|CostAmount|0","","","","","","","ItemId|TransDate|T2.InventSiteId|T2.InventLocationId",$A23,PeriodBeginning,$B23,$C23)</f>
        <v>0</v>
      </c>
      <c r="K23" s="4">
        <f>_xll.AtlasFormulas.AtlasFunctions.AtlasBalance("PROD",DataAreaId,"T.TPPTrans_sst|InventDimId~inventDimId@T.InventDim","Sum|CostAmount|0","","","","","","","ItemId|TransDate|T2.InventSiteId|T2.InventLocationId",$A23,PeriodEnding,$B23,$C23)</f>
        <v>0</v>
      </c>
      <c r="L23" s="4">
        <f>AtlasReport_4_Table_1[[#This Row],[TPP cost amount]]-AtlasReport_4_Table_1[[#This Row],[TPP trans backwards balance (Beginning)]]</f>
        <v>0</v>
      </c>
      <c r="M23" s="4">
        <f>AtlasReport_4_Table_1[[#This Row],[TPP cost amount]]-AtlasReport_4_Table_1[[#This Row],[TPP Balance (Beginning)]]</f>
        <v>0</v>
      </c>
    </row>
    <row r="24" spans="1:13" x14ac:dyDescent="0.25">
      <c r="A24" s="8" t="s">
        <v>286</v>
      </c>
      <c r="B24" s="8" t="s">
        <v>261</v>
      </c>
      <c r="C24" s="8" t="s">
        <v>264</v>
      </c>
      <c r="D24" s="4">
        <v>0</v>
      </c>
      <c r="E24" s="4">
        <v>2.6612665590000002E-3</v>
      </c>
      <c r="F24" s="4">
        <f>_xll.AtlasFormulas.AtlasFunctions.AtlasBalance("PROD",DataAreaId,"T.TPPTrans_sst|InventDimId~inventDimId@T.InventDim","Sum|Qty|0","","","","","","","ItemId|TransDate|T2.InventSiteId|T2.InventLocationId",$A24,PeriodBeginning,$B24,$C24)</f>
        <v>-1</v>
      </c>
      <c r="G24" s="4">
        <f>_xll.AtlasFormulas.AtlasFunctions.AtlasBalance("PROD",DataAreaId,"T.TPPTrans_sst|InventDimId~inventDimId@T.InventDim","Sum|Qty|0","","","","","","","ItemId|TransDate|T2.InventSiteId|T2.InventLocationId",$A24,PeriodEnding,$B24,$C24)</f>
        <v>0</v>
      </c>
      <c r="H24" s="4">
        <f>AtlasReport_4_Table_1[[#This Row],[Quantity]]-AtlasReport_4_Table_1[[#This Row],[TPP trans backwards (Beginning)]]</f>
        <v>1</v>
      </c>
      <c r="I24" s="4">
        <f>AtlasReport_4_Table_1[[#This Row],[Quantity]]-AtlasReport_4_Table_1[[#This Row],[TPP trans backwards (Ending)]]</f>
        <v>0</v>
      </c>
      <c r="J24" s="4">
        <f>_xll.AtlasFormulas.AtlasFunctions.AtlasBalance("PROD",DataAreaId,"T.TPPTrans_sst|InventDimId~inventDimId@T.InventDim","Sum|CostAmount|0","","","","","","","ItemId|TransDate|T2.InventSiteId|T2.InventLocationId",$A24,PeriodBeginning,$B24,$C24)</f>
        <v>-0.46</v>
      </c>
      <c r="K24" s="4">
        <f>_xll.AtlasFormulas.AtlasFunctions.AtlasBalance("PROD",DataAreaId,"T.TPPTrans_sst|InventDimId~inventDimId@T.InventDim","Sum|CostAmount|0","","","","","","","ItemId|TransDate|T2.InventSiteId|T2.InventLocationId",$A24,PeriodEnding,$B24,$C24)</f>
        <v>0</v>
      </c>
      <c r="L24" s="4">
        <f>AtlasReport_4_Table_1[[#This Row],[TPP cost amount]]-AtlasReport_4_Table_1[[#This Row],[TPP trans backwards balance (Beginning)]]</f>
        <v>0.46266126655900003</v>
      </c>
      <c r="M24" s="4">
        <f>AtlasReport_4_Table_1[[#This Row],[TPP cost amount]]-AtlasReport_4_Table_1[[#This Row],[TPP Balance (Beginning)]]</f>
        <v>-0.46</v>
      </c>
    </row>
    <row r="25" spans="1:13" x14ac:dyDescent="0.25">
      <c r="A25" s="8" t="s">
        <v>287</v>
      </c>
      <c r="B25" s="8" t="s">
        <v>261</v>
      </c>
      <c r="C25" s="8" t="s">
        <v>264</v>
      </c>
      <c r="D25" s="4">
        <v>2385</v>
      </c>
      <c r="E25" s="4">
        <v>0</v>
      </c>
      <c r="F25" s="4">
        <f>_xll.AtlasFormulas.AtlasFunctions.AtlasBalance("PROD",DataAreaId,"T.TPPTrans_sst|InventDimId~inventDimId@T.InventDim","Sum|Qty|0","","","","","","","ItemId|TransDate|T2.InventSiteId|T2.InventLocationId",$A25,PeriodBeginning,$B25,$C25)</f>
        <v>0</v>
      </c>
      <c r="G25" s="4">
        <f>_xll.AtlasFormulas.AtlasFunctions.AtlasBalance("PROD",DataAreaId,"T.TPPTrans_sst|InventDimId~inventDimId@T.InventDim","Sum|Qty|0","","","","","","","ItemId|TransDate|T2.InventSiteId|T2.InventLocationId",$A25,PeriodEnding,$B25,$C25)</f>
        <v>0</v>
      </c>
      <c r="H25" s="4">
        <f>AtlasReport_4_Table_1[[#This Row],[Quantity]]-AtlasReport_4_Table_1[[#This Row],[TPP trans backwards (Beginning)]]</f>
        <v>2385</v>
      </c>
      <c r="I25" s="4">
        <f>AtlasReport_4_Table_1[[#This Row],[Quantity]]-AtlasReport_4_Table_1[[#This Row],[TPP trans backwards (Ending)]]</f>
        <v>2385</v>
      </c>
      <c r="J25" s="4">
        <f>_xll.AtlasFormulas.AtlasFunctions.AtlasBalance("PROD",DataAreaId,"T.TPPTrans_sst|InventDimId~inventDimId@T.InventDim","Sum|CostAmount|0","","","","","","","ItemId|TransDate|T2.InventSiteId|T2.InventLocationId",$A25,PeriodBeginning,$B25,$C25)</f>
        <v>0</v>
      </c>
      <c r="K25" s="4">
        <f>_xll.AtlasFormulas.AtlasFunctions.AtlasBalance("PROD",DataAreaId,"T.TPPTrans_sst|InventDimId~inventDimId@T.InventDim","Sum|CostAmount|0","","","","","","","ItemId|TransDate|T2.InventSiteId|T2.InventLocationId",$A25,PeriodEnding,$B25,$C25)</f>
        <v>0</v>
      </c>
      <c r="L25" s="4">
        <f>AtlasReport_4_Table_1[[#This Row],[TPP cost amount]]-AtlasReport_4_Table_1[[#This Row],[TPP trans backwards balance (Beginning)]]</f>
        <v>0</v>
      </c>
      <c r="M25" s="4">
        <f>AtlasReport_4_Table_1[[#This Row],[TPP cost amount]]-AtlasReport_4_Table_1[[#This Row],[TPP Balance (Beginning)]]</f>
        <v>0</v>
      </c>
    </row>
    <row r="26" spans="1:13" x14ac:dyDescent="0.25">
      <c r="A26" s="8" t="s">
        <v>288</v>
      </c>
      <c r="B26" s="8" t="s">
        <v>261</v>
      </c>
      <c r="C26" s="8" t="s">
        <v>264</v>
      </c>
      <c r="D26" s="4">
        <v>2420</v>
      </c>
      <c r="E26" s="4">
        <v>0</v>
      </c>
      <c r="F26" s="4">
        <f>_xll.AtlasFormulas.AtlasFunctions.AtlasBalance("PROD",DataAreaId,"T.TPPTrans_sst|InventDimId~inventDimId@T.InventDim","Sum|Qty|0","","","","","","","ItemId|TransDate|T2.InventSiteId|T2.InventLocationId",$A26,PeriodBeginning,$B26,$C26)</f>
        <v>0</v>
      </c>
      <c r="G26" s="4">
        <f>_xll.AtlasFormulas.AtlasFunctions.AtlasBalance("PROD",DataAreaId,"T.TPPTrans_sst|InventDimId~inventDimId@T.InventDim","Sum|Qty|0","","","","","","","ItemId|TransDate|T2.InventSiteId|T2.InventLocationId",$A26,PeriodEnding,$B26,$C26)</f>
        <v>0</v>
      </c>
      <c r="H26" s="4">
        <f>AtlasReport_4_Table_1[[#This Row],[Quantity]]-AtlasReport_4_Table_1[[#This Row],[TPP trans backwards (Beginning)]]</f>
        <v>2420</v>
      </c>
      <c r="I26" s="4">
        <f>AtlasReport_4_Table_1[[#This Row],[Quantity]]-AtlasReport_4_Table_1[[#This Row],[TPP trans backwards (Ending)]]</f>
        <v>2420</v>
      </c>
      <c r="J26" s="4">
        <f>_xll.AtlasFormulas.AtlasFunctions.AtlasBalance("PROD",DataAreaId,"T.TPPTrans_sst|InventDimId~inventDimId@T.InventDim","Sum|CostAmount|0","","","","","","","ItemId|TransDate|T2.InventSiteId|T2.InventLocationId",$A26,PeriodBeginning,$B26,$C26)</f>
        <v>0</v>
      </c>
      <c r="K26" s="4">
        <f>_xll.AtlasFormulas.AtlasFunctions.AtlasBalance("PROD",DataAreaId,"T.TPPTrans_sst|InventDimId~inventDimId@T.InventDim","Sum|CostAmount|0","","","","","","","ItemId|TransDate|T2.InventSiteId|T2.InventLocationId",$A26,PeriodEnding,$B26,$C26)</f>
        <v>0</v>
      </c>
      <c r="L26" s="4">
        <f>AtlasReport_4_Table_1[[#This Row],[TPP cost amount]]-AtlasReport_4_Table_1[[#This Row],[TPP trans backwards balance (Beginning)]]</f>
        <v>0</v>
      </c>
      <c r="M26" s="4">
        <f>AtlasReport_4_Table_1[[#This Row],[TPP cost amount]]-AtlasReport_4_Table_1[[#This Row],[TPP Balance (Beginning)]]</f>
        <v>0</v>
      </c>
    </row>
    <row r="27" spans="1:13" x14ac:dyDescent="0.25">
      <c r="A27" s="8" t="s">
        <v>53</v>
      </c>
      <c r="B27" s="8" t="s">
        <v>261</v>
      </c>
      <c r="C27" s="8" t="s">
        <v>289</v>
      </c>
      <c r="D27" s="4">
        <v>0</v>
      </c>
      <c r="E27" s="4">
        <v>0</v>
      </c>
      <c r="F27" s="4">
        <f>_xll.AtlasFormulas.AtlasFunctions.AtlasBalance("PROD",DataAreaId,"T.TPPTrans_sst|InventDimId~inventDimId@T.InventDim","Sum|Qty|0","","","","","","","ItemId|TransDate|T2.InventSiteId|T2.InventLocationId",$A27,PeriodBeginning,$B27,$C27)</f>
        <v>0</v>
      </c>
      <c r="G27" s="4">
        <f>_xll.AtlasFormulas.AtlasFunctions.AtlasBalance("PROD",DataAreaId,"T.TPPTrans_sst|InventDimId~inventDimId@T.InventDim","Sum|Qty|0","","","","","","","ItemId|TransDate|T2.InventSiteId|T2.InventLocationId",$A27,PeriodEnding,$B27,$C27)</f>
        <v>0</v>
      </c>
      <c r="H27" s="4">
        <f>AtlasReport_4_Table_1[[#This Row],[Quantity]]-AtlasReport_4_Table_1[[#This Row],[TPP trans backwards (Beginning)]]</f>
        <v>0</v>
      </c>
      <c r="I27" s="4">
        <f>AtlasReport_4_Table_1[[#This Row],[Quantity]]-AtlasReport_4_Table_1[[#This Row],[TPP trans backwards (Ending)]]</f>
        <v>0</v>
      </c>
      <c r="J27" s="4">
        <f>_xll.AtlasFormulas.AtlasFunctions.AtlasBalance("PROD",DataAreaId,"T.TPPTrans_sst|InventDimId~inventDimId@T.InventDim","Sum|CostAmount|0","","","","","","","ItemId|TransDate|T2.InventSiteId|T2.InventLocationId",$A27,PeriodBeginning,$B27,$C27)</f>
        <v>0</v>
      </c>
      <c r="K27" s="4">
        <f>_xll.AtlasFormulas.AtlasFunctions.AtlasBalance("PROD",DataAreaId,"T.TPPTrans_sst|InventDimId~inventDimId@T.InventDim","Sum|CostAmount|0","","","","","","","ItemId|TransDate|T2.InventSiteId|T2.InventLocationId",$A27,PeriodEnding,$B27,$C27)</f>
        <v>0</v>
      </c>
      <c r="L27" s="4">
        <f>AtlasReport_4_Table_1[[#This Row],[TPP cost amount]]-AtlasReport_4_Table_1[[#This Row],[TPP trans backwards balance (Beginning)]]</f>
        <v>0</v>
      </c>
      <c r="M27" s="4">
        <f>AtlasReport_4_Table_1[[#This Row],[TPP cost amount]]-AtlasReport_4_Table_1[[#This Row],[TPP Balance (Beginning)]]</f>
        <v>0</v>
      </c>
    </row>
    <row r="28" spans="1:13" x14ac:dyDescent="0.25">
      <c r="A28" s="8" t="s">
        <v>291</v>
      </c>
      <c r="B28" s="8" t="s">
        <v>261</v>
      </c>
      <c r="C28" s="8" t="s">
        <v>290</v>
      </c>
      <c r="D28" s="4">
        <v>0</v>
      </c>
      <c r="E28" s="4">
        <v>0</v>
      </c>
      <c r="F28" s="4">
        <f>_xll.AtlasFormulas.AtlasFunctions.AtlasBalance("PROD",DataAreaId,"T.TPPTrans_sst|InventDimId~inventDimId@T.InventDim","Sum|Qty|0","","","","","","","ItemId|TransDate|T2.InventSiteId|T2.InventLocationId",$A28,PeriodBeginning,$B28,$C28)</f>
        <v>0</v>
      </c>
      <c r="G28" s="4">
        <f>_xll.AtlasFormulas.AtlasFunctions.AtlasBalance("PROD",DataAreaId,"T.TPPTrans_sst|InventDimId~inventDimId@T.InventDim","Sum|Qty|0","","","","","","","ItemId|TransDate|T2.InventSiteId|T2.InventLocationId",$A28,PeriodEnding,$B28,$C28)</f>
        <v>0</v>
      </c>
      <c r="H28" s="4">
        <f>AtlasReport_4_Table_1[[#This Row],[Quantity]]-AtlasReport_4_Table_1[[#This Row],[TPP trans backwards (Beginning)]]</f>
        <v>0</v>
      </c>
      <c r="I28" s="4">
        <f>AtlasReport_4_Table_1[[#This Row],[Quantity]]-AtlasReport_4_Table_1[[#This Row],[TPP trans backwards (Ending)]]</f>
        <v>0</v>
      </c>
      <c r="J28" s="4">
        <f>_xll.AtlasFormulas.AtlasFunctions.AtlasBalance("PROD",DataAreaId,"T.TPPTrans_sst|InventDimId~inventDimId@T.InventDim","Sum|CostAmount|0","","","","","","","ItemId|TransDate|T2.InventSiteId|T2.InventLocationId",$A28,PeriodBeginning,$B28,$C28)</f>
        <v>0</v>
      </c>
      <c r="K28" s="4">
        <f>_xll.AtlasFormulas.AtlasFunctions.AtlasBalance("PROD",DataAreaId,"T.TPPTrans_sst|InventDimId~inventDimId@T.InventDim","Sum|CostAmount|0","","","","","","","ItemId|TransDate|T2.InventSiteId|T2.InventLocationId",$A28,PeriodEnding,$B28,$C28)</f>
        <v>0</v>
      </c>
      <c r="L28" s="4">
        <f>AtlasReport_4_Table_1[[#This Row],[TPP cost amount]]-AtlasReport_4_Table_1[[#This Row],[TPP trans backwards balance (Beginning)]]</f>
        <v>0</v>
      </c>
      <c r="M28" s="4">
        <f>AtlasReport_4_Table_1[[#This Row],[TPP cost amount]]-AtlasReport_4_Table_1[[#This Row],[TPP Balance (Beginning)]]</f>
        <v>0</v>
      </c>
    </row>
    <row r="29" spans="1:13" x14ac:dyDescent="0.25">
      <c r="A29" s="8" t="s">
        <v>291</v>
      </c>
      <c r="B29" s="8" t="s">
        <v>261</v>
      </c>
      <c r="C29" s="8" t="s">
        <v>264</v>
      </c>
      <c r="D29" s="4">
        <v>0</v>
      </c>
      <c r="E29" s="4">
        <v>0</v>
      </c>
      <c r="F29" s="4">
        <f>_xll.AtlasFormulas.AtlasFunctions.AtlasBalance("PROD",DataAreaId,"T.TPPTrans_sst|InventDimId~inventDimId@T.InventDim","Sum|Qty|0","","","","","","","ItemId|TransDate|T2.InventSiteId|T2.InventLocationId",$A29,PeriodBeginning,$B29,$C29)</f>
        <v>0</v>
      </c>
      <c r="G29" s="4">
        <f>_xll.AtlasFormulas.AtlasFunctions.AtlasBalance("PROD",DataAreaId,"T.TPPTrans_sst|InventDimId~inventDimId@T.InventDim","Sum|Qty|0","","","","","","","ItemId|TransDate|T2.InventSiteId|T2.InventLocationId",$A29,PeriodEnding,$B29,$C29)</f>
        <v>0</v>
      </c>
      <c r="H29" s="4">
        <f>AtlasReport_4_Table_1[[#This Row],[Quantity]]-AtlasReport_4_Table_1[[#This Row],[TPP trans backwards (Beginning)]]</f>
        <v>0</v>
      </c>
      <c r="I29" s="4">
        <f>AtlasReport_4_Table_1[[#This Row],[Quantity]]-AtlasReport_4_Table_1[[#This Row],[TPP trans backwards (Ending)]]</f>
        <v>0</v>
      </c>
      <c r="J29" s="4">
        <f>_xll.AtlasFormulas.AtlasFunctions.AtlasBalance("PROD",DataAreaId,"T.TPPTrans_sst|InventDimId~inventDimId@T.InventDim","Sum|CostAmount|0","","","","","","","ItemId|TransDate|T2.InventSiteId|T2.InventLocationId",$A29,PeriodBeginning,$B29,$C29)</f>
        <v>0</v>
      </c>
      <c r="K29" s="4">
        <f>_xll.AtlasFormulas.AtlasFunctions.AtlasBalance("PROD",DataAreaId,"T.TPPTrans_sst|InventDimId~inventDimId@T.InventDim","Sum|CostAmount|0","","","","","","","ItemId|TransDate|T2.InventSiteId|T2.InventLocationId",$A29,PeriodEnding,$B29,$C29)</f>
        <v>0</v>
      </c>
      <c r="L29" s="4">
        <f>AtlasReport_4_Table_1[[#This Row],[TPP cost amount]]-AtlasReport_4_Table_1[[#This Row],[TPP trans backwards balance (Beginning)]]</f>
        <v>0</v>
      </c>
      <c r="M29" s="4">
        <f>AtlasReport_4_Table_1[[#This Row],[TPP cost amount]]-AtlasReport_4_Table_1[[#This Row],[TPP Balance (Beginning)]]</f>
        <v>0</v>
      </c>
    </row>
    <row r="30" spans="1:13" x14ac:dyDescent="0.25">
      <c r="A30" s="8" t="s">
        <v>138</v>
      </c>
      <c r="B30" s="8" t="s">
        <v>261</v>
      </c>
      <c r="C30" s="8" t="s">
        <v>264</v>
      </c>
      <c r="D30" s="4">
        <v>750</v>
      </c>
      <c r="E30" s="4">
        <v>0</v>
      </c>
      <c r="F30" s="4">
        <f>_xll.AtlasFormulas.AtlasFunctions.AtlasBalance("PROD",DataAreaId,"T.TPPTrans_sst|InventDimId~inventDimId@T.InventDim","Sum|Qty|0","","","","","","","ItemId|TransDate|T2.InventSiteId|T2.InventLocationId",$A30,PeriodBeginning,$B30,$C30)</f>
        <v>0</v>
      </c>
      <c r="G30" s="4">
        <f>_xll.AtlasFormulas.AtlasFunctions.AtlasBalance("PROD",DataAreaId,"T.TPPTrans_sst|InventDimId~inventDimId@T.InventDim","Sum|Qty|0","","","","","","","ItemId|TransDate|T2.InventSiteId|T2.InventLocationId",$A30,PeriodEnding,$B30,$C30)</f>
        <v>0</v>
      </c>
      <c r="H30" s="4">
        <f>AtlasReport_4_Table_1[[#This Row],[Quantity]]-AtlasReport_4_Table_1[[#This Row],[TPP trans backwards (Beginning)]]</f>
        <v>750</v>
      </c>
      <c r="I30" s="4">
        <f>AtlasReport_4_Table_1[[#This Row],[Quantity]]-AtlasReport_4_Table_1[[#This Row],[TPP trans backwards (Ending)]]</f>
        <v>750</v>
      </c>
      <c r="J30" s="4">
        <f>_xll.AtlasFormulas.AtlasFunctions.AtlasBalance("PROD",DataAreaId,"T.TPPTrans_sst|InventDimId~inventDimId@T.InventDim","Sum|CostAmount|0","","","","","","","ItemId|TransDate|T2.InventSiteId|T2.InventLocationId",$A30,PeriodBeginning,$B30,$C30)</f>
        <v>0</v>
      </c>
      <c r="K30" s="4">
        <f>_xll.AtlasFormulas.AtlasFunctions.AtlasBalance("PROD",DataAreaId,"T.TPPTrans_sst|InventDimId~inventDimId@T.InventDim","Sum|CostAmount|0","","","","","","","ItemId|TransDate|T2.InventSiteId|T2.InventLocationId",$A30,PeriodEnding,$B30,$C30)</f>
        <v>0</v>
      </c>
      <c r="L30" s="4">
        <f>AtlasReport_4_Table_1[[#This Row],[TPP cost amount]]-AtlasReport_4_Table_1[[#This Row],[TPP trans backwards balance (Beginning)]]</f>
        <v>0</v>
      </c>
      <c r="M30" s="4">
        <f>AtlasReport_4_Table_1[[#This Row],[TPP cost amount]]-AtlasReport_4_Table_1[[#This Row],[TPP Balance (Beginning)]]</f>
        <v>0</v>
      </c>
    </row>
    <row r="31" spans="1:13" x14ac:dyDescent="0.25">
      <c r="A31" s="8" t="s">
        <v>139</v>
      </c>
      <c r="B31" s="8" t="s">
        <v>261</v>
      </c>
      <c r="C31" s="8" t="s">
        <v>264</v>
      </c>
      <c r="D31" s="4">
        <v>271</v>
      </c>
      <c r="E31" s="4">
        <v>0</v>
      </c>
      <c r="F31" s="4">
        <f>_xll.AtlasFormulas.AtlasFunctions.AtlasBalance("PROD",DataAreaId,"T.TPPTrans_sst|InventDimId~inventDimId@T.InventDim","Sum|Qty|0","","","","","","","ItemId|TransDate|T2.InventSiteId|T2.InventLocationId",$A31,PeriodBeginning,$B31,$C31)</f>
        <v>0</v>
      </c>
      <c r="G31" s="4">
        <f>_xll.AtlasFormulas.AtlasFunctions.AtlasBalance("PROD",DataAreaId,"T.TPPTrans_sst|InventDimId~inventDimId@T.InventDim","Sum|Qty|0","","","","","","","ItemId|TransDate|T2.InventSiteId|T2.InventLocationId",$A31,PeriodEnding,$B31,$C31)</f>
        <v>0</v>
      </c>
      <c r="H31" s="4">
        <f>AtlasReport_4_Table_1[[#This Row],[Quantity]]-AtlasReport_4_Table_1[[#This Row],[TPP trans backwards (Beginning)]]</f>
        <v>271</v>
      </c>
      <c r="I31" s="4">
        <f>AtlasReport_4_Table_1[[#This Row],[Quantity]]-AtlasReport_4_Table_1[[#This Row],[TPP trans backwards (Ending)]]</f>
        <v>271</v>
      </c>
      <c r="J31" s="4">
        <f>_xll.AtlasFormulas.AtlasFunctions.AtlasBalance("PROD",DataAreaId,"T.TPPTrans_sst|InventDimId~inventDimId@T.InventDim","Sum|CostAmount|0","","","","","","","ItemId|TransDate|T2.InventSiteId|T2.InventLocationId",$A31,PeriodBeginning,$B31,$C31)</f>
        <v>0</v>
      </c>
      <c r="K31" s="4">
        <f>_xll.AtlasFormulas.AtlasFunctions.AtlasBalance("PROD",DataAreaId,"T.TPPTrans_sst|InventDimId~inventDimId@T.InventDim","Sum|CostAmount|0","","","","","","","ItemId|TransDate|T2.InventSiteId|T2.InventLocationId",$A31,PeriodEnding,$B31,$C31)</f>
        <v>0</v>
      </c>
      <c r="L31" s="4">
        <f>AtlasReport_4_Table_1[[#This Row],[TPP cost amount]]-AtlasReport_4_Table_1[[#This Row],[TPP trans backwards balance (Beginning)]]</f>
        <v>0</v>
      </c>
      <c r="M31" s="4">
        <f>AtlasReport_4_Table_1[[#This Row],[TPP cost amount]]-AtlasReport_4_Table_1[[#This Row],[TPP Balance (Beginning)]]</f>
        <v>0</v>
      </c>
    </row>
    <row r="32" spans="1:13" x14ac:dyDescent="0.25">
      <c r="A32" s="8" t="s">
        <v>185</v>
      </c>
      <c r="B32" s="8" t="s">
        <v>261</v>
      </c>
      <c r="C32" s="8" t="s">
        <v>264</v>
      </c>
      <c r="D32" s="4">
        <v>14</v>
      </c>
      <c r="E32" s="4">
        <v>0</v>
      </c>
      <c r="F32" s="4">
        <f>_xll.AtlasFormulas.AtlasFunctions.AtlasBalance("PROD",DataAreaId,"T.TPPTrans_sst|InventDimId~inventDimId@T.InventDim","Sum|Qty|0","","","","","","","ItemId|TransDate|T2.InventSiteId|T2.InventLocationId",$A32,PeriodBeginning,$B32,$C32)</f>
        <v>0</v>
      </c>
      <c r="G32" s="4">
        <f>_xll.AtlasFormulas.AtlasFunctions.AtlasBalance("PROD",DataAreaId,"T.TPPTrans_sst|InventDimId~inventDimId@T.InventDim","Sum|Qty|0","","","","","","","ItemId|TransDate|T2.InventSiteId|T2.InventLocationId",$A32,PeriodEnding,$B32,$C32)</f>
        <v>0</v>
      </c>
      <c r="H32" s="4">
        <f>AtlasReport_4_Table_1[[#This Row],[Quantity]]-AtlasReport_4_Table_1[[#This Row],[TPP trans backwards (Beginning)]]</f>
        <v>14</v>
      </c>
      <c r="I32" s="4">
        <f>AtlasReport_4_Table_1[[#This Row],[Quantity]]-AtlasReport_4_Table_1[[#This Row],[TPP trans backwards (Ending)]]</f>
        <v>14</v>
      </c>
      <c r="J32" s="4">
        <f>_xll.AtlasFormulas.AtlasFunctions.AtlasBalance("PROD",DataAreaId,"T.TPPTrans_sst|InventDimId~inventDimId@T.InventDim","Sum|CostAmount|0","","","","","","","ItemId|TransDate|T2.InventSiteId|T2.InventLocationId",$A32,PeriodBeginning,$B32,$C32)</f>
        <v>0</v>
      </c>
      <c r="K32" s="4">
        <f>_xll.AtlasFormulas.AtlasFunctions.AtlasBalance("PROD",DataAreaId,"T.TPPTrans_sst|InventDimId~inventDimId@T.InventDim","Sum|CostAmount|0","","","","","","","ItemId|TransDate|T2.InventSiteId|T2.InventLocationId",$A32,PeriodEnding,$B32,$C32)</f>
        <v>0</v>
      </c>
      <c r="L32" s="4">
        <f>AtlasReport_4_Table_1[[#This Row],[TPP cost amount]]-AtlasReport_4_Table_1[[#This Row],[TPP trans backwards balance (Beginning)]]</f>
        <v>0</v>
      </c>
      <c r="M32" s="4">
        <f>AtlasReport_4_Table_1[[#This Row],[TPP cost amount]]-AtlasReport_4_Table_1[[#This Row],[TPP Balance (Beginning)]]</f>
        <v>0</v>
      </c>
    </row>
    <row r="33" spans="1:13" x14ac:dyDescent="0.25">
      <c r="A33" s="8" t="s">
        <v>293</v>
      </c>
      <c r="B33" s="8" t="s">
        <v>261</v>
      </c>
      <c r="C33" s="8" t="s">
        <v>264</v>
      </c>
      <c r="D33" s="4">
        <v>60</v>
      </c>
      <c r="E33" s="4">
        <v>0</v>
      </c>
      <c r="F33" s="4">
        <f>_xll.AtlasFormulas.AtlasFunctions.AtlasBalance("PROD",DataAreaId,"T.TPPTrans_sst|InventDimId~inventDimId@T.InventDim","Sum|Qty|0","","","","","","","ItemId|TransDate|T2.InventSiteId|T2.InventLocationId",$A33,PeriodBeginning,$B33,$C33)</f>
        <v>0</v>
      </c>
      <c r="G33" s="4">
        <f>_xll.AtlasFormulas.AtlasFunctions.AtlasBalance("PROD",DataAreaId,"T.TPPTrans_sst|InventDimId~inventDimId@T.InventDim","Sum|Qty|0","","","","","","","ItemId|TransDate|T2.InventSiteId|T2.InventLocationId",$A33,PeriodEnding,$B33,$C33)</f>
        <v>0</v>
      </c>
      <c r="H33" s="4">
        <f>AtlasReport_4_Table_1[[#This Row],[Quantity]]-AtlasReport_4_Table_1[[#This Row],[TPP trans backwards (Beginning)]]</f>
        <v>60</v>
      </c>
      <c r="I33" s="4">
        <f>AtlasReport_4_Table_1[[#This Row],[Quantity]]-AtlasReport_4_Table_1[[#This Row],[TPP trans backwards (Ending)]]</f>
        <v>60</v>
      </c>
      <c r="J33" s="4">
        <f>_xll.AtlasFormulas.AtlasFunctions.AtlasBalance("PROD",DataAreaId,"T.TPPTrans_sst|InventDimId~inventDimId@T.InventDim","Sum|CostAmount|0","","","","","","","ItemId|TransDate|T2.InventSiteId|T2.InventLocationId",$A33,PeriodBeginning,$B33,$C33)</f>
        <v>0</v>
      </c>
      <c r="K33" s="4">
        <f>_xll.AtlasFormulas.AtlasFunctions.AtlasBalance("PROD",DataAreaId,"T.TPPTrans_sst|InventDimId~inventDimId@T.InventDim","Sum|CostAmount|0","","","","","","","ItemId|TransDate|T2.InventSiteId|T2.InventLocationId",$A33,PeriodEnding,$B33,$C33)</f>
        <v>0</v>
      </c>
      <c r="L33" s="4">
        <f>AtlasReport_4_Table_1[[#This Row],[TPP cost amount]]-AtlasReport_4_Table_1[[#This Row],[TPP trans backwards balance (Beginning)]]</f>
        <v>0</v>
      </c>
      <c r="M33" s="4">
        <f>AtlasReport_4_Table_1[[#This Row],[TPP cost amount]]-AtlasReport_4_Table_1[[#This Row],[TPP Balance (Beginning)]]</f>
        <v>0</v>
      </c>
    </row>
    <row r="34" spans="1:13" x14ac:dyDescent="0.25">
      <c r="A34" s="8" t="s">
        <v>294</v>
      </c>
      <c r="B34" s="8" t="s">
        <v>261</v>
      </c>
      <c r="C34" s="8" t="s">
        <v>264</v>
      </c>
      <c r="D34" s="4">
        <v>300</v>
      </c>
      <c r="E34" s="4">
        <v>0</v>
      </c>
      <c r="F34" s="4">
        <f>_xll.AtlasFormulas.AtlasFunctions.AtlasBalance("PROD",DataAreaId,"T.TPPTrans_sst|InventDimId~inventDimId@T.InventDim","Sum|Qty|0","","","","","","","ItemId|TransDate|T2.InventSiteId|T2.InventLocationId",$A34,PeriodBeginning,$B34,$C34)</f>
        <v>0</v>
      </c>
      <c r="G34" s="4">
        <f>_xll.AtlasFormulas.AtlasFunctions.AtlasBalance("PROD",DataAreaId,"T.TPPTrans_sst|InventDimId~inventDimId@T.InventDim","Sum|Qty|0","","","","","","","ItemId|TransDate|T2.InventSiteId|T2.InventLocationId",$A34,PeriodEnding,$B34,$C34)</f>
        <v>0</v>
      </c>
      <c r="H34" s="4">
        <f>AtlasReport_4_Table_1[[#This Row],[Quantity]]-AtlasReport_4_Table_1[[#This Row],[TPP trans backwards (Beginning)]]</f>
        <v>300</v>
      </c>
      <c r="I34" s="4">
        <f>AtlasReport_4_Table_1[[#This Row],[Quantity]]-AtlasReport_4_Table_1[[#This Row],[TPP trans backwards (Ending)]]</f>
        <v>300</v>
      </c>
      <c r="J34" s="4">
        <f>_xll.AtlasFormulas.AtlasFunctions.AtlasBalance("PROD",DataAreaId,"T.TPPTrans_sst|InventDimId~inventDimId@T.InventDim","Sum|CostAmount|0","","","","","","","ItemId|TransDate|T2.InventSiteId|T2.InventLocationId",$A34,PeriodBeginning,$B34,$C34)</f>
        <v>0</v>
      </c>
      <c r="K34" s="4">
        <f>_xll.AtlasFormulas.AtlasFunctions.AtlasBalance("PROD",DataAreaId,"T.TPPTrans_sst|InventDimId~inventDimId@T.InventDim","Sum|CostAmount|0","","","","","","","ItemId|TransDate|T2.InventSiteId|T2.InventLocationId",$A34,PeriodEnding,$B34,$C34)</f>
        <v>0</v>
      </c>
      <c r="L34" s="4">
        <f>AtlasReport_4_Table_1[[#This Row],[TPP cost amount]]-AtlasReport_4_Table_1[[#This Row],[TPP trans backwards balance (Beginning)]]</f>
        <v>0</v>
      </c>
      <c r="M34" s="4">
        <f>AtlasReport_4_Table_1[[#This Row],[TPP cost amount]]-AtlasReport_4_Table_1[[#This Row],[TPP Balance (Beginning)]]</f>
        <v>0</v>
      </c>
    </row>
    <row r="35" spans="1:13" x14ac:dyDescent="0.25">
      <c r="A35" s="8" t="s">
        <v>295</v>
      </c>
      <c r="B35" s="8" t="s">
        <v>261</v>
      </c>
      <c r="C35" s="8" t="s">
        <v>264</v>
      </c>
      <c r="D35" s="4">
        <v>300</v>
      </c>
      <c r="E35" s="4">
        <v>0</v>
      </c>
      <c r="F35" s="4">
        <f>_xll.AtlasFormulas.AtlasFunctions.AtlasBalance("PROD",DataAreaId,"T.TPPTrans_sst|InventDimId~inventDimId@T.InventDim","Sum|Qty|0","","","","","","","ItemId|TransDate|T2.InventSiteId|T2.InventLocationId",$A35,PeriodBeginning,$B35,$C35)</f>
        <v>0</v>
      </c>
      <c r="G35" s="4">
        <f>_xll.AtlasFormulas.AtlasFunctions.AtlasBalance("PROD",DataAreaId,"T.TPPTrans_sst|InventDimId~inventDimId@T.InventDim","Sum|Qty|0","","","","","","","ItemId|TransDate|T2.InventSiteId|T2.InventLocationId",$A35,PeriodEnding,$B35,$C35)</f>
        <v>0</v>
      </c>
      <c r="H35" s="4">
        <f>AtlasReport_4_Table_1[[#This Row],[Quantity]]-AtlasReport_4_Table_1[[#This Row],[TPP trans backwards (Beginning)]]</f>
        <v>300</v>
      </c>
      <c r="I35" s="4">
        <f>AtlasReport_4_Table_1[[#This Row],[Quantity]]-AtlasReport_4_Table_1[[#This Row],[TPP trans backwards (Ending)]]</f>
        <v>300</v>
      </c>
      <c r="J35" s="4">
        <f>_xll.AtlasFormulas.AtlasFunctions.AtlasBalance("PROD",DataAreaId,"T.TPPTrans_sst|InventDimId~inventDimId@T.InventDim","Sum|CostAmount|0","","","","","","","ItemId|TransDate|T2.InventSiteId|T2.InventLocationId",$A35,PeriodBeginning,$B35,$C35)</f>
        <v>0</v>
      </c>
      <c r="K35" s="4">
        <f>_xll.AtlasFormulas.AtlasFunctions.AtlasBalance("PROD",DataAreaId,"T.TPPTrans_sst|InventDimId~inventDimId@T.InventDim","Sum|CostAmount|0","","","","","","","ItemId|TransDate|T2.InventSiteId|T2.InventLocationId",$A35,PeriodEnding,$B35,$C35)</f>
        <v>0</v>
      </c>
      <c r="L35" s="4">
        <f>AtlasReport_4_Table_1[[#This Row],[TPP cost amount]]-AtlasReport_4_Table_1[[#This Row],[TPP trans backwards balance (Beginning)]]</f>
        <v>0</v>
      </c>
      <c r="M35" s="4">
        <f>AtlasReport_4_Table_1[[#This Row],[TPP cost amount]]-AtlasReport_4_Table_1[[#This Row],[TPP Balance (Beginning)]]</f>
        <v>0</v>
      </c>
    </row>
    <row r="36" spans="1:13" x14ac:dyDescent="0.25">
      <c r="A36" s="8" t="s">
        <v>297</v>
      </c>
      <c r="B36" s="8" t="s">
        <v>261</v>
      </c>
      <c r="C36" s="8" t="s">
        <v>264</v>
      </c>
      <c r="D36" s="4">
        <v>175</v>
      </c>
      <c r="E36" s="4">
        <v>0</v>
      </c>
      <c r="F36" s="4">
        <f>_xll.AtlasFormulas.AtlasFunctions.AtlasBalance("PROD",DataAreaId,"T.TPPTrans_sst|InventDimId~inventDimId@T.InventDim","Sum|Qty|0","","","","","","","ItemId|TransDate|T2.InventSiteId|T2.InventLocationId",$A36,PeriodBeginning,$B36,$C36)</f>
        <v>0</v>
      </c>
      <c r="G36" s="4">
        <f>_xll.AtlasFormulas.AtlasFunctions.AtlasBalance("PROD",DataAreaId,"T.TPPTrans_sst|InventDimId~inventDimId@T.InventDim","Sum|Qty|0","","","","","","","ItemId|TransDate|T2.InventSiteId|T2.InventLocationId",$A36,PeriodEnding,$B36,$C36)</f>
        <v>0</v>
      </c>
      <c r="H36" s="4">
        <f>AtlasReport_4_Table_1[[#This Row],[Quantity]]-AtlasReport_4_Table_1[[#This Row],[TPP trans backwards (Beginning)]]</f>
        <v>175</v>
      </c>
      <c r="I36" s="4">
        <f>AtlasReport_4_Table_1[[#This Row],[Quantity]]-AtlasReport_4_Table_1[[#This Row],[TPP trans backwards (Ending)]]</f>
        <v>175</v>
      </c>
      <c r="J36" s="4">
        <f>_xll.AtlasFormulas.AtlasFunctions.AtlasBalance("PROD",DataAreaId,"T.TPPTrans_sst|InventDimId~inventDimId@T.InventDim","Sum|CostAmount|0","","","","","","","ItemId|TransDate|T2.InventSiteId|T2.InventLocationId",$A36,PeriodBeginning,$B36,$C36)</f>
        <v>0</v>
      </c>
      <c r="K36" s="4">
        <f>_xll.AtlasFormulas.AtlasFunctions.AtlasBalance("PROD",DataAreaId,"T.TPPTrans_sst|InventDimId~inventDimId@T.InventDim","Sum|CostAmount|0","","","","","","","ItemId|TransDate|T2.InventSiteId|T2.InventLocationId",$A36,PeriodEnding,$B36,$C36)</f>
        <v>0</v>
      </c>
      <c r="L36" s="4">
        <f>AtlasReport_4_Table_1[[#This Row],[TPP cost amount]]-AtlasReport_4_Table_1[[#This Row],[TPP trans backwards balance (Beginning)]]</f>
        <v>0</v>
      </c>
      <c r="M36" s="4">
        <f>AtlasReport_4_Table_1[[#This Row],[TPP cost amount]]-AtlasReport_4_Table_1[[#This Row],[TPP Balance (Beginning)]]</f>
        <v>0</v>
      </c>
    </row>
    <row r="37" spans="1:13" x14ac:dyDescent="0.25">
      <c r="A37" s="8" t="s">
        <v>298</v>
      </c>
      <c r="B37" s="8" t="s">
        <v>261</v>
      </c>
      <c r="C37" s="8" t="s">
        <v>264</v>
      </c>
      <c r="D37" s="4">
        <v>131.1</v>
      </c>
      <c r="E37" s="4">
        <v>0</v>
      </c>
      <c r="F37" s="4">
        <f>_xll.AtlasFormulas.AtlasFunctions.AtlasBalance("PROD",DataAreaId,"T.TPPTrans_sst|InventDimId~inventDimId@T.InventDim","Sum|Qty|0","","","","","","","ItemId|TransDate|T2.InventSiteId|T2.InventLocationId",$A37,PeriodBeginning,$B37,$C37)</f>
        <v>0</v>
      </c>
      <c r="G37" s="4">
        <f>_xll.AtlasFormulas.AtlasFunctions.AtlasBalance("PROD",DataAreaId,"T.TPPTrans_sst|InventDimId~inventDimId@T.InventDim","Sum|Qty|0","","","","","","","ItemId|TransDate|T2.InventSiteId|T2.InventLocationId",$A37,PeriodEnding,$B37,$C37)</f>
        <v>0</v>
      </c>
      <c r="H37" s="4">
        <f>AtlasReport_4_Table_1[[#This Row],[Quantity]]-AtlasReport_4_Table_1[[#This Row],[TPP trans backwards (Beginning)]]</f>
        <v>131.1</v>
      </c>
      <c r="I37" s="4">
        <f>AtlasReport_4_Table_1[[#This Row],[Quantity]]-AtlasReport_4_Table_1[[#This Row],[TPP trans backwards (Ending)]]</f>
        <v>131.1</v>
      </c>
      <c r="J37" s="4">
        <f>_xll.AtlasFormulas.AtlasFunctions.AtlasBalance("PROD",DataAreaId,"T.TPPTrans_sst|InventDimId~inventDimId@T.InventDim","Sum|CostAmount|0","","","","","","","ItemId|TransDate|T2.InventSiteId|T2.InventLocationId",$A37,PeriodBeginning,$B37,$C37)</f>
        <v>0</v>
      </c>
      <c r="K37" s="4">
        <f>_xll.AtlasFormulas.AtlasFunctions.AtlasBalance("PROD",DataAreaId,"T.TPPTrans_sst|InventDimId~inventDimId@T.InventDim","Sum|CostAmount|0","","","","","","","ItemId|TransDate|T2.InventSiteId|T2.InventLocationId",$A37,PeriodEnding,$B37,$C37)</f>
        <v>0</v>
      </c>
      <c r="L37" s="4">
        <f>AtlasReport_4_Table_1[[#This Row],[TPP cost amount]]-AtlasReport_4_Table_1[[#This Row],[TPP trans backwards balance (Beginning)]]</f>
        <v>0</v>
      </c>
      <c r="M37" s="4">
        <f>AtlasReport_4_Table_1[[#This Row],[TPP cost amount]]-AtlasReport_4_Table_1[[#This Row],[TPP Balance (Beginning)]]</f>
        <v>0</v>
      </c>
    </row>
    <row r="38" spans="1:13" x14ac:dyDescent="0.25">
      <c r="A38" s="8" t="s">
        <v>299</v>
      </c>
      <c r="B38" s="8" t="s">
        <v>261</v>
      </c>
      <c r="C38" s="8" t="s">
        <v>264</v>
      </c>
      <c r="D38" s="4">
        <v>1</v>
      </c>
      <c r="E38" s="4">
        <v>0</v>
      </c>
      <c r="F38" s="4">
        <f>_xll.AtlasFormulas.AtlasFunctions.AtlasBalance("PROD",DataAreaId,"T.TPPTrans_sst|InventDimId~inventDimId@T.InventDim","Sum|Qty|0","","","","","","","ItemId|TransDate|T2.InventSiteId|T2.InventLocationId",$A38,PeriodBeginning,$B38,$C38)</f>
        <v>0</v>
      </c>
      <c r="G38" s="4">
        <f>_xll.AtlasFormulas.AtlasFunctions.AtlasBalance("PROD",DataAreaId,"T.TPPTrans_sst|InventDimId~inventDimId@T.InventDim","Sum|Qty|0","","","","","","","ItemId|TransDate|T2.InventSiteId|T2.InventLocationId",$A38,PeriodEnding,$B38,$C38)</f>
        <v>0</v>
      </c>
      <c r="H38" s="4">
        <f>AtlasReport_4_Table_1[[#This Row],[Quantity]]-AtlasReport_4_Table_1[[#This Row],[TPP trans backwards (Beginning)]]</f>
        <v>1</v>
      </c>
      <c r="I38" s="4">
        <f>AtlasReport_4_Table_1[[#This Row],[Quantity]]-AtlasReport_4_Table_1[[#This Row],[TPP trans backwards (Ending)]]</f>
        <v>1</v>
      </c>
      <c r="J38" s="4">
        <f>_xll.AtlasFormulas.AtlasFunctions.AtlasBalance("PROD",DataAreaId,"T.TPPTrans_sst|InventDimId~inventDimId@T.InventDim","Sum|CostAmount|0","","","","","","","ItemId|TransDate|T2.InventSiteId|T2.InventLocationId",$A38,PeriodBeginning,$B38,$C38)</f>
        <v>0</v>
      </c>
      <c r="K38" s="4">
        <f>_xll.AtlasFormulas.AtlasFunctions.AtlasBalance("PROD",DataAreaId,"T.TPPTrans_sst|InventDimId~inventDimId@T.InventDim","Sum|CostAmount|0","","","","","","","ItemId|TransDate|T2.InventSiteId|T2.InventLocationId",$A38,PeriodEnding,$B38,$C38)</f>
        <v>0</v>
      </c>
      <c r="L38" s="4">
        <f>AtlasReport_4_Table_1[[#This Row],[TPP cost amount]]-AtlasReport_4_Table_1[[#This Row],[TPP trans backwards balance (Beginning)]]</f>
        <v>0</v>
      </c>
      <c r="M38" s="4">
        <f>AtlasReport_4_Table_1[[#This Row],[TPP cost amount]]-AtlasReport_4_Table_1[[#This Row],[TPP Balance (Beginning)]]</f>
        <v>0</v>
      </c>
    </row>
    <row r="39" spans="1:13" x14ac:dyDescent="0.25">
      <c r="A39" s="8" t="s">
        <v>301</v>
      </c>
      <c r="B39" s="8" t="s">
        <v>261</v>
      </c>
      <c r="C39" s="8" t="s">
        <v>264</v>
      </c>
      <c r="D39" s="4">
        <v>1</v>
      </c>
      <c r="E39" s="4">
        <v>0</v>
      </c>
      <c r="F39" s="4">
        <f>_xll.AtlasFormulas.AtlasFunctions.AtlasBalance("PROD",DataAreaId,"T.TPPTrans_sst|InventDimId~inventDimId@T.InventDim","Sum|Qty|0","","","","","","","ItemId|TransDate|T2.InventSiteId|T2.InventLocationId",$A39,PeriodBeginning,$B39,$C39)</f>
        <v>0</v>
      </c>
      <c r="G39" s="4">
        <f>_xll.AtlasFormulas.AtlasFunctions.AtlasBalance("PROD",DataAreaId,"T.TPPTrans_sst|InventDimId~inventDimId@T.InventDim","Sum|Qty|0","","","","","","","ItemId|TransDate|T2.InventSiteId|T2.InventLocationId",$A39,PeriodEnding,$B39,$C39)</f>
        <v>0</v>
      </c>
      <c r="H39" s="4">
        <f>AtlasReport_4_Table_1[[#This Row],[Quantity]]-AtlasReport_4_Table_1[[#This Row],[TPP trans backwards (Beginning)]]</f>
        <v>1</v>
      </c>
      <c r="I39" s="4">
        <f>AtlasReport_4_Table_1[[#This Row],[Quantity]]-AtlasReport_4_Table_1[[#This Row],[TPP trans backwards (Ending)]]</f>
        <v>1</v>
      </c>
      <c r="J39" s="4">
        <f>_xll.AtlasFormulas.AtlasFunctions.AtlasBalance("PROD",DataAreaId,"T.TPPTrans_sst|InventDimId~inventDimId@T.InventDim","Sum|CostAmount|0","","","","","","","ItemId|TransDate|T2.InventSiteId|T2.InventLocationId",$A39,PeriodBeginning,$B39,$C39)</f>
        <v>0</v>
      </c>
      <c r="K39" s="4">
        <f>_xll.AtlasFormulas.AtlasFunctions.AtlasBalance("PROD",DataAreaId,"T.TPPTrans_sst|InventDimId~inventDimId@T.InventDim","Sum|CostAmount|0","","","","","","","ItemId|TransDate|T2.InventSiteId|T2.InventLocationId",$A39,PeriodEnding,$B39,$C39)</f>
        <v>0</v>
      </c>
      <c r="L39" s="4">
        <f>AtlasReport_4_Table_1[[#This Row],[TPP cost amount]]-AtlasReport_4_Table_1[[#This Row],[TPP trans backwards balance (Beginning)]]</f>
        <v>0</v>
      </c>
      <c r="M39" s="4">
        <f>AtlasReport_4_Table_1[[#This Row],[TPP cost amount]]-AtlasReport_4_Table_1[[#This Row],[TPP Balance (Beginning)]]</f>
        <v>0</v>
      </c>
    </row>
    <row r="40" spans="1:13" x14ac:dyDescent="0.25">
      <c r="A40" s="8" t="s">
        <v>302</v>
      </c>
      <c r="B40" s="8" t="s">
        <v>261</v>
      </c>
      <c r="C40" s="8" t="s">
        <v>264</v>
      </c>
      <c r="D40" s="4">
        <v>159</v>
      </c>
      <c r="E40" s="4">
        <v>0</v>
      </c>
      <c r="F40" s="4">
        <f>_xll.AtlasFormulas.AtlasFunctions.AtlasBalance("PROD",DataAreaId,"T.TPPTrans_sst|InventDimId~inventDimId@T.InventDim","Sum|Qty|0","","","","","","","ItemId|TransDate|T2.InventSiteId|T2.InventLocationId",$A40,PeriodBeginning,$B40,$C40)</f>
        <v>0</v>
      </c>
      <c r="G40" s="4">
        <f>_xll.AtlasFormulas.AtlasFunctions.AtlasBalance("PROD",DataAreaId,"T.TPPTrans_sst|InventDimId~inventDimId@T.InventDim","Sum|Qty|0","","","","","","","ItemId|TransDate|T2.InventSiteId|T2.InventLocationId",$A40,PeriodEnding,$B40,$C40)</f>
        <v>0</v>
      </c>
      <c r="H40" s="4">
        <f>AtlasReport_4_Table_1[[#This Row],[Quantity]]-AtlasReport_4_Table_1[[#This Row],[TPP trans backwards (Beginning)]]</f>
        <v>159</v>
      </c>
      <c r="I40" s="4">
        <f>AtlasReport_4_Table_1[[#This Row],[Quantity]]-AtlasReport_4_Table_1[[#This Row],[TPP trans backwards (Ending)]]</f>
        <v>159</v>
      </c>
      <c r="J40" s="4">
        <f>_xll.AtlasFormulas.AtlasFunctions.AtlasBalance("PROD",DataAreaId,"T.TPPTrans_sst|InventDimId~inventDimId@T.InventDim","Sum|CostAmount|0","","","","","","","ItemId|TransDate|T2.InventSiteId|T2.InventLocationId",$A40,PeriodBeginning,$B40,$C40)</f>
        <v>0</v>
      </c>
      <c r="K40" s="4">
        <f>_xll.AtlasFormulas.AtlasFunctions.AtlasBalance("PROD",DataAreaId,"T.TPPTrans_sst|InventDimId~inventDimId@T.InventDim","Sum|CostAmount|0","","","","","","","ItemId|TransDate|T2.InventSiteId|T2.InventLocationId",$A40,PeriodEnding,$B40,$C40)</f>
        <v>0</v>
      </c>
      <c r="L40" s="4">
        <f>AtlasReport_4_Table_1[[#This Row],[TPP cost amount]]-AtlasReport_4_Table_1[[#This Row],[TPP trans backwards balance (Beginning)]]</f>
        <v>0</v>
      </c>
      <c r="M40" s="4">
        <f>AtlasReport_4_Table_1[[#This Row],[TPP cost amount]]-AtlasReport_4_Table_1[[#This Row],[TPP Balance (Beginning)]]</f>
        <v>0</v>
      </c>
    </row>
    <row r="41" spans="1:13" x14ac:dyDescent="0.25">
      <c r="A41" s="8" t="s">
        <v>303</v>
      </c>
      <c r="B41" s="8" t="s">
        <v>261</v>
      </c>
      <c r="C41" s="8" t="s">
        <v>264</v>
      </c>
      <c r="D41" s="4">
        <v>0</v>
      </c>
      <c r="E41" s="4">
        <v>-1.159581117E-3</v>
      </c>
      <c r="F41" s="4">
        <f>_xll.AtlasFormulas.AtlasFunctions.AtlasBalance("PROD",DataAreaId,"T.TPPTrans_sst|InventDimId~inventDimId@T.InventDim","Sum|Qty|0","","","","","","","ItemId|TransDate|T2.InventSiteId|T2.InventLocationId",$A41,PeriodBeginning,$B41,$C41)</f>
        <v>-1</v>
      </c>
      <c r="G41" s="4">
        <f>_xll.AtlasFormulas.AtlasFunctions.AtlasBalance("PROD",DataAreaId,"T.TPPTrans_sst|InventDimId~inventDimId@T.InventDim","Sum|Qty|0","","","","","","","ItemId|TransDate|T2.InventSiteId|T2.InventLocationId",$A41,PeriodEnding,$B41,$C41)</f>
        <v>0</v>
      </c>
      <c r="H41" s="4">
        <f>AtlasReport_4_Table_1[[#This Row],[Quantity]]-AtlasReport_4_Table_1[[#This Row],[TPP trans backwards (Beginning)]]</f>
        <v>1</v>
      </c>
      <c r="I41" s="4">
        <f>AtlasReport_4_Table_1[[#This Row],[Quantity]]-AtlasReport_4_Table_1[[#This Row],[TPP trans backwards (Ending)]]</f>
        <v>0</v>
      </c>
      <c r="J41" s="4">
        <f>_xll.AtlasFormulas.AtlasFunctions.AtlasBalance("PROD",DataAreaId,"T.TPPTrans_sst|InventDimId~inventDimId@T.InventDim","Sum|CostAmount|0","","","","","","","ItemId|TransDate|T2.InventSiteId|T2.InventLocationId",$A41,PeriodBeginning,$B41,$C41)</f>
        <v>-1.61</v>
      </c>
      <c r="K41" s="4">
        <f>_xll.AtlasFormulas.AtlasFunctions.AtlasBalance("PROD",DataAreaId,"T.TPPTrans_sst|InventDimId~inventDimId@T.InventDim","Sum|CostAmount|0","","","","","","","ItemId|TransDate|T2.InventSiteId|T2.InventLocationId",$A41,PeriodEnding,$B41,$C41)</f>
        <v>0</v>
      </c>
      <c r="L41" s="4">
        <f>AtlasReport_4_Table_1[[#This Row],[TPP cost amount]]-AtlasReport_4_Table_1[[#This Row],[TPP trans backwards balance (Beginning)]]</f>
        <v>1.6088404188830001</v>
      </c>
      <c r="M41" s="4">
        <f>AtlasReport_4_Table_1[[#This Row],[TPP cost amount]]-AtlasReport_4_Table_1[[#This Row],[TPP Balance (Beginning)]]</f>
        <v>-1.61</v>
      </c>
    </row>
    <row r="42" spans="1:13" x14ac:dyDescent="0.25">
      <c r="A42" s="8" t="s">
        <v>307</v>
      </c>
      <c r="B42" s="8" t="s">
        <v>261</v>
      </c>
      <c r="C42" s="8" t="s">
        <v>264</v>
      </c>
      <c r="D42" s="4">
        <v>3873</v>
      </c>
      <c r="E42" s="4">
        <v>0</v>
      </c>
      <c r="F42" s="4">
        <f>_xll.AtlasFormulas.AtlasFunctions.AtlasBalance("PROD",DataAreaId,"T.TPPTrans_sst|InventDimId~inventDimId@T.InventDim","Sum|Qty|0","","","","","","","ItemId|TransDate|T2.InventSiteId|T2.InventLocationId",$A42,PeriodBeginning,$B42,$C42)</f>
        <v>0</v>
      </c>
      <c r="G42" s="4">
        <f>_xll.AtlasFormulas.AtlasFunctions.AtlasBalance("PROD",DataAreaId,"T.TPPTrans_sst|InventDimId~inventDimId@T.InventDim","Sum|Qty|0","","","","","","","ItemId|TransDate|T2.InventSiteId|T2.InventLocationId",$A42,PeriodEnding,$B42,$C42)</f>
        <v>0</v>
      </c>
      <c r="H42" s="4">
        <f>AtlasReport_4_Table_1[[#This Row],[Quantity]]-AtlasReport_4_Table_1[[#This Row],[TPP trans backwards (Beginning)]]</f>
        <v>3873</v>
      </c>
      <c r="I42" s="4">
        <f>AtlasReport_4_Table_1[[#This Row],[Quantity]]-AtlasReport_4_Table_1[[#This Row],[TPP trans backwards (Ending)]]</f>
        <v>3873</v>
      </c>
      <c r="J42" s="4">
        <f>_xll.AtlasFormulas.AtlasFunctions.AtlasBalance("PROD",DataAreaId,"T.TPPTrans_sst|InventDimId~inventDimId@T.InventDim","Sum|CostAmount|0","","","","","","","ItemId|TransDate|T2.InventSiteId|T2.InventLocationId",$A42,PeriodBeginning,$B42,$C42)</f>
        <v>0</v>
      </c>
      <c r="K42" s="4">
        <f>_xll.AtlasFormulas.AtlasFunctions.AtlasBalance("PROD",DataAreaId,"T.TPPTrans_sst|InventDimId~inventDimId@T.InventDim","Sum|CostAmount|0","","","","","","","ItemId|TransDate|T2.InventSiteId|T2.InventLocationId",$A42,PeriodEnding,$B42,$C42)</f>
        <v>0</v>
      </c>
      <c r="L42" s="4">
        <f>AtlasReport_4_Table_1[[#This Row],[TPP cost amount]]-AtlasReport_4_Table_1[[#This Row],[TPP trans backwards balance (Beginning)]]</f>
        <v>0</v>
      </c>
      <c r="M42" s="4">
        <f>AtlasReport_4_Table_1[[#This Row],[TPP cost amount]]-AtlasReport_4_Table_1[[#This Row],[TPP Balance (Beginning)]]</f>
        <v>0</v>
      </c>
    </row>
    <row r="43" spans="1:13" x14ac:dyDescent="0.25">
      <c r="A43" s="8" t="s">
        <v>140</v>
      </c>
      <c r="B43" s="8" t="s">
        <v>261</v>
      </c>
      <c r="C43" s="8" t="s">
        <v>289</v>
      </c>
      <c r="D43" s="4">
        <v>20</v>
      </c>
      <c r="E43" s="4">
        <v>0</v>
      </c>
      <c r="F43" s="4">
        <f>_xll.AtlasFormulas.AtlasFunctions.AtlasBalance("PROD",DataAreaId,"T.TPPTrans_sst|InventDimId~inventDimId@T.InventDim","Sum|Qty|0","","","","","","","ItemId|TransDate|T2.InventSiteId|T2.InventLocationId",$A43,PeriodBeginning,$B43,$C43)</f>
        <v>0</v>
      </c>
      <c r="G43" s="4">
        <f>_xll.AtlasFormulas.AtlasFunctions.AtlasBalance("PROD",DataAreaId,"T.TPPTrans_sst|InventDimId~inventDimId@T.InventDim","Sum|Qty|0","","","","","","","ItemId|TransDate|T2.InventSiteId|T2.InventLocationId",$A43,PeriodEnding,$B43,$C43)</f>
        <v>0</v>
      </c>
      <c r="H43" s="4">
        <f>AtlasReport_4_Table_1[[#This Row],[Quantity]]-AtlasReport_4_Table_1[[#This Row],[TPP trans backwards (Beginning)]]</f>
        <v>20</v>
      </c>
      <c r="I43" s="4">
        <f>AtlasReport_4_Table_1[[#This Row],[Quantity]]-AtlasReport_4_Table_1[[#This Row],[TPP trans backwards (Ending)]]</f>
        <v>20</v>
      </c>
      <c r="J43" s="4">
        <f>_xll.AtlasFormulas.AtlasFunctions.AtlasBalance("PROD",DataAreaId,"T.TPPTrans_sst|InventDimId~inventDimId@T.InventDim","Sum|CostAmount|0","","","","","","","ItemId|TransDate|T2.InventSiteId|T2.InventLocationId",$A43,PeriodBeginning,$B43,$C43)</f>
        <v>0</v>
      </c>
      <c r="K43" s="4">
        <f>_xll.AtlasFormulas.AtlasFunctions.AtlasBalance("PROD",DataAreaId,"T.TPPTrans_sst|InventDimId~inventDimId@T.InventDim","Sum|CostAmount|0","","","","","","","ItemId|TransDate|T2.InventSiteId|T2.InventLocationId",$A43,PeriodEnding,$B43,$C43)</f>
        <v>0</v>
      </c>
      <c r="L43" s="4">
        <f>AtlasReport_4_Table_1[[#This Row],[TPP cost amount]]-AtlasReport_4_Table_1[[#This Row],[TPP trans backwards balance (Beginning)]]</f>
        <v>0</v>
      </c>
      <c r="M43" s="4">
        <f>AtlasReport_4_Table_1[[#This Row],[TPP cost amount]]-AtlasReport_4_Table_1[[#This Row],[TPP Balance (Beginning)]]</f>
        <v>0</v>
      </c>
    </row>
    <row r="44" spans="1:13" x14ac:dyDescent="0.25">
      <c r="A44" s="8" t="s">
        <v>140</v>
      </c>
      <c r="B44" s="8" t="s">
        <v>261</v>
      </c>
      <c r="C44" s="8" t="s">
        <v>264</v>
      </c>
      <c r="D44" s="4">
        <v>3268</v>
      </c>
      <c r="E44" s="4">
        <v>0</v>
      </c>
      <c r="F44" s="4">
        <f>_xll.AtlasFormulas.AtlasFunctions.AtlasBalance("PROD",DataAreaId,"T.TPPTrans_sst|InventDimId~inventDimId@T.InventDim","Sum|Qty|0","","","","","","","ItemId|TransDate|T2.InventSiteId|T2.InventLocationId",$A44,PeriodBeginning,$B44,$C44)</f>
        <v>0</v>
      </c>
      <c r="G44" s="4">
        <f>_xll.AtlasFormulas.AtlasFunctions.AtlasBalance("PROD",DataAreaId,"T.TPPTrans_sst|InventDimId~inventDimId@T.InventDim","Sum|Qty|0","","","","","","","ItemId|TransDate|T2.InventSiteId|T2.InventLocationId",$A44,PeriodEnding,$B44,$C44)</f>
        <v>0</v>
      </c>
      <c r="H44" s="4">
        <f>AtlasReport_4_Table_1[[#This Row],[Quantity]]-AtlasReport_4_Table_1[[#This Row],[TPP trans backwards (Beginning)]]</f>
        <v>3268</v>
      </c>
      <c r="I44" s="4">
        <f>AtlasReport_4_Table_1[[#This Row],[Quantity]]-AtlasReport_4_Table_1[[#This Row],[TPP trans backwards (Ending)]]</f>
        <v>3268</v>
      </c>
      <c r="J44" s="4">
        <f>_xll.AtlasFormulas.AtlasFunctions.AtlasBalance("PROD",DataAreaId,"T.TPPTrans_sst|InventDimId~inventDimId@T.InventDim","Sum|CostAmount|0","","","","","","","ItemId|TransDate|T2.InventSiteId|T2.InventLocationId",$A44,PeriodBeginning,$B44,$C44)</f>
        <v>0</v>
      </c>
      <c r="K44" s="4">
        <f>_xll.AtlasFormulas.AtlasFunctions.AtlasBalance("PROD",DataAreaId,"T.TPPTrans_sst|InventDimId~inventDimId@T.InventDim","Sum|CostAmount|0","","","","","","","ItemId|TransDate|T2.InventSiteId|T2.InventLocationId",$A44,PeriodEnding,$B44,$C44)</f>
        <v>0</v>
      </c>
      <c r="L44" s="4">
        <f>AtlasReport_4_Table_1[[#This Row],[TPP cost amount]]-AtlasReport_4_Table_1[[#This Row],[TPP trans backwards balance (Beginning)]]</f>
        <v>0</v>
      </c>
      <c r="M44" s="4">
        <f>AtlasReport_4_Table_1[[#This Row],[TPP cost amount]]-AtlasReport_4_Table_1[[#This Row],[TPP Balance (Beginning)]]</f>
        <v>0</v>
      </c>
    </row>
    <row r="45" spans="1:13" x14ac:dyDescent="0.25">
      <c r="A45" s="8" t="s">
        <v>119</v>
      </c>
      <c r="B45" s="8" t="s">
        <v>261</v>
      </c>
      <c r="C45" s="8" t="s">
        <v>289</v>
      </c>
      <c r="D45" s="4">
        <v>10</v>
      </c>
      <c r="E45" s="4">
        <v>0</v>
      </c>
      <c r="F45" s="4">
        <f>_xll.AtlasFormulas.AtlasFunctions.AtlasBalance("PROD",DataAreaId,"T.TPPTrans_sst|InventDimId~inventDimId@T.InventDim","Sum|Qty|0","","","","","","","ItemId|TransDate|T2.InventSiteId|T2.InventLocationId",$A45,PeriodBeginning,$B45,$C45)</f>
        <v>0</v>
      </c>
      <c r="G45" s="4">
        <f>_xll.AtlasFormulas.AtlasFunctions.AtlasBalance("PROD",DataAreaId,"T.TPPTrans_sst|InventDimId~inventDimId@T.InventDim","Sum|Qty|0","","","","","","","ItemId|TransDate|T2.InventSiteId|T2.InventLocationId",$A45,PeriodEnding,$B45,$C45)</f>
        <v>0</v>
      </c>
      <c r="H45" s="4">
        <f>AtlasReport_4_Table_1[[#This Row],[Quantity]]-AtlasReport_4_Table_1[[#This Row],[TPP trans backwards (Beginning)]]</f>
        <v>10</v>
      </c>
      <c r="I45" s="4">
        <f>AtlasReport_4_Table_1[[#This Row],[Quantity]]-AtlasReport_4_Table_1[[#This Row],[TPP trans backwards (Ending)]]</f>
        <v>10</v>
      </c>
      <c r="J45" s="4">
        <f>_xll.AtlasFormulas.AtlasFunctions.AtlasBalance("PROD",DataAreaId,"T.TPPTrans_sst|InventDimId~inventDimId@T.InventDim","Sum|CostAmount|0","","","","","","","ItemId|TransDate|T2.InventSiteId|T2.InventLocationId",$A45,PeriodBeginning,$B45,$C45)</f>
        <v>0</v>
      </c>
      <c r="K45" s="4">
        <f>_xll.AtlasFormulas.AtlasFunctions.AtlasBalance("PROD",DataAreaId,"T.TPPTrans_sst|InventDimId~inventDimId@T.InventDim","Sum|CostAmount|0","","","","","","","ItemId|TransDate|T2.InventSiteId|T2.InventLocationId",$A45,PeriodEnding,$B45,$C45)</f>
        <v>0</v>
      </c>
      <c r="L45" s="4">
        <f>AtlasReport_4_Table_1[[#This Row],[TPP cost amount]]-AtlasReport_4_Table_1[[#This Row],[TPP trans backwards balance (Beginning)]]</f>
        <v>0</v>
      </c>
      <c r="M45" s="4">
        <f>AtlasReport_4_Table_1[[#This Row],[TPP cost amount]]-AtlasReport_4_Table_1[[#This Row],[TPP Balance (Beginning)]]</f>
        <v>0</v>
      </c>
    </row>
    <row r="46" spans="1:13" x14ac:dyDescent="0.25">
      <c r="A46" s="8" t="s">
        <v>119</v>
      </c>
      <c r="B46" s="8" t="s">
        <v>261</v>
      </c>
      <c r="C46" s="8" t="s">
        <v>264</v>
      </c>
      <c r="D46" s="4">
        <v>2140</v>
      </c>
      <c r="E46" s="4">
        <v>0</v>
      </c>
      <c r="F46" s="4">
        <f>_xll.AtlasFormulas.AtlasFunctions.AtlasBalance("PROD",DataAreaId,"T.TPPTrans_sst|InventDimId~inventDimId@T.InventDim","Sum|Qty|0","","","","","","","ItemId|TransDate|T2.InventSiteId|T2.InventLocationId",$A46,PeriodBeginning,$B46,$C46)</f>
        <v>0</v>
      </c>
      <c r="G46" s="4">
        <f>_xll.AtlasFormulas.AtlasFunctions.AtlasBalance("PROD",DataAreaId,"T.TPPTrans_sst|InventDimId~inventDimId@T.InventDim","Sum|Qty|0","","","","","","","ItemId|TransDate|T2.InventSiteId|T2.InventLocationId",$A46,PeriodEnding,$B46,$C46)</f>
        <v>0</v>
      </c>
      <c r="H46" s="4">
        <f>AtlasReport_4_Table_1[[#This Row],[Quantity]]-AtlasReport_4_Table_1[[#This Row],[TPP trans backwards (Beginning)]]</f>
        <v>2140</v>
      </c>
      <c r="I46" s="4">
        <f>AtlasReport_4_Table_1[[#This Row],[Quantity]]-AtlasReport_4_Table_1[[#This Row],[TPP trans backwards (Ending)]]</f>
        <v>2140</v>
      </c>
      <c r="J46" s="4">
        <f>_xll.AtlasFormulas.AtlasFunctions.AtlasBalance("PROD",DataAreaId,"T.TPPTrans_sst|InventDimId~inventDimId@T.InventDim","Sum|CostAmount|0","","","","","","","ItemId|TransDate|T2.InventSiteId|T2.InventLocationId",$A46,PeriodBeginning,$B46,$C46)</f>
        <v>0</v>
      </c>
      <c r="K46" s="4">
        <f>_xll.AtlasFormulas.AtlasFunctions.AtlasBalance("PROD",DataAreaId,"T.TPPTrans_sst|InventDimId~inventDimId@T.InventDim","Sum|CostAmount|0","","","","","","","ItemId|TransDate|T2.InventSiteId|T2.InventLocationId",$A46,PeriodEnding,$B46,$C46)</f>
        <v>0</v>
      </c>
      <c r="L46" s="4">
        <f>AtlasReport_4_Table_1[[#This Row],[TPP cost amount]]-AtlasReport_4_Table_1[[#This Row],[TPP trans backwards balance (Beginning)]]</f>
        <v>0</v>
      </c>
      <c r="M46" s="4">
        <f>AtlasReport_4_Table_1[[#This Row],[TPP cost amount]]-AtlasReport_4_Table_1[[#This Row],[TPP Balance (Beginning)]]</f>
        <v>0</v>
      </c>
    </row>
    <row r="47" spans="1:13" x14ac:dyDescent="0.25">
      <c r="A47" s="8" t="s">
        <v>20</v>
      </c>
      <c r="B47" s="8" t="s">
        <v>261</v>
      </c>
      <c r="C47" s="8" t="s">
        <v>305</v>
      </c>
      <c r="D47" s="4">
        <v>145.5</v>
      </c>
      <c r="E47" s="4">
        <v>-3.8514512750000003E-3</v>
      </c>
      <c r="F47" s="4">
        <f>_xll.AtlasFormulas.AtlasFunctions.AtlasBalance("PROD",DataAreaId,"T.TPPTrans_sst|InventDimId~inventDimId@T.InventDim","Sum|Qty|0","","","","","","","ItemId|TransDate|T2.InventSiteId|T2.InventLocationId",$A47,PeriodBeginning,$B47,$C47)</f>
        <v>0</v>
      </c>
      <c r="G47" s="4">
        <f>_xll.AtlasFormulas.AtlasFunctions.AtlasBalance("PROD",DataAreaId,"T.TPPTrans_sst|InventDimId~inventDimId@T.InventDim","Sum|Qty|0","","","","","","","ItemId|TransDate|T2.InventSiteId|T2.InventLocationId",$A47,PeriodEnding,$B47,$C47)</f>
        <v>0</v>
      </c>
      <c r="H47" s="4">
        <f>AtlasReport_4_Table_1[[#This Row],[Quantity]]-AtlasReport_4_Table_1[[#This Row],[TPP trans backwards (Beginning)]]</f>
        <v>145.5</v>
      </c>
      <c r="I47" s="4">
        <f>AtlasReport_4_Table_1[[#This Row],[Quantity]]-AtlasReport_4_Table_1[[#This Row],[TPP trans backwards (Ending)]]</f>
        <v>145.5</v>
      </c>
      <c r="J47" s="4">
        <f>_xll.AtlasFormulas.AtlasFunctions.AtlasBalance("PROD",DataAreaId,"T.TPPTrans_sst|InventDimId~inventDimId@T.InventDim","Sum|CostAmount|0","","","","","","","ItemId|TransDate|T2.InventSiteId|T2.InventLocationId",$A47,PeriodBeginning,$B47,$C47)</f>
        <v>0</v>
      </c>
      <c r="K47" s="4">
        <f>_xll.AtlasFormulas.AtlasFunctions.AtlasBalance("PROD",DataAreaId,"T.TPPTrans_sst|InventDimId~inventDimId@T.InventDim","Sum|CostAmount|0","","","","","","","ItemId|TransDate|T2.InventSiteId|T2.InventLocationId",$A47,PeriodEnding,$B47,$C47)</f>
        <v>0</v>
      </c>
      <c r="L47" s="4">
        <f>AtlasReport_4_Table_1[[#This Row],[TPP cost amount]]-AtlasReport_4_Table_1[[#This Row],[TPP trans backwards balance (Beginning)]]</f>
        <v>-3.8514512750000003E-3</v>
      </c>
      <c r="M47" s="4">
        <f>AtlasReport_4_Table_1[[#This Row],[TPP cost amount]]-AtlasReport_4_Table_1[[#This Row],[TPP Balance (Beginning)]]</f>
        <v>0</v>
      </c>
    </row>
    <row r="48" spans="1:13" x14ac:dyDescent="0.25">
      <c r="A48" s="8" t="s">
        <v>20</v>
      </c>
      <c r="B48" s="8" t="s">
        <v>261</v>
      </c>
      <c r="C48" s="8" t="s">
        <v>262</v>
      </c>
      <c r="D48" s="4">
        <v>-8245</v>
      </c>
      <c r="E48" s="4">
        <v>0</v>
      </c>
      <c r="F48" s="4">
        <f>_xll.AtlasFormulas.AtlasFunctions.AtlasBalance("PROD",DataAreaId,"T.TPPTrans_sst|InventDimId~inventDimId@T.InventDim","Sum|Qty|0","","","","","","","ItemId|TransDate|T2.InventSiteId|T2.InventLocationId",$A48,PeriodBeginning,$B48,$C48)</f>
        <v>0</v>
      </c>
      <c r="G48" s="4">
        <f>_xll.AtlasFormulas.AtlasFunctions.AtlasBalance("PROD",DataAreaId,"T.TPPTrans_sst|InventDimId~inventDimId@T.InventDim","Sum|Qty|0","","","","","","","ItemId|TransDate|T2.InventSiteId|T2.InventLocationId",$A48,PeriodEnding,$B48,$C48)</f>
        <v>0</v>
      </c>
      <c r="H48" s="4">
        <f>AtlasReport_4_Table_1[[#This Row],[Quantity]]-AtlasReport_4_Table_1[[#This Row],[TPP trans backwards (Beginning)]]</f>
        <v>-8245</v>
      </c>
      <c r="I48" s="4">
        <f>AtlasReport_4_Table_1[[#This Row],[Quantity]]-AtlasReport_4_Table_1[[#This Row],[TPP trans backwards (Ending)]]</f>
        <v>-8245</v>
      </c>
      <c r="J48" s="4">
        <f>_xll.AtlasFormulas.AtlasFunctions.AtlasBalance("PROD",DataAreaId,"T.TPPTrans_sst|InventDimId~inventDimId@T.InventDim","Sum|CostAmount|0","","","","","","","ItemId|TransDate|T2.InventSiteId|T2.InventLocationId",$A48,PeriodBeginning,$B48,$C48)</f>
        <v>0</v>
      </c>
      <c r="K48" s="4">
        <f>_xll.AtlasFormulas.AtlasFunctions.AtlasBalance("PROD",DataAreaId,"T.TPPTrans_sst|InventDimId~inventDimId@T.InventDim","Sum|CostAmount|0","","","","","","","ItemId|TransDate|T2.InventSiteId|T2.InventLocationId",$A48,PeriodEnding,$B48,$C48)</f>
        <v>0</v>
      </c>
      <c r="L48" s="4">
        <f>AtlasReport_4_Table_1[[#This Row],[TPP cost amount]]-AtlasReport_4_Table_1[[#This Row],[TPP trans backwards balance (Beginning)]]</f>
        <v>0</v>
      </c>
      <c r="M48" s="4">
        <f>AtlasReport_4_Table_1[[#This Row],[TPP cost amount]]-AtlasReport_4_Table_1[[#This Row],[TPP Balance (Beginning)]]</f>
        <v>0</v>
      </c>
    </row>
    <row r="49" spans="1:13" x14ac:dyDescent="0.25">
      <c r="A49" s="8" t="s">
        <v>20</v>
      </c>
      <c r="B49" s="8" t="s">
        <v>261</v>
      </c>
      <c r="C49" s="8" t="s">
        <v>290</v>
      </c>
      <c r="D49" s="4">
        <v>1891.55</v>
      </c>
      <c r="E49" s="4">
        <v>1669.9414625317199</v>
      </c>
      <c r="F49" s="4">
        <f>_xll.AtlasFormulas.AtlasFunctions.AtlasBalance("PROD",DataAreaId,"T.TPPTrans_sst|InventDimId~inventDimId@T.InventDim","Sum|Qty|0","","","","","","","ItemId|TransDate|T2.InventSiteId|T2.InventLocationId",$A49,PeriodBeginning,$B49,$C49)</f>
        <v>-0.25</v>
      </c>
      <c r="G49" s="4">
        <f>_xll.AtlasFormulas.AtlasFunctions.AtlasBalance("PROD",DataAreaId,"T.TPPTrans_sst|InventDimId~inventDimId@T.InventDim","Sum|Qty|0","","","","","","","ItemId|TransDate|T2.InventSiteId|T2.InventLocationId",$A49,PeriodEnding,$B49,$C49)</f>
        <v>0</v>
      </c>
      <c r="H49" s="4">
        <f>AtlasReport_4_Table_1[[#This Row],[Quantity]]-AtlasReport_4_Table_1[[#This Row],[TPP trans backwards (Beginning)]]</f>
        <v>1891.8</v>
      </c>
      <c r="I49" s="4">
        <f>AtlasReport_4_Table_1[[#This Row],[Quantity]]-AtlasReport_4_Table_1[[#This Row],[TPP trans backwards (Ending)]]</f>
        <v>1891.55</v>
      </c>
      <c r="J49" s="4">
        <f>_xll.AtlasFormulas.AtlasFunctions.AtlasBalance("PROD",DataAreaId,"T.TPPTrans_sst|InventDimId~inventDimId@T.InventDim","Sum|CostAmount|0","","","","","","","ItemId|TransDate|T2.InventSiteId|T2.InventLocationId",$A49,PeriodBeginning,$B49,$C49)</f>
        <v>-0.21</v>
      </c>
      <c r="K49" s="4">
        <f>_xll.AtlasFormulas.AtlasFunctions.AtlasBalance("PROD",DataAreaId,"T.TPPTrans_sst|InventDimId~inventDimId@T.InventDim","Sum|CostAmount|0","","","","","","","ItemId|TransDate|T2.InventSiteId|T2.InventLocationId",$A49,PeriodEnding,$B49,$C49)</f>
        <v>0</v>
      </c>
      <c r="L49" s="4">
        <f>AtlasReport_4_Table_1[[#This Row],[TPP cost amount]]-AtlasReport_4_Table_1[[#This Row],[TPP trans backwards balance (Beginning)]]</f>
        <v>1670.15146253172</v>
      </c>
      <c r="M49" s="4">
        <f>AtlasReport_4_Table_1[[#This Row],[TPP cost amount]]-AtlasReport_4_Table_1[[#This Row],[TPP Balance (Beginning)]]</f>
        <v>-0.21000000000003638</v>
      </c>
    </row>
    <row r="50" spans="1:13" x14ac:dyDescent="0.25">
      <c r="A50" s="8" t="s">
        <v>20</v>
      </c>
      <c r="B50" s="8" t="s">
        <v>261</v>
      </c>
      <c r="C50" s="8" t="s">
        <v>264</v>
      </c>
      <c r="D50" s="4">
        <v>5771.5</v>
      </c>
      <c r="E50" s="4">
        <v>3344.5850844277402</v>
      </c>
      <c r="F50" s="4">
        <f>_xll.AtlasFormulas.AtlasFunctions.AtlasBalance("PROD",DataAreaId,"T.TPPTrans_sst|InventDimId~inventDimId@T.InventDim","Sum|Qty|0","","","","","","","ItemId|TransDate|T2.InventSiteId|T2.InventLocationId",$A50,PeriodBeginning,$B50,$C50)</f>
        <v>-509.25</v>
      </c>
      <c r="G50" s="4">
        <f>_xll.AtlasFormulas.AtlasFunctions.AtlasBalance("PROD",DataAreaId,"T.TPPTrans_sst|InventDimId~inventDimId@T.InventDim","Sum|Qty|0","","","","","","","ItemId|TransDate|T2.InventSiteId|T2.InventLocationId",$A50,PeriodEnding,$B50,$C50)</f>
        <v>0</v>
      </c>
      <c r="H50" s="4">
        <f>AtlasReport_4_Table_1[[#This Row],[Quantity]]-AtlasReport_4_Table_1[[#This Row],[TPP trans backwards (Beginning)]]</f>
        <v>6280.75</v>
      </c>
      <c r="I50" s="4">
        <f>AtlasReport_4_Table_1[[#This Row],[Quantity]]-AtlasReport_4_Table_1[[#This Row],[TPP trans backwards (Ending)]]</f>
        <v>5771.5</v>
      </c>
      <c r="J50" s="4">
        <f>_xll.AtlasFormulas.AtlasFunctions.AtlasBalance("PROD",DataAreaId,"T.TPPTrans_sst|InventDimId~inventDimId@T.InventDim","Sum|CostAmount|0","","","","","","","ItemId|TransDate|T2.InventSiteId|T2.InventLocationId",$A50,PeriodBeginning,$B50,$C50)</f>
        <v>-295.11</v>
      </c>
      <c r="K50" s="4">
        <f>_xll.AtlasFormulas.AtlasFunctions.AtlasBalance("PROD",DataAreaId,"T.TPPTrans_sst|InventDimId~inventDimId@T.InventDim","Sum|CostAmount|0","","","","","","","ItemId|TransDate|T2.InventSiteId|T2.InventLocationId",$A50,PeriodEnding,$B50,$C50)</f>
        <v>0</v>
      </c>
      <c r="L50" s="4">
        <f>AtlasReport_4_Table_1[[#This Row],[TPP cost amount]]-AtlasReport_4_Table_1[[#This Row],[TPP trans backwards balance (Beginning)]]</f>
        <v>3639.6950844277403</v>
      </c>
      <c r="M50" s="4">
        <f>AtlasReport_4_Table_1[[#This Row],[TPP cost amount]]-AtlasReport_4_Table_1[[#This Row],[TPP Balance (Beginning)]]</f>
        <v>-295.11000000000013</v>
      </c>
    </row>
    <row r="51" spans="1:13" x14ac:dyDescent="0.25">
      <c r="A51" s="8" t="s">
        <v>308</v>
      </c>
      <c r="B51" s="8" t="s">
        <v>261</v>
      </c>
      <c r="C51" s="8" t="s">
        <v>262</v>
      </c>
      <c r="D51" s="4">
        <v>5820</v>
      </c>
      <c r="E51" s="4">
        <v>0</v>
      </c>
      <c r="F51" s="4">
        <f>_xll.AtlasFormulas.AtlasFunctions.AtlasBalance("PROD",DataAreaId,"T.TPPTrans_sst|InventDimId~inventDimId@T.InventDim","Sum|Qty|0","","","","","","","ItemId|TransDate|T2.InventSiteId|T2.InventLocationId",$A51,PeriodBeginning,$B51,$C51)</f>
        <v>0</v>
      </c>
      <c r="G51" s="4">
        <f>_xll.AtlasFormulas.AtlasFunctions.AtlasBalance("PROD",DataAreaId,"T.TPPTrans_sst|InventDimId~inventDimId@T.InventDim","Sum|Qty|0","","","","","","","ItemId|TransDate|T2.InventSiteId|T2.InventLocationId",$A51,PeriodEnding,$B51,$C51)</f>
        <v>0</v>
      </c>
      <c r="H51" s="4">
        <f>AtlasReport_4_Table_1[[#This Row],[Quantity]]-AtlasReport_4_Table_1[[#This Row],[TPP trans backwards (Beginning)]]</f>
        <v>5820</v>
      </c>
      <c r="I51" s="4">
        <f>AtlasReport_4_Table_1[[#This Row],[Quantity]]-AtlasReport_4_Table_1[[#This Row],[TPP trans backwards (Ending)]]</f>
        <v>5820</v>
      </c>
      <c r="J51" s="4">
        <f>_xll.AtlasFormulas.AtlasFunctions.AtlasBalance("PROD",DataAreaId,"T.TPPTrans_sst|InventDimId~inventDimId@T.InventDim","Sum|CostAmount|0","","","","","","","ItemId|TransDate|T2.InventSiteId|T2.InventLocationId",$A51,PeriodBeginning,$B51,$C51)</f>
        <v>0</v>
      </c>
      <c r="K51" s="4">
        <f>_xll.AtlasFormulas.AtlasFunctions.AtlasBalance("PROD",DataAreaId,"T.TPPTrans_sst|InventDimId~inventDimId@T.InventDim","Sum|CostAmount|0","","","","","","","ItemId|TransDate|T2.InventSiteId|T2.InventLocationId",$A51,PeriodEnding,$B51,$C51)</f>
        <v>0</v>
      </c>
      <c r="L51" s="4">
        <f>AtlasReport_4_Table_1[[#This Row],[TPP cost amount]]-AtlasReport_4_Table_1[[#This Row],[TPP trans backwards balance (Beginning)]]</f>
        <v>0</v>
      </c>
      <c r="M51" s="4">
        <f>AtlasReport_4_Table_1[[#This Row],[TPP cost amount]]-AtlasReport_4_Table_1[[#This Row],[TPP Balance (Beginning)]]</f>
        <v>0</v>
      </c>
    </row>
    <row r="52" spans="1:13" x14ac:dyDescent="0.25">
      <c r="A52" s="8" t="s">
        <v>309</v>
      </c>
      <c r="B52" s="8" t="s">
        <v>261</v>
      </c>
      <c r="C52" s="8" t="s">
        <v>262</v>
      </c>
      <c r="D52" s="4">
        <v>0</v>
      </c>
      <c r="E52" s="4">
        <v>0</v>
      </c>
      <c r="F52" s="4">
        <f>_xll.AtlasFormulas.AtlasFunctions.AtlasBalance("PROD",DataAreaId,"T.TPPTrans_sst|InventDimId~inventDimId@T.InventDim","Sum|Qty|0","","","","","","","ItemId|TransDate|T2.InventSiteId|T2.InventLocationId",$A52,PeriodBeginning,$B52,$C52)</f>
        <v>0</v>
      </c>
      <c r="G52" s="4">
        <f>_xll.AtlasFormulas.AtlasFunctions.AtlasBalance("PROD",DataAreaId,"T.TPPTrans_sst|InventDimId~inventDimId@T.InventDim","Sum|Qty|0","","","","","","","ItemId|TransDate|T2.InventSiteId|T2.InventLocationId",$A52,PeriodEnding,$B52,$C52)</f>
        <v>0</v>
      </c>
      <c r="H52" s="4">
        <f>AtlasReport_4_Table_1[[#This Row],[Quantity]]-AtlasReport_4_Table_1[[#This Row],[TPP trans backwards (Beginning)]]</f>
        <v>0</v>
      </c>
      <c r="I52" s="4">
        <f>AtlasReport_4_Table_1[[#This Row],[Quantity]]-AtlasReport_4_Table_1[[#This Row],[TPP trans backwards (Ending)]]</f>
        <v>0</v>
      </c>
      <c r="J52" s="4">
        <f>_xll.AtlasFormulas.AtlasFunctions.AtlasBalance("PROD",DataAreaId,"T.TPPTrans_sst|InventDimId~inventDimId@T.InventDim","Sum|CostAmount|0","","","","","","","ItemId|TransDate|T2.InventSiteId|T2.InventLocationId",$A52,PeriodBeginning,$B52,$C52)</f>
        <v>0</v>
      </c>
      <c r="K52" s="4">
        <f>_xll.AtlasFormulas.AtlasFunctions.AtlasBalance("PROD",DataAreaId,"T.TPPTrans_sst|InventDimId~inventDimId@T.InventDim","Sum|CostAmount|0","","","","","","","ItemId|TransDate|T2.InventSiteId|T2.InventLocationId",$A52,PeriodEnding,$B52,$C52)</f>
        <v>0</v>
      </c>
      <c r="L52" s="4">
        <f>AtlasReport_4_Table_1[[#This Row],[TPP cost amount]]-AtlasReport_4_Table_1[[#This Row],[TPP trans backwards balance (Beginning)]]</f>
        <v>0</v>
      </c>
      <c r="M52" s="4">
        <f>AtlasReport_4_Table_1[[#This Row],[TPP cost amount]]-AtlasReport_4_Table_1[[#This Row],[TPP Balance (Beginning)]]</f>
        <v>0</v>
      </c>
    </row>
    <row r="53" spans="1:13" x14ac:dyDescent="0.25">
      <c r="A53" s="8" t="s">
        <v>71</v>
      </c>
      <c r="B53" s="8" t="s">
        <v>261</v>
      </c>
      <c r="C53" s="8" t="s">
        <v>262</v>
      </c>
      <c r="D53" s="4">
        <v>7500</v>
      </c>
      <c r="E53" s="4">
        <v>0</v>
      </c>
      <c r="F53" s="4">
        <f>_xll.AtlasFormulas.AtlasFunctions.AtlasBalance("PROD",DataAreaId,"T.TPPTrans_sst|InventDimId~inventDimId@T.InventDim","Sum|Qty|0","","","","","","","ItemId|TransDate|T2.InventSiteId|T2.InventLocationId",$A53,PeriodBeginning,$B53,$C53)</f>
        <v>0</v>
      </c>
      <c r="G53" s="4">
        <f>_xll.AtlasFormulas.AtlasFunctions.AtlasBalance("PROD",DataAreaId,"T.TPPTrans_sst|InventDimId~inventDimId@T.InventDim","Sum|Qty|0","","","","","","","ItemId|TransDate|T2.InventSiteId|T2.InventLocationId",$A53,PeriodEnding,$B53,$C53)</f>
        <v>0</v>
      </c>
      <c r="H53" s="4">
        <f>AtlasReport_4_Table_1[[#This Row],[Quantity]]-AtlasReport_4_Table_1[[#This Row],[TPP trans backwards (Beginning)]]</f>
        <v>7500</v>
      </c>
      <c r="I53" s="4">
        <f>AtlasReport_4_Table_1[[#This Row],[Quantity]]-AtlasReport_4_Table_1[[#This Row],[TPP trans backwards (Ending)]]</f>
        <v>7500</v>
      </c>
      <c r="J53" s="4">
        <f>_xll.AtlasFormulas.AtlasFunctions.AtlasBalance("PROD",DataAreaId,"T.TPPTrans_sst|InventDimId~inventDimId@T.InventDim","Sum|CostAmount|0","","","","","","","ItemId|TransDate|T2.InventSiteId|T2.InventLocationId",$A53,PeriodBeginning,$B53,$C53)</f>
        <v>0</v>
      </c>
      <c r="K53" s="4">
        <f>_xll.AtlasFormulas.AtlasFunctions.AtlasBalance("PROD",DataAreaId,"T.TPPTrans_sst|InventDimId~inventDimId@T.InventDim","Sum|CostAmount|0","","","","","","","ItemId|TransDate|T2.InventSiteId|T2.InventLocationId",$A53,PeriodEnding,$B53,$C53)</f>
        <v>0</v>
      </c>
      <c r="L53" s="4">
        <f>AtlasReport_4_Table_1[[#This Row],[TPP cost amount]]-AtlasReport_4_Table_1[[#This Row],[TPP trans backwards balance (Beginning)]]</f>
        <v>0</v>
      </c>
      <c r="M53" s="4">
        <f>AtlasReport_4_Table_1[[#This Row],[TPP cost amount]]-AtlasReport_4_Table_1[[#This Row],[TPP Balance (Beginning)]]</f>
        <v>0</v>
      </c>
    </row>
    <row r="54" spans="1:13" x14ac:dyDescent="0.25">
      <c r="A54" s="8" t="s">
        <v>71</v>
      </c>
      <c r="B54" s="8" t="s">
        <v>261</v>
      </c>
      <c r="C54" s="8" t="s">
        <v>290</v>
      </c>
      <c r="D54" s="4">
        <v>2143.5</v>
      </c>
      <c r="E54" s="4">
        <v>2256.3734592742303</v>
      </c>
      <c r="F54" s="4">
        <f>_xll.AtlasFormulas.AtlasFunctions.AtlasBalance("PROD",DataAreaId,"T.TPPTrans_sst|InventDimId~inventDimId@T.InventDim","Sum|Qty|0","","","","","","","ItemId|TransDate|T2.InventSiteId|T2.InventLocationId",$A54,PeriodBeginning,$B54,$C54)</f>
        <v>118.5</v>
      </c>
      <c r="G54" s="4">
        <f>_xll.AtlasFormulas.AtlasFunctions.AtlasBalance("PROD",DataAreaId,"T.TPPTrans_sst|InventDimId~inventDimId@T.InventDim","Sum|Qty|0","","","","","","","ItemId|TransDate|T2.InventSiteId|T2.InventLocationId",$A54,PeriodEnding,$B54,$C54)</f>
        <v>0</v>
      </c>
      <c r="H54" s="4">
        <f>AtlasReport_4_Table_1[[#This Row],[Quantity]]-AtlasReport_4_Table_1[[#This Row],[TPP trans backwards (Beginning)]]</f>
        <v>2025</v>
      </c>
      <c r="I54" s="4">
        <f>AtlasReport_4_Table_1[[#This Row],[Quantity]]-AtlasReport_4_Table_1[[#This Row],[TPP trans backwards (Ending)]]</f>
        <v>2143.5</v>
      </c>
      <c r="J54" s="4">
        <f>_xll.AtlasFormulas.AtlasFunctions.AtlasBalance("PROD",DataAreaId,"T.TPPTrans_sst|InventDimId~inventDimId@T.InventDim","Sum|CostAmount|0","","","","","","","ItemId|TransDate|T2.InventSiteId|T2.InventLocationId",$A54,PeriodBeginning,$B54,$C54)</f>
        <v>124.74</v>
      </c>
      <c r="K54" s="4">
        <f>_xll.AtlasFormulas.AtlasFunctions.AtlasBalance("PROD",DataAreaId,"T.TPPTrans_sst|InventDimId~inventDimId@T.InventDim","Sum|CostAmount|0","","","","","","","ItemId|TransDate|T2.InventSiteId|T2.InventLocationId",$A54,PeriodEnding,$B54,$C54)</f>
        <v>0</v>
      </c>
      <c r="L54" s="4">
        <f>AtlasReport_4_Table_1[[#This Row],[TPP cost amount]]-AtlasReport_4_Table_1[[#This Row],[TPP trans backwards balance (Beginning)]]</f>
        <v>2131.6334592742305</v>
      </c>
      <c r="M54" s="4">
        <f>AtlasReport_4_Table_1[[#This Row],[TPP cost amount]]-AtlasReport_4_Table_1[[#This Row],[TPP Balance (Beginning)]]</f>
        <v>124.73999999999978</v>
      </c>
    </row>
    <row r="55" spans="1:13" x14ac:dyDescent="0.25">
      <c r="A55" s="8" t="s">
        <v>71</v>
      </c>
      <c r="B55" s="8" t="s">
        <v>261</v>
      </c>
      <c r="C55" s="8" t="s">
        <v>264</v>
      </c>
      <c r="D55" s="4">
        <v>6075</v>
      </c>
      <c r="E55" s="4">
        <v>2952.01081023197</v>
      </c>
      <c r="F55" s="4">
        <f>_xll.AtlasFormulas.AtlasFunctions.AtlasBalance("PROD",DataAreaId,"T.TPPTrans_sst|InventDimId~inventDimId@T.InventDim","Sum|Qty|0","","","","","","","ItemId|TransDate|T2.InventSiteId|T2.InventLocationId",$A55,PeriodBeginning,$B55,$C55)</f>
        <v>0</v>
      </c>
      <c r="G55" s="4">
        <f>_xll.AtlasFormulas.AtlasFunctions.AtlasBalance("PROD",DataAreaId,"T.TPPTrans_sst|InventDimId~inventDimId@T.InventDim","Sum|Qty|0","","","","","","","ItemId|TransDate|T2.InventSiteId|T2.InventLocationId",$A55,PeriodEnding,$B55,$C55)</f>
        <v>0</v>
      </c>
      <c r="H55" s="4">
        <f>AtlasReport_4_Table_1[[#This Row],[Quantity]]-AtlasReport_4_Table_1[[#This Row],[TPP trans backwards (Beginning)]]</f>
        <v>6075</v>
      </c>
      <c r="I55" s="4">
        <f>AtlasReport_4_Table_1[[#This Row],[Quantity]]-AtlasReport_4_Table_1[[#This Row],[TPP trans backwards (Ending)]]</f>
        <v>6075</v>
      </c>
      <c r="J55" s="4">
        <f>_xll.AtlasFormulas.AtlasFunctions.AtlasBalance("PROD",DataAreaId,"T.TPPTrans_sst|InventDimId~inventDimId@T.InventDim","Sum|CostAmount|0","","","","","","","ItemId|TransDate|T2.InventSiteId|T2.InventLocationId",$A55,PeriodBeginning,$B55,$C55)</f>
        <v>0</v>
      </c>
      <c r="K55" s="4">
        <f>_xll.AtlasFormulas.AtlasFunctions.AtlasBalance("PROD",DataAreaId,"T.TPPTrans_sst|InventDimId~inventDimId@T.InventDim","Sum|CostAmount|0","","","","","","","ItemId|TransDate|T2.InventSiteId|T2.InventLocationId",$A55,PeriodEnding,$B55,$C55)</f>
        <v>0</v>
      </c>
      <c r="L55" s="4">
        <f>AtlasReport_4_Table_1[[#This Row],[TPP cost amount]]-AtlasReport_4_Table_1[[#This Row],[TPP trans backwards balance (Beginning)]]</f>
        <v>2952.01081023197</v>
      </c>
      <c r="M55" s="4">
        <f>AtlasReport_4_Table_1[[#This Row],[TPP cost amount]]-AtlasReport_4_Table_1[[#This Row],[TPP Balance (Beginning)]]</f>
        <v>0</v>
      </c>
    </row>
    <row r="56" spans="1:13" x14ac:dyDescent="0.25">
      <c r="A56" s="8" t="s">
        <v>192</v>
      </c>
      <c r="B56" s="8" t="s">
        <v>261</v>
      </c>
      <c r="C56" s="8" t="s">
        <v>262</v>
      </c>
      <c r="D56" s="4">
        <v>0</v>
      </c>
      <c r="E56" s="4">
        <v>0</v>
      </c>
      <c r="F56" s="4">
        <f>_xll.AtlasFormulas.AtlasFunctions.AtlasBalance("PROD",DataAreaId,"T.TPPTrans_sst|InventDimId~inventDimId@T.InventDim","Sum|Qty|0","","","","","","","ItemId|TransDate|T2.InventSiteId|T2.InventLocationId",$A56,PeriodBeginning,$B56,$C56)</f>
        <v>0</v>
      </c>
      <c r="G56" s="4">
        <f>_xll.AtlasFormulas.AtlasFunctions.AtlasBalance("PROD",DataAreaId,"T.TPPTrans_sst|InventDimId~inventDimId@T.InventDim","Sum|Qty|0","","","","","","","ItemId|TransDate|T2.InventSiteId|T2.InventLocationId",$A56,PeriodEnding,$B56,$C56)</f>
        <v>0</v>
      </c>
      <c r="H56" s="4">
        <f>AtlasReport_4_Table_1[[#This Row],[Quantity]]-AtlasReport_4_Table_1[[#This Row],[TPP trans backwards (Beginning)]]</f>
        <v>0</v>
      </c>
      <c r="I56" s="4">
        <f>AtlasReport_4_Table_1[[#This Row],[Quantity]]-AtlasReport_4_Table_1[[#This Row],[TPP trans backwards (Ending)]]</f>
        <v>0</v>
      </c>
      <c r="J56" s="4">
        <f>_xll.AtlasFormulas.AtlasFunctions.AtlasBalance("PROD",DataAreaId,"T.TPPTrans_sst|InventDimId~inventDimId@T.InventDim","Sum|CostAmount|0","","","","","","","ItemId|TransDate|T2.InventSiteId|T2.InventLocationId",$A56,PeriodBeginning,$B56,$C56)</f>
        <v>0</v>
      </c>
      <c r="K56" s="4">
        <f>_xll.AtlasFormulas.AtlasFunctions.AtlasBalance("PROD",DataAreaId,"T.TPPTrans_sst|InventDimId~inventDimId@T.InventDim","Sum|CostAmount|0","","","","","","","ItemId|TransDate|T2.InventSiteId|T2.InventLocationId",$A56,PeriodEnding,$B56,$C56)</f>
        <v>0</v>
      </c>
      <c r="L56" s="4">
        <f>AtlasReport_4_Table_1[[#This Row],[TPP cost amount]]-AtlasReport_4_Table_1[[#This Row],[TPP trans backwards balance (Beginning)]]</f>
        <v>0</v>
      </c>
      <c r="M56" s="4">
        <f>AtlasReport_4_Table_1[[#This Row],[TPP cost amount]]-AtlasReport_4_Table_1[[#This Row],[TPP Balance (Beginning)]]</f>
        <v>0</v>
      </c>
    </row>
    <row r="57" spans="1:13" x14ac:dyDescent="0.25">
      <c r="A57" s="8" t="s">
        <v>18</v>
      </c>
      <c r="B57" s="8" t="s">
        <v>261</v>
      </c>
      <c r="C57" s="8" t="s">
        <v>262</v>
      </c>
      <c r="D57" s="4">
        <v>31590</v>
      </c>
      <c r="E57" s="4">
        <v>0</v>
      </c>
      <c r="F57" s="4">
        <f>_xll.AtlasFormulas.AtlasFunctions.AtlasBalance("PROD",DataAreaId,"T.TPPTrans_sst|InventDimId~inventDimId@T.InventDim","Sum|Qty|0","","","","","","","ItemId|TransDate|T2.InventSiteId|T2.InventLocationId",$A57,PeriodBeginning,$B57,$C57)</f>
        <v>0</v>
      </c>
      <c r="G57" s="4">
        <f>_xll.AtlasFormulas.AtlasFunctions.AtlasBalance("PROD",DataAreaId,"T.TPPTrans_sst|InventDimId~inventDimId@T.InventDim","Sum|Qty|0","","","","","","","ItemId|TransDate|T2.InventSiteId|T2.InventLocationId",$A57,PeriodEnding,$B57,$C57)</f>
        <v>0</v>
      </c>
      <c r="H57" s="4">
        <f>AtlasReport_4_Table_1[[#This Row],[Quantity]]-AtlasReport_4_Table_1[[#This Row],[TPP trans backwards (Beginning)]]</f>
        <v>31590</v>
      </c>
      <c r="I57" s="4">
        <f>AtlasReport_4_Table_1[[#This Row],[Quantity]]-AtlasReport_4_Table_1[[#This Row],[TPP trans backwards (Ending)]]</f>
        <v>31590</v>
      </c>
      <c r="J57" s="4">
        <f>_xll.AtlasFormulas.AtlasFunctions.AtlasBalance("PROD",DataAreaId,"T.TPPTrans_sst|InventDimId~inventDimId@T.InventDim","Sum|CostAmount|0","","","","","","","ItemId|TransDate|T2.InventSiteId|T2.InventLocationId",$A57,PeriodBeginning,$B57,$C57)</f>
        <v>0</v>
      </c>
      <c r="K57" s="4">
        <f>_xll.AtlasFormulas.AtlasFunctions.AtlasBalance("PROD",DataAreaId,"T.TPPTrans_sst|InventDimId~inventDimId@T.InventDim","Sum|CostAmount|0","","","","","","","ItemId|TransDate|T2.InventSiteId|T2.InventLocationId",$A57,PeriodEnding,$B57,$C57)</f>
        <v>0</v>
      </c>
      <c r="L57" s="4">
        <f>AtlasReport_4_Table_1[[#This Row],[TPP cost amount]]-AtlasReport_4_Table_1[[#This Row],[TPP trans backwards balance (Beginning)]]</f>
        <v>0</v>
      </c>
      <c r="M57" s="4">
        <f>AtlasReport_4_Table_1[[#This Row],[TPP cost amount]]-AtlasReport_4_Table_1[[#This Row],[TPP Balance (Beginning)]]</f>
        <v>0</v>
      </c>
    </row>
    <row r="58" spans="1:13" x14ac:dyDescent="0.25">
      <c r="A58" s="8" t="s">
        <v>18</v>
      </c>
      <c r="B58" s="8" t="s">
        <v>261</v>
      </c>
      <c r="C58" s="8" t="s">
        <v>290</v>
      </c>
      <c r="D58" s="4">
        <v>2193.75</v>
      </c>
      <c r="E58" s="4">
        <v>1738.2220978522878</v>
      </c>
      <c r="F58" s="4">
        <f>_xll.AtlasFormulas.AtlasFunctions.AtlasBalance("PROD",DataAreaId,"T.TPPTrans_sst|InventDimId~inventDimId@T.InventDim","Sum|Qty|0","","","","","","","ItemId|TransDate|T2.InventSiteId|T2.InventLocationId",$A58,PeriodBeginning,$B58,$C58)</f>
        <v>48.75</v>
      </c>
      <c r="G58" s="4">
        <f>_xll.AtlasFormulas.AtlasFunctions.AtlasBalance("PROD",DataAreaId,"T.TPPTrans_sst|InventDimId~inventDimId@T.InventDim","Sum|Qty|0","","","","","","","ItemId|TransDate|T2.InventSiteId|T2.InventLocationId",$A58,PeriodEnding,$B58,$C58)</f>
        <v>0</v>
      </c>
      <c r="H58" s="4">
        <f>AtlasReport_4_Table_1[[#This Row],[Quantity]]-AtlasReport_4_Table_1[[#This Row],[TPP trans backwards (Beginning)]]</f>
        <v>2145</v>
      </c>
      <c r="I58" s="4">
        <f>AtlasReport_4_Table_1[[#This Row],[Quantity]]-AtlasReport_4_Table_1[[#This Row],[TPP trans backwards (Ending)]]</f>
        <v>2193.75</v>
      </c>
      <c r="J58" s="4">
        <f>_xll.AtlasFormulas.AtlasFunctions.AtlasBalance("PROD",DataAreaId,"T.TPPTrans_sst|InventDimId~inventDimId@T.InventDim","Sum|CostAmount|0","","","","","","","ItemId|TransDate|T2.InventSiteId|T2.InventLocationId",$A58,PeriodBeginning,$B58,$C58)</f>
        <v>38.630000000000003</v>
      </c>
      <c r="K58" s="4">
        <f>_xll.AtlasFormulas.AtlasFunctions.AtlasBalance("PROD",DataAreaId,"T.TPPTrans_sst|InventDimId~inventDimId@T.InventDim","Sum|CostAmount|0","","","","","","","ItemId|TransDate|T2.InventSiteId|T2.InventLocationId",$A58,PeriodEnding,$B58,$C58)</f>
        <v>0</v>
      </c>
      <c r="L58" s="4">
        <f>AtlasReport_4_Table_1[[#This Row],[TPP cost amount]]-AtlasReport_4_Table_1[[#This Row],[TPP trans backwards balance (Beginning)]]</f>
        <v>1699.5920978522877</v>
      </c>
      <c r="M58" s="4">
        <f>AtlasReport_4_Table_1[[#This Row],[TPP cost amount]]-AtlasReport_4_Table_1[[#This Row],[TPP Balance (Beginning)]]</f>
        <v>38.630000000000109</v>
      </c>
    </row>
    <row r="59" spans="1:13" x14ac:dyDescent="0.25">
      <c r="A59" s="8" t="s">
        <v>18</v>
      </c>
      <c r="B59" s="8" t="s">
        <v>261</v>
      </c>
      <c r="C59" s="8" t="s">
        <v>264</v>
      </c>
      <c r="D59" s="4">
        <v>7702.5</v>
      </c>
      <c r="E59" s="4">
        <v>2905.1419320921</v>
      </c>
      <c r="F59" s="4">
        <f>_xll.AtlasFormulas.AtlasFunctions.AtlasBalance("PROD",DataAreaId,"T.TPPTrans_sst|InventDimId~inventDimId@T.InventDim","Sum|Qty|0","","","","","","","ItemId|TransDate|T2.InventSiteId|T2.InventLocationId",$A59,PeriodBeginning,$B59,$C59)</f>
        <v>1083.5</v>
      </c>
      <c r="G59" s="4">
        <f>_xll.AtlasFormulas.AtlasFunctions.AtlasBalance("PROD",DataAreaId,"T.TPPTrans_sst|InventDimId~inventDimId@T.InventDim","Sum|Qty|0","","","","","","","ItemId|TransDate|T2.InventSiteId|T2.InventLocationId",$A59,PeriodEnding,$B59,$C59)</f>
        <v>0</v>
      </c>
      <c r="H59" s="4">
        <f>AtlasReport_4_Table_1[[#This Row],[Quantity]]-AtlasReport_4_Table_1[[#This Row],[TPP trans backwards (Beginning)]]</f>
        <v>6619</v>
      </c>
      <c r="I59" s="4">
        <f>AtlasReport_4_Table_1[[#This Row],[Quantity]]-AtlasReport_4_Table_1[[#This Row],[TPP trans backwards (Ending)]]</f>
        <v>7702.5</v>
      </c>
      <c r="J59" s="4">
        <f>_xll.AtlasFormulas.AtlasFunctions.AtlasBalance("PROD",DataAreaId,"T.TPPTrans_sst|InventDimId~inventDimId@T.InventDim","Sum|CostAmount|0","","","","","","","ItemId|TransDate|T2.InventSiteId|T2.InventLocationId",$A59,PeriodBeginning,$B59,$C59)</f>
        <v>408.66</v>
      </c>
      <c r="K59" s="4">
        <f>_xll.AtlasFormulas.AtlasFunctions.AtlasBalance("PROD",DataAreaId,"T.TPPTrans_sst|InventDimId~inventDimId@T.InventDim","Sum|CostAmount|0","","","","","","","ItemId|TransDate|T2.InventSiteId|T2.InventLocationId",$A59,PeriodEnding,$B59,$C59)</f>
        <v>0</v>
      </c>
      <c r="L59" s="4">
        <f>AtlasReport_4_Table_1[[#This Row],[TPP cost amount]]-AtlasReport_4_Table_1[[#This Row],[TPP trans backwards balance (Beginning)]]</f>
        <v>2496.4819320921001</v>
      </c>
      <c r="M59" s="4">
        <f>AtlasReport_4_Table_1[[#This Row],[TPP cost amount]]-AtlasReport_4_Table_1[[#This Row],[TPP Balance (Beginning)]]</f>
        <v>408.65999999999985</v>
      </c>
    </row>
    <row r="60" spans="1:13" x14ac:dyDescent="0.25">
      <c r="A60" s="8" t="s">
        <v>310</v>
      </c>
      <c r="B60" s="8" t="s">
        <v>261</v>
      </c>
      <c r="C60" s="8" t="s">
        <v>262</v>
      </c>
      <c r="D60" s="4">
        <v>31492.5</v>
      </c>
      <c r="E60" s="4">
        <v>0</v>
      </c>
      <c r="F60" s="4">
        <f>_xll.AtlasFormulas.AtlasFunctions.AtlasBalance("PROD",DataAreaId,"T.TPPTrans_sst|InventDimId~inventDimId@T.InventDim","Sum|Qty|0","","","","","","","ItemId|TransDate|T2.InventSiteId|T2.InventLocationId",$A60,PeriodBeginning,$B60,$C60)</f>
        <v>0</v>
      </c>
      <c r="G60" s="4">
        <f>_xll.AtlasFormulas.AtlasFunctions.AtlasBalance("PROD",DataAreaId,"T.TPPTrans_sst|InventDimId~inventDimId@T.InventDim","Sum|Qty|0","","","","","","","ItemId|TransDate|T2.InventSiteId|T2.InventLocationId",$A60,PeriodEnding,$B60,$C60)</f>
        <v>0</v>
      </c>
      <c r="H60" s="4">
        <f>AtlasReport_4_Table_1[[#This Row],[Quantity]]-AtlasReport_4_Table_1[[#This Row],[TPP trans backwards (Beginning)]]</f>
        <v>31492.5</v>
      </c>
      <c r="I60" s="4">
        <f>AtlasReport_4_Table_1[[#This Row],[Quantity]]-AtlasReport_4_Table_1[[#This Row],[TPP trans backwards (Ending)]]</f>
        <v>31492.5</v>
      </c>
      <c r="J60" s="4">
        <f>_xll.AtlasFormulas.AtlasFunctions.AtlasBalance("PROD",DataAreaId,"T.TPPTrans_sst|InventDimId~inventDimId@T.InventDim","Sum|CostAmount|0","","","","","","","ItemId|TransDate|T2.InventSiteId|T2.InventLocationId",$A60,PeriodBeginning,$B60,$C60)</f>
        <v>0</v>
      </c>
      <c r="K60" s="4">
        <f>_xll.AtlasFormulas.AtlasFunctions.AtlasBalance("PROD",DataAreaId,"T.TPPTrans_sst|InventDimId~inventDimId@T.InventDim","Sum|CostAmount|0","","","","","","","ItemId|TransDate|T2.InventSiteId|T2.InventLocationId",$A60,PeriodEnding,$B60,$C60)</f>
        <v>0</v>
      </c>
      <c r="L60" s="4">
        <f>AtlasReport_4_Table_1[[#This Row],[TPP cost amount]]-AtlasReport_4_Table_1[[#This Row],[TPP trans backwards balance (Beginning)]]</f>
        <v>0</v>
      </c>
      <c r="M60" s="4">
        <f>AtlasReport_4_Table_1[[#This Row],[TPP cost amount]]-AtlasReport_4_Table_1[[#This Row],[TPP Balance (Beginning)]]</f>
        <v>0</v>
      </c>
    </row>
    <row r="61" spans="1:13" x14ac:dyDescent="0.25">
      <c r="A61" s="8" t="s">
        <v>312</v>
      </c>
      <c r="B61" s="8" t="s">
        <v>261</v>
      </c>
      <c r="C61" s="8" t="s">
        <v>262</v>
      </c>
      <c r="D61" s="4">
        <v>70200</v>
      </c>
      <c r="E61" s="4">
        <v>0</v>
      </c>
      <c r="F61" s="4">
        <f>_xll.AtlasFormulas.AtlasFunctions.AtlasBalance("PROD",DataAreaId,"T.TPPTrans_sst|InventDimId~inventDimId@T.InventDim","Sum|Qty|0","","","","","","","ItemId|TransDate|T2.InventSiteId|T2.InventLocationId",$A61,PeriodBeginning,$B61,$C61)</f>
        <v>0</v>
      </c>
      <c r="G61" s="4">
        <f>_xll.AtlasFormulas.AtlasFunctions.AtlasBalance("PROD",DataAreaId,"T.TPPTrans_sst|InventDimId~inventDimId@T.InventDim","Sum|Qty|0","","","","","","","ItemId|TransDate|T2.InventSiteId|T2.InventLocationId",$A61,PeriodEnding,$B61,$C61)</f>
        <v>0</v>
      </c>
      <c r="H61" s="4">
        <f>AtlasReport_4_Table_1[[#This Row],[Quantity]]-AtlasReport_4_Table_1[[#This Row],[TPP trans backwards (Beginning)]]</f>
        <v>70200</v>
      </c>
      <c r="I61" s="4">
        <f>AtlasReport_4_Table_1[[#This Row],[Quantity]]-AtlasReport_4_Table_1[[#This Row],[TPP trans backwards (Ending)]]</f>
        <v>70200</v>
      </c>
      <c r="J61" s="4">
        <f>_xll.AtlasFormulas.AtlasFunctions.AtlasBalance("PROD",DataAreaId,"T.TPPTrans_sst|InventDimId~inventDimId@T.InventDim","Sum|CostAmount|0","","","","","","","ItemId|TransDate|T2.InventSiteId|T2.InventLocationId",$A61,PeriodBeginning,$B61,$C61)</f>
        <v>0</v>
      </c>
      <c r="K61" s="4">
        <f>_xll.AtlasFormulas.AtlasFunctions.AtlasBalance("PROD",DataAreaId,"T.TPPTrans_sst|InventDimId~inventDimId@T.InventDim","Sum|CostAmount|0","","","","","","","ItemId|TransDate|T2.InventSiteId|T2.InventLocationId",$A61,PeriodEnding,$B61,$C61)</f>
        <v>0</v>
      </c>
      <c r="L61" s="4">
        <f>AtlasReport_4_Table_1[[#This Row],[TPP cost amount]]-AtlasReport_4_Table_1[[#This Row],[TPP trans backwards balance (Beginning)]]</f>
        <v>0</v>
      </c>
      <c r="M61" s="4">
        <f>AtlasReport_4_Table_1[[#This Row],[TPP cost amount]]-AtlasReport_4_Table_1[[#This Row],[TPP Balance (Beginning)]]</f>
        <v>0</v>
      </c>
    </row>
    <row r="62" spans="1:13" x14ac:dyDescent="0.25">
      <c r="A62" s="8" t="s">
        <v>312</v>
      </c>
      <c r="B62" s="8" t="s">
        <v>261</v>
      </c>
      <c r="C62" s="8" t="s">
        <v>264</v>
      </c>
      <c r="D62" s="4">
        <v>195</v>
      </c>
      <c r="E62" s="4">
        <v>340.83067302686993</v>
      </c>
      <c r="F62" s="4">
        <f>_xll.AtlasFormulas.AtlasFunctions.AtlasBalance("PROD",DataAreaId,"T.TPPTrans_sst|InventDimId~inventDimId@T.InventDim","Sum|Qty|0","","","","","","","ItemId|TransDate|T2.InventSiteId|T2.InventLocationId",$A62,PeriodBeginning,$B62,$C62)</f>
        <v>-190</v>
      </c>
      <c r="G62" s="4">
        <f>_xll.AtlasFormulas.AtlasFunctions.AtlasBalance("PROD",DataAreaId,"T.TPPTrans_sst|InventDimId~inventDimId@T.InventDim","Sum|Qty|0","","","","","","","ItemId|TransDate|T2.InventSiteId|T2.InventLocationId",$A62,PeriodEnding,$B62,$C62)</f>
        <v>0</v>
      </c>
      <c r="H62" s="4">
        <f>AtlasReport_4_Table_1[[#This Row],[Quantity]]-AtlasReport_4_Table_1[[#This Row],[TPP trans backwards (Beginning)]]</f>
        <v>385</v>
      </c>
      <c r="I62" s="4">
        <f>AtlasReport_4_Table_1[[#This Row],[Quantity]]-AtlasReport_4_Table_1[[#This Row],[TPP trans backwards (Ending)]]</f>
        <v>195</v>
      </c>
      <c r="J62" s="4">
        <f>_xll.AtlasFormulas.AtlasFunctions.AtlasBalance("PROD",DataAreaId,"T.TPPTrans_sst|InventDimId~inventDimId@T.InventDim","Sum|CostAmount|0","","","","","","","ItemId|TransDate|T2.InventSiteId|T2.InventLocationId",$A62,PeriodBeginning,$B62,$C62)</f>
        <v>-332.1</v>
      </c>
      <c r="K62" s="4">
        <f>_xll.AtlasFormulas.AtlasFunctions.AtlasBalance("PROD",DataAreaId,"T.TPPTrans_sst|InventDimId~inventDimId@T.InventDim","Sum|CostAmount|0","","","","","","","ItemId|TransDate|T2.InventSiteId|T2.InventLocationId",$A62,PeriodEnding,$B62,$C62)</f>
        <v>0</v>
      </c>
      <c r="L62" s="4">
        <f>AtlasReport_4_Table_1[[#This Row],[TPP cost amount]]-AtlasReport_4_Table_1[[#This Row],[TPP trans backwards balance (Beginning)]]</f>
        <v>672.93067302686995</v>
      </c>
      <c r="M62" s="4">
        <f>AtlasReport_4_Table_1[[#This Row],[TPP cost amount]]-AtlasReport_4_Table_1[[#This Row],[TPP Balance (Beginning)]]</f>
        <v>-332.1</v>
      </c>
    </row>
    <row r="63" spans="1:13" x14ac:dyDescent="0.25">
      <c r="A63" s="8" t="s">
        <v>314</v>
      </c>
      <c r="B63" s="8" t="s">
        <v>261</v>
      </c>
      <c r="C63" s="8" t="s">
        <v>264</v>
      </c>
      <c r="D63" s="4">
        <v>1</v>
      </c>
      <c r="E63" s="4">
        <v>2.2147740794820003</v>
      </c>
      <c r="F63" s="4">
        <f>_xll.AtlasFormulas.AtlasFunctions.AtlasBalance("PROD",DataAreaId,"T.TPPTrans_sst|InventDimId~inventDimId@T.InventDim","Sum|Qty|0","","","","","","","ItemId|TransDate|T2.InventSiteId|T2.InventLocationId",$A63,PeriodBeginning,$B63,$C63)</f>
        <v>0</v>
      </c>
      <c r="G63" s="4">
        <f>_xll.AtlasFormulas.AtlasFunctions.AtlasBalance("PROD",DataAreaId,"T.TPPTrans_sst|InventDimId~inventDimId@T.InventDim","Sum|Qty|0","","","","","","","ItemId|TransDate|T2.InventSiteId|T2.InventLocationId",$A63,PeriodEnding,$B63,$C63)</f>
        <v>0</v>
      </c>
      <c r="H63" s="4">
        <f>AtlasReport_4_Table_1[[#This Row],[Quantity]]-AtlasReport_4_Table_1[[#This Row],[TPP trans backwards (Beginning)]]</f>
        <v>1</v>
      </c>
      <c r="I63" s="4">
        <f>AtlasReport_4_Table_1[[#This Row],[Quantity]]-AtlasReport_4_Table_1[[#This Row],[TPP trans backwards (Ending)]]</f>
        <v>1</v>
      </c>
      <c r="J63" s="4">
        <f>_xll.AtlasFormulas.AtlasFunctions.AtlasBalance("PROD",DataAreaId,"T.TPPTrans_sst|InventDimId~inventDimId@T.InventDim","Sum|CostAmount|0","","","","","","","ItemId|TransDate|T2.InventSiteId|T2.InventLocationId",$A63,PeriodBeginning,$B63,$C63)</f>
        <v>0</v>
      </c>
      <c r="K63" s="4">
        <f>_xll.AtlasFormulas.AtlasFunctions.AtlasBalance("PROD",DataAreaId,"T.TPPTrans_sst|InventDimId~inventDimId@T.InventDim","Sum|CostAmount|0","","","","","","","ItemId|TransDate|T2.InventSiteId|T2.InventLocationId",$A63,PeriodEnding,$B63,$C63)</f>
        <v>0</v>
      </c>
      <c r="L63" s="4">
        <f>AtlasReport_4_Table_1[[#This Row],[TPP cost amount]]-AtlasReport_4_Table_1[[#This Row],[TPP trans backwards balance (Beginning)]]</f>
        <v>2.2147740794820003</v>
      </c>
      <c r="M63" s="4">
        <f>AtlasReport_4_Table_1[[#This Row],[TPP cost amount]]-AtlasReport_4_Table_1[[#This Row],[TPP Balance (Beginning)]]</f>
        <v>0</v>
      </c>
    </row>
    <row r="64" spans="1:13" x14ac:dyDescent="0.25">
      <c r="A64" s="8" t="s">
        <v>54</v>
      </c>
      <c r="B64" s="8" t="s">
        <v>261</v>
      </c>
      <c r="C64" s="8" t="s">
        <v>264</v>
      </c>
      <c r="D64" s="4">
        <v>3092.22</v>
      </c>
      <c r="E64" s="4">
        <v>0</v>
      </c>
      <c r="F64" s="4">
        <f>_xll.AtlasFormulas.AtlasFunctions.AtlasBalance("PROD",DataAreaId,"T.TPPTrans_sst|InventDimId~inventDimId@T.InventDim","Sum|Qty|0","","","","","","","ItemId|TransDate|T2.InventSiteId|T2.InventLocationId",$A64,PeriodBeginning,$B64,$C64)</f>
        <v>0</v>
      </c>
      <c r="G64" s="4">
        <f>_xll.AtlasFormulas.AtlasFunctions.AtlasBalance("PROD",DataAreaId,"T.TPPTrans_sst|InventDimId~inventDimId@T.InventDim","Sum|Qty|0","","","","","","","ItemId|TransDate|T2.InventSiteId|T2.InventLocationId",$A64,PeriodEnding,$B64,$C64)</f>
        <v>0</v>
      </c>
      <c r="H64" s="4">
        <f>AtlasReport_4_Table_1[[#This Row],[Quantity]]-AtlasReport_4_Table_1[[#This Row],[TPP trans backwards (Beginning)]]</f>
        <v>3092.22</v>
      </c>
      <c r="I64" s="4">
        <f>AtlasReport_4_Table_1[[#This Row],[Quantity]]-AtlasReport_4_Table_1[[#This Row],[TPP trans backwards (Ending)]]</f>
        <v>3092.22</v>
      </c>
      <c r="J64" s="4">
        <f>_xll.AtlasFormulas.AtlasFunctions.AtlasBalance("PROD",DataAreaId,"T.TPPTrans_sst|InventDimId~inventDimId@T.InventDim","Sum|CostAmount|0","","","","","","","ItemId|TransDate|T2.InventSiteId|T2.InventLocationId",$A64,PeriodBeginning,$B64,$C64)</f>
        <v>0</v>
      </c>
      <c r="K64" s="4">
        <f>_xll.AtlasFormulas.AtlasFunctions.AtlasBalance("PROD",DataAreaId,"T.TPPTrans_sst|InventDimId~inventDimId@T.InventDim","Sum|CostAmount|0","","","","","","","ItemId|TransDate|T2.InventSiteId|T2.InventLocationId",$A64,PeriodEnding,$B64,$C64)</f>
        <v>0</v>
      </c>
      <c r="L64" s="4">
        <f>AtlasReport_4_Table_1[[#This Row],[TPP cost amount]]-AtlasReport_4_Table_1[[#This Row],[TPP trans backwards balance (Beginning)]]</f>
        <v>0</v>
      </c>
      <c r="M64" s="4">
        <f>AtlasReport_4_Table_1[[#This Row],[TPP cost amount]]-AtlasReport_4_Table_1[[#This Row],[TPP Balance (Beginning)]]</f>
        <v>0</v>
      </c>
    </row>
    <row r="65" spans="1:13" x14ac:dyDescent="0.25">
      <c r="A65" s="8" t="s">
        <v>141</v>
      </c>
      <c r="B65" s="8" t="s">
        <v>261</v>
      </c>
      <c r="C65" s="8" t="s">
        <v>264</v>
      </c>
      <c r="D65" s="4">
        <v>752.4</v>
      </c>
      <c r="E65" s="4">
        <v>0</v>
      </c>
      <c r="F65" s="4">
        <f>_xll.AtlasFormulas.AtlasFunctions.AtlasBalance("PROD",DataAreaId,"T.TPPTrans_sst|InventDimId~inventDimId@T.InventDim","Sum|Qty|0","","","","","","","ItemId|TransDate|T2.InventSiteId|T2.InventLocationId",$A65,PeriodBeginning,$B65,$C65)</f>
        <v>0</v>
      </c>
      <c r="G65" s="4">
        <f>_xll.AtlasFormulas.AtlasFunctions.AtlasBalance("PROD",DataAreaId,"T.TPPTrans_sst|InventDimId~inventDimId@T.InventDim","Sum|Qty|0","","","","","","","ItemId|TransDate|T2.InventSiteId|T2.InventLocationId",$A65,PeriodEnding,$B65,$C65)</f>
        <v>0</v>
      </c>
      <c r="H65" s="4">
        <f>AtlasReport_4_Table_1[[#This Row],[Quantity]]-AtlasReport_4_Table_1[[#This Row],[TPP trans backwards (Beginning)]]</f>
        <v>752.4</v>
      </c>
      <c r="I65" s="4">
        <f>AtlasReport_4_Table_1[[#This Row],[Quantity]]-AtlasReport_4_Table_1[[#This Row],[TPP trans backwards (Ending)]]</f>
        <v>752.4</v>
      </c>
      <c r="J65" s="4">
        <f>_xll.AtlasFormulas.AtlasFunctions.AtlasBalance("PROD",DataAreaId,"T.TPPTrans_sst|InventDimId~inventDimId@T.InventDim","Sum|CostAmount|0","","","","","","","ItemId|TransDate|T2.InventSiteId|T2.InventLocationId",$A65,PeriodBeginning,$B65,$C65)</f>
        <v>0</v>
      </c>
      <c r="K65" s="4">
        <f>_xll.AtlasFormulas.AtlasFunctions.AtlasBalance("PROD",DataAreaId,"T.TPPTrans_sst|InventDimId~inventDimId@T.InventDim","Sum|CostAmount|0","","","","","","","ItemId|TransDate|T2.InventSiteId|T2.InventLocationId",$A65,PeriodEnding,$B65,$C65)</f>
        <v>0</v>
      </c>
      <c r="L65" s="4">
        <f>AtlasReport_4_Table_1[[#This Row],[TPP cost amount]]-AtlasReport_4_Table_1[[#This Row],[TPP trans backwards balance (Beginning)]]</f>
        <v>0</v>
      </c>
      <c r="M65" s="4">
        <f>AtlasReport_4_Table_1[[#This Row],[TPP cost amount]]-AtlasReport_4_Table_1[[#This Row],[TPP Balance (Beginning)]]</f>
        <v>0</v>
      </c>
    </row>
    <row r="66" spans="1:13" x14ac:dyDescent="0.25">
      <c r="A66" s="8" t="s">
        <v>315</v>
      </c>
      <c r="B66" s="8" t="s">
        <v>261</v>
      </c>
      <c r="C66" s="8" t="s">
        <v>264</v>
      </c>
      <c r="D66" s="4">
        <v>18</v>
      </c>
      <c r="E66" s="4">
        <v>0</v>
      </c>
      <c r="F66" s="4">
        <f>_xll.AtlasFormulas.AtlasFunctions.AtlasBalance("PROD",DataAreaId,"T.TPPTrans_sst|InventDimId~inventDimId@T.InventDim","Sum|Qty|0","","","","","","","ItemId|TransDate|T2.InventSiteId|T2.InventLocationId",$A66,PeriodBeginning,$B66,$C66)</f>
        <v>0</v>
      </c>
      <c r="G66" s="4">
        <f>_xll.AtlasFormulas.AtlasFunctions.AtlasBalance("PROD",DataAreaId,"T.TPPTrans_sst|InventDimId~inventDimId@T.InventDim","Sum|Qty|0","","","","","","","ItemId|TransDate|T2.InventSiteId|T2.InventLocationId",$A66,PeriodEnding,$B66,$C66)</f>
        <v>0</v>
      </c>
      <c r="H66" s="4">
        <f>AtlasReport_4_Table_1[[#This Row],[Quantity]]-AtlasReport_4_Table_1[[#This Row],[TPP trans backwards (Beginning)]]</f>
        <v>18</v>
      </c>
      <c r="I66" s="4">
        <f>AtlasReport_4_Table_1[[#This Row],[Quantity]]-AtlasReport_4_Table_1[[#This Row],[TPP trans backwards (Ending)]]</f>
        <v>18</v>
      </c>
      <c r="J66" s="4">
        <f>_xll.AtlasFormulas.AtlasFunctions.AtlasBalance("PROD",DataAreaId,"T.TPPTrans_sst|InventDimId~inventDimId@T.InventDim","Sum|CostAmount|0","","","","","","","ItemId|TransDate|T2.InventSiteId|T2.InventLocationId",$A66,PeriodBeginning,$B66,$C66)</f>
        <v>0</v>
      </c>
      <c r="K66" s="4">
        <f>_xll.AtlasFormulas.AtlasFunctions.AtlasBalance("PROD",DataAreaId,"T.TPPTrans_sst|InventDimId~inventDimId@T.InventDim","Sum|CostAmount|0","","","","","","","ItemId|TransDate|T2.InventSiteId|T2.InventLocationId",$A66,PeriodEnding,$B66,$C66)</f>
        <v>0</v>
      </c>
      <c r="L66" s="4">
        <f>AtlasReport_4_Table_1[[#This Row],[TPP cost amount]]-AtlasReport_4_Table_1[[#This Row],[TPP trans backwards balance (Beginning)]]</f>
        <v>0</v>
      </c>
      <c r="M66" s="4">
        <f>AtlasReport_4_Table_1[[#This Row],[TPP cost amount]]-AtlasReport_4_Table_1[[#This Row],[TPP Balance (Beginning)]]</f>
        <v>0</v>
      </c>
    </row>
    <row r="67" spans="1:13" x14ac:dyDescent="0.25">
      <c r="A67" s="8" t="s">
        <v>25</v>
      </c>
      <c r="B67" s="8" t="s">
        <v>261</v>
      </c>
      <c r="C67" s="8" t="s">
        <v>262</v>
      </c>
      <c r="D67" s="4">
        <v>1050</v>
      </c>
      <c r="E67" s="4">
        <v>0</v>
      </c>
      <c r="F67" s="4">
        <f>_xll.AtlasFormulas.AtlasFunctions.AtlasBalance("PROD",DataAreaId,"T.TPPTrans_sst|InventDimId~inventDimId@T.InventDim","Sum|Qty|0","","","","","","","ItemId|TransDate|T2.InventSiteId|T2.InventLocationId",$A67,PeriodBeginning,$B67,$C67)</f>
        <v>0</v>
      </c>
      <c r="G67" s="4">
        <f>_xll.AtlasFormulas.AtlasFunctions.AtlasBalance("PROD",DataAreaId,"T.TPPTrans_sst|InventDimId~inventDimId@T.InventDim","Sum|Qty|0","","","","","","","ItemId|TransDate|T2.InventSiteId|T2.InventLocationId",$A67,PeriodEnding,$B67,$C67)</f>
        <v>0</v>
      </c>
      <c r="H67" s="4">
        <f>AtlasReport_4_Table_1[[#This Row],[Quantity]]-AtlasReport_4_Table_1[[#This Row],[TPP trans backwards (Beginning)]]</f>
        <v>1050</v>
      </c>
      <c r="I67" s="4">
        <f>AtlasReport_4_Table_1[[#This Row],[Quantity]]-AtlasReport_4_Table_1[[#This Row],[TPP trans backwards (Ending)]]</f>
        <v>1050</v>
      </c>
      <c r="J67" s="4">
        <f>_xll.AtlasFormulas.AtlasFunctions.AtlasBalance("PROD",DataAreaId,"T.TPPTrans_sst|InventDimId~inventDimId@T.InventDim","Sum|CostAmount|0","","","","","","","ItemId|TransDate|T2.InventSiteId|T2.InventLocationId",$A67,PeriodBeginning,$B67,$C67)</f>
        <v>0</v>
      </c>
      <c r="K67" s="4">
        <f>_xll.AtlasFormulas.AtlasFunctions.AtlasBalance("PROD",DataAreaId,"T.TPPTrans_sst|InventDimId~inventDimId@T.InventDim","Sum|CostAmount|0","","","","","","","ItemId|TransDate|T2.InventSiteId|T2.InventLocationId",$A67,PeriodEnding,$B67,$C67)</f>
        <v>0</v>
      </c>
      <c r="L67" s="4">
        <f>AtlasReport_4_Table_1[[#This Row],[TPP cost amount]]-AtlasReport_4_Table_1[[#This Row],[TPP trans backwards balance (Beginning)]]</f>
        <v>0</v>
      </c>
      <c r="M67" s="4">
        <f>AtlasReport_4_Table_1[[#This Row],[TPP cost amount]]-AtlasReport_4_Table_1[[#This Row],[TPP Balance (Beginning)]]</f>
        <v>0</v>
      </c>
    </row>
    <row r="68" spans="1:13" x14ac:dyDescent="0.25">
      <c r="A68" s="8" t="s">
        <v>25</v>
      </c>
      <c r="B68" s="8" t="s">
        <v>261</v>
      </c>
      <c r="C68" s="8" t="s">
        <v>264</v>
      </c>
      <c r="D68" s="4">
        <v>1380.65</v>
      </c>
      <c r="E68" s="4">
        <v>2.1785787420000001E-3</v>
      </c>
      <c r="F68" s="4">
        <f>_xll.AtlasFormulas.AtlasFunctions.AtlasBalance("PROD",DataAreaId,"T.TPPTrans_sst|InventDimId~inventDimId@T.InventDim","Sum|Qty|0","","","","","","","ItemId|TransDate|T2.InventSiteId|T2.InventLocationId",$A68,PeriodBeginning,$B68,$C68)</f>
        <v>1677.54</v>
      </c>
      <c r="G68" s="4">
        <f>_xll.AtlasFormulas.AtlasFunctions.AtlasBalance("PROD",DataAreaId,"T.TPPTrans_sst|InventDimId~inventDimId@T.InventDim","Sum|Qty|0","","","","","","","ItemId|TransDate|T2.InventSiteId|T2.InventLocationId",$A68,PeriodEnding,$B68,$C68)</f>
        <v>0</v>
      </c>
      <c r="H68" s="4">
        <f>AtlasReport_4_Table_1[[#This Row],[Quantity]]-AtlasReport_4_Table_1[[#This Row],[TPP trans backwards (Beginning)]]</f>
        <v>-296.88999999999987</v>
      </c>
      <c r="I68" s="4">
        <f>AtlasReport_4_Table_1[[#This Row],[Quantity]]-AtlasReport_4_Table_1[[#This Row],[TPP trans backwards (Ending)]]</f>
        <v>1380.65</v>
      </c>
      <c r="J68" s="4">
        <f>_xll.AtlasFormulas.AtlasFunctions.AtlasBalance("PROD",DataAreaId,"T.TPPTrans_sst|InventDimId~inventDimId@T.InventDim","Sum|CostAmount|0","","","","","","","ItemId|TransDate|T2.InventSiteId|T2.InventLocationId",$A68,PeriodBeginning,$B68,$C68)</f>
        <v>0</v>
      </c>
      <c r="K68" s="4">
        <f>_xll.AtlasFormulas.AtlasFunctions.AtlasBalance("PROD",DataAreaId,"T.TPPTrans_sst|InventDimId~inventDimId@T.InventDim","Sum|CostAmount|0","","","","","","","ItemId|TransDate|T2.InventSiteId|T2.InventLocationId",$A68,PeriodEnding,$B68,$C68)</f>
        <v>0</v>
      </c>
      <c r="L68" s="4">
        <f>AtlasReport_4_Table_1[[#This Row],[TPP cost amount]]-AtlasReport_4_Table_1[[#This Row],[TPP trans backwards balance (Beginning)]]</f>
        <v>2.1785787420000001E-3</v>
      </c>
      <c r="M68" s="4">
        <f>AtlasReport_4_Table_1[[#This Row],[TPP cost amount]]-AtlasReport_4_Table_1[[#This Row],[TPP Balance (Beginning)]]</f>
        <v>0</v>
      </c>
    </row>
    <row r="69" spans="1:13" x14ac:dyDescent="0.25">
      <c r="A69" s="8" t="s">
        <v>72</v>
      </c>
      <c r="B69" s="8" t="s">
        <v>261</v>
      </c>
      <c r="C69" s="8" t="s">
        <v>264</v>
      </c>
      <c r="D69" s="4">
        <v>1248.3</v>
      </c>
      <c r="E69" s="4">
        <v>3421.0353614820801</v>
      </c>
      <c r="F69" s="4">
        <f>_xll.AtlasFormulas.AtlasFunctions.AtlasBalance("PROD",DataAreaId,"T.TPPTrans_sst|InventDimId~inventDimId@T.InventDim","Sum|Qty|0","","","","","","","ItemId|TransDate|T2.InventSiteId|T2.InventLocationId",$A69,PeriodBeginning,$B69,$C69)</f>
        <v>4.92</v>
      </c>
      <c r="G69" s="4">
        <f>_xll.AtlasFormulas.AtlasFunctions.AtlasBalance("PROD",DataAreaId,"T.TPPTrans_sst|InventDimId~inventDimId@T.InventDim","Sum|Qty|0","","","","","","","ItemId|TransDate|T2.InventSiteId|T2.InventLocationId",$A69,PeriodEnding,$B69,$C69)</f>
        <v>0</v>
      </c>
      <c r="H69" s="4">
        <f>AtlasReport_4_Table_1[[#This Row],[Quantity]]-AtlasReport_4_Table_1[[#This Row],[TPP trans backwards (Beginning)]]</f>
        <v>1243.3799999999999</v>
      </c>
      <c r="I69" s="4">
        <f>AtlasReport_4_Table_1[[#This Row],[Quantity]]-AtlasReport_4_Table_1[[#This Row],[TPP trans backwards (Ending)]]</f>
        <v>1248.3</v>
      </c>
      <c r="J69" s="4">
        <f>_xll.AtlasFormulas.AtlasFunctions.AtlasBalance("PROD",DataAreaId,"T.TPPTrans_sst|InventDimId~inventDimId@T.InventDim","Sum|CostAmount|0","","","","","","","ItemId|TransDate|T2.InventSiteId|T2.InventLocationId",$A69,PeriodBeginning,$B69,$C69)</f>
        <v>13.48</v>
      </c>
      <c r="K69" s="4">
        <f>_xll.AtlasFormulas.AtlasFunctions.AtlasBalance("PROD",DataAreaId,"T.TPPTrans_sst|InventDimId~inventDimId@T.InventDim","Sum|CostAmount|0","","","","","","","ItemId|TransDate|T2.InventSiteId|T2.InventLocationId",$A69,PeriodEnding,$B69,$C69)</f>
        <v>0</v>
      </c>
      <c r="L69" s="4">
        <f>AtlasReport_4_Table_1[[#This Row],[TPP cost amount]]-AtlasReport_4_Table_1[[#This Row],[TPP trans backwards balance (Beginning)]]</f>
        <v>3407.5553614820801</v>
      </c>
      <c r="M69" s="4">
        <f>AtlasReport_4_Table_1[[#This Row],[TPP cost amount]]-AtlasReport_4_Table_1[[#This Row],[TPP Balance (Beginning)]]</f>
        <v>13.480000000000018</v>
      </c>
    </row>
    <row r="70" spans="1:13" x14ac:dyDescent="0.25">
      <c r="A70" s="8" t="s">
        <v>316</v>
      </c>
      <c r="B70" s="8" t="s">
        <v>261</v>
      </c>
      <c r="C70" s="8" t="s">
        <v>264</v>
      </c>
      <c r="D70" s="4">
        <v>340.2</v>
      </c>
      <c r="E70" s="4">
        <v>0</v>
      </c>
      <c r="F70" s="4">
        <f>_xll.AtlasFormulas.AtlasFunctions.AtlasBalance("PROD",DataAreaId,"T.TPPTrans_sst|InventDimId~inventDimId@T.InventDim","Sum|Qty|0","","","","","","","ItemId|TransDate|T2.InventSiteId|T2.InventLocationId",$A70,PeriodBeginning,$B70,$C70)</f>
        <v>0</v>
      </c>
      <c r="G70" s="4">
        <f>_xll.AtlasFormulas.AtlasFunctions.AtlasBalance("PROD",DataAreaId,"T.TPPTrans_sst|InventDimId~inventDimId@T.InventDim","Sum|Qty|0","","","","","","","ItemId|TransDate|T2.InventSiteId|T2.InventLocationId",$A70,PeriodEnding,$B70,$C70)</f>
        <v>0</v>
      </c>
      <c r="H70" s="4">
        <f>AtlasReport_4_Table_1[[#This Row],[Quantity]]-AtlasReport_4_Table_1[[#This Row],[TPP trans backwards (Beginning)]]</f>
        <v>340.2</v>
      </c>
      <c r="I70" s="4">
        <f>AtlasReport_4_Table_1[[#This Row],[Quantity]]-AtlasReport_4_Table_1[[#This Row],[TPP trans backwards (Ending)]]</f>
        <v>340.2</v>
      </c>
      <c r="J70" s="4">
        <f>_xll.AtlasFormulas.AtlasFunctions.AtlasBalance("PROD",DataAreaId,"T.TPPTrans_sst|InventDimId~inventDimId@T.InventDim","Sum|CostAmount|0","","","","","","","ItemId|TransDate|T2.InventSiteId|T2.InventLocationId",$A70,PeriodBeginning,$B70,$C70)</f>
        <v>0</v>
      </c>
      <c r="K70" s="4">
        <f>_xll.AtlasFormulas.AtlasFunctions.AtlasBalance("PROD",DataAreaId,"T.TPPTrans_sst|InventDimId~inventDimId@T.InventDim","Sum|CostAmount|0","","","","","","","ItemId|TransDate|T2.InventSiteId|T2.InventLocationId",$A70,PeriodEnding,$B70,$C70)</f>
        <v>0</v>
      </c>
      <c r="L70" s="4">
        <f>AtlasReport_4_Table_1[[#This Row],[TPP cost amount]]-AtlasReport_4_Table_1[[#This Row],[TPP trans backwards balance (Beginning)]]</f>
        <v>0</v>
      </c>
      <c r="M70" s="4">
        <f>AtlasReport_4_Table_1[[#This Row],[TPP cost amount]]-AtlasReport_4_Table_1[[#This Row],[TPP Balance (Beginning)]]</f>
        <v>0</v>
      </c>
    </row>
    <row r="71" spans="1:13" x14ac:dyDescent="0.25">
      <c r="A71" s="8" t="s">
        <v>317</v>
      </c>
      <c r="B71" s="8" t="s">
        <v>261</v>
      </c>
      <c r="C71" s="8" t="s">
        <v>264</v>
      </c>
      <c r="D71" s="4">
        <v>884.8</v>
      </c>
      <c r="E71" s="4">
        <v>0</v>
      </c>
      <c r="F71" s="4">
        <f>_xll.AtlasFormulas.AtlasFunctions.AtlasBalance("PROD",DataAreaId,"T.TPPTrans_sst|InventDimId~inventDimId@T.InventDim","Sum|Qty|0","","","","","","","ItemId|TransDate|T2.InventSiteId|T2.InventLocationId",$A71,PeriodBeginning,$B71,$C71)</f>
        <v>0</v>
      </c>
      <c r="G71" s="4">
        <f>_xll.AtlasFormulas.AtlasFunctions.AtlasBalance("PROD",DataAreaId,"T.TPPTrans_sst|InventDimId~inventDimId@T.InventDim","Sum|Qty|0","","","","","","","ItemId|TransDate|T2.InventSiteId|T2.InventLocationId",$A71,PeriodEnding,$B71,$C71)</f>
        <v>0</v>
      </c>
      <c r="H71" s="4">
        <f>AtlasReport_4_Table_1[[#This Row],[Quantity]]-AtlasReport_4_Table_1[[#This Row],[TPP trans backwards (Beginning)]]</f>
        <v>884.8</v>
      </c>
      <c r="I71" s="4">
        <f>AtlasReport_4_Table_1[[#This Row],[Quantity]]-AtlasReport_4_Table_1[[#This Row],[TPP trans backwards (Ending)]]</f>
        <v>884.8</v>
      </c>
      <c r="J71" s="4">
        <f>_xll.AtlasFormulas.AtlasFunctions.AtlasBalance("PROD",DataAreaId,"T.TPPTrans_sst|InventDimId~inventDimId@T.InventDim","Sum|CostAmount|0","","","","","","","ItemId|TransDate|T2.InventSiteId|T2.InventLocationId",$A71,PeriodBeginning,$B71,$C71)</f>
        <v>0</v>
      </c>
      <c r="K71" s="4">
        <f>_xll.AtlasFormulas.AtlasFunctions.AtlasBalance("PROD",DataAreaId,"T.TPPTrans_sst|InventDimId~inventDimId@T.InventDim","Sum|CostAmount|0","","","","","","","ItemId|TransDate|T2.InventSiteId|T2.InventLocationId",$A71,PeriodEnding,$B71,$C71)</f>
        <v>0</v>
      </c>
      <c r="L71" s="4">
        <f>AtlasReport_4_Table_1[[#This Row],[TPP cost amount]]-AtlasReport_4_Table_1[[#This Row],[TPP trans backwards balance (Beginning)]]</f>
        <v>0</v>
      </c>
      <c r="M71" s="4">
        <f>AtlasReport_4_Table_1[[#This Row],[TPP cost amount]]-AtlasReport_4_Table_1[[#This Row],[TPP Balance (Beginning)]]</f>
        <v>0</v>
      </c>
    </row>
    <row r="72" spans="1:13" x14ac:dyDescent="0.25">
      <c r="A72" s="8" t="s">
        <v>73</v>
      </c>
      <c r="B72" s="8" t="s">
        <v>261</v>
      </c>
      <c r="C72" s="8" t="s">
        <v>262</v>
      </c>
      <c r="D72" s="4">
        <v>690</v>
      </c>
      <c r="E72" s="4">
        <v>0</v>
      </c>
      <c r="F72" s="4">
        <f>_xll.AtlasFormulas.AtlasFunctions.AtlasBalance("PROD",DataAreaId,"T.TPPTrans_sst|InventDimId~inventDimId@T.InventDim","Sum|Qty|0","","","","","","","ItemId|TransDate|T2.InventSiteId|T2.InventLocationId",$A72,PeriodBeginning,$B72,$C72)</f>
        <v>0</v>
      </c>
      <c r="G72" s="4">
        <f>_xll.AtlasFormulas.AtlasFunctions.AtlasBalance("PROD",DataAreaId,"T.TPPTrans_sst|InventDimId~inventDimId@T.InventDim","Sum|Qty|0","","","","","","","ItemId|TransDate|T2.InventSiteId|T2.InventLocationId",$A72,PeriodEnding,$B72,$C72)</f>
        <v>0</v>
      </c>
      <c r="H72" s="4">
        <f>AtlasReport_4_Table_1[[#This Row],[Quantity]]-AtlasReport_4_Table_1[[#This Row],[TPP trans backwards (Beginning)]]</f>
        <v>690</v>
      </c>
      <c r="I72" s="4">
        <f>AtlasReport_4_Table_1[[#This Row],[Quantity]]-AtlasReport_4_Table_1[[#This Row],[TPP trans backwards (Ending)]]</f>
        <v>690</v>
      </c>
      <c r="J72" s="4">
        <f>_xll.AtlasFormulas.AtlasFunctions.AtlasBalance("PROD",DataAreaId,"T.TPPTrans_sst|InventDimId~inventDimId@T.InventDim","Sum|CostAmount|0","","","","","","","ItemId|TransDate|T2.InventSiteId|T2.InventLocationId",$A72,PeriodBeginning,$B72,$C72)</f>
        <v>0</v>
      </c>
      <c r="K72" s="4">
        <f>_xll.AtlasFormulas.AtlasFunctions.AtlasBalance("PROD",DataAreaId,"T.TPPTrans_sst|InventDimId~inventDimId@T.InventDim","Sum|CostAmount|0","","","","","","","ItemId|TransDate|T2.InventSiteId|T2.InventLocationId",$A72,PeriodEnding,$B72,$C72)</f>
        <v>0</v>
      </c>
      <c r="L72" s="4">
        <f>AtlasReport_4_Table_1[[#This Row],[TPP cost amount]]-AtlasReport_4_Table_1[[#This Row],[TPP trans backwards balance (Beginning)]]</f>
        <v>0</v>
      </c>
      <c r="M72" s="4">
        <f>AtlasReport_4_Table_1[[#This Row],[TPP cost amount]]-AtlasReport_4_Table_1[[#This Row],[TPP Balance (Beginning)]]</f>
        <v>0</v>
      </c>
    </row>
    <row r="73" spans="1:13" x14ac:dyDescent="0.25">
      <c r="A73" s="8" t="s">
        <v>73</v>
      </c>
      <c r="B73" s="8" t="s">
        <v>261</v>
      </c>
      <c r="C73" s="8" t="s">
        <v>264</v>
      </c>
      <c r="D73" s="4">
        <v>3471.3</v>
      </c>
      <c r="E73" s="4">
        <v>6059.1500079145899</v>
      </c>
      <c r="F73" s="4">
        <f>_xll.AtlasFormulas.AtlasFunctions.AtlasBalance("PROD",DataAreaId,"T.TPPTrans_sst|InventDimId~inventDimId@T.InventDim","Sum|Qty|0","","","","","","","ItemId|TransDate|T2.InventSiteId|T2.InventLocationId",$A73,PeriodBeginning,$B73,$C73)</f>
        <v>-82.78</v>
      </c>
      <c r="G73" s="4">
        <f>_xll.AtlasFormulas.AtlasFunctions.AtlasBalance("PROD",DataAreaId,"T.TPPTrans_sst|InventDimId~inventDimId@T.InventDim","Sum|Qty|0","","","","","","","ItemId|TransDate|T2.InventSiteId|T2.InventLocationId",$A73,PeriodEnding,$B73,$C73)</f>
        <v>0</v>
      </c>
      <c r="H73" s="4">
        <f>AtlasReport_4_Table_1[[#This Row],[Quantity]]-AtlasReport_4_Table_1[[#This Row],[TPP trans backwards (Beginning)]]</f>
        <v>3554.0800000000004</v>
      </c>
      <c r="I73" s="4">
        <f>AtlasReport_4_Table_1[[#This Row],[Quantity]]-AtlasReport_4_Table_1[[#This Row],[TPP trans backwards (Ending)]]</f>
        <v>3471.3</v>
      </c>
      <c r="J73" s="4">
        <f>_xll.AtlasFormulas.AtlasFunctions.AtlasBalance("PROD",DataAreaId,"T.TPPTrans_sst|InventDimId~inventDimId@T.InventDim","Sum|CostAmount|0","","","","","","","ItemId|TransDate|T2.InventSiteId|T2.InventLocationId",$A73,PeriodBeginning,$B73,$C73)</f>
        <v>-144.49</v>
      </c>
      <c r="K73" s="4">
        <f>_xll.AtlasFormulas.AtlasFunctions.AtlasBalance("PROD",DataAreaId,"T.TPPTrans_sst|InventDimId~inventDimId@T.InventDim","Sum|CostAmount|0","","","","","","","ItemId|TransDate|T2.InventSiteId|T2.InventLocationId",$A73,PeriodEnding,$B73,$C73)</f>
        <v>0</v>
      </c>
      <c r="L73" s="4">
        <f>AtlasReport_4_Table_1[[#This Row],[TPP cost amount]]-AtlasReport_4_Table_1[[#This Row],[TPP trans backwards balance (Beginning)]]</f>
        <v>6203.6400079145897</v>
      </c>
      <c r="M73" s="4">
        <f>AtlasReport_4_Table_1[[#This Row],[TPP cost amount]]-AtlasReport_4_Table_1[[#This Row],[TPP Balance (Beginning)]]</f>
        <v>-144.48999999999978</v>
      </c>
    </row>
    <row r="74" spans="1:13" x14ac:dyDescent="0.25">
      <c r="A74" s="8" t="s">
        <v>194</v>
      </c>
      <c r="B74" s="8" t="s">
        <v>261</v>
      </c>
      <c r="C74" s="8" t="s">
        <v>264</v>
      </c>
      <c r="D74" s="4">
        <v>1276.5</v>
      </c>
      <c r="E74" s="4">
        <v>2979.2024536347299</v>
      </c>
      <c r="F74" s="4">
        <f>_xll.AtlasFormulas.AtlasFunctions.AtlasBalance("PROD",DataAreaId,"T.TPPTrans_sst|InventDimId~inventDimId@T.InventDim","Sum|Qty|0","","","","","","","ItemId|TransDate|T2.InventSiteId|T2.InventLocationId",$A74,PeriodBeginning,$B74,$C74)</f>
        <v>-4.26</v>
      </c>
      <c r="G74" s="4">
        <f>_xll.AtlasFormulas.AtlasFunctions.AtlasBalance("PROD",DataAreaId,"T.TPPTrans_sst|InventDimId~inventDimId@T.InventDim","Sum|Qty|0","","","","","","","ItemId|TransDate|T2.InventSiteId|T2.InventLocationId",$A74,PeriodEnding,$B74,$C74)</f>
        <v>0</v>
      </c>
      <c r="H74" s="4">
        <f>AtlasReport_4_Table_1[[#This Row],[Quantity]]-AtlasReport_4_Table_1[[#This Row],[TPP trans backwards (Beginning)]]</f>
        <v>1280.76</v>
      </c>
      <c r="I74" s="4">
        <f>AtlasReport_4_Table_1[[#This Row],[Quantity]]-AtlasReport_4_Table_1[[#This Row],[TPP trans backwards (Ending)]]</f>
        <v>1276.5</v>
      </c>
      <c r="J74" s="4">
        <f>_xll.AtlasFormulas.AtlasFunctions.AtlasBalance("PROD",DataAreaId,"T.TPPTrans_sst|InventDimId~inventDimId@T.InventDim","Sum|CostAmount|0","","","","","","","ItemId|TransDate|T2.InventSiteId|T2.InventLocationId",$A74,PeriodBeginning,$B74,$C74)</f>
        <v>-9.94</v>
      </c>
      <c r="K74" s="4">
        <f>_xll.AtlasFormulas.AtlasFunctions.AtlasBalance("PROD",DataAreaId,"T.TPPTrans_sst|InventDimId~inventDimId@T.InventDim","Sum|CostAmount|0","","","","","","","ItemId|TransDate|T2.InventSiteId|T2.InventLocationId",$A74,PeriodEnding,$B74,$C74)</f>
        <v>0</v>
      </c>
      <c r="L74" s="4">
        <f>AtlasReport_4_Table_1[[#This Row],[TPP cost amount]]-AtlasReport_4_Table_1[[#This Row],[TPP trans backwards balance (Beginning)]]</f>
        <v>2989.1424536347299</v>
      </c>
      <c r="M74" s="4">
        <f>AtlasReport_4_Table_1[[#This Row],[TPP cost amount]]-AtlasReport_4_Table_1[[#This Row],[TPP Balance (Beginning)]]</f>
        <v>-9.9400000000000546</v>
      </c>
    </row>
    <row r="75" spans="1:13" x14ac:dyDescent="0.25">
      <c r="A75" s="8" t="s">
        <v>142</v>
      </c>
      <c r="B75" s="8" t="s">
        <v>261</v>
      </c>
      <c r="C75" s="8" t="s">
        <v>262</v>
      </c>
      <c r="D75" s="4">
        <v>1730.1</v>
      </c>
      <c r="E75" s="4">
        <v>0</v>
      </c>
      <c r="F75" s="4">
        <f>_xll.AtlasFormulas.AtlasFunctions.AtlasBalance("PROD",DataAreaId,"T.TPPTrans_sst|InventDimId~inventDimId@T.InventDim","Sum|Qty|0","","","","","","","ItemId|TransDate|T2.InventSiteId|T2.InventLocationId",$A75,PeriodBeginning,$B75,$C75)</f>
        <v>0</v>
      </c>
      <c r="G75" s="4">
        <f>_xll.AtlasFormulas.AtlasFunctions.AtlasBalance("PROD",DataAreaId,"T.TPPTrans_sst|InventDimId~inventDimId@T.InventDim","Sum|Qty|0","","","","","","","ItemId|TransDate|T2.InventSiteId|T2.InventLocationId",$A75,PeriodEnding,$B75,$C75)</f>
        <v>0</v>
      </c>
      <c r="H75" s="4">
        <f>AtlasReport_4_Table_1[[#This Row],[Quantity]]-AtlasReport_4_Table_1[[#This Row],[TPP trans backwards (Beginning)]]</f>
        <v>1730.1</v>
      </c>
      <c r="I75" s="4">
        <f>AtlasReport_4_Table_1[[#This Row],[Quantity]]-AtlasReport_4_Table_1[[#This Row],[TPP trans backwards (Ending)]]</f>
        <v>1730.1</v>
      </c>
      <c r="J75" s="4">
        <f>_xll.AtlasFormulas.AtlasFunctions.AtlasBalance("PROD",DataAreaId,"T.TPPTrans_sst|InventDimId~inventDimId@T.InventDim","Sum|CostAmount|0","","","","","","","ItemId|TransDate|T2.InventSiteId|T2.InventLocationId",$A75,PeriodBeginning,$B75,$C75)</f>
        <v>0</v>
      </c>
      <c r="K75" s="4">
        <f>_xll.AtlasFormulas.AtlasFunctions.AtlasBalance("PROD",DataAreaId,"T.TPPTrans_sst|InventDimId~inventDimId@T.InventDim","Sum|CostAmount|0","","","","","","","ItemId|TransDate|T2.InventSiteId|T2.InventLocationId",$A75,PeriodEnding,$B75,$C75)</f>
        <v>0</v>
      </c>
      <c r="L75" s="4">
        <f>AtlasReport_4_Table_1[[#This Row],[TPP cost amount]]-AtlasReport_4_Table_1[[#This Row],[TPP trans backwards balance (Beginning)]]</f>
        <v>0</v>
      </c>
      <c r="M75" s="4">
        <f>AtlasReport_4_Table_1[[#This Row],[TPP cost amount]]-AtlasReport_4_Table_1[[#This Row],[TPP Balance (Beginning)]]</f>
        <v>0</v>
      </c>
    </row>
    <row r="76" spans="1:13" x14ac:dyDescent="0.25">
      <c r="A76" s="8" t="s">
        <v>142</v>
      </c>
      <c r="B76" s="8" t="s">
        <v>261</v>
      </c>
      <c r="C76" s="8" t="s">
        <v>264</v>
      </c>
      <c r="D76" s="4">
        <v>5794.2</v>
      </c>
      <c r="E76" s="4">
        <v>33782.893032349602</v>
      </c>
      <c r="F76" s="4">
        <f>_xll.AtlasFormulas.AtlasFunctions.AtlasBalance("PROD",DataAreaId,"T.TPPTrans_sst|InventDimId~inventDimId@T.InventDim","Sum|Qty|0","","","","","","","ItemId|TransDate|T2.InventSiteId|T2.InventLocationId",$A76,PeriodBeginning,$B76,$C76)</f>
        <v>-162</v>
      </c>
      <c r="G76" s="4">
        <f>_xll.AtlasFormulas.AtlasFunctions.AtlasBalance("PROD",DataAreaId,"T.TPPTrans_sst|InventDimId~inventDimId@T.InventDim","Sum|Qty|0","","","","","","","ItemId|TransDate|T2.InventSiteId|T2.InventLocationId",$A76,PeriodEnding,$B76,$C76)</f>
        <v>0</v>
      </c>
      <c r="H76" s="4">
        <f>AtlasReport_4_Table_1[[#This Row],[Quantity]]-AtlasReport_4_Table_1[[#This Row],[TPP trans backwards (Beginning)]]</f>
        <v>5956.2</v>
      </c>
      <c r="I76" s="4">
        <f>AtlasReport_4_Table_1[[#This Row],[Quantity]]-AtlasReport_4_Table_1[[#This Row],[TPP trans backwards (Ending)]]</f>
        <v>5794.2</v>
      </c>
      <c r="J76" s="4">
        <f>_xll.AtlasFormulas.AtlasFunctions.AtlasBalance("PROD",DataAreaId,"T.TPPTrans_sst|InventDimId~inventDimId@T.InventDim","Sum|CostAmount|0","","","","","","","ItemId|TransDate|T2.InventSiteId|T2.InventLocationId",$A76,PeriodBeginning,$B76,$C76)</f>
        <v>-944.53</v>
      </c>
      <c r="K76" s="4">
        <f>_xll.AtlasFormulas.AtlasFunctions.AtlasBalance("PROD",DataAreaId,"T.TPPTrans_sst|InventDimId~inventDimId@T.InventDim","Sum|CostAmount|0","","","","","","","ItemId|TransDate|T2.InventSiteId|T2.InventLocationId",$A76,PeriodEnding,$B76,$C76)</f>
        <v>0</v>
      </c>
      <c r="L76" s="4">
        <f>AtlasReport_4_Table_1[[#This Row],[TPP cost amount]]-AtlasReport_4_Table_1[[#This Row],[TPP trans backwards balance (Beginning)]]</f>
        <v>34727.423032349601</v>
      </c>
      <c r="M76" s="4">
        <f>AtlasReport_4_Table_1[[#This Row],[TPP cost amount]]-AtlasReport_4_Table_1[[#This Row],[TPP Balance (Beginning)]]</f>
        <v>-944.52999999999884</v>
      </c>
    </row>
    <row r="77" spans="1:13" x14ac:dyDescent="0.25">
      <c r="A77" s="8" t="s">
        <v>26</v>
      </c>
      <c r="B77" s="8" t="s">
        <v>261</v>
      </c>
      <c r="C77" s="8" t="s">
        <v>262</v>
      </c>
      <c r="D77" s="4">
        <v>225</v>
      </c>
      <c r="E77" s="4">
        <v>0</v>
      </c>
      <c r="F77" s="4">
        <f>_xll.AtlasFormulas.AtlasFunctions.AtlasBalance("PROD",DataAreaId,"T.TPPTrans_sst|InventDimId~inventDimId@T.InventDim","Sum|Qty|0","","","","","","","ItemId|TransDate|T2.InventSiteId|T2.InventLocationId",$A77,PeriodBeginning,$B77,$C77)</f>
        <v>0</v>
      </c>
      <c r="G77" s="4">
        <f>_xll.AtlasFormulas.AtlasFunctions.AtlasBalance("PROD",DataAreaId,"T.TPPTrans_sst|InventDimId~inventDimId@T.InventDim","Sum|Qty|0","","","","","","","ItemId|TransDate|T2.InventSiteId|T2.InventLocationId",$A77,PeriodEnding,$B77,$C77)</f>
        <v>0</v>
      </c>
      <c r="H77" s="4">
        <f>AtlasReport_4_Table_1[[#This Row],[Quantity]]-AtlasReport_4_Table_1[[#This Row],[TPP trans backwards (Beginning)]]</f>
        <v>225</v>
      </c>
      <c r="I77" s="4">
        <f>AtlasReport_4_Table_1[[#This Row],[Quantity]]-AtlasReport_4_Table_1[[#This Row],[TPP trans backwards (Ending)]]</f>
        <v>225</v>
      </c>
      <c r="J77" s="4">
        <f>_xll.AtlasFormulas.AtlasFunctions.AtlasBalance("PROD",DataAreaId,"T.TPPTrans_sst|InventDimId~inventDimId@T.InventDim","Sum|CostAmount|0","","","","","","","ItemId|TransDate|T2.InventSiteId|T2.InventLocationId",$A77,PeriodBeginning,$B77,$C77)</f>
        <v>0</v>
      </c>
      <c r="K77" s="4">
        <f>_xll.AtlasFormulas.AtlasFunctions.AtlasBalance("PROD",DataAreaId,"T.TPPTrans_sst|InventDimId~inventDimId@T.InventDim","Sum|CostAmount|0","","","","","","","ItemId|TransDate|T2.InventSiteId|T2.InventLocationId",$A77,PeriodEnding,$B77,$C77)</f>
        <v>0</v>
      </c>
      <c r="L77" s="4">
        <f>AtlasReport_4_Table_1[[#This Row],[TPP cost amount]]-AtlasReport_4_Table_1[[#This Row],[TPP trans backwards balance (Beginning)]]</f>
        <v>0</v>
      </c>
      <c r="M77" s="4">
        <f>AtlasReport_4_Table_1[[#This Row],[TPP cost amount]]-AtlasReport_4_Table_1[[#This Row],[TPP Balance (Beginning)]]</f>
        <v>0</v>
      </c>
    </row>
    <row r="78" spans="1:13" x14ac:dyDescent="0.25">
      <c r="A78" s="8" t="s">
        <v>26</v>
      </c>
      <c r="B78" s="8" t="s">
        <v>261</v>
      </c>
      <c r="C78" s="8" t="s">
        <v>264</v>
      </c>
      <c r="D78" s="4">
        <v>853.91000000000008</v>
      </c>
      <c r="E78" s="4">
        <v>5930.2842902543998</v>
      </c>
      <c r="F78" s="4">
        <f>_xll.AtlasFormulas.AtlasFunctions.AtlasBalance("PROD",DataAreaId,"T.TPPTrans_sst|InventDimId~inventDimId@T.InventDim","Sum|Qty|0","","","","","","","ItemId|TransDate|T2.InventSiteId|T2.InventLocationId",$A78,PeriodBeginning,$B78,$C78)</f>
        <v>14.4</v>
      </c>
      <c r="G78" s="4">
        <f>_xll.AtlasFormulas.AtlasFunctions.AtlasBalance("PROD",DataAreaId,"T.TPPTrans_sst|InventDimId~inventDimId@T.InventDim","Sum|Qty|0","","","","","","","ItemId|TransDate|T2.InventSiteId|T2.InventLocationId",$A78,PeriodEnding,$B78,$C78)</f>
        <v>0</v>
      </c>
      <c r="H78" s="4">
        <f>AtlasReport_4_Table_1[[#This Row],[Quantity]]-AtlasReport_4_Table_1[[#This Row],[TPP trans backwards (Beginning)]]</f>
        <v>839.5100000000001</v>
      </c>
      <c r="I78" s="4">
        <f>AtlasReport_4_Table_1[[#This Row],[Quantity]]-AtlasReport_4_Table_1[[#This Row],[TPP trans backwards (Ending)]]</f>
        <v>853.91000000000008</v>
      </c>
      <c r="J78" s="4">
        <f>_xll.AtlasFormulas.AtlasFunctions.AtlasBalance("PROD",DataAreaId,"T.TPPTrans_sst|InventDimId~inventDimId@T.InventDim","Sum|CostAmount|0","","","","","","","ItemId|TransDate|T2.InventSiteId|T2.InventLocationId",$A78,PeriodBeginning,$B78,$C78)</f>
        <v>100.01</v>
      </c>
      <c r="K78" s="4">
        <f>_xll.AtlasFormulas.AtlasFunctions.AtlasBalance("PROD",DataAreaId,"T.TPPTrans_sst|InventDimId~inventDimId@T.InventDim","Sum|CostAmount|0","","","","","","","ItemId|TransDate|T2.InventSiteId|T2.InventLocationId",$A78,PeriodEnding,$B78,$C78)</f>
        <v>0</v>
      </c>
      <c r="L78" s="4">
        <f>AtlasReport_4_Table_1[[#This Row],[TPP cost amount]]-AtlasReport_4_Table_1[[#This Row],[TPP trans backwards balance (Beginning)]]</f>
        <v>5830.2742902543996</v>
      </c>
      <c r="M78" s="4">
        <f>AtlasReport_4_Table_1[[#This Row],[TPP cost amount]]-AtlasReport_4_Table_1[[#This Row],[TPP Balance (Beginning)]]</f>
        <v>100.01000000000022</v>
      </c>
    </row>
    <row r="79" spans="1:13" x14ac:dyDescent="0.25">
      <c r="A79" s="8" t="s">
        <v>319</v>
      </c>
      <c r="B79" s="8" t="s">
        <v>261</v>
      </c>
      <c r="C79" s="8" t="s">
        <v>264</v>
      </c>
      <c r="D79" s="4">
        <v>0</v>
      </c>
      <c r="E79" s="4">
        <v>0</v>
      </c>
      <c r="F79" s="4">
        <f>_xll.AtlasFormulas.AtlasFunctions.AtlasBalance("PROD",DataAreaId,"T.TPPTrans_sst|InventDimId~inventDimId@T.InventDim","Sum|Qty|0","","","","","","","ItemId|TransDate|T2.InventSiteId|T2.InventLocationId",$A79,PeriodBeginning,$B79,$C79)</f>
        <v>0</v>
      </c>
      <c r="G79" s="4">
        <f>_xll.AtlasFormulas.AtlasFunctions.AtlasBalance("PROD",DataAreaId,"T.TPPTrans_sst|InventDimId~inventDimId@T.InventDim","Sum|Qty|0","","","","","","","ItemId|TransDate|T2.InventSiteId|T2.InventLocationId",$A79,PeriodEnding,$B79,$C79)</f>
        <v>0</v>
      </c>
      <c r="H79" s="4">
        <f>AtlasReport_4_Table_1[[#This Row],[Quantity]]-AtlasReport_4_Table_1[[#This Row],[TPP trans backwards (Beginning)]]</f>
        <v>0</v>
      </c>
      <c r="I79" s="4">
        <f>AtlasReport_4_Table_1[[#This Row],[Quantity]]-AtlasReport_4_Table_1[[#This Row],[TPP trans backwards (Ending)]]</f>
        <v>0</v>
      </c>
      <c r="J79" s="4">
        <f>_xll.AtlasFormulas.AtlasFunctions.AtlasBalance("PROD",DataAreaId,"T.TPPTrans_sst|InventDimId~inventDimId@T.InventDim","Sum|CostAmount|0","","","","","","","ItemId|TransDate|T2.InventSiteId|T2.InventLocationId",$A79,PeriodBeginning,$B79,$C79)</f>
        <v>0</v>
      </c>
      <c r="K79" s="4">
        <f>_xll.AtlasFormulas.AtlasFunctions.AtlasBalance("PROD",DataAreaId,"T.TPPTrans_sst|InventDimId~inventDimId@T.InventDim","Sum|CostAmount|0","","","","","","","ItemId|TransDate|T2.InventSiteId|T2.InventLocationId",$A79,PeriodEnding,$B79,$C79)</f>
        <v>0</v>
      </c>
      <c r="L79" s="4">
        <f>AtlasReport_4_Table_1[[#This Row],[TPP cost amount]]-AtlasReport_4_Table_1[[#This Row],[TPP trans backwards balance (Beginning)]]</f>
        <v>0</v>
      </c>
      <c r="M79" s="4">
        <f>AtlasReport_4_Table_1[[#This Row],[TPP cost amount]]-AtlasReport_4_Table_1[[#This Row],[TPP Balance (Beginning)]]</f>
        <v>0</v>
      </c>
    </row>
    <row r="80" spans="1:13" x14ac:dyDescent="0.25">
      <c r="A80" s="8" t="s">
        <v>320</v>
      </c>
      <c r="B80" s="8" t="s">
        <v>261</v>
      </c>
      <c r="C80" s="8" t="s">
        <v>264</v>
      </c>
      <c r="D80" s="4">
        <v>1</v>
      </c>
      <c r="E80" s="4">
        <v>3.1229954504289998</v>
      </c>
      <c r="F80" s="4">
        <f>_xll.AtlasFormulas.AtlasFunctions.AtlasBalance("PROD",DataAreaId,"T.TPPTrans_sst|InventDimId~inventDimId@T.InventDim","Sum|Qty|0","","","","","","","ItemId|TransDate|T2.InventSiteId|T2.InventLocationId",$A80,PeriodBeginning,$B80,$C80)</f>
        <v>-5</v>
      </c>
      <c r="G80" s="4">
        <f>_xll.AtlasFormulas.AtlasFunctions.AtlasBalance("PROD",DataAreaId,"T.TPPTrans_sst|InventDimId~inventDimId@T.InventDim","Sum|Qty|0","","","","","","","ItemId|TransDate|T2.InventSiteId|T2.InventLocationId",$A80,PeriodEnding,$B80,$C80)</f>
        <v>0</v>
      </c>
      <c r="H80" s="4">
        <f>AtlasReport_4_Table_1[[#This Row],[Quantity]]-AtlasReport_4_Table_1[[#This Row],[TPP trans backwards (Beginning)]]</f>
        <v>6</v>
      </c>
      <c r="I80" s="4">
        <f>AtlasReport_4_Table_1[[#This Row],[Quantity]]-AtlasReport_4_Table_1[[#This Row],[TPP trans backwards (Ending)]]</f>
        <v>1</v>
      </c>
      <c r="J80" s="4">
        <f>_xll.AtlasFormulas.AtlasFunctions.AtlasBalance("PROD",DataAreaId,"T.TPPTrans_sst|InventDimId~inventDimId@T.InventDim","Sum|CostAmount|0","","","","","","","ItemId|TransDate|T2.InventSiteId|T2.InventLocationId",$A80,PeriodBeginning,$B80,$C80)</f>
        <v>-15.63</v>
      </c>
      <c r="K80" s="4">
        <f>_xll.AtlasFormulas.AtlasFunctions.AtlasBalance("PROD",DataAreaId,"T.TPPTrans_sst|InventDimId~inventDimId@T.InventDim","Sum|CostAmount|0","","","","","","","ItemId|TransDate|T2.InventSiteId|T2.InventLocationId",$A80,PeriodEnding,$B80,$C80)</f>
        <v>0</v>
      </c>
      <c r="L80" s="4">
        <f>AtlasReport_4_Table_1[[#This Row],[TPP cost amount]]-AtlasReport_4_Table_1[[#This Row],[TPP trans backwards balance (Beginning)]]</f>
        <v>18.752995450429001</v>
      </c>
      <c r="M80" s="4">
        <f>AtlasReport_4_Table_1[[#This Row],[TPP cost amount]]-AtlasReport_4_Table_1[[#This Row],[TPP Balance (Beginning)]]</f>
        <v>-15.63</v>
      </c>
    </row>
    <row r="81" spans="1:13" x14ac:dyDescent="0.25">
      <c r="A81" s="8" t="s">
        <v>323</v>
      </c>
      <c r="B81" s="8" t="s">
        <v>261</v>
      </c>
      <c r="C81" s="8" t="s">
        <v>264</v>
      </c>
      <c r="D81" s="4">
        <v>0</v>
      </c>
      <c r="E81" s="4">
        <v>-4.6957946560000005E-3</v>
      </c>
      <c r="F81" s="4">
        <f>_xll.AtlasFormulas.AtlasFunctions.AtlasBalance("PROD",DataAreaId,"T.TPPTrans_sst|InventDimId~inventDimId@T.InventDim","Sum|Qty|0","","","","","","","ItemId|TransDate|T2.InventSiteId|T2.InventLocationId",$A81,PeriodBeginning,$B81,$C81)</f>
        <v>-36</v>
      </c>
      <c r="G81" s="4">
        <f>_xll.AtlasFormulas.AtlasFunctions.AtlasBalance("PROD",DataAreaId,"T.TPPTrans_sst|InventDimId~inventDimId@T.InventDim","Sum|Qty|0","","","","","","","ItemId|TransDate|T2.InventSiteId|T2.InventLocationId",$A81,PeriodEnding,$B81,$C81)</f>
        <v>0</v>
      </c>
      <c r="H81" s="4">
        <f>AtlasReport_4_Table_1[[#This Row],[Quantity]]-AtlasReport_4_Table_1[[#This Row],[TPP trans backwards (Beginning)]]</f>
        <v>36</v>
      </c>
      <c r="I81" s="4">
        <f>AtlasReport_4_Table_1[[#This Row],[Quantity]]-AtlasReport_4_Table_1[[#This Row],[TPP trans backwards (Ending)]]</f>
        <v>0</v>
      </c>
      <c r="J81" s="4">
        <f>_xll.AtlasFormulas.AtlasFunctions.AtlasBalance("PROD",DataAreaId,"T.TPPTrans_sst|InventDimId~inventDimId@T.InventDim","Sum|CostAmount|0","","","","","","","ItemId|TransDate|T2.InventSiteId|T2.InventLocationId",$A81,PeriodBeginning,$B81,$C81)</f>
        <v>-8.83</v>
      </c>
      <c r="K81" s="4">
        <f>_xll.AtlasFormulas.AtlasFunctions.AtlasBalance("PROD",DataAreaId,"T.TPPTrans_sst|InventDimId~inventDimId@T.InventDim","Sum|CostAmount|0","","","","","","","ItemId|TransDate|T2.InventSiteId|T2.InventLocationId",$A81,PeriodEnding,$B81,$C81)</f>
        <v>0</v>
      </c>
      <c r="L81" s="4">
        <f>AtlasReport_4_Table_1[[#This Row],[TPP cost amount]]-AtlasReport_4_Table_1[[#This Row],[TPP trans backwards balance (Beginning)]]</f>
        <v>8.8253042053440005</v>
      </c>
      <c r="M81" s="4">
        <f>AtlasReport_4_Table_1[[#This Row],[TPP cost amount]]-AtlasReport_4_Table_1[[#This Row],[TPP Balance (Beginning)]]</f>
        <v>-8.83</v>
      </c>
    </row>
    <row r="82" spans="1:13" x14ac:dyDescent="0.25">
      <c r="A82" s="8" t="s">
        <v>326</v>
      </c>
      <c r="B82" s="8" t="s">
        <v>261</v>
      </c>
      <c r="C82" s="8" t="s">
        <v>264</v>
      </c>
      <c r="D82" s="4">
        <v>178</v>
      </c>
      <c r="E82" s="4">
        <v>0</v>
      </c>
      <c r="F82" s="4">
        <f>_xll.AtlasFormulas.AtlasFunctions.AtlasBalance("PROD",DataAreaId,"T.TPPTrans_sst|InventDimId~inventDimId@T.InventDim","Sum|Qty|0","","","","","","","ItemId|TransDate|T2.InventSiteId|T2.InventLocationId",$A82,PeriodBeginning,$B82,$C82)</f>
        <v>0</v>
      </c>
      <c r="G82" s="4">
        <f>_xll.AtlasFormulas.AtlasFunctions.AtlasBalance("PROD",DataAreaId,"T.TPPTrans_sst|InventDimId~inventDimId@T.InventDim","Sum|Qty|0","","","","","","","ItemId|TransDate|T2.InventSiteId|T2.InventLocationId",$A82,PeriodEnding,$B82,$C82)</f>
        <v>0</v>
      </c>
      <c r="H82" s="4">
        <f>AtlasReport_4_Table_1[[#This Row],[Quantity]]-AtlasReport_4_Table_1[[#This Row],[TPP trans backwards (Beginning)]]</f>
        <v>178</v>
      </c>
      <c r="I82" s="4">
        <f>AtlasReport_4_Table_1[[#This Row],[Quantity]]-AtlasReport_4_Table_1[[#This Row],[TPP trans backwards (Ending)]]</f>
        <v>178</v>
      </c>
      <c r="J82" s="4">
        <f>_xll.AtlasFormulas.AtlasFunctions.AtlasBalance("PROD",DataAreaId,"T.TPPTrans_sst|InventDimId~inventDimId@T.InventDim","Sum|CostAmount|0","","","","","","","ItemId|TransDate|T2.InventSiteId|T2.InventLocationId",$A82,PeriodBeginning,$B82,$C82)</f>
        <v>0</v>
      </c>
      <c r="K82" s="4">
        <f>_xll.AtlasFormulas.AtlasFunctions.AtlasBalance("PROD",DataAreaId,"T.TPPTrans_sst|InventDimId~inventDimId@T.InventDim","Sum|CostAmount|0","","","","","","","ItemId|TransDate|T2.InventSiteId|T2.InventLocationId",$A82,PeriodEnding,$B82,$C82)</f>
        <v>0</v>
      </c>
      <c r="L82" s="4">
        <f>AtlasReport_4_Table_1[[#This Row],[TPP cost amount]]-AtlasReport_4_Table_1[[#This Row],[TPP trans backwards balance (Beginning)]]</f>
        <v>0</v>
      </c>
      <c r="M82" s="4">
        <f>AtlasReport_4_Table_1[[#This Row],[TPP cost amount]]-AtlasReport_4_Table_1[[#This Row],[TPP Balance (Beginning)]]</f>
        <v>0</v>
      </c>
    </row>
    <row r="83" spans="1:13" x14ac:dyDescent="0.25">
      <c r="A83" s="8" t="s">
        <v>331</v>
      </c>
      <c r="B83" s="8" t="s">
        <v>261</v>
      </c>
      <c r="C83" s="8" t="s">
        <v>264</v>
      </c>
      <c r="D83" s="4">
        <v>0</v>
      </c>
      <c r="E83" s="4">
        <v>0</v>
      </c>
      <c r="F83" s="4">
        <f>_xll.AtlasFormulas.AtlasFunctions.AtlasBalance("PROD",DataAreaId,"T.TPPTrans_sst|InventDimId~inventDimId@T.InventDim","Sum|Qty|0","","","","","","","ItemId|TransDate|T2.InventSiteId|T2.InventLocationId",$A83,PeriodBeginning,$B83,$C83)</f>
        <v>0</v>
      </c>
      <c r="G83" s="4">
        <f>_xll.AtlasFormulas.AtlasFunctions.AtlasBalance("PROD",DataAreaId,"T.TPPTrans_sst|InventDimId~inventDimId@T.InventDim","Sum|Qty|0","","","","","","","ItemId|TransDate|T2.InventSiteId|T2.InventLocationId",$A83,PeriodEnding,$B83,$C83)</f>
        <v>0</v>
      </c>
      <c r="H83" s="4">
        <f>AtlasReport_4_Table_1[[#This Row],[Quantity]]-AtlasReport_4_Table_1[[#This Row],[TPP trans backwards (Beginning)]]</f>
        <v>0</v>
      </c>
      <c r="I83" s="4">
        <f>AtlasReport_4_Table_1[[#This Row],[Quantity]]-AtlasReport_4_Table_1[[#This Row],[TPP trans backwards (Ending)]]</f>
        <v>0</v>
      </c>
      <c r="J83" s="4">
        <f>_xll.AtlasFormulas.AtlasFunctions.AtlasBalance("PROD",DataAreaId,"T.TPPTrans_sst|InventDimId~inventDimId@T.InventDim","Sum|CostAmount|0","","","","","","","ItemId|TransDate|T2.InventSiteId|T2.InventLocationId",$A83,PeriodBeginning,$B83,$C83)</f>
        <v>0</v>
      </c>
      <c r="K83" s="4">
        <f>_xll.AtlasFormulas.AtlasFunctions.AtlasBalance("PROD",DataAreaId,"T.TPPTrans_sst|InventDimId~inventDimId@T.InventDim","Sum|CostAmount|0","","","","","","","ItemId|TransDate|T2.InventSiteId|T2.InventLocationId",$A83,PeriodEnding,$B83,$C83)</f>
        <v>0</v>
      </c>
      <c r="L83" s="4">
        <f>AtlasReport_4_Table_1[[#This Row],[TPP cost amount]]-AtlasReport_4_Table_1[[#This Row],[TPP trans backwards balance (Beginning)]]</f>
        <v>0</v>
      </c>
      <c r="M83" s="4">
        <f>AtlasReport_4_Table_1[[#This Row],[TPP cost amount]]-AtlasReport_4_Table_1[[#This Row],[TPP Balance (Beginning)]]</f>
        <v>0</v>
      </c>
    </row>
    <row r="84" spans="1:13" x14ac:dyDescent="0.25">
      <c r="A84" s="8" t="s">
        <v>332</v>
      </c>
      <c r="B84" s="8" t="s">
        <v>261</v>
      </c>
      <c r="C84" s="8" t="s">
        <v>264</v>
      </c>
      <c r="D84" s="4">
        <v>0</v>
      </c>
      <c r="E84" s="4">
        <v>-2.90067725E-4</v>
      </c>
      <c r="F84" s="4">
        <f>_xll.AtlasFormulas.AtlasFunctions.AtlasBalance("PROD",DataAreaId,"T.TPPTrans_sst|InventDimId~inventDimId@T.InventDim","Sum|Qty|0","","","","","","","ItemId|TransDate|T2.InventSiteId|T2.InventLocationId",$A84,PeriodBeginning,$B84,$C84)</f>
        <v>-6</v>
      </c>
      <c r="G84" s="4">
        <f>_xll.AtlasFormulas.AtlasFunctions.AtlasBalance("PROD",DataAreaId,"T.TPPTrans_sst|InventDimId~inventDimId@T.InventDim","Sum|Qty|0","","","","","","","ItemId|TransDate|T2.InventSiteId|T2.InventLocationId",$A84,PeriodEnding,$B84,$C84)</f>
        <v>0</v>
      </c>
      <c r="H84" s="4">
        <f>AtlasReport_4_Table_1[[#This Row],[Quantity]]-AtlasReport_4_Table_1[[#This Row],[TPP trans backwards (Beginning)]]</f>
        <v>6</v>
      </c>
      <c r="I84" s="4">
        <f>AtlasReport_4_Table_1[[#This Row],[Quantity]]-AtlasReport_4_Table_1[[#This Row],[TPP trans backwards (Ending)]]</f>
        <v>0</v>
      </c>
      <c r="J84" s="4">
        <f>_xll.AtlasFormulas.AtlasFunctions.AtlasBalance("PROD",DataAreaId,"T.TPPTrans_sst|InventDimId~inventDimId@T.InventDim","Sum|CostAmount|0","","","","","","","ItemId|TransDate|T2.InventSiteId|T2.InventLocationId",$A84,PeriodBeginning,$B84,$C84)</f>
        <v>-29.88</v>
      </c>
      <c r="K84" s="4">
        <f>_xll.AtlasFormulas.AtlasFunctions.AtlasBalance("PROD",DataAreaId,"T.TPPTrans_sst|InventDimId~inventDimId@T.InventDim","Sum|CostAmount|0","","","","","","","ItemId|TransDate|T2.InventSiteId|T2.InventLocationId",$A84,PeriodEnding,$B84,$C84)</f>
        <v>0</v>
      </c>
      <c r="L84" s="4">
        <f>AtlasReport_4_Table_1[[#This Row],[TPP cost amount]]-AtlasReport_4_Table_1[[#This Row],[TPP trans backwards balance (Beginning)]]</f>
        <v>29.879709932274999</v>
      </c>
      <c r="M84" s="4">
        <f>AtlasReport_4_Table_1[[#This Row],[TPP cost amount]]-AtlasReport_4_Table_1[[#This Row],[TPP Balance (Beginning)]]</f>
        <v>-29.88</v>
      </c>
    </row>
    <row r="85" spans="1:13" x14ac:dyDescent="0.25">
      <c r="A85" s="8" t="s">
        <v>333</v>
      </c>
      <c r="B85" s="8" t="s">
        <v>261</v>
      </c>
      <c r="C85" s="8" t="s">
        <v>264</v>
      </c>
      <c r="D85" s="4">
        <v>0</v>
      </c>
      <c r="E85" s="4">
        <v>1.073375838E-3</v>
      </c>
      <c r="F85" s="4">
        <f>_xll.AtlasFormulas.AtlasFunctions.AtlasBalance("PROD",DataAreaId,"T.TPPTrans_sst|InventDimId~inventDimId@T.InventDim","Sum|Qty|0","","","","","","","ItemId|TransDate|T2.InventSiteId|T2.InventLocationId",$A85,PeriodBeginning,$B85,$C85)</f>
        <v>-1</v>
      </c>
      <c r="G85" s="4">
        <f>_xll.AtlasFormulas.AtlasFunctions.AtlasBalance("PROD",DataAreaId,"T.TPPTrans_sst|InventDimId~inventDimId@T.InventDim","Sum|Qty|0","","","","","","","ItemId|TransDate|T2.InventSiteId|T2.InventLocationId",$A85,PeriodEnding,$B85,$C85)</f>
        <v>0</v>
      </c>
      <c r="H85" s="4">
        <f>AtlasReport_4_Table_1[[#This Row],[Quantity]]-AtlasReport_4_Table_1[[#This Row],[TPP trans backwards (Beginning)]]</f>
        <v>1</v>
      </c>
      <c r="I85" s="4">
        <f>AtlasReport_4_Table_1[[#This Row],[Quantity]]-AtlasReport_4_Table_1[[#This Row],[TPP trans backwards (Ending)]]</f>
        <v>0</v>
      </c>
      <c r="J85" s="4">
        <f>_xll.AtlasFormulas.AtlasFunctions.AtlasBalance("PROD",DataAreaId,"T.TPPTrans_sst|InventDimId~inventDimId@T.InventDim","Sum|CostAmount|0","","","","","","","ItemId|TransDate|T2.InventSiteId|T2.InventLocationId",$A85,PeriodBeginning,$B85,$C85)</f>
        <v>-1.96</v>
      </c>
      <c r="K85" s="4">
        <f>_xll.AtlasFormulas.AtlasFunctions.AtlasBalance("PROD",DataAreaId,"T.TPPTrans_sst|InventDimId~inventDimId@T.InventDim","Sum|CostAmount|0","","","","","","","ItemId|TransDate|T2.InventSiteId|T2.InventLocationId",$A85,PeriodEnding,$B85,$C85)</f>
        <v>0</v>
      </c>
      <c r="L85" s="4">
        <f>AtlasReport_4_Table_1[[#This Row],[TPP cost amount]]-AtlasReport_4_Table_1[[#This Row],[TPP trans backwards balance (Beginning)]]</f>
        <v>1.9610733758379999</v>
      </c>
      <c r="M85" s="4">
        <f>AtlasReport_4_Table_1[[#This Row],[TPP cost amount]]-AtlasReport_4_Table_1[[#This Row],[TPP Balance (Beginning)]]</f>
        <v>-1.96</v>
      </c>
    </row>
    <row r="86" spans="1:13" x14ac:dyDescent="0.25">
      <c r="A86" s="8" t="s">
        <v>336</v>
      </c>
      <c r="B86" s="8" t="s">
        <v>261</v>
      </c>
      <c r="C86" s="8" t="s">
        <v>264</v>
      </c>
      <c r="D86" s="4">
        <v>12</v>
      </c>
      <c r="E86" s="4">
        <v>246.99619338373699</v>
      </c>
      <c r="F86" s="4">
        <f>_xll.AtlasFormulas.AtlasFunctions.AtlasBalance("PROD",DataAreaId,"T.TPPTrans_sst|InventDimId~inventDimId@T.InventDim","Sum|Qty|0","","","","","","","ItemId|TransDate|T2.InventSiteId|T2.InventLocationId",$A86,PeriodBeginning,$B86,$C86)</f>
        <v>0</v>
      </c>
      <c r="G86" s="4">
        <f>_xll.AtlasFormulas.AtlasFunctions.AtlasBalance("PROD",DataAreaId,"T.TPPTrans_sst|InventDimId~inventDimId@T.InventDim","Sum|Qty|0","","","","","","","ItemId|TransDate|T2.InventSiteId|T2.InventLocationId",$A86,PeriodEnding,$B86,$C86)</f>
        <v>0</v>
      </c>
      <c r="H86" s="4">
        <f>AtlasReport_4_Table_1[[#This Row],[Quantity]]-AtlasReport_4_Table_1[[#This Row],[TPP trans backwards (Beginning)]]</f>
        <v>12</v>
      </c>
      <c r="I86" s="4">
        <f>AtlasReport_4_Table_1[[#This Row],[Quantity]]-AtlasReport_4_Table_1[[#This Row],[TPP trans backwards (Ending)]]</f>
        <v>12</v>
      </c>
      <c r="J86" s="4">
        <f>_xll.AtlasFormulas.AtlasFunctions.AtlasBalance("PROD",DataAreaId,"T.TPPTrans_sst|InventDimId~inventDimId@T.InventDim","Sum|CostAmount|0","","","","","","","ItemId|TransDate|T2.InventSiteId|T2.InventLocationId",$A86,PeriodBeginning,$B86,$C86)</f>
        <v>0</v>
      </c>
      <c r="K86" s="4">
        <f>_xll.AtlasFormulas.AtlasFunctions.AtlasBalance("PROD",DataAreaId,"T.TPPTrans_sst|InventDimId~inventDimId@T.InventDim","Sum|CostAmount|0","","","","","","","ItemId|TransDate|T2.InventSiteId|T2.InventLocationId",$A86,PeriodEnding,$B86,$C86)</f>
        <v>0</v>
      </c>
      <c r="L86" s="4">
        <f>AtlasReport_4_Table_1[[#This Row],[TPP cost amount]]-AtlasReport_4_Table_1[[#This Row],[TPP trans backwards balance (Beginning)]]</f>
        <v>246.99619338373699</v>
      </c>
      <c r="M86" s="4">
        <f>AtlasReport_4_Table_1[[#This Row],[TPP cost amount]]-AtlasReport_4_Table_1[[#This Row],[TPP Balance (Beginning)]]</f>
        <v>0</v>
      </c>
    </row>
    <row r="87" spans="1:13" x14ac:dyDescent="0.25">
      <c r="A87" s="8" t="s">
        <v>339</v>
      </c>
      <c r="B87" s="8" t="s">
        <v>261</v>
      </c>
      <c r="C87" s="8" t="s">
        <v>264</v>
      </c>
      <c r="D87" s="4">
        <v>0</v>
      </c>
      <c r="E87" s="4">
        <v>0</v>
      </c>
      <c r="F87" s="4">
        <f>_xll.AtlasFormulas.AtlasFunctions.AtlasBalance("PROD",DataAreaId,"T.TPPTrans_sst|InventDimId~inventDimId@T.InventDim","Sum|Qty|0","","","","","","","ItemId|TransDate|T2.InventSiteId|T2.InventLocationId",$A87,PeriodBeginning,$B87,$C87)</f>
        <v>-1</v>
      </c>
      <c r="G87" s="4">
        <f>_xll.AtlasFormulas.AtlasFunctions.AtlasBalance("PROD",DataAreaId,"T.TPPTrans_sst|InventDimId~inventDimId@T.InventDim","Sum|Qty|0","","","","","","","ItemId|TransDate|T2.InventSiteId|T2.InventLocationId",$A87,PeriodEnding,$B87,$C87)</f>
        <v>0</v>
      </c>
      <c r="H87" s="4">
        <f>AtlasReport_4_Table_1[[#This Row],[Quantity]]-AtlasReport_4_Table_1[[#This Row],[TPP trans backwards (Beginning)]]</f>
        <v>1</v>
      </c>
      <c r="I87" s="4">
        <f>AtlasReport_4_Table_1[[#This Row],[Quantity]]-AtlasReport_4_Table_1[[#This Row],[TPP trans backwards (Ending)]]</f>
        <v>0</v>
      </c>
      <c r="J87" s="4">
        <f>_xll.AtlasFormulas.AtlasFunctions.AtlasBalance("PROD",DataAreaId,"T.TPPTrans_sst|InventDimId~inventDimId@T.InventDim","Sum|CostAmount|0","","","","","","","ItemId|TransDate|T2.InventSiteId|T2.InventLocationId",$A87,PeriodBeginning,$B87,$C87)</f>
        <v>-120.72</v>
      </c>
      <c r="K87" s="4">
        <f>_xll.AtlasFormulas.AtlasFunctions.AtlasBalance("PROD",DataAreaId,"T.TPPTrans_sst|InventDimId~inventDimId@T.InventDim","Sum|CostAmount|0","","","","","","","ItemId|TransDate|T2.InventSiteId|T2.InventLocationId",$A87,PeriodEnding,$B87,$C87)</f>
        <v>0</v>
      </c>
      <c r="L87" s="4">
        <f>AtlasReport_4_Table_1[[#This Row],[TPP cost amount]]-AtlasReport_4_Table_1[[#This Row],[TPP trans backwards balance (Beginning)]]</f>
        <v>120.72</v>
      </c>
      <c r="M87" s="4">
        <f>AtlasReport_4_Table_1[[#This Row],[TPP cost amount]]-AtlasReport_4_Table_1[[#This Row],[TPP Balance (Beginning)]]</f>
        <v>-120.72</v>
      </c>
    </row>
    <row r="88" spans="1:13" x14ac:dyDescent="0.25">
      <c r="A88" s="8" t="s">
        <v>341</v>
      </c>
      <c r="B88" s="8" t="s">
        <v>261</v>
      </c>
      <c r="C88" s="8" t="s">
        <v>264</v>
      </c>
      <c r="D88" s="4">
        <v>0</v>
      </c>
      <c r="E88" s="4">
        <v>3.3506788659999997E-3</v>
      </c>
      <c r="F88" s="4">
        <f>_xll.AtlasFormulas.AtlasFunctions.AtlasBalance("PROD",DataAreaId,"T.TPPTrans_sst|InventDimId~inventDimId@T.InventDim","Sum|Qty|0","","","","","","","ItemId|TransDate|T2.InventSiteId|T2.InventLocationId",$A88,PeriodBeginning,$B88,$C88)</f>
        <v>-6</v>
      </c>
      <c r="G88" s="4">
        <f>_xll.AtlasFormulas.AtlasFunctions.AtlasBalance("PROD",DataAreaId,"T.TPPTrans_sst|InventDimId~inventDimId@T.InventDim","Sum|Qty|0","","","","","","","ItemId|TransDate|T2.InventSiteId|T2.InventLocationId",$A88,PeriodEnding,$B88,$C88)</f>
        <v>0</v>
      </c>
      <c r="H88" s="4">
        <f>AtlasReport_4_Table_1[[#This Row],[Quantity]]-AtlasReport_4_Table_1[[#This Row],[TPP trans backwards (Beginning)]]</f>
        <v>6</v>
      </c>
      <c r="I88" s="4">
        <f>AtlasReport_4_Table_1[[#This Row],[Quantity]]-AtlasReport_4_Table_1[[#This Row],[TPP trans backwards (Ending)]]</f>
        <v>0</v>
      </c>
      <c r="J88" s="4">
        <f>_xll.AtlasFormulas.AtlasFunctions.AtlasBalance("PROD",DataAreaId,"T.TPPTrans_sst|InventDimId~inventDimId@T.InventDim","Sum|CostAmount|0","","","","","","","ItemId|TransDate|T2.InventSiteId|T2.InventLocationId",$A88,PeriodBeginning,$B88,$C88)</f>
        <v>-11.18</v>
      </c>
      <c r="K88" s="4">
        <f>_xll.AtlasFormulas.AtlasFunctions.AtlasBalance("PROD",DataAreaId,"T.TPPTrans_sst|InventDimId~inventDimId@T.InventDim","Sum|CostAmount|0","","","","","","","ItemId|TransDate|T2.InventSiteId|T2.InventLocationId",$A88,PeriodEnding,$B88,$C88)</f>
        <v>0</v>
      </c>
      <c r="L88" s="4">
        <f>AtlasReport_4_Table_1[[#This Row],[TPP cost amount]]-AtlasReport_4_Table_1[[#This Row],[TPP trans backwards balance (Beginning)]]</f>
        <v>11.183350678865999</v>
      </c>
      <c r="M88" s="4">
        <f>AtlasReport_4_Table_1[[#This Row],[TPP cost amount]]-AtlasReport_4_Table_1[[#This Row],[TPP Balance (Beginning)]]</f>
        <v>-11.18</v>
      </c>
    </row>
    <row r="89" spans="1:13" x14ac:dyDescent="0.25">
      <c r="A89" s="8" t="s">
        <v>342</v>
      </c>
      <c r="B89" s="8" t="s">
        <v>261</v>
      </c>
      <c r="C89" s="8" t="s">
        <v>264</v>
      </c>
      <c r="D89" s="4">
        <v>0</v>
      </c>
      <c r="E89" s="4">
        <v>-2.0012791269999998E-3</v>
      </c>
      <c r="F89" s="4">
        <f>_xll.AtlasFormulas.AtlasFunctions.AtlasBalance("PROD",DataAreaId,"T.TPPTrans_sst|InventDimId~inventDimId@T.InventDim","Sum|Qty|0","","","","","","","ItemId|TransDate|T2.InventSiteId|T2.InventLocationId",$A89,PeriodBeginning,$B89,$C89)</f>
        <v>-6</v>
      </c>
      <c r="G89" s="4">
        <f>_xll.AtlasFormulas.AtlasFunctions.AtlasBalance("PROD",DataAreaId,"T.TPPTrans_sst|InventDimId~inventDimId@T.InventDim","Sum|Qty|0","","","","","","","ItemId|TransDate|T2.InventSiteId|T2.InventLocationId",$A89,PeriodEnding,$B89,$C89)</f>
        <v>0</v>
      </c>
      <c r="H89" s="4">
        <f>AtlasReport_4_Table_1[[#This Row],[Quantity]]-AtlasReport_4_Table_1[[#This Row],[TPP trans backwards (Beginning)]]</f>
        <v>6</v>
      </c>
      <c r="I89" s="4">
        <f>AtlasReport_4_Table_1[[#This Row],[Quantity]]-AtlasReport_4_Table_1[[#This Row],[TPP trans backwards (Ending)]]</f>
        <v>0</v>
      </c>
      <c r="J89" s="4">
        <f>_xll.AtlasFormulas.AtlasFunctions.AtlasBalance("PROD",DataAreaId,"T.TPPTrans_sst|InventDimId~inventDimId@T.InventDim","Sum|CostAmount|0","","","","","","","ItemId|TransDate|T2.InventSiteId|T2.InventLocationId",$A89,PeriodBeginning,$B89,$C89)</f>
        <v>-129.34</v>
      </c>
      <c r="K89" s="4">
        <f>_xll.AtlasFormulas.AtlasFunctions.AtlasBalance("PROD",DataAreaId,"T.TPPTrans_sst|InventDimId~inventDimId@T.InventDim","Sum|CostAmount|0","","","","","","","ItemId|TransDate|T2.InventSiteId|T2.InventLocationId",$A89,PeriodEnding,$B89,$C89)</f>
        <v>0</v>
      </c>
      <c r="L89" s="4">
        <f>AtlasReport_4_Table_1[[#This Row],[TPP cost amount]]-AtlasReport_4_Table_1[[#This Row],[TPP trans backwards balance (Beginning)]]</f>
        <v>129.337998720873</v>
      </c>
      <c r="M89" s="4">
        <f>AtlasReport_4_Table_1[[#This Row],[TPP cost amount]]-AtlasReport_4_Table_1[[#This Row],[TPP Balance (Beginning)]]</f>
        <v>-129.34</v>
      </c>
    </row>
    <row r="90" spans="1:13" x14ac:dyDescent="0.25">
      <c r="A90" s="8" t="s">
        <v>345</v>
      </c>
      <c r="B90" s="8" t="s">
        <v>261</v>
      </c>
      <c r="C90" s="8" t="s">
        <v>264</v>
      </c>
      <c r="D90" s="4">
        <v>0</v>
      </c>
      <c r="E90" s="4">
        <v>-3.6615612310000002E-3</v>
      </c>
      <c r="F90" s="4">
        <f>_xll.AtlasFormulas.AtlasFunctions.AtlasBalance("PROD",DataAreaId,"T.TPPTrans_sst|InventDimId~inventDimId@T.InventDim","Sum|Qty|0","","","","","","","ItemId|TransDate|T2.InventSiteId|T2.InventLocationId",$A90,PeriodBeginning,$B90,$C90)</f>
        <v>-6</v>
      </c>
      <c r="G90" s="4">
        <f>_xll.AtlasFormulas.AtlasFunctions.AtlasBalance("PROD",DataAreaId,"T.TPPTrans_sst|InventDimId~inventDimId@T.InventDim","Sum|Qty|0","","","","","","","ItemId|TransDate|T2.InventSiteId|T2.InventLocationId",$A90,PeriodEnding,$B90,$C90)</f>
        <v>0</v>
      </c>
      <c r="H90" s="4">
        <f>AtlasReport_4_Table_1[[#This Row],[Quantity]]-AtlasReport_4_Table_1[[#This Row],[TPP trans backwards (Beginning)]]</f>
        <v>6</v>
      </c>
      <c r="I90" s="4">
        <f>AtlasReport_4_Table_1[[#This Row],[Quantity]]-AtlasReport_4_Table_1[[#This Row],[TPP trans backwards (Ending)]]</f>
        <v>0</v>
      </c>
      <c r="J90" s="4">
        <f>_xll.AtlasFormulas.AtlasFunctions.AtlasBalance("PROD",DataAreaId,"T.TPPTrans_sst|InventDimId~inventDimId@T.InventDim","Sum|CostAmount|0","","","","","","","ItemId|TransDate|T2.InventSiteId|T2.InventLocationId",$A90,PeriodBeginning,$B90,$C90)</f>
        <v>-5.27</v>
      </c>
      <c r="K90" s="4">
        <f>_xll.AtlasFormulas.AtlasFunctions.AtlasBalance("PROD",DataAreaId,"T.TPPTrans_sst|InventDimId~inventDimId@T.InventDim","Sum|CostAmount|0","","","","","","","ItemId|TransDate|T2.InventSiteId|T2.InventLocationId",$A90,PeriodEnding,$B90,$C90)</f>
        <v>0</v>
      </c>
      <c r="L90" s="4">
        <f>AtlasReport_4_Table_1[[#This Row],[TPP cost amount]]-AtlasReport_4_Table_1[[#This Row],[TPP trans backwards balance (Beginning)]]</f>
        <v>5.266338438769</v>
      </c>
      <c r="M90" s="4">
        <f>AtlasReport_4_Table_1[[#This Row],[TPP cost amount]]-AtlasReport_4_Table_1[[#This Row],[TPP Balance (Beginning)]]</f>
        <v>-5.27</v>
      </c>
    </row>
    <row r="91" spans="1:13" x14ac:dyDescent="0.25">
      <c r="A91" s="8" t="s">
        <v>346</v>
      </c>
      <c r="B91" s="8" t="s">
        <v>261</v>
      </c>
      <c r="C91" s="8" t="s">
        <v>264</v>
      </c>
      <c r="D91" s="4">
        <v>36</v>
      </c>
      <c r="E91" s="4">
        <v>0</v>
      </c>
      <c r="F91" s="4">
        <f>_xll.AtlasFormulas.AtlasFunctions.AtlasBalance("PROD",DataAreaId,"T.TPPTrans_sst|InventDimId~inventDimId@T.InventDim","Sum|Qty|0","","","","","","","ItemId|TransDate|T2.InventSiteId|T2.InventLocationId",$A91,PeriodBeginning,$B91,$C91)</f>
        <v>0</v>
      </c>
      <c r="G91" s="4">
        <f>_xll.AtlasFormulas.AtlasFunctions.AtlasBalance("PROD",DataAreaId,"T.TPPTrans_sst|InventDimId~inventDimId@T.InventDim","Sum|Qty|0","","","","","","","ItemId|TransDate|T2.InventSiteId|T2.InventLocationId",$A91,PeriodEnding,$B91,$C91)</f>
        <v>0</v>
      </c>
      <c r="H91" s="4">
        <f>AtlasReport_4_Table_1[[#This Row],[Quantity]]-AtlasReport_4_Table_1[[#This Row],[TPP trans backwards (Beginning)]]</f>
        <v>36</v>
      </c>
      <c r="I91" s="4">
        <f>AtlasReport_4_Table_1[[#This Row],[Quantity]]-AtlasReport_4_Table_1[[#This Row],[TPP trans backwards (Ending)]]</f>
        <v>36</v>
      </c>
      <c r="J91" s="4">
        <f>_xll.AtlasFormulas.AtlasFunctions.AtlasBalance("PROD",DataAreaId,"T.TPPTrans_sst|InventDimId~inventDimId@T.InventDim","Sum|CostAmount|0","","","","","","","ItemId|TransDate|T2.InventSiteId|T2.InventLocationId",$A91,PeriodBeginning,$B91,$C91)</f>
        <v>0</v>
      </c>
      <c r="K91" s="4">
        <f>_xll.AtlasFormulas.AtlasFunctions.AtlasBalance("PROD",DataAreaId,"T.TPPTrans_sst|InventDimId~inventDimId@T.InventDim","Sum|CostAmount|0","","","","","","","ItemId|TransDate|T2.InventSiteId|T2.InventLocationId",$A91,PeriodEnding,$B91,$C91)</f>
        <v>0</v>
      </c>
      <c r="L91" s="4">
        <f>AtlasReport_4_Table_1[[#This Row],[TPP cost amount]]-AtlasReport_4_Table_1[[#This Row],[TPP trans backwards balance (Beginning)]]</f>
        <v>0</v>
      </c>
      <c r="M91" s="4">
        <f>AtlasReport_4_Table_1[[#This Row],[TPP cost amount]]-AtlasReport_4_Table_1[[#This Row],[TPP Balance (Beginning)]]</f>
        <v>0</v>
      </c>
    </row>
    <row r="92" spans="1:13" x14ac:dyDescent="0.25">
      <c r="A92" s="8" t="s">
        <v>347</v>
      </c>
      <c r="B92" s="8" t="s">
        <v>261</v>
      </c>
      <c r="C92" s="8" t="s">
        <v>264</v>
      </c>
      <c r="D92" s="4">
        <v>4438</v>
      </c>
      <c r="E92" s="4">
        <v>0</v>
      </c>
      <c r="F92" s="4">
        <f>_xll.AtlasFormulas.AtlasFunctions.AtlasBalance("PROD",DataAreaId,"T.TPPTrans_sst|InventDimId~inventDimId@T.InventDim","Sum|Qty|0","","","","","","","ItemId|TransDate|T2.InventSiteId|T2.InventLocationId",$A92,PeriodBeginning,$B92,$C92)</f>
        <v>0</v>
      </c>
      <c r="G92" s="4">
        <f>_xll.AtlasFormulas.AtlasFunctions.AtlasBalance("PROD",DataAreaId,"T.TPPTrans_sst|InventDimId~inventDimId@T.InventDim","Sum|Qty|0","","","","","","","ItemId|TransDate|T2.InventSiteId|T2.InventLocationId",$A92,PeriodEnding,$B92,$C92)</f>
        <v>0</v>
      </c>
      <c r="H92" s="4">
        <f>AtlasReport_4_Table_1[[#This Row],[Quantity]]-AtlasReport_4_Table_1[[#This Row],[TPP trans backwards (Beginning)]]</f>
        <v>4438</v>
      </c>
      <c r="I92" s="4">
        <f>AtlasReport_4_Table_1[[#This Row],[Quantity]]-AtlasReport_4_Table_1[[#This Row],[TPP trans backwards (Ending)]]</f>
        <v>4438</v>
      </c>
      <c r="J92" s="4">
        <f>_xll.AtlasFormulas.AtlasFunctions.AtlasBalance("PROD",DataAreaId,"T.TPPTrans_sst|InventDimId~inventDimId@T.InventDim","Sum|CostAmount|0","","","","","","","ItemId|TransDate|T2.InventSiteId|T2.InventLocationId",$A92,PeriodBeginning,$B92,$C92)</f>
        <v>0</v>
      </c>
      <c r="K92" s="4">
        <f>_xll.AtlasFormulas.AtlasFunctions.AtlasBalance("PROD",DataAreaId,"T.TPPTrans_sst|InventDimId~inventDimId@T.InventDim","Sum|CostAmount|0","","","","","","","ItemId|TransDate|T2.InventSiteId|T2.InventLocationId",$A92,PeriodEnding,$B92,$C92)</f>
        <v>0</v>
      </c>
      <c r="L92" s="4">
        <f>AtlasReport_4_Table_1[[#This Row],[TPP cost amount]]-AtlasReport_4_Table_1[[#This Row],[TPP trans backwards balance (Beginning)]]</f>
        <v>0</v>
      </c>
      <c r="M92" s="4">
        <f>AtlasReport_4_Table_1[[#This Row],[TPP cost amount]]-AtlasReport_4_Table_1[[#This Row],[TPP Balance (Beginning)]]</f>
        <v>0</v>
      </c>
    </row>
    <row r="93" spans="1:13" x14ac:dyDescent="0.25">
      <c r="A93" s="8" t="s">
        <v>348</v>
      </c>
      <c r="B93" s="8" t="s">
        <v>261</v>
      </c>
      <c r="C93" s="8" t="s">
        <v>264</v>
      </c>
      <c r="D93" s="4">
        <v>932</v>
      </c>
      <c r="E93" s="4">
        <v>0</v>
      </c>
      <c r="F93" s="4">
        <f>_xll.AtlasFormulas.AtlasFunctions.AtlasBalance("PROD",DataAreaId,"T.TPPTrans_sst|InventDimId~inventDimId@T.InventDim","Sum|Qty|0","","","","","","","ItemId|TransDate|T2.InventSiteId|T2.InventLocationId",$A93,PeriodBeginning,$B93,$C93)</f>
        <v>0</v>
      </c>
      <c r="G93" s="4">
        <f>_xll.AtlasFormulas.AtlasFunctions.AtlasBalance("PROD",DataAreaId,"T.TPPTrans_sst|InventDimId~inventDimId@T.InventDim","Sum|Qty|0","","","","","","","ItemId|TransDate|T2.InventSiteId|T2.InventLocationId",$A93,PeriodEnding,$B93,$C93)</f>
        <v>0</v>
      </c>
      <c r="H93" s="4">
        <f>AtlasReport_4_Table_1[[#This Row],[Quantity]]-AtlasReport_4_Table_1[[#This Row],[TPP trans backwards (Beginning)]]</f>
        <v>932</v>
      </c>
      <c r="I93" s="4">
        <f>AtlasReport_4_Table_1[[#This Row],[Quantity]]-AtlasReport_4_Table_1[[#This Row],[TPP trans backwards (Ending)]]</f>
        <v>932</v>
      </c>
      <c r="J93" s="4">
        <f>_xll.AtlasFormulas.AtlasFunctions.AtlasBalance("PROD",DataAreaId,"T.TPPTrans_sst|InventDimId~inventDimId@T.InventDim","Sum|CostAmount|0","","","","","","","ItemId|TransDate|T2.InventSiteId|T2.InventLocationId",$A93,PeriodBeginning,$B93,$C93)</f>
        <v>0</v>
      </c>
      <c r="K93" s="4">
        <f>_xll.AtlasFormulas.AtlasFunctions.AtlasBalance("PROD",DataAreaId,"T.TPPTrans_sst|InventDimId~inventDimId@T.InventDim","Sum|CostAmount|0","","","","","","","ItemId|TransDate|T2.InventSiteId|T2.InventLocationId",$A93,PeriodEnding,$B93,$C93)</f>
        <v>0</v>
      </c>
      <c r="L93" s="4">
        <f>AtlasReport_4_Table_1[[#This Row],[TPP cost amount]]-AtlasReport_4_Table_1[[#This Row],[TPP trans backwards balance (Beginning)]]</f>
        <v>0</v>
      </c>
      <c r="M93" s="4">
        <f>AtlasReport_4_Table_1[[#This Row],[TPP cost amount]]-AtlasReport_4_Table_1[[#This Row],[TPP Balance (Beginning)]]</f>
        <v>0</v>
      </c>
    </row>
    <row r="94" spans="1:13" x14ac:dyDescent="0.25">
      <c r="A94" s="8" t="s">
        <v>349</v>
      </c>
      <c r="B94" s="8" t="s">
        <v>261</v>
      </c>
      <c r="C94" s="8" t="s">
        <v>264</v>
      </c>
      <c r="D94" s="4">
        <v>940</v>
      </c>
      <c r="E94" s="4">
        <v>0</v>
      </c>
      <c r="F94" s="4">
        <f>_xll.AtlasFormulas.AtlasFunctions.AtlasBalance("PROD",DataAreaId,"T.TPPTrans_sst|InventDimId~inventDimId@T.InventDim","Sum|Qty|0","","","","","","","ItemId|TransDate|T2.InventSiteId|T2.InventLocationId",$A94,PeriodBeginning,$B94,$C94)</f>
        <v>0</v>
      </c>
      <c r="G94" s="4">
        <f>_xll.AtlasFormulas.AtlasFunctions.AtlasBalance("PROD",DataAreaId,"T.TPPTrans_sst|InventDimId~inventDimId@T.InventDim","Sum|Qty|0","","","","","","","ItemId|TransDate|T2.InventSiteId|T2.InventLocationId",$A94,PeriodEnding,$B94,$C94)</f>
        <v>0</v>
      </c>
      <c r="H94" s="4">
        <f>AtlasReport_4_Table_1[[#This Row],[Quantity]]-AtlasReport_4_Table_1[[#This Row],[TPP trans backwards (Beginning)]]</f>
        <v>940</v>
      </c>
      <c r="I94" s="4">
        <f>AtlasReport_4_Table_1[[#This Row],[Quantity]]-AtlasReport_4_Table_1[[#This Row],[TPP trans backwards (Ending)]]</f>
        <v>940</v>
      </c>
      <c r="J94" s="4">
        <f>_xll.AtlasFormulas.AtlasFunctions.AtlasBalance("PROD",DataAreaId,"T.TPPTrans_sst|InventDimId~inventDimId@T.InventDim","Sum|CostAmount|0","","","","","","","ItemId|TransDate|T2.InventSiteId|T2.InventLocationId",$A94,PeriodBeginning,$B94,$C94)</f>
        <v>0</v>
      </c>
      <c r="K94" s="4">
        <f>_xll.AtlasFormulas.AtlasFunctions.AtlasBalance("PROD",DataAreaId,"T.TPPTrans_sst|InventDimId~inventDimId@T.InventDim","Sum|CostAmount|0","","","","","","","ItemId|TransDate|T2.InventSiteId|T2.InventLocationId",$A94,PeriodEnding,$B94,$C94)</f>
        <v>0</v>
      </c>
      <c r="L94" s="4">
        <f>AtlasReport_4_Table_1[[#This Row],[TPP cost amount]]-AtlasReport_4_Table_1[[#This Row],[TPP trans backwards balance (Beginning)]]</f>
        <v>0</v>
      </c>
      <c r="M94" s="4">
        <f>AtlasReport_4_Table_1[[#This Row],[TPP cost amount]]-AtlasReport_4_Table_1[[#This Row],[TPP Balance (Beginning)]]</f>
        <v>0</v>
      </c>
    </row>
    <row r="95" spans="1:13" x14ac:dyDescent="0.25">
      <c r="A95" s="8" t="s">
        <v>350</v>
      </c>
      <c r="B95" s="8" t="s">
        <v>261</v>
      </c>
      <c r="C95" s="8" t="s">
        <v>264</v>
      </c>
      <c r="D95" s="4">
        <v>92</v>
      </c>
      <c r="E95" s="4">
        <v>0</v>
      </c>
      <c r="F95" s="4">
        <f>_xll.AtlasFormulas.AtlasFunctions.AtlasBalance("PROD",DataAreaId,"T.TPPTrans_sst|InventDimId~inventDimId@T.InventDim","Sum|Qty|0","","","","","","","ItemId|TransDate|T2.InventSiteId|T2.InventLocationId",$A95,PeriodBeginning,$B95,$C95)</f>
        <v>0</v>
      </c>
      <c r="G95" s="4">
        <f>_xll.AtlasFormulas.AtlasFunctions.AtlasBalance("PROD",DataAreaId,"T.TPPTrans_sst|InventDimId~inventDimId@T.InventDim","Sum|Qty|0","","","","","","","ItemId|TransDate|T2.InventSiteId|T2.InventLocationId",$A95,PeriodEnding,$B95,$C95)</f>
        <v>0</v>
      </c>
      <c r="H95" s="4">
        <f>AtlasReport_4_Table_1[[#This Row],[Quantity]]-AtlasReport_4_Table_1[[#This Row],[TPP trans backwards (Beginning)]]</f>
        <v>92</v>
      </c>
      <c r="I95" s="4">
        <f>AtlasReport_4_Table_1[[#This Row],[Quantity]]-AtlasReport_4_Table_1[[#This Row],[TPP trans backwards (Ending)]]</f>
        <v>92</v>
      </c>
      <c r="J95" s="4">
        <f>_xll.AtlasFormulas.AtlasFunctions.AtlasBalance("PROD",DataAreaId,"T.TPPTrans_sst|InventDimId~inventDimId@T.InventDim","Sum|CostAmount|0","","","","","","","ItemId|TransDate|T2.InventSiteId|T2.InventLocationId",$A95,PeriodBeginning,$B95,$C95)</f>
        <v>0</v>
      </c>
      <c r="K95" s="4">
        <f>_xll.AtlasFormulas.AtlasFunctions.AtlasBalance("PROD",DataAreaId,"T.TPPTrans_sst|InventDimId~inventDimId@T.InventDim","Sum|CostAmount|0","","","","","","","ItemId|TransDate|T2.InventSiteId|T2.InventLocationId",$A95,PeriodEnding,$B95,$C95)</f>
        <v>0</v>
      </c>
      <c r="L95" s="4">
        <f>AtlasReport_4_Table_1[[#This Row],[TPP cost amount]]-AtlasReport_4_Table_1[[#This Row],[TPP trans backwards balance (Beginning)]]</f>
        <v>0</v>
      </c>
      <c r="M95" s="4">
        <f>AtlasReport_4_Table_1[[#This Row],[TPP cost amount]]-AtlasReport_4_Table_1[[#This Row],[TPP Balance (Beginning)]]</f>
        <v>0</v>
      </c>
    </row>
    <row r="96" spans="1:13" x14ac:dyDescent="0.25">
      <c r="A96" s="8" t="s">
        <v>351</v>
      </c>
      <c r="B96" s="8" t="s">
        <v>261</v>
      </c>
      <c r="C96" s="8" t="s">
        <v>264</v>
      </c>
      <c r="D96" s="4">
        <v>2300</v>
      </c>
      <c r="E96" s="4">
        <v>0</v>
      </c>
      <c r="F96" s="4">
        <f>_xll.AtlasFormulas.AtlasFunctions.AtlasBalance("PROD",DataAreaId,"T.TPPTrans_sst|InventDimId~inventDimId@T.InventDim","Sum|Qty|0","","","","","","","ItemId|TransDate|T2.InventSiteId|T2.InventLocationId",$A96,PeriodBeginning,$B96,$C96)</f>
        <v>0</v>
      </c>
      <c r="G96" s="4">
        <f>_xll.AtlasFormulas.AtlasFunctions.AtlasBalance("PROD",DataAreaId,"T.TPPTrans_sst|InventDimId~inventDimId@T.InventDim","Sum|Qty|0","","","","","","","ItemId|TransDate|T2.InventSiteId|T2.InventLocationId",$A96,PeriodEnding,$B96,$C96)</f>
        <v>0</v>
      </c>
      <c r="H96" s="4">
        <f>AtlasReport_4_Table_1[[#This Row],[Quantity]]-AtlasReport_4_Table_1[[#This Row],[TPP trans backwards (Beginning)]]</f>
        <v>2300</v>
      </c>
      <c r="I96" s="4">
        <f>AtlasReport_4_Table_1[[#This Row],[Quantity]]-AtlasReport_4_Table_1[[#This Row],[TPP trans backwards (Ending)]]</f>
        <v>2300</v>
      </c>
      <c r="J96" s="4">
        <f>_xll.AtlasFormulas.AtlasFunctions.AtlasBalance("PROD",DataAreaId,"T.TPPTrans_sst|InventDimId~inventDimId@T.InventDim","Sum|CostAmount|0","","","","","","","ItemId|TransDate|T2.InventSiteId|T2.InventLocationId",$A96,PeriodBeginning,$B96,$C96)</f>
        <v>0</v>
      </c>
      <c r="K96" s="4">
        <f>_xll.AtlasFormulas.AtlasFunctions.AtlasBalance("PROD",DataAreaId,"T.TPPTrans_sst|InventDimId~inventDimId@T.InventDim","Sum|CostAmount|0","","","","","","","ItemId|TransDate|T2.InventSiteId|T2.InventLocationId",$A96,PeriodEnding,$B96,$C96)</f>
        <v>0</v>
      </c>
      <c r="L96" s="4">
        <f>AtlasReport_4_Table_1[[#This Row],[TPP cost amount]]-AtlasReport_4_Table_1[[#This Row],[TPP trans backwards balance (Beginning)]]</f>
        <v>0</v>
      </c>
      <c r="M96" s="4">
        <f>AtlasReport_4_Table_1[[#This Row],[TPP cost amount]]-AtlasReport_4_Table_1[[#This Row],[TPP Balance (Beginning)]]</f>
        <v>0</v>
      </c>
    </row>
    <row r="97" spans="1:13" x14ac:dyDescent="0.25">
      <c r="A97" s="8" t="s">
        <v>353</v>
      </c>
      <c r="B97" s="8" t="s">
        <v>261</v>
      </c>
      <c r="C97" s="8" t="s">
        <v>264</v>
      </c>
      <c r="D97" s="4">
        <v>220</v>
      </c>
      <c r="E97" s="4">
        <v>0</v>
      </c>
      <c r="F97" s="4">
        <f>_xll.AtlasFormulas.AtlasFunctions.AtlasBalance("PROD",DataAreaId,"T.TPPTrans_sst|InventDimId~inventDimId@T.InventDim","Sum|Qty|0","","","","","","","ItemId|TransDate|T2.InventSiteId|T2.InventLocationId",$A97,PeriodBeginning,$B97,$C97)</f>
        <v>0</v>
      </c>
      <c r="G97" s="4">
        <f>_xll.AtlasFormulas.AtlasFunctions.AtlasBalance("PROD",DataAreaId,"T.TPPTrans_sst|InventDimId~inventDimId@T.InventDim","Sum|Qty|0","","","","","","","ItemId|TransDate|T2.InventSiteId|T2.InventLocationId",$A97,PeriodEnding,$B97,$C97)</f>
        <v>0</v>
      </c>
      <c r="H97" s="4">
        <f>AtlasReport_4_Table_1[[#This Row],[Quantity]]-AtlasReport_4_Table_1[[#This Row],[TPP trans backwards (Beginning)]]</f>
        <v>220</v>
      </c>
      <c r="I97" s="4">
        <f>AtlasReport_4_Table_1[[#This Row],[Quantity]]-AtlasReport_4_Table_1[[#This Row],[TPP trans backwards (Ending)]]</f>
        <v>220</v>
      </c>
      <c r="J97" s="4">
        <f>_xll.AtlasFormulas.AtlasFunctions.AtlasBalance("PROD",DataAreaId,"T.TPPTrans_sst|InventDimId~inventDimId@T.InventDim","Sum|CostAmount|0","","","","","","","ItemId|TransDate|T2.InventSiteId|T2.InventLocationId",$A97,PeriodBeginning,$B97,$C97)</f>
        <v>0</v>
      </c>
      <c r="K97" s="4">
        <f>_xll.AtlasFormulas.AtlasFunctions.AtlasBalance("PROD",DataAreaId,"T.TPPTrans_sst|InventDimId~inventDimId@T.InventDim","Sum|CostAmount|0","","","","","","","ItemId|TransDate|T2.InventSiteId|T2.InventLocationId",$A97,PeriodEnding,$B97,$C97)</f>
        <v>0</v>
      </c>
      <c r="L97" s="4">
        <f>AtlasReport_4_Table_1[[#This Row],[TPP cost amount]]-AtlasReport_4_Table_1[[#This Row],[TPP trans backwards balance (Beginning)]]</f>
        <v>0</v>
      </c>
      <c r="M97" s="4">
        <f>AtlasReport_4_Table_1[[#This Row],[TPP cost amount]]-AtlasReport_4_Table_1[[#This Row],[TPP Balance (Beginning)]]</f>
        <v>0</v>
      </c>
    </row>
    <row r="98" spans="1:13" x14ac:dyDescent="0.25">
      <c r="A98" s="8" t="s">
        <v>354</v>
      </c>
      <c r="B98" s="8" t="s">
        <v>261</v>
      </c>
      <c r="C98" s="8" t="s">
        <v>264</v>
      </c>
      <c r="D98" s="4">
        <v>140</v>
      </c>
      <c r="E98" s="4">
        <v>0</v>
      </c>
      <c r="F98" s="4">
        <f>_xll.AtlasFormulas.AtlasFunctions.AtlasBalance("PROD",DataAreaId,"T.TPPTrans_sst|InventDimId~inventDimId@T.InventDim","Sum|Qty|0","","","","","","","ItemId|TransDate|T2.InventSiteId|T2.InventLocationId",$A98,PeriodBeginning,$B98,$C98)</f>
        <v>0</v>
      </c>
      <c r="G98" s="4">
        <f>_xll.AtlasFormulas.AtlasFunctions.AtlasBalance("PROD",DataAreaId,"T.TPPTrans_sst|InventDimId~inventDimId@T.InventDim","Sum|Qty|0","","","","","","","ItemId|TransDate|T2.InventSiteId|T2.InventLocationId",$A98,PeriodEnding,$B98,$C98)</f>
        <v>0</v>
      </c>
      <c r="H98" s="4">
        <f>AtlasReport_4_Table_1[[#This Row],[Quantity]]-AtlasReport_4_Table_1[[#This Row],[TPP trans backwards (Beginning)]]</f>
        <v>140</v>
      </c>
      <c r="I98" s="4">
        <f>AtlasReport_4_Table_1[[#This Row],[Quantity]]-AtlasReport_4_Table_1[[#This Row],[TPP trans backwards (Ending)]]</f>
        <v>140</v>
      </c>
      <c r="J98" s="4">
        <f>_xll.AtlasFormulas.AtlasFunctions.AtlasBalance("PROD",DataAreaId,"T.TPPTrans_sst|InventDimId~inventDimId@T.InventDim","Sum|CostAmount|0","","","","","","","ItemId|TransDate|T2.InventSiteId|T2.InventLocationId",$A98,PeriodBeginning,$B98,$C98)</f>
        <v>0</v>
      </c>
      <c r="K98" s="4">
        <f>_xll.AtlasFormulas.AtlasFunctions.AtlasBalance("PROD",DataAreaId,"T.TPPTrans_sst|InventDimId~inventDimId@T.InventDim","Sum|CostAmount|0","","","","","","","ItemId|TransDate|T2.InventSiteId|T2.InventLocationId",$A98,PeriodEnding,$B98,$C98)</f>
        <v>0</v>
      </c>
      <c r="L98" s="4">
        <f>AtlasReport_4_Table_1[[#This Row],[TPP cost amount]]-AtlasReport_4_Table_1[[#This Row],[TPP trans backwards balance (Beginning)]]</f>
        <v>0</v>
      </c>
      <c r="M98" s="4">
        <f>AtlasReport_4_Table_1[[#This Row],[TPP cost amount]]-AtlasReport_4_Table_1[[#This Row],[TPP Balance (Beginning)]]</f>
        <v>0</v>
      </c>
    </row>
    <row r="99" spans="1:13" x14ac:dyDescent="0.25">
      <c r="A99" s="8" t="s">
        <v>355</v>
      </c>
      <c r="B99" s="8" t="s">
        <v>261</v>
      </c>
      <c r="C99" s="8" t="s">
        <v>264</v>
      </c>
      <c r="D99" s="4">
        <v>50</v>
      </c>
      <c r="E99" s="4">
        <v>0</v>
      </c>
      <c r="F99" s="4">
        <f>_xll.AtlasFormulas.AtlasFunctions.AtlasBalance("PROD",DataAreaId,"T.TPPTrans_sst|InventDimId~inventDimId@T.InventDim","Sum|Qty|0","","","","","","","ItemId|TransDate|T2.InventSiteId|T2.InventLocationId",$A99,PeriodBeginning,$B99,$C99)</f>
        <v>0</v>
      </c>
      <c r="G99" s="4">
        <f>_xll.AtlasFormulas.AtlasFunctions.AtlasBalance("PROD",DataAreaId,"T.TPPTrans_sst|InventDimId~inventDimId@T.InventDim","Sum|Qty|0","","","","","","","ItemId|TransDate|T2.InventSiteId|T2.InventLocationId",$A99,PeriodEnding,$B99,$C99)</f>
        <v>0</v>
      </c>
      <c r="H99" s="4">
        <f>AtlasReport_4_Table_1[[#This Row],[Quantity]]-AtlasReport_4_Table_1[[#This Row],[TPP trans backwards (Beginning)]]</f>
        <v>50</v>
      </c>
      <c r="I99" s="4">
        <f>AtlasReport_4_Table_1[[#This Row],[Quantity]]-AtlasReport_4_Table_1[[#This Row],[TPP trans backwards (Ending)]]</f>
        <v>50</v>
      </c>
      <c r="J99" s="4">
        <f>_xll.AtlasFormulas.AtlasFunctions.AtlasBalance("PROD",DataAreaId,"T.TPPTrans_sst|InventDimId~inventDimId@T.InventDim","Sum|CostAmount|0","","","","","","","ItemId|TransDate|T2.InventSiteId|T2.InventLocationId",$A99,PeriodBeginning,$B99,$C99)</f>
        <v>0</v>
      </c>
      <c r="K99" s="4">
        <f>_xll.AtlasFormulas.AtlasFunctions.AtlasBalance("PROD",DataAreaId,"T.TPPTrans_sst|InventDimId~inventDimId@T.InventDim","Sum|CostAmount|0","","","","","","","ItemId|TransDate|T2.InventSiteId|T2.InventLocationId",$A99,PeriodEnding,$B99,$C99)</f>
        <v>0</v>
      </c>
      <c r="L99" s="4">
        <f>AtlasReport_4_Table_1[[#This Row],[TPP cost amount]]-AtlasReport_4_Table_1[[#This Row],[TPP trans backwards balance (Beginning)]]</f>
        <v>0</v>
      </c>
      <c r="M99" s="4">
        <f>AtlasReport_4_Table_1[[#This Row],[TPP cost amount]]-AtlasReport_4_Table_1[[#This Row],[TPP Balance (Beginning)]]</f>
        <v>0</v>
      </c>
    </row>
    <row r="100" spans="1:13" x14ac:dyDescent="0.25">
      <c r="A100" s="8" t="s">
        <v>358</v>
      </c>
      <c r="B100" s="8" t="s">
        <v>261</v>
      </c>
      <c r="C100" s="8" t="s">
        <v>264</v>
      </c>
      <c r="D100" s="4">
        <v>31071.599999999999</v>
      </c>
      <c r="E100" s="4">
        <v>0</v>
      </c>
      <c r="F100" s="4">
        <f>_xll.AtlasFormulas.AtlasFunctions.AtlasBalance("PROD",DataAreaId,"T.TPPTrans_sst|InventDimId~inventDimId@T.InventDim","Sum|Qty|0","","","","","","","ItemId|TransDate|T2.InventSiteId|T2.InventLocationId",$A100,PeriodBeginning,$B100,$C100)</f>
        <v>0</v>
      </c>
      <c r="G100" s="4">
        <f>_xll.AtlasFormulas.AtlasFunctions.AtlasBalance("PROD",DataAreaId,"T.TPPTrans_sst|InventDimId~inventDimId@T.InventDim","Sum|Qty|0","","","","","","","ItemId|TransDate|T2.InventSiteId|T2.InventLocationId",$A100,PeriodEnding,$B100,$C100)</f>
        <v>0</v>
      </c>
      <c r="H100" s="4">
        <f>AtlasReport_4_Table_1[[#This Row],[Quantity]]-AtlasReport_4_Table_1[[#This Row],[TPP trans backwards (Beginning)]]</f>
        <v>31071.599999999999</v>
      </c>
      <c r="I100" s="4">
        <f>AtlasReport_4_Table_1[[#This Row],[Quantity]]-AtlasReport_4_Table_1[[#This Row],[TPP trans backwards (Ending)]]</f>
        <v>31071.599999999999</v>
      </c>
      <c r="J100" s="4">
        <f>_xll.AtlasFormulas.AtlasFunctions.AtlasBalance("PROD",DataAreaId,"T.TPPTrans_sst|InventDimId~inventDimId@T.InventDim","Sum|CostAmount|0","","","","","","","ItemId|TransDate|T2.InventSiteId|T2.InventLocationId",$A100,PeriodBeginning,$B100,$C100)</f>
        <v>0</v>
      </c>
      <c r="K100" s="4">
        <f>_xll.AtlasFormulas.AtlasFunctions.AtlasBalance("PROD",DataAreaId,"T.TPPTrans_sst|InventDimId~inventDimId@T.InventDim","Sum|CostAmount|0","","","","","","","ItemId|TransDate|T2.InventSiteId|T2.InventLocationId",$A100,PeriodEnding,$B100,$C100)</f>
        <v>0</v>
      </c>
      <c r="L100" s="4">
        <f>AtlasReport_4_Table_1[[#This Row],[TPP cost amount]]-AtlasReport_4_Table_1[[#This Row],[TPP trans backwards balance (Beginning)]]</f>
        <v>0</v>
      </c>
      <c r="M100" s="4">
        <f>AtlasReport_4_Table_1[[#This Row],[TPP cost amount]]-AtlasReport_4_Table_1[[#This Row],[TPP Balance (Beginning)]]</f>
        <v>0</v>
      </c>
    </row>
    <row r="101" spans="1:13" x14ac:dyDescent="0.25">
      <c r="A101" s="8" t="s">
        <v>359</v>
      </c>
      <c r="B101" s="8" t="s">
        <v>261</v>
      </c>
      <c r="C101" s="8" t="s">
        <v>264</v>
      </c>
      <c r="D101" s="4">
        <v>0</v>
      </c>
      <c r="E101" s="4">
        <v>0</v>
      </c>
      <c r="F101" s="4">
        <f>_xll.AtlasFormulas.AtlasFunctions.AtlasBalance("PROD",DataAreaId,"T.TPPTrans_sst|InventDimId~inventDimId@T.InventDim","Sum|Qty|0","","","","","","","ItemId|TransDate|T2.InventSiteId|T2.InventLocationId",$A101,PeriodBeginning,$B101,$C101)</f>
        <v>0</v>
      </c>
      <c r="G101" s="4">
        <f>_xll.AtlasFormulas.AtlasFunctions.AtlasBalance("PROD",DataAreaId,"T.TPPTrans_sst|InventDimId~inventDimId@T.InventDim","Sum|Qty|0","","","","","","","ItemId|TransDate|T2.InventSiteId|T2.InventLocationId",$A101,PeriodEnding,$B101,$C101)</f>
        <v>0</v>
      </c>
      <c r="H101" s="4">
        <f>AtlasReport_4_Table_1[[#This Row],[Quantity]]-AtlasReport_4_Table_1[[#This Row],[TPP trans backwards (Beginning)]]</f>
        <v>0</v>
      </c>
      <c r="I101" s="4">
        <f>AtlasReport_4_Table_1[[#This Row],[Quantity]]-AtlasReport_4_Table_1[[#This Row],[TPP trans backwards (Ending)]]</f>
        <v>0</v>
      </c>
      <c r="J101" s="4">
        <f>_xll.AtlasFormulas.AtlasFunctions.AtlasBalance("PROD",DataAreaId,"T.TPPTrans_sst|InventDimId~inventDimId@T.InventDim","Sum|CostAmount|0","","","","","","","ItemId|TransDate|T2.InventSiteId|T2.InventLocationId",$A101,PeriodBeginning,$B101,$C101)</f>
        <v>0</v>
      </c>
      <c r="K101" s="4">
        <f>_xll.AtlasFormulas.AtlasFunctions.AtlasBalance("PROD",DataAreaId,"T.TPPTrans_sst|InventDimId~inventDimId@T.InventDim","Sum|CostAmount|0","","","","","","","ItemId|TransDate|T2.InventSiteId|T2.InventLocationId",$A101,PeriodEnding,$B101,$C101)</f>
        <v>0</v>
      </c>
      <c r="L101" s="4">
        <f>AtlasReport_4_Table_1[[#This Row],[TPP cost amount]]-AtlasReport_4_Table_1[[#This Row],[TPP trans backwards balance (Beginning)]]</f>
        <v>0</v>
      </c>
      <c r="M101" s="4">
        <f>AtlasReport_4_Table_1[[#This Row],[TPP cost amount]]-AtlasReport_4_Table_1[[#This Row],[TPP Balance (Beginning)]]</f>
        <v>0</v>
      </c>
    </row>
    <row r="102" spans="1:13" x14ac:dyDescent="0.25">
      <c r="A102" s="8" t="s">
        <v>360</v>
      </c>
      <c r="B102" s="8" t="s">
        <v>261</v>
      </c>
      <c r="C102" s="8" t="s">
        <v>264</v>
      </c>
      <c r="D102" s="4">
        <v>0</v>
      </c>
      <c r="E102" s="4">
        <v>0</v>
      </c>
      <c r="F102" s="4">
        <f>_xll.AtlasFormulas.AtlasFunctions.AtlasBalance("PROD",DataAreaId,"T.TPPTrans_sst|InventDimId~inventDimId@T.InventDim","Sum|Qty|0","","","","","","","ItemId|TransDate|T2.InventSiteId|T2.InventLocationId",$A102,PeriodBeginning,$B102,$C102)</f>
        <v>0</v>
      </c>
      <c r="G102" s="4">
        <f>_xll.AtlasFormulas.AtlasFunctions.AtlasBalance("PROD",DataAreaId,"T.TPPTrans_sst|InventDimId~inventDimId@T.InventDim","Sum|Qty|0","","","","","","","ItemId|TransDate|T2.InventSiteId|T2.InventLocationId",$A102,PeriodEnding,$B102,$C102)</f>
        <v>0</v>
      </c>
      <c r="H102" s="4">
        <f>AtlasReport_4_Table_1[[#This Row],[Quantity]]-AtlasReport_4_Table_1[[#This Row],[TPP trans backwards (Beginning)]]</f>
        <v>0</v>
      </c>
      <c r="I102" s="4">
        <f>AtlasReport_4_Table_1[[#This Row],[Quantity]]-AtlasReport_4_Table_1[[#This Row],[TPP trans backwards (Ending)]]</f>
        <v>0</v>
      </c>
      <c r="J102" s="4">
        <f>_xll.AtlasFormulas.AtlasFunctions.AtlasBalance("PROD",DataAreaId,"T.TPPTrans_sst|InventDimId~inventDimId@T.InventDim","Sum|CostAmount|0","","","","","","","ItemId|TransDate|T2.InventSiteId|T2.InventLocationId",$A102,PeriodBeginning,$B102,$C102)</f>
        <v>0</v>
      </c>
      <c r="K102" s="4">
        <f>_xll.AtlasFormulas.AtlasFunctions.AtlasBalance("PROD",DataAreaId,"T.TPPTrans_sst|InventDimId~inventDimId@T.InventDim","Sum|CostAmount|0","","","","","","","ItemId|TransDate|T2.InventSiteId|T2.InventLocationId",$A102,PeriodEnding,$B102,$C102)</f>
        <v>0</v>
      </c>
      <c r="L102" s="4">
        <f>AtlasReport_4_Table_1[[#This Row],[TPP cost amount]]-AtlasReport_4_Table_1[[#This Row],[TPP trans backwards balance (Beginning)]]</f>
        <v>0</v>
      </c>
      <c r="M102" s="4">
        <f>AtlasReport_4_Table_1[[#This Row],[TPP cost amount]]-AtlasReport_4_Table_1[[#This Row],[TPP Balance (Beginning)]]</f>
        <v>0</v>
      </c>
    </row>
    <row r="103" spans="1:13" x14ac:dyDescent="0.25">
      <c r="A103" s="8" t="s">
        <v>361</v>
      </c>
      <c r="B103" s="8" t="s">
        <v>261</v>
      </c>
      <c r="C103" s="8" t="s">
        <v>264</v>
      </c>
      <c r="D103" s="4">
        <v>0</v>
      </c>
      <c r="E103" s="4">
        <v>0</v>
      </c>
      <c r="F103" s="4">
        <f>_xll.AtlasFormulas.AtlasFunctions.AtlasBalance("PROD",DataAreaId,"T.TPPTrans_sst|InventDimId~inventDimId@T.InventDim","Sum|Qty|0","","","","","","","ItemId|TransDate|T2.InventSiteId|T2.InventLocationId",$A103,PeriodBeginning,$B103,$C103)</f>
        <v>0</v>
      </c>
      <c r="G103" s="4">
        <f>_xll.AtlasFormulas.AtlasFunctions.AtlasBalance("PROD",DataAreaId,"T.TPPTrans_sst|InventDimId~inventDimId@T.InventDim","Sum|Qty|0","","","","","","","ItemId|TransDate|T2.InventSiteId|T2.InventLocationId",$A103,PeriodEnding,$B103,$C103)</f>
        <v>0</v>
      </c>
      <c r="H103" s="4">
        <f>AtlasReport_4_Table_1[[#This Row],[Quantity]]-AtlasReport_4_Table_1[[#This Row],[TPP trans backwards (Beginning)]]</f>
        <v>0</v>
      </c>
      <c r="I103" s="4">
        <f>AtlasReport_4_Table_1[[#This Row],[Quantity]]-AtlasReport_4_Table_1[[#This Row],[TPP trans backwards (Ending)]]</f>
        <v>0</v>
      </c>
      <c r="J103" s="4">
        <f>_xll.AtlasFormulas.AtlasFunctions.AtlasBalance("PROD",DataAreaId,"T.TPPTrans_sst|InventDimId~inventDimId@T.InventDim","Sum|CostAmount|0","","","","","","","ItemId|TransDate|T2.InventSiteId|T2.InventLocationId",$A103,PeriodBeginning,$B103,$C103)</f>
        <v>0</v>
      </c>
      <c r="K103" s="4">
        <f>_xll.AtlasFormulas.AtlasFunctions.AtlasBalance("PROD",DataAreaId,"T.TPPTrans_sst|InventDimId~inventDimId@T.InventDim","Sum|CostAmount|0","","","","","","","ItemId|TransDate|T2.InventSiteId|T2.InventLocationId",$A103,PeriodEnding,$B103,$C103)</f>
        <v>0</v>
      </c>
      <c r="L103" s="4">
        <f>AtlasReport_4_Table_1[[#This Row],[TPP cost amount]]-AtlasReport_4_Table_1[[#This Row],[TPP trans backwards balance (Beginning)]]</f>
        <v>0</v>
      </c>
      <c r="M103" s="4">
        <f>AtlasReport_4_Table_1[[#This Row],[TPP cost amount]]-AtlasReport_4_Table_1[[#This Row],[TPP Balance (Beginning)]]</f>
        <v>0</v>
      </c>
    </row>
    <row r="104" spans="1:13" x14ac:dyDescent="0.25">
      <c r="A104" s="8" t="s">
        <v>362</v>
      </c>
      <c r="B104" s="8" t="s">
        <v>261</v>
      </c>
      <c r="C104" s="8" t="s">
        <v>264</v>
      </c>
      <c r="D104" s="4">
        <v>0</v>
      </c>
      <c r="E104" s="4">
        <v>0</v>
      </c>
      <c r="F104" s="4">
        <f>_xll.AtlasFormulas.AtlasFunctions.AtlasBalance("PROD",DataAreaId,"T.TPPTrans_sst|InventDimId~inventDimId@T.InventDim","Sum|Qty|0","","","","","","","ItemId|TransDate|T2.InventSiteId|T2.InventLocationId",$A104,PeriodBeginning,$B104,$C104)</f>
        <v>0</v>
      </c>
      <c r="G104" s="4">
        <f>_xll.AtlasFormulas.AtlasFunctions.AtlasBalance("PROD",DataAreaId,"T.TPPTrans_sst|InventDimId~inventDimId@T.InventDim","Sum|Qty|0","","","","","","","ItemId|TransDate|T2.InventSiteId|T2.InventLocationId",$A104,PeriodEnding,$B104,$C104)</f>
        <v>0</v>
      </c>
      <c r="H104" s="4">
        <f>AtlasReport_4_Table_1[[#This Row],[Quantity]]-AtlasReport_4_Table_1[[#This Row],[TPP trans backwards (Beginning)]]</f>
        <v>0</v>
      </c>
      <c r="I104" s="4">
        <f>AtlasReport_4_Table_1[[#This Row],[Quantity]]-AtlasReport_4_Table_1[[#This Row],[TPP trans backwards (Ending)]]</f>
        <v>0</v>
      </c>
      <c r="J104" s="4">
        <f>_xll.AtlasFormulas.AtlasFunctions.AtlasBalance("PROD",DataAreaId,"T.TPPTrans_sst|InventDimId~inventDimId@T.InventDim","Sum|CostAmount|0","","","","","","","ItemId|TransDate|T2.InventSiteId|T2.InventLocationId",$A104,PeriodBeginning,$B104,$C104)</f>
        <v>0</v>
      </c>
      <c r="K104" s="4">
        <f>_xll.AtlasFormulas.AtlasFunctions.AtlasBalance("PROD",DataAreaId,"T.TPPTrans_sst|InventDimId~inventDimId@T.InventDim","Sum|CostAmount|0","","","","","","","ItemId|TransDate|T2.InventSiteId|T2.InventLocationId",$A104,PeriodEnding,$B104,$C104)</f>
        <v>0</v>
      </c>
      <c r="L104" s="4">
        <f>AtlasReport_4_Table_1[[#This Row],[TPP cost amount]]-AtlasReport_4_Table_1[[#This Row],[TPP trans backwards balance (Beginning)]]</f>
        <v>0</v>
      </c>
      <c r="M104" s="4">
        <f>AtlasReport_4_Table_1[[#This Row],[TPP cost amount]]-AtlasReport_4_Table_1[[#This Row],[TPP Balance (Beginning)]]</f>
        <v>0</v>
      </c>
    </row>
    <row r="105" spans="1:13" x14ac:dyDescent="0.25">
      <c r="A105" s="8" t="s">
        <v>363</v>
      </c>
      <c r="B105" s="8" t="s">
        <v>261</v>
      </c>
      <c r="C105" s="8" t="s">
        <v>264</v>
      </c>
      <c r="D105" s="4">
        <v>0</v>
      </c>
      <c r="E105" s="4">
        <v>0</v>
      </c>
      <c r="F105" s="4">
        <f>_xll.AtlasFormulas.AtlasFunctions.AtlasBalance("PROD",DataAreaId,"T.TPPTrans_sst|InventDimId~inventDimId@T.InventDim","Sum|Qty|0","","","","","","","ItemId|TransDate|T2.InventSiteId|T2.InventLocationId",$A105,PeriodBeginning,$B105,$C105)</f>
        <v>0</v>
      </c>
      <c r="G105" s="4">
        <f>_xll.AtlasFormulas.AtlasFunctions.AtlasBalance("PROD",DataAreaId,"T.TPPTrans_sst|InventDimId~inventDimId@T.InventDim","Sum|Qty|0","","","","","","","ItemId|TransDate|T2.InventSiteId|T2.InventLocationId",$A105,PeriodEnding,$B105,$C105)</f>
        <v>0</v>
      </c>
      <c r="H105" s="4">
        <f>AtlasReport_4_Table_1[[#This Row],[Quantity]]-AtlasReport_4_Table_1[[#This Row],[TPP trans backwards (Beginning)]]</f>
        <v>0</v>
      </c>
      <c r="I105" s="4">
        <f>AtlasReport_4_Table_1[[#This Row],[Quantity]]-AtlasReport_4_Table_1[[#This Row],[TPP trans backwards (Ending)]]</f>
        <v>0</v>
      </c>
      <c r="J105" s="4">
        <f>_xll.AtlasFormulas.AtlasFunctions.AtlasBalance("PROD",DataAreaId,"T.TPPTrans_sst|InventDimId~inventDimId@T.InventDim","Sum|CostAmount|0","","","","","","","ItemId|TransDate|T2.InventSiteId|T2.InventLocationId",$A105,PeriodBeginning,$B105,$C105)</f>
        <v>0</v>
      </c>
      <c r="K105" s="4">
        <f>_xll.AtlasFormulas.AtlasFunctions.AtlasBalance("PROD",DataAreaId,"T.TPPTrans_sst|InventDimId~inventDimId@T.InventDim","Sum|CostAmount|0","","","","","","","ItemId|TransDate|T2.InventSiteId|T2.InventLocationId",$A105,PeriodEnding,$B105,$C105)</f>
        <v>0</v>
      </c>
      <c r="L105" s="4">
        <f>AtlasReport_4_Table_1[[#This Row],[TPP cost amount]]-AtlasReport_4_Table_1[[#This Row],[TPP trans backwards balance (Beginning)]]</f>
        <v>0</v>
      </c>
      <c r="M105" s="4">
        <f>AtlasReport_4_Table_1[[#This Row],[TPP cost amount]]-AtlasReport_4_Table_1[[#This Row],[TPP Balance (Beginning)]]</f>
        <v>0</v>
      </c>
    </row>
    <row r="106" spans="1:13" x14ac:dyDescent="0.25">
      <c r="A106" s="8" t="s">
        <v>366</v>
      </c>
      <c r="B106" s="8" t="s">
        <v>81</v>
      </c>
      <c r="C106" s="8" t="s">
        <v>81</v>
      </c>
      <c r="D106" s="4">
        <v>0</v>
      </c>
      <c r="E106" s="4">
        <v>0</v>
      </c>
      <c r="F106" s="4">
        <f>_xll.AtlasFormulas.AtlasFunctions.AtlasBalance("PROD",DataAreaId,"T.TPPTrans_sst|InventDimId~inventDimId@T.InventDim","Sum|Qty|0","","","","","","","ItemId|TransDate|T2.InventSiteId|T2.InventLocationId",$A106,PeriodBeginning,$B106,$C106)</f>
        <v>0</v>
      </c>
      <c r="G106" s="4">
        <f>_xll.AtlasFormulas.AtlasFunctions.AtlasBalance("PROD",DataAreaId,"T.TPPTrans_sst|InventDimId~inventDimId@T.InventDim","Sum|Qty|0","","","","","","","ItemId|TransDate|T2.InventSiteId|T2.InventLocationId",$A106,PeriodEnding,$B106,$C106)</f>
        <v>0</v>
      </c>
      <c r="H106" s="4">
        <f>AtlasReport_4_Table_1[[#This Row],[Quantity]]-AtlasReport_4_Table_1[[#This Row],[TPP trans backwards (Beginning)]]</f>
        <v>0</v>
      </c>
      <c r="I106" s="4">
        <f>AtlasReport_4_Table_1[[#This Row],[Quantity]]-AtlasReport_4_Table_1[[#This Row],[TPP trans backwards (Ending)]]</f>
        <v>0</v>
      </c>
      <c r="J106" s="4">
        <f>_xll.AtlasFormulas.AtlasFunctions.AtlasBalance("PROD",DataAreaId,"T.TPPTrans_sst|InventDimId~inventDimId@T.InventDim","Sum|CostAmount|0","","","","","","","ItemId|TransDate|T2.InventSiteId|T2.InventLocationId",$A106,PeriodBeginning,$B106,$C106)</f>
        <v>0</v>
      </c>
      <c r="K106" s="4">
        <f>_xll.AtlasFormulas.AtlasFunctions.AtlasBalance("PROD",DataAreaId,"T.TPPTrans_sst|InventDimId~inventDimId@T.InventDim","Sum|CostAmount|0","","","","","","","ItemId|TransDate|T2.InventSiteId|T2.InventLocationId",$A106,PeriodEnding,$B106,$C106)</f>
        <v>0</v>
      </c>
      <c r="L106" s="4">
        <f>AtlasReport_4_Table_1[[#This Row],[TPP cost amount]]-AtlasReport_4_Table_1[[#This Row],[TPP trans backwards balance (Beginning)]]</f>
        <v>0</v>
      </c>
      <c r="M106" s="4">
        <f>AtlasReport_4_Table_1[[#This Row],[TPP cost amount]]-AtlasReport_4_Table_1[[#This Row],[TPP Balance (Beginning)]]</f>
        <v>0</v>
      </c>
    </row>
    <row r="107" spans="1:13" x14ac:dyDescent="0.25">
      <c r="A107" s="8" t="s">
        <v>366</v>
      </c>
      <c r="B107" s="8" t="s">
        <v>261</v>
      </c>
      <c r="C107" s="8" t="s">
        <v>264</v>
      </c>
      <c r="D107" s="4">
        <v>5871</v>
      </c>
      <c r="E107" s="4">
        <v>0</v>
      </c>
      <c r="F107" s="4">
        <f>_xll.AtlasFormulas.AtlasFunctions.AtlasBalance("PROD",DataAreaId,"T.TPPTrans_sst|InventDimId~inventDimId@T.InventDim","Sum|Qty|0","","","","","","","ItemId|TransDate|T2.InventSiteId|T2.InventLocationId",$A107,PeriodBeginning,$B107,$C107)</f>
        <v>0</v>
      </c>
      <c r="G107" s="4">
        <f>_xll.AtlasFormulas.AtlasFunctions.AtlasBalance("PROD",DataAreaId,"T.TPPTrans_sst|InventDimId~inventDimId@T.InventDim","Sum|Qty|0","","","","","","","ItemId|TransDate|T2.InventSiteId|T2.InventLocationId",$A107,PeriodEnding,$B107,$C107)</f>
        <v>0</v>
      </c>
      <c r="H107" s="4">
        <f>AtlasReport_4_Table_1[[#This Row],[Quantity]]-AtlasReport_4_Table_1[[#This Row],[TPP trans backwards (Beginning)]]</f>
        <v>5871</v>
      </c>
      <c r="I107" s="4">
        <f>AtlasReport_4_Table_1[[#This Row],[Quantity]]-AtlasReport_4_Table_1[[#This Row],[TPP trans backwards (Ending)]]</f>
        <v>5871</v>
      </c>
      <c r="J107" s="4">
        <f>_xll.AtlasFormulas.AtlasFunctions.AtlasBalance("PROD",DataAreaId,"T.TPPTrans_sst|InventDimId~inventDimId@T.InventDim","Sum|CostAmount|0","","","","","","","ItemId|TransDate|T2.InventSiteId|T2.InventLocationId",$A107,PeriodBeginning,$B107,$C107)</f>
        <v>0</v>
      </c>
      <c r="K107" s="4">
        <f>_xll.AtlasFormulas.AtlasFunctions.AtlasBalance("PROD",DataAreaId,"T.TPPTrans_sst|InventDimId~inventDimId@T.InventDim","Sum|CostAmount|0","","","","","","","ItemId|TransDate|T2.InventSiteId|T2.InventLocationId",$A107,PeriodEnding,$B107,$C107)</f>
        <v>0</v>
      </c>
      <c r="L107" s="4">
        <f>AtlasReport_4_Table_1[[#This Row],[TPP cost amount]]-AtlasReport_4_Table_1[[#This Row],[TPP trans backwards balance (Beginning)]]</f>
        <v>0</v>
      </c>
      <c r="M107" s="4">
        <f>AtlasReport_4_Table_1[[#This Row],[TPP cost amount]]-AtlasReport_4_Table_1[[#This Row],[TPP Balance (Beginning)]]</f>
        <v>0</v>
      </c>
    </row>
    <row r="108" spans="1:13" x14ac:dyDescent="0.25">
      <c r="A108" s="8" t="s">
        <v>367</v>
      </c>
      <c r="B108" s="8" t="s">
        <v>261</v>
      </c>
      <c r="C108" s="8" t="s">
        <v>264</v>
      </c>
      <c r="D108" s="4">
        <v>6096</v>
      </c>
      <c r="E108" s="4">
        <v>0</v>
      </c>
      <c r="F108" s="4">
        <f>_xll.AtlasFormulas.AtlasFunctions.AtlasBalance("PROD",DataAreaId,"T.TPPTrans_sst|InventDimId~inventDimId@T.InventDim","Sum|Qty|0","","","","","","","ItemId|TransDate|T2.InventSiteId|T2.InventLocationId",$A108,PeriodBeginning,$B108,$C108)</f>
        <v>0</v>
      </c>
      <c r="G108" s="4">
        <f>_xll.AtlasFormulas.AtlasFunctions.AtlasBalance("PROD",DataAreaId,"T.TPPTrans_sst|InventDimId~inventDimId@T.InventDim","Sum|Qty|0","","","","","","","ItemId|TransDate|T2.InventSiteId|T2.InventLocationId",$A108,PeriodEnding,$B108,$C108)</f>
        <v>0</v>
      </c>
      <c r="H108" s="4">
        <f>AtlasReport_4_Table_1[[#This Row],[Quantity]]-AtlasReport_4_Table_1[[#This Row],[TPP trans backwards (Beginning)]]</f>
        <v>6096</v>
      </c>
      <c r="I108" s="4">
        <f>AtlasReport_4_Table_1[[#This Row],[Quantity]]-AtlasReport_4_Table_1[[#This Row],[TPP trans backwards (Ending)]]</f>
        <v>6096</v>
      </c>
      <c r="J108" s="4">
        <f>_xll.AtlasFormulas.AtlasFunctions.AtlasBalance("PROD",DataAreaId,"T.TPPTrans_sst|InventDimId~inventDimId@T.InventDim","Sum|CostAmount|0","","","","","","","ItemId|TransDate|T2.InventSiteId|T2.InventLocationId",$A108,PeriodBeginning,$B108,$C108)</f>
        <v>0</v>
      </c>
      <c r="K108" s="4">
        <f>_xll.AtlasFormulas.AtlasFunctions.AtlasBalance("PROD",DataAreaId,"T.TPPTrans_sst|InventDimId~inventDimId@T.InventDim","Sum|CostAmount|0","","","","","","","ItemId|TransDate|T2.InventSiteId|T2.InventLocationId",$A108,PeriodEnding,$B108,$C108)</f>
        <v>0</v>
      </c>
      <c r="L108" s="4">
        <f>AtlasReport_4_Table_1[[#This Row],[TPP cost amount]]-AtlasReport_4_Table_1[[#This Row],[TPP trans backwards balance (Beginning)]]</f>
        <v>0</v>
      </c>
      <c r="M108" s="4">
        <f>AtlasReport_4_Table_1[[#This Row],[TPP cost amount]]-AtlasReport_4_Table_1[[#This Row],[TPP Balance (Beginning)]]</f>
        <v>0</v>
      </c>
    </row>
    <row r="109" spans="1:13" x14ac:dyDescent="0.25">
      <c r="A109" s="8" t="s">
        <v>368</v>
      </c>
      <c r="B109" s="8" t="s">
        <v>261</v>
      </c>
      <c r="C109" s="8" t="s">
        <v>264</v>
      </c>
      <c r="D109" s="4">
        <v>3870</v>
      </c>
      <c r="E109" s="4">
        <v>0</v>
      </c>
      <c r="F109" s="4">
        <f>_xll.AtlasFormulas.AtlasFunctions.AtlasBalance("PROD",DataAreaId,"T.TPPTrans_sst|InventDimId~inventDimId@T.InventDim","Sum|Qty|0","","","","","","","ItemId|TransDate|T2.InventSiteId|T2.InventLocationId",$A109,PeriodBeginning,$B109,$C109)</f>
        <v>0</v>
      </c>
      <c r="G109" s="4">
        <f>_xll.AtlasFormulas.AtlasFunctions.AtlasBalance("PROD",DataAreaId,"T.TPPTrans_sst|InventDimId~inventDimId@T.InventDim","Sum|Qty|0","","","","","","","ItemId|TransDate|T2.InventSiteId|T2.InventLocationId",$A109,PeriodEnding,$B109,$C109)</f>
        <v>0</v>
      </c>
      <c r="H109" s="4">
        <f>AtlasReport_4_Table_1[[#This Row],[Quantity]]-AtlasReport_4_Table_1[[#This Row],[TPP trans backwards (Beginning)]]</f>
        <v>3870</v>
      </c>
      <c r="I109" s="4">
        <f>AtlasReport_4_Table_1[[#This Row],[Quantity]]-AtlasReport_4_Table_1[[#This Row],[TPP trans backwards (Ending)]]</f>
        <v>3870</v>
      </c>
      <c r="J109" s="4">
        <f>_xll.AtlasFormulas.AtlasFunctions.AtlasBalance("PROD",DataAreaId,"T.TPPTrans_sst|InventDimId~inventDimId@T.InventDim","Sum|CostAmount|0","","","","","","","ItemId|TransDate|T2.InventSiteId|T2.InventLocationId",$A109,PeriodBeginning,$B109,$C109)</f>
        <v>0</v>
      </c>
      <c r="K109" s="4">
        <f>_xll.AtlasFormulas.AtlasFunctions.AtlasBalance("PROD",DataAreaId,"T.TPPTrans_sst|InventDimId~inventDimId@T.InventDim","Sum|CostAmount|0","","","","","","","ItemId|TransDate|T2.InventSiteId|T2.InventLocationId",$A109,PeriodEnding,$B109,$C109)</f>
        <v>0</v>
      </c>
      <c r="L109" s="4">
        <f>AtlasReport_4_Table_1[[#This Row],[TPP cost amount]]-AtlasReport_4_Table_1[[#This Row],[TPP trans backwards balance (Beginning)]]</f>
        <v>0</v>
      </c>
      <c r="M109" s="4">
        <f>AtlasReport_4_Table_1[[#This Row],[TPP cost amount]]-AtlasReport_4_Table_1[[#This Row],[TPP Balance (Beginning)]]</f>
        <v>0</v>
      </c>
    </row>
    <row r="110" spans="1:13" x14ac:dyDescent="0.25">
      <c r="A110" s="8" t="s">
        <v>369</v>
      </c>
      <c r="B110" s="8" t="s">
        <v>261</v>
      </c>
      <c r="C110" s="8" t="s">
        <v>264</v>
      </c>
      <c r="D110" s="4">
        <v>5135</v>
      </c>
      <c r="E110" s="4">
        <v>0</v>
      </c>
      <c r="F110" s="4">
        <f>_xll.AtlasFormulas.AtlasFunctions.AtlasBalance("PROD",DataAreaId,"T.TPPTrans_sst|InventDimId~inventDimId@T.InventDim","Sum|Qty|0","","","","","","","ItemId|TransDate|T2.InventSiteId|T2.InventLocationId",$A110,PeriodBeginning,$B110,$C110)</f>
        <v>0</v>
      </c>
      <c r="G110" s="4">
        <f>_xll.AtlasFormulas.AtlasFunctions.AtlasBalance("PROD",DataAreaId,"T.TPPTrans_sst|InventDimId~inventDimId@T.InventDim","Sum|Qty|0","","","","","","","ItemId|TransDate|T2.InventSiteId|T2.InventLocationId",$A110,PeriodEnding,$B110,$C110)</f>
        <v>0</v>
      </c>
      <c r="H110" s="4">
        <f>AtlasReport_4_Table_1[[#This Row],[Quantity]]-AtlasReport_4_Table_1[[#This Row],[TPP trans backwards (Beginning)]]</f>
        <v>5135</v>
      </c>
      <c r="I110" s="4">
        <f>AtlasReport_4_Table_1[[#This Row],[Quantity]]-AtlasReport_4_Table_1[[#This Row],[TPP trans backwards (Ending)]]</f>
        <v>5135</v>
      </c>
      <c r="J110" s="4">
        <f>_xll.AtlasFormulas.AtlasFunctions.AtlasBalance("PROD",DataAreaId,"T.TPPTrans_sst|InventDimId~inventDimId@T.InventDim","Sum|CostAmount|0","","","","","","","ItemId|TransDate|T2.InventSiteId|T2.InventLocationId",$A110,PeriodBeginning,$B110,$C110)</f>
        <v>0</v>
      </c>
      <c r="K110" s="4">
        <f>_xll.AtlasFormulas.AtlasFunctions.AtlasBalance("PROD",DataAreaId,"T.TPPTrans_sst|InventDimId~inventDimId@T.InventDim","Sum|CostAmount|0","","","","","","","ItemId|TransDate|T2.InventSiteId|T2.InventLocationId",$A110,PeriodEnding,$B110,$C110)</f>
        <v>0</v>
      </c>
      <c r="L110" s="4">
        <f>AtlasReport_4_Table_1[[#This Row],[TPP cost amount]]-AtlasReport_4_Table_1[[#This Row],[TPP trans backwards balance (Beginning)]]</f>
        <v>0</v>
      </c>
      <c r="M110" s="4">
        <f>AtlasReport_4_Table_1[[#This Row],[TPP cost amount]]-AtlasReport_4_Table_1[[#This Row],[TPP Balance (Beginning)]]</f>
        <v>0</v>
      </c>
    </row>
    <row r="111" spans="1:13" x14ac:dyDescent="0.25">
      <c r="A111" s="8" t="s">
        <v>370</v>
      </c>
      <c r="B111" s="8" t="s">
        <v>261</v>
      </c>
      <c r="C111" s="8" t="s">
        <v>264</v>
      </c>
      <c r="D111" s="4">
        <v>4561</v>
      </c>
      <c r="E111" s="4">
        <v>0</v>
      </c>
      <c r="F111" s="4">
        <f>_xll.AtlasFormulas.AtlasFunctions.AtlasBalance("PROD",DataAreaId,"T.TPPTrans_sst|InventDimId~inventDimId@T.InventDim","Sum|Qty|0","","","","","","","ItemId|TransDate|T2.InventSiteId|T2.InventLocationId",$A111,PeriodBeginning,$B111,$C111)</f>
        <v>0</v>
      </c>
      <c r="G111" s="4">
        <f>_xll.AtlasFormulas.AtlasFunctions.AtlasBalance("PROD",DataAreaId,"T.TPPTrans_sst|InventDimId~inventDimId@T.InventDim","Sum|Qty|0","","","","","","","ItemId|TransDate|T2.InventSiteId|T2.InventLocationId",$A111,PeriodEnding,$B111,$C111)</f>
        <v>0</v>
      </c>
      <c r="H111" s="4">
        <f>AtlasReport_4_Table_1[[#This Row],[Quantity]]-AtlasReport_4_Table_1[[#This Row],[TPP trans backwards (Beginning)]]</f>
        <v>4561</v>
      </c>
      <c r="I111" s="4">
        <f>AtlasReport_4_Table_1[[#This Row],[Quantity]]-AtlasReport_4_Table_1[[#This Row],[TPP trans backwards (Ending)]]</f>
        <v>4561</v>
      </c>
      <c r="J111" s="4">
        <f>_xll.AtlasFormulas.AtlasFunctions.AtlasBalance("PROD",DataAreaId,"T.TPPTrans_sst|InventDimId~inventDimId@T.InventDim","Sum|CostAmount|0","","","","","","","ItemId|TransDate|T2.InventSiteId|T2.InventLocationId",$A111,PeriodBeginning,$B111,$C111)</f>
        <v>0</v>
      </c>
      <c r="K111" s="4">
        <f>_xll.AtlasFormulas.AtlasFunctions.AtlasBalance("PROD",DataAreaId,"T.TPPTrans_sst|InventDimId~inventDimId@T.InventDim","Sum|CostAmount|0","","","","","","","ItemId|TransDate|T2.InventSiteId|T2.InventLocationId",$A111,PeriodEnding,$B111,$C111)</f>
        <v>0</v>
      </c>
      <c r="L111" s="4">
        <f>AtlasReport_4_Table_1[[#This Row],[TPP cost amount]]-AtlasReport_4_Table_1[[#This Row],[TPP trans backwards balance (Beginning)]]</f>
        <v>0</v>
      </c>
      <c r="M111" s="4">
        <f>AtlasReport_4_Table_1[[#This Row],[TPP cost amount]]-AtlasReport_4_Table_1[[#This Row],[TPP Balance (Beginning)]]</f>
        <v>0</v>
      </c>
    </row>
    <row r="112" spans="1:13" x14ac:dyDescent="0.25">
      <c r="A112" s="8" t="s">
        <v>371</v>
      </c>
      <c r="B112" s="8" t="s">
        <v>261</v>
      </c>
      <c r="C112" s="8" t="s">
        <v>264</v>
      </c>
      <c r="D112" s="4">
        <v>7677</v>
      </c>
      <c r="E112" s="4">
        <v>0</v>
      </c>
      <c r="F112" s="4">
        <f>_xll.AtlasFormulas.AtlasFunctions.AtlasBalance("PROD",DataAreaId,"T.TPPTrans_sst|InventDimId~inventDimId@T.InventDim","Sum|Qty|0","","","","","","","ItemId|TransDate|T2.InventSiteId|T2.InventLocationId",$A112,PeriodBeginning,$B112,$C112)</f>
        <v>0</v>
      </c>
      <c r="G112" s="4">
        <f>_xll.AtlasFormulas.AtlasFunctions.AtlasBalance("PROD",DataAreaId,"T.TPPTrans_sst|InventDimId~inventDimId@T.InventDim","Sum|Qty|0","","","","","","","ItemId|TransDate|T2.InventSiteId|T2.InventLocationId",$A112,PeriodEnding,$B112,$C112)</f>
        <v>0</v>
      </c>
      <c r="H112" s="4">
        <f>AtlasReport_4_Table_1[[#This Row],[Quantity]]-AtlasReport_4_Table_1[[#This Row],[TPP trans backwards (Beginning)]]</f>
        <v>7677</v>
      </c>
      <c r="I112" s="4">
        <f>AtlasReport_4_Table_1[[#This Row],[Quantity]]-AtlasReport_4_Table_1[[#This Row],[TPP trans backwards (Ending)]]</f>
        <v>7677</v>
      </c>
      <c r="J112" s="4">
        <f>_xll.AtlasFormulas.AtlasFunctions.AtlasBalance("PROD",DataAreaId,"T.TPPTrans_sst|InventDimId~inventDimId@T.InventDim","Sum|CostAmount|0","","","","","","","ItemId|TransDate|T2.InventSiteId|T2.InventLocationId",$A112,PeriodBeginning,$B112,$C112)</f>
        <v>0</v>
      </c>
      <c r="K112" s="4">
        <f>_xll.AtlasFormulas.AtlasFunctions.AtlasBalance("PROD",DataAreaId,"T.TPPTrans_sst|InventDimId~inventDimId@T.InventDim","Sum|CostAmount|0","","","","","","","ItemId|TransDate|T2.InventSiteId|T2.InventLocationId",$A112,PeriodEnding,$B112,$C112)</f>
        <v>0</v>
      </c>
      <c r="L112" s="4">
        <f>AtlasReport_4_Table_1[[#This Row],[TPP cost amount]]-AtlasReport_4_Table_1[[#This Row],[TPP trans backwards balance (Beginning)]]</f>
        <v>0</v>
      </c>
      <c r="M112" s="4">
        <f>AtlasReport_4_Table_1[[#This Row],[TPP cost amount]]-AtlasReport_4_Table_1[[#This Row],[TPP Balance (Beginning)]]</f>
        <v>0</v>
      </c>
    </row>
    <row r="113" spans="1:13" x14ac:dyDescent="0.25">
      <c r="A113" s="8" t="s">
        <v>372</v>
      </c>
      <c r="B113" s="8" t="s">
        <v>261</v>
      </c>
      <c r="C113" s="8" t="s">
        <v>264</v>
      </c>
      <c r="D113" s="4">
        <v>4494</v>
      </c>
      <c r="E113" s="4">
        <v>0</v>
      </c>
      <c r="F113" s="4">
        <f>_xll.AtlasFormulas.AtlasFunctions.AtlasBalance("PROD",DataAreaId,"T.TPPTrans_sst|InventDimId~inventDimId@T.InventDim","Sum|Qty|0","","","","","","","ItemId|TransDate|T2.InventSiteId|T2.InventLocationId",$A113,PeriodBeginning,$B113,$C113)</f>
        <v>0</v>
      </c>
      <c r="G113" s="4">
        <f>_xll.AtlasFormulas.AtlasFunctions.AtlasBalance("PROD",DataAreaId,"T.TPPTrans_sst|InventDimId~inventDimId@T.InventDim","Sum|Qty|0","","","","","","","ItemId|TransDate|T2.InventSiteId|T2.InventLocationId",$A113,PeriodEnding,$B113,$C113)</f>
        <v>0</v>
      </c>
      <c r="H113" s="4">
        <f>AtlasReport_4_Table_1[[#This Row],[Quantity]]-AtlasReport_4_Table_1[[#This Row],[TPP trans backwards (Beginning)]]</f>
        <v>4494</v>
      </c>
      <c r="I113" s="4">
        <f>AtlasReport_4_Table_1[[#This Row],[Quantity]]-AtlasReport_4_Table_1[[#This Row],[TPP trans backwards (Ending)]]</f>
        <v>4494</v>
      </c>
      <c r="J113" s="4">
        <f>_xll.AtlasFormulas.AtlasFunctions.AtlasBalance("PROD",DataAreaId,"T.TPPTrans_sst|InventDimId~inventDimId@T.InventDim","Sum|CostAmount|0","","","","","","","ItemId|TransDate|T2.InventSiteId|T2.InventLocationId",$A113,PeriodBeginning,$B113,$C113)</f>
        <v>0</v>
      </c>
      <c r="K113" s="4">
        <f>_xll.AtlasFormulas.AtlasFunctions.AtlasBalance("PROD",DataAreaId,"T.TPPTrans_sst|InventDimId~inventDimId@T.InventDim","Sum|CostAmount|0","","","","","","","ItemId|TransDate|T2.InventSiteId|T2.InventLocationId",$A113,PeriodEnding,$B113,$C113)</f>
        <v>0</v>
      </c>
      <c r="L113" s="4">
        <f>AtlasReport_4_Table_1[[#This Row],[TPP cost amount]]-AtlasReport_4_Table_1[[#This Row],[TPP trans backwards balance (Beginning)]]</f>
        <v>0</v>
      </c>
      <c r="M113" s="4">
        <f>AtlasReport_4_Table_1[[#This Row],[TPP cost amount]]-AtlasReport_4_Table_1[[#This Row],[TPP Balance (Beginning)]]</f>
        <v>0</v>
      </c>
    </row>
    <row r="114" spans="1:13" x14ac:dyDescent="0.25">
      <c r="A114" s="8" t="s">
        <v>373</v>
      </c>
      <c r="B114" s="8" t="s">
        <v>261</v>
      </c>
      <c r="C114" s="8" t="s">
        <v>264</v>
      </c>
      <c r="D114" s="4">
        <v>4459</v>
      </c>
      <c r="E114" s="4">
        <v>0</v>
      </c>
      <c r="F114" s="4">
        <f>_xll.AtlasFormulas.AtlasFunctions.AtlasBalance("PROD",DataAreaId,"T.TPPTrans_sst|InventDimId~inventDimId@T.InventDim","Sum|Qty|0","","","","","","","ItemId|TransDate|T2.InventSiteId|T2.InventLocationId",$A114,PeriodBeginning,$B114,$C114)</f>
        <v>0</v>
      </c>
      <c r="G114" s="4">
        <f>_xll.AtlasFormulas.AtlasFunctions.AtlasBalance("PROD",DataAreaId,"T.TPPTrans_sst|InventDimId~inventDimId@T.InventDim","Sum|Qty|0","","","","","","","ItemId|TransDate|T2.InventSiteId|T2.InventLocationId",$A114,PeriodEnding,$B114,$C114)</f>
        <v>0</v>
      </c>
      <c r="H114" s="4">
        <f>AtlasReport_4_Table_1[[#This Row],[Quantity]]-AtlasReport_4_Table_1[[#This Row],[TPP trans backwards (Beginning)]]</f>
        <v>4459</v>
      </c>
      <c r="I114" s="4">
        <f>AtlasReport_4_Table_1[[#This Row],[Quantity]]-AtlasReport_4_Table_1[[#This Row],[TPP trans backwards (Ending)]]</f>
        <v>4459</v>
      </c>
      <c r="J114" s="4">
        <f>_xll.AtlasFormulas.AtlasFunctions.AtlasBalance("PROD",DataAreaId,"T.TPPTrans_sst|InventDimId~inventDimId@T.InventDim","Sum|CostAmount|0","","","","","","","ItemId|TransDate|T2.InventSiteId|T2.InventLocationId",$A114,PeriodBeginning,$B114,$C114)</f>
        <v>0</v>
      </c>
      <c r="K114" s="4">
        <f>_xll.AtlasFormulas.AtlasFunctions.AtlasBalance("PROD",DataAreaId,"T.TPPTrans_sst|InventDimId~inventDimId@T.InventDim","Sum|CostAmount|0","","","","","","","ItemId|TransDate|T2.InventSiteId|T2.InventLocationId",$A114,PeriodEnding,$B114,$C114)</f>
        <v>0</v>
      </c>
      <c r="L114" s="4">
        <f>AtlasReport_4_Table_1[[#This Row],[TPP cost amount]]-AtlasReport_4_Table_1[[#This Row],[TPP trans backwards balance (Beginning)]]</f>
        <v>0</v>
      </c>
      <c r="M114" s="4">
        <f>AtlasReport_4_Table_1[[#This Row],[TPP cost amount]]-AtlasReport_4_Table_1[[#This Row],[TPP Balance (Beginning)]]</f>
        <v>0</v>
      </c>
    </row>
    <row r="115" spans="1:13" x14ac:dyDescent="0.25">
      <c r="A115" s="8" t="s">
        <v>374</v>
      </c>
      <c r="B115" s="8" t="s">
        <v>261</v>
      </c>
      <c r="C115" s="8" t="s">
        <v>264</v>
      </c>
      <c r="D115" s="4">
        <v>2774</v>
      </c>
      <c r="E115" s="4">
        <v>0</v>
      </c>
      <c r="F115" s="4">
        <f>_xll.AtlasFormulas.AtlasFunctions.AtlasBalance("PROD",DataAreaId,"T.TPPTrans_sst|InventDimId~inventDimId@T.InventDim","Sum|Qty|0","","","","","","","ItemId|TransDate|T2.InventSiteId|T2.InventLocationId",$A115,PeriodBeginning,$B115,$C115)</f>
        <v>0</v>
      </c>
      <c r="G115" s="4">
        <f>_xll.AtlasFormulas.AtlasFunctions.AtlasBalance("PROD",DataAreaId,"T.TPPTrans_sst|InventDimId~inventDimId@T.InventDim","Sum|Qty|0","","","","","","","ItemId|TransDate|T2.InventSiteId|T2.InventLocationId",$A115,PeriodEnding,$B115,$C115)</f>
        <v>0</v>
      </c>
      <c r="H115" s="4">
        <f>AtlasReport_4_Table_1[[#This Row],[Quantity]]-AtlasReport_4_Table_1[[#This Row],[TPP trans backwards (Beginning)]]</f>
        <v>2774</v>
      </c>
      <c r="I115" s="4">
        <f>AtlasReport_4_Table_1[[#This Row],[Quantity]]-AtlasReport_4_Table_1[[#This Row],[TPP trans backwards (Ending)]]</f>
        <v>2774</v>
      </c>
      <c r="J115" s="4">
        <f>_xll.AtlasFormulas.AtlasFunctions.AtlasBalance("PROD",DataAreaId,"T.TPPTrans_sst|InventDimId~inventDimId@T.InventDim","Sum|CostAmount|0","","","","","","","ItemId|TransDate|T2.InventSiteId|T2.InventLocationId",$A115,PeriodBeginning,$B115,$C115)</f>
        <v>0</v>
      </c>
      <c r="K115" s="4">
        <f>_xll.AtlasFormulas.AtlasFunctions.AtlasBalance("PROD",DataAreaId,"T.TPPTrans_sst|InventDimId~inventDimId@T.InventDim","Sum|CostAmount|0","","","","","","","ItemId|TransDate|T2.InventSiteId|T2.InventLocationId",$A115,PeriodEnding,$B115,$C115)</f>
        <v>0</v>
      </c>
      <c r="L115" s="4">
        <f>AtlasReport_4_Table_1[[#This Row],[TPP cost amount]]-AtlasReport_4_Table_1[[#This Row],[TPP trans backwards balance (Beginning)]]</f>
        <v>0</v>
      </c>
      <c r="M115" s="4">
        <f>AtlasReport_4_Table_1[[#This Row],[TPP cost amount]]-AtlasReport_4_Table_1[[#This Row],[TPP Balance (Beginning)]]</f>
        <v>0</v>
      </c>
    </row>
    <row r="116" spans="1:13" x14ac:dyDescent="0.25">
      <c r="A116" s="8" t="s">
        <v>375</v>
      </c>
      <c r="B116" s="8" t="s">
        <v>261</v>
      </c>
      <c r="C116" s="8" t="s">
        <v>264</v>
      </c>
      <c r="D116" s="4">
        <v>1390</v>
      </c>
      <c r="E116" s="4">
        <v>0</v>
      </c>
      <c r="F116" s="4">
        <f>_xll.AtlasFormulas.AtlasFunctions.AtlasBalance("PROD",DataAreaId,"T.TPPTrans_sst|InventDimId~inventDimId@T.InventDim","Sum|Qty|0","","","","","","","ItemId|TransDate|T2.InventSiteId|T2.InventLocationId",$A116,PeriodBeginning,$B116,$C116)</f>
        <v>0</v>
      </c>
      <c r="G116" s="4">
        <f>_xll.AtlasFormulas.AtlasFunctions.AtlasBalance("PROD",DataAreaId,"T.TPPTrans_sst|InventDimId~inventDimId@T.InventDim","Sum|Qty|0","","","","","","","ItemId|TransDate|T2.InventSiteId|T2.InventLocationId",$A116,PeriodEnding,$B116,$C116)</f>
        <v>0</v>
      </c>
      <c r="H116" s="4">
        <f>AtlasReport_4_Table_1[[#This Row],[Quantity]]-AtlasReport_4_Table_1[[#This Row],[TPP trans backwards (Beginning)]]</f>
        <v>1390</v>
      </c>
      <c r="I116" s="4">
        <f>AtlasReport_4_Table_1[[#This Row],[Quantity]]-AtlasReport_4_Table_1[[#This Row],[TPP trans backwards (Ending)]]</f>
        <v>1390</v>
      </c>
      <c r="J116" s="4">
        <f>_xll.AtlasFormulas.AtlasFunctions.AtlasBalance("PROD",DataAreaId,"T.TPPTrans_sst|InventDimId~inventDimId@T.InventDim","Sum|CostAmount|0","","","","","","","ItemId|TransDate|T2.InventSiteId|T2.InventLocationId",$A116,PeriodBeginning,$B116,$C116)</f>
        <v>0</v>
      </c>
      <c r="K116" s="4">
        <f>_xll.AtlasFormulas.AtlasFunctions.AtlasBalance("PROD",DataAreaId,"T.TPPTrans_sst|InventDimId~inventDimId@T.InventDim","Sum|CostAmount|0","","","","","","","ItemId|TransDate|T2.InventSiteId|T2.InventLocationId",$A116,PeriodEnding,$B116,$C116)</f>
        <v>0</v>
      </c>
      <c r="L116" s="4">
        <f>AtlasReport_4_Table_1[[#This Row],[TPP cost amount]]-AtlasReport_4_Table_1[[#This Row],[TPP trans backwards balance (Beginning)]]</f>
        <v>0</v>
      </c>
      <c r="M116" s="4">
        <f>AtlasReport_4_Table_1[[#This Row],[TPP cost amount]]-AtlasReport_4_Table_1[[#This Row],[TPP Balance (Beginning)]]</f>
        <v>0</v>
      </c>
    </row>
    <row r="117" spans="1:13" x14ac:dyDescent="0.25">
      <c r="A117" s="8" t="s">
        <v>376</v>
      </c>
      <c r="B117" s="8" t="s">
        <v>261</v>
      </c>
      <c r="C117" s="8" t="s">
        <v>264</v>
      </c>
      <c r="D117" s="4">
        <v>412</v>
      </c>
      <c r="E117" s="4">
        <v>0</v>
      </c>
      <c r="F117" s="4">
        <f>_xll.AtlasFormulas.AtlasFunctions.AtlasBalance("PROD",DataAreaId,"T.TPPTrans_sst|InventDimId~inventDimId@T.InventDim","Sum|Qty|0","","","","","","","ItemId|TransDate|T2.InventSiteId|T2.InventLocationId",$A117,PeriodBeginning,$B117,$C117)</f>
        <v>0</v>
      </c>
      <c r="G117" s="4">
        <f>_xll.AtlasFormulas.AtlasFunctions.AtlasBalance("PROD",DataAreaId,"T.TPPTrans_sst|InventDimId~inventDimId@T.InventDim","Sum|Qty|0","","","","","","","ItemId|TransDate|T2.InventSiteId|T2.InventLocationId",$A117,PeriodEnding,$B117,$C117)</f>
        <v>0</v>
      </c>
      <c r="H117" s="4">
        <f>AtlasReport_4_Table_1[[#This Row],[Quantity]]-AtlasReport_4_Table_1[[#This Row],[TPP trans backwards (Beginning)]]</f>
        <v>412</v>
      </c>
      <c r="I117" s="4">
        <f>AtlasReport_4_Table_1[[#This Row],[Quantity]]-AtlasReport_4_Table_1[[#This Row],[TPP trans backwards (Ending)]]</f>
        <v>412</v>
      </c>
      <c r="J117" s="4">
        <f>_xll.AtlasFormulas.AtlasFunctions.AtlasBalance("PROD",DataAreaId,"T.TPPTrans_sst|InventDimId~inventDimId@T.InventDim","Sum|CostAmount|0","","","","","","","ItemId|TransDate|T2.InventSiteId|T2.InventLocationId",$A117,PeriodBeginning,$B117,$C117)</f>
        <v>0</v>
      </c>
      <c r="K117" s="4">
        <f>_xll.AtlasFormulas.AtlasFunctions.AtlasBalance("PROD",DataAreaId,"T.TPPTrans_sst|InventDimId~inventDimId@T.InventDim","Sum|CostAmount|0","","","","","","","ItemId|TransDate|T2.InventSiteId|T2.InventLocationId",$A117,PeriodEnding,$B117,$C117)</f>
        <v>0</v>
      </c>
      <c r="L117" s="4">
        <f>AtlasReport_4_Table_1[[#This Row],[TPP cost amount]]-AtlasReport_4_Table_1[[#This Row],[TPP trans backwards balance (Beginning)]]</f>
        <v>0</v>
      </c>
      <c r="M117" s="4">
        <f>AtlasReport_4_Table_1[[#This Row],[TPP cost amount]]-AtlasReport_4_Table_1[[#This Row],[TPP Balance (Beginning)]]</f>
        <v>0</v>
      </c>
    </row>
    <row r="118" spans="1:13" x14ac:dyDescent="0.25">
      <c r="A118" s="8" t="s">
        <v>378</v>
      </c>
      <c r="B118" s="8" t="s">
        <v>261</v>
      </c>
      <c r="C118" s="8" t="s">
        <v>290</v>
      </c>
      <c r="D118" s="4">
        <v>100</v>
      </c>
      <c r="E118" s="4">
        <v>0</v>
      </c>
      <c r="F118" s="4">
        <f>_xll.AtlasFormulas.AtlasFunctions.AtlasBalance("PROD",DataAreaId,"T.TPPTrans_sst|InventDimId~inventDimId@T.InventDim","Sum|Qty|0","","","","","","","ItemId|TransDate|T2.InventSiteId|T2.InventLocationId",$A118,PeriodBeginning,$B118,$C118)</f>
        <v>0</v>
      </c>
      <c r="G118" s="4">
        <f>_xll.AtlasFormulas.AtlasFunctions.AtlasBalance("PROD",DataAreaId,"T.TPPTrans_sst|InventDimId~inventDimId@T.InventDim","Sum|Qty|0","","","","","","","ItemId|TransDate|T2.InventSiteId|T2.InventLocationId",$A118,PeriodEnding,$B118,$C118)</f>
        <v>0</v>
      </c>
      <c r="H118" s="4">
        <f>AtlasReport_4_Table_1[[#This Row],[Quantity]]-AtlasReport_4_Table_1[[#This Row],[TPP trans backwards (Beginning)]]</f>
        <v>100</v>
      </c>
      <c r="I118" s="4">
        <f>AtlasReport_4_Table_1[[#This Row],[Quantity]]-AtlasReport_4_Table_1[[#This Row],[TPP trans backwards (Ending)]]</f>
        <v>100</v>
      </c>
      <c r="J118" s="4">
        <f>_xll.AtlasFormulas.AtlasFunctions.AtlasBalance("PROD",DataAreaId,"T.TPPTrans_sst|InventDimId~inventDimId@T.InventDim","Sum|CostAmount|0","","","","","","","ItemId|TransDate|T2.InventSiteId|T2.InventLocationId",$A118,PeriodBeginning,$B118,$C118)</f>
        <v>0</v>
      </c>
      <c r="K118" s="4">
        <f>_xll.AtlasFormulas.AtlasFunctions.AtlasBalance("PROD",DataAreaId,"T.TPPTrans_sst|InventDimId~inventDimId@T.InventDim","Sum|CostAmount|0","","","","","","","ItemId|TransDate|T2.InventSiteId|T2.InventLocationId",$A118,PeriodEnding,$B118,$C118)</f>
        <v>0</v>
      </c>
      <c r="L118" s="4">
        <f>AtlasReport_4_Table_1[[#This Row],[TPP cost amount]]-AtlasReport_4_Table_1[[#This Row],[TPP trans backwards balance (Beginning)]]</f>
        <v>0</v>
      </c>
      <c r="M118" s="4">
        <f>AtlasReport_4_Table_1[[#This Row],[TPP cost amount]]-AtlasReport_4_Table_1[[#This Row],[TPP Balance (Beginning)]]</f>
        <v>0</v>
      </c>
    </row>
    <row r="119" spans="1:13" x14ac:dyDescent="0.25">
      <c r="A119" s="8" t="s">
        <v>379</v>
      </c>
      <c r="B119" s="8" t="s">
        <v>261</v>
      </c>
      <c r="C119" s="8" t="s">
        <v>290</v>
      </c>
      <c r="D119" s="4">
        <v>20</v>
      </c>
      <c r="E119" s="4">
        <v>0</v>
      </c>
      <c r="F119" s="4">
        <f>_xll.AtlasFormulas.AtlasFunctions.AtlasBalance("PROD",DataAreaId,"T.TPPTrans_sst|InventDimId~inventDimId@T.InventDim","Sum|Qty|0","","","","","","","ItemId|TransDate|T2.InventSiteId|T2.InventLocationId",$A119,PeriodBeginning,$B119,$C119)</f>
        <v>0</v>
      </c>
      <c r="G119" s="4">
        <f>_xll.AtlasFormulas.AtlasFunctions.AtlasBalance("PROD",DataAreaId,"T.TPPTrans_sst|InventDimId~inventDimId@T.InventDim","Sum|Qty|0","","","","","","","ItemId|TransDate|T2.InventSiteId|T2.InventLocationId",$A119,PeriodEnding,$B119,$C119)</f>
        <v>0</v>
      </c>
      <c r="H119" s="4">
        <f>AtlasReport_4_Table_1[[#This Row],[Quantity]]-AtlasReport_4_Table_1[[#This Row],[TPP trans backwards (Beginning)]]</f>
        <v>20</v>
      </c>
      <c r="I119" s="4">
        <f>AtlasReport_4_Table_1[[#This Row],[Quantity]]-AtlasReport_4_Table_1[[#This Row],[TPP trans backwards (Ending)]]</f>
        <v>20</v>
      </c>
      <c r="J119" s="4">
        <f>_xll.AtlasFormulas.AtlasFunctions.AtlasBalance("PROD",DataAreaId,"T.TPPTrans_sst|InventDimId~inventDimId@T.InventDim","Sum|CostAmount|0","","","","","","","ItemId|TransDate|T2.InventSiteId|T2.InventLocationId",$A119,PeriodBeginning,$B119,$C119)</f>
        <v>0</v>
      </c>
      <c r="K119" s="4">
        <f>_xll.AtlasFormulas.AtlasFunctions.AtlasBalance("PROD",DataAreaId,"T.TPPTrans_sst|InventDimId~inventDimId@T.InventDim","Sum|CostAmount|0","","","","","","","ItemId|TransDate|T2.InventSiteId|T2.InventLocationId",$A119,PeriodEnding,$B119,$C119)</f>
        <v>0</v>
      </c>
      <c r="L119" s="4">
        <f>AtlasReport_4_Table_1[[#This Row],[TPP cost amount]]-AtlasReport_4_Table_1[[#This Row],[TPP trans backwards balance (Beginning)]]</f>
        <v>0</v>
      </c>
      <c r="M119" s="4">
        <f>AtlasReport_4_Table_1[[#This Row],[TPP cost amount]]-AtlasReport_4_Table_1[[#This Row],[TPP Balance (Beginning)]]</f>
        <v>0</v>
      </c>
    </row>
    <row r="120" spans="1:13" x14ac:dyDescent="0.25">
      <c r="A120" s="8" t="s">
        <v>379</v>
      </c>
      <c r="B120" s="8" t="s">
        <v>261</v>
      </c>
      <c r="C120" s="8" t="s">
        <v>264</v>
      </c>
      <c r="D120" s="4">
        <v>380</v>
      </c>
      <c r="E120" s="4">
        <v>0</v>
      </c>
      <c r="F120" s="4">
        <f>_xll.AtlasFormulas.AtlasFunctions.AtlasBalance("PROD",DataAreaId,"T.TPPTrans_sst|InventDimId~inventDimId@T.InventDim","Sum|Qty|0","","","","","","","ItemId|TransDate|T2.InventSiteId|T2.InventLocationId",$A120,PeriodBeginning,$B120,$C120)</f>
        <v>0</v>
      </c>
      <c r="G120" s="4">
        <f>_xll.AtlasFormulas.AtlasFunctions.AtlasBalance("PROD",DataAreaId,"T.TPPTrans_sst|InventDimId~inventDimId@T.InventDim","Sum|Qty|0","","","","","","","ItemId|TransDate|T2.InventSiteId|T2.InventLocationId",$A120,PeriodEnding,$B120,$C120)</f>
        <v>0</v>
      </c>
      <c r="H120" s="4">
        <f>AtlasReport_4_Table_1[[#This Row],[Quantity]]-AtlasReport_4_Table_1[[#This Row],[TPP trans backwards (Beginning)]]</f>
        <v>380</v>
      </c>
      <c r="I120" s="4">
        <f>AtlasReport_4_Table_1[[#This Row],[Quantity]]-AtlasReport_4_Table_1[[#This Row],[TPP trans backwards (Ending)]]</f>
        <v>380</v>
      </c>
      <c r="J120" s="4">
        <f>_xll.AtlasFormulas.AtlasFunctions.AtlasBalance("PROD",DataAreaId,"T.TPPTrans_sst|InventDimId~inventDimId@T.InventDim","Sum|CostAmount|0","","","","","","","ItemId|TransDate|T2.InventSiteId|T2.InventLocationId",$A120,PeriodBeginning,$B120,$C120)</f>
        <v>0</v>
      </c>
      <c r="K120" s="4">
        <f>_xll.AtlasFormulas.AtlasFunctions.AtlasBalance("PROD",DataAreaId,"T.TPPTrans_sst|InventDimId~inventDimId@T.InventDim","Sum|CostAmount|0","","","","","","","ItemId|TransDate|T2.InventSiteId|T2.InventLocationId",$A120,PeriodEnding,$B120,$C120)</f>
        <v>0</v>
      </c>
      <c r="L120" s="4">
        <f>AtlasReport_4_Table_1[[#This Row],[TPP cost amount]]-AtlasReport_4_Table_1[[#This Row],[TPP trans backwards balance (Beginning)]]</f>
        <v>0</v>
      </c>
      <c r="M120" s="4">
        <f>AtlasReport_4_Table_1[[#This Row],[TPP cost amount]]-AtlasReport_4_Table_1[[#This Row],[TPP Balance (Beginning)]]</f>
        <v>0</v>
      </c>
    </row>
    <row r="121" spans="1:13" x14ac:dyDescent="0.25">
      <c r="A121" s="8" t="s">
        <v>380</v>
      </c>
      <c r="B121" s="8" t="s">
        <v>261</v>
      </c>
      <c r="C121" s="8" t="s">
        <v>264</v>
      </c>
      <c r="D121" s="4">
        <v>100</v>
      </c>
      <c r="E121" s="4">
        <v>0</v>
      </c>
      <c r="F121" s="4">
        <f>_xll.AtlasFormulas.AtlasFunctions.AtlasBalance("PROD",DataAreaId,"T.TPPTrans_sst|InventDimId~inventDimId@T.InventDim","Sum|Qty|0","","","","","","","ItemId|TransDate|T2.InventSiteId|T2.InventLocationId",$A121,PeriodBeginning,$B121,$C121)</f>
        <v>0</v>
      </c>
      <c r="G121" s="4">
        <f>_xll.AtlasFormulas.AtlasFunctions.AtlasBalance("PROD",DataAreaId,"T.TPPTrans_sst|InventDimId~inventDimId@T.InventDim","Sum|Qty|0","","","","","","","ItemId|TransDate|T2.InventSiteId|T2.InventLocationId",$A121,PeriodEnding,$B121,$C121)</f>
        <v>0</v>
      </c>
      <c r="H121" s="4">
        <f>AtlasReport_4_Table_1[[#This Row],[Quantity]]-AtlasReport_4_Table_1[[#This Row],[TPP trans backwards (Beginning)]]</f>
        <v>100</v>
      </c>
      <c r="I121" s="4">
        <f>AtlasReport_4_Table_1[[#This Row],[Quantity]]-AtlasReport_4_Table_1[[#This Row],[TPP trans backwards (Ending)]]</f>
        <v>100</v>
      </c>
      <c r="J121" s="4">
        <f>_xll.AtlasFormulas.AtlasFunctions.AtlasBalance("PROD",DataAreaId,"T.TPPTrans_sst|InventDimId~inventDimId@T.InventDim","Sum|CostAmount|0","","","","","","","ItemId|TransDate|T2.InventSiteId|T2.InventLocationId",$A121,PeriodBeginning,$B121,$C121)</f>
        <v>0</v>
      </c>
      <c r="K121" s="4">
        <f>_xll.AtlasFormulas.AtlasFunctions.AtlasBalance("PROD",DataAreaId,"T.TPPTrans_sst|InventDimId~inventDimId@T.InventDim","Sum|CostAmount|0","","","","","","","ItemId|TransDate|T2.InventSiteId|T2.InventLocationId",$A121,PeriodEnding,$B121,$C121)</f>
        <v>0</v>
      </c>
      <c r="L121" s="4">
        <f>AtlasReport_4_Table_1[[#This Row],[TPP cost amount]]-AtlasReport_4_Table_1[[#This Row],[TPP trans backwards balance (Beginning)]]</f>
        <v>0</v>
      </c>
      <c r="M121" s="4">
        <f>AtlasReport_4_Table_1[[#This Row],[TPP cost amount]]-AtlasReport_4_Table_1[[#This Row],[TPP Balance (Beginning)]]</f>
        <v>0</v>
      </c>
    </row>
    <row r="122" spans="1:13" x14ac:dyDescent="0.25">
      <c r="A122" s="8" t="s">
        <v>381</v>
      </c>
      <c r="B122" s="8" t="s">
        <v>261</v>
      </c>
      <c r="C122" s="8" t="s">
        <v>264</v>
      </c>
      <c r="D122" s="4">
        <v>1917.5</v>
      </c>
      <c r="E122" s="4">
        <v>479.09214399254398</v>
      </c>
      <c r="F122" s="4">
        <f>_xll.AtlasFormulas.AtlasFunctions.AtlasBalance("PROD",DataAreaId,"T.TPPTrans_sst|InventDimId~inventDimId@T.InventDim","Sum|Qty|0","","","","","","","ItemId|TransDate|T2.InventSiteId|T2.InventLocationId",$A122,PeriodBeginning,$B122,$C122)</f>
        <v>292.5</v>
      </c>
      <c r="G122" s="4">
        <f>_xll.AtlasFormulas.AtlasFunctions.AtlasBalance("PROD",DataAreaId,"T.TPPTrans_sst|InventDimId~inventDimId@T.InventDim","Sum|Qty|0","","","","","","","ItemId|TransDate|T2.InventSiteId|T2.InventLocationId",$A122,PeriodEnding,$B122,$C122)</f>
        <v>0</v>
      </c>
      <c r="H122" s="4">
        <f>AtlasReport_4_Table_1[[#This Row],[Quantity]]-AtlasReport_4_Table_1[[#This Row],[TPP trans backwards (Beginning)]]</f>
        <v>1625</v>
      </c>
      <c r="I122" s="4">
        <f>AtlasReport_4_Table_1[[#This Row],[Quantity]]-AtlasReport_4_Table_1[[#This Row],[TPP trans backwards (Ending)]]</f>
        <v>1917.5</v>
      </c>
      <c r="J122" s="4">
        <f>_xll.AtlasFormulas.AtlasFunctions.AtlasBalance("PROD",DataAreaId,"T.TPPTrans_sst|InventDimId~inventDimId@T.InventDim","Sum|CostAmount|0","","","","","","","ItemId|TransDate|T2.InventSiteId|T2.InventLocationId",$A122,PeriodBeginning,$B122,$C122)</f>
        <v>73.08</v>
      </c>
      <c r="K122" s="4">
        <f>_xll.AtlasFormulas.AtlasFunctions.AtlasBalance("PROD",DataAreaId,"T.TPPTrans_sst|InventDimId~inventDimId@T.InventDim","Sum|CostAmount|0","","","","","","","ItemId|TransDate|T2.InventSiteId|T2.InventLocationId",$A122,PeriodEnding,$B122,$C122)</f>
        <v>0</v>
      </c>
      <c r="L122" s="4">
        <f>AtlasReport_4_Table_1[[#This Row],[TPP cost amount]]-AtlasReport_4_Table_1[[#This Row],[TPP trans backwards balance (Beginning)]]</f>
        <v>406.012143992544</v>
      </c>
      <c r="M122" s="4">
        <f>AtlasReport_4_Table_1[[#This Row],[TPP cost amount]]-AtlasReport_4_Table_1[[#This Row],[TPP Balance (Beginning)]]</f>
        <v>73.079999999999984</v>
      </c>
    </row>
    <row r="123" spans="1:13" x14ac:dyDescent="0.25">
      <c r="A123" s="8" t="s">
        <v>382</v>
      </c>
      <c r="B123" s="8" t="s">
        <v>261</v>
      </c>
      <c r="C123" s="8" t="s">
        <v>264</v>
      </c>
      <c r="D123" s="4">
        <v>5742</v>
      </c>
      <c r="E123" s="4">
        <v>0</v>
      </c>
      <c r="F123" s="4">
        <f>_xll.AtlasFormulas.AtlasFunctions.AtlasBalance("PROD",DataAreaId,"T.TPPTrans_sst|InventDimId~inventDimId@T.InventDim","Sum|Qty|0","","","","","","","ItemId|TransDate|T2.InventSiteId|T2.InventLocationId",$A123,PeriodBeginning,$B123,$C123)</f>
        <v>0</v>
      </c>
      <c r="G123" s="4">
        <f>_xll.AtlasFormulas.AtlasFunctions.AtlasBalance("PROD",DataAreaId,"T.TPPTrans_sst|InventDimId~inventDimId@T.InventDim","Sum|Qty|0","","","","","","","ItemId|TransDate|T2.InventSiteId|T2.InventLocationId",$A123,PeriodEnding,$B123,$C123)</f>
        <v>0</v>
      </c>
      <c r="H123" s="4">
        <f>AtlasReport_4_Table_1[[#This Row],[Quantity]]-AtlasReport_4_Table_1[[#This Row],[TPP trans backwards (Beginning)]]</f>
        <v>5742</v>
      </c>
      <c r="I123" s="4">
        <f>AtlasReport_4_Table_1[[#This Row],[Quantity]]-AtlasReport_4_Table_1[[#This Row],[TPP trans backwards (Ending)]]</f>
        <v>5742</v>
      </c>
      <c r="J123" s="4">
        <f>_xll.AtlasFormulas.AtlasFunctions.AtlasBalance("PROD",DataAreaId,"T.TPPTrans_sst|InventDimId~inventDimId@T.InventDim","Sum|CostAmount|0","","","","","","","ItemId|TransDate|T2.InventSiteId|T2.InventLocationId",$A123,PeriodBeginning,$B123,$C123)</f>
        <v>0</v>
      </c>
      <c r="K123" s="4">
        <f>_xll.AtlasFormulas.AtlasFunctions.AtlasBalance("PROD",DataAreaId,"T.TPPTrans_sst|InventDimId~inventDimId@T.InventDim","Sum|CostAmount|0","","","","","","","ItemId|TransDate|T2.InventSiteId|T2.InventLocationId",$A123,PeriodEnding,$B123,$C123)</f>
        <v>0</v>
      </c>
      <c r="L123" s="4">
        <f>AtlasReport_4_Table_1[[#This Row],[TPP cost amount]]-AtlasReport_4_Table_1[[#This Row],[TPP trans backwards balance (Beginning)]]</f>
        <v>0</v>
      </c>
      <c r="M123" s="4">
        <f>AtlasReport_4_Table_1[[#This Row],[TPP cost amount]]-AtlasReport_4_Table_1[[#This Row],[TPP Balance (Beginning)]]</f>
        <v>0</v>
      </c>
    </row>
    <row r="124" spans="1:13" x14ac:dyDescent="0.25">
      <c r="A124" s="8" t="s">
        <v>15</v>
      </c>
      <c r="B124" s="8" t="s">
        <v>261</v>
      </c>
      <c r="C124" s="8" t="s">
        <v>305</v>
      </c>
      <c r="D124" s="4">
        <v>0</v>
      </c>
      <c r="E124" s="4">
        <v>1.7347726040000001E-3</v>
      </c>
      <c r="F124" s="4">
        <f>_xll.AtlasFormulas.AtlasFunctions.AtlasBalance("PROD",DataAreaId,"T.TPPTrans_sst|InventDimId~inventDimId@T.InventDim","Sum|Qty|0","","","","","","","ItemId|TransDate|T2.InventSiteId|T2.InventLocationId",$A124,PeriodBeginning,$B124,$C124)</f>
        <v>0</v>
      </c>
      <c r="G124" s="4">
        <f>_xll.AtlasFormulas.AtlasFunctions.AtlasBalance("PROD",DataAreaId,"T.TPPTrans_sst|InventDimId~inventDimId@T.InventDim","Sum|Qty|0","","","","","","","ItemId|TransDate|T2.InventSiteId|T2.InventLocationId",$A124,PeriodEnding,$B124,$C124)</f>
        <v>0</v>
      </c>
      <c r="H124" s="4">
        <f>AtlasReport_4_Table_1[[#This Row],[Quantity]]-AtlasReport_4_Table_1[[#This Row],[TPP trans backwards (Beginning)]]</f>
        <v>0</v>
      </c>
      <c r="I124" s="4">
        <f>AtlasReport_4_Table_1[[#This Row],[Quantity]]-AtlasReport_4_Table_1[[#This Row],[TPP trans backwards (Ending)]]</f>
        <v>0</v>
      </c>
      <c r="J124" s="4">
        <f>_xll.AtlasFormulas.AtlasFunctions.AtlasBalance("PROD",DataAreaId,"T.TPPTrans_sst|InventDimId~inventDimId@T.InventDim","Sum|CostAmount|0","","","","","","","ItemId|TransDate|T2.InventSiteId|T2.InventLocationId",$A124,PeriodBeginning,$B124,$C124)</f>
        <v>0</v>
      </c>
      <c r="K124" s="4">
        <f>_xll.AtlasFormulas.AtlasFunctions.AtlasBalance("PROD",DataAreaId,"T.TPPTrans_sst|InventDimId~inventDimId@T.InventDim","Sum|CostAmount|0","","","","","","","ItemId|TransDate|T2.InventSiteId|T2.InventLocationId",$A124,PeriodEnding,$B124,$C124)</f>
        <v>0</v>
      </c>
      <c r="L124" s="4">
        <f>AtlasReport_4_Table_1[[#This Row],[TPP cost amount]]-AtlasReport_4_Table_1[[#This Row],[TPP trans backwards balance (Beginning)]]</f>
        <v>1.7347726040000001E-3</v>
      </c>
      <c r="M124" s="4">
        <f>AtlasReport_4_Table_1[[#This Row],[TPP cost amount]]-AtlasReport_4_Table_1[[#This Row],[TPP Balance (Beginning)]]</f>
        <v>0</v>
      </c>
    </row>
    <row r="125" spans="1:13" x14ac:dyDescent="0.25">
      <c r="A125" s="8" t="s">
        <v>15</v>
      </c>
      <c r="B125" s="8" t="s">
        <v>261</v>
      </c>
      <c r="C125" s="8" t="s">
        <v>262</v>
      </c>
      <c r="D125" s="4">
        <v>47740</v>
      </c>
      <c r="E125" s="4">
        <v>0</v>
      </c>
      <c r="F125" s="4">
        <f>_xll.AtlasFormulas.AtlasFunctions.AtlasBalance("PROD",DataAreaId,"T.TPPTrans_sst|InventDimId~inventDimId@T.InventDim","Sum|Qty|0","","","","","","","ItemId|TransDate|T2.InventSiteId|T2.InventLocationId",$A125,PeriodBeginning,$B125,$C125)</f>
        <v>0</v>
      </c>
      <c r="G125" s="4">
        <f>_xll.AtlasFormulas.AtlasFunctions.AtlasBalance("PROD",DataAreaId,"T.TPPTrans_sst|InventDimId~inventDimId@T.InventDim","Sum|Qty|0","","","","","","","ItemId|TransDate|T2.InventSiteId|T2.InventLocationId",$A125,PeriodEnding,$B125,$C125)</f>
        <v>0</v>
      </c>
      <c r="H125" s="4">
        <f>AtlasReport_4_Table_1[[#This Row],[Quantity]]-AtlasReport_4_Table_1[[#This Row],[TPP trans backwards (Beginning)]]</f>
        <v>47740</v>
      </c>
      <c r="I125" s="4">
        <f>AtlasReport_4_Table_1[[#This Row],[Quantity]]-AtlasReport_4_Table_1[[#This Row],[TPP trans backwards (Ending)]]</f>
        <v>47740</v>
      </c>
      <c r="J125" s="4">
        <f>_xll.AtlasFormulas.AtlasFunctions.AtlasBalance("PROD",DataAreaId,"T.TPPTrans_sst|InventDimId~inventDimId@T.InventDim","Sum|CostAmount|0","","","","","","","ItemId|TransDate|T2.InventSiteId|T2.InventLocationId",$A125,PeriodBeginning,$B125,$C125)</f>
        <v>0</v>
      </c>
      <c r="K125" s="4">
        <f>_xll.AtlasFormulas.AtlasFunctions.AtlasBalance("PROD",DataAreaId,"T.TPPTrans_sst|InventDimId~inventDimId@T.InventDim","Sum|CostAmount|0","","","","","","","ItemId|TransDate|T2.InventSiteId|T2.InventLocationId",$A125,PeriodEnding,$B125,$C125)</f>
        <v>0</v>
      </c>
      <c r="L125" s="4">
        <f>AtlasReport_4_Table_1[[#This Row],[TPP cost amount]]-AtlasReport_4_Table_1[[#This Row],[TPP trans backwards balance (Beginning)]]</f>
        <v>0</v>
      </c>
      <c r="M125" s="4">
        <f>AtlasReport_4_Table_1[[#This Row],[TPP cost amount]]-AtlasReport_4_Table_1[[#This Row],[TPP Balance (Beginning)]]</f>
        <v>0</v>
      </c>
    </row>
    <row r="126" spans="1:13" x14ac:dyDescent="0.25">
      <c r="A126" s="8" t="s">
        <v>15</v>
      </c>
      <c r="B126" s="8" t="s">
        <v>261</v>
      </c>
      <c r="C126" s="8" t="s">
        <v>290</v>
      </c>
      <c r="D126" s="4">
        <v>739.15</v>
      </c>
      <c r="E126" s="4">
        <v>162.835782575347</v>
      </c>
      <c r="F126" s="4">
        <f>_xll.AtlasFormulas.AtlasFunctions.AtlasBalance("PROD",DataAreaId,"T.TPPTrans_sst|InventDimId~inventDimId@T.InventDim","Sum|Qty|0","","","","","","","ItemId|TransDate|T2.InventSiteId|T2.InventLocationId",$A126,PeriodBeginning,$B126,$C126)</f>
        <v>205.65</v>
      </c>
      <c r="G126" s="4">
        <f>_xll.AtlasFormulas.AtlasFunctions.AtlasBalance("PROD",DataAreaId,"T.TPPTrans_sst|InventDimId~inventDimId@T.InventDim","Sum|Qty|0","","","","","","","ItemId|TransDate|T2.InventSiteId|T2.InventLocationId",$A126,PeriodEnding,$B126,$C126)</f>
        <v>0</v>
      </c>
      <c r="H126" s="4">
        <f>AtlasReport_4_Table_1[[#This Row],[Quantity]]-AtlasReport_4_Table_1[[#This Row],[TPP trans backwards (Beginning)]]</f>
        <v>533.5</v>
      </c>
      <c r="I126" s="4">
        <f>AtlasReport_4_Table_1[[#This Row],[Quantity]]-AtlasReport_4_Table_1[[#This Row],[TPP trans backwards (Ending)]]</f>
        <v>739.15</v>
      </c>
      <c r="J126" s="4">
        <f>_xll.AtlasFormulas.AtlasFunctions.AtlasBalance("PROD",DataAreaId,"T.TPPTrans_sst|InventDimId~inventDimId@T.InventDim","Sum|CostAmount|0","","","","","","","ItemId|TransDate|T2.InventSiteId|T2.InventLocationId",$A126,PeriodBeginning,$B126,$C126)</f>
        <v>45.3</v>
      </c>
      <c r="K126" s="4">
        <f>_xll.AtlasFormulas.AtlasFunctions.AtlasBalance("PROD",DataAreaId,"T.TPPTrans_sst|InventDimId~inventDimId@T.InventDim","Sum|CostAmount|0","","","","","","","ItemId|TransDate|T2.InventSiteId|T2.InventLocationId",$A126,PeriodEnding,$B126,$C126)</f>
        <v>0</v>
      </c>
      <c r="L126" s="4">
        <f>AtlasReport_4_Table_1[[#This Row],[TPP cost amount]]-AtlasReport_4_Table_1[[#This Row],[TPP trans backwards balance (Beginning)]]</f>
        <v>117.535782575347</v>
      </c>
      <c r="M126" s="4">
        <f>AtlasReport_4_Table_1[[#This Row],[TPP cost amount]]-AtlasReport_4_Table_1[[#This Row],[TPP Balance (Beginning)]]</f>
        <v>45.3</v>
      </c>
    </row>
    <row r="127" spans="1:13" x14ac:dyDescent="0.25">
      <c r="A127" s="8" t="s">
        <v>15</v>
      </c>
      <c r="B127" s="8" t="s">
        <v>261</v>
      </c>
      <c r="C127" s="8" t="s">
        <v>264</v>
      </c>
      <c r="D127" s="4">
        <v>1018.5</v>
      </c>
      <c r="E127" s="4">
        <v>83.966669238399987</v>
      </c>
      <c r="F127" s="4">
        <f>_xll.AtlasFormulas.AtlasFunctions.AtlasBalance("PROD",DataAreaId,"T.TPPTrans_sst|InventDimId~inventDimId@T.InventDim","Sum|Qty|0","","","","","","","ItemId|TransDate|T2.InventSiteId|T2.InventLocationId",$A127,PeriodBeginning,$B127,$C127)</f>
        <v>-145.5</v>
      </c>
      <c r="G127" s="4">
        <f>_xll.AtlasFormulas.AtlasFunctions.AtlasBalance("PROD",DataAreaId,"T.TPPTrans_sst|InventDimId~inventDimId@T.InventDim","Sum|Qty|0","","","","","","","ItemId|TransDate|T2.InventSiteId|T2.InventLocationId",$A127,PeriodEnding,$B127,$C127)</f>
        <v>0</v>
      </c>
      <c r="H127" s="4">
        <f>AtlasReport_4_Table_1[[#This Row],[Quantity]]-AtlasReport_4_Table_1[[#This Row],[TPP trans backwards (Beginning)]]</f>
        <v>1164</v>
      </c>
      <c r="I127" s="4">
        <f>AtlasReport_4_Table_1[[#This Row],[Quantity]]-AtlasReport_4_Table_1[[#This Row],[TPP trans backwards (Ending)]]</f>
        <v>1018.5</v>
      </c>
      <c r="J127" s="4">
        <f>_xll.AtlasFormulas.AtlasFunctions.AtlasBalance("PROD",DataAreaId,"T.TPPTrans_sst|InventDimId~inventDimId@T.InventDim","Sum|CostAmount|0","","","","","","","ItemId|TransDate|T2.InventSiteId|T2.InventLocationId",$A127,PeriodBeginning,$B127,$C127)</f>
        <v>-12</v>
      </c>
      <c r="K127" s="4">
        <f>_xll.AtlasFormulas.AtlasFunctions.AtlasBalance("PROD",DataAreaId,"T.TPPTrans_sst|InventDimId~inventDimId@T.InventDim","Sum|CostAmount|0","","","","","","","ItemId|TransDate|T2.InventSiteId|T2.InventLocationId",$A127,PeriodEnding,$B127,$C127)</f>
        <v>0</v>
      </c>
      <c r="L127" s="4">
        <f>AtlasReport_4_Table_1[[#This Row],[TPP cost amount]]-AtlasReport_4_Table_1[[#This Row],[TPP trans backwards balance (Beginning)]]</f>
        <v>95.966669238399987</v>
      </c>
      <c r="M127" s="4">
        <f>AtlasReport_4_Table_1[[#This Row],[TPP cost amount]]-AtlasReport_4_Table_1[[#This Row],[TPP Balance (Beginning)]]</f>
        <v>-12</v>
      </c>
    </row>
    <row r="128" spans="1:13" x14ac:dyDescent="0.25">
      <c r="A128" s="8" t="s">
        <v>385</v>
      </c>
      <c r="B128" s="8" t="s">
        <v>261</v>
      </c>
      <c r="C128" s="8" t="s">
        <v>262</v>
      </c>
      <c r="D128" s="4">
        <v>0</v>
      </c>
      <c r="E128" s="4">
        <v>0</v>
      </c>
      <c r="F128" s="4">
        <f>_xll.AtlasFormulas.AtlasFunctions.AtlasBalance("PROD",DataAreaId,"T.TPPTrans_sst|InventDimId~inventDimId@T.InventDim","Sum|Qty|0","","","","","","","ItemId|TransDate|T2.InventSiteId|T2.InventLocationId",$A128,PeriodBeginning,$B128,$C128)</f>
        <v>0</v>
      </c>
      <c r="G128" s="4">
        <f>_xll.AtlasFormulas.AtlasFunctions.AtlasBalance("PROD",DataAreaId,"T.TPPTrans_sst|InventDimId~inventDimId@T.InventDim","Sum|Qty|0","","","","","","","ItemId|TransDate|T2.InventSiteId|T2.InventLocationId",$A128,PeriodEnding,$B128,$C128)</f>
        <v>0</v>
      </c>
      <c r="H128" s="4">
        <f>AtlasReport_4_Table_1[[#This Row],[Quantity]]-AtlasReport_4_Table_1[[#This Row],[TPP trans backwards (Beginning)]]</f>
        <v>0</v>
      </c>
      <c r="I128" s="4">
        <f>AtlasReport_4_Table_1[[#This Row],[Quantity]]-AtlasReport_4_Table_1[[#This Row],[TPP trans backwards (Ending)]]</f>
        <v>0</v>
      </c>
      <c r="J128" s="4">
        <f>_xll.AtlasFormulas.AtlasFunctions.AtlasBalance("PROD",DataAreaId,"T.TPPTrans_sst|InventDimId~inventDimId@T.InventDim","Sum|CostAmount|0","","","","","","","ItemId|TransDate|T2.InventSiteId|T2.InventLocationId",$A128,PeriodBeginning,$B128,$C128)</f>
        <v>0</v>
      </c>
      <c r="K128" s="4">
        <f>_xll.AtlasFormulas.AtlasFunctions.AtlasBalance("PROD",DataAreaId,"T.TPPTrans_sst|InventDimId~inventDimId@T.InventDim","Sum|CostAmount|0","","","","","","","ItemId|TransDate|T2.InventSiteId|T2.InventLocationId",$A128,PeriodEnding,$B128,$C128)</f>
        <v>0</v>
      </c>
      <c r="L128" s="4">
        <f>AtlasReport_4_Table_1[[#This Row],[TPP cost amount]]-AtlasReport_4_Table_1[[#This Row],[TPP trans backwards balance (Beginning)]]</f>
        <v>0</v>
      </c>
      <c r="M128" s="4">
        <f>AtlasReport_4_Table_1[[#This Row],[TPP cost amount]]-AtlasReport_4_Table_1[[#This Row],[TPP Balance (Beginning)]]</f>
        <v>0</v>
      </c>
    </row>
    <row r="129" spans="1:13" x14ac:dyDescent="0.25">
      <c r="A129" s="8" t="s">
        <v>386</v>
      </c>
      <c r="B129" s="8" t="s">
        <v>261</v>
      </c>
      <c r="C129" s="8" t="s">
        <v>264</v>
      </c>
      <c r="D129" s="4">
        <v>70</v>
      </c>
      <c r="E129" s="4">
        <v>0</v>
      </c>
      <c r="F129" s="4">
        <f>_xll.AtlasFormulas.AtlasFunctions.AtlasBalance("PROD",DataAreaId,"T.TPPTrans_sst|InventDimId~inventDimId@T.InventDim","Sum|Qty|0","","","","","","","ItemId|TransDate|T2.InventSiteId|T2.InventLocationId",$A129,PeriodBeginning,$B129,$C129)</f>
        <v>0</v>
      </c>
      <c r="G129" s="4">
        <f>_xll.AtlasFormulas.AtlasFunctions.AtlasBalance("PROD",DataAreaId,"T.TPPTrans_sst|InventDimId~inventDimId@T.InventDim","Sum|Qty|0","","","","","","","ItemId|TransDate|T2.InventSiteId|T2.InventLocationId",$A129,PeriodEnding,$B129,$C129)</f>
        <v>0</v>
      </c>
      <c r="H129" s="4">
        <f>AtlasReport_4_Table_1[[#This Row],[Quantity]]-AtlasReport_4_Table_1[[#This Row],[TPP trans backwards (Beginning)]]</f>
        <v>70</v>
      </c>
      <c r="I129" s="4">
        <f>AtlasReport_4_Table_1[[#This Row],[Quantity]]-AtlasReport_4_Table_1[[#This Row],[TPP trans backwards (Ending)]]</f>
        <v>70</v>
      </c>
      <c r="J129" s="4">
        <f>_xll.AtlasFormulas.AtlasFunctions.AtlasBalance("PROD",DataAreaId,"T.TPPTrans_sst|InventDimId~inventDimId@T.InventDim","Sum|CostAmount|0","","","","","","","ItemId|TransDate|T2.InventSiteId|T2.InventLocationId",$A129,PeriodBeginning,$B129,$C129)</f>
        <v>0</v>
      </c>
      <c r="K129" s="4">
        <f>_xll.AtlasFormulas.AtlasFunctions.AtlasBalance("PROD",DataAreaId,"T.TPPTrans_sst|InventDimId~inventDimId@T.InventDim","Sum|CostAmount|0","","","","","","","ItemId|TransDate|T2.InventSiteId|T2.InventLocationId",$A129,PeriodEnding,$B129,$C129)</f>
        <v>0</v>
      </c>
      <c r="L129" s="4">
        <f>AtlasReport_4_Table_1[[#This Row],[TPP cost amount]]-AtlasReport_4_Table_1[[#This Row],[TPP trans backwards balance (Beginning)]]</f>
        <v>0</v>
      </c>
      <c r="M129" s="4">
        <f>AtlasReport_4_Table_1[[#This Row],[TPP cost amount]]-AtlasReport_4_Table_1[[#This Row],[TPP Balance (Beginning)]]</f>
        <v>0</v>
      </c>
    </row>
    <row r="130" spans="1:13" x14ac:dyDescent="0.25">
      <c r="A130" s="8" t="s">
        <v>27</v>
      </c>
      <c r="B130" s="8" t="s">
        <v>261</v>
      </c>
      <c r="C130" s="8" t="s">
        <v>262</v>
      </c>
      <c r="D130" s="4">
        <v>7500</v>
      </c>
      <c r="E130" s="4">
        <v>0</v>
      </c>
      <c r="F130" s="4">
        <f>_xll.AtlasFormulas.AtlasFunctions.AtlasBalance("PROD",DataAreaId,"T.TPPTrans_sst|InventDimId~inventDimId@T.InventDim","Sum|Qty|0","","","","","","","ItemId|TransDate|T2.InventSiteId|T2.InventLocationId",$A130,PeriodBeginning,$B130,$C130)</f>
        <v>0</v>
      </c>
      <c r="G130" s="4">
        <f>_xll.AtlasFormulas.AtlasFunctions.AtlasBalance("PROD",DataAreaId,"T.TPPTrans_sst|InventDimId~inventDimId@T.InventDim","Sum|Qty|0","","","","","","","ItemId|TransDate|T2.InventSiteId|T2.InventLocationId",$A130,PeriodEnding,$B130,$C130)</f>
        <v>0</v>
      </c>
      <c r="H130" s="4">
        <f>AtlasReport_4_Table_1[[#This Row],[Quantity]]-AtlasReport_4_Table_1[[#This Row],[TPP trans backwards (Beginning)]]</f>
        <v>7500</v>
      </c>
      <c r="I130" s="4">
        <f>AtlasReport_4_Table_1[[#This Row],[Quantity]]-AtlasReport_4_Table_1[[#This Row],[TPP trans backwards (Ending)]]</f>
        <v>7500</v>
      </c>
      <c r="J130" s="4">
        <f>_xll.AtlasFormulas.AtlasFunctions.AtlasBalance("PROD",DataAreaId,"T.TPPTrans_sst|InventDimId~inventDimId@T.InventDim","Sum|CostAmount|0","","","","","","","ItemId|TransDate|T2.InventSiteId|T2.InventLocationId",$A130,PeriodBeginning,$B130,$C130)</f>
        <v>0</v>
      </c>
      <c r="K130" s="4">
        <f>_xll.AtlasFormulas.AtlasFunctions.AtlasBalance("PROD",DataAreaId,"T.TPPTrans_sst|InventDimId~inventDimId@T.InventDim","Sum|CostAmount|0","","","","","","","ItemId|TransDate|T2.InventSiteId|T2.InventLocationId",$A130,PeriodEnding,$B130,$C130)</f>
        <v>0</v>
      </c>
      <c r="L130" s="4">
        <f>AtlasReport_4_Table_1[[#This Row],[TPP cost amount]]-AtlasReport_4_Table_1[[#This Row],[TPP trans backwards balance (Beginning)]]</f>
        <v>0</v>
      </c>
      <c r="M130" s="4">
        <f>AtlasReport_4_Table_1[[#This Row],[TPP cost amount]]-AtlasReport_4_Table_1[[#This Row],[TPP Balance (Beginning)]]</f>
        <v>0</v>
      </c>
    </row>
    <row r="131" spans="1:13" x14ac:dyDescent="0.25">
      <c r="A131" s="8" t="s">
        <v>27</v>
      </c>
      <c r="B131" s="8" t="s">
        <v>261</v>
      </c>
      <c r="C131" s="8" t="s">
        <v>290</v>
      </c>
      <c r="D131" s="4">
        <v>1734</v>
      </c>
      <c r="E131" s="4">
        <v>526.35874942551902</v>
      </c>
      <c r="F131" s="4">
        <f>_xll.AtlasFormulas.AtlasFunctions.AtlasBalance("PROD",DataAreaId,"T.TPPTrans_sst|InventDimId~inventDimId@T.InventDim","Sum|Qty|0","","","","","","","ItemId|TransDate|T2.InventSiteId|T2.InventLocationId",$A131,PeriodBeginning,$B131,$C131)</f>
        <v>9</v>
      </c>
      <c r="G131" s="4">
        <f>_xll.AtlasFormulas.AtlasFunctions.AtlasBalance("PROD",DataAreaId,"T.TPPTrans_sst|InventDimId~inventDimId@T.InventDim","Sum|Qty|0","","","","","","","ItemId|TransDate|T2.InventSiteId|T2.InventLocationId",$A131,PeriodEnding,$B131,$C131)</f>
        <v>0</v>
      </c>
      <c r="H131" s="4">
        <f>AtlasReport_4_Table_1[[#This Row],[Quantity]]-AtlasReport_4_Table_1[[#This Row],[TPP trans backwards (Beginning)]]</f>
        <v>1725</v>
      </c>
      <c r="I131" s="4">
        <f>AtlasReport_4_Table_1[[#This Row],[Quantity]]-AtlasReport_4_Table_1[[#This Row],[TPP trans backwards (Ending)]]</f>
        <v>1734</v>
      </c>
      <c r="J131" s="4">
        <f>_xll.AtlasFormulas.AtlasFunctions.AtlasBalance("PROD",DataAreaId,"T.TPPTrans_sst|InventDimId~inventDimId@T.InventDim","Sum|CostAmount|0","","","","","","","ItemId|TransDate|T2.InventSiteId|T2.InventLocationId",$A131,PeriodBeginning,$B131,$C131)</f>
        <v>2.73</v>
      </c>
      <c r="K131" s="4">
        <f>_xll.AtlasFormulas.AtlasFunctions.AtlasBalance("PROD",DataAreaId,"T.TPPTrans_sst|InventDimId~inventDimId@T.InventDim","Sum|CostAmount|0","","","","","","","ItemId|TransDate|T2.InventSiteId|T2.InventLocationId",$A131,PeriodEnding,$B131,$C131)</f>
        <v>0</v>
      </c>
      <c r="L131" s="4">
        <f>AtlasReport_4_Table_1[[#This Row],[TPP cost amount]]-AtlasReport_4_Table_1[[#This Row],[TPP trans backwards balance (Beginning)]]</f>
        <v>523.628749425519</v>
      </c>
      <c r="M131" s="4">
        <f>AtlasReport_4_Table_1[[#This Row],[TPP cost amount]]-AtlasReport_4_Table_1[[#This Row],[TPP Balance (Beginning)]]</f>
        <v>2.7300000000000182</v>
      </c>
    </row>
    <row r="132" spans="1:13" x14ac:dyDescent="0.25">
      <c r="A132" s="8" t="s">
        <v>27</v>
      </c>
      <c r="B132" s="8" t="s">
        <v>261</v>
      </c>
      <c r="C132" s="8" t="s">
        <v>264</v>
      </c>
      <c r="D132" s="4">
        <v>6825</v>
      </c>
      <c r="E132" s="4">
        <v>1488.73885609238</v>
      </c>
      <c r="F132" s="4">
        <f>_xll.AtlasFormulas.AtlasFunctions.AtlasBalance("PROD",DataAreaId,"T.TPPTrans_sst|InventDimId~inventDimId@T.InventDim","Sum|Qty|0","","","","","","","ItemId|TransDate|T2.InventSiteId|T2.InventLocationId",$A132,PeriodBeginning,$B132,$C132)</f>
        <v>0</v>
      </c>
      <c r="G132" s="4">
        <f>_xll.AtlasFormulas.AtlasFunctions.AtlasBalance("PROD",DataAreaId,"T.TPPTrans_sst|InventDimId~inventDimId@T.InventDim","Sum|Qty|0","","","","","","","ItemId|TransDate|T2.InventSiteId|T2.InventLocationId",$A132,PeriodEnding,$B132,$C132)</f>
        <v>0</v>
      </c>
      <c r="H132" s="4">
        <f>AtlasReport_4_Table_1[[#This Row],[Quantity]]-AtlasReport_4_Table_1[[#This Row],[TPP trans backwards (Beginning)]]</f>
        <v>6825</v>
      </c>
      <c r="I132" s="4">
        <f>AtlasReport_4_Table_1[[#This Row],[Quantity]]-AtlasReport_4_Table_1[[#This Row],[TPP trans backwards (Ending)]]</f>
        <v>6825</v>
      </c>
      <c r="J132" s="4">
        <f>_xll.AtlasFormulas.AtlasFunctions.AtlasBalance("PROD",DataAreaId,"T.TPPTrans_sst|InventDimId~inventDimId@T.InventDim","Sum|CostAmount|0","","","","","","","ItemId|TransDate|T2.InventSiteId|T2.InventLocationId",$A132,PeriodBeginning,$B132,$C132)</f>
        <v>0</v>
      </c>
      <c r="K132" s="4">
        <f>_xll.AtlasFormulas.AtlasFunctions.AtlasBalance("PROD",DataAreaId,"T.TPPTrans_sst|InventDimId~inventDimId@T.InventDim","Sum|CostAmount|0","","","","","","","ItemId|TransDate|T2.InventSiteId|T2.InventLocationId",$A132,PeriodEnding,$B132,$C132)</f>
        <v>0</v>
      </c>
      <c r="L132" s="4">
        <f>AtlasReport_4_Table_1[[#This Row],[TPP cost amount]]-AtlasReport_4_Table_1[[#This Row],[TPP trans backwards balance (Beginning)]]</f>
        <v>1488.73885609238</v>
      </c>
      <c r="M132" s="4">
        <f>AtlasReport_4_Table_1[[#This Row],[TPP cost amount]]-AtlasReport_4_Table_1[[#This Row],[TPP Balance (Beginning)]]</f>
        <v>0</v>
      </c>
    </row>
    <row r="133" spans="1:13" x14ac:dyDescent="0.25">
      <c r="A133" s="8" t="s">
        <v>196</v>
      </c>
      <c r="B133" s="8" t="s">
        <v>261</v>
      </c>
      <c r="C133" s="8" t="s">
        <v>262</v>
      </c>
      <c r="D133" s="4">
        <v>5400</v>
      </c>
      <c r="E133" s="4">
        <v>0</v>
      </c>
      <c r="F133" s="4">
        <f>_xll.AtlasFormulas.AtlasFunctions.AtlasBalance("PROD",DataAreaId,"T.TPPTrans_sst|InventDimId~inventDimId@T.InventDim","Sum|Qty|0","","","","","","","ItemId|TransDate|T2.InventSiteId|T2.InventLocationId",$A133,PeriodBeginning,$B133,$C133)</f>
        <v>0</v>
      </c>
      <c r="G133" s="4">
        <f>_xll.AtlasFormulas.AtlasFunctions.AtlasBalance("PROD",DataAreaId,"T.TPPTrans_sst|InventDimId~inventDimId@T.InventDim","Sum|Qty|0","","","","","","","ItemId|TransDate|T2.InventSiteId|T2.InventLocationId",$A133,PeriodEnding,$B133,$C133)</f>
        <v>0</v>
      </c>
      <c r="H133" s="4">
        <f>AtlasReport_4_Table_1[[#This Row],[Quantity]]-AtlasReport_4_Table_1[[#This Row],[TPP trans backwards (Beginning)]]</f>
        <v>5400</v>
      </c>
      <c r="I133" s="4">
        <f>AtlasReport_4_Table_1[[#This Row],[Quantity]]-AtlasReport_4_Table_1[[#This Row],[TPP trans backwards (Ending)]]</f>
        <v>5400</v>
      </c>
      <c r="J133" s="4">
        <f>_xll.AtlasFormulas.AtlasFunctions.AtlasBalance("PROD",DataAreaId,"T.TPPTrans_sst|InventDimId~inventDimId@T.InventDim","Sum|CostAmount|0","","","","","","","ItemId|TransDate|T2.InventSiteId|T2.InventLocationId",$A133,PeriodBeginning,$B133,$C133)</f>
        <v>0</v>
      </c>
      <c r="K133" s="4">
        <f>_xll.AtlasFormulas.AtlasFunctions.AtlasBalance("PROD",DataAreaId,"T.TPPTrans_sst|InventDimId~inventDimId@T.InventDim","Sum|CostAmount|0","","","","","","","ItemId|TransDate|T2.InventSiteId|T2.InventLocationId",$A133,PeriodEnding,$B133,$C133)</f>
        <v>0</v>
      </c>
      <c r="L133" s="4">
        <f>AtlasReport_4_Table_1[[#This Row],[TPP cost amount]]-AtlasReport_4_Table_1[[#This Row],[TPP trans backwards balance (Beginning)]]</f>
        <v>0</v>
      </c>
      <c r="M133" s="4">
        <f>AtlasReport_4_Table_1[[#This Row],[TPP cost amount]]-AtlasReport_4_Table_1[[#This Row],[TPP Balance (Beginning)]]</f>
        <v>0</v>
      </c>
    </row>
    <row r="134" spans="1:13" x14ac:dyDescent="0.25">
      <c r="A134" s="8" t="s">
        <v>387</v>
      </c>
      <c r="B134" s="8" t="s">
        <v>261</v>
      </c>
      <c r="C134" s="8" t="s">
        <v>262</v>
      </c>
      <c r="D134" s="4">
        <v>15300</v>
      </c>
      <c r="E134" s="4">
        <v>0</v>
      </c>
      <c r="F134" s="4">
        <f>_xll.AtlasFormulas.AtlasFunctions.AtlasBalance("PROD",DataAreaId,"T.TPPTrans_sst|InventDimId~inventDimId@T.InventDim","Sum|Qty|0","","","","","","","ItemId|TransDate|T2.InventSiteId|T2.InventLocationId",$A134,PeriodBeginning,$B134,$C134)</f>
        <v>0</v>
      </c>
      <c r="G134" s="4">
        <f>_xll.AtlasFormulas.AtlasFunctions.AtlasBalance("PROD",DataAreaId,"T.TPPTrans_sst|InventDimId~inventDimId@T.InventDim","Sum|Qty|0","","","","","","","ItemId|TransDate|T2.InventSiteId|T2.InventLocationId",$A134,PeriodEnding,$B134,$C134)</f>
        <v>0</v>
      </c>
      <c r="H134" s="4">
        <f>AtlasReport_4_Table_1[[#This Row],[Quantity]]-AtlasReport_4_Table_1[[#This Row],[TPP trans backwards (Beginning)]]</f>
        <v>15300</v>
      </c>
      <c r="I134" s="4">
        <f>AtlasReport_4_Table_1[[#This Row],[Quantity]]-AtlasReport_4_Table_1[[#This Row],[TPP trans backwards (Ending)]]</f>
        <v>15300</v>
      </c>
      <c r="J134" s="4">
        <f>_xll.AtlasFormulas.AtlasFunctions.AtlasBalance("PROD",DataAreaId,"T.TPPTrans_sst|InventDimId~inventDimId@T.InventDim","Sum|CostAmount|0","","","","","","","ItemId|TransDate|T2.InventSiteId|T2.InventLocationId",$A134,PeriodBeginning,$B134,$C134)</f>
        <v>0</v>
      </c>
      <c r="K134" s="4">
        <f>_xll.AtlasFormulas.AtlasFunctions.AtlasBalance("PROD",DataAreaId,"T.TPPTrans_sst|InventDimId~inventDimId@T.InventDim","Sum|CostAmount|0","","","","","","","ItemId|TransDate|T2.InventSiteId|T2.InventLocationId",$A134,PeriodEnding,$B134,$C134)</f>
        <v>0</v>
      </c>
      <c r="L134" s="4">
        <f>AtlasReport_4_Table_1[[#This Row],[TPP cost amount]]-AtlasReport_4_Table_1[[#This Row],[TPP trans backwards balance (Beginning)]]</f>
        <v>0</v>
      </c>
      <c r="M134" s="4">
        <f>AtlasReport_4_Table_1[[#This Row],[TPP cost amount]]-AtlasReport_4_Table_1[[#This Row],[TPP Balance (Beginning)]]</f>
        <v>0</v>
      </c>
    </row>
    <row r="135" spans="1:13" x14ac:dyDescent="0.25">
      <c r="A135" s="8" t="s">
        <v>16</v>
      </c>
      <c r="B135" s="8" t="s">
        <v>261</v>
      </c>
      <c r="C135" s="8" t="s">
        <v>262</v>
      </c>
      <c r="D135" s="4">
        <v>119730</v>
      </c>
      <c r="E135" s="4">
        <v>0</v>
      </c>
      <c r="F135" s="4">
        <f>_xll.AtlasFormulas.AtlasFunctions.AtlasBalance("PROD",DataAreaId,"T.TPPTrans_sst|InventDimId~inventDimId@T.InventDim","Sum|Qty|0","","","","","","","ItemId|TransDate|T2.InventSiteId|T2.InventLocationId",$A135,PeriodBeginning,$B135,$C135)</f>
        <v>0</v>
      </c>
      <c r="G135" s="4">
        <f>_xll.AtlasFormulas.AtlasFunctions.AtlasBalance("PROD",DataAreaId,"T.TPPTrans_sst|InventDimId~inventDimId@T.InventDim","Sum|Qty|0","","","","","","","ItemId|TransDate|T2.InventSiteId|T2.InventLocationId",$A135,PeriodEnding,$B135,$C135)</f>
        <v>0</v>
      </c>
      <c r="H135" s="4">
        <f>AtlasReport_4_Table_1[[#This Row],[Quantity]]-AtlasReport_4_Table_1[[#This Row],[TPP trans backwards (Beginning)]]</f>
        <v>119730</v>
      </c>
      <c r="I135" s="4">
        <f>AtlasReport_4_Table_1[[#This Row],[Quantity]]-AtlasReport_4_Table_1[[#This Row],[TPP trans backwards (Ending)]]</f>
        <v>119730</v>
      </c>
      <c r="J135" s="4">
        <f>_xll.AtlasFormulas.AtlasFunctions.AtlasBalance("PROD",DataAreaId,"T.TPPTrans_sst|InventDimId~inventDimId@T.InventDim","Sum|CostAmount|0","","","","","","","ItemId|TransDate|T2.InventSiteId|T2.InventLocationId",$A135,PeriodBeginning,$B135,$C135)</f>
        <v>0</v>
      </c>
      <c r="K135" s="4">
        <f>_xll.AtlasFormulas.AtlasFunctions.AtlasBalance("PROD",DataAreaId,"T.TPPTrans_sst|InventDimId~inventDimId@T.InventDim","Sum|CostAmount|0","","","","","","","ItemId|TransDate|T2.InventSiteId|T2.InventLocationId",$A135,PeriodEnding,$B135,$C135)</f>
        <v>0</v>
      </c>
      <c r="L135" s="4">
        <f>AtlasReport_4_Table_1[[#This Row],[TPP cost amount]]-AtlasReport_4_Table_1[[#This Row],[TPP trans backwards balance (Beginning)]]</f>
        <v>0</v>
      </c>
      <c r="M135" s="4">
        <f>AtlasReport_4_Table_1[[#This Row],[TPP cost amount]]-AtlasReport_4_Table_1[[#This Row],[TPP Balance (Beginning)]]</f>
        <v>0</v>
      </c>
    </row>
    <row r="136" spans="1:13" x14ac:dyDescent="0.25">
      <c r="A136" s="8" t="s">
        <v>16</v>
      </c>
      <c r="B136" s="8" t="s">
        <v>261</v>
      </c>
      <c r="C136" s="8" t="s">
        <v>290</v>
      </c>
      <c r="D136" s="4">
        <v>3539.25</v>
      </c>
      <c r="E136" s="4">
        <v>506.04174934646801</v>
      </c>
      <c r="F136" s="4">
        <f>_xll.AtlasFormulas.AtlasFunctions.AtlasBalance("PROD",DataAreaId,"T.TPPTrans_sst|InventDimId~inventDimId@T.InventDim","Sum|Qty|0","","","","","","","ItemId|TransDate|T2.InventSiteId|T2.InventLocationId",$A136,PeriodBeginning,$B136,$C136)</f>
        <v>-1140.75</v>
      </c>
      <c r="G136" s="4">
        <f>_xll.AtlasFormulas.AtlasFunctions.AtlasBalance("PROD",DataAreaId,"T.TPPTrans_sst|InventDimId~inventDimId@T.InventDim","Sum|Qty|0","","","","","","","ItemId|TransDate|T2.InventSiteId|T2.InventLocationId",$A136,PeriodEnding,$B136,$C136)</f>
        <v>0</v>
      </c>
      <c r="H136" s="4">
        <f>AtlasReport_4_Table_1[[#This Row],[Quantity]]-AtlasReport_4_Table_1[[#This Row],[TPP trans backwards (Beginning)]]</f>
        <v>4680</v>
      </c>
      <c r="I136" s="4">
        <f>AtlasReport_4_Table_1[[#This Row],[Quantity]]-AtlasReport_4_Table_1[[#This Row],[TPP trans backwards (Ending)]]</f>
        <v>3539.25</v>
      </c>
      <c r="J136" s="4">
        <f>_xll.AtlasFormulas.AtlasFunctions.AtlasBalance("PROD",DataAreaId,"T.TPPTrans_sst|InventDimId~inventDimId@T.InventDim","Sum|CostAmount|0","","","","","","","ItemId|TransDate|T2.InventSiteId|T2.InventLocationId",$A136,PeriodBeginning,$B136,$C136)</f>
        <v>-163.11000000000001</v>
      </c>
      <c r="K136" s="4">
        <f>_xll.AtlasFormulas.AtlasFunctions.AtlasBalance("PROD",DataAreaId,"T.TPPTrans_sst|InventDimId~inventDimId@T.InventDim","Sum|CostAmount|0","","","","","","","ItemId|TransDate|T2.InventSiteId|T2.InventLocationId",$A136,PeriodEnding,$B136,$C136)</f>
        <v>0</v>
      </c>
      <c r="L136" s="4">
        <f>AtlasReport_4_Table_1[[#This Row],[TPP cost amount]]-AtlasReport_4_Table_1[[#This Row],[TPP trans backwards balance (Beginning)]]</f>
        <v>669.15174934646802</v>
      </c>
      <c r="M136" s="4">
        <f>AtlasReport_4_Table_1[[#This Row],[TPP cost amount]]-AtlasReport_4_Table_1[[#This Row],[TPP Balance (Beginning)]]</f>
        <v>-163.11000000000001</v>
      </c>
    </row>
    <row r="137" spans="1:13" x14ac:dyDescent="0.25">
      <c r="A137" s="8" t="s">
        <v>16</v>
      </c>
      <c r="B137" s="8" t="s">
        <v>261</v>
      </c>
      <c r="C137" s="8" t="s">
        <v>264</v>
      </c>
      <c r="D137" s="4">
        <v>8970</v>
      </c>
      <c r="E137" s="4">
        <v>816.76588046560005</v>
      </c>
      <c r="F137" s="4">
        <f>_xll.AtlasFormulas.AtlasFunctions.AtlasBalance("PROD",DataAreaId,"T.TPPTrans_sst|InventDimId~inventDimId@T.InventDim","Sum|Qty|0","","","","","","","ItemId|TransDate|T2.InventSiteId|T2.InventLocationId",$A137,PeriodBeginning,$B137,$C137)</f>
        <v>-1365</v>
      </c>
      <c r="G137" s="4">
        <f>_xll.AtlasFormulas.AtlasFunctions.AtlasBalance("PROD",DataAreaId,"T.TPPTrans_sst|InventDimId~inventDimId@T.InventDim","Sum|Qty|0","","","","","","","ItemId|TransDate|T2.InventSiteId|T2.InventLocationId",$A137,PeriodEnding,$B137,$C137)</f>
        <v>0</v>
      </c>
      <c r="H137" s="4">
        <f>AtlasReport_4_Table_1[[#This Row],[Quantity]]-AtlasReport_4_Table_1[[#This Row],[TPP trans backwards (Beginning)]]</f>
        <v>10335</v>
      </c>
      <c r="I137" s="4">
        <f>AtlasReport_4_Table_1[[#This Row],[Quantity]]-AtlasReport_4_Table_1[[#This Row],[TPP trans backwards (Ending)]]</f>
        <v>8970</v>
      </c>
      <c r="J137" s="4">
        <f>_xll.AtlasFormulas.AtlasFunctions.AtlasBalance("PROD",DataAreaId,"T.TPPTrans_sst|InventDimId~inventDimId@T.InventDim","Sum|CostAmount|0","","","","","","","ItemId|TransDate|T2.InventSiteId|T2.InventLocationId",$A137,PeriodBeginning,$B137,$C137)</f>
        <v>-124.3</v>
      </c>
      <c r="K137" s="4">
        <f>_xll.AtlasFormulas.AtlasFunctions.AtlasBalance("PROD",DataAreaId,"T.TPPTrans_sst|InventDimId~inventDimId@T.InventDim","Sum|CostAmount|0","","","","","","","ItemId|TransDate|T2.InventSiteId|T2.InventLocationId",$A137,PeriodEnding,$B137,$C137)</f>
        <v>0</v>
      </c>
      <c r="L137" s="4">
        <f>AtlasReport_4_Table_1[[#This Row],[TPP cost amount]]-AtlasReport_4_Table_1[[#This Row],[TPP trans backwards balance (Beginning)]]</f>
        <v>941.0658804656</v>
      </c>
      <c r="M137" s="4">
        <f>AtlasReport_4_Table_1[[#This Row],[TPP cost amount]]-AtlasReport_4_Table_1[[#This Row],[TPP Balance (Beginning)]]</f>
        <v>-124.29999999999995</v>
      </c>
    </row>
    <row r="138" spans="1:13" x14ac:dyDescent="0.25">
      <c r="A138" s="8" t="s">
        <v>388</v>
      </c>
      <c r="B138" s="8" t="s">
        <v>261</v>
      </c>
      <c r="C138" s="8" t="s">
        <v>262</v>
      </c>
      <c r="D138" s="4">
        <v>44947.5</v>
      </c>
      <c r="E138" s="4">
        <v>0</v>
      </c>
      <c r="F138" s="4">
        <f>_xll.AtlasFormulas.AtlasFunctions.AtlasBalance("PROD",DataAreaId,"T.TPPTrans_sst|InventDimId~inventDimId@T.InventDim","Sum|Qty|0","","","","","","","ItemId|TransDate|T2.InventSiteId|T2.InventLocationId",$A138,PeriodBeginning,$B138,$C138)</f>
        <v>0</v>
      </c>
      <c r="G138" s="4">
        <f>_xll.AtlasFormulas.AtlasFunctions.AtlasBalance("PROD",DataAreaId,"T.TPPTrans_sst|InventDimId~inventDimId@T.InventDim","Sum|Qty|0","","","","","","","ItemId|TransDate|T2.InventSiteId|T2.InventLocationId",$A138,PeriodEnding,$B138,$C138)</f>
        <v>0</v>
      </c>
      <c r="H138" s="4">
        <f>AtlasReport_4_Table_1[[#This Row],[Quantity]]-AtlasReport_4_Table_1[[#This Row],[TPP trans backwards (Beginning)]]</f>
        <v>44947.5</v>
      </c>
      <c r="I138" s="4">
        <f>AtlasReport_4_Table_1[[#This Row],[Quantity]]-AtlasReport_4_Table_1[[#This Row],[TPP trans backwards (Ending)]]</f>
        <v>44947.5</v>
      </c>
      <c r="J138" s="4">
        <f>_xll.AtlasFormulas.AtlasFunctions.AtlasBalance("PROD",DataAreaId,"T.TPPTrans_sst|InventDimId~inventDimId@T.InventDim","Sum|CostAmount|0","","","","","","","ItemId|TransDate|T2.InventSiteId|T2.InventLocationId",$A138,PeriodBeginning,$B138,$C138)</f>
        <v>0</v>
      </c>
      <c r="K138" s="4">
        <f>_xll.AtlasFormulas.AtlasFunctions.AtlasBalance("PROD",DataAreaId,"T.TPPTrans_sst|InventDimId~inventDimId@T.InventDim","Sum|CostAmount|0","","","","","","","ItemId|TransDate|T2.InventSiteId|T2.InventLocationId",$A138,PeriodEnding,$B138,$C138)</f>
        <v>0</v>
      </c>
      <c r="L138" s="4">
        <f>AtlasReport_4_Table_1[[#This Row],[TPP cost amount]]-AtlasReport_4_Table_1[[#This Row],[TPP trans backwards balance (Beginning)]]</f>
        <v>0</v>
      </c>
      <c r="M138" s="4">
        <f>AtlasReport_4_Table_1[[#This Row],[TPP cost amount]]-AtlasReport_4_Table_1[[#This Row],[TPP Balance (Beginning)]]</f>
        <v>0</v>
      </c>
    </row>
    <row r="139" spans="1:13" x14ac:dyDescent="0.25">
      <c r="A139" s="8" t="s">
        <v>388</v>
      </c>
      <c r="B139" s="8" t="s">
        <v>261</v>
      </c>
      <c r="C139" s="8" t="s">
        <v>264</v>
      </c>
      <c r="D139" s="4">
        <v>1755</v>
      </c>
      <c r="E139" s="4">
        <v>0</v>
      </c>
      <c r="F139" s="4">
        <f>_xll.AtlasFormulas.AtlasFunctions.AtlasBalance("PROD",DataAreaId,"T.TPPTrans_sst|InventDimId~inventDimId@T.InventDim","Sum|Qty|0","","","","","","","ItemId|TransDate|T2.InventSiteId|T2.InventLocationId",$A139,PeriodBeginning,$B139,$C139)</f>
        <v>0</v>
      </c>
      <c r="G139" s="4">
        <f>_xll.AtlasFormulas.AtlasFunctions.AtlasBalance("PROD",DataAreaId,"T.TPPTrans_sst|InventDimId~inventDimId@T.InventDim","Sum|Qty|0","","","","","","","ItemId|TransDate|T2.InventSiteId|T2.InventLocationId",$A139,PeriodEnding,$B139,$C139)</f>
        <v>0</v>
      </c>
      <c r="H139" s="4">
        <f>AtlasReport_4_Table_1[[#This Row],[Quantity]]-AtlasReport_4_Table_1[[#This Row],[TPP trans backwards (Beginning)]]</f>
        <v>1755</v>
      </c>
      <c r="I139" s="4">
        <f>AtlasReport_4_Table_1[[#This Row],[Quantity]]-AtlasReport_4_Table_1[[#This Row],[TPP trans backwards (Ending)]]</f>
        <v>1755</v>
      </c>
      <c r="J139" s="4">
        <f>_xll.AtlasFormulas.AtlasFunctions.AtlasBalance("PROD",DataAreaId,"T.TPPTrans_sst|InventDimId~inventDimId@T.InventDim","Sum|CostAmount|0","","","","","","","ItemId|TransDate|T2.InventSiteId|T2.InventLocationId",$A139,PeriodBeginning,$B139,$C139)</f>
        <v>0</v>
      </c>
      <c r="K139" s="4">
        <f>_xll.AtlasFormulas.AtlasFunctions.AtlasBalance("PROD",DataAreaId,"T.TPPTrans_sst|InventDimId~inventDimId@T.InventDim","Sum|CostAmount|0","","","","","","","ItemId|TransDate|T2.InventSiteId|T2.InventLocationId",$A139,PeriodEnding,$B139,$C139)</f>
        <v>0</v>
      </c>
      <c r="L139" s="4">
        <f>AtlasReport_4_Table_1[[#This Row],[TPP cost amount]]-AtlasReport_4_Table_1[[#This Row],[TPP trans backwards balance (Beginning)]]</f>
        <v>0</v>
      </c>
      <c r="M139" s="4">
        <f>AtlasReport_4_Table_1[[#This Row],[TPP cost amount]]-AtlasReport_4_Table_1[[#This Row],[TPP Balance (Beginning)]]</f>
        <v>0</v>
      </c>
    </row>
    <row r="140" spans="1:13" x14ac:dyDescent="0.25">
      <c r="A140" s="8" t="s">
        <v>390</v>
      </c>
      <c r="B140" s="8" t="s">
        <v>261</v>
      </c>
      <c r="C140" s="8" t="s">
        <v>262</v>
      </c>
      <c r="D140" s="4">
        <v>15210</v>
      </c>
      <c r="E140" s="4">
        <v>0</v>
      </c>
      <c r="F140" s="4">
        <f>_xll.AtlasFormulas.AtlasFunctions.AtlasBalance("PROD",DataAreaId,"T.TPPTrans_sst|InventDimId~inventDimId@T.InventDim","Sum|Qty|0","","","","","","","ItemId|TransDate|T2.InventSiteId|T2.InventLocationId",$A140,PeriodBeginning,$B140,$C140)</f>
        <v>0</v>
      </c>
      <c r="G140" s="4">
        <f>_xll.AtlasFormulas.AtlasFunctions.AtlasBalance("PROD",DataAreaId,"T.TPPTrans_sst|InventDimId~inventDimId@T.InventDim","Sum|Qty|0","","","","","","","ItemId|TransDate|T2.InventSiteId|T2.InventLocationId",$A140,PeriodEnding,$B140,$C140)</f>
        <v>0</v>
      </c>
      <c r="H140" s="4">
        <f>AtlasReport_4_Table_1[[#This Row],[Quantity]]-AtlasReport_4_Table_1[[#This Row],[TPP trans backwards (Beginning)]]</f>
        <v>15210</v>
      </c>
      <c r="I140" s="4">
        <f>AtlasReport_4_Table_1[[#This Row],[Quantity]]-AtlasReport_4_Table_1[[#This Row],[TPP trans backwards (Ending)]]</f>
        <v>15210</v>
      </c>
      <c r="J140" s="4">
        <f>_xll.AtlasFormulas.AtlasFunctions.AtlasBalance("PROD",DataAreaId,"T.TPPTrans_sst|InventDimId~inventDimId@T.InventDim","Sum|CostAmount|0","","","","","","","ItemId|TransDate|T2.InventSiteId|T2.InventLocationId",$A140,PeriodBeginning,$B140,$C140)</f>
        <v>0</v>
      </c>
      <c r="K140" s="4">
        <f>_xll.AtlasFormulas.AtlasFunctions.AtlasBalance("PROD",DataAreaId,"T.TPPTrans_sst|InventDimId~inventDimId@T.InventDim","Sum|CostAmount|0","","","","","","","ItemId|TransDate|T2.InventSiteId|T2.InventLocationId",$A140,PeriodEnding,$B140,$C140)</f>
        <v>0</v>
      </c>
      <c r="L140" s="4">
        <f>AtlasReport_4_Table_1[[#This Row],[TPP cost amount]]-AtlasReport_4_Table_1[[#This Row],[TPP trans backwards balance (Beginning)]]</f>
        <v>0</v>
      </c>
      <c r="M140" s="4">
        <f>AtlasReport_4_Table_1[[#This Row],[TPP cost amount]]-AtlasReport_4_Table_1[[#This Row],[TPP Balance (Beginning)]]</f>
        <v>0</v>
      </c>
    </row>
    <row r="141" spans="1:13" x14ac:dyDescent="0.25">
      <c r="A141" s="8" t="s">
        <v>391</v>
      </c>
      <c r="B141" s="8" t="s">
        <v>261</v>
      </c>
      <c r="C141" s="8" t="s">
        <v>264</v>
      </c>
      <c r="D141" s="4">
        <v>3217.5</v>
      </c>
      <c r="E141" s="4">
        <v>0</v>
      </c>
      <c r="F141" s="4">
        <f>_xll.AtlasFormulas.AtlasFunctions.AtlasBalance("PROD",DataAreaId,"T.TPPTrans_sst|InventDimId~inventDimId@T.InventDim","Sum|Qty|0","","","","","","","ItemId|TransDate|T2.InventSiteId|T2.InventLocationId",$A141,PeriodBeginning,$B141,$C141)</f>
        <v>0</v>
      </c>
      <c r="G141" s="4">
        <f>_xll.AtlasFormulas.AtlasFunctions.AtlasBalance("PROD",DataAreaId,"T.TPPTrans_sst|InventDimId~inventDimId@T.InventDim","Sum|Qty|0","","","","","","","ItemId|TransDate|T2.InventSiteId|T2.InventLocationId",$A141,PeriodEnding,$B141,$C141)</f>
        <v>0</v>
      </c>
      <c r="H141" s="4">
        <f>AtlasReport_4_Table_1[[#This Row],[Quantity]]-AtlasReport_4_Table_1[[#This Row],[TPP trans backwards (Beginning)]]</f>
        <v>3217.5</v>
      </c>
      <c r="I141" s="4">
        <f>AtlasReport_4_Table_1[[#This Row],[Quantity]]-AtlasReport_4_Table_1[[#This Row],[TPP trans backwards (Ending)]]</f>
        <v>3217.5</v>
      </c>
      <c r="J141" s="4">
        <f>_xll.AtlasFormulas.AtlasFunctions.AtlasBalance("PROD",DataAreaId,"T.TPPTrans_sst|InventDimId~inventDimId@T.InventDim","Sum|CostAmount|0","","","","","","","ItemId|TransDate|T2.InventSiteId|T2.InventLocationId",$A141,PeriodBeginning,$B141,$C141)</f>
        <v>0</v>
      </c>
      <c r="K141" s="4">
        <f>_xll.AtlasFormulas.AtlasFunctions.AtlasBalance("PROD",DataAreaId,"T.TPPTrans_sst|InventDimId~inventDimId@T.InventDim","Sum|CostAmount|0","","","","","","","ItemId|TransDate|T2.InventSiteId|T2.InventLocationId",$A141,PeriodEnding,$B141,$C141)</f>
        <v>0</v>
      </c>
      <c r="L141" s="4">
        <f>AtlasReport_4_Table_1[[#This Row],[TPP cost amount]]-AtlasReport_4_Table_1[[#This Row],[TPP trans backwards balance (Beginning)]]</f>
        <v>0</v>
      </c>
      <c r="M141" s="4">
        <f>AtlasReport_4_Table_1[[#This Row],[TPP cost amount]]-AtlasReport_4_Table_1[[#This Row],[TPP Balance (Beginning)]]</f>
        <v>0</v>
      </c>
    </row>
    <row r="142" spans="1:13" x14ac:dyDescent="0.25">
      <c r="A142" s="8" t="s">
        <v>392</v>
      </c>
      <c r="B142" s="8" t="s">
        <v>261</v>
      </c>
      <c r="C142" s="8" t="s">
        <v>264</v>
      </c>
      <c r="D142" s="4">
        <v>1180</v>
      </c>
      <c r="E142" s="4">
        <v>1924.7793497483399</v>
      </c>
      <c r="F142" s="4">
        <f>_xll.AtlasFormulas.AtlasFunctions.AtlasBalance("PROD",DataAreaId,"T.TPPTrans_sst|InventDimId~inventDimId@T.InventDim","Sum|Qty|0","","","","","","","ItemId|TransDate|T2.InventSiteId|T2.InventLocationId",$A142,PeriodBeginning,$B142,$C142)</f>
        <v>-240</v>
      </c>
      <c r="G142" s="4">
        <f>_xll.AtlasFormulas.AtlasFunctions.AtlasBalance("PROD",DataAreaId,"T.TPPTrans_sst|InventDimId~inventDimId@T.InventDim","Sum|Qty|0","","","","","","","ItemId|TransDate|T2.InventSiteId|T2.InventLocationId",$A142,PeriodEnding,$B142,$C142)</f>
        <v>0</v>
      </c>
      <c r="H142" s="4">
        <f>AtlasReport_4_Table_1[[#This Row],[Quantity]]-AtlasReport_4_Table_1[[#This Row],[TPP trans backwards (Beginning)]]</f>
        <v>1420</v>
      </c>
      <c r="I142" s="4">
        <f>AtlasReport_4_Table_1[[#This Row],[Quantity]]-AtlasReport_4_Table_1[[#This Row],[TPP trans backwards (Ending)]]</f>
        <v>1180</v>
      </c>
      <c r="J142" s="4">
        <f>_xll.AtlasFormulas.AtlasFunctions.AtlasBalance("PROD",DataAreaId,"T.TPPTrans_sst|InventDimId~inventDimId@T.InventDim","Sum|CostAmount|0","","","","","","","ItemId|TransDate|T2.InventSiteId|T2.InventLocationId",$A142,PeriodBeginning,$B142,$C142)</f>
        <v>-391.48</v>
      </c>
      <c r="K142" s="4">
        <f>_xll.AtlasFormulas.AtlasFunctions.AtlasBalance("PROD",DataAreaId,"T.TPPTrans_sst|InventDimId~inventDimId@T.InventDim","Sum|CostAmount|0","","","","","","","ItemId|TransDate|T2.InventSiteId|T2.InventLocationId",$A142,PeriodEnding,$B142,$C142)</f>
        <v>0</v>
      </c>
      <c r="L142" s="4">
        <f>AtlasReport_4_Table_1[[#This Row],[TPP cost amount]]-AtlasReport_4_Table_1[[#This Row],[TPP trans backwards balance (Beginning)]]</f>
        <v>2316.2593497483399</v>
      </c>
      <c r="M142" s="4">
        <f>AtlasReport_4_Table_1[[#This Row],[TPP cost amount]]-AtlasReport_4_Table_1[[#This Row],[TPP Balance (Beginning)]]</f>
        <v>-391.48</v>
      </c>
    </row>
    <row r="143" spans="1:13" x14ac:dyDescent="0.25">
      <c r="A143" s="8" t="s">
        <v>144</v>
      </c>
      <c r="B143" s="8" t="s">
        <v>261</v>
      </c>
      <c r="C143" s="8" t="s">
        <v>264</v>
      </c>
      <c r="D143" s="4">
        <v>2077</v>
      </c>
      <c r="E143" s="4">
        <v>0</v>
      </c>
      <c r="F143" s="4">
        <f>_xll.AtlasFormulas.AtlasFunctions.AtlasBalance("PROD",DataAreaId,"T.TPPTrans_sst|InventDimId~inventDimId@T.InventDim","Sum|Qty|0","","","","","","","ItemId|TransDate|T2.InventSiteId|T2.InventLocationId",$A143,PeriodBeginning,$B143,$C143)</f>
        <v>0</v>
      </c>
      <c r="G143" s="4">
        <f>_xll.AtlasFormulas.AtlasFunctions.AtlasBalance("PROD",DataAreaId,"T.TPPTrans_sst|InventDimId~inventDimId@T.InventDim","Sum|Qty|0","","","","","","","ItemId|TransDate|T2.InventSiteId|T2.InventLocationId",$A143,PeriodEnding,$B143,$C143)</f>
        <v>0</v>
      </c>
      <c r="H143" s="4">
        <f>AtlasReport_4_Table_1[[#This Row],[Quantity]]-AtlasReport_4_Table_1[[#This Row],[TPP trans backwards (Beginning)]]</f>
        <v>2077</v>
      </c>
      <c r="I143" s="4">
        <f>AtlasReport_4_Table_1[[#This Row],[Quantity]]-AtlasReport_4_Table_1[[#This Row],[TPP trans backwards (Ending)]]</f>
        <v>2077</v>
      </c>
      <c r="J143" s="4">
        <f>_xll.AtlasFormulas.AtlasFunctions.AtlasBalance("PROD",DataAreaId,"T.TPPTrans_sst|InventDimId~inventDimId@T.InventDim","Sum|CostAmount|0","","","","","","","ItemId|TransDate|T2.InventSiteId|T2.InventLocationId",$A143,PeriodBeginning,$B143,$C143)</f>
        <v>0</v>
      </c>
      <c r="K143" s="4">
        <f>_xll.AtlasFormulas.AtlasFunctions.AtlasBalance("PROD",DataAreaId,"T.TPPTrans_sst|InventDimId~inventDimId@T.InventDim","Sum|CostAmount|0","","","","","","","ItemId|TransDate|T2.InventSiteId|T2.InventLocationId",$A143,PeriodEnding,$B143,$C143)</f>
        <v>0</v>
      </c>
      <c r="L143" s="4">
        <f>AtlasReport_4_Table_1[[#This Row],[TPP cost amount]]-AtlasReport_4_Table_1[[#This Row],[TPP trans backwards balance (Beginning)]]</f>
        <v>0</v>
      </c>
      <c r="M143" s="4">
        <f>AtlasReport_4_Table_1[[#This Row],[TPP cost amount]]-AtlasReport_4_Table_1[[#This Row],[TPP Balance (Beginning)]]</f>
        <v>0</v>
      </c>
    </row>
    <row r="144" spans="1:13" x14ac:dyDescent="0.25">
      <c r="A144" s="8" t="s">
        <v>397</v>
      </c>
      <c r="B144" s="8" t="s">
        <v>261</v>
      </c>
      <c r="C144" s="8" t="s">
        <v>264</v>
      </c>
      <c r="D144" s="4">
        <v>2816.01</v>
      </c>
      <c r="E144" s="4">
        <v>0</v>
      </c>
      <c r="F144" s="4">
        <f>_xll.AtlasFormulas.AtlasFunctions.AtlasBalance("PROD",DataAreaId,"T.TPPTrans_sst|InventDimId~inventDimId@T.InventDim","Sum|Qty|0","","","","","","","ItemId|TransDate|T2.InventSiteId|T2.InventLocationId",$A144,PeriodBeginning,$B144,$C144)</f>
        <v>0</v>
      </c>
      <c r="G144" s="4">
        <f>_xll.AtlasFormulas.AtlasFunctions.AtlasBalance("PROD",DataAreaId,"T.TPPTrans_sst|InventDimId~inventDimId@T.InventDim","Sum|Qty|0","","","","","","","ItemId|TransDate|T2.InventSiteId|T2.InventLocationId",$A144,PeriodEnding,$B144,$C144)</f>
        <v>0</v>
      </c>
      <c r="H144" s="4">
        <f>AtlasReport_4_Table_1[[#This Row],[Quantity]]-AtlasReport_4_Table_1[[#This Row],[TPP trans backwards (Beginning)]]</f>
        <v>2816.01</v>
      </c>
      <c r="I144" s="4">
        <f>AtlasReport_4_Table_1[[#This Row],[Quantity]]-AtlasReport_4_Table_1[[#This Row],[TPP trans backwards (Ending)]]</f>
        <v>2816.01</v>
      </c>
      <c r="J144" s="4">
        <f>_xll.AtlasFormulas.AtlasFunctions.AtlasBalance("PROD",DataAreaId,"T.TPPTrans_sst|InventDimId~inventDimId@T.InventDim","Sum|CostAmount|0","","","","","","","ItemId|TransDate|T2.InventSiteId|T2.InventLocationId",$A144,PeriodBeginning,$B144,$C144)</f>
        <v>0</v>
      </c>
      <c r="K144" s="4">
        <f>_xll.AtlasFormulas.AtlasFunctions.AtlasBalance("PROD",DataAreaId,"T.TPPTrans_sst|InventDimId~inventDimId@T.InventDim","Sum|CostAmount|0","","","","","","","ItemId|TransDate|T2.InventSiteId|T2.InventLocationId",$A144,PeriodEnding,$B144,$C144)</f>
        <v>0</v>
      </c>
      <c r="L144" s="4">
        <f>AtlasReport_4_Table_1[[#This Row],[TPP cost amount]]-AtlasReport_4_Table_1[[#This Row],[TPP trans backwards balance (Beginning)]]</f>
        <v>0</v>
      </c>
      <c r="M144" s="4">
        <f>AtlasReport_4_Table_1[[#This Row],[TPP cost amount]]-AtlasReport_4_Table_1[[#This Row],[TPP Balance (Beginning)]]</f>
        <v>0</v>
      </c>
    </row>
    <row r="145" spans="1:13" x14ac:dyDescent="0.25">
      <c r="A145" s="8" t="s">
        <v>145</v>
      </c>
      <c r="B145" s="8" t="s">
        <v>261</v>
      </c>
      <c r="C145" s="8" t="s">
        <v>264</v>
      </c>
      <c r="D145" s="4">
        <v>4776.76</v>
      </c>
      <c r="E145" s="4">
        <v>0</v>
      </c>
      <c r="F145" s="4">
        <f>_xll.AtlasFormulas.AtlasFunctions.AtlasBalance("PROD",DataAreaId,"T.TPPTrans_sst|InventDimId~inventDimId@T.InventDim","Sum|Qty|0","","","","","","","ItemId|TransDate|T2.InventSiteId|T2.InventLocationId",$A145,PeriodBeginning,$B145,$C145)</f>
        <v>0</v>
      </c>
      <c r="G145" s="4">
        <f>_xll.AtlasFormulas.AtlasFunctions.AtlasBalance("PROD",DataAreaId,"T.TPPTrans_sst|InventDimId~inventDimId@T.InventDim","Sum|Qty|0","","","","","","","ItemId|TransDate|T2.InventSiteId|T2.InventLocationId",$A145,PeriodEnding,$B145,$C145)</f>
        <v>0</v>
      </c>
      <c r="H145" s="4">
        <f>AtlasReport_4_Table_1[[#This Row],[Quantity]]-AtlasReport_4_Table_1[[#This Row],[TPP trans backwards (Beginning)]]</f>
        <v>4776.76</v>
      </c>
      <c r="I145" s="4">
        <f>AtlasReport_4_Table_1[[#This Row],[Quantity]]-AtlasReport_4_Table_1[[#This Row],[TPP trans backwards (Ending)]]</f>
        <v>4776.76</v>
      </c>
      <c r="J145" s="4">
        <f>_xll.AtlasFormulas.AtlasFunctions.AtlasBalance("PROD",DataAreaId,"T.TPPTrans_sst|InventDimId~inventDimId@T.InventDim","Sum|CostAmount|0","","","","","","","ItemId|TransDate|T2.InventSiteId|T2.InventLocationId",$A145,PeriodBeginning,$B145,$C145)</f>
        <v>0</v>
      </c>
      <c r="K145" s="4">
        <f>_xll.AtlasFormulas.AtlasFunctions.AtlasBalance("PROD",DataAreaId,"T.TPPTrans_sst|InventDimId~inventDimId@T.InventDim","Sum|CostAmount|0","","","","","","","ItemId|TransDate|T2.InventSiteId|T2.InventLocationId",$A145,PeriodEnding,$B145,$C145)</f>
        <v>0</v>
      </c>
      <c r="L145" s="4">
        <f>AtlasReport_4_Table_1[[#This Row],[TPP cost amount]]-AtlasReport_4_Table_1[[#This Row],[TPP trans backwards balance (Beginning)]]</f>
        <v>0</v>
      </c>
      <c r="M145" s="4">
        <f>AtlasReport_4_Table_1[[#This Row],[TPP cost amount]]-AtlasReport_4_Table_1[[#This Row],[TPP Balance (Beginning)]]</f>
        <v>0</v>
      </c>
    </row>
    <row r="146" spans="1:13" x14ac:dyDescent="0.25">
      <c r="A146" s="8" t="s">
        <v>74</v>
      </c>
      <c r="B146" s="8" t="s">
        <v>261</v>
      </c>
      <c r="C146" s="8" t="s">
        <v>262</v>
      </c>
      <c r="D146" s="4">
        <v>0</v>
      </c>
      <c r="E146" s="4">
        <v>0.04</v>
      </c>
      <c r="F146" s="4">
        <f>_xll.AtlasFormulas.AtlasFunctions.AtlasBalance("PROD",DataAreaId,"T.TPPTrans_sst|InventDimId~inventDimId@T.InventDim","Sum|Qty|0","","","","","","","ItemId|TransDate|T2.InventSiteId|T2.InventLocationId",$A146,PeriodBeginning,$B146,$C146)</f>
        <v>-19650</v>
      </c>
      <c r="G146" s="4">
        <f>_xll.AtlasFormulas.AtlasFunctions.AtlasBalance("PROD",DataAreaId,"T.TPPTrans_sst|InventDimId~inventDimId@T.InventDim","Sum|Qty|0","","","","","","","ItemId|TransDate|T2.InventSiteId|T2.InventLocationId",$A146,PeriodEnding,$B146,$C146)</f>
        <v>0</v>
      </c>
      <c r="H146" s="4">
        <f>AtlasReport_4_Table_1[[#This Row],[Quantity]]-AtlasReport_4_Table_1[[#This Row],[TPP trans backwards (Beginning)]]</f>
        <v>19650</v>
      </c>
      <c r="I146" s="4">
        <f>AtlasReport_4_Table_1[[#This Row],[Quantity]]-AtlasReport_4_Table_1[[#This Row],[TPP trans backwards (Ending)]]</f>
        <v>0</v>
      </c>
      <c r="J146" s="4">
        <f>_xll.AtlasFormulas.AtlasFunctions.AtlasBalance("PROD",DataAreaId,"T.TPPTrans_sst|InventDimId~inventDimId@T.InventDim","Sum|CostAmount|0","","","","","","","ItemId|TransDate|T2.InventSiteId|T2.InventLocationId",$A146,PeriodBeginning,$B146,$C146)</f>
        <v>0.04</v>
      </c>
      <c r="K146" s="4">
        <f>_xll.AtlasFormulas.AtlasFunctions.AtlasBalance("PROD",DataAreaId,"T.TPPTrans_sst|InventDimId~inventDimId@T.InventDim","Sum|CostAmount|0","","","","","","","ItemId|TransDate|T2.InventSiteId|T2.InventLocationId",$A146,PeriodEnding,$B146,$C146)</f>
        <v>0</v>
      </c>
      <c r="L146" s="4">
        <f>AtlasReport_4_Table_1[[#This Row],[TPP cost amount]]-AtlasReport_4_Table_1[[#This Row],[TPP trans backwards balance (Beginning)]]</f>
        <v>0</v>
      </c>
      <c r="M146" s="4">
        <f>AtlasReport_4_Table_1[[#This Row],[TPP cost amount]]-AtlasReport_4_Table_1[[#This Row],[TPP Balance (Beginning)]]</f>
        <v>0.04</v>
      </c>
    </row>
    <row r="147" spans="1:13" x14ac:dyDescent="0.25">
      <c r="A147" s="8" t="s">
        <v>74</v>
      </c>
      <c r="B147" s="8" t="s">
        <v>261</v>
      </c>
      <c r="C147" s="8" t="s">
        <v>264</v>
      </c>
      <c r="D147" s="4">
        <v>2801.6</v>
      </c>
      <c r="E147" s="4">
        <v>1183.7134143753401</v>
      </c>
      <c r="F147" s="4">
        <f>_xll.AtlasFormulas.AtlasFunctions.AtlasBalance("PROD",DataAreaId,"T.TPPTrans_sst|InventDimId~inventDimId@T.InventDim","Sum|Qty|0","","","","","","","ItemId|TransDate|T2.InventSiteId|T2.InventLocationId",$A147,PeriodBeginning,$B147,$C147)</f>
        <v>1.94</v>
      </c>
      <c r="G147" s="4">
        <f>_xll.AtlasFormulas.AtlasFunctions.AtlasBalance("PROD",DataAreaId,"T.TPPTrans_sst|InventDimId~inventDimId@T.InventDim","Sum|Qty|0","","","","","","","ItemId|TransDate|T2.InventSiteId|T2.InventLocationId",$A147,PeriodEnding,$B147,$C147)</f>
        <v>0</v>
      </c>
      <c r="H147" s="4">
        <f>AtlasReport_4_Table_1[[#This Row],[Quantity]]-AtlasReport_4_Table_1[[#This Row],[TPP trans backwards (Beginning)]]</f>
        <v>2799.66</v>
      </c>
      <c r="I147" s="4">
        <f>AtlasReport_4_Table_1[[#This Row],[Quantity]]-AtlasReport_4_Table_1[[#This Row],[TPP trans backwards (Ending)]]</f>
        <v>2801.6</v>
      </c>
      <c r="J147" s="4">
        <f>_xll.AtlasFormulas.AtlasFunctions.AtlasBalance("PROD",DataAreaId,"T.TPPTrans_sst|InventDimId~inventDimId@T.InventDim","Sum|CostAmount|0","","","","","","","ItemId|TransDate|T2.InventSiteId|T2.InventLocationId",$A147,PeriodBeginning,$B147,$C147)</f>
        <v>0.82</v>
      </c>
      <c r="K147" s="4">
        <f>_xll.AtlasFormulas.AtlasFunctions.AtlasBalance("PROD",DataAreaId,"T.TPPTrans_sst|InventDimId~inventDimId@T.InventDim","Sum|CostAmount|0","","","","","","","ItemId|TransDate|T2.InventSiteId|T2.InventLocationId",$A147,PeriodEnding,$B147,$C147)</f>
        <v>0</v>
      </c>
      <c r="L147" s="4">
        <f>AtlasReport_4_Table_1[[#This Row],[TPP cost amount]]-AtlasReport_4_Table_1[[#This Row],[TPP trans backwards balance (Beginning)]]</f>
        <v>1182.8934143753402</v>
      </c>
      <c r="M147" s="4">
        <f>AtlasReport_4_Table_1[[#This Row],[TPP cost amount]]-AtlasReport_4_Table_1[[#This Row],[TPP Balance (Beginning)]]</f>
        <v>0.81999999999993634</v>
      </c>
    </row>
    <row r="148" spans="1:13" x14ac:dyDescent="0.25">
      <c r="A148" s="8" t="s">
        <v>101</v>
      </c>
      <c r="B148" s="8" t="s">
        <v>261</v>
      </c>
      <c r="C148" s="8" t="s">
        <v>262</v>
      </c>
      <c r="D148" s="4">
        <v>16100</v>
      </c>
      <c r="E148" s="4">
        <v>0</v>
      </c>
      <c r="F148" s="4">
        <f>_xll.AtlasFormulas.AtlasFunctions.AtlasBalance("PROD",DataAreaId,"T.TPPTrans_sst|InventDimId~inventDimId@T.InventDim","Sum|Qty|0","","","","","","","ItemId|TransDate|T2.InventSiteId|T2.InventLocationId",$A148,PeriodBeginning,$B148,$C148)</f>
        <v>0</v>
      </c>
      <c r="G148" s="4">
        <f>_xll.AtlasFormulas.AtlasFunctions.AtlasBalance("PROD",DataAreaId,"T.TPPTrans_sst|InventDimId~inventDimId@T.InventDim","Sum|Qty|0","","","","","","","ItemId|TransDate|T2.InventSiteId|T2.InventLocationId",$A148,PeriodEnding,$B148,$C148)</f>
        <v>0</v>
      </c>
      <c r="H148" s="4">
        <f>AtlasReport_4_Table_1[[#This Row],[Quantity]]-AtlasReport_4_Table_1[[#This Row],[TPP trans backwards (Beginning)]]</f>
        <v>16100</v>
      </c>
      <c r="I148" s="4">
        <f>AtlasReport_4_Table_1[[#This Row],[Quantity]]-AtlasReport_4_Table_1[[#This Row],[TPP trans backwards (Ending)]]</f>
        <v>16100</v>
      </c>
      <c r="J148" s="4">
        <f>_xll.AtlasFormulas.AtlasFunctions.AtlasBalance("PROD",DataAreaId,"T.TPPTrans_sst|InventDimId~inventDimId@T.InventDim","Sum|CostAmount|0","","","","","","","ItemId|TransDate|T2.InventSiteId|T2.InventLocationId",$A148,PeriodBeginning,$B148,$C148)</f>
        <v>0</v>
      </c>
      <c r="K148" s="4">
        <f>_xll.AtlasFormulas.AtlasFunctions.AtlasBalance("PROD",DataAreaId,"T.TPPTrans_sst|InventDimId~inventDimId@T.InventDim","Sum|CostAmount|0","","","","","","","ItemId|TransDate|T2.InventSiteId|T2.InventLocationId",$A148,PeriodEnding,$B148,$C148)</f>
        <v>0</v>
      </c>
      <c r="L148" s="4">
        <f>AtlasReport_4_Table_1[[#This Row],[TPP cost amount]]-AtlasReport_4_Table_1[[#This Row],[TPP trans backwards balance (Beginning)]]</f>
        <v>0</v>
      </c>
      <c r="M148" s="4">
        <f>AtlasReport_4_Table_1[[#This Row],[TPP cost amount]]-AtlasReport_4_Table_1[[#This Row],[TPP Balance (Beginning)]]</f>
        <v>0</v>
      </c>
    </row>
    <row r="149" spans="1:13" x14ac:dyDescent="0.25">
      <c r="A149" s="8" t="s">
        <v>101</v>
      </c>
      <c r="B149" s="8" t="s">
        <v>261</v>
      </c>
      <c r="C149" s="8" t="s">
        <v>264</v>
      </c>
      <c r="D149" s="4">
        <v>2112.73</v>
      </c>
      <c r="E149" s="4">
        <v>3173.39721079011</v>
      </c>
      <c r="F149" s="4">
        <f>_xll.AtlasFormulas.AtlasFunctions.AtlasBalance("PROD",DataAreaId,"T.TPPTrans_sst|InventDimId~inventDimId@T.InventDim","Sum|Qty|0","","","","","","","ItemId|TransDate|T2.InventSiteId|T2.InventLocationId",$A149,PeriodBeginning,$B149,$C149)</f>
        <v>7.66</v>
      </c>
      <c r="G149" s="4">
        <f>_xll.AtlasFormulas.AtlasFunctions.AtlasBalance("PROD",DataAreaId,"T.TPPTrans_sst|InventDimId~inventDimId@T.InventDim","Sum|Qty|0","","","","","","","ItemId|TransDate|T2.InventSiteId|T2.InventLocationId",$A149,PeriodEnding,$B149,$C149)</f>
        <v>0</v>
      </c>
      <c r="H149" s="4">
        <f>AtlasReport_4_Table_1[[#This Row],[Quantity]]-AtlasReport_4_Table_1[[#This Row],[TPP trans backwards (Beginning)]]</f>
        <v>2105.0700000000002</v>
      </c>
      <c r="I149" s="4">
        <f>AtlasReport_4_Table_1[[#This Row],[Quantity]]-AtlasReport_4_Table_1[[#This Row],[TPP trans backwards (Ending)]]</f>
        <v>2112.73</v>
      </c>
      <c r="J149" s="4">
        <f>_xll.AtlasFormulas.AtlasFunctions.AtlasBalance("PROD",DataAreaId,"T.TPPTrans_sst|InventDimId~inventDimId@T.InventDim","Sum|CostAmount|0","","","","","","","ItemId|TransDate|T2.InventSiteId|T2.InventLocationId",$A149,PeriodBeginning,$B149,$C149)</f>
        <v>11.51</v>
      </c>
      <c r="K149" s="4">
        <f>_xll.AtlasFormulas.AtlasFunctions.AtlasBalance("PROD",DataAreaId,"T.TPPTrans_sst|InventDimId~inventDimId@T.InventDim","Sum|CostAmount|0","","","","","","","ItemId|TransDate|T2.InventSiteId|T2.InventLocationId",$A149,PeriodEnding,$B149,$C149)</f>
        <v>0</v>
      </c>
      <c r="L149" s="4">
        <f>AtlasReport_4_Table_1[[#This Row],[TPP cost amount]]-AtlasReport_4_Table_1[[#This Row],[TPP trans backwards balance (Beginning)]]</f>
        <v>3161.8872107901097</v>
      </c>
      <c r="M149" s="4">
        <f>AtlasReport_4_Table_1[[#This Row],[TPP cost amount]]-AtlasReport_4_Table_1[[#This Row],[TPP Balance (Beginning)]]</f>
        <v>11.510000000000218</v>
      </c>
    </row>
    <row r="150" spans="1:13" x14ac:dyDescent="0.25">
      <c r="A150" s="8" t="s">
        <v>75</v>
      </c>
      <c r="B150" s="8" t="s">
        <v>261</v>
      </c>
      <c r="C150" s="8" t="s">
        <v>262</v>
      </c>
      <c r="D150" s="4">
        <v>400</v>
      </c>
      <c r="E150" s="4">
        <v>0</v>
      </c>
      <c r="F150" s="4">
        <f>_xll.AtlasFormulas.AtlasFunctions.AtlasBalance("PROD",DataAreaId,"T.TPPTrans_sst|InventDimId~inventDimId@T.InventDim","Sum|Qty|0","","","","","","","ItemId|TransDate|T2.InventSiteId|T2.InventLocationId",$A150,PeriodBeginning,$B150,$C150)</f>
        <v>0</v>
      </c>
      <c r="G150" s="4">
        <f>_xll.AtlasFormulas.AtlasFunctions.AtlasBalance("PROD",DataAreaId,"T.TPPTrans_sst|InventDimId~inventDimId@T.InventDim","Sum|Qty|0","","","","","","","ItemId|TransDate|T2.InventSiteId|T2.InventLocationId",$A150,PeriodEnding,$B150,$C150)</f>
        <v>0</v>
      </c>
      <c r="H150" s="4">
        <f>AtlasReport_4_Table_1[[#This Row],[Quantity]]-AtlasReport_4_Table_1[[#This Row],[TPP trans backwards (Beginning)]]</f>
        <v>400</v>
      </c>
      <c r="I150" s="4">
        <f>AtlasReport_4_Table_1[[#This Row],[Quantity]]-AtlasReport_4_Table_1[[#This Row],[TPP trans backwards (Ending)]]</f>
        <v>400</v>
      </c>
      <c r="J150" s="4">
        <f>_xll.AtlasFormulas.AtlasFunctions.AtlasBalance("PROD",DataAreaId,"T.TPPTrans_sst|InventDimId~inventDimId@T.InventDim","Sum|CostAmount|0","","","","","","","ItemId|TransDate|T2.InventSiteId|T2.InventLocationId",$A150,PeriodBeginning,$B150,$C150)</f>
        <v>0</v>
      </c>
      <c r="K150" s="4">
        <f>_xll.AtlasFormulas.AtlasFunctions.AtlasBalance("PROD",DataAreaId,"T.TPPTrans_sst|InventDimId~inventDimId@T.InventDim","Sum|CostAmount|0","","","","","","","ItemId|TransDate|T2.InventSiteId|T2.InventLocationId",$A150,PeriodEnding,$B150,$C150)</f>
        <v>0</v>
      </c>
      <c r="L150" s="4">
        <f>AtlasReport_4_Table_1[[#This Row],[TPP cost amount]]-AtlasReport_4_Table_1[[#This Row],[TPP trans backwards balance (Beginning)]]</f>
        <v>0</v>
      </c>
      <c r="M150" s="4">
        <f>AtlasReport_4_Table_1[[#This Row],[TPP cost amount]]-AtlasReport_4_Table_1[[#This Row],[TPP Balance (Beginning)]]</f>
        <v>0</v>
      </c>
    </row>
    <row r="151" spans="1:13" x14ac:dyDescent="0.25">
      <c r="A151" s="8" t="s">
        <v>75</v>
      </c>
      <c r="B151" s="8" t="s">
        <v>261</v>
      </c>
      <c r="C151" s="8" t="s">
        <v>264</v>
      </c>
      <c r="D151" s="4">
        <v>929.4</v>
      </c>
      <c r="E151" s="4">
        <v>262.89953862901598</v>
      </c>
      <c r="F151" s="4">
        <f>_xll.AtlasFormulas.AtlasFunctions.AtlasBalance("PROD",DataAreaId,"T.TPPTrans_sst|InventDimId~inventDimId@T.InventDim","Sum|Qty|0","","","","","","","ItemId|TransDate|T2.InventSiteId|T2.InventLocationId",$A151,PeriodBeginning,$B151,$C151)</f>
        <v>-22.55</v>
      </c>
      <c r="G151" s="4">
        <f>_xll.AtlasFormulas.AtlasFunctions.AtlasBalance("PROD",DataAreaId,"T.TPPTrans_sst|InventDimId~inventDimId@T.InventDim","Sum|Qty|0","","","","","","","ItemId|TransDate|T2.InventSiteId|T2.InventLocationId",$A151,PeriodEnding,$B151,$C151)</f>
        <v>0</v>
      </c>
      <c r="H151" s="4">
        <f>AtlasReport_4_Table_1[[#This Row],[Quantity]]-AtlasReport_4_Table_1[[#This Row],[TPP trans backwards (Beginning)]]</f>
        <v>951.94999999999993</v>
      </c>
      <c r="I151" s="4">
        <f>AtlasReport_4_Table_1[[#This Row],[Quantity]]-AtlasReport_4_Table_1[[#This Row],[TPP trans backwards (Ending)]]</f>
        <v>929.4</v>
      </c>
      <c r="J151" s="4">
        <f>_xll.AtlasFormulas.AtlasFunctions.AtlasBalance("PROD",DataAreaId,"T.TPPTrans_sst|InventDimId~inventDimId@T.InventDim","Sum|CostAmount|0","","","","","","","ItemId|TransDate|T2.InventSiteId|T2.InventLocationId",$A151,PeriodBeginning,$B151,$C151)</f>
        <v>-6.38</v>
      </c>
      <c r="K151" s="4">
        <f>_xll.AtlasFormulas.AtlasFunctions.AtlasBalance("PROD",DataAreaId,"T.TPPTrans_sst|InventDimId~inventDimId@T.InventDim","Sum|CostAmount|0","","","","","","","ItemId|TransDate|T2.InventSiteId|T2.InventLocationId",$A151,PeriodEnding,$B151,$C151)</f>
        <v>0</v>
      </c>
      <c r="L151" s="4">
        <f>AtlasReport_4_Table_1[[#This Row],[TPP cost amount]]-AtlasReport_4_Table_1[[#This Row],[TPP trans backwards balance (Beginning)]]</f>
        <v>269.27953862901597</v>
      </c>
      <c r="M151" s="4">
        <f>AtlasReport_4_Table_1[[#This Row],[TPP cost amount]]-AtlasReport_4_Table_1[[#This Row],[TPP Balance (Beginning)]]</f>
        <v>-6.3799999999999955</v>
      </c>
    </row>
    <row r="152" spans="1:13" x14ac:dyDescent="0.25">
      <c r="A152" s="8" t="s">
        <v>55</v>
      </c>
      <c r="B152" s="8" t="s">
        <v>261</v>
      </c>
      <c r="C152" s="8" t="s">
        <v>262</v>
      </c>
      <c r="D152" s="4">
        <v>500</v>
      </c>
      <c r="E152" s="4">
        <v>0</v>
      </c>
      <c r="F152" s="4">
        <f>_xll.AtlasFormulas.AtlasFunctions.AtlasBalance("PROD",DataAreaId,"T.TPPTrans_sst|InventDimId~inventDimId@T.InventDim","Sum|Qty|0","","","","","","","ItemId|TransDate|T2.InventSiteId|T2.InventLocationId",$A152,PeriodBeginning,$B152,$C152)</f>
        <v>0</v>
      </c>
      <c r="G152" s="4">
        <f>_xll.AtlasFormulas.AtlasFunctions.AtlasBalance("PROD",DataAreaId,"T.TPPTrans_sst|InventDimId~inventDimId@T.InventDim","Sum|Qty|0","","","","","","","ItemId|TransDate|T2.InventSiteId|T2.InventLocationId",$A152,PeriodEnding,$B152,$C152)</f>
        <v>0</v>
      </c>
      <c r="H152" s="4">
        <f>AtlasReport_4_Table_1[[#This Row],[Quantity]]-AtlasReport_4_Table_1[[#This Row],[TPP trans backwards (Beginning)]]</f>
        <v>500</v>
      </c>
      <c r="I152" s="4">
        <f>AtlasReport_4_Table_1[[#This Row],[Quantity]]-AtlasReport_4_Table_1[[#This Row],[TPP trans backwards (Ending)]]</f>
        <v>500</v>
      </c>
      <c r="J152" s="4">
        <f>_xll.AtlasFormulas.AtlasFunctions.AtlasBalance("PROD",DataAreaId,"T.TPPTrans_sst|InventDimId~inventDimId@T.InventDim","Sum|CostAmount|0","","","","","","","ItemId|TransDate|T2.InventSiteId|T2.InventLocationId",$A152,PeriodBeginning,$B152,$C152)</f>
        <v>0</v>
      </c>
      <c r="K152" s="4">
        <f>_xll.AtlasFormulas.AtlasFunctions.AtlasBalance("PROD",DataAreaId,"T.TPPTrans_sst|InventDimId~inventDimId@T.InventDim","Sum|CostAmount|0","","","","","","","ItemId|TransDate|T2.InventSiteId|T2.InventLocationId",$A152,PeriodEnding,$B152,$C152)</f>
        <v>0</v>
      </c>
      <c r="L152" s="4">
        <f>AtlasReport_4_Table_1[[#This Row],[TPP cost amount]]-AtlasReport_4_Table_1[[#This Row],[TPP trans backwards balance (Beginning)]]</f>
        <v>0</v>
      </c>
      <c r="M152" s="4">
        <f>AtlasReport_4_Table_1[[#This Row],[TPP cost amount]]-AtlasReport_4_Table_1[[#This Row],[TPP Balance (Beginning)]]</f>
        <v>0</v>
      </c>
    </row>
    <row r="153" spans="1:13" x14ac:dyDescent="0.25">
      <c r="A153" s="8" t="s">
        <v>55</v>
      </c>
      <c r="B153" s="8" t="s">
        <v>261</v>
      </c>
      <c r="C153" s="8" t="s">
        <v>264</v>
      </c>
      <c r="D153" s="4">
        <v>3766.48</v>
      </c>
      <c r="E153" s="4">
        <v>374.394836940917</v>
      </c>
      <c r="F153" s="4">
        <f>_xll.AtlasFormulas.AtlasFunctions.AtlasBalance("PROD",DataAreaId,"T.TPPTrans_sst|InventDimId~inventDimId@T.InventDim","Sum|Qty|0","","","","","","","ItemId|TransDate|T2.InventSiteId|T2.InventLocationId",$A153,PeriodBeginning,$B153,$C153)</f>
        <v>-603.54999999999995</v>
      </c>
      <c r="G153" s="4">
        <f>_xll.AtlasFormulas.AtlasFunctions.AtlasBalance("PROD",DataAreaId,"T.TPPTrans_sst|InventDimId~inventDimId@T.InventDim","Sum|Qty|0","","","","","","","ItemId|TransDate|T2.InventSiteId|T2.InventLocationId",$A153,PeriodEnding,$B153,$C153)</f>
        <v>0</v>
      </c>
      <c r="H153" s="4">
        <f>AtlasReport_4_Table_1[[#This Row],[Quantity]]-AtlasReport_4_Table_1[[#This Row],[TPP trans backwards (Beginning)]]</f>
        <v>4370.03</v>
      </c>
      <c r="I153" s="4">
        <f>AtlasReport_4_Table_1[[#This Row],[Quantity]]-AtlasReport_4_Table_1[[#This Row],[TPP trans backwards (Ending)]]</f>
        <v>3766.48</v>
      </c>
      <c r="J153" s="4">
        <f>_xll.AtlasFormulas.AtlasFunctions.AtlasBalance("PROD",DataAreaId,"T.TPPTrans_sst|InventDimId~inventDimId@T.InventDim","Sum|CostAmount|0","","","","","","","ItemId|TransDate|T2.InventSiteId|T2.InventLocationId",$A153,PeriodBeginning,$B153,$C153)</f>
        <v>-59.99</v>
      </c>
      <c r="K153" s="4">
        <f>_xll.AtlasFormulas.AtlasFunctions.AtlasBalance("PROD",DataAreaId,"T.TPPTrans_sst|InventDimId~inventDimId@T.InventDim","Sum|CostAmount|0","","","","","","","ItemId|TransDate|T2.InventSiteId|T2.InventLocationId",$A153,PeriodEnding,$B153,$C153)</f>
        <v>0</v>
      </c>
      <c r="L153" s="4">
        <f>AtlasReport_4_Table_1[[#This Row],[TPP cost amount]]-AtlasReport_4_Table_1[[#This Row],[TPP trans backwards balance (Beginning)]]</f>
        <v>434.38483694091701</v>
      </c>
      <c r="M153" s="4">
        <f>AtlasReport_4_Table_1[[#This Row],[TPP cost amount]]-AtlasReport_4_Table_1[[#This Row],[TPP Balance (Beginning)]]</f>
        <v>-59.990000000000009</v>
      </c>
    </row>
    <row r="154" spans="1:13" x14ac:dyDescent="0.25">
      <c r="A154" s="8" t="s">
        <v>399</v>
      </c>
      <c r="B154" s="8" t="s">
        <v>261</v>
      </c>
      <c r="C154" s="8" t="s">
        <v>264</v>
      </c>
      <c r="D154" s="4">
        <v>3.22</v>
      </c>
      <c r="E154" s="4">
        <v>0</v>
      </c>
      <c r="F154" s="4">
        <f>_xll.AtlasFormulas.AtlasFunctions.AtlasBalance("PROD",DataAreaId,"T.TPPTrans_sst|InventDimId~inventDimId@T.InventDim","Sum|Qty|0","","","","","","","ItemId|TransDate|T2.InventSiteId|T2.InventLocationId",$A154,PeriodBeginning,$B154,$C154)</f>
        <v>0</v>
      </c>
      <c r="G154" s="4">
        <f>_xll.AtlasFormulas.AtlasFunctions.AtlasBalance("PROD",DataAreaId,"T.TPPTrans_sst|InventDimId~inventDimId@T.InventDim","Sum|Qty|0","","","","","","","ItemId|TransDate|T2.InventSiteId|T2.InventLocationId",$A154,PeriodEnding,$B154,$C154)</f>
        <v>0</v>
      </c>
      <c r="H154" s="4">
        <f>AtlasReport_4_Table_1[[#This Row],[Quantity]]-AtlasReport_4_Table_1[[#This Row],[TPP trans backwards (Beginning)]]</f>
        <v>3.22</v>
      </c>
      <c r="I154" s="4">
        <f>AtlasReport_4_Table_1[[#This Row],[Quantity]]-AtlasReport_4_Table_1[[#This Row],[TPP trans backwards (Ending)]]</f>
        <v>3.22</v>
      </c>
      <c r="J154" s="4">
        <f>_xll.AtlasFormulas.AtlasFunctions.AtlasBalance("PROD",DataAreaId,"T.TPPTrans_sst|InventDimId~inventDimId@T.InventDim","Sum|CostAmount|0","","","","","","","ItemId|TransDate|T2.InventSiteId|T2.InventLocationId",$A154,PeriodBeginning,$B154,$C154)</f>
        <v>0</v>
      </c>
      <c r="K154" s="4">
        <f>_xll.AtlasFormulas.AtlasFunctions.AtlasBalance("PROD",DataAreaId,"T.TPPTrans_sst|InventDimId~inventDimId@T.InventDim","Sum|CostAmount|0","","","","","","","ItemId|TransDate|T2.InventSiteId|T2.InventLocationId",$A154,PeriodEnding,$B154,$C154)</f>
        <v>0</v>
      </c>
      <c r="L154" s="4">
        <f>AtlasReport_4_Table_1[[#This Row],[TPP cost amount]]-AtlasReport_4_Table_1[[#This Row],[TPP trans backwards balance (Beginning)]]</f>
        <v>0</v>
      </c>
      <c r="M154" s="4">
        <f>AtlasReport_4_Table_1[[#This Row],[TPP cost amount]]-AtlasReport_4_Table_1[[#This Row],[TPP Balance (Beginning)]]</f>
        <v>0</v>
      </c>
    </row>
    <row r="155" spans="1:13" x14ac:dyDescent="0.25">
      <c r="A155" s="8" t="s">
        <v>111</v>
      </c>
      <c r="B155" s="8" t="s">
        <v>261</v>
      </c>
      <c r="C155" s="8" t="s">
        <v>262</v>
      </c>
      <c r="D155" s="4">
        <v>3450</v>
      </c>
      <c r="E155" s="4">
        <v>0</v>
      </c>
      <c r="F155" s="4">
        <f>_xll.AtlasFormulas.AtlasFunctions.AtlasBalance("PROD",DataAreaId,"T.TPPTrans_sst|InventDimId~inventDimId@T.InventDim","Sum|Qty|0","","","","","","","ItemId|TransDate|T2.InventSiteId|T2.InventLocationId",$A155,PeriodBeginning,$B155,$C155)</f>
        <v>0</v>
      </c>
      <c r="G155" s="4">
        <f>_xll.AtlasFormulas.AtlasFunctions.AtlasBalance("PROD",DataAreaId,"T.TPPTrans_sst|InventDimId~inventDimId@T.InventDim","Sum|Qty|0","","","","","","","ItemId|TransDate|T2.InventSiteId|T2.InventLocationId",$A155,PeriodEnding,$B155,$C155)</f>
        <v>0</v>
      </c>
      <c r="H155" s="4">
        <f>AtlasReport_4_Table_1[[#This Row],[Quantity]]-AtlasReport_4_Table_1[[#This Row],[TPP trans backwards (Beginning)]]</f>
        <v>3450</v>
      </c>
      <c r="I155" s="4">
        <f>AtlasReport_4_Table_1[[#This Row],[Quantity]]-AtlasReport_4_Table_1[[#This Row],[TPP trans backwards (Ending)]]</f>
        <v>3450</v>
      </c>
      <c r="J155" s="4">
        <f>_xll.AtlasFormulas.AtlasFunctions.AtlasBalance("PROD",DataAreaId,"T.TPPTrans_sst|InventDimId~inventDimId@T.InventDim","Sum|CostAmount|0","","","","","","","ItemId|TransDate|T2.InventSiteId|T2.InventLocationId",$A155,PeriodBeginning,$B155,$C155)</f>
        <v>0</v>
      </c>
      <c r="K155" s="4">
        <f>_xll.AtlasFormulas.AtlasFunctions.AtlasBalance("PROD",DataAreaId,"T.TPPTrans_sst|InventDimId~inventDimId@T.InventDim","Sum|CostAmount|0","","","","","","","ItemId|TransDate|T2.InventSiteId|T2.InventLocationId",$A155,PeriodEnding,$B155,$C155)</f>
        <v>0</v>
      </c>
      <c r="L155" s="4">
        <f>AtlasReport_4_Table_1[[#This Row],[TPP cost amount]]-AtlasReport_4_Table_1[[#This Row],[TPP trans backwards balance (Beginning)]]</f>
        <v>0</v>
      </c>
      <c r="M155" s="4">
        <f>AtlasReport_4_Table_1[[#This Row],[TPP cost amount]]-AtlasReport_4_Table_1[[#This Row],[TPP Balance (Beginning)]]</f>
        <v>0</v>
      </c>
    </row>
    <row r="156" spans="1:13" x14ac:dyDescent="0.25">
      <c r="A156" s="8" t="s">
        <v>111</v>
      </c>
      <c r="B156" s="8" t="s">
        <v>261</v>
      </c>
      <c r="C156" s="8" t="s">
        <v>264</v>
      </c>
      <c r="D156" s="4">
        <v>288.8</v>
      </c>
      <c r="E156" s="4">
        <v>212.97524545850001</v>
      </c>
      <c r="F156" s="4">
        <f>_xll.AtlasFormulas.AtlasFunctions.AtlasBalance("PROD",DataAreaId,"T.TPPTrans_sst|InventDimId~inventDimId@T.InventDim","Sum|Qty|0","","","","","","","ItemId|TransDate|T2.InventSiteId|T2.InventLocationId",$A156,PeriodBeginning,$B156,$C156)</f>
        <v>-34.04</v>
      </c>
      <c r="G156" s="4">
        <f>_xll.AtlasFormulas.AtlasFunctions.AtlasBalance("PROD",DataAreaId,"T.TPPTrans_sst|InventDimId~inventDimId@T.InventDim","Sum|Qty|0","","","","","","","ItemId|TransDate|T2.InventSiteId|T2.InventLocationId",$A156,PeriodEnding,$B156,$C156)</f>
        <v>0</v>
      </c>
      <c r="H156" s="4">
        <f>AtlasReport_4_Table_1[[#This Row],[Quantity]]-AtlasReport_4_Table_1[[#This Row],[TPP trans backwards (Beginning)]]</f>
        <v>322.84000000000003</v>
      </c>
      <c r="I156" s="4">
        <f>AtlasReport_4_Table_1[[#This Row],[Quantity]]-AtlasReport_4_Table_1[[#This Row],[TPP trans backwards (Ending)]]</f>
        <v>288.8</v>
      </c>
      <c r="J156" s="4">
        <f>_xll.AtlasFormulas.AtlasFunctions.AtlasBalance("PROD",DataAreaId,"T.TPPTrans_sst|InventDimId~inventDimId@T.InventDim","Sum|CostAmount|0","","","","","","","ItemId|TransDate|T2.InventSiteId|T2.InventLocationId",$A156,PeriodBeginning,$B156,$C156)</f>
        <v>-38.729999999999997</v>
      </c>
      <c r="K156" s="4">
        <f>_xll.AtlasFormulas.AtlasFunctions.AtlasBalance("PROD",DataAreaId,"T.TPPTrans_sst|InventDimId~inventDimId@T.InventDim","Sum|CostAmount|0","","","","","","","ItemId|TransDate|T2.InventSiteId|T2.InventLocationId",$A156,PeriodEnding,$B156,$C156)</f>
        <v>0</v>
      </c>
      <c r="L156" s="4">
        <f>AtlasReport_4_Table_1[[#This Row],[TPP cost amount]]-AtlasReport_4_Table_1[[#This Row],[TPP trans backwards balance (Beginning)]]</f>
        <v>251.7052454585</v>
      </c>
      <c r="M156" s="4">
        <f>AtlasReport_4_Table_1[[#This Row],[TPP cost amount]]-AtlasReport_4_Table_1[[#This Row],[TPP Balance (Beginning)]]</f>
        <v>-38.72999999999999</v>
      </c>
    </row>
    <row r="157" spans="1:13" x14ac:dyDescent="0.25">
      <c r="A157" s="8" t="s">
        <v>56</v>
      </c>
      <c r="B157" s="8" t="s">
        <v>261</v>
      </c>
      <c r="C157" s="8" t="s">
        <v>262</v>
      </c>
      <c r="D157" s="4">
        <v>4500</v>
      </c>
      <c r="E157" s="4">
        <v>0</v>
      </c>
      <c r="F157" s="4">
        <f>_xll.AtlasFormulas.AtlasFunctions.AtlasBalance("PROD",DataAreaId,"T.TPPTrans_sst|InventDimId~inventDimId@T.InventDim","Sum|Qty|0","","","","","","","ItemId|TransDate|T2.InventSiteId|T2.InventLocationId",$A157,PeriodBeginning,$B157,$C157)</f>
        <v>0</v>
      </c>
      <c r="G157" s="4">
        <f>_xll.AtlasFormulas.AtlasFunctions.AtlasBalance("PROD",DataAreaId,"T.TPPTrans_sst|InventDimId~inventDimId@T.InventDim","Sum|Qty|0","","","","","","","ItemId|TransDate|T2.InventSiteId|T2.InventLocationId",$A157,PeriodEnding,$B157,$C157)</f>
        <v>0</v>
      </c>
      <c r="H157" s="4">
        <f>AtlasReport_4_Table_1[[#This Row],[Quantity]]-AtlasReport_4_Table_1[[#This Row],[TPP trans backwards (Beginning)]]</f>
        <v>4500</v>
      </c>
      <c r="I157" s="4">
        <f>AtlasReport_4_Table_1[[#This Row],[Quantity]]-AtlasReport_4_Table_1[[#This Row],[TPP trans backwards (Ending)]]</f>
        <v>4500</v>
      </c>
      <c r="J157" s="4">
        <f>_xll.AtlasFormulas.AtlasFunctions.AtlasBalance("PROD",DataAreaId,"T.TPPTrans_sst|InventDimId~inventDimId@T.InventDim","Sum|CostAmount|0","","","","","","","ItemId|TransDate|T2.InventSiteId|T2.InventLocationId",$A157,PeriodBeginning,$B157,$C157)</f>
        <v>0</v>
      </c>
      <c r="K157" s="4">
        <f>_xll.AtlasFormulas.AtlasFunctions.AtlasBalance("PROD",DataAreaId,"T.TPPTrans_sst|InventDimId~inventDimId@T.InventDim","Sum|CostAmount|0","","","","","","","ItemId|TransDate|T2.InventSiteId|T2.InventLocationId",$A157,PeriodEnding,$B157,$C157)</f>
        <v>0</v>
      </c>
      <c r="L157" s="4">
        <f>AtlasReport_4_Table_1[[#This Row],[TPP cost amount]]-AtlasReport_4_Table_1[[#This Row],[TPP trans backwards balance (Beginning)]]</f>
        <v>0</v>
      </c>
      <c r="M157" s="4">
        <f>AtlasReport_4_Table_1[[#This Row],[TPP cost amount]]-AtlasReport_4_Table_1[[#This Row],[TPP Balance (Beginning)]]</f>
        <v>0</v>
      </c>
    </row>
    <row r="158" spans="1:13" x14ac:dyDescent="0.25">
      <c r="A158" s="8" t="s">
        <v>56</v>
      </c>
      <c r="B158" s="8" t="s">
        <v>261</v>
      </c>
      <c r="C158" s="8" t="s">
        <v>264</v>
      </c>
      <c r="D158" s="4">
        <v>6207.7</v>
      </c>
      <c r="E158" s="4">
        <v>692.13</v>
      </c>
      <c r="F158" s="4">
        <f>_xll.AtlasFormulas.AtlasFunctions.AtlasBalance("PROD",DataAreaId,"T.TPPTrans_sst|InventDimId~inventDimId@T.InventDim","Sum|Qty|0","","","","","","","ItemId|TransDate|T2.InventSiteId|T2.InventLocationId",$A158,PeriodBeginning,$B158,$C158)</f>
        <v>-46.81</v>
      </c>
      <c r="G158" s="4">
        <f>_xll.AtlasFormulas.AtlasFunctions.AtlasBalance("PROD",DataAreaId,"T.TPPTrans_sst|InventDimId~inventDimId@T.InventDim","Sum|Qty|0","","","","","","","ItemId|TransDate|T2.InventSiteId|T2.InventLocationId",$A158,PeriodEnding,$B158,$C158)</f>
        <v>0</v>
      </c>
      <c r="H158" s="4">
        <f>AtlasReport_4_Table_1[[#This Row],[Quantity]]-AtlasReport_4_Table_1[[#This Row],[TPP trans backwards (Beginning)]]</f>
        <v>6254.51</v>
      </c>
      <c r="I158" s="4">
        <f>AtlasReport_4_Table_1[[#This Row],[Quantity]]-AtlasReport_4_Table_1[[#This Row],[TPP trans backwards (Ending)]]</f>
        <v>6207.7</v>
      </c>
      <c r="J158" s="4">
        <f>_xll.AtlasFormulas.AtlasFunctions.AtlasBalance("PROD",DataAreaId,"T.TPPTrans_sst|InventDimId~inventDimId@T.InventDim","Sum|CostAmount|0","","","","","","","ItemId|TransDate|T2.InventSiteId|T2.InventLocationId",$A158,PeriodBeginning,$B158,$C158)</f>
        <v>-15.78</v>
      </c>
      <c r="K158" s="4">
        <f>_xll.AtlasFormulas.AtlasFunctions.AtlasBalance("PROD",DataAreaId,"T.TPPTrans_sst|InventDimId~inventDimId@T.InventDim","Sum|CostAmount|0","","","","","","","ItemId|TransDate|T2.InventSiteId|T2.InventLocationId",$A158,PeriodEnding,$B158,$C158)</f>
        <v>0</v>
      </c>
      <c r="L158" s="4">
        <f>AtlasReport_4_Table_1[[#This Row],[TPP cost amount]]-AtlasReport_4_Table_1[[#This Row],[TPP trans backwards balance (Beginning)]]</f>
        <v>707.91</v>
      </c>
      <c r="M158" s="4">
        <f>AtlasReport_4_Table_1[[#This Row],[TPP cost amount]]-AtlasReport_4_Table_1[[#This Row],[TPP Balance (Beginning)]]</f>
        <v>-15.779999999999973</v>
      </c>
    </row>
    <row r="159" spans="1:13" x14ac:dyDescent="0.25">
      <c r="A159" s="8" t="s">
        <v>57</v>
      </c>
      <c r="B159" s="8" t="s">
        <v>261</v>
      </c>
      <c r="C159" s="8" t="s">
        <v>262</v>
      </c>
      <c r="D159" s="4">
        <v>700</v>
      </c>
      <c r="E159" s="4">
        <v>0</v>
      </c>
      <c r="F159" s="4">
        <f>_xll.AtlasFormulas.AtlasFunctions.AtlasBalance("PROD",DataAreaId,"T.TPPTrans_sst|InventDimId~inventDimId@T.InventDim","Sum|Qty|0","","","","","","","ItemId|TransDate|T2.InventSiteId|T2.InventLocationId",$A159,PeriodBeginning,$B159,$C159)</f>
        <v>0</v>
      </c>
      <c r="G159" s="4">
        <f>_xll.AtlasFormulas.AtlasFunctions.AtlasBalance("PROD",DataAreaId,"T.TPPTrans_sst|InventDimId~inventDimId@T.InventDim","Sum|Qty|0","","","","","","","ItemId|TransDate|T2.InventSiteId|T2.InventLocationId",$A159,PeriodEnding,$B159,$C159)</f>
        <v>0</v>
      </c>
      <c r="H159" s="4">
        <f>AtlasReport_4_Table_1[[#This Row],[Quantity]]-AtlasReport_4_Table_1[[#This Row],[TPP trans backwards (Beginning)]]</f>
        <v>700</v>
      </c>
      <c r="I159" s="4">
        <f>AtlasReport_4_Table_1[[#This Row],[Quantity]]-AtlasReport_4_Table_1[[#This Row],[TPP trans backwards (Ending)]]</f>
        <v>700</v>
      </c>
      <c r="J159" s="4">
        <f>_xll.AtlasFormulas.AtlasFunctions.AtlasBalance("PROD",DataAreaId,"T.TPPTrans_sst|InventDimId~inventDimId@T.InventDim","Sum|CostAmount|0","","","","","","","ItemId|TransDate|T2.InventSiteId|T2.InventLocationId",$A159,PeriodBeginning,$B159,$C159)</f>
        <v>0</v>
      </c>
      <c r="K159" s="4">
        <f>_xll.AtlasFormulas.AtlasFunctions.AtlasBalance("PROD",DataAreaId,"T.TPPTrans_sst|InventDimId~inventDimId@T.InventDim","Sum|CostAmount|0","","","","","","","ItemId|TransDate|T2.InventSiteId|T2.InventLocationId",$A159,PeriodEnding,$B159,$C159)</f>
        <v>0</v>
      </c>
      <c r="L159" s="4">
        <f>AtlasReport_4_Table_1[[#This Row],[TPP cost amount]]-AtlasReport_4_Table_1[[#This Row],[TPP trans backwards balance (Beginning)]]</f>
        <v>0</v>
      </c>
      <c r="M159" s="4">
        <f>AtlasReport_4_Table_1[[#This Row],[TPP cost amount]]-AtlasReport_4_Table_1[[#This Row],[TPP Balance (Beginning)]]</f>
        <v>0</v>
      </c>
    </row>
    <row r="160" spans="1:13" x14ac:dyDescent="0.25">
      <c r="A160" s="8" t="s">
        <v>57</v>
      </c>
      <c r="B160" s="8" t="s">
        <v>261</v>
      </c>
      <c r="C160" s="8" t="s">
        <v>264</v>
      </c>
      <c r="D160" s="4">
        <v>1055.44</v>
      </c>
      <c r="E160" s="4">
        <v>1569.3114154378241</v>
      </c>
      <c r="F160" s="4">
        <f>_xll.AtlasFormulas.AtlasFunctions.AtlasBalance("PROD",DataAreaId,"T.TPPTrans_sst|InventDimId~inventDimId@T.InventDim","Sum|Qty|0","","","","","","","ItemId|TransDate|T2.InventSiteId|T2.InventLocationId",$A160,PeriodBeginning,$B160,$C160)</f>
        <v>-42.65</v>
      </c>
      <c r="G160" s="4">
        <f>_xll.AtlasFormulas.AtlasFunctions.AtlasBalance("PROD",DataAreaId,"T.TPPTrans_sst|InventDimId~inventDimId@T.InventDim","Sum|Qty|0","","","","","","","ItemId|TransDate|T2.InventSiteId|T2.InventLocationId",$A160,PeriodEnding,$B160,$C160)</f>
        <v>0</v>
      </c>
      <c r="H160" s="4">
        <f>AtlasReport_4_Table_1[[#This Row],[Quantity]]-AtlasReport_4_Table_1[[#This Row],[TPP trans backwards (Beginning)]]</f>
        <v>1098.0900000000001</v>
      </c>
      <c r="I160" s="4">
        <f>AtlasReport_4_Table_1[[#This Row],[Quantity]]-AtlasReport_4_Table_1[[#This Row],[TPP trans backwards (Ending)]]</f>
        <v>1055.44</v>
      </c>
      <c r="J160" s="4">
        <f>_xll.AtlasFormulas.AtlasFunctions.AtlasBalance("PROD",DataAreaId,"T.TPPTrans_sst|InventDimId~inventDimId@T.InventDim","Sum|CostAmount|0","","","","","","","ItemId|TransDate|T2.InventSiteId|T2.InventLocationId",$A160,PeriodBeginning,$B160,$C160)</f>
        <v>-63.42</v>
      </c>
      <c r="K160" s="4">
        <f>_xll.AtlasFormulas.AtlasFunctions.AtlasBalance("PROD",DataAreaId,"T.TPPTrans_sst|InventDimId~inventDimId@T.InventDim","Sum|CostAmount|0","","","","","","","ItemId|TransDate|T2.InventSiteId|T2.InventLocationId",$A160,PeriodEnding,$B160,$C160)</f>
        <v>0</v>
      </c>
      <c r="L160" s="4">
        <f>AtlasReport_4_Table_1[[#This Row],[TPP cost amount]]-AtlasReport_4_Table_1[[#This Row],[TPP trans backwards balance (Beginning)]]</f>
        <v>1632.7314154378241</v>
      </c>
      <c r="M160" s="4">
        <f>AtlasReport_4_Table_1[[#This Row],[TPP cost amount]]-AtlasReport_4_Table_1[[#This Row],[TPP Balance (Beginning)]]</f>
        <v>-63.420000000000073</v>
      </c>
    </row>
    <row r="161" spans="1:13" x14ac:dyDescent="0.25">
      <c r="A161" s="8" t="s">
        <v>97</v>
      </c>
      <c r="B161" s="8" t="s">
        <v>261</v>
      </c>
      <c r="C161" s="8" t="s">
        <v>262</v>
      </c>
      <c r="D161" s="4">
        <v>3000</v>
      </c>
      <c r="E161" s="4">
        <v>0</v>
      </c>
      <c r="F161" s="4">
        <f>_xll.AtlasFormulas.AtlasFunctions.AtlasBalance("PROD",DataAreaId,"T.TPPTrans_sst|InventDimId~inventDimId@T.InventDim","Sum|Qty|0","","","","","","","ItemId|TransDate|T2.InventSiteId|T2.InventLocationId",$A161,PeriodBeginning,$B161,$C161)</f>
        <v>0</v>
      </c>
      <c r="G161" s="4">
        <f>_xll.AtlasFormulas.AtlasFunctions.AtlasBalance("PROD",DataAreaId,"T.TPPTrans_sst|InventDimId~inventDimId@T.InventDim","Sum|Qty|0","","","","","","","ItemId|TransDate|T2.InventSiteId|T2.InventLocationId",$A161,PeriodEnding,$B161,$C161)</f>
        <v>0</v>
      </c>
      <c r="H161" s="4">
        <f>AtlasReport_4_Table_1[[#This Row],[Quantity]]-AtlasReport_4_Table_1[[#This Row],[TPP trans backwards (Beginning)]]</f>
        <v>3000</v>
      </c>
      <c r="I161" s="4">
        <f>AtlasReport_4_Table_1[[#This Row],[Quantity]]-AtlasReport_4_Table_1[[#This Row],[TPP trans backwards (Ending)]]</f>
        <v>3000</v>
      </c>
      <c r="J161" s="4">
        <f>_xll.AtlasFormulas.AtlasFunctions.AtlasBalance("PROD",DataAreaId,"T.TPPTrans_sst|InventDimId~inventDimId@T.InventDim","Sum|CostAmount|0","","","","","","","ItemId|TransDate|T2.InventSiteId|T2.InventLocationId",$A161,PeriodBeginning,$B161,$C161)</f>
        <v>0</v>
      </c>
      <c r="K161" s="4">
        <f>_xll.AtlasFormulas.AtlasFunctions.AtlasBalance("PROD",DataAreaId,"T.TPPTrans_sst|InventDimId~inventDimId@T.InventDim","Sum|CostAmount|0","","","","","","","ItemId|TransDate|T2.InventSiteId|T2.InventLocationId",$A161,PeriodEnding,$B161,$C161)</f>
        <v>0</v>
      </c>
      <c r="L161" s="4">
        <f>AtlasReport_4_Table_1[[#This Row],[TPP cost amount]]-AtlasReport_4_Table_1[[#This Row],[TPP trans backwards balance (Beginning)]]</f>
        <v>0</v>
      </c>
      <c r="M161" s="4">
        <f>AtlasReport_4_Table_1[[#This Row],[TPP cost amount]]-AtlasReport_4_Table_1[[#This Row],[TPP Balance (Beginning)]]</f>
        <v>0</v>
      </c>
    </row>
    <row r="162" spans="1:13" x14ac:dyDescent="0.25">
      <c r="A162" s="8" t="s">
        <v>97</v>
      </c>
      <c r="B162" s="8" t="s">
        <v>261</v>
      </c>
      <c r="C162" s="8" t="s">
        <v>264</v>
      </c>
      <c r="D162" s="4">
        <v>729.85</v>
      </c>
      <c r="E162" s="4">
        <v>856.30411962854998</v>
      </c>
      <c r="F162" s="4">
        <f>_xll.AtlasFormulas.AtlasFunctions.AtlasBalance("PROD",DataAreaId,"T.TPPTrans_sst|InventDimId~inventDimId@T.InventDim","Sum|Qty|0","","","","","","","ItemId|TransDate|T2.InventSiteId|T2.InventLocationId",$A162,PeriodBeginning,$B162,$C162)</f>
        <v>-462.31</v>
      </c>
      <c r="G162" s="4">
        <f>_xll.AtlasFormulas.AtlasFunctions.AtlasBalance("PROD",DataAreaId,"T.TPPTrans_sst|InventDimId~inventDimId@T.InventDim","Sum|Qty|0","","","","","","","ItemId|TransDate|T2.InventSiteId|T2.InventLocationId",$A162,PeriodEnding,$B162,$C162)</f>
        <v>0</v>
      </c>
      <c r="H162" s="4">
        <f>AtlasReport_4_Table_1[[#This Row],[Quantity]]-AtlasReport_4_Table_1[[#This Row],[TPP trans backwards (Beginning)]]</f>
        <v>1192.1600000000001</v>
      </c>
      <c r="I162" s="4">
        <f>AtlasReport_4_Table_1[[#This Row],[Quantity]]-AtlasReport_4_Table_1[[#This Row],[TPP trans backwards (Ending)]]</f>
        <v>729.85</v>
      </c>
      <c r="J162" s="4">
        <f>_xll.AtlasFormulas.AtlasFunctions.AtlasBalance("PROD",DataAreaId,"T.TPPTrans_sst|InventDimId~inventDimId@T.InventDim","Sum|CostAmount|0","","","","","","","ItemId|TransDate|T2.InventSiteId|T2.InventLocationId",$A162,PeriodBeginning,$B162,$C162)</f>
        <v>-704.54</v>
      </c>
      <c r="K162" s="4">
        <f>_xll.AtlasFormulas.AtlasFunctions.AtlasBalance("PROD",DataAreaId,"T.TPPTrans_sst|InventDimId~inventDimId@T.InventDim","Sum|CostAmount|0","","","","","","","ItemId|TransDate|T2.InventSiteId|T2.InventLocationId",$A162,PeriodEnding,$B162,$C162)</f>
        <v>0</v>
      </c>
      <c r="L162" s="4">
        <f>AtlasReport_4_Table_1[[#This Row],[TPP cost amount]]-AtlasReport_4_Table_1[[#This Row],[TPP trans backwards balance (Beginning)]]</f>
        <v>1560.8441196285498</v>
      </c>
      <c r="M162" s="4">
        <f>AtlasReport_4_Table_1[[#This Row],[TPP cost amount]]-AtlasReport_4_Table_1[[#This Row],[TPP Balance (Beginning)]]</f>
        <v>-704.53999999999985</v>
      </c>
    </row>
    <row r="163" spans="1:13" x14ac:dyDescent="0.25">
      <c r="A163" s="8" t="s">
        <v>29</v>
      </c>
      <c r="B163" s="8" t="s">
        <v>261</v>
      </c>
      <c r="C163" s="8" t="s">
        <v>262</v>
      </c>
      <c r="D163" s="4">
        <v>2150</v>
      </c>
      <c r="E163" s="4">
        <v>0</v>
      </c>
      <c r="F163" s="4">
        <f>_xll.AtlasFormulas.AtlasFunctions.AtlasBalance("PROD",DataAreaId,"T.TPPTrans_sst|InventDimId~inventDimId@T.InventDim","Sum|Qty|0","","","","","","","ItemId|TransDate|T2.InventSiteId|T2.InventLocationId",$A163,PeriodBeginning,$B163,$C163)</f>
        <v>0</v>
      </c>
      <c r="G163" s="4">
        <f>_xll.AtlasFormulas.AtlasFunctions.AtlasBalance("PROD",DataAreaId,"T.TPPTrans_sst|InventDimId~inventDimId@T.InventDim","Sum|Qty|0","","","","","","","ItemId|TransDate|T2.InventSiteId|T2.InventLocationId",$A163,PeriodEnding,$B163,$C163)</f>
        <v>0</v>
      </c>
      <c r="H163" s="4">
        <f>AtlasReport_4_Table_1[[#This Row],[Quantity]]-AtlasReport_4_Table_1[[#This Row],[TPP trans backwards (Beginning)]]</f>
        <v>2150</v>
      </c>
      <c r="I163" s="4">
        <f>AtlasReport_4_Table_1[[#This Row],[Quantity]]-AtlasReport_4_Table_1[[#This Row],[TPP trans backwards (Ending)]]</f>
        <v>2150</v>
      </c>
      <c r="J163" s="4">
        <f>_xll.AtlasFormulas.AtlasFunctions.AtlasBalance("PROD",DataAreaId,"T.TPPTrans_sst|InventDimId~inventDimId@T.InventDim","Sum|CostAmount|0","","","","","","","ItemId|TransDate|T2.InventSiteId|T2.InventLocationId",$A163,PeriodBeginning,$B163,$C163)</f>
        <v>0</v>
      </c>
      <c r="K163" s="4">
        <f>_xll.AtlasFormulas.AtlasFunctions.AtlasBalance("PROD",DataAreaId,"T.TPPTrans_sst|InventDimId~inventDimId@T.InventDim","Sum|CostAmount|0","","","","","","","ItemId|TransDate|T2.InventSiteId|T2.InventLocationId",$A163,PeriodEnding,$B163,$C163)</f>
        <v>0</v>
      </c>
      <c r="L163" s="4">
        <f>AtlasReport_4_Table_1[[#This Row],[TPP cost amount]]-AtlasReport_4_Table_1[[#This Row],[TPP trans backwards balance (Beginning)]]</f>
        <v>0</v>
      </c>
      <c r="M163" s="4">
        <f>AtlasReport_4_Table_1[[#This Row],[TPP cost amount]]-AtlasReport_4_Table_1[[#This Row],[TPP Balance (Beginning)]]</f>
        <v>0</v>
      </c>
    </row>
    <row r="164" spans="1:13" x14ac:dyDescent="0.25">
      <c r="A164" s="8" t="s">
        <v>29</v>
      </c>
      <c r="B164" s="8" t="s">
        <v>261</v>
      </c>
      <c r="C164" s="8" t="s">
        <v>264</v>
      </c>
      <c r="D164" s="4">
        <v>1244.7</v>
      </c>
      <c r="E164" s="4">
        <v>1174.69840364429</v>
      </c>
      <c r="F164" s="4">
        <f>_xll.AtlasFormulas.AtlasFunctions.AtlasBalance("PROD",DataAreaId,"T.TPPTrans_sst|InventDimId~inventDimId@T.InventDim","Sum|Qty|0","","","","","","","ItemId|TransDate|T2.InventSiteId|T2.InventLocationId",$A164,PeriodBeginning,$B164,$C164)</f>
        <v>-11.03</v>
      </c>
      <c r="G164" s="4">
        <f>_xll.AtlasFormulas.AtlasFunctions.AtlasBalance("PROD",DataAreaId,"T.TPPTrans_sst|InventDimId~inventDimId@T.InventDim","Sum|Qty|0","","","","","","","ItemId|TransDate|T2.InventSiteId|T2.InventLocationId",$A164,PeriodEnding,$B164,$C164)</f>
        <v>0</v>
      </c>
      <c r="H164" s="4">
        <f>AtlasReport_4_Table_1[[#This Row],[Quantity]]-AtlasReport_4_Table_1[[#This Row],[TPP trans backwards (Beginning)]]</f>
        <v>1255.73</v>
      </c>
      <c r="I164" s="4">
        <f>AtlasReport_4_Table_1[[#This Row],[Quantity]]-AtlasReport_4_Table_1[[#This Row],[TPP trans backwards (Ending)]]</f>
        <v>1244.7</v>
      </c>
      <c r="J164" s="4">
        <f>_xll.AtlasFormulas.AtlasFunctions.AtlasBalance("PROD",DataAreaId,"T.TPPTrans_sst|InventDimId~inventDimId@T.InventDim","Sum|CostAmount|0","","","","","","","ItemId|TransDate|T2.InventSiteId|T2.InventLocationId",$A164,PeriodBeginning,$B164,$C164)</f>
        <v>-57.74</v>
      </c>
      <c r="K164" s="4">
        <f>_xll.AtlasFormulas.AtlasFunctions.AtlasBalance("PROD",DataAreaId,"T.TPPTrans_sst|InventDimId~inventDimId@T.InventDim","Sum|CostAmount|0","","","","","","","ItemId|TransDate|T2.InventSiteId|T2.InventLocationId",$A164,PeriodEnding,$B164,$C164)</f>
        <v>0</v>
      </c>
      <c r="L164" s="4">
        <f>AtlasReport_4_Table_1[[#This Row],[TPP cost amount]]-AtlasReport_4_Table_1[[#This Row],[TPP trans backwards balance (Beginning)]]</f>
        <v>1232.43840364429</v>
      </c>
      <c r="M164" s="4">
        <f>AtlasReport_4_Table_1[[#This Row],[TPP cost amount]]-AtlasReport_4_Table_1[[#This Row],[TPP Balance (Beginning)]]</f>
        <v>-57.740000000000009</v>
      </c>
    </row>
    <row r="165" spans="1:13" x14ac:dyDescent="0.25">
      <c r="A165" s="8" t="s">
        <v>121</v>
      </c>
      <c r="B165" s="8" t="s">
        <v>261</v>
      </c>
      <c r="C165" s="8" t="s">
        <v>262</v>
      </c>
      <c r="D165" s="4">
        <v>600</v>
      </c>
      <c r="E165" s="4">
        <v>0</v>
      </c>
      <c r="F165" s="4">
        <f>_xll.AtlasFormulas.AtlasFunctions.AtlasBalance("PROD",DataAreaId,"T.TPPTrans_sst|InventDimId~inventDimId@T.InventDim","Sum|Qty|0","","","","","","","ItemId|TransDate|T2.InventSiteId|T2.InventLocationId",$A165,PeriodBeginning,$B165,$C165)</f>
        <v>0</v>
      </c>
      <c r="G165" s="4">
        <f>_xll.AtlasFormulas.AtlasFunctions.AtlasBalance("PROD",DataAreaId,"T.TPPTrans_sst|InventDimId~inventDimId@T.InventDim","Sum|Qty|0","","","","","","","ItemId|TransDate|T2.InventSiteId|T2.InventLocationId",$A165,PeriodEnding,$B165,$C165)</f>
        <v>0</v>
      </c>
      <c r="H165" s="4">
        <f>AtlasReport_4_Table_1[[#This Row],[Quantity]]-AtlasReport_4_Table_1[[#This Row],[TPP trans backwards (Beginning)]]</f>
        <v>600</v>
      </c>
      <c r="I165" s="4">
        <f>AtlasReport_4_Table_1[[#This Row],[Quantity]]-AtlasReport_4_Table_1[[#This Row],[TPP trans backwards (Ending)]]</f>
        <v>600</v>
      </c>
      <c r="J165" s="4">
        <f>_xll.AtlasFormulas.AtlasFunctions.AtlasBalance("PROD",DataAreaId,"T.TPPTrans_sst|InventDimId~inventDimId@T.InventDim","Sum|CostAmount|0","","","","","","","ItemId|TransDate|T2.InventSiteId|T2.InventLocationId",$A165,PeriodBeginning,$B165,$C165)</f>
        <v>0</v>
      </c>
      <c r="K165" s="4">
        <f>_xll.AtlasFormulas.AtlasFunctions.AtlasBalance("PROD",DataAreaId,"T.TPPTrans_sst|InventDimId~inventDimId@T.InventDim","Sum|CostAmount|0","","","","","","","ItemId|TransDate|T2.InventSiteId|T2.InventLocationId",$A165,PeriodEnding,$B165,$C165)</f>
        <v>0</v>
      </c>
      <c r="L165" s="4">
        <f>AtlasReport_4_Table_1[[#This Row],[TPP cost amount]]-AtlasReport_4_Table_1[[#This Row],[TPP trans backwards balance (Beginning)]]</f>
        <v>0</v>
      </c>
      <c r="M165" s="4">
        <f>AtlasReport_4_Table_1[[#This Row],[TPP cost amount]]-AtlasReport_4_Table_1[[#This Row],[TPP Balance (Beginning)]]</f>
        <v>0</v>
      </c>
    </row>
    <row r="166" spans="1:13" x14ac:dyDescent="0.25">
      <c r="A166" s="8" t="s">
        <v>121</v>
      </c>
      <c r="B166" s="8" t="s">
        <v>261</v>
      </c>
      <c r="C166" s="8" t="s">
        <v>264</v>
      </c>
      <c r="D166" s="4">
        <v>966.81000000000006</v>
      </c>
      <c r="E166" s="4">
        <v>1491.41975536155</v>
      </c>
      <c r="F166" s="4">
        <f>_xll.AtlasFormulas.AtlasFunctions.AtlasBalance("PROD",DataAreaId,"T.TPPTrans_sst|InventDimId~inventDimId@T.InventDim","Sum|Qty|0","","","","","","","ItemId|TransDate|T2.InventSiteId|T2.InventLocationId",$A166,PeriodBeginning,$B166,$C166)</f>
        <v>-40.43</v>
      </c>
      <c r="G166" s="4">
        <f>_xll.AtlasFormulas.AtlasFunctions.AtlasBalance("PROD",DataAreaId,"T.TPPTrans_sst|InventDimId~inventDimId@T.InventDim","Sum|Qty|0","","","","","","","ItemId|TransDate|T2.InventSiteId|T2.InventLocationId",$A166,PeriodEnding,$B166,$C166)</f>
        <v>0</v>
      </c>
      <c r="H166" s="4">
        <f>AtlasReport_4_Table_1[[#This Row],[Quantity]]-AtlasReport_4_Table_1[[#This Row],[TPP trans backwards (Beginning)]]</f>
        <v>1007.24</v>
      </c>
      <c r="I166" s="4">
        <f>AtlasReport_4_Table_1[[#This Row],[Quantity]]-AtlasReport_4_Table_1[[#This Row],[TPP trans backwards (Ending)]]</f>
        <v>966.81000000000006</v>
      </c>
      <c r="J166" s="4">
        <f>_xll.AtlasFormulas.AtlasFunctions.AtlasBalance("PROD",DataAreaId,"T.TPPTrans_sst|InventDimId~inventDimId@T.InventDim","Sum|CostAmount|0","","","","","","","ItemId|TransDate|T2.InventSiteId|T2.InventLocationId",$A166,PeriodBeginning,$B166,$C166)</f>
        <v>-62.37</v>
      </c>
      <c r="K166" s="4">
        <f>_xll.AtlasFormulas.AtlasFunctions.AtlasBalance("PROD",DataAreaId,"T.TPPTrans_sst|InventDimId~inventDimId@T.InventDim","Sum|CostAmount|0","","","","","","","ItemId|TransDate|T2.InventSiteId|T2.InventLocationId",$A166,PeriodEnding,$B166,$C166)</f>
        <v>0</v>
      </c>
      <c r="L166" s="4">
        <f>AtlasReport_4_Table_1[[#This Row],[TPP cost amount]]-AtlasReport_4_Table_1[[#This Row],[TPP trans backwards balance (Beginning)]]</f>
        <v>1553.7897553615499</v>
      </c>
      <c r="M166" s="4">
        <f>AtlasReport_4_Table_1[[#This Row],[TPP cost amount]]-AtlasReport_4_Table_1[[#This Row],[TPP Balance (Beginning)]]</f>
        <v>-62.369999999999891</v>
      </c>
    </row>
    <row r="167" spans="1:13" x14ac:dyDescent="0.25">
      <c r="A167" s="8" t="s">
        <v>106</v>
      </c>
      <c r="B167" s="8" t="s">
        <v>261</v>
      </c>
      <c r="C167" s="8" t="s">
        <v>262</v>
      </c>
      <c r="D167" s="4">
        <v>1450</v>
      </c>
      <c r="E167" s="4">
        <v>0</v>
      </c>
      <c r="F167" s="4">
        <f>_xll.AtlasFormulas.AtlasFunctions.AtlasBalance("PROD",DataAreaId,"T.TPPTrans_sst|InventDimId~inventDimId@T.InventDim","Sum|Qty|0","","","","","","","ItemId|TransDate|T2.InventSiteId|T2.InventLocationId",$A167,PeriodBeginning,$B167,$C167)</f>
        <v>0</v>
      </c>
      <c r="G167" s="4">
        <f>_xll.AtlasFormulas.AtlasFunctions.AtlasBalance("PROD",DataAreaId,"T.TPPTrans_sst|InventDimId~inventDimId@T.InventDim","Sum|Qty|0","","","","","","","ItemId|TransDate|T2.InventSiteId|T2.InventLocationId",$A167,PeriodEnding,$B167,$C167)</f>
        <v>0</v>
      </c>
      <c r="H167" s="4">
        <f>AtlasReport_4_Table_1[[#This Row],[Quantity]]-AtlasReport_4_Table_1[[#This Row],[TPP trans backwards (Beginning)]]</f>
        <v>1450</v>
      </c>
      <c r="I167" s="4">
        <f>AtlasReport_4_Table_1[[#This Row],[Quantity]]-AtlasReport_4_Table_1[[#This Row],[TPP trans backwards (Ending)]]</f>
        <v>1450</v>
      </c>
      <c r="J167" s="4">
        <f>_xll.AtlasFormulas.AtlasFunctions.AtlasBalance("PROD",DataAreaId,"T.TPPTrans_sst|InventDimId~inventDimId@T.InventDim","Sum|CostAmount|0","","","","","","","ItemId|TransDate|T2.InventSiteId|T2.InventLocationId",$A167,PeriodBeginning,$B167,$C167)</f>
        <v>0</v>
      </c>
      <c r="K167" s="4">
        <f>_xll.AtlasFormulas.AtlasFunctions.AtlasBalance("PROD",DataAreaId,"T.TPPTrans_sst|InventDimId~inventDimId@T.InventDim","Sum|CostAmount|0","","","","","","","ItemId|TransDate|T2.InventSiteId|T2.InventLocationId",$A167,PeriodEnding,$B167,$C167)</f>
        <v>0</v>
      </c>
      <c r="L167" s="4">
        <f>AtlasReport_4_Table_1[[#This Row],[TPP cost amount]]-AtlasReport_4_Table_1[[#This Row],[TPP trans backwards balance (Beginning)]]</f>
        <v>0</v>
      </c>
      <c r="M167" s="4">
        <f>AtlasReport_4_Table_1[[#This Row],[TPP cost amount]]-AtlasReport_4_Table_1[[#This Row],[TPP Balance (Beginning)]]</f>
        <v>0</v>
      </c>
    </row>
    <row r="168" spans="1:13" x14ac:dyDescent="0.25">
      <c r="A168" s="8" t="s">
        <v>106</v>
      </c>
      <c r="B168" s="8" t="s">
        <v>261</v>
      </c>
      <c r="C168" s="8" t="s">
        <v>264</v>
      </c>
      <c r="D168" s="4">
        <v>1201.2</v>
      </c>
      <c r="E168" s="4">
        <v>1368.5962158866801</v>
      </c>
      <c r="F168" s="4">
        <f>_xll.AtlasFormulas.AtlasFunctions.AtlasBalance("PROD",DataAreaId,"T.TPPTrans_sst|InventDimId~inventDimId@T.InventDim","Sum|Qty|0","","","","","","","ItemId|TransDate|T2.InventSiteId|T2.InventLocationId",$A168,PeriodBeginning,$B168,$C168)</f>
        <v>-481.7</v>
      </c>
      <c r="G168" s="4">
        <f>_xll.AtlasFormulas.AtlasFunctions.AtlasBalance("PROD",DataAreaId,"T.TPPTrans_sst|InventDimId~inventDimId@T.InventDim","Sum|Qty|0","","","","","","","ItemId|TransDate|T2.InventSiteId|T2.InventLocationId",$A168,PeriodEnding,$B168,$C168)</f>
        <v>0</v>
      </c>
      <c r="H168" s="4">
        <f>AtlasReport_4_Table_1[[#This Row],[Quantity]]-AtlasReport_4_Table_1[[#This Row],[TPP trans backwards (Beginning)]]</f>
        <v>1682.9</v>
      </c>
      <c r="I168" s="4">
        <f>AtlasReport_4_Table_1[[#This Row],[Quantity]]-AtlasReport_4_Table_1[[#This Row],[TPP trans backwards (Ending)]]</f>
        <v>1201.2</v>
      </c>
      <c r="J168" s="4">
        <f>_xll.AtlasFormulas.AtlasFunctions.AtlasBalance("PROD",DataAreaId,"T.TPPTrans_sst|InventDimId~inventDimId@T.InventDim","Sum|CostAmount|0","","","","","","","ItemId|TransDate|T2.InventSiteId|T2.InventLocationId",$A168,PeriodBeginning,$B168,$C168)</f>
        <v>-380.7</v>
      </c>
      <c r="K168" s="4">
        <f>_xll.AtlasFormulas.AtlasFunctions.AtlasBalance("PROD",DataAreaId,"T.TPPTrans_sst|InventDimId~inventDimId@T.InventDim","Sum|CostAmount|0","","","","","","","ItemId|TransDate|T2.InventSiteId|T2.InventLocationId",$A168,PeriodEnding,$B168,$C168)</f>
        <v>0</v>
      </c>
      <c r="L168" s="4">
        <f>AtlasReport_4_Table_1[[#This Row],[TPP cost amount]]-AtlasReport_4_Table_1[[#This Row],[TPP trans backwards balance (Beginning)]]</f>
        <v>1749.2962158866801</v>
      </c>
      <c r="M168" s="4">
        <f>AtlasReport_4_Table_1[[#This Row],[TPP cost amount]]-AtlasReport_4_Table_1[[#This Row],[TPP Balance (Beginning)]]</f>
        <v>-380.70000000000005</v>
      </c>
    </row>
    <row r="169" spans="1:13" x14ac:dyDescent="0.25">
      <c r="A169" s="8" t="s">
        <v>400</v>
      </c>
      <c r="B169" s="8" t="s">
        <v>261</v>
      </c>
      <c r="C169" s="8" t="s">
        <v>264</v>
      </c>
      <c r="D169" s="4">
        <v>42</v>
      </c>
      <c r="E169" s="4">
        <v>0</v>
      </c>
      <c r="F169" s="4">
        <f>_xll.AtlasFormulas.AtlasFunctions.AtlasBalance("PROD",DataAreaId,"T.TPPTrans_sst|InventDimId~inventDimId@T.InventDim","Sum|Qty|0","","","","","","","ItemId|TransDate|T2.InventSiteId|T2.InventLocationId",$A169,PeriodBeginning,$B169,$C169)</f>
        <v>0</v>
      </c>
      <c r="G169" s="4">
        <f>_xll.AtlasFormulas.AtlasFunctions.AtlasBalance("PROD",DataAreaId,"T.TPPTrans_sst|InventDimId~inventDimId@T.InventDim","Sum|Qty|0","","","","","","","ItemId|TransDate|T2.InventSiteId|T2.InventLocationId",$A169,PeriodEnding,$B169,$C169)</f>
        <v>0</v>
      </c>
      <c r="H169" s="4">
        <f>AtlasReport_4_Table_1[[#This Row],[Quantity]]-AtlasReport_4_Table_1[[#This Row],[TPP trans backwards (Beginning)]]</f>
        <v>42</v>
      </c>
      <c r="I169" s="4">
        <f>AtlasReport_4_Table_1[[#This Row],[Quantity]]-AtlasReport_4_Table_1[[#This Row],[TPP trans backwards (Ending)]]</f>
        <v>42</v>
      </c>
      <c r="J169" s="4">
        <f>_xll.AtlasFormulas.AtlasFunctions.AtlasBalance("PROD",DataAreaId,"T.TPPTrans_sst|InventDimId~inventDimId@T.InventDim","Sum|CostAmount|0","","","","","","","ItemId|TransDate|T2.InventSiteId|T2.InventLocationId",$A169,PeriodBeginning,$B169,$C169)</f>
        <v>0</v>
      </c>
      <c r="K169" s="4">
        <f>_xll.AtlasFormulas.AtlasFunctions.AtlasBalance("PROD",DataAreaId,"T.TPPTrans_sst|InventDimId~inventDimId@T.InventDim","Sum|CostAmount|0","","","","","","","ItemId|TransDate|T2.InventSiteId|T2.InventLocationId",$A169,PeriodEnding,$B169,$C169)</f>
        <v>0</v>
      </c>
      <c r="L169" s="4">
        <f>AtlasReport_4_Table_1[[#This Row],[TPP cost amount]]-AtlasReport_4_Table_1[[#This Row],[TPP trans backwards balance (Beginning)]]</f>
        <v>0</v>
      </c>
      <c r="M169" s="4">
        <f>AtlasReport_4_Table_1[[#This Row],[TPP cost amount]]-AtlasReport_4_Table_1[[#This Row],[TPP Balance (Beginning)]]</f>
        <v>0</v>
      </c>
    </row>
    <row r="170" spans="1:13" x14ac:dyDescent="0.25">
      <c r="A170" s="8" t="s">
        <v>58</v>
      </c>
      <c r="B170" s="8" t="s">
        <v>261</v>
      </c>
      <c r="C170" s="8" t="s">
        <v>262</v>
      </c>
      <c r="D170" s="4">
        <v>1100</v>
      </c>
      <c r="E170" s="4">
        <v>0</v>
      </c>
      <c r="F170" s="4">
        <f>_xll.AtlasFormulas.AtlasFunctions.AtlasBalance("PROD",DataAreaId,"T.TPPTrans_sst|InventDimId~inventDimId@T.InventDim","Sum|Qty|0","","","","","","","ItemId|TransDate|T2.InventSiteId|T2.InventLocationId",$A170,PeriodBeginning,$B170,$C170)</f>
        <v>0</v>
      </c>
      <c r="G170" s="4">
        <f>_xll.AtlasFormulas.AtlasFunctions.AtlasBalance("PROD",DataAreaId,"T.TPPTrans_sst|InventDimId~inventDimId@T.InventDim","Sum|Qty|0","","","","","","","ItemId|TransDate|T2.InventSiteId|T2.InventLocationId",$A170,PeriodEnding,$B170,$C170)</f>
        <v>0</v>
      </c>
      <c r="H170" s="4">
        <f>AtlasReport_4_Table_1[[#This Row],[Quantity]]-AtlasReport_4_Table_1[[#This Row],[TPP trans backwards (Beginning)]]</f>
        <v>1100</v>
      </c>
      <c r="I170" s="4">
        <f>AtlasReport_4_Table_1[[#This Row],[Quantity]]-AtlasReport_4_Table_1[[#This Row],[TPP trans backwards (Ending)]]</f>
        <v>1100</v>
      </c>
      <c r="J170" s="4">
        <f>_xll.AtlasFormulas.AtlasFunctions.AtlasBalance("PROD",DataAreaId,"T.TPPTrans_sst|InventDimId~inventDimId@T.InventDim","Sum|CostAmount|0","","","","","","","ItemId|TransDate|T2.InventSiteId|T2.InventLocationId",$A170,PeriodBeginning,$B170,$C170)</f>
        <v>0</v>
      </c>
      <c r="K170" s="4">
        <f>_xll.AtlasFormulas.AtlasFunctions.AtlasBalance("PROD",DataAreaId,"T.TPPTrans_sst|InventDimId~inventDimId@T.InventDim","Sum|CostAmount|0","","","","","","","ItemId|TransDate|T2.InventSiteId|T2.InventLocationId",$A170,PeriodEnding,$B170,$C170)</f>
        <v>0</v>
      </c>
      <c r="L170" s="4">
        <f>AtlasReport_4_Table_1[[#This Row],[TPP cost amount]]-AtlasReport_4_Table_1[[#This Row],[TPP trans backwards balance (Beginning)]]</f>
        <v>0</v>
      </c>
      <c r="M170" s="4">
        <f>AtlasReport_4_Table_1[[#This Row],[TPP cost amount]]-AtlasReport_4_Table_1[[#This Row],[TPP Balance (Beginning)]]</f>
        <v>0</v>
      </c>
    </row>
    <row r="171" spans="1:13" x14ac:dyDescent="0.25">
      <c r="A171" s="8" t="s">
        <v>58</v>
      </c>
      <c r="B171" s="8" t="s">
        <v>261</v>
      </c>
      <c r="C171" s="8" t="s">
        <v>264</v>
      </c>
      <c r="D171" s="4">
        <v>1429</v>
      </c>
      <c r="E171" s="4">
        <v>1992.81334211184</v>
      </c>
      <c r="F171" s="4">
        <f>_xll.AtlasFormulas.AtlasFunctions.AtlasBalance("PROD",DataAreaId,"T.TPPTrans_sst|InventDimId~inventDimId@T.InventDim","Sum|Qty|0","","","","","","","ItemId|TransDate|T2.InventSiteId|T2.InventLocationId",$A171,PeriodBeginning,$B171,$C171)</f>
        <v>-345.65</v>
      </c>
      <c r="G171" s="4">
        <f>_xll.AtlasFormulas.AtlasFunctions.AtlasBalance("PROD",DataAreaId,"T.TPPTrans_sst|InventDimId~inventDimId@T.InventDim","Sum|Qty|0","","","","","","","ItemId|TransDate|T2.InventSiteId|T2.InventLocationId",$A171,PeriodEnding,$B171,$C171)</f>
        <v>0</v>
      </c>
      <c r="H171" s="4">
        <f>AtlasReport_4_Table_1[[#This Row],[Quantity]]-AtlasReport_4_Table_1[[#This Row],[TPP trans backwards (Beginning)]]</f>
        <v>1774.65</v>
      </c>
      <c r="I171" s="4">
        <f>AtlasReport_4_Table_1[[#This Row],[Quantity]]-AtlasReport_4_Table_1[[#This Row],[TPP trans backwards (Ending)]]</f>
        <v>1429</v>
      </c>
      <c r="J171" s="4">
        <f>_xll.AtlasFormulas.AtlasFunctions.AtlasBalance("PROD",DataAreaId,"T.TPPTrans_sst|InventDimId~inventDimId@T.InventDim","Sum|CostAmount|0","","","","","","","ItemId|TransDate|T2.InventSiteId|T2.InventLocationId",$A171,PeriodBeginning,$B171,$C171)</f>
        <v>-538.70000000000005</v>
      </c>
      <c r="K171" s="4">
        <f>_xll.AtlasFormulas.AtlasFunctions.AtlasBalance("PROD",DataAreaId,"T.TPPTrans_sst|InventDimId~inventDimId@T.InventDim","Sum|CostAmount|0","","","","","","","ItemId|TransDate|T2.InventSiteId|T2.InventLocationId",$A171,PeriodEnding,$B171,$C171)</f>
        <v>0</v>
      </c>
      <c r="L171" s="4">
        <f>AtlasReport_4_Table_1[[#This Row],[TPP cost amount]]-AtlasReport_4_Table_1[[#This Row],[TPP trans backwards balance (Beginning)]]</f>
        <v>2531.5133421118398</v>
      </c>
      <c r="M171" s="4">
        <f>AtlasReport_4_Table_1[[#This Row],[TPP cost amount]]-AtlasReport_4_Table_1[[#This Row],[TPP Balance (Beginning)]]</f>
        <v>-538.69999999999982</v>
      </c>
    </row>
    <row r="172" spans="1:13" x14ac:dyDescent="0.25">
      <c r="A172" s="8" t="s">
        <v>401</v>
      </c>
      <c r="B172" s="8" t="s">
        <v>261</v>
      </c>
      <c r="C172" s="8" t="s">
        <v>264</v>
      </c>
      <c r="D172" s="4">
        <v>150</v>
      </c>
      <c r="E172" s="4">
        <v>609.12425259751194</v>
      </c>
      <c r="F172" s="4">
        <f>_xll.AtlasFormulas.AtlasFunctions.AtlasBalance("PROD",DataAreaId,"T.TPPTrans_sst|InventDimId~inventDimId@T.InventDim","Sum|Qty|0","","","","","","","ItemId|TransDate|T2.InventSiteId|T2.InventLocationId",$A172,PeriodBeginning,$B172,$C172)</f>
        <v>0</v>
      </c>
      <c r="G172" s="4">
        <f>_xll.AtlasFormulas.AtlasFunctions.AtlasBalance("PROD",DataAreaId,"T.TPPTrans_sst|InventDimId~inventDimId@T.InventDim","Sum|Qty|0","","","","","","","ItemId|TransDate|T2.InventSiteId|T2.InventLocationId",$A172,PeriodEnding,$B172,$C172)</f>
        <v>0</v>
      </c>
      <c r="H172" s="4">
        <f>AtlasReport_4_Table_1[[#This Row],[Quantity]]-AtlasReport_4_Table_1[[#This Row],[TPP trans backwards (Beginning)]]</f>
        <v>150</v>
      </c>
      <c r="I172" s="4">
        <f>AtlasReport_4_Table_1[[#This Row],[Quantity]]-AtlasReport_4_Table_1[[#This Row],[TPP trans backwards (Ending)]]</f>
        <v>150</v>
      </c>
      <c r="J172" s="4">
        <f>_xll.AtlasFormulas.AtlasFunctions.AtlasBalance("PROD",DataAreaId,"T.TPPTrans_sst|InventDimId~inventDimId@T.InventDim","Sum|CostAmount|0","","","","","","","ItemId|TransDate|T2.InventSiteId|T2.InventLocationId",$A172,PeriodBeginning,$B172,$C172)</f>
        <v>0</v>
      </c>
      <c r="K172" s="4">
        <f>_xll.AtlasFormulas.AtlasFunctions.AtlasBalance("PROD",DataAreaId,"T.TPPTrans_sst|InventDimId~inventDimId@T.InventDim","Sum|CostAmount|0","","","","","","","ItemId|TransDate|T2.InventSiteId|T2.InventLocationId",$A172,PeriodEnding,$B172,$C172)</f>
        <v>0</v>
      </c>
      <c r="L172" s="4">
        <f>AtlasReport_4_Table_1[[#This Row],[TPP cost amount]]-AtlasReport_4_Table_1[[#This Row],[TPP trans backwards balance (Beginning)]]</f>
        <v>609.12425259751194</v>
      </c>
      <c r="M172" s="4">
        <f>AtlasReport_4_Table_1[[#This Row],[TPP cost amount]]-AtlasReport_4_Table_1[[#This Row],[TPP Balance (Beginning)]]</f>
        <v>0</v>
      </c>
    </row>
    <row r="173" spans="1:13" x14ac:dyDescent="0.25">
      <c r="A173" s="8" t="s">
        <v>402</v>
      </c>
      <c r="B173" s="8" t="s">
        <v>261</v>
      </c>
      <c r="C173" s="8" t="s">
        <v>264</v>
      </c>
      <c r="D173" s="4">
        <v>501.21000000000004</v>
      </c>
      <c r="E173" s="4">
        <v>2035.32843482</v>
      </c>
      <c r="F173" s="4">
        <f>_xll.AtlasFormulas.AtlasFunctions.AtlasBalance("PROD",DataAreaId,"T.TPPTrans_sst|InventDimId~inventDimId@T.InventDim","Sum|Qty|0","","","","","","","ItemId|TransDate|T2.InventSiteId|T2.InventLocationId",$A173,PeriodBeginning,$B173,$C173)</f>
        <v>-0.93</v>
      </c>
      <c r="G173" s="4">
        <f>_xll.AtlasFormulas.AtlasFunctions.AtlasBalance("PROD",DataAreaId,"T.TPPTrans_sst|InventDimId~inventDimId@T.InventDim","Sum|Qty|0","","","","","","","ItemId|TransDate|T2.InventSiteId|T2.InventLocationId",$A173,PeriodEnding,$B173,$C173)</f>
        <v>0</v>
      </c>
      <c r="H173" s="4">
        <f>AtlasReport_4_Table_1[[#This Row],[Quantity]]-AtlasReport_4_Table_1[[#This Row],[TPP trans backwards (Beginning)]]</f>
        <v>502.14000000000004</v>
      </c>
      <c r="I173" s="4">
        <f>AtlasReport_4_Table_1[[#This Row],[Quantity]]-AtlasReport_4_Table_1[[#This Row],[TPP trans backwards (Ending)]]</f>
        <v>501.21000000000004</v>
      </c>
      <c r="J173" s="4">
        <f>_xll.AtlasFormulas.AtlasFunctions.AtlasBalance("PROD",DataAreaId,"T.TPPTrans_sst|InventDimId~inventDimId@T.InventDim","Sum|CostAmount|0","","","","","","","ItemId|TransDate|T2.InventSiteId|T2.InventLocationId",$A173,PeriodBeginning,$B173,$C173)</f>
        <v>-3.78</v>
      </c>
      <c r="K173" s="4">
        <f>_xll.AtlasFormulas.AtlasFunctions.AtlasBalance("PROD",DataAreaId,"T.TPPTrans_sst|InventDimId~inventDimId@T.InventDim","Sum|CostAmount|0","","","","","","","ItemId|TransDate|T2.InventSiteId|T2.InventLocationId",$A173,PeriodEnding,$B173,$C173)</f>
        <v>0</v>
      </c>
      <c r="L173" s="4">
        <f>AtlasReport_4_Table_1[[#This Row],[TPP cost amount]]-AtlasReport_4_Table_1[[#This Row],[TPP trans backwards balance (Beginning)]]</f>
        <v>2039.10843482</v>
      </c>
      <c r="M173" s="4">
        <f>AtlasReport_4_Table_1[[#This Row],[TPP cost amount]]-AtlasReport_4_Table_1[[#This Row],[TPP Balance (Beginning)]]</f>
        <v>-3.7799999999999727</v>
      </c>
    </row>
    <row r="174" spans="1:13" x14ac:dyDescent="0.25">
      <c r="A174" s="8" t="s">
        <v>99</v>
      </c>
      <c r="B174" s="8" t="s">
        <v>261</v>
      </c>
      <c r="C174" s="8" t="s">
        <v>262</v>
      </c>
      <c r="D174" s="4">
        <v>2000</v>
      </c>
      <c r="E174" s="4">
        <v>0</v>
      </c>
      <c r="F174" s="4">
        <f>_xll.AtlasFormulas.AtlasFunctions.AtlasBalance("PROD",DataAreaId,"T.TPPTrans_sst|InventDimId~inventDimId@T.InventDim","Sum|Qty|0","","","","","","","ItemId|TransDate|T2.InventSiteId|T2.InventLocationId",$A174,PeriodBeginning,$B174,$C174)</f>
        <v>0</v>
      </c>
      <c r="G174" s="4">
        <f>_xll.AtlasFormulas.AtlasFunctions.AtlasBalance("PROD",DataAreaId,"T.TPPTrans_sst|InventDimId~inventDimId@T.InventDim","Sum|Qty|0","","","","","","","ItemId|TransDate|T2.InventSiteId|T2.InventLocationId",$A174,PeriodEnding,$B174,$C174)</f>
        <v>0</v>
      </c>
      <c r="H174" s="4">
        <f>AtlasReport_4_Table_1[[#This Row],[Quantity]]-AtlasReport_4_Table_1[[#This Row],[TPP trans backwards (Beginning)]]</f>
        <v>2000</v>
      </c>
      <c r="I174" s="4">
        <f>AtlasReport_4_Table_1[[#This Row],[Quantity]]-AtlasReport_4_Table_1[[#This Row],[TPP trans backwards (Ending)]]</f>
        <v>2000</v>
      </c>
      <c r="J174" s="4">
        <f>_xll.AtlasFormulas.AtlasFunctions.AtlasBalance("PROD",DataAreaId,"T.TPPTrans_sst|InventDimId~inventDimId@T.InventDim","Sum|CostAmount|0","","","","","","","ItemId|TransDate|T2.InventSiteId|T2.InventLocationId",$A174,PeriodBeginning,$B174,$C174)</f>
        <v>0</v>
      </c>
      <c r="K174" s="4">
        <f>_xll.AtlasFormulas.AtlasFunctions.AtlasBalance("PROD",DataAreaId,"T.TPPTrans_sst|InventDimId~inventDimId@T.InventDim","Sum|CostAmount|0","","","","","","","ItemId|TransDate|T2.InventSiteId|T2.InventLocationId",$A174,PeriodEnding,$B174,$C174)</f>
        <v>0</v>
      </c>
      <c r="L174" s="4">
        <f>AtlasReport_4_Table_1[[#This Row],[TPP cost amount]]-AtlasReport_4_Table_1[[#This Row],[TPP trans backwards balance (Beginning)]]</f>
        <v>0</v>
      </c>
      <c r="M174" s="4">
        <f>AtlasReport_4_Table_1[[#This Row],[TPP cost amount]]-AtlasReport_4_Table_1[[#This Row],[TPP Balance (Beginning)]]</f>
        <v>0</v>
      </c>
    </row>
    <row r="175" spans="1:13" x14ac:dyDescent="0.25">
      <c r="A175" s="8" t="s">
        <v>99</v>
      </c>
      <c r="B175" s="8" t="s">
        <v>261</v>
      </c>
      <c r="C175" s="8" t="s">
        <v>264</v>
      </c>
      <c r="D175" s="4">
        <v>1346.86</v>
      </c>
      <c r="E175" s="4">
        <v>2075.6705177703398</v>
      </c>
      <c r="F175" s="4">
        <f>_xll.AtlasFormulas.AtlasFunctions.AtlasBalance("PROD",DataAreaId,"T.TPPTrans_sst|InventDimId~inventDimId@T.InventDim","Sum|Qty|0","","","","","","","ItemId|TransDate|T2.InventSiteId|T2.InventLocationId",$A175,PeriodBeginning,$B175,$C175)</f>
        <v>-27.1</v>
      </c>
      <c r="G175" s="4">
        <f>_xll.AtlasFormulas.AtlasFunctions.AtlasBalance("PROD",DataAreaId,"T.TPPTrans_sst|InventDimId~inventDimId@T.InventDim","Sum|Qty|0","","","","","","","ItemId|TransDate|T2.InventSiteId|T2.InventLocationId",$A175,PeriodEnding,$B175,$C175)</f>
        <v>0</v>
      </c>
      <c r="H175" s="4">
        <f>AtlasReport_4_Table_1[[#This Row],[Quantity]]-AtlasReport_4_Table_1[[#This Row],[TPP trans backwards (Beginning)]]</f>
        <v>1373.9599999999998</v>
      </c>
      <c r="I175" s="4">
        <f>AtlasReport_4_Table_1[[#This Row],[Quantity]]-AtlasReport_4_Table_1[[#This Row],[TPP trans backwards (Ending)]]</f>
        <v>1346.86</v>
      </c>
      <c r="J175" s="4">
        <f>_xll.AtlasFormulas.AtlasFunctions.AtlasBalance("PROD",DataAreaId,"T.TPPTrans_sst|InventDimId~inventDimId@T.InventDim","Sum|CostAmount|0","","","","","","","ItemId|TransDate|T2.InventSiteId|T2.InventLocationId",$A175,PeriodBeginning,$B175,$C175)</f>
        <v>-764.16</v>
      </c>
      <c r="K175" s="4">
        <f>_xll.AtlasFormulas.AtlasFunctions.AtlasBalance("PROD",DataAreaId,"T.TPPTrans_sst|InventDimId~inventDimId@T.InventDim","Sum|CostAmount|0","","","","","","","ItemId|TransDate|T2.InventSiteId|T2.InventLocationId",$A175,PeriodEnding,$B175,$C175)</f>
        <v>0</v>
      </c>
      <c r="L175" s="4">
        <f>AtlasReport_4_Table_1[[#This Row],[TPP cost amount]]-AtlasReport_4_Table_1[[#This Row],[TPP trans backwards balance (Beginning)]]</f>
        <v>2839.8305177703396</v>
      </c>
      <c r="M175" s="4">
        <f>AtlasReport_4_Table_1[[#This Row],[TPP cost amount]]-AtlasReport_4_Table_1[[#This Row],[TPP Balance (Beginning)]]</f>
        <v>-764.15999999999985</v>
      </c>
    </row>
    <row r="176" spans="1:13" x14ac:dyDescent="0.25">
      <c r="A176" s="8" t="s">
        <v>59</v>
      </c>
      <c r="B176" s="8" t="s">
        <v>261</v>
      </c>
      <c r="C176" s="8" t="s">
        <v>262</v>
      </c>
      <c r="D176" s="4">
        <v>2800</v>
      </c>
      <c r="E176" s="4">
        <v>0</v>
      </c>
      <c r="F176" s="4">
        <f>_xll.AtlasFormulas.AtlasFunctions.AtlasBalance("PROD",DataAreaId,"T.TPPTrans_sst|InventDimId~inventDimId@T.InventDim","Sum|Qty|0","","","","","","","ItemId|TransDate|T2.InventSiteId|T2.InventLocationId",$A176,PeriodBeginning,$B176,$C176)</f>
        <v>0</v>
      </c>
      <c r="G176" s="4">
        <f>_xll.AtlasFormulas.AtlasFunctions.AtlasBalance("PROD",DataAreaId,"T.TPPTrans_sst|InventDimId~inventDimId@T.InventDim","Sum|Qty|0","","","","","","","ItemId|TransDate|T2.InventSiteId|T2.InventLocationId",$A176,PeriodEnding,$B176,$C176)</f>
        <v>0</v>
      </c>
      <c r="H176" s="4">
        <f>AtlasReport_4_Table_1[[#This Row],[Quantity]]-AtlasReport_4_Table_1[[#This Row],[TPP trans backwards (Beginning)]]</f>
        <v>2800</v>
      </c>
      <c r="I176" s="4">
        <f>AtlasReport_4_Table_1[[#This Row],[Quantity]]-AtlasReport_4_Table_1[[#This Row],[TPP trans backwards (Ending)]]</f>
        <v>2800</v>
      </c>
      <c r="J176" s="4">
        <f>_xll.AtlasFormulas.AtlasFunctions.AtlasBalance("PROD",DataAreaId,"T.TPPTrans_sst|InventDimId~inventDimId@T.InventDim","Sum|CostAmount|0","","","","","","","ItemId|TransDate|T2.InventSiteId|T2.InventLocationId",$A176,PeriodBeginning,$B176,$C176)</f>
        <v>0</v>
      </c>
      <c r="K176" s="4">
        <f>_xll.AtlasFormulas.AtlasFunctions.AtlasBalance("PROD",DataAreaId,"T.TPPTrans_sst|InventDimId~inventDimId@T.InventDim","Sum|CostAmount|0","","","","","","","ItemId|TransDate|T2.InventSiteId|T2.InventLocationId",$A176,PeriodEnding,$B176,$C176)</f>
        <v>0</v>
      </c>
      <c r="L176" s="4">
        <f>AtlasReport_4_Table_1[[#This Row],[TPP cost amount]]-AtlasReport_4_Table_1[[#This Row],[TPP trans backwards balance (Beginning)]]</f>
        <v>0</v>
      </c>
      <c r="M176" s="4">
        <f>AtlasReport_4_Table_1[[#This Row],[TPP cost amount]]-AtlasReport_4_Table_1[[#This Row],[TPP Balance (Beginning)]]</f>
        <v>0</v>
      </c>
    </row>
    <row r="177" spans="1:13" x14ac:dyDescent="0.25">
      <c r="A177" s="8" t="s">
        <v>59</v>
      </c>
      <c r="B177" s="8" t="s">
        <v>261</v>
      </c>
      <c r="C177" s="8" t="s">
        <v>264</v>
      </c>
      <c r="D177" s="4">
        <v>1105.6300000000001</v>
      </c>
      <c r="E177" s="4">
        <v>1828.7769480596698</v>
      </c>
      <c r="F177" s="4">
        <f>_xll.AtlasFormulas.AtlasFunctions.AtlasBalance("PROD",DataAreaId,"T.TPPTrans_sst|InventDimId~inventDimId@T.InventDim","Sum|Qty|0","","","","","","","ItemId|TransDate|T2.InventSiteId|T2.InventLocationId",$A177,PeriodBeginning,$B177,$C177)</f>
        <v>-600.38</v>
      </c>
      <c r="G177" s="4">
        <f>_xll.AtlasFormulas.AtlasFunctions.AtlasBalance("PROD",DataAreaId,"T.TPPTrans_sst|InventDimId~inventDimId@T.InventDim","Sum|Qty|0","","","","","","","ItemId|TransDate|T2.InventSiteId|T2.InventLocationId",$A177,PeriodEnding,$B177,$C177)</f>
        <v>0</v>
      </c>
      <c r="H177" s="4">
        <f>AtlasReport_4_Table_1[[#This Row],[Quantity]]-AtlasReport_4_Table_1[[#This Row],[TPP trans backwards (Beginning)]]</f>
        <v>1706.0100000000002</v>
      </c>
      <c r="I177" s="4">
        <f>AtlasReport_4_Table_1[[#This Row],[Quantity]]-AtlasReport_4_Table_1[[#This Row],[TPP trans backwards (Ending)]]</f>
        <v>1105.6300000000001</v>
      </c>
      <c r="J177" s="4">
        <f>_xll.AtlasFormulas.AtlasFunctions.AtlasBalance("PROD",DataAreaId,"T.TPPTrans_sst|InventDimId~inventDimId@T.InventDim","Sum|CostAmount|0","","","","","","","ItemId|TransDate|T2.InventSiteId|T2.InventLocationId",$A177,PeriodBeginning,$B177,$C177)</f>
        <v>-939.59</v>
      </c>
      <c r="K177" s="4">
        <f>_xll.AtlasFormulas.AtlasFunctions.AtlasBalance("PROD",DataAreaId,"T.TPPTrans_sst|InventDimId~inventDimId@T.InventDim","Sum|CostAmount|0","","","","","","","ItemId|TransDate|T2.InventSiteId|T2.InventLocationId",$A177,PeriodEnding,$B177,$C177)</f>
        <v>0</v>
      </c>
      <c r="L177" s="4">
        <f>AtlasReport_4_Table_1[[#This Row],[TPP cost amount]]-AtlasReport_4_Table_1[[#This Row],[TPP trans backwards balance (Beginning)]]</f>
        <v>2768.36694805967</v>
      </c>
      <c r="M177" s="4">
        <f>AtlasReport_4_Table_1[[#This Row],[TPP cost amount]]-AtlasReport_4_Table_1[[#This Row],[TPP Balance (Beginning)]]</f>
        <v>-939.59000000000015</v>
      </c>
    </row>
    <row r="178" spans="1:13" x14ac:dyDescent="0.25">
      <c r="A178" s="8" t="s">
        <v>123</v>
      </c>
      <c r="B178" s="8" t="s">
        <v>261</v>
      </c>
      <c r="C178" s="8" t="s">
        <v>262</v>
      </c>
      <c r="D178" s="4">
        <v>2500</v>
      </c>
      <c r="E178" s="4">
        <v>0</v>
      </c>
      <c r="F178" s="4">
        <f>_xll.AtlasFormulas.AtlasFunctions.AtlasBalance("PROD",DataAreaId,"T.TPPTrans_sst|InventDimId~inventDimId@T.InventDim","Sum|Qty|0","","","","","","","ItemId|TransDate|T2.InventSiteId|T2.InventLocationId",$A178,PeriodBeginning,$B178,$C178)</f>
        <v>0</v>
      </c>
      <c r="G178" s="4">
        <f>_xll.AtlasFormulas.AtlasFunctions.AtlasBalance("PROD",DataAreaId,"T.TPPTrans_sst|InventDimId~inventDimId@T.InventDim","Sum|Qty|0","","","","","","","ItemId|TransDate|T2.InventSiteId|T2.InventLocationId",$A178,PeriodEnding,$B178,$C178)</f>
        <v>0</v>
      </c>
      <c r="H178" s="4">
        <f>AtlasReport_4_Table_1[[#This Row],[Quantity]]-AtlasReport_4_Table_1[[#This Row],[TPP trans backwards (Beginning)]]</f>
        <v>2500</v>
      </c>
      <c r="I178" s="4">
        <f>AtlasReport_4_Table_1[[#This Row],[Quantity]]-AtlasReport_4_Table_1[[#This Row],[TPP trans backwards (Ending)]]</f>
        <v>2500</v>
      </c>
      <c r="J178" s="4">
        <f>_xll.AtlasFormulas.AtlasFunctions.AtlasBalance("PROD",DataAreaId,"T.TPPTrans_sst|InventDimId~inventDimId@T.InventDim","Sum|CostAmount|0","","","","","","","ItemId|TransDate|T2.InventSiteId|T2.InventLocationId",$A178,PeriodBeginning,$B178,$C178)</f>
        <v>0</v>
      </c>
      <c r="K178" s="4">
        <f>_xll.AtlasFormulas.AtlasFunctions.AtlasBalance("PROD",DataAreaId,"T.TPPTrans_sst|InventDimId~inventDimId@T.InventDim","Sum|CostAmount|0","","","","","","","ItemId|TransDate|T2.InventSiteId|T2.InventLocationId",$A178,PeriodEnding,$B178,$C178)</f>
        <v>0</v>
      </c>
      <c r="L178" s="4">
        <f>AtlasReport_4_Table_1[[#This Row],[TPP cost amount]]-AtlasReport_4_Table_1[[#This Row],[TPP trans backwards balance (Beginning)]]</f>
        <v>0</v>
      </c>
      <c r="M178" s="4">
        <f>AtlasReport_4_Table_1[[#This Row],[TPP cost amount]]-AtlasReport_4_Table_1[[#This Row],[TPP Balance (Beginning)]]</f>
        <v>0</v>
      </c>
    </row>
    <row r="179" spans="1:13" x14ac:dyDescent="0.25">
      <c r="A179" s="8" t="s">
        <v>123</v>
      </c>
      <c r="B179" s="8" t="s">
        <v>261</v>
      </c>
      <c r="C179" s="8" t="s">
        <v>264</v>
      </c>
      <c r="D179" s="4">
        <v>1453.81</v>
      </c>
      <c r="E179" s="4">
        <v>2138.41543887129</v>
      </c>
      <c r="F179" s="4">
        <f>_xll.AtlasFormulas.AtlasFunctions.AtlasBalance("PROD",DataAreaId,"T.TPPTrans_sst|InventDimId~inventDimId@T.InventDim","Sum|Qty|0","","","","","","","ItemId|TransDate|T2.InventSiteId|T2.InventLocationId",$A179,PeriodBeginning,$B179,$C179)</f>
        <v>484.75</v>
      </c>
      <c r="G179" s="4">
        <f>_xll.AtlasFormulas.AtlasFunctions.AtlasBalance("PROD",DataAreaId,"T.TPPTrans_sst|InventDimId~inventDimId@T.InventDim","Sum|Qty|0","","","","","","","ItemId|TransDate|T2.InventSiteId|T2.InventLocationId",$A179,PeriodEnding,$B179,$C179)</f>
        <v>0</v>
      </c>
      <c r="H179" s="4">
        <f>AtlasReport_4_Table_1[[#This Row],[Quantity]]-AtlasReport_4_Table_1[[#This Row],[TPP trans backwards (Beginning)]]</f>
        <v>969.06</v>
      </c>
      <c r="I179" s="4">
        <f>AtlasReport_4_Table_1[[#This Row],[Quantity]]-AtlasReport_4_Table_1[[#This Row],[TPP trans backwards (Ending)]]</f>
        <v>1453.81</v>
      </c>
      <c r="J179" s="4">
        <f>_xll.AtlasFormulas.AtlasFunctions.AtlasBalance("PROD",DataAreaId,"T.TPPTrans_sst|InventDimId~inventDimId@T.InventDim","Sum|CostAmount|0","","","","","","","ItemId|TransDate|T2.InventSiteId|T2.InventLocationId",$A179,PeriodBeginning,$B179,$C179)</f>
        <v>752.79</v>
      </c>
      <c r="K179" s="4">
        <f>_xll.AtlasFormulas.AtlasFunctions.AtlasBalance("PROD",DataAreaId,"T.TPPTrans_sst|InventDimId~inventDimId@T.InventDim","Sum|CostAmount|0","","","","","","","ItemId|TransDate|T2.InventSiteId|T2.InventLocationId",$A179,PeriodEnding,$B179,$C179)</f>
        <v>0</v>
      </c>
      <c r="L179" s="4">
        <f>AtlasReport_4_Table_1[[#This Row],[TPP cost amount]]-AtlasReport_4_Table_1[[#This Row],[TPP trans backwards balance (Beginning)]]</f>
        <v>1385.62543887129</v>
      </c>
      <c r="M179" s="4">
        <f>AtlasReport_4_Table_1[[#This Row],[TPP cost amount]]-AtlasReport_4_Table_1[[#This Row],[TPP Balance (Beginning)]]</f>
        <v>752.79</v>
      </c>
    </row>
    <row r="180" spans="1:13" x14ac:dyDescent="0.25">
      <c r="A180" s="8" t="s">
        <v>76</v>
      </c>
      <c r="B180" s="8" t="s">
        <v>261</v>
      </c>
      <c r="C180" s="8" t="s">
        <v>262</v>
      </c>
      <c r="D180" s="4">
        <v>3250</v>
      </c>
      <c r="E180" s="4">
        <v>0</v>
      </c>
      <c r="F180" s="4">
        <f>_xll.AtlasFormulas.AtlasFunctions.AtlasBalance("PROD",DataAreaId,"T.TPPTrans_sst|InventDimId~inventDimId@T.InventDim","Sum|Qty|0","","","","","","","ItemId|TransDate|T2.InventSiteId|T2.InventLocationId",$A180,PeriodBeginning,$B180,$C180)</f>
        <v>0</v>
      </c>
      <c r="G180" s="4">
        <f>_xll.AtlasFormulas.AtlasFunctions.AtlasBalance("PROD",DataAreaId,"T.TPPTrans_sst|InventDimId~inventDimId@T.InventDim","Sum|Qty|0","","","","","","","ItemId|TransDate|T2.InventSiteId|T2.InventLocationId",$A180,PeriodEnding,$B180,$C180)</f>
        <v>0</v>
      </c>
      <c r="H180" s="4">
        <f>AtlasReport_4_Table_1[[#This Row],[Quantity]]-AtlasReport_4_Table_1[[#This Row],[TPP trans backwards (Beginning)]]</f>
        <v>3250</v>
      </c>
      <c r="I180" s="4">
        <f>AtlasReport_4_Table_1[[#This Row],[Quantity]]-AtlasReport_4_Table_1[[#This Row],[TPP trans backwards (Ending)]]</f>
        <v>3250</v>
      </c>
      <c r="J180" s="4">
        <f>_xll.AtlasFormulas.AtlasFunctions.AtlasBalance("PROD",DataAreaId,"T.TPPTrans_sst|InventDimId~inventDimId@T.InventDim","Sum|CostAmount|0","","","","","","","ItemId|TransDate|T2.InventSiteId|T2.InventLocationId",$A180,PeriodBeginning,$B180,$C180)</f>
        <v>0</v>
      </c>
      <c r="K180" s="4">
        <f>_xll.AtlasFormulas.AtlasFunctions.AtlasBalance("PROD",DataAreaId,"T.TPPTrans_sst|InventDimId~inventDimId@T.InventDim","Sum|CostAmount|0","","","","","","","ItemId|TransDate|T2.InventSiteId|T2.InventLocationId",$A180,PeriodEnding,$B180,$C180)</f>
        <v>0</v>
      </c>
      <c r="L180" s="4">
        <f>AtlasReport_4_Table_1[[#This Row],[TPP cost amount]]-AtlasReport_4_Table_1[[#This Row],[TPP trans backwards balance (Beginning)]]</f>
        <v>0</v>
      </c>
      <c r="M180" s="4">
        <f>AtlasReport_4_Table_1[[#This Row],[TPP cost amount]]-AtlasReport_4_Table_1[[#This Row],[TPP Balance (Beginning)]]</f>
        <v>0</v>
      </c>
    </row>
    <row r="181" spans="1:13" x14ac:dyDescent="0.25">
      <c r="A181" s="8" t="s">
        <v>76</v>
      </c>
      <c r="B181" s="8" t="s">
        <v>261</v>
      </c>
      <c r="C181" s="8" t="s">
        <v>264</v>
      </c>
      <c r="D181" s="4">
        <v>-864.42000000000007</v>
      </c>
      <c r="E181" s="4">
        <v>-3.0346169400000001E-3</v>
      </c>
      <c r="F181" s="4">
        <f>_xll.AtlasFormulas.AtlasFunctions.AtlasBalance("PROD",DataAreaId,"T.TPPTrans_sst|InventDimId~inventDimId@T.InventDim","Sum|Qty|0","","","","","","","ItemId|TransDate|T2.InventSiteId|T2.InventLocationId",$A181,PeriodBeginning,$B181,$C181)</f>
        <v>-136.6</v>
      </c>
      <c r="G181" s="4">
        <f>_xll.AtlasFormulas.AtlasFunctions.AtlasBalance("PROD",DataAreaId,"T.TPPTrans_sst|InventDimId~inventDimId@T.InventDim","Sum|Qty|0","","","","","","","ItemId|TransDate|T2.InventSiteId|T2.InventLocationId",$A181,PeriodEnding,$B181,$C181)</f>
        <v>0</v>
      </c>
      <c r="H181" s="4">
        <f>AtlasReport_4_Table_1[[#This Row],[Quantity]]-AtlasReport_4_Table_1[[#This Row],[TPP trans backwards (Beginning)]]</f>
        <v>-727.82</v>
      </c>
      <c r="I181" s="4">
        <f>AtlasReport_4_Table_1[[#This Row],[Quantity]]-AtlasReport_4_Table_1[[#This Row],[TPP trans backwards (Ending)]]</f>
        <v>-864.42000000000007</v>
      </c>
      <c r="J181" s="4">
        <f>_xll.AtlasFormulas.AtlasFunctions.AtlasBalance("PROD",DataAreaId,"T.TPPTrans_sst|InventDimId~inventDimId@T.InventDim","Sum|CostAmount|0","","","","","","","ItemId|TransDate|T2.InventSiteId|T2.InventLocationId",$A181,PeriodBeginning,$B181,$C181)</f>
        <v>0</v>
      </c>
      <c r="K181" s="4">
        <f>_xll.AtlasFormulas.AtlasFunctions.AtlasBalance("PROD",DataAreaId,"T.TPPTrans_sst|InventDimId~inventDimId@T.InventDim","Sum|CostAmount|0","","","","","","","ItemId|TransDate|T2.InventSiteId|T2.InventLocationId",$A181,PeriodEnding,$B181,$C181)</f>
        <v>0</v>
      </c>
      <c r="L181" s="4">
        <f>AtlasReport_4_Table_1[[#This Row],[TPP cost amount]]-AtlasReport_4_Table_1[[#This Row],[TPP trans backwards balance (Beginning)]]</f>
        <v>-3.0346169400000001E-3</v>
      </c>
      <c r="M181" s="4">
        <f>AtlasReport_4_Table_1[[#This Row],[TPP cost amount]]-AtlasReport_4_Table_1[[#This Row],[TPP Balance (Beginning)]]</f>
        <v>0</v>
      </c>
    </row>
    <row r="182" spans="1:13" x14ac:dyDescent="0.25">
      <c r="A182" s="8" t="s">
        <v>60</v>
      </c>
      <c r="B182" s="8" t="s">
        <v>261</v>
      </c>
      <c r="C182" s="8" t="s">
        <v>262</v>
      </c>
      <c r="D182" s="4">
        <v>1100</v>
      </c>
      <c r="E182" s="4">
        <v>0</v>
      </c>
      <c r="F182" s="4">
        <f>_xll.AtlasFormulas.AtlasFunctions.AtlasBalance("PROD",DataAreaId,"T.TPPTrans_sst|InventDimId~inventDimId@T.InventDim","Sum|Qty|0","","","","","","","ItemId|TransDate|T2.InventSiteId|T2.InventLocationId",$A182,PeriodBeginning,$B182,$C182)</f>
        <v>0</v>
      </c>
      <c r="G182" s="4">
        <f>_xll.AtlasFormulas.AtlasFunctions.AtlasBalance("PROD",DataAreaId,"T.TPPTrans_sst|InventDimId~inventDimId@T.InventDim","Sum|Qty|0","","","","","","","ItemId|TransDate|T2.InventSiteId|T2.InventLocationId",$A182,PeriodEnding,$B182,$C182)</f>
        <v>0</v>
      </c>
      <c r="H182" s="4">
        <f>AtlasReport_4_Table_1[[#This Row],[Quantity]]-AtlasReport_4_Table_1[[#This Row],[TPP trans backwards (Beginning)]]</f>
        <v>1100</v>
      </c>
      <c r="I182" s="4">
        <f>AtlasReport_4_Table_1[[#This Row],[Quantity]]-AtlasReport_4_Table_1[[#This Row],[TPP trans backwards (Ending)]]</f>
        <v>1100</v>
      </c>
      <c r="J182" s="4">
        <f>_xll.AtlasFormulas.AtlasFunctions.AtlasBalance("PROD",DataAreaId,"T.TPPTrans_sst|InventDimId~inventDimId@T.InventDim","Sum|CostAmount|0","","","","","","","ItemId|TransDate|T2.InventSiteId|T2.InventLocationId",$A182,PeriodBeginning,$B182,$C182)</f>
        <v>0</v>
      </c>
      <c r="K182" s="4">
        <f>_xll.AtlasFormulas.AtlasFunctions.AtlasBalance("PROD",DataAreaId,"T.TPPTrans_sst|InventDimId~inventDimId@T.InventDim","Sum|CostAmount|0","","","","","","","ItemId|TransDate|T2.InventSiteId|T2.InventLocationId",$A182,PeriodEnding,$B182,$C182)</f>
        <v>0</v>
      </c>
      <c r="L182" s="4">
        <f>AtlasReport_4_Table_1[[#This Row],[TPP cost amount]]-AtlasReport_4_Table_1[[#This Row],[TPP trans backwards balance (Beginning)]]</f>
        <v>0</v>
      </c>
      <c r="M182" s="4">
        <f>AtlasReport_4_Table_1[[#This Row],[TPP cost amount]]-AtlasReport_4_Table_1[[#This Row],[TPP Balance (Beginning)]]</f>
        <v>0</v>
      </c>
    </row>
    <row r="183" spans="1:13" x14ac:dyDescent="0.25">
      <c r="A183" s="8" t="s">
        <v>60</v>
      </c>
      <c r="B183" s="8" t="s">
        <v>261</v>
      </c>
      <c r="C183" s="8" t="s">
        <v>264</v>
      </c>
      <c r="D183" s="4">
        <v>490</v>
      </c>
      <c r="E183" s="4">
        <v>0</v>
      </c>
      <c r="F183" s="4">
        <f>_xll.AtlasFormulas.AtlasFunctions.AtlasBalance("PROD",DataAreaId,"T.TPPTrans_sst|InventDimId~inventDimId@T.InventDim","Sum|Qty|0","","","","","","","ItemId|TransDate|T2.InventSiteId|T2.InventLocationId",$A183,PeriodBeginning,$B183,$C183)</f>
        <v>0</v>
      </c>
      <c r="G183" s="4">
        <f>_xll.AtlasFormulas.AtlasFunctions.AtlasBalance("PROD",DataAreaId,"T.TPPTrans_sst|InventDimId~inventDimId@T.InventDim","Sum|Qty|0","","","","","","","ItemId|TransDate|T2.InventSiteId|T2.InventLocationId",$A183,PeriodEnding,$B183,$C183)</f>
        <v>0</v>
      </c>
      <c r="H183" s="4">
        <f>AtlasReport_4_Table_1[[#This Row],[Quantity]]-AtlasReport_4_Table_1[[#This Row],[TPP trans backwards (Beginning)]]</f>
        <v>490</v>
      </c>
      <c r="I183" s="4">
        <f>AtlasReport_4_Table_1[[#This Row],[Quantity]]-AtlasReport_4_Table_1[[#This Row],[TPP trans backwards (Ending)]]</f>
        <v>490</v>
      </c>
      <c r="J183" s="4">
        <f>_xll.AtlasFormulas.AtlasFunctions.AtlasBalance("PROD",DataAreaId,"T.TPPTrans_sst|InventDimId~inventDimId@T.InventDim","Sum|CostAmount|0","","","","","","","ItemId|TransDate|T2.InventSiteId|T2.InventLocationId",$A183,PeriodBeginning,$B183,$C183)</f>
        <v>0</v>
      </c>
      <c r="K183" s="4">
        <f>_xll.AtlasFormulas.AtlasFunctions.AtlasBalance("PROD",DataAreaId,"T.TPPTrans_sst|InventDimId~inventDimId@T.InventDim","Sum|CostAmount|0","","","","","","","ItemId|TransDate|T2.InventSiteId|T2.InventLocationId",$A183,PeriodEnding,$B183,$C183)</f>
        <v>0</v>
      </c>
      <c r="L183" s="4">
        <f>AtlasReport_4_Table_1[[#This Row],[TPP cost amount]]-AtlasReport_4_Table_1[[#This Row],[TPP trans backwards balance (Beginning)]]</f>
        <v>0</v>
      </c>
      <c r="M183" s="4">
        <f>AtlasReport_4_Table_1[[#This Row],[TPP cost amount]]-AtlasReport_4_Table_1[[#This Row],[TPP Balance (Beginning)]]</f>
        <v>0</v>
      </c>
    </row>
    <row r="184" spans="1:13" x14ac:dyDescent="0.25">
      <c r="A184" s="8" t="s">
        <v>61</v>
      </c>
      <c r="B184" s="8" t="s">
        <v>261</v>
      </c>
      <c r="C184" s="8" t="s">
        <v>262</v>
      </c>
      <c r="D184" s="4">
        <v>0</v>
      </c>
      <c r="E184" s="4">
        <v>0</v>
      </c>
      <c r="F184" s="4">
        <f>_xll.AtlasFormulas.AtlasFunctions.AtlasBalance("PROD",DataAreaId,"T.TPPTrans_sst|InventDimId~inventDimId@T.InventDim","Sum|Qty|0","","","","","","","ItemId|TransDate|T2.InventSiteId|T2.InventLocationId",$A184,PeriodBeginning,$B184,$C184)</f>
        <v>0</v>
      </c>
      <c r="G184" s="4">
        <f>_xll.AtlasFormulas.AtlasFunctions.AtlasBalance("PROD",DataAreaId,"T.TPPTrans_sst|InventDimId~inventDimId@T.InventDim","Sum|Qty|0","","","","","","","ItemId|TransDate|T2.InventSiteId|T2.InventLocationId",$A184,PeriodEnding,$B184,$C184)</f>
        <v>0</v>
      </c>
      <c r="H184" s="4">
        <f>AtlasReport_4_Table_1[[#This Row],[Quantity]]-AtlasReport_4_Table_1[[#This Row],[TPP trans backwards (Beginning)]]</f>
        <v>0</v>
      </c>
      <c r="I184" s="4">
        <f>AtlasReport_4_Table_1[[#This Row],[Quantity]]-AtlasReport_4_Table_1[[#This Row],[TPP trans backwards (Ending)]]</f>
        <v>0</v>
      </c>
      <c r="J184" s="4">
        <f>_xll.AtlasFormulas.AtlasFunctions.AtlasBalance("PROD",DataAreaId,"T.TPPTrans_sst|InventDimId~inventDimId@T.InventDim","Sum|CostAmount|0","","","","","","","ItemId|TransDate|T2.InventSiteId|T2.InventLocationId",$A184,PeriodBeginning,$B184,$C184)</f>
        <v>0</v>
      </c>
      <c r="K184" s="4">
        <f>_xll.AtlasFormulas.AtlasFunctions.AtlasBalance("PROD",DataAreaId,"T.TPPTrans_sst|InventDimId~inventDimId@T.InventDim","Sum|CostAmount|0","","","","","","","ItemId|TransDate|T2.InventSiteId|T2.InventLocationId",$A184,PeriodEnding,$B184,$C184)</f>
        <v>0</v>
      </c>
      <c r="L184" s="4">
        <f>AtlasReport_4_Table_1[[#This Row],[TPP cost amount]]-AtlasReport_4_Table_1[[#This Row],[TPP trans backwards balance (Beginning)]]</f>
        <v>0</v>
      </c>
      <c r="M184" s="4">
        <f>AtlasReport_4_Table_1[[#This Row],[TPP cost amount]]-AtlasReport_4_Table_1[[#This Row],[TPP Balance (Beginning)]]</f>
        <v>0</v>
      </c>
    </row>
    <row r="185" spans="1:13" x14ac:dyDescent="0.25">
      <c r="A185" s="8" t="s">
        <v>61</v>
      </c>
      <c r="B185" s="8" t="s">
        <v>261</v>
      </c>
      <c r="C185" s="8" t="s">
        <v>264</v>
      </c>
      <c r="D185" s="4">
        <v>836.56000000000006</v>
      </c>
      <c r="E185" s="4">
        <v>337.12749526075498</v>
      </c>
      <c r="F185" s="4">
        <f>_xll.AtlasFormulas.AtlasFunctions.AtlasBalance("PROD",DataAreaId,"T.TPPTrans_sst|InventDimId~inventDimId@T.InventDim","Sum|Qty|0","","","","","","","ItemId|TransDate|T2.InventSiteId|T2.InventLocationId",$A185,PeriodBeginning,$B185,$C185)</f>
        <v>-2.04</v>
      </c>
      <c r="G185" s="4">
        <f>_xll.AtlasFormulas.AtlasFunctions.AtlasBalance("PROD",DataAreaId,"T.TPPTrans_sst|InventDimId~inventDimId@T.InventDim","Sum|Qty|0","","","","","","","ItemId|TransDate|T2.InventSiteId|T2.InventLocationId",$A185,PeriodEnding,$B185,$C185)</f>
        <v>0</v>
      </c>
      <c r="H185" s="4">
        <f>AtlasReport_4_Table_1[[#This Row],[Quantity]]-AtlasReport_4_Table_1[[#This Row],[TPP trans backwards (Beginning)]]</f>
        <v>838.6</v>
      </c>
      <c r="I185" s="4">
        <f>AtlasReport_4_Table_1[[#This Row],[Quantity]]-AtlasReport_4_Table_1[[#This Row],[TPP trans backwards (Ending)]]</f>
        <v>836.56000000000006</v>
      </c>
      <c r="J185" s="4">
        <f>_xll.AtlasFormulas.AtlasFunctions.AtlasBalance("PROD",DataAreaId,"T.TPPTrans_sst|InventDimId~inventDimId@T.InventDim","Sum|CostAmount|0","","","","","","","ItemId|TransDate|T2.InventSiteId|T2.InventLocationId",$A185,PeriodBeginning,$B185,$C185)</f>
        <v>-0.82</v>
      </c>
      <c r="K185" s="4">
        <f>_xll.AtlasFormulas.AtlasFunctions.AtlasBalance("PROD",DataAreaId,"T.TPPTrans_sst|InventDimId~inventDimId@T.InventDim","Sum|CostAmount|0","","","","","","","ItemId|TransDate|T2.InventSiteId|T2.InventLocationId",$A185,PeriodEnding,$B185,$C185)</f>
        <v>0</v>
      </c>
      <c r="L185" s="4">
        <f>AtlasReport_4_Table_1[[#This Row],[TPP cost amount]]-AtlasReport_4_Table_1[[#This Row],[TPP trans backwards balance (Beginning)]]</f>
        <v>337.94749526075498</v>
      </c>
      <c r="M185" s="4">
        <f>AtlasReport_4_Table_1[[#This Row],[TPP cost amount]]-AtlasReport_4_Table_1[[#This Row],[TPP Balance (Beginning)]]</f>
        <v>-0.81999999999999318</v>
      </c>
    </row>
    <row r="186" spans="1:13" x14ac:dyDescent="0.25">
      <c r="A186" s="8" t="s">
        <v>24</v>
      </c>
      <c r="B186" s="8" t="s">
        <v>261</v>
      </c>
      <c r="C186" s="8" t="s">
        <v>262</v>
      </c>
      <c r="D186" s="4">
        <v>1750</v>
      </c>
      <c r="E186" s="4">
        <v>0</v>
      </c>
      <c r="F186" s="4">
        <f>_xll.AtlasFormulas.AtlasFunctions.AtlasBalance("PROD",DataAreaId,"T.TPPTrans_sst|InventDimId~inventDimId@T.InventDim","Sum|Qty|0","","","","","","","ItemId|TransDate|T2.InventSiteId|T2.InventLocationId",$A186,PeriodBeginning,$B186,$C186)</f>
        <v>0</v>
      </c>
      <c r="G186" s="4">
        <f>_xll.AtlasFormulas.AtlasFunctions.AtlasBalance("PROD",DataAreaId,"T.TPPTrans_sst|InventDimId~inventDimId@T.InventDim","Sum|Qty|0","","","","","","","ItemId|TransDate|T2.InventSiteId|T2.InventLocationId",$A186,PeriodEnding,$B186,$C186)</f>
        <v>0</v>
      </c>
      <c r="H186" s="4">
        <f>AtlasReport_4_Table_1[[#This Row],[Quantity]]-AtlasReport_4_Table_1[[#This Row],[TPP trans backwards (Beginning)]]</f>
        <v>1750</v>
      </c>
      <c r="I186" s="4">
        <f>AtlasReport_4_Table_1[[#This Row],[Quantity]]-AtlasReport_4_Table_1[[#This Row],[TPP trans backwards (Ending)]]</f>
        <v>1750</v>
      </c>
      <c r="J186" s="4">
        <f>_xll.AtlasFormulas.AtlasFunctions.AtlasBalance("PROD",DataAreaId,"T.TPPTrans_sst|InventDimId~inventDimId@T.InventDim","Sum|CostAmount|0","","","","","","","ItemId|TransDate|T2.InventSiteId|T2.InventLocationId",$A186,PeriodBeginning,$B186,$C186)</f>
        <v>0</v>
      </c>
      <c r="K186" s="4">
        <f>_xll.AtlasFormulas.AtlasFunctions.AtlasBalance("PROD",DataAreaId,"T.TPPTrans_sst|InventDimId~inventDimId@T.InventDim","Sum|CostAmount|0","","","","","","","ItemId|TransDate|T2.InventSiteId|T2.InventLocationId",$A186,PeriodEnding,$B186,$C186)</f>
        <v>0</v>
      </c>
      <c r="L186" s="4">
        <f>AtlasReport_4_Table_1[[#This Row],[TPP cost amount]]-AtlasReport_4_Table_1[[#This Row],[TPP trans backwards balance (Beginning)]]</f>
        <v>0</v>
      </c>
      <c r="M186" s="4">
        <f>AtlasReport_4_Table_1[[#This Row],[TPP cost amount]]-AtlasReport_4_Table_1[[#This Row],[TPP Balance (Beginning)]]</f>
        <v>0</v>
      </c>
    </row>
    <row r="187" spans="1:13" x14ac:dyDescent="0.25">
      <c r="A187" s="8" t="s">
        <v>24</v>
      </c>
      <c r="B187" s="8" t="s">
        <v>261</v>
      </c>
      <c r="C187" s="8" t="s">
        <v>264</v>
      </c>
      <c r="D187" s="4">
        <v>500.7</v>
      </c>
      <c r="E187" s="4">
        <v>1975.938805977936</v>
      </c>
      <c r="F187" s="4">
        <f>_xll.AtlasFormulas.AtlasFunctions.AtlasBalance("PROD",DataAreaId,"T.TPPTrans_sst|InventDimId~inventDimId@T.InventDim","Sum|Qty|0","","","","","","","ItemId|TransDate|T2.InventSiteId|T2.InventLocationId",$A187,PeriodBeginning,$B187,$C187)</f>
        <v>-26.1</v>
      </c>
      <c r="G187" s="4">
        <f>_xll.AtlasFormulas.AtlasFunctions.AtlasBalance("PROD",DataAreaId,"T.TPPTrans_sst|InventDimId~inventDimId@T.InventDim","Sum|Qty|0","","","","","","","ItemId|TransDate|T2.InventSiteId|T2.InventLocationId",$A187,PeriodEnding,$B187,$C187)</f>
        <v>0</v>
      </c>
      <c r="H187" s="4">
        <f>AtlasReport_4_Table_1[[#This Row],[Quantity]]-AtlasReport_4_Table_1[[#This Row],[TPP trans backwards (Beginning)]]</f>
        <v>526.79999999999995</v>
      </c>
      <c r="I187" s="4">
        <f>AtlasReport_4_Table_1[[#This Row],[Quantity]]-AtlasReport_4_Table_1[[#This Row],[TPP trans backwards (Ending)]]</f>
        <v>500.7</v>
      </c>
      <c r="J187" s="4">
        <f>_xll.AtlasFormulas.AtlasFunctions.AtlasBalance("PROD",DataAreaId,"T.TPPTrans_sst|InventDimId~inventDimId@T.InventDim","Sum|CostAmount|0","","","","","","","ItemId|TransDate|T2.InventSiteId|T2.InventLocationId",$A187,PeriodBeginning,$B187,$C187)</f>
        <v>-103</v>
      </c>
      <c r="K187" s="4">
        <f>_xll.AtlasFormulas.AtlasFunctions.AtlasBalance("PROD",DataAreaId,"T.TPPTrans_sst|InventDimId~inventDimId@T.InventDim","Sum|CostAmount|0","","","","","","","ItemId|TransDate|T2.InventSiteId|T2.InventLocationId",$A187,PeriodEnding,$B187,$C187)</f>
        <v>0</v>
      </c>
      <c r="L187" s="4">
        <f>AtlasReport_4_Table_1[[#This Row],[TPP cost amount]]-AtlasReport_4_Table_1[[#This Row],[TPP trans backwards balance (Beginning)]]</f>
        <v>2078.9388059779358</v>
      </c>
      <c r="M187" s="4">
        <f>AtlasReport_4_Table_1[[#This Row],[TPP cost amount]]-AtlasReport_4_Table_1[[#This Row],[TPP Balance (Beginning)]]</f>
        <v>-102.99999999999977</v>
      </c>
    </row>
    <row r="188" spans="1:13" x14ac:dyDescent="0.25">
      <c r="A188" s="8" t="s">
        <v>77</v>
      </c>
      <c r="B188" s="8" t="s">
        <v>261</v>
      </c>
      <c r="C188" s="8" t="s">
        <v>262</v>
      </c>
      <c r="D188" s="4">
        <v>0</v>
      </c>
      <c r="E188" s="4">
        <v>0</v>
      </c>
      <c r="F188" s="4">
        <f>_xll.AtlasFormulas.AtlasFunctions.AtlasBalance("PROD",DataAreaId,"T.TPPTrans_sst|InventDimId~inventDimId@T.InventDim","Sum|Qty|0","","","","","","","ItemId|TransDate|T2.InventSiteId|T2.InventLocationId",$A188,PeriodBeginning,$B188,$C188)</f>
        <v>0</v>
      </c>
      <c r="G188" s="4">
        <f>_xll.AtlasFormulas.AtlasFunctions.AtlasBalance("PROD",DataAreaId,"T.TPPTrans_sst|InventDimId~inventDimId@T.InventDim","Sum|Qty|0","","","","","","","ItemId|TransDate|T2.InventSiteId|T2.InventLocationId",$A188,PeriodEnding,$B188,$C188)</f>
        <v>0</v>
      </c>
      <c r="H188" s="4">
        <f>AtlasReport_4_Table_1[[#This Row],[Quantity]]-AtlasReport_4_Table_1[[#This Row],[TPP trans backwards (Beginning)]]</f>
        <v>0</v>
      </c>
      <c r="I188" s="4">
        <f>AtlasReport_4_Table_1[[#This Row],[Quantity]]-AtlasReport_4_Table_1[[#This Row],[TPP trans backwards (Ending)]]</f>
        <v>0</v>
      </c>
      <c r="J188" s="4">
        <f>_xll.AtlasFormulas.AtlasFunctions.AtlasBalance("PROD",DataAreaId,"T.TPPTrans_sst|InventDimId~inventDimId@T.InventDim","Sum|CostAmount|0","","","","","","","ItemId|TransDate|T2.InventSiteId|T2.InventLocationId",$A188,PeriodBeginning,$B188,$C188)</f>
        <v>0</v>
      </c>
      <c r="K188" s="4">
        <f>_xll.AtlasFormulas.AtlasFunctions.AtlasBalance("PROD",DataAreaId,"T.TPPTrans_sst|InventDimId~inventDimId@T.InventDim","Sum|CostAmount|0","","","","","","","ItemId|TransDate|T2.InventSiteId|T2.InventLocationId",$A188,PeriodEnding,$B188,$C188)</f>
        <v>0</v>
      </c>
      <c r="L188" s="4">
        <f>AtlasReport_4_Table_1[[#This Row],[TPP cost amount]]-AtlasReport_4_Table_1[[#This Row],[TPP trans backwards balance (Beginning)]]</f>
        <v>0</v>
      </c>
      <c r="M188" s="4">
        <f>AtlasReport_4_Table_1[[#This Row],[TPP cost amount]]-AtlasReport_4_Table_1[[#This Row],[TPP Balance (Beginning)]]</f>
        <v>0</v>
      </c>
    </row>
    <row r="189" spans="1:13" x14ac:dyDescent="0.25">
      <c r="A189" s="8" t="s">
        <v>77</v>
      </c>
      <c r="B189" s="8" t="s">
        <v>261</v>
      </c>
      <c r="C189" s="8" t="s">
        <v>264</v>
      </c>
      <c r="D189" s="4">
        <v>988.2</v>
      </c>
      <c r="E189" s="4">
        <v>3368.5910542736096</v>
      </c>
      <c r="F189" s="4">
        <f>_xll.AtlasFormulas.AtlasFunctions.AtlasBalance("PROD",DataAreaId,"T.TPPTrans_sst|InventDimId~inventDimId@T.InventDim","Sum|Qty|0","","","","","","","ItemId|TransDate|T2.InventSiteId|T2.InventLocationId",$A189,PeriodBeginning,$B189,$C189)</f>
        <v>91.72</v>
      </c>
      <c r="G189" s="4">
        <f>_xll.AtlasFormulas.AtlasFunctions.AtlasBalance("PROD",DataAreaId,"T.TPPTrans_sst|InventDimId~inventDimId@T.InventDim","Sum|Qty|0","","","","","","","ItemId|TransDate|T2.InventSiteId|T2.InventLocationId",$A189,PeriodEnding,$B189,$C189)</f>
        <v>0</v>
      </c>
      <c r="H189" s="4">
        <f>AtlasReport_4_Table_1[[#This Row],[Quantity]]-AtlasReport_4_Table_1[[#This Row],[TPP trans backwards (Beginning)]]</f>
        <v>896.48</v>
      </c>
      <c r="I189" s="4">
        <f>AtlasReport_4_Table_1[[#This Row],[Quantity]]-AtlasReport_4_Table_1[[#This Row],[TPP trans backwards (Ending)]]</f>
        <v>988.2</v>
      </c>
      <c r="J189" s="4">
        <f>_xll.AtlasFormulas.AtlasFunctions.AtlasBalance("PROD",DataAreaId,"T.TPPTrans_sst|InventDimId~inventDimId@T.InventDim","Sum|CostAmount|0","","","","","","","ItemId|TransDate|T2.InventSiteId|T2.InventLocationId",$A189,PeriodBeginning,$B189,$C189)</f>
        <v>312.66000000000003</v>
      </c>
      <c r="K189" s="4">
        <f>_xll.AtlasFormulas.AtlasFunctions.AtlasBalance("PROD",DataAreaId,"T.TPPTrans_sst|InventDimId~inventDimId@T.InventDim","Sum|CostAmount|0","","","","","","","ItemId|TransDate|T2.InventSiteId|T2.InventLocationId",$A189,PeriodEnding,$B189,$C189)</f>
        <v>0</v>
      </c>
      <c r="L189" s="4">
        <f>AtlasReport_4_Table_1[[#This Row],[TPP cost amount]]-AtlasReport_4_Table_1[[#This Row],[TPP trans backwards balance (Beginning)]]</f>
        <v>3055.9310542736098</v>
      </c>
      <c r="M189" s="4">
        <f>AtlasReport_4_Table_1[[#This Row],[TPP cost amount]]-AtlasReport_4_Table_1[[#This Row],[TPP Balance (Beginning)]]</f>
        <v>312.65999999999985</v>
      </c>
    </row>
    <row r="190" spans="1:13" x14ac:dyDescent="0.25">
      <c r="A190" s="8" t="s">
        <v>78</v>
      </c>
      <c r="B190" s="8" t="s">
        <v>261</v>
      </c>
      <c r="C190" s="8" t="s">
        <v>262</v>
      </c>
      <c r="D190" s="4">
        <v>150</v>
      </c>
      <c r="E190" s="4">
        <v>0</v>
      </c>
      <c r="F190" s="4">
        <f>_xll.AtlasFormulas.AtlasFunctions.AtlasBalance("PROD",DataAreaId,"T.TPPTrans_sst|InventDimId~inventDimId@T.InventDim","Sum|Qty|0","","","","","","","ItemId|TransDate|T2.InventSiteId|T2.InventLocationId",$A190,PeriodBeginning,$B190,$C190)</f>
        <v>0</v>
      </c>
      <c r="G190" s="4">
        <f>_xll.AtlasFormulas.AtlasFunctions.AtlasBalance("PROD",DataAreaId,"T.TPPTrans_sst|InventDimId~inventDimId@T.InventDim","Sum|Qty|0","","","","","","","ItemId|TransDate|T2.InventSiteId|T2.InventLocationId",$A190,PeriodEnding,$B190,$C190)</f>
        <v>0</v>
      </c>
      <c r="H190" s="4">
        <f>AtlasReport_4_Table_1[[#This Row],[Quantity]]-AtlasReport_4_Table_1[[#This Row],[TPP trans backwards (Beginning)]]</f>
        <v>150</v>
      </c>
      <c r="I190" s="4">
        <f>AtlasReport_4_Table_1[[#This Row],[Quantity]]-AtlasReport_4_Table_1[[#This Row],[TPP trans backwards (Ending)]]</f>
        <v>150</v>
      </c>
      <c r="J190" s="4">
        <f>_xll.AtlasFormulas.AtlasFunctions.AtlasBalance("PROD",DataAreaId,"T.TPPTrans_sst|InventDimId~inventDimId@T.InventDim","Sum|CostAmount|0","","","","","","","ItemId|TransDate|T2.InventSiteId|T2.InventLocationId",$A190,PeriodBeginning,$B190,$C190)</f>
        <v>0</v>
      </c>
      <c r="K190" s="4">
        <f>_xll.AtlasFormulas.AtlasFunctions.AtlasBalance("PROD",DataAreaId,"T.TPPTrans_sst|InventDimId~inventDimId@T.InventDim","Sum|CostAmount|0","","","","","","","ItemId|TransDate|T2.InventSiteId|T2.InventLocationId",$A190,PeriodEnding,$B190,$C190)</f>
        <v>0</v>
      </c>
      <c r="L190" s="4">
        <f>AtlasReport_4_Table_1[[#This Row],[TPP cost amount]]-AtlasReport_4_Table_1[[#This Row],[TPP trans backwards balance (Beginning)]]</f>
        <v>0</v>
      </c>
      <c r="M190" s="4">
        <f>AtlasReport_4_Table_1[[#This Row],[TPP cost amount]]-AtlasReport_4_Table_1[[#This Row],[TPP Balance (Beginning)]]</f>
        <v>0</v>
      </c>
    </row>
    <row r="191" spans="1:13" x14ac:dyDescent="0.25">
      <c r="A191" s="8" t="s">
        <v>78</v>
      </c>
      <c r="B191" s="8" t="s">
        <v>261</v>
      </c>
      <c r="C191" s="8" t="s">
        <v>264</v>
      </c>
      <c r="D191" s="4">
        <v>547.26</v>
      </c>
      <c r="E191" s="4">
        <v>1450.91075099709</v>
      </c>
      <c r="F191" s="4">
        <f>_xll.AtlasFormulas.AtlasFunctions.AtlasBalance("PROD",DataAreaId,"T.TPPTrans_sst|InventDimId~inventDimId@T.InventDim","Sum|Qty|0","","","","","","","ItemId|TransDate|T2.InventSiteId|T2.InventLocationId",$A191,PeriodBeginning,$B191,$C191)</f>
        <v>-44.23</v>
      </c>
      <c r="G191" s="4">
        <f>_xll.AtlasFormulas.AtlasFunctions.AtlasBalance("PROD",DataAreaId,"T.TPPTrans_sst|InventDimId~inventDimId@T.InventDim","Sum|Qty|0","","","","","","","ItemId|TransDate|T2.InventSiteId|T2.InventLocationId",$A191,PeriodEnding,$B191,$C191)</f>
        <v>0</v>
      </c>
      <c r="H191" s="4">
        <f>AtlasReport_4_Table_1[[#This Row],[Quantity]]-AtlasReport_4_Table_1[[#This Row],[TPP trans backwards (Beginning)]]</f>
        <v>591.49</v>
      </c>
      <c r="I191" s="4">
        <f>AtlasReport_4_Table_1[[#This Row],[Quantity]]-AtlasReport_4_Table_1[[#This Row],[TPP trans backwards (Ending)]]</f>
        <v>547.26</v>
      </c>
      <c r="J191" s="4">
        <f>_xll.AtlasFormulas.AtlasFunctions.AtlasBalance("PROD",DataAreaId,"T.TPPTrans_sst|InventDimId~inventDimId@T.InventDim","Sum|CostAmount|0","","","","","","","ItemId|TransDate|T2.InventSiteId|T2.InventLocationId",$A191,PeriodBeginning,$B191,$C191)</f>
        <v>-117.26</v>
      </c>
      <c r="K191" s="4">
        <f>_xll.AtlasFormulas.AtlasFunctions.AtlasBalance("PROD",DataAreaId,"T.TPPTrans_sst|InventDimId~inventDimId@T.InventDim","Sum|CostAmount|0","","","","","","","ItemId|TransDate|T2.InventSiteId|T2.InventLocationId",$A191,PeriodEnding,$B191,$C191)</f>
        <v>0</v>
      </c>
      <c r="L191" s="4">
        <f>AtlasReport_4_Table_1[[#This Row],[TPP cost amount]]-AtlasReport_4_Table_1[[#This Row],[TPP trans backwards balance (Beginning)]]</f>
        <v>1568.17075099709</v>
      </c>
      <c r="M191" s="4">
        <f>AtlasReport_4_Table_1[[#This Row],[TPP cost amount]]-AtlasReport_4_Table_1[[#This Row],[TPP Balance (Beginning)]]</f>
        <v>-117.25999999999999</v>
      </c>
    </row>
    <row r="192" spans="1:13" x14ac:dyDescent="0.25">
      <c r="A192" s="8" t="s">
        <v>62</v>
      </c>
      <c r="B192" s="8" t="s">
        <v>261</v>
      </c>
      <c r="C192" s="8" t="s">
        <v>262</v>
      </c>
      <c r="D192" s="4">
        <v>1500</v>
      </c>
      <c r="E192" s="4">
        <v>0</v>
      </c>
      <c r="F192" s="4">
        <f>_xll.AtlasFormulas.AtlasFunctions.AtlasBalance("PROD",DataAreaId,"T.TPPTrans_sst|InventDimId~inventDimId@T.InventDim","Sum|Qty|0","","","","","","","ItemId|TransDate|T2.InventSiteId|T2.InventLocationId",$A192,PeriodBeginning,$B192,$C192)</f>
        <v>0</v>
      </c>
      <c r="G192" s="4">
        <f>_xll.AtlasFormulas.AtlasFunctions.AtlasBalance("PROD",DataAreaId,"T.TPPTrans_sst|InventDimId~inventDimId@T.InventDim","Sum|Qty|0","","","","","","","ItemId|TransDate|T2.InventSiteId|T2.InventLocationId",$A192,PeriodEnding,$B192,$C192)</f>
        <v>0</v>
      </c>
      <c r="H192" s="4">
        <f>AtlasReport_4_Table_1[[#This Row],[Quantity]]-AtlasReport_4_Table_1[[#This Row],[TPP trans backwards (Beginning)]]</f>
        <v>1500</v>
      </c>
      <c r="I192" s="4">
        <f>AtlasReport_4_Table_1[[#This Row],[Quantity]]-AtlasReport_4_Table_1[[#This Row],[TPP trans backwards (Ending)]]</f>
        <v>1500</v>
      </c>
      <c r="J192" s="4">
        <f>_xll.AtlasFormulas.AtlasFunctions.AtlasBalance("PROD",DataAreaId,"T.TPPTrans_sst|InventDimId~inventDimId@T.InventDim","Sum|CostAmount|0","","","","","","","ItemId|TransDate|T2.InventSiteId|T2.InventLocationId",$A192,PeriodBeginning,$B192,$C192)</f>
        <v>0</v>
      </c>
      <c r="K192" s="4">
        <f>_xll.AtlasFormulas.AtlasFunctions.AtlasBalance("PROD",DataAreaId,"T.TPPTrans_sst|InventDimId~inventDimId@T.InventDim","Sum|CostAmount|0","","","","","","","ItemId|TransDate|T2.InventSiteId|T2.InventLocationId",$A192,PeriodEnding,$B192,$C192)</f>
        <v>0</v>
      </c>
      <c r="L192" s="4">
        <f>AtlasReport_4_Table_1[[#This Row],[TPP cost amount]]-AtlasReport_4_Table_1[[#This Row],[TPP trans backwards balance (Beginning)]]</f>
        <v>0</v>
      </c>
      <c r="M192" s="4">
        <f>AtlasReport_4_Table_1[[#This Row],[TPP cost amount]]-AtlasReport_4_Table_1[[#This Row],[TPP Balance (Beginning)]]</f>
        <v>0</v>
      </c>
    </row>
    <row r="193" spans="1:13" x14ac:dyDescent="0.25">
      <c r="A193" s="8" t="s">
        <v>62</v>
      </c>
      <c r="B193" s="8" t="s">
        <v>261</v>
      </c>
      <c r="C193" s="8" t="s">
        <v>264</v>
      </c>
      <c r="D193" s="4">
        <v>738.23</v>
      </c>
      <c r="E193" s="4">
        <v>2860.6584086603643</v>
      </c>
      <c r="F193" s="4">
        <f>_xll.AtlasFormulas.AtlasFunctions.AtlasBalance("PROD",DataAreaId,"T.TPPTrans_sst|InventDimId~inventDimId@T.InventDim","Sum|Qty|0","","","","","","","ItemId|TransDate|T2.InventSiteId|T2.InventLocationId",$A193,PeriodBeginning,$B193,$C193)</f>
        <v>-34.75</v>
      </c>
      <c r="G193" s="4">
        <f>_xll.AtlasFormulas.AtlasFunctions.AtlasBalance("PROD",DataAreaId,"T.TPPTrans_sst|InventDimId~inventDimId@T.InventDim","Sum|Qty|0","","","","","","","ItemId|TransDate|T2.InventSiteId|T2.InventLocationId",$A193,PeriodEnding,$B193,$C193)</f>
        <v>0</v>
      </c>
      <c r="H193" s="4">
        <f>AtlasReport_4_Table_1[[#This Row],[Quantity]]-AtlasReport_4_Table_1[[#This Row],[TPP trans backwards (Beginning)]]</f>
        <v>772.98</v>
      </c>
      <c r="I193" s="4">
        <f>AtlasReport_4_Table_1[[#This Row],[Quantity]]-AtlasReport_4_Table_1[[#This Row],[TPP trans backwards (Ending)]]</f>
        <v>738.23</v>
      </c>
      <c r="J193" s="4">
        <f>_xll.AtlasFormulas.AtlasFunctions.AtlasBalance("PROD",DataAreaId,"T.TPPTrans_sst|InventDimId~inventDimId@T.InventDim","Sum|CostAmount|0","","","","","","","ItemId|TransDate|T2.InventSiteId|T2.InventLocationId",$A193,PeriodBeginning,$B193,$C193)</f>
        <v>-134.66</v>
      </c>
      <c r="K193" s="4">
        <f>_xll.AtlasFormulas.AtlasFunctions.AtlasBalance("PROD",DataAreaId,"T.TPPTrans_sst|InventDimId~inventDimId@T.InventDim","Sum|CostAmount|0","","","","","","","ItemId|TransDate|T2.InventSiteId|T2.InventLocationId",$A193,PeriodEnding,$B193,$C193)</f>
        <v>0</v>
      </c>
      <c r="L193" s="4">
        <f>AtlasReport_4_Table_1[[#This Row],[TPP cost amount]]-AtlasReport_4_Table_1[[#This Row],[TPP trans backwards balance (Beginning)]]</f>
        <v>2995.3184086603642</v>
      </c>
      <c r="M193" s="4">
        <f>AtlasReport_4_Table_1[[#This Row],[TPP cost amount]]-AtlasReport_4_Table_1[[#This Row],[TPP Balance (Beginning)]]</f>
        <v>-134.65999999999985</v>
      </c>
    </row>
    <row r="194" spans="1:13" x14ac:dyDescent="0.25">
      <c r="A194" s="8" t="s">
        <v>63</v>
      </c>
      <c r="B194" s="8" t="s">
        <v>261</v>
      </c>
      <c r="C194" s="8" t="s">
        <v>262</v>
      </c>
      <c r="D194" s="4">
        <v>1150</v>
      </c>
      <c r="E194" s="4">
        <v>0</v>
      </c>
      <c r="F194" s="4">
        <f>_xll.AtlasFormulas.AtlasFunctions.AtlasBalance("PROD",DataAreaId,"T.TPPTrans_sst|InventDimId~inventDimId@T.InventDim","Sum|Qty|0","","","","","","","ItemId|TransDate|T2.InventSiteId|T2.InventLocationId",$A194,PeriodBeginning,$B194,$C194)</f>
        <v>0</v>
      </c>
      <c r="G194" s="4">
        <f>_xll.AtlasFormulas.AtlasFunctions.AtlasBalance("PROD",DataAreaId,"T.TPPTrans_sst|InventDimId~inventDimId@T.InventDim","Sum|Qty|0","","","","","","","ItemId|TransDate|T2.InventSiteId|T2.InventLocationId",$A194,PeriodEnding,$B194,$C194)</f>
        <v>0</v>
      </c>
      <c r="H194" s="4">
        <f>AtlasReport_4_Table_1[[#This Row],[Quantity]]-AtlasReport_4_Table_1[[#This Row],[TPP trans backwards (Beginning)]]</f>
        <v>1150</v>
      </c>
      <c r="I194" s="4">
        <f>AtlasReport_4_Table_1[[#This Row],[Quantity]]-AtlasReport_4_Table_1[[#This Row],[TPP trans backwards (Ending)]]</f>
        <v>1150</v>
      </c>
      <c r="J194" s="4">
        <f>_xll.AtlasFormulas.AtlasFunctions.AtlasBalance("PROD",DataAreaId,"T.TPPTrans_sst|InventDimId~inventDimId@T.InventDim","Sum|CostAmount|0","","","","","","","ItemId|TransDate|T2.InventSiteId|T2.InventLocationId",$A194,PeriodBeginning,$B194,$C194)</f>
        <v>0</v>
      </c>
      <c r="K194" s="4">
        <f>_xll.AtlasFormulas.AtlasFunctions.AtlasBalance("PROD",DataAreaId,"T.TPPTrans_sst|InventDimId~inventDimId@T.InventDim","Sum|CostAmount|0","","","","","","","ItemId|TransDate|T2.InventSiteId|T2.InventLocationId",$A194,PeriodEnding,$B194,$C194)</f>
        <v>0</v>
      </c>
      <c r="L194" s="4">
        <f>AtlasReport_4_Table_1[[#This Row],[TPP cost amount]]-AtlasReport_4_Table_1[[#This Row],[TPP trans backwards balance (Beginning)]]</f>
        <v>0</v>
      </c>
      <c r="M194" s="4">
        <f>AtlasReport_4_Table_1[[#This Row],[TPP cost amount]]-AtlasReport_4_Table_1[[#This Row],[TPP Balance (Beginning)]]</f>
        <v>0</v>
      </c>
    </row>
    <row r="195" spans="1:13" x14ac:dyDescent="0.25">
      <c r="A195" s="8" t="s">
        <v>63</v>
      </c>
      <c r="B195" s="8" t="s">
        <v>261</v>
      </c>
      <c r="C195" s="8" t="s">
        <v>264</v>
      </c>
      <c r="D195" s="4">
        <v>2115.88</v>
      </c>
      <c r="E195" s="4">
        <v>8118.6034474972903</v>
      </c>
      <c r="F195" s="4">
        <f>_xll.AtlasFormulas.AtlasFunctions.AtlasBalance("PROD",DataAreaId,"T.TPPTrans_sst|InventDimId~inventDimId@T.InventDim","Sum|Qty|0","","","","","","","ItemId|TransDate|T2.InventSiteId|T2.InventLocationId",$A195,PeriodBeginning,$B195,$C195)</f>
        <v>1577.73</v>
      </c>
      <c r="G195" s="4">
        <f>_xll.AtlasFormulas.AtlasFunctions.AtlasBalance("PROD",DataAreaId,"T.TPPTrans_sst|InventDimId~inventDimId@T.InventDim","Sum|Qty|0","","","","","","","ItemId|TransDate|T2.InventSiteId|T2.InventLocationId",$A195,PeriodEnding,$B195,$C195)</f>
        <v>0</v>
      </c>
      <c r="H195" s="4">
        <f>AtlasReport_4_Table_1[[#This Row],[Quantity]]-AtlasReport_4_Table_1[[#This Row],[TPP trans backwards (Beginning)]]</f>
        <v>538.15000000000009</v>
      </c>
      <c r="I195" s="4">
        <f>AtlasReport_4_Table_1[[#This Row],[Quantity]]-AtlasReport_4_Table_1[[#This Row],[TPP trans backwards (Ending)]]</f>
        <v>2115.88</v>
      </c>
      <c r="J195" s="4">
        <f>_xll.AtlasFormulas.AtlasFunctions.AtlasBalance("PROD",DataAreaId,"T.TPPTrans_sst|InventDimId~inventDimId@T.InventDim","Sum|CostAmount|0","","","","","","","ItemId|TransDate|T2.InventSiteId|T2.InventLocationId",$A195,PeriodBeginning,$B195,$C195)</f>
        <v>5412.03</v>
      </c>
      <c r="K195" s="4">
        <f>_xll.AtlasFormulas.AtlasFunctions.AtlasBalance("PROD",DataAreaId,"T.TPPTrans_sst|InventDimId~inventDimId@T.InventDim","Sum|CostAmount|0","","","","","","","ItemId|TransDate|T2.InventSiteId|T2.InventLocationId",$A195,PeriodEnding,$B195,$C195)</f>
        <v>0</v>
      </c>
      <c r="L195" s="4">
        <f>AtlasReport_4_Table_1[[#This Row],[TPP cost amount]]-AtlasReport_4_Table_1[[#This Row],[TPP trans backwards balance (Beginning)]]</f>
        <v>2706.5734474972905</v>
      </c>
      <c r="M195" s="4">
        <f>AtlasReport_4_Table_1[[#This Row],[TPP cost amount]]-AtlasReport_4_Table_1[[#This Row],[TPP Balance (Beginning)]]</f>
        <v>5412.03</v>
      </c>
    </row>
    <row r="196" spans="1:13" x14ac:dyDescent="0.25">
      <c r="A196" s="8" t="s">
        <v>404</v>
      </c>
      <c r="B196" s="8" t="s">
        <v>261</v>
      </c>
      <c r="C196" s="8" t="s">
        <v>264</v>
      </c>
      <c r="D196" s="4">
        <v>606</v>
      </c>
      <c r="E196" s="4">
        <v>0</v>
      </c>
      <c r="F196" s="4">
        <f>_xll.AtlasFormulas.AtlasFunctions.AtlasBalance("PROD",DataAreaId,"T.TPPTrans_sst|InventDimId~inventDimId@T.InventDim","Sum|Qty|0","","","","","","","ItemId|TransDate|T2.InventSiteId|T2.InventLocationId",$A196,PeriodBeginning,$B196,$C196)</f>
        <v>0</v>
      </c>
      <c r="G196" s="4">
        <f>_xll.AtlasFormulas.AtlasFunctions.AtlasBalance("PROD",DataAreaId,"T.TPPTrans_sst|InventDimId~inventDimId@T.InventDim","Sum|Qty|0","","","","","","","ItemId|TransDate|T2.InventSiteId|T2.InventLocationId",$A196,PeriodEnding,$B196,$C196)</f>
        <v>0</v>
      </c>
      <c r="H196" s="4">
        <f>AtlasReport_4_Table_1[[#This Row],[Quantity]]-AtlasReport_4_Table_1[[#This Row],[TPP trans backwards (Beginning)]]</f>
        <v>606</v>
      </c>
      <c r="I196" s="4">
        <f>AtlasReport_4_Table_1[[#This Row],[Quantity]]-AtlasReport_4_Table_1[[#This Row],[TPP trans backwards (Ending)]]</f>
        <v>606</v>
      </c>
      <c r="J196" s="4">
        <f>_xll.AtlasFormulas.AtlasFunctions.AtlasBalance("PROD",DataAreaId,"T.TPPTrans_sst|InventDimId~inventDimId@T.InventDim","Sum|CostAmount|0","","","","","","","ItemId|TransDate|T2.InventSiteId|T2.InventLocationId",$A196,PeriodBeginning,$B196,$C196)</f>
        <v>0</v>
      </c>
      <c r="K196" s="4">
        <f>_xll.AtlasFormulas.AtlasFunctions.AtlasBalance("PROD",DataAreaId,"T.TPPTrans_sst|InventDimId~inventDimId@T.InventDim","Sum|CostAmount|0","","","","","","","ItemId|TransDate|T2.InventSiteId|T2.InventLocationId",$A196,PeriodEnding,$B196,$C196)</f>
        <v>0</v>
      </c>
      <c r="L196" s="4">
        <f>AtlasReport_4_Table_1[[#This Row],[TPP cost amount]]-AtlasReport_4_Table_1[[#This Row],[TPP trans backwards balance (Beginning)]]</f>
        <v>0</v>
      </c>
      <c r="M196" s="4">
        <f>AtlasReport_4_Table_1[[#This Row],[TPP cost amount]]-AtlasReport_4_Table_1[[#This Row],[TPP Balance (Beginning)]]</f>
        <v>0</v>
      </c>
    </row>
    <row r="197" spans="1:13" x14ac:dyDescent="0.25">
      <c r="A197" s="8" t="s">
        <v>405</v>
      </c>
      <c r="B197" s="8" t="s">
        <v>261</v>
      </c>
      <c r="C197" s="8" t="s">
        <v>264</v>
      </c>
      <c r="D197" s="4">
        <v>624</v>
      </c>
      <c r="E197" s="4">
        <v>0</v>
      </c>
      <c r="F197" s="4">
        <f>_xll.AtlasFormulas.AtlasFunctions.AtlasBalance("PROD",DataAreaId,"T.TPPTrans_sst|InventDimId~inventDimId@T.InventDim","Sum|Qty|0","","","","","","","ItemId|TransDate|T2.InventSiteId|T2.InventLocationId",$A197,PeriodBeginning,$B197,$C197)</f>
        <v>0</v>
      </c>
      <c r="G197" s="4">
        <f>_xll.AtlasFormulas.AtlasFunctions.AtlasBalance("PROD",DataAreaId,"T.TPPTrans_sst|InventDimId~inventDimId@T.InventDim","Sum|Qty|0","","","","","","","ItemId|TransDate|T2.InventSiteId|T2.InventLocationId",$A197,PeriodEnding,$B197,$C197)</f>
        <v>0</v>
      </c>
      <c r="H197" s="4">
        <f>AtlasReport_4_Table_1[[#This Row],[Quantity]]-AtlasReport_4_Table_1[[#This Row],[TPP trans backwards (Beginning)]]</f>
        <v>624</v>
      </c>
      <c r="I197" s="4">
        <f>AtlasReport_4_Table_1[[#This Row],[Quantity]]-AtlasReport_4_Table_1[[#This Row],[TPP trans backwards (Ending)]]</f>
        <v>624</v>
      </c>
      <c r="J197" s="4">
        <f>_xll.AtlasFormulas.AtlasFunctions.AtlasBalance("PROD",DataAreaId,"T.TPPTrans_sst|InventDimId~inventDimId@T.InventDim","Sum|CostAmount|0","","","","","","","ItemId|TransDate|T2.InventSiteId|T2.InventLocationId",$A197,PeriodBeginning,$B197,$C197)</f>
        <v>0</v>
      </c>
      <c r="K197" s="4">
        <f>_xll.AtlasFormulas.AtlasFunctions.AtlasBalance("PROD",DataAreaId,"T.TPPTrans_sst|InventDimId~inventDimId@T.InventDim","Sum|CostAmount|0","","","","","","","ItemId|TransDate|T2.InventSiteId|T2.InventLocationId",$A197,PeriodEnding,$B197,$C197)</f>
        <v>0</v>
      </c>
      <c r="L197" s="4">
        <f>AtlasReport_4_Table_1[[#This Row],[TPP cost amount]]-AtlasReport_4_Table_1[[#This Row],[TPP trans backwards balance (Beginning)]]</f>
        <v>0</v>
      </c>
      <c r="M197" s="4">
        <f>AtlasReport_4_Table_1[[#This Row],[TPP cost amount]]-AtlasReport_4_Table_1[[#This Row],[TPP Balance (Beginning)]]</f>
        <v>0</v>
      </c>
    </row>
    <row r="198" spans="1:13" x14ac:dyDescent="0.25">
      <c r="A198" s="8" t="s">
        <v>103</v>
      </c>
      <c r="B198" s="8" t="s">
        <v>261</v>
      </c>
      <c r="C198" s="8" t="s">
        <v>264</v>
      </c>
      <c r="D198" s="4">
        <v>1</v>
      </c>
      <c r="E198" s="4">
        <v>0</v>
      </c>
      <c r="F198" s="4">
        <f>_xll.AtlasFormulas.AtlasFunctions.AtlasBalance("PROD",DataAreaId,"T.TPPTrans_sst|InventDimId~inventDimId@T.InventDim","Sum|Qty|0","","","","","","","ItemId|TransDate|T2.InventSiteId|T2.InventLocationId",$A198,PeriodBeginning,$B198,$C198)</f>
        <v>0</v>
      </c>
      <c r="G198" s="4">
        <f>_xll.AtlasFormulas.AtlasFunctions.AtlasBalance("PROD",DataAreaId,"T.TPPTrans_sst|InventDimId~inventDimId@T.InventDim","Sum|Qty|0","","","","","","","ItemId|TransDate|T2.InventSiteId|T2.InventLocationId",$A198,PeriodEnding,$B198,$C198)</f>
        <v>0</v>
      </c>
      <c r="H198" s="4">
        <f>AtlasReport_4_Table_1[[#This Row],[Quantity]]-AtlasReport_4_Table_1[[#This Row],[TPP trans backwards (Beginning)]]</f>
        <v>1</v>
      </c>
      <c r="I198" s="4">
        <f>AtlasReport_4_Table_1[[#This Row],[Quantity]]-AtlasReport_4_Table_1[[#This Row],[TPP trans backwards (Ending)]]</f>
        <v>1</v>
      </c>
      <c r="J198" s="4">
        <f>_xll.AtlasFormulas.AtlasFunctions.AtlasBalance("PROD",DataAreaId,"T.TPPTrans_sst|InventDimId~inventDimId@T.InventDim","Sum|CostAmount|0","","","","","","","ItemId|TransDate|T2.InventSiteId|T2.InventLocationId",$A198,PeriodBeginning,$B198,$C198)</f>
        <v>0</v>
      </c>
      <c r="K198" s="4">
        <f>_xll.AtlasFormulas.AtlasFunctions.AtlasBalance("PROD",DataAreaId,"T.TPPTrans_sst|InventDimId~inventDimId@T.InventDim","Sum|CostAmount|0","","","","","","","ItemId|TransDate|T2.InventSiteId|T2.InventLocationId",$A198,PeriodEnding,$B198,$C198)</f>
        <v>0</v>
      </c>
      <c r="L198" s="4">
        <f>AtlasReport_4_Table_1[[#This Row],[TPP cost amount]]-AtlasReport_4_Table_1[[#This Row],[TPP trans backwards balance (Beginning)]]</f>
        <v>0</v>
      </c>
      <c r="M198" s="4">
        <f>AtlasReport_4_Table_1[[#This Row],[TPP cost amount]]-AtlasReport_4_Table_1[[#This Row],[TPP Balance (Beginning)]]</f>
        <v>0</v>
      </c>
    </row>
    <row r="199" spans="1:13" x14ac:dyDescent="0.25">
      <c r="A199" s="8" t="s">
        <v>131</v>
      </c>
      <c r="B199" s="8" t="s">
        <v>261</v>
      </c>
      <c r="C199" s="8" t="s">
        <v>264</v>
      </c>
      <c r="D199" s="4">
        <v>521</v>
      </c>
      <c r="E199" s="4">
        <v>0</v>
      </c>
      <c r="F199" s="4">
        <f>_xll.AtlasFormulas.AtlasFunctions.AtlasBalance("PROD",DataAreaId,"T.TPPTrans_sst|InventDimId~inventDimId@T.InventDim","Sum|Qty|0","","","","","","","ItemId|TransDate|T2.InventSiteId|T2.InventLocationId",$A199,PeriodBeginning,$B199,$C199)</f>
        <v>0</v>
      </c>
      <c r="G199" s="4">
        <f>_xll.AtlasFormulas.AtlasFunctions.AtlasBalance("PROD",DataAreaId,"T.TPPTrans_sst|InventDimId~inventDimId@T.InventDim","Sum|Qty|0","","","","","","","ItemId|TransDate|T2.InventSiteId|T2.InventLocationId",$A199,PeriodEnding,$B199,$C199)</f>
        <v>0</v>
      </c>
      <c r="H199" s="4">
        <f>AtlasReport_4_Table_1[[#This Row],[Quantity]]-AtlasReport_4_Table_1[[#This Row],[TPP trans backwards (Beginning)]]</f>
        <v>521</v>
      </c>
      <c r="I199" s="4">
        <f>AtlasReport_4_Table_1[[#This Row],[Quantity]]-AtlasReport_4_Table_1[[#This Row],[TPP trans backwards (Ending)]]</f>
        <v>521</v>
      </c>
      <c r="J199" s="4">
        <f>_xll.AtlasFormulas.AtlasFunctions.AtlasBalance("PROD",DataAreaId,"T.TPPTrans_sst|InventDimId~inventDimId@T.InventDim","Sum|CostAmount|0","","","","","","","ItemId|TransDate|T2.InventSiteId|T2.InventLocationId",$A199,PeriodBeginning,$B199,$C199)</f>
        <v>0</v>
      </c>
      <c r="K199" s="4">
        <f>_xll.AtlasFormulas.AtlasFunctions.AtlasBalance("PROD",DataAreaId,"T.TPPTrans_sst|InventDimId~inventDimId@T.InventDim","Sum|CostAmount|0","","","","","","","ItemId|TransDate|T2.InventSiteId|T2.InventLocationId",$A199,PeriodEnding,$B199,$C199)</f>
        <v>0</v>
      </c>
      <c r="L199" s="4">
        <f>AtlasReport_4_Table_1[[#This Row],[TPP cost amount]]-AtlasReport_4_Table_1[[#This Row],[TPP trans backwards balance (Beginning)]]</f>
        <v>0</v>
      </c>
      <c r="M199" s="4">
        <f>AtlasReport_4_Table_1[[#This Row],[TPP cost amount]]-AtlasReport_4_Table_1[[#This Row],[TPP Balance (Beginning)]]</f>
        <v>0</v>
      </c>
    </row>
    <row r="200" spans="1:13" x14ac:dyDescent="0.25">
      <c r="A200" s="8" t="s">
        <v>134</v>
      </c>
      <c r="B200" s="8" t="s">
        <v>261</v>
      </c>
      <c r="C200" s="8" t="s">
        <v>264</v>
      </c>
      <c r="D200" s="4">
        <v>199</v>
      </c>
      <c r="E200" s="4">
        <v>0</v>
      </c>
      <c r="F200" s="4">
        <f>_xll.AtlasFormulas.AtlasFunctions.AtlasBalance("PROD",DataAreaId,"T.TPPTrans_sst|InventDimId~inventDimId@T.InventDim","Sum|Qty|0","","","","","","","ItemId|TransDate|T2.InventSiteId|T2.InventLocationId",$A200,PeriodBeginning,$B200,$C200)</f>
        <v>0</v>
      </c>
      <c r="G200" s="4">
        <f>_xll.AtlasFormulas.AtlasFunctions.AtlasBalance("PROD",DataAreaId,"T.TPPTrans_sst|InventDimId~inventDimId@T.InventDim","Sum|Qty|0","","","","","","","ItemId|TransDate|T2.InventSiteId|T2.InventLocationId",$A200,PeriodEnding,$B200,$C200)</f>
        <v>0</v>
      </c>
      <c r="H200" s="4">
        <f>AtlasReport_4_Table_1[[#This Row],[Quantity]]-AtlasReport_4_Table_1[[#This Row],[TPP trans backwards (Beginning)]]</f>
        <v>199</v>
      </c>
      <c r="I200" s="4">
        <f>AtlasReport_4_Table_1[[#This Row],[Quantity]]-AtlasReport_4_Table_1[[#This Row],[TPP trans backwards (Ending)]]</f>
        <v>199</v>
      </c>
      <c r="J200" s="4">
        <f>_xll.AtlasFormulas.AtlasFunctions.AtlasBalance("PROD",DataAreaId,"T.TPPTrans_sst|InventDimId~inventDimId@T.InventDim","Sum|CostAmount|0","","","","","","","ItemId|TransDate|T2.InventSiteId|T2.InventLocationId",$A200,PeriodBeginning,$B200,$C200)</f>
        <v>0</v>
      </c>
      <c r="K200" s="4">
        <f>_xll.AtlasFormulas.AtlasFunctions.AtlasBalance("PROD",DataAreaId,"T.TPPTrans_sst|InventDimId~inventDimId@T.InventDim","Sum|CostAmount|0","","","","","","","ItemId|TransDate|T2.InventSiteId|T2.InventLocationId",$A200,PeriodEnding,$B200,$C200)</f>
        <v>0</v>
      </c>
      <c r="L200" s="4">
        <f>AtlasReport_4_Table_1[[#This Row],[TPP cost amount]]-AtlasReport_4_Table_1[[#This Row],[TPP trans backwards balance (Beginning)]]</f>
        <v>0</v>
      </c>
      <c r="M200" s="4">
        <f>AtlasReport_4_Table_1[[#This Row],[TPP cost amount]]-AtlasReport_4_Table_1[[#This Row],[TPP Balance (Beginning)]]</f>
        <v>0</v>
      </c>
    </row>
    <row r="201" spans="1:13" x14ac:dyDescent="0.25">
      <c r="A201" s="8" t="s">
        <v>409</v>
      </c>
      <c r="B201" s="8" t="s">
        <v>261</v>
      </c>
      <c r="C201" s="8" t="s">
        <v>264</v>
      </c>
      <c r="D201" s="4">
        <v>14</v>
      </c>
      <c r="E201" s="4">
        <v>0</v>
      </c>
      <c r="F201" s="4">
        <f>_xll.AtlasFormulas.AtlasFunctions.AtlasBalance("PROD",DataAreaId,"T.TPPTrans_sst|InventDimId~inventDimId@T.InventDim","Sum|Qty|0","","","","","","","ItemId|TransDate|T2.InventSiteId|T2.InventLocationId",$A201,PeriodBeginning,$B201,$C201)</f>
        <v>0</v>
      </c>
      <c r="G201" s="4">
        <f>_xll.AtlasFormulas.AtlasFunctions.AtlasBalance("PROD",DataAreaId,"T.TPPTrans_sst|InventDimId~inventDimId@T.InventDim","Sum|Qty|0","","","","","","","ItemId|TransDate|T2.InventSiteId|T2.InventLocationId",$A201,PeriodEnding,$B201,$C201)</f>
        <v>0</v>
      </c>
      <c r="H201" s="4">
        <f>AtlasReport_4_Table_1[[#This Row],[Quantity]]-AtlasReport_4_Table_1[[#This Row],[TPP trans backwards (Beginning)]]</f>
        <v>14</v>
      </c>
      <c r="I201" s="4">
        <f>AtlasReport_4_Table_1[[#This Row],[Quantity]]-AtlasReport_4_Table_1[[#This Row],[TPP trans backwards (Ending)]]</f>
        <v>14</v>
      </c>
      <c r="J201" s="4">
        <f>_xll.AtlasFormulas.AtlasFunctions.AtlasBalance("PROD",DataAreaId,"T.TPPTrans_sst|InventDimId~inventDimId@T.InventDim","Sum|CostAmount|0","","","","","","","ItemId|TransDate|T2.InventSiteId|T2.InventLocationId",$A201,PeriodBeginning,$B201,$C201)</f>
        <v>0</v>
      </c>
      <c r="K201" s="4">
        <f>_xll.AtlasFormulas.AtlasFunctions.AtlasBalance("PROD",DataAreaId,"T.TPPTrans_sst|InventDimId~inventDimId@T.InventDim","Sum|CostAmount|0","","","","","","","ItemId|TransDate|T2.InventSiteId|T2.InventLocationId",$A201,PeriodEnding,$B201,$C201)</f>
        <v>0</v>
      </c>
      <c r="L201" s="4">
        <f>AtlasReport_4_Table_1[[#This Row],[TPP cost amount]]-AtlasReport_4_Table_1[[#This Row],[TPP trans backwards balance (Beginning)]]</f>
        <v>0</v>
      </c>
      <c r="M201" s="4">
        <f>AtlasReport_4_Table_1[[#This Row],[TPP cost amount]]-AtlasReport_4_Table_1[[#This Row],[TPP Balance (Beginning)]]</f>
        <v>0</v>
      </c>
    </row>
    <row r="202" spans="1:13" x14ac:dyDescent="0.25">
      <c r="A202" s="8" t="s">
        <v>79</v>
      </c>
      <c r="B202" s="8" t="s">
        <v>261</v>
      </c>
      <c r="C202" s="8" t="s">
        <v>264</v>
      </c>
      <c r="D202" s="4">
        <v>1</v>
      </c>
      <c r="E202" s="4">
        <v>0</v>
      </c>
      <c r="F202" s="4">
        <f>_xll.AtlasFormulas.AtlasFunctions.AtlasBalance("PROD",DataAreaId,"T.TPPTrans_sst|InventDimId~inventDimId@T.InventDim","Sum|Qty|0","","","","","","","ItemId|TransDate|T2.InventSiteId|T2.InventLocationId",$A202,PeriodBeginning,$B202,$C202)</f>
        <v>0</v>
      </c>
      <c r="G202" s="4">
        <f>_xll.AtlasFormulas.AtlasFunctions.AtlasBalance("PROD",DataAreaId,"T.TPPTrans_sst|InventDimId~inventDimId@T.InventDim","Sum|Qty|0","","","","","","","ItemId|TransDate|T2.InventSiteId|T2.InventLocationId",$A202,PeriodEnding,$B202,$C202)</f>
        <v>0</v>
      </c>
      <c r="H202" s="4">
        <f>AtlasReport_4_Table_1[[#This Row],[Quantity]]-AtlasReport_4_Table_1[[#This Row],[TPP trans backwards (Beginning)]]</f>
        <v>1</v>
      </c>
      <c r="I202" s="4">
        <f>AtlasReport_4_Table_1[[#This Row],[Quantity]]-AtlasReport_4_Table_1[[#This Row],[TPP trans backwards (Ending)]]</f>
        <v>1</v>
      </c>
      <c r="J202" s="4">
        <f>_xll.AtlasFormulas.AtlasFunctions.AtlasBalance("PROD",DataAreaId,"T.TPPTrans_sst|InventDimId~inventDimId@T.InventDim","Sum|CostAmount|0","","","","","","","ItemId|TransDate|T2.InventSiteId|T2.InventLocationId",$A202,PeriodBeginning,$B202,$C202)</f>
        <v>0</v>
      </c>
      <c r="K202" s="4">
        <f>_xll.AtlasFormulas.AtlasFunctions.AtlasBalance("PROD",DataAreaId,"T.TPPTrans_sst|InventDimId~inventDimId@T.InventDim","Sum|CostAmount|0","","","","","","","ItemId|TransDate|T2.InventSiteId|T2.InventLocationId",$A202,PeriodEnding,$B202,$C202)</f>
        <v>0</v>
      </c>
      <c r="L202" s="4">
        <f>AtlasReport_4_Table_1[[#This Row],[TPP cost amount]]-AtlasReport_4_Table_1[[#This Row],[TPP trans backwards balance (Beginning)]]</f>
        <v>0</v>
      </c>
      <c r="M202" s="4">
        <f>AtlasReport_4_Table_1[[#This Row],[TPP cost amount]]-AtlasReport_4_Table_1[[#This Row],[TPP Balance (Beginning)]]</f>
        <v>0</v>
      </c>
    </row>
    <row r="203" spans="1:13" x14ac:dyDescent="0.25">
      <c r="A203" s="8" t="s">
        <v>108</v>
      </c>
      <c r="B203" s="8" t="s">
        <v>261</v>
      </c>
      <c r="C203" s="8" t="s">
        <v>383</v>
      </c>
      <c r="D203" s="4">
        <v>1</v>
      </c>
      <c r="E203" s="4">
        <v>0</v>
      </c>
      <c r="F203" s="4">
        <f>_xll.AtlasFormulas.AtlasFunctions.AtlasBalance("PROD",DataAreaId,"T.TPPTrans_sst|InventDimId~inventDimId@T.InventDim","Sum|Qty|0","","","","","","","ItemId|TransDate|T2.InventSiteId|T2.InventLocationId",$A203,PeriodBeginning,$B203,$C203)</f>
        <v>0</v>
      </c>
      <c r="G203" s="4">
        <f>_xll.AtlasFormulas.AtlasFunctions.AtlasBalance("PROD",DataAreaId,"T.TPPTrans_sst|InventDimId~inventDimId@T.InventDim","Sum|Qty|0","","","","","","","ItemId|TransDate|T2.InventSiteId|T2.InventLocationId",$A203,PeriodEnding,$B203,$C203)</f>
        <v>0</v>
      </c>
      <c r="H203" s="4">
        <f>AtlasReport_4_Table_1[[#This Row],[Quantity]]-AtlasReport_4_Table_1[[#This Row],[TPP trans backwards (Beginning)]]</f>
        <v>1</v>
      </c>
      <c r="I203" s="4">
        <f>AtlasReport_4_Table_1[[#This Row],[Quantity]]-AtlasReport_4_Table_1[[#This Row],[TPP trans backwards (Ending)]]</f>
        <v>1</v>
      </c>
      <c r="J203" s="4">
        <f>_xll.AtlasFormulas.AtlasFunctions.AtlasBalance("PROD",DataAreaId,"T.TPPTrans_sst|InventDimId~inventDimId@T.InventDim","Sum|CostAmount|0","","","","","","","ItemId|TransDate|T2.InventSiteId|T2.InventLocationId",$A203,PeriodBeginning,$B203,$C203)</f>
        <v>0</v>
      </c>
      <c r="K203" s="4">
        <f>_xll.AtlasFormulas.AtlasFunctions.AtlasBalance("PROD",DataAreaId,"T.TPPTrans_sst|InventDimId~inventDimId@T.InventDim","Sum|CostAmount|0","","","","","","","ItemId|TransDate|T2.InventSiteId|T2.InventLocationId",$A203,PeriodEnding,$B203,$C203)</f>
        <v>0</v>
      </c>
      <c r="L203" s="4">
        <f>AtlasReport_4_Table_1[[#This Row],[TPP cost amount]]-AtlasReport_4_Table_1[[#This Row],[TPP trans backwards balance (Beginning)]]</f>
        <v>0</v>
      </c>
      <c r="M203" s="4">
        <f>AtlasReport_4_Table_1[[#This Row],[TPP cost amount]]-AtlasReport_4_Table_1[[#This Row],[TPP Balance (Beginning)]]</f>
        <v>0</v>
      </c>
    </row>
    <row r="204" spans="1:13" x14ac:dyDescent="0.25">
      <c r="A204" s="8" t="s">
        <v>411</v>
      </c>
      <c r="B204" s="8" t="s">
        <v>261</v>
      </c>
      <c r="C204" s="8" t="s">
        <v>264</v>
      </c>
      <c r="D204" s="4">
        <v>510.5</v>
      </c>
      <c r="E204" s="4">
        <v>0</v>
      </c>
      <c r="F204" s="4">
        <f>_xll.AtlasFormulas.AtlasFunctions.AtlasBalance("PROD",DataAreaId,"T.TPPTrans_sst|InventDimId~inventDimId@T.InventDim","Sum|Qty|0","","","","","","","ItemId|TransDate|T2.InventSiteId|T2.InventLocationId",$A204,PeriodBeginning,$B204,$C204)</f>
        <v>0</v>
      </c>
      <c r="G204" s="4">
        <f>_xll.AtlasFormulas.AtlasFunctions.AtlasBalance("PROD",DataAreaId,"T.TPPTrans_sst|InventDimId~inventDimId@T.InventDim","Sum|Qty|0","","","","","","","ItemId|TransDate|T2.InventSiteId|T2.InventLocationId",$A204,PeriodEnding,$B204,$C204)</f>
        <v>0</v>
      </c>
      <c r="H204" s="4">
        <f>AtlasReport_4_Table_1[[#This Row],[Quantity]]-AtlasReport_4_Table_1[[#This Row],[TPP trans backwards (Beginning)]]</f>
        <v>510.5</v>
      </c>
      <c r="I204" s="4">
        <f>AtlasReport_4_Table_1[[#This Row],[Quantity]]-AtlasReport_4_Table_1[[#This Row],[TPP trans backwards (Ending)]]</f>
        <v>510.5</v>
      </c>
      <c r="J204" s="4">
        <f>_xll.AtlasFormulas.AtlasFunctions.AtlasBalance("PROD",DataAreaId,"T.TPPTrans_sst|InventDimId~inventDimId@T.InventDim","Sum|CostAmount|0","","","","","","","ItemId|TransDate|T2.InventSiteId|T2.InventLocationId",$A204,PeriodBeginning,$B204,$C204)</f>
        <v>0</v>
      </c>
      <c r="K204" s="4">
        <f>_xll.AtlasFormulas.AtlasFunctions.AtlasBalance("PROD",DataAreaId,"T.TPPTrans_sst|InventDimId~inventDimId@T.InventDim","Sum|CostAmount|0","","","","","","","ItemId|TransDate|T2.InventSiteId|T2.InventLocationId",$A204,PeriodEnding,$B204,$C204)</f>
        <v>0</v>
      </c>
      <c r="L204" s="4">
        <f>AtlasReport_4_Table_1[[#This Row],[TPP cost amount]]-AtlasReport_4_Table_1[[#This Row],[TPP trans backwards balance (Beginning)]]</f>
        <v>0</v>
      </c>
      <c r="M204" s="4">
        <f>AtlasReport_4_Table_1[[#This Row],[TPP cost amount]]-AtlasReport_4_Table_1[[#This Row],[TPP Balance (Beginning)]]</f>
        <v>0</v>
      </c>
    </row>
    <row r="205" spans="1:13" x14ac:dyDescent="0.25">
      <c r="A205" s="8" t="s">
        <v>412</v>
      </c>
      <c r="B205" s="8" t="s">
        <v>261</v>
      </c>
      <c r="C205" s="8" t="s">
        <v>264</v>
      </c>
      <c r="D205" s="4">
        <v>109</v>
      </c>
      <c r="E205" s="4">
        <v>0</v>
      </c>
      <c r="F205" s="4">
        <f>_xll.AtlasFormulas.AtlasFunctions.AtlasBalance("PROD",DataAreaId,"T.TPPTrans_sst|InventDimId~inventDimId@T.InventDim","Sum|Qty|0","","","","","","","ItemId|TransDate|T2.InventSiteId|T2.InventLocationId",$A205,PeriodBeginning,$B205,$C205)</f>
        <v>0</v>
      </c>
      <c r="G205" s="4">
        <f>_xll.AtlasFormulas.AtlasFunctions.AtlasBalance("PROD",DataAreaId,"T.TPPTrans_sst|InventDimId~inventDimId@T.InventDim","Sum|Qty|0","","","","","","","ItemId|TransDate|T2.InventSiteId|T2.InventLocationId",$A205,PeriodEnding,$B205,$C205)</f>
        <v>0</v>
      </c>
      <c r="H205" s="4">
        <f>AtlasReport_4_Table_1[[#This Row],[Quantity]]-AtlasReport_4_Table_1[[#This Row],[TPP trans backwards (Beginning)]]</f>
        <v>109</v>
      </c>
      <c r="I205" s="4">
        <f>AtlasReport_4_Table_1[[#This Row],[Quantity]]-AtlasReport_4_Table_1[[#This Row],[TPP trans backwards (Ending)]]</f>
        <v>109</v>
      </c>
      <c r="J205" s="4">
        <f>_xll.AtlasFormulas.AtlasFunctions.AtlasBalance("PROD",DataAreaId,"T.TPPTrans_sst|InventDimId~inventDimId@T.InventDim","Sum|CostAmount|0","","","","","","","ItemId|TransDate|T2.InventSiteId|T2.InventLocationId",$A205,PeriodBeginning,$B205,$C205)</f>
        <v>0</v>
      </c>
      <c r="K205" s="4">
        <f>_xll.AtlasFormulas.AtlasFunctions.AtlasBalance("PROD",DataAreaId,"T.TPPTrans_sst|InventDimId~inventDimId@T.InventDim","Sum|CostAmount|0","","","","","","","ItemId|TransDate|T2.InventSiteId|T2.InventLocationId",$A205,PeriodEnding,$B205,$C205)</f>
        <v>0</v>
      </c>
      <c r="L205" s="4">
        <f>AtlasReport_4_Table_1[[#This Row],[TPP cost amount]]-AtlasReport_4_Table_1[[#This Row],[TPP trans backwards balance (Beginning)]]</f>
        <v>0</v>
      </c>
      <c r="M205" s="4">
        <f>AtlasReport_4_Table_1[[#This Row],[TPP cost amount]]-AtlasReport_4_Table_1[[#This Row],[TPP Balance (Beginning)]]</f>
        <v>0</v>
      </c>
    </row>
    <row r="206" spans="1:13" x14ac:dyDescent="0.25">
      <c r="A206" s="8" t="s">
        <v>413</v>
      </c>
      <c r="B206" s="8" t="s">
        <v>261</v>
      </c>
      <c r="C206" s="8" t="s">
        <v>264</v>
      </c>
      <c r="D206" s="4">
        <v>186</v>
      </c>
      <c r="E206" s="4">
        <v>0</v>
      </c>
      <c r="F206" s="4">
        <f>_xll.AtlasFormulas.AtlasFunctions.AtlasBalance("PROD",DataAreaId,"T.TPPTrans_sst|InventDimId~inventDimId@T.InventDim","Sum|Qty|0","","","","","","","ItemId|TransDate|T2.InventSiteId|T2.InventLocationId",$A206,PeriodBeginning,$B206,$C206)</f>
        <v>0</v>
      </c>
      <c r="G206" s="4">
        <f>_xll.AtlasFormulas.AtlasFunctions.AtlasBalance("PROD",DataAreaId,"T.TPPTrans_sst|InventDimId~inventDimId@T.InventDim","Sum|Qty|0","","","","","","","ItemId|TransDate|T2.InventSiteId|T2.InventLocationId",$A206,PeriodEnding,$B206,$C206)</f>
        <v>0</v>
      </c>
      <c r="H206" s="4">
        <f>AtlasReport_4_Table_1[[#This Row],[Quantity]]-AtlasReport_4_Table_1[[#This Row],[TPP trans backwards (Beginning)]]</f>
        <v>186</v>
      </c>
      <c r="I206" s="4">
        <f>AtlasReport_4_Table_1[[#This Row],[Quantity]]-AtlasReport_4_Table_1[[#This Row],[TPP trans backwards (Ending)]]</f>
        <v>186</v>
      </c>
      <c r="J206" s="4">
        <f>_xll.AtlasFormulas.AtlasFunctions.AtlasBalance("PROD",DataAreaId,"T.TPPTrans_sst|InventDimId~inventDimId@T.InventDim","Sum|CostAmount|0","","","","","","","ItemId|TransDate|T2.InventSiteId|T2.InventLocationId",$A206,PeriodBeginning,$B206,$C206)</f>
        <v>0</v>
      </c>
      <c r="K206" s="4">
        <f>_xll.AtlasFormulas.AtlasFunctions.AtlasBalance("PROD",DataAreaId,"T.TPPTrans_sst|InventDimId~inventDimId@T.InventDim","Sum|CostAmount|0","","","","","","","ItemId|TransDate|T2.InventSiteId|T2.InventLocationId",$A206,PeriodEnding,$B206,$C206)</f>
        <v>0</v>
      </c>
      <c r="L206" s="4">
        <f>AtlasReport_4_Table_1[[#This Row],[TPP cost amount]]-AtlasReport_4_Table_1[[#This Row],[TPP trans backwards balance (Beginning)]]</f>
        <v>0</v>
      </c>
      <c r="M206" s="4">
        <f>AtlasReport_4_Table_1[[#This Row],[TPP cost amount]]-AtlasReport_4_Table_1[[#This Row],[TPP Balance (Beginning)]]</f>
        <v>0</v>
      </c>
    </row>
    <row r="207" spans="1:13" x14ac:dyDescent="0.25">
      <c r="A207" s="8" t="s">
        <v>414</v>
      </c>
      <c r="B207" s="8" t="s">
        <v>261</v>
      </c>
      <c r="C207" s="8" t="s">
        <v>264</v>
      </c>
      <c r="D207" s="4">
        <v>51</v>
      </c>
      <c r="E207" s="4">
        <v>0</v>
      </c>
      <c r="F207" s="4">
        <f>_xll.AtlasFormulas.AtlasFunctions.AtlasBalance("PROD",DataAreaId,"T.TPPTrans_sst|InventDimId~inventDimId@T.InventDim","Sum|Qty|0","","","","","","","ItemId|TransDate|T2.InventSiteId|T2.InventLocationId",$A207,PeriodBeginning,$B207,$C207)</f>
        <v>0</v>
      </c>
      <c r="G207" s="4">
        <f>_xll.AtlasFormulas.AtlasFunctions.AtlasBalance("PROD",DataAreaId,"T.TPPTrans_sst|InventDimId~inventDimId@T.InventDim","Sum|Qty|0","","","","","","","ItemId|TransDate|T2.InventSiteId|T2.InventLocationId",$A207,PeriodEnding,$B207,$C207)</f>
        <v>0</v>
      </c>
      <c r="H207" s="4">
        <f>AtlasReport_4_Table_1[[#This Row],[Quantity]]-AtlasReport_4_Table_1[[#This Row],[TPP trans backwards (Beginning)]]</f>
        <v>51</v>
      </c>
      <c r="I207" s="4">
        <f>AtlasReport_4_Table_1[[#This Row],[Quantity]]-AtlasReport_4_Table_1[[#This Row],[TPP trans backwards (Ending)]]</f>
        <v>51</v>
      </c>
      <c r="J207" s="4">
        <f>_xll.AtlasFormulas.AtlasFunctions.AtlasBalance("PROD",DataAreaId,"T.TPPTrans_sst|InventDimId~inventDimId@T.InventDim","Sum|CostAmount|0","","","","","","","ItemId|TransDate|T2.InventSiteId|T2.InventLocationId",$A207,PeriodBeginning,$B207,$C207)</f>
        <v>0</v>
      </c>
      <c r="K207" s="4">
        <f>_xll.AtlasFormulas.AtlasFunctions.AtlasBalance("PROD",DataAreaId,"T.TPPTrans_sst|InventDimId~inventDimId@T.InventDim","Sum|CostAmount|0","","","","","","","ItemId|TransDate|T2.InventSiteId|T2.InventLocationId",$A207,PeriodEnding,$B207,$C207)</f>
        <v>0</v>
      </c>
      <c r="L207" s="4">
        <f>AtlasReport_4_Table_1[[#This Row],[TPP cost amount]]-AtlasReport_4_Table_1[[#This Row],[TPP trans backwards balance (Beginning)]]</f>
        <v>0</v>
      </c>
      <c r="M207" s="4">
        <f>AtlasReport_4_Table_1[[#This Row],[TPP cost amount]]-AtlasReport_4_Table_1[[#This Row],[TPP Balance (Beginning)]]</f>
        <v>0</v>
      </c>
    </row>
    <row r="208" spans="1:13" x14ac:dyDescent="0.25">
      <c r="A208" s="8" t="s">
        <v>415</v>
      </c>
      <c r="B208" s="8" t="s">
        <v>261</v>
      </c>
      <c r="C208" s="8" t="s">
        <v>264</v>
      </c>
      <c r="D208" s="4">
        <v>97</v>
      </c>
      <c r="E208" s="4">
        <v>0</v>
      </c>
      <c r="F208" s="4">
        <f>_xll.AtlasFormulas.AtlasFunctions.AtlasBalance("PROD",DataAreaId,"T.TPPTrans_sst|InventDimId~inventDimId@T.InventDim","Sum|Qty|0","","","","","","","ItemId|TransDate|T2.InventSiteId|T2.InventLocationId",$A208,PeriodBeginning,$B208,$C208)</f>
        <v>0</v>
      </c>
      <c r="G208" s="4">
        <f>_xll.AtlasFormulas.AtlasFunctions.AtlasBalance("PROD",DataAreaId,"T.TPPTrans_sst|InventDimId~inventDimId@T.InventDim","Sum|Qty|0","","","","","","","ItemId|TransDate|T2.InventSiteId|T2.InventLocationId",$A208,PeriodEnding,$B208,$C208)</f>
        <v>0</v>
      </c>
      <c r="H208" s="4">
        <f>AtlasReport_4_Table_1[[#This Row],[Quantity]]-AtlasReport_4_Table_1[[#This Row],[TPP trans backwards (Beginning)]]</f>
        <v>97</v>
      </c>
      <c r="I208" s="4">
        <f>AtlasReport_4_Table_1[[#This Row],[Quantity]]-AtlasReport_4_Table_1[[#This Row],[TPP trans backwards (Ending)]]</f>
        <v>97</v>
      </c>
      <c r="J208" s="4">
        <f>_xll.AtlasFormulas.AtlasFunctions.AtlasBalance("PROD",DataAreaId,"T.TPPTrans_sst|InventDimId~inventDimId@T.InventDim","Sum|CostAmount|0","","","","","","","ItemId|TransDate|T2.InventSiteId|T2.InventLocationId",$A208,PeriodBeginning,$B208,$C208)</f>
        <v>0</v>
      </c>
      <c r="K208" s="4">
        <f>_xll.AtlasFormulas.AtlasFunctions.AtlasBalance("PROD",DataAreaId,"T.TPPTrans_sst|InventDimId~inventDimId@T.InventDim","Sum|CostAmount|0","","","","","","","ItemId|TransDate|T2.InventSiteId|T2.InventLocationId",$A208,PeriodEnding,$B208,$C208)</f>
        <v>0</v>
      </c>
      <c r="L208" s="4">
        <f>AtlasReport_4_Table_1[[#This Row],[TPP cost amount]]-AtlasReport_4_Table_1[[#This Row],[TPP trans backwards balance (Beginning)]]</f>
        <v>0</v>
      </c>
      <c r="M208" s="4">
        <f>AtlasReport_4_Table_1[[#This Row],[TPP cost amount]]-AtlasReport_4_Table_1[[#This Row],[TPP Balance (Beginning)]]</f>
        <v>0</v>
      </c>
    </row>
    <row r="209" spans="1:13" x14ac:dyDescent="0.25">
      <c r="A209" s="8" t="s">
        <v>416</v>
      </c>
      <c r="B209" s="8" t="s">
        <v>261</v>
      </c>
      <c r="C209" s="8" t="s">
        <v>264</v>
      </c>
      <c r="D209" s="4">
        <v>263</v>
      </c>
      <c r="E209" s="4">
        <v>0</v>
      </c>
      <c r="F209" s="4">
        <f>_xll.AtlasFormulas.AtlasFunctions.AtlasBalance("PROD",DataAreaId,"T.TPPTrans_sst|InventDimId~inventDimId@T.InventDim","Sum|Qty|0","","","","","","","ItemId|TransDate|T2.InventSiteId|T2.InventLocationId",$A209,PeriodBeginning,$B209,$C209)</f>
        <v>0</v>
      </c>
      <c r="G209" s="4">
        <f>_xll.AtlasFormulas.AtlasFunctions.AtlasBalance("PROD",DataAreaId,"T.TPPTrans_sst|InventDimId~inventDimId@T.InventDim","Sum|Qty|0","","","","","","","ItemId|TransDate|T2.InventSiteId|T2.InventLocationId",$A209,PeriodEnding,$B209,$C209)</f>
        <v>0</v>
      </c>
      <c r="H209" s="4">
        <f>AtlasReport_4_Table_1[[#This Row],[Quantity]]-AtlasReport_4_Table_1[[#This Row],[TPP trans backwards (Beginning)]]</f>
        <v>263</v>
      </c>
      <c r="I209" s="4">
        <f>AtlasReport_4_Table_1[[#This Row],[Quantity]]-AtlasReport_4_Table_1[[#This Row],[TPP trans backwards (Ending)]]</f>
        <v>263</v>
      </c>
      <c r="J209" s="4">
        <f>_xll.AtlasFormulas.AtlasFunctions.AtlasBalance("PROD",DataAreaId,"T.TPPTrans_sst|InventDimId~inventDimId@T.InventDim","Sum|CostAmount|0","","","","","","","ItemId|TransDate|T2.InventSiteId|T2.InventLocationId",$A209,PeriodBeginning,$B209,$C209)</f>
        <v>0</v>
      </c>
      <c r="K209" s="4">
        <f>_xll.AtlasFormulas.AtlasFunctions.AtlasBalance("PROD",DataAreaId,"T.TPPTrans_sst|InventDimId~inventDimId@T.InventDim","Sum|CostAmount|0","","","","","","","ItemId|TransDate|T2.InventSiteId|T2.InventLocationId",$A209,PeriodEnding,$B209,$C209)</f>
        <v>0</v>
      </c>
      <c r="L209" s="4">
        <f>AtlasReport_4_Table_1[[#This Row],[TPP cost amount]]-AtlasReport_4_Table_1[[#This Row],[TPP trans backwards balance (Beginning)]]</f>
        <v>0</v>
      </c>
      <c r="M209" s="4">
        <f>AtlasReport_4_Table_1[[#This Row],[TPP cost amount]]-AtlasReport_4_Table_1[[#This Row],[TPP Balance (Beginning)]]</f>
        <v>0</v>
      </c>
    </row>
    <row r="210" spans="1:13" x14ac:dyDescent="0.25">
      <c r="A210" s="8" t="s">
        <v>417</v>
      </c>
      <c r="B210" s="8" t="s">
        <v>261</v>
      </c>
      <c r="C210" s="8" t="s">
        <v>264</v>
      </c>
      <c r="D210" s="4">
        <v>117</v>
      </c>
      <c r="E210" s="4">
        <v>0</v>
      </c>
      <c r="F210" s="4">
        <f>_xll.AtlasFormulas.AtlasFunctions.AtlasBalance("PROD",DataAreaId,"T.TPPTrans_sst|InventDimId~inventDimId@T.InventDim","Sum|Qty|0","","","","","","","ItemId|TransDate|T2.InventSiteId|T2.InventLocationId",$A210,PeriodBeginning,$B210,$C210)</f>
        <v>0</v>
      </c>
      <c r="G210" s="4">
        <f>_xll.AtlasFormulas.AtlasFunctions.AtlasBalance("PROD",DataAreaId,"T.TPPTrans_sst|InventDimId~inventDimId@T.InventDim","Sum|Qty|0","","","","","","","ItemId|TransDate|T2.InventSiteId|T2.InventLocationId",$A210,PeriodEnding,$B210,$C210)</f>
        <v>0</v>
      </c>
      <c r="H210" s="4">
        <f>AtlasReport_4_Table_1[[#This Row],[Quantity]]-AtlasReport_4_Table_1[[#This Row],[TPP trans backwards (Beginning)]]</f>
        <v>117</v>
      </c>
      <c r="I210" s="4">
        <f>AtlasReport_4_Table_1[[#This Row],[Quantity]]-AtlasReport_4_Table_1[[#This Row],[TPP trans backwards (Ending)]]</f>
        <v>117</v>
      </c>
      <c r="J210" s="4">
        <f>_xll.AtlasFormulas.AtlasFunctions.AtlasBalance("PROD",DataAreaId,"T.TPPTrans_sst|InventDimId~inventDimId@T.InventDim","Sum|CostAmount|0","","","","","","","ItemId|TransDate|T2.InventSiteId|T2.InventLocationId",$A210,PeriodBeginning,$B210,$C210)</f>
        <v>0</v>
      </c>
      <c r="K210" s="4">
        <f>_xll.AtlasFormulas.AtlasFunctions.AtlasBalance("PROD",DataAreaId,"T.TPPTrans_sst|InventDimId~inventDimId@T.InventDim","Sum|CostAmount|0","","","","","","","ItemId|TransDate|T2.InventSiteId|T2.InventLocationId",$A210,PeriodEnding,$B210,$C210)</f>
        <v>0</v>
      </c>
      <c r="L210" s="4">
        <f>AtlasReport_4_Table_1[[#This Row],[TPP cost amount]]-AtlasReport_4_Table_1[[#This Row],[TPP trans backwards balance (Beginning)]]</f>
        <v>0</v>
      </c>
      <c r="M210" s="4">
        <f>AtlasReport_4_Table_1[[#This Row],[TPP cost amount]]-AtlasReport_4_Table_1[[#This Row],[TPP Balance (Beginning)]]</f>
        <v>0</v>
      </c>
    </row>
    <row r="211" spans="1:13" x14ac:dyDescent="0.25">
      <c r="A211" s="8" t="s">
        <v>418</v>
      </c>
      <c r="B211" s="8" t="s">
        <v>261</v>
      </c>
      <c r="C211" s="8" t="s">
        <v>264</v>
      </c>
      <c r="D211" s="4">
        <v>96</v>
      </c>
      <c r="E211" s="4">
        <v>0</v>
      </c>
      <c r="F211" s="4">
        <f>_xll.AtlasFormulas.AtlasFunctions.AtlasBalance("PROD",DataAreaId,"T.TPPTrans_sst|InventDimId~inventDimId@T.InventDim","Sum|Qty|0","","","","","","","ItemId|TransDate|T2.InventSiteId|T2.InventLocationId",$A211,PeriodBeginning,$B211,$C211)</f>
        <v>0</v>
      </c>
      <c r="G211" s="4">
        <f>_xll.AtlasFormulas.AtlasFunctions.AtlasBalance("PROD",DataAreaId,"T.TPPTrans_sst|InventDimId~inventDimId@T.InventDim","Sum|Qty|0","","","","","","","ItemId|TransDate|T2.InventSiteId|T2.InventLocationId",$A211,PeriodEnding,$B211,$C211)</f>
        <v>0</v>
      </c>
      <c r="H211" s="4">
        <f>AtlasReport_4_Table_1[[#This Row],[Quantity]]-AtlasReport_4_Table_1[[#This Row],[TPP trans backwards (Beginning)]]</f>
        <v>96</v>
      </c>
      <c r="I211" s="4">
        <f>AtlasReport_4_Table_1[[#This Row],[Quantity]]-AtlasReport_4_Table_1[[#This Row],[TPP trans backwards (Ending)]]</f>
        <v>96</v>
      </c>
      <c r="J211" s="4">
        <f>_xll.AtlasFormulas.AtlasFunctions.AtlasBalance("PROD",DataAreaId,"T.TPPTrans_sst|InventDimId~inventDimId@T.InventDim","Sum|CostAmount|0","","","","","","","ItemId|TransDate|T2.InventSiteId|T2.InventLocationId",$A211,PeriodBeginning,$B211,$C211)</f>
        <v>0</v>
      </c>
      <c r="K211" s="4">
        <f>_xll.AtlasFormulas.AtlasFunctions.AtlasBalance("PROD",DataAreaId,"T.TPPTrans_sst|InventDimId~inventDimId@T.InventDim","Sum|CostAmount|0","","","","","","","ItemId|TransDate|T2.InventSiteId|T2.InventLocationId",$A211,PeriodEnding,$B211,$C211)</f>
        <v>0</v>
      </c>
      <c r="L211" s="4">
        <f>AtlasReport_4_Table_1[[#This Row],[TPP cost amount]]-AtlasReport_4_Table_1[[#This Row],[TPP trans backwards balance (Beginning)]]</f>
        <v>0</v>
      </c>
      <c r="M211" s="4">
        <f>AtlasReport_4_Table_1[[#This Row],[TPP cost amount]]-AtlasReport_4_Table_1[[#This Row],[TPP Balance (Beginning)]]</f>
        <v>0</v>
      </c>
    </row>
    <row r="212" spans="1:13" x14ac:dyDescent="0.25">
      <c r="A212" s="8" t="s">
        <v>146</v>
      </c>
      <c r="B212" s="8" t="s">
        <v>261</v>
      </c>
      <c r="C212" s="8" t="s">
        <v>264</v>
      </c>
      <c r="D212" s="4">
        <v>1</v>
      </c>
      <c r="E212" s="4">
        <v>0</v>
      </c>
      <c r="F212" s="4">
        <f>_xll.AtlasFormulas.AtlasFunctions.AtlasBalance("PROD",DataAreaId,"T.TPPTrans_sst|InventDimId~inventDimId@T.InventDim","Sum|Qty|0","","","","","","","ItemId|TransDate|T2.InventSiteId|T2.InventLocationId",$A212,PeriodBeginning,$B212,$C212)</f>
        <v>0</v>
      </c>
      <c r="G212" s="4">
        <f>_xll.AtlasFormulas.AtlasFunctions.AtlasBalance("PROD",DataAreaId,"T.TPPTrans_sst|InventDimId~inventDimId@T.InventDim","Sum|Qty|0","","","","","","","ItemId|TransDate|T2.InventSiteId|T2.InventLocationId",$A212,PeriodEnding,$B212,$C212)</f>
        <v>0</v>
      </c>
      <c r="H212" s="4">
        <f>AtlasReport_4_Table_1[[#This Row],[Quantity]]-AtlasReport_4_Table_1[[#This Row],[TPP trans backwards (Beginning)]]</f>
        <v>1</v>
      </c>
      <c r="I212" s="4">
        <f>AtlasReport_4_Table_1[[#This Row],[Quantity]]-AtlasReport_4_Table_1[[#This Row],[TPP trans backwards (Ending)]]</f>
        <v>1</v>
      </c>
      <c r="J212" s="4">
        <f>_xll.AtlasFormulas.AtlasFunctions.AtlasBalance("PROD",DataAreaId,"T.TPPTrans_sst|InventDimId~inventDimId@T.InventDim","Sum|CostAmount|0","","","","","","","ItemId|TransDate|T2.InventSiteId|T2.InventLocationId",$A212,PeriodBeginning,$B212,$C212)</f>
        <v>0</v>
      </c>
      <c r="K212" s="4">
        <f>_xll.AtlasFormulas.AtlasFunctions.AtlasBalance("PROD",DataAreaId,"T.TPPTrans_sst|InventDimId~inventDimId@T.InventDim","Sum|CostAmount|0","","","","","","","ItemId|TransDate|T2.InventSiteId|T2.InventLocationId",$A212,PeriodEnding,$B212,$C212)</f>
        <v>0</v>
      </c>
      <c r="L212" s="4">
        <f>AtlasReport_4_Table_1[[#This Row],[TPP cost amount]]-AtlasReport_4_Table_1[[#This Row],[TPP trans backwards balance (Beginning)]]</f>
        <v>0</v>
      </c>
      <c r="M212" s="4">
        <f>AtlasReport_4_Table_1[[#This Row],[TPP cost amount]]-AtlasReport_4_Table_1[[#This Row],[TPP Balance (Beginning)]]</f>
        <v>0</v>
      </c>
    </row>
    <row r="213" spans="1:13" x14ac:dyDescent="0.25">
      <c r="A213" s="8" t="s">
        <v>421</v>
      </c>
      <c r="B213" s="8" t="s">
        <v>261</v>
      </c>
      <c r="C213" s="8" t="s">
        <v>264</v>
      </c>
      <c r="D213" s="4">
        <v>113</v>
      </c>
      <c r="E213" s="4">
        <v>0</v>
      </c>
      <c r="F213" s="4">
        <f>_xll.AtlasFormulas.AtlasFunctions.AtlasBalance("PROD",DataAreaId,"T.TPPTrans_sst|InventDimId~inventDimId@T.InventDim","Sum|Qty|0","","","","","","","ItemId|TransDate|T2.InventSiteId|T2.InventLocationId",$A213,PeriodBeginning,$B213,$C213)</f>
        <v>0</v>
      </c>
      <c r="G213" s="4">
        <f>_xll.AtlasFormulas.AtlasFunctions.AtlasBalance("PROD",DataAreaId,"T.TPPTrans_sst|InventDimId~inventDimId@T.InventDim","Sum|Qty|0","","","","","","","ItemId|TransDate|T2.InventSiteId|T2.InventLocationId",$A213,PeriodEnding,$B213,$C213)</f>
        <v>0</v>
      </c>
      <c r="H213" s="4">
        <f>AtlasReport_4_Table_1[[#This Row],[Quantity]]-AtlasReport_4_Table_1[[#This Row],[TPP trans backwards (Beginning)]]</f>
        <v>113</v>
      </c>
      <c r="I213" s="4">
        <f>AtlasReport_4_Table_1[[#This Row],[Quantity]]-AtlasReport_4_Table_1[[#This Row],[TPP trans backwards (Ending)]]</f>
        <v>113</v>
      </c>
      <c r="J213" s="4">
        <f>_xll.AtlasFormulas.AtlasFunctions.AtlasBalance("PROD",DataAreaId,"T.TPPTrans_sst|InventDimId~inventDimId@T.InventDim","Sum|CostAmount|0","","","","","","","ItemId|TransDate|T2.InventSiteId|T2.InventLocationId",$A213,PeriodBeginning,$B213,$C213)</f>
        <v>0</v>
      </c>
      <c r="K213" s="4">
        <f>_xll.AtlasFormulas.AtlasFunctions.AtlasBalance("PROD",DataAreaId,"T.TPPTrans_sst|InventDimId~inventDimId@T.InventDim","Sum|CostAmount|0","","","","","","","ItemId|TransDate|T2.InventSiteId|T2.InventLocationId",$A213,PeriodEnding,$B213,$C213)</f>
        <v>0</v>
      </c>
      <c r="L213" s="4">
        <f>AtlasReport_4_Table_1[[#This Row],[TPP cost amount]]-AtlasReport_4_Table_1[[#This Row],[TPP trans backwards balance (Beginning)]]</f>
        <v>0</v>
      </c>
      <c r="M213" s="4">
        <f>AtlasReport_4_Table_1[[#This Row],[TPP cost amount]]-AtlasReport_4_Table_1[[#This Row],[TPP Balance (Beginning)]]</f>
        <v>0</v>
      </c>
    </row>
    <row r="214" spans="1:13" x14ac:dyDescent="0.25">
      <c r="A214" s="8" t="s">
        <v>422</v>
      </c>
      <c r="B214" s="8" t="s">
        <v>261</v>
      </c>
      <c r="C214" s="8" t="s">
        <v>264</v>
      </c>
      <c r="D214" s="4">
        <v>186</v>
      </c>
      <c r="E214" s="4">
        <v>0</v>
      </c>
      <c r="F214" s="4">
        <f>_xll.AtlasFormulas.AtlasFunctions.AtlasBalance("PROD",DataAreaId,"T.TPPTrans_sst|InventDimId~inventDimId@T.InventDim","Sum|Qty|0","","","","","","","ItemId|TransDate|T2.InventSiteId|T2.InventLocationId",$A214,PeriodBeginning,$B214,$C214)</f>
        <v>0</v>
      </c>
      <c r="G214" s="4">
        <f>_xll.AtlasFormulas.AtlasFunctions.AtlasBalance("PROD",DataAreaId,"T.TPPTrans_sst|InventDimId~inventDimId@T.InventDim","Sum|Qty|0","","","","","","","ItemId|TransDate|T2.InventSiteId|T2.InventLocationId",$A214,PeriodEnding,$B214,$C214)</f>
        <v>0</v>
      </c>
      <c r="H214" s="4">
        <f>AtlasReport_4_Table_1[[#This Row],[Quantity]]-AtlasReport_4_Table_1[[#This Row],[TPP trans backwards (Beginning)]]</f>
        <v>186</v>
      </c>
      <c r="I214" s="4">
        <f>AtlasReport_4_Table_1[[#This Row],[Quantity]]-AtlasReport_4_Table_1[[#This Row],[TPP trans backwards (Ending)]]</f>
        <v>186</v>
      </c>
      <c r="J214" s="4">
        <f>_xll.AtlasFormulas.AtlasFunctions.AtlasBalance("PROD",DataAreaId,"T.TPPTrans_sst|InventDimId~inventDimId@T.InventDim","Sum|CostAmount|0","","","","","","","ItemId|TransDate|T2.InventSiteId|T2.InventLocationId",$A214,PeriodBeginning,$B214,$C214)</f>
        <v>0</v>
      </c>
      <c r="K214" s="4">
        <f>_xll.AtlasFormulas.AtlasFunctions.AtlasBalance("PROD",DataAreaId,"T.TPPTrans_sst|InventDimId~inventDimId@T.InventDim","Sum|CostAmount|0","","","","","","","ItemId|TransDate|T2.InventSiteId|T2.InventLocationId",$A214,PeriodEnding,$B214,$C214)</f>
        <v>0</v>
      </c>
      <c r="L214" s="4">
        <f>AtlasReport_4_Table_1[[#This Row],[TPP cost amount]]-AtlasReport_4_Table_1[[#This Row],[TPP trans backwards balance (Beginning)]]</f>
        <v>0</v>
      </c>
      <c r="M214" s="4">
        <f>AtlasReport_4_Table_1[[#This Row],[TPP cost amount]]-AtlasReport_4_Table_1[[#This Row],[TPP Balance (Beginning)]]</f>
        <v>0</v>
      </c>
    </row>
    <row r="215" spans="1:13" x14ac:dyDescent="0.25">
      <c r="A215" s="8" t="s">
        <v>423</v>
      </c>
      <c r="B215" s="8" t="s">
        <v>261</v>
      </c>
      <c r="C215" s="8" t="s">
        <v>264</v>
      </c>
      <c r="D215" s="4">
        <v>45</v>
      </c>
      <c r="E215" s="4">
        <v>0</v>
      </c>
      <c r="F215" s="4">
        <f>_xll.AtlasFormulas.AtlasFunctions.AtlasBalance("PROD",DataAreaId,"T.TPPTrans_sst|InventDimId~inventDimId@T.InventDim","Sum|Qty|0","","","","","","","ItemId|TransDate|T2.InventSiteId|T2.InventLocationId",$A215,PeriodBeginning,$B215,$C215)</f>
        <v>0</v>
      </c>
      <c r="G215" s="4">
        <f>_xll.AtlasFormulas.AtlasFunctions.AtlasBalance("PROD",DataAreaId,"T.TPPTrans_sst|InventDimId~inventDimId@T.InventDim","Sum|Qty|0","","","","","","","ItemId|TransDate|T2.InventSiteId|T2.InventLocationId",$A215,PeriodEnding,$B215,$C215)</f>
        <v>0</v>
      </c>
      <c r="H215" s="4">
        <f>AtlasReport_4_Table_1[[#This Row],[Quantity]]-AtlasReport_4_Table_1[[#This Row],[TPP trans backwards (Beginning)]]</f>
        <v>45</v>
      </c>
      <c r="I215" s="4">
        <f>AtlasReport_4_Table_1[[#This Row],[Quantity]]-AtlasReport_4_Table_1[[#This Row],[TPP trans backwards (Ending)]]</f>
        <v>45</v>
      </c>
      <c r="J215" s="4">
        <f>_xll.AtlasFormulas.AtlasFunctions.AtlasBalance("PROD",DataAreaId,"T.TPPTrans_sst|InventDimId~inventDimId@T.InventDim","Sum|CostAmount|0","","","","","","","ItemId|TransDate|T2.InventSiteId|T2.InventLocationId",$A215,PeriodBeginning,$B215,$C215)</f>
        <v>0</v>
      </c>
      <c r="K215" s="4">
        <f>_xll.AtlasFormulas.AtlasFunctions.AtlasBalance("PROD",DataAreaId,"T.TPPTrans_sst|InventDimId~inventDimId@T.InventDim","Sum|CostAmount|0","","","","","","","ItemId|TransDate|T2.InventSiteId|T2.InventLocationId",$A215,PeriodEnding,$B215,$C215)</f>
        <v>0</v>
      </c>
      <c r="L215" s="4">
        <f>AtlasReport_4_Table_1[[#This Row],[TPP cost amount]]-AtlasReport_4_Table_1[[#This Row],[TPP trans backwards balance (Beginning)]]</f>
        <v>0</v>
      </c>
      <c r="M215" s="4">
        <f>AtlasReport_4_Table_1[[#This Row],[TPP cost amount]]-AtlasReport_4_Table_1[[#This Row],[TPP Balance (Beginning)]]</f>
        <v>0</v>
      </c>
    </row>
    <row r="216" spans="1:13" x14ac:dyDescent="0.25">
      <c r="A216" s="8" t="s">
        <v>424</v>
      </c>
      <c r="B216" s="8" t="s">
        <v>261</v>
      </c>
      <c r="C216" s="8" t="s">
        <v>264</v>
      </c>
      <c r="D216" s="4">
        <v>95</v>
      </c>
      <c r="E216" s="4">
        <v>0</v>
      </c>
      <c r="F216" s="4">
        <f>_xll.AtlasFormulas.AtlasFunctions.AtlasBalance("PROD",DataAreaId,"T.TPPTrans_sst|InventDimId~inventDimId@T.InventDim","Sum|Qty|0","","","","","","","ItemId|TransDate|T2.InventSiteId|T2.InventLocationId",$A216,PeriodBeginning,$B216,$C216)</f>
        <v>0</v>
      </c>
      <c r="G216" s="4">
        <f>_xll.AtlasFormulas.AtlasFunctions.AtlasBalance("PROD",DataAreaId,"T.TPPTrans_sst|InventDimId~inventDimId@T.InventDim","Sum|Qty|0","","","","","","","ItemId|TransDate|T2.InventSiteId|T2.InventLocationId",$A216,PeriodEnding,$B216,$C216)</f>
        <v>0</v>
      </c>
      <c r="H216" s="4">
        <f>AtlasReport_4_Table_1[[#This Row],[Quantity]]-AtlasReport_4_Table_1[[#This Row],[TPP trans backwards (Beginning)]]</f>
        <v>95</v>
      </c>
      <c r="I216" s="4">
        <f>AtlasReport_4_Table_1[[#This Row],[Quantity]]-AtlasReport_4_Table_1[[#This Row],[TPP trans backwards (Ending)]]</f>
        <v>95</v>
      </c>
      <c r="J216" s="4">
        <f>_xll.AtlasFormulas.AtlasFunctions.AtlasBalance("PROD",DataAreaId,"T.TPPTrans_sst|InventDimId~inventDimId@T.InventDim","Sum|CostAmount|0","","","","","","","ItemId|TransDate|T2.InventSiteId|T2.InventLocationId",$A216,PeriodBeginning,$B216,$C216)</f>
        <v>0</v>
      </c>
      <c r="K216" s="4">
        <f>_xll.AtlasFormulas.AtlasFunctions.AtlasBalance("PROD",DataAreaId,"T.TPPTrans_sst|InventDimId~inventDimId@T.InventDim","Sum|CostAmount|0","","","","","","","ItemId|TransDate|T2.InventSiteId|T2.InventLocationId",$A216,PeriodEnding,$B216,$C216)</f>
        <v>0</v>
      </c>
      <c r="L216" s="4">
        <f>AtlasReport_4_Table_1[[#This Row],[TPP cost amount]]-AtlasReport_4_Table_1[[#This Row],[TPP trans backwards balance (Beginning)]]</f>
        <v>0</v>
      </c>
      <c r="M216" s="4">
        <f>AtlasReport_4_Table_1[[#This Row],[TPP cost amount]]-AtlasReport_4_Table_1[[#This Row],[TPP Balance (Beginning)]]</f>
        <v>0</v>
      </c>
    </row>
    <row r="217" spans="1:13" x14ac:dyDescent="0.25">
      <c r="A217" s="8" t="s">
        <v>425</v>
      </c>
      <c r="B217" s="8" t="s">
        <v>261</v>
      </c>
      <c r="C217" s="8" t="s">
        <v>264</v>
      </c>
      <c r="D217" s="4">
        <v>270</v>
      </c>
      <c r="E217" s="4">
        <v>0</v>
      </c>
      <c r="F217" s="4">
        <f>_xll.AtlasFormulas.AtlasFunctions.AtlasBalance("PROD",DataAreaId,"T.TPPTrans_sst|InventDimId~inventDimId@T.InventDim","Sum|Qty|0","","","","","","","ItemId|TransDate|T2.InventSiteId|T2.InventLocationId",$A217,PeriodBeginning,$B217,$C217)</f>
        <v>0</v>
      </c>
      <c r="G217" s="4">
        <f>_xll.AtlasFormulas.AtlasFunctions.AtlasBalance("PROD",DataAreaId,"T.TPPTrans_sst|InventDimId~inventDimId@T.InventDim","Sum|Qty|0","","","","","","","ItemId|TransDate|T2.InventSiteId|T2.InventLocationId",$A217,PeriodEnding,$B217,$C217)</f>
        <v>0</v>
      </c>
      <c r="H217" s="4">
        <f>AtlasReport_4_Table_1[[#This Row],[Quantity]]-AtlasReport_4_Table_1[[#This Row],[TPP trans backwards (Beginning)]]</f>
        <v>270</v>
      </c>
      <c r="I217" s="4">
        <f>AtlasReport_4_Table_1[[#This Row],[Quantity]]-AtlasReport_4_Table_1[[#This Row],[TPP trans backwards (Ending)]]</f>
        <v>270</v>
      </c>
      <c r="J217" s="4">
        <f>_xll.AtlasFormulas.AtlasFunctions.AtlasBalance("PROD",DataAreaId,"T.TPPTrans_sst|InventDimId~inventDimId@T.InventDim","Sum|CostAmount|0","","","","","","","ItemId|TransDate|T2.InventSiteId|T2.InventLocationId",$A217,PeriodBeginning,$B217,$C217)</f>
        <v>0</v>
      </c>
      <c r="K217" s="4">
        <f>_xll.AtlasFormulas.AtlasFunctions.AtlasBalance("PROD",DataAreaId,"T.TPPTrans_sst|InventDimId~inventDimId@T.InventDim","Sum|CostAmount|0","","","","","","","ItemId|TransDate|T2.InventSiteId|T2.InventLocationId",$A217,PeriodEnding,$B217,$C217)</f>
        <v>0</v>
      </c>
      <c r="L217" s="4">
        <f>AtlasReport_4_Table_1[[#This Row],[TPP cost amount]]-AtlasReport_4_Table_1[[#This Row],[TPP trans backwards balance (Beginning)]]</f>
        <v>0</v>
      </c>
      <c r="M217" s="4">
        <f>AtlasReport_4_Table_1[[#This Row],[TPP cost amount]]-AtlasReport_4_Table_1[[#This Row],[TPP Balance (Beginning)]]</f>
        <v>0</v>
      </c>
    </row>
    <row r="218" spans="1:13" x14ac:dyDescent="0.25">
      <c r="A218" s="8" t="s">
        <v>426</v>
      </c>
      <c r="B218" s="8" t="s">
        <v>261</v>
      </c>
      <c r="C218" s="8" t="s">
        <v>264</v>
      </c>
      <c r="D218" s="4">
        <v>91</v>
      </c>
      <c r="E218" s="4">
        <v>0</v>
      </c>
      <c r="F218" s="4">
        <f>_xll.AtlasFormulas.AtlasFunctions.AtlasBalance("PROD",DataAreaId,"T.TPPTrans_sst|InventDimId~inventDimId@T.InventDim","Sum|Qty|0","","","","","","","ItemId|TransDate|T2.InventSiteId|T2.InventLocationId",$A218,PeriodBeginning,$B218,$C218)</f>
        <v>0</v>
      </c>
      <c r="G218" s="4">
        <f>_xll.AtlasFormulas.AtlasFunctions.AtlasBalance("PROD",DataAreaId,"T.TPPTrans_sst|InventDimId~inventDimId@T.InventDim","Sum|Qty|0","","","","","","","ItemId|TransDate|T2.InventSiteId|T2.InventLocationId",$A218,PeriodEnding,$B218,$C218)</f>
        <v>0</v>
      </c>
      <c r="H218" s="4">
        <f>AtlasReport_4_Table_1[[#This Row],[Quantity]]-AtlasReport_4_Table_1[[#This Row],[TPP trans backwards (Beginning)]]</f>
        <v>91</v>
      </c>
      <c r="I218" s="4">
        <f>AtlasReport_4_Table_1[[#This Row],[Quantity]]-AtlasReport_4_Table_1[[#This Row],[TPP trans backwards (Ending)]]</f>
        <v>91</v>
      </c>
      <c r="J218" s="4">
        <f>_xll.AtlasFormulas.AtlasFunctions.AtlasBalance("PROD",DataAreaId,"T.TPPTrans_sst|InventDimId~inventDimId@T.InventDim","Sum|CostAmount|0","","","","","","","ItemId|TransDate|T2.InventSiteId|T2.InventLocationId",$A218,PeriodBeginning,$B218,$C218)</f>
        <v>0</v>
      </c>
      <c r="K218" s="4">
        <f>_xll.AtlasFormulas.AtlasFunctions.AtlasBalance("PROD",DataAreaId,"T.TPPTrans_sst|InventDimId~inventDimId@T.InventDim","Sum|CostAmount|0","","","","","","","ItemId|TransDate|T2.InventSiteId|T2.InventLocationId",$A218,PeriodEnding,$B218,$C218)</f>
        <v>0</v>
      </c>
      <c r="L218" s="4">
        <f>AtlasReport_4_Table_1[[#This Row],[TPP cost amount]]-AtlasReport_4_Table_1[[#This Row],[TPP trans backwards balance (Beginning)]]</f>
        <v>0</v>
      </c>
      <c r="M218" s="4">
        <f>AtlasReport_4_Table_1[[#This Row],[TPP cost amount]]-AtlasReport_4_Table_1[[#This Row],[TPP Balance (Beginning)]]</f>
        <v>0</v>
      </c>
    </row>
    <row r="219" spans="1:13" x14ac:dyDescent="0.25">
      <c r="A219" s="8" t="s">
        <v>427</v>
      </c>
      <c r="B219" s="8" t="s">
        <v>261</v>
      </c>
      <c r="C219" s="8" t="s">
        <v>264</v>
      </c>
      <c r="D219" s="4">
        <v>118</v>
      </c>
      <c r="E219" s="4">
        <v>0</v>
      </c>
      <c r="F219" s="4">
        <f>_xll.AtlasFormulas.AtlasFunctions.AtlasBalance("PROD",DataAreaId,"T.TPPTrans_sst|InventDimId~inventDimId@T.InventDim","Sum|Qty|0","","","","","","","ItemId|TransDate|T2.InventSiteId|T2.InventLocationId",$A219,PeriodBeginning,$B219,$C219)</f>
        <v>0</v>
      </c>
      <c r="G219" s="4">
        <f>_xll.AtlasFormulas.AtlasFunctions.AtlasBalance("PROD",DataAreaId,"T.TPPTrans_sst|InventDimId~inventDimId@T.InventDim","Sum|Qty|0","","","","","","","ItemId|TransDate|T2.InventSiteId|T2.InventLocationId",$A219,PeriodEnding,$B219,$C219)</f>
        <v>0</v>
      </c>
      <c r="H219" s="4">
        <f>AtlasReport_4_Table_1[[#This Row],[Quantity]]-AtlasReport_4_Table_1[[#This Row],[TPP trans backwards (Beginning)]]</f>
        <v>118</v>
      </c>
      <c r="I219" s="4">
        <f>AtlasReport_4_Table_1[[#This Row],[Quantity]]-AtlasReport_4_Table_1[[#This Row],[TPP trans backwards (Ending)]]</f>
        <v>118</v>
      </c>
      <c r="J219" s="4">
        <f>_xll.AtlasFormulas.AtlasFunctions.AtlasBalance("PROD",DataAreaId,"T.TPPTrans_sst|InventDimId~inventDimId@T.InventDim","Sum|CostAmount|0","","","","","","","ItemId|TransDate|T2.InventSiteId|T2.InventLocationId",$A219,PeriodBeginning,$B219,$C219)</f>
        <v>0</v>
      </c>
      <c r="K219" s="4">
        <f>_xll.AtlasFormulas.AtlasFunctions.AtlasBalance("PROD",DataAreaId,"T.TPPTrans_sst|InventDimId~inventDimId@T.InventDim","Sum|CostAmount|0","","","","","","","ItemId|TransDate|T2.InventSiteId|T2.InventLocationId",$A219,PeriodEnding,$B219,$C219)</f>
        <v>0</v>
      </c>
      <c r="L219" s="4">
        <f>AtlasReport_4_Table_1[[#This Row],[TPP cost amount]]-AtlasReport_4_Table_1[[#This Row],[TPP trans backwards balance (Beginning)]]</f>
        <v>0</v>
      </c>
      <c r="M219" s="4">
        <f>AtlasReport_4_Table_1[[#This Row],[TPP cost amount]]-AtlasReport_4_Table_1[[#This Row],[TPP Balance (Beginning)]]</f>
        <v>0</v>
      </c>
    </row>
    <row r="220" spans="1:13" x14ac:dyDescent="0.25">
      <c r="A220" s="8" t="s">
        <v>65</v>
      </c>
      <c r="B220" s="8" t="s">
        <v>261</v>
      </c>
      <c r="C220" s="8" t="s">
        <v>289</v>
      </c>
      <c r="D220" s="4">
        <v>2</v>
      </c>
      <c r="E220" s="4">
        <v>0</v>
      </c>
      <c r="F220" s="4">
        <f>_xll.AtlasFormulas.AtlasFunctions.AtlasBalance("PROD",DataAreaId,"T.TPPTrans_sst|InventDimId~inventDimId@T.InventDim","Sum|Qty|0","","","","","","","ItemId|TransDate|T2.InventSiteId|T2.InventLocationId",$A220,PeriodBeginning,$B220,$C220)</f>
        <v>0</v>
      </c>
      <c r="G220" s="4">
        <f>_xll.AtlasFormulas.AtlasFunctions.AtlasBalance("PROD",DataAreaId,"T.TPPTrans_sst|InventDimId~inventDimId@T.InventDim","Sum|Qty|0","","","","","","","ItemId|TransDate|T2.InventSiteId|T2.InventLocationId",$A220,PeriodEnding,$B220,$C220)</f>
        <v>0</v>
      </c>
      <c r="H220" s="4">
        <f>AtlasReport_4_Table_1[[#This Row],[Quantity]]-AtlasReport_4_Table_1[[#This Row],[TPP trans backwards (Beginning)]]</f>
        <v>2</v>
      </c>
      <c r="I220" s="4">
        <f>AtlasReport_4_Table_1[[#This Row],[Quantity]]-AtlasReport_4_Table_1[[#This Row],[TPP trans backwards (Ending)]]</f>
        <v>2</v>
      </c>
      <c r="J220" s="4">
        <f>_xll.AtlasFormulas.AtlasFunctions.AtlasBalance("PROD",DataAreaId,"T.TPPTrans_sst|InventDimId~inventDimId@T.InventDim","Sum|CostAmount|0","","","","","","","ItemId|TransDate|T2.InventSiteId|T2.InventLocationId",$A220,PeriodBeginning,$B220,$C220)</f>
        <v>0</v>
      </c>
      <c r="K220" s="4">
        <f>_xll.AtlasFormulas.AtlasFunctions.AtlasBalance("PROD",DataAreaId,"T.TPPTrans_sst|InventDimId~inventDimId@T.InventDim","Sum|CostAmount|0","","","","","","","ItemId|TransDate|T2.InventSiteId|T2.InventLocationId",$A220,PeriodEnding,$B220,$C220)</f>
        <v>0</v>
      </c>
      <c r="L220" s="4">
        <f>AtlasReport_4_Table_1[[#This Row],[TPP cost amount]]-AtlasReport_4_Table_1[[#This Row],[TPP trans backwards balance (Beginning)]]</f>
        <v>0</v>
      </c>
      <c r="M220" s="4">
        <f>AtlasReport_4_Table_1[[#This Row],[TPP cost amount]]-AtlasReport_4_Table_1[[#This Row],[TPP Balance (Beginning)]]</f>
        <v>0</v>
      </c>
    </row>
    <row r="221" spans="1:13" x14ac:dyDescent="0.25">
      <c r="A221" s="8" t="s">
        <v>65</v>
      </c>
      <c r="B221" s="8" t="s">
        <v>261</v>
      </c>
      <c r="C221" s="8" t="s">
        <v>264</v>
      </c>
      <c r="D221" s="4">
        <v>7</v>
      </c>
      <c r="E221" s="4">
        <v>0</v>
      </c>
      <c r="F221" s="4">
        <f>_xll.AtlasFormulas.AtlasFunctions.AtlasBalance("PROD",DataAreaId,"T.TPPTrans_sst|InventDimId~inventDimId@T.InventDim","Sum|Qty|0","","","","","","","ItemId|TransDate|T2.InventSiteId|T2.InventLocationId",$A221,PeriodBeginning,$B221,$C221)</f>
        <v>0</v>
      </c>
      <c r="G221" s="4">
        <f>_xll.AtlasFormulas.AtlasFunctions.AtlasBalance("PROD",DataAreaId,"T.TPPTrans_sst|InventDimId~inventDimId@T.InventDim","Sum|Qty|0","","","","","","","ItemId|TransDate|T2.InventSiteId|T2.InventLocationId",$A221,PeriodEnding,$B221,$C221)</f>
        <v>0</v>
      </c>
      <c r="H221" s="4">
        <f>AtlasReport_4_Table_1[[#This Row],[Quantity]]-AtlasReport_4_Table_1[[#This Row],[TPP trans backwards (Beginning)]]</f>
        <v>7</v>
      </c>
      <c r="I221" s="4">
        <f>AtlasReport_4_Table_1[[#This Row],[Quantity]]-AtlasReport_4_Table_1[[#This Row],[TPP trans backwards (Ending)]]</f>
        <v>7</v>
      </c>
      <c r="J221" s="4">
        <f>_xll.AtlasFormulas.AtlasFunctions.AtlasBalance("PROD",DataAreaId,"T.TPPTrans_sst|InventDimId~inventDimId@T.InventDim","Sum|CostAmount|0","","","","","","","ItemId|TransDate|T2.InventSiteId|T2.InventLocationId",$A221,PeriodBeginning,$B221,$C221)</f>
        <v>0</v>
      </c>
      <c r="K221" s="4">
        <f>_xll.AtlasFormulas.AtlasFunctions.AtlasBalance("PROD",DataAreaId,"T.TPPTrans_sst|InventDimId~inventDimId@T.InventDim","Sum|CostAmount|0","","","","","","","ItemId|TransDate|T2.InventSiteId|T2.InventLocationId",$A221,PeriodEnding,$B221,$C221)</f>
        <v>0</v>
      </c>
      <c r="L221" s="4">
        <f>AtlasReport_4_Table_1[[#This Row],[TPP cost amount]]-AtlasReport_4_Table_1[[#This Row],[TPP trans backwards balance (Beginning)]]</f>
        <v>0</v>
      </c>
      <c r="M221" s="4">
        <f>AtlasReport_4_Table_1[[#This Row],[TPP cost amount]]-AtlasReport_4_Table_1[[#This Row],[TPP Balance (Beginning)]]</f>
        <v>0</v>
      </c>
    </row>
    <row r="222" spans="1:13" x14ac:dyDescent="0.25">
      <c r="A222" s="8" t="s">
        <v>428</v>
      </c>
      <c r="B222" s="8" t="s">
        <v>261</v>
      </c>
      <c r="C222" s="8" t="s">
        <v>264</v>
      </c>
      <c r="D222" s="4">
        <v>2</v>
      </c>
      <c r="E222" s="4">
        <v>0</v>
      </c>
      <c r="F222" s="4">
        <f>_xll.AtlasFormulas.AtlasFunctions.AtlasBalance("PROD",DataAreaId,"T.TPPTrans_sst|InventDimId~inventDimId@T.InventDim","Sum|Qty|0","","","","","","","ItemId|TransDate|T2.InventSiteId|T2.InventLocationId",$A222,PeriodBeginning,$B222,$C222)</f>
        <v>0</v>
      </c>
      <c r="G222" s="4">
        <f>_xll.AtlasFormulas.AtlasFunctions.AtlasBalance("PROD",DataAreaId,"T.TPPTrans_sst|InventDimId~inventDimId@T.InventDim","Sum|Qty|0","","","","","","","ItemId|TransDate|T2.InventSiteId|T2.InventLocationId",$A222,PeriodEnding,$B222,$C222)</f>
        <v>0</v>
      </c>
      <c r="H222" s="4">
        <f>AtlasReport_4_Table_1[[#This Row],[Quantity]]-AtlasReport_4_Table_1[[#This Row],[TPP trans backwards (Beginning)]]</f>
        <v>2</v>
      </c>
      <c r="I222" s="4">
        <f>AtlasReport_4_Table_1[[#This Row],[Quantity]]-AtlasReport_4_Table_1[[#This Row],[TPP trans backwards (Ending)]]</f>
        <v>2</v>
      </c>
      <c r="J222" s="4">
        <f>_xll.AtlasFormulas.AtlasFunctions.AtlasBalance("PROD",DataAreaId,"T.TPPTrans_sst|InventDimId~inventDimId@T.InventDim","Sum|CostAmount|0","","","","","","","ItemId|TransDate|T2.InventSiteId|T2.InventLocationId",$A222,PeriodBeginning,$B222,$C222)</f>
        <v>0</v>
      </c>
      <c r="K222" s="4">
        <f>_xll.AtlasFormulas.AtlasFunctions.AtlasBalance("PROD",DataAreaId,"T.TPPTrans_sst|InventDimId~inventDimId@T.InventDim","Sum|CostAmount|0","","","","","","","ItemId|TransDate|T2.InventSiteId|T2.InventLocationId",$A222,PeriodEnding,$B222,$C222)</f>
        <v>0</v>
      </c>
      <c r="L222" s="4">
        <f>AtlasReport_4_Table_1[[#This Row],[TPP cost amount]]-AtlasReport_4_Table_1[[#This Row],[TPP trans backwards balance (Beginning)]]</f>
        <v>0</v>
      </c>
      <c r="M222" s="4">
        <f>AtlasReport_4_Table_1[[#This Row],[TPP cost amount]]-AtlasReport_4_Table_1[[#This Row],[TPP Balance (Beginning)]]</f>
        <v>0</v>
      </c>
    </row>
    <row r="223" spans="1:13" x14ac:dyDescent="0.25">
      <c r="A223" s="8" t="s">
        <v>66</v>
      </c>
      <c r="B223" s="8" t="s">
        <v>261</v>
      </c>
      <c r="C223" s="8" t="s">
        <v>289</v>
      </c>
      <c r="D223" s="4">
        <v>2</v>
      </c>
      <c r="E223" s="4">
        <v>0</v>
      </c>
      <c r="F223" s="4">
        <f>_xll.AtlasFormulas.AtlasFunctions.AtlasBalance("PROD",DataAreaId,"T.TPPTrans_sst|InventDimId~inventDimId@T.InventDim","Sum|Qty|0","","","","","","","ItemId|TransDate|T2.InventSiteId|T2.InventLocationId",$A223,PeriodBeginning,$B223,$C223)</f>
        <v>0</v>
      </c>
      <c r="G223" s="4">
        <f>_xll.AtlasFormulas.AtlasFunctions.AtlasBalance("PROD",DataAreaId,"T.TPPTrans_sst|InventDimId~inventDimId@T.InventDim","Sum|Qty|0","","","","","","","ItemId|TransDate|T2.InventSiteId|T2.InventLocationId",$A223,PeriodEnding,$B223,$C223)</f>
        <v>0</v>
      </c>
      <c r="H223" s="4">
        <f>AtlasReport_4_Table_1[[#This Row],[Quantity]]-AtlasReport_4_Table_1[[#This Row],[TPP trans backwards (Beginning)]]</f>
        <v>2</v>
      </c>
      <c r="I223" s="4">
        <f>AtlasReport_4_Table_1[[#This Row],[Quantity]]-AtlasReport_4_Table_1[[#This Row],[TPP trans backwards (Ending)]]</f>
        <v>2</v>
      </c>
      <c r="J223" s="4">
        <f>_xll.AtlasFormulas.AtlasFunctions.AtlasBalance("PROD",DataAreaId,"T.TPPTrans_sst|InventDimId~inventDimId@T.InventDim","Sum|CostAmount|0","","","","","","","ItemId|TransDate|T2.InventSiteId|T2.InventLocationId",$A223,PeriodBeginning,$B223,$C223)</f>
        <v>0</v>
      </c>
      <c r="K223" s="4">
        <f>_xll.AtlasFormulas.AtlasFunctions.AtlasBalance("PROD",DataAreaId,"T.TPPTrans_sst|InventDimId~inventDimId@T.InventDim","Sum|CostAmount|0","","","","","","","ItemId|TransDate|T2.InventSiteId|T2.InventLocationId",$A223,PeriodEnding,$B223,$C223)</f>
        <v>0</v>
      </c>
      <c r="L223" s="4">
        <f>AtlasReport_4_Table_1[[#This Row],[TPP cost amount]]-AtlasReport_4_Table_1[[#This Row],[TPP trans backwards balance (Beginning)]]</f>
        <v>0</v>
      </c>
      <c r="M223" s="4">
        <f>AtlasReport_4_Table_1[[#This Row],[TPP cost amount]]-AtlasReport_4_Table_1[[#This Row],[TPP Balance (Beginning)]]</f>
        <v>0</v>
      </c>
    </row>
    <row r="224" spans="1:13" x14ac:dyDescent="0.25">
      <c r="A224" s="8" t="s">
        <v>66</v>
      </c>
      <c r="B224" s="8" t="s">
        <v>261</v>
      </c>
      <c r="C224" s="8" t="s">
        <v>262</v>
      </c>
      <c r="D224" s="4">
        <v>0</v>
      </c>
      <c r="E224" s="4">
        <v>0</v>
      </c>
      <c r="F224" s="4">
        <f>_xll.AtlasFormulas.AtlasFunctions.AtlasBalance("PROD",DataAreaId,"T.TPPTrans_sst|InventDimId~inventDimId@T.InventDim","Sum|Qty|0","","","","","","","ItemId|TransDate|T2.InventSiteId|T2.InventLocationId",$A224,PeriodBeginning,$B224,$C224)</f>
        <v>0</v>
      </c>
      <c r="G224" s="4">
        <f>_xll.AtlasFormulas.AtlasFunctions.AtlasBalance("PROD",DataAreaId,"T.TPPTrans_sst|InventDimId~inventDimId@T.InventDim","Sum|Qty|0","","","","","","","ItemId|TransDate|T2.InventSiteId|T2.InventLocationId",$A224,PeriodEnding,$B224,$C224)</f>
        <v>0</v>
      </c>
      <c r="H224" s="4">
        <f>AtlasReport_4_Table_1[[#This Row],[Quantity]]-AtlasReport_4_Table_1[[#This Row],[TPP trans backwards (Beginning)]]</f>
        <v>0</v>
      </c>
      <c r="I224" s="4">
        <f>AtlasReport_4_Table_1[[#This Row],[Quantity]]-AtlasReport_4_Table_1[[#This Row],[TPP trans backwards (Ending)]]</f>
        <v>0</v>
      </c>
      <c r="J224" s="4">
        <f>_xll.AtlasFormulas.AtlasFunctions.AtlasBalance("PROD",DataAreaId,"T.TPPTrans_sst|InventDimId~inventDimId@T.InventDim","Sum|CostAmount|0","","","","","","","ItemId|TransDate|T2.InventSiteId|T2.InventLocationId",$A224,PeriodBeginning,$B224,$C224)</f>
        <v>0</v>
      </c>
      <c r="K224" s="4">
        <f>_xll.AtlasFormulas.AtlasFunctions.AtlasBalance("PROD",DataAreaId,"T.TPPTrans_sst|InventDimId~inventDimId@T.InventDim","Sum|CostAmount|0","","","","","","","ItemId|TransDate|T2.InventSiteId|T2.InventLocationId",$A224,PeriodEnding,$B224,$C224)</f>
        <v>0</v>
      </c>
      <c r="L224" s="4">
        <f>AtlasReport_4_Table_1[[#This Row],[TPP cost amount]]-AtlasReport_4_Table_1[[#This Row],[TPP trans backwards balance (Beginning)]]</f>
        <v>0</v>
      </c>
      <c r="M224" s="4">
        <f>AtlasReport_4_Table_1[[#This Row],[TPP cost amount]]-AtlasReport_4_Table_1[[#This Row],[TPP Balance (Beginning)]]</f>
        <v>0</v>
      </c>
    </row>
    <row r="225" spans="1:13" x14ac:dyDescent="0.25">
      <c r="A225" s="8" t="s">
        <v>66</v>
      </c>
      <c r="B225" s="8" t="s">
        <v>261</v>
      </c>
      <c r="C225" s="8" t="s">
        <v>264</v>
      </c>
      <c r="D225" s="4">
        <v>14</v>
      </c>
      <c r="E225" s="4">
        <v>0</v>
      </c>
      <c r="F225" s="4">
        <f>_xll.AtlasFormulas.AtlasFunctions.AtlasBalance("PROD",DataAreaId,"T.TPPTrans_sst|InventDimId~inventDimId@T.InventDim","Sum|Qty|0","","","","","","","ItemId|TransDate|T2.InventSiteId|T2.InventLocationId",$A225,PeriodBeginning,$B225,$C225)</f>
        <v>0</v>
      </c>
      <c r="G225" s="4">
        <f>_xll.AtlasFormulas.AtlasFunctions.AtlasBalance("PROD",DataAreaId,"T.TPPTrans_sst|InventDimId~inventDimId@T.InventDim","Sum|Qty|0","","","","","","","ItemId|TransDate|T2.InventSiteId|T2.InventLocationId",$A225,PeriodEnding,$B225,$C225)</f>
        <v>0</v>
      </c>
      <c r="H225" s="4">
        <f>AtlasReport_4_Table_1[[#This Row],[Quantity]]-AtlasReport_4_Table_1[[#This Row],[TPP trans backwards (Beginning)]]</f>
        <v>14</v>
      </c>
      <c r="I225" s="4">
        <f>AtlasReport_4_Table_1[[#This Row],[Quantity]]-AtlasReport_4_Table_1[[#This Row],[TPP trans backwards (Ending)]]</f>
        <v>14</v>
      </c>
      <c r="J225" s="4">
        <f>_xll.AtlasFormulas.AtlasFunctions.AtlasBalance("PROD",DataAreaId,"T.TPPTrans_sst|InventDimId~inventDimId@T.InventDim","Sum|CostAmount|0","","","","","","","ItemId|TransDate|T2.InventSiteId|T2.InventLocationId",$A225,PeriodBeginning,$B225,$C225)</f>
        <v>0</v>
      </c>
      <c r="K225" s="4">
        <f>_xll.AtlasFormulas.AtlasFunctions.AtlasBalance("PROD",DataAreaId,"T.TPPTrans_sst|InventDimId~inventDimId@T.InventDim","Sum|CostAmount|0","","","","","","","ItemId|TransDate|T2.InventSiteId|T2.InventLocationId",$A225,PeriodEnding,$B225,$C225)</f>
        <v>0</v>
      </c>
      <c r="L225" s="4">
        <f>AtlasReport_4_Table_1[[#This Row],[TPP cost amount]]-AtlasReport_4_Table_1[[#This Row],[TPP trans backwards balance (Beginning)]]</f>
        <v>0</v>
      </c>
      <c r="M225" s="4">
        <f>AtlasReport_4_Table_1[[#This Row],[TPP cost amount]]-AtlasReport_4_Table_1[[#This Row],[TPP Balance (Beginning)]]</f>
        <v>0</v>
      </c>
    </row>
    <row r="226" spans="1:13" x14ac:dyDescent="0.25">
      <c r="A226" s="8" t="s">
        <v>429</v>
      </c>
      <c r="B226" s="8" t="s">
        <v>261</v>
      </c>
      <c r="C226" s="8" t="s">
        <v>264</v>
      </c>
      <c r="D226" s="4">
        <v>26</v>
      </c>
      <c r="E226" s="4">
        <v>0</v>
      </c>
      <c r="F226" s="4">
        <f>_xll.AtlasFormulas.AtlasFunctions.AtlasBalance("PROD",DataAreaId,"T.TPPTrans_sst|InventDimId~inventDimId@T.InventDim","Sum|Qty|0","","","","","","","ItemId|TransDate|T2.InventSiteId|T2.InventLocationId",$A226,PeriodBeginning,$B226,$C226)</f>
        <v>0</v>
      </c>
      <c r="G226" s="4">
        <f>_xll.AtlasFormulas.AtlasFunctions.AtlasBalance("PROD",DataAreaId,"T.TPPTrans_sst|InventDimId~inventDimId@T.InventDim","Sum|Qty|0","","","","","","","ItemId|TransDate|T2.InventSiteId|T2.InventLocationId",$A226,PeriodEnding,$B226,$C226)</f>
        <v>0</v>
      </c>
      <c r="H226" s="4">
        <f>AtlasReport_4_Table_1[[#This Row],[Quantity]]-AtlasReport_4_Table_1[[#This Row],[TPP trans backwards (Beginning)]]</f>
        <v>26</v>
      </c>
      <c r="I226" s="4">
        <f>AtlasReport_4_Table_1[[#This Row],[Quantity]]-AtlasReport_4_Table_1[[#This Row],[TPP trans backwards (Ending)]]</f>
        <v>26</v>
      </c>
      <c r="J226" s="4">
        <f>_xll.AtlasFormulas.AtlasFunctions.AtlasBalance("PROD",DataAreaId,"T.TPPTrans_sst|InventDimId~inventDimId@T.InventDim","Sum|CostAmount|0","","","","","","","ItemId|TransDate|T2.InventSiteId|T2.InventLocationId",$A226,PeriodBeginning,$B226,$C226)</f>
        <v>0</v>
      </c>
      <c r="K226" s="4">
        <f>_xll.AtlasFormulas.AtlasFunctions.AtlasBalance("PROD",DataAreaId,"T.TPPTrans_sst|InventDimId~inventDimId@T.InventDim","Sum|CostAmount|0","","","","","","","ItemId|TransDate|T2.InventSiteId|T2.InventLocationId",$A226,PeriodEnding,$B226,$C226)</f>
        <v>0</v>
      </c>
      <c r="L226" s="4">
        <f>AtlasReport_4_Table_1[[#This Row],[TPP cost amount]]-AtlasReport_4_Table_1[[#This Row],[TPP trans backwards balance (Beginning)]]</f>
        <v>0</v>
      </c>
      <c r="M226" s="4">
        <f>AtlasReport_4_Table_1[[#This Row],[TPP cost amount]]-AtlasReport_4_Table_1[[#This Row],[TPP Balance (Beginning)]]</f>
        <v>0</v>
      </c>
    </row>
    <row r="227" spans="1:13" x14ac:dyDescent="0.25">
      <c r="A227" s="8" t="s">
        <v>430</v>
      </c>
      <c r="B227" s="8" t="s">
        <v>261</v>
      </c>
      <c r="C227" s="8" t="s">
        <v>264</v>
      </c>
      <c r="D227" s="4">
        <v>14</v>
      </c>
      <c r="E227" s="4">
        <v>0</v>
      </c>
      <c r="F227" s="4">
        <f>_xll.AtlasFormulas.AtlasFunctions.AtlasBalance("PROD",DataAreaId,"T.TPPTrans_sst|InventDimId~inventDimId@T.InventDim","Sum|Qty|0","","","","","","","ItemId|TransDate|T2.InventSiteId|T2.InventLocationId",$A227,PeriodBeginning,$B227,$C227)</f>
        <v>0</v>
      </c>
      <c r="G227" s="4">
        <f>_xll.AtlasFormulas.AtlasFunctions.AtlasBalance("PROD",DataAreaId,"T.TPPTrans_sst|InventDimId~inventDimId@T.InventDim","Sum|Qty|0","","","","","","","ItemId|TransDate|T2.InventSiteId|T2.InventLocationId",$A227,PeriodEnding,$B227,$C227)</f>
        <v>0</v>
      </c>
      <c r="H227" s="4">
        <f>AtlasReport_4_Table_1[[#This Row],[Quantity]]-AtlasReport_4_Table_1[[#This Row],[TPP trans backwards (Beginning)]]</f>
        <v>14</v>
      </c>
      <c r="I227" s="4">
        <f>AtlasReport_4_Table_1[[#This Row],[Quantity]]-AtlasReport_4_Table_1[[#This Row],[TPP trans backwards (Ending)]]</f>
        <v>14</v>
      </c>
      <c r="J227" s="4">
        <f>_xll.AtlasFormulas.AtlasFunctions.AtlasBalance("PROD",DataAreaId,"T.TPPTrans_sst|InventDimId~inventDimId@T.InventDim","Sum|CostAmount|0","","","","","","","ItemId|TransDate|T2.InventSiteId|T2.InventLocationId",$A227,PeriodBeginning,$B227,$C227)</f>
        <v>0</v>
      </c>
      <c r="K227" s="4">
        <f>_xll.AtlasFormulas.AtlasFunctions.AtlasBalance("PROD",DataAreaId,"T.TPPTrans_sst|InventDimId~inventDimId@T.InventDim","Sum|CostAmount|0","","","","","","","ItemId|TransDate|T2.InventSiteId|T2.InventLocationId",$A227,PeriodEnding,$B227,$C227)</f>
        <v>0</v>
      </c>
      <c r="L227" s="4">
        <f>AtlasReport_4_Table_1[[#This Row],[TPP cost amount]]-AtlasReport_4_Table_1[[#This Row],[TPP trans backwards balance (Beginning)]]</f>
        <v>0</v>
      </c>
      <c r="M227" s="4">
        <f>AtlasReport_4_Table_1[[#This Row],[TPP cost amount]]-AtlasReport_4_Table_1[[#This Row],[TPP Balance (Beginning)]]</f>
        <v>0</v>
      </c>
    </row>
    <row r="228" spans="1:13" x14ac:dyDescent="0.25">
      <c r="A228" s="8" t="s">
        <v>431</v>
      </c>
      <c r="B228" s="8" t="s">
        <v>261</v>
      </c>
      <c r="C228" s="8" t="s">
        <v>264</v>
      </c>
      <c r="D228" s="4">
        <v>6</v>
      </c>
      <c r="E228" s="4">
        <v>0</v>
      </c>
      <c r="F228" s="4">
        <f>_xll.AtlasFormulas.AtlasFunctions.AtlasBalance("PROD",DataAreaId,"T.TPPTrans_sst|InventDimId~inventDimId@T.InventDim","Sum|Qty|0","","","","","","","ItemId|TransDate|T2.InventSiteId|T2.InventLocationId",$A228,PeriodBeginning,$B228,$C228)</f>
        <v>0</v>
      </c>
      <c r="G228" s="4">
        <f>_xll.AtlasFormulas.AtlasFunctions.AtlasBalance("PROD",DataAreaId,"T.TPPTrans_sst|InventDimId~inventDimId@T.InventDim","Sum|Qty|0","","","","","","","ItemId|TransDate|T2.InventSiteId|T2.InventLocationId",$A228,PeriodEnding,$B228,$C228)</f>
        <v>0</v>
      </c>
      <c r="H228" s="4">
        <f>AtlasReport_4_Table_1[[#This Row],[Quantity]]-AtlasReport_4_Table_1[[#This Row],[TPP trans backwards (Beginning)]]</f>
        <v>6</v>
      </c>
      <c r="I228" s="4">
        <f>AtlasReport_4_Table_1[[#This Row],[Quantity]]-AtlasReport_4_Table_1[[#This Row],[TPP trans backwards (Ending)]]</f>
        <v>6</v>
      </c>
      <c r="J228" s="4">
        <f>_xll.AtlasFormulas.AtlasFunctions.AtlasBalance("PROD",DataAreaId,"T.TPPTrans_sst|InventDimId~inventDimId@T.InventDim","Sum|CostAmount|0","","","","","","","ItemId|TransDate|T2.InventSiteId|T2.InventLocationId",$A228,PeriodBeginning,$B228,$C228)</f>
        <v>0</v>
      </c>
      <c r="K228" s="4">
        <f>_xll.AtlasFormulas.AtlasFunctions.AtlasBalance("PROD",DataAreaId,"T.TPPTrans_sst|InventDimId~inventDimId@T.InventDim","Sum|CostAmount|0","","","","","","","ItemId|TransDate|T2.InventSiteId|T2.InventLocationId",$A228,PeriodEnding,$B228,$C228)</f>
        <v>0</v>
      </c>
      <c r="L228" s="4">
        <f>AtlasReport_4_Table_1[[#This Row],[TPP cost amount]]-AtlasReport_4_Table_1[[#This Row],[TPP trans backwards balance (Beginning)]]</f>
        <v>0</v>
      </c>
      <c r="M228" s="4">
        <f>AtlasReport_4_Table_1[[#This Row],[TPP cost amount]]-AtlasReport_4_Table_1[[#This Row],[TPP Balance (Beginning)]]</f>
        <v>0</v>
      </c>
    </row>
    <row r="229" spans="1:13" x14ac:dyDescent="0.25">
      <c r="A229" s="8" t="s">
        <v>432</v>
      </c>
      <c r="B229" s="8" t="s">
        <v>261</v>
      </c>
      <c r="C229" s="8" t="s">
        <v>264</v>
      </c>
      <c r="D229" s="4">
        <v>3</v>
      </c>
      <c r="E229" s="4">
        <v>0</v>
      </c>
      <c r="F229" s="4">
        <f>_xll.AtlasFormulas.AtlasFunctions.AtlasBalance("PROD",DataAreaId,"T.TPPTrans_sst|InventDimId~inventDimId@T.InventDim","Sum|Qty|0","","","","","","","ItemId|TransDate|T2.InventSiteId|T2.InventLocationId",$A229,PeriodBeginning,$B229,$C229)</f>
        <v>0</v>
      </c>
      <c r="G229" s="4">
        <f>_xll.AtlasFormulas.AtlasFunctions.AtlasBalance("PROD",DataAreaId,"T.TPPTrans_sst|InventDimId~inventDimId@T.InventDim","Sum|Qty|0","","","","","","","ItemId|TransDate|T2.InventSiteId|T2.InventLocationId",$A229,PeriodEnding,$B229,$C229)</f>
        <v>0</v>
      </c>
      <c r="H229" s="4">
        <f>AtlasReport_4_Table_1[[#This Row],[Quantity]]-AtlasReport_4_Table_1[[#This Row],[TPP trans backwards (Beginning)]]</f>
        <v>3</v>
      </c>
      <c r="I229" s="4">
        <f>AtlasReport_4_Table_1[[#This Row],[Quantity]]-AtlasReport_4_Table_1[[#This Row],[TPP trans backwards (Ending)]]</f>
        <v>3</v>
      </c>
      <c r="J229" s="4">
        <f>_xll.AtlasFormulas.AtlasFunctions.AtlasBalance("PROD",DataAreaId,"T.TPPTrans_sst|InventDimId~inventDimId@T.InventDim","Sum|CostAmount|0","","","","","","","ItemId|TransDate|T2.InventSiteId|T2.InventLocationId",$A229,PeriodBeginning,$B229,$C229)</f>
        <v>0</v>
      </c>
      <c r="K229" s="4">
        <f>_xll.AtlasFormulas.AtlasFunctions.AtlasBalance("PROD",DataAreaId,"T.TPPTrans_sst|InventDimId~inventDimId@T.InventDim","Sum|CostAmount|0","","","","","","","ItemId|TransDate|T2.InventSiteId|T2.InventLocationId",$A229,PeriodEnding,$B229,$C229)</f>
        <v>0</v>
      </c>
      <c r="L229" s="4">
        <f>AtlasReport_4_Table_1[[#This Row],[TPP cost amount]]-AtlasReport_4_Table_1[[#This Row],[TPP trans backwards balance (Beginning)]]</f>
        <v>0</v>
      </c>
      <c r="M229" s="4">
        <f>AtlasReport_4_Table_1[[#This Row],[TPP cost amount]]-AtlasReport_4_Table_1[[#This Row],[TPP Balance (Beginning)]]</f>
        <v>0</v>
      </c>
    </row>
    <row r="230" spans="1:13" x14ac:dyDescent="0.25">
      <c r="A230" s="8" t="s">
        <v>433</v>
      </c>
      <c r="B230" s="8" t="s">
        <v>261</v>
      </c>
      <c r="C230" s="8" t="s">
        <v>264</v>
      </c>
      <c r="D230" s="4">
        <v>3</v>
      </c>
      <c r="E230" s="4">
        <v>0</v>
      </c>
      <c r="F230" s="4">
        <f>_xll.AtlasFormulas.AtlasFunctions.AtlasBalance("PROD",DataAreaId,"T.TPPTrans_sst|InventDimId~inventDimId@T.InventDim","Sum|Qty|0","","","","","","","ItemId|TransDate|T2.InventSiteId|T2.InventLocationId",$A230,PeriodBeginning,$B230,$C230)</f>
        <v>0</v>
      </c>
      <c r="G230" s="4">
        <f>_xll.AtlasFormulas.AtlasFunctions.AtlasBalance("PROD",DataAreaId,"T.TPPTrans_sst|InventDimId~inventDimId@T.InventDim","Sum|Qty|0","","","","","","","ItemId|TransDate|T2.InventSiteId|T2.InventLocationId",$A230,PeriodEnding,$B230,$C230)</f>
        <v>0</v>
      </c>
      <c r="H230" s="4">
        <f>AtlasReport_4_Table_1[[#This Row],[Quantity]]-AtlasReport_4_Table_1[[#This Row],[TPP trans backwards (Beginning)]]</f>
        <v>3</v>
      </c>
      <c r="I230" s="4">
        <f>AtlasReport_4_Table_1[[#This Row],[Quantity]]-AtlasReport_4_Table_1[[#This Row],[TPP trans backwards (Ending)]]</f>
        <v>3</v>
      </c>
      <c r="J230" s="4">
        <f>_xll.AtlasFormulas.AtlasFunctions.AtlasBalance("PROD",DataAreaId,"T.TPPTrans_sst|InventDimId~inventDimId@T.InventDim","Sum|CostAmount|0","","","","","","","ItemId|TransDate|T2.InventSiteId|T2.InventLocationId",$A230,PeriodBeginning,$B230,$C230)</f>
        <v>0</v>
      </c>
      <c r="K230" s="4">
        <f>_xll.AtlasFormulas.AtlasFunctions.AtlasBalance("PROD",DataAreaId,"T.TPPTrans_sst|InventDimId~inventDimId@T.InventDim","Sum|CostAmount|0","","","","","","","ItemId|TransDate|T2.InventSiteId|T2.InventLocationId",$A230,PeriodEnding,$B230,$C230)</f>
        <v>0</v>
      </c>
      <c r="L230" s="4">
        <f>AtlasReport_4_Table_1[[#This Row],[TPP cost amount]]-AtlasReport_4_Table_1[[#This Row],[TPP trans backwards balance (Beginning)]]</f>
        <v>0</v>
      </c>
      <c r="M230" s="4">
        <f>AtlasReport_4_Table_1[[#This Row],[TPP cost amount]]-AtlasReport_4_Table_1[[#This Row],[TPP Balance (Beginning)]]</f>
        <v>0</v>
      </c>
    </row>
    <row r="231" spans="1:13" x14ac:dyDescent="0.25">
      <c r="A231" s="8" t="s">
        <v>434</v>
      </c>
      <c r="B231" s="8" t="s">
        <v>261</v>
      </c>
      <c r="C231" s="8" t="s">
        <v>264</v>
      </c>
      <c r="D231" s="4">
        <v>0</v>
      </c>
      <c r="E231" s="4">
        <v>0</v>
      </c>
      <c r="F231" s="4">
        <f>_xll.AtlasFormulas.AtlasFunctions.AtlasBalance("PROD",DataAreaId,"T.TPPTrans_sst|InventDimId~inventDimId@T.InventDim","Sum|Qty|0","","","","","","","ItemId|TransDate|T2.InventSiteId|T2.InventLocationId",$A231,PeriodBeginning,$B231,$C231)</f>
        <v>0</v>
      </c>
      <c r="G231" s="4">
        <f>_xll.AtlasFormulas.AtlasFunctions.AtlasBalance("PROD",DataAreaId,"T.TPPTrans_sst|InventDimId~inventDimId@T.InventDim","Sum|Qty|0","","","","","","","ItemId|TransDate|T2.InventSiteId|T2.InventLocationId",$A231,PeriodEnding,$B231,$C231)</f>
        <v>0</v>
      </c>
      <c r="H231" s="4">
        <f>AtlasReport_4_Table_1[[#This Row],[Quantity]]-AtlasReport_4_Table_1[[#This Row],[TPP trans backwards (Beginning)]]</f>
        <v>0</v>
      </c>
      <c r="I231" s="4">
        <f>AtlasReport_4_Table_1[[#This Row],[Quantity]]-AtlasReport_4_Table_1[[#This Row],[TPP trans backwards (Ending)]]</f>
        <v>0</v>
      </c>
      <c r="J231" s="4">
        <f>_xll.AtlasFormulas.AtlasFunctions.AtlasBalance("PROD",DataAreaId,"T.TPPTrans_sst|InventDimId~inventDimId@T.InventDim","Sum|CostAmount|0","","","","","","","ItemId|TransDate|T2.InventSiteId|T2.InventLocationId",$A231,PeriodBeginning,$B231,$C231)</f>
        <v>0</v>
      </c>
      <c r="K231" s="4">
        <f>_xll.AtlasFormulas.AtlasFunctions.AtlasBalance("PROD",DataAreaId,"T.TPPTrans_sst|InventDimId~inventDimId@T.InventDim","Sum|CostAmount|0","","","","","","","ItemId|TransDate|T2.InventSiteId|T2.InventLocationId",$A231,PeriodEnding,$B231,$C231)</f>
        <v>0</v>
      </c>
      <c r="L231" s="4">
        <f>AtlasReport_4_Table_1[[#This Row],[TPP cost amount]]-AtlasReport_4_Table_1[[#This Row],[TPP trans backwards balance (Beginning)]]</f>
        <v>0</v>
      </c>
      <c r="M231" s="4">
        <f>AtlasReport_4_Table_1[[#This Row],[TPP cost amount]]-AtlasReport_4_Table_1[[#This Row],[TPP Balance (Beginning)]]</f>
        <v>0</v>
      </c>
    </row>
    <row r="232" spans="1:13" x14ac:dyDescent="0.25">
      <c r="A232" s="8" t="s">
        <v>435</v>
      </c>
      <c r="B232" s="8" t="s">
        <v>261</v>
      </c>
      <c r="C232" s="8" t="s">
        <v>264</v>
      </c>
      <c r="D232" s="4">
        <v>6148</v>
      </c>
      <c r="E232" s="4">
        <v>0</v>
      </c>
      <c r="F232" s="4">
        <f>_xll.AtlasFormulas.AtlasFunctions.AtlasBalance("PROD",DataAreaId,"T.TPPTrans_sst|InventDimId~inventDimId@T.InventDim","Sum|Qty|0","","","","","","","ItemId|TransDate|T2.InventSiteId|T2.InventLocationId",$A232,PeriodBeginning,$B232,$C232)</f>
        <v>0</v>
      </c>
      <c r="G232" s="4">
        <f>_xll.AtlasFormulas.AtlasFunctions.AtlasBalance("PROD",DataAreaId,"T.TPPTrans_sst|InventDimId~inventDimId@T.InventDim","Sum|Qty|0","","","","","","","ItemId|TransDate|T2.InventSiteId|T2.InventLocationId",$A232,PeriodEnding,$B232,$C232)</f>
        <v>0</v>
      </c>
      <c r="H232" s="4">
        <f>AtlasReport_4_Table_1[[#This Row],[Quantity]]-AtlasReport_4_Table_1[[#This Row],[TPP trans backwards (Beginning)]]</f>
        <v>6148</v>
      </c>
      <c r="I232" s="4">
        <f>AtlasReport_4_Table_1[[#This Row],[Quantity]]-AtlasReport_4_Table_1[[#This Row],[TPP trans backwards (Ending)]]</f>
        <v>6148</v>
      </c>
      <c r="J232" s="4">
        <f>_xll.AtlasFormulas.AtlasFunctions.AtlasBalance("PROD",DataAreaId,"T.TPPTrans_sst|InventDimId~inventDimId@T.InventDim","Sum|CostAmount|0","","","","","","","ItemId|TransDate|T2.InventSiteId|T2.InventLocationId",$A232,PeriodBeginning,$B232,$C232)</f>
        <v>0</v>
      </c>
      <c r="K232" s="4">
        <f>_xll.AtlasFormulas.AtlasFunctions.AtlasBalance("PROD",DataAreaId,"T.TPPTrans_sst|InventDimId~inventDimId@T.InventDim","Sum|CostAmount|0","","","","","","","ItemId|TransDate|T2.InventSiteId|T2.InventLocationId",$A232,PeriodEnding,$B232,$C232)</f>
        <v>0</v>
      </c>
      <c r="L232" s="4">
        <f>AtlasReport_4_Table_1[[#This Row],[TPP cost amount]]-AtlasReport_4_Table_1[[#This Row],[TPP trans backwards balance (Beginning)]]</f>
        <v>0</v>
      </c>
      <c r="M232" s="4">
        <f>AtlasReport_4_Table_1[[#This Row],[TPP cost amount]]-AtlasReport_4_Table_1[[#This Row],[TPP Balance (Beginning)]]</f>
        <v>0</v>
      </c>
    </row>
    <row r="233" spans="1:13" x14ac:dyDescent="0.25">
      <c r="A233" s="8" t="s">
        <v>436</v>
      </c>
      <c r="B233" s="8" t="s">
        <v>261</v>
      </c>
      <c r="C233" s="8" t="s">
        <v>264</v>
      </c>
      <c r="D233" s="4">
        <v>6424</v>
      </c>
      <c r="E233" s="4">
        <v>0</v>
      </c>
      <c r="F233" s="4">
        <f>_xll.AtlasFormulas.AtlasFunctions.AtlasBalance("PROD",DataAreaId,"T.TPPTrans_sst|InventDimId~inventDimId@T.InventDim","Sum|Qty|0","","","","","","","ItemId|TransDate|T2.InventSiteId|T2.InventLocationId",$A233,PeriodBeginning,$B233,$C233)</f>
        <v>0</v>
      </c>
      <c r="G233" s="4">
        <f>_xll.AtlasFormulas.AtlasFunctions.AtlasBalance("PROD",DataAreaId,"T.TPPTrans_sst|InventDimId~inventDimId@T.InventDim","Sum|Qty|0","","","","","","","ItemId|TransDate|T2.InventSiteId|T2.InventLocationId",$A233,PeriodEnding,$B233,$C233)</f>
        <v>0</v>
      </c>
      <c r="H233" s="4">
        <f>AtlasReport_4_Table_1[[#This Row],[Quantity]]-AtlasReport_4_Table_1[[#This Row],[TPP trans backwards (Beginning)]]</f>
        <v>6424</v>
      </c>
      <c r="I233" s="4">
        <f>AtlasReport_4_Table_1[[#This Row],[Quantity]]-AtlasReport_4_Table_1[[#This Row],[TPP trans backwards (Ending)]]</f>
        <v>6424</v>
      </c>
      <c r="J233" s="4">
        <f>_xll.AtlasFormulas.AtlasFunctions.AtlasBalance("PROD",DataAreaId,"T.TPPTrans_sst|InventDimId~inventDimId@T.InventDim","Sum|CostAmount|0","","","","","","","ItemId|TransDate|T2.InventSiteId|T2.InventLocationId",$A233,PeriodBeginning,$B233,$C233)</f>
        <v>0</v>
      </c>
      <c r="K233" s="4">
        <f>_xll.AtlasFormulas.AtlasFunctions.AtlasBalance("PROD",DataAreaId,"T.TPPTrans_sst|InventDimId~inventDimId@T.InventDim","Sum|CostAmount|0","","","","","","","ItemId|TransDate|T2.InventSiteId|T2.InventLocationId",$A233,PeriodEnding,$B233,$C233)</f>
        <v>0</v>
      </c>
      <c r="L233" s="4">
        <f>AtlasReport_4_Table_1[[#This Row],[TPP cost amount]]-AtlasReport_4_Table_1[[#This Row],[TPP trans backwards balance (Beginning)]]</f>
        <v>0</v>
      </c>
      <c r="M233" s="4">
        <f>AtlasReport_4_Table_1[[#This Row],[TPP cost amount]]-AtlasReport_4_Table_1[[#This Row],[TPP Balance (Beginning)]]</f>
        <v>0</v>
      </c>
    </row>
    <row r="234" spans="1:13" x14ac:dyDescent="0.25">
      <c r="A234" s="8" t="s">
        <v>437</v>
      </c>
      <c r="B234" s="8" t="s">
        <v>261</v>
      </c>
      <c r="C234" s="8" t="s">
        <v>264</v>
      </c>
      <c r="D234" s="4">
        <v>6244</v>
      </c>
      <c r="E234" s="4">
        <v>0</v>
      </c>
      <c r="F234" s="4">
        <f>_xll.AtlasFormulas.AtlasFunctions.AtlasBalance("PROD",DataAreaId,"T.TPPTrans_sst|InventDimId~inventDimId@T.InventDim","Sum|Qty|0","","","","","","","ItemId|TransDate|T2.InventSiteId|T2.InventLocationId",$A234,PeriodBeginning,$B234,$C234)</f>
        <v>0</v>
      </c>
      <c r="G234" s="4">
        <f>_xll.AtlasFormulas.AtlasFunctions.AtlasBalance("PROD",DataAreaId,"T.TPPTrans_sst|InventDimId~inventDimId@T.InventDim","Sum|Qty|0","","","","","","","ItemId|TransDate|T2.InventSiteId|T2.InventLocationId",$A234,PeriodEnding,$B234,$C234)</f>
        <v>0</v>
      </c>
      <c r="H234" s="4">
        <f>AtlasReport_4_Table_1[[#This Row],[Quantity]]-AtlasReport_4_Table_1[[#This Row],[TPP trans backwards (Beginning)]]</f>
        <v>6244</v>
      </c>
      <c r="I234" s="4">
        <f>AtlasReport_4_Table_1[[#This Row],[Quantity]]-AtlasReport_4_Table_1[[#This Row],[TPP trans backwards (Ending)]]</f>
        <v>6244</v>
      </c>
      <c r="J234" s="4">
        <f>_xll.AtlasFormulas.AtlasFunctions.AtlasBalance("PROD",DataAreaId,"T.TPPTrans_sst|InventDimId~inventDimId@T.InventDim","Sum|CostAmount|0","","","","","","","ItemId|TransDate|T2.InventSiteId|T2.InventLocationId",$A234,PeriodBeginning,$B234,$C234)</f>
        <v>0</v>
      </c>
      <c r="K234" s="4">
        <f>_xll.AtlasFormulas.AtlasFunctions.AtlasBalance("PROD",DataAreaId,"T.TPPTrans_sst|InventDimId~inventDimId@T.InventDim","Sum|CostAmount|0","","","","","","","ItemId|TransDate|T2.InventSiteId|T2.InventLocationId",$A234,PeriodEnding,$B234,$C234)</f>
        <v>0</v>
      </c>
      <c r="L234" s="4">
        <f>AtlasReport_4_Table_1[[#This Row],[TPP cost amount]]-AtlasReport_4_Table_1[[#This Row],[TPP trans backwards balance (Beginning)]]</f>
        <v>0</v>
      </c>
      <c r="M234" s="4">
        <f>AtlasReport_4_Table_1[[#This Row],[TPP cost amount]]-AtlasReport_4_Table_1[[#This Row],[TPP Balance (Beginning)]]</f>
        <v>0</v>
      </c>
    </row>
    <row r="235" spans="1:13" x14ac:dyDescent="0.25">
      <c r="A235" s="8" t="s">
        <v>439</v>
      </c>
      <c r="B235" s="8" t="s">
        <v>261</v>
      </c>
      <c r="C235" s="8" t="s">
        <v>264</v>
      </c>
      <c r="D235" s="4">
        <v>1</v>
      </c>
      <c r="E235" s="4">
        <v>0</v>
      </c>
      <c r="F235" s="4">
        <f>_xll.AtlasFormulas.AtlasFunctions.AtlasBalance("PROD",DataAreaId,"T.TPPTrans_sst|InventDimId~inventDimId@T.InventDim","Sum|Qty|0","","","","","","","ItemId|TransDate|T2.InventSiteId|T2.InventLocationId",$A235,PeriodBeginning,$B235,$C235)</f>
        <v>0</v>
      </c>
      <c r="G235" s="4">
        <f>_xll.AtlasFormulas.AtlasFunctions.AtlasBalance("PROD",DataAreaId,"T.TPPTrans_sst|InventDimId~inventDimId@T.InventDim","Sum|Qty|0","","","","","","","ItemId|TransDate|T2.InventSiteId|T2.InventLocationId",$A235,PeriodEnding,$B235,$C235)</f>
        <v>0</v>
      </c>
      <c r="H235" s="4">
        <f>AtlasReport_4_Table_1[[#This Row],[Quantity]]-AtlasReport_4_Table_1[[#This Row],[TPP trans backwards (Beginning)]]</f>
        <v>1</v>
      </c>
      <c r="I235" s="4">
        <f>AtlasReport_4_Table_1[[#This Row],[Quantity]]-AtlasReport_4_Table_1[[#This Row],[TPP trans backwards (Ending)]]</f>
        <v>1</v>
      </c>
      <c r="J235" s="4">
        <f>_xll.AtlasFormulas.AtlasFunctions.AtlasBalance("PROD",DataAreaId,"T.TPPTrans_sst|InventDimId~inventDimId@T.InventDim","Sum|CostAmount|0","","","","","","","ItemId|TransDate|T2.InventSiteId|T2.InventLocationId",$A235,PeriodBeginning,$B235,$C235)</f>
        <v>0</v>
      </c>
      <c r="K235" s="4">
        <f>_xll.AtlasFormulas.AtlasFunctions.AtlasBalance("PROD",DataAreaId,"T.TPPTrans_sst|InventDimId~inventDimId@T.InventDim","Sum|CostAmount|0","","","","","","","ItemId|TransDate|T2.InventSiteId|T2.InventLocationId",$A235,PeriodEnding,$B235,$C235)</f>
        <v>0</v>
      </c>
      <c r="L235" s="4">
        <f>AtlasReport_4_Table_1[[#This Row],[TPP cost amount]]-AtlasReport_4_Table_1[[#This Row],[TPP trans backwards balance (Beginning)]]</f>
        <v>0</v>
      </c>
      <c r="M235" s="4">
        <f>AtlasReport_4_Table_1[[#This Row],[TPP cost amount]]-AtlasReport_4_Table_1[[#This Row],[TPP Balance (Beginning)]]</f>
        <v>0</v>
      </c>
    </row>
    <row r="236" spans="1:13" x14ac:dyDescent="0.25">
      <c r="A236" s="8" t="s">
        <v>440</v>
      </c>
      <c r="B236" s="8" t="s">
        <v>261</v>
      </c>
      <c r="C236" s="8" t="s">
        <v>264</v>
      </c>
      <c r="D236" s="4">
        <v>1</v>
      </c>
      <c r="E236" s="4">
        <v>0</v>
      </c>
      <c r="F236" s="4">
        <f>_xll.AtlasFormulas.AtlasFunctions.AtlasBalance("PROD",DataAreaId,"T.TPPTrans_sst|InventDimId~inventDimId@T.InventDim","Sum|Qty|0","","","","","","","ItemId|TransDate|T2.InventSiteId|T2.InventLocationId",$A236,PeriodBeginning,$B236,$C236)</f>
        <v>0</v>
      </c>
      <c r="G236" s="4">
        <f>_xll.AtlasFormulas.AtlasFunctions.AtlasBalance("PROD",DataAreaId,"T.TPPTrans_sst|InventDimId~inventDimId@T.InventDim","Sum|Qty|0","","","","","","","ItemId|TransDate|T2.InventSiteId|T2.InventLocationId",$A236,PeriodEnding,$B236,$C236)</f>
        <v>0</v>
      </c>
      <c r="H236" s="4">
        <f>AtlasReport_4_Table_1[[#This Row],[Quantity]]-AtlasReport_4_Table_1[[#This Row],[TPP trans backwards (Beginning)]]</f>
        <v>1</v>
      </c>
      <c r="I236" s="4">
        <f>AtlasReport_4_Table_1[[#This Row],[Quantity]]-AtlasReport_4_Table_1[[#This Row],[TPP trans backwards (Ending)]]</f>
        <v>1</v>
      </c>
      <c r="J236" s="4">
        <f>_xll.AtlasFormulas.AtlasFunctions.AtlasBalance("PROD",DataAreaId,"T.TPPTrans_sst|InventDimId~inventDimId@T.InventDim","Sum|CostAmount|0","","","","","","","ItemId|TransDate|T2.InventSiteId|T2.InventLocationId",$A236,PeriodBeginning,$B236,$C236)</f>
        <v>0</v>
      </c>
      <c r="K236" s="4">
        <f>_xll.AtlasFormulas.AtlasFunctions.AtlasBalance("PROD",DataAreaId,"T.TPPTrans_sst|InventDimId~inventDimId@T.InventDim","Sum|CostAmount|0","","","","","","","ItemId|TransDate|T2.InventSiteId|T2.InventLocationId",$A236,PeriodEnding,$B236,$C236)</f>
        <v>0</v>
      </c>
      <c r="L236" s="4">
        <f>AtlasReport_4_Table_1[[#This Row],[TPP cost amount]]-AtlasReport_4_Table_1[[#This Row],[TPP trans backwards balance (Beginning)]]</f>
        <v>0</v>
      </c>
      <c r="M236" s="4">
        <f>AtlasReport_4_Table_1[[#This Row],[TPP cost amount]]-AtlasReport_4_Table_1[[#This Row],[TPP Balance (Beginning)]]</f>
        <v>0</v>
      </c>
    </row>
    <row r="237" spans="1:13" x14ac:dyDescent="0.25">
      <c r="A237" s="8" t="s">
        <v>441</v>
      </c>
      <c r="B237" s="8" t="s">
        <v>261</v>
      </c>
      <c r="C237" s="8" t="s">
        <v>264</v>
      </c>
      <c r="D237" s="4">
        <v>2</v>
      </c>
      <c r="E237" s="4">
        <v>0</v>
      </c>
      <c r="F237" s="4">
        <f>_xll.AtlasFormulas.AtlasFunctions.AtlasBalance("PROD",DataAreaId,"T.TPPTrans_sst|InventDimId~inventDimId@T.InventDim","Sum|Qty|0","","","","","","","ItemId|TransDate|T2.InventSiteId|T2.InventLocationId",$A237,PeriodBeginning,$B237,$C237)</f>
        <v>0</v>
      </c>
      <c r="G237" s="4">
        <f>_xll.AtlasFormulas.AtlasFunctions.AtlasBalance("PROD",DataAreaId,"T.TPPTrans_sst|InventDimId~inventDimId@T.InventDim","Sum|Qty|0","","","","","","","ItemId|TransDate|T2.InventSiteId|T2.InventLocationId",$A237,PeriodEnding,$B237,$C237)</f>
        <v>0</v>
      </c>
      <c r="H237" s="4">
        <f>AtlasReport_4_Table_1[[#This Row],[Quantity]]-AtlasReport_4_Table_1[[#This Row],[TPP trans backwards (Beginning)]]</f>
        <v>2</v>
      </c>
      <c r="I237" s="4">
        <f>AtlasReport_4_Table_1[[#This Row],[Quantity]]-AtlasReport_4_Table_1[[#This Row],[TPP trans backwards (Ending)]]</f>
        <v>2</v>
      </c>
      <c r="J237" s="4">
        <f>_xll.AtlasFormulas.AtlasFunctions.AtlasBalance("PROD",DataAreaId,"T.TPPTrans_sst|InventDimId~inventDimId@T.InventDim","Sum|CostAmount|0","","","","","","","ItemId|TransDate|T2.InventSiteId|T2.InventLocationId",$A237,PeriodBeginning,$B237,$C237)</f>
        <v>0</v>
      </c>
      <c r="K237" s="4">
        <f>_xll.AtlasFormulas.AtlasFunctions.AtlasBalance("PROD",DataAreaId,"T.TPPTrans_sst|InventDimId~inventDimId@T.InventDim","Sum|CostAmount|0","","","","","","","ItemId|TransDate|T2.InventSiteId|T2.InventLocationId",$A237,PeriodEnding,$B237,$C237)</f>
        <v>0</v>
      </c>
      <c r="L237" s="4">
        <f>AtlasReport_4_Table_1[[#This Row],[TPP cost amount]]-AtlasReport_4_Table_1[[#This Row],[TPP trans backwards balance (Beginning)]]</f>
        <v>0</v>
      </c>
      <c r="M237" s="4">
        <f>AtlasReport_4_Table_1[[#This Row],[TPP cost amount]]-AtlasReport_4_Table_1[[#This Row],[TPP Balance (Beginning)]]</f>
        <v>0</v>
      </c>
    </row>
    <row r="238" spans="1:13" x14ac:dyDescent="0.25">
      <c r="A238" s="8" t="s">
        <v>442</v>
      </c>
      <c r="B238" s="8" t="s">
        <v>261</v>
      </c>
      <c r="C238" s="8" t="s">
        <v>264</v>
      </c>
      <c r="D238" s="4">
        <v>648</v>
      </c>
      <c r="E238" s="4">
        <v>0</v>
      </c>
      <c r="F238" s="4">
        <f>_xll.AtlasFormulas.AtlasFunctions.AtlasBalance("PROD",DataAreaId,"T.TPPTrans_sst|InventDimId~inventDimId@T.InventDim","Sum|Qty|0","","","","","","","ItemId|TransDate|T2.InventSiteId|T2.InventLocationId",$A238,PeriodBeginning,$B238,$C238)</f>
        <v>0</v>
      </c>
      <c r="G238" s="4">
        <f>_xll.AtlasFormulas.AtlasFunctions.AtlasBalance("PROD",DataAreaId,"T.TPPTrans_sst|InventDimId~inventDimId@T.InventDim","Sum|Qty|0","","","","","","","ItemId|TransDate|T2.InventSiteId|T2.InventLocationId",$A238,PeriodEnding,$B238,$C238)</f>
        <v>0</v>
      </c>
      <c r="H238" s="4">
        <f>AtlasReport_4_Table_1[[#This Row],[Quantity]]-AtlasReport_4_Table_1[[#This Row],[TPP trans backwards (Beginning)]]</f>
        <v>648</v>
      </c>
      <c r="I238" s="4">
        <f>AtlasReport_4_Table_1[[#This Row],[Quantity]]-AtlasReport_4_Table_1[[#This Row],[TPP trans backwards (Ending)]]</f>
        <v>648</v>
      </c>
      <c r="J238" s="4">
        <f>_xll.AtlasFormulas.AtlasFunctions.AtlasBalance("PROD",DataAreaId,"T.TPPTrans_sst|InventDimId~inventDimId@T.InventDim","Sum|CostAmount|0","","","","","","","ItemId|TransDate|T2.InventSiteId|T2.InventLocationId",$A238,PeriodBeginning,$B238,$C238)</f>
        <v>0</v>
      </c>
      <c r="K238" s="4">
        <f>_xll.AtlasFormulas.AtlasFunctions.AtlasBalance("PROD",DataAreaId,"T.TPPTrans_sst|InventDimId~inventDimId@T.InventDim","Sum|CostAmount|0","","","","","","","ItemId|TransDate|T2.InventSiteId|T2.InventLocationId",$A238,PeriodEnding,$B238,$C238)</f>
        <v>0</v>
      </c>
      <c r="L238" s="4">
        <f>AtlasReport_4_Table_1[[#This Row],[TPP cost amount]]-AtlasReport_4_Table_1[[#This Row],[TPP trans backwards balance (Beginning)]]</f>
        <v>0</v>
      </c>
      <c r="M238" s="4">
        <f>AtlasReport_4_Table_1[[#This Row],[TPP cost amount]]-AtlasReport_4_Table_1[[#This Row],[TPP Balance (Beginning)]]</f>
        <v>0</v>
      </c>
    </row>
    <row r="239" spans="1:13" x14ac:dyDescent="0.25">
      <c r="A239" s="8" t="s">
        <v>443</v>
      </c>
      <c r="B239" s="8" t="s">
        <v>261</v>
      </c>
      <c r="C239" s="8" t="s">
        <v>264</v>
      </c>
      <c r="D239" s="4">
        <v>448</v>
      </c>
      <c r="E239" s="4">
        <v>0</v>
      </c>
      <c r="F239" s="4">
        <f>_xll.AtlasFormulas.AtlasFunctions.AtlasBalance("PROD",DataAreaId,"T.TPPTrans_sst|InventDimId~inventDimId@T.InventDim","Sum|Qty|0","","","","","","","ItemId|TransDate|T2.InventSiteId|T2.InventLocationId",$A239,PeriodBeginning,$B239,$C239)</f>
        <v>0</v>
      </c>
      <c r="G239" s="4">
        <f>_xll.AtlasFormulas.AtlasFunctions.AtlasBalance("PROD",DataAreaId,"T.TPPTrans_sst|InventDimId~inventDimId@T.InventDim","Sum|Qty|0","","","","","","","ItemId|TransDate|T2.InventSiteId|T2.InventLocationId",$A239,PeriodEnding,$B239,$C239)</f>
        <v>0</v>
      </c>
      <c r="H239" s="4">
        <f>AtlasReport_4_Table_1[[#This Row],[Quantity]]-AtlasReport_4_Table_1[[#This Row],[TPP trans backwards (Beginning)]]</f>
        <v>448</v>
      </c>
      <c r="I239" s="4">
        <f>AtlasReport_4_Table_1[[#This Row],[Quantity]]-AtlasReport_4_Table_1[[#This Row],[TPP trans backwards (Ending)]]</f>
        <v>448</v>
      </c>
      <c r="J239" s="4">
        <f>_xll.AtlasFormulas.AtlasFunctions.AtlasBalance("PROD",DataAreaId,"T.TPPTrans_sst|InventDimId~inventDimId@T.InventDim","Sum|CostAmount|0","","","","","","","ItemId|TransDate|T2.InventSiteId|T2.InventLocationId",$A239,PeriodBeginning,$B239,$C239)</f>
        <v>0</v>
      </c>
      <c r="K239" s="4">
        <f>_xll.AtlasFormulas.AtlasFunctions.AtlasBalance("PROD",DataAreaId,"T.TPPTrans_sst|InventDimId~inventDimId@T.InventDim","Sum|CostAmount|0","","","","","","","ItemId|TransDate|T2.InventSiteId|T2.InventLocationId",$A239,PeriodEnding,$B239,$C239)</f>
        <v>0</v>
      </c>
      <c r="L239" s="4">
        <f>AtlasReport_4_Table_1[[#This Row],[TPP cost amount]]-AtlasReport_4_Table_1[[#This Row],[TPP trans backwards balance (Beginning)]]</f>
        <v>0</v>
      </c>
      <c r="M239" s="4">
        <f>AtlasReport_4_Table_1[[#This Row],[TPP cost amount]]-AtlasReport_4_Table_1[[#This Row],[TPP Balance (Beginning)]]</f>
        <v>0</v>
      </c>
    </row>
    <row r="240" spans="1:13" x14ac:dyDescent="0.25">
      <c r="A240" s="8" t="s">
        <v>444</v>
      </c>
      <c r="B240" s="8" t="s">
        <v>261</v>
      </c>
      <c r="C240" s="8" t="s">
        <v>264</v>
      </c>
      <c r="D240" s="4">
        <v>5</v>
      </c>
      <c r="E240" s="4">
        <v>0</v>
      </c>
      <c r="F240" s="4">
        <f>_xll.AtlasFormulas.AtlasFunctions.AtlasBalance("PROD",DataAreaId,"T.TPPTrans_sst|InventDimId~inventDimId@T.InventDim","Sum|Qty|0","","","","","","","ItemId|TransDate|T2.InventSiteId|T2.InventLocationId",$A240,PeriodBeginning,$B240,$C240)</f>
        <v>0</v>
      </c>
      <c r="G240" s="4">
        <f>_xll.AtlasFormulas.AtlasFunctions.AtlasBalance("PROD",DataAreaId,"T.TPPTrans_sst|InventDimId~inventDimId@T.InventDim","Sum|Qty|0","","","","","","","ItemId|TransDate|T2.InventSiteId|T2.InventLocationId",$A240,PeriodEnding,$B240,$C240)</f>
        <v>0</v>
      </c>
      <c r="H240" s="4">
        <f>AtlasReport_4_Table_1[[#This Row],[Quantity]]-AtlasReport_4_Table_1[[#This Row],[TPP trans backwards (Beginning)]]</f>
        <v>5</v>
      </c>
      <c r="I240" s="4">
        <f>AtlasReport_4_Table_1[[#This Row],[Quantity]]-AtlasReport_4_Table_1[[#This Row],[TPP trans backwards (Ending)]]</f>
        <v>5</v>
      </c>
      <c r="J240" s="4">
        <f>_xll.AtlasFormulas.AtlasFunctions.AtlasBalance("PROD",DataAreaId,"T.TPPTrans_sst|InventDimId~inventDimId@T.InventDim","Sum|CostAmount|0","","","","","","","ItemId|TransDate|T2.InventSiteId|T2.InventLocationId",$A240,PeriodBeginning,$B240,$C240)</f>
        <v>0</v>
      </c>
      <c r="K240" s="4">
        <f>_xll.AtlasFormulas.AtlasFunctions.AtlasBalance("PROD",DataAreaId,"T.TPPTrans_sst|InventDimId~inventDimId@T.InventDim","Sum|CostAmount|0","","","","","","","ItemId|TransDate|T2.InventSiteId|T2.InventLocationId",$A240,PeriodEnding,$B240,$C240)</f>
        <v>0</v>
      </c>
      <c r="L240" s="4">
        <f>AtlasReport_4_Table_1[[#This Row],[TPP cost amount]]-AtlasReport_4_Table_1[[#This Row],[TPP trans backwards balance (Beginning)]]</f>
        <v>0</v>
      </c>
      <c r="M240" s="4">
        <f>AtlasReport_4_Table_1[[#This Row],[TPP cost amount]]-AtlasReport_4_Table_1[[#This Row],[TPP Balance (Beginning)]]</f>
        <v>0</v>
      </c>
    </row>
    <row r="241" spans="1:13" x14ac:dyDescent="0.25">
      <c r="A241" s="8" t="s">
        <v>445</v>
      </c>
      <c r="B241" s="8" t="s">
        <v>261</v>
      </c>
      <c r="C241" s="8" t="s">
        <v>264</v>
      </c>
      <c r="D241" s="4">
        <v>0.53</v>
      </c>
      <c r="E241" s="4">
        <v>0</v>
      </c>
      <c r="F241" s="4">
        <f>_xll.AtlasFormulas.AtlasFunctions.AtlasBalance("PROD",DataAreaId,"T.TPPTrans_sst|InventDimId~inventDimId@T.InventDim","Sum|Qty|0","","","","","","","ItemId|TransDate|T2.InventSiteId|T2.InventLocationId",$A241,PeriodBeginning,$B241,$C241)</f>
        <v>0</v>
      </c>
      <c r="G241" s="4">
        <f>_xll.AtlasFormulas.AtlasFunctions.AtlasBalance("PROD",DataAreaId,"T.TPPTrans_sst|InventDimId~inventDimId@T.InventDim","Sum|Qty|0","","","","","","","ItemId|TransDate|T2.InventSiteId|T2.InventLocationId",$A241,PeriodEnding,$B241,$C241)</f>
        <v>0</v>
      </c>
      <c r="H241" s="4">
        <f>AtlasReport_4_Table_1[[#This Row],[Quantity]]-AtlasReport_4_Table_1[[#This Row],[TPP trans backwards (Beginning)]]</f>
        <v>0.53</v>
      </c>
      <c r="I241" s="4">
        <f>AtlasReport_4_Table_1[[#This Row],[Quantity]]-AtlasReport_4_Table_1[[#This Row],[TPP trans backwards (Ending)]]</f>
        <v>0.53</v>
      </c>
      <c r="J241" s="4">
        <f>_xll.AtlasFormulas.AtlasFunctions.AtlasBalance("PROD",DataAreaId,"T.TPPTrans_sst|InventDimId~inventDimId@T.InventDim","Sum|CostAmount|0","","","","","","","ItemId|TransDate|T2.InventSiteId|T2.InventLocationId",$A241,PeriodBeginning,$B241,$C241)</f>
        <v>0</v>
      </c>
      <c r="K241" s="4">
        <f>_xll.AtlasFormulas.AtlasFunctions.AtlasBalance("PROD",DataAreaId,"T.TPPTrans_sst|InventDimId~inventDimId@T.InventDim","Sum|CostAmount|0","","","","","","","ItemId|TransDate|T2.InventSiteId|T2.InventLocationId",$A241,PeriodEnding,$B241,$C241)</f>
        <v>0</v>
      </c>
      <c r="L241" s="4">
        <f>AtlasReport_4_Table_1[[#This Row],[TPP cost amount]]-AtlasReport_4_Table_1[[#This Row],[TPP trans backwards balance (Beginning)]]</f>
        <v>0</v>
      </c>
      <c r="M241" s="4">
        <f>AtlasReport_4_Table_1[[#This Row],[TPP cost amount]]-AtlasReport_4_Table_1[[#This Row],[TPP Balance (Beginning)]]</f>
        <v>0</v>
      </c>
    </row>
    <row r="242" spans="1:13" x14ac:dyDescent="0.25">
      <c r="A242" s="8" t="s">
        <v>207</v>
      </c>
      <c r="B242" s="8" t="s">
        <v>261</v>
      </c>
      <c r="C242" s="8" t="s">
        <v>264</v>
      </c>
      <c r="D242" s="4">
        <v>12</v>
      </c>
      <c r="E242" s="4">
        <v>0</v>
      </c>
      <c r="F242" s="4">
        <f>_xll.AtlasFormulas.AtlasFunctions.AtlasBalance("PROD",DataAreaId,"T.TPPTrans_sst|InventDimId~inventDimId@T.InventDim","Sum|Qty|0","","","","","","","ItemId|TransDate|T2.InventSiteId|T2.InventLocationId",$A242,PeriodBeginning,$B242,$C242)</f>
        <v>0</v>
      </c>
      <c r="G242" s="4">
        <f>_xll.AtlasFormulas.AtlasFunctions.AtlasBalance("PROD",DataAreaId,"T.TPPTrans_sst|InventDimId~inventDimId@T.InventDim","Sum|Qty|0","","","","","","","ItemId|TransDate|T2.InventSiteId|T2.InventLocationId",$A242,PeriodEnding,$B242,$C242)</f>
        <v>0</v>
      </c>
      <c r="H242" s="4">
        <f>AtlasReport_4_Table_1[[#This Row],[Quantity]]-AtlasReport_4_Table_1[[#This Row],[TPP trans backwards (Beginning)]]</f>
        <v>12</v>
      </c>
      <c r="I242" s="4">
        <f>AtlasReport_4_Table_1[[#This Row],[Quantity]]-AtlasReport_4_Table_1[[#This Row],[TPP trans backwards (Ending)]]</f>
        <v>12</v>
      </c>
      <c r="J242" s="4">
        <f>_xll.AtlasFormulas.AtlasFunctions.AtlasBalance("PROD",DataAreaId,"T.TPPTrans_sst|InventDimId~inventDimId@T.InventDim","Sum|CostAmount|0","","","","","","","ItemId|TransDate|T2.InventSiteId|T2.InventLocationId",$A242,PeriodBeginning,$B242,$C242)</f>
        <v>0</v>
      </c>
      <c r="K242" s="4">
        <f>_xll.AtlasFormulas.AtlasFunctions.AtlasBalance("PROD",DataAreaId,"T.TPPTrans_sst|InventDimId~inventDimId@T.InventDim","Sum|CostAmount|0","","","","","","","ItemId|TransDate|T2.InventSiteId|T2.InventLocationId",$A242,PeriodEnding,$B242,$C242)</f>
        <v>0</v>
      </c>
      <c r="L242" s="4">
        <f>AtlasReport_4_Table_1[[#This Row],[TPP cost amount]]-AtlasReport_4_Table_1[[#This Row],[TPP trans backwards balance (Beginning)]]</f>
        <v>0</v>
      </c>
      <c r="M242" s="4">
        <f>AtlasReport_4_Table_1[[#This Row],[TPP cost amount]]-AtlasReport_4_Table_1[[#This Row],[TPP Balance (Beginning)]]</f>
        <v>0</v>
      </c>
    </row>
    <row r="243" spans="1:13" x14ac:dyDescent="0.25">
      <c r="A243" s="8" t="s">
        <v>446</v>
      </c>
      <c r="B243" s="8" t="s">
        <v>261</v>
      </c>
      <c r="C243" s="8" t="s">
        <v>264</v>
      </c>
      <c r="D243" s="4">
        <v>1067</v>
      </c>
      <c r="E243" s="4">
        <v>0</v>
      </c>
      <c r="F243" s="4">
        <f>_xll.AtlasFormulas.AtlasFunctions.AtlasBalance("PROD",DataAreaId,"T.TPPTrans_sst|InventDimId~inventDimId@T.InventDim","Sum|Qty|0","","","","","","","ItemId|TransDate|T2.InventSiteId|T2.InventLocationId",$A243,PeriodBeginning,$B243,$C243)</f>
        <v>0</v>
      </c>
      <c r="G243" s="4">
        <f>_xll.AtlasFormulas.AtlasFunctions.AtlasBalance("PROD",DataAreaId,"T.TPPTrans_sst|InventDimId~inventDimId@T.InventDim","Sum|Qty|0","","","","","","","ItemId|TransDate|T2.InventSiteId|T2.InventLocationId",$A243,PeriodEnding,$B243,$C243)</f>
        <v>0</v>
      </c>
      <c r="H243" s="4">
        <f>AtlasReport_4_Table_1[[#This Row],[Quantity]]-AtlasReport_4_Table_1[[#This Row],[TPP trans backwards (Beginning)]]</f>
        <v>1067</v>
      </c>
      <c r="I243" s="4">
        <f>AtlasReport_4_Table_1[[#This Row],[Quantity]]-AtlasReport_4_Table_1[[#This Row],[TPP trans backwards (Ending)]]</f>
        <v>1067</v>
      </c>
      <c r="J243" s="4">
        <f>_xll.AtlasFormulas.AtlasFunctions.AtlasBalance("PROD",DataAreaId,"T.TPPTrans_sst|InventDimId~inventDimId@T.InventDim","Sum|CostAmount|0","","","","","","","ItemId|TransDate|T2.InventSiteId|T2.InventLocationId",$A243,PeriodBeginning,$B243,$C243)</f>
        <v>0</v>
      </c>
      <c r="K243" s="4">
        <f>_xll.AtlasFormulas.AtlasFunctions.AtlasBalance("PROD",DataAreaId,"T.TPPTrans_sst|InventDimId~inventDimId@T.InventDim","Sum|CostAmount|0","","","","","","","ItemId|TransDate|T2.InventSiteId|T2.InventLocationId",$A243,PeriodEnding,$B243,$C243)</f>
        <v>0</v>
      </c>
      <c r="L243" s="4">
        <f>AtlasReport_4_Table_1[[#This Row],[TPP cost amount]]-AtlasReport_4_Table_1[[#This Row],[TPP trans backwards balance (Beginning)]]</f>
        <v>0</v>
      </c>
      <c r="M243" s="4">
        <f>AtlasReport_4_Table_1[[#This Row],[TPP cost amount]]-AtlasReport_4_Table_1[[#This Row],[TPP Balance (Beginning)]]</f>
        <v>0</v>
      </c>
    </row>
    <row r="244" spans="1:13" x14ac:dyDescent="0.25">
      <c r="A244" s="8" t="s">
        <v>447</v>
      </c>
      <c r="B244" s="8" t="s">
        <v>261</v>
      </c>
      <c r="C244" s="8" t="s">
        <v>264</v>
      </c>
      <c r="D244" s="4">
        <v>451</v>
      </c>
      <c r="E244" s="4">
        <v>0</v>
      </c>
      <c r="F244" s="4">
        <f>_xll.AtlasFormulas.AtlasFunctions.AtlasBalance("PROD",DataAreaId,"T.TPPTrans_sst|InventDimId~inventDimId@T.InventDim","Sum|Qty|0","","","","","","","ItemId|TransDate|T2.InventSiteId|T2.InventLocationId",$A244,PeriodBeginning,$B244,$C244)</f>
        <v>0</v>
      </c>
      <c r="G244" s="4">
        <f>_xll.AtlasFormulas.AtlasFunctions.AtlasBalance("PROD",DataAreaId,"T.TPPTrans_sst|InventDimId~inventDimId@T.InventDim","Sum|Qty|0","","","","","","","ItemId|TransDate|T2.InventSiteId|T2.InventLocationId",$A244,PeriodEnding,$B244,$C244)</f>
        <v>0</v>
      </c>
      <c r="H244" s="4">
        <f>AtlasReport_4_Table_1[[#This Row],[Quantity]]-AtlasReport_4_Table_1[[#This Row],[TPP trans backwards (Beginning)]]</f>
        <v>451</v>
      </c>
      <c r="I244" s="4">
        <f>AtlasReport_4_Table_1[[#This Row],[Quantity]]-AtlasReport_4_Table_1[[#This Row],[TPP trans backwards (Ending)]]</f>
        <v>451</v>
      </c>
      <c r="J244" s="4">
        <f>_xll.AtlasFormulas.AtlasFunctions.AtlasBalance("PROD",DataAreaId,"T.TPPTrans_sst|InventDimId~inventDimId@T.InventDim","Sum|CostAmount|0","","","","","","","ItemId|TransDate|T2.InventSiteId|T2.InventLocationId",$A244,PeriodBeginning,$B244,$C244)</f>
        <v>0</v>
      </c>
      <c r="K244" s="4">
        <f>_xll.AtlasFormulas.AtlasFunctions.AtlasBalance("PROD",DataAreaId,"T.TPPTrans_sst|InventDimId~inventDimId@T.InventDim","Sum|CostAmount|0","","","","","","","ItemId|TransDate|T2.InventSiteId|T2.InventLocationId",$A244,PeriodEnding,$B244,$C244)</f>
        <v>0</v>
      </c>
      <c r="L244" s="4">
        <f>AtlasReport_4_Table_1[[#This Row],[TPP cost amount]]-AtlasReport_4_Table_1[[#This Row],[TPP trans backwards balance (Beginning)]]</f>
        <v>0</v>
      </c>
      <c r="M244" s="4">
        <f>AtlasReport_4_Table_1[[#This Row],[TPP cost amount]]-AtlasReport_4_Table_1[[#This Row],[TPP Balance (Beginning)]]</f>
        <v>0</v>
      </c>
    </row>
    <row r="245" spans="1:13" x14ac:dyDescent="0.25">
      <c r="A245" s="8" t="s">
        <v>448</v>
      </c>
      <c r="B245" s="8" t="s">
        <v>261</v>
      </c>
      <c r="C245" s="8" t="s">
        <v>264</v>
      </c>
      <c r="D245" s="4">
        <v>219</v>
      </c>
      <c r="E245" s="4">
        <v>0</v>
      </c>
      <c r="F245" s="4">
        <f>_xll.AtlasFormulas.AtlasFunctions.AtlasBalance("PROD",DataAreaId,"T.TPPTrans_sst|InventDimId~inventDimId@T.InventDim","Sum|Qty|0","","","","","","","ItemId|TransDate|T2.InventSiteId|T2.InventLocationId",$A245,PeriodBeginning,$B245,$C245)</f>
        <v>0</v>
      </c>
      <c r="G245" s="4">
        <f>_xll.AtlasFormulas.AtlasFunctions.AtlasBalance("PROD",DataAreaId,"T.TPPTrans_sst|InventDimId~inventDimId@T.InventDim","Sum|Qty|0","","","","","","","ItemId|TransDate|T2.InventSiteId|T2.InventLocationId",$A245,PeriodEnding,$B245,$C245)</f>
        <v>0</v>
      </c>
      <c r="H245" s="4">
        <f>AtlasReport_4_Table_1[[#This Row],[Quantity]]-AtlasReport_4_Table_1[[#This Row],[TPP trans backwards (Beginning)]]</f>
        <v>219</v>
      </c>
      <c r="I245" s="4">
        <f>AtlasReport_4_Table_1[[#This Row],[Quantity]]-AtlasReport_4_Table_1[[#This Row],[TPP trans backwards (Ending)]]</f>
        <v>219</v>
      </c>
      <c r="J245" s="4">
        <f>_xll.AtlasFormulas.AtlasFunctions.AtlasBalance("PROD",DataAreaId,"T.TPPTrans_sst|InventDimId~inventDimId@T.InventDim","Sum|CostAmount|0","","","","","","","ItemId|TransDate|T2.InventSiteId|T2.InventLocationId",$A245,PeriodBeginning,$B245,$C245)</f>
        <v>0</v>
      </c>
      <c r="K245" s="4">
        <f>_xll.AtlasFormulas.AtlasFunctions.AtlasBalance("PROD",DataAreaId,"T.TPPTrans_sst|InventDimId~inventDimId@T.InventDim","Sum|CostAmount|0","","","","","","","ItemId|TransDate|T2.InventSiteId|T2.InventLocationId",$A245,PeriodEnding,$B245,$C245)</f>
        <v>0</v>
      </c>
      <c r="L245" s="4">
        <f>AtlasReport_4_Table_1[[#This Row],[TPP cost amount]]-AtlasReport_4_Table_1[[#This Row],[TPP trans backwards balance (Beginning)]]</f>
        <v>0</v>
      </c>
      <c r="M245" s="4">
        <f>AtlasReport_4_Table_1[[#This Row],[TPP cost amount]]-AtlasReport_4_Table_1[[#This Row],[TPP Balance (Beginning)]]</f>
        <v>0</v>
      </c>
    </row>
    <row r="246" spans="1:13" x14ac:dyDescent="0.25">
      <c r="A246" s="8" t="s">
        <v>449</v>
      </c>
      <c r="B246" s="8" t="s">
        <v>261</v>
      </c>
      <c r="C246" s="8" t="s">
        <v>264</v>
      </c>
      <c r="D246" s="4">
        <v>224</v>
      </c>
      <c r="E246" s="4">
        <v>0</v>
      </c>
      <c r="F246" s="4">
        <f>_xll.AtlasFormulas.AtlasFunctions.AtlasBalance("PROD",DataAreaId,"T.TPPTrans_sst|InventDimId~inventDimId@T.InventDim","Sum|Qty|0","","","","","","","ItemId|TransDate|T2.InventSiteId|T2.InventLocationId",$A246,PeriodBeginning,$B246,$C246)</f>
        <v>0</v>
      </c>
      <c r="G246" s="4">
        <f>_xll.AtlasFormulas.AtlasFunctions.AtlasBalance("PROD",DataAreaId,"T.TPPTrans_sst|InventDimId~inventDimId@T.InventDim","Sum|Qty|0","","","","","","","ItemId|TransDate|T2.InventSiteId|T2.InventLocationId",$A246,PeriodEnding,$B246,$C246)</f>
        <v>0</v>
      </c>
      <c r="H246" s="4">
        <f>AtlasReport_4_Table_1[[#This Row],[Quantity]]-AtlasReport_4_Table_1[[#This Row],[TPP trans backwards (Beginning)]]</f>
        <v>224</v>
      </c>
      <c r="I246" s="4">
        <f>AtlasReport_4_Table_1[[#This Row],[Quantity]]-AtlasReport_4_Table_1[[#This Row],[TPP trans backwards (Ending)]]</f>
        <v>224</v>
      </c>
      <c r="J246" s="4">
        <f>_xll.AtlasFormulas.AtlasFunctions.AtlasBalance("PROD",DataAreaId,"T.TPPTrans_sst|InventDimId~inventDimId@T.InventDim","Sum|CostAmount|0","","","","","","","ItemId|TransDate|T2.InventSiteId|T2.InventLocationId",$A246,PeriodBeginning,$B246,$C246)</f>
        <v>0</v>
      </c>
      <c r="K246" s="4">
        <f>_xll.AtlasFormulas.AtlasFunctions.AtlasBalance("PROD",DataAreaId,"T.TPPTrans_sst|InventDimId~inventDimId@T.InventDim","Sum|CostAmount|0","","","","","","","ItemId|TransDate|T2.InventSiteId|T2.InventLocationId",$A246,PeriodEnding,$B246,$C246)</f>
        <v>0</v>
      </c>
      <c r="L246" s="4">
        <f>AtlasReport_4_Table_1[[#This Row],[TPP cost amount]]-AtlasReport_4_Table_1[[#This Row],[TPP trans backwards balance (Beginning)]]</f>
        <v>0</v>
      </c>
      <c r="M246" s="4">
        <f>AtlasReport_4_Table_1[[#This Row],[TPP cost amount]]-AtlasReport_4_Table_1[[#This Row],[TPP Balance (Beginning)]]</f>
        <v>0</v>
      </c>
    </row>
    <row r="247" spans="1:13" x14ac:dyDescent="0.25">
      <c r="A247" s="8" t="s">
        <v>149</v>
      </c>
      <c r="B247" s="8" t="s">
        <v>261</v>
      </c>
      <c r="C247" s="8" t="s">
        <v>289</v>
      </c>
      <c r="D247" s="4">
        <v>1</v>
      </c>
      <c r="E247" s="4">
        <v>0</v>
      </c>
      <c r="F247" s="4">
        <f>_xll.AtlasFormulas.AtlasFunctions.AtlasBalance("PROD",DataAreaId,"T.TPPTrans_sst|InventDimId~inventDimId@T.InventDim","Sum|Qty|0","","","","","","","ItemId|TransDate|T2.InventSiteId|T2.InventLocationId",$A247,PeriodBeginning,$B247,$C247)</f>
        <v>0</v>
      </c>
      <c r="G247" s="4">
        <f>_xll.AtlasFormulas.AtlasFunctions.AtlasBalance("PROD",DataAreaId,"T.TPPTrans_sst|InventDimId~inventDimId@T.InventDim","Sum|Qty|0","","","","","","","ItemId|TransDate|T2.InventSiteId|T2.InventLocationId",$A247,PeriodEnding,$B247,$C247)</f>
        <v>0</v>
      </c>
      <c r="H247" s="4">
        <f>AtlasReport_4_Table_1[[#This Row],[Quantity]]-AtlasReport_4_Table_1[[#This Row],[TPP trans backwards (Beginning)]]</f>
        <v>1</v>
      </c>
      <c r="I247" s="4">
        <f>AtlasReport_4_Table_1[[#This Row],[Quantity]]-AtlasReport_4_Table_1[[#This Row],[TPP trans backwards (Ending)]]</f>
        <v>1</v>
      </c>
      <c r="J247" s="4">
        <f>_xll.AtlasFormulas.AtlasFunctions.AtlasBalance("PROD",DataAreaId,"T.TPPTrans_sst|InventDimId~inventDimId@T.InventDim","Sum|CostAmount|0","","","","","","","ItemId|TransDate|T2.InventSiteId|T2.InventLocationId",$A247,PeriodBeginning,$B247,$C247)</f>
        <v>0</v>
      </c>
      <c r="K247" s="4">
        <f>_xll.AtlasFormulas.AtlasFunctions.AtlasBalance("PROD",DataAreaId,"T.TPPTrans_sst|InventDimId~inventDimId@T.InventDim","Sum|CostAmount|0","","","","","","","ItemId|TransDate|T2.InventSiteId|T2.InventLocationId",$A247,PeriodEnding,$B247,$C247)</f>
        <v>0</v>
      </c>
      <c r="L247" s="4">
        <f>AtlasReport_4_Table_1[[#This Row],[TPP cost amount]]-AtlasReport_4_Table_1[[#This Row],[TPP trans backwards balance (Beginning)]]</f>
        <v>0</v>
      </c>
      <c r="M247" s="4">
        <f>AtlasReport_4_Table_1[[#This Row],[TPP cost amount]]-AtlasReport_4_Table_1[[#This Row],[TPP Balance (Beginning)]]</f>
        <v>0</v>
      </c>
    </row>
    <row r="248" spans="1:13" x14ac:dyDescent="0.25">
      <c r="A248" s="8" t="s">
        <v>149</v>
      </c>
      <c r="B248" s="8" t="s">
        <v>261</v>
      </c>
      <c r="C248" s="8" t="s">
        <v>264</v>
      </c>
      <c r="D248" s="4">
        <v>575</v>
      </c>
      <c r="E248" s="4">
        <v>0</v>
      </c>
      <c r="F248" s="4">
        <f>_xll.AtlasFormulas.AtlasFunctions.AtlasBalance("PROD",DataAreaId,"T.TPPTrans_sst|InventDimId~inventDimId@T.InventDim","Sum|Qty|0","","","","","","","ItemId|TransDate|T2.InventSiteId|T2.InventLocationId",$A248,PeriodBeginning,$B248,$C248)</f>
        <v>0</v>
      </c>
      <c r="G248" s="4">
        <f>_xll.AtlasFormulas.AtlasFunctions.AtlasBalance("PROD",DataAreaId,"T.TPPTrans_sst|InventDimId~inventDimId@T.InventDim","Sum|Qty|0","","","","","","","ItemId|TransDate|T2.InventSiteId|T2.InventLocationId",$A248,PeriodEnding,$B248,$C248)</f>
        <v>0</v>
      </c>
      <c r="H248" s="4">
        <f>AtlasReport_4_Table_1[[#This Row],[Quantity]]-AtlasReport_4_Table_1[[#This Row],[TPP trans backwards (Beginning)]]</f>
        <v>575</v>
      </c>
      <c r="I248" s="4">
        <f>AtlasReport_4_Table_1[[#This Row],[Quantity]]-AtlasReport_4_Table_1[[#This Row],[TPP trans backwards (Ending)]]</f>
        <v>575</v>
      </c>
      <c r="J248" s="4">
        <f>_xll.AtlasFormulas.AtlasFunctions.AtlasBalance("PROD",DataAreaId,"T.TPPTrans_sst|InventDimId~inventDimId@T.InventDim","Sum|CostAmount|0","","","","","","","ItemId|TransDate|T2.InventSiteId|T2.InventLocationId",$A248,PeriodBeginning,$B248,$C248)</f>
        <v>0</v>
      </c>
      <c r="K248" s="4">
        <f>_xll.AtlasFormulas.AtlasFunctions.AtlasBalance("PROD",DataAreaId,"T.TPPTrans_sst|InventDimId~inventDimId@T.InventDim","Sum|CostAmount|0","","","","","","","ItemId|TransDate|T2.InventSiteId|T2.InventLocationId",$A248,PeriodEnding,$B248,$C248)</f>
        <v>0</v>
      </c>
      <c r="L248" s="4">
        <f>AtlasReport_4_Table_1[[#This Row],[TPP cost amount]]-AtlasReport_4_Table_1[[#This Row],[TPP trans backwards balance (Beginning)]]</f>
        <v>0</v>
      </c>
      <c r="M248" s="4">
        <f>AtlasReport_4_Table_1[[#This Row],[TPP cost amount]]-AtlasReport_4_Table_1[[#This Row],[TPP Balance (Beginning)]]</f>
        <v>0</v>
      </c>
    </row>
    <row r="249" spans="1:13" x14ac:dyDescent="0.25">
      <c r="A249" s="8" t="s">
        <v>451</v>
      </c>
      <c r="B249" s="8" t="s">
        <v>261</v>
      </c>
      <c r="C249" s="8" t="s">
        <v>264</v>
      </c>
      <c r="D249" s="4">
        <v>161</v>
      </c>
      <c r="E249" s="4">
        <v>0</v>
      </c>
      <c r="F249" s="4">
        <f>_xll.AtlasFormulas.AtlasFunctions.AtlasBalance("PROD",DataAreaId,"T.TPPTrans_sst|InventDimId~inventDimId@T.InventDim","Sum|Qty|0","","","","","","","ItemId|TransDate|T2.InventSiteId|T2.InventLocationId",$A249,PeriodBeginning,$B249,$C249)</f>
        <v>0</v>
      </c>
      <c r="G249" s="4">
        <f>_xll.AtlasFormulas.AtlasFunctions.AtlasBalance("PROD",DataAreaId,"T.TPPTrans_sst|InventDimId~inventDimId@T.InventDim","Sum|Qty|0","","","","","","","ItemId|TransDate|T2.InventSiteId|T2.InventLocationId",$A249,PeriodEnding,$B249,$C249)</f>
        <v>0</v>
      </c>
      <c r="H249" s="4">
        <f>AtlasReport_4_Table_1[[#This Row],[Quantity]]-AtlasReport_4_Table_1[[#This Row],[TPP trans backwards (Beginning)]]</f>
        <v>161</v>
      </c>
      <c r="I249" s="4">
        <f>AtlasReport_4_Table_1[[#This Row],[Quantity]]-AtlasReport_4_Table_1[[#This Row],[TPP trans backwards (Ending)]]</f>
        <v>161</v>
      </c>
      <c r="J249" s="4">
        <f>_xll.AtlasFormulas.AtlasFunctions.AtlasBalance("PROD",DataAreaId,"T.TPPTrans_sst|InventDimId~inventDimId@T.InventDim","Sum|CostAmount|0","","","","","","","ItemId|TransDate|T2.InventSiteId|T2.InventLocationId",$A249,PeriodBeginning,$B249,$C249)</f>
        <v>0</v>
      </c>
      <c r="K249" s="4">
        <f>_xll.AtlasFormulas.AtlasFunctions.AtlasBalance("PROD",DataAreaId,"T.TPPTrans_sst|InventDimId~inventDimId@T.InventDim","Sum|CostAmount|0","","","","","","","ItemId|TransDate|T2.InventSiteId|T2.InventLocationId",$A249,PeriodEnding,$B249,$C249)</f>
        <v>0</v>
      </c>
      <c r="L249" s="4">
        <f>AtlasReport_4_Table_1[[#This Row],[TPP cost amount]]-AtlasReport_4_Table_1[[#This Row],[TPP trans backwards balance (Beginning)]]</f>
        <v>0</v>
      </c>
      <c r="M249" s="4">
        <f>AtlasReport_4_Table_1[[#This Row],[TPP cost amount]]-AtlasReport_4_Table_1[[#This Row],[TPP Balance (Beginning)]]</f>
        <v>0</v>
      </c>
    </row>
    <row r="250" spans="1:13" x14ac:dyDescent="0.25">
      <c r="A250" s="8" t="s">
        <v>452</v>
      </c>
      <c r="B250" s="8" t="s">
        <v>261</v>
      </c>
      <c r="C250" s="8" t="s">
        <v>264</v>
      </c>
      <c r="D250" s="4">
        <v>2319</v>
      </c>
      <c r="E250" s="4">
        <v>0</v>
      </c>
      <c r="F250" s="4">
        <f>_xll.AtlasFormulas.AtlasFunctions.AtlasBalance("PROD",DataAreaId,"T.TPPTrans_sst|InventDimId~inventDimId@T.InventDim","Sum|Qty|0","","","","","","","ItemId|TransDate|T2.InventSiteId|T2.InventLocationId",$A250,PeriodBeginning,$B250,$C250)</f>
        <v>0</v>
      </c>
      <c r="G250" s="4">
        <f>_xll.AtlasFormulas.AtlasFunctions.AtlasBalance("PROD",DataAreaId,"T.TPPTrans_sst|InventDimId~inventDimId@T.InventDim","Sum|Qty|0","","","","","","","ItemId|TransDate|T2.InventSiteId|T2.InventLocationId",$A250,PeriodEnding,$B250,$C250)</f>
        <v>0</v>
      </c>
      <c r="H250" s="4">
        <f>AtlasReport_4_Table_1[[#This Row],[Quantity]]-AtlasReport_4_Table_1[[#This Row],[TPP trans backwards (Beginning)]]</f>
        <v>2319</v>
      </c>
      <c r="I250" s="4">
        <f>AtlasReport_4_Table_1[[#This Row],[Quantity]]-AtlasReport_4_Table_1[[#This Row],[TPP trans backwards (Ending)]]</f>
        <v>2319</v>
      </c>
      <c r="J250" s="4">
        <f>_xll.AtlasFormulas.AtlasFunctions.AtlasBalance("PROD",DataAreaId,"T.TPPTrans_sst|InventDimId~inventDimId@T.InventDim","Sum|CostAmount|0","","","","","","","ItemId|TransDate|T2.InventSiteId|T2.InventLocationId",$A250,PeriodBeginning,$B250,$C250)</f>
        <v>0</v>
      </c>
      <c r="K250" s="4">
        <f>_xll.AtlasFormulas.AtlasFunctions.AtlasBalance("PROD",DataAreaId,"T.TPPTrans_sst|InventDimId~inventDimId@T.InventDim","Sum|CostAmount|0","","","","","","","ItemId|TransDate|T2.InventSiteId|T2.InventLocationId",$A250,PeriodEnding,$B250,$C250)</f>
        <v>0</v>
      </c>
      <c r="L250" s="4">
        <f>AtlasReport_4_Table_1[[#This Row],[TPP cost amount]]-AtlasReport_4_Table_1[[#This Row],[TPP trans backwards balance (Beginning)]]</f>
        <v>0</v>
      </c>
      <c r="M250" s="4">
        <f>AtlasReport_4_Table_1[[#This Row],[TPP cost amount]]-AtlasReport_4_Table_1[[#This Row],[TPP Balance (Beginning)]]</f>
        <v>0</v>
      </c>
    </row>
    <row r="251" spans="1:13" x14ac:dyDescent="0.25">
      <c r="A251" s="8" t="s">
        <v>114</v>
      </c>
      <c r="B251" s="8" t="s">
        <v>261</v>
      </c>
      <c r="C251" s="8" t="s">
        <v>264</v>
      </c>
      <c r="D251" s="4">
        <v>75</v>
      </c>
      <c r="E251" s="4">
        <v>0</v>
      </c>
      <c r="F251" s="4">
        <f>_xll.AtlasFormulas.AtlasFunctions.AtlasBalance("PROD",DataAreaId,"T.TPPTrans_sst|InventDimId~inventDimId@T.InventDim","Sum|Qty|0","","","","","","","ItemId|TransDate|T2.InventSiteId|T2.InventLocationId",$A251,PeriodBeginning,$B251,$C251)</f>
        <v>0</v>
      </c>
      <c r="G251" s="4">
        <f>_xll.AtlasFormulas.AtlasFunctions.AtlasBalance("PROD",DataAreaId,"T.TPPTrans_sst|InventDimId~inventDimId@T.InventDim","Sum|Qty|0","","","","","","","ItemId|TransDate|T2.InventSiteId|T2.InventLocationId",$A251,PeriodEnding,$B251,$C251)</f>
        <v>0</v>
      </c>
      <c r="H251" s="4">
        <f>AtlasReport_4_Table_1[[#This Row],[Quantity]]-AtlasReport_4_Table_1[[#This Row],[TPP trans backwards (Beginning)]]</f>
        <v>75</v>
      </c>
      <c r="I251" s="4">
        <f>AtlasReport_4_Table_1[[#This Row],[Quantity]]-AtlasReport_4_Table_1[[#This Row],[TPP trans backwards (Ending)]]</f>
        <v>75</v>
      </c>
      <c r="J251" s="4">
        <f>_xll.AtlasFormulas.AtlasFunctions.AtlasBalance("PROD",DataAreaId,"T.TPPTrans_sst|InventDimId~inventDimId@T.InventDim","Sum|CostAmount|0","","","","","","","ItemId|TransDate|T2.InventSiteId|T2.InventLocationId",$A251,PeriodBeginning,$B251,$C251)</f>
        <v>0</v>
      </c>
      <c r="K251" s="4">
        <f>_xll.AtlasFormulas.AtlasFunctions.AtlasBalance("PROD",DataAreaId,"T.TPPTrans_sst|InventDimId~inventDimId@T.InventDim","Sum|CostAmount|0","","","","","","","ItemId|TransDate|T2.InventSiteId|T2.InventLocationId",$A251,PeriodEnding,$B251,$C251)</f>
        <v>0</v>
      </c>
      <c r="L251" s="4">
        <f>AtlasReport_4_Table_1[[#This Row],[TPP cost amount]]-AtlasReport_4_Table_1[[#This Row],[TPP trans backwards balance (Beginning)]]</f>
        <v>0</v>
      </c>
      <c r="M251" s="4">
        <f>AtlasReport_4_Table_1[[#This Row],[TPP cost amount]]-AtlasReport_4_Table_1[[#This Row],[TPP Balance (Beginning)]]</f>
        <v>0</v>
      </c>
    </row>
    <row r="252" spans="1:13" x14ac:dyDescent="0.25">
      <c r="A252" s="8" t="s">
        <v>455</v>
      </c>
      <c r="B252" s="8" t="s">
        <v>261</v>
      </c>
      <c r="C252" s="8" t="s">
        <v>264</v>
      </c>
      <c r="D252" s="4">
        <v>73</v>
      </c>
      <c r="E252" s="4">
        <v>0</v>
      </c>
      <c r="F252" s="4">
        <f>_xll.AtlasFormulas.AtlasFunctions.AtlasBalance("PROD",DataAreaId,"T.TPPTrans_sst|InventDimId~inventDimId@T.InventDim","Sum|Qty|0","","","","","","","ItemId|TransDate|T2.InventSiteId|T2.InventLocationId",$A252,PeriodBeginning,$B252,$C252)</f>
        <v>0</v>
      </c>
      <c r="G252" s="4">
        <f>_xll.AtlasFormulas.AtlasFunctions.AtlasBalance("PROD",DataAreaId,"T.TPPTrans_sst|InventDimId~inventDimId@T.InventDim","Sum|Qty|0","","","","","","","ItemId|TransDate|T2.InventSiteId|T2.InventLocationId",$A252,PeriodEnding,$B252,$C252)</f>
        <v>0</v>
      </c>
      <c r="H252" s="4">
        <f>AtlasReport_4_Table_1[[#This Row],[Quantity]]-AtlasReport_4_Table_1[[#This Row],[TPP trans backwards (Beginning)]]</f>
        <v>73</v>
      </c>
      <c r="I252" s="4">
        <f>AtlasReport_4_Table_1[[#This Row],[Quantity]]-AtlasReport_4_Table_1[[#This Row],[TPP trans backwards (Ending)]]</f>
        <v>73</v>
      </c>
      <c r="J252" s="4">
        <f>_xll.AtlasFormulas.AtlasFunctions.AtlasBalance("PROD",DataAreaId,"T.TPPTrans_sst|InventDimId~inventDimId@T.InventDim","Sum|CostAmount|0","","","","","","","ItemId|TransDate|T2.InventSiteId|T2.InventLocationId",$A252,PeriodBeginning,$B252,$C252)</f>
        <v>0</v>
      </c>
      <c r="K252" s="4">
        <f>_xll.AtlasFormulas.AtlasFunctions.AtlasBalance("PROD",DataAreaId,"T.TPPTrans_sst|InventDimId~inventDimId@T.InventDim","Sum|CostAmount|0","","","","","","","ItemId|TransDate|T2.InventSiteId|T2.InventLocationId",$A252,PeriodEnding,$B252,$C252)</f>
        <v>0</v>
      </c>
      <c r="L252" s="4">
        <f>AtlasReport_4_Table_1[[#This Row],[TPP cost amount]]-AtlasReport_4_Table_1[[#This Row],[TPP trans backwards balance (Beginning)]]</f>
        <v>0</v>
      </c>
      <c r="M252" s="4">
        <f>AtlasReport_4_Table_1[[#This Row],[TPP cost amount]]-AtlasReport_4_Table_1[[#This Row],[TPP Balance (Beginning)]]</f>
        <v>0</v>
      </c>
    </row>
    <row r="253" spans="1:13" x14ac:dyDescent="0.25">
      <c r="A253" s="8" t="s">
        <v>457</v>
      </c>
      <c r="B253" s="8" t="s">
        <v>261</v>
      </c>
      <c r="C253" s="8" t="s">
        <v>264</v>
      </c>
      <c r="D253" s="4">
        <v>25</v>
      </c>
      <c r="E253" s="4">
        <v>0</v>
      </c>
      <c r="F253" s="4">
        <f>_xll.AtlasFormulas.AtlasFunctions.AtlasBalance("PROD",DataAreaId,"T.TPPTrans_sst|InventDimId~inventDimId@T.InventDim","Sum|Qty|0","","","","","","","ItemId|TransDate|T2.InventSiteId|T2.InventLocationId",$A253,PeriodBeginning,$B253,$C253)</f>
        <v>0</v>
      </c>
      <c r="G253" s="4">
        <f>_xll.AtlasFormulas.AtlasFunctions.AtlasBalance("PROD",DataAreaId,"T.TPPTrans_sst|InventDimId~inventDimId@T.InventDim","Sum|Qty|0","","","","","","","ItemId|TransDate|T2.InventSiteId|T2.InventLocationId",$A253,PeriodEnding,$B253,$C253)</f>
        <v>0</v>
      </c>
      <c r="H253" s="4">
        <f>AtlasReport_4_Table_1[[#This Row],[Quantity]]-AtlasReport_4_Table_1[[#This Row],[TPP trans backwards (Beginning)]]</f>
        <v>25</v>
      </c>
      <c r="I253" s="4">
        <f>AtlasReport_4_Table_1[[#This Row],[Quantity]]-AtlasReport_4_Table_1[[#This Row],[TPP trans backwards (Ending)]]</f>
        <v>25</v>
      </c>
      <c r="J253" s="4">
        <f>_xll.AtlasFormulas.AtlasFunctions.AtlasBalance("PROD",DataAreaId,"T.TPPTrans_sst|InventDimId~inventDimId@T.InventDim","Sum|CostAmount|0","","","","","","","ItemId|TransDate|T2.InventSiteId|T2.InventLocationId",$A253,PeriodBeginning,$B253,$C253)</f>
        <v>0</v>
      </c>
      <c r="K253" s="4">
        <f>_xll.AtlasFormulas.AtlasFunctions.AtlasBalance("PROD",DataAreaId,"T.TPPTrans_sst|InventDimId~inventDimId@T.InventDim","Sum|CostAmount|0","","","","","","","ItemId|TransDate|T2.InventSiteId|T2.InventLocationId",$A253,PeriodEnding,$B253,$C253)</f>
        <v>0</v>
      </c>
      <c r="L253" s="4">
        <f>AtlasReport_4_Table_1[[#This Row],[TPP cost amount]]-AtlasReport_4_Table_1[[#This Row],[TPP trans backwards balance (Beginning)]]</f>
        <v>0</v>
      </c>
      <c r="M253" s="4">
        <f>AtlasReport_4_Table_1[[#This Row],[TPP cost amount]]-AtlasReport_4_Table_1[[#This Row],[TPP Balance (Beginning)]]</f>
        <v>0</v>
      </c>
    </row>
    <row r="254" spans="1:13" x14ac:dyDescent="0.25">
      <c r="A254" s="8" t="s">
        <v>23</v>
      </c>
      <c r="B254" s="8" t="s">
        <v>261</v>
      </c>
      <c r="C254" s="8" t="s">
        <v>289</v>
      </c>
      <c r="D254" s="4">
        <v>0</v>
      </c>
      <c r="E254" s="4">
        <v>-3.8153714109999998E-3</v>
      </c>
      <c r="F254" s="4">
        <f>_xll.AtlasFormulas.AtlasFunctions.AtlasBalance("PROD",DataAreaId,"T.TPPTrans_sst|InventDimId~inventDimId@T.InventDim","Sum|Qty|0","","","","","","","ItemId|TransDate|T2.InventSiteId|T2.InventLocationId",$A254,PeriodBeginning,$B254,$C254)</f>
        <v>-2</v>
      </c>
      <c r="G254" s="4">
        <f>_xll.AtlasFormulas.AtlasFunctions.AtlasBalance("PROD",DataAreaId,"T.TPPTrans_sst|InventDimId~inventDimId@T.InventDim","Sum|Qty|0","","","","","","","ItemId|TransDate|T2.InventSiteId|T2.InventLocationId",$A254,PeriodEnding,$B254,$C254)</f>
        <v>0</v>
      </c>
      <c r="H254" s="4">
        <f>AtlasReport_4_Table_1[[#This Row],[Quantity]]-AtlasReport_4_Table_1[[#This Row],[TPP trans backwards (Beginning)]]</f>
        <v>2</v>
      </c>
      <c r="I254" s="4">
        <f>AtlasReport_4_Table_1[[#This Row],[Quantity]]-AtlasReport_4_Table_1[[#This Row],[TPP trans backwards (Ending)]]</f>
        <v>0</v>
      </c>
      <c r="J254" s="4">
        <f>_xll.AtlasFormulas.AtlasFunctions.AtlasBalance("PROD",DataAreaId,"T.TPPTrans_sst|InventDimId~inventDimId@T.InventDim","Sum|CostAmount|0","","","","","","","ItemId|TransDate|T2.InventSiteId|T2.InventLocationId",$A254,PeriodBeginning,$B254,$C254)</f>
        <v>-3.24</v>
      </c>
      <c r="K254" s="4">
        <f>_xll.AtlasFormulas.AtlasFunctions.AtlasBalance("PROD",DataAreaId,"T.TPPTrans_sst|InventDimId~inventDimId@T.InventDim","Sum|CostAmount|0","","","","","","","ItemId|TransDate|T2.InventSiteId|T2.InventLocationId",$A254,PeriodEnding,$B254,$C254)</f>
        <v>0</v>
      </c>
      <c r="L254" s="4">
        <f>AtlasReport_4_Table_1[[#This Row],[TPP cost amount]]-AtlasReport_4_Table_1[[#This Row],[TPP trans backwards balance (Beginning)]]</f>
        <v>3.2361846285890001</v>
      </c>
      <c r="M254" s="4">
        <f>AtlasReport_4_Table_1[[#This Row],[TPP cost amount]]-AtlasReport_4_Table_1[[#This Row],[TPP Balance (Beginning)]]</f>
        <v>-3.24</v>
      </c>
    </row>
    <row r="255" spans="1:13" x14ac:dyDescent="0.25">
      <c r="A255" s="8" t="s">
        <v>23</v>
      </c>
      <c r="B255" s="8" t="s">
        <v>261</v>
      </c>
      <c r="C255" s="8" t="s">
        <v>262</v>
      </c>
      <c r="D255" s="4">
        <v>2226</v>
      </c>
      <c r="E255" s="4">
        <v>0</v>
      </c>
      <c r="F255" s="4">
        <f>_xll.AtlasFormulas.AtlasFunctions.AtlasBalance("PROD",DataAreaId,"T.TPPTrans_sst|InventDimId~inventDimId@T.InventDim","Sum|Qty|0","","","","","","","ItemId|TransDate|T2.InventSiteId|T2.InventLocationId",$A255,PeriodBeginning,$B255,$C255)</f>
        <v>0</v>
      </c>
      <c r="G255" s="4">
        <f>_xll.AtlasFormulas.AtlasFunctions.AtlasBalance("PROD",DataAreaId,"T.TPPTrans_sst|InventDimId~inventDimId@T.InventDim","Sum|Qty|0","","","","","","","ItemId|TransDate|T2.InventSiteId|T2.InventLocationId",$A255,PeriodEnding,$B255,$C255)</f>
        <v>0</v>
      </c>
      <c r="H255" s="4">
        <f>AtlasReport_4_Table_1[[#This Row],[Quantity]]-AtlasReport_4_Table_1[[#This Row],[TPP trans backwards (Beginning)]]</f>
        <v>2226</v>
      </c>
      <c r="I255" s="4">
        <f>AtlasReport_4_Table_1[[#This Row],[Quantity]]-AtlasReport_4_Table_1[[#This Row],[TPP trans backwards (Ending)]]</f>
        <v>2226</v>
      </c>
      <c r="J255" s="4">
        <f>_xll.AtlasFormulas.AtlasFunctions.AtlasBalance("PROD",DataAreaId,"T.TPPTrans_sst|InventDimId~inventDimId@T.InventDim","Sum|CostAmount|0","","","","","","","ItemId|TransDate|T2.InventSiteId|T2.InventLocationId",$A255,PeriodBeginning,$B255,$C255)</f>
        <v>0</v>
      </c>
      <c r="K255" s="4">
        <f>_xll.AtlasFormulas.AtlasFunctions.AtlasBalance("PROD",DataAreaId,"T.TPPTrans_sst|InventDimId~inventDimId@T.InventDim","Sum|CostAmount|0","","","","","","","ItemId|TransDate|T2.InventSiteId|T2.InventLocationId",$A255,PeriodEnding,$B255,$C255)</f>
        <v>0</v>
      </c>
      <c r="L255" s="4">
        <f>AtlasReport_4_Table_1[[#This Row],[TPP cost amount]]-AtlasReport_4_Table_1[[#This Row],[TPP trans backwards balance (Beginning)]]</f>
        <v>0</v>
      </c>
      <c r="M255" s="4">
        <f>AtlasReport_4_Table_1[[#This Row],[TPP cost amount]]-AtlasReport_4_Table_1[[#This Row],[TPP Balance (Beginning)]]</f>
        <v>0</v>
      </c>
    </row>
    <row r="256" spans="1:13" x14ac:dyDescent="0.25">
      <c r="A256" s="8" t="s">
        <v>23</v>
      </c>
      <c r="B256" s="8" t="s">
        <v>261</v>
      </c>
      <c r="C256" s="8" t="s">
        <v>264</v>
      </c>
      <c r="D256" s="4">
        <v>477</v>
      </c>
      <c r="E256" s="4">
        <v>1016.8720622581239</v>
      </c>
      <c r="F256" s="4">
        <f>_xll.AtlasFormulas.AtlasFunctions.AtlasBalance("PROD",DataAreaId,"T.TPPTrans_sst|InventDimId~inventDimId@T.InventDim","Sum|Qty|0","","","","","","","ItemId|TransDate|T2.InventSiteId|T2.InventLocationId",$A256,PeriodBeginning,$B256,$C256)</f>
        <v>-44</v>
      </c>
      <c r="G256" s="4">
        <f>_xll.AtlasFormulas.AtlasFunctions.AtlasBalance("PROD",DataAreaId,"T.TPPTrans_sst|InventDimId~inventDimId@T.InventDim","Sum|Qty|0","","","","","","","ItemId|TransDate|T2.InventSiteId|T2.InventLocationId",$A256,PeriodEnding,$B256,$C256)</f>
        <v>0</v>
      </c>
      <c r="H256" s="4">
        <f>AtlasReport_4_Table_1[[#This Row],[Quantity]]-AtlasReport_4_Table_1[[#This Row],[TPP trans backwards (Beginning)]]</f>
        <v>521</v>
      </c>
      <c r="I256" s="4">
        <f>AtlasReport_4_Table_1[[#This Row],[Quantity]]-AtlasReport_4_Table_1[[#This Row],[TPP trans backwards (Ending)]]</f>
        <v>477</v>
      </c>
      <c r="J256" s="4">
        <f>_xll.AtlasFormulas.AtlasFunctions.AtlasBalance("PROD",DataAreaId,"T.TPPTrans_sst|InventDimId~inventDimId@T.InventDim","Sum|CostAmount|0","","","","","","","ItemId|TransDate|T2.InventSiteId|T2.InventLocationId",$A256,PeriodBeginning,$B256,$C256)</f>
        <v>-93.77</v>
      </c>
      <c r="K256" s="4">
        <f>_xll.AtlasFormulas.AtlasFunctions.AtlasBalance("PROD",DataAreaId,"T.TPPTrans_sst|InventDimId~inventDimId@T.InventDim","Sum|CostAmount|0","","","","","","","ItemId|TransDate|T2.InventSiteId|T2.InventLocationId",$A256,PeriodEnding,$B256,$C256)</f>
        <v>0</v>
      </c>
      <c r="L256" s="4">
        <f>AtlasReport_4_Table_1[[#This Row],[TPP cost amount]]-AtlasReport_4_Table_1[[#This Row],[TPP trans backwards balance (Beginning)]]</f>
        <v>1110.642062258124</v>
      </c>
      <c r="M256" s="4">
        <f>AtlasReport_4_Table_1[[#This Row],[TPP cost amount]]-AtlasReport_4_Table_1[[#This Row],[TPP Balance (Beginning)]]</f>
        <v>-93.770000000000095</v>
      </c>
    </row>
    <row r="257" spans="1:13" x14ac:dyDescent="0.25">
      <c r="A257" s="8" t="s">
        <v>23</v>
      </c>
      <c r="B257" s="8" t="s">
        <v>261</v>
      </c>
      <c r="C257" s="8" t="s">
        <v>265</v>
      </c>
      <c r="D257" s="4">
        <v>0</v>
      </c>
      <c r="E257" s="4">
        <v>-3.8153714109999998E-3</v>
      </c>
      <c r="F257" s="4">
        <f>_xll.AtlasFormulas.AtlasFunctions.AtlasBalance("PROD",DataAreaId,"T.TPPTrans_sst|InventDimId~inventDimId@T.InventDim","Sum|Qty|0","","","","","","","ItemId|TransDate|T2.InventSiteId|T2.InventLocationId",$A257,PeriodBeginning,$B257,$C257)</f>
        <v>0</v>
      </c>
      <c r="G257" s="4">
        <f>_xll.AtlasFormulas.AtlasFunctions.AtlasBalance("PROD",DataAreaId,"T.TPPTrans_sst|InventDimId~inventDimId@T.InventDim","Sum|Qty|0","","","","","","","ItemId|TransDate|T2.InventSiteId|T2.InventLocationId",$A257,PeriodEnding,$B257,$C257)</f>
        <v>0</v>
      </c>
      <c r="H257" s="4">
        <f>AtlasReport_4_Table_1[[#This Row],[Quantity]]-AtlasReport_4_Table_1[[#This Row],[TPP trans backwards (Beginning)]]</f>
        <v>0</v>
      </c>
      <c r="I257" s="4">
        <f>AtlasReport_4_Table_1[[#This Row],[Quantity]]-AtlasReport_4_Table_1[[#This Row],[TPP trans backwards (Ending)]]</f>
        <v>0</v>
      </c>
      <c r="J257" s="4">
        <f>_xll.AtlasFormulas.AtlasFunctions.AtlasBalance("PROD",DataAreaId,"T.TPPTrans_sst|InventDimId~inventDimId@T.InventDim","Sum|CostAmount|0","","","","","","","ItemId|TransDate|T2.InventSiteId|T2.InventLocationId",$A257,PeriodBeginning,$B257,$C257)</f>
        <v>0</v>
      </c>
      <c r="K257" s="4">
        <f>_xll.AtlasFormulas.AtlasFunctions.AtlasBalance("PROD",DataAreaId,"T.TPPTrans_sst|InventDimId~inventDimId@T.InventDim","Sum|CostAmount|0","","","","","","","ItemId|TransDate|T2.InventSiteId|T2.InventLocationId",$A257,PeriodEnding,$B257,$C257)</f>
        <v>0</v>
      </c>
      <c r="L257" s="4">
        <f>AtlasReport_4_Table_1[[#This Row],[TPP cost amount]]-AtlasReport_4_Table_1[[#This Row],[TPP trans backwards balance (Beginning)]]</f>
        <v>-3.8153714109999998E-3</v>
      </c>
      <c r="M257" s="4">
        <f>AtlasReport_4_Table_1[[#This Row],[TPP cost amount]]-AtlasReport_4_Table_1[[#This Row],[TPP Balance (Beginning)]]</f>
        <v>0</v>
      </c>
    </row>
    <row r="258" spans="1:13" x14ac:dyDescent="0.25">
      <c r="A258" s="8" t="s">
        <v>67</v>
      </c>
      <c r="B258" s="8" t="s">
        <v>261</v>
      </c>
      <c r="C258" s="8" t="s">
        <v>262</v>
      </c>
      <c r="D258" s="4">
        <v>0</v>
      </c>
      <c r="E258" s="4">
        <v>0</v>
      </c>
      <c r="F258" s="4">
        <f>_xll.AtlasFormulas.AtlasFunctions.AtlasBalance("PROD",DataAreaId,"T.TPPTrans_sst|InventDimId~inventDimId@T.InventDim","Sum|Qty|0","","","","","","","ItemId|TransDate|T2.InventSiteId|T2.InventLocationId",$A258,PeriodBeginning,$B258,$C258)</f>
        <v>-1064</v>
      </c>
      <c r="G258" s="4">
        <f>_xll.AtlasFormulas.AtlasFunctions.AtlasBalance("PROD",DataAreaId,"T.TPPTrans_sst|InventDimId~inventDimId@T.InventDim","Sum|Qty|0","","","","","","","ItemId|TransDate|T2.InventSiteId|T2.InventLocationId",$A258,PeriodEnding,$B258,$C258)</f>
        <v>0</v>
      </c>
      <c r="H258" s="4">
        <f>AtlasReport_4_Table_1[[#This Row],[Quantity]]-AtlasReport_4_Table_1[[#This Row],[TPP trans backwards (Beginning)]]</f>
        <v>1064</v>
      </c>
      <c r="I258" s="4">
        <f>AtlasReport_4_Table_1[[#This Row],[Quantity]]-AtlasReport_4_Table_1[[#This Row],[TPP trans backwards (Ending)]]</f>
        <v>0</v>
      </c>
      <c r="J258" s="4">
        <f>_xll.AtlasFormulas.AtlasFunctions.AtlasBalance("PROD",DataAreaId,"T.TPPTrans_sst|InventDimId~inventDimId@T.InventDim","Sum|CostAmount|0","","","","","","","ItemId|TransDate|T2.InventSiteId|T2.InventLocationId",$A258,PeriodBeginning,$B258,$C258)</f>
        <v>0</v>
      </c>
      <c r="K258" s="4">
        <f>_xll.AtlasFormulas.AtlasFunctions.AtlasBalance("PROD",DataAreaId,"T.TPPTrans_sst|InventDimId~inventDimId@T.InventDim","Sum|CostAmount|0","","","","","","","ItemId|TransDate|T2.InventSiteId|T2.InventLocationId",$A258,PeriodEnding,$B258,$C258)</f>
        <v>0</v>
      </c>
      <c r="L258" s="4">
        <f>AtlasReport_4_Table_1[[#This Row],[TPP cost amount]]-AtlasReport_4_Table_1[[#This Row],[TPP trans backwards balance (Beginning)]]</f>
        <v>0</v>
      </c>
      <c r="M258" s="4">
        <f>AtlasReport_4_Table_1[[#This Row],[TPP cost amount]]-AtlasReport_4_Table_1[[#This Row],[TPP Balance (Beginning)]]</f>
        <v>0</v>
      </c>
    </row>
    <row r="259" spans="1:13" x14ac:dyDescent="0.25">
      <c r="A259" s="8" t="s">
        <v>67</v>
      </c>
      <c r="B259" s="8" t="s">
        <v>261</v>
      </c>
      <c r="C259" s="8" t="s">
        <v>264</v>
      </c>
      <c r="D259" s="4">
        <v>590</v>
      </c>
      <c r="E259" s="4">
        <v>2688.6109333192603</v>
      </c>
      <c r="F259" s="4">
        <f>_xll.AtlasFormulas.AtlasFunctions.AtlasBalance("PROD",DataAreaId,"T.TPPTrans_sst|InventDimId~inventDimId@T.InventDim","Sum|Qty|0","","","","","","","ItemId|TransDate|T2.InventSiteId|T2.InventLocationId",$A259,PeriodBeginning,$B259,$C259)</f>
        <v>-59</v>
      </c>
      <c r="G259" s="4">
        <f>_xll.AtlasFormulas.AtlasFunctions.AtlasBalance("PROD",DataAreaId,"T.TPPTrans_sst|InventDimId~inventDimId@T.InventDim","Sum|Qty|0","","","","","","","ItemId|TransDate|T2.InventSiteId|T2.InventLocationId",$A259,PeriodEnding,$B259,$C259)</f>
        <v>0</v>
      </c>
      <c r="H259" s="4">
        <f>AtlasReport_4_Table_1[[#This Row],[Quantity]]-AtlasReport_4_Table_1[[#This Row],[TPP trans backwards (Beginning)]]</f>
        <v>649</v>
      </c>
      <c r="I259" s="4">
        <f>AtlasReport_4_Table_1[[#This Row],[Quantity]]-AtlasReport_4_Table_1[[#This Row],[TPP trans backwards (Ending)]]</f>
        <v>590</v>
      </c>
      <c r="J259" s="4">
        <f>_xll.AtlasFormulas.AtlasFunctions.AtlasBalance("PROD",DataAreaId,"T.TPPTrans_sst|InventDimId~inventDimId@T.InventDim","Sum|CostAmount|0","","","","","","","ItemId|TransDate|T2.InventSiteId|T2.InventLocationId",$A259,PeriodBeginning,$B259,$C259)</f>
        <v>-268.86</v>
      </c>
      <c r="K259" s="4">
        <f>_xll.AtlasFormulas.AtlasFunctions.AtlasBalance("PROD",DataAreaId,"T.TPPTrans_sst|InventDimId~inventDimId@T.InventDim","Sum|CostAmount|0","","","","","","","ItemId|TransDate|T2.InventSiteId|T2.InventLocationId",$A259,PeriodEnding,$B259,$C259)</f>
        <v>0</v>
      </c>
      <c r="L259" s="4">
        <f>AtlasReport_4_Table_1[[#This Row],[TPP cost amount]]-AtlasReport_4_Table_1[[#This Row],[TPP trans backwards balance (Beginning)]]</f>
        <v>2957.4709333192604</v>
      </c>
      <c r="M259" s="4">
        <f>AtlasReport_4_Table_1[[#This Row],[TPP cost amount]]-AtlasReport_4_Table_1[[#This Row],[TPP Balance (Beginning)]]</f>
        <v>-268.86000000000013</v>
      </c>
    </row>
    <row r="260" spans="1:13" x14ac:dyDescent="0.25">
      <c r="A260" s="8" t="s">
        <v>67</v>
      </c>
      <c r="B260" s="8" t="s">
        <v>261</v>
      </c>
      <c r="C260" s="8" t="s">
        <v>265</v>
      </c>
      <c r="D260" s="4">
        <v>0</v>
      </c>
      <c r="E260" s="4">
        <v>-4.2990704409999999E-3</v>
      </c>
      <c r="F260" s="4">
        <f>_xll.AtlasFormulas.AtlasFunctions.AtlasBalance("PROD",DataAreaId,"T.TPPTrans_sst|InventDimId~inventDimId@T.InventDim","Sum|Qty|0","","","","","","","ItemId|TransDate|T2.InventSiteId|T2.InventLocationId",$A260,PeriodBeginning,$B260,$C260)</f>
        <v>0</v>
      </c>
      <c r="G260" s="4">
        <f>_xll.AtlasFormulas.AtlasFunctions.AtlasBalance("PROD",DataAreaId,"T.TPPTrans_sst|InventDimId~inventDimId@T.InventDim","Sum|Qty|0","","","","","","","ItemId|TransDate|T2.InventSiteId|T2.InventLocationId",$A260,PeriodEnding,$B260,$C260)</f>
        <v>0</v>
      </c>
      <c r="H260" s="4">
        <f>AtlasReport_4_Table_1[[#This Row],[Quantity]]-AtlasReport_4_Table_1[[#This Row],[TPP trans backwards (Beginning)]]</f>
        <v>0</v>
      </c>
      <c r="I260" s="4">
        <f>AtlasReport_4_Table_1[[#This Row],[Quantity]]-AtlasReport_4_Table_1[[#This Row],[TPP trans backwards (Ending)]]</f>
        <v>0</v>
      </c>
      <c r="J260" s="4">
        <f>_xll.AtlasFormulas.AtlasFunctions.AtlasBalance("PROD",DataAreaId,"T.TPPTrans_sst|InventDimId~inventDimId@T.InventDim","Sum|CostAmount|0","","","","","","","ItemId|TransDate|T2.InventSiteId|T2.InventLocationId",$A260,PeriodBeginning,$B260,$C260)</f>
        <v>0</v>
      </c>
      <c r="K260" s="4">
        <f>_xll.AtlasFormulas.AtlasFunctions.AtlasBalance("PROD",DataAreaId,"T.TPPTrans_sst|InventDimId~inventDimId@T.InventDim","Sum|CostAmount|0","","","","","","","ItemId|TransDate|T2.InventSiteId|T2.InventLocationId",$A260,PeriodEnding,$B260,$C260)</f>
        <v>0</v>
      </c>
      <c r="L260" s="4">
        <f>AtlasReport_4_Table_1[[#This Row],[TPP cost amount]]-AtlasReport_4_Table_1[[#This Row],[TPP trans backwards balance (Beginning)]]</f>
        <v>-4.2990704409999999E-3</v>
      </c>
      <c r="M260" s="4">
        <f>AtlasReport_4_Table_1[[#This Row],[TPP cost amount]]-AtlasReport_4_Table_1[[#This Row],[TPP Balance (Beginning)]]</f>
        <v>0</v>
      </c>
    </row>
    <row r="261" spans="1:13" x14ac:dyDescent="0.25">
      <c r="A261" s="8" t="s">
        <v>28</v>
      </c>
      <c r="B261" s="8" t="s">
        <v>261</v>
      </c>
      <c r="C261" s="8" t="s">
        <v>262</v>
      </c>
      <c r="D261" s="4">
        <v>79</v>
      </c>
      <c r="E261" s="4">
        <v>0</v>
      </c>
      <c r="F261" s="4">
        <f>_xll.AtlasFormulas.AtlasFunctions.AtlasBalance("PROD",DataAreaId,"T.TPPTrans_sst|InventDimId~inventDimId@T.InventDim","Sum|Qty|0","","","","","","","ItemId|TransDate|T2.InventSiteId|T2.InventLocationId",$A261,PeriodBeginning,$B261,$C261)</f>
        <v>0</v>
      </c>
      <c r="G261" s="4">
        <f>_xll.AtlasFormulas.AtlasFunctions.AtlasBalance("PROD",DataAreaId,"T.TPPTrans_sst|InventDimId~inventDimId@T.InventDim","Sum|Qty|0","","","","","","","ItemId|TransDate|T2.InventSiteId|T2.InventLocationId",$A261,PeriodEnding,$B261,$C261)</f>
        <v>0</v>
      </c>
      <c r="H261" s="4">
        <f>AtlasReport_4_Table_1[[#This Row],[Quantity]]-AtlasReport_4_Table_1[[#This Row],[TPP trans backwards (Beginning)]]</f>
        <v>79</v>
      </c>
      <c r="I261" s="4">
        <f>AtlasReport_4_Table_1[[#This Row],[Quantity]]-AtlasReport_4_Table_1[[#This Row],[TPP trans backwards (Ending)]]</f>
        <v>79</v>
      </c>
      <c r="J261" s="4">
        <f>_xll.AtlasFormulas.AtlasFunctions.AtlasBalance("PROD",DataAreaId,"T.TPPTrans_sst|InventDimId~inventDimId@T.InventDim","Sum|CostAmount|0","","","","","","","ItemId|TransDate|T2.InventSiteId|T2.InventLocationId",$A261,PeriodBeginning,$B261,$C261)</f>
        <v>0</v>
      </c>
      <c r="K261" s="4">
        <f>_xll.AtlasFormulas.AtlasFunctions.AtlasBalance("PROD",DataAreaId,"T.TPPTrans_sst|InventDimId~inventDimId@T.InventDim","Sum|CostAmount|0","","","","","","","ItemId|TransDate|T2.InventSiteId|T2.InventLocationId",$A261,PeriodEnding,$B261,$C261)</f>
        <v>0</v>
      </c>
      <c r="L261" s="4">
        <f>AtlasReport_4_Table_1[[#This Row],[TPP cost amount]]-AtlasReport_4_Table_1[[#This Row],[TPP trans backwards balance (Beginning)]]</f>
        <v>0</v>
      </c>
      <c r="M261" s="4">
        <f>AtlasReport_4_Table_1[[#This Row],[TPP cost amount]]-AtlasReport_4_Table_1[[#This Row],[TPP Balance (Beginning)]]</f>
        <v>0</v>
      </c>
    </row>
    <row r="262" spans="1:13" x14ac:dyDescent="0.25">
      <c r="A262" s="8" t="s">
        <v>28</v>
      </c>
      <c r="B262" s="8" t="s">
        <v>261</v>
      </c>
      <c r="C262" s="8" t="s">
        <v>264</v>
      </c>
      <c r="D262" s="4">
        <v>61</v>
      </c>
      <c r="E262" s="4">
        <v>319.15887297807001</v>
      </c>
      <c r="F262" s="4">
        <f>_xll.AtlasFormulas.AtlasFunctions.AtlasBalance("PROD",DataAreaId,"T.TPPTrans_sst|InventDimId~inventDimId@T.InventDim","Sum|Qty|0","","","","","","","ItemId|TransDate|T2.InventSiteId|T2.InventLocationId",$A262,PeriodBeginning,$B262,$C262)</f>
        <v>-1</v>
      </c>
      <c r="G262" s="4">
        <f>_xll.AtlasFormulas.AtlasFunctions.AtlasBalance("PROD",DataAreaId,"T.TPPTrans_sst|InventDimId~inventDimId@T.InventDim","Sum|Qty|0","","","","","","","ItemId|TransDate|T2.InventSiteId|T2.InventLocationId",$A262,PeriodEnding,$B262,$C262)</f>
        <v>0</v>
      </c>
      <c r="H262" s="4">
        <f>AtlasReport_4_Table_1[[#This Row],[Quantity]]-AtlasReport_4_Table_1[[#This Row],[TPP trans backwards (Beginning)]]</f>
        <v>62</v>
      </c>
      <c r="I262" s="4">
        <f>AtlasReport_4_Table_1[[#This Row],[Quantity]]-AtlasReport_4_Table_1[[#This Row],[TPP trans backwards (Ending)]]</f>
        <v>61</v>
      </c>
      <c r="J262" s="4">
        <f>_xll.AtlasFormulas.AtlasFunctions.AtlasBalance("PROD",DataAreaId,"T.TPPTrans_sst|InventDimId~inventDimId@T.InventDim","Sum|CostAmount|0","","","","","","","ItemId|TransDate|T2.InventSiteId|T2.InventLocationId",$A262,PeriodBeginning,$B262,$C262)</f>
        <v>-5.23</v>
      </c>
      <c r="K262" s="4">
        <f>_xll.AtlasFormulas.AtlasFunctions.AtlasBalance("PROD",DataAreaId,"T.TPPTrans_sst|InventDimId~inventDimId@T.InventDim","Sum|CostAmount|0","","","","","","","ItemId|TransDate|T2.InventSiteId|T2.InventLocationId",$A262,PeriodEnding,$B262,$C262)</f>
        <v>0</v>
      </c>
      <c r="L262" s="4">
        <f>AtlasReport_4_Table_1[[#This Row],[TPP cost amount]]-AtlasReport_4_Table_1[[#This Row],[TPP trans backwards balance (Beginning)]]</f>
        <v>324.38887297807003</v>
      </c>
      <c r="M262" s="4">
        <f>AtlasReport_4_Table_1[[#This Row],[TPP cost amount]]-AtlasReport_4_Table_1[[#This Row],[TPP Balance (Beginning)]]</f>
        <v>-5.2300000000000182</v>
      </c>
    </row>
    <row r="263" spans="1:13" x14ac:dyDescent="0.25">
      <c r="A263" s="8" t="s">
        <v>458</v>
      </c>
      <c r="B263" s="8" t="s">
        <v>261</v>
      </c>
      <c r="C263" s="8" t="s">
        <v>264</v>
      </c>
      <c r="D263" s="4">
        <v>0</v>
      </c>
      <c r="E263" s="4">
        <v>0</v>
      </c>
      <c r="F263" s="4">
        <f>_xll.AtlasFormulas.AtlasFunctions.AtlasBalance("PROD",DataAreaId,"T.TPPTrans_sst|InventDimId~inventDimId@T.InventDim","Sum|Qty|0","","","","","","","ItemId|TransDate|T2.InventSiteId|T2.InventLocationId",$A263,PeriodBeginning,$B263,$C263)</f>
        <v>0</v>
      </c>
      <c r="G263" s="4">
        <f>_xll.AtlasFormulas.AtlasFunctions.AtlasBalance("PROD",DataAreaId,"T.TPPTrans_sst|InventDimId~inventDimId@T.InventDim","Sum|Qty|0","","","","","","","ItemId|TransDate|T2.InventSiteId|T2.InventLocationId",$A263,PeriodEnding,$B263,$C263)</f>
        <v>0</v>
      </c>
      <c r="H263" s="4">
        <f>AtlasReport_4_Table_1[[#This Row],[Quantity]]-AtlasReport_4_Table_1[[#This Row],[TPP trans backwards (Beginning)]]</f>
        <v>0</v>
      </c>
      <c r="I263" s="4">
        <f>AtlasReport_4_Table_1[[#This Row],[Quantity]]-AtlasReport_4_Table_1[[#This Row],[TPP trans backwards (Ending)]]</f>
        <v>0</v>
      </c>
      <c r="J263" s="4">
        <f>_xll.AtlasFormulas.AtlasFunctions.AtlasBalance("PROD",DataAreaId,"T.TPPTrans_sst|InventDimId~inventDimId@T.InventDim","Sum|CostAmount|0","","","","","","","ItemId|TransDate|T2.InventSiteId|T2.InventLocationId",$A263,PeriodBeginning,$B263,$C263)</f>
        <v>0</v>
      </c>
      <c r="K263" s="4">
        <f>_xll.AtlasFormulas.AtlasFunctions.AtlasBalance("PROD",DataAreaId,"T.TPPTrans_sst|InventDimId~inventDimId@T.InventDim","Sum|CostAmount|0","","","","","","","ItemId|TransDate|T2.InventSiteId|T2.InventLocationId",$A263,PeriodEnding,$B263,$C263)</f>
        <v>0</v>
      </c>
      <c r="L263" s="4">
        <f>AtlasReport_4_Table_1[[#This Row],[TPP cost amount]]-AtlasReport_4_Table_1[[#This Row],[TPP trans backwards balance (Beginning)]]</f>
        <v>0</v>
      </c>
      <c r="M263" s="4">
        <f>AtlasReport_4_Table_1[[#This Row],[TPP cost amount]]-AtlasReport_4_Table_1[[#This Row],[TPP Balance (Beginning)]]</f>
        <v>0</v>
      </c>
    </row>
    <row r="264" spans="1:13" x14ac:dyDescent="0.25">
      <c r="A264" s="8" t="s">
        <v>459</v>
      </c>
      <c r="B264" s="8" t="s">
        <v>261</v>
      </c>
      <c r="C264" s="8" t="s">
        <v>264</v>
      </c>
      <c r="D264" s="4">
        <v>0</v>
      </c>
      <c r="E264" s="4">
        <v>0</v>
      </c>
      <c r="F264" s="4">
        <f>_xll.AtlasFormulas.AtlasFunctions.AtlasBalance("PROD",DataAreaId,"T.TPPTrans_sst|InventDimId~inventDimId@T.InventDim","Sum|Qty|0","","","","","","","ItemId|TransDate|T2.InventSiteId|T2.InventLocationId",$A264,PeriodBeginning,$B264,$C264)</f>
        <v>0</v>
      </c>
      <c r="G264" s="4">
        <f>_xll.AtlasFormulas.AtlasFunctions.AtlasBalance("PROD",DataAreaId,"T.TPPTrans_sst|InventDimId~inventDimId@T.InventDim","Sum|Qty|0","","","","","","","ItemId|TransDate|T2.InventSiteId|T2.InventLocationId",$A264,PeriodEnding,$B264,$C264)</f>
        <v>0</v>
      </c>
      <c r="H264" s="4">
        <f>AtlasReport_4_Table_1[[#This Row],[Quantity]]-AtlasReport_4_Table_1[[#This Row],[TPP trans backwards (Beginning)]]</f>
        <v>0</v>
      </c>
      <c r="I264" s="4">
        <f>AtlasReport_4_Table_1[[#This Row],[Quantity]]-AtlasReport_4_Table_1[[#This Row],[TPP trans backwards (Ending)]]</f>
        <v>0</v>
      </c>
      <c r="J264" s="4">
        <f>_xll.AtlasFormulas.AtlasFunctions.AtlasBalance("PROD",DataAreaId,"T.TPPTrans_sst|InventDimId~inventDimId@T.InventDim","Sum|CostAmount|0","","","","","","","ItemId|TransDate|T2.InventSiteId|T2.InventLocationId",$A264,PeriodBeginning,$B264,$C264)</f>
        <v>0</v>
      </c>
      <c r="K264" s="4">
        <f>_xll.AtlasFormulas.AtlasFunctions.AtlasBalance("PROD",DataAreaId,"T.TPPTrans_sst|InventDimId~inventDimId@T.InventDim","Sum|CostAmount|0","","","","","","","ItemId|TransDate|T2.InventSiteId|T2.InventLocationId",$A264,PeriodEnding,$B264,$C264)</f>
        <v>0</v>
      </c>
      <c r="L264" s="4">
        <f>AtlasReport_4_Table_1[[#This Row],[TPP cost amount]]-AtlasReport_4_Table_1[[#This Row],[TPP trans backwards balance (Beginning)]]</f>
        <v>0</v>
      </c>
      <c r="M264" s="4">
        <f>AtlasReport_4_Table_1[[#This Row],[TPP cost amount]]-AtlasReport_4_Table_1[[#This Row],[TPP Balance (Beginning)]]</f>
        <v>0</v>
      </c>
    </row>
    <row r="265" spans="1:13" x14ac:dyDescent="0.25">
      <c r="A265" s="8" t="s">
        <v>460</v>
      </c>
      <c r="B265" s="8" t="s">
        <v>261</v>
      </c>
      <c r="C265" s="8" t="s">
        <v>264</v>
      </c>
      <c r="D265" s="4">
        <v>0</v>
      </c>
      <c r="E265" s="4">
        <v>0</v>
      </c>
      <c r="F265" s="4">
        <f>_xll.AtlasFormulas.AtlasFunctions.AtlasBalance("PROD",DataAreaId,"T.TPPTrans_sst|InventDimId~inventDimId@T.InventDim","Sum|Qty|0","","","","","","","ItemId|TransDate|T2.InventSiteId|T2.InventLocationId",$A265,PeriodBeginning,$B265,$C265)</f>
        <v>0</v>
      </c>
      <c r="G265" s="4">
        <f>_xll.AtlasFormulas.AtlasFunctions.AtlasBalance("PROD",DataAreaId,"T.TPPTrans_sst|InventDimId~inventDimId@T.InventDim","Sum|Qty|0","","","","","","","ItemId|TransDate|T2.InventSiteId|T2.InventLocationId",$A265,PeriodEnding,$B265,$C265)</f>
        <v>0</v>
      </c>
      <c r="H265" s="4">
        <f>AtlasReport_4_Table_1[[#This Row],[Quantity]]-AtlasReport_4_Table_1[[#This Row],[TPP trans backwards (Beginning)]]</f>
        <v>0</v>
      </c>
      <c r="I265" s="4">
        <f>AtlasReport_4_Table_1[[#This Row],[Quantity]]-AtlasReport_4_Table_1[[#This Row],[TPP trans backwards (Ending)]]</f>
        <v>0</v>
      </c>
      <c r="J265" s="4">
        <f>_xll.AtlasFormulas.AtlasFunctions.AtlasBalance("PROD",DataAreaId,"T.TPPTrans_sst|InventDimId~inventDimId@T.InventDim","Sum|CostAmount|0","","","","","","","ItemId|TransDate|T2.InventSiteId|T2.InventLocationId",$A265,PeriodBeginning,$B265,$C265)</f>
        <v>0</v>
      </c>
      <c r="K265" s="4">
        <f>_xll.AtlasFormulas.AtlasFunctions.AtlasBalance("PROD",DataAreaId,"T.TPPTrans_sst|InventDimId~inventDimId@T.InventDim","Sum|CostAmount|0","","","","","","","ItemId|TransDate|T2.InventSiteId|T2.InventLocationId",$A265,PeriodEnding,$B265,$C265)</f>
        <v>0</v>
      </c>
      <c r="L265" s="4">
        <f>AtlasReport_4_Table_1[[#This Row],[TPP cost amount]]-AtlasReport_4_Table_1[[#This Row],[TPP trans backwards balance (Beginning)]]</f>
        <v>0</v>
      </c>
      <c r="M265" s="4">
        <f>AtlasReport_4_Table_1[[#This Row],[TPP cost amount]]-AtlasReport_4_Table_1[[#This Row],[TPP Balance (Beginning)]]</f>
        <v>0</v>
      </c>
    </row>
    <row r="266" spans="1:13" x14ac:dyDescent="0.25">
      <c r="A266" s="8" t="s">
        <v>461</v>
      </c>
      <c r="B266" s="8" t="s">
        <v>261</v>
      </c>
      <c r="C266" s="8" t="s">
        <v>264</v>
      </c>
      <c r="D266" s="4">
        <v>0</v>
      </c>
      <c r="E266" s="4">
        <v>0</v>
      </c>
      <c r="F266" s="4">
        <f>_xll.AtlasFormulas.AtlasFunctions.AtlasBalance("PROD",DataAreaId,"T.TPPTrans_sst|InventDimId~inventDimId@T.InventDim","Sum|Qty|0","","","","","","","ItemId|TransDate|T2.InventSiteId|T2.InventLocationId",$A266,PeriodBeginning,$B266,$C266)</f>
        <v>0</v>
      </c>
      <c r="G266" s="4">
        <f>_xll.AtlasFormulas.AtlasFunctions.AtlasBalance("PROD",DataAreaId,"T.TPPTrans_sst|InventDimId~inventDimId@T.InventDim","Sum|Qty|0","","","","","","","ItemId|TransDate|T2.InventSiteId|T2.InventLocationId",$A266,PeriodEnding,$B266,$C266)</f>
        <v>0</v>
      </c>
      <c r="H266" s="4">
        <f>AtlasReport_4_Table_1[[#This Row],[Quantity]]-AtlasReport_4_Table_1[[#This Row],[TPP trans backwards (Beginning)]]</f>
        <v>0</v>
      </c>
      <c r="I266" s="4">
        <f>AtlasReport_4_Table_1[[#This Row],[Quantity]]-AtlasReport_4_Table_1[[#This Row],[TPP trans backwards (Ending)]]</f>
        <v>0</v>
      </c>
      <c r="J266" s="4">
        <f>_xll.AtlasFormulas.AtlasFunctions.AtlasBalance("PROD",DataAreaId,"T.TPPTrans_sst|InventDimId~inventDimId@T.InventDim","Sum|CostAmount|0","","","","","","","ItemId|TransDate|T2.InventSiteId|T2.InventLocationId",$A266,PeriodBeginning,$B266,$C266)</f>
        <v>0</v>
      </c>
      <c r="K266" s="4">
        <f>_xll.AtlasFormulas.AtlasFunctions.AtlasBalance("PROD",DataAreaId,"T.TPPTrans_sst|InventDimId~inventDimId@T.InventDim","Sum|CostAmount|0","","","","","","","ItemId|TransDate|T2.InventSiteId|T2.InventLocationId",$A266,PeriodEnding,$B266,$C266)</f>
        <v>0</v>
      </c>
      <c r="L266" s="4">
        <f>AtlasReport_4_Table_1[[#This Row],[TPP cost amount]]-AtlasReport_4_Table_1[[#This Row],[TPP trans backwards balance (Beginning)]]</f>
        <v>0</v>
      </c>
      <c r="M266" s="4">
        <f>AtlasReport_4_Table_1[[#This Row],[TPP cost amount]]-AtlasReport_4_Table_1[[#This Row],[TPP Balance (Beginning)]]</f>
        <v>0</v>
      </c>
    </row>
    <row r="267" spans="1:13" x14ac:dyDescent="0.25">
      <c r="A267" s="8" t="s">
        <v>462</v>
      </c>
      <c r="B267" s="8" t="s">
        <v>261</v>
      </c>
      <c r="C267" s="8" t="s">
        <v>264</v>
      </c>
      <c r="D267" s="4">
        <v>0</v>
      </c>
      <c r="E267" s="4">
        <v>0</v>
      </c>
      <c r="F267" s="4">
        <f>_xll.AtlasFormulas.AtlasFunctions.AtlasBalance("PROD",DataAreaId,"T.TPPTrans_sst|InventDimId~inventDimId@T.InventDim","Sum|Qty|0","","","","","","","ItemId|TransDate|T2.InventSiteId|T2.InventLocationId",$A267,PeriodBeginning,$B267,$C267)</f>
        <v>0</v>
      </c>
      <c r="G267" s="4">
        <f>_xll.AtlasFormulas.AtlasFunctions.AtlasBalance("PROD",DataAreaId,"T.TPPTrans_sst|InventDimId~inventDimId@T.InventDim","Sum|Qty|0","","","","","","","ItemId|TransDate|T2.InventSiteId|T2.InventLocationId",$A267,PeriodEnding,$B267,$C267)</f>
        <v>0</v>
      </c>
      <c r="H267" s="4">
        <f>AtlasReport_4_Table_1[[#This Row],[Quantity]]-AtlasReport_4_Table_1[[#This Row],[TPP trans backwards (Beginning)]]</f>
        <v>0</v>
      </c>
      <c r="I267" s="4">
        <f>AtlasReport_4_Table_1[[#This Row],[Quantity]]-AtlasReport_4_Table_1[[#This Row],[TPP trans backwards (Ending)]]</f>
        <v>0</v>
      </c>
      <c r="J267" s="4">
        <f>_xll.AtlasFormulas.AtlasFunctions.AtlasBalance("PROD",DataAreaId,"T.TPPTrans_sst|InventDimId~inventDimId@T.InventDim","Sum|CostAmount|0","","","","","","","ItemId|TransDate|T2.InventSiteId|T2.InventLocationId",$A267,PeriodBeginning,$B267,$C267)</f>
        <v>0</v>
      </c>
      <c r="K267" s="4">
        <f>_xll.AtlasFormulas.AtlasFunctions.AtlasBalance("PROD",DataAreaId,"T.TPPTrans_sst|InventDimId~inventDimId@T.InventDim","Sum|CostAmount|0","","","","","","","ItemId|TransDate|T2.InventSiteId|T2.InventLocationId",$A267,PeriodEnding,$B267,$C267)</f>
        <v>0</v>
      </c>
      <c r="L267" s="4">
        <f>AtlasReport_4_Table_1[[#This Row],[TPP cost amount]]-AtlasReport_4_Table_1[[#This Row],[TPP trans backwards balance (Beginning)]]</f>
        <v>0</v>
      </c>
      <c r="M267" s="4">
        <f>AtlasReport_4_Table_1[[#This Row],[TPP cost amount]]-AtlasReport_4_Table_1[[#This Row],[TPP Balance (Beginning)]]</f>
        <v>0</v>
      </c>
    </row>
    <row r="268" spans="1:13" x14ac:dyDescent="0.25">
      <c r="A268" s="8" t="s">
        <v>463</v>
      </c>
      <c r="B268" s="8" t="s">
        <v>261</v>
      </c>
      <c r="C268" s="8" t="s">
        <v>264</v>
      </c>
      <c r="D268" s="4">
        <v>0</v>
      </c>
      <c r="E268" s="4">
        <v>0</v>
      </c>
      <c r="F268" s="4">
        <f>_xll.AtlasFormulas.AtlasFunctions.AtlasBalance("PROD",DataAreaId,"T.TPPTrans_sst|InventDimId~inventDimId@T.InventDim","Sum|Qty|0","","","","","","","ItemId|TransDate|T2.InventSiteId|T2.InventLocationId",$A268,PeriodBeginning,$B268,$C268)</f>
        <v>0</v>
      </c>
      <c r="G268" s="4">
        <f>_xll.AtlasFormulas.AtlasFunctions.AtlasBalance("PROD",DataAreaId,"T.TPPTrans_sst|InventDimId~inventDimId@T.InventDim","Sum|Qty|0","","","","","","","ItemId|TransDate|T2.InventSiteId|T2.InventLocationId",$A268,PeriodEnding,$B268,$C268)</f>
        <v>0</v>
      </c>
      <c r="H268" s="4">
        <f>AtlasReport_4_Table_1[[#This Row],[Quantity]]-AtlasReport_4_Table_1[[#This Row],[TPP trans backwards (Beginning)]]</f>
        <v>0</v>
      </c>
      <c r="I268" s="4">
        <f>AtlasReport_4_Table_1[[#This Row],[Quantity]]-AtlasReport_4_Table_1[[#This Row],[TPP trans backwards (Ending)]]</f>
        <v>0</v>
      </c>
      <c r="J268" s="4">
        <f>_xll.AtlasFormulas.AtlasFunctions.AtlasBalance("PROD",DataAreaId,"T.TPPTrans_sst|InventDimId~inventDimId@T.InventDim","Sum|CostAmount|0","","","","","","","ItemId|TransDate|T2.InventSiteId|T2.InventLocationId",$A268,PeriodBeginning,$B268,$C268)</f>
        <v>0</v>
      </c>
      <c r="K268" s="4">
        <f>_xll.AtlasFormulas.AtlasFunctions.AtlasBalance("PROD",DataAreaId,"T.TPPTrans_sst|InventDimId~inventDimId@T.InventDim","Sum|CostAmount|0","","","","","","","ItemId|TransDate|T2.InventSiteId|T2.InventLocationId",$A268,PeriodEnding,$B268,$C268)</f>
        <v>0</v>
      </c>
      <c r="L268" s="4">
        <f>AtlasReport_4_Table_1[[#This Row],[TPP cost amount]]-AtlasReport_4_Table_1[[#This Row],[TPP trans backwards balance (Beginning)]]</f>
        <v>0</v>
      </c>
      <c r="M268" s="4">
        <f>AtlasReport_4_Table_1[[#This Row],[TPP cost amount]]-AtlasReport_4_Table_1[[#This Row],[TPP Balance (Beginning)]]</f>
        <v>0</v>
      </c>
    </row>
    <row r="269" spans="1:13" x14ac:dyDescent="0.25">
      <c r="A269" s="8" t="s">
        <v>464</v>
      </c>
      <c r="B269" s="8" t="s">
        <v>261</v>
      </c>
      <c r="C269" s="8" t="s">
        <v>264</v>
      </c>
      <c r="D269" s="4">
        <v>0</v>
      </c>
      <c r="E269" s="4">
        <v>0</v>
      </c>
      <c r="F269" s="4">
        <f>_xll.AtlasFormulas.AtlasFunctions.AtlasBalance("PROD",DataAreaId,"T.TPPTrans_sst|InventDimId~inventDimId@T.InventDim","Sum|Qty|0","","","","","","","ItemId|TransDate|T2.InventSiteId|T2.InventLocationId",$A269,PeriodBeginning,$B269,$C269)</f>
        <v>0</v>
      </c>
      <c r="G269" s="4">
        <f>_xll.AtlasFormulas.AtlasFunctions.AtlasBalance("PROD",DataAreaId,"T.TPPTrans_sst|InventDimId~inventDimId@T.InventDim","Sum|Qty|0","","","","","","","ItemId|TransDate|T2.InventSiteId|T2.InventLocationId",$A269,PeriodEnding,$B269,$C269)</f>
        <v>0</v>
      </c>
      <c r="H269" s="4">
        <f>AtlasReport_4_Table_1[[#This Row],[Quantity]]-AtlasReport_4_Table_1[[#This Row],[TPP trans backwards (Beginning)]]</f>
        <v>0</v>
      </c>
      <c r="I269" s="4">
        <f>AtlasReport_4_Table_1[[#This Row],[Quantity]]-AtlasReport_4_Table_1[[#This Row],[TPP trans backwards (Ending)]]</f>
        <v>0</v>
      </c>
      <c r="J269" s="4">
        <f>_xll.AtlasFormulas.AtlasFunctions.AtlasBalance("PROD",DataAreaId,"T.TPPTrans_sst|InventDimId~inventDimId@T.InventDim","Sum|CostAmount|0","","","","","","","ItemId|TransDate|T2.InventSiteId|T2.InventLocationId",$A269,PeriodBeginning,$B269,$C269)</f>
        <v>0</v>
      </c>
      <c r="K269" s="4">
        <f>_xll.AtlasFormulas.AtlasFunctions.AtlasBalance("PROD",DataAreaId,"T.TPPTrans_sst|InventDimId~inventDimId@T.InventDim","Sum|CostAmount|0","","","","","","","ItemId|TransDate|T2.InventSiteId|T2.InventLocationId",$A269,PeriodEnding,$B269,$C269)</f>
        <v>0</v>
      </c>
      <c r="L269" s="4">
        <f>AtlasReport_4_Table_1[[#This Row],[TPP cost amount]]-AtlasReport_4_Table_1[[#This Row],[TPP trans backwards balance (Beginning)]]</f>
        <v>0</v>
      </c>
      <c r="M269" s="4">
        <f>AtlasReport_4_Table_1[[#This Row],[TPP cost amount]]-AtlasReport_4_Table_1[[#This Row],[TPP Balance (Beginning)]]</f>
        <v>0</v>
      </c>
    </row>
    <row r="270" spans="1:13" x14ac:dyDescent="0.25">
      <c r="A270" s="8" t="s">
        <v>465</v>
      </c>
      <c r="B270" s="8" t="s">
        <v>261</v>
      </c>
      <c r="C270" s="8" t="s">
        <v>264</v>
      </c>
      <c r="D270" s="4">
        <v>0</v>
      </c>
      <c r="E270" s="4">
        <v>0</v>
      </c>
      <c r="F270" s="4">
        <f>_xll.AtlasFormulas.AtlasFunctions.AtlasBalance("PROD",DataAreaId,"T.TPPTrans_sst|InventDimId~inventDimId@T.InventDim","Sum|Qty|0","","","","","","","ItemId|TransDate|T2.InventSiteId|T2.InventLocationId",$A270,PeriodBeginning,$B270,$C270)</f>
        <v>0</v>
      </c>
      <c r="G270" s="4">
        <f>_xll.AtlasFormulas.AtlasFunctions.AtlasBalance("PROD",DataAreaId,"T.TPPTrans_sst|InventDimId~inventDimId@T.InventDim","Sum|Qty|0","","","","","","","ItemId|TransDate|T2.InventSiteId|T2.InventLocationId",$A270,PeriodEnding,$B270,$C270)</f>
        <v>0</v>
      </c>
      <c r="H270" s="4">
        <f>AtlasReport_4_Table_1[[#This Row],[Quantity]]-AtlasReport_4_Table_1[[#This Row],[TPP trans backwards (Beginning)]]</f>
        <v>0</v>
      </c>
      <c r="I270" s="4">
        <f>AtlasReport_4_Table_1[[#This Row],[Quantity]]-AtlasReport_4_Table_1[[#This Row],[TPP trans backwards (Ending)]]</f>
        <v>0</v>
      </c>
      <c r="J270" s="4">
        <f>_xll.AtlasFormulas.AtlasFunctions.AtlasBalance("PROD",DataAreaId,"T.TPPTrans_sst|InventDimId~inventDimId@T.InventDim","Sum|CostAmount|0","","","","","","","ItemId|TransDate|T2.InventSiteId|T2.InventLocationId",$A270,PeriodBeginning,$B270,$C270)</f>
        <v>0</v>
      </c>
      <c r="K270" s="4">
        <f>_xll.AtlasFormulas.AtlasFunctions.AtlasBalance("PROD",DataAreaId,"T.TPPTrans_sst|InventDimId~inventDimId@T.InventDim","Sum|CostAmount|0","","","","","","","ItemId|TransDate|T2.InventSiteId|T2.InventLocationId",$A270,PeriodEnding,$B270,$C270)</f>
        <v>0</v>
      </c>
      <c r="L270" s="4">
        <f>AtlasReport_4_Table_1[[#This Row],[TPP cost amount]]-AtlasReport_4_Table_1[[#This Row],[TPP trans backwards balance (Beginning)]]</f>
        <v>0</v>
      </c>
      <c r="M270" s="4">
        <f>AtlasReport_4_Table_1[[#This Row],[TPP cost amount]]-AtlasReport_4_Table_1[[#This Row],[TPP Balance (Beginning)]]</f>
        <v>0</v>
      </c>
    </row>
    <row r="271" spans="1:13" x14ac:dyDescent="0.25">
      <c r="A271" s="8" t="s">
        <v>466</v>
      </c>
      <c r="B271" s="8" t="s">
        <v>261</v>
      </c>
      <c r="C271" s="8" t="s">
        <v>264</v>
      </c>
      <c r="D271" s="4">
        <v>0</v>
      </c>
      <c r="E271" s="4">
        <v>0</v>
      </c>
      <c r="F271" s="4">
        <f>_xll.AtlasFormulas.AtlasFunctions.AtlasBalance("PROD",DataAreaId,"T.TPPTrans_sst|InventDimId~inventDimId@T.InventDim","Sum|Qty|0","","","","","","","ItemId|TransDate|T2.InventSiteId|T2.InventLocationId",$A271,PeriodBeginning,$B271,$C271)</f>
        <v>0</v>
      </c>
      <c r="G271" s="4">
        <f>_xll.AtlasFormulas.AtlasFunctions.AtlasBalance("PROD",DataAreaId,"T.TPPTrans_sst|InventDimId~inventDimId@T.InventDim","Sum|Qty|0","","","","","","","ItemId|TransDate|T2.InventSiteId|T2.InventLocationId",$A271,PeriodEnding,$B271,$C271)</f>
        <v>0</v>
      </c>
      <c r="H271" s="4">
        <f>AtlasReport_4_Table_1[[#This Row],[Quantity]]-AtlasReport_4_Table_1[[#This Row],[TPP trans backwards (Beginning)]]</f>
        <v>0</v>
      </c>
      <c r="I271" s="4">
        <f>AtlasReport_4_Table_1[[#This Row],[Quantity]]-AtlasReport_4_Table_1[[#This Row],[TPP trans backwards (Ending)]]</f>
        <v>0</v>
      </c>
      <c r="J271" s="4">
        <f>_xll.AtlasFormulas.AtlasFunctions.AtlasBalance("PROD",DataAreaId,"T.TPPTrans_sst|InventDimId~inventDimId@T.InventDim","Sum|CostAmount|0","","","","","","","ItemId|TransDate|T2.InventSiteId|T2.InventLocationId",$A271,PeriodBeginning,$B271,$C271)</f>
        <v>0</v>
      </c>
      <c r="K271" s="4">
        <f>_xll.AtlasFormulas.AtlasFunctions.AtlasBalance("PROD",DataAreaId,"T.TPPTrans_sst|InventDimId~inventDimId@T.InventDim","Sum|CostAmount|0","","","","","","","ItemId|TransDate|T2.InventSiteId|T2.InventLocationId",$A271,PeriodEnding,$B271,$C271)</f>
        <v>0</v>
      </c>
      <c r="L271" s="4">
        <f>AtlasReport_4_Table_1[[#This Row],[TPP cost amount]]-AtlasReport_4_Table_1[[#This Row],[TPP trans backwards balance (Beginning)]]</f>
        <v>0</v>
      </c>
      <c r="M271" s="4">
        <f>AtlasReport_4_Table_1[[#This Row],[TPP cost amount]]-AtlasReport_4_Table_1[[#This Row],[TPP Balance (Beginning)]]</f>
        <v>0</v>
      </c>
    </row>
    <row r="272" spans="1:13" x14ac:dyDescent="0.25">
      <c r="A272" s="8" t="s">
        <v>467</v>
      </c>
      <c r="B272" s="8" t="s">
        <v>261</v>
      </c>
      <c r="C272" s="8" t="s">
        <v>264</v>
      </c>
      <c r="D272" s="4">
        <v>0</v>
      </c>
      <c r="E272" s="4">
        <v>0</v>
      </c>
      <c r="F272" s="4">
        <f>_xll.AtlasFormulas.AtlasFunctions.AtlasBalance("PROD",DataAreaId,"T.TPPTrans_sst|InventDimId~inventDimId@T.InventDim","Sum|Qty|0","","","","","","","ItemId|TransDate|T2.InventSiteId|T2.InventLocationId",$A272,PeriodBeginning,$B272,$C272)</f>
        <v>0</v>
      </c>
      <c r="G272" s="4">
        <f>_xll.AtlasFormulas.AtlasFunctions.AtlasBalance("PROD",DataAreaId,"T.TPPTrans_sst|InventDimId~inventDimId@T.InventDim","Sum|Qty|0","","","","","","","ItemId|TransDate|T2.InventSiteId|T2.InventLocationId",$A272,PeriodEnding,$B272,$C272)</f>
        <v>0</v>
      </c>
      <c r="H272" s="4">
        <f>AtlasReport_4_Table_1[[#This Row],[Quantity]]-AtlasReport_4_Table_1[[#This Row],[TPP trans backwards (Beginning)]]</f>
        <v>0</v>
      </c>
      <c r="I272" s="4">
        <f>AtlasReport_4_Table_1[[#This Row],[Quantity]]-AtlasReport_4_Table_1[[#This Row],[TPP trans backwards (Ending)]]</f>
        <v>0</v>
      </c>
      <c r="J272" s="4">
        <f>_xll.AtlasFormulas.AtlasFunctions.AtlasBalance("PROD",DataAreaId,"T.TPPTrans_sst|InventDimId~inventDimId@T.InventDim","Sum|CostAmount|0","","","","","","","ItemId|TransDate|T2.InventSiteId|T2.InventLocationId",$A272,PeriodBeginning,$B272,$C272)</f>
        <v>0</v>
      </c>
      <c r="K272" s="4">
        <f>_xll.AtlasFormulas.AtlasFunctions.AtlasBalance("PROD",DataAreaId,"T.TPPTrans_sst|InventDimId~inventDimId@T.InventDim","Sum|CostAmount|0","","","","","","","ItemId|TransDate|T2.InventSiteId|T2.InventLocationId",$A272,PeriodEnding,$B272,$C272)</f>
        <v>0</v>
      </c>
      <c r="L272" s="4">
        <f>AtlasReport_4_Table_1[[#This Row],[TPP cost amount]]-AtlasReport_4_Table_1[[#This Row],[TPP trans backwards balance (Beginning)]]</f>
        <v>0</v>
      </c>
      <c r="M272" s="4">
        <f>AtlasReport_4_Table_1[[#This Row],[TPP cost amount]]-AtlasReport_4_Table_1[[#This Row],[TPP Balance (Beginning)]]</f>
        <v>0</v>
      </c>
    </row>
    <row r="273" spans="1:13" x14ac:dyDescent="0.25">
      <c r="A273" s="8" t="s">
        <v>468</v>
      </c>
      <c r="B273" s="8" t="s">
        <v>261</v>
      </c>
      <c r="C273" s="8" t="s">
        <v>264</v>
      </c>
      <c r="D273" s="4">
        <v>0</v>
      </c>
      <c r="E273" s="4">
        <v>0</v>
      </c>
      <c r="F273" s="4">
        <f>_xll.AtlasFormulas.AtlasFunctions.AtlasBalance("PROD",DataAreaId,"T.TPPTrans_sst|InventDimId~inventDimId@T.InventDim","Sum|Qty|0","","","","","","","ItemId|TransDate|T2.InventSiteId|T2.InventLocationId",$A273,PeriodBeginning,$B273,$C273)</f>
        <v>0</v>
      </c>
      <c r="G273" s="4">
        <f>_xll.AtlasFormulas.AtlasFunctions.AtlasBalance("PROD",DataAreaId,"T.TPPTrans_sst|InventDimId~inventDimId@T.InventDim","Sum|Qty|0","","","","","","","ItemId|TransDate|T2.InventSiteId|T2.InventLocationId",$A273,PeriodEnding,$B273,$C273)</f>
        <v>0</v>
      </c>
      <c r="H273" s="4">
        <f>AtlasReport_4_Table_1[[#This Row],[Quantity]]-AtlasReport_4_Table_1[[#This Row],[TPP trans backwards (Beginning)]]</f>
        <v>0</v>
      </c>
      <c r="I273" s="4">
        <f>AtlasReport_4_Table_1[[#This Row],[Quantity]]-AtlasReport_4_Table_1[[#This Row],[TPP trans backwards (Ending)]]</f>
        <v>0</v>
      </c>
      <c r="J273" s="4">
        <f>_xll.AtlasFormulas.AtlasFunctions.AtlasBalance("PROD",DataAreaId,"T.TPPTrans_sst|InventDimId~inventDimId@T.InventDim","Sum|CostAmount|0","","","","","","","ItemId|TransDate|T2.InventSiteId|T2.InventLocationId",$A273,PeriodBeginning,$B273,$C273)</f>
        <v>0</v>
      </c>
      <c r="K273" s="4">
        <f>_xll.AtlasFormulas.AtlasFunctions.AtlasBalance("PROD",DataAreaId,"T.TPPTrans_sst|InventDimId~inventDimId@T.InventDim","Sum|CostAmount|0","","","","","","","ItemId|TransDate|T2.InventSiteId|T2.InventLocationId",$A273,PeriodEnding,$B273,$C273)</f>
        <v>0</v>
      </c>
      <c r="L273" s="4">
        <f>AtlasReport_4_Table_1[[#This Row],[TPP cost amount]]-AtlasReport_4_Table_1[[#This Row],[TPP trans backwards balance (Beginning)]]</f>
        <v>0</v>
      </c>
      <c r="M273" s="4">
        <f>AtlasReport_4_Table_1[[#This Row],[TPP cost amount]]-AtlasReport_4_Table_1[[#This Row],[TPP Balance (Beginning)]]</f>
        <v>0</v>
      </c>
    </row>
    <row r="274" spans="1:13" x14ac:dyDescent="0.25">
      <c r="A274" s="8" t="s">
        <v>469</v>
      </c>
      <c r="B274" s="8" t="s">
        <v>261</v>
      </c>
      <c r="C274" s="8" t="s">
        <v>264</v>
      </c>
      <c r="D274" s="4">
        <v>0</v>
      </c>
      <c r="E274" s="4">
        <v>0</v>
      </c>
      <c r="F274" s="4">
        <f>_xll.AtlasFormulas.AtlasFunctions.AtlasBalance("PROD",DataAreaId,"T.TPPTrans_sst|InventDimId~inventDimId@T.InventDim","Sum|Qty|0","","","","","","","ItemId|TransDate|T2.InventSiteId|T2.InventLocationId",$A274,PeriodBeginning,$B274,$C274)</f>
        <v>0</v>
      </c>
      <c r="G274" s="4">
        <f>_xll.AtlasFormulas.AtlasFunctions.AtlasBalance("PROD",DataAreaId,"T.TPPTrans_sst|InventDimId~inventDimId@T.InventDim","Sum|Qty|0","","","","","","","ItemId|TransDate|T2.InventSiteId|T2.InventLocationId",$A274,PeriodEnding,$B274,$C274)</f>
        <v>0</v>
      </c>
      <c r="H274" s="4">
        <f>AtlasReport_4_Table_1[[#This Row],[Quantity]]-AtlasReport_4_Table_1[[#This Row],[TPP trans backwards (Beginning)]]</f>
        <v>0</v>
      </c>
      <c r="I274" s="4">
        <f>AtlasReport_4_Table_1[[#This Row],[Quantity]]-AtlasReport_4_Table_1[[#This Row],[TPP trans backwards (Ending)]]</f>
        <v>0</v>
      </c>
      <c r="J274" s="4">
        <f>_xll.AtlasFormulas.AtlasFunctions.AtlasBalance("PROD",DataAreaId,"T.TPPTrans_sst|InventDimId~inventDimId@T.InventDim","Sum|CostAmount|0","","","","","","","ItemId|TransDate|T2.InventSiteId|T2.InventLocationId",$A274,PeriodBeginning,$B274,$C274)</f>
        <v>0</v>
      </c>
      <c r="K274" s="4">
        <f>_xll.AtlasFormulas.AtlasFunctions.AtlasBalance("PROD",DataAreaId,"T.TPPTrans_sst|InventDimId~inventDimId@T.InventDim","Sum|CostAmount|0","","","","","","","ItemId|TransDate|T2.InventSiteId|T2.InventLocationId",$A274,PeriodEnding,$B274,$C274)</f>
        <v>0</v>
      </c>
      <c r="L274" s="4">
        <f>AtlasReport_4_Table_1[[#This Row],[TPP cost amount]]-AtlasReport_4_Table_1[[#This Row],[TPP trans backwards balance (Beginning)]]</f>
        <v>0</v>
      </c>
      <c r="M274" s="4">
        <f>AtlasReport_4_Table_1[[#This Row],[TPP cost amount]]-AtlasReport_4_Table_1[[#This Row],[TPP Balance (Beginning)]]</f>
        <v>0</v>
      </c>
    </row>
    <row r="275" spans="1:13" x14ac:dyDescent="0.25">
      <c r="A275" s="8" t="s">
        <v>470</v>
      </c>
      <c r="B275" s="8" t="s">
        <v>261</v>
      </c>
      <c r="C275" s="8" t="s">
        <v>264</v>
      </c>
      <c r="D275" s="4">
        <v>0</v>
      </c>
      <c r="E275" s="4">
        <v>0</v>
      </c>
      <c r="F275" s="4">
        <f>_xll.AtlasFormulas.AtlasFunctions.AtlasBalance("PROD",DataAreaId,"T.TPPTrans_sst|InventDimId~inventDimId@T.InventDim","Sum|Qty|0","","","","","","","ItemId|TransDate|T2.InventSiteId|T2.InventLocationId",$A275,PeriodBeginning,$B275,$C275)</f>
        <v>0</v>
      </c>
      <c r="G275" s="4">
        <f>_xll.AtlasFormulas.AtlasFunctions.AtlasBalance("PROD",DataAreaId,"T.TPPTrans_sst|InventDimId~inventDimId@T.InventDim","Sum|Qty|0","","","","","","","ItemId|TransDate|T2.InventSiteId|T2.InventLocationId",$A275,PeriodEnding,$B275,$C275)</f>
        <v>0</v>
      </c>
      <c r="H275" s="4">
        <f>AtlasReport_4_Table_1[[#This Row],[Quantity]]-AtlasReport_4_Table_1[[#This Row],[TPP trans backwards (Beginning)]]</f>
        <v>0</v>
      </c>
      <c r="I275" s="4">
        <f>AtlasReport_4_Table_1[[#This Row],[Quantity]]-AtlasReport_4_Table_1[[#This Row],[TPP trans backwards (Ending)]]</f>
        <v>0</v>
      </c>
      <c r="J275" s="4">
        <f>_xll.AtlasFormulas.AtlasFunctions.AtlasBalance("PROD",DataAreaId,"T.TPPTrans_sst|InventDimId~inventDimId@T.InventDim","Sum|CostAmount|0","","","","","","","ItemId|TransDate|T2.InventSiteId|T2.InventLocationId",$A275,PeriodBeginning,$B275,$C275)</f>
        <v>0</v>
      </c>
      <c r="K275" s="4">
        <f>_xll.AtlasFormulas.AtlasFunctions.AtlasBalance("PROD",DataAreaId,"T.TPPTrans_sst|InventDimId~inventDimId@T.InventDim","Sum|CostAmount|0","","","","","","","ItemId|TransDate|T2.InventSiteId|T2.InventLocationId",$A275,PeriodEnding,$B275,$C275)</f>
        <v>0</v>
      </c>
      <c r="L275" s="4">
        <f>AtlasReport_4_Table_1[[#This Row],[TPP cost amount]]-AtlasReport_4_Table_1[[#This Row],[TPP trans backwards balance (Beginning)]]</f>
        <v>0</v>
      </c>
      <c r="M275" s="4">
        <f>AtlasReport_4_Table_1[[#This Row],[TPP cost amount]]-AtlasReport_4_Table_1[[#This Row],[TPP Balance (Beginning)]]</f>
        <v>0</v>
      </c>
    </row>
    <row r="276" spans="1:13" x14ac:dyDescent="0.25">
      <c r="A276" s="8" t="s">
        <v>471</v>
      </c>
      <c r="B276" s="8" t="s">
        <v>261</v>
      </c>
      <c r="C276" s="8" t="s">
        <v>264</v>
      </c>
      <c r="D276" s="4">
        <v>0</v>
      </c>
      <c r="E276" s="4">
        <v>0</v>
      </c>
      <c r="F276" s="4">
        <f>_xll.AtlasFormulas.AtlasFunctions.AtlasBalance("PROD",DataAreaId,"T.TPPTrans_sst|InventDimId~inventDimId@T.InventDim","Sum|Qty|0","","","","","","","ItemId|TransDate|T2.InventSiteId|T2.InventLocationId",$A276,PeriodBeginning,$B276,$C276)</f>
        <v>0</v>
      </c>
      <c r="G276" s="4">
        <f>_xll.AtlasFormulas.AtlasFunctions.AtlasBalance("PROD",DataAreaId,"T.TPPTrans_sst|InventDimId~inventDimId@T.InventDim","Sum|Qty|0","","","","","","","ItemId|TransDate|T2.InventSiteId|T2.InventLocationId",$A276,PeriodEnding,$B276,$C276)</f>
        <v>0</v>
      </c>
      <c r="H276" s="4">
        <f>AtlasReport_4_Table_1[[#This Row],[Quantity]]-AtlasReport_4_Table_1[[#This Row],[TPP trans backwards (Beginning)]]</f>
        <v>0</v>
      </c>
      <c r="I276" s="4">
        <f>AtlasReport_4_Table_1[[#This Row],[Quantity]]-AtlasReport_4_Table_1[[#This Row],[TPP trans backwards (Ending)]]</f>
        <v>0</v>
      </c>
      <c r="J276" s="4">
        <f>_xll.AtlasFormulas.AtlasFunctions.AtlasBalance("PROD",DataAreaId,"T.TPPTrans_sst|InventDimId~inventDimId@T.InventDim","Sum|CostAmount|0","","","","","","","ItemId|TransDate|T2.InventSiteId|T2.InventLocationId",$A276,PeriodBeginning,$B276,$C276)</f>
        <v>0</v>
      </c>
      <c r="K276" s="4">
        <f>_xll.AtlasFormulas.AtlasFunctions.AtlasBalance("PROD",DataAreaId,"T.TPPTrans_sst|InventDimId~inventDimId@T.InventDim","Sum|CostAmount|0","","","","","","","ItemId|TransDate|T2.InventSiteId|T2.InventLocationId",$A276,PeriodEnding,$B276,$C276)</f>
        <v>0</v>
      </c>
      <c r="L276" s="4">
        <f>AtlasReport_4_Table_1[[#This Row],[TPP cost amount]]-AtlasReport_4_Table_1[[#This Row],[TPP trans backwards balance (Beginning)]]</f>
        <v>0</v>
      </c>
      <c r="M276" s="4">
        <f>AtlasReport_4_Table_1[[#This Row],[TPP cost amount]]-AtlasReport_4_Table_1[[#This Row],[TPP Balance (Beginning)]]</f>
        <v>0</v>
      </c>
    </row>
    <row r="277" spans="1:13" x14ac:dyDescent="0.25">
      <c r="A277" s="8" t="s">
        <v>472</v>
      </c>
      <c r="B277" s="8" t="s">
        <v>261</v>
      </c>
      <c r="C277" s="8" t="s">
        <v>264</v>
      </c>
      <c r="D277" s="4">
        <v>0</v>
      </c>
      <c r="E277" s="4">
        <v>0</v>
      </c>
      <c r="F277" s="4">
        <f>_xll.AtlasFormulas.AtlasFunctions.AtlasBalance("PROD",DataAreaId,"T.TPPTrans_sst|InventDimId~inventDimId@T.InventDim","Sum|Qty|0","","","","","","","ItemId|TransDate|T2.InventSiteId|T2.InventLocationId",$A277,PeriodBeginning,$B277,$C277)</f>
        <v>0</v>
      </c>
      <c r="G277" s="4">
        <f>_xll.AtlasFormulas.AtlasFunctions.AtlasBalance("PROD",DataAreaId,"T.TPPTrans_sst|InventDimId~inventDimId@T.InventDim","Sum|Qty|0","","","","","","","ItemId|TransDate|T2.InventSiteId|T2.InventLocationId",$A277,PeriodEnding,$B277,$C277)</f>
        <v>0</v>
      </c>
      <c r="H277" s="4">
        <f>AtlasReport_4_Table_1[[#This Row],[Quantity]]-AtlasReport_4_Table_1[[#This Row],[TPP trans backwards (Beginning)]]</f>
        <v>0</v>
      </c>
      <c r="I277" s="4">
        <f>AtlasReport_4_Table_1[[#This Row],[Quantity]]-AtlasReport_4_Table_1[[#This Row],[TPP trans backwards (Ending)]]</f>
        <v>0</v>
      </c>
      <c r="J277" s="4">
        <f>_xll.AtlasFormulas.AtlasFunctions.AtlasBalance("PROD",DataAreaId,"T.TPPTrans_sst|InventDimId~inventDimId@T.InventDim","Sum|CostAmount|0","","","","","","","ItemId|TransDate|T2.InventSiteId|T2.InventLocationId",$A277,PeriodBeginning,$B277,$C277)</f>
        <v>0</v>
      </c>
      <c r="K277" s="4">
        <f>_xll.AtlasFormulas.AtlasFunctions.AtlasBalance("PROD",DataAreaId,"T.TPPTrans_sst|InventDimId~inventDimId@T.InventDim","Sum|CostAmount|0","","","","","","","ItemId|TransDate|T2.InventSiteId|T2.InventLocationId",$A277,PeriodEnding,$B277,$C277)</f>
        <v>0</v>
      </c>
      <c r="L277" s="4">
        <f>AtlasReport_4_Table_1[[#This Row],[TPP cost amount]]-AtlasReport_4_Table_1[[#This Row],[TPP trans backwards balance (Beginning)]]</f>
        <v>0</v>
      </c>
      <c r="M277" s="4">
        <f>AtlasReport_4_Table_1[[#This Row],[TPP cost amount]]-AtlasReport_4_Table_1[[#This Row],[TPP Balance (Beginning)]]</f>
        <v>0</v>
      </c>
    </row>
    <row r="278" spans="1:13" x14ac:dyDescent="0.25">
      <c r="A278" s="8" t="s">
        <v>473</v>
      </c>
      <c r="B278" s="8" t="s">
        <v>261</v>
      </c>
      <c r="C278" s="8" t="s">
        <v>264</v>
      </c>
      <c r="D278" s="4">
        <v>0</v>
      </c>
      <c r="E278" s="4">
        <v>0</v>
      </c>
      <c r="F278" s="4">
        <f>_xll.AtlasFormulas.AtlasFunctions.AtlasBalance("PROD",DataAreaId,"T.TPPTrans_sst|InventDimId~inventDimId@T.InventDim","Sum|Qty|0","","","","","","","ItemId|TransDate|T2.InventSiteId|T2.InventLocationId",$A278,PeriodBeginning,$B278,$C278)</f>
        <v>0</v>
      </c>
      <c r="G278" s="4">
        <f>_xll.AtlasFormulas.AtlasFunctions.AtlasBalance("PROD",DataAreaId,"T.TPPTrans_sst|InventDimId~inventDimId@T.InventDim","Sum|Qty|0","","","","","","","ItemId|TransDate|T2.InventSiteId|T2.InventLocationId",$A278,PeriodEnding,$B278,$C278)</f>
        <v>0</v>
      </c>
      <c r="H278" s="4">
        <f>AtlasReport_4_Table_1[[#This Row],[Quantity]]-AtlasReport_4_Table_1[[#This Row],[TPP trans backwards (Beginning)]]</f>
        <v>0</v>
      </c>
      <c r="I278" s="4">
        <f>AtlasReport_4_Table_1[[#This Row],[Quantity]]-AtlasReport_4_Table_1[[#This Row],[TPP trans backwards (Ending)]]</f>
        <v>0</v>
      </c>
      <c r="J278" s="4">
        <f>_xll.AtlasFormulas.AtlasFunctions.AtlasBalance("PROD",DataAreaId,"T.TPPTrans_sst|InventDimId~inventDimId@T.InventDim","Sum|CostAmount|0","","","","","","","ItemId|TransDate|T2.InventSiteId|T2.InventLocationId",$A278,PeriodBeginning,$B278,$C278)</f>
        <v>0</v>
      </c>
      <c r="K278" s="4">
        <f>_xll.AtlasFormulas.AtlasFunctions.AtlasBalance("PROD",DataAreaId,"T.TPPTrans_sst|InventDimId~inventDimId@T.InventDim","Sum|CostAmount|0","","","","","","","ItemId|TransDate|T2.InventSiteId|T2.InventLocationId",$A278,PeriodEnding,$B278,$C278)</f>
        <v>0</v>
      </c>
      <c r="L278" s="4">
        <f>AtlasReport_4_Table_1[[#This Row],[TPP cost amount]]-AtlasReport_4_Table_1[[#This Row],[TPP trans backwards balance (Beginning)]]</f>
        <v>0</v>
      </c>
      <c r="M278" s="4">
        <f>AtlasReport_4_Table_1[[#This Row],[TPP cost amount]]-AtlasReport_4_Table_1[[#This Row],[TPP Balance (Beginning)]]</f>
        <v>0</v>
      </c>
    </row>
    <row r="279" spans="1:13" x14ac:dyDescent="0.25">
      <c r="A279" s="8" t="s">
        <v>474</v>
      </c>
      <c r="B279" s="8" t="s">
        <v>261</v>
      </c>
      <c r="C279" s="8" t="s">
        <v>264</v>
      </c>
      <c r="D279" s="4">
        <v>0</v>
      </c>
      <c r="E279" s="4">
        <v>0</v>
      </c>
      <c r="F279" s="4">
        <f>_xll.AtlasFormulas.AtlasFunctions.AtlasBalance("PROD",DataAreaId,"T.TPPTrans_sst|InventDimId~inventDimId@T.InventDim","Sum|Qty|0","","","","","","","ItemId|TransDate|T2.InventSiteId|T2.InventLocationId",$A279,PeriodBeginning,$B279,$C279)</f>
        <v>0</v>
      </c>
      <c r="G279" s="4">
        <f>_xll.AtlasFormulas.AtlasFunctions.AtlasBalance("PROD",DataAreaId,"T.TPPTrans_sst|InventDimId~inventDimId@T.InventDim","Sum|Qty|0","","","","","","","ItemId|TransDate|T2.InventSiteId|T2.InventLocationId",$A279,PeriodEnding,$B279,$C279)</f>
        <v>0</v>
      </c>
      <c r="H279" s="4">
        <f>AtlasReport_4_Table_1[[#This Row],[Quantity]]-AtlasReport_4_Table_1[[#This Row],[TPP trans backwards (Beginning)]]</f>
        <v>0</v>
      </c>
      <c r="I279" s="4">
        <f>AtlasReport_4_Table_1[[#This Row],[Quantity]]-AtlasReport_4_Table_1[[#This Row],[TPP trans backwards (Ending)]]</f>
        <v>0</v>
      </c>
      <c r="J279" s="4">
        <f>_xll.AtlasFormulas.AtlasFunctions.AtlasBalance("PROD",DataAreaId,"T.TPPTrans_sst|InventDimId~inventDimId@T.InventDim","Sum|CostAmount|0","","","","","","","ItemId|TransDate|T2.InventSiteId|T2.InventLocationId",$A279,PeriodBeginning,$B279,$C279)</f>
        <v>0</v>
      </c>
      <c r="K279" s="4">
        <f>_xll.AtlasFormulas.AtlasFunctions.AtlasBalance("PROD",DataAreaId,"T.TPPTrans_sst|InventDimId~inventDimId@T.InventDim","Sum|CostAmount|0","","","","","","","ItemId|TransDate|T2.InventSiteId|T2.InventLocationId",$A279,PeriodEnding,$B279,$C279)</f>
        <v>0</v>
      </c>
      <c r="L279" s="4">
        <f>AtlasReport_4_Table_1[[#This Row],[TPP cost amount]]-AtlasReport_4_Table_1[[#This Row],[TPP trans backwards balance (Beginning)]]</f>
        <v>0</v>
      </c>
      <c r="M279" s="4">
        <f>AtlasReport_4_Table_1[[#This Row],[TPP cost amount]]-AtlasReport_4_Table_1[[#This Row],[TPP Balance (Beginning)]]</f>
        <v>0</v>
      </c>
    </row>
    <row r="280" spans="1:13" x14ac:dyDescent="0.25">
      <c r="A280" s="8" t="s">
        <v>475</v>
      </c>
      <c r="B280" s="8" t="s">
        <v>261</v>
      </c>
      <c r="C280" s="8" t="s">
        <v>264</v>
      </c>
      <c r="D280" s="4">
        <v>0</v>
      </c>
      <c r="E280" s="4">
        <v>0</v>
      </c>
      <c r="F280" s="4">
        <f>_xll.AtlasFormulas.AtlasFunctions.AtlasBalance("PROD",DataAreaId,"T.TPPTrans_sst|InventDimId~inventDimId@T.InventDim","Sum|Qty|0","","","","","","","ItemId|TransDate|T2.InventSiteId|T2.InventLocationId",$A280,PeriodBeginning,$B280,$C280)</f>
        <v>0</v>
      </c>
      <c r="G280" s="4">
        <f>_xll.AtlasFormulas.AtlasFunctions.AtlasBalance("PROD",DataAreaId,"T.TPPTrans_sst|InventDimId~inventDimId@T.InventDim","Sum|Qty|0","","","","","","","ItemId|TransDate|T2.InventSiteId|T2.InventLocationId",$A280,PeriodEnding,$B280,$C280)</f>
        <v>0</v>
      </c>
      <c r="H280" s="4">
        <f>AtlasReport_4_Table_1[[#This Row],[Quantity]]-AtlasReport_4_Table_1[[#This Row],[TPP trans backwards (Beginning)]]</f>
        <v>0</v>
      </c>
      <c r="I280" s="4">
        <f>AtlasReport_4_Table_1[[#This Row],[Quantity]]-AtlasReport_4_Table_1[[#This Row],[TPP trans backwards (Ending)]]</f>
        <v>0</v>
      </c>
      <c r="J280" s="4">
        <f>_xll.AtlasFormulas.AtlasFunctions.AtlasBalance("PROD",DataAreaId,"T.TPPTrans_sst|InventDimId~inventDimId@T.InventDim","Sum|CostAmount|0","","","","","","","ItemId|TransDate|T2.InventSiteId|T2.InventLocationId",$A280,PeriodBeginning,$B280,$C280)</f>
        <v>0</v>
      </c>
      <c r="K280" s="4">
        <f>_xll.AtlasFormulas.AtlasFunctions.AtlasBalance("PROD",DataAreaId,"T.TPPTrans_sst|InventDimId~inventDimId@T.InventDim","Sum|CostAmount|0","","","","","","","ItemId|TransDate|T2.InventSiteId|T2.InventLocationId",$A280,PeriodEnding,$B280,$C280)</f>
        <v>0</v>
      </c>
      <c r="L280" s="4">
        <f>AtlasReport_4_Table_1[[#This Row],[TPP cost amount]]-AtlasReport_4_Table_1[[#This Row],[TPP trans backwards balance (Beginning)]]</f>
        <v>0</v>
      </c>
      <c r="M280" s="4">
        <f>AtlasReport_4_Table_1[[#This Row],[TPP cost amount]]-AtlasReport_4_Table_1[[#This Row],[TPP Balance (Beginning)]]</f>
        <v>0</v>
      </c>
    </row>
    <row r="281" spans="1:13" x14ac:dyDescent="0.25">
      <c r="A281" s="8" t="s">
        <v>476</v>
      </c>
      <c r="B281" s="8" t="s">
        <v>261</v>
      </c>
      <c r="C281" s="8" t="s">
        <v>264</v>
      </c>
      <c r="D281" s="4">
        <v>0</v>
      </c>
      <c r="E281" s="4">
        <v>0</v>
      </c>
      <c r="F281" s="4">
        <f>_xll.AtlasFormulas.AtlasFunctions.AtlasBalance("PROD",DataAreaId,"T.TPPTrans_sst|InventDimId~inventDimId@T.InventDim","Sum|Qty|0","","","","","","","ItemId|TransDate|T2.InventSiteId|T2.InventLocationId",$A281,PeriodBeginning,$B281,$C281)</f>
        <v>0</v>
      </c>
      <c r="G281" s="4">
        <f>_xll.AtlasFormulas.AtlasFunctions.AtlasBalance("PROD",DataAreaId,"T.TPPTrans_sst|InventDimId~inventDimId@T.InventDim","Sum|Qty|0","","","","","","","ItemId|TransDate|T2.InventSiteId|T2.InventLocationId",$A281,PeriodEnding,$B281,$C281)</f>
        <v>0</v>
      </c>
      <c r="H281" s="4">
        <f>AtlasReport_4_Table_1[[#This Row],[Quantity]]-AtlasReport_4_Table_1[[#This Row],[TPP trans backwards (Beginning)]]</f>
        <v>0</v>
      </c>
      <c r="I281" s="4">
        <f>AtlasReport_4_Table_1[[#This Row],[Quantity]]-AtlasReport_4_Table_1[[#This Row],[TPP trans backwards (Ending)]]</f>
        <v>0</v>
      </c>
      <c r="J281" s="4">
        <f>_xll.AtlasFormulas.AtlasFunctions.AtlasBalance("PROD",DataAreaId,"T.TPPTrans_sst|InventDimId~inventDimId@T.InventDim","Sum|CostAmount|0","","","","","","","ItemId|TransDate|T2.InventSiteId|T2.InventLocationId",$A281,PeriodBeginning,$B281,$C281)</f>
        <v>0</v>
      </c>
      <c r="K281" s="4">
        <f>_xll.AtlasFormulas.AtlasFunctions.AtlasBalance("PROD",DataAreaId,"T.TPPTrans_sst|InventDimId~inventDimId@T.InventDim","Sum|CostAmount|0","","","","","","","ItemId|TransDate|T2.InventSiteId|T2.InventLocationId",$A281,PeriodEnding,$B281,$C281)</f>
        <v>0</v>
      </c>
      <c r="L281" s="4">
        <f>AtlasReport_4_Table_1[[#This Row],[TPP cost amount]]-AtlasReport_4_Table_1[[#This Row],[TPP trans backwards balance (Beginning)]]</f>
        <v>0</v>
      </c>
      <c r="M281" s="4">
        <f>AtlasReport_4_Table_1[[#This Row],[TPP cost amount]]-AtlasReport_4_Table_1[[#This Row],[TPP Balance (Beginning)]]</f>
        <v>0</v>
      </c>
    </row>
    <row r="282" spans="1:13" x14ac:dyDescent="0.25">
      <c r="A282" s="8" t="s">
        <v>477</v>
      </c>
      <c r="B282" s="8" t="s">
        <v>261</v>
      </c>
      <c r="C282" s="8" t="s">
        <v>264</v>
      </c>
      <c r="D282" s="4">
        <v>0</v>
      </c>
      <c r="E282" s="4">
        <v>0</v>
      </c>
      <c r="F282" s="4">
        <f>_xll.AtlasFormulas.AtlasFunctions.AtlasBalance("PROD",DataAreaId,"T.TPPTrans_sst|InventDimId~inventDimId@T.InventDim","Sum|Qty|0","","","","","","","ItemId|TransDate|T2.InventSiteId|T2.InventLocationId",$A282,PeriodBeginning,$B282,$C282)</f>
        <v>0</v>
      </c>
      <c r="G282" s="4">
        <f>_xll.AtlasFormulas.AtlasFunctions.AtlasBalance("PROD",DataAreaId,"T.TPPTrans_sst|InventDimId~inventDimId@T.InventDim","Sum|Qty|0","","","","","","","ItemId|TransDate|T2.InventSiteId|T2.InventLocationId",$A282,PeriodEnding,$B282,$C282)</f>
        <v>0</v>
      </c>
      <c r="H282" s="4">
        <f>AtlasReport_4_Table_1[[#This Row],[Quantity]]-AtlasReport_4_Table_1[[#This Row],[TPP trans backwards (Beginning)]]</f>
        <v>0</v>
      </c>
      <c r="I282" s="4">
        <f>AtlasReport_4_Table_1[[#This Row],[Quantity]]-AtlasReport_4_Table_1[[#This Row],[TPP trans backwards (Ending)]]</f>
        <v>0</v>
      </c>
      <c r="J282" s="4">
        <f>_xll.AtlasFormulas.AtlasFunctions.AtlasBalance("PROD",DataAreaId,"T.TPPTrans_sst|InventDimId~inventDimId@T.InventDim","Sum|CostAmount|0","","","","","","","ItemId|TransDate|T2.InventSiteId|T2.InventLocationId",$A282,PeriodBeginning,$B282,$C282)</f>
        <v>0</v>
      </c>
      <c r="K282" s="4">
        <f>_xll.AtlasFormulas.AtlasFunctions.AtlasBalance("PROD",DataAreaId,"T.TPPTrans_sst|InventDimId~inventDimId@T.InventDim","Sum|CostAmount|0","","","","","","","ItemId|TransDate|T2.InventSiteId|T2.InventLocationId",$A282,PeriodEnding,$B282,$C282)</f>
        <v>0</v>
      </c>
      <c r="L282" s="4">
        <f>AtlasReport_4_Table_1[[#This Row],[TPP cost amount]]-AtlasReport_4_Table_1[[#This Row],[TPP trans backwards balance (Beginning)]]</f>
        <v>0</v>
      </c>
      <c r="M282" s="4">
        <f>AtlasReport_4_Table_1[[#This Row],[TPP cost amount]]-AtlasReport_4_Table_1[[#This Row],[TPP Balance (Beginning)]]</f>
        <v>0</v>
      </c>
    </row>
    <row r="283" spans="1:13" x14ac:dyDescent="0.25">
      <c r="A283" s="8" t="s">
        <v>478</v>
      </c>
      <c r="B283" s="8" t="s">
        <v>261</v>
      </c>
      <c r="C283" s="8" t="s">
        <v>264</v>
      </c>
      <c r="D283" s="4">
        <v>0</v>
      </c>
      <c r="E283" s="4">
        <v>0</v>
      </c>
      <c r="F283" s="4">
        <f>_xll.AtlasFormulas.AtlasFunctions.AtlasBalance("PROD",DataAreaId,"T.TPPTrans_sst|InventDimId~inventDimId@T.InventDim","Sum|Qty|0","","","","","","","ItemId|TransDate|T2.InventSiteId|T2.InventLocationId",$A283,PeriodBeginning,$B283,$C283)</f>
        <v>0</v>
      </c>
      <c r="G283" s="4">
        <f>_xll.AtlasFormulas.AtlasFunctions.AtlasBalance("PROD",DataAreaId,"T.TPPTrans_sst|InventDimId~inventDimId@T.InventDim","Sum|Qty|0","","","","","","","ItemId|TransDate|T2.InventSiteId|T2.InventLocationId",$A283,PeriodEnding,$B283,$C283)</f>
        <v>0</v>
      </c>
      <c r="H283" s="4">
        <f>AtlasReport_4_Table_1[[#This Row],[Quantity]]-AtlasReport_4_Table_1[[#This Row],[TPP trans backwards (Beginning)]]</f>
        <v>0</v>
      </c>
      <c r="I283" s="4">
        <f>AtlasReport_4_Table_1[[#This Row],[Quantity]]-AtlasReport_4_Table_1[[#This Row],[TPP trans backwards (Ending)]]</f>
        <v>0</v>
      </c>
      <c r="J283" s="4">
        <f>_xll.AtlasFormulas.AtlasFunctions.AtlasBalance("PROD",DataAreaId,"T.TPPTrans_sst|InventDimId~inventDimId@T.InventDim","Sum|CostAmount|0","","","","","","","ItemId|TransDate|T2.InventSiteId|T2.InventLocationId",$A283,PeriodBeginning,$B283,$C283)</f>
        <v>0</v>
      </c>
      <c r="K283" s="4">
        <f>_xll.AtlasFormulas.AtlasFunctions.AtlasBalance("PROD",DataAreaId,"T.TPPTrans_sst|InventDimId~inventDimId@T.InventDim","Sum|CostAmount|0","","","","","","","ItemId|TransDate|T2.InventSiteId|T2.InventLocationId",$A283,PeriodEnding,$B283,$C283)</f>
        <v>0</v>
      </c>
      <c r="L283" s="4">
        <f>AtlasReport_4_Table_1[[#This Row],[TPP cost amount]]-AtlasReport_4_Table_1[[#This Row],[TPP trans backwards balance (Beginning)]]</f>
        <v>0</v>
      </c>
      <c r="M283" s="4">
        <f>AtlasReport_4_Table_1[[#This Row],[TPP cost amount]]-AtlasReport_4_Table_1[[#This Row],[TPP Balance (Beginning)]]</f>
        <v>0</v>
      </c>
    </row>
    <row r="284" spans="1:13" x14ac:dyDescent="0.25">
      <c r="A284" s="8" t="s">
        <v>479</v>
      </c>
      <c r="B284" s="8" t="s">
        <v>261</v>
      </c>
      <c r="C284" s="8" t="s">
        <v>264</v>
      </c>
      <c r="D284" s="4">
        <v>0</v>
      </c>
      <c r="E284" s="4">
        <v>0</v>
      </c>
      <c r="F284" s="4">
        <f>_xll.AtlasFormulas.AtlasFunctions.AtlasBalance("PROD",DataAreaId,"T.TPPTrans_sst|InventDimId~inventDimId@T.InventDim","Sum|Qty|0","","","","","","","ItemId|TransDate|T2.InventSiteId|T2.InventLocationId",$A284,PeriodBeginning,$B284,$C284)</f>
        <v>0</v>
      </c>
      <c r="G284" s="4">
        <f>_xll.AtlasFormulas.AtlasFunctions.AtlasBalance("PROD",DataAreaId,"T.TPPTrans_sst|InventDimId~inventDimId@T.InventDim","Sum|Qty|0","","","","","","","ItemId|TransDate|T2.InventSiteId|T2.InventLocationId",$A284,PeriodEnding,$B284,$C284)</f>
        <v>0</v>
      </c>
      <c r="H284" s="4">
        <f>AtlasReport_4_Table_1[[#This Row],[Quantity]]-AtlasReport_4_Table_1[[#This Row],[TPP trans backwards (Beginning)]]</f>
        <v>0</v>
      </c>
      <c r="I284" s="4">
        <f>AtlasReport_4_Table_1[[#This Row],[Quantity]]-AtlasReport_4_Table_1[[#This Row],[TPP trans backwards (Ending)]]</f>
        <v>0</v>
      </c>
      <c r="J284" s="4">
        <f>_xll.AtlasFormulas.AtlasFunctions.AtlasBalance("PROD",DataAreaId,"T.TPPTrans_sst|InventDimId~inventDimId@T.InventDim","Sum|CostAmount|0","","","","","","","ItemId|TransDate|T2.InventSiteId|T2.InventLocationId",$A284,PeriodBeginning,$B284,$C284)</f>
        <v>0</v>
      </c>
      <c r="K284" s="4">
        <f>_xll.AtlasFormulas.AtlasFunctions.AtlasBalance("PROD",DataAreaId,"T.TPPTrans_sst|InventDimId~inventDimId@T.InventDim","Sum|CostAmount|0","","","","","","","ItemId|TransDate|T2.InventSiteId|T2.InventLocationId",$A284,PeriodEnding,$B284,$C284)</f>
        <v>0</v>
      </c>
      <c r="L284" s="4">
        <f>AtlasReport_4_Table_1[[#This Row],[TPP cost amount]]-AtlasReport_4_Table_1[[#This Row],[TPP trans backwards balance (Beginning)]]</f>
        <v>0</v>
      </c>
      <c r="M284" s="4">
        <f>AtlasReport_4_Table_1[[#This Row],[TPP cost amount]]-AtlasReport_4_Table_1[[#This Row],[TPP Balance (Beginning)]]</f>
        <v>0</v>
      </c>
    </row>
    <row r="285" spans="1:13" x14ac:dyDescent="0.25">
      <c r="A285" s="8" t="s">
        <v>480</v>
      </c>
      <c r="B285" s="8" t="s">
        <v>261</v>
      </c>
      <c r="C285" s="8" t="s">
        <v>264</v>
      </c>
      <c r="D285" s="4">
        <v>0</v>
      </c>
      <c r="E285" s="4">
        <v>0</v>
      </c>
      <c r="F285" s="4">
        <f>_xll.AtlasFormulas.AtlasFunctions.AtlasBalance("PROD",DataAreaId,"T.TPPTrans_sst|InventDimId~inventDimId@T.InventDim","Sum|Qty|0","","","","","","","ItemId|TransDate|T2.InventSiteId|T2.InventLocationId",$A285,PeriodBeginning,$B285,$C285)</f>
        <v>0</v>
      </c>
      <c r="G285" s="4">
        <f>_xll.AtlasFormulas.AtlasFunctions.AtlasBalance("PROD",DataAreaId,"T.TPPTrans_sst|InventDimId~inventDimId@T.InventDim","Sum|Qty|0","","","","","","","ItemId|TransDate|T2.InventSiteId|T2.InventLocationId",$A285,PeriodEnding,$B285,$C285)</f>
        <v>0</v>
      </c>
      <c r="H285" s="4">
        <f>AtlasReport_4_Table_1[[#This Row],[Quantity]]-AtlasReport_4_Table_1[[#This Row],[TPP trans backwards (Beginning)]]</f>
        <v>0</v>
      </c>
      <c r="I285" s="4">
        <f>AtlasReport_4_Table_1[[#This Row],[Quantity]]-AtlasReport_4_Table_1[[#This Row],[TPP trans backwards (Ending)]]</f>
        <v>0</v>
      </c>
      <c r="J285" s="4">
        <f>_xll.AtlasFormulas.AtlasFunctions.AtlasBalance("PROD",DataAreaId,"T.TPPTrans_sst|InventDimId~inventDimId@T.InventDim","Sum|CostAmount|0","","","","","","","ItemId|TransDate|T2.InventSiteId|T2.InventLocationId",$A285,PeriodBeginning,$B285,$C285)</f>
        <v>0</v>
      </c>
      <c r="K285" s="4">
        <f>_xll.AtlasFormulas.AtlasFunctions.AtlasBalance("PROD",DataAreaId,"T.TPPTrans_sst|InventDimId~inventDimId@T.InventDim","Sum|CostAmount|0","","","","","","","ItemId|TransDate|T2.InventSiteId|T2.InventLocationId",$A285,PeriodEnding,$B285,$C285)</f>
        <v>0</v>
      </c>
      <c r="L285" s="4">
        <f>AtlasReport_4_Table_1[[#This Row],[TPP cost amount]]-AtlasReport_4_Table_1[[#This Row],[TPP trans backwards balance (Beginning)]]</f>
        <v>0</v>
      </c>
      <c r="M285" s="4">
        <f>AtlasReport_4_Table_1[[#This Row],[TPP cost amount]]-AtlasReport_4_Table_1[[#This Row],[TPP Balance (Beginning)]]</f>
        <v>0</v>
      </c>
    </row>
    <row r="286" spans="1:13" x14ac:dyDescent="0.25">
      <c r="A286" s="8" t="s">
        <v>481</v>
      </c>
      <c r="B286" s="8" t="s">
        <v>261</v>
      </c>
      <c r="C286" s="8" t="s">
        <v>264</v>
      </c>
      <c r="D286" s="4">
        <v>0</v>
      </c>
      <c r="E286" s="4">
        <v>0</v>
      </c>
      <c r="F286" s="4">
        <f>_xll.AtlasFormulas.AtlasFunctions.AtlasBalance("PROD",DataAreaId,"T.TPPTrans_sst|InventDimId~inventDimId@T.InventDim","Sum|Qty|0","","","","","","","ItemId|TransDate|T2.InventSiteId|T2.InventLocationId",$A286,PeriodBeginning,$B286,$C286)</f>
        <v>0</v>
      </c>
      <c r="G286" s="4">
        <f>_xll.AtlasFormulas.AtlasFunctions.AtlasBalance("PROD",DataAreaId,"T.TPPTrans_sst|InventDimId~inventDimId@T.InventDim","Sum|Qty|0","","","","","","","ItemId|TransDate|T2.InventSiteId|T2.InventLocationId",$A286,PeriodEnding,$B286,$C286)</f>
        <v>0</v>
      </c>
      <c r="H286" s="4">
        <f>AtlasReport_4_Table_1[[#This Row],[Quantity]]-AtlasReport_4_Table_1[[#This Row],[TPP trans backwards (Beginning)]]</f>
        <v>0</v>
      </c>
      <c r="I286" s="4">
        <f>AtlasReport_4_Table_1[[#This Row],[Quantity]]-AtlasReport_4_Table_1[[#This Row],[TPP trans backwards (Ending)]]</f>
        <v>0</v>
      </c>
      <c r="J286" s="4">
        <f>_xll.AtlasFormulas.AtlasFunctions.AtlasBalance("PROD",DataAreaId,"T.TPPTrans_sst|InventDimId~inventDimId@T.InventDim","Sum|CostAmount|0","","","","","","","ItemId|TransDate|T2.InventSiteId|T2.InventLocationId",$A286,PeriodBeginning,$B286,$C286)</f>
        <v>0</v>
      </c>
      <c r="K286" s="4">
        <f>_xll.AtlasFormulas.AtlasFunctions.AtlasBalance("PROD",DataAreaId,"T.TPPTrans_sst|InventDimId~inventDimId@T.InventDim","Sum|CostAmount|0","","","","","","","ItemId|TransDate|T2.InventSiteId|T2.InventLocationId",$A286,PeriodEnding,$B286,$C286)</f>
        <v>0</v>
      </c>
      <c r="L286" s="4">
        <f>AtlasReport_4_Table_1[[#This Row],[TPP cost amount]]-AtlasReport_4_Table_1[[#This Row],[TPP trans backwards balance (Beginning)]]</f>
        <v>0</v>
      </c>
      <c r="M286" s="4">
        <f>AtlasReport_4_Table_1[[#This Row],[TPP cost amount]]-AtlasReport_4_Table_1[[#This Row],[TPP Balance (Beginning)]]</f>
        <v>0</v>
      </c>
    </row>
    <row r="287" spans="1:13" x14ac:dyDescent="0.25">
      <c r="A287" s="8" t="s">
        <v>482</v>
      </c>
      <c r="B287" s="8" t="s">
        <v>261</v>
      </c>
      <c r="C287" s="8" t="s">
        <v>264</v>
      </c>
      <c r="D287" s="4">
        <v>0</v>
      </c>
      <c r="E287" s="4">
        <v>0</v>
      </c>
      <c r="F287" s="4">
        <f>_xll.AtlasFormulas.AtlasFunctions.AtlasBalance("PROD",DataAreaId,"T.TPPTrans_sst|InventDimId~inventDimId@T.InventDim","Sum|Qty|0","","","","","","","ItemId|TransDate|T2.InventSiteId|T2.InventLocationId",$A287,PeriodBeginning,$B287,$C287)</f>
        <v>0</v>
      </c>
      <c r="G287" s="4">
        <f>_xll.AtlasFormulas.AtlasFunctions.AtlasBalance("PROD",DataAreaId,"T.TPPTrans_sst|InventDimId~inventDimId@T.InventDim","Sum|Qty|0","","","","","","","ItemId|TransDate|T2.InventSiteId|T2.InventLocationId",$A287,PeriodEnding,$B287,$C287)</f>
        <v>0</v>
      </c>
      <c r="H287" s="4">
        <f>AtlasReport_4_Table_1[[#This Row],[Quantity]]-AtlasReport_4_Table_1[[#This Row],[TPP trans backwards (Beginning)]]</f>
        <v>0</v>
      </c>
      <c r="I287" s="4">
        <f>AtlasReport_4_Table_1[[#This Row],[Quantity]]-AtlasReport_4_Table_1[[#This Row],[TPP trans backwards (Ending)]]</f>
        <v>0</v>
      </c>
      <c r="J287" s="4">
        <f>_xll.AtlasFormulas.AtlasFunctions.AtlasBalance("PROD",DataAreaId,"T.TPPTrans_sst|InventDimId~inventDimId@T.InventDim","Sum|CostAmount|0","","","","","","","ItemId|TransDate|T2.InventSiteId|T2.InventLocationId",$A287,PeriodBeginning,$B287,$C287)</f>
        <v>0</v>
      </c>
      <c r="K287" s="4">
        <f>_xll.AtlasFormulas.AtlasFunctions.AtlasBalance("PROD",DataAreaId,"T.TPPTrans_sst|InventDimId~inventDimId@T.InventDim","Sum|CostAmount|0","","","","","","","ItemId|TransDate|T2.InventSiteId|T2.InventLocationId",$A287,PeriodEnding,$B287,$C287)</f>
        <v>0</v>
      </c>
      <c r="L287" s="4">
        <f>AtlasReport_4_Table_1[[#This Row],[TPP cost amount]]-AtlasReport_4_Table_1[[#This Row],[TPP trans backwards balance (Beginning)]]</f>
        <v>0</v>
      </c>
      <c r="M287" s="4">
        <f>AtlasReport_4_Table_1[[#This Row],[TPP cost amount]]-AtlasReport_4_Table_1[[#This Row],[TPP Balance (Beginning)]]</f>
        <v>0</v>
      </c>
    </row>
    <row r="288" spans="1:13" x14ac:dyDescent="0.25">
      <c r="A288" s="8" t="s">
        <v>483</v>
      </c>
      <c r="B288" s="8" t="s">
        <v>261</v>
      </c>
      <c r="C288" s="8" t="s">
        <v>264</v>
      </c>
      <c r="D288" s="4">
        <v>0</v>
      </c>
      <c r="E288" s="4">
        <v>0</v>
      </c>
      <c r="F288" s="4">
        <f>_xll.AtlasFormulas.AtlasFunctions.AtlasBalance("PROD",DataAreaId,"T.TPPTrans_sst|InventDimId~inventDimId@T.InventDim","Sum|Qty|0","","","","","","","ItemId|TransDate|T2.InventSiteId|T2.InventLocationId",$A288,PeriodBeginning,$B288,$C288)</f>
        <v>0</v>
      </c>
      <c r="G288" s="4">
        <f>_xll.AtlasFormulas.AtlasFunctions.AtlasBalance("PROD",DataAreaId,"T.TPPTrans_sst|InventDimId~inventDimId@T.InventDim","Sum|Qty|0","","","","","","","ItemId|TransDate|T2.InventSiteId|T2.InventLocationId",$A288,PeriodEnding,$B288,$C288)</f>
        <v>0</v>
      </c>
      <c r="H288" s="4">
        <f>AtlasReport_4_Table_1[[#This Row],[Quantity]]-AtlasReport_4_Table_1[[#This Row],[TPP trans backwards (Beginning)]]</f>
        <v>0</v>
      </c>
      <c r="I288" s="4">
        <f>AtlasReport_4_Table_1[[#This Row],[Quantity]]-AtlasReport_4_Table_1[[#This Row],[TPP trans backwards (Ending)]]</f>
        <v>0</v>
      </c>
      <c r="J288" s="4">
        <f>_xll.AtlasFormulas.AtlasFunctions.AtlasBalance("PROD",DataAreaId,"T.TPPTrans_sst|InventDimId~inventDimId@T.InventDim","Sum|CostAmount|0","","","","","","","ItemId|TransDate|T2.InventSiteId|T2.InventLocationId",$A288,PeriodBeginning,$B288,$C288)</f>
        <v>0</v>
      </c>
      <c r="K288" s="4">
        <f>_xll.AtlasFormulas.AtlasFunctions.AtlasBalance("PROD",DataAreaId,"T.TPPTrans_sst|InventDimId~inventDimId@T.InventDim","Sum|CostAmount|0","","","","","","","ItemId|TransDate|T2.InventSiteId|T2.InventLocationId",$A288,PeriodEnding,$B288,$C288)</f>
        <v>0</v>
      </c>
      <c r="L288" s="4">
        <f>AtlasReport_4_Table_1[[#This Row],[TPP cost amount]]-AtlasReport_4_Table_1[[#This Row],[TPP trans backwards balance (Beginning)]]</f>
        <v>0</v>
      </c>
      <c r="M288" s="4">
        <f>AtlasReport_4_Table_1[[#This Row],[TPP cost amount]]-AtlasReport_4_Table_1[[#This Row],[TPP Balance (Beginning)]]</f>
        <v>0</v>
      </c>
    </row>
    <row r="289" spans="1:13" x14ac:dyDescent="0.25">
      <c r="A289" s="8" t="s">
        <v>484</v>
      </c>
      <c r="B289" s="8" t="s">
        <v>261</v>
      </c>
      <c r="C289" s="8" t="s">
        <v>264</v>
      </c>
      <c r="D289" s="4">
        <v>0</v>
      </c>
      <c r="E289" s="4">
        <v>0</v>
      </c>
      <c r="F289" s="4">
        <f>_xll.AtlasFormulas.AtlasFunctions.AtlasBalance("PROD",DataAreaId,"T.TPPTrans_sst|InventDimId~inventDimId@T.InventDim","Sum|Qty|0","","","","","","","ItemId|TransDate|T2.InventSiteId|T2.InventLocationId",$A289,PeriodBeginning,$B289,$C289)</f>
        <v>0</v>
      </c>
      <c r="G289" s="4">
        <f>_xll.AtlasFormulas.AtlasFunctions.AtlasBalance("PROD",DataAreaId,"T.TPPTrans_sst|InventDimId~inventDimId@T.InventDim","Sum|Qty|0","","","","","","","ItemId|TransDate|T2.InventSiteId|T2.InventLocationId",$A289,PeriodEnding,$B289,$C289)</f>
        <v>0</v>
      </c>
      <c r="H289" s="4">
        <f>AtlasReport_4_Table_1[[#This Row],[Quantity]]-AtlasReport_4_Table_1[[#This Row],[TPP trans backwards (Beginning)]]</f>
        <v>0</v>
      </c>
      <c r="I289" s="4">
        <f>AtlasReport_4_Table_1[[#This Row],[Quantity]]-AtlasReport_4_Table_1[[#This Row],[TPP trans backwards (Ending)]]</f>
        <v>0</v>
      </c>
      <c r="J289" s="4">
        <f>_xll.AtlasFormulas.AtlasFunctions.AtlasBalance("PROD",DataAreaId,"T.TPPTrans_sst|InventDimId~inventDimId@T.InventDim","Sum|CostAmount|0","","","","","","","ItemId|TransDate|T2.InventSiteId|T2.InventLocationId",$A289,PeriodBeginning,$B289,$C289)</f>
        <v>0</v>
      </c>
      <c r="K289" s="4">
        <f>_xll.AtlasFormulas.AtlasFunctions.AtlasBalance("PROD",DataAreaId,"T.TPPTrans_sst|InventDimId~inventDimId@T.InventDim","Sum|CostAmount|0","","","","","","","ItemId|TransDate|T2.InventSiteId|T2.InventLocationId",$A289,PeriodEnding,$B289,$C289)</f>
        <v>0</v>
      </c>
      <c r="L289" s="4">
        <f>AtlasReport_4_Table_1[[#This Row],[TPP cost amount]]-AtlasReport_4_Table_1[[#This Row],[TPP trans backwards balance (Beginning)]]</f>
        <v>0</v>
      </c>
      <c r="M289" s="4">
        <f>AtlasReport_4_Table_1[[#This Row],[TPP cost amount]]-AtlasReport_4_Table_1[[#This Row],[TPP Balance (Beginning)]]</f>
        <v>0</v>
      </c>
    </row>
    <row r="290" spans="1:13" x14ac:dyDescent="0.25">
      <c r="A290" s="8" t="s">
        <v>485</v>
      </c>
      <c r="B290" s="8" t="s">
        <v>261</v>
      </c>
      <c r="C290" s="8" t="s">
        <v>264</v>
      </c>
      <c r="D290" s="4">
        <v>0</v>
      </c>
      <c r="E290" s="4">
        <v>0</v>
      </c>
      <c r="F290" s="4">
        <f>_xll.AtlasFormulas.AtlasFunctions.AtlasBalance("PROD",DataAreaId,"T.TPPTrans_sst|InventDimId~inventDimId@T.InventDim","Sum|Qty|0","","","","","","","ItemId|TransDate|T2.InventSiteId|T2.InventLocationId",$A290,PeriodBeginning,$B290,$C290)</f>
        <v>0</v>
      </c>
      <c r="G290" s="4">
        <f>_xll.AtlasFormulas.AtlasFunctions.AtlasBalance("PROD",DataAreaId,"T.TPPTrans_sst|InventDimId~inventDimId@T.InventDim","Sum|Qty|0","","","","","","","ItemId|TransDate|T2.InventSiteId|T2.InventLocationId",$A290,PeriodEnding,$B290,$C290)</f>
        <v>0</v>
      </c>
      <c r="H290" s="4">
        <f>AtlasReport_4_Table_1[[#This Row],[Quantity]]-AtlasReport_4_Table_1[[#This Row],[TPP trans backwards (Beginning)]]</f>
        <v>0</v>
      </c>
      <c r="I290" s="4">
        <f>AtlasReport_4_Table_1[[#This Row],[Quantity]]-AtlasReport_4_Table_1[[#This Row],[TPP trans backwards (Ending)]]</f>
        <v>0</v>
      </c>
      <c r="J290" s="4">
        <f>_xll.AtlasFormulas.AtlasFunctions.AtlasBalance("PROD",DataAreaId,"T.TPPTrans_sst|InventDimId~inventDimId@T.InventDim","Sum|CostAmount|0","","","","","","","ItemId|TransDate|T2.InventSiteId|T2.InventLocationId",$A290,PeriodBeginning,$B290,$C290)</f>
        <v>0</v>
      </c>
      <c r="K290" s="4">
        <f>_xll.AtlasFormulas.AtlasFunctions.AtlasBalance("PROD",DataAreaId,"T.TPPTrans_sst|InventDimId~inventDimId@T.InventDim","Sum|CostAmount|0","","","","","","","ItemId|TransDate|T2.InventSiteId|T2.InventLocationId",$A290,PeriodEnding,$B290,$C290)</f>
        <v>0</v>
      </c>
      <c r="L290" s="4">
        <f>AtlasReport_4_Table_1[[#This Row],[TPP cost amount]]-AtlasReport_4_Table_1[[#This Row],[TPP trans backwards balance (Beginning)]]</f>
        <v>0</v>
      </c>
      <c r="M290" s="4">
        <f>AtlasReport_4_Table_1[[#This Row],[TPP cost amount]]-AtlasReport_4_Table_1[[#This Row],[TPP Balance (Beginning)]]</f>
        <v>0</v>
      </c>
    </row>
    <row r="291" spans="1:13" x14ac:dyDescent="0.25">
      <c r="A291" s="8" t="s">
        <v>486</v>
      </c>
      <c r="B291" s="8" t="s">
        <v>261</v>
      </c>
      <c r="C291" s="8" t="s">
        <v>264</v>
      </c>
      <c r="D291" s="4">
        <v>0</v>
      </c>
      <c r="E291" s="4">
        <v>0</v>
      </c>
      <c r="F291" s="4">
        <f>_xll.AtlasFormulas.AtlasFunctions.AtlasBalance("PROD",DataAreaId,"T.TPPTrans_sst|InventDimId~inventDimId@T.InventDim","Sum|Qty|0","","","","","","","ItemId|TransDate|T2.InventSiteId|T2.InventLocationId",$A291,PeriodBeginning,$B291,$C291)</f>
        <v>0</v>
      </c>
      <c r="G291" s="4">
        <f>_xll.AtlasFormulas.AtlasFunctions.AtlasBalance("PROD",DataAreaId,"T.TPPTrans_sst|InventDimId~inventDimId@T.InventDim","Sum|Qty|0","","","","","","","ItemId|TransDate|T2.InventSiteId|T2.InventLocationId",$A291,PeriodEnding,$B291,$C291)</f>
        <v>0</v>
      </c>
      <c r="H291" s="4">
        <f>AtlasReport_4_Table_1[[#This Row],[Quantity]]-AtlasReport_4_Table_1[[#This Row],[TPP trans backwards (Beginning)]]</f>
        <v>0</v>
      </c>
      <c r="I291" s="4">
        <f>AtlasReport_4_Table_1[[#This Row],[Quantity]]-AtlasReport_4_Table_1[[#This Row],[TPP trans backwards (Ending)]]</f>
        <v>0</v>
      </c>
      <c r="J291" s="4">
        <f>_xll.AtlasFormulas.AtlasFunctions.AtlasBalance("PROD",DataAreaId,"T.TPPTrans_sst|InventDimId~inventDimId@T.InventDim","Sum|CostAmount|0","","","","","","","ItemId|TransDate|T2.InventSiteId|T2.InventLocationId",$A291,PeriodBeginning,$B291,$C291)</f>
        <v>0</v>
      </c>
      <c r="K291" s="4">
        <f>_xll.AtlasFormulas.AtlasFunctions.AtlasBalance("PROD",DataAreaId,"T.TPPTrans_sst|InventDimId~inventDimId@T.InventDim","Sum|CostAmount|0","","","","","","","ItemId|TransDate|T2.InventSiteId|T2.InventLocationId",$A291,PeriodEnding,$B291,$C291)</f>
        <v>0</v>
      </c>
      <c r="L291" s="4">
        <f>AtlasReport_4_Table_1[[#This Row],[TPP cost amount]]-AtlasReport_4_Table_1[[#This Row],[TPP trans backwards balance (Beginning)]]</f>
        <v>0</v>
      </c>
      <c r="M291" s="4">
        <f>AtlasReport_4_Table_1[[#This Row],[TPP cost amount]]-AtlasReport_4_Table_1[[#This Row],[TPP Balance (Beginning)]]</f>
        <v>0</v>
      </c>
    </row>
    <row r="292" spans="1:13" x14ac:dyDescent="0.25">
      <c r="A292" s="8" t="s">
        <v>487</v>
      </c>
      <c r="B292" s="8" t="s">
        <v>261</v>
      </c>
      <c r="C292" s="8" t="s">
        <v>264</v>
      </c>
      <c r="D292" s="4">
        <v>0</v>
      </c>
      <c r="E292" s="4">
        <v>0</v>
      </c>
      <c r="F292" s="4">
        <f>_xll.AtlasFormulas.AtlasFunctions.AtlasBalance("PROD",DataAreaId,"T.TPPTrans_sst|InventDimId~inventDimId@T.InventDim","Sum|Qty|0","","","","","","","ItemId|TransDate|T2.InventSiteId|T2.InventLocationId",$A292,PeriodBeginning,$B292,$C292)</f>
        <v>0</v>
      </c>
      <c r="G292" s="4">
        <f>_xll.AtlasFormulas.AtlasFunctions.AtlasBalance("PROD",DataAreaId,"T.TPPTrans_sst|InventDimId~inventDimId@T.InventDim","Sum|Qty|0","","","","","","","ItemId|TransDate|T2.InventSiteId|T2.InventLocationId",$A292,PeriodEnding,$B292,$C292)</f>
        <v>0</v>
      </c>
      <c r="H292" s="4">
        <f>AtlasReport_4_Table_1[[#This Row],[Quantity]]-AtlasReport_4_Table_1[[#This Row],[TPP trans backwards (Beginning)]]</f>
        <v>0</v>
      </c>
      <c r="I292" s="4">
        <f>AtlasReport_4_Table_1[[#This Row],[Quantity]]-AtlasReport_4_Table_1[[#This Row],[TPP trans backwards (Ending)]]</f>
        <v>0</v>
      </c>
      <c r="J292" s="4">
        <f>_xll.AtlasFormulas.AtlasFunctions.AtlasBalance("PROD",DataAreaId,"T.TPPTrans_sst|InventDimId~inventDimId@T.InventDim","Sum|CostAmount|0","","","","","","","ItemId|TransDate|T2.InventSiteId|T2.InventLocationId",$A292,PeriodBeginning,$B292,$C292)</f>
        <v>0</v>
      </c>
      <c r="K292" s="4">
        <f>_xll.AtlasFormulas.AtlasFunctions.AtlasBalance("PROD",DataAreaId,"T.TPPTrans_sst|InventDimId~inventDimId@T.InventDim","Sum|CostAmount|0","","","","","","","ItemId|TransDate|T2.InventSiteId|T2.InventLocationId",$A292,PeriodEnding,$B292,$C292)</f>
        <v>0</v>
      </c>
      <c r="L292" s="4">
        <f>AtlasReport_4_Table_1[[#This Row],[TPP cost amount]]-AtlasReport_4_Table_1[[#This Row],[TPP trans backwards balance (Beginning)]]</f>
        <v>0</v>
      </c>
      <c r="M292" s="4">
        <f>AtlasReport_4_Table_1[[#This Row],[TPP cost amount]]-AtlasReport_4_Table_1[[#This Row],[TPP Balance (Beginning)]]</f>
        <v>0</v>
      </c>
    </row>
    <row r="293" spans="1:13" x14ac:dyDescent="0.25">
      <c r="A293" s="8" t="s">
        <v>488</v>
      </c>
      <c r="B293" s="8" t="s">
        <v>261</v>
      </c>
      <c r="C293" s="8" t="s">
        <v>264</v>
      </c>
      <c r="D293" s="4">
        <v>0</v>
      </c>
      <c r="E293" s="4">
        <v>0</v>
      </c>
      <c r="F293" s="4">
        <f>_xll.AtlasFormulas.AtlasFunctions.AtlasBalance("PROD",DataAreaId,"T.TPPTrans_sst|InventDimId~inventDimId@T.InventDim","Sum|Qty|0","","","","","","","ItemId|TransDate|T2.InventSiteId|T2.InventLocationId",$A293,PeriodBeginning,$B293,$C293)</f>
        <v>0</v>
      </c>
      <c r="G293" s="4">
        <f>_xll.AtlasFormulas.AtlasFunctions.AtlasBalance("PROD",DataAreaId,"T.TPPTrans_sst|InventDimId~inventDimId@T.InventDim","Sum|Qty|0","","","","","","","ItemId|TransDate|T2.InventSiteId|T2.InventLocationId",$A293,PeriodEnding,$B293,$C293)</f>
        <v>0</v>
      </c>
      <c r="H293" s="4">
        <f>AtlasReport_4_Table_1[[#This Row],[Quantity]]-AtlasReport_4_Table_1[[#This Row],[TPP trans backwards (Beginning)]]</f>
        <v>0</v>
      </c>
      <c r="I293" s="4">
        <f>AtlasReport_4_Table_1[[#This Row],[Quantity]]-AtlasReport_4_Table_1[[#This Row],[TPP trans backwards (Ending)]]</f>
        <v>0</v>
      </c>
      <c r="J293" s="4">
        <f>_xll.AtlasFormulas.AtlasFunctions.AtlasBalance("PROD",DataAreaId,"T.TPPTrans_sst|InventDimId~inventDimId@T.InventDim","Sum|CostAmount|0","","","","","","","ItemId|TransDate|T2.InventSiteId|T2.InventLocationId",$A293,PeriodBeginning,$B293,$C293)</f>
        <v>0</v>
      </c>
      <c r="K293" s="4">
        <f>_xll.AtlasFormulas.AtlasFunctions.AtlasBalance("PROD",DataAreaId,"T.TPPTrans_sst|InventDimId~inventDimId@T.InventDim","Sum|CostAmount|0","","","","","","","ItemId|TransDate|T2.InventSiteId|T2.InventLocationId",$A293,PeriodEnding,$B293,$C293)</f>
        <v>0</v>
      </c>
      <c r="L293" s="4">
        <f>AtlasReport_4_Table_1[[#This Row],[TPP cost amount]]-AtlasReport_4_Table_1[[#This Row],[TPP trans backwards balance (Beginning)]]</f>
        <v>0</v>
      </c>
      <c r="M293" s="4">
        <f>AtlasReport_4_Table_1[[#This Row],[TPP cost amount]]-AtlasReport_4_Table_1[[#This Row],[TPP Balance (Beginning)]]</f>
        <v>0</v>
      </c>
    </row>
    <row r="294" spans="1:13" x14ac:dyDescent="0.25">
      <c r="A294" s="8" t="s">
        <v>489</v>
      </c>
      <c r="B294" s="8" t="s">
        <v>261</v>
      </c>
      <c r="C294" s="8" t="s">
        <v>264</v>
      </c>
      <c r="D294" s="4">
        <v>0</v>
      </c>
      <c r="E294" s="4">
        <v>0</v>
      </c>
      <c r="F294" s="4">
        <f>_xll.AtlasFormulas.AtlasFunctions.AtlasBalance("PROD",DataAreaId,"T.TPPTrans_sst|InventDimId~inventDimId@T.InventDim","Sum|Qty|0","","","","","","","ItemId|TransDate|T2.InventSiteId|T2.InventLocationId",$A294,PeriodBeginning,$B294,$C294)</f>
        <v>0</v>
      </c>
      <c r="G294" s="4">
        <f>_xll.AtlasFormulas.AtlasFunctions.AtlasBalance("PROD",DataAreaId,"T.TPPTrans_sst|InventDimId~inventDimId@T.InventDim","Sum|Qty|0","","","","","","","ItemId|TransDate|T2.InventSiteId|T2.InventLocationId",$A294,PeriodEnding,$B294,$C294)</f>
        <v>0</v>
      </c>
      <c r="H294" s="4">
        <f>AtlasReport_4_Table_1[[#This Row],[Quantity]]-AtlasReport_4_Table_1[[#This Row],[TPP trans backwards (Beginning)]]</f>
        <v>0</v>
      </c>
      <c r="I294" s="4">
        <f>AtlasReport_4_Table_1[[#This Row],[Quantity]]-AtlasReport_4_Table_1[[#This Row],[TPP trans backwards (Ending)]]</f>
        <v>0</v>
      </c>
      <c r="J294" s="4">
        <f>_xll.AtlasFormulas.AtlasFunctions.AtlasBalance("PROD",DataAreaId,"T.TPPTrans_sst|InventDimId~inventDimId@T.InventDim","Sum|CostAmount|0","","","","","","","ItemId|TransDate|T2.InventSiteId|T2.InventLocationId",$A294,PeriodBeginning,$B294,$C294)</f>
        <v>0</v>
      </c>
      <c r="K294" s="4">
        <f>_xll.AtlasFormulas.AtlasFunctions.AtlasBalance("PROD",DataAreaId,"T.TPPTrans_sst|InventDimId~inventDimId@T.InventDim","Sum|CostAmount|0","","","","","","","ItemId|TransDate|T2.InventSiteId|T2.InventLocationId",$A294,PeriodEnding,$B294,$C294)</f>
        <v>0</v>
      </c>
      <c r="L294" s="4">
        <f>AtlasReport_4_Table_1[[#This Row],[TPP cost amount]]-AtlasReport_4_Table_1[[#This Row],[TPP trans backwards balance (Beginning)]]</f>
        <v>0</v>
      </c>
      <c r="M294" s="4">
        <f>AtlasReport_4_Table_1[[#This Row],[TPP cost amount]]-AtlasReport_4_Table_1[[#This Row],[TPP Balance (Beginning)]]</f>
        <v>0</v>
      </c>
    </row>
    <row r="295" spans="1:13" x14ac:dyDescent="0.25">
      <c r="A295" s="8" t="s">
        <v>490</v>
      </c>
      <c r="B295" s="8" t="s">
        <v>261</v>
      </c>
      <c r="C295" s="8" t="s">
        <v>264</v>
      </c>
      <c r="D295" s="4">
        <v>0</v>
      </c>
      <c r="E295" s="4">
        <v>0</v>
      </c>
      <c r="F295" s="4">
        <f>_xll.AtlasFormulas.AtlasFunctions.AtlasBalance("PROD",DataAreaId,"T.TPPTrans_sst|InventDimId~inventDimId@T.InventDim","Sum|Qty|0","","","","","","","ItemId|TransDate|T2.InventSiteId|T2.InventLocationId",$A295,PeriodBeginning,$B295,$C295)</f>
        <v>0</v>
      </c>
      <c r="G295" s="4">
        <f>_xll.AtlasFormulas.AtlasFunctions.AtlasBalance("PROD",DataAreaId,"T.TPPTrans_sst|InventDimId~inventDimId@T.InventDim","Sum|Qty|0","","","","","","","ItemId|TransDate|T2.InventSiteId|T2.InventLocationId",$A295,PeriodEnding,$B295,$C295)</f>
        <v>0</v>
      </c>
      <c r="H295" s="4">
        <f>AtlasReport_4_Table_1[[#This Row],[Quantity]]-AtlasReport_4_Table_1[[#This Row],[TPP trans backwards (Beginning)]]</f>
        <v>0</v>
      </c>
      <c r="I295" s="4">
        <f>AtlasReport_4_Table_1[[#This Row],[Quantity]]-AtlasReport_4_Table_1[[#This Row],[TPP trans backwards (Ending)]]</f>
        <v>0</v>
      </c>
      <c r="J295" s="4">
        <f>_xll.AtlasFormulas.AtlasFunctions.AtlasBalance("PROD",DataAreaId,"T.TPPTrans_sst|InventDimId~inventDimId@T.InventDim","Sum|CostAmount|0","","","","","","","ItemId|TransDate|T2.InventSiteId|T2.InventLocationId",$A295,PeriodBeginning,$B295,$C295)</f>
        <v>0</v>
      </c>
      <c r="K295" s="4">
        <f>_xll.AtlasFormulas.AtlasFunctions.AtlasBalance("PROD",DataAreaId,"T.TPPTrans_sst|InventDimId~inventDimId@T.InventDim","Sum|CostAmount|0","","","","","","","ItemId|TransDate|T2.InventSiteId|T2.InventLocationId",$A295,PeriodEnding,$B295,$C295)</f>
        <v>0</v>
      </c>
      <c r="L295" s="4">
        <f>AtlasReport_4_Table_1[[#This Row],[TPP cost amount]]-AtlasReport_4_Table_1[[#This Row],[TPP trans backwards balance (Beginning)]]</f>
        <v>0</v>
      </c>
      <c r="M295" s="4">
        <f>AtlasReport_4_Table_1[[#This Row],[TPP cost amount]]-AtlasReport_4_Table_1[[#This Row],[TPP Balance (Beginning)]]</f>
        <v>0</v>
      </c>
    </row>
    <row r="296" spans="1:13" x14ac:dyDescent="0.25">
      <c r="A296" s="8" t="s">
        <v>491</v>
      </c>
      <c r="B296" s="8" t="s">
        <v>261</v>
      </c>
      <c r="C296" s="8" t="s">
        <v>264</v>
      </c>
      <c r="D296" s="4">
        <v>0</v>
      </c>
      <c r="E296" s="4">
        <v>0</v>
      </c>
      <c r="F296" s="4">
        <f>_xll.AtlasFormulas.AtlasFunctions.AtlasBalance("PROD",DataAreaId,"T.TPPTrans_sst|InventDimId~inventDimId@T.InventDim","Sum|Qty|0","","","","","","","ItemId|TransDate|T2.InventSiteId|T2.InventLocationId",$A296,PeriodBeginning,$B296,$C296)</f>
        <v>0</v>
      </c>
      <c r="G296" s="4">
        <f>_xll.AtlasFormulas.AtlasFunctions.AtlasBalance("PROD",DataAreaId,"T.TPPTrans_sst|InventDimId~inventDimId@T.InventDim","Sum|Qty|0","","","","","","","ItemId|TransDate|T2.InventSiteId|T2.InventLocationId",$A296,PeriodEnding,$B296,$C296)</f>
        <v>0</v>
      </c>
      <c r="H296" s="4">
        <f>AtlasReport_4_Table_1[[#This Row],[Quantity]]-AtlasReport_4_Table_1[[#This Row],[TPP trans backwards (Beginning)]]</f>
        <v>0</v>
      </c>
      <c r="I296" s="4">
        <f>AtlasReport_4_Table_1[[#This Row],[Quantity]]-AtlasReport_4_Table_1[[#This Row],[TPP trans backwards (Ending)]]</f>
        <v>0</v>
      </c>
      <c r="J296" s="4">
        <f>_xll.AtlasFormulas.AtlasFunctions.AtlasBalance("PROD",DataAreaId,"T.TPPTrans_sst|InventDimId~inventDimId@T.InventDim","Sum|CostAmount|0","","","","","","","ItemId|TransDate|T2.InventSiteId|T2.InventLocationId",$A296,PeriodBeginning,$B296,$C296)</f>
        <v>0</v>
      </c>
      <c r="K296" s="4">
        <f>_xll.AtlasFormulas.AtlasFunctions.AtlasBalance("PROD",DataAreaId,"T.TPPTrans_sst|InventDimId~inventDimId@T.InventDim","Sum|CostAmount|0","","","","","","","ItemId|TransDate|T2.InventSiteId|T2.InventLocationId",$A296,PeriodEnding,$B296,$C296)</f>
        <v>0</v>
      </c>
      <c r="L296" s="4">
        <f>AtlasReport_4_Table_1[[#This Row],[TPP cost amount]]-AtlasReport_4_Table_1[[#This Row],[TPP trans backwards balance (Beginning)]]</f>
        <v>0</v>
      </c>
      <c r="M296" s="4">
        <f>AtlasReport_4_Table_1[[#This Row],[TPP cost amount]]-AtlasReport_4_Table_1[[#This Row],[TPP Balance (Beginning)]]</f>
        <v>0</v>
      </c>
    </row>
    <row r="297" spans="1:13" x14ac:dyDescent="0.25">
      <c r="A297" s="8" t="s">
        <v>492</v>
      </c>
      <c r="B297" s="8" t="s">
        <v>261</v>
      </c>
      <c r="C297" s="8" t="s">
        <v>264</v>
      </c>
      <c r="D297" s="4">
        <v>0</v>
      </c>
      <c r="E297" s="4">
        <v>0</v>
      </c>
      <c r="F297" s="4">
        <f>_xll.AtlasFormulas.AtlasFunctions.AtlasBalance("PROD",DataAreaId,"T.TPPTrans_sst|InventDimId~inventDimId@T.InventDim","Sum|Qty|0","","","","","","","ItemId|TransDate|T2.InventSiteId|T2.InventLocationId",$A297,PeriodBeginning,$B297,$C297)</f>
        <v>0</v>
      </c>
      <c r="G297" s="4">
        <f>_xll.AtlasFormulas.AtlasFunctions.AtlasBalance("PROD",DataAreaId,"T.TPPTrans_sst|InventDimId~inventDimId@T.InventDim","Sum|Qty|0","","","","","","","ItemId|TransDate|T2.InventSiteId|T2.InventLocationId",$A297,PeriodEnding,$B297,$C297)</f>
        <v>0</v>
      </c>
      <c r="H297" s="4">
        <f>AtlasReport_4_Table_1[[#This Row],[Quantity]]-AtlasReport_4_Table_1[[#This Row],[TPP trans backwards (Beginning)]]</f>
        <v>0</v>
      </c>
      <c r="I297" s="4">
        <f>AtlasReport_4_Table_1[[#This Row],[Quantity]]-AtlasReport_4_Table_1[[#This Row],[TPP trans backwards (Ending)]]</f>
        <v>0</v>
      </c>
      <c r="J297" s="4">
        <f>_xll.AtlasFormulas.AtlasFunctions.AtlasBalance("PROD",DataAreaId,"T.TPPTrans_sst|InventDimId~inventDimId@T.InventDim","Sum|CostAmount|0","","","","","","","ItemId|TransDate|T2.InventSiteId|T2.InventLocationId",$A297,PeriodBeginning,$B297,$C297)</f>
        <v>0</v>
      </c>
      <c r="K297" s="4">
        <f>_xll.AtlasFormulas.AtlasFunctions.AtlasBalance("PROD",DataAreaId,"T.TPPTrans_sst|InventDimId~inventDimId@T.InventDim","Sum|CostAmount|0","","","","","","","ItemId|TransDate|T2.InventSiteId|T2.InventLocationId",$A297,PeriodEnding,$B297,$C297)</f>
        <v>0</v>
      </c>
      <c r="L297" s="4">
        <f>AtlasReport_4_Table_1[[#This Row],[TPP cost amount]]-AtlasReport_4_Table_1[[#This Row],[TPP trans backwards balance (Beginning)]]</f>
        <v>0</v>
      </c>
      <c r="M297" s="4">
        <f>AtlasReport_4_Table_1[[#This Row],[TPP cost amount]]-AtlasReport_4_Table_1[[#This Row],[TPP Balance (Beginning)]]</f>
        <v>0</v>
      </c>
    </row>
    <row r="298" spans="1:13" x14ac:dyDescent="0.25">
      <c r="A298" s="8" t="s">
        <v>493</v>
      </c>
      <c r="B298" s="8" t="s">
        <v>261</v>
      </c>
      <c r="C298" s="8" t="s">
        <v>264</v>
      </c>
      <c r="D298" s="4">
        <v>0</v>
      </c>
      <c r="E298" s="4">
        <v>0</v>
      </c>
      <c r="F298" s="4">
        <f>_xll.AtlasFormulas.AtlasFunctions.AtlasBalance("PROD",DataAreaId,"T.TPPTrans_sst|InventDimId~inventDimId@T.InventDim","Sum|Qty|0","","","","","","","ItemId|TransDate|T2.InventSiteId|T2.InventLocationId",$A298,PeriodBeginning,$B298,$C298)</f>
        <v>0</v>
      </c>
      <c r="G298" s="4">
        <f>_xll.AtlasFormulas.AtlasFunctions.AtlasBalance("PROD",DataAreaId,"T.TPPTrans_sst|InventDimId~inventDimId@T.InventDim","Sum|Qty|0","","","","","","","ItemId|TransDate|T2.InventSiteId|T2.InventLocationId",$A298,PeriodEnding,$B298,$C298)</f>
        <v>0</v>
      </c>
      <c r="H298" s="4">
        <f>AtlasReport_4_Table_1[[#This Row],[Quantity]]-AtlasReport_4_Table_1[[#This Row],[TPP trans backwards (Beginning)]]</f>
        <v>0</v>
      </c>
      <c r="I298" s="4">
        <f>AtlasReport_4_Table_1[[#This Row],[Quantity]]-AtlasReport_4_Table_1[[#This Row],[TPP trans backwards (Ending)]]</f>
        <v>0</v>
      </c>
      <c r="J298" s="4">
        <f>_xll.AtlasFormulas.AtlasFunctions.AtlasBalance("PROD",DataAreaId,"T.TPPTrans_sst|InventDimId~inventDimId@T.InventDim","Sum|CostAmount|0","","","","","","","ItemId|TransDate|T2.InventSiteId|T2.InventLocationId",$A298,PeriodBeginning,$B298,$C298)</f>
        <v>0</v>
      </c>
      <c r="K298" s="4">
        <f>_xll.AtlasFormulas.AtlasFunctions.AtlasBalance("PROD",DataAreaId,"T.TPPTrans_sst|InventDimId~inventDimId@T.InventDim","Sum|CostAmount|0","","","","","","","ItemId|TransDate|T2.InventSiteId|T2.InventLocationId",$A298,PeriodEnding,$B298,$C298)</f>
        <v>0</v>
      </c>
      <c r="L298" s="4">
        <f>AtlasReport_4_Table_1[[#This Row],[TPP cost amount]]-AtlasReport_4_Table_1[[#This Row],[TPP trans backwards balance (Beginning)]]</f>
        <v>0</v>
      </c>
      <c r="M298" s="4">
        <f>AtlasReport_4_Table_1[[#This Row],[TPP cost amount]]-AtlasReport_4_Table_1[[#This Row],[TPP Balance (Beginning)]]</f>
        <v>0</v>
      </c>
    </row>
    <row r="299" spans="1:13" x14ac:dyDescent="0.25">
      <c r="A299" s="8" t="s">
        <v>494</v>
      </c>
      <c r="B299" s="8" t="s">
        <v>261</v>
      </c>
      <c r="C299" s="8" t="s">
        <v>264</v>
      </c>
      <c r="D299" s="4">
        <v>0</v>
      </c>
      <c r="E299" s="4">
        <v>0</v>
      </c>
      <c r="F299" s="4">
        <f>_xll.AtlasFormulas.AtlasFunctions.AtlasBalance("PROD",DataAreaId,"T.TPPTrans_sst|InventDimId~inventDimId@T.InventDim","Sum|Qty|0","","","","","","","ItemId|TransDate|T2.InventSiteId|T2.InventLocationId",$A299,PeriodBeginning,$B299,$C299)</f>
        <v>0</v>
      </c>
      <c r="G299" s="4">
        <f>_xll.AtlasFormulas.AtlasFunctions.AtlasBalance("PROD",DataAreaId,"T.TPPTrans_sst|InventDimId~inventDimId@T.InventDim","Sum|Qty|0","","","","","","","ItemId|TransDate|T2.InventSiteId|T2.InventLocationId",$A299,PeriodEnding,$B299,$C299)</f>
        <v>0</v>
      </c>
      <c r="H299" s="4">
        <f>AtlasReport_4_Table_1[[#This Row],[Quantity]]-AtlasReport_4_Table_1[[#This Row],[TPP trans backwards (Beginning)]]</f>
        <v>0</v>
      </c>
      <c r="I299" s="4">
        <f>AtlasReport_4_Table_1[[#This Row],[Quantity]]-AtlasReport_4_Table_1[[#This Row],[TPP trans backwards (Ending)]]</f>
        <v>0</v>
      </c>
      <c r="J299" s="4">
        <f>_xll.AtlasFormulas.AtlasFunctions.AtlasBalance("PROD",DataAreaId,"T.TPPTrans_sst|InventDimId~inventDimId@T.InventDim","Sum|CostAmount|0","","","","","","","ItemId|TransDate|T2.InventSiteId|T2.InventLocationId",$A299,PeriodBeginning,$B299,$C299)</f>
        <v>0</v>
      </c>
      <c r="K299" s="4">
        <f>_xll.AtlasFormulas.AtlasFunctions.AtlasBalance("PROD",DataAreaId,"T.TPPTrans_sst|InventDimId~inventDimId@T.InventDim","Sum|CostAmount|0","","","","","","","ItemId|TransDate|T2.InventSiteId|T2.InventLocationId",$A299,PeriodEnding,$B299,$C299)</f>
        <v>0</v>
      </c>
      <c r="L299" s="4">
        <f>AtlasReport_4_Table_1[[#This Row],[TPP cost amount]]-AtlasReport_4_Table_1[[#This Row],[TPP trans backwards balance (Beginning)]]</f>
        <v>0</v>
      </c>
      <c r="M299" s="4">
        <f>AtlasReport_4_Table_1[[#This Row],[TPP cost amount]]-AtlasReport_4_Table_1[[#This Row],[TPP Balance (Beginning)]]</f>
        <v>0</v>
      </c>
    </row>
    <row r="300" spans="1:13" x14ac:dyDescent="0.25">
      <c r="A300" s="8" t="s">
        <v>495</v>
      </c>
      <c r="B300" s="8" t="s">
        <v>261</v>
      </c>
      <c r="C300" s="8" t="s">
        <v>264</v>
      </c>
      <c r="D300" s="4">
        <v>0</v>
      </c>
      <c r="E300" s="4">
        <v>0</v>
      </c>
      <c r="F300" s="4">
        <f>_xll.AtlasFormulas.AtlasFunctions.AtlasBalance("PROD",DataAreaId,"T.TPPTrans_sst|InventDimId~inventDimId@T.InventDim","Sum|Qty|0","","","","","","","ItemId|TransDate|T2.InventSiteId|T2.InventLocationId",$A300,PeriodBeginning,$B300,$C300)</f>
        <v>0</v>
      </c>
      <c r="G300" s="4">
        <f>_xll.AtlasFormulas.AtlasFunctions.AtlasBalance("PROD",DataAreaId,"T.TPPTrans_sst|InventDimId~inventDimId@T.InventDim","Sum|Qty|0","","","","","","","ItemId|TransDate|T2.InventSiteId|T2.InventLocationId",$A300,PeriodEnding,$B300,$C300)</f>
        <v>0</v>
      </c>
      <c r="H300" s="4">
        <f>AtlasReport_4_Table_1[[#This Row],[Quantity]]-AtlasReport_4_Table_1[[#This Row],[TPP trans backwards (Beginning)]]</f>
        <v>0</v>
      </c>
      <c r="I300" s="4">
        <f>AtlasReport_4_Table_1[[#This Row],[Quantity]]-AtlasReport_4_Table_1[[#This Row],[TPP trans backwards (Ending)]]</f>
        <v>0</v>
      </c>
      <c r="J300" s="4">
        <f>_xll.AtlasFormulas.AtlasFunctions.AtlasBalance("PROD",DataAreaId,"T.TPPTrans_sst|InventDimId~inventDimId@T.InventDim","Sum|CostAmount|0","","","","","","","ItemId|TransDate|T2.InventSiteId|T2.InventLocationId",$A300,PeriodBeginning,$B300,$C300)</f>
        <v>0</v>
      </c>
      <c r="K300" s="4">
        <f>_xll.AtlasFormulas.AtlasFunctions.AtlasBalance("PROD",DataAreaId,"T.TPPTrans_sst|InventDimId~inventDimId@T.InventDim","Sum|CostAmount|0","","","","","","","ItemId|TransDate|T2.InventSiteId|T2.InventLocationId",$A300,PeriodEnding,$B300,$C300)</f>
        <v>0</v>
      </c>
      <c r="L300" s="4">
        <f>AtlasReport_4_Table_1[[#This Row],[TPP cost amount]]-AtlasReport_4_Table_1[[#This Row],[TPP trans backwards balance (Beginning)]]</f>
        <v>0</v>
      </c>
      <c r="M300" s="4">
        <f>AtlasReport_4_Table_1[[#This Row],[TPP cost amount]]-AtlasReport_4_Table_1[[#This Row],[TPP Balance (Beginning)]]</f>
        <v>0</v>
      </c>
    </row>
    <row r="301" spans="1:13" x14ac:dyDescent="0.25">
      <c r="A301" s="8" t="s">
        <v>496</v>
      </c>
      <c r="B301" s="8" t="s">
        <v>261</v>
      </c>
      <c r="C301" s="8" t="s">
        <v>264</v>
      </c>
      <c r="D301" s="4">
        <v>0</v>
      </c>
      <c r="E301" s="4">
        <v>0</v>
      </c>
      <c r="F301" s="4">
        <f>_xll.AtlasFormulas.AtlasFunctions.AtlasBalance("PROD",DataAreaId,"T.TPPTrans_sst|InventDimId~inventDimId@T.InventDim","Sum|Qty|0","","","","","","","ItemId|TransDate|T2.InventSiteId|T2.InventLocationId",$A301,PeriodBeginning,$B301,$C301)</f>
        <v>0</v>
      </c>
      <c r="G301" s="4">
        <f>_xll.AtlasFormulas.AtlasFunctions.AtlasBalance("PROD",DataAreaId,"T.TPPTrans_sst|InventDimId~inventDimId@T.InventDim","Sum|Qty|0","","","","","","","ItemId|TransDate|T2.InventSiteId|T2.InventLocationId",$A301,PeriodEnding,$B301,$C301)</f>
        <v>0</v>
      </c>
      <c r="H301" s="4">
        <f>AtlasReport_4_Table_1[[#This Row],[Quantity]]-AtlasReport_4_Table_1[[#This Row],[TPP trans backwards (Beginning)]]</f>
        <v>0</v>
      </c>
      <c r="I301" s="4">
        <f>AtlasReport_4_Table_1[[#This Row],[Quantity]]-AtlasReport_4_Table_1[[#This Row],[TPP trans backwards (Ending)]]</f>
        <v>0</v>
      </c>
      <c r="J301" s="4">
        <f>_xll.AtlasFormulas.AtlasFunctions.AtlasBalance("PROD",DataAreaId,"T.TPPTrans_sst|InventDimId~inventDimId@T.InventDim","Sum|CostAmount|0","","","","","","","ItemId|TransDate|T2.InventSiteId|T2.InventLocationId",$A301,PeriodBeginning,$B301,$C301)</f>
        <v>0</v>
      </c>
      <c r="K301" s="4">
        <f>_xll.AtlasFormulas.AtlasFunctions.AtlasBalance("PROD",DataAreaId,"T.TPPTrans_sst|InventDimId~inventDimId@T.InventDim","Sum|CostAmount|0","","","","","","","ItemId|TransDate|T2.InventSiteId|T2.InventLocationId",$A301,PeriodEnding,$B301,$C301)</f>
        <v>0</v>
      </c>
      <c r="L301" s="4">
        <f>AtlasReport_4_Table_1[[#This Row],[TPP cost amount]]-AtlasReport_4_Table_1[[#This Row],[TPP trans backwards balance (Beginning)]]</f>
        <v>0</v>
      </c>
      <c r="M301" s="4">
        <f>AtlasReport_4_Table_1[[#This Row],[TPP cost amount]]-AtlasReport_4_Table_1[[#This Row],[TPP Balance (Beginning)]]</f>
        <v>0</v>
      </c>
    </row>
    <row r="302" spans="1:13" x14ac:dyDescent="0.25">
      <c r="A302" s="8" t="s">
        <v>497</v>
      </c>
      <c r="B302" s="8" t="s">
        <v>261</v>
      </c>
      <c r="C302" s="8" t="s">
        <v>264</v>
      </c>
      <c r="D302" s="4">
        <v>0</v>
      </c>
      <c r="E302" s="4">
        <v>0</v>
      </c>
      <c r="F302" s="4">
        <f>_xll.AtlasFormulas.AtlasFunctions.AtlasBalance("PROD",DataAreaId,"T.TPPTrans_sst|InventDimId~inventDimId@T.InventDim","Sum|Qty|0","","","","","","","ItemId|TransDate|T2.InventSiteId|T2.InventLocationId",$A302,PeriodBeginning,$B302,$C302)</f>
        <v>0</v>
      </c>
      <c r="G302" s="4">
        <f>_xll.AtlasFormulas.AtlasFunctions.AtlasBalance("PROD",DataAreaId,"T.TPPTrans_sst|InventDimId~inventDimId@T.InventDim","Sum|Qty|0","","","","","","","ItemId|TransDate|T2.InventSiteId|T2.InventLocationId",$A302,PeriodEnding,$B302,$C302)</f>
        <v>0</v>
      </c>
      <c r="H302" s="4">
        <f>AtlasReport_4_Table_1[[#This Row],[Quantity]]-AtlasReport_4_Table_1[[#This Row],[TPP trans backwards (Beginning)]]</f>
        <v>0</v>
      </c>
      <c r="I302" s="4">
        <f>AtlasReport_4_Table_1[[#This Row],[Quantity]]-AtlasReport_4_Table_1[[#This Row],[TPP trans backwards (Ending)]]</f>
        <v>0</v>
      </c>
      <c r="J302" s="4">
        <f>_xll.AtlasFormulas.AtlasFunctions.AtlasBalance("PROD",DataAreaId,"T.TPPTrans_sst|InventDimId~inventDimId@T.InventDim","Sum|CostAmount|0","","","","","","","ItemId|TransDate|T2.InventSiteId|T2.InventLocationId",$A302,PeriodBeginning,$B302,$C302)</f>
        <v>0</v>
      </c>
      <c r="K302" s="4">
        <f>_xll.AtlasFormulas.AtlasFunctions.AtlasBalance("PROD",DataAreaId,"T.TPPTrans_sst|InventDimId~inventDimId@T.InventDim","Sum|CostAmount|0","","","","","","","ItemId|TransDate|T2.InventSiteId|T2.InventLocationId",$A302,PeriodEnding,$B302,$C302)</f>
        <v>0</v>
      </c>
      <c r="L302" s="4">
        <f>AtlasReport_4_Table_1[[#This Row],[TPP cost amount]]-AtlasReport_4_Table_1[[#This Row],[TPP trans backwards balance (Beginning)]]</f>
        <v>0</v>
      </c>
      <c r="M302" s="4">
        <f>AtlasReport_4_Table_1[[#This Row],[TPP cost amount]]-AtlasReport_4_Table_1[[#This Row],[TPP Balance (Beginning)]]</f>
        <v>0</v>
      </c>
    </row>
    <row r="303" spans="1:13" x14ac:dyDescent="0.25">
      <c r="A303" s="8" t="s">
        <v>498</v>
      </c>
      <c r="B303" s="8" t="s">
        <v>261</v>
      </c>
      <c r="C303" s="8" t="s">
        <v>264</v>
      </c>
      <c r="D303" s="4">
        <v>0</v>
      </c>
      <c r="E303" s="4">
        <v>0</v>
      </c>
      <c r="F303" s="4">
        <f>_xll.AtlasFormulas.AtlasFunctions.AtlasBalance("PROD",DataAreaId,"T.TPPTrans_sst|InventDimId~inventDimId@T.InventDim","Sum|Qty|0","","","","","","","ItemId|TransDate|T2.InventSiteId|T2.InventLocationId",$A303,PeriodBeginning,$B303,$C303)</f>
        <v>0</v>
      </c>
      <c r="G303" s="4">
        <f>_xll.AtlasFormulas.AtlasFunctions.AtlasBalance("PROD",DataAreaId,"T.TPPTrans_sst|InventDimId~inventDimId@T.InventDim","Sum|Qty|0","","","","","","","ItemId|TransDate|T2.InventSiteId|T2.InventLocationId",$A303,PeriodEnding,$B303,$C303)</f>
        <v>0</v>
      </c>
      <c r="H303" s="4">
        <f>AtlasReport_4_Table_1[[#This Row],[Quantity]]-AtlasReport_4_Table_1[[#This Row],[TPP trans backwards (Beginning)]]</f>
        <v>0</v>
      </c>
      <c r="I303" s="4">
        <f>AtlasReport_4_Table_1[[#This Row],[Quantity]]-AtlasReport_4_Table_1[[#This Row],[TPP trans backwards (Ending)]]</f>
        <v>0</v>
      </c>
      <c r="J303" s="4">
        <f>_xll.AtlasFormulas.AtlasFunctions.AtlasBalance("PROD",DataAreaId,"T.TPPTrans_sst|InventDimId~inventDimId@T.InventDim","Sum|CostAmount|0","","","","","","","ItemId|TransDate|T2.InventSiteId|T2.InventLocationId",$A303,PeriodBeginning,$B303,$C303)</f>
        <v>0</v>
      </c>
      <c r="K303" s="4">
        <f>_xll.AtlasFormulas.AtlasFunctions.AtlasBalance("PROD",DataAreaId,"T.TPPTrans_sst|InventDimId~inventDimId@T.InventDim","Sum|CostAmount|0","","","","","","","ItemId|TransDate|T2.InventSiteId|T2.InventLocationId",$A303,PeriodEnding,$B303,$C303)</f>
        <v>0</v>
      </c>
      <c r="L303" s="4">
        <f>AtlasReport_4_Table_1[[#This Row],[TPP cost amount]]-AtlasReport_4_Table_1[[#This Row],[TPP trans backwards balance (Beginning)]]</f>
        <v>0</v>
      </c>
      <c r="M303" s="4">
        <f>AtlasReport_4_Table_1[[#This Row],[TPP cost amount]]-AtlasReport_4_Table_1[[#This Row],[TPP Balance (Beginning)]]</f>
        <v>0</v>
      </c>
    </row>
    <row r="304" spans="1:13" x14ac:dyDescent="0.25">
      <c r="A304" s="8" t="s">
        <v>499</v>
      </c>
      <c r="B304" s="8" t="s">
        <v>261</v>
      </c>
      <c r="C304" s="8" t="s">
        <v>264</v>
      </c>
      <c r="D304" s="4">
        <v>0</v>
      </c>
      <c r="E304" s="4">
        <v>0</v>
      </c>
      <c r="F304" s="4">
        <f>_xll.AtlasFormulas.AtlasFunctions.AtlasBalance("PROD",DataAreaId,"T.TPPTrans_sst|InventDimId~inventDimId@T.InventDim","Sum|Qty|0","","","","","","","ItemId|TransDate|T2.InventSiteId|T2.InventLocationId",$A304,PeriodBeginning,$B304,$C304)</f>
        <v>0</v>
      </c>
      <c r="G304" s="4">
        <f>_xll.AtlasFormulas.AtlasFunctions.AtlasBalance("PROD",DataAreaId,"T.TPPTrans_sst|InventDimId~inventDimId@T.InventDim","Sum|Qty|0","","","","","","","ItemId|TransDate|T2.InventSiteId|T2.InventLocationId",$A304,PeriodEnding,$B304,$C304)</f>
        <v>0</v>
      </c>
      <c r="H304" s="4">
        <f>AtlasReport_4_Table_1[[#This Row],[Quantity]]-AtlasReport_4_Table_1[[#This Row],[TPP trans backwards (Beginning)]]</f>
        <v>0</v>
      </c>
      <c r="I304" s="4">
        <f>AtlasReport_4_Table_1[[#This Row],[Quantity]]-AtlasReport_4_Table_1[[#This Row],[TPP trans backwards (Ending)]]</f>
        <v>0</v>
      </c>
      <c r="J304" s="4">
        <f>_xll.AtlasFormulas.AtlasFunctions.AtlasBalance("PROD",DataAreaId,"T.TPPTrans_sst|InventDimId~inventDimId@T.InventDim","Sum|CostAmount|0","","","","","","","ItemId|TransDate|T2.InventSiteId|T2.InventLocationId",$A304,PeriodBeginning,$B304,$C304)</f>
        <v>0</v>
      </c>
      <c r="K304" s="4">
        <f>_xll.AtlasFormulas.AtlasFunctions.AtlasBalance("PROD",DataAreaId,"T.TPPTrans_sst|InventDimId~inventDimId@T.InventDim","Sum|CostAmount|0","","","","","","","ItemId|TransDate|T2.InventSiteId|T2.InventLocationId",$A304,PeriodEnding,$B304,$C304)</f>
        <v>0</v>
      </c>
      <c r="L304" s="4">
        <f>AtlasReport_4_Table_1[[#This Row],[TPP cost amount]]-AtlasReport_4_Table_1[[#This Row],[TPP trans backwards balance (Beginning)]]</f>
        <v>0</v>
      </c>
      <c r="M304" s="4">
        <f>AtlasReport_4_Table_1[[#This Row],[TPP cost amount]]-AtlasReport_4_Table_1[[#This Row],[TPP Balance (Beginning)]]</f>
        <v>0</v>
      </c>
    </row>
    <row r="305" spans="1:13" x14ac:dyDescent="0.25">
      <c r="A305" s="8" t="s">
        <v>501</v>
      </c>
      <c r="B305" s="8" t="s">
        <v>261</v>
      </c>
      <c r="C305" s="8" t="s">
        <v>264</v>
      </c>
      <c r="D305" s="4">
        <v>3292</v>
      </c>
      <c r="E305" s="4">
        <v>0</v>
      </c>
      <c r="F305" s="4">
        <f>_xll.AtlasFormulas.AtlasFunctions.AtlasBalance("PROD",DataAreaId,"T.TPPTrans_sst|InventDimId~inventDimId@T.InventDim","Sum|Qty|0","","","","","","","ItemId|TransDate|T2.InventSiteId|T2.InventLocationId",$A305,PeriodBeginning,$B305,$C305)</f>
        <v>0</v>
      </c>
      <c r="G305" s="4">
        <f>_xll.AtlasFormulas.AtlasFunctions.AtlasBalance("PROD",DataAreaId,"T.TPPTrans_sst|InventDimId~inventDimId@T.InventDim","Sum|Qty|0","","","","","","","ItemId|TransDate|T2.InventSiteId|T2.InventLocationId",$A305,PeriodEnding,$B305,$C305)</f>
        <v>0</v>
      </c>
      <c r="H305" s="4">
        <f>AtlasReport_4_Table_1[[#This Row],[Quantity]]-AtlasReport_4_Table_1[[#This Row],[TPP trans backwards (Beginning)]]</f>
        <v>3292</v>
      </c>
      <c r="I305" s="4">
        <f>AtlasReport_4_Table_1[[#This Row],[Quantity]]-AtlasReport_4_Table_1[[#This Row],[TPP trans backwards (Ending)]]</f>
        <v>3292</v>
      </c>
      <c r="J305" s="4">
        <f>_xll.AtlasFormulas.AtlasFunctions.AtlasBalance("PROD",DataAreaId,"T.TPPTrans_sst|InventDimId~inventDimId@T.InventDim","Sum|CostAmount|0","","","","","","","ItemId|TransDate|T2.InventSiteId|T2.InventLocationId",$A305,PeriodBeginning,$B305,$C305)</f>
        <v>0</v>
      </c>
      <c r="K305" s="4">
        <f>_xll.AtlasFormulas.AtlasFunctions.AtlasBalance("PROD",DataAreaId,"T.TPPTrans_sst|InventDimId~inventDimId@T.InventDim","Sum|CostAmount|0","","","","","","","ItemId|TransDate|T2.InventSiteId|T2.InventLocationId",$A305,PeriodEnding,$B305,$C305)</f>
        <v>0</v>
      </c>
      <c r="L305" s="4">
        <f>AtlasReport_4_Table_1[[#This Row],[TPP cost amount]]-AtlasReport_4_Table_1[[#This Row],[TPP trans backwards balance (Beginning)]]</f>
        <v>0</v>
      </c>
      <c r="M305" s="4">
        <f>AtlasReport_4_Table_1[[#This Row],[TPP cost amount]]-AtlasReport_4_Table_1[[#This Row],[TPP Balance (Beginning)]]</f>
        <v>0</v>
      </c>
    </row>
    <row r="306" spans="1:13" x14ac:dyDescent="0.25">
      <c r="A306" s="8" t="s">
        <v>502</v>
      </c>
      <c r="B306" s="8" t="s">
        <v>261</v>
      </c>
      <c r="C306" s="8" t="s">
        <v>264</v>
      </c>
      <c r="D306" s="4">
        <v>198.1</v>
      </c>
      <c r="E306" s="4">
        <v>0</v>
      </c>
      <c r="F306" s="4">
        <f>_xll.AtlasFormulas.AtlasFunctions.AtlasBalance("PROD",DataAreaId,"T.TPPTrans_sst|InventDimId~inventDimId@T.InventDim","Sum|Qty|0","","","","","","","ItemId|TransDate|T2.InventSiteId|T2.InventLocationId",$A306,PeriodBeginning,$B306,$C306)</f>
        <v>0</v>
      </c>
      <c r="G306" s="4">
        <f>_xll.AtlasFormulas.AtlasFunctions.AtlasBalance("PROD",DataAreaId,"T.TPPTrans_sst|InventDimId~inventDimId@T.InventDim","Sum|Qty|0","","","","","","","ItemId|TransDate|T2.InventSiteId|T2.InventLocationId",$A306,PeriodEnding,$B306,$C306)</f>
        <v>0</v>
      </c>
      <c r="H306" s="4">
        <f>AtlasReport_4_Table_1[[#This Row],[Quantity]]-AtlasReport_4_Table_1[[#This Row],[TPP trans backwards (Beginning)]]</f>
        <v>198.1</v>
      </c>
      <c r="I306" s="4">
        <f>AtlasReport_4_Table_1[[#This Row],[Quantity]]-AtlasReport_4_Table_1[[#This Row],[TPP trans backwards (Ending)]]</f>
        <v>198.1</v>
      </c>
      <c r="J306" s="4">
        <f>_xll.AtlasFormulas.AtlasFunctions.AtlasBalance("PROD",DataAreaId,"T.TPPTrans_sst|InventDimId~inventDimId@T.InventDim","Sum|CostAmount|0","","","","","","","ItemId|TransDate|T2.InventSiteId|T2.InventLocationId",$A306,PeriodBeginning,$B306,$C306)</f>
        <v>0</v>
      </c>
      <c r="K306" s="4">
        <f>_xll.AtlasFormulas.AtlasFunctions.AtlasBalance("PROD",DataAreaId,"T.TPPTrans_sst|InventDimId~inventDimId@T.InventDim","Sum|CostAmount|0","","","","","","","ItemId|TransDate|T2.InventSiteId|T2.InventLocationId",$A306,PeriodEnding,$B306,$C306)</f>
        <v>0</v>
      </c>
      <c r="L306" s="4">
        <f>AtlasReport_4_Table_1[[#This Row],[TPP cost amount]]-AtlasReport_4_Table_1[[#This Row],[TPP trans backwards balance (Beginning)]]</f>
        <v>0</v>
      </c>
      <c r="M306" s="4">
        <f>AtlasReport_4_Table_1[[#This Row],[TPP cost amount]]-AtlasReport_4_Table_1[[#This Row],[TPP Balance (Beginning)]]</f>
        <v>0</v>
      </c>
    </row>
    <row r="307" spans="1:13" x14ac:dyDescent="0.25">
      <c r="A307" s="8" t="s">
        <v>503</v>
      </c>
      <c r="B307" s="8" t="s">
        <v>261</v>
      </c>
      <c r="C307" s="8" t="s">
        <v>264</v>
      </c>
      <c r="D307" s="4">
        <v>3486</v>
      </c>
      <c r="E307" s="4">
        <v>0</v>
      </c>
      <c r="F307" s="4">
        <f>_xll.AtlasFormulas.AtlasFunctions.AtlasBalance("PROD",DataAreaId,"T.TPPTrans_sst|InventDimId~inventDimId@T.InventDim","Sum|Qty|0","","","","","","","ItemId|TransDate|T2.InventSiteId|T2.InventLocationId",$A307,PeriodBeginning,$B307,$C307)</f>
        <v>0</v>
      </c>
      <c r="G307" s="4">
        <f>_xll.AtlasFormulas.AtlasFunctions.AtlasBalance("PROD",DataAreaId,"T.TPPTrans_sst|InventDimId~inventDimId@T.InventDim","Sum|Qty|0","","","","","","","ItemId|TransDate|T2.InventSiteId|T2.InventLocationId",$A307,PeriodEnding,$B307,$C307)</f>
        <v>0</v>
      </c>
      <c r="H307" s="4">
        <f>AtlasReport_4_Table_1[[#This Row],[Quantity]]-AtlasReport_4_Table_1[[#This Row],[TPP trans backwards (Beginning)]]</f>
        <v>3486</v>
      </c>
      <c r="I307" s="4">
        <f>AtlasReport_4_Table_1[[#This Row],[Quantity]]-AtlasReport_4_Table_1[[#This Row],[TPP trans backwards (Ending)]]</f>
        <v>3486</v>
      </c>
      <c r="J307" s="4">
        <f>_xll.AtlasFormulas.AtlasFunctions.AtlasBalance("PROD",DataAreaId,"T.TPPTrans_sst|InventDimId~inventDimId@T.InventDim","Sum|CostAmount|0","","","","","","","ItemId|TransDate|T2.InventSiteId|T2.InventLocationId",$A307,PeriodBeginning,$B307,$C307)</f>
        <v>0</v>
      </c>
      <c r="K307" s="4">
        <f>_xll.AtlasFormulas.AtlasFunctions.AtlasBalance("PROD",DataAreaId,"T.TPPTrans_sst|InventDimId~inventDimId@T.InventDim","Sum|CostAmount|0","","","","","","","ItemId|TransDate|T2.InventSiteId|T2.InventLocationId",$A307,PeriodEnding,$B307,$C307)</f>
        <v>0</v>
      </c>
      <c r="L307" s="4">
        <f>AtlasReport_4_Table_1[[#This Row],[TPP cost amount]]-AtlasReport_4_Table_1[[#This Row],[TPP trans backwards balance (Beginning)]]</f>
        <v>0</v>
      </c>
      <c r="M307" s="4">
        <f>AtlasReport_4_Table_1[[#This Row],[TPP cost amount]]-AtlasReport_4_Table_1[[#This Row],[TPP Balance (Beginning)]]</f>
        <v>0</v>
      </c>
    </row>
    <row r="308" spans="1:13" x14ac:dyDescent="0.25">
      <c r="A308" s="8" t="s">
        <v>504</v>
      </c>
      <c r="B308" s="8" t="s">
        <v>261</v>
      </c>
      <c r="C308" s="8" t="s">
        <v>264</v>
      </c>
      <c r="D308" s="4">
        <v>298</v>
      </c>
      <c r="E308" s="4">
        <v>0</v>
      </c>
      <c r="F308" s="4">
        <f>_xll.AtlasFormulas.AtlasFunctions.AtlasBalance("PROD",DataAreaId,"T.TPPTrans_sst|InventDimId~inventDimId@T.InventDim","Sum|Qty|0","","","","","","","ItemId|TransDate|T2.InventSiteId|T2.InventLocationId",$A308,PeriodBeginning,$B308,$C308)</f>
        <v>0</v>
      </c>
      <c r="G308" s="4">
        <f>_xll.AtlasFormulas.AtlasFunctions.AtlasBalance("PROD",DataAreaId,"T.TPPTrans_sst|InventDimId~inventDimId@T.InventDim","Sum|Qty|0","","","","","","","ItemId|TransDate|T2.InventSiteId|T2.InventLocationId",$A308,PeriodEnding,$B308,$C308)</f>
        <v>0</v>
      </c>
      <c r="H308" s="4">
        <f>AtlasReport_4_Table_1[[#This Row],[Quantity]]-AtlasReport_4_Table_1[[#This Row],[TPP trans backwards (Beginning)]]</f>
        <v>298</v>
      </c>
      <c r="I308" s="4">
        <f>AtlasReport_4_Table_1[[#This Row],[Quantity]]-AtlasReport_4_Table_1[[#This Row],[TPP trans backwards (Ending)]]</f>
        <v>298</v>
      </c>
      <c r="J308" s="4">
        <f>_xll.AtlasFormulas.AtlasFunctions.AtlasBalance("PROD",DataAreaId,"T.TPPTrans_sst|InventDimId~inventDimId@T.InventDim","Sum|CostAmount|0","","","","","","","ItemId|TransDate|T2.InventSiteId|T2.InventLocationId",$A308,PeriodBeginning,$B308,$C308)</f>
        <v>0</v>
      </c>
      <c r="K308" s="4">
        <f>_xll.AtlasFormulas.AtlasFunctions.AtlasBalance("PROD",DataAreaId,"T.TPPTrans_sst|InventDimId~inventDimId@T.InventDim","Sum|CostAmount|0","","","","","","","ItemId|TransDate|T2.InventSiteId|T2.InventLocationId",$A308,PeriodEnding,$B308,$C308)</f>
        <v>0</v>
      </c>
      <c r="L308" s="4">
        <f>AtlasReport_4_Table_1[[#This Row],[TPP cost amount]]-AtlasReport_4_Table_1[[#This Row],[TPP trans backwards balance (Beginning)]]</f>
        <v>0</v>
      </c>
      <c r="M308" s="4">
        <f>AtlasReport_4_Table_1[[#This Row],[TPP cost amount]]-AtlasReport_4_Table_1[[#This Row],[TPP Balance (Beginning)]]</f>
        <v>0</v>
      </c>
    </row>
    <row r="309" spans="1:13" x14ac:dyDescent="0.25">
      <c r="A309" s="8" t="s">
        <v>506</v>
      </c>
      <c r="B309" s="8" t="s">
        <v>261</v>
      </c>
      <c r="C309" s="8" t="s">
        <v>264</v>
      </c>
      <c r="D309" s="4">
        <v>38</v>
      </c>
      <c r="E309" s="4">
        <v>0</v>
      </c>
      <c r="F309" s="4">
        <f>_xll.AtlasFormulas.AtlasFunctions.AtlasBalance("PROD",DataAreaId,"T.TPPTrans_sst|InventDimId~inventDimId@T.InventDim","Sum|Qty|0","","","","","","","ItemId|TransDate|T2.InventSiteId|T2.InventLocationId",$A309,PeriodBeginning,$B309,$C309)</f>
        <v>0</v>
      </c>
      <c r="G309" s="4">
        <f>_xll.AtlasFormulas.AtlasFunctions.AtlasBalance("PROD",DataAreaId,"T.TPPTrans_sst|InventDimId~inventDimId@T.InventDim","Sum|Qty|0","","","","","","","ItemId|TransDate|T2.InventSiteId|T2.InventLocationId",$A309,PeriodEnding,$B309,$C309)</f>
        <v>0</v>
      </c>
      <c r="H309" s="4">
        <f>AtlasReport_4_Table_1[[#This Row],[Quantity]]-AtlasReport_4_Table_1[[#This Row],[TPP trans backwards (Beginning)]]</f>
        <v>38</v>
      </c>
      <c r="I309" s="4">
        <f>AtlasReport_4_Table_1[[#This Row],[Quantity]]-AtlasReport_4_Table_1[[#This Row],[TPP trans backwards (Ending)]]</f>
        <v>38</v>
      </c>
      <c r="J309" s="4">
        <f>_xll.AtlasFormulas.AtlasFunctions.AtlasBalance("PROD",DataAreaId,"T.TPPTrans_sst|InventDimId~inventDimId@T.InventDim","Sum|CostAmount|0","","","","","","","ItemId|TransDate|T2.InventSiteId|T2.InventLocationId",$A309,PeriodBeginning,$B309,$C309)</f>
        <v>0</v>
      </c>
      <c r="K309" s="4">
        <f>_xll.AtlasFormulas.AtlasFunctions.AtlasBalance("PROD",DataAreaId,"T.TPPTrans_sst|InventDimId~inventDimId@T.InventDim","Sum|CostAmount|0","","","","","","","ItemId|TransDate|T2.InventSiteId|T2.InventLocationId",$A309,PeriodEnding,$B309,$C309)</f>
        <v>0</v>
      </c>
      <c r="L309" s="4">
        <f>AtlasReport_4_Table_1[[#This Row],[TPP cost amount]]-AtlasReport_4_Table_1[[#This Row],[TPP trans backwards balance (Beginning)]]</f>
        <v>0</v>
      </c>
      <c r="M309" s="4">
        <f>AtlasReport_4_Table_1[[#This Row],[TPP cost amount]]-AtlasReport_4_Table_1[[#This Row],[TPP Balance (Beginning)]]</f>
        <v>0</v>
      </c>
    </row>
    <row r="310" spans="1:13" x14ac:dyDescent="0.25">
      <c r="A310" s="8" t="s">
        <v>507</v>
      </c>
      <c r="B310" s="8" t="s">
        <v>261</v>
      </c>
      <c r="C310" s="8" t="s">
        <v>264</v>
      </c>
      <c r="D310" s="4">
        <v>394</v>
      </c>
      <c r="E310" s="4">
        <v>0</v>
      </c>
      <c r="F310" s="4">
        <f>_xll.AtlasFormulas.AtlasFunctions.AtlasBalance("PROD",DataAreaId,"T.TPPTrans_sst|InventDimId~inventDimId@T.InventDim","Sum|Qty|0","","","","","","","ItemId|TransDate|T2.InventSiteId|T2.InventLocationId",$A310,PeriodBeginning,$B310,$C310)</f>
        <v>0</v>
      </c>
      <c r="G310" s="4">
        <f>_xll.AtlasFormulas.AtlasFunctions.AtlasBalance("PROD",DataAreaId,"T.TPPTrans_sst|InventDimId~inventDimId@T.InventDim","Sum|Qty|0","","","","","","","ItemId|TransDate|T2.InventSiteId|T2.InventLocationId",$A310,PeriodEnding,$B310,$C310)</f>
        <v>0</v>
      </c>
      <c r="H310" s="4">
        <f>AtlasReport_4_Table_1[[#This Row],[Quantity]]-AtlasReport_4_Table_1[[#This Row],[TPP trans backwards (Beginning)]]</f>
        <v>394</v>
      </c>
      <c r="I310" s="4">
        <f>AtlasReport_4_Table_1[[#This Row],[Quantity]]-AtlasReport_4_Table_1[[#This Row],[TPP trans backwards (Ending)]]</f>
        <v>394</v>
      </c>
      <c r="J310" s="4">
        <f>_xll.AtlasFormulas.AtlasFunctions.AtlasBalance("PROD",DataAreaId,"T.TPPTrans_sst|InventDimId~inventDimId@T.InventDim","Sum|CostAmount|0","","","","","","","ItemId|TransDate|T2.InventSiteId|T2.InventLocationId",$A310,PeriodBeginning,$B310,$C310)</f>
        <v>0</v>
      </c>
      <c r="K310" s="4">
        <f>_xll.AtlasFormulas.AtlasFunctions.AtlasBalance("PROD",DataAreaId,"T.TPPTrans_sst|InventDimId~inventDimId@T.InventDim","Sum|CostAmount|0","","","","","","","ItemId|TransDate|T2.InventSiteId|T2.InventLocationId",$A310,PeriodEnding,$B310,$C310)</f>
        <v>0</v>
      </c>
      <c r="L310" s="4">
        <f>AtlasReport_4_Table_1[[#This Row],[TPP cost amount]]-AtlasReport_4_Table_1[[#This Row],[TPP trans backwards balance (Beginning)]]</f>
        <v>0</v>
      </c>
      <c r="M310" s="4">
        <f>AtlasReport_4_Table_1[[#This Row],[TPP cost amount]]-AtlasReport_4_Table_1[[#This Row],[TPP Balance (Beginning)]]</f>
        <v>0</v>
      </c>
    </row>
    <row r="311" spans="1:13" x14ac:dyDescent="0.25">
      <c r="A311" s="8" t="s">
        <v>508</v>
      </c>
      <c r="B311" s="8" t="s">
        <v>261</v>
      </c>
      <c r="C311" s="8" t="s">
        <v>264</v>
      </c>
      <c r="D311" s="4">
        <v>0</v>
      </c>
      <c r="E311" s="4">
        <v>0</v>
      </c>
      <c r="F311" s="4">
        <f>_xll.AtlasFormulas.AtlasFunctions.AtlasBalance("PROD",DataAreaId,"T.TPPTrans_sst|InventDimId~inventDimId@T.InventDim","Sum|Qty|0","","","","","","","ItemId|TransDate|T2.InventSiteId|T2.InventLocationId",$A311,PeriodBeginning,$B311,$C311)</f>
        <v>0</v>
      </c>
      <c r="G311" s="4">
        <f>_xll.AtlasFormulas.AtlasFunctions.AtlasBalance("PROD",DataAreaId,"T.TPPTrans_sst|InventDimId~inventDimId@T.InventDim","Sum|Qty|0","","","","","","","ItemId|TransDate|T2.InventSiteId|T2.InventLocationId",$A311,PeriodEnding,$B311,$C311)</f>
        <v>0</v>
      </c>
      <c r="H311" s="4">
        <f>AtlasReport_4_Table_1[[#This Row],[Quantity]]-AtlasReport_4_Table_1[[#This Row],[TPP trans backwards (Beginning)]]</f>
        <v>0</v>
      </c>
      <c r="I311" s="4">
        <f>AtlasReport_4_Table_1[[#This Row],[Quantity]]-AtlasReport_4_Table_1[[#This Row],[TPP trans backwards (Ending)]]</f>
        <v>0</v>
      </c>
      <c r="J311" s="4">
        <f>_xll.AtlasFormulas.AtlasFunctions.AtlasBalance("PROD",DataAreaId,"T.TPPTrans_sst|InventDimId~inventDimId@T.InventDim","Sum|CostAmount|0","","","","","","","ItemId|TransDate|T2.InventSiteId|T2.InventLocationId",$A311,PeriodBeginning,$B311,$C311)</f>
        <v>0</v>
      </c>
      <c r="K311" s="4">
        <f>_xll.AtlasFormulas.AtlasFunctions.AtlasBalance("PROD",DataAreaId,"T.TPPTrans_sst|InventDimId~inventDimId@T.InventDim","Sum|CostAmount|0","","","","","","","ItemId|TransDate|T2.InventSiteId|T2.InventLocationId",$A311,PeriodEnding,$B311,$C311)</f>
        <v>0</v>
      </c>
      <c r="L311" s="4">
        <f>AtlasReport_4_Table_1[[#This Row],[TPP cost amount]]-AtlasReport_4_Table_1[[#This Row],[TPP trans backwards balance (Beginning)]]</f>
        <v>0</v>
      </c>
      <c r="M311" s="4">
        <f>AtlasReport_4_Table_1[[#This Row],[TPP cost amount]]-AtlasReport_4_Table_1[[#This Row],[TPP Balance (Beginning)]]</f>
        <v>0</v>
      </c>
    </row>
    <row r="312" spans="1:13" x14ac:dyDescent="0.25">
      <c r="A312" s="8" t="s">
        <v>513</v>
      </c>
      <c r="B312" s="8" t="s">
        <v>261</v>
      </c>
      <c r="C312" s="8" t="s">
        <v>264</v>
      </c>
      <c r="D312" s="4">
        <v>2880</v>
      </c>
      <c r="E312" s="4">
        <v>0</v>
      </c>
      <c r="F312" s="4">
        <f>_xll.AtlasFormulas.AtlasFunctions.AtlasBalance("PROD",DataAreaId,"T.TPPTrans_sst|InventDimId~inventDimId@T.InventDim","Sum|Qty|0","","","","","","","ItemId|TransDate|T2.InventSiteId|T2.InventLocationId",$A312,PeriodBeginning,$B312,$C312)</f>
        <v>0</v>
      </c>
      <c r="G312" s="4">
        <f>_xll.AtlasFormulas.AtlasFunctions.AtlasBalance("PROD",DataAreaId,"T.TPPTrans_sst|InventDimId~inventDimId@T.InventDim","Sum|Qty|0","","","","","","","ItemId|TransDate|T2.InventSiteId|T2.InventLocationId",$A312,PeriodEnding,$B312,$C312)</f>
        <v>0</v>
      </c>
      <c r="H312" s="4">
        <f>AtlasReport_4_Table_1[[#This Row],[Quantity]]-AtlasReport_4_Table_1[[#This Row],[TPP trans backwards (Beginning)]]</f>
        <v>2880</v>
      </c>
      <c r="I312" s="4">
        <f>AtlasReport_4_Table_1[[#This Row],[Quantity]]-AtlasReport_4_Table_1[[#This Row],[TPP trans backwards (Ending)]]</f>
        <v>2880</v>
      </c>
      <c r="J312" s="4">
        <f>_xll.AtlasFormulas.AtlasFunctions.AtlasBalance("PROD",DataAreaId,"T.TPPTrans_sst|InventDimId~inventDimId@T.InventDim","Sum|CostAmount|0","","","","","","","ItemId|TransDate|T2.InventSiteId|T2.InventLocationId",$A312,PeriodBeginning,$B312,$C312)</f>
        <v>0</v>
      </c>
      <c r="K312" s="4">
        <f>_xll.AtlasFormulas.AtlasFunctions.AtlasBalance("PROD",DataAreaId,"T.TPPTrans_sst|InventDimId~inventDimId@T.InventDim","Sum|CostAmount|0","","","","","","","ItemId|TransDate|T2.InventSiteId|T2.InventLocationId",$A312,PeriodEnding,$B312,$C312)</f>
        <v>0</v>
      </c>
      <c r="L312" s="4">
        <f>AtlasReport_4_Table_1[[#This Row],[TPP cost amount]]-AtlasReport_4_Table_1[[#This Row],[TPP trans backwards balance (Beginning)]]</f>
        <v>0</v>
      </c>
      <c r="M312" s="4">
        <f>AtlasReport_4_Table_1[[#This Row],[TPP cost amount]]-AtlasReport_4_Table_1[[#This Row],[TPP Balance (Beginning)]]</f>
        <v>0</v>
      </c>
    </row>
    <row r="313" spans="1:13" x14ac:dyDescent="0.25">
      <c r="A313" s="8" t="s">
        <v>514</v>
      </c>
      <c r="B313" s="8" t="s">
        <v>261</v>
      </c>
      <c r="C313" s="8" t="s">
        <v>264</v>
      </c>
      <c r="D313" s="4">
        <v>7240</v>
      </c>
      <c r="E313" s="4">
        <v>0</v>
      </c>
      <c r="F313" s="4">
        <f>_xll.AtlasFormulas.AtlasFunctions.AtlasBalance("PROD",DataAreaId,"T.TPPTrans_sst|InventDimId~inventDimId@T.InventDim","Sum|Qty|0","","","","","","","ItemId|TransDate|T2.InventSiteId|T2.InventLocationId",$A313,PeriodBeginning,$B313,$C313)</f>
        <v>0</v>
      </c>
      <c r="G313" s="4">
        <f>_xll.AtlasFormulas.AtlasFunctions.AtlasBalance("PROD",DataAreaId,"T.TPPTrans_sst|InventDimId~inventDimId@T.InventDim","Sum|Qty|0","","","","","","","ItemId|TransDate|T2.InventSiteId|T2.InventLocationId",$A313,PeriodEnding,$B313,$C313)</f>
        <v>0</v>
      </c>
      <c r="H313" s="4">
        <f>AtlasReport_4_Table_1[[#This Row],[Quantity]]-AtlasReport_4_Table_1[[#This Row],[TPP trans backwards (Beginning)]]</f>
        <v>7240</v>
      </c>
      <c r="I313" s="4">
        <f>AtlasReport_4_Table_1[[#This Row],[Quantity]]-AtlasReport_4_Table_1[[#This Row],[TPP trans backwards (Ending)]]</f>
        <v>7240</v>
      </c>
      <c r="J313" s="4">
        <f>_xll.AtlasFormulas.AtlasFunctions.AtlasBalance("PROD",DataAreaId,"T.TPPTrans_sst|InventDimId~inventDimId@T.InventDim","Sum|CostAmount|0","","","","","","","ItemId|TransDate|T2.InventSiteId|T2.InventLocationId",$A313,PeriodBeginning,$B313,$C313)</f>
        <v>0</v>
      </c>
      <c r="K313" s="4">
        <f>_xll.AtlasFormulas.AtlasFunctions.AtlasBalance("PROD",DataAreaId,"T.TPPTrans_sst|InventDimId~inventDimId@T.InventDim","Sum|CostAmount|0","","","","","","","ItemId|TransDate|T2.InventSiteId|T2.InventLocationId",$A313,PeriodEnding,$B313,$C313)</f>
        <v>0</v>
      </c>
      <c r="L313" s="4">
        <f>AtlasReport_4_Table_1[[#This Row],[TPP cost amount]]-AtlasReport_4_Table_1[[#This Row],[TPP trans backwards balance (Beginning)]]</f>
        <v>0</v>
      </c>
      <c r="M313" s="4">
        <f>AtlasReport_4_Table_1[[#This Row],[TPP cost amount]]-AtlasReport_4_Table_1[[#This Row],[TPP Balance (Beginning)]]</f>
        <v>0</v>
      </c>
    </row>
    <row r="314" spans="1:13" x14ac:dyDescent="0.25">
      <c r="A314" s="8" t="s">
        <v>515</v>
      </c>
      <c r="B314" s="8" t="s">
        <v>261</v>
      </c>
      <c r="C314" s="8" t="s">
        <v>264</v>
      </c>
      <c r="D314" s="4">
        <v>4900</v>
      </c>
      <c r="E314" s="4">
        <v>0</v>
      </c>
      <c r="F314" s="4">
        <f>_xll.AtlasFormulas.AtlasFunctions.AtlasBalance("PROD",DataAreaId,"T.TPPTrans_sst|InventDimId~inventDimId@T.InventDim","Sum|Qty|0","","","","","","","ItemId|TransDate|T2.InventSiteId|T2.InventLocationId",$A314,PeriodBeginning,$B314,$C314)</f>
        <v>0</v>
      </c>
      <c r="G314" s="4">
        <f>_xll.AtlasFormulas.AtlasFunctions.AtlasBalance("PROD",DataAreaId,"T.TPPTrans_sst|InventDimId~inventDimId@T.InventDim","Sum|Qty|0","","","","","","","ItemId|TransDate|T2.InventSiteId|T2.InventLocationId",$A314,PeriodEnding,$B314,$C314)</f>
        <v>0</v>
      </c>
      <c r="H314" s="4">
        <f>AtlasReport_4_Table_1[[#This Row],[Quantity]]-AtlasReport_4_Table_1[[#This Row],[TPP trans backwards (Beginning)]]</f>
        <v>4900</v>
      </c>
      <c r="I314" s="4">
        <f>AtlasReport_4_Table_1[[#This Row],[Quantity]]-AtlasReport_4_Table_1[[#This Row],[TPP trans backwards (Ending)]]</f>
        <v>4900</v>
      </c>
      <c r="J314" s="4">
        <f>_xll.AtlasFormulas.AtlasFunctions.AtlasBalance("PROD",DataAreaId,"T.TPPTrans_sst|InventDimId~inventDimId@T.InventDim","Sum|CostAmount|0","","","","","","","ItemId|TransDate|T2.InventSiteId|T2.InventLocationId",$A314,PeriodBeginning,$B314,$C314)</f>
        <v>0</v>
      </c>
      <c r="K314" s="4">
        <f>_xll.AtlasFormulas.AtlasFunctions.AtlasBalance("PROD",DataAreaId,"T.TPPTrans_sst|InventDimId~inventDimId@T.InventDim","Sum|CostAmount|0","","","","","","","ItemId|TransDate|T2.InventSiteId|T2.InventLocationId",$A314,PeriodEnding,$B314,$C314)</f>
        <v>0</v>
      </c>
      <c r="L314" s="4">
        <f>AtlasReport_4_Table_1[[#This Row],[TPP cost amount]]-AtlasReport_4_Table_1[[#This Row],[TPP trans backwards balance (Beginning)]]</f>
        <v>0</v>
      </c>
      <c r="M314" s="4">
        <f>AtlasReport_4_Table_1[[#This Row],[TPP cost amount]]-AtlasReport_4_Table_1[[#This Row],[TPP Balance (Beginning)]]</f>
        <v>0</v>
      </c>
    </row>
    <row r="315" spans="1:13" x14ac:dyDescent="0.25">
      <c r="A315" s="8" t="s">
        <v>516</v>
      </c>
      <c r="B315" s="8" t="s">
        <v>261</v>
      </c>
      <c r="C315" s="8" t="s">
        <v>264</v>
      </c>
      <c r="D315" s="4">
        <v>6090</v>
      </c>
      <c r="E315" s="4">
        <v>0</v>
      </c>
      <c r="F315" s="4">
        <f>_xll.AtlasFormulas.AtlasFunctions.AtlasBalance("PROD",DataAreaId,"T.TPPTrans_sst|InventDimId~inventDimId@T.InventDim","Sum|Qty|0","","","","","","","ItemId|TransDate|T2.InventSiteId|T2.InventLocationId",$A315,PeriodBeginning,$B315,$C315)</f>
        <v>0</v>
      </c>
      <c r="G315" s="4">
        <f>_xll.AtlasFormulas.AtlasFunctions.AtlasBalance("PROD",DataAreaId,"T.TPPTrans_sst|InventDimId~inventDimId@T.InventDim","Sum|Qty|0","","","","","","","ItemId|TransDate|T2.InventSiteId|T2.InventLocationId",$A315,PeriodEnding,$B315,$C315)</f>
        <v>0</v>
      </c>
      <c r="H315" s="4">
        <f>AtlasReport_4_Table_1[[#This Row],[Quantity]]-AtlasReport_4_Table_1[[#This Row],[TPP trans backwards (Beginning)]]</f>
        <v>6090</v>
      </c>
      <c r="I315" s="4">
        <f>AtlasReport_4_Table_1[[#This Row],[Quantity]]-AtlasReport_4_Table_1[[#This Row],[TPP trans backwards (Ending)]]</f>
        <v>6090</v>
      </c>
      <c r="J315" s="4">
        <f>_xll.AtlasFormulas.AtlasFunctions.AtlasBalance("PROD",DataAreaId,"T.TPPTrans_sst|InventDimId~inventDimId@T.InventDim","Sum|CostAmount|0","","","","","","","ItemId|TransDate|T2.InventSiteId|T2.InventLocationId",$A315,PeriodBeginning,$B315,$C315)</f>
        <v>0</v>
      </c>
      <c r="K315" s="4">
        <f>_xll.AtlasFormulas.AtlasFunctions.AtlasBalance("PROD",DataAreaId,"T.TPPTrans_sst|InventDimId~inventDimId@T.InventDim","Sum|CostAmount|0","","","","","","","ItemId|TransDate|T2.InventSiteId|T2.InventLocationId",$A315,PeriodEnding,$B315,$C315)</f>
        <v>0</v>
      </c>
      <c r="L315" s="4">
        <f>AtlasReport_4_Table_1[[#This Row],[TPP cost amount]]-AtlasReport_4_Table_1[[#This Row],[TPP trans backwards balance (Beginning)]]</f>
        <v>0</v>
      </c>
      <c r="M315" s="4">
        <f>AtlasReport_4_Table_1[[#This Row],[TPP cost amount]]-AtlasReport_4_Table_1[[#This Row],[TPP Balance (Beginning)]]</f>
        <v>0</v>
      </c>
    </row>
    <row r="316" spans="1:13" x14ac:dyDescent="0.25">
      <c r="A316" s="8" t="s">
        <v>518</v>
      </c>
      <c r="B316" s="8" t="s">
        <v>261</v>
      </c>
      <c r="C316" s="8" t="s">
        <v>264</v>
      </c>
      <c r="D316" s="4">
        <v>130</v>
      </c>
      <c r="E316" s="4">
        <v>0</v>
      </c>
      <c r="F316" s="4">
        <f>_xll.AtlasFormulas.AtlasFunctions.AtlasBalance("PROD",DataAreaId,"T.TPPTrans_sst|InventDimId~inventDimId@T.InventDim","Sum|Qty|0","","","","","","","ItemId|TransDate|T2.InventSiteId|T2.InventLocationId",$A316,PeriodBeginning,$B316,$C316)</f>
        <v>0</v>
      </c>
      <c r="G316" s="4">
        <f>_xll.AtlasFormulas.AtlasFunctions.AtlasBalance("PROD",DataAreaId,"T.TPPTrans_sst|InventDimId~inventDimId@T.InventDim","Sum|Qty|0","","","","","","","ItemId|TransDate|T2.InventSiteId|T2.InventLocationId",$A316,PeriodEnding,$B316,$C316)</f>
        <v>0</v>
      </c>
      <c r="H316" s="4">
        <f>AtlasReport_4_Table_1[[#This Row],[Quantity]]-AtlasReport_4_Table_1[[#This Row],[TPP trans backwards (Beginning)]]</f>
        <v>130</v>
      </c>
      <c r="I316" s="4">
        <f>AtlasReport_4_Table_1[[#This Row],[Quantity]]-AtlasReport_4_Table_1[[#This Row],[TPP trans backwards (Ending)]]</f>
        <v>130</v>
      </c>
      <c r="J316" s="4">
        <f>_xll.AtlasFormulas.AtlasFunctions.AtlasBalance("PROD",DataAreaId,"T.TPPTrans_sst|InventDimId~inventDimId@T.InventDim","Sum|CostAmount|0","","","","","","","ItemId|TransDate|T2.InventSiteId|T2.InventLocationId",$A316,PeriodBeginning,$B316,$C316)</f>
        <v>0</v>
      </c>
      <c r="K316" s="4">
        <f>_xll.AtlasFormulas.AtlasFunctions.AtlasBalance("PROD",DataAreaId,"T.TPPTrans_sst|InventDimId~inventDimId@T.InventDim","Sum|CostAmount|0","","","","","","","ItemId|TransDate|T2.InventSiteId|T2.InventLocationId",$A316,PeriodEnding,$B316,$C316)</f>
        <v>0</v>
      </c>
      <c r="L316" s="4">
        <f>AtlasReport_4_Table_1[[#This Row],[TPP cost amount]]-AtlasReport_4_Table_1[[#This Row],[TPP trans backwards balance (Beginning)]]</f>
        <v>0</v>
      </c>
      <c r="M316" s="4">
        <f>AtlasReport_4_Table_1[[#This Row],[TPP cost amount]]-AtlasReport_4_Table_1[[#This Row],[TPP Balance (Beginning)]]</f>
        <v>0</v>
      </c>
    </row>
    <row r="317" spans="1:13" x14ac:dyDescent="0.25">
      <c r="A317" s="8" t="s">
        <v>521</v>
      </c>
      <c r="B317" s="8" t="s">
        <v>261</v>
      </c>
      <c r="C317" s="8" t="s">
        <v>264</v>
      </c>
      <c r="D317" s="4">
        <v>58</v>
      </c>
      <c r="E317" s="4">
        <v>0</v>
      </c>
      <c r="F317" s="4">
        <f>_xll.AtlasFormulas.AtlasFunctions.AtlasBalance("PROD",DataAreaId,"T.TPPTrans_sst|InventDimId~inventDimId@T.InventDim","Sum|Qty|0","","","","","","","ItemId|TransDate|T2.InventSiteId|T2.InventLocationId",$A317,PeriodBeginning,$B317,$C317)</f>
        <v>0</v>
      </c>
      <c r="G317" s="4">
        <f>_xll.AtlasFormulas.AtlasFunctions.AtlasBalance("PROD",DataAreaId,"T.TPPTrans_sst|InventDimId~inventDimId@T.InventDim","Sum|Qty|0","","","","","","","ItemId|TransDate|T2.InventSiteId|T2.InventLocationId",$A317,PeriodEnding,$B317,$C317)</f>
        <v>0</v>
      </c>
      <c r="H317" s="4">
        <f>AtlasReport_4_Table_1[[#This Row],[Quantity]]-AtlasReport_4_Table_1[[#This Row],[TPP trans backwards (Beginning)]]</f>
        <v>58</v>
      </c>
      <c r="I317" s="4">
        <f>AtlasReport_4_Table_1[[#This Row],[Quantity]]-AtlasReport_4_Table_1[[#This Row],[TPP trans backwards (Ending)]]</f>
        <v>58</v>
      </c>
      <c r="J317" s="4">
        <f>_xll.AtlasFormulas.AtlasFunctions.AtlasBalance("PROD",DataAreaId,"T.TPPTrans_sst|InventDimId~inventDimId@T.InventDim","Sum|CostAmount|0","","","","","","","ItemId|TransDate|T2.InventSiteId|T2.InventLocationId",$A317,PeriodBeginning,$B317,$C317)</f>
        <v>0</v>
      </c>
      <c r="K317" s="4">
        <f>_xll.AtlasFormulas.AtlasFunctions.AtlasBalance("PROD",DataAreaId,"T.TPPTrans_sst|InventDimId~inventDimId@T.InventDim","Sum|CostAmount|0","","","","","","","ItemId|TransDate|T2.InventSiteId|T2.InventLocationId",$A317,PeriodEnding,$B317,$C317)</f>
        <v>0</v>
      </c>
      <c r="L317" s="4">
        <f>AtlasReport_4_Table_1[[#This Row],[TPP cost amount]]-AtlasReport_4_Table_1[[#This Row],[TPP trans backwards balance (Beginning)]]</f>
        <v>0</v>
      </c>
      <c r="M317" s="4">
        <f>AtlasReport_4_Table_1[[#This Row],[TPP cost amount]]-AtlasReport_4_Table_1[[#This Row],[TPP Balance (Beginning)]]</f>
        <v>0</v>
      </c>
    </row>
    <row r="318" spans="1:13" x14ac:dyDescent="0.25">
      <c r="A318" s="8" t="s">
        <v>522</v>
      </c>
      <c r="B318" s="8" t="s">
        <v>261</v>
      </c>
      <c r="C318" s="8" t="s">
        <v>264</v>
      </c>
      <c r="D318" s="4">
        <v>16</v>
      </c>
      <c r="E318" s="4">
        <v>0</v>
      </c>
      <c r="F318" s="4">
        <f>_xll.AtlasFormulas.AtlasFunctions.AtlasBalance("PROD",DataAreaId,"T.TPPTrans_sst|InventDimId~inventDimId@T.InventDim","Sum|Qty|0","","","","","","","ItemId|TransDate|T2.InventSiteId|T2.InventLocationId",$A318,PeriodBeginning,$B318,$C318)</f>
        <v>0</v>
      </c>
      <c r="G318" s="4">
        <f>_xll.AtlasFormulas.AtlasFunctions.AtlasBalance("PROD",DataAreaId,"T.TPPTrans_sst|InventDimId~inventDimId@T.InventDim","Sum|Qty|0","","","","","","","ItemId|TransDate|T2.InventSiteId|T2.InventLocationId",$A318,PeriodEnding,$B318,$C318)</f>
        <v>0</v>
      </c>
      <c r="H318" s="4">
        <f>AtlasReport_4_Table_1[[#This Row],[Quantity]]-AtlasReport_4_Table_1[[#This Row],[TPP trans backwards (Beginning)]]</f>
        <v>16</v>
      </c>
      <c r="I318" s="4">
        <f>AtlasReport_4_Table_1[[#This Row],[Quantity]]-AtlasReport_4_Table_1[[#This Row],[TPP trans backwards (Ending)]]</f>
        <v>16</v>
      </c>
      <c r="J318" s="4">
        <f>_xll.AtlasFormulas.AtlasFunctions.AtlasBalance("PROD",DataAreaId,"T.TPPTrans_sst|InventDimId~inventDimId@T.InventDim","Sum|CostAmount|0","","","","","","","ItemId|TransDate|T2.InventSiteId|T2.InventLocationId",$A318,PeriodBeginning,$B318,$C318)</f>
        <v>0</v>
      </c>
      <c r="K318" s="4">
        <f>_xll.AtlasFormulas.AtlasFunctions.AtlasBalance("PROD",DataAreaId,"T.TPPTrans_sst|InventDimId~inventDimId@T.InventDim","Sum|CostAmount|0","","","","","","","ItemId|TransDate|T2.InventSiteId|T2.InventLocationId",$A318,PeriodEnding,$B318,$C318)</f>
        <v>0</v>
      </c>
      <c r="L318" s="4">
        <f>AtlasReport_4_Table_1[[#This Row],[TPP cost amount]]-AtlasReport_4_Table_1[[#This Row],[TPP trans backwards balance (Beginning)]]</f>
        <v>0</v>
      </c>
      <c r="M318" s="4">
        <f>AtlasReport_4_Table_1[[#This Row],[TPP cost amount]]-AtlasReport_4_Table_1[[#This Row],[TPP Balance (Beginning)]]</f>
        <v>0</v>
      </c>
    </row>
    <row r="319" spans="1:13" x14ac:dyDescent="0.25">
      <c r="A319" s="8" t="s">
        <v>523</v>
      </c>
      <c r="B319" s="8" t="s">
        <v>261</v>
      </c>
      <c r="C319" s="8" t="s">
        <v>264</v>
      </c>
      <c r="D319" s="4">
        <v>880</v>
      </c>
      <c r="E319" s="4">
        <v>0</v>
      </c>
      <c r="F319" s="4">
        <f>_xll.AtlasFormulas.AtlasFunctions.AtlasBalance("PROD",DataAreaId,"T.TPPTrans_sst|InventDimId~inventDimId@T.InventDim","Sum|Qty|0","","","","","","","ItemId|TransDate|T2.InventSiteId|T2.InventLocationId",$A319,PeriodBeginning,$B319,$C319)</f>
        <v>0</v>
      </c>
      <c r="G319" s="4">
        <f>_xll.AtlasFormulas.AtlasFunctions.AtlasBalance("PROD",DataAreaId,"T.TPPTrans_sst|InventDimId~inventDimId@T.InventDim","Sum|Qty|0","","","","","","","ItemId|TransDate|T2.InventSiteId|T2.InventLocationId",$A319,PeriodEnding,$B319,$C319)</f>
        <v>0</v>
      </c>
      <c r="H319" s="4">
        <f>AtlasReport_4_Table_1[[#This Row],[Quantity]]-AtlasReport_4_Table_1[[#This Row],[TPP trans backwards (Beginning)]]</f>
        <v>880</v>
      </c>
      <c r="I319" s="4">
        <f>AtlasReport_4_Table_1[[#This Row],[Quantity]]-AtlasReport_4_Table_1[[#This Row],[TPP trans backwards (Ending)]]</f>
        <v>880</v>
      </c>
      <c r="J319" s="4">
        <f>_xll.AtlasFormulas.AtlasFunctions.AtlasBalance("PROD",DataAreaId,"T.TPPTrans_sst|InventDimId~inventDimId@T.InventDim","Sum|CostAmount|0","","","","","","","ItemId|TransDate|T2.InventSiteId|T2.InventLocationId",$A319,PeriodBeginning,$B319,$C319)</f>
        <v>0</v>
      </c>
      <c r="K319" s="4">
        <f>_xll.AtlasFormulas.AtlasFunctions.AtlasBalance("PROD",DataAreaId,"T.TPPTrans_sst|InventDimId~inventDimId@T.InventDim","Sum|CostAmount|0","","","","","","","ItemId|TransDate|T2.InventSiteId|T2.InventLocationId",$A319,PeriodEnding,$B319,$C319)</f>
        <v>0</v>
      </c>
      <c r="L319" s="4">
        <f>AtlasReport_4_Table_1[[#This Row],[TPP cost amount]]-AtlasReport_4_Table_1[[#This Row],[TPP trans backwards balance (Beginning)]]</f>
        <v>0</v>
      </c>
      <c r="M319" s="4">
        <f>AtlasReport_4_Table_1[[#This Row],[TPP cost amount]]-AtlasReport_4_Table_1[[#This Row],[TPP Balance (Beginning)]]</f>
        <v>0</v>
      </c>
    </row>
    <row r="320" spans="1:13" x14ac:dyDescent="0.25">
      <c r="A320" s="8" t="s">
        <v>542</v>
      </c>
      <c r="B320" s="8" t="s">
        <v>261</v>
      </c>
      <c r="C320" s="8" t="s">
        <v>264</v>
      </c>
      <c r="D320" s="4">
        <v>47</v>
      </c>
      <c r="E320" s="4">
        <v>0</v>
      </c>
      <c r="F320" s="4">
        <f>_xll.AtlasFormulas.AtlasFunctions.AtlasBalance("PROD",DataAreaId,"T.TPPTrans_sst|InventDimId~inventDimId@T.InventDim","Sum|Qty|0","","","","","","","ItemId|TransDate|T2.InventSiteId|T2.InventLocationId",$A320,PeriodBeginning,$B320,$C320)</f>
        <v>0</v>
      </c>
      <c r="G320" s="4">
        <f>_xll.AtlasFormulas.AtlasFunctions.AtlasBalance("PROD",DataAreaId,"T.TPPTrans_sst|InventDimId~inventDimId@T.InventDim","Sum|Qty|0","","","","","","","ItemId|TransDate|T2.InventSiteId|T2.InventLocationId",$A320,PeriodEnding,$B320,$C320)</f>
        <v>0</v>
      </c>
      <c r="H320" s="4">
        <f>AtlasReport_4_Table_1[[#This Row],[Quantity]]-AtlasReport_4_Table_1[[#This Row],[TPP trans backwards (Beginning)]]</f>
        <v>47</v>
      </c>
      <c r="I320" s="4">
        <f>AtlasReport_4_Table_1[[#This Row],[Quantity]]-AtlasReport_4_Table_1[[#This Row],[TPP trans backwards (Ending)]]</f>
        <v>47</v>
      </c>
      <c r="J320" s="4">
        <f>_xll.AtlasFormulas.AtlasFunctions.AtlasBalance("PROD",DataAreaId,"T.TPPTrans_sst|InventDimId~inventDimId@T.InventDim","Sum|CostAmount|0","","","","","","","ItemId|TransDate|T2.InventSiteId|T2.InventLocationId",$A320,PeriodBeginning,$B320,$C320)</f>
        <v>0</v>
      </c>
      <c r="K320" s="4">
        <f>_xll.AtlasFormulas.AtlasFunctions.AtlasBalance("PROD",DataAreaId,"T.TPPTrans_sst|InventDimId~inventDimId@T.InventDim","Sum|CostAmount|0","","","","","","","ItemId|TransDate|T2.InventSiteId|T2.InventLocationId",$A320,PeriodEnding,$B320,$C320)</f>
        <v>0</v>
      </c>
      <c r="L320" s="4">
        <f>AtlasReport_4_Table_1[[#This Row],[TPP cost amount]]-AtlasReport_4_Table_1[[#This Row],[TPP trans backwards balance (Beginning)]]</f>
        <v>0</v>
      </c>
      <c r="M320" s="4">
        <f>AtlasReport_4_Table_1[[#This Row],[TPP cost amount]]-AtlasReport_4_Table_1[[#This Row],[TPP Balance (Beginning)]]</f>
        <v>0</v>
      </c>
    </row>
    <row r="321" spans="1:13" x14ac:dyDescent="0.25">
      <c r="A321" s="8" t="s">
        <v>68</v>
      </c>
      <c r="B321" s="8" t="s">
        <v>261</v>
      </c>
      <c r="C321" s="8" t="s">
        <v>289</v>
      </c>
      <c r="D321" s="4">
        <v>1</v>
      </c>
      <c r="E321" s="4">
        <v>-3.0002083460000002E-3</v>
      </c>
      <c r="F321" s="4">
        <f>_xll.AtlasFormulas.AtlasFunctions.AtlasBalance("PROD",DataAreaId,"T.TPPTrans_sst|InventDimId~inventDimId@T.InventDim","Sum|Qty|0","","","","","","","ItemId|TransDate|T2.InventSiteId|T2.InventLocationId",$A321,PeriodBeginning,$B321,$C321)</f>
        <v>0</v>
      </c>
      <c r="G321" s="4">
        <f>_xll.AtlasFormulas.AtlasFunctions.AtlasBalance("PROD",DataAreaId,"T.TPPTrans_sst|InventDimId~inventDimId@T.InventDim","Sum|Qty|0","","","","","","","ItemId|TransDate|T2.InventSiteId|T2.InventLocationId",$A321,PeriodEnding,$B321,$C321)</f>
        <v>0</v>
      </c>
      <c r="H321" s="4">
        <f>AtlasReport_4_Table_1[[#This Row],[Quantity]]-AtlasReport_4_Table_1[[#This Row],[TPP trans backwards (Beginning)]]</f>
        <v>1</v>
      </c>
      <c r="I321" s="4">
        <f>AtlasReport_4_Table_1[[#This Row],[Quantity]]-AtlasReport_4_Table_1[[#This Row],[TPP trans backwards (Ending)]]</f>
        <v>1</v>
      </c>
      <c r="J321" s="4">
        <f>_xll.AtlasFormulas.AtlasFunctions.AtlasBalance("PROD",DataAreaId,"T.TPPTrans_sst|InventDimId~inventDimId@T.InventDim","Sum|CostAmount|0","","","","","","","ItemId|TransDate|T2.InventSiteId|T2.InventLocationId",$A321,PeriodBeginning,$B321,$C321)</f>
        <v>0</v>
      </c>
      <c r="K321" s="4">
        <f>_xll.AtlasFormulas.AtlasFunctions.AtlasBalance("PROD",DataAreaId,"T.TPPTrans_sst|InventDimId~inventDimId@T.InventDim","Sum|CostAmount|0","","","","","","","ItemId|TransDate|T2.InventSiteId|T2.InventLocationId",$A321,PeriodEnding,$B321,$C321)</f>
        <v>0</v>
      </c>
      <c r="L321" s="4">
        <f>AtlasReport_4_Table_1[[#This Row],[TPP cost amount]]-AtlasReport_4_Table_1[[#This Row],[TPP trans backwards balance (Beginning)]]</f>
        <v>-3.0002083460000002E-3</v>
      </c>
      <c r="M321" s="4">
        <f>AtlasReport_4_Table_1[[#This Row],[TPP cost amount]]-AtlasReport_4_Table_1[[#This Row],[TPP Balance (Beginning)]]</f>
        <v>0</v>
      </c>
    </row>
    <row r="322" spans="1:13" x14ac:dyDescent="0.25">
      <c r="A322" s="8" t="s">
        <v>68</v>
      </c>
      <c r="B322" s="8" t="s">
        <v>261</v>
      </c>
      <c r="C322" s="8" t="s">
        <v>264</v>
      </c>
      <c r="D322" s="4">
        <v>0</v>
      </c>
      <c r="E322" s="4">
        <v>-1.5001041730000001E-3</v>
      </c>
      <c r="F322" s="4">
        <f>_xll.AtlasFormulas.AtlasFunctions.AtlasBalance("PROD",DataAreaId,"T.TPPTrans_sst|InventDimId~inventDimId@T.InventDim","Sum|Qty|0","","","","","","","ItemId|TransDate|T2.InventSiteId|T2.InventLocationId",$A322,PeriodBeginning,$B322,$C322)</f>
        <v>0</v>
      </c>
      <c r="G322" s="4">
        <f>_xll.AtlasFormulas.AtlasFunctions.AtlasBalance("PROD",DataAreaId,"T.TPPTrans_sst|InventDimId~inventDimId@T.InventDim","Sum|Qty|0","","","","","","","ItemId|TransDate|T2.InventSiteId|T2.InventLocationId",$A322,PeriodEnding,$B322,$C322)</f>
        <v>0</v>
      </c>
      <c r="H322" s="4">
        <f>AtlasReport_4_Table_1[[#This Row],[Quantity]]-AtlasReport_4_Table_1[[#This Row],[TPP trans backwards (Beginning)]]</f>
        <v>0</v>
      </c>
      <c r="I322" s="4">
        <f>AtlasReport_4_Table_1[[#This Row],[Quantity]]-AtlasReport_4_Table_1[[#This Row],[TPP trans backwards (Ending)]]</f>
        <v>0</v>
      </c>
      <c r="J322" s="4">
        <f>_xll.AtlasFormulas.AtlasFunctions.AtlasBalance("PROD",DataAreaId,"T.TPPTrans_sst|InventDimId~inventDimId@T.InventDim","Sum|CostAmount|0","","","","","","","ItemId|TransDate|T2.InventSiteId|T2.InventLocationId",$A322,PeriodBeginning,$B322,$C322)</f>
        <v>0</v>
      </c>
      <c r="K322" s="4">
        <f>_xll.AtlasFormulas.AtlasFunctions.AtlasBalance("PROD",DataAreaId,"T.TPPTrans_sst|InventDimId~inventDimId@T.InventDim","Sum|CostAmount|0","","","","","","","ItemId|TransDate|T2.InventSiteId|T2.InventLocationId",$A322,PeriodEnding,$B322,$C322)</f>
        <v>0</v>
      </c>
      <c r="L322" s="4">
        <f>AtlasReport_4_Table_1[[#This Row],[TPP cost amount]]-AtlasReport_4_Table_1[[#This Row],[TPP trans backwards balance (Beginning)]]</f>
        <v>-1.5001041730000001E-3</v>
      </c>
      <c r="M322" s="4">
        <f>AtlasReport_4_Table_1[[#This Row],[TPP cost amount]]-AtlasReport_4_Table_1[[#This Row],[TPP Balance (Beginning)]]</f>
        <v>0</v>
      </c>
    </row>
    <row r="323" spans="1:13" x14ac:dyDescent="0.25">
      <c r="A323" s="8" t="s">
        <v>240</v>
      </c>
      <c r="B323" s="8" t="s">
        <v>261</v>
      </c>
      <c r="C323" s="8" t="s">
        <v>264</v>
      </c>
      <c r="D323" s="4">
        <v>84</v>
      </c>
      <c r="E323" s="4">
        <v>1043.1049108994559</v>
      </c>
      <c r="F323" s="4">
        <f>_xll.AtlasFormulas.AtlasFunctions.AtlasBalance("PROD",DataAreaId,"T.TPPTrans_sst|InventDimId~inventDimId@T.InventDim","Sum|Qty|0","","","","","","","ItemId|TransDate|T2.InventSiteId|T2.InventLocationId",$A323,PeriodBeginning,$B323,$C323)</f>
        <v>0</v>
      </c>
      <c r="G323" s="4">
        <f>_xll.AtlasFormulas.AtlasFunctions.AtlasBalance("PROD",DataAreaId,"T.TPPTrans_sst|InventDimId~inventDimId@T.InventDim","Sum|Qty|0","","","","","","","ItemId|TransDate|T2.InventSiteId|T2.InventLocationId",$A323,PeriodEnding,$B323,$C323)</f>
        <v>0</v>
      </c>
      <c r="H323" s="4">
        <f>AtlasReport_4_Table_1[[#This Row],[Quantity]]-AtlasReport_4_Table_1[[#This Row],[TPP trans backwards (Beginning)]]</f>
        <v>84</v>
      </c>
      <c r="I323" s="4">
        <f>AtlasReport_4_Table_1[[#This Row],[Quantity]]-AtlasReport_4_Table_1[[#This Row],[TPP trans backwards (Ending)]]</f>
        <v>84</v>
      </c>
      <c r="J323" s="4">
        <f>_xll.AtlasFormulas.AtlasFunctions.AtlasBalance("PROD",DataAreaId,"T.TPPTrans_sst|InventDimId~inventDimId@T.InventDim","Sum|CostAmount|0","","","","","","","ItemId|TransDate|T2.InventSiteId|T2.InventLocationId",$A323,PeriodBeginning,$B323,$C323)</f>
        <v>0</v>
      </c>
      <c r="K323" s="4">
        <f>_xll.AtlasFormulas.AtlasFunctions.AtlasBalance("PROD",DataAreaId,"T.TPPTrans_sst|InventDimId~inventDimId@T.InventDim","Sum|CostAmount|0","","","","","","","ItemId|TransDate|T2.InventSiteId|T2.InventLocationId",$A323,PeriodEnding,$B323,$C323)</f>
        <v>0</v>
      </c>
      <c r="L323" s="4">
        <f>AtlasReport_4_Table_1[[#This Row],[TPP cost amount]]-AtlasReport_4_Table_1[[#This Row],[TPP trans backwards balance (Beginning)]]</f>
        <v>1043.1049108994559</v>
      </c>
      <c r="M323" s="4">
        <f>AtlasReport_4_Table_1[[#This Row],[TPP cost amount]]-AtlasReport_4_Table_1[[#This Row],[TPP Balance (Beginning)]]</f>
        <v>0</v>
      </c>
    </row>
    <row r="324" spans="1:13" x14ac:dyDescent="0.25">
      <c r="A324" s="8" t="s">
        <v>242</v>
      </c>
      <c r="B324" s="8" t="s">
        <v>261</v>
      </c>
      <c r="C324" s="8" t="s">
        <v>264</v>
      </c>
      <c r="D324" s="4">
        <v>104</v>
      </c>
      <c r="E324" s="4">
        <v>720.7</v>
      </c>
      <c r="F324" s="4">
        <f>_xll.AtlasFormulas.AtlasFunctions.AtlasBalance("PROD",DataAreaId,"T.TPPTrans_sst|InventDimId~inventDimId@T.InventDim","Sum|Qty|0","","","","","","","ItemId|TransDate|T2.InventSiteId|T2.InventLocationId",$A324,PeriodBeginning,$B324,$C324)</f>
        <v>-3</v>
      </c>
      <c r="G324" s="4">
        <f>_xll.AtlasFormulas.AtlasFunctions.AtlasBalance("PROD",DataAreaId,"T.TPPTrans_sst|InventDimId~inventDimId@T.InventDim","Sum|Qty|0","","","","","","","ItemId|TransDate|T2.InventSiteId|T2.InventLocationId",$A324,PeriodEnding,$B324,$C324)</f>
        <v>0</v>
      </c>
      <c r="H324" s="4">
        <f>AtlasReport_4_Table_1[[#This Row],[Quantity]]-AtlasReport_4_Table_1[[#This Row],[TPP trans backwards (Beginning)]]</f>
        <v>107</v>
      </c>
      <c r="I324" s="4">
        <f>AtlasReport_4_Table_1[[#This Row],[Quantity]]-AtlasReport_4_Table_1[[#This Row],[TPP trans backwards (Ending)]]</f>
        <v>104</v>
      </c>
      <c r="J324" s="4">
        <f>_xll.AtlasFormulas.AtlasFunctions.AtlasBalance("PROD",DataAreaId,"T.TPPTrans_sst|InventDimId~inventDimId@T.InventDim","Sum|CostAmount|0","","","","","","","ItemId|TransDate|T2.InventSiteId|T2.InventLocationId",$A324,PeriodBeginning,$B324,$C324)</f>
        <v>-20.79</v>
      </c>
      <c r="K324" s="4">
        <f>_xll.AtlasFormulas.AtlasFunctions.AtlasBalance("PROD",DataAreaId,"T.TPPTrans_sst|InventDimId~inventDimId@T.InventDim","Sum|CostAmount|0","","","","","","","ItemId|TransDate|T2.InventSiteId|T2.InventLocationId",$A324,PeriodEnding,$B324,$C324)</f>
        <v>0</v>
      </c>
      <c r="L324" s="4">
        <f>AtlasReport_4_Table_1[[#This Row],[TPP cost amount]]-AtlasReport_4_Table_1[[#This Row],[TPP trans backwards balance (Beginning)]]</f>
        <v>741.49</v>
      </c>
      <c r="M324" s="4">
        <f>AtlasReport_4_Table_1[[#This Row],[TPP cost amount]]-AtlasReport_4_Table_1[[#This Row],[TPP Balance (Beginning)]]</f>
        <v>-20.789999999999964</v>
      </c>
    </row>
    <row r="325" spans="1:13" x14ac:dyDescent="0.25">
      <c r="A325" s="8" t="s">
        <v>117</v>
      </c>
      <c r="B325" s="8" t="s">
        <v>261</v>
      </c>
      <c r="C325" s="8" t="s">
        <v>289</v>
      </c>
      <c r="D325" s="4">
        <v>0</v>
      </c>
      <c r="E325" s="4">
        <v>4.9603407129999999E-3</v>
      </c>
      <c r="F325" s="4">
        <f>_xll.AtlasFormulas.AtlasFunctions.AtlasBalance("PROD",DataAreaId,"T.TPPTrans_sst|InventDimId~inventDimId@T.InventDim","Sum|Qty|0","","","","","","","ItemId|TransDate|T2.InventSiteId|T2.InventLocationId",$A325,PeriodBeginning,$B325,$C325)</f>
        <v>0</v>
      </c>
      <c r="G325" s="4">
        <f>_xll.AtlasFormulas.AtlasFunctions.AtlasBalance("PROD",DataAreaId,"T.TPPTrans_sst|InventDimId~inventDimId@T.InventDim","Sum|Qty|0","","","","","","","ItemId|TransDate|T2.InventSiteId|T2.InventLocationId",$A325,PeriodEnding,$B325,$C325)</f>
        <v>0</v>
      </c>
      <c r="H325" s="4">
        <f>AtlasReport_4_Table_1[[#This Row],[Quantity]]-AtlasReport_4_Table_1[[#This Row],[TPP trans backwards (Beginning)]]</f>
        <v>0</v>
      </c>
      <c r="I325" s="4">
        <f>AtlasReport_4_Table_1[[#This Row],[Quantity]]-AtlasReport_4_Table_1[[#This Row],[TPP trans backwards (Ending)]]</f>
        <v>0</v>
      </c>
      <c r="J325" s="4">
        <f>_xll.AtlasFormulas.AtlasFunctions.AtlasBalance("PROD",DataAreaId,"T.TPPTrans_sst|InventDimId~inventDimId@T.InventDim","Sum|CostAmount|0","","","","","","","ItemId|TransDate|T2.InventSiteId|T2.InventLocationId",$A325,PeriodBeginning,$B325,$C325)</f>
        <v>0</v>
      </c>
      <c r="K325" s="4">
        <f>_xll.AtlasFormulas.AtlasFunctions.AtlasBalance("PROD",DataAreaId,"T.TPPTrans_sst|InventDimId~inventDimId@T.InventDim","Sum|CostAmount|0","","","","","","","ItemId|TransDate|T2.InventSiteId|T2.InventLocationId",$A325,PeriodEnding,$B325,$C325)</f>
        <v>0</v>
      </c>
      <c r="L325" s="4">
        <f>AtlasReport_4_Table_1[[#This Row],[TPP cost amount]]-AtlasReport_4_Table_1[[#This Row],[TPP trans backwards balance (Beginning)]]</f>
        <v>4.9603407129999999E-3</v>
      </c>
      <c r="M325" s="4">
        <f>AtlasReport_4_Table_1[[#This Row],[TPP cost amount]]-AtlasReport_4_Table_1[[#This Row],[TPP Balance (Beginning)]]</f>
        <v>0</v>
      </c>
    </row>
    <row r="326" spans="1:13" x14ac:dyDescent="0.25">
      <c r="A326" s="8" t="s">
        <v>117</v>
      </c>
      <c r="B326" s="8" t="s">
        <v>261</v>
      </c>
      <c r="C326" s="8" t="s">
        <v>264</v>
      </c>
      <c r="D326" s="4">
        <v>0</v>
      </c>
      <c r="E326" s="4">
        <v>-4.7591144000000001E-4</v>
      </c>
      <c r="F326" s="4">
        <f>_xll.AtlasFormulas.AtlasFunctions.AtlasBalance("PROD",DataAreaId,"T.TPPTrans_sst|InventDimId~inventDimId@T.InventDim","Sum|Qty|0","","","","","","","ItemId|TransDate|T2.InventSiteId|T2.InventLocationId",$A326,PeriodBeginning,$B326,$C326)</f>
        <v>-2</v>
      </c>
      <c r="G326" s="4">
        <f>_xll.AtlasFormulas.AtlasFunctions.AtlasBalance("PROD",DataAreaId,"T.TPPTrans_sst|InventDimId~inventDimId@T.InventDim","Sum|Qty|0","","","","","","","ItemId|TransDate|T2.InventSiteId|T2.InventLocationId",$A326,PeriodEnding,$B326,$C326)</f>
        <v>0</v>
      </c>
      <c r="H326" s="4">
        <f>AtlasReport_4_Table_1[[#This Row],[Quantity]]-AtlasReport_4_Table_1[[#This Row],[TPP trans backwards (Beginning)]]</f>
        <v>2</v>
      </c>
      <c r="I326" s="4">
        <f>AtlasReport_4_Table_1[[#This Row],[Quantity]]-AtlasReport_4_Table_1[[#This Row],[TPP trans backwards (Ending)]]</f>
        <v>0</v>
      </c>
      <c r="J326" s="4">
        <f>_xll.AtlasFormulas.AtlasFunctions.AtlasBalance("PROD",DataAreaId,"T.TPPTrans_sst|InventDimId~inventDimId@T.InventDim","Sum|CostAmount|0","","","","","","","ItemId|TransDate|T2.InventSiteId|T2.InventLocationId",$A326,PeriodBeginning,$B326,$C326)</f>
        <v>-17.190000000000001</v>
      </c>
      <c r="K326" s="4">
        <f>_xll.AtlasFormulas.AtlasFunctions.AtlasBalance("PROD",DataAreaId,"T.TPPTrans_sst|InventDimId~inventDimId@T.InventDim","Sum|CostAmount|0","","","","","","","ItemId|TransDate|T2.InventSiteId|T2.InventLocationId",$A326,PeriodEnding,$B326,$C326)</f>
        <v>0</v>
      </c>
      <c r="L326" s="4">
        <f>AtlasReport_4_Table_1[[#This Row],[TPP cost amount]]-AtlasReport_4_Table_1[[#This Row],[TPP trans backwards balance (Beginning)]]</f>
        <v>17.189524088560002</v>
      </c>
      <c r="M326" s="4">
        <f>AtlasReport_4_Table_1[[#This Row],[TPP cost amount]]-AtlasReport_4_Table_1[[#This Row],[TPP Balance (Beginning)]]</f>
        <v>-17.190000000000001</v>
      </c>
    </row>
    <row r="327" spans="1:13" x14ac:dyDescent="0.25">
      <c r="A327" s="8" t="s">
        <v>244</v>
      </c>
      <c r="B327" s="8" t="s">
        <v>261</v>
      </c>
      <c r="C327" s="8" t="s">
        <v>264</v>
      </c>
      <c r="D327" s="4">
        <v>70</v>
      </c>
      <c r="E327" s="4">
        <v>617.23</v>
      </c>
      <c r="F327" s="4">
        <f>_xll.AtlasFormulas.AtlasFunctions.AtlasBalance("PROD",DataAreaId,"T.TPPTrans_sst|InventDimId~inventDimId@T.InventDim","Sum|Qty|0","","","","","","","ItemId|TransDate|T2.InventSiteId|T2.InventLocationId",$A327,PeriodBeginning,$B327,$C327)</f>
        <v>0</v>
      </c>
      <c r="G327" s="4">
        <f>_xll.AtlasFormulas.AtlasFunctions.AtlasBalance("PROD",DataAreaId,"T.TPPTrans_sst|InventDimId~inventDimId@T.InventDim","Sum|Qty|0","","","","","","","ItemId|TransDate|T2.InventSiteId|T2.InventLocationId",$A327,PeriodEnding,$B327,$C327)</f>
        <v>0</v>
      </c>
      <c r="H327" s="4">
        <f>AtlasReport_4_Table_1[[#This Row],[Quantity]]-AtlasReport_4_Table_1[[#This Row],[TPP trans backwards (Beginning)]]</f>
        <v>70</v>
      </c>
      <c r="I327" s="4">
        <f>AtlasReport_4_Table_1[[#This Row],[Quantity]]-AtlasReport_4_Table_1[[#This Row],[TPP trans backwards (Ending)]]</f>
        <v>70</v>
      </c>
      <c r="J327" s="4">
        <f>_xll.AtlasFormulas.AtlasFunctions.AtlasBalance("PROD",DataAreaId,"T.TPPTrans_sst|InventDimId~inventDimId@T.InventDim","Sum|CostAmount|0","","","","","","","ItemId|TransDate|T2.InventSiteId|T2.InventLocationId",$A327,PeriodBeginning,$B327,$C327)</f>
        <v>-2.33</v>
      </c>
      <c r="K327" s="4">
        <f>_xll.AtlasFormulas.AtlasFunctions.AtlasBalance("PROD",DataAreaId,"T.TPPTrans_sst|InventDimId~inventDimId@T.InventDim","Sum|CostAmount|0","","","","","","","ItemId|TransDate|T2.InventSiteId|T2.InventLocationId",$A327,PeriodEnding,$B327,$C327)</f>
        <v>0</v>
      </c>
      <c r="L327" s="4">
        <f>AtlasReport_4_Table_1[[#This Row],[TPP cost amount]]-AtlasReport_4_Table_1[[#This Row],[TPP trans backwards balance (Beginning)]]</f>
        <v>619.56000000000006</v>
      </c>
      <c r="M327" s="4">
        <f>AtlasReport_4_Table_1[[#This Row],[TPP cost amount]]-AtlasReport_4_Table_1[[#This Row],[TPP Balance (Beginning)]]</f>
        <v>-2.3300000000000409</v>
      </c>
    </row>
    <row r="328" spans="1:13" x14ac:dyDescent="0.25">
      <c r="A328" s="8" t="s">
        <v>546</v>
      </c>
      <c r="B328" s="8" t="s">
        <v>261</v>
      </c>
      <c r="C328" s="8" t="s">
        <v>264</v>
      </c>
      <c r="D328" s="4">
        <v>64</v>
      </c>
      <c r="E328" s="4">
        <v>0</v>
      </c>
      <c r="F328" s="4">
        <f>_xll.AtlasFormulas.AtlasFunctions.AtlasBalance("PROD",DataAreaId,"T.TPPTrans_sst|InventDimId~inventDimId@T.InventDim","Sum|Qty|0","","","","","","","ItemId|TransDate|T2.InventSiteId|T2.InventLocationId",$A328,PeriodBeginning,$B328,$C328)</f>
        <v>0</v>
      </c>
      <c r="G328" s="4">
        <f>_xll.AtlasFormulas.AtlasFunctions.AtlasBalance("PROD",DataAreaId,"T.TPPTrans_sst|InventDimId~inventDimId@T.InventDim","Sum|Qty|0","","","","","","","ItemId|TransDate|T2.InventSiteId|T2.InventLocationId",$A328,PeriodEnding,$B328,$C328)</f>
        <v>0</v>
      </c>
      <c r="H328" s="4">
        <f>AtlasReport_4_Table_1[[#This Row],[Quantity]]-AtlasReport_4_Table_1[[#This Row],[TPP trans backwards (Beginning)]]</f>
        <v>64</v>
      </c>
      <c r="I328" s="4">
        <f>AtlasReport_4_Table_1[[#This Row],[Quantity]]-AtlasReport_4_Table_1[[#This Row],[TPP trans backwards (Ending)]]</f>
        <v>64</v>
      </c>
      <c r="J328" s="4">
        <f>_xll.AtlasFormulas.AtlasFunctions.AtlasBalance("PROD",DataAreaId,"T.TPPTrans_sst|InventDimId~inventDimId@T.InventDim","Sum|CostAmount|0","","","","","","","ItemId|TransDate|T2.InventSiteId|T2.InventLocationId",$A328,PeriodBeginning,$B328,$C328)</f>
        <v>0</v>
      </c>
      <c r="K328" s="4">
        <f>_xll.AtlasFormulas.AtlasFunctions.AtlasBalance("PROD",DataAreaId,"T.TPPTrans_sst|InventDimId~inventDimId@T.InventDim","Sum|CostAmount|0","","","","","","","ItemId|TransDate|T2.InventSiteId|T2.InventLocationId",$A328,PeriodEnding,$B328,$C328)</f>
        <v>0</v>
      </c>
      <c r="L328" s="4">
        <f>AtlasReport_4_Table_1[[#This Row],[TPP cost amount]]-AtlasReport_4_Table_1[[#This Row],[TPP trans backwards balance (Beginning)]]</f>
        <v>0</v>
      </c>
      <c r="M328" s="4">
        <f>AtlasReport_4_Table_1[[#This Row],[TPP cost amount]]-AtlasReport_4_Table_1[[#This Row],[TPP Balance (Beginning)]]</f>
        <v>0</v>
      </c>
    </row>
    <row r="329" spans="1:13" x14ac:dyDescent="0.25">
      <c r="A329" s="8" t="s">
        <v>550</v>
      </c>
      <c r="B329" s="8" t="s">
        <v>261</v>
      </c>
      <c r="C329" s="8" t="s">
        <v>264</v>
      </c>
      <c r="D329" s="4">
        <v>43</v>
      </c>
      <c r="E329" s="4">
        <v>0</v>
      </c>
      <c r="F329" s="4">
        <f>_xll.AtlasFormulas.AtlasFunctions.AtlasBalance("PROD",DataAreaId,"T.TPPTrans_sst|InventDimId~inventDimId@T.InventDim","Sum|Qty|0","","","","","","","ItemId|TransDate|T2.InventSiteId|T2.InventLocationId",$A329,PeriodBeginning,$B329,$C329)</f>
        <v>0</v>
      </c>
      <c r="G329" s="4">
        <f>_xll.AtlasFormulas.AtlasFunctions.AtlasBalance("PROD",DataAreaId,"T.TPPTrans_sst|InventDimId~inventDimId@T.InventDim","Sum|Qty|0","","","","","","","ItemId|TransDate|T2.InventSiteId|T2.InventLocationId",$A329,PeriodEnding,$B329,$C329)</f>
        <v>0</v>
      </c>
      <c r="H329" s="4">
        <f>AtlasReport_4_Table_1[[#This Row],[Quantity]]-AtlasReport_4_Table_1[[#This Row],[TPP trans backwards (Beginning)]]</f>
        <v>43</v>
      </c>
      <c r="I329" s="4">
        <f>AtlasReport_4_Table_1[[#This Row],[Quantity]]-AtlasReport_4_Table_1[[#This Row],[TPP trans backwards (Ending)]]</f>
        <v>43</v>
      </c>
      <c r="J329" s="4">
        <f>_xll.AtlasFormulas.AtlasFunctions.AtlasBalance("PROD",DataAreaId,"T.TPPTrans_sst|InventDimId~inventDimId@T.InventDim","Sum|CostAmount|0","","","","","","","ItemId|TransDate|T2.InventSiteId|T2.InventLocationId",$A329,PeriodBeginning,$B329,$C329)</f>
        <v>0</v>
      </c>
      <c r="K329" s="4">
        <f>_xll.AtlasFormulas.AtlasFunctions.AtlasBalance("PROD",DataAreaId,"T.TPPTrans_sst|InventDimId~inventDimId@T.InventDim","Sum|CostAmount|0","","","","","","","ItemId|TransDate|T2.InventSiteId|T2.InventLocationId",$A329,PeriodEnding,$B329,$C329)</f>
        <v>0</v>
      </c>
      <c r="L329" s="4">
        <f>AtlasReport_4_Table_1[[#This Row],[TPP cost amount]]-AtlasReport_4_Table_1[[#This Row],[TPP trans backwards balance (Beginning)]]</f>
        <v>0</v>
      </c>
      <c r="M329" s="4">
        <f>AtlasReport_4_Table_1[[#This Row],[TPP cost amount]]-AtlasReport_4_Table_1[[#This Row],[TPP Balance (Beginning)]]</f>
        <v>0</v>
      </c>
    </row>
    <row r="330" spans="1:13" x14ac:dyDescent="0.25">
      <c r="A330" s="8" t="s">
        <v>551</v>
      </c>
      <c r="B330" s="8" t="s">
        <v>261</v>
      </c>
      <c r="C330" s="8" t="s">
        <v>289</v>
      </c>
      <c r="D330" s="4">
        <v>1</v>
      </c>
      <c r="E330" s="4">
        <v>0</v>
      </c>
      <c r="F330" s="4">
        <f>_xll.AtlasFormulas.AtlasFunctions.AtlasBalance("PROD",DataAreaId,"T.TPPTrans_sst|InventDimId~inventDimId@T.InventDim","Sum|Qty|0","","","","","","","ItemId|TransDate|T2.InventSiteId|T2.InventLocationId",$A330,PeriodBeginning,$B330,$C330)</f>
        <v>0</v>
      </c>
      <c r="G330" s="4">
        <f>_xll.AtlasFormulas.AtlasFunctions.AtlasBalance("PROD",DataAreaId,"T.TPPTrans_sst|InventDimId~inventDimId@T.InventDim","Sum|Qty|0","","","","","","","ItemId|TransDate|T2.InventSiteId|T2.InventLocationId",$A330,PeriodEnding,$B330,$C330)</f>
        <v>0</v>
      </c>
      <c r="H330" s="4">
        <f>AtlasReport_4_Table_1[[#This Row],[Quantity]]-AtlasReport_4_Table_1[[#This Row],[TPP trans backwards (Beginning)]]</f>
        <v>1</v>
      </c>
      <c r="I330" s="4">
        <f>AtlasReport_4_Table_1[[#This Row],[Quantity]]-AtlasReport_4_Table_1[[#This Row],[TPP trans backwards (Ending)]]</f>
        <v>1</v>
      </c>
      <c r="J330" s="4">
        <f>_xll.AtlasFormulas.AtlasFunctions.AtlasBalance("PROD",DataAreaId,"T.TPPTrans_sst|InventDimId~inventDimId@T.InventDim","Sum|CostAmount|0","","","","","","","ItemId|TransDate|T2.InventSiteId|T2.InventLocationId",$A330,PeriodBeginning,$B330,$C330)</f>
        <v>0</v>
      </c>
      <c r="K330" s="4">
        <f>_xll.AtlasFormulas.AtlasFunctions.AtlasBalance("PROD",DataAreaId,"T.TPPTrans_sst|InventDimId~inventDimId@T.InventDim","Sum|CostAmount|0","","","","","","","ItemId|TransDate|T2.InventSiteId|T2.InventLocationId",$A330,PeriodEnding,$B330,$C330)</f>
        <v>0</v>
      </c>
      <c r="L330" s="4">
        <f>AtlasReport_4_Table_1[[#This Row],[TPP cost amount]]-AtlasReport_4_Table_1[[#This Row],[TPP trans backwards balance (Beginning)]]</f>
        <v>0</v>
      </c>
      <c r="M330" s="4">
        <f>AtlasReport_4_Table_1[[#This Row],[TPP cost amount]]-AtlasReport_4_Table_1[[#This Row],[TPP Balance (Beginning)]]</f>
        <v>0</v>
      </c>
    </row>
    <row r="331" spans="1:13" x14ac:dyDescent="0.25">
      <c r="A331" s="8" t="s">
        <v>551</v>
      </c>
      <c r="B331" s="8" t="s">
        <v>261</v>
      </c>
      <c r="C331" s="8" t="s">
        <v>264</v>
      </c>
      <c r="D331" s="4">
        <v>72</v>
      </c>
      <c r="E331" s="4">
        <v>0</v>
      </c>
      <c r="F331" s="4">
        <f>_xll.AtlasFormulas.AtlasFunctions.AtlasBalance("PROD",DataAreaId,"T.TPPTrans_sst|InventDimId~inventDimId@T.InventDim","Sum|Qty|0","","","","","","","ItemId|TransDate|T2.InventSiteId|T2.InventLocationId",$A331,PeriodBeginning,$B331,$C331)</f>
        <v>0</v>
      </c>
      <c r="G331" s="4">
        <f>_xll.AtlasFormulas.AtlasFunctions.AtlasBalance("PROD",DataAreaId,"T.TPPTrans_sst|InventDimId~inventDimId@T.InventDim","Sum|Qty|0","","","","","","","ItemId|TransDate|T2.InventSiteId|T2.InventLocationId",$A331,PeriodEnding,$B331,$C331)</f>
        <v>0</v>
      </c>
      <c r="H331" s="4">
        <f>AtlasReport_4_Table_1[[#This Row],[Quantity]]-AtlasReport_4_Table_1[[#This Row],[TPP trans backwards (Beginning)]]</f>
        <v>72</v>
      </c>
      <c r="I331" s="4">
        <f>AtlasReport_4_Table_1[[#This Row],[Quantity]]-AtlasReport_4_Table_1[[#This Row],[TPP trans backwards (Ending)]]</f>
        <v>72</v>
      </c>
      <c r="J331" s="4">
        <f>_xll.AtlasFormulas.AtlasFunctions.AtlasBalance("PROD",DataAreaId,"T.TPPTrans_sst|InventDimId~inventDimId@T.InventDim","Sum|CostAmount|0","","","","","","","ItemId|TransDate|T2.InventSiteId|T2.InventLocationId",$A331,PeriodBeginning,$B331,$C331)</f>
        <v>0</v>
      </c>
      <c r="K331" s="4">
        <f>_xll.AtlasFormulas.AtlasFunctions.AtlasBalance("PROD",DataAreaId,"T.TPPTrans_sst|InventDimId~inventDimId@T.InventDim","Sum|CostAmount|0","","","","","","","ItemId|TransDate|T2.InventSiteId|T2.InventLocationId",$A331,PeriodEnding,$B331,$C331)</f>
        <v>0</v>
      </c>
      <c r="L331" s="4">
        <f>AtlasReport_4_Table_1[[#This Row],[TPP cost amount]]-AtlasReport_4_Table_1[[#This Row],[TPP trans backwards balance (Beginning)]]</f>
        <v>0</v>
      </c>
      <c r="M331" s="4">
        <f>AtlasReport_4_Table_1[[#This Row],[TPP cost amount]]-AtlasReport_4_Table_1[[#This Row],[TPP Balance (Beginning)]]</f>
        <v>0</v>
      </c>
    </row>
    <row r="332" spans="1:13" x14ac:dyDescent="0.25">
      <c r="A332" s="8" t="s">
        <v>105</v>
      </c>
      <c r="B332" s="8" t="s">
        <v>261</v>
      </c>
      <c r="C332" s="8" t="s">
        <v>289</v>
      </c>
      <c r="D332" s="4">
        <v>1</v>
      </c>
      <c r="E332" s="4">
        <v>0</v>
      </c>
      <c r="F332" s="4">
        <f>_xll.AtlasFormulas.AtlasFunctions.AtlasBalance("PROD",DataAreaId,"T.TPPTrans_sst|InventDimId~inventDimId@T.InventDim","Sum|Qty|0","","","","","","","ItemId|TransDate|T2.InventSiteId|T2.InventLocationId",$A332,PeriodBeginning,$B332,$C332)</f>
        <v>0</v>
      </c>
      <c r="G332" s="4">
        <f>_xll.AtlasFormulas.AtlasFunctions.AtlasBalance("PROD",DataAreaId,"T.TPPTrans_sst|InventDimId~inventDimId@T.InventDim","Sum|Qty|0","","","","","","","ItemId|TransDate|T2.InventSiteId|T2.InventLocationId",$A332,PeriodEnding,$B332,$C332)</f>
        <v>0</v>
      </c>
      <c r="H332" s="4">
        <f>AtlasReport_4_Table_1[[#This Row],[Quantity]]-AtlasReport_4_Table_1[[#This Row],[TPP trans backwards (Beginning)]]</f>
        <v>1</v>
      </c>
      <c r="I332" s="4">
        <f>AtlasReport_4_Table_1[[#This Row],[Quantity]]-AtlasReport_4_Table_1[[#This Row],[TPP trans backwards (Ending)]]</f>
        <v>1</v>
      </c>
      <c r="J332" s="4">
        <f>_xll.AtlasFormulas.AtlasFunctions.AtlasBalance("PROD",DataAreaId,"T.TPPTrans_sst|InventDimId~inventDimId@T.InventDim","Sum|CostAmount|0","","","","","","","ItemId|TransDate|T2.InventSiteId|T2.InventLocationId",$A332,PeriodBeginning,$B332,$C332)</f>
        <v>0</v>
      </c>
      <c r="K332" s="4">
        <f>_xll.AtlasFormulas.AtlasFunctions.AtlasBalance("PROD",DataAreaId,"T.TPPTrans_sst|InventDimId~inventDimId@T.InventDim","Sum|CostAmount|0","","","","","","","ItemId|TransDate|T2.InventSiteId|T2.InventLocationId",$A332,PeriodEnding,$B332,$C332)</f>
        <v>0</v>
      </c>
      <c r="L332" s="4">
        <f>AtlasReport_4_Table_1[[#This Row],[TPP cost amount]]-AtlasReport_4_Table_1[[#This Row],[TPP trans backwards balance (Beginning)]]</f>
        <v>0</v>
      </c>
      <c r="M332" s="4">
        <f>AtlasReport_4_Table_1[[#This Row],[TPP cost amount]]-AtlasReport_4_Table_1[[#This Row],[TPP Balance (Beginning)]]</f>
        <v>0</v>
      </c>
    </row>
    <row r="333" spans="1:13" x14ac:dyDescent="0.25">
      <c r="A333" s="8" t="s">
        <v>105</v>
      </c>
      <c r="B333" s="8" t="s">
        <v>261</v>
      </c>
      <c r="C333" s="8" t="s">
        <v>264</v>
      </c>
      <c r="D333" s="4">
        <v>54</v>
      </c>
      <c r="E333" s="4">
        <v>0</v>
      </c>
      <c r="F333" s="4">
        <f>_xll.AtlasFormulas.AtlasFunctions.AtlasBalance("PROD",DataAreaId,"T.TPPTrans_sst|InventDimId~inventDimId@T.InventDim","Sum|Qty|0","","","","","","","ItemId|TransDate|T2.InventSiteId|T2.InventLocationId",$A333,PeriodBeginning,$B333,$C333)</f>
        <v>0</v>
      </c>
      <c r="G333" s="4">
        <f>_xll.AtlasFormulas.AtlasFunctions.AtlasBalance("PROD",DataAreaId,"T.TPPTrans_sst|InventDimId~inventDimId@T.InventDim","Sum|Qty|0","","","","","","","ItemId|TransDate|T2.InventSiteId|T2.InventLocationId",$A333,PeriodEnding,$B333,$C333)</f>
        <v>0</v>
      </c>
      <c r="H333" s="4">
        <f>AtlasReport_4_Table_1[[#This Row],[Quantity]]-AtlasReport_4_Table_1[[#This Row],[TPP trans backwards (Beginning)]]</f>
        <v>54</v>
      </c>
      <c r="I333" s="4">
        <f>AtlasReport_4_Table_1[[#This Row],[Quantity]]-AtlasReport_4_Table_1[[#This Row],[TPP trans backwards (Ending)]]</f>
        <v>54</v>
      </c>
      <c r="J333" s="4">
        <f>_xll.AtlasFormulas.AtlasFunctions.AtlasBalance("PROD",DataAreaId,"T.TPPTrans_sst|InventDimId~inventDimId@T.InventDim","Sum|CostAmount|0","","","","","","","ItemId|TransDate|T2.InventSiteId|T2.InventLocationId",$A333,PeriodBeginning,$B333,$C333)</f>
        <v>0</v>
      </c>
      <c r="K333" s="4">
        <f>_xll.AtlasFormulas.AtlasFunctions.AtlasBalance("PROD",DataAreaId,"T.TPPTrans_sst|InventDimId~inventDimId@T.InventDim","Sum|CostAmount|0","","","","","","","ItemId|TransDate|T2.InventSiteId|T2.InventLocationId",$A333,PeriodEnding,$B333,$C333)</f>
        <v>0</v>
      </c>
      <c r="L333" s="4">
        <f>AtlasReport_4_Table_1[[#This Row],[TPP cost amount]]-AtlasReport_4_Table_1[[#This Row],[TPP trans backwards balance (Beginning)]]</f>
        <v>0</v>
      </c>
      <c r="M333" s="4">
        <f>AtlasReport_4_Table_1[[#This Row],[TPP cost amount]]-AtlasReport_4_Table_1[[#This Row],[TPP Balance (Beginning)]]</f>
        <v>0</v>
      </c>
    </row>
    <row r="334" spans="1:13" x14ac:dyDescent="0.25">
      <c r="A334" s="8" t="s">
        <v>556</v>
      </c>
      <c r="B334" s="8" t="s">
        <v>261</v>
      </c>
      <c r="C334" s="8" t="s">
        <v>264</v>
      </c>
      <c r="D334" s="4">
        <v>4512.5</v>
      </c>
      <c r="E334" s="4">
        <v>0</v>
      </c>
      <c r="F334" s="4">
        <f>_xll.AtlasFormulas.AtlasFunctions.AtlasBalance("PROD",DataAreaId,"T.TPPTrans_sst|InventDimId~inventDimId@T.InventDim","Sum|Qty|0","","","","","","","ItemId|TransDate|T2.InventSiteId|T2.InventLocationId",$A334,PeriodBeginning,$B334,$C334)</f>
        <v>0</v>
      </c>
      <c r="G334" s="4">
        <f>_xll.AtlasFormulas.AtlasFunctions.AtlasBalance("PROD",DataAreaId,"T.TPPTrans_sst|InventDimId~inventDimId@T.InventDim","Sum|Qty|0","","","","","","","ItemId|TransDate|T2.InventSiteId|T2.InventLocationId",$A334,PeriodEnding,$B334,$C334)</f>
        <v>0</v>
      </c>
      <c r="H334" s="4">
        <f>AtlasReport_4_Table_1[[#This Row],[Quantity]]-AtlasReport_4_Table_1[[#This Row],[TPP trans backwards (Beginning)]]</f>
        <v>4512.5</v>
      </c>
      <c r="I334" s="4">
        <f>AtlasReport_4_Table_1[[#This Row],[Quantity]]-AtlasReport_4_Table_1[[#This Row],[TPP trans backwards (Ending)]]</f>
        <v>4512.5</v>
      </c>
      <c r="J334" s="4">
        <f>_xll.AtlasFormulas.AtlasFunctions.AtlasBalance("PROD",DataAreaId,"T.TPPTrans_sst|InventDimId~inventDimId@T.InventDim","Sum|CostAmount|0","","","","","","","ItemId|TransDate|T2.InventSiteId|T2.InventLocationId",$A334,PeriodBeginning,$B334,$C334)</f>
        <v>0</v>
      </c>
      <c r="K334" s="4">
        <f>_xll.AtlasFormulas.AtlasFunctions.AtlasBalance("PROD",DataAreaId,"T.TPPTrans_sst|InventDimId~inventDimId@T.InventDim","Sum|CostAmount|0","","","","","","","ItemId|TransDate|T2.InventSiteId|T2.InventLocationId",$A334,PeriodEnding,$B334,$C334)</f>
        <v>0</v>
      </c>
      <c r="L334" s="4">
        <f>AtlasReport_4_Table_1[[#This Row],[TPP cost amount]]-AtlasReport_4_Table_1[[#This Row],[TPP trans backwards balance (Beginning)]]</f>
        <v>0</v>
      </c>
      <c r="M334" s="4">
        <f>AtlasReport_4_Table_1[[#This Row],[TPP cost amount]]-AtlasReport_4_Table_1[[#This Row],[TPP Balance (Beginning)]]</f>
        <v>0</v>
      </c>
    </row>
    <row r="335" spans="1:13" x14ac:dyDescent="0.25">
      <c r="A335" s="8" t="s">
        <v>214</v>
      </c>
      <c r="B335" s="8" t="s">
        <v>261</v>
      </c>
      <c r="C335" s="8" t="s">
        <v>264</v>
      </c>
      <c r="D335" s="4">
        <v>0</v>
      </c>
      <c r="E335" s="4">
        <v>0</v>
      </c>
      <c r="F335" s="4">
        <f>_xll.AtlasFormulas.AtlasFunctions.AtlasBalance("PROD",DataAreaId,"T.TPPTrans_sst|InventDimId~inventDimId@T.InventDim","Sum|Qty|0","","","","","","","ItemId|TransDate|T2.InventSiteId|T2.InventLocationId",$A335,PeriodBeginning,$B335,$C335)</f>
        <v>0</v>
      </c>
      <c r="G335" s="4">
        <f>_xll.AtlasFormulas.AtlasFunctions.AtlasBalance("PROD",DataAreaId,"T.TPPTrans_sst|InventDimId~inventDimId@T.InventDim","Sum|Qty|0","","","","","","","ItemId|TransDate|T2.InventSiteId|T2.InventLocationId",$A335,PeriodEnding,$B335,$C335)</f>
        <v>0</v>
      </c>
      <c r="H335" s="4">
        <f>AtlasReport_4_Table_1[[#This Row],[Quantity]]-AtlasReport_4_Table_1[[#This Row],[TPP trans backwards (Beginning)]]</f>
        <v>0</v>
      </c>
      <c r="I335" s="4">
        <f>AtlasReport_4_Table_1[[#This Row],[Quantity]]-AtlasReport_4_Table_1[[#This Row],[TPP trans backwards (Ending)]]</f>
        <v>0</v>
      </c>
      <c r="J335" s="4">
        <f>_xll.AtlasFormulas.AtlasFunctions.AtlasBalance("PROD",DataAreaId,"T.TPPTrans_sst|InventDimId~inventDimId@T.InventDim","Sum|CostAmount|0","","","","","","","ItemId|TransDate|T2.InventSiteId|T2.InventLocationId",$A335,PeriodBeginning,$B335,$C335)</f>
        <v>0</v>
      </c>
      <c r="K335" s="4">
        <f>_xll.AtlasFormulas.AtlasFunctions.AtlasBalance("PROD",DataAreaId,"T.TPPTrans_sst|InventDimId~inventDimId@T.InventDim","Sum|CostAmount|0","","","","","","","ItemId|TransDate|T2.InventSiteId|T2.InventLocationId",$A335,PeriodEnding,$B335,$C335)</f>
        <v>0</v>
      </c>
      <c r="L335" s="4">
        <f>AtlasReport_4_Table_1[[#This Row],[TPP cost amount]]-AtlasReport_4_Table_1[[#This Row],[TPP trans backwards balance (Beginning)]]</f>
        <v>0</v>
      </c>
      <c r="M335" s="4">
        <f>AtlasReport_4_Table_1[[#This Row],[TPP cost amount]]-AtlasReport_4_Table_1[[#This Row],[TPP Balance (Beginning)]]</f>
        <v>0</v>
      </c>
    </row>
    <row r="336" spans="1:13" x14ac:dyDescent="0.25">
      <c r="A336" s="8" t="s">
        <v>220</v>
      </c>
      <c r="B336" s="8" t="s">
        <v>261</v>
      </c>
      <c r="C336" s="8" t="s">
        <v>264</v>
      </c>
      <c r="D336" s="4">
        <v>0</v>
      </c>
      <c r="E336" s="4">
        <v>0</v>
      </c>
      <c r="F336" s="4">
        <f>_xll.AtlasFormulas.AtlasFunctions.AtlasBalance("PROD",DataAreaId,"T.TPPTrans_sst|InventDimId~inventDimId@T.InventDim","Sum|Qty|0","","","","","","","ItemId|TransDate|T2.InventSiteId|T2.InventLocationId",$A336,PeriodBeginning,$B336,$C336)</f>
        <v>0</v>
      </c>
      <c r="G336" s="4">
        <f>_xll.AtlasFormulas.AtlasFunctions.AtlasBalance("PROD",DataAreaId,"T.TPPTrans_sst|InventDimId~inventDimId@T.InventDim","Sum|Qty|0","","","","","","","ItemId|TransDate|T2.InventSiteId|T2.InventLocationId",$A336,PeriodEnding,$B336,$C336)</f>
        <v>0</v>
      </c>
      <c r="H336" s="4">
        <f>AtlasReport_4_Table_1[[#This Row],[Quantity]]-AtlasReport_4_Table_1[[#This Row],[TPP trans backwards (Beginning)]]</f>
        <v>0</v>
      </c>
      <c r="I336" s="4">
        <f>AtlasReport_4_Table_1[[#This Row],[Quantity]]-AtlasReport_4_Table_1[[#This Row],[TPP trans backwards (Ending)]]</f>
        <v>0</v>
      </c>
      <c r="J336" s="4">
        <f>_xll.AtlasFormulas.AtlasFunctions.AtlasBalance("PROD",DataAreaId,"T.TPPTrans_sst|InventDimId~inventDimId@T.InventDim","Sum|CostAmount|0","","","","","","","ItemId|TransDate|T2.InventSiteId|T2.InventLocationId",$A336,PeriodBeginning,$B336,$C336)</f>
        <v>0</v>
      </c>
      <c r="K336" s="4">
        <f>_xll.AtlasFormulas.AtlasFunctions.AtlasBalance("PROD",DataAreaId,"T.TPPTrans_sst|InventDimId~inventDimId@T.InventDim","Sum|CostAmount|0","","","","","","","ItemId|TransDate|T2.InventSiteId|T2.InventLocationId",$A336,PeriodEnding,$B336,$C336)</f>
        <v>0</v>
      </c>
      <c r="L336" s="4">
        <f>AtlasReport_4_Table_1[[#This Row],[TPP cost amount]]-AtlasReport_4_Table_1[[#This Row],[TPP trans backwards balance (Beginning)]]</f>
        <v>0</v>
      </c>
      <c r="M336" s="4">
        <f>AtlasReport_4_Table_1[[#This Row],[TPP cost amount]]-AtlasReport_4_Table_1[[#This Row],[TPP Balance (Beginning)]]</f>
        <v>0</v>
      </c>
    </row>
    <row r="337" spans="1:13" x14ac:dyDescent="0.25">
      <c r="A337" s="8" t="s">
        <v>69</v>
      </c>
      <c r="B337" s="8" t="s">
        <v>261</v>
      </c>
      <c r="C337" s="8" t="s">
        <v>264</v>
      </c>
      <c r="D337" s="4">
        <v>0</v>
      </c>
      <c r="E337" s="4">
        <v>0</v>
      </c>
      <c r="F337" s="4">
        <f>_xll.AtlasFormulas.AtlasFunctions.AtlasBalance("PROD",DataAreaId,"T.TPPTrans_sst|InventDimId~inventDimId@T.InventDim","Sum|Qty|0","","","","","","","ItemId|TransDate|T2.InventSiteId|T2.InventLocationId",$A337,PeriodBeginning,$B337,$C337)</f>
        <v>0</v>
      </c>
      <c r="G337" s="4">
        <f>_xll.AtlasFormulas.AtlasFunctions.AtlasBalance("PROD",DataAreaId,"T.TPPTrans_sst|InventDimId~inventDimId@T.InventDim","Sum|Qty|0","","","","","","","ItemId|TransDate|T2.InventSiteId|T2.InventLocationId",$A337,PeriodEnding,$B337,$C337)</f>
        <v>0</v>
      </c>
      <c r="H337" s="4">
        <f>AtlasReport_4_Table_1[[#This Row],[Quantity]]-AtlasReport_4_Table_1[[#This Row],[TPP trans backwards (Beginning)]]</f>
        <v>0</v>
      </c>
      <c r="I337" s="4">
        <f>AtlasReport_4_Table_1[[#This Row],[Quantity]]-AtlasReport_4_Table_1[[#This Row],[TPP trans backwards (Ending)]]</f>
        <v>0</v>
      </c>
      <c r="J337" s="4">
        <f>_xll.AtlasFormulas.AtlasFunctions.AtlasBalance("PROD",DataAreaId,"T.TPPTrans_sst|InventDimId~inventDimId@T.InventDim","Sum|CostAmount|0","","","","","","","ItemId|TransDate|T2.InventSiteId|T2.InventLocationId",$A337,PeriodBeginning,$B337,$C337)</f>
        <v>0</v>
      </c>
      <c r="K337" s="4">
        <f>_xll.AtlasFormulas.AtlasFunctions.AtlasBalance("PROD",DataAreaId,"T.TPPTrans_sst|InventDimId~inventDimId@T.InventDim","Sum|CostAmount|0","","","","","","","ItemId|TransDate|T2.InventSiteId|T2.InventLocationId",$A337,PeriodEnding,$B337,$C337)</f>
        <v>0</v>
      </c>
      <c r="L337" s="4">
        <f>AtlasReport_4_Table_1[[#This Row],[TPP cost amount]]-AtlasReport_4_Table_1[[#This Row],[TPP trans backwards balance (Beginning)]]</f>
        <v>0</v>
      </c>
      <c r="M337" s="4">
        <f>AtlasReport_4_Table_1[[#This Row],[TPP cost amount]]-AtlasReport_4_Table_1[[#This Row],[TPP Balance (Beginning)]]</f>
        <v>0</v>
      </c>
    </row>
    <row r="338" spans="1:13" x14ac:dyDescent="0.25">
      <c r="A338" s="8" t="s">
        <v>564</v>
      </c>
      <c r="B338" s="8" t="s">
        <v>261</v>
      </c>
      <c r="C338" s="8" t="s">
        <v>264</v>
      </c>
      <c r="D338" s="4">
        <v>0</v>
      </c>
      <c r="E338" s="4">
        <v>0</v>
      </c>
      <c r="F338" s="4">
        <f>_xll.AtlasFormulas.AtlasFunctions.AtlasBalance("PROD",DataAreaId,"T.TPPTrans_sst|InventDimId~inventDimId@T.InventDim","Sum|Qty|0","","","","","","","ItemId|TransDate|T2.InventSiteId|T2.InventLocationId",$A338,PeriodBeginning,$B338,$C338)</f>
        <v>0</v>
      </c>
      <c r="G338" s="4">
        <f>_xll.AtlasFormulas.AtlasFunctions.AtlasBalance("PROD",DataAreaId,"T.TPPTrans_sst|InventDimId~inventDimId@T.InventDim","Sum|Qty|0","","","","","","","ItemId|TransDate|T2.InventSiteId|T2.InventLocationId",$A338,PeriodEnding,$B338,$C338)</f>
        <v>0</v>
      </c>
      <c r="H338" s="4">
        <f>AtlasReport_4_Table_1[[#This Row],[Quantity]]-AtlasReport_4_Table_1[[#This Row],[TPP trans backwards (Beginning)]]</f>
        <v>0</v>
      </c>
      <c r="I338" s="4">
        <f>AtlasReport_4_Table_1[[#This Row],[Quantity]]-AtlasReport_4_Table_1[[#This Row],[TPP trans backwards (Ending)]]</f>
        <v>0</v>
      </c>
      <c r="J338" s="4">
        <f>_xll.AtlasFormulas.AtlasFunctions.AtlasBalance("PROD",DataAreaId,"T.TPPTrans_sst|InventDimId~inventDimId@T.InventDim","Sum|CostAmount|0","","","","","","","ItemId|TransDate|T2.InventSiteId|T2.InventLocationId",$A338,PeriodBeginning,$B338,$C338)</f>
        <v>0</v>
      </c>
      <c r="K338" s="4">
        <f>_xll.AtlasFormulas.AtlasFunctions.AtlasBalance("PROD",DataAreaId,"T.TPPTrans_sst|InventDimId~inventDimId@T.InventDim","Sum|CostAmount|0","","","","","","","ItemId|TransDate|T2.InventSiteId|T2.InventLocationId",$A338,PeriodEnding,$B338,$C338)</f>
        <v>0</v>
      </c>
      <c r="L338" s="4">
        <f>AtlasReport_4_Table_1[[#This Row],[TPP cost amount]]-AtlasReport_4_Table_1[[#This Row],[TPP trans backwards balance (Beginning)]]</f>
        <v>0</v>
      </c>
      <c r="M338" s="4">
        <f>AtlasReport_4_Table_1[[#This Row],[TPP cost amount]]-AtlasReport_4_Table_1[[#This Row],[TPP Balance (Beginning)]]</f>
        <v>0</v>
      </c>
    </row>
    <row r="339" spans="1:13" x14ac:dyDescent="0.25">
      <c r="A339" s="8" t="s">
        <v>566</v>
      </c>
      <c r="B339" s="8" t="s">
        <v>261</v>
      </c>
      <c r="C339" s="8" t="s">
        <v>264</v>
      </c>
      <c r="D339" s="4">
        <v>0</v>
      </c>
      <c r="E339" s="4">
        <v>0</v>
      </c>
      <c r="F339" s="4">
        <f>_xll.AtlasFormulas.AtlasFunctions.AtlasBalance("PROD",DataAreaId,"T.TPPTrans_sst|InventDimId~inventDimId@T.InventDim","Sum|Qty|0","","","","","","","ItemId|TransDate|T2.InventSiteId|T2.InventLocationId",$A339,PeriodBeginning,$B339,$C339)</f>
        <v>0</v>
      </c>
      <c r="G339" s="4">
        <f>_xll.AtlasFormulas.AtlasFunctions.AtlasBalance("PROD",DataAreaId,"T.TPPTrans_sst|InventDimId~inventDimId@T.InventDim","Sum|Qty|0","","","","","","","ItemId|TransDate|T2.InventSiteId|T2.InventLocationId",$A339,PeriodEnding,$B339,$C339)</f>
        <v>0</v>
      </c>
      <c r="H339" s="4">
        <f>AtlasReport_4_Table_1[[#This Row],[Quantity]]-AtlasReport_4_Table_1[[#This Row],[TPP trans backwards (Beginning)]]</f>
        <v>0</v>
      </c>
      <c r="I339" s="4">
        <f>AtlasReport_4_Table_1[[#This Row],[Quantity]]-AtlasReport_4_Table_1[[#This Row],[TPP trans backwards (Ending)]]</f>
        <v>0</v>
      </c>
      <c r="J339" s="4">
        <f>_xll.AtlasFormulas.AtlasFunctions.AtlasBalance("PROD",DataAreaId,"T.TPPTrans_sst|InventDimId~inventDimId@T.InventDim","Sum|CostAmount|0","","","","","","","ItemId|TransDate|T2.InventSiteId|T2.InventLocationId",$A339,PeriodBeginning,$B339,$C339)</f>
        <v>0</v>
      </c>
      <c r="K339" s="4">
        <f>_xll.AtlasFormulas.AtlasFunctions.AtlasBalance("PROD",DataAreaId,"T.TPPTrans_sst|InventDimId~inventDimId@T.InventDim","Sum|CostAmount|0","","","","","","","ItemId|TransDate|T2.InventSiteId|T2.InventLocationId",$A339,PeriodEnding,$B339,$C339)</f>
        <v>0</v>
      </c>
      <c r="L339" s="4">
        <f>AtlasReport_4_Table_1[[#This Row],[TPP cost amount]]-AtlasReport_4_Table_1[[#This Row],[TPP trans backwards balance (Beginning)]]</f>
        <v>0</v>
      </c>
      <c r="M339" s="4">
        <f>AtlasReport_4_Table_1[[#This Row],[TPP cost amount]]-AtlasReport_4_Table_1[[#This Row],[TPP Balance (Beginning)]]</f>
        <v>0</v>
      </c>
    </row>
    <row r="340" spans="1:13" x14ac:dyDescent="0.25">
      <c r="A340" s="8" t="s">
        <v>567</v>
      </c>
      <c r="B340" s="8" t="s">
        <v>261</v>
      </c>
      <c r="C340" s="8" t="s">
        <v>264</v>
      </c>
      <c r="D340" s="4">
        <v>0</v>
      </c>
      <c r="E340" s="4">
        <v>0</v>
      </c>
      <c r="F340" s="4">
        <f>_xll.AtlasFormulas.AtlasFunctions.AtlasBalance("PROD",DataAreaId,"T.TPPTrans_sst|InventDimId~inventDimId@T.InventDim","Sum|Qty|0","","","","","","","ItemId|TransDate|T2.InventSiteId|T2.InventLocationId",$A340,PeriodBeginning,$B340,$C340)</f>
        <v>0</v>
      </c>
      <c r="G340" s="4">
        <f>_xll.AtlasFormulas.AtlasFunctions.AtlasBalance("PROD",DataAreaId,"T.TPPTrans_sst|InventDimId~inventDimId@T.InventDim","Sum|Qty|0","","","","","","","ItemId|TransDate|T2.InventSiteId|T2.InventLocationId",$A340,PeriodEnding,$B340,$C340)</f>
        <v>0</v>
      </c>
      <c r="H340" s="4">
        <f>AtlasReport_4_Table_1[[#This Row],[Quantity]]-AtlasReport_4_Table_1[[#This Row],[TPP trans backwards (Beginning)]]</f>
        <v>0</v>
      </c>
      <c r="I340" s="4">
        <f>AtlasReport_4_Table_1[[#This Row],[Quantity]]-AtlasReport_4_Table_1[[#This Row],[TPP trans backwards (Ending)]]</f>
        <v>0</v>
      </c>
      <c r="J340" s="4">
        <f>_xll.AtlasFormulas.AtlasFunctions.AtlasBalance("PROD",DataAreaId,"T.TPPTrans_sst|InventDimId~inventDimId@T.InventDim","Sum|CostAmount|0","","","","","","","ItemId|TransDate|T2.InventSiteId|T2.InventLocationId",$A340,PeriodBeginning,$B340,$C340)</f>
        <v>0</v>
      </c>
      <c r="K340" s="4">
        <f>_xll.AtlasFormulas.AtlasFunctions.AtlasBalance("PROD",DataAreaId,"T.TPPTrans_sst|InventDimId~inventDimId@T.InventDim","Sum|CostAmount|0","","","","","","","ItemId|TransDate|T2.InventSiteId|T2.InventLocationId",$A340,PeriodEnding,$B340,$C340)</f>
        <v>0</v>
      </c>
      <c r="L340" s="4">
        <f>AtlasReport_4_Table_1[[#This Row],[TPP cost amount]]-AtlasReport_4_Table_1[[#This Row],[TPP trans backwards balance (Beginning)]]</f>
        <v>0</v>
      </c>
      <c r="M340" s="4">
        <f>AtlasReport_4_Table_1[[#This Row],[TPP cost amount]]-AtlasReport_4_Table_1[[#This Row],[TPP Balance (Beginning)]]</f>
        <v>0</v>
      </c>
    </row>
    <row r="341" spans="1:13" x14ac:dyDescent="0.25">
      <c r="A341" s="8" t="s">
        <v>568</v>
      </c>
      <c r="B341" s="8" t="s">
        <v>261</v>
      </c>
      <c r="C341" s="8" t="s">
        <v>264</v>
      </c>
      <c r="D341" s="4">
        <v>0</v>
      </c>
      <c r="E341" s="4">
        <v>0</v>
      </c>
      <c r="F341" s="4">
        <f>_xll.AtlasFormulas.AtlasFunctions.AtlasBalance("PROD",DataAreaId,"T.TPPTrans_sst|InventDimId~inventDimId@T.InventDim","Sum|Qty|0","","","","","","","ItemId|TransDate|T2.InventSiteId|T2.InventLocationId",$A341,PeriodBeginning,$B341,$C341)</f>
        <v>0</v>
      </c>
      <c r="G341" s="4">
        <f>_xll.AtlasFormulas.AtlasFunctions.AtlasBalance("PROD",DataAreaId,"T.TPPTrans_sst|InventDimId~inventDimId@T.InventDim","Sum|Qty|0","","","","","","","ItemId|TransDate|T2.InventSiteId|T2.InventLocationId",$A341,PeriodEnding,$B341,$C341)</f>
        <v>0</v>
      </c>
      <c r="H341" s="4">
        <f>AtlasReport_4_Table_1[[#This Row],[Quantity]]-AtlasReport_4_Table_1[[#This Row],[TPP trans backwards (Beginning)]]</f>
        <v>0</v>
      </c>
      <c r="I341" s="4">
        <f>AtlasReport_4_Table_1[[#This Row],[Quantity]]-AtlasReport_4_Table_1[[#This Row],[TPP trans backwards (Ending)]]</f>
        <v>0</v>
      </c>
      <c r="J341" s="4">
        <f>_xll.AtlasFormulas.AtlasFunctions.AtlasBalance("PROD",DataAreaId,"T.TPPTrans_sst|InventDimId~inventDimId@T.InventDim","Sum|CostAmount|0","","","","","","","ItemId|TransDate|T2.InventSiteId|T2.InventLocationId",$A341,PeriodBeginning,$B341,$C341)</f>
        <v>0</v>
      </c>
      <c r="K341" s="4">
        <f>_xll.AtlasFormulas.AtlasFunctions.AtlasBalance("PROD",DataAreaId,"T.TPPTrans_sst|InventDimId~inventDimId@T.InventDim","Sum|CostAmount|0","","","","","","","ItemId|TransDate|T2.InventSiteId|T2.InventLocationId",$A341,PeriodEnding,$B341,$C341)</f>
        <v>0</v>
      </c>
      <c r="L341" s="4">
        <f>AtlasReport_4_Table_1[[#This Row],[TPP cost amount]]-AtlasReport_4_Table_1[[#This Row],[TPP trans backwards balance (Beginning)]]</f>
        <v>0</v>
      </c>
      <c r="M341" s="4">
        <f>AtlasReport_4_Table_1[[#This Row],[TPP cost amount]]-AtlasReport_4_Table_1[[#This Row],[TPP Balance (Beginning)]]</f>
        <v>0</v>
      </c>
    </row>
    <row r="342" spans="1:13" x14ac:dyDescent="0.25">
      <c r="A342" s="8" t="s">
        <v>569</v>
      </c>
      <c r="B342" s="8" t="s">
        <v>261</v>
      </c>
      <c r="C342" s="8" t="s">
        <v>264</v>
      </c>
      <c r="D342" s="4">
        <v>0</v>
      </c>
      <c r="E342" s="4">
        <v>0</v>
      </c>
      <c r="F342" s="4">
        <f>_xll.AtlasFormulas.AtlasFunctions.AtlasBalance("PROD",DataAreaId,"T.TPPTrans_sst|InventDimId~inventDimId@T.InventDim","Sum|Qty|0","","","","","","","ItemId|TransDate|T2.InventSiteId|T2.InventLocationId",$A342,PeriodBeginning,$B342,$C342)</f>
        <v>0</v>
      </c>
      <c r="G342" s="4">
        <f>_xll.AtlasFormulas.AtlasFunctions.AtlasBalance("PROD",DataAreaId,"T.TPPTrans_sst|InventDimId~inventDimId@T.InventDim","Sum|Qty|0","","","","","","","ItemId|TransDate|T2.InventSiteId|T2.InventLocationId",$A342,PeriodEnding,$B342,$C342)</f>
        <v>0</v>
      </c>
      <c r="H342" s="4">
        <f>AtlasReport_4_Table_1[[#This Row],[Quantity]]-AtlasReport_4_Table_1[[#This Row],[TPP trans backwards (Beginning)]]</f>
        <v>0</v>
      </c>
      <c r="I342" s="4">
        <f>AtlasReport_4_Table_1[[#This Row],[Quantity]]-AtlasReport_4_Table_1[[#This Row],[TPP trans backwards (Ending)]]</f>
        <v>0</v>
      </c>
      <c r="J342" s="4">
        <f>_xll.AtlasFormulas.AtlasFunctions.AtlasBalance("PROD",DataAreaId,"T.TPPTrans_sst|InventDimId~inventDimId@T.InventDim","Sum|CostAmount|0","","","","","","","ItemId|TransDate|T2.InventSiteId|T2.InventLocationId",$A342,PeriodBeginning,$B342,$C342)</f>
        <v>0</v>
      </c>
      <c r="K342" s="4">
        <f>_xll.AtlasFormulas.AtlasFunctions.AtlasBalance("PROD",DataAreaId,"T.TPPTrans_sst|InventDimId~inventDimId@T.InventDim","Sum|CostAmount|0","","","","","","","ItemId|TransDate|T2.InventSiteId|T2.InventLocationId",$A342,PeriodEnding,$B342,$C342)</f>
        <v>0</v>
      </c>
      <c r="L342" s="4">
        <f>AtlasReport_4_Table_1[[#This Row],[TPP cost amount]]-AtlasReport_4_Table_1[[#This Row],[TPP trans backwards balance (Beginning)]]</f>
        <v>0</v>
      </c>
      <c r="M342" s="4">
        <f>AtlasReport_4_Table_1[[#This Row],[TPP cost amount]]-AtlasReport_4_Table_1[[#This Row],[TPP Balance (Beginning)]]</f>
        <v>0</v>
      </c>
    </row>
    <row r="343" spans="1:13" x14ac:dyDescent="0.25">
      <c r="A343" s="8" t="s">
        <v>570</v>
      </c>
      <c r="B343" s="8" t="s">
        <v>261</v>
      </c>
      <c r="C343" s="8" t="s">
        <v>264</v>
      </c>
      <c r="D343" s="4">
        <v>0</v>
      </c>
      <c r="E343" s="4">
        <v>0</v>
      </c>
      <c r="F343" s="4">
        <f>_xll.AtlasFormulas.AtlasFunctions.AtlasBalance("PROD",DataAreaId,"T.TPPTrans_sst|InventDimId~inventDimId@T.InventDim","Sum|Qty|0","","","","","","","ItemId|TransDate|T2.InventSiteId|T2.InventLocationId",$A343,PeriodBeginning,$B343,$C343)</f>
        <v>0</v>
      </c>
      <c r="G343" s="4">
        <f>_xll.AtlasFormulas.AtlasFunctions.AtlasBalance("PROD",DataAreaId,"T.TPPTrans_sst|InventDimId~inventDimId@T.InventDim","Sum|Qty|0","","","","","","","ItemId|TransDate|T2.InventSiteId|T2.InventLocationId",$A343,PeriodEnding,$B343,$C343)</f>
        <v>0</v>
      </c>
      <c r="H343" s="4">
        <f>AtlasReport_4_Table_1[[#This Row],[Quantity]]-AtlasReport_4_Table_1[[#This Row],[TPP trans backwards (Beginning)]]</f>
        <v>0</v>
      </c>
      <c r="I343" s="4">
        <f>AtlasReport_4_Table_1[[#This Row],[Quantity]]-AtlasReport_4_Table_1[[#This Row],[TPP trans backwards (Ending)]]</f>
        <v>0</v>
      </c>
      <c r="J343" s="4">
        <f>_xll.AtlasFormulas.AtlasFunctions.AtlasBalance("PROD",DataAreaId,"T.TPPTrans_sst|InventDimId~inventDimId@T.InventDim","Sum|CostAmount|0","","","","","","","ItemId|TransDate|T2.InventSiteId|T2.InventLocationId",$A343,PeriodBeginning,$B343,$C343)</f>
        <v>0</v>
      </c>
      <c r="K343" s="4">
        <f>_xll.AtlasFormulas.AtlasFunctions.AtlasBalance("PROD",DataAreaId,"T.TPPTrans_sst|InventDimId~inventDimId@T.InventDim","Sum|CostAmount|0","","","","","","","ItemId|TransDate|T2.InventSiteId|T2.InventLocationId",$A343,PeriodEnding,$B343,$C343)</f>
        <v>0</v>
      </c>
      <c r="L343" s="4">
        <f>AtlasReport_4_Table_1[[#This Row],[TPP cost amount]]-AtlasReport_4_Table_1[[#This Row],[TPP trans backwards balance (Beginning)]]</f>
        <v>0</v>
      </c>
      <c r="M343" s="4">
        <f>AtlasReport_4_Table_1[[#This Row],[TPP cost amount]]-AtlasReport_4_Table_1[[#This Row],[TPP Balance (Beginning)]]</f>
        <v>0</v>
      </c>
    </row>
    <row r="344" spans="1:13" x14ac:dyDescent="0.25">
      <c r="A344" s="8" t="s">
        <v>571</v>
      </c>
      <c r="B344" s="8" t="s">
        <v>261</v>
      </c>
      <c r="C344" s="8" t="s">
        <v>264</v>
      </c>
      <c r="D344" s="4">
        <v>0</v>
      </c>
      <c r="E344" s="4">
        <v>0</v>
      </c>
      <c r="F344" s="4">
        <f>_xll.AtlasFormulas.AtlasFunctions.AtlasBalance("PROD",DataAreaId,"T.TPPTrans_sst|InventDimId~inventDimId@T.InventDim","Sum|Qty|0","","","","","","","ItemId|TransDate|T2.InventSiteId|T2.InventLocationId",$A344,PeriodBeginning,$B344,$C344)</f>
        <v>0</v>
      </c>
      <c r="G344" s="4">
        <f>_xll.AtlasFormulas.AtlasFunctions.AtlasBalance("PROD",DataAreaId,"T.TPPTrans_sst|InventDimId~inventDimId@T.InventDim","Sum|Qty|0","","","","","","","ItemId|TransDate|T2.InventSiteId|T2.InventLocationId",$A344,PeriodEnding,$B344,$C344)</f>
        <v>0</v>
      </c>
      <c r="H344" s="4">
        <f>AtlasReport_4_Table_1[[#This Row],[Quantity]]-AtlasReport_4_Table_1[[#This Row],[TPP trans backwards (Beginning)]]</f>
        <v>0</v>
      </c>
      <c r="I344" s="4">
        <f>AtlasReport_4_Table_1[[#This Row],[Quantity]]-AtlasReport_4_Table_1[[#This Row],[TPP trans backwards (Ending)]]</f>
        <v>0</v>
      </c>
      <c r="J344" s="4">
        <f>_xll.AtlasFormulas.AtlasFunctions.AtlasBalance("PROD",DataAreaId,"T.TPPTrans_sst|InventDimId~inventDimId@T.InventDim","Sum|CostAmount|0","","","","","","","ItemId|TransDate|T2.InventSiteId|T2.InventLocationId",$A344,PeriodBeginning,$B344,$C344)</f>
        <v>0</v>
      </c>
      <c r="K344" s="4">
        <f>_xll.AtlasFormulas.AtlasFunctions.AtlasBalance("PROD",DataAreaId,"T.TPPTrans_sst|InventDimId~inventDimId@T.InventDim","Sum|CostAmount|0","","","","","","","ItemId|TransDate|T2.InventSiteId|T2.InventLocationId",$A344,PeriodEnding,$B344,$C344)</f>
        <v>0</v>
      </c>
      <c r="L344" s="4">
        <f>AtlasReport_4_Table_1[[#This Row],[TPP cost amount]]-AtlasReport_4_Table_1[[#This Row],[TPP trans backwards balance (Beginning)]]</f>
        <v>0</v>
      </c>
      <c r="M344" s="4">
        <f>AtlasReport_4_Table_1[[#This Row],[TPP cost amount]]-AtlasReport_4_Table_1[[#This Row],[TPP Balance (Beginning)]]</f>
        <v>0</v>
      </c>
    </row>
    <row r="345" spans="1:13" x14ac:dyDescent="0.25">
      <c r="A345" s="8" t="s">
        <v>573</v>
      </c>
      <c r="B345" s="8" t="s">
        <v>261</v>
      </c>
      <c r="C345" s="8" t="s">
        <v>264</v>
      </c>
      <c r="D345" s="4">
        <v>0</v>
      </c>
      <c r="E345" s="4">
        <v>0</v>
      </c>
      <c r="F345" s="4">
        <f>_xll.AtlasFormulas.AtlasFunctions.AtlasBalance("PROD",DataAreaId,"T.TPPTrans_sst|InventDimId~inventDimId@T.InventDim","Sum|Qty|0","","","","","","","ItemId|TransDate|T2.InventSiteId|T2.InventLocationId",$A345,PeriodBeginning,$B345,$C345)</f>
        <v>0</v>
      </c>
      <c r="G345" s="4">
        <f>_xll.AtlasFormulas.AtlasFunctions.AtlasBalance("PROD",DataAreaId,"T.TPPTrans_sst|InventDimId~inventDimId@T.InventDim","Sum|Qty|0","","","","","","","ItemId|TransDate|T2.InventSiteId|T2.InventLocationId",$A345,PeriodEnding,$B345,$C345)</f>
        <v>0</v>
      </c>
      <c r="H345" s="4">
        <f>AtlasReport_4_Table_1[[#This Row],[Quantity]]-AtlasReport_4_Table_1[[#This Row],[TPP trans backwards (Beginning)]]</f>
        <v>0</v>
      </c>
      <c r="I345" s="4">
        <f>AtlasReport_4_Table_1[[#This Row],[Quantity]]-AtlasReport_4_Table_1[[#This Row],[TPP trans backwards (Ending)]]</f>
        <v>0</v>
      </c>
      <c r="J345" s="4">
        <f>_xll.AtlasFormulas.AtlasFunctions.AtlasBalance("PROD",DataAreaId,"T.TPPTrans_sst|InventDimId~inventDimId@T.InventDim","Sum|CostAmount|0","","","","","","","ItemId|TransDate|T2.InventSiteId|T2.InventLocationId",$A345,PeriodBeginning,$B345,$C345)</f>
        <v>0</v>
      </c>
      <c r="K345" s="4">
        <f>_xll.AtlasFormulas.AtlasFunctions.AtlasBalance("PROD",DataAreaId,"T.TPPTrans_sst|InventDimId~inventDimId@T.InventDim","Sum|CostAmount|0","","","","","","","ItemId|TransDate|T2.InventSiteId|T2.InventLocationId",$A345,PeriodEnding,$B345,$C345)</f>
        <v>0</v>
      </c>
      <c r="L345" s="4">
        <f>AtlasReport_4_Table_1[[#This Row],[TPP cost amount]]-AtlasReport_4_Table_1[[#This Row],[TPP trans backwards balance (Beginning)]]</f>
        <v>0</v>
      </c>
      <c r="M345" s="4">
        <f>AtlasReport_4_Table_1[[#This Row],[TPP cost amount]]-AtlasReport_4_Table_1[[#This Row],[TPP Balance (Beginning)]]</f>
        <v>0</v>
      </c>
    </row>
    <row r="346" spans="1:13" x14ac:dyDescent="0.25">
      <c r="A346" s="8" t="s">
        <v>575</v>
      </c>
      <c r="B346" s="8" t="s">
        <v>261</v>
      </c>
      <c r="C346" s="8" t="s">
        <v>264</v>
      </c>
      <c r="D346" s="4">
        <v>0</v>
      </c>
      <c r="E346" s="4">
        <v>0</v>
      </c>
      <c r="F346" s="4">
        <f>_xll.AtlasFormulas.AtlasFunctions.AtlasBalance("PROD",DataAreaId,"T.TPPTrans_sst|InventDimId~inventDimId@T.InventDim","Sum|Qty|0","","","","","","","ItemId|TransDate|T2.InventSiteId|T2.InventLocationId",$A346,PeriodBeginning,$B346,$C346)</f>
        <v>0</v>
      </c>
      <c r="G346" s="4">
        <f>_xll.AtlasFormulas.AtlasFunctions.AtlasBalance("PROD",DataAreaId,"T.TPPTrans_sst|InventDimId~inventDimId@T.InventDim","Sum|Qty|0","","","","","","","ItemId|TransDate|T2.InventSiteId|T2.InventLocationId",$A346,PeriodEnding,$B346,$C346)</f>
        <v>0</v>
      </c>
      <c r="H346" s="4">
        <f>AtlasReport_4_Table_1[[#This Row],[Quantity]]-AtlasReport_4_Table_1[[#This Row],[TPP trans backwards (Beginning)]]</f>
        <v>0</v>
      </c>
      <c r="I346" s="4">
        <f>AtlasReport_4_Table_1[[#This Row],[Quantity]]-AtlasReport_4_Table_1[[#This Row],[TPP trans backwards (Ending)]]</f>
        <v>0</v>
      </c>
      <c r="J346" s="4">
        <f>_xll.AtlasFormulas.AtlasFunctions.AtlasBalance("PROD",DataAreaId,"T.TPPTrans_sst|InventDimId~inventDimId@T.InventDim","Sum|CostAmount|0","","","","","","","ItemId|TransDate|T2.InventSiteId|T2.InventLocationId",$A346,PeriodBeginning,$B346,$C346)</f>
        <v>0</v>
      </c>
      <c r="K346" s="4">
        <f>_xll.AtlasFormulas.AtlasFunctions.AtlasBalance("PROD",DataAreaId,"T.TPPTrans_sst|InventDimId~inventDimId@T.InventDim","Sum|CostAmount|0","","","","","","","ItemId|TransDate|T2.InventSiteId|T2.InventLocationId",$A346,PeriodEnding,$B346,$C346)</f>
        <v>0</v>
      </c>
      <c r="L346" s="4">
        <f>AtlasReport_4_Table_1[[#This Row],[TPP cost amount]]-AtlasReport_4_Table_1[[#This Row],[TPP trans backwards balance (Beginning)]]</f>
        <v>0</v>
      </c>
      <c r="M346" s="4">
        <f>AtlasReport_4_Table_1[[#This Row],[TPP cost amount]]-AtlasReport_4_Table_1[[#This Row],[TPP Balance (Beginning)]]</f>
        <v>0</v>
      </c>
    </row>
    <row r="347" spans="1:13" x14ac:dyDescent="0.25">
      <c r="A347" s="8" t="s">
        <v>576</v>
      </c>
      <c r="B347" s="8" t="s">
        <v>261</v>
      </c>
      <c r="C347" s="8" t="s">
        <v>264</v>
      </c>
      <c r="D347" s="4">
        <v>0</v>
      </c>
      <c r="E347" s="4">
        <v>0</v>
      </c>
      <c r="F347" s="4">
        <f>_xll.AtlasFormulas.AtlasFunctions.AtlasBalance("PROD",DataAreaId,"T.TPPTrans_sst|InventDimId~inventDimId@T.InventDim","Sum|Qty|0","","","","","","","ItemId|TransDate|T2.InventSiteId|T2.InventLocationId",$A347,PeriodBeginning,$B347,$C347)</f>
        <v>0</v>
      </c>
      <c r="G347" s="4">
        <f>_xll.AtlasFormulas.AtlasFunctions.AtlasBalance("PROD",DataAreaId,"T.TPPTrans_sst|InventDimId~inventDimId@T.InventDim","Sum|Qty|0","","","","","","","ItemId|TransDate|T2.InventSiteId|T2.InventLocationId",$A347,PeriodEnding,$B347,$C347)</f>
        <v>0</v>
      </c>
      <c r="H347" s="4">
        <f>AtlasReport_4_Table_1[[#This Row],[Quantity]]-AtlasReport_4_Table_1[[#This Row],[TPP trans backwards (Beginning)]]</f>
        <v>0</v>
      </c>
      <c r="I347" s="4">
        <f>AtlasReport_4_Table_1[[#This Row],[Quantity]]-AtlasReport_4_Table_1[[#This Row],[TPP trans backwards (Ending)]]</f>
        <v>0</v>
      </c>
      <c r="J347" s="4">
        <f>_xll.AtlasFormulas.AtlasFunctions.AtlasBalance("PROD",DataAreaId,"T.TPPTrans_sst|InventDimId~inventDimId@T.InventDim","Sum|CostAmount|0","","","","","","","ItemId|TransDate|T2.InventSiteId|T2.InventLocationId",$A347,PeriodBeginning,$B347,$C347)</f>
        <v>0</v>
      </c>
      <c r="K347" s="4">
        <f>_xll.AtlasFormulas.AtlasFunctions.AtlasBalance("PROD",DataAreaId,"T.TPPTrans_sst|InventDimId~inventDimId@T.InventDim","Sum|CostAmount|0","","","","","","","ItemId|TransDate|T2.InventSiteId|T2.InventLocationId",$A347,PeriodEnding,$B347,$C347)</f>
        <v>0</v>
      </c>
      <c r="L347" s="4">
        <f>AtlasReport_4_Table_1[[#This Row],[TPP cost amount]]-AtlasReport_4_Table_1[[#This Row],[TPP trans backwards balance (Beginning)]]</f>
        <v>0</v>
      </c>
      <c r="M347" s="4">
        <f>AtlasReport_4_Table_1[[#This Row],[TPP cost amount]]-AtlasReport_4_Table_1[[#This Row],[TPP Balance (Beginning)]]</f>
        <v>0</v>
      </c>
    </row>
    <row r="348" spans="1:13" x14ac:dyDescent="0.25">
      <c r="A348" s="8" t="s">
        <v>577</v>
      </c>
      <c r="B348" s="8" t="s">
        <v>261</v>
      </c>
      <c r="C348" s="8" t="s">
        <v>264</v>
      </c>
      <c r="D348" s="4">
        <v>0</v>
      </c>
      <c r="E348" s="4">
        <v>0</v>
      </c>
      <c r="F348" s="4">
        <f>_xll.AtlasFormulas.AtlasFunctions.AtlasBalance("PROD",DataAreaId,"T.TPPTrans_sst|InventDimId~inventDimId@T.InventDim","Sum|Qty|0","","","","","","","ItemId|TransDate|T2.InventSiteId|T2.InventLocationId",$A348,PeriodBeginning,$B348,$C348)</f>
        <v>0</v>
      </c>
      <c r="G348" s="4">
        <f>_xll.AtlasFormulas.AtlasFunctions.AtlasBalance("PROD",DataAreaId,"T.TPPTrans_sst|InventDimId~inventDimId@T.InventDim","Sum|Qty|0","","","","","","","ItemId|TransDate|T2.InventSiteId|T2.InventLocationId",$A348,PeriodEnding,$B348,$C348)</f>
        <v>0</v>
      </c>
      <c r="H348" s="4">
        <f>AtlasReport_4_Table_1[[#This Row],[Quantity]]-AtlasReport_4_Table_1[[#This Row],[TPP trans backwards (Beginning)]]</f>
        <v>0</v>
      </c>
      <c r="I348" s="4">
        <f>AtlasReport_4_Table_1[[#This Row],[Quantity]]-AtlasReport_4_Table_1[[#This Row],[TPP trans backwards (Ending)]]</f>
        <v>0</v>
      </c>
      <c r="J348" s="4">
        <f>_xll.AtlasFormulas.AtlasFunctions.AtlasBalance("PROD",DataAreaId,"T.TPPTrans_sst|InventDimId~inventDimId@T.InventDim","Sum|CostAmount|0","","","","","","","ItemId|TransDate|T2.InventSiteId|T2.InventLocationId",$A348,PeriodBeginning,$B348,$C348)</f>
        <v>0</v>
      </c>
      <c r="K348" s="4">
        <f>_xll.AtlasFormulas.AtlasFunctions.AtlasBalance("PROD",DataAreaId,"T.TPPTrans_sst|InventDimId~inventDimId@T.InventDim","Sum|CostAmount|0","","","","","","","ItemId|TransDate|T2.InventSiteId|T2.InventLocationId",$A348,PeriodEnding,$B348,$C348)</f>
        <v>0</v>
      </c>
      <c r="L348" s="4">
        <f>AtlasReport_4_Table_1[[#This Row],[TPP cost amount]]-AtlasReport_4_Table_1[[#This Row],[TPP trans backwards balance (Beginning)]]</f>
        <v>0</v>
      </c>
      <c r="M348" s="4">
        <f>AtlasReport_4_Table_1[[#This Row],[TPP cost amount]]-AtlasReport_4_Table_1[[#This Row],[TPP Balance (Beginning)]]</f>
        <v>0</v>
      </c>
    </row>
    <row r="349" spans="1:13" x14ac:dyDescent="0.25">
      <c r="A349" s="8" t="s">
        <v>579</v>
      </c>
      <c r="B349" s="8" t="s">
        <v>261</v>
      </c>
      <c r="C349" s="8" t="s">
        <v>264</v>
      </c>
      <c r="D349" s="4">
        <v>0</v>
      </c>
      <c r="E349" s="4">
        <v>0</v>
      </c>
      <c r="F349" s="4">
        <f>_xll.AtlasFormulas.AtlasFunctions.AtlasBalance("PROD",DataAreaId,"T.TPPTrans_sst|InventDimId~inventDimId@T.InventDim","Sum|Qty|0","","","","","","","ItemId|TransDate|T2.InventSiteId|T2.InventLocationId",$A349,PeriodBeginning,$B349,$C349)</f>
        <v>0</v>
      </c>
      <c r="G349" s="4">
        <f>_xll.AtlasFormulas.AtlasFunctions.AtlasBalance("PROD",DataAreaId,"T.TPPTrans_sst|InventDimId~inventDimId@T.InventDim","Sum|Qty|0","","","","","","","ItemId|TransDate|T2.InventSiteId|T2.InventLocationId",$A349,PeriodEnding,$B349,$C349)</f>
        <v>0</v>
      </c>
      <c r="H349" s="4">
        <f>AtlasReport_4_Table_1[[#This Row],[Quantity]]-AtlasReport_4_Table_1[[#This Row],[TPP trans backwards (Beginning)]]</f>
        <v>0</v>
      </c>
      <c r="I349" s="4">
        <f>AtlasReport_4_Table_1[[#This Row],[Quantity]]-AtlasReport_4_Table_1[[#This Row],[TPP trans backwards (Ending)]]</f>
        <v>0</v>
      </c>
      <c r="J349" s="4">
        <f>_xll.AtlasFormulas.AtlasFunctions.AtlasBalance("PROD",DataAreaId,"T.TPPTrans_sst|InventDimId~inventDimId@T.InventDim","Sum|CostAmount|0","","","","","","","ItemId|TransDate|T2.InventSiteId|T2.InventLocationId",$A349,PeriodBeginning,$B349,$C349)</f>
        <v>0</v>
      </c>
      <c r="K349" s="4">
        <f>_xll.AtlasFormulas.AtlasFunctions.AtlasBalance("PROD",DataAreaId,"T.TPPTrans_sst|InventDimId~inventDimId@T.InventDim","Sum|CostAmount|0","","","","","","","ItemId|TransDate|T2.InventSiteId|T2.InventLocationId",$A349,PeriodEnding,$B349,$C349)</f>
        <v>0</v>
      </c>
      <c r="L349" s="4">
        <f>AtlasReport_4_Table_1[[#This Row],[TPP cost amount]]-AtlasReport_4_Table_1[[#This Row],[TPP trans backwards balance (Beginning)]]</f>
        <v>0</v>
      </c>
      <c r="M349" s="4">
        <f>AtlasReport_4_Table_1[[#This Row],[TPP cost amount]]-AtlasReport_4_Table_1[[#This Row],[TPP Balance (Beginning)]]</f>
        <v>0</v>
      </c>
    </row>
    <row r="350" spans="1:13" x14ac:dyDescent="0.25">
      <c r="A350" s="8" t="s">
        <v>580</v>
      </c>
      <c r="B350" s="8" t="s">
        <v>261</v>
      </c>
      <c r="C350" s="8" t="s">
        <v>264</v>
      </c>
      <c r="D350" s="4">
        <v>0</v>
      </c>
      <c r="E350" s="4">
        <v>0</v>
      </c>
      <c r="F350" s="4">
        <f>_xll.AtlasFormulas.AtlasFunctions.AtlasBalance("PROD",DataAreaId,"T.TPPTrans_sst|InventDimId~inventDimId@T.InventDim","Sum|Qty|0","","","","","","","ItemId|TransDate|T2.InventSiteId|T2.InventLocationId",$A350,PeriodBeginning,$B350,$C350)</f>
        <v>0</v>
      </c>
      <c r="G350" s="4">
        <f>_xll.AtlasFormulas.AtlasFunctions.AtlasBalance("PROD",DataAreaId,"T.TPPTrans_sst|InventDimId~inventDimId@T.InventDim","Sum|Qty|0","","","","","","","ItemId|TransDate|T2.InventSiteId|T2.InventLocationId",$A350,PeriodEnding,$B350,$C350)</f>
        <v>0</v>
      </c>
      <c r="H350" s="4">
        <f>AtlasReport_4_Table_1[[#This Row],[Quantity]]-AtlasReport_4_Table_1[[#This Row],[TPP trans backwards (Beginning)]]</f>
        <v>0</v>
      </c>
      <c r="I350" s="4">
        <f>AtlasReport_4_Table_1[[#This Row],[Quantity]]-AtlasReport_4_Table_1[[#This Row],[TPP trans backwards (Ending)]]</f>
        <v>0</v>
      </c>
      <c r="J350" s="4">
        <f>_xll.AtlasFormulas.AtlasFunctions.AtlasBalance("PROD",DataAreaId,"T.TPPTrans_sst|InventDimId~inventDimId@T.InventDim","Sum|CostAmount|0","","","","","","","ItemId|TransDate|T2.InventSiteId|T2.InventLocationId",$A350,PeriodBeginning,$B350,$C350)</f>
        <v>0</v>
      </c>
      <c r="K350" s="4">
        <f>_xll.AtlasFormulas.AtlasFunctions.AtlasBalance("PROD",DataAreaId,"T.TPPTrans_sst|InventDimId~inventDimId@T.InventDim","Sum|CostAmount|0","","","","","","","ItemId|TransDate|T2.InventSiteId|T2.InventLocationId",$A350,PeriodEnding,$B350,$C350)</f>
        <v>0</v>
      </c>
      <c r="L350" s="4">
        <f>AtlasReport_4_Table_1[[#This Row],[TPP cost amount]]-AtlasReport_4_Table_1[[#This Row],[TPP trans backwards balance (Beginning)]]</f>
        <v>0</v>
      </c>
      <c r="M350" s="4">
        <f>AtlasReport_4_Table_1[[#This Row],[TPP cost amount]]-AtlasReport_4_Table_1[[#This Row],[TPP Balance (Beginning)]]</f>
        <v>0</v>
      </c>
    </row>
    <row r="351" spans="1:13" x14ac:dyDescent="0.25">
      <c r="A351" s="8" t="s">
        <v>581</v>
      </c>
      <c r="B351" s="8" t="s">
        <v>261</v>
      </c>
      <c r="C351" s="8" t="s">
        <v>264</v>
      </c>
      <c r="D351" s="4">
        <v>0</v>
      </c>
      <c r="E351" s="4">
        <v>0</v>
      </c>
      <c r="F351" s="4">
        <f>_xll.AtlasFormulas.AtlasFunctions.AtlasBalance("PROD",DataAreaId,"T.TPPTrans_sst|InventDimId~inventDimId@T.InventDim","Sum|Qty|0","","","","","","","ItemId|TransDate|T2.InventSiteId|T2.InventLocationId",$A351,PeriodBeginning,$B351,$C351)</f>
        <v>0</v>
      </c>
      <c r="G351" s="4">
        <f>_xll.AtlasFormulas.AtlasFunctions.AtlasBalance("PROD",DataAreaId,"T.TPPTrans_sst|InventDimId~inventDimId@T.InventDim","Sum|Qty|0","","","","","","","ItemId|TransDate|T2.InventSiteId|T2.InventLocationId",$A351,PeriodEnding,$B351,$C351)</f>
        <v>0</v>
      </c>
      <c r="H351" s="4">
        <f>AtlasReport_4_Table_1[[#This Row],[Quantity]]-AtlasReport_4_Table_1[[#This Row],[TPP trans backwards (Beginning)]]</f>
        <v>0</v>
      </c>
      <c r="I351" s="4">
        <f>AtlasReport_4_Table_1[[#This Row],[Quantity]]-AtlasReport_4_Table_1[[#This Row],[TPP trans backwards (Ending)]]</f>
        <v>0</v>
      </c>
      <c r="J351" s="4">
        <f>_xll.AtlasFormulas.AtlasFunctions.AtlasBalance("PROD",DataAreaId,"T.TPPTrans_sst|InventDimId~inventDimId@T.InventDim","Sum|CostAmount|0","","","","","","","ItemId|TransDate|T2.InventSiteId|T2.InventLocationId",$A351,PeriodBeginning,$B351,$C351)</f>
        <v>0</v>
      </c>
      <c r="K351" s="4">
        <f>_xll.AtlasFormulas.AtlasFunctions.AtlasBalance("PROD",DataAreaId,"T.TPPTrans_sst|InventDimId~inventDimId@T.InventDim","Sum|CostAmount|0","","","","","","","ItemId|TransDate|T2.InventSiteId|T2.InventLocationId",$A351,PeriodEnding,$B351,$C351)</f>
        <v>0</v>
      </c>
      <c r="L351" s="4">
        <f>AtlasReport_4_Table_1[[#This Row],[TPP cost amount]]-AtlasReport_4_Table_1[[#This Row],[TPP trans backwards balance (Beginning)]]</f>
        <v>0</v>
      </c>
      <c r="M351" s="4">
        <f>AtlasReport_4_Table_1[[#This Row],[TPP cost amount]]-AtlasReport_4_Table_1[[#This Row],[TPP Balance (Beginning)]]</f>
        <v>0</v>
      </c>
    </row>
    <row r="352" spans="1:13" x14ac:dyDescent="0.25">
      <c r="A352" s="8" t="s">
        <v>582</v>
      </c>
      <c r="B352" s="8" t="s">
        <v>261</v>
      </c>
      <c r="C352" s="8" t="s">
        <v>264</v>
      </c>
      <c r="D352" s="4">
        <v>0</v>
      </c>
      <c r="E352" s="4">
        <v>0</v>
      </c>
      <c r="F352" s="4">
        <f>_xll.AtlasFormulas.AtlasFunctions.AtlasBalance("PROD",DataAreaId,"T.TPPTrans_sst|InventDimId~inventDimId@T.InventDim","Sum|Qty|0","","","","","","","ItemId|TransDate|T2.InventSiteId|T2.InventLocationId",$A352,PeriodBeginning,$B352,$C352)</f>
        <v>0</v>
      </c>
      <c r="G352" s="4">
        <f>_xll.AtlasFormulas.AtlasFunctions.AtlasBalance("PROD",DataAreaId,"T.TPPTrans_sst|InventDimId~inventDimId@T.InventDim","Sum|Qty|0","","","","","","","ItemId|TransDate|T2.InventSiteId|T2.InventLocationId",$A352,PeriodEnding,$B352,$C352)</f>
        <v>0</v>
      </c>
      <c r="H352" s="4">
        <f>AtlasReport_4_Table_1[[#This Row],[Quantity]]-AtlasReport_4_Table_1[[#This Row],[TPP trans backwards (Beginning)]]</f>
        <v>0</v>
      </c>
      <c r="I352" s="4">
        <f>AtlasReport_4_Table_1[[#This Row],[Quantity]]-AtlasReport_4_Table_1[[#This Row],[TPP trans backwards (Ending)]]</f>
        <v>0</v>
      </c>
      <c r="J352" s="4">
        <f>_xll.AtlasFormulas.AtlasFunctions.AtlasBalance("PROD",DataAreaId,"T.TPPTrans_sst|InventDimId~inventDimId@T.InventDim","Sum|CostAmount|0","","","","","","","ItemId|TransDate|T2.InventSiteId|T2.InventLocationId",$A352,PeriodBeginning,$B352,$C352)</f>
        <v>0</v>
      </c>
      <c r="K352" s="4">
        <f>_xll.AtlasFormulas.AtlasFunctions.AtlasBalance("PROD",DataAreaId,"T.TPPTrans_sst|InventDimId~inventDimId@T.InventDim","Sum|CostAmount|0","","","","","","","ItemId|TransDate|T2.InventSiteId|T2.InventLocationId",$A352,PeriodEnding,$B352,$C352)</f>
        <v>0</v>
      </c>
      <c r="L352" s="4">
        <f>AtlasReport_4_Table_1[[#This Row],[TPP cost amount]]-AtlasReport_4_Table_1[[#This Row],[TPP trans backwards balance (Beginning)]]</f>
        <v>0</v>
      </c>
      <c r="M352" s="4">
        <f>AtlasReport_4_Table_1[[#This Row],[TPP cost amount]]-AtlasReport_4_Table_1[[#This Row],[TPP Balance (Beginning)]]</f>
        <v>0</v>
      </c>
    </row>
    <row r="353" spans="1:13" x14ac:dyDescent="0.25">
      <c r="A353" s="8" t="s">
        <v>583</v>
      </c>
      <c r="B353" s="8" t="s">
        <v>261</v>
      </c>
      <c r="C353" s="8" t="s">
        <v>264</v>
      </c>
      <c r="D353" s="4">
        <v>0</v>
      </c>
      <c r="E353" s="4">
        <v>0</v>
      </c>
      <c r="F353" s="4">
        <f>_xll.AtlasFormulas.AtlasFunctions.AtlasBalance("PROD",DataAreaId,"T.TPPTrans_sst|InventDimId~inventDimId@T.InventDim","Sum|Qty|0","","","","","","","ItemId|TransDate|T2.InventSiteId|T2.InventLocationId",$A353,PeriodBeginning,$B353,$C353)</f>
        <v>0</v>
      </c>
      <c r="G353" s="4">
        <f>_xll.AtlasFormulas.AtlasFunctions.AtlasBalance("PROD",DataAreaId,"T.TPPTrans_sst|InventDimId~inventDimId@T.InventDim","Sum|Qty|0","","","","","","","ItemId|TransDate|T2.InventSiteId|T2.InventLocationId",$A353,PeriodEnding,$B353,$C353)</f>
        <v>0</v>
      </c>
      <c r="H353" s="4">
        <f>AtlasReport_4_Table_1[[#This Row],[Quantity]]-AtlasReport_4_Table_1[[#This Row],[TPP trans backwards (Beginning)]]</f>
        <v>0</v>
      </c>
      <c r="I353" s="4">
        <f>AtlasReport_4_Table_1[[#This Row],[Quantity]]-AtlasReport_4_Table_1[[#This Row],[TPP trans backwards (Ending)]]</f>
        <v>0</v>
      </c>
      <c r="J353" s="4">
        <f>_xll.AtlasFormulas.AtlasFunctions.AtlasBalance("PROD",DataAreaId,"T.TPPTrans_sst|InventDimId~inventDimId@T.InventDim","Sum|CostAmount|0","","","","","","","ItemId|TransDate|T2.InventSiteId|T2.InventLocationId",$A353,PeriodBeginning,$B353,$C353)</f>
        <v>0</v>
      </c>
      <c r="K353" s="4">
        <f>_xll.AtlasFormulas.AtlasFunctions.AtlasBalance("PROD",DataAreaId,"T.TPPTrans_sst|InventDimId~inventDimId@T.InventDim","Sum|CostAmount|0","","","","","","","ItemId|TransDate|T2.InventSiteId|T2.InventLocationId",$A353,PeriodEnding,$B353,$C353)</f>
        <v>0</v>
      </c>
      <c r="L353" s="4">
        <f>AtlasReport_4_Table_1[[#This Row],[TPP cost amount]]-AtlasReport_4_Table_1[[#This Row],[TPP trans backwards balance (Beginning)]]</f>
        <v>0</v>
      </c>
      <c r="M353" s="4">
        <f>AtlasReport_4_Table_1[[#This Row],[TPP cost amount]]-AtlasReport_4_Table_1[[#This Row],[TPP Balance (Beginning)]]</f>
        <v>0</v>
      </c>
    </row>
    <row r="354" spans="1:13" x14ac:dyDescent="0.25">
      <c r="A354" s="8" t="s">
        <v>584</v>
      </c>
      <c r="B354" s="8" t="s">
        <v>261</v>
      </c>
      <c r="C354" s="8" t="s">
        <v>264</v>
      </c>
      <c r="D354" s="4">
        <v>0</v>
      </c>
      <c r="E354" s="4">
        <v>0</v>
      </c>
      <c r="F354" s="4">
        <f>_xll.AtlasFormulas.AtlasFunctions.AtlasBalance("PROD",DataAreaId,"T.TPPTrans_sst|InventDimId~inventDimId@T.InventDim","Sum|Qty|0","","","","","","","ItemId|TransDate|T2.InventSiteId|T2.InventLocationId",$A354,PeriodBeginning,$B354,$C354)</f>
        <v>0</v>
      </c>
      <c r="G354" s="4">
        <f>_xll.AtlasFormulas.AtlasFunctions.AtlasBalance("PROD",DataAreaId,"T.TPPTrans_sst|InventDimId~inventDimId@T.InventDim","Sum|Qty|0","","","","","","","ItemId|TransDate|T2.InventSiteId|T2.InventLocationId",$A354,PeriodEnding,$B354,$C354)</f>
        <v>0</v>
      </c>
      <c r="H354" s="4">
        <f>AtlasReport_4_Table_1[[#This Row],[Quantity]]-AtlasReport_4_Table_1[[#This Row],[TPP trans backwards (Beginning)]]</f>
        <v>0</v>
      </c>
      <c r="I354" s="4">
        <f>AtlasReport_4_Table_1[[#This Row],[Quantity]]-AtlasReport_4_Table_1[[#This Row],[TPP trans backwards (Ending)]]</f>
        <v>0</v>
      </c>
      <c r="J354" s="4">
        <f>_xll.AtlasFormulas.AtlasFunctions.AtlasBalance("PROD",DataAreaId,"T.TPPTrans_sst|InventDimId~inventDimId@T.InventDim","Sum|CostAmount|0","","","","","","","ItemId|TransDate|T2.InventSiteId|T2.InventLocationId",$A354,PeriodBeginning,$B354,$C354)</f>
        <v>0</v>
      </c>
      <c r="K354" s="4">
        <f>_xll.AtlasFormulas.AtlasFunctions.AtlasBalance("PROD",DataAreaId,"T.TPPTrans_sst|InventDimId~inventDimId@T.InventDim","Sum|CostAmount|0","","","","","","","ItemId|TransDate|T2.InventSiteId|T2.InventLocationId",$A354,PeriodEnding,$B354,$C354)</f>
        <v>0</v>
      </c>
      <c r="L354" s="4">
        <f>AtlasReport_4_Table_1[[#This Row],[TPP cost amount]]-AtlasReport_4_Table_1[[#This Row],[TPP trans backwards balance (Beginning)]]</f>
        <v>0</v>
      </c>
      <c r="M354" s="4">
        <f>AtlasReport_4_Table_1[[#This Row],[TPP cost amount]]-AtlasReport_4_Table_1[[#This Row],[TPP Balance (Beginning)]]</f>
        <v>0</v>
      </c>
    </row>
    <row r="355" spans="1:13" x14ac:dyDescent="0.25">
      <c r="A355" s="8" t="s">
        <v>585</v>
      </c>
      <c r="B355" s="8" t="s">
        <v>261</v>
      </c>
      <c r="C355" s="8" t="s">
        <v>264</v>
      </c>
      <c r="D355" s="4">
        <v>0</v>
      </c>
      <c r="E355" s="4">
        <v>0</v>
      </c>
      <c r="F355" s="4">
        <f>_xll.AtlasFormulas.AtlasFunctions.AtlasBalance("PROD",DataAreaId,"T.TPPTrans_sst|InventDimId~inventDimId@T.InventDim","Sum|Qty|0","","","","","","","ItemId|TransDate|T2.InventSiteId|T2.InventLocationId",$A355,PeriodBeginning,$B355,$C355)</f>
        <v>0</v>
      </c>
      <c r="G355" s="4">
        <f>_xll.AtlasFormulas.AtlasFunctions.AtlasBalance("PROD",DataAreaId,"T.TPPTrans_sst|InventDimId~inventDimId@T.InventDim","Sum|Qty|0","","","","","","","ItemId|TransDate|T2.InventSiteId|T2.InventLocationId",$A355,PeriodEnding,$B355,$C355)</f>
        <v>0</v>
      </c>
      <c r="H355" s="4">
        <f>AtlasReport_4_Table_1[[#This Row],[Quantity]]-AtlasReport_4_Table_1[[#This Row],[TPP trans backwards (Beginning)]]</f>
        <v>0</v>
      </c>
      <c r="I355" s="4">
        <f>AtlasReport_4_Table_1[[#This Row],[Quantity]]-AtlasReport_4_Table_1[[#This Row],[TPP trans backwards (Ending)]]</f>
        <v>0</v>
      </c>
      <c r="J355" s="4">
        <f>_xll.AtlasFormulas.AtlasFunctions.AtlasBalance("PROD",DataAreaId,"T.TPPTrans_sst|InventDimId~inventDimId@T.InventDim","Sum|CostAmount|0","","","","","","","ItemId|TransDate|T2.InventSiteId|T2.InventLocationId",$A355,PeriodBeginning,$B355,$C355)</f>
        <v>0</v>
      </c>
      <c r="K355" s="4">
        <f>_xll.AtlasFormulas.AtlasFunctions.AtlasBalance("PROD",DataAreaId,"T.TPPTrans_sst|InventDimId~inventDimId@T.InventDim","Sum|CostAmount|0","","","","","","","ItemId|TransDate|T2.InventSiteId|T2.InventLocationId",$A355,PeriodEnding,$B355,$C355)</f>
        <v>0</v>
      </c>
      <c r="L355" s="4">
        <f>AtlasReport_4_Table_1[[#This Row],[TPP cost amount]]-AtlasReport_4_Table_1[[#This Row],[TPP trans backwards balance (Beginning)]]</f>
        <v>0</v>
      </c>
      <c r="M355" s="4">
        <f>AtlasReport_4_Table_1[[#This Row],[TPP cost amount]]-AtlasReport_4_Table_1[[#This Row],[TPP Balance (Beginning)]]</f>
        <v>0</v>
      </c>
    </row>
    <row r="356" spans="1:13" x14ac:dyDescent="0.25">
      <c r="A356" s="8" t="s">
        <v>586</v>
      </c>
      <c r="B356" s="8" t="s">
        <v>261</v>
      </c>
      <c r="C356" s="8" t="s">
        <v>264</v>
      </c>
      <c r="D356" s="4">
        <v>0</v>
      </c>
      <c r="E356" s="4">
        <v>0</v>
      </c>
      <c r="F356" s="4">
        <f>_xll.AtlasFormulas.AtlasFunctions.AtlasBalance("PROD",DataAreaId,"T.TPPTrans_sst|InventDimId~inventDimId@T.InventDim","Sum|Qty|0","","","","","","","ItemId|TransDate|T2.InventSiteId|T2.InventLocationId",$A356,PeriodBeginning,$B356,$C356)</f>
        <v>0</v>
      </c>
      <c r="G356" s="4">
        <f>_xll.AtlasFormulas.AtlasFunctions.AtlasBalance("PROD",DataAreaId,"T.TPPTrans_sst|InventDimId~inventDimId@T.InventDim","Sum|Qty|0","","","","","","","ItemId|TransDate|T2.InventSiteId|T2.InventLocationId",$A356,PeriodEnding,$B356,$C356)</f>
        <v>0</v>
      </c>
      <c r="H356" s="4">
        <f>AtlasReport_4_Table_1[[#This Row],[Quantity]]-AtlasReport_4_Table_1[[#This Row],[TPP trans backwards (Beginning)]]</f>
        <v>0</v>
      </c>
      <c r="I356" s="4">
        <f>AtlasReport_4_Table_1[[#This Row],[Quantity]]-AtlasReport_4_Table_1[[#This Row],[TPP trans backwards (Ending)]]</f>
        <v>0</v>
      </c>
      <c r="J356" s="4">
        <f>_xll.AtlasFormulas.AtlasFunctions.AtlasBalance("PROD",DataAreaId,"T.TPPTrans_sst|InventDimId~inventDimId@T.InventDim","Sum|CostAmount|0","","","","","","","ItemId|TransDate|T2.InventSiteId|T2.InventLocationId",$A356,PeriodBeginning,$B356,$C356)</f>
        <v>0</v>
      </c>
      <c r="K356" s="4">
        <f>_xll.AtlasFormulas.AtlasFunctions.AtlasBalance("PROD",DataAreaId,"T.TPPTrans_sst|InventDimId~inventDimId@T.InventDim","Sum|CostAmount|0","","","","","","","ItemId|TransDate|T2.InventSiteId|T2.InventLocationId",$A356,PeriodEnding,$B356,$C356)</f>
        <v>0</v>
      </c>
      <c r="L356" s="4">
        <f>AtlasReport_4_Table_1[[#This Row],[TPP cost amount]]-AtlasReport_4_Table_1[[#This Row],[TPP trans backwards balance (Beginning)]]</f>
        <v>0</v>
      </c>
      <c r="M356" s="4">
        <f>AtlasReport_4_Table_1[[#This Row],[TPP cost amount]]-AtlasReport_4_Table_1[[#This Row],[TPP Balance (Beginning)]]</f>
        <v>0</v>
      </c>
    </row>
    <row r="357" spans="1:13" x14ac:dyDescent="0.25">
      <c r="A357" s="8" t="s">
        <v>587</v>
      </c>
      <c r="B357" s="8" t="s">
        <v>261</v>
      </c>
      <c r="C357" s="8" t="s">
        <v>264</v>
      </c>
      <c r="D357" s="4">
        <v>0</v>
      </c>
      <c r="E357" s="4">
        <v>0</v>
      </c>
      <c r="F357" s="4">
        <f>_xll.AtlasFormulas.AtlasFunctions.AtlasBalance("PROD",DataAreaId,"T.TPPTrans_sst|InventDimId~inventDimId@T.InventDim","Sum|Qty|0","","","","","","","ItemId|TransDate|T2.InventSiteId|T2.InventLocationId",$A357,PeriodBeginning,$B357,$C357)</f>
        <v>0</v>
      </c>
      <c r="G357" s="4">
        <f>_xll.AtlasFormulas.AtlasFunctions.AtlasBalance("PROD",DataAreaId,"T.TPPTrans_sst|InventDimId~inventDimId@T.InventDim","Sum|Qty|0","","","","","","","ItemId|TransDate|T2.InventSiteId|T2.InventLocationId",$A357,PeriodEnding,$B357,$C357)</f>
        <v>0</v>
      </c>
      <c r="H357" s="4">
        <f>AtlasReport_4_Table_1[[#This Row],[Quantity]]-AtlasReport_4_Table_1[[#This Row],[TPP trans backwards (Beginning)]]</f>
        <v>0</v>
      </c>
      <c r="I357" s="4">
        <f>AtlasReport_4_Table_1[[#This Row],[Quantity]]-AtlasReport_4_Table_1[[#This Row],[TPP trans backwards (Ending)]]</f>
        <v>0</v>
      </c>
      <c r="J357" s="4">
        <f>_xll.AtlasFormulas.AtlasFunctions.AtlasBalance("PROD",DataAreaId,"T.TPPTrans_sst|InventDimId~inventDimId@T.InventDim","Sum|CostAmount|0","","","","","","","ItemId|TransDate|T2.InventSiteId|T2.InventLocationId",$A357,PeriodBeginning,$B357,$C357)</f>
        <v>0</v>
      </c>
      <c r="K357" s="4">
        <f>_xll.AtlasFormulas.AtlasFunctions.AtlasBalance("PROD",DataAreaId,"T.TPPTrans_sst|InventDimId~inventDimId@T.InventDim","Sum|CostAmount|0","","","","","","","ItemId|TransDate|T2.InventSiteId|T2.InventLocationId",$A357,PeriodEnding,$B357,$C357)</f>
        <v>0</v>
      </c>
      <c r="L357" s="4">
        <f>AtlasReport_4_Table_1[[#This Row],[TPP cost amount]]-AtlasReport_4_Table_1[[#This Row],[TPP trans backwards balance (Beginning)]]</f>
        <v>0</v>
      </c>
      <c r="M357" s="4">
        <f>AtlasReport_4_Table_1[[#This Row],[TPP cost amount]]-AtlasReport_4_Table_1[[#This Row],[TPP Balance (Beginning)]]</f>
        <v>0</v>
      </c>
    </row>
    <row r="358" spans="1:13" x14ac:dyDescent="0.25">
      <c r="A358" s="8" t="s">
        <v>588</v>
      </c>
      <c r="B358" s="8" t="s">
        <v>261</v>
      </c>
      <c r="C358" s="8" t="s">
        <v>264</v>
      </c>
      <c r="D358" s="4">
        <v>0</v>
      </c>
      <c r="E358" s="4">
        <v>0</v>
      </c>
      <c r="F358" s="4">
        <f>_xll.AtlasFormulas.AtlasFunctions.AtlasBalance("PROD",DataAreaId,"T.TPPTrans_sst|InventDimId~inventDimId@T.InventDim","Sum|Qty|0","","","","","","","ItemId|TransDate|T2.InventSiteId|T2.InventLocationId",$A358,PeriodBeginning,$B358,$C358)</f>
        <v>0</v>
      </c>
      <c r="G358" s="4">
        <f>_xll.AtlasFormulas.AtlasFunctions.AtlasBalance("PROD",DataAreaId,"T.TPPTrans_sst|InventDimId~inventDimId@T.InventDim","Sum|Qty|0","","","","","","","ItemId|TransDate|T2.InventSiteId|T2.InventLocationId",$A358,PeriodEnding,$B358,$C358)</f>
        <v>0</v>
      </c>
      <c r="H358" s="4">
        <f>AtlasReport_4_Table_1[[#This Row],[Quantity]]-AtlasReport_4_Table_1[[#This Row],[TPP trans backwards (Beginning)]]</f>
        <v>0</v>
      </c>
      <c r="I358" s="4">
        <f>AtlasReport_4_Table_1[[#This Row],[Quantity]]-AtlasReport_4_Table_1[[#This Row],[TPP trans backwards (Ending)]]</f>
        <v>0</v>
      </c>
      <c r="J358" s="4">
        <f>_xll.AtlasFormulas.AtlasFunctions.AtlasBalance("PROD",DataAreaId,"T.TPPTrans_sst|InventDimId~inventDimId@T.InventDim","Sum|CostAmount|0","","","","","","","ItemId|TransDate|T2.InventSiteId|T2.InventLocationId",$A358,PeriodBeginning,$B358,$C358)</f>
        <v>0</v>
      </c>
      <c r="K358" s="4">
        <f>_xll.AtlasFormulas.AtlasFunctions.AtlasBalance("PROD",DataAreaId,"T.TPPTrans_sst|InventDimId~inventDimId@T.InventDim","Sum|CostAmount|0","","","","","","","ItemId|TransDate|T2.InventSiteId|T2.InventLocationId",$A358,PeriodEnding,$B358,$C358)</f>
        <v>0</v>
      </c>
      <c r="L358" s="4">
        <f>AtlasReport_4_Table_1[[#This Row],[TPP cost amount]]-AtlasReport_4_Table_1[[#This Row],[TPP trans backwards balance (Beginning)]]</f>
        <v>0</v>
      </c>
      <c r="M358" s="4">
        <f>AtlasReport_4_Table_1[[#This Row],[TPP cost amount]]-AtlasReport_4_Table_1[[#This Row],[TPP Balance (Beginning)]]</f>
        <v>0</v>
      </c>
    </row>
    <row r="359" spans="1:13" x14ac:dyDescent="0.25">
      <c r="A359" s="8" t="s">
        <v>589</v>
      </c>
      <c r="B359" s="8" t="s">
        <v>261</v>
      </c>
      <c r="C359" s="8" t="s">
        <v>264</v>
      </c>
      <c r="D359" s="4">
        <v>0</v>
      </c>
      <c r="E359" s="4">
        <v>0</v>
      </c>
      <c r="F359" s="4">
        <f>_xll.AtlasFormulas.AtlasFunctions.AtlasBalance("PROD",DataAreaId,"T.TPPTrans_sst|InventDimId~inventDimId@T.InventDim","Sum|Qty|0","","","","","","","ItemId|TransDate|T2.InventSiteId|T2.InventLocationId",$A359,PeriodBeginning,$B359,$C359)</f>
        <v>0</v>
      </c>
      <c r="G359" s="4">
        <f>_xll.AtlasFormulas.AtlasFunctions.AtlasBalance("PROD",DataAreaId,"T.TPPTrans_sst|InventDimId~inventDimId@T.InventDim","Sum|Qty|0","","","","","","","ItemId|TransDate|T2.InventSiteId|T2.InventLocationId",$A359,PeriodEnding,$B359,$C359)</f>
        <v>0</v>
      </c>
      <c r="H359" s="4">
        <f>AtlasReport_4_Table_1[[#This Row],[Quantity]]-AtlasReport_4_Table_1[[#This Row],[TPP trans backwards (Beginning)]]</f>
        <v>0</v>
      </c>
      <c r="I359" s="4">
        <f>AtlasReport_4_Table_1[[#This Row],[Quantity]]-AtlasReport_4_Table_1[[#This Row],[TPP trans backwards (Ending)]]</f>
        <v>0</v>
      </c>
      <c r="J359" s="4">
        <f>_xll.AtlasFormulas.AtlasFunctions.AtlasBalance("PROD",DataAreaId,"T.TPPTrans_sst|InventDimId~inventDimId@T.InventDim","Sum|CostAmount|0","","","","","","","ItemId|TransDate|T2.InventSiteId|T2.InventLocationId",$A359,PeriodBeginning,$B359,$C359)</f>
        <v>0</v>
      </c>
      <c r="K359" s="4">
        <f>_xll.AtlasFormulas.AtlasFunctions.AtlasBalance("PROD",DataAreaId,"T.TPPTrans_sst|InventDimId~inventDimId@T.InventDim","Sum|CostAmount|0","","","","","","","ItemId|TransDate|T2.InventSiteId|T2.InventLocationId",$A359,PeriodEnding,$B359,$C359)</f>
        <v>0</v>
      </c>
      <c r="L359" s="4">
        <f>AtlasReport_4_Table_1[[#This Row],[TPP cost amount]]-AtlasReport_4_Table_1[[#This Row],[TPP trans backwards balance (Beginning)]]</f>
        <v>0</v>
      </c>
      <c r="M359" s="4">
        <f>AtlasReport_4_Table_1[[#This Row],[TPP cost amount]]-AtlasReport_4_Table_1[[#This Row],[TPP Balance (Beginning)]]</f>
        <v>0</v>
      </c>
    </row>
    <row r="360" spans="1:13" x14ac:dyDescent="0.25">
      <c r="A360" s="8" t="s">
        <v>590</v>
      </c>
      <c r="B360" s="8" t="s">
        <v>261</v>
      </c>
      <c r="C360" s="8" t="s">
        <v>264</v>
      </c>
      <c r="D360" s="4">
        <v>0</v>
      </c>
      <c r="E360" s="4">
        <v>0</v>
      </c>
      <c r="F360" s="4">
        <f>_xll.AtlasFormulas.AtlasFunctions.AtlasBalance("PROD",DataAreaId,"T.TPPTrans_sst|InventDimId~inventDimId@T.InventDim","Sum|Qty|0","","","","","","","ItemId|TransDate|T2.InventSiteId|T2.InventLocationId",$A360,PeriodBeginning,$B360,$C360)</f>
        <v>0</v>
      </c>
      <c r="G360" s="4">
        <f>_xll.AtlasFormulas.AtlasFunctions.AtlasBalance("PROD",DataAreaId,"T.TPPTrans_sst|InventDimId~inventDimId@T.InventDim","Sum|Qty|0","","","","","","","ItemId|TransDate|T2.InventSiteId|T2.InventLocationId",$A360,PeriodEnding,$B360,$C360)</f>
        <v>0</v>
      </c>
      <c r="H360" s="4">
        <f>AtlasReport_4_Table_1[[#This Row],[Quantity]]-AtlasReport_4_Table_1[[#This Row],[TPP trans backwards (Beginning)]]</f>
        <v>0</v>
      </c>
      <c r="I360" s="4">
        <f>AtlasReport_4_Table_1[[#This Row],[Quantity]]-AtlasReport_4_Table_1[[#This Row],[TPP trans backwards (Ending)]]</f>
        <v>0</v>
      </c>
      <c r="J360" s="4">
        <f>_xll.AtlasFormulas.AtlasFunctions.AtlasBalance("PROD",DataAreaId,"T.TPPTrans_sst|InventDimId~inventDimId@T.InventDim","Sum|CostAmount|0","","","","","","","ItemId|TransDate|T2.InventSiteId|T2.InventLocationId",$A360,PeriodBeginning,$B360,$C360)</f>
        <v>0</v>
      </c>
      <c r="K360" s="4">
        <f>_xll.AtlasFormulas.AtlasFunctions.AtlasBalance("PROD",DataAreaId,"T.TPPTrans_sst|InventDimId~inventDimId@T.InventDim","Sum|CostAmount|0","","","","","","","ItemId|TransDate|T2.InventSiteId|T2.InventLocationId",$A360,PeriodEnding,$B360,$C360)</f>
        <v>0</v>
      </c>
      <c r="L360" s="4">
        <f>AtlasReport_4_Table_1[[#This Row],[TPP cost amount]]-AtlasReport_4_Table_1[[#This Row],[TPP trans backwards balance (Beginning)]]</f>
        <v>0</v>
      </c>
      <c r="M360" s="4">
        <f>AtlasReport_4_Table_1[[#This Row],[TPP cost amount]]-AtlasReport_4_Table_1[[#This Row],[TPP Balance (Beginning)]]</f>
        <v>0</v>
      </c>
    </row>
    <row r="361" spans="1:13" x14ac:dyDescent="0.25">
      <c r="A361" s="8" t="s">
        <v>591</v>
      </c>
      <c r="B361" s="8" t="s">
        <v>261</v>
      </c>
      <c r="C361" s="8" t="s">
        <v>264</v>
      </c>
      <c r="D361" s="4">
        <v>0</v>
      </c>
      <c r="E361" s="4">
        <v>0</v>
      </c>
      <c r="F361" s="4">
        <f>_xll.AtlasFormulas.AtlasFunctions.AtlasBalance("PROD",DataAreaId,"T.TPPTrans_sst|InventDimId~inventDimId@T.InventDim","Sum|Qty|0","","","","","","","ItemId|TransDate|T2.InventSiteId|T2.InventLocationId",$A361,PeriodBeginning,$B361,$C361)</f>
        <v>0</v>
      </c>
      <c r="G361" s="4">
        <f>_xll.AtlasFormulas.AtlasFunctions.AtlasBalance("PROD",DataAreaId,"T.TPPTrans_sst|InventDimId~inventDimId@T.InventDim","Sum|Qty|0","","","","","","","ItemId|TransDate|T2.InventSiteId|T2.InventLocationId",$A361,PeriodEnding,$B361,$C361)</f>
        <v>0</v>
      </c>
      <c r="H361" s="4">
        <f>AtlasReport_4_Table_1[[#This Row],[Quantity]]-AtlasReport_4_Table_1[[#This Row],[TPP trans backwards (Beginning)]]</f>
        <v>0</v>
      </c>
      <c r="I361" s="4">
        <f>AtlasReport_4_Table_1[[#This Row],[Quantity]]-AtlasReport_4_Table_1[[#This Row],[TPP trans backwards (Ending)]]</f>
        <v>0</v>
      </c>
      <c r="J361" s="4">
        <f>_xll.AtlasFormulas.AtlasFunctions.AtlasBalance("PROD",DataAreaId,"T.TPPTrans_sst|InventDimId~inventDimId@T.InventDim","Sum|CostAmount|0","","","","","","","ItemId|TransDate|T2.InventSiteId|T2.InventLocationId",$A361,PeriodBeginning,$B361,$C361)</f>
        <v>0</v>
      </c>
      <c r="K361" s="4">
        <f>_xll.AtlasFormulas.AtlasFunctions.AtlasBalance("PROD",DataAreaId,"T.TPPTrans_sst|InventDimId~inventDimId@T.InventDim","Sum|CostAmount|0","","","","","","","ItemId|TransDate|T2.InventSiteId|T2.InventLocationId",$A361,PeriodEnding,$B361,$C361)</f>
        <v>0</v>
      </c>
      <c r="L361" s="4">
        <f>AtlasReport_4_Table_1[[#This Row],[TPP cost amount]]-AtlasReport_4_Table_1[[#This Row],[TPP trans backwards balance (Beginning)]]</f>
        <v>0</v>
      </c>
      <c r="M361" s="4">
        <f>AtlasReport_4_Table_1[[#This Row],[TPP cost amount]]-AtlasReport_4_Table_1[[#This Row],[TPP Balance (Beginning)]]</f>
        <v>0</v>
      </c>
    </row>
    <row r="362" spans="1:13" x14ac:dyDescent="0.25">
      <c r="A362" s="8" t="s">
        <v>592</v>
      </c>
      <c r="B362" s="8" t="s">
        <v>261</v>
      </c>
      <c r="C362" s="8" t="s">
        <v>264</v>
      </c>
      <c r="D362" s="4">
        <v>0</v>
      </c>
      <c r="E362" s="4">
        <v>0</v>
      </c>
      <c r="F362" s="4">
        <f>_xll.AtlasFormulas.AtlasFunctions.AtlasBalance("PROD",DataAreaId,"T.TPPTrans_sst|InventDimId~inventDimId@T.InventDim","Sum|Qty|0","","","","","","","ItemId|TransDate|T2.InventSiteId|T2.InventLocationId",$A362,PeriodBeginning,$B362,$C362)</f>
        <v>0</v>
      </c>
      <c r="G362" s="4">
        <f>_xll.AtlasFormulas.AtlasFunctions.AtlasBalance("PROD",DataAreaId,"T.TPPTrans_sst|InventDimId~inventDimId@T.InventDim","Sum|Qty|0","","","","","","","ItemId|TransDate|T2.InventSiteId|T2.InventLocationId",$A362,PeriodEnding,$B362,$C362)</f>
        <v>0</v>
      </c>
      <c r="H362" s="4">
        <f>AtlasReport_4_Table_1[[#This Row],[Quantity]]-AtlasReport_4_Table_1[[#This Row],[TPP trans backwards (Beginning)]]</f>
        <v>0</v>
      </c>
      <c r="I362" s="4">
        <f>AtlasReport_4_Table_1[[#This Row],[Quantity]]-AtlasReport_4_Table_1[[#This Row],[TPP trans backwards (Ending)]]</f>
        <v>0</v>
      </c>
      <c r="J362" s="4">
        <f>_xll.AtlasFormulas.AtlasFunctions.AtlasBalance("PROD",DataAreaId,"T.TPPTrans_sst|InventDimId~inventDimId@T.InventDim","Sum|CostAmount|0","","","","","","","ItemId|TransDate|T2.InventSiteId|T2.InventLocationId",$A362,PeriodBeginning,$B362,$C362)</f>
        <v>0</v>
      </c>
      <c r="K362" s="4">
        <f>_xll.AtlasFormulas.AtlasFunctions.AtlasBalance("PROD",DataAreaId,"T.TPPTrans_sst|InventDimId~inventDimId@T.InventDim","Sum|CostAmount|0","","","","","","","ItemId|TransDate|T2.InventSiteId|T2.InventLocationId",$A362,PeriodEnding,$B362,$C362)</f>
        <v>0</v>
      </c>
      <c r="L362" s="4">
        <f>AtlasReport_4_Table_1[[#This Row],[TPP cost amount]]-AtlasReport_4_Table_1[[#This Row],[TPP trans backwards balance (Beginning)]]</f>
        <v>0</v>
      </c>
      <c r="M362" s="4">
        <f>AtlasReport_4_Table_1[[#This Row],[TPP cost amount]]-AtlasReport_4_Table_1[[#This Row],[TPP Balance (Beginning)]]</f>
        <v>0</v>
      </c>
    </row>
    <row r="363" spans="1:13" x14ac:dyDescent="0.25">
      <c r="A363" s="8" t="s">
        <v>593</v>
      </c>
      <c r="B363" s="8" t="s">
        <v>261</v>
      </c>
      <c r="C363" s="8" t="s">
        <v>264</v>
      </c>
      <c r="D363" s="4">
        <v>0</v>
      </c>
      <c r="E363" s="4">
        <v>0</v>
      </c>
      <c r="F363" s="4">
        <f>_xll.AtlasFormulas.AtlasFunctions.AtlasBalance("PROD",DataAreaId,"T.TPPTrans_sst|InventDimId~inventDimId@T.InventDim","Sum|Qty|0","","","","","","","ItemId|TransDate|T2.InventSiteId|T2.InventLocationId",$A363,PeriodBeginning,$B363,$C363)</f>
        <v>0</v>
      </c>
      <c r="G363" s="4">
        <f>_xll.AtlasFormulas.AtlasFunctions.AtlasBalance("PROD",DataAreaId,"T.TPPTrans_sst|InventDimId~inventDimId@T.InventDim","Sum|Qty|0","","","","","","","ItemId|TransDate|T2.InventSiteId|T2.InventLocationId",$A363,PeriodEnding,$B363,$C363)</f>
        <v>0</v>
      </c>
      <c r="H363" s="4">
        <f>AtlasReport_4_Table_1[[#This Row],[Quantity]]-AtlasReport_4_Table_1[[#This Row],[TPP trans backwards (Beginning)]]</f>
        <v>0</v>
      </c>
      <c r="I363" s="4">
        <f>AtlasReport_4_Table_1[[#This Row],[Quantity]]-AtlasReport_4_Table_1[[#This Row],[TPP trans backwards (Ending)]]</f>
        <v>0</v>
      </c>
      <c r="J363" s="4">
        <f>_xll.AtlasFormulas.AtlasFunctions.AtlasBalance("PROD",DataAreaId,"T.TPPTrans_sst|InventDimId~inventDimId@T.InventDim","Sum|CostAmount|0","","","","","","","ItemId|TransDate|T2.InventSiteId|T2.InventLocationId",$A363,PeriodBeginning,$B363,$C363)</f>
        <v>0</v>
      </c>
      <c r="K363" s="4">
        <f>_xll.AtlasFormulas.AtlasFunctions.AtlasBalance("PROD",DataAreaId,"T.TPPTrans_sst|InventDimId~inventDimId@T.InventDim","Sum|CostAmount|0","","","","","","","ItemId|TransDate|T2.InventSiteId|T2.InventLocationId",$A363,PeriodEnding,$B363,$C363)</f>
        <v>0</v>
      </c>
      <c r="L363" s="4">
        <f>AtlasReport_4_Table_1[[#This Row],[TPP cost amount]]-AtlasReport_4_Table_1[[#This Row],[TPP trans backwards balance (Beginning)]]</f>
        <v>0</v>
      </c>
      <c r="M363" s="4">
        <f>AtlasReport_4_Table_1[[#This Row],[TPP cost amount]]-AtlasReport_4_Table_1[[#This Row],[TPP Balance (Beginning)]]</f>
        <v>0</v>
      </c>
    </row>
    <row r="364" spans="1:13" x14ac:dyDescent="0.25">
      <c r="A364" s="8" t="s">
        <v>594</v>
      </c>
      <c r="B364" s="8" t="s">
        <v>261</v>
      </c>
      <c r="C364" s="8" t="s">
        <v>264</v>
      </c>
      <c r="D364" s="4">
        <v>0</v>
      </c>
      <c r="E364" s="4">
        <v>0</v>
      </c>
      <c r="F364" s="4">
        <f>_xll.AtlasFormulas.AtlasFunctions.AtlasBalance("PROD",DataAreaId,"T.TPPTrans_sst|InventDimId~inventDimId@T.InventDim","Sum|Qty|0","","","","","","","ItemId|TransDate|T2.InventSiteId|T2.InventLocationId",$A364,PeriodBeginning,$B364,$C364)</f>
        <v>0</v>
      </c>
      <c r="G364" s="4">
        <f>_xll.AtlasFormulas.AtlasFunctions.AtlasBalance("PROD",DataAreaId,"T.TPPTrans_sst|InventDimId~inventDimId@T.InventDim","Sum|Qty|0","","","","","","","ItemId|TransDate|T2.InventSiteId|T2.InventLocationId",$A364,PeriodEnding,$B364,$C364)</f>
        <v>0</v>
      </c>
      <c r="H364" s="4">
        <f>AtlasReport_4_Table_1[[#This Row],[Quantity]]-AtlasReport_4_Table_1[[#This Row],[TPP trans backwards (Beginning)]]</f>
        <v>0</v>
      </c>
      <c r="I364" s="4">
        <f>AtlasReport_4_Table_1[[#This Row],[Quantity]]-AtlasReport_4_Table_1[[#This Row],[TPP trans backwards (Ending)]]</f>
        <v>0</v>
      </c>
      <c r="J364" s="4">
        <f>_xll.AtlasFormulas.AtlasFunctions.AtlasBalance("PROD",DataAreaId,"T.TPPTrans_sst|InventDimId~inventDimId@T.InventDim","Sum|CostAmount|0","","","","","","","ItemId|TransDate|T2.InventSiteId|T2.InventLocationId",$A364,PeriodBeginning,$B364,$C364)</f>
        <v>0</v>
      </c>
      <c r="K364" s="4">
        <f>_xll.AtlasFormulas.AtlasFunctions.AtlasBalance("PROD",DataAreaId,"T.TPPTrans_sst|InventDimId~inventDimId@T.InventDim","Sum|CostAmount|0","","","","","","","ItemId|TransDate|T2.InventSiteId|T2.InventLocationId",$A364,PeriodEnding,$B364,$C364)</f>
        <v>0</v>
      </c>
      <c r="L364" s="4">
        <f>AtlasReport_4_Table_1[[#This Row],[TPP cost amount]]-AtlasReport_4_Table_1[[#This Row],[TPP trans backwards balance (Beginning)]]</f>
        <v>0</v>
      </c>
      <c r="M364" s="4">
        <f>AtlasReport_4_Table_1[[#This Row],[TPP cost amount]]-AtlasReport_4_Table_1[[#This Row],[TPP Balance (Beginning)]]</f>
        <v>0</v>
      </c>
    </row>
    <row r="365" spans="1:13" x14ac:dyDescent="0.25">
      <c r="A365" s="8" t="s">
        <v>595</v>
      </c>
      <c r="B365" s="8" t="s">
        <v>261</v>
      </c>
      <c r="C365" s="8" t="s">
        <v>264</v>
      </c>
      <c r="D365" s="4">
        <v>0</v>
      </c>
      <c r="E365" s="4">
        <v>0</v>
      </c>
      <c r="F365" s="4">
        <f>_xll.AtlasFormulas.AtlasFunctions.AtlasBalance("PROD",DataAreaId,"T.TPPTrans_sst|InventDimId~inventDimId@T.InventDim","Sum|Qty|0","","","","","","","ItemId|TransDate|T2.InventSiteId|T2.InventLocationId",$A365,PeriodBeginning,$B365,$C365)</f>
        <v>0</v>
      </c>
      <c r="G365" s="4">
        <f>_xll.AtlasFormulas.AtlasFunctions.AtlasBalance("PROD",DataAreaId,"T.TPPTrans_sst|InventDimId~inventDimId@T.InventDim","Sum|Qty|0","","","","","","","ItemId|TransDate|T2.InventSiteId|T2.InventLocationId",$A365,PeriodEnding,$B365,$C365)</f>
        <v>0</v>
      </c>
      <c r="H365" s="4">
        <f>AtlasReport_4_Table_1[[#This Row],[Quantity]]-AtlasReport_4_Table_1[[#This Row],[TPP trans backwards (Beginning)]]</f>
        <v>0</v>
      </c>
      <c r="I365" s="4">
        <f>AtlasReport_4_Table_1[[#This Row],[Quantity]]-AtlasReport_4_Table_1[[#This Row],[TPP trans backwards (Ending)]]</f>
        <v>0</v>
      </c>
      <c r="J365" s="4">
        <f>_xll.AtlasFormulas.AtlasFunctions.AtlasBalance("PROD",DataAreaId,"T.TPPTrans_sst|InventDimId~inventDimId@T.InventDim","Sum|CostAmount|0","","","","","","","ItemId|TransDate|T2.InventSiteId|T2.InventLocationId",$A365,PeriodBeginning,$B365,$C365)</f>
        <v>0</v>
      </c>
      <c r="K365" s="4">
        <f>_xll.AtlasFormulas.AtlasFunctions.AtlasBalance("PROD",DataAreaId,"T.TPPTrans_sst|InventDimId~inventDimId@T.InventDim","Sum|CostAmount|0","","","","","","","ItemId|TransDate|T2.InventSiteId|T2.InventLocationId",$A365,PeriodEnding,$B365,$C365)</f>
        <v>0</v>
      </c>
      <c r="L365" s="4">
        <f>AtlasReport_4_Table_1[[#This Row],[TPP cost amount]]-AtlasReport_4_Table_1[[#This Row],[TPP trans backwards balance (Beginning)]]</f>
        <v>0</v>
      </c>
      <c r="M365" s="4">
        <f>AtlasReport_4_Table_1[[#This Row],[TPP cost amount]]-AtlasReport_4_Table_1[[#This Row],[TPP Balance (Beginning)]]</f>
        <v>0</v>
      </c>
    </row>
    <row r="366" spans="1:13" x14ac:dyDescent="0.25">
      <c r="A366" s="8" t="s">
        <v>596</v>
      </c>
      <c r="B366" s="8" t="s">
        <v>261</v>
      </c>
      <c r="C366" s="8" t="s">
        <v>264</v>
      </c>
      <c r="D366" s="4">
        <v>0</v>
      </c>
      <c r="E366" s="4">
        <v>0</v>
      </c>
      <c r="F366" s="4">
        <f>_xll.AtlasFormulas.AtlasFunctions.AtlasBalance("PROD",DataAreaId,"T.TPPTrans_sst|InventDimId~inventDimId@T.InventDim","Sum|Qty|0","","","","","","","ItemId|TransDate|T2.InventSiteId|T2.InventLocationId",$A366,PeriodBeginning,$B366,$C366)</f>
        <v>0</v>
      </c>
      <c r="G366" s="4">
        <f>_xll.AtlasFormulas.AtlasFunctions.AtlasBalance("PROD",DataAreaId,"T.TPPTrans_sst|InventDimId~inventDimId@T.InventDim","Sum|Qty|0","","","","","","","ItemId|TransDate|T2.InventSiteId|T2.InventLocationId",$A366,PeriodEnding,$B366,$C366)</f>
        <v>0</v>
      </c>
      <c r="H366" s="4">
        <f>AtlasReport_4_Table_1[[#This Row],[Quantity]]-AtlasReport_4_Table_1[[#This Row],[TPP trans backwards (Beginning)]]</f>
        <v>0</v>
      </c>
      <c r="I366" s="4">
        <f>AtlasReport_4_Table_1[[#This Row],[Quantity]]-AtlasReport_4_Table_1[[#This Row],[TPP trans backwards (Ending)]]</f>
        <v>0</v>
      </c>
      <c r="J366" s="4">
        <f>_xll.AtlasFormulas.AtlasFunctions.AtlasBalance("PROD",DataAreaId,"T.TPPTrans_sst|InventDimId~inventDimId@T.InventDim","Sum|CostAmount|0","","","","","","","ItemId|TransDate|T2.InventSiteId|T2.InventLocationId",$A366,PeriodBeginning,$B366,$C366)</f>
        <v>0</v>
      </c>
      <c r="K366" s="4">
        <f>_xll.AtlasFormulas.AtlasFunctions.AtlasBalance("PROD",DataAreaId,"T.TPPTrans_sst|InventDimId~inventDimId@T.InventDim","Sum|CostAmount|0","","","","","","","ItemId|TransDate|T2.InventSiteId|T2.InventLocationId",$A366,PeriodEnding,$B366,$C366)</f>
        <v>0</v>
      </c>
      <c r="L366" s="4">
        <f>AtlasReport_4_Table_1[[#This Row],[TPP cost amount]]-AtlasReport_4_Table_1[[#This Row],[TPP trans backwards balance (Beginning)]]</f>
        <v>0</v>
      </c>
      <c r="M366" s="4">
        <f>AtlasReport_4_Table_1[[#This Row],[TPP cost amount]]-AtlasReport_4_Table_1[[#This Row],[TPP Balance (Beginning)]]</f>
        <v>0</v>
      </c>
    </row>
    <row r="367" spans="1:13" x14ac:dyDescent="0.25">
      <c r="A367" s="8" t="s">
        <v>597</v>
      </c>
      <c r="B367" s="8" t="s">
        <v>261</v>
      </c>
      <c r="C367" s="8" t="s">
        <v>264</v>
      </c>
      <c r="D367" s="4">
        <v>0</v>
      </c>
      <c r="E367" s="4">
        <v>0</v>
      </c>
      <c r="F367" s="4">
        <f>_xll.AtlasFormulas.AtlasFunctions.AtlasBalance("PROD",DataAreaId,"T.TPPTrans_sst|InventDimId~inventDimId@T.InventDim","Sum|Qty|0","","","","","","","ItemId|TransDate|T2.InventSiteId|T2.InventLocationId",$A367,PeriodBeginning,$B367,$C367)</f>
        <v>0</v>
      </c>
      <c r="G367" s="4">
        <f>_xll.AtlasFormulas.AtlasFunctions.AtlasBalance("PROD",DataAreaId,"T.TPPTrans_sst|InventDimId~inventDimId@T.InventDim","Sum|Qty|0","","","","","","","ItemId|TransDate|T2.InventSiteId|T2.InventLocationId",$A367,PeriodEnding,$B367,$C367)</f>
        <v>0</v>
      </c>
      <c r="H367" s="4">
        <f>AtlasReport_4_Table_1[[#This Row],[Quantity]]-AtlasReport_4_Table_1[[#This Row],[TPP trans backwards (Beginning)]]</f>
        <v>0</v>
      </c>
      <c r="I367" s="4">
        <f>AtlasReport_4_Table_1[[#This Row],[Quantity]]-AtlasReport_4_Table_1[[#This Row],[TPP trans backwards (Ending)]]</f>
        <v>0</v>
      </c>
      <c r="J367" s="4">
        <f>_xll.AtlasFormulas.AtlasFunctions.AtlasBalance("PROD",DataAreaId,"T.TPPTrans_sst|InventDimId~inventDimId@T.InventDim","Sum|CostAmount|0","","","","","","","ItemId|TransDate|T2.InventSiteId|T2.InventLocationId",$A367,PeriodBeginning,$B367,$C367)</f>
        <v>0</v>
      </c>
      <c r="K367" s="4">
        <f>_xll.AtlasFormulas.AtlasFunctions.AtlasBalance("PROD",DataAreaId,"T.TPPTrans_sst|InventDimId~inventDimId@T.InventDim","Sum|CostAmount|0","","","","","","","ItemId|TransDate|T2.InventSiteId|T2.InventLocationId",$A367,PeriodEnding,$B367,$C367)</f>
        <v>0</v>
      </c>
      <c r="L367" s="4">
        <f>AtlasReport_4_Table_1[[#This Row],[TPP cost amount]]-AtlasReport_4_Table_1[[#This Row],[TPP trans backwards balance (Beginning)]]</f>
        <v>0</v>
      </c>
      <c r="M367" s="4">
        <f>AtlasReport_4_Table_1[[#This Row],[TPP cost amount]]-AtlasReport_4_Table_1[[#This Row],[TPP Balance (Beginning)]]</f>
        <v>0</v>
      </c>
    </row>
    <row r="368" spans="1:13" x14ac:dyDescent="0.25">
      <c r="A368" s="8" t="s">
        <v>598</v>
      </c>
      <c r="B368" s="8" t="s">
        <v>261</v>
      </c>
      <c r="C368" s="8" t="s">
        <v>264</v>
      </c>
      <c r="D368" s="4">
        <v>0</v>
      </c>
      <c r="E368" s="4">
        <v>0</v>
      </c>
      <c r="F368" s="4">
        <f>_xll.AtlasFormulas.AtlasFunctions.AtlasBalance("PROD",DataAreaId,"T.TPPTrans_sst|InventDimId~inventDimId@T.InventDim","Sum|Qty|0","","","","","","","ItemId|TransDate|T2.InventSiteId|T2.InventLocationId",$A368,PeriodBeginning,$B368,$C368)</f>
        <v>0</v>
      </c>
      <c r="G368" s="4">
        <f>_xll.AtlasFormulas.AtlasFunctions.AtlasBalance("PROD",DataAreaId,"T.TPPTrans_sst|InventDimId~inventDimId@T.InventDim","Sum|Qty|0","","","","","","","ItemId|TransDate|T2.InventSiteId|T2.InventLocationId",$A368,PeriodEnding,$B368,$C368)</f>
        <v>0</v>
      </c>
      <c r="H368" s="4">
        <f>AtlasReport_4_Table_1[[#This Row],[Quantity]]-AtlasReport_4_Table_1[[#This Row],[TPP trans backwards (Beginning)]]</f>
        <v>0</v>
      </c>
      <c r="I368" s="4">
        <f>AtlasReport_4_Table_1[[#This Row],[Quantity]]-AtlasReport_4_Table_1[[#This Row],[TPP trans backwards (Ending)]]</f>
        <v>0</v>
      </c>
      <c r="J368" s="4">
        <f>_xll.AtlasFormulas.AtlasFunctions.AtlasBalance("PROD",DataAreaId,"T.TPPTrans_sst|InventDimId~inventDimId@T.InventDim","Sum|CostAmount|0","","","","","","","ItemId|TransDate|T2.InventSiteId|T2.InventLocationId",$A368,PeriodBeginning,$B368,$C368)</f>
        <v>0</v>
      </c>
      <c r="K368" s="4">
        <f>_xll.AtlasFormulas.AtlasFunctions.AtlasBalance("PROD",DataAreaId,"T.TPPTrans_sst|InventDimId~inventDimId@T.InventDim","Sum|CostAmount|0","","","","","","","ItemId|TransDate|T2.InventSiteId|T2.InventLocationId",$A368,PeriodEnding,$B368,$C368)</f>
        <v>0</v>
      </c>
      <c r="L368" s="4">
        <f>AtlasReport_4_Table_1[[#This Row],[TPP cost amount]]-AtlasReport_4_Table_1[[#This Row],[TPP trans backwards balance (Beginning)]]</f>
        <v>0</v>
      </c>
      <c r="M368" s="4">
        <f>AtlasReport_4_Table_1[[#This Row],[TPP cost amount]]-AtlasReport_4_Table_1[[#This Row],[TPP Balance (Beginning)]]</f>
        <v>0</v>
      </c>
    </row>
    <row r="369" spans="1:13" x14ac:dyDescent="0.25">
      <c r="A369" s="8" t="s">
        <v>599</v>
      </c>
      <c r="B369" s="8" t="s">
        <v>261</v>
      </c>
      <c r="C369" s="8" t="s">
        <v>264</v>
      </c>
      <c r="D369" s="4">
        <v>0</v>
      </c>
      <c r="E369" s="4">
        <v>0</v>
      </c>
      <c r="F369" s="4">
        <f>_xll.AtlasFormulas.AtlasFunctions.AtlasBalance("PROD",DataAreaId,"T.TPPTrans_sst|InventDimId~inventDimId@T.InventDim","Sum|Qty|0","","","","","","","ItemId|TransDate|T2.InventSiteId|T2.InventLocationId",$A369,PeriodBeginning,$B369,$C369)</f>
        <v>0</v>
      </c>
      <c r="G369" s="4">
        <f>_xll.AtlasFormulas.AtlasFunctions.AtlasBalance("PROD",DataAreaId,"T.TPPTrans_sst|InventDimId~inventDimId@T.InventDim","Sum|Qty|0","","","","","","","ItemId|TransDate|T2.InventSiteId|T2.InventLocationId",$A369,PeriodEnding,$B369,$C369)</f>
        <v>0</v>
      </c>
      <c r="H369" s="4">
        <f>AtlasReport_4_Table_1[[#This Row],[Quantity]]-AtlasReport_4_Table_1[[#This Row],[TPP trans backwards (Beginning)]]</f>
        <v>0</v>
      </c>
      <c r="I369" s="4">
        <f>AtlasReport_4_Table_1[[#This Row],[Quantity]]-AtlasReport_4_Table_1[[#This Row],[TPP trans backwards (Ending)]]</f>
        <v>0</v>
      </c>
      <c r="J369" s="4">
        <f>_xll.AtlasFormulas.AtlasFunctions.AtlasBalance("PROD",DataAreaId,"T.TPPTrans_sst|InventDimId~inventDimId@T.InventDim","Sum|CostAmount|0","","","","","","","ItemId|TransDate|T2.InventSiteId|T2.InventLocationId",$A369,PeriodBeginning,$B369,$C369)</f>
        <v>0</v>
      </c>
      <c r="K369" s="4">
        <f>_xll.AtlasFormulas.AtlasFunctions.AtlasBalance("PROD",DataAreaId,"T.TPPTrans_sst|InventDimId~inventDimId@T.InventDim","Sum|CostAmount|0","","","","","","","ItemId|TransDate|T2.InventSiteId|T2.InventLocationId",$A369,PeriodEnding,$B369,$C369)</f>
        <v>0</v>
      </c>
      <c r="L369" s="4">
        <f>AtlasReport_4_Table_1[[#This Row],[TPP cost amount]]-AtlasReport_4_Table_1[[#This Row],[TPP trans backwards balance (Beginning)]]</f>
        <v>0</v>
      </c>
      <c r="M369" s="4">
        <f>AtlasReport_4_Table_1[[#This Row],[TPP cost amount]]-AtlasReport_4_Table_1[[#This Row],[TPP Balance (Beginning)]]</f>
        <v>0</v>
      </c>
    </row>
    <row r="370" spans="1:13" x14ac:dyDescent="0.25">
      <c r="A370" s="8" t="s">
        <v>600</v>
      </c>
      <c r="B370" s="8" t="s">
        <v>261</v>
      </c>
      <c r="C370" s="8" t="s">
        <v>264</v>
      </c>
      <c r="D370" s="4">
        <v>0</v>
      </c>
      <c r="E370" s="4">
        <v>0</v>
      </c>
      <c r="F370" s="4">
        <f>_xll.AtlasFormulas.AtlasFunctions.AtlasBalance("PROD",DataAreaId,"T.TPPTrans_sst|InventDimId~inventDimId@T.InventDim","Sum|Qty|0","","","","","","","ItemId|TransDate|T2.InventSiteId|T2.InventLocationId",$A370,PeriodBeginning,$B370,$C370)</f>
        <v>0</v>
      </c>
      <c r="G370" s="4">
        <f>_xll.AtlasFormulas.AtlasFunctions.AtlasBalance("PROD",DataAreaId,"T.TPPTrans_sst|InventDimId~inventDimId@T.InventDim","Sum|Qty|0","","","","","","","ItemId|TransDate|T2.InventSiteId|T2.InventLocationId",$A370,PeriodEnding,$B370,$C370)</f>
        <v>0</v>
      </c>
      <c r="H370" s="4">
        <f>AtlasReport_4_Table_1[[#This Row],[Quantity]]-AtlasReport_4_Table_1[[#This Row],[TPP trans backwards (Beginning)]]</f>
        <v>0</v>
      </c>
      <c r="I370" s="4">
        <f>AtlasReport_4_Table_1[[#This Row],[Quantity]]-AtlasReport_4_Table_1[[#This Row],[TPP trans backwards (Ending)]]</f>
        <v>0</v>
      </c>
      <c r="J370" s="4">
        <f>_xll.AtlasFormulas.AtlasFunctions.AtlasBalance("PROD",DataAreaId,"T.TPPTrans_sst|InventDimId~inventDimId@T.InventDim","Sum|CostAmount|0","","","","","","","ItemId|TransDate|T2.InventSiteId|T2.InventLocationId",$A370,PeriodBeginning,$B370,$C370)</f>
        <v>0</v>
      </c>
      <c r="K370" s="4">
        <f>_xll.AtlasFormulas.AtlasFunctions.AtlasBalance("PROD",DataAreaId,"T.TPPTrans_sst|InventDimId~inventDimId@T.InventDim","Sum|CostAmount|0","","","","","","","ItemId|TransDate|T2.InventSiteId|T2.InventLocationId",$A370,PeriodEnding,$B370,$C370)</f>
        <v>0</v>
      </c>
      <c r="L370" s="4">
        <f>AtlasReport_4_Table_1[[#This Row],[TPP cost amount]]-AtlasReport_4_Table_1[[#This Row],[TPP trans backwards balance (Beginning)]]</f>
        <v>0</v>
      </c>
      <c r="M370" s="4">
        <f>AtlasReport_4_Table_1[[#This Row],[TPP cost amount]]-AtlasReport_4_Table_1[[#This Row],[TPP Balance (Beginning)]]</f>
        <v>0</v>
      </c>
    </row>
    <row r="371" spans="1:13" x14ac:dyDescent="0.25">
      <c r="A371" s="8" t="s">
        <v>602</v>
      </c>
      <c r="B371" s="8" t="s">
        <v>261</v>
      </c>
      <c r="C371" s="8" t="s">
        <v>264</v>
      </c>
      <c r="D371" s="4">
        <v>0</v>
      </c>
      <c r="E371" s="4">
        <v>0</v>
      </c>
      <c r="F371" s="4">
        <f>_xll.AtlasFormulas.AtlasFunctions.AtlasBalance("PROD",DataAreaId,"T.TPPTrans_sst|InventDimId~inventDimId@T.InventDim","Sum|Qty|0","","","","","","","ItemId|TransDate|T2.InventSiteId|T2.InventLocationId",$A371,PeriodBeginning,$B371,$C371)</f>
        <v>0</v>
      </c>
      <c r="G371" s="4">
        <f>_xll.AtlasFormulas.AtlasFunctions.AtlasBalance("PROD",DataAreaId,"T.TPPTrans_sst|InventDimId~inventDimId@T.InventDim","Sum|Qty|0","","","","","","","ItemId|TransDate|T2.InventSiteId|T2.InventLocationId",$A371,PeriodEnding,$B371,$C371)</f>
        <v>0</v>
      </c>
      <c r="H371" s="4">
        <f>AtlasReport_4_Table_1[[#This Row],[Quantity]]-AtlasReport_4_Table_1[[#This Row],[TPP trans backwards (Beginning)]]</f>
        <v>0</v>
      </c>
      <c r="I371" s="4">
        <f>AtlasReport_4_Table_1[[#This Row],[Quantity]]-AtlasReport_4_Table_1[[#This Row],[TPP trans backwards (Ending)]]</f>
        <v>0</v>
      </c>
      <c r="J371" s="4">
        <f>_xll.AtlasFormulas.AtlasFunctions.AtlasBalance("PROD",DataAreaId,"T.TPPTrans_sst|InventDimId~inventDimId@T.InventDim","Sum|CostAmount|0","","","","","","","ItemId|TransDate|T2.InventSiteId|T2.InventLocationId",$A371,PeriodBeginning,$B371,$C371)</f>
        <v>0</v>
      </c>
      <c r="K371" s="4">
        <f>_xll.AtlasFormulas.AtlasFunctions.AtlasBalance("PROD",DataAreaId,"T.TPPTrans_sst|InventDimId~inventDimId@T.InventDim","Sum|CostAmount|0","","","","","","","ItemId|TransDate|T2.InventSiteId|T2.InventLocationId",$A371,PeriodEnding,$B371,$C371)</f>
        <v>0</v>
      </c>
      <c r="L371" s="4">
        <f>AtlasReport_4_Table_1[[#This Row],[TPP cost amount]]-AtlasReport_4_Table_1[[#This Row],[TPP trans backwards balance (Beginning)]]</f>
        <v>0</v>
      </c>
      <c r="M371" s="4">
        <f>AtlasReport_4_Table_1[[#This Row],[TPP cost amount]]-AtlasReport_4_Table_1[[#This Row],[TPP Balance (Beginning)]]</f>
        <v>0</v>
      </c>
    </row>
    <row r="372" spans="1:13" x14ac:dyDescent="0.25">
      <c r="A372" s="8" t="s">
        <v>603</v>
      </c>
      <c r="B372" s="8" t="s">
        <v>261</v>
      </c>
      <c r="C372" s="8" t="s">
        <v>264</v>
      </c>
      <c r="D372" s="4">
        <v>0</v>
      </c>
      <c r="E372" s="4">
        <v>0</v>
      </c>
      <c r="F372" s="4">
        <f>_xll.AtlasFormulas.AtlasFunctions.AtlasBalance("PROD",DataAreaId,"T.TPPTrans_sst|InventDimId~inventDimId@T.InventDim","Sum|Qty|0","","","","","","","ItemId|TransDate|T2.InventSiteId|T2.InventLocationId",$A372,PeriodBeginning,$B372,$C372)</f>
        <v>0</v>
      </c>
      <c r="G372" s="4">
        <f>_xll.AtlasFormulas.AtlasFunctions.AtlasBalance("PROD",DataAreaId,"T.TPPTrans_sst|InventDimId~inventDimId@T.InventDim","Sum|Qty|0","","","","","","","ItemId|TransDate|T2.InventSiteId|T2.InventLocationId",$A372,PeriodEnding,$B372,$C372)</f>
        <v>0</v>
      </c>
      <c r="H372" s="4">
        <f>AtlasReport_4_Table_1[[#This Row],[Quantity]]-AtlasReport_4_Table_1[[#This Row],[TPP trans backwards (Beginning)]]</f>
        <v>0</v>
      </c>
      <c r="I372" s="4">
        <f>AtlasReport_4_Table_1[[#This Row],[Quantity]]-AtlasReport_4_Table_1[[#This Row],[TPP trans backwards (Ending)]]</f>
        <v>0</v>
      </c>
      <c r="J372" s="4">
        <f>_xll.AtlasFormulas.AtlasFunctions.AtlasBalance("PROD",DataAreaId,"T.TPPTrans_sst|InventDimId~inventDimId@T.InventDim","Sum|CostAmount|0","","","","","","","ItemId|TransDate|T2.InventSiteId|T2.InventLocationId",$A372,PeriodBeginning,$B372,$C372)</f>
        <v>0</v>
      </c>
      <c r="K372" s="4">
        <f>_xll.AtlasFormulas.AtlasFunctions.AtlasBalance("PROD",DataAreaId,"T.TPPTrans_sst|InventDimId~inventDimId@T.InventDim","Sum|CostAmount|0","","","","","","","ItemId|TransDate|T2.InventSiteId|T2.InventLocationId",$A372,PeriodEnding,$B372,$C372)</f>
        <v>0</v>
      </c>
      <c r="L372" s="4">
        <f>AtlasReport_4_Table_1[[#This Row],[TPP cost amount]]-AtlasReport_4_Table_1[[#This Row],[TPP trans backwards balance (Beginning)]]</f>
        <v>0</v>
      </c>
      <c r="M372" s="4">
        <f>AtlasReport_4_Table_1[[#This Row],[TPP cost amount]]-AtlasReport_4_Table_1[[#This Row],[TPP Balance (Beginning)]]</f>
        <v>0</v>
      </c>
    </row>
    <row r="373" spans="1:13" x14ac:dyDescent="0.25">
      <c r="A373" s="8" t="s">
        <v>604</v>
      </c>
      <c r="B373" s="8" t="s">
        <v>261</v>
      </c>
      <c r="C373" s="8" t="s">
        <v>264</v>
      </c>
      <c r="D373" s="4">
        <v>0</v>
      </c>
      <c r="E373" s="4">
        <v>0</v>
      </c>
      <c r="F373" s="4">
        <f>_xll.AtlasFormulas.AtlasFunctions.AtlasBalance("PROD",DataAreaId,"T.TPPTrans_sst|InventDimId~inventDimId@T.InventDim","Sum|Qty|0","","","","","","","ItemId|TransDate|T2.InventSiteId|T2.InventLocationId",$A373,PeriodBeginning,$B373,$C373)</f>
        <v>0</v>
      </c>
      <c r="G373" s="4">
        <f>_xll.AtlasFormulas.AtlasFunctions.AtlasBalance("PROD",DataAreaId,"T.TPPTrans_sst|InventDimId~inventDimId@T.InventDim","Sum|Qty|0","","","","","","","ItemId|TransDate|T2.InventSiteId|T2.InventLocationId",$A373,PeriodEnding,$B373,$C373)</f>
        <v>0</v>
      </c>
      <c r="H373" s="4">
        <f>AtlasReport_4_Table_1[[#This Row],[Quantity]]-AtlasReport_4_Table_1[[#This Row],[TPP trans backwards (Beginning)]]</f>
        <v>0</v>
      </c>
      <c r="I373" s="4">
        <f>AtlasReport_4_Table_1[[#This Row],[Quantity]]-AtlasReport_4_Table_1[[#This Row],[TPP trans backwards (Ending)]]</f>
        <v>0</v>
      </c>
      <c r="J373" s="4">
        <f>_xll.AtlasFormulas.AtlasFunctions.AtlasBalance("PROD",DataAreaId,"T.TPPTrans_sst|InventDimId~inventDimId@T.InventDim","Sum|CostAmount|0","","","","","","","ItemId|TransDate|T2.InventSiteId|T2.InventLocationId",$A373,PeriodBeginning,$B373,$C373)</f>
        <v>0</v>
      </c>
      <c r="K373" s="4">
        <f>_xll.AtlasFormulas.AtlasFunctions.AtlasBalance("PROD",DataAreaId,"T.TPPTrans_sst|InventDimId~inventDimId@T.InventDim","Sum|CostAmount|0","","","","","","","ItemId|TransDate|T2.InventSiteId|T2.InventLocationId",$A373,PeriodEnding,$B373,$C373)</f>
        <v>0</v>
      </c>
      <c r="L373" s="4">
        <f>AtlasReport_4_Table_1[[#This Row],[TPP cost amount]]-AtlasReport_4_Table_1[[#This Row],[TPP trans backwards balance (Beginning)]]</f>
        <v>0</v>
      </c>
      <c r="M373" s="4">
        <f>AtlasReport_4_Table_1[[#This Row],[TPP cost amount]]-AtlasReport_4_Table_1[[#This Row],[TPP Balance (Beginning)]]</f>
        <v>0</v>
      </c>
    </row>
    <row r="374" spans="1:13" x14ac:dyDescent="0.25">
      <c r="A374" s="8" t="s">
        <v>605</v>
      </c>
      <c r="B374" s="8" t="s">
        <v>261</v>
      </c>
      <c r="C374" s="8" t="s">
        <v>264</v>
      </c>
      <c r="D374" s="4">
        <v>0</v>
      </c>
      <c r="E374" s="4">
        <v>0</v>
      </c>
      <c r="F374" s="4">
        <f>_xll.AtlasFormulas.AtlasFunctions.AtlasBalance("PROD",DataAreaId,"T.TPPTrans_sst|InventDimId~inventDimId@T.InventDim","Sum|Qty|0","","","","","","","ItemId|TransDate|T2.InventSiteId|T2.InventLocationId",$A374,PeriodBeginning,$B374,$C374)</f>
        <v>0</v>
      </c>
      <c r="G374" s="4">
        <f>_xll.AtlasFormulas.AtlasFunctions.AtlasBalance("PROD",DataAreaId,"T.TPPTrans_sst|InventDimId~inventDimId@T.InventDim","Sum|Qty|0","","","","","","","ItemId|TransDate|T2.InventSiteId|T2.InventLocationId",$A374,PeriodEnding,$B374,$C374)</f>
        <v>0</v>
      </c>
      <c r="H374" s="4">
        <f>AtlasReport_4_Table_1[[#This Row],[Quantity]]-AtlasReport_4_Table_1[[#This Row],[TPP trans backwards (Beginning)]]</f>
        <v>0</v>
      </c>
      <c r="I374" s="4">
        <f>AtlasReport_4_Table_1[[#This Row],[Quantity]]-AtlasReport_4_Table_1[[#This Row],[TPP trans backwards (Ending)]]</f>
        <v>0</v>
      </c>
      <c r="J374" s="4">
        <f>_xll.AtlasFormulas.AtlasFunctions.AtlasBalance("PROD",DataAreaId,"T.TPPTrans_sst|InventDimId~inventDimId@T.InventDim","Sum|CostAmount|0","","","","","","","ItemId|TransDate|T2.InventSiteId|T2.InventLocationId",$A374,PeriodBeginning,$B374,$C374)</f>
        <v>0</v>
      </c>
      <c r="K374" s="4">
        <f>_xll.AtlasFormulas.AtlasFunctions.AtlasBalance("PROD",DataAreaId,"T.TPPTrans_sst|InventDimId~inventDimId@T.InventDim","Sum|CostAmount|0","","","","","","","ItemId|TransDate|T2.InventSiteId|T2.InventLocationId",$A374,PeriodEnding,$B374,$C374)</f>
        <v>0</v>
      </c>
      <c r="L374" s="4">
        <f>AtlasReport_4_Table_1[[#This Row],[TPP cost amount]]-AtlasReport_4_Table_1[[#This Row],[TPP trans backwards balance (Beginning)]]</f>
        <v>0</v>
      </c>
      <c r="M374" s="4">
        <f>AtlasReport_4_Table_1[[#This Row],[TPP cost amount]]-AtlasReport_4_Table_1[[#This Row],[TPP Balance (Beginning)]]</f>
        <v>0</v>
      </c>
    </row>
    <row r="375" spans="1:13" x14ac:dyDescent="0.25">
      <c r="A375" s="8" t="s">
        <v>606</v>
      </c>
      <c r="B375" s="8" t="s">
        <v>261</v>
      </c>
      <c r="C375" s="8" t="s">
        <v>264</v>
      </c>
      <c r="D375" s="4">
        <v>0</v>
      </c>
      <c r="E375" s="4">
        <v>0</v>
      </c>
      <c r="F375" s="4">
        <f>_xll.AtlasFormulas.AtlasFunctions.AtlasBalance("PROD",DataAreaId,"T.TPPTrans_sst|InventDimId~inventDimId@T.InventDim","Sum|Qty|0","","","","","","","ItemId|TransDate|T2.InventSiteId|T2.InventLocationId",$A375,PeriodBeginning,$B375,$C375)</f>
        <v>0</v>
      </c>
      <c r="G375" s="4">
        <f>_xll.AtlasFormulas.AtlasFunctions.AtlasBalance("PROD",DataAreaId,"T.TPPTrans_sst|InventDimId~inventDimId@T.InventDim","Sum|Qty|0","","","","","","","ItemId|TransDate|T2.InventSiteId|T2.InventLocationId",$A375,PeriodEnding,$B375,$C375)</f>
        <v>0</v>
      </c>
      <c r="H375" s="4">
        <f>AtlasReport_4_Table_1[[#This Row],[Quantity]]-AtlasReport_4_Table_1[[#This Row],[TPP trans backwards (Beginning)]]</f>
        <v>0</v>
      </c>
      <c r="I375" s="4">
        <f>AtlasReport_4_Table_1[[#This Row],[Quantity]]-AtlasReport_4_Table_1[[#This Row],[TPP trans backwards (Ending)]]</f>
        <v>0</v>
      </c>
      <c r="J375" s="4">
        <f>_xll.AtlasFormulas.AtlasFunctions.AtlasBalance("PROD",DataAreaId,"T.TPPTrans_sst|InventDimId~inventDimId@T.InventDim","Sum|CostAmount|0","","","","","","","ItemId|TransDate|T2.InventSiteId|T2.InventLocationId",$A375,PeriodBeginning,$B375,$C375)</f>
        <v>0</v>
      </c>
      <c r="K375" s="4">
        <f>_xll.AtlasFormulas.AtlasFunctions.AtlasBalance("PROD",DataAreaId,"T.TPPTrans_sst|InventDimId~inventDimId@T.InventDim","Sum|CostAmount|0","","","","","","","ItemId|TransDate|T2.InventSiteId|T2.InventLocationId",$A375,PeriodEnding,$B375,$C375)</f>
        <v>0</v>
      </c>
      <c r="L375" s="4">
        <f>AtlasReport_4_Table_1[[#This Row],[TPP cost amount]]-AtlasReport_4_Table_1[[#This Row],[TPP trans backwards balance (Beginning)]]</f>
        <v>0</v>
      </c>
      <c r="M375" s="4">
        <f>AtlasReport_4_Table_1[[#This Row],[TPP cost amount]]-AtlasReport_4_Table_1[[#This Row],[TPP Balance (Beginning)]]</f>
        <v>0</v>
      </c>
    </row>
    <row r="376" spans="1:13" x14ac:dyDescent="0.25">
      <c r="A376" s="3" t="s">
        <v>13</v>
      </c>
      <c r="B376" s="7"/>
      <c r="C376" s="7"/>
      <c r="D376" s="3">
        <f>SUBTOTAL(109,AtlasReport_4_Table_1[Quantity])</f>
        <v>876435.82999999973</v>
      </c>
      <c r="E376" s="3">
        <f>SUBTOTAL(109,AtlasReport_4_Table_1[TPP cost amount])</f>
        <v>121178.07999999993</v>
      </c>
      <c r="F376" s="3"/>
      <c r="G376" s="3"/>
      <c r="H376" s="3"/>
      <c r="I376" s="3"/>
      <c r="J376" s="3"/>
      <c r="K376" s="3"/>
      <c r="L376" s="3"/>
      <c r="M376" s="3"/>
    </row>
    <row r="377" spans="1:13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</row>
    <row r="378" spans="1:13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11"/>
  <sheetViews>
    <sheetView workbookViewId="0">
      <selection activeCell="B8" sqref="B8"/>
    </sheetView>
  </sheetViews>
  <sheetFormatPr defaultRowHeight="15" x14ac:dyDescent="0.25"/>
  <cols>
    <col min="1" max="1" width="21.140625" customWidth="1"/>
    <col min="2" max="2" width="56.7109375" customWidth="1"/>
    <col min="3" max="3" width="13" customWidth="1"/>
    <col min="4" max="4" width="11.85546875" customWidth="1"/>
    <col min="5" max="5" width="7.140625" customWidth="1"/>
  </cols>
  <sheetData>
    <row r="1" spans="1:5" ht="22.5" x14ac:dyDescent="0.3">
      <c r="A1" s="2" t="s">
        <v>177</v>
      </c>
      <c r="B1" s="2"/>
      <c r="C1" s="2"/>
      <c r="D1" s="2"/>
      <c r="E1" s="2"/>
    </row>
    <row r="2" spans="1:5" x14ac:dyDescent="0.25">
      <c r="A2" s="3" t="s">
        <v>6</v>
      </c>
      <c r="B2" s="3" t="s">
        <v>30</v>
      </c>
      <c r="C2" s="3" t="s">
        <v>178</v>
      </c>
      <c r="D2" s="3" t="s">
        <v>179</v>
      </c>
      <c r="E2" s="3" t="s">
        <v>36</v>
      </c>
    </row>
    <row r="3" spans="1:5" x14ac:dyDescent="0.25">
      <c r="A3" s="8" t="s">
        <v>260</v>
      </c>
      <c r="B3" s="8" t="s">
        <v>970</v>
      </c>
      <c r="C3" s="8" t="s">
        <v>205</v>
      </c>
      <c r="D3" s="8" t="s">
        <v>162</v>
      </c>
      <c r="E3" s="8" t="s">
        <v>37</v>
      </c>
    </row>
    <row r="4" spans="1:5" x14ac:dyDescent="0.25">
      <c r="A4" s="8" t="s">
        <v>266</v>
      </c>
      <c r="B4" s="8" t="s">
        <v>971</v>
      </c>
      <c r="C4" s="8" t="s">
        <v>205</v>
      </c>
      <c r="D4" s="8" t="s">
        <v>162</v>
      </c>
      <c r="E4" s="8" t="s">
        <v>120</v>
      </c>
    </row>
    <row r="5" spans="1:5" x14ac:dyDescent="0.25">
      <c r="A5" s="8" t="s">
        <v>267</v>
      </c>
      <c r="B5" s="8" t="s">
        <v>974</v>
      </c>
      <c r="C5" s="8" t="s">
        <v>180</v>
      </c>
      <c r="D5" s="8" t="s">
        <v>181</v>
      </c>
      <c r="E5" s="8" t="s">
        <v>37</v>
      </c>
    </row>
    <row r="6" spans="1:5" x14ac:dyDescent="0.25">
      <c r="A6" s="8" t="s">
        <v>268</v>
      </c>
      <c r="B6" s="8" t="s">
        <v>975</v>
      </c>
      <c r="C6" s="8" t="s">
        <v>205</v>
      </c>
      <c r="D6" s="8" t="s">
        <v>181</v>
      </c>
      <c r="E6" s="8" t="s">
        <v>37</v>
      </c>
    </row>
    <row r="7" spans="1:5" x14ac:dyDescent="0.25">
      <c r="A7" s="8" t="s">
        <v>269</v>
      </c>
      <c r="B7" s="8" t="s">
        <v>976</v>
      </c>
      <c r="C7" s="8" t="s">
        <v>977</v>
      </c>
      <c r="D7" s="8" t="s">
        <v>181</v>
      </c>
      <c r="E7" s="8" t="s">
        <v>120</v>
      </c>
    </row>
    <row r="8" spans="1:5" x14ac:dyDescent="0.25">
      <c r="A8" s="8" t="s">
        <v>270</v>
      </c>
      <c r="B8" s="8" t="s">
        <v>978</v>
      </c>
      <c r="C8" s="8" t="s">
        <v>977</v>
      </c>
      <c r="D8" s="8" t="s">
        <v>181</v>
      </c>
      <c r="E8" s="8" t="s">
        <v>120</v>
      </c>
    </row>
    <row r="9" spans="1:5" x14ac:dyDescent="0.25">
      <c r="A9" s="8" t="s">
        <v>271</v>
      </c>
      <c r="B9" s="8" t="s">
        <v>979</v>
      </c>
      <c r="C9" s="8" t="s">
        <v>977</v>
      </c>
      <c r="D9" s="8" t="s">
        <v>181</v>
      </c>
      <c r="E9" s="8" t="s">
        <v>120</v>
      </c>
    </row>
    <row r="10" spans="1:5" x14ac:dyDescent="0.25">
      <c r="A10" s="8" t="s">
        <v>272</v>
      </c>
      <c r="B10" s="8" t="s">
        <v>980</v>
      </c>
      <c r="C10" s="8" t="s">
        <v>977</v>
      </c>
      <c r="D10" s="8" t="s">
        <v>181</v>
      </c>
      <c r="E10" s="8" t="s">
        <v>120</v>
      </c>
    </row>
    <row r="11" spans="1:5" x14ac:dyDescent="0.25">
      <c r="A11" s="8" t="s">
        <v>273</v>
      </c>
      <c r="B11" s="8" t="s">
        <v>981</v>
      </c>
      <c r="C11" s="8" t="s">
        <v>977</v>
      </c>
      <c r="D11" s="8" t="s">
        <v>181</v>
      </c>
      <c r="E11" s="8" t="s">
        <v>120</v>
      </c>
    </row>
    <row r="12" spans="1:5" x14ac:dyDescent="0.25">
      <c r="A12" s="8" t="s">
        <v>274</v>
      </c>
      <c r="B12" s="8" t="s">
        <v>982</v>
      </c>
      <c r="C12" s="8" t="s">
        <v>977</v>
      </c>
      <c r="D12" s="8" t="s">
        <v>181</v>
      </c>
      <c r="E12" s="8" t="s">
        <v>120</v>
      </c>
    </row>
    <row r="13" spans="1:5" x14ac:dyDescent="0.25">
      <c r="A13" s="8" t="s">
        <v>275</v>
      </c>
      <c r="B13" s="8" t="s">
        <v>983</v>
      </c>
      <c r="C13" s="8" t="s">
        <v>977</v>
      </c>
      <c r="D13" s="8" t="s">
        <v>181</v>
      </c>
      <c r="E13" s="8" t="s">
        <v>120</v>
      </c>
    </row>
    <row r="14" spans="1:5" x14ac:dyDescent="0.25">
      <c r="A14" s="8" t="s">
        <v>276</v>
      </c>
      <c r="B14" s="8" t="s">
        <v>984</v>
      </c>
      <c r="C14" s="8" t="s">
        <v>977</v>
      </c>
      <c r="D14" s="8" t="s">
        <v>181</v>
      </c>
      <c r="E14" s="8" t="s">
        <v>120</v>
      </c>
    </row>
    <row r="15" spans="1:5" x14ac:dyDescent="0.25">
      <c r="A15" s="8" t="s">
        <v>277</v>
      </c>
      <c r="B15" s="8" t="s">
        <v>985</v>
      </c>
      <c r="C15" s="8" t="s">
        <v>977</v>
      </c>
      <c r="D15" s="8" t="s">
        <v>181</v>
      </c>
      <c r="E15" s="8" t="s">
        <v>120</v>
      </c>
    </row>
    <row r="16" spans="1:5" x14ac:dyDescent="0.25">
      <c r="A16" s="8" t="s">
        <v>52</v>
      </c>
      <c r="B16" s="8" t="s">
        <v>96</v>
      </c>
      <c r="C16" s="8" t="s">
        <v>180</v>
      </c>
      <c r="D16" s="8" t="s">
        <v>181</v>
      </c>
      <c r="E16" s="8" t="s">
        <v>38</v>
      </c>
    </row>
    <row r="17" spans="1:5" ht="30" x14ac:dyDescent="0.25">
      <c r="A17" s="8" t="s">
        <v>136</v>
      </c>
      <c r="B17" s="11" t="s">
        <v>161</v>
      </c>
      <c r="C17" s="8" t="s">
        <v>180</v>
      </c>
      <c r="D17" s="8" t="s">
        <v>181</v>
      </c>
      <c r="E17" s="8" t="s">
        <v>38</v>
      </c>
    </row>
    <row r="18" spans="1:5" x14ac:dyDescent="0.25">
      <c r="A18" s="8" t="s">
        <v>278</v>
      </c>
      <c r="B18" s="8" t="s">
        <v>986</v>
      </c>
      <c r="C18" s="8" t="s">
        <v>180</v>
      </c>
      <c r="D18" s="8" t="s">
        <v>181</v>
      </c>
      <c r="E18" s="8" t="s">
        <v>39</v>
      </c>
    </row>
    <row r="19" spans="1:5" x14ac:dyDescent="0.25">
      <c r="A19" s="8" t="s">
        <v>279</v>
      </c>
      <c r="B19" s="8" t="s">
        <v>987</v>
      </c>
      <c r="C19" s="8" t="s">
        <v>180</v>
      </c>
      <c r="D19" s="8" t="s">
        <v>181</v>
      </c>
      <c r="E19" s="8" t="s">
        <v>37</v>
      </c>
    </row>
    <row r="20" spans="1:5" x14ac:dyDescent="0.25">
      <c r="A20" s="8" t="s">
        <v>280</v>
      </c>
      <c r="B20" s="8" t="s">
        <v>988</v>
      </c>
      <c r="C20" s="8" t="s">
        <v>180</v>
      </c>
      <c r="D20" s="8" t="s">
        <v>181</v>
      </c>
      <c r="E20" s="8" t="s">
        <v>37</v>
      </c>
    </row>
    <row r="21" spans="1:5" x14ac:dyDescent="0.25">
      <c r="A21" s="8" t="s">
        <v>281</v>
      </c>
      <c r="B21" s="8" t="s">
        <v>989</v>
      </c>
      <c r="C21" s="8" t="s">
        <v>183</v>
      </c>
      <c r="D21" s="8" t="s">
        <v>181</v>
      </c>
      <c r="E21" s="8" t="s">
        <v>37</v>
      </c>
    </row>
    <row r="22" spans="1:5" x14ac:dyDescent="0.25">
      <c r="A22" s="8" t="s">
        <v>282</v>
      </c>
      <c r="B22" s="8" t="s">
        <v>990</v>
      </c>
      <c r="C22" s="8" t="s">
        <v>180</v>
      </c>
      <c r="D22" s="8" t="s">
        <v>181</v>
      </c>
      <c r="E22" s="8" t="s">
        <v>37</v>
      </c>
    </row>
    <row r="23" spans="1:5" x14ac:dyDescent="0.25">
      <c r="A23" s="8" t="s">
        <v>283</v>
      </c>
      <c r="B23" s="8" t="s">
        <v>991</v>
      </c>
      <c r="C23" s="8" t="s">
        <v>180</v>
      </c>
      <c r="D23" s="8" t="s">
        <v>181</v>
      </c>
      <c r="E23" s="8" t="s">
        <v>38</v>
      </c>
    </row>
    <row r="24" spans="1:5" x14ac:dyDescent="0.25">
      <c r="A24" s="8" t="s">
        <v>284</v>
      </c>
      <c r="B24" s="8" t="s">
        <v>992</v>
      </c>
      <c r="C24" s="8" t="s">
        <v>180</v>
      </c>
      <c r="D24" s="8" t="s">
        <v>181</v>
      </c>
      <c r="E24" s="8" t="s">
        <v>38</v>
      </c>
    </row>
    <row r="25" spans="1:5" x14ac:dyDescent="0.25">
      <c r="A25" s="8" t="s">
        <v>137</v>
      </c>
      <c r="B25" s="8" t="s">
        <v>182</v>
      </c>
      <c r="C25" s="8" t="s">
        <v>180</v>
      </c>
      <c r="D25" s="8" t="s">
        <v>181</v>
      </c>
      <c r="E25" s="8" t="s">
        <v>38</v>
      </c>
    </row>
    <row r="26" spans="1:5" x14ac:dyDescent="0.25">
      <c r="A26" s="8" t="s">
        <v>285</v>
      </c>
      <c r="B26" s="8" t="s">
        <v>993</v>
      </c>
      <c r="C26" s="8" t="s">
        <v>180</v>
      </c>
      <c r="D26" s="8" t="s">
        <v>181</v>
      </c>
      <c r="E26" s="8" t="s">
        <v>38</v>
      </c>
    </row>
    <row r="27" spans="1:5" x14ac:dyDescent="0.25">
      <c r="A27" s="8" t="s">
        <v>286</v>
      </c>
      <c r="B27" s="8" t="s">
        <v>608</v>
      </c>
      <c r="C27" s="8" t="s">
        <v>180</v>
      </c>
      <c r="D27" s="8" t="s">
        <v>181</v>
      </c>
      <c r="E27" s="8" t="s">
        <v>37</v>
      </c>
    </row>
    <row r="28" spans="1:5" x14ac:dyDescent="0.25">
      <c r="A28" s="8" t="s">
        <v>287</v>
      </c>
      <c r="B28" s="8" t="s">
        <v>996</v>
      </c>
      <c r="C28" s="8" t="s">
        <v>180</v>
      </c>
      <c r="D28" s="8" t="s">
        <v>181</v>
      </c>
      <c r="E28" s="8" t="s">
        <v>38</v>
      </c>
    </row>
    <row r="29" spans="1:5" x14ac:dyDescent="0.25">
      <c r="A29" s="8" t="s">
        <v>288</v>
      </c>
      <c r="B29" s="8" t="s">
        <v>996</v>
      </c>
      <c r="C29" s="8" t="s">
        <v>180</v>
      </c>
      <c r="D29" s="8" t="s">
        <v>181</v>
      </c>
      <c r="E29" s="8" t="s">
        <v>38</v>
      </c>
    </row>
    <row r="30" spans="1:5" x14ac:dyDescent="0.25">
      <c r="A30" s="8" t="s">
        <v>53</v>
      </c>
      <c r="B30" s="8" t="s">
        <v>997</v>
      </c>
      <c r="C30" s="8" t="s">
        <v>183</v>
      </c>
      <c r="D30" s="8" t="s">
        <v>181</v>
      </c>
      <c r="E30" s="8" t="s">
        <v>37</v>
      </c>
    </row>
    <row r="31" spans="1:5" x14ac:dyDescent="0.25">
      <c r="A31" s="8" t="s">
        <v>70</v>
      </c>
      <c r="B31" s="8" t="s">
        <v>998</v>
      </c>
      <c r="C31" s="8" t="s">
        <v>183</v>
      </c>
      <c r="D31" s="8" t="s">
        <v>181</v>
      </c>
      <c r="E31" s="8" t="s">
        <v>37</v>
      </c>
    </row>
    <row r="32" spans="1:5" x14ac:dyDescent="0.25">
      <c r="A32" s="8" t="s">
        <v>291</v>
      </c>
      <c r="B32" s="8" t="s">
        <v>160</v>
      </c>
      <c r="C32" s="8" t="s">
        <v>183</v>
      </c>
      <c r="D32" s="8" t="s">
        <v>181</v>
      </c>
      <c r="E32" s="8" t="s">
        <v>37</v>
      </c>
    </row>
    <row r="33" spans="1:5" x14ac:dyDescent="0.25">
      <c r="A33" s="8" t="s">
        <v>999</v>
      </c>
      <c r="B33" s="8" t="s">
        <v>1000</v>
      </c>
      <c r="C33" s="8" t="s">
        <v>180</v>
      </c>
      <c r="D33" s="8" t="s">
        <v>181</v>
      </c>
      <c r="E33" s="8" t="s">
        <v>37</v>
      </c>
    </row>
    <row r="34" spans="1:5" x14ac:dyDescent="0.25">
      <c r="A34" s="8" t="s">
        <v>1001</v>
      </c>
      <c r="B34" s="8" t="s">
        <v>1002</v>
      </c>
      <c r="C34" s="8" t="s">
        <v>180</v>
      </c>
      <c r="D34" s="8" t="s">
        <v>181</v>
      </c>
      <c r="E34" s="8" t="s">
        <v>37</v>
      </c>
    </row>
    <row r="35" spans="1:5" x14ac:dyDescent="0.25">
      <c r="A35" s="8" t="s">
        <v>1003</v>
      </c>
      <c r="B35" s="8" t="s">
        <v>1004</v>
      </c>
      <c r="C35" s="8" t="s">
        <v>180</v>
      </c>
      <c r="D35" s="8" t="s">
        <v>181</v>
      </c>
      <c r="E35" s="8" t="s">
        <v>120</v>
      </c>
    </row>
    <row r="36" spans="1:5" x14ac:dyDescent="0.25">
      <c r="A36" s="8" t="s">
        <v>138</v>
      </c>
      <c r="B36" s="8" t="s">
        <v>184</v>
      </c>
      <c r="C36" s="8" t="s">
        <v>180</v>
      </c>
      <c r="D36" s="8" t="s">
        <v>181</v>
      </c>
      <c r="E36" s="8" t="s">
        <v>37</v>
      </c>
    </row>
    <row r="37" spans="1:5" x14ac:dyDescent="0.25">
      <c r="A37" s="8" t="s">
        <v>139</v>
      </c>
      <c r="B37" s="8" t="s">
        <v>1005</v>
      </c>
      <c r="C37" s="8" t="s">
        <v>180</v>
      </c>
      <c r="D37" s="8" t="s">
        <v>162</v>
      </c>
      <c r="E37" s="8" t="s">
        <v>37</v>
      </c>
    </row>
    <row r="38" spans="1:5" x14ac:dyDescent="0.25">
      <c r="A38" s="8" t="s">
        <v>185</v>
      </c>
      <c r="B38" s="8" t="s">
        <v>1006</v>
      </c>
      <c r="C38" s="8" t="s">
        <v>180</v>
      </c>
      <c r="D38" s="8" t="s">
        <v>162</v>
      </c>
      <c r="E38" s="8" t="s">
        <v>37</v>
      </c>
    </row>
    <row r="39" spans="1:5" x14ac:dyDescent="0.25">
      <c r="A39" s="8" t="s">
        <v>1007</v>
      </c>
      <c r="B39" s="8" t="s">
        <v>1008</v>
      </c>
      <c r="C39" s="8" t="s">
        <v>180</v>
      </c>
      <c r="D39" s="8" t="s">
        <v>162</v>
      </c>
      <c r="E39" s="8" t="s">
        <v>37</v>
      </c>
    </row>
    <row r="40" spans="1:5" x14ac:dyDescent="0.25">
      <c r="A40" s="8" t="s">
        <v>292</v>
      </c>
      <c r="B40" s="8" t="s">
        <v>1009</v>
      </c>
      <c r="C40" s="8" t="s">
        <v>180</v>
      </c>
      <c r="D40" s="8" t="s">
        <v>162</v>
      </c>
      <c r="E40" s="8" t="s">
        <v>120</v>
      </c>
    </row>
    <row r="41" spans="1:5" x14ac:dyDescent="0.25">
      <c r="A41" s="8" t="s">
        <v>293</v>
      </c>
      <c r="B41" s="8" t="s">
        <v>1010</v>
      </c>
      <c r="C41" s="8" t="s">
        <v>180</v>
      </c>
      <c r="D41" s="8" t="s">
        <v>181</v>
      </c>
      <c r="E41" s="8" t="s">
        <v>38</v>
      </c>
    </row>
    <row r="42" spans="1:5" x14ac:dyDescent="0.25">
      <c r="A42" s="8" t="s">
        <v>294</v>
      </c>
      <c r="B42" s="8" t="s">
        <v>1011</v>
      </c>
      <c r="C42" s="8" t="s">
        <v>180</v>
      </c>
      <c r="D42" s="8" t="s">
        <v>181</v>
      </c>
      <c r="E42" s="8" t="s">
        <v>38</v>
      </c>
    </row>
    <row r="43" spans="1:5" x14ac:dyDescent="0.25">
      <c r="A43" s="8" t="s">
        <v>295</v>
      </c>
      <c r="B43" s="8" t="s">
        <v>1012</v>
      </c>
      <c r="C43" s="8" t="s">
        <v>180</v>
      </c>
      <c r="D43" s="8" t="s">
        <v>181</v>
      </c>
      <c r="E43" s="8" t="s">
        <v>38</v>
      </c>
    </row>
    <row r="44" spans="1:5" ht="30" x14ac:dyDescent="0.25">
      <c r="A44" s="8" t="s">
        <v>1013</v>
      </c>
      <c r="B44" s="11" t="s">
        <v>1014</v>
      </c>
      <c r="C44" s="8" t="s">
        <v>180</v>
      </c>
      <c r="D44" s="8" t="s">
        <v>162</v>
      </c>
      <c r="E44" s="8" t="s">
        <v>37</v>
      </c>
    </row>
    <row r="45" spans="1:5" ht="30" x14ac:dyDescent="0.25">
      <c r="A45" s="8" t="s">
        <v>296</v>
      </c>
      <c r="B45" s="11" t="s">
        <v>1015</v>
      </c>
      <c r="C45" s="8" t="s">
        <v>180</v>
      </c>
      <c r="D45" s="8" t="s">
        <v>162</v>
      </c>
      <c r="E45" s="8" t="s">
        <v>37</v>
      </c>
    </row>
    <row r="46" spans="1:5" ht="30" x14ac:dyDescent="0.25">
      <c r="A46" s="8" t="s">
        <v>297</v>
      </c>
      <c r="B46" s="11" t="s">
        <v>1016</v>
      </c>
      <c r="C46" s="8" t="s">
        <v>180</v>
      </c>
      <c r="D46" s="8" t="s">
        <v>181</v>
      </c>
      <c r="E46" s="8" t="s">
        <v>133</v>
      </c>
    </row>
    <row r="47" spans="1:5" x14ac:dyDescent="0.25">
      <c r="A47" s="8" t="s">
        <v>22</v>
      </c>
      <c r="B47" s="8" t="s">
        <v>1017</v>
      </c>
      <c r="C47" s="8" t="s">
        <v>183</v>
      </c>
      <c r="D47" s="8" t="s">
        <v>181</v>
      </c>
      <c r="E47" s="8" t="s">
        <v>37</v>
      </c>
    </row>
    <row r="48" spans="1:5" x14ac:dyDescent="0.25">
      <c r="A48" s="8" t="s">
        <v>298</v>
      </c>
      <c r="B48" s="8" t="s">
        <v>1018</v>
      </c>
      <c r="C48" s="8" t="s">
        <v>977</v>
      </c>
      <c r="D48" s="8" t="s">
        <v>181</v>
      </c>
      <c r="E48" s="8" t="s">
        <v>120</v>
      </c>
    </row>
    <row r="49" spans="1:5" x14ac:dyDescent="0.25">
      <c r="A49" s="8" t="s">
        <v>299</v>
      </c>
      <c r="B49" s="8" t="s">
        <v>1019</v>
      </c>
      <c r="C49" s="8" t="s">
        <v>180</v>
      </c>
      <c r="D49" s="8" t="s">
        <v>181</v>
      </c>
      <c r="E49" s="8" t="s">
        <v>37</v>
      </c>
    </row>
    <row r="50" spans="1:5" x14ac:dyDescent="0.25">
      <c r="A50" s="8" t="s">
        <v>300</v>
      </c>
      <c r="B50" s="8" t="s">
        <v>1020</v>
      </c>
      <c r="C50" s="8" t="s">
        <v>180</v>
      </c>
      <c r="D50" s="8" t="s">
        <v>181</v>
      </c>
      <c r="E50" s="8" t="s">
        <v>37</v>
      </c>
    </row>
    <row r="51" spans="1:5" x14ac:dyDescent="0.25">
      <c r="A51" s="8" t="s">
        <v>301</v>
      </c>
      <c r="B51" s="8" t="s">
        <v>1021</v>
      </c>
      <c r="C51" s="8" t="s">
        <v>180</v>
      </c>
      <c r="D51" s="8" t="s">
        <v>181</v>
      </c>
      <c r="E51" s="8" t="s">
        <v>37</v>
      </c>
    </row>
    <row r="52" spans="1:5" x14ac:dyDescent="0.25">
      <c r="A52" s="8" t="s">
        <v>302</v>
      </c>
      <c r="B52" s="8" t="s">
        <v>1022</v>
      </c>
      <c r="C52" s="8" t="s">
        <v>180</v>
      </c>
      <c r="D52" s="8" t="s">
        <v>162</v>
      </c>
      <c r="E52" s="8" t="s">
        <v>39</v>
      </c>
    </row>
    <row r="53" spans="1:5" x14ac:dyDescent="0.25">
      <c r="A53" s="8" t="s">
        <v>303</v>
      </c>
      <c r="B53" s="8" t="s">
        <v>612</v>
      </c>
      <c r="C53" s="8" t="s">
        <v>180</v>
      </c>
      <c r="D53" s="8" t="s">
        <v>181</v>
      </c>
      <c r="E53" s="8" t="s">
        <v>37</v>
      </c>
    </row>
    <row r="54" spans="1:5" x14ac:dyDescent="0.25">
      <c r="A54" s="8" t="s">
        <v>304</v>
      </c>
      <c r="B54" s="8" t="s">
        <v>1023</v>
      </c>
      <c r="C54" s="8" t="s">
        <v>180</v>
      </c>
      <c r="D54" s="8" t="s">
        <v>181</v>
      </c>
      <c r="E54" s="8" t="s">
        <v>38</v>
      </c>
    </row>
    <row r="55" spans="1:5" x14ac:dyDescent="0.25">
      <c r="A55" s="8" t="s">
        <v>306</v>
      </c>
      <c r="B55" s="8" t="s">
        <v>1024</v>
      </c>
      <c r="C55" s="8" t="s">
        <v>180</v>
      </c>
      <c r="D55" s="8" t="s">
        <v>181</v>
      </c>
      <c r="E55" s="8" t="s">
        <v>38</v>
      </c>
    </row>
    <row r="56" spans="1:5" x14ac:dyDescent="0.25">
      <c r="A56" s="8" t="s">
        <v>307</v>
      </c>
      <c r="B56" s="8" t="s">
        <v>1025</v>
      </c>
      <c r="C56" s="8" t="s">
        <v>180</v>
      </c>
      <c r="D56" s="8" t="s">
        <v>181</v>
      </c>
      <c r="E56" s="8" t="s">
        <v>37</v>
      </c>
    </row>
    <row r="57" spans="1:5" x14ac:dyDescent="0.25">
      <c r="A57" s="8" t="s">
        <v>140</v>
      </c>
      <c r="B57" s="8" t="s">
        <v>1026</v>
      </c>
      <c r="C57" s="8" t="s">
        <v>180</v>
      </c>
      <c r="D57" s="8" t="s">
        <v>181</v>
      </c>
      <c r="E57" s="8" t="s">
        <v>37</v>
      </c>
    </row>
    <row r="58" spans="1:5" x14ac:dyDescent="0.25">
      <c r="A58" s="8" t="s">
        <v>119</v>
      </c>
      <c r="B58" s="8" t="s">
        <v>1027</v>
      </c>
      <c r="C58" s="8" t="s">
        <v>180</v>
      </c>
      <c r="D58" s="8" t="s">
        <v>181</v>
      </c>
      <c r="E58" s="8" t="s">
        <v>37</v>
      </c>
    </row>
    <row r="59" spans="1:5" x14ac:dyDescent="0.25">
      <c r="A59" s="8" t="s">
        <v>20</v>
      </c>
      <c r="B59" s="8" t="s">
        <v>191</v>
      </c>
      <c r="C59" s="8" t="s">
        <v>180</v>
      </c>
      <c r="D59" s="8" t="s">
        <v>181</v>
      </c>
      <c r="E59" s="8" t="s">
        <v>38</v>
      </c>
    </row>
    <row r="60" spans="1:5" x14ac:dyDescent="0.25">
      <c r="A60" s="8" t="s">
        <v>308</v>
      </c>
      <c r="B60" s="8" t="s">
        <v>625</v>
      </c>
      <c r="C60" s="8" t="s">
        <v>180</v>
      </c>
      <c r="D60" s="8" t="s">
        <v>181</v>
      </c>
      <c r="E60" s="8" t="s">
        <v>38</v>
      </c>
    </row>
    <row r="61" spans="1:5" x14ac:dyDescent="0.25">
      <c r="A61" s="8" t="s">
        <v>309</v>
      </c>
      <c r="B61" s="8" t="s">
        <v>193</v>
      </c>
      <c r="C61" s="8" t="s">
        <v>180</v>
      </c>
      <c r="D61" s="8" t="s">
        <v>181</v>
      </c>
      <c r="E61" s="8" t="s">
        <v>38</v>
      </c>
    </row>
    <row r="62" spans="1:5" x14ac:dyDescent="0.25">
      <c r="A62" s="8" t="s">
        <v>71</v>
      </c>
      <c r="B62" s="8" t="s">
        <v>191</v>
      </c>
      <c r="C62" s="8" t="s">
        <v>180</v>
      </c>
      <c r="D62" s="8" t="s">
        <v>181</v>
      </c>
      <c r="E62" s="8" t="s">
        <v>38</v>
      </c>
    </row>
    <row r="63" spans="1:5" x14ac:dyDescent="0.25">
      <c r="A63" s="8" t="s">
        <v>192</v>
      </c>
      <c r="B63" s="8" t="s">
        <v>193</v>
      </c>
      <c r="C63" s="8" t="s">
        <v>180</v>
      </c>
      <c r="D63" s="8" t="s">
        <v>181</v>
      </c>
      <c r="E63" s="8" t="s">
        <v>38</v>
      </c>
    </row>
    <row r="64" spans="1:5" x14ac:dyDescent="0.25">
      <c r="A64" s="8" t="s">
        <v>18</v>
      </c>
      <c r="B64" s="8" t="s">
        <v>191</v>
      </c>
      <c r="C64" s="8" t="s">
        <v>180</v>
      </c>
      <c r="D64" s="8" t="s">
        <v>181</v>
      </c>
      <c r="E64" s="8" t="s">
        <v>38</v>
      </c>
    </row>
    <row r="65" spans="1:5" x14ac:dyDescent="0.25">
      <c r="A65" s="8" t="s">
        <v>310</v>
      </c>
      <c r="B65" s="8" t="s">
        <v>193</v>
      </c>
      <c r="C65" s="8" t="s">
        <v>180</v>
      </c>
      <c r="D65" s="8" t="s">
        <v>181</v>
      </c>
      <c r="E65" s="8" t="s">
        <v>38</v>
      </c>
    </row>
    <row r="66" spans="1:5" x14ac:dyDescent="0.25">
      <c r="A66" s="8" t="s">
        <v>311</v>
      </c>
      <c r="B66" s="8" t="s">
        <v>625</v>
      </c>
      <c r="C66" s="8" t="s">
        <v>180</v>
      </c>
      <c r="D66" s="8" t="s">
        <v>181</v>
      </c>
      <c r="E66" s="8" t="s">
        <v>38</v>
      </c>
    </row>
    <row r="67" spans="1:5" x14ac:dyDescent="0.25">
      <c r="A67" s="8" t="s">
        <v>312</v>
      </c>
      <c r="B67" s="8" t="s">
        <v>625</v>
      </c>
      <c r="C67" s="8" t="s">
        <v>180</v>
      </c>
      <c r="D67" s="8" t="s">
        <v>181</v>
      </c>
      <c r="E67" s="8" t="s">
        <v>38</v>
      </c>
    </row>
    <row r="68" spans="1:5" x14ac:dyDescent="0.25">
      <c r="A68" s="8" t="s">
        <v>313</v>
      </c>
      <c r="B68" s="8" t="s">
        <v>313</v>
      </c>
      <c r="C68" s="8" t="s">
        <v>183</v>
      </c>
      <c r="D68" s="8" t="s">
        <v>181</v>
      </c>
      <c r="E68" s="8" t="s">
        <v>37</v>
      </c>
    </row>
    <row r="69" spans="1:5" x14ac:dyDescent="0.25">
      <c r="A69" s="8" t="s">
        <v>314</v>
      </c>
      <c r="B69" s="8" t="s">
        <v>1028</v>
      </c>
      <c r="C69" s="8" t="s">
        <v>180</v>
      </c>
      <c r="D69" s="8" t="s">
        <v>181</v>
      </c>
      <c r="E69" s="8" t="s">
        <v>37</v>
      </c>
    </row>
    <row r="70" spans="1:5" x14ac:dyDescent="0.25">
      <c r="A70" s="8" t="s">
        <v>54</v>
      </c>
      <c r="B70" s="8" t="s">
        <v>159</v>
      </c>
      <c r="C70" s="8" t="s">
        <v>180</v>
      </c>
      <c r="D70" s="8" t="s">
        <v>181</v>
      </c>
      <c r="E70" s="8" t="s">
        <v>38</v>
      </c>
    </row>
    <row r="71" spans="1:5" x14ac:dyDescent="0.25">
      <c r="A71" s="8" t="s">
        <v>141</v>
      </c>
      <c r="B71" s="8" t="s">
        <v>159</v>
      </c>
      <c r="C71" s="8" t="s">
        <v>180</v>
      </c>
      <c r="D71" s="8" t="s">
        <v>181</v>
      </c>
      <c r="E71" s="8" t="s">
        <v>38</v>
      </c>
    </row>
    <row r="72" spans="1:5" x14ac:dyDescent="0.25">
      <c r="A72" s="8" t="s">
        <v>315</v>
      </c>
      <c r="B72" s="8" t="s">
        <v>31</v>
      </c>
      <c r="C72" s="8" t="s">
        <v>180</v>
      </c>
      <c r="D72" s="8" t="s">
        <v>181</v>
      </c>
      <c r="E72" s="8" t="s">
        <v>38</v>
      </c>
    </row>
    <row r="73" spans="1:5" x14ac:dyDescent="0.25">
      <c r="A73" s="8" t="s">
        <v>25</v>
      </c>
      <c r="B73" s="8" t="s">
        <v>31</v>
      </c>
      <c r="C73" s="8" t="s">
        <v>180</v>
      </c>
      <c r="D73" s="8" t="s">
        <v>181</v>
      </c>
      <c r="E73" s="8" t="s">
        <v>38</v>
      </c>
    </row>
    <row r="74" spans="1:5" x14ac:dyDescent="0.25">
      <c r="A74" s="8" t="s">
        <v>72</v>
      </c>
      <c r="B74" s="8" t="s">
        <v>31</v>
      </c>
      <c r="C74" s="8" t="s">
        <v>180</v>
      </c>
      <c r="D74" s="8" t="s">
        <v>181</v>
      </c>
      <c r="E74" s="8" t="s">
        <v>38</v>
      </c>
    </row>
    <row r="75" spans="1:5" x14ac:dyDescent="0.25">
      <c r="A75" s="8" t="s">
        <v>316</v>
      </c>
      <c r="B75" s="8" t="s">
        <v>1029</v>
      </c>
      <c r="C75" s="8" t="s">
        <v>180</v>
      </c>
      <c r="D75" s="8" t="s">
        <v>181</v>
      </c>
      <c r="E75" s="8" t="s">
        <v>38</v>
      </c>
    </row>
    <row r="76" spans="1:5" x14ac:dyDescent="0.25">
      <c r="A76" s="8" t="s">
        <v>317</v>
      </c>
      <c r="B76" s="8" t="s">
        <v>125</v>
      </c>
      <c r="C76" s="8" t="s">
        <v>180</v>
      </c>
      <c r="D76" s="8" t="s">
        <v>181</v>
      </c>
      <c r="E76" s="8" t="s">
        <v>38</v>
      </c>
    </row>
    <row r="77" spans="1:5" x14ac:dyDescent="0.25">
      <c r="A77" s="8" t="s">
        <v>73</v>
      </c>
      <c r="B77" s="8" t="s">
        <v>125</v>
      </c>
      <c r="C77" s="8" t="s">
        <v>180</v>
      </c>
      <c r="D77" s="8" t="s">
        <v>181</v>
      </c>
      <c r="E77" s="8" t="s">
        <v>38</v>
      </c>
    </row>
    <row r="78" spans="1:5" x14ac:dyDescent="0.25">
      <c r="A78" s="8" t="s">
        <v>194</v>
      </c>
      <c r="B78" s="8" t="s">
        <v>125</v>
      </c>
      <c r="C78" s="8" t="s">
        <v>180</v>
      </c>
      <c r="D78" s="8" t="s">
        <v>181</v>
      </c>
      <c r="E78" s="8" t="s">
        <v>38</v>
      </c>
    </row>
    <row r="79" spans="1:5" x14ac:dyDescent="0.25">
      <c r="A79" s="8" t="s">
        <v>142</v>
      </c>
      <c r="B79" s="8" t="s">
        <v>165</v>
      </c>
      <c r="C79" s="8" t="s">
        <v>180</v>
      </c>
      <c r="D79" s="8" t="s">
        <v>181</v>
      </c>
      <c r="E79" s="8" t="s">
        <v>38</v>
      </c>
    </row>
    <row r="80" spans="1:5" x14ac:dyDescent="0.25">
      <c r="A80" s="8" t="s">
        <v>26</v>
      </c>
      <c r="B80" s="8" t="s">
        <v>195</v>
      </c>
      <c r="C80" s="8" t="s">
        <v>180</v>
      </c>
      <c r="D80" s="8" t="s">
        <v>181</v>
      </c>
      <c r="E80" s="8" t="s">
        <v>38</v>
      </c>
    </row>
    <row r="81" spans="1:5" x14ac:dyDescent="0.25">
      <c r="A81" s="8" t="s">
        <v>318</v>
      </c>
      <c r="B81" s="8" t="s">
        <v>1030</v>
      </c>
      <c r="C81" s="8" t="s">
        <v>205</v>
      </c>
      <c r="D81" s="8" t="s">
        <v>181</v>
      </c>
      <c r="E81" s="8" t="s">
        <v>120</v>
      </c>
    </row>
    <row r="82" spans="1:5" x14ac:dyDescent="0.25">
      <c r="A82" s="8" t="s">
        <v>1031</v>
      </c>
      <c r="B82" s="8" t="s">
        <v>1032</v>
      </c>
      <c r="C82" s="8" t="s">
        <v>183</v>
      </c>
      <c r="D82" s="8" t="s">
        <v>181</v>
      </c>
      <c r="E82" s="8" t="s">
        <v>1033</v>
      </c>
    </row>
    <row r="83" spans="1:5" x14ac:dyDescent="0.25">
      <c r="A83" s="8" t="s">
        <v>1034</v>
      </c>
      <c r="B83" s="8" t="s">
        <v>1035</v>
      </c>
      <c r="C83" s="8" t="s">
        <v>183</v>
      </c>
      <c r="D83" s="8" t="s">
        <v>181</v>
      </c>
      <c r="E83" s="8" t="s">
        <v>37</v>
      </c>
    </row>
    <row r="84" spans="1:5" x14ac:dyDescent="0.25">
      <c r="A84" s="8" t="s">
        <v>1036</v>
      </c>
      <c r="B84" s="8" t="s">
        <v>1037</v>
      </c>
      <c r="C84" s="8" t="s">
        <v>183</v>
      </c>
      <c r="D84" s="8" t="s">
        <v>181</v>
      </c>
      <c r="E84" s="8" t="s">
        <v>37</v>
      </c>
    </row>
    <row r="85" spans="1:5" x14ac:dyDescent="0.25">
      <c r="A85" s="8" t="s">
        <v>319</v>
      </c>
      <c r="B85" s="8" t="s">
        <v>1038</v>
      </c>
      <c r="C85" s="8" t="s">
        <v>183</v>
      </c>
      <c r="D85" s="8" t="s">
        <v>181</v>
      </c>
      <c r="E85" s="8" t="s">
        <v>37</v>
      </c>
    </row>
    <row r="86" spans="1:5" x14ac:dyDescent="0.25">
      <c r="A86" s="8" t="s">
        <v>1039</v>
      </c>
      <c r="B86" s="8" t="s">
        <v>1040</v>
      </c>
      <c r="C86" s="8" t="s">
        <v>183</v>
      </c>
      <c r="D86" s="8" t="s">
        <v>181</v>
      </c>
      <c r="E86" s="8" t="s">
        <v>37</v>
      </c>
    </row>
    <row r="87" spans="1:5" x14ac:dyDescent="0.25">
      <c r="A87" s="8" t="s">
        <v>320</v>
      </c>
      <c r="B87" s="8" t="s">
        <v>670</v>
      </c>
      <c r="C87" s="8" t="s">
        <v>180</v>
      </c>
      <c r="D87" s="8" t="s">
        <v>181</v>
      </c>
      <c r="E87" s="8" t="s">
        <v>37</v>
      </c>
    </row>
    <row r="88" spans="1:5" x14ac:dyDescent="0.25">
      <c r="A88" s="8" t="s">
        <v>321</v>
      </c>
      <c r="B88" s="8" t="s">
        <v>1041</v>
      </c>
      <c r="C88" s="8" t="s">
        <v>183</v>
      </c>
      <c r="D88" s="8" t="s">
        <v>181</v>
      </c>
      <c r="E88" s="8" t="s">
        <v>37</v>
      </c>
    </row>
    <row r="89" spans="1:5" x14ac:dyDescent="0.25">
      <c r="A89" s="8" t="s">
        <v>322</v>
      </c>
      <c r="B89" s="8" t="s">
        <v>1042</v>
      </c>
      <c r="C89" s="8" t="s">
        <v>183</v>
      </c>
      <c r="D89" s="8" t="s">
        <v>181</v>
      </c>
      <c r="E89" s="8" t="s">
        <v>37</v>
      </c>
    </row>
    <row r="90" spans="1:5" x14ac:dyDescent="0.25">
      <c r="A90" s="8" t="s">
        <v>1043</v>
      </c>
      <c r="B90" s="8" t="s">
        <v>1044</v>
      </c>
      <c r="C90" s="8" t="s">
        <v>183</v>
      </c>
      <c r="D90" s="8" t="s">
        <v>181</v>
      </c>
      <c r="E90" s="8" t="s">
        <v>37</v>
      </c>
    </row>
    <row r="91" spans="1:5" x14ac:dyDescent="0.25">
      <c r="A91" s="8" t="s">
        <v>1045</v>
      </c>
      <c r="B91" s="8" t="s">
        <v>1046</v>
      </c>
      <c r="C91" s="8" t="s">
        <v>183</v>
      </c>
      <c r="D91" s="8" t="s">
        <v>181</v>
      </c>
      <c r="E91" s="8" t="s">
        <v>37</v>
      </c>
    </row>
    <row r="92" spans="1:5" x14ac:dyDescent="0.25">
      <c r="A92" s="8" t="s">
        <v>1047</v>
      </c>
      <c r="B92" s="8" t="s">
        <v>1048</v>
      </c>
      <c r="C92" s="8" t="s">
        <v>183</v>
      </c>
      <c r="D92" s="8" t="s">
        <v>181</v>
      </c>
      <c r="E92" s="8" t="s">
        <v>37</v>
      </c>
    </row>
    <row r="93" spans="1:5" x14ac:dyDescent="0.25">
      <c r="A93" s="8" t="s">
        <v>1049</v>
      </c>
      <c r="B93" s="8" t="s">
        <v>1050</v>
      </c>
      <c r="C93" s="8" t="s">
        <v>183</v>
      </c>
      <c r="D93" s="8" t="s">
        <v>181</v>
      </c>
      <c r="E93" s="8" t="s">
        <v>37</v>
      </c>
    </row>
    <row r="94" spans="1:5" x14ac:dyDescent="0.25">
      <c r="A94" s="8" t="s">
        <v>323</v>
      </c>
      <c r="B94" s="8" t="s">
        <v>672</v>
      </c>
      <c r="C94" s="8" t="s">
        <v>180</v>
      </c>
      <c r="D94" s="8" t="s">
        <v>181</v>
      </c>
      <c r="E94" s="8" t="s">
        <v>37</v>
      </c>
    </row>
    <row r="95" spans="1:5" x14ac:dyDescent="0.25">
      <c r="A95" s="8" t="s">
        <v>324</v>
      </c>
      <c r="B95" s="8" t="s">
        <v>1051</v>
      </c>
      <c r="C95" s="8" t="s">
        <v>180</v>
      </c>
      <c r="D95" s="8" t="s">
        <v>181</v>
      </c>
      <c r="E95" s="8" t="s">
        <v>37</v>
      </c>
    </row>
    <row r="96" spans="1:5" x14ac:dyDescent="0.25">
      <c r="A96" s="8" t="s">
        <v>325</v>
      </c>
      <c r="B96" s="8" t="s">
        <v>1052</v>
      </c>
      <c r="C96" s="8" t="s">
        <v>180</v>
      </c>
      <c r="D96" s="8" t="s">
        <v>162</v>
      </c>
      <c r="E96" s="8" t="s">
        <v>37</v>
      </c>
    </row>
    <row r="97" spans="1:5" x14ac:dyDescent="0.25">
      <c r="A97" s="8" t="s">
        <v>326</v>
      </c>
      <c r="B97" s="8" t="s">
        <v>1053</v>
      </c>
      <c r="C97" s="8" t="s">
        <v>205</v>
      </c>
      <c r="D97" s="8" t="s">
        <v>181</v>
      </c>
      <c r="E97" s="8" t="s">
        <v>37</v>
      </c>
    </row>
    <row r="98" spans="1:5" x14ac:dyDescent="0.25">
      <c r="A98" s="8" t="s">
        <v>327</v>
      </c>
      <c r="B98" s="8" t="s">
        <v>1054</v>
      </c>
      <c r="C98" s="8" t="s">
        <v>180</v>
      </c>
      <c r="D98" s="8" t="s">
        <v>181</v>
      </c>
      <c r="E98" s="8" t="s">
        <v>37</v>
      </c>
    </row>
    <row r="99" spans="1:5" x14ac:dyDescent="0.25">
      <c r="A99" s="8" t="s">
        <v>328</v>
      </c>
      <c r="B99" s="8" t="s">
        <v>1055</v>
      </c>
      <c r="C99" s="8" t="s">
        <v>180</v>
      </c>
      <c r="D99" s="8" t="s">
        <v>181</v>
      </c>
      <c r="E99" s="8" t="s">
        <v>37</v>
      </c>
    </row>
    <row r="100" spans="1:5" x14ac:dyDescent="0.25">
      <c r="A100" s="8" t="s">
        <v>329</v>
      </c>
      <c r="B100" s="8" t="s">
        <v>1056</v>
      </c>
      <c r="C100" s="8" t="s">
        <v>180</v>
      </c>
      <c r="D100" s="8" t="s">
        <v>181</v>
      </c>
      <c r="E100" s="8" t="s">
        <v>37</v>
      </c>
    </row>
    <row r="101" spans="1:5" x14ac:dyDescent="0.25">
      <c r="A101" s="8" t="s">
        <v>330</v>
      </c>
      <c r="B101" s="8" t="s">
        <v>1057</v>
      </c>
      <c r="C101" s="8" t="s">
        <v>180</v>
      </c>
      <c r="D101" s="8" t="s">
        <v>181</v>
      </c>
      <c r="E101" s="8" t="s">
        <v>37</v>
      </c>
    </row>
    <row r="102" spans="1:5" x14ac:dyDescent="0.25">
      <c r="A102" s="8" t="s">
        <v>331</v>
      </c>
      <c r="B102" s="8" t="s">
        <v>675</v>
      </c>
      <c r="C102" s="8" t="s">
        <v>180</v>
      </c>
      <c r="D102" s="8" t="s">
        <v>181</v>
      </c>
      <c r="E102" s="8" t="s">
        <v>37</v>
      </c>
    </row>
    <row r="103" spans="1:5" x14ac:dyDescent="0.25">
      <c r="A103" s="8" t="s">
        <v>332</v>
      </c>
      <c r="B103" s="8" t="s">
        <v>680</v>
      </c>
      <c r="C103" s="8" t="s">
        <v>180</v>
      </c>
      <c r="D103" s="8" t="s">
        <v>181</v>
      </c>
      <c r="E103" s="8" t="s">
        <v>37</v>
      </c>
    </row>
    <row r="104" spans="1:5" x14ac:dyDescent="0.25">
      <c r="A104" s="8" t="s">
        <v>333</v>
      </c>
      <c r="B104" s="8" t="s">
        <v>682</v>
      </c>
      <c r="C104" s="8" t="s">
        <v>180</v>
      </c>
      <c r="D104" s="8" t="s">
        <v>181</v>
      </c>
      <c r="E104" s="8" t="s">
        <v>37</v>
      </c>
    </row>
    <row r="105" spans="1:5" x14ac:dyDescent="0.25">
      <c r="A105" s="8" t="s">
        <v>334</v>
      </c>
      <c r="B105" s="8" t="s">
        <v>1058</v>
      </c>
      <c r="C105" s="8" t="s">
        <v>180</v>
      </c>
      <c r="D105" s="8" t="s">
        <v>181</v>
      </c>
      <c r="E105" s="8" t="s">
        <v>37</v>
      </c>
    </row>
    <row r="106" spans="1:5" x14ac:dyDescent="0.25">
      <c r="A106" s="8" t="s">
        <v>1059</v>
      </c>
      <c r="B106" s="8" t="s">
        <v>1060</v>
      </c>
      <c r="C106" s="8" t="s">
        <v>180</v>
      </c>
      <c r="D106" s="8" t="s">
        <v>181</v>
      </c>
      <c r="E106" s="8" t="s">
        <v>37</v>
      </c>
    </row>
    <row r="107" spans="1:5" x14ac:dyDescent="0.25">
      <c r="A107" s="8" t="s">
        <v>1061</v>
      </c>
      <c r="B107" s="8" t="s">
        <v>1062</v>
      </c>
      <c r="C107" s="8" t="s">
        <v>180</v>
      </c>
      <c r="D107" s="8" t="s">
        <v>181</v>
      </c>
      <c r="E107" s="8" t="s">
        <v>37</v>
      </c>
    </row>
    <row r="108" spans="1:5" x14ac:dyDescent="0.25">
      <c r="A108" s="8" t="s">
        <v>1063</v>
      </c>
      <c r="B108" s="8" t="s">
        <v>1064</v>
      </c>
      <c r="C108" s="8" t="s">
        <v>180</v>
      </c>
      <c r="D108" s="8" t="s">
        <v>181</v>
      </c>
      <c r="E108" s="8" t="s">
        <v>37</v>
      </c>
    </row>
    <row r="109" spans="1:5" x14ac:dyDescent="0.25">
      <c r="A109" s="8" t="s">
        <v>1065</v>
      </c>
      <c r="B109" s="8" t="s">
        <v>1066</v>
      </c>
      <c r="C109" s="8" t="s">
        <v>180</v>
      </c>
      <c r="D109" s="8" t="s">
        <v>181</v>
      </c>
      <c r="E109" s="8" t="s">
        <v>37</v>
      </c>
    </row>
    <row r="110" spans="1:5" x14ac:dyDescent="0.25">
      <c r="A110" s="8" t="s">
        <v>335</v>
      </c>
      <c r="B110" s="8" t="s">
        <v>1067</v>
      </c>
      <c r="C110" s="8" t="s">
        <v>180</v>
      </c>
      <c r="D110" s="8" t="s">
        <v>181</v>
      </c>
      <c r="E110" s="8" t="s">
        <v>1068</v>
      </c>
    </row>
    <row r="111" spans="1:5" x14ac:dyDescent="0.25">
      <c r="A111" s="8" t="s">
        <v>1069</v>
      </c>
      <c r="B111" s="8" t="s">
        <v>1070</v>
      </c>
      <c r="C111" s="8" t="s">
        <v>180</v>
      </c>
      <c r="D111" s="8" t="s">
        <v>181</v>
      </c>
      <c r="E111" s="8" t="s">
        <v>37</v>
      </c>
    </row>
    <row r="112" spans="1:5" x14ac:dyDescent="0.25">
      <c r="A112" s="8" t="s">
        <v>1071</v>
      </c>
      <c r="B112" s="8" t="s">
        <v>1072</v>
      </c>
      <c r="C112" s="8" t="s">
        <v>180</v>
      </c>
      <c r="D112" s="8" t="s">
        <v>181</v>
      </c>
      <c r="E112" s="8" t="s">
        <v>37</v>
      </c>
    </row>
    <row r="113" spans="1:5" x14ac:dyDescent="0.25">
      <c r="A113" s="8" t="s">
        <v>336</v>
      </c>
      <c r="B113" s="8" t="s">
        <v>1073</v>
      </c>
      <c r="C113" s="8" t="s">
        <v>180</v>
      </c>
      <c r="D113" s="8" t="s">
        <v>181</v>
      </c>
      <c r="E113" s="8" t="s">
        <v>37</v>
      </c>
    </row>
    <row r="114" spans="1:5" x14ac:dyDescent="0.25">
      <c r="A114" s="8" t="s">
        <v>337</v>
      </c>
      <c r="B114" s="8" t="s">
        <v>1074</v>
      </c>
      <c r="C114" s="8" t="s">
        <v>180</v>
      </c>
      <c r="D114" s="8" t="s">
        <v>181</v>
      </c>
      <c r="E114" s="8" t="s">
        <v>37</v>
      </c>
    </row>
    <row r="115" spans="1:5" x14ac:dyDescent="0.25">
      <c r="A115" s="8" t="s">
        <v>338</v>
      </c>
      <c r="B115" s="8" t="s">
        <v>1075</v>
      </c>
      <c r="C115" s="8" t="s">
        <v>180</v>
      </c>
      <c r="D115" s="8" t="s">
        <v>181</v>
      </c>
      <c r="E115" s="8" t="s">
        <v>37</v>
      </c>
    </row>
    <row r="116" spans="1:5" x14ac:dyDescent="0.25">
      <c r="A116" s="8" t="s">
        <v>339</v>
      </c>
      <c r="B116" s="8" t="s">
        <v>684</v>
      </c>
      <c r="C116" s="8" t="s">
        <v>180</v>
      </c>
      <c r="D116" s="8" t="s">
        <v>181</v>
      </c>
      <c r="E116" s="8" t="s">
        <v>37</v>
      </c>
    </row>
    <row r="117" spans="1:5" x14ac:dyDescent="0.25">
      <c r="A117" s="8" t="s">
        <v>340</v>
      </c>
      <c r="B117" s="8" t="s">
        <v>1076</v>
      </c>
      <c r="C117" s="8" t="s">
        <v>180</v>
      </c>
      <c r="D117" s="8" t="s">
        <v>181</v>
      </c>
      <c r="E117" s="8" t="s">
        <v>37</v>
      </c>
    </row>
    <row r="118" spans="1:5" x14ac:dyDescent="0.25">
      <c r="A118" s="8" t="s">
        <v>341</v>
      </c>
      <c r="B118" s="8" t="s">
        <v>686</v>
      </c>
      <c r="C118" s="8" t="s">
        <v>180</v>
      </c>
      <c r="D118" s="8" t="s">
        <v>181</v>
      </c>
      <c r="E118" s="8" t="s">
        <v>37</v>
      </c>
    </row>
    <row r="119" spans="1:5" x14ac:dyDescent="0.25">
      <c r="A119" s="8" t="s">
        <v>342</v>
      </c>
      <c r="B119" s="8" t="s">
        <v>688</v>
      </c>
      <c r="C119" s="8" t="s">
        <v>180</v>
      </c>
      <c r="D119" s="8" t="s">
        <v>181</v>
      </c>
      <c r="E119" s="8" t="s">
        <v>37</v>
      </c>
    </row>
    <row r="120" spans="1:5" x14ac:dyDescent="0.25">
      <c r="A120" s="8" t="s">
        <v>343</v>
      </c>
      <c r="B120" s="8" t="s">
        <v>1077</v>
      </c>
      <c r="C120" s="8" t="s">
        <v>180</v>
      </c>
      <c r="D120" s="8" t="s">
        <v>181</v>
      </c>
      <c r="E120" s="8" t="s">
        <v>37</v>
      </c>
    </row>
    <row r="121" spans="1:5" x14ac:dyDescent="0.25">
      <c r="A121" s="8" t="s">
        <v>1078</v>
      </c>
      <c r="B121" s="8" t="s">
        <v>1079</v>
      </c>
      <c r="C121" s="8" t="s">
        <v>180</v>
      </c>
      <c r="D121" s="8" t="s">
        <v>181</v>
      </c>
      <c r="E121" s="8" t="s">
        <v>37</v>
      </c>
    </row>
    <row r="122" spans="1:5" x14ac:dyDescent="0.25">
      <c r="A122" s="8" t="s">
        <v>344</v>
      </c>
      <c r="B122" s="8" t="s">
        <v>1080</v>
      </c>
      <c r="C122" s="8" t="s">
        <v>180</v>
      </c>
      <c r="D122" s="8" t="s">
        <v>181</v>
      </c>
      <c r="E122" s="8" t="s">
        <v>37</v>
      </c>
    </row>
    <row r="123" spans="1:5" x14ac:dyDescent="0.25">
      <c r="A123" s="8" t="s">
        <v>345</v>
      </c>
      <c r="B123" s="8" t="s">
        <v>690</v>
      </c>
      <c r="C123" s="8" t="s">
        <v>180</v>
      </c>
      <c r="D123" s="8" t="s">
        <v>181</v>
      </c>
      <c r="E123" s="8" t="s">
        <v>37</v>
      </c>
    </row>
    <row r="124" spans="1:5" x14ac:dyDescent="0.25">
      <c r="A124" s="8" t="s">
        <v>346</v>
      </c>
      <c r="B124" s="8" t="s">
        <v>1081</v>
      </c>
      <c r="C124" s="8" t="s">
        <v>180</v>
      </c>
      <c r="D124" s="8" t="s">
        <v>181</v>
      </c>
      <c r="E124" s="8" t="s">
        <v>37</v>
      </c>
    </row>
    <row r="125" spans="1:5" x14ac:dyDescent="0.25">
      <c r="A125" s="8" t="s">
        <v>347</v>
      </c>
      <c r="B125" s="8" t="s">
        <v>1082</v>
      </c>
      <c r="C125" s="8" t="s">
        <v>180</v>
      </c>
      <c r="D125" s="8" t="s">
        <v>181</v>
      </c>
      <c r="E125" s="8" t="s">
        <v>37</v>
      </c>
    </row>
    <row r="126" spans="1:5" x14ac:dyDescent="0.25">
      <c r="A126" s="8" t="s">
        <v>348</v>
      </c>
      <c r="B126" s="8" t="s">
        <v>1083</v>
      </c>
      <c r="C126" s="8" t="s">
        <v>180</v>
      </c>
      <c r="D126" s="8" t="s">
        <v>181</v>
      </c>
      <c r="E126" s="8" t="s">
        <v>37</v>
      </c>
    </row>
    <row r="127" spans="1:5" x14ac:dyDescent="0.25">
      <c r="A127" s="8" t="s">
        <v>349</v>
      </c>
      <c r="B127" s="8" t="s">
        <v>1084</v>
      </c>
      <c r="C127" s="8" t="s">
        <v>180</v>
      </c>
      <c r="D127" s="8" t="s">
        <v>181</v>
      </c>
      <c r="E127" s="8" t="s">
        <v>37</v>
      </c>
    </row>
    <row r="128" spans="1:5" x14ac:dyDescent="0.25">
      <c r="A128" s="8" t="s">
        <v>350</v>
      </c>
      <c r="B128" s="8" t="s">
        <v>1085</v>
      </c>
      <c r="C128" s="8" t="s">
        <v>180</v>
      </c>
      <c r="D128" s="8" t="s">
        <v>181</v>
      </c>
      <c r="E128" s="8" t="s">
        <v>37</v>
      </c>
    </row>
    <row r="129" spans="1:5" x14ac:dyDescent="0.25">
      <c r="A129" s="8" t="s">
        <v>351</v>
      </c>
      <c r="B129" s="8" t="s">
        <v>1086</v>
      </c>
      <c r="C129" s="8" t="s">
        <v>180</v>
      </c>
      <c r="D129" s="8" t="s">
        <v>181</v>
      </c>
      <c r="E129" s="8" t="s">
        <v>37</v>
      </c>
    </row>
    <row r="130" spans="1:5" x14ac:dyDescent="0.25">
      <c r="A130" s="8" t="s">
        <v>352</v>
      </c>
      <c r="B130" s="8" t="s">
        <v>1087</v>
      </c>
      <c r="C130" s="8" t="s">
        <v>180</v>
      </c>
      <c r="D130" s="8" t="s">
        <v>162</v>
      </c>
      <c r="E130" s="8" t="s">
        <v>37</v>
      </c>
    </row>
    <row r="131" spans="1:5" x14ac:dyDescent="0.25">
      <c r="A131" s="8" t="s">
        <v>353</v>
      </c>
      <c r="B131" s="8" t="s">
        <v>1088</v>
      </c>
      <c r="C131" s="8" t="s">
        <v>180</v>
      </c>
      <c r="D131" s="8" t="s">
        <v>162</v>
      </c>
      <c r="E131" s="8" t="s">
        <v>37</v>
      </c>
    </row>
    <row r="132" spans="1:5" x14ac:dyDescent="0.25">
      <c r="A132" s="8" t="s">
        <v>354</v>
      </c>
      <c r="B132" s="8" t="s">
        <v>1089</v>
      </c>
      <c r="C132" s="8" t="s">
        <v>180</v>
      </c>
      <c r="D132" s="8" t="s">
        <v>162</v>
      </c>
      <c r="E132" s="8" t="s">
        <v>37</v>
      </c>
    </row>
    <row r="133" spans="1:5" x14ac:dyDescent="0.25">
      <c r="A133" s="8" t="s">
        <v>355</v>
      </c>
      <c r="B133" s="8" t="s">
        <v>1090</v>
      </c>
      <c r="C133" s="8" t="s">
        <v>180</v>
      </c>
      <c r="D133" s="8" t="s">
        <v>162</v>
      </c>
      <c r="E133" s="8" t="s">
        <v>37</v>
      </c>
    </row>
    <row r="134" spans="1:5" x14ac:dyDescent="0.25">
      <c r="A134" s="8" t="s">
        <v>356</v>
      </c>
      <c r="B134" s="8" t="s">
        <v>1091</v>
      </c>
      <c r="C134" s="8" t="s">
        <v>180</v>
      </c>
      <c r="D134" s="8" t="s">
        <v>181</v>
      </c>
      <c r="E134" s="8" t="s">
        <v>37</v>
      </c>
    </row>
    <row r="135" spans="1:5" x14ac:dyDescent="0.25">
      <c r="A135" s="8" t="s">
        <v>357</v>
      </c>
      <c r="B135" s="8" t="s">
        <v>1092</v>
      </c>
      <c r="C135" s="8" t="s">
        <v>180</v>
      </c>
      <c r="D135" s="8" t="s">
        <v>181</v>
      </c>
      <c r="E135" s="8" t="s">
        <v>37</v>
      </c>
    </row>
    <row r="136" spans="1:5" x14ac:dyDescent="0.25">
      <c r="A136" s="8" t="s">
        <v>358</v>
      </c>
      <c r="B136" s="8" t="s">
        <v>1093</v>
      </c>
      <c r="C136" s="8" t="s">
        <v>180</v>
      </c>
      <c r="D136" s="8" t="s">
        <v>181</v>
      </c>
      <c r="E136" s="8" t="s">
        <v>38</v>
      </c>
    </row>
    <row r="137" spans="1:5" x14ac:dyDescent="0.25">
      <c r="A137" s="8" t="s">
        <v>359</v>
      </c>
      <c r="B137" s="8" t="s">
        <v>1094</v>
      </c>
      <c r="C137" s="8" t="s">
        <v>183</v>
      </c>
      <c r="D137" s="8" t="s">
        <v>181</v>
      </c>
      <c r="E137" s="8" t="s">
        <v>37</v>
      </c>
    </row>
    <row r="138" spans="1:5" x14ac:dyDescent="0.25">
      <c r="A138" s="8" t="s">
        <v>360</v>
      </c>
      <c r="B138" s="8" t="s">
        <v>1095</v>
      </c>
      <c r="C138" s="8" t="s">
        <v>183</v>
      </c>
      <c r="D138" s="8" t="s">
        <v>181</v>
      </c>
      <c r="E138" s="8" t="s">
        <v>37</v>
      </c>
    </row>
    <row r="139" spans="1:5" x14ac:dyDescent="0.25">
      <c r="A139" s="8" t="s">
        <v>361</v>
      </c>
      <c r="B139" s="8" t="s">
        <v>1096</v>
      </c>
      <c r="C139" s="8" t="s">
        <v>183</v>
      </c>
      <c r="D139" s="8" t="s">
        <v>181</v>
      </c>
      <c r="E139" s="8" t="s">
        <v>37</v>
      </c>
    </row>
    <row r="140" spans="1:5" x14ac:dyDescent="0.25">
      <c r="A140" s="8" t="s">
        <v>362</v>
      </c>
      <c r="B140" s="8" t="s">
        <v>1097</v>
      </c>
      <c r="C140" s="8" t="s">
        <v>183</v>
      </c>
      <c r="D140" s="8" t="s">
        <v>181</v>
      </c>
      <c r="E140" s="8" t="s">
        <v>37</v>
      </c>
    </row>
    <row r="141" spans="1:5" x14ac:dyDescent="0.25">
      <c r="A141" s="8" t="s">
        <v>363</v>
      </c>
      <c r="B141" s="8" t="s">
        <v>1098</v>
      </c>
      <c r="C141" s="8" t="s">
        <v>183</v>
      </c>
      <c r="D141" s="8" t="s">
        <v>181</v>
      </c>
      <c r="E141" s="8" t="s">
        <v>37</v>
      </c>
    </row>
    <row r="142" spans="1:5" x14ac:dyDescent="0.25">
      <c r="A142" s="8" t="s">
        <v>364</v>
      </c>
      <c r="B142" s="8" t="s">
        <v>1099</v>
      </c>
      <c r="C142" s="8" t="s">
        <v>180</v>
      </c>
      <c r="D142" s="8" t="s">
        <v>181</v>
      </c>
      <c r="E142" s="8" t="s">
        <v>38</v>
      </c>
    </row>
    <row r="143" spans="1:5" x14ac:dyDescent="0.25">
      <c r="A143" s="8" t="s">
        <v>365</v>
      </c>
      <c r="B143" s="8" t="s">
        <v>1100</v>
      </c>
      <c r="C143" s="8" t="s">
        <v>180</v>
      </c>
      <c r="D143" s="8" t="s">
        <v>181</v>
      </c>
      <c r="E143" s="8" t="s">
        <v>38</v>
      </c>
    </row>
    <row r="144" spans="1:5" x14ac:dyDescent="0.25">
      <c r="A144" s="8" t="s">
        <v>1101</v>
      </c>
      <c r="B144" s="8" t="s">
        <v>1102</v>
      </c>
      <c r="C144" s="8" t="s">
        <v>180</v>
      </c>
      <c r="D144" s="8" t="s">
        <v>181</v>
      </c>
      <c r="E144" s="8" t="s">
        <v>38</v>
      </c>
    </row>
    <row r="145" spans="1:5" x14ac:dyDescent="0.25">
      <c r="A145" s="8" t="s">
        <v>366</v>
      </c>
      <c r="B145" s="8" t="s">
        <v>1103</v>
      </c>
      <c r="C145" s="8" t="s">
        <v>205</v>
      </c>
      <c r="D145" s="8" t="s">
        <v>181</v>
      </c>
      <c r="E145" s="8" t="s">
        <v>37</v>
      </c>
    </row>
    <row r="146" spans="1:5" x14ac:dyDescent="0.25">
      <c r="A146" s="8" t="s">
        <v>367</v>
      </c>
      <c r="B146" s="8" t="s">
        <v>1104</v>
      </c>
      <c r="C146" s="8" t="s">
        <v>205</v>
      </c>
      <c r="D146" s="8" t="s">
        <v>181</v>
      </c>
      <c r="E146" s="8" t="s">
        <v>39</v>
      </c>
    </row>
    <row r="147" spans="1:5" x14ac:dyDescent="0.25">
      <c r="A147" s="8" t="s">
        <v>368</v>
      </c>
      <c r="B147" s="8" t="s">
        <v>1105</v>
      </c>
      <c r="C147" s="8" t="s">
        <v>205</v>
      </c>
      <c r="D147" s="8" t="s">
        <v>181</v>
      </c>
      <c r="E147" s="8" t="s">
        <v>39</v>
      </c>
    </row>
    <row r="148" spans="1:5" x14ac:dyDescent="0.25">
      <c r="A148" s="8" t="s">
        <v>369</v>
      </c>
      <c r="B148" s="8" t="s">
        <v>1106</v>
      </c>
      <c r="C148" s="8" t="s">
        <v>205</v>
      </c>
      <c r="D148" s="8" t="s">
        <v>181</v>
      </c>
      <c r="E148" s="8" t="s">
        <v>37</v>
      </c>
    </row>
    <row r="149" spans="1:5" x14ac:dyDescent="0.25">
      <c r="A149" s="8" t="s">
        <v>370</v>
      </c>
      <c r="B149" s="8" t="s">
        <v>1107</v>
      </c>
      <c r="C149" s="8" t="s">
        <v>205</v>
      </c>
      <c r="D149" s="8" t="s">
        <v>181</v>
      </c>
      <c r="E149" s="8" t="s">
        <v>37</v>
      </c>
    </row>
    <row r="150" spans="1:5" x14ac:dyDescent="0.25">
      <c r="A150" s="8" t="s">
        <v>371</v>
      </c>
      <c r="B150" s="8" t="s">
        <v>1108</v>
      </c>
      <c r="C150" s="8" t="s">
        <v>205</v>
      </c>
      <c r="D150" s="8" t="s">
        <v>181</v>
      </c>
      <c r="E150" s="8" t="s">
        <v>37</v>
      </c>
    </row>
    <row r="151" spans="1:5" x14ac:dyDescent="0.25">
      <c r="A151" s="8" t="s">
        <v>372</v>
      </c>
      <c r="B151" s="8" t="s">
        <v>1109</v>
      </c>
      <c r="C151" s="8" t="s">
        <v>205</v>
      </c>
      <c r="D151" s="8" t="s">
        <v>181</v>
      </c>
      <c r="E151" s="8" t="s">
        <v>37</v>
      </c>
    </row>
    <row r="152" spans="1:5" x14ac:dyDescent="0.25">
      <c r="A152" s="8" t="s">
        <v>373</v>
      </c>
      <c r="B152" s="8" t="s">
        <v>1110</v>
      </c>
      <c r="C152" s="8" t="s">
        <v>205</v>
      </c>
      <c r="D152" s="8" t="s">
        <v>181</v>
      </c>
      <c r="E152" s="8" t="s">
        <v>37</v>
      </c>
    </row>
    <row r="153" spans="1:5" x14ac:dyDescent="0.25">
      <c r="A153" s="8" t="s">
        <v>374</v>
      </c>
      <c r="B153" s="8" t="s">
        <v>1111</v>
      </c>
      <c r="C153" s="8" t="s">
        <v>205</v>
      </c>
      <c r="D153" s="8" t="s">
        <v>181</v>
      </c>
      <c r="E153" s="8" t="s">
        <v>37</v>
      </c>
    </row>
    <row r="154" spans="1:5" x14ac:dyDescent="0.25">
      <c r="A154" s="8" t="s">
        <v>375</v>
      </c>
      <c r="B154" s="8" t="s">
        <v>1112</v>
      </c>
      <c r="C154" s="8" t="s">
        <v>205</v>
      </c>
      <c r="D154" s="8" t="s">
        <v>181</v>
      </c>
      <c r="E154" s="8" t="s">
        <v>37</v>
      </c>
    </row>
    <row r="155" spans="1:5" x14ac:dyDescent="0.25">
      <c r="A155" s="8" t="s">
        <v>376</v>
      </c>
      <c r="B155" s="8" t="s">
        <v>1113</v>
      </c>
      <c r="C155" s="8" t="s">
        <v>205</v>
      </c>
      <c r="D155" s="8" t="s">
        <v>181</v>
      </c>
      <c r="E155" s="8" t="s">
        <v>37</v>
      </c>
    </row>
    <row r="156" spans="1:5" x14ac:dyDescent="0.25">
      <c r="A156" s="8" t="s">
        <v>377</v>
      </c>
      <c r="B156" s="8" t="s">
        <v>1114</v>
      </c>
      <c r="C156" s="8" t="s">
        <v>180</v>
      </c>
      <c r="D156" s="8" t="s">
        <v>181</v>
      </c>
      <c r="E156" s="8" t="s">
        <v>39</v>
      </c>
    </row>
    <row r="157" spans="1:5" x14ac:dyDescent="0.25">
      <c r="A157" s="8" t="s">
        <v>378</v>
      </c>
      <c r="B157" s="8" t="s">
        <v>32</v>
      </c>
      <c r="C157" s="8" t="s">
        <v>180</v>
      </c>
      <c r="D157" s="8" t="s">
        <v>181</v>
      </c>
      <c r="E157" s="8" t="s">
        <v>38</v>
      </c>
    </row>
    <row r="158" spans="1:5" x14ac:dyDescent="0.25">
      <c r="A158" s="8" t="s">
        <v>379</v>
      </c>
      <c r="B158" s="8" t="s">
        <v>1115</v>
      </c>
      <c r="C158" s="8" t="s">
        <v>180</v>
      </c>
      <c r="D158" s="8" t="s">
        <v>181</v>
      </c>
      <c r="E158" s="8" t="s">
        <v>38</v>
      </c>
    </row>
    <row r="159" spans="1:5" x14ac:dyDescent="0.25">
      <c r="A159" s="8" t="s">
        <v>380</v>
      </c>
      <c r="B159" s="8" t="s">
        <v>703</v>
      </c>
      <c r="C159" s="8" t="s">
        <v>180</v>
      </c>
      <c r="D159" s="8" t="s">
        <v>181</v>
      </c>
      <c r="E159" s="8" t="s">
        <v>38</v>
      </c>
    </row>
    <row r="160" spans="1:5" x14ac:dyDescent="0.25">
      <c r="A160" s="8" t="s">
        <v>381</v>
      </c>
      <c r="B160" s="8" t="s">
        <v>32</v>
      </c>
      <c r="C160" s="8" t="s">
        <v>180</v>
      </c>
      <c r="D160" s="8" t="s">
        <v>181</v>
      </c>
      <c r="E160" s="8" t="s">
        <v>38</v>
      </c>
    </row>
    <row r="161" spans="1:5" x14ac:dyDescent="0.25">
      <c r="A161" s="8" t="s">
        <v>382</v>
      </c>
      <c r="B161" s="8" t="s">
        <v>32</v>
      </c>
      <c r="C161" s="8" t="s">
        <v>180</v>
      </c>
      <c r="D161" s="8" t="s">
        <v>181</v>
      </c>
      <c r="E161" s="8" t="s">
        <v>38</v>
      </c>
    </row>
    <row r="162" spans="1:5" x14ac:dyDescent="0.25">
      <c r="A162" s="8" t="s">
        <v>15</v>
      </c>
      <c r="B162" s="8" t="s">
        <v>32</v>
      </c>
      <c r="C162" s="8" t="s">
        <v>180</v>
      </c>
      <c r="D162" s="8" t="s">
        <v>181</v>
      </c>
      <c r="E162" s="8" t="s">
        <v>38</v>
      </c>
    </row>
    <row r="163" spans="1:5" x14ac:dyDescent="0.25">
      <c r="A163" s="8" t="s">
        <v>384</v>
      </c>
      <c r="B163" s="8" t="s">
        <v>197</v>
      </c>
      <c r="C163" s="8" t="s">
        <v>180</v>
      </c>
      <c r="D163" s="8" t="s">
        <v>181</v>
      </c>
      <c r="E163" s="8" t="s">
        <v>38</v>
      </c>
    </row>
    <row r="164" spans="1:5" x14ac:dyDescent="0.25">
      <c r="A164" s="8" t="s">
        <v>385</v>
      </c>
      <c r="B164" s="8" t="s">
        <v>1116</v>
      </c>
      <c r="C164" s="8" t="s">
        <v>180</v>
      </c>
      <c r="D164" s="8" t="s">
        <v>181</v>
      </c>
      <c r="E164" s="8" t="s">
        <v>38</v>
      </c>
    </row>
    <row r="165" spans="1:5" x14ac:dyDescent="0.25">
      <c r="A165" s="8" t="s">
        <v>386</v>
      </c>
      <c r="B165" s="8" t="s">
        <v>1115</v>
      </c>
      <c r="C165" s="8" t="s">
        <v>180</v>
      </c>
      <c r="D165" s="8" t="s">
        <v>181</v>
      </c>
      <c r="E165" s="8" t="s">
        <v>38</v>
      </c>
    </row>
    <row r="166" spans="1:5" x14ac:dyDescent="0.25">
      <c r="A166" s="8" t="s">
        <v>27</v>
      </c>
      <c r="B166" s="8" t="s">
        <v>32</v>
      </c>
      <c r="C166" s="8" t="s">
        <v>180</v>
      </c>
      <c r="D166" s="8" t="s">
        <v>181</v>
      </c>
      <c r="E166" s="8" t="s">
        <v>38</v>
      </c>
    </row>
    <row r="167" spans="1:5" x14ac:dyDescent="0.25">
      <c r="A167" s="8" t="s">
        <v>196</v>
      </c>
      <c r="B167" s="8" t="s">
        <v>197</v>
      </c>
      <c r="C167" s="8" t="s">
        <v>180</v>
      </c>
      <c r="D167" s="8" t="s">
        <v>181</v>
      </c>
      <c r="E167" s="8" t="s">
        <v>38</v>
      </c>
    </row>
    <row r="168" spans="1:5" x14ac:dyDescent="0.25">
      <c r="A168" s="8" t="s">
        <v>387</v>
      </c>
      <c r="B168" s="8" t="s">
        <v>1116</v>
      </c>
      <c r="C168" s="8" t="s">
        <v>180</v>
      </c>
      <c r="D168" s="8" t="s">
        <v>181</v>
      </c>
      <c r="E168" s="8" t="s">
        <v>38</v>
      </c>
    </row>
    <row r="169" spans="1:5" x14ac:dyDescent="0.25">
      <c r="A169" s="8" t="s">
        <v>16</v>
      </c>
      <c r="B169" s="8" t="s">
        <v>32</v>
      </c>
      <c r="C169" s="8" t="s">
        <v>180</v>
      </c>
      <c r="D169" s="8" t="s">
        <v>181</v>
      </c>
      <c r="E169" s="8" t="s">
        <v>38</v>
      </c>
    </row>
    <row r="170" spans="1:5" x14ac:dyDescent="0.25">
      <c r="A170" s="8" t="s">
        <v>388</v>
      </c>
      <c r="B170" s="8" t="s">
        <v>197</v>
      </c>
      <c r="C170" s="8" t="s">
        <v>180</v>
      </c>
      <c r="D170" s="8" t="s">
        <v>181</v>
      </c>
      <c r="E170" s="8" t="s">
        <v>38</v>
      </c>
    </row>
    <row r="171" spans="1:5" x14ac:dyDescent="0.25">
      <c r="A171" s="8" t="s">
        <v>1117</v>
      </c>
      <c r="B171" s="8" t="s">
        <v>1118</v>
      </c>
      <c r="C171" s="8" t="s">
        <v>180</v>
      </c>
      <c r="D171" s="8" t="s">
        <v>181</v>
      </c>
      <c r="E171" s="8" t="s">
        <v>38</v>
      </c>
    </row>
    <row r="172" spans="1:5" x14ac:dyDescent="0.25">
      <c r="A172" s="8" t="s">
        <v>389</v>
      </c>
      <c r="B172" s="8" t="s">
        <v>1116</v>
      </c>
      <c r="C172" s="8" t="s">
        <v>180</v>
      </c>
      <c r="D172" s="8" t="s">
        <v>181</v>
      </c>
      <c r="E172" s="8" t="s">
        <v>38</v>
      </c>
    </row>
    <row r="173" spans="1:5" x14ac:dyDescent="0.25">
      <c r="A173" s="8" t="s">
        <v>390</v>
      </c>
      <c r="B173" s="8" t="s">
        <v>1119</v>
      </c>
      <c r="C173" s="8" t="s">
        <v>180</v>
      </c>
      <c r="D173" s="8" t="s">
        <v>181</v>
      </c>
      <c r="E173" s="8" t="s">
        <v>38</v>
      </c>
    </row>
    <row r="174" spans="1:5" x14ac:dyDescent="0.25">
      <c r="A174" s="8" t="s">
        <v>391</v>
      </c>
      <c r="B174" s="8" t="s">
        <v>1120</v>
      </c>
      <c r="C174" s="8" t="s">
        <v>180</v>
      </c>
      <c r="D174" s="8" t="s">
        <v>181</v>
      </c>
      <c r="E174" s="8" t="s">
        <v>38</v>
      </c>
    </row>
    <row r="175" spans="1:5" x14ac:dyDescent="0.25">
      <c r="A175" s="8" t="s">
        <v>392</v>
      </c>
      <c r="B175" s="8" t="s">
        <v>703</v>
      </c>
      <c r="C175" s="8" t="s">
        <v>180</v>
      </c>
      <c r="D175" s="8" t="s">
        <v>181</v>
      </c>
      <c r="E175" s="8" t="s">
        <v>38</v>
      </c>
    </row>
    <row r="176" spans="1:5" x14ac:dyDescent="0.25">
      <c r="A176" s="8" t="s">
        <v>1121</v>
      </c>
      <c r="B176" s="8" t="s">
        <v>1122</v>
      </c>
      <c r="C176" s="8" t="s">
        <v>977</v>
      </c>
      <c r="D176" s="8" t="s">
        <v>181</v>
      </c>
      <c r="E176" s="8" t="s">
        <v>38</v>
      </c>
    </row>
    <row r="177" spans="1:5" x14ac:dyDescent="0.25">
      <c r="A177" s="8" t="s">
        <v>393</v>
      </c>
      <c r="B177" s="8" t="s">
        <v>1123</v>
      </c>
      <c r="C177" s="8" t="s">
        <v>977</v>
      </c>
      <c r="D177" s="8" t="s">
        <v>181</v>
      </c>
      <c r="E177" s="8" t="s">
        <v>38</v>
      </c>
    </row>
    <row r="178" spans="1:5" x14ac:dyDescent="0.25">
      <c r="A178" s="8" t="s">
        <v>143</v>
      </c>
      <c r="B178" s="8" t="s">
        <v>198</v>
      </c>
      <c r="C178" s="8" t="s">
        <v>180</v>
      </c>
      <c r="D178" s="8" t="s">
        <v>181</v>
      </c>
      <c r="E178" s="8" t="s">
        <v>38</v>
      </c>
    </row>
    <row r="179" spans="1:5" x14ac:dyDescent="0.25">
      <c r="A179" s="8" t="s">
        <v>394</v>
      </c>
      <c r="B179" s="8" t="s">
        <v>1124</v>
      </c>
      <c r="C179" s="8" t="s">
        <v>180</v>
      </c>
      <c r="D179" s="8" t="s">
        <v>181</v>
      </c>
      <c r="E179" s="8" t="s">
        <v>38</v>
      </c>
    </row>
    <row r="180" spans="1:5" x14ac:dyDescent="0.25">
      <c r="A180" s="8" t="s">
        <v>395</v>
      </c>
      <c r="B180" s="8" t="s">
        <v>1125</v>
      </c>
      <c r="C180" s="8" t="s">
        <v>180</v>
      </c>
      <c r="D180" s="8" t="s">
        <v>181</v>
      </c>
      <c r="E180" s="8" t="s">
        <v>38</v>
      </c>
    </row>
    <row r="181" spans="1:5" x14ac:dyDescent="0.25">
      <c r="A181" s="8" t="s">
        <v>396</v>
      </c>
      <c r="B181" s="8" t="s">
        <v>1126</v>
      </c>
      <c r="C181" s="8" t="s">
        <v>180</v>
      </c>
      <c r="D181" s="8" t="s">
        <v>181</v>
      </c>
      <c r="E181" s="8" t="s">
        <v>38</v>
      </c>
    </row>
    <row r="182" spans="1:5" x14ac:dyDescent="0.25">
      <c r="A182" s="8" t="s">
        <v>144</v>
      </c>
      <c r="B182" s="8" t="s">
        <v>166</v>
      </c>
      <c r="C182" s="8" t="s">
        <v>180</v>
      </c>
      <c r="D182" s="8" t="s">
        <v>181</v>
      </c>
      <c r="E182" s="8" t="s">
        <v>38</v>
      </c>
    </row>
    <row r="183" spans="1:5" x14ac:dyDescent="0.25">
      <c r="A183" s="8" t="s">
        <v>397</v>
      </c>
      <c r="B183" s="8" t="s">
        <v>1127</v>
      </c>
      <c r="C183" s="8" t="s">
        <v>180</v>
      </c>
      <c r="D183" s="8" t="s">
        <v>181</v>
      </c>
      <c r="E183" s="8" t="s">
        <v>38</v>
      </c>
    </row>
    <row r="184" spans="1:5" x14ac:dyDescent="0.25">
      <c r="A184" s="8" t="s">
        <v>145</v>
      </c>
      <c r="B184" s="8" t="s">
        <v>199</v>
      </c>
      <c r="C184" s="8" t="s">
        <v>180</v>
      </c>
      <c r="D184" s="8" t="s">
        <v>181</v>
      </c>
      <c r="E184" s="8" t="s">
        <v>38</v>
      </c>
    </row>
    <row r="185" spans="1:5" x14ac:dyDescent="0.25">
      <c r="A185" s="8" t="s">
        <v>1128</v>
      </c>
      <c r="B185" s="8" t="s">
        <v>1128</v>
      </c>
      <c r="C185" s="8" t="s">
        <v>183</v>
      </c>
      <c r="D185" s="8" t="s">
        <v>181</v>
      </c>
      <c r="E185" s="8" t="s">
        <v>37</v>
      </c>
    </row>
    <row r="186" spans="1:5" x14ac:dyDescent="0.25">
      <c r="A186" s="8" t="s">
        <v>398</v>
      </c>
      <c r="B186" s="8" t="s">
        <v>398</v>
      </c>
      <c r="C186" s="8" t="s">
        <v>183</v>
      </c>
      <c r="D186" s="8" t="s">
        <v>181</v>
      </c>
      <c r="E186" s="8" t="s">
        <v>37</v>
      </c>
    </row>
    <row r="187" spans="1:5" x14ac:dyDescent="0.25">
      <c r="A187" s="8" t="s">
        <v>74</v>
      </c>
      <c r="B187" s="8" t="s">
        <v>200</v>
      </c>
      <c r="C187" s="8" t="s">
        <v>180</v>
      </c>
      <c r="D187" s="8" t="s">
        <v>181</v>
      </c>
      <c r="E187" s="8" t="s">
        <v>39</v>
      </c>
    </row>
    <row r="188" spans="1:5" x14ac:dyDescent="0.25">
      <c r="A188" s="8" t="s">
        <v>101</v>
      </c>
      <c r="B188" s="8" t="s">
        <v>102</v>
      </c>
      <c r="C188" s="8" t="s">
        <v>180</v>
      </c>
      <c r="D188" s="8" t="s">
        <v>181</v>
      </c>
      <c r="E188" s="8" t="s">
        <v>39</v>
      </c>
    </row>
    <row r="189" spans="1:5" x14ac:dyDescent="0.25">
      <c r="A189" s="8" t="s">
        <v>75</v>
      </c>
      <c r="B189" s="8" t="s">
        <v>201</v>
      </c>
      <c r="C189" s="8" t="s">
        <v>180</v>
      </c>
      <c r="D189" s="8" t="s">
        <v>181</v>
      </c>
      <c r="E189" s="8" t="s">
        <v>39</v>
      </c>
    </row>
    <row r="190" spans="1:5" x14ac:dyDescent="0.25">
      <c r="A190" s="8" t="s">
        <v>55</v>
      </c>
      <c r="B190" s="8" t="s">
        <v>164</v>
      </c>
      <c r="C190" s="8" t="s">
        <v>180</v>
      </c>
      <c r="D190" s="8" t="s">
        <v>181</v>
      </c>
      <c r="E190" s="8" t="s">
        <v>39</v>
      </c>
    </row>
    <row r="191" spans="1:5" x14ac:dyDescent="0.25">
      <c r="A191" s="8" t="s">
        <v>399</v>
      </c>
      <c r="B191" s="8" t="s">
        <v>1129</v>
      </c>
      <c r="C191" s="8" t="s">
        <v>180</v>
      </c>
      <c r="D191" s="8" t="s">
        <v>181</v>
      </c>
      <c r="E191" s="8" t="s">
        <v>39</v>
      </c>
    </row>
    <row r="192" spans="1:5" x14ac:dyDescent="0.25">
      <c r="A192" s="8" t="s">
        <v>111</v>
      </c>
      <c r="B192" s="8" t="s">
        <v>112</v>
      </c>
      <c r="C192" s="8" t="s">
        <v>180</v>
      </c>
      <c r="D192" s="8" t="s">
        <v>181</v>
      </c>
      <c r="E192" s="8" t="s">
        <v>39</v>
      </c>
    </row>
    <row r="193" spans="1:5" x14ac:dyDescent="0.25">
      <c r="A193" s="8" t="s">
        <v>56</v>
      </c>
      <c r="B193" s="8" t="s">
        <v>126</v>
      </c>
      <c r="C193" s="8" t="s">
        <v>180</v>
      </c>
      <c r="D193" s="8" t="s">
        <v>181</v>
      </c>
      <c r="E193" s="8" t="s">
        <v>39</v>
      </c>
    </row>
    <row r="194" spans="1:5" x14ac:dyDescent="0.25">
      <c r="A194" s="8" t="s">
        <v>57</v>
      </c>
      <c r="B194" s="8" t="s">
        <v>113</v>
      </c>
      <c r="C194" s="8" t="s">
        <v>180</v>
      </c>
      <c r="D194" s="8" t="s">
        <v>181</v>
      </c>
      <c r="E194" s="8" t="s">
        <v>39</v>
      </c>
    </row>
    <row r="195" spans="1:5" x14ac:dyDescent="0.25">
      <c r="A195" s="8" t="s">
        <v>97</v>
      </c>
      <c r="B195" s="8" t="s">
        <v>98</v>
      </c>
      <c r="C195" s="8" t="s">
        <v>180</v>
      </c>
      <c r="D195" s="8" t="s">
        <v>181</v>
      </c>
      <c r="E195" s="8" t="s">
        <v>39</v>
      </c>
    </row>
    <row r="196" spans="1:5" x14ac:dyDescent="0.25">
      <c r="A196" s="8" t="s">
        <v>29</v>
      </c>
      <c r="B196" s="8" t="s">
        <v>33</v>
      </c>
      <c r="C196" s="8" t="s">
        <v>180</v>
      </c>
      <c r="D196" s="8" t="s">
        <v>181</v>
      </c>
      <c r="E196" s="8" t="s">
        <v>39</v>
      </c>
    </row>
    <row r="197" spans="1:5" x14ac:dyDescent="0.25">
      <c r="A197" s="8" t="s">
        <v>121</v>
      </c>
      <c r="B197" s="8" t="s">
        <v>122</v>
      </c>
      <c r="C197" s="8" t="s">
        <v>180</v>
      </c>
      <c r="D197" s="8" t="s">
        <v>181</v>
      </c>
      <c r="E197" s="8" t="s">
        <v>39</v>
      </c>
    </row>
    <row r="198" spans="1:5" x14ac:dyDescent="0.25">
      <c r="A198" s="8" t="s">
        <v>106</v>
      </c>
      <c r="B198" s="8" t="s">
        <v>107</v>
      </c>
      <c r="C198" s="8" t="s">
        <v>180</v>
      </c>
      <c r="D198" s="8" t="s">
        <v>181</v>
      </c>
      <c r="E198" s="8" t="s">
        <v>39</v>
      </c>
    </row>
    <row r="199" spans="1:5" ht="30" x14ac:dyDescent="0.25">
      <c r="A199" s="8" t="s">
        <v>400</v>
      </c>
      <c r="B199" s="11" t="s">
        <v>1130</v>
      </c>
      <c r="C199" s="8" t="s">
        <v>180</v>
      </c>
      <c r="D199" s="8" t="s">
        <v>181</v>
      </c>
      <c r="E199" s="8" t="s">
        <v>39</v>
      </c>
    </row>
    <row r="200" spans="1:5" x14ac:dyDescent="0.25">
      <c r="A200" s="8" t="s">
        <v>58</v>
      </c>
      <c r="B200" s="8" t="s">
        <v>127</v>
      </c>
      <c r="C200" s="8" t="s">
        <v>180</v>
      </c>
      <c r="D200" s="8" t="s">
        <v>181</v>
      </c>
      <c r="E200" s="8" t="s">
        <v>39</v>
      </c>
    </row>
    <row r="201" spans="1:5" ht="30" x14ac:dyDescent="0.25">
      <c r="A201" s="8" t="s">
        <v>401</v>
      </c>
      <c r="B201" s="11" t="s">
        <v>1131</v>
      </c>
      <c r="C201" s="8" t="s">
        <v>180</v>
      </c>
      <c r="D201" s="8" t="s">
        <v>181</v>
      </c>
      <c r="E201" s="8" t="s">
        <v>39</v>
      </c>
    </row>
    <row r="202" spans="1:5" ht="30" x14ac:dyDescent="0.25">
      <c r="A202" s="8" t="s">
        <v>402</v>
      </c>
      <c r="B202" s="11" t="s">
        <v>818</v>
      </c>
      <c r="C202" s="8" t="s">
        <v>180</v>
      </c>
      <c r="D202" s="8" t="s">
        <v>181</v>
      </c>
      <c r="E202" s="8" t="s">
        <v>39</v>
      </c>
    </row>
    <row r="203" spans="1:5" x14ac:dyDescent="0.25">
      <c r="A203" s="8" t="s">
        <v>99</v>
      </c>
      <c r="B203" s="8" t="s">
        <v>100</v>
      </c>
      <c r="C203" s="8" t="s">
        <v>180</v>
      </c>
      <c r="D203" s="8" t="s">
        <v>181</v>
      </c>
      <c r="E203" s="8" t="s">
        <v>39</v>
      </c>
    </row>
    <row r="204" spans="1:5" x14ac:dyDescent="0.25">
      <c r="A204" s="8" t="s">
        <v>59</v>
      </c>
      <c r="B204" s="8" t="s">
        <v>93</v>
      </c>
      <c r="C204" s="8" t="s">
        <v>180</v>
      </c>
      <c r="D204" s="8" t="s">
        <v>181</v>
      </c>
      <c r="E204" s="8" t="s">
        <v>39</v>
      </c>
    </row>
    <row r="205" spans="1:5" x14ac:dyDescent="0.25">
      <c r="A205" s="8" t="s">
        <v>123</v>
      </c>
      <c r="B205" s="8" t="s">
        <v>124</v>
      </c>
      <c r="C205" s="8" t="s">
        <v>180</v>
      </c>
      <c r="D205" s="8" t="s">
        <v>181</v>
      </c>
      <c r="E205" s="8" t="s">
        <v>39</v>
      </c>
    </row>
    <row r="206" spans="1:5" x14ac:dyDescent="0.25">
      <c r="A206" s="8" t="s">
        <v>76</v>
      </c>
      <c r="B206" s="8" t="s">
        <v>110</v>
      </c>
      <c r="C206" s="8" t="s">
        <v>180</v>
      </c>
      <c r="D206" s="8" t="s">
        <v>181</v>
      </c>
      <c r="E206" s="8" t="s">
        <v>39</v>
      </c>
    </row>
    <row r="207" spans="1:5" x14ac:dyDescent="0.25">
      <c r="A207" s="8" t="s">
        <v>403</v>
      </c>
      <c r="B207" s="8" t="s">
        <v>1132</v>
      </c>
      <c r="C207" s="8" t="s">
        <v>180</v>
      </c>
      <c r="D207" s="8" t="s">
        <v>181</v>
      </c>
      <c r="E207" s="8" t="s">
        <v>39</v>
      </c>
    </row>
    <row r="208" spans="1:5" x14ac:dyDescent="0.25">
      <c r="A208" s="8" t="s">
        <v>60</v>
      </c>
      <c r="B208" s="8" t="s">
        <v>202</v>
      </c>
      <c r="C208" s="8" t="s">
        <v>180</v>
      </c>
      <c r="D208" s="8" t="s">
        <v>181</v>
      </c>
      <c r="E208" s="8" t="s">
        <v>39</v>
      </c>
    </row>
    <row r="209" spans="1:5" ht="30" x14ac:dyDescent="0.25">
      <c r="A209" s="8" t="s">
        <v>1133</v>
      </c>
      <c r="B209" s="11" t="s">
        <v>1134</v>
      </c>
      <c r="C209" s="8" t="s">
        <v>180</v>
      </c>
      <c r="D209" s="8" t="s">
        <v>181</v>
      </c>
      <c r="E209" s="8" t="s">
        <v>39</v>
      </c>
    </row>
    <row r="210" spans="1:5" x14ac:dyDescent="0.25">
      <c r="A210" s="8" t="s">
        <v>61</v>
      </c>
      <c r="B210" s="8" t="s">
        <v>203</v>
      </c>
      <c r="C210" s="8" t="s">
        <v>180</v>
      </c>
      <c r="D210" s="8" t="s">
        <v>181</v>
      </c>
      <c r="E210" s="8" t="s">
        <v>39</v>
      </c>
    </row>
    <row r="211" spans="1:5" x14ac:dyDescent="0.25">
      <c r="A211" s="8" t="s">
        <v>24</v>
      </c>
      <c r="B211" s="8" t="s">
        <v>34</v>
      </c>
      <c r="C211" s="8" t="s">
        <v>180</v>
      </c>
      <c r="D211" s="8" t="s">
        <v>181</v>
      </c>
      <c r="E211" s="8" t="s">
        <v>39</v>
      </c>
    </row>
    <row r="212" spans="1:5" x14ac:dyDescent="0.25">
      <c r="A212" s="8" t="s">
        <v>77</v>
      </c>
      <c r="B212" s="8" t="s">
        <v>204</v>
      </c>
      <c r="C212" s="8" t="s">
        <v>180</v>
      </c>
      <c r="D212" s="8" t="s">
        <v>181</v>
      </c>
      <c r="E212" s="8" t="s">
        <v>39</v>
      </c>
    </row>
    <row r="213" spans="1:5" x14ac:dyDescent="0.25">
      <c r="A213" s="8" t="s">
        <v>78</v>
      </c>
      <c r="B213" s="8" t="s">
        <v>163</v>
      </c>
      <c r="C213" s="8" t="s">
        <v>180</v>
      </c>
      <c r="D213" s="8" t="s">
        <v>181</v>
      </c>
      <c r="E213" s="8" t="s">
        <v>39</v>
      </c>
    </row>
    <row r="214" spans="1:5" x14ac:dyDescent="0.25">
      <c r="A214" s="8" t="s">
        <v>62</v>
      </c>
      <c r="B214" s="8" t="s">
        <v>94</v>
      </c>
      <c r="C214" s="8" t="s">
        <v>180</v>
      </c>
      <c r="D214" s="8" t="s">
        <v>181</v>
      </c>
      <c r="E214" s="8" t="s">
        <v>39</v>
      </c>
    </row>
    <row r="215" spans="1:5" x14ac:dyDescent="0.25">
      <c r="A215" s="8" t="s">
        <v>63</v>
      </c>
      <c r="B215" s="8" t="s">
        <v>95</v>
      </c>
      <c r="C215" s="8" t="s">
        <v>180</v>
      </c>
      <c r="D215" s="8" t="s">
        <v>181</v>
      </c>
      <c r="E215" s="8" t="s">
        <v>39</v>
      </c>
    </row>
    <row r="216" spans="1:5" x14ac:dyDescent="0.25">
      <c r="A216" s="8" t="s">
        <v>1135</v>
      </c>
      <c r="B216" s="8" t="s">
        <v>1136</v>
      </c>
      <c r="C216" s="8" t="s">
        <v>180</v>
      </c>
      <c r="D216" s="8" t="s">
        <v>181</v>
      </c>
      <c r="E216" s="8" t="s">
        <v>39</v>
      </c>
    </row>
    <row r="217" spans="1:5" x14ac:dyDescent="0.25">
      <c r="A217" s="8" t="s">
        <v>404</v>
      </c>
      <c r="B217" s="8" t="s">
        <v>1137</v>
      </c>
      <c r="C217" s="8" t="s">
        <v>205</v>
      </c>
      <c r="D217" s="8" t="s">
        <v>181</v>
      </c>
      <c r="E217" s="8" t="s">
        <v>37</v>
      </c>
    </row>
    <row r="218" spans="1:5" x14ac:dyDescent="0.25">
      <c r="A218" s="8" t="s">
        <v>405</v>
      </c>
      <c r="B218" s="8" t="s">
        <v>1138</v>
      </c>
      <c r="C218" s="8" t="s">
        <v>205</v>
      </c>
      <c r="D218" s="8" t="s">
        <v>181</v>
      </c>
      <c r="E218" s="8" t="s">
        <v>37</v>
      </c>
    </row>
    <row r="219" spans="1:5" x14ac:dyDescent="0.25">
      <c r="A219" s="8" t="s">
        <v>406</v>
      </c>
      <c r="B219" s="8" t="s">
        <v>1139</v>
      </c>
      <c r="C219" s="8" t="s">
        <v>180</v>
      </c>
      <c r="D219" s="8" t="s">
        <v>181</v>
      </c>
      <c r="E219" s="8" t="s">
        <v>37</v>
      </c>
    </row>
    <row r="220" spans="1:5" x14ac:dyDescent="0.25">
      <c r="A220" s="8" t="s">
        <v>1140</v>
      </c>
      <c r="B220" s="8" t="s">
        <v>1141</v>
      </c>
      <c r="C220" s="8" t="s">
        <v>180</v>
      </c>
      <c r="D220" s="8" t="s">
        <v>181</v>
      </c>
      <c r="E220" s="8" t="s">
        <v>37</v>
      </c>
    </row>
    <row r="221" spans="1:5" x14ac:dyDescent="0.25">
      <c r="A221" s="8" t="s">
        <v>407</v>
      </c>
      <c r="B221" s="8" t="s">
        <v>1141</v>
      </c>
      <c r="C221" s="8" t="s">
        <v>180</v>
      </c>
      <c r="D221" s="8" t="s">
        <v>181</v>
      </c>
      <c r="E221" s="8" t="s">
        <v>37</v>
      </c>
    </row>
    <row r="222" spans="1:5" x14ac:dyDescent="0.25">
      <c r="A222" s="8" t="s">
        <v>408</v>
      </c>
      <c r="B222" s="8" t="s">
        <v>1142</v>
      </c>
      <c r="C222" s="8" t="s">
        <v>180</v>
      </c>
      <c r="D222" s="8" t="s">
        <v>181</v>
      </c>
      <c r="E222" s="8" t="s">
        <v>37</v>
      </c>
    </row>
    <row r="223" spans="1:5" x14ac:dyDescent="0.25">
      <c r="A223" s="8" t="s">
        <v>103</v>
      </c>
      <c r="B223" s="8" t="s">
        <v>104</v>
      </c>
      <c r="C223" s="8" t="s">
        <v>180</v>
      </c>
      <c r="D223" s="8" t="s">
        <v>162</v>
      </c>
      <c r="E223" s="8" t="s">
        <v>37</v>
      </c>
    </row>
    <row r="224" spans="1:5" x14ac:dyDescent="0.25">
      <c r="A224" s="8" t="s">
        <v>129</v>
      </c>
      <c r="B224" s="8" t="s">
        <v>130</v>
      </c>
      <c r="C224" s="8" t="s">
        <v>205</v>
      </c>
      <c r="D224" s="8" t="s">
        <v>181</v>
      </c>
      <c r="E224" s="8" t="s">
        <v>37</v>
      </c>
    </row>
    <row r="225" spans="1:5" x14ac:dyDescent="0.25">
      <c r="A225" s="8" t="s">
        <v>131</v>
      </c>
      <c r="B225" s="8" t="s">
        <v>132</v>
      </c>
      <c r="C225" s="8" t="s">
        <v>205</v>
      </c>
      <c r="D225" s="8" t="s">
        <v>181</v>
      </c>
      <c r="E225" s="8" t="s">
        <v>37</v>
      </c>
    </row>
    <row r="226" spans="1:5" x14ac:dyDescent="0.25">
      <c r="A226" s="8" t="s">
        <v>134</v>
      </c>
      <c r="B226" s="8" t="s">
        <v>135</v>
      </c>
      <c r="C226" s="8" t="s">
        <v>205</v>
      </c>
      <c r="D226" s="8" t="s">
        <v>181</v>
      </c>
      <c r="E226" s="8" t="s">
        <v>37</v>
      </c>
    </row>
    <row r="227" spans="1:5" x14ac:dyDescent="0.25">
      <c r="A227" s="8" t="s">
        <v>409</v>
      </c>
      <c r="B227" s="8" t="s">
        <v>1147</v>
      </c>
      <c r="C227" s="8" t="s">
        <v>205</v>
      </c>
      <c r="D227" s="8" t="s">
        <v>181</v>
      </c>
      <c r="E227" s="8" t="s">
        <v>37</v>
      </c>
    </row>
    <row r="228" spans="1:5" x14ac:dyDescent="0.25">
      <c r="A228" s="8" t="s">
        <v>79</v>
      </c>
      <c r="B228" s="8" t="s">
        <v>206</v>
      </c>
      <c r="C228" s="8" t="s">
        <v>180</v>
      </c>
      <c r="D228" s="8" t="s">
        <v>162</v>
      </c>
      <c r="E228" s="8" t="s">
        <v>37</v>
      </c>
    </row>
    <row r="229" spans="1:5" x14ac:dyDescent="0.25">
      <c r="A229" s="8" t="s">
        <v>108</v>
      </c>
      <c r="B229" s="8" t="s">
        <v>109</v>
      </c>
      <c r="C229" s="8" t="s">
        <v>180</v>
      </c>
      <c r="D229" s="8" t="s">
        <v>162</v>
      </c>
      <c r="E229" s="8" t="s">
        <v>37</v>
      </c>
    </row>
    <row r="230" spans="1:5" x14ac:dyDescent="0.25">
      <c r="A230" s="8" t="s">
        <v>410</v>
      </c>
      <c r="B230" s="8" t="s">
        <v>1148</v>
      </c>
      <c r="C230" s="8" t="s">
        <v>180</v>
      </c>
      <c r="D230" s="8" t="s">
        <v>162</v>
      </c>
      <c r="E230" s="8" t="s">
        <v>37</v>
      </c>
    </row>
    <row r="231" spans="1:5" x14ac:dyDescent="0.25">
      <c r="A231" s="8" t="s">
        <v>411</v>
      </c>
      <c r="B231" s="8" t="s">
        <v>1149</v>
      </c>
      <c r="C231" s="8" t="s">
        <v>180</v>
      </c>
      <c r="D231" s="8" t="s">
        <v>181</v>
      </c>
      <c r="E231" s="8" t="s">
        <v>133</v>
      </c>
    </row>
    <row r="232" spans="1:5" x14ac:dyDescent="0.25">
      <c r="A232" s="8" t="s">
        <v>412</v>
      </c>
      <c r="B232" s="8" t="s">
        <v>1150</v>
      </c>
      <c r="C232" s="8" t="s">
        <v>180</v>
      </c>
      <c r="D232" s="8" t="s">
        <v>162</v>
      </c>
      <c r="E232" s="8" t="s">
        <v>37</v>
      </c>
    </row>
    <row r="233" spans="1:5" x14ac:dyDescent="0.25">
      <c r="A233" s="8" t="s">
        <v>413</v>
      </c>
      <c r="B233" s="8" t="s">
        <v>1151</v>
      </c>
      <c r="C233" s="8" t="s">
        <v>180</v>
      </c>
      <c r="D233" s="8" t="s">
        <v>162</v>
      </c>
      <c r="E233" s="8" t="s">
        <v>37</v>
      </c>
    </row>
    <row r="234" spans="1:5" x14ac:dyDescent="0.25">
      <c r="A234" s="8" t="s">
        <v>414</v>
      </c>
      <c r="B234" s="8" t="s">
        <v>1152</v>
      </c>
      <c r="C234" s="8" t="s">
        <v>180</v>
      </c>
      <c r="D234" s="8" t="s">
        <v>162</v>
      </c>
      <c r="E234" s="8" t="s">
        <v>37</v>
      </c>
    </row>
    <row r="235" spans="1:5" x14ac:dyDescent="0.25">
      <c r="A235" s="8" t="s">
        <v>415</v>
      </c>
      <c r="B235" s="8" t="s">
        <v>1153</v>
      </c>
      <c r="C235" s="8" t="s">
        <v>180</v>
      </c>
      <c r="D235" s="8" t="s">
        <v>162</v>
      </c>
      <c r="E235" s="8" t="s">
        <v>37</v>
      </c>
    </row>
    <row r="236" spans="1:5" x14ac:dyDescent="0.25">
      <c r="A236" s="8" t="s">
        <v>416</v>
      </c>
      <c r="B236" s="8" t="s">
        <v>1154</v>
      </c>
      <c r="C236" s="8" t="s">
        <v>180</v>
      </c>
      <c r="D236" s="8" t="s">
        <v>162</v>
      </c>
      <c r="E236" s="8" t="s">
        <v>37</v>
      </c>
    </row>
    <row r="237" spans="1:5" x14ac:dyDescent="0.25">
      <c r="A237" s="8" t="s">
        <v>417</v>
      </c>
      <c r="B237" s="8" t="s">
        <v>1155</v>
      </c>
      <c r="C237" s="8" t="s">
        <v>180</v>
      </c>
      <c r="D237" s="8" t="s">
        <v>162</v>
      </c>
      <c r="E237" s="8" t="s">
        <v>37</v>
      </c>
    </row>
    <row r="238" spans="1:5" x14ac:dyDescent="0.25">
      <c r="A238" s="8" t="s">
        <v>418</v>
      </c>
      <c r="B238" s="8" t="s">
        <v>1156</v>
      </c>
      <c r="C238" s="8" t="s">
        <v>180</v>
      </c>
      <c r="D238" s="8" t="s">
        <v>162</v>
      </c>
      <c r="E238" s="8" t="s">
        <v>37</v>
      </c>
    </row>
    <row r="239" spans="1:5" x14ac:dyDescent="0.25">
      <c r="A239" s="8" t="s">
        <v>64</v>
      </c>
      <c r="B239" s="8" t="s">
        <v>1157</v>
      </c>
      <c r="C239" s="8" t="s">
        <v>180</v>
      </c>
      <c r="D239" s="8" t="s">
        <v>162</v>
      </c>
      <c r="E239" s="8" t="s">
        <v>37</v>
      </c>
    </row>
    <row r="240" spans="1:5" x14ac:dyDescent="0.25">
      <c r="A240" s="8" t="s">
        <v>146</v>
      </c>
      <c r="B240" s="8" t="s">
        <v>1158</v>
      </c>
      <c r="C240" s="8" t="s">
        <v>180</v>
      </c>
      <c r="D240" s="8" t="s">
        <v>162</v>
      </c>
      <c r="E240" s="8" t="s">
        <v>37</v>
      </c>
    </row>
    <row r="241" spans="1:5" x14ac:dyDescent="0.25">
      <c r="A241" s="8" t="s">
        <v>128</v>
      </c>
      <c r="B241" s="8" t="s">
        <v>1159</v>
      </c>
      <c r="C241" s="8" t="s">
        <v>180</v>
      </c>
      <c r="D241" s="8" t="s">
        <v>162</v>
      </c>
      <c r="E241" s="8" t="s">
        <v>37</v>
      </c>
    </row>
    <row r="242" spans="1:5" x14ac:dyDescent="0.25">
      <c r="A242" s="8" t="s">
        <v>147</v>
      </c>
      <c r="B242" s="8" t="s">
        <v>1160</v>
      </c>
      <c r="C242" s="8" t="s">
        <v>180</v>
      </c>
      <c r="D242" s="8" t="s">
        <v>162</v>
      </c>
      <c r="E242" s="8" t="s">
        <v>37</v>
      </c>
    </row>
    <row r="243" spans="1:5" x14ac:dyDescent="0.25">
      <c r="A243" s="8" t="s">
        <v>80</v>
      </c>
      <c r="B243" s="8" t="s">
        <v>1161</v>
      </c>
      <c r="C243" s="8" t="s">
        <v>180</v>
      </c>
      <c r="D243" s="8" t="s">
        <v>162</v>
      </c>
      <c r="E243" s="8" t="s">
        <v>37</v>
      </c>
    </row>
    <row r="244" spans="1:5" x14ac:dyDescent="0.25">
      <c r="A244" s="8" t="s">
        <v>148</v>
      </c>
      <c r="B244" s="8" t="s">
        <v>1162</v>
      </c>
      <c r="C244" s="8" t="s">
        <v>180</v>
      </c>
      <c r="D244" s="8" t="s">
        <v>162</v>
      </c>
      <c r="E244" s="8" t="s">
        <v>37</v>
      </c>
    </row>
    <row r="245" spans="1:5" x14ac:dyDescent="0.25">
      <c r="A245" s="8" t="s">
        <v>419</v>
      </c>
      <c r="B245" s="8" t="s">
        <v>1163</v>
      </c>
      <c r="C245" s="8" t="s">
        <v>180</v>
      </c>
      <c r="D245" s="8" t="s">
        <v>162</v>
      </c>
      <c r="E245" s="8" t="s">
        <v>37</v>
      </c>
    </row>
    <row r="246" spans="1:5" x14ac:dyDescent="0.25">
      <c r="A246" s="8" t="s">
        <v>420</v>
      </c>
      <c r="B246" s="8" t="s">
        <v>1164</v>
      </c>
      <c r="C246" s="8" t="s">
        <v>180</v>
      </c>
      <c r="D246" s="8" t="s">
        <v>162</v>
      </c>
      <c r="E246" s="8" t="s">
        <v>37</v>
      </c>
    </row>
    <row r="247" spans="1:5" x14ac:dyDescent="0.25">
      <c r="A247" s="8" t="s">
        <v>421</v>
      </c>
      <c r="B247" s="8" t="s">
        <v>1165</v>
      </c>
      <c r="C247" s="8" t="s">
        <v>180</v>
      </c>
      <c r="D247" s="8" t="s">
        <v>162</v>
      </c>
      <c r="E247" s="8" t="s">
        <v>37</v>
      </c>
    </row>
    <row r="248" spans="1:5" x14ac:dyDescent="0.25">
      <c r="A248" s="8" t="s">
        <v>422</v>
      </c>
      <c r="B248" s="8" t="s">
        <v>1166</v>
      </c>
      <c r="C248" s="8" t="s">
        <v>180</v>
      </c>
      <c r="D248" s="8" t="s">
        <v>162</v>
      </c>
      <c r="E248" s="8" t="s">
        <v>37</v>
      </c>
    </row>
    <row r="249" spans="1:5" x14ac:dyDescent="0.25">
      <c r="A249" s="8" t="s">
        <v>423</v>
      </c>
      <c r="B249" s="8" t="s">
        <v>1167</v>
      </c>
      <c r="C249" s="8" t="s">
        <v>180</v>
      </c>
      <c r="D249" s="8" t="s">
        <v>162</v>
      </c>
      <c r="E249" s="8" t="s">
        <v>37</v>
      </c>
    </row>
    <row r="250" spans="1:5" x14ac:dyDescent="0.25">
      <c r="A250" s="8" t="s">
        <v>424</v>
      </c>
      <c r="B250" s="8" t="s">
        <v>1168</v>
      </c>
      <c r="C250" s="8" t="s">
        <v>180</v>
      </c>
      <c r="D250" s="8" t="s">
        <v>162</v>
      </c>
      <c r="E250" s="8" t="s">
        <v>37</v>
      </c>
    </row>
    <row r="251" spans="1:5" x14ac:dyDescent="0.25">
      <c r="A251" s="8" t="s">
        <v>425</v>
      </c>
      <c r="B251" s="8" t="s">
        <v>1169</v>
      </c>
      <c r="C251" s="8" t="s">
        <v>180</v>
      </c>
      <c r="D251" s="8" t="s">
        <v>162</v>
      </c>
      <c r="E251" s="8" t="s">
        <v>37</v>
      </c>
    </row>
    <row r="252" spans="1:5" x14ac:dyDescent="0.25">
      <c r="A252" s="8" t="s">
        <v>426</v>
      </c>
      <c r="B252" s="8" t="s">
        <v>1170</v>
      </c>
      <c r="C252" s="8" t="s">
        <v>180</v>
      </c>
      <c r="D252" s="8" t="s">
        <v>162</v>
      </c>
      <c r="E252" s="8" t="s">
        <v>37</v>
      </c>
    </row>
    <row r="253" spans="1:5" x14ac:dyDescent="0.25">
      <c r="A253" s="8" t="s">
        <v>427</v>
      </c>
      <c r="B253" s="8" t="s">
        <v>1171</v>
      </c>
      <c r="C253" s="8" t="s">
        <v>180</v>
      </c>
      <c r="D253" s="8" t="s">
        <v>162</v>
      </c>
      <c r="E253" s="8" t="s">
        <v>37</v>
      </c>
    </row>
    <row r="254" spans="1:5" x14ac:dyDescent="0.25">
      <c r="A254" s="8" t="s">
        <v>65</v>
      </c>
      <c r="B254" s="8" t="s">
        <v>1172</v>
      </c>
      <c r="C254" s="8" t="s">
        <v>180</v>
      </c>
      <c r="D254" s="8" t="s">
        <v>181</v>
      </c>
      <c r="E254" s="8" t="s">
        <v>37</v>
      </c>
    </row>
    <row r="255" spans="1:5" x14ac:dyDescent="0.25">
      <c r="A255" s="8" t="s">
        <v>428</v>
      </c>
      <c r="B255" s="8" t="s">
        <v>1173</v>
      </c>
      <c r="C255" s="8" t="s">
        <v>180</v>
      </c>
      <c r="D255" s="8" t="s">
        <v>181</v>
      </c>
      <c r="E255" s="8" t="s">
        <v>37</v>
      </c>
    </row>
    <row r="256" spans="1:5" x14ac:dyDescent="0.25">
      <c r="A256" s="8" t="s">
        <v>66</v>
      </c>
      <c r="B256" s="8" t="s">
        <v>116</v>
      </c>
      <c r="C256" s="8" t="s">
        <v>180</v>
      </c>
      <c r="D256" s="8" t="s">
        <v>181</v>
      </c>
      <c r="E256" s="8" t="s">
        <v>37</v>
      </c>
    </row>
    <row r="257" spans="1:5" x14ac:dyDescent="0.25">
      <c r="A257" s="8" t="s">
        <v>429</v>
      </c>
      <c r="B257" s="8" t="s">
        <v>1174</v>
      </c>
      <c r="C257" s="8" t="s">
        <v>205</v>
      </c>
      <c r="D257" s="8" t="s">
        <v>181</v>
      </c>
      <c r="E257" s="8" t="s">
        <v>37</v>
      </c>
    </row>
    <row r="258" spans="1:5" x14ac:dyDescent="0.25">
      <c r="A258" s="8" t="s">
        <v>430</v>
      </c>
      <c r="B258" s="8" t="s">
        <v>1175</v>
      </c>
      <c r="C258" s="8" t="s">
        <v>180</v>
      </c>
      <c r="D258" s="8" t="s">
        <v>181</v>
      </c>
      <c r="E258" s="8" t="s">
        <v>37</v>
      </c>
    </row>
    <row r="259" spans="1:5" x14ac:dyDescent="0.25">
      <c r="A259" s="8" t="s">
        <v>431</v>
      </c>
      <c r="B259" s="8" t="s">
        <v>1176</v>
      </c>
      <c r="C259" s="8" t="s">
        <v>180</v>
      </c>
      <c r="D259" s="8" t="s">
        <v>181</v>
      </c>
      <c r="E259" s="8" t="s">
        <v>37</v>
      </c>
    </row>
    <row r="260" spans="1:5" x14ac:dyDescent="0.25">
      <c r="A260" s="8" t="s">
        <v>432</v>
      </c>
      <c r="B260" s="8" t="s">
        <v>1177</v>
      </c>
      <c r="C260" s="8" t="s">
        <v>180</v>
      </c>
      <c r="D260" s="8" t="s">
        <v>181</v>
      </c>
      <c r="E260" s="8" t="s">
        <v>37</v>
      </c>
    </row>
    <row r="261" spans="1:5" x14ac:dyDescent="0.25">
      <c r="A261" s="8" t="s">
        <v>433</v>
      </c>
      <c r="B261" s="8" t="s">
        <v>1178</v>
      </c>
      <c r="C261" s="8" t="s">
        <v>180</v>
      </c>
      <c r="D261" s="8" t="s">
        <v>181</v>
      </c>
      <c r="E261" s="8" t="s">
        <v>37</v>
      </c>
    </row>
    <row r="262" spans="1:5" x14ac:dyDescent="0.25">
      <c r="A262" s="8" t="s">
        <v>1179</v>
      </c>
      <c r="B262" s="8" t="s">
        <v>1180</v>
      </c>
      <c r="C262" s="8" t="s">
        <v>180</v>
      </c>
      <c r="D262" s="8" t="s">
        <v>181</v>
      </c>
      <c r="E262" s="8" t="s">
        <v>37</v>
      </c>
    </row>
    <row r="263" spans="1:5" x14ac:dyDescent="0.25">
      <c r="A263" s="8" t="s">
        <v>434</v>
      </c>
      <c r="B263" s="8" t="s">
        <v>1181</v>
      </c>
      <c r="C263" s="8" t="s">
        <v>183</v>
      </c>
      <c r="D263" s="8" t="s">
        <v>181</v>
      </c>
      <c r="E263" s="8" t="s">
        <v>37</v>
      </c>
    </row>
    <row r="264" spans="1:5" x14ac:dyDescent="0.25">
      <c r="A264" s="8" t="s">
        <v>435</v>
      </c>
      <c r="B264" s="8" t="s">
        <v>1182</v>
      </c>
      <c r="C264" s="8" t="s">
        <v>180</v>
      </c>
      <c r="D264" s="8" t="s">
        <v>181</v>
      </c>
      <c r="E264" s="8" t="s">
        <v>37</v>
      </c>
    </row>
    <row r="265" spans="1:5" x14ac:dyDescent="0.25">
      <c r="A265" s="8" t="s">
        <v>436</v>
      </c>
      <c r="B265" s="8" t="s">
        <v>1183</v>
      </c>
      <c r="C265" s="8" t="s">
        <v>180</v>
      </c>
      <c r="D265" s="8" t="s">
        <v>181</v>
      </c>
      <c r="E265" s="8" t="s">
        <v>37</v>
      </c>
    </row>
    <row r="266" spans="1:5" x14ac:dyDescent="0.25">
      <c r="A266" s="8" t="s">
        <v>437</v>
      </c>
      <c r="B266" s="8" t="s">
        <v>1184</v>
      </c>
      <c r="C266" s="8" t="s">
        <v>180</v>
      </c>
      <c r="D266" s="8" t="s">
        <v>181</v>
      </c>
      <c r="E266" s="8" t="s">
        <v>37</v>
      </c>
    </row>
    <row r="267" spans="1:5" x14ac:dyDescent="0.25">
      <c r="A267" s="8" t="s">
        <v>438</v>
      </c>
      <c r="B267" s="8" t="s">
        <v>1185</v>
      </c>
      <c r="C267" s="8" t="s">
        <v>183</v>
      </c>
      <c r="D267" s="8" t="s">
        <v>181</v>
      </c>
      <c r="E267" s="8" t="s">
        <v>37</v>
      </c>
    </row>
    <row r="268" spans="1:5" x14ac:dyDescent="0.25">
      <c r="A268" s="8" t="s">
        <v>439</v>
      </c>
      <c r="B268" s="8" t="s">
        <v>1186</v>
      </c>
      <c r="C268" s="8" t="s">
        <v>180</v>
      </c>
      <c r="D268" s="8" t="s">
        <v>181</v>
      </c>
      <c r="E268" s="8" t="s">
        <v>37</v>
      </c>
    </row>
    <row r="269" spans="1:5" x14ac:dyDescent="0.25">
      <c r="A269" s="8" t="s">
        <v>440</v>
      </c>
      <c r="B269" s="8" t="s">
        <v>1187</v>
      </c>
      <c r="C269" s="8" t="s">
        <v>180</v>
      </c>
      <c r="D269" s="8" t="s">
        <v>181</v>
      </c>
      <c r="E269" s="8" t="s">
        <v>37</v>
      </c>
    </row>
    <row r="270" spans="1:5" x14ac:dyDescent="0.25">
      <c r="A270" s="8" t="s">
        <v>441</v>
      </c>
      <c r="B270" s="8" t="s">
        <v>1188</v>
      </c>
      <c r="C270" s="8" t="s">
        <v>180</v>
      </c>
      <c r="D270" s="8" t="s">
        <v>181</v>
      </c>
      <c r="E270" s="8" t="s">
        <v>37</v>
      </c>
    </row>
    <row r="271" spans="1:5" x14ac:dyDescent="0.25">
      <c r="A271" s="8" t="s">
        <v>1189</v>
      </c>
      <c r="B271" s="8" t="s">
        <v>1190</v>
      </c>
      <c r="C271" s="8" t="s">
        <v>180</v>
      </c>
      <c r="D271" s="8" t="s">
        <v>181</v>
      </c>
      <c r="E271" s="8" t="s">
        <v>37</v>
      </c>
    </row>
    <row r="272" spans="1:5" x14ac:dyDescent="0.25">
      <c r="A272" s="8" t="s">
        <v>1191</v>
      </c>
      <c r="B272" s="8" t="s">
        <v>1192</v>
      </c>
      <c r="C272" s="8" t="s">
        <v>180</v>
      </c>
      <c r="D272" s="8" t="s">
        <v>181</v>
      </c>
      <c r="E272" s="8" t="s">
        <v>37</v>
      </c>
    </row>
    <row r="273" spans="1:5" x14ac:dyDescent="0.25">
      <c r="A273" s="8" t="s">
        <v>1193</v>
      </c>
      <c r="B273" s="8" t="s">
        <v>1194</v>
      </c>
      <c r="C273" s="8" t="s">
        <v>180</v>
      </c>
      <c r="D273" s="8" t="s">
        <v>181</v>
      </c>
      <c r="E273" s="8" t="s">
        <v>37</v>
      </c>
    </row>
    <row r="274" spans="1:5" x14ac:dyDescent="0.25">
      <c r="A274" s="8" t="s">
        <v>1195</v>
      </c>
      <c r="B274" s="8" t="s">
        <v>1196</v>
      </c>
      <c r="C274" s="8" t="s">
        <v>180</v>
      </c>
      <c r="D274" s="8" t="s">
        <v>181</v>
      </c>
      <c r="E274" s="8" t="s">
        <v>37</v>
      </c>
    </row>
    <row r="275" spans="1:5" x14ac:dyDescent="0.25">
      <c r="A275" s="8" t="s">
        <v>1197</v>
      </c>
      <c r="B275" s="8" t="s">
        <v>1198</v>
      </c>
      <c r="C275" s="8" t="s">
        <v>180</v>
      </c>
      <c r="D275" s="8" t="s">
        <v>181</v>
      </c>
      <c r="E275" s="8" t="s">
        <v>37</v>
      </c>
    </row>
    <row r="276" spans="1:5" x14ac:dyDescent="0.25">
      <c r="A276" s="8" t="s">
        <v>442</v>
      </c>
      <c r="B276" s="8" t="s">
        <v>1199</v>
      </c>
      <c r="C276" s="8" t="s">
        <v>180</v>
      </c>
      <c r="D276" s="8" t="s">
        <v>181</v>
      </c>
      <c r="E276" s="8" t="s">
        <v>37</v>
      </c>
    </row>
    <row r="277" spans="1:5" x14ac:dyDescent="0.25">
      <c r="A277" s="8" t="s">
        <v>443</v>
      </c>
      <c r="B277" s="8" t="s">
        <v>1200</v>
      </c>
      <c r="C277" s="8" t="s">
        <v>180</v>
      </c>
      <c r="D277" s="8" t="s">
        <v>181</v>
      </c>
      <c r="E277" s="8" t="s">
        <v>37</v>
      </c>
    </row>
    <row r="278" spans="1:5" x14ac:dyDescent="0.25">
      <c r="A278" s="8" t="s">
        <v>1201</v>
      </c>
      <c r="B278" s="8" t="s">
        <v>1202</v>
      </c>
      <c r="C278" s="8" t="s">
        <v>180</v>
      </c>
      <c r="D278" s="8" t="s">
        <v>181</v>
      </c>
      <c r="E278" s="8" t="s">
        <v>37</v>
      </c>
    </row>
    <row r="279" spans="1:5" x14ac:dyDescent="0.25">
      <c r="A279" s="8" t="s">
        <v>1203</v>
      </c>
      <c r="B279" s="8" t="s">
        <v>1204</v>
      </c>
      <c r="C279" s="8" t="s">
        <v>180</v>
      </c>
      <c r="D279" s="8" t="s">
        <v>181</v>
      </c>
      <c r="E279" s="8" t="s">
        <v>37</v>
      </c>
    </row>
    <row r="280" spans="1:5" ht="30" x14ac:dyDescent="0.25">
      <c r="A280" s="8" t="s">
        <v>444</v>
      </c>
      <c r="B280" s="11" t="s">
        <v>1205</v>
      </c>
      <c r="C280" s="8" t="s">
        <v>180</v>
      </c>
      <c r="D280" s="8" t="s">
        <v>162</v>
      </c>
      <c r="E280" s="8" t="s">
        <v>37</v>
      </c>
    </row>
    <row r="281" spans="1:5" ht="30" x14ac:dyDescent="0.25">
      <c r="A281" s="8" t="s">
        <v>445</v>
      </c>
      <c r="B281" s="11" t="s">
        <v>1206</v>
      </c>
      <c r="C281" s="8" t="s">
        <v>977</v>
      </c>
      <c r="D281" s="8" t="s">
        <v>181</v>
      </c>
      <c r="E281" s="8" t="s">
        <v>120</v>
      </c>
    </row>
    <row r="282" spans="1:5" x14ac:dyDescent="0.25">
      <c r="A282" s="8" t="s">
        <v>207</v>
      </c>
      <c r="B282" s="8" t="s">
        <v>208</v>
      </c>
      <c r="C282" s="8" t="s">
        <v>180</v>
      </c>
      <c r="D282" s="8" t="s">
        <v>181</v>
      </c>
      <c r="E282" s="8" t="s">
        <v>37</v>
      </c>
    </row>
    <row r="283" spans="1:5" x14ac:dyDescent="0.25">
      <c r="A283" s="8" t="s">
        <v>1207</v>
      </c>
      <c r="B283" s="8" t="s">
        <v>1208</v>
      </c>
      <c r="C283" s="8" t="s">
        <v>180</v>
      </c>
      <c r="D283" s="8" t="s">
        <v>181</v>
      </c>
      <c r="E283" s="8" t="s">
        <v>37</v>
      </c>
    </row>
    <row r="284" spans="1:5" x14ac:dyDescent="0.25">
      <c r="A284" s="8" t="s">
        <v>1209</v>
      </c>
      <c r="B284" s="8" t="s">
        <v>1210</v>
      </c>
      <c r="C284" s="8" t="s">
        <v>180</v>
      </c>
      <c r="D284" s="8" t="s">
        <v>181</v>
      </c>
      <c r="E284" s="8" t="s">
        <v>37</v>
      </c>
    </row>
    <row r="285" spans="1:5" x14ac:dyDescent="0.25">
      <c r="A285" s="8" t="s">
        <v>1211</v>
      </c>
      <c r="B285" s="8" t="s">
        <v>1212</v>
      </c>
      <c r="C285" s="8" t="s">
        <v>180</v>
      </c>
      <c r="D285" s="8" t="s">
        <v>181</v>
      </c>
      <c r="E285" s="8" t="s">
        <v>37</v>
      </c>
    </row>
    <row r="286" spans="1:5" x14ac:dyDescent="0.25">
      <c r="A286" s="8" t="s">
        <v>1213</v>
      </c>
      <c r="B286" s="8" t="s">
        <v>1214</v>
      </c>
      <c r="C286" s="8" t="s">
        <v>180</v>
      </c>
      <c r="D286" s="8" t="s">
        <v>181</v>
      </c>
      <c r="E286" s="8" t="s">
        <v>37</v>
      </c>
    </row>
    <row r="287" spans="1:5" x14ac:dyDescent="0.25">
      <c r="A287" s="8" t="s">
        <v>1215</v>
      </c>
      <c r="B287" s="8" t="s">
        <v>1216</v>
      </c>
      <c r="C287" s="8" t="s">
        <v>180</v>
      </c>
      <c r="D287" s="8" t="s">
        <v>181</v>
      </c>
      <c r="E287" s="8" t="s">
        <v>37</v>
      </c>
    </row>
    <row r="288" spans="1:5" x14ac:dyDescent="0.25">
      <c r="A288" s="8" t="s">
        <v>1217</v>
      </c>
      <c r="B288" s="8" t="s">
        <v>1218</v>
      </c>
      <c r="C288" s="8" t="s">
        <v>180</v>
      </c>
      <c r="D288" s="8" t="s">
        <v>181</v>
      </c>
      <c r="E288" s="8" t="s">
        <v>37</v>
      </c>
    </row>
    <row r="289" spans="1:5" x14ac:dyDescent="0.25">
      <c r="A289" s="8" t="s">
        <v>1219</v>
      </c>
      <c r="B289" s="8" t="s">
        <v>1220</v>
      </c>
      <c r="C289" s="8" t="s">
        <v>180</v>
      </c>
      <c r="D289" s="8" t="s">
        <v>181</v>
      </c>
      <c r="E289" s="8" t="s">
        <v>37</v>
      </c>
    </row>
    <row r="290" spans="1:5" x14ac:dyDescent="0.25">
      <c r="A290" s="8" t="s">
        <v>1221</v>
      </c>
      <c r="B290" s="8" t="s">
        <v>1222</v>
      </c>
      <c r="C290" s="8" t="s">
        <v>180</v>
      </c>
      <c r="D290" s="8" t="s">
        <v>181</v>
      </c>
      <c r="E290" s="8" t="s">
        <v>37</v>
      </c>
    </row>
    <row r="291" spans="1:5" x14ac:dyDescent="0.25">
      <c r="A291" s="8" t="s">
        <v>1223</v>
      </c>
      <c r="B291" s="8" t="s">
        <v>1224</v>
      </c>
      <c r="C291" s="8" t="s">
        <v>180</v>
      </c>
      <c r="D291" s="8" t="s">
        <v>181</v>
      </c>
      <c r="E291" s="8" t="s">
        <v>37</v>
      </c>
    </row>
    <row r="292" spans="1:5" x14ac:dyDescent="0.25">
      <c r="A292" s="8" t="s">
        <v>1225</v>
      </c>
      <c r="B292" s="8" t="s">
        <v>1226</v>
      </c>
      <c r="C292" s="8" t="s">
        <v>180</v>
      </c>
      <c r="D292" s="8" t="s">
        <v>181</v>
      </c>
      <c r="E292" s="8" t="s">
        <v>37</v>
      </c>
    </row>
    <row r="293" spans="1:5" x14ac:dyDescent="0.25">
      <c r="A293" s="8" t="s">
        <v>1227</v>
      </c>
      <c r="B293" s="8" t="s">
        <v>1228</v>
      </c>
      <c r="C293" s="8" t="s">
        <v>180</v>
      </c>
      <c r="D293" s="8" t="s">
        <v>181</v>
      </c>
      <c r="E293" s="8" t="s">
        <v>37</v>
      </c>
    </row>
    <row r="294" spans="1:5" x14ac:dyDescent="0.25">
      <c r="A294" s="8" t="s">
        <v>446</v>
      </c>
      <c r="B294" s="8" t="s">
        <v>1229</v>
      </c>
      <c r="C294" s="8" t="s">
        <v>180</v>
      </c>
      <c r="D294" s="8" t="s">
        <v>181</v>
      </c>
      <c r="E294" s="8" t="s">
        <v>37</v>
      </c>
    </row>
    <row r="295" spans="1:5" x14ac:dyDescent="0.25">
      <c r="A295" s="8" t="s">
        <v>447</v>
      </c>
      <c r="B295" s="8" t="s">
        <v>1230</v>
      </c>
      <c r="C295" s="8" t="s">
        <v>180</v>
      </c>
      <c r="D295" s="8" t="s">
        <v>181</v>
      </c>
      <c r="E295" s="8" t="s">
        <v>37</v>
      </c>
    </row>
    <row r="296" spans="1:5" x14ac:dyDescent="0.25">
      <c r="A296" s="8" t="s">
        <v>1231</v>
      </c>
      <c r="B296" s="8" t="s">
        <v>1232</v>
      </c>
      <c r="C296" s="8" t="s">
        <v>180</v>
      </c>
      <c r="D296" s="8" t="s">
        <v>181</v>
      </c>
      <c r="E296" s="8" t="s">
        <v>37</v>
      </c>
    </row>
    <row r="297" spans="1:5" x14ac:dyDescent="0.25">
      <c r="A297" s="8" t="s">
        <v>448</v>
      </c>
      <c r="B297" s="8" t="s">
        <v>1233</v>
      </c>
      <c r="C297" s="8" t="s">
        <v>180</v>
      </c>
      <c r="D297" s="8" t="s">
        <v>181</v>
      </c>
      <c r="E297" s="8" t="s">
        <v>37</v>
      </c>
    </row>
    <row r="298" spans="1:5" x14ac:dyDescent="0.25">
      <c r="A298" s="8" t="s">
        <v>449</v>
      </c>
      <c r="B298" s="8" t="s">
        <v>1234</v>
      </c>
      <c r="C298" s="8" t="s">
        <v>180</v>
      </c>
      <c r="D298" s="8" t="s">
        <v>181</v>
      </c>
      <c r="E298" s="8" t="s">
        <v>37</v>
      </c>
    </row>
    <row r="299" spans="1:5" x14ac:dyDescent="0.25">
      <c r="A299" s="8" t="s">
        <v>149</v>
      </c>
      <c r="B299" s="8" t="s">
        <v>209</v>
      </c>
      <c r="C299" s="8" t="s">
        <v>180</v>
      </c>
      <c r="D299" s="8" t="s">
        <v>181</v>
      </c>
      <c r="E299" s="8" t="s">
        <v>37</v>
      </c>
    </row>
    <row r="300" spans="1:5" x14ac:dyDescent="0.25">
      <c r="A300" s="8" t="s">
        <v>450</v>
      </c>
      <c r="B300" s="8" t="s">
        <v>1235</v>
      </c>
      <c r="C300" s="8" t="s">
        <v>180</v>
      </c>
      <c r="D300" s="8" t="s">
        <v>162</v>
      </c>
      <c r="E300" s="8" t="s">
        <v>37</v>
      </c>
    </row>
    <row r="301" spans="1:5" x14ac:dyDescent="0.25">
      <c r="A301" s="8" t="s">
        <v>451</v>
      </c>
      <c r="B301" s="8" t="s">
        <v>1236</v>
      </c>
      <c r="C301" s="8" t="s">
        <v>180</v>
      </c>
      <c r="D301" s="8" t="s">
        <v>181</v>
      </c>
      <c r="E301" s="8" t="s">
        <v>37</v>
      </c>
    </row>
    <row r="302" spans="1:5" x14ac:dyDescent="0.25">
      <c r="A302" s="8" t="s">
        <v>1237</v>
      </c>
      <c r="B302" s="8" t="s">
        <v>1238</v>
      </c>
      <c r="C302" s="8" t="s">
        <v>180</v>
      </c>
      <c r="D302" s="8" t="s">
        <v>181</v>
      </c>
      <c r="E302" s="8" t="s">
        <v>37</v>
      </c>
    </row>
    <row r="303" spans="1:5" x14ac:dyDescent="0.25">
      <c r="A303" s="8" t="s">
        <v>452</v>
      </c>
      <c r="B303" s="8" t="s">
        <v>1239</v>
      </c>
      <c r="C303" s="8" t="s">
        <v>180</v>
      </c>
      <c r="D303" s="8" t="s">
        <v>181</v>
      </c>
      <c r="E303" s="8" t="s">
        <v>37</v>
      </c>
    </row>
    <row r="304" spans="1:5" x14ac:dyDescent="0.25">
      <c r="A304" s="8" t="s">
        <v>114</v>
      </c>
      <c r="B304" s="8" t="s">
        <v>115</v>
      </c>
      <c r="C304" s="8" t="s">
        <v>180</v>
      </c>
      <c r="D304" s="8" t="s">
        <v>181</v>
      </c>
      <c r="E304" s="8" t="s">
        <v>37</v>
      </c>
    </row>
    <row r="305" spans="1:5" x14ac:dyDescent="0.25">
      <c r="A305" s="8" t="s">
        <v>453</v>
      </c>
      <c r="B305" s="8" t="s">
        <v>1240</v>
      </c>
      <c r="C305" s="8" t="s">
        <v>180</v>
      </c>
      <c r="D305" s="8" t="s">
        <v>181</v>
      </c>
      <c r="E305" s="8" t="s">
        <v>37</v>
      </c>
    </row>
    <row r="306" spans="1:5" x14ac:dyDescent="0.25">
      <c r="A306" s="8" t="s">
        <v>454</v>
      </c>
      <c r="B306" s="8" t="s">
        <v>1241</v>
      </c>
      <c r="C306" s="8" t="s">
        <v>180</v>
      </c>
      <c r="D306" s="8" t="s">
        <v>181</v>
      </c>
      <c r="E306" s="8" t="s">
        <v>37</v>
      </c>
    </row>
    <row r="307" spans="1:5" x14ac:dyDescent="0.25">
      <c r="A307" s="8" t="s">
        <v>455</v>
      </c>
      <c r="B307" s="8" t="s">
        <v>1242</v>
      </c>
      <c r="C307" s="8" t="s">
        <v>180</v>
      </c>
      <c r="D307" s="8" t="s">
        <v>181</v>
      </c>
      <c r="E307" s="8" t="s">
        <v>37</v>
      </c>
    </row>
    <row r="308" spans="1:5" x14ac:dyDescent="0.25">
      <c r="A308" s="8" t="s">
        <v>456</v>
      </c>
      <c r="B308" s="8" t="s">
        <v>1243</v>
      </c>
      <c r="C308" s="8" t="s">
        <v>180</v>
      </c>
      <c r="D308" s="8" t="s">
        <v>181</v>
      </c>
      <c r="E308" s="8" t="s">
        <v>37</v>
      </c>
    </row>
    <row r="309" spans="1:5" x14ac:dyDescent="0.25">
      <c r="A309" s="8" t="s">
        <v>457</v>
      </c>
      <c r="B309" s="8" t="s">
        <v>1244</v>
      </c>
      <c r="C309" s="8" t="s">
        <v>180</v>
      </c>
      <c r="D309" s="8" t="s">
        <v>162</v>
      </c>
      <c r="E309" s="8" t="s">
        <v>37</v>
      </c>
    </row>
    <row r="310" spans="1:5" x14ac:dyDescent="0.25">
      <c r="A310" s="8" t="s">
        <v>23</v>
      </c>
      <c r="B310" s="8" t="s">
        <v>883</v>
      </c>
      <c r="C310" s="8" t="s">
        <v>180</v>
      </c>
      <c r="D310" s="8" t="s">
        <v>181</v>
      </c>
      <c r="E310" s="8" t="s">
        <v>37</v>
      </c>
    </row>
    <row r="311" spans="1:5" x14ac:dyDescent="0.25">
      <c r="A311" s="8" t="s">
        <v>67</v>
      </c>
      <c r="B311" s="8" t="s">
        <v>907</v>
      </c>
      <c r="C311" s="8" t="s">
        <v>180</v>
      </c>
      <c r="D311" s="8" t="s">
        <v>181</v>
      </c>
      <c r="E311" s="8" t="s">
        <v>37</v>
      </c>
    </row>
    <row r="312" spans="1:5" x14ac:dyDescent="0.25">
      <c r="A312" s="8" t="s">
        <v>28</v>
      </c>
      <c r="B312" s="8" t="s">
        <v>928</v>
      </c>
      <c r="C312" s="8" t="s">
        <v>180</v>
      </c>
      <c r="D312" s="8" t="s">
        <v>181</v>
      </c>
      <c r="E312" s="8" t="s">
        <v>37</v>
      </c>
    </row>
    <row r="313" spans="1:5" x14ac:dyDescent="0.25">
      <c r="A313" s="8" t="s">
        <v>1245</v>
      </c>
      <c r="B313" s="8" t="s">
        <v>1246</v>
      </c>
      <c r="C313" s="8" t="s">
        <v>183</v>
      </c>
      <c r="D313" s="8" t="s">
        <v>181</v>
      </c>
      <c r="E313" s="8" t="s">
        <v>37</v>
      </c>
    </row>
    <row r="314" spans="1:5" x14ac:dyDescent="0.25">
      <c r="A314" s="8" t="s">
        <v>458</v>
      </c>
      <c r="B314" s="8" t="s">
        <v>1247</v>
      </c>
      <c r="C314" s="8" t="s">
        <v>183</v>
      </c>
      <c r="D314" s="8" t="s">
        <v>181</v>
      </c>
      <c r="E314" s="8" t="s">
        <v>37</v>
      </c>
    </row>
    <row r="315" spans="1:5" x14ac:dyDescent="0.25">
      <c r="A315" s="8" t="s">
        <v>459</v>
      </c>
      <c r="B315" s="8" t="s">
        <v>1248</v>
      </c>
      <c r="C315" s="8" t="s">
        <v>183</v>
      </c>
      <c r="D315" s="8" t="s">
        <v>181</v>
      </c>
      <c r="E315" s="8" t="s">
        <v>37</v>
      </c>
    </row>
    <row r="316" spans="1:5" x14ac:dyDescent="0.25">
      <c r="A316" s="8" t="s">
        <v>460</v>
      </c>
      <c r="B316" s="8" t="s">
        <v>1249</v>
      </c>
      <c r="C316" s="8" t="s">
        <v>183</v>
      </c>
      <c r="D316" s="8" t="s">
        <v>181</v>
      </c>
      <c r="E316" s="8" t="s">
        <v>37</v>
      </c>
    </row>
    <row r="317" spans="1:5" x14ac:dyDescent="0.25">
      <c r="A317" s="8" t="s">
        <v>461</v>
      </c>
      <c r="B317" s="8" t="s">
        <v>1250</v>
      </c>
      <c r="C317" s="8" t="s">
        <v>183</v>
      </c>
      <c r="D317" s="8" t="s">
        <v>181</v>
      </c>
      <c r="E317" s="8" t="s">
        <v>37</v>
      </c>
    </row>
    <row r="318" spans="1:5" x14ac:dyDescent="0.25">
      <c r="A318" s="8" t="s">
        <v>462</v>
      </c>
      <c r="B318" s="8" t="s">
        <v>1251</v>
      </c>
      <c r="C318" s="8" t="s">
        <v>183</v>
      </c>
      <c r="D318" s="8" t="s">
        <v>181</v>
      </c>
      <c r="E318" s="8" t="s">
        <v>37</v>
      </c>
    </row>
    <row r="319" spans="1:5" x14ac:dyDescent="0.25">
      <c r="A319" s="8" t="s">
        <v>1252</v>
      </c>
      <c r="B319" s="8" t="s">
        <v>1253</v>
      </c>
      <c r="C319" s="8" t="s">
        <v>183</v>
      </c>
      <c r="D319" s="8" t="s">
        <v>181</v>
      </c>
      <c r="E319" s="8" t="s">
        <v>37</v>
      </c>
    </row>
    <row r="320" spans="1:5" x14ac:dyDescent="0.25">
      <c r="A320" s="8" t="s">
        <v>463</v>
      </c>
      <c r="B320" s="8" t="s">
        <v>1254</v>
      </c>
      <c r="C320" s="8" t="s">
        <v>183</v>
      </c>
      <c r="D320" s="8" t="s">
        <v>181</v>
      </c>
      <c r="E320" s="8" t="s">
        <v>37</v>
      </c>
    </row>
    <row r="321" spans="1:5" x14ac:dyDescent="0.25">
      <c r="A321" s="8" t="s">
        <v>464</v>
      </c>
      <c r="B321" s="8" t="s">
        <v>1255</v>
      </c>
      <c r="C321" s="8" t="s">
        <v>183</v>
      </c>
      <c r="D321" s="8" t="s">
        <v>181</v>
      </c>
      <c r="E321" s="8" t="s">
        <v>37</v>
      </c>
    </row>
    <row r="322" spans="1:5" x14ac:dyDescent="0.25">
      <c r="A322" s="8" t="s">
        <v>465</v>
      </c>
      <c r="B322" s="8" t="s">
        <v>1256</v>
      </c>
      <c r="C322" s="8" t="s">
        <v>183</v>
      </c>
      <c r="D322" s="8" t="s">
        <v>181</v>
      </c>
      <c r="E322" s="8" t="s">
        <v>37</v>
      </c>
    </row>
    <row r="323" spans="1:5" x14ac:dyDescent="0.25">
      <c r="A323" s="8" t="s">
        <v>1257</v>
      </c>
      <c r="B323" s="8" t="s">
        <v>1258</v>
      </c>
      <c r="C323" s="8" t="s">
        <v>183</v>
      </c>
      <c r="D323" s="8" t="s">
        <v>181</v>
      </c>
      <c r="E323" s="8" t="s">
        <v>37</v>
      </c>
    </row>
    <row r="324" spans="1:5" x14ac:dyDescent="0.25">
      <c r="A324" s="8" t="s">
        <v>466</v>
      </c>
      <c r="B324" s="8" t="s">
        <v>1259</v>
      </c>
      <c r="C324" s="8" t="s">
        <v>183</v>
      </c>
      <c r="D324" s="8" t="s">
        <v>181</v>
      </c>
      <c r="E324" s="8" t="s">
        <v>37</v>
      </c>
    </row>
    <row r="325" spans="1:5" x14ac:dyDescent="0.25">
      <c r="A325" s="8" t="s">
        <v>467</v>
      </c>
      <c r="B325" s="8" t="s">
        <v>1260</v>
      </c>
      <c r="C325" s="8" t="s">
        <v>183</v>
      </c>
      <c r="D325" s="8" t="s">
        <v>181</v>
      </c>
      <c r="E325" s="8" t="s">
        <v>37</v>
      </c>
    </row>
    <row r="326" spans="1:5" x14ac:dyDescent="0.25">
      <c r="A326" s="8" t="s">
        <v>1261</v>
      </c>
      <c r="B326" s="8" t="s">
        <v>1262</v>
      </c>
      <c r="C326" s="8" t="s">
        <v>183</v>
      </c>
      <c r="D326" s="8" t="s">
        <v>181</v>
      </c>
      <c r="E326" s="8" t="s">
        <v>37</v>
      </c>
    </row>
    <row r="327" spans="1:5" x14ac:dyDescent="0.25">
      <c r="A327" s="8" t="s">
        <v>1263</v>
      </c>
      <c r="B327" s="8" t="s">
        <v>1264</v>
      </c>
      <c r="C327" s="8" t="s">
        <v>183</v>
      </c>
      <c r="D327" s="8" t="s">
        <v>181</v>
      </c>
      <c r="E327" s="8" t="s">
        <v>37</v>
      </c>
    </row>
    <row r="328" spans="1:5" x14ac:dyDescent="0.25">
      <c r="A328" s="8" t="s">
        <v>468</v>
      </c>
      <c r="B328" s="8" t="s">
        <v>1265</v>
      </c>
      <c r="C328" s="8" t="s">
        <v>183</v>
      </c>
      <c r="D328" s="8" t="s">
        <v>181</v>
      </c>
      <c r="E328" s="8" t="s">
        <v>37</v>
      </c>
    </row>
    <row r="329" spans="1:5" x14ac:dyDescent="0.25">
      <c r="A329" s="8" t="s">
        <v>469</v>
      </c>
      <c r="B329" s="8" t="s">
        <v>1266</v>
      </c>
      <c r="C329" s="8" t="s">
        <v>183</v>
      </c>
      <c r="D329" s="8" t="s">
        <v>181</v>
      </c>
      <c r="E329" s="8" t="s">
        <v>37</v>
      </c>
    </row>
    <row r="330" spans="1:5" x14ac:dyDescent="0.25">
      <c r="A330" s="8" t="s">
        <v>470</v>
      </c>
      <c r="B330" s="8" t="s">
        <v>1267</v>
      </c>
      <c r="C330" s="8" t="s">
        <v>183</v>
      </c>
      <c r="D330" s="8" t="s">
        <v>181</v>
      </c>
      <c r="E330" s="8" t="s">
        <v>37</v>
      </c>
    </row>
    <row r="331" spans="1:5" x14ac:dyDescent="0.25">
      <c r="A331" s="8" t="s">
        <v>471</v>
      </c>
      <c r="B331" s="8" t="s">
        <v>1268</v>
      </c>
      <c r="C331" s="8" t="s">
        <v>183</v>
      </c>
      <c r="D331" s="8" t="s">
        <v>181</v>
      </c>
      <c r="E331" s="8" t="s">
        <v>37</v>
      </c>
    </row>
    <row r="332" spans="1:5" x14ac:dyDescent="0.25">
      <c r="A332" s="8" t="s">
        <v>472</v>
      </c>
      <c r="B332" s="8" t="s">
        <v>1269</v>
      </c>
      <c r="C332" s="8" t="s">
        <v>183</v>
      </c>
      <c r="D332" s="8" t="s">
        <v>181</v>
      </c>
      <c r="E332" s="8" t="s">
        <v>37</v>
      </c>
    </row>
    <row r="333" spans="1:5" x14ac:dyDescent="0.25">
      <c r="A333" s="8" t="s">
        <v>473</v>
      </c>
      <c r="B333" s="8" t="s">
        <v>1270</v>
      </c>
      <c r="C333" s="8" t="s">
        <v>183</v>
      </c>
      <c r="D333" s="8" t="s">
        <v>181</v>
      </c>
      <c r="E333" s="8" t="s">
        <v>37</v>
      </c>
    </row>
    <row r="334" spans="1:5" x14ac:dyDescent="0.25">
      <c r="A334" s="8" t="s">
        <v>474</v>
      </c>
      <c r="B334" s="8" t="s">
        <v>1271</v>
      </c>
      <c r="C334" s="8" t="s">
        <v>183</v>
      </c>
      <c r="D334" s="8" t="s">
        <v>181</v>
      </c>
      <c r="E334" s="8" t="s">
        <v>37</v>
      </c>
    </row>
    <row r="335" spans="1:5" x14ac:dyDescent="0.25">
      <c r="A335" s="8" t="s">
        <v>475</v>
      </c>
      <c r="B335" s="8" t="s">
        <v>1272</v>
      </c>
      <c r="C335" s="8" t="s">
        <v>183</v>
      </c>
      <c r="D335" s="8" t="s">
        <v>181</v>
      </c>
      <c r="E335" s="8" t="s">
        <v>37</v>
      </c>
    </row>
    <row r="336" spans="1:5" x14ac:dyDescent="0.25">
      <c r="A336" s="8" t="s">
        <v>476</v>
      </c>
      <c r="B336" s="8" t="s">
        <v>1273</v>
      </c>
      <c r="C336" s="8" t="s">
        <v>183</v>
      </c>
      <c r="D336" s="8" t="s">
        <v>181</v>
      </c>
      <c r="E336" s="8" t="s">
        <v>37</v>
      </c>
    </row>
    <row r="337" spans="1:5" x14ac:dyDescent="0.25">
      <c r="A337" s="8" t="s">
        <v>477</v>
      </c>
      <c r="B337" s="8" t="s">
        <v>1274</v>
      </c>
      <c r="C337" s="8" t="s">
        <v>183</v>
      </c>
      <c r="D337" s="8" t="s">
        <v>181</v>
      </c>
      <c r="E337" s="8" t="s">
        <v>37</v>
      </c>
    </row>
    <row r="338" spans="1:5" x14ac:dyDescent="0.25">
      <c r="A338" s="8" t="s">
        <v>478</v>
      </c>
      <c r="B338" s="8" t="s">
        <v>1275</v>
      </c>
      <c r="C338" s="8" t="s">
        <v>183</v>
      </c>
      <c r="D338" s="8" t="s">
        <v>181</v>
      </c>
      <c r="E338" s="8" t="s">
        <v>37</v>
      </c>
    </row>
    <row r="339" spans="1:5" x14ac:dyDescent="0.25">
      <c r="A339" s="8" t="s">
        <v>479</v>
      </c>
      <c r="B339" s="8" t="s">
        <v>1276</v>
      </c>
      <c r="C339" s="8" t="s">
        <v>183</v>
      </c>
      <c r="D339" s="8" t="s">
        <v>181</v>
      </c>
      <c r="E339" s="8" t="s">
        <v>37</v>
      </c>
    </row>
    <row r="340" spans="1:5" x14ac:dyDescent="0.25">
      <c r="A340" s="8" t="s">
        <v>480</v>
      </c>
      <c r="B340" s="8" t="s">
        <v>1277</v>
      </c>
      <c r="C340" s="8" t="s">
        <v>183</v>
      </c>
      <c r="D340" s="8" t="s">
        <v>181</v>
      </c>
      <c r="E340" s="8" t="s">
        <v>37</v>
      </c>
    </row>
    <row r="341" spans="1:5" x14ac:dyDescent="0.25">
      <c r="A341" s="8" t="s">
        <v>1278</v>
      </c>
      <c r="B341" s="8" t="s">
        <v>1279</v>
      </c>
      <c r="C341" s="8" t="s">
        <v>183</v>
      </c>
      <c r="D341" s="8" t="s">
        <v>181</v>
      </c>
      <c r="E341" s="8" t="s">
        <v>37</v>
      </c>
    </row>
    <row r="342" spans="1:5" x14ac:dyDescent="0.25">
      <c r="A342" s="8" t="s">
        <v>481</v>
      </c>
      <c r="B342" s="8" t="s">
        <v>1280</v>
      </c>
      <c r="C342" s="8" t="s">
        <v>183</v>
      </c>
      <c r="D342" s="8" t="s">
        <v>181</v>
      </c>
      <c r="E342" s="8" t="s">
        <v>37</v>
      </c>
    </row>
    <row r="343" spans="1:5" x14ac:dyDescent="0.25">
      <c r="A343" s="8" t="s">
        <v>482</v>
      </c>
      <c r="B343" s="8" t="s">
        <v>1281</v>
      </c>
      <c r="C343" s="8" t="s">
        <v>183</v>
      </c>
      <c r="D343" s="8" t="s">
        <v>181</v>
      </c>
      <c r="E343" s="8" t="s">
        <v>37</v>
      </c>
    </row>
    <row r="344" spans="1:5" x14ac:dyDescent="0.25">
      <c r="A344" s="8" t="s">
        <v>483</v>
      </c>
      <c r="B344" s="8" t="s">
        <v>1282</v>
      </c>
      <c r="C344" s="8" t="s">
        <v>183</v>
      </c>
      <c r="D344" s="8" t="s">
        <v>181</v>
      </c>
      <c r="E344" s="8" t="s">
        <v>37</v>
      </c>
    </row>
    <row r="345" spans="1:5" x14ac:dyDescent="0.25">
      <c r="A345" s="8" t="s">
        <v>1283</v>
      </c>
      <c r="B345" s="8" t="s">
        <v>1284</v>
      </c>
      <c r="C345" s="8" t="s">
        <v>183</v>
      </c>
      <c r="D345" s="8" t="s">
        <v>181</v>
      </c>
      <c r="E345" s="8" t="s">
        <v>37</v>
      </c>
    </row>
    <row r="346" spans="1:5" x14ac:dyDescent="0.25">
      <c r="A346" s="8" t="s">
        <v>484</v>
      </c>
      <c r="B346" s="8" t="s">
        <v>1285</v>
      </c>
      <c r="C346" s="8" t="s">
        <v>183</v>
      </c>
      <c r="D346" s="8" t="s">
        <v>181</v>
      </c>
      <c r="E346" s="8" t="s">
        <v>37</v>
      </c>
    </row>
    <row r="347" spans="1:5" x14ac:dyDescent="0.25">
      <c r="A347" s="8" t="s">
        <v>485</v>
      </c>
      <c r="B347" s="8" t="s">
        <v>1286</v>
      </c>
      <c r="C347" s="8" t="s">
        <v>183</v>
      </c>
      <c r="D347" s="8" t="s">
        <v>181</v>
      </c>
      <c r="E347" s="8" t="s">
        <v>37</v>
      </c>
    </row>
    <row r="348" spans="1:5" x14ac:dyDescent="0.25">
      <c r="A348" s="8" t="s">
        <v>486</v>
      </c>
      <c r="B348" s="8" t="s">
        <v>1287</v>
      </c>
      <c r="C348" s="8" t="s">
        <v>183</v>
      </c>
      <c r="D348" s="8" t="s">
        <v>181</v>
      </c>
      <c r="E348" s="8" t="s">
        <v>37</v>
      </c>
    </row>
    <row r="349" spans="1:5" x14ac:dyDescent="0.25">
      <c r="A349" s="8" t="s">
        <v>1288</v>
      </c>
      <c r="B349" s="8" t="s">
        <v>1289</v>
      </c>
      <c r="C349" s="8" t="s">
        <v>183</v>
      </c>
      <c r="D349" s="8" t="s">
        <v>181</v>
      </c>
      <c r="E349" s="8" t="s">
        <v>37</v>
      </c>
    </row>
    <row r="350" spans="1:5" x14ac:dyDescent="0.25">
      <c r="A350" s="8" t="s">
        <v>487</v>
      </c>
      <c r="B350" s="8" t="s">
        <v>1290</v>
      </c>
      <c r="C350" s="8" t="s">
        <v>183</v>
      </c>
      <c r="D350" s="8" t="s">
        <v>181</v>
      </c>
      <c r="E350" s="8" t="s">
        <v>37</v>
      </c>
    </row>
    <row r="351" spans="1:5" x14ac:dyDescent="0.25">
      <c r="A351" s="8" t="s">
        <v>488</v>
      </c>
      <c r="B351" s="8" t="s">
        <v>1291</v>
      </c>
      <c r="C351" s="8" t="s">
        <v>183</v>
      </c>
      <c r="D351" s="8" t="s">
        <v>181</v>
      </c>
      <c r="E351" s="8" t="s">
        <v>37</v>
      </c>
    </row>
    <row r="352" spans="1:5" x14ac:dyDescent="0.25">
      <c r="A352" s="8" t="s">
        <v>489</v>
      </c>
      <c r="B352" s="8" t="s">
        <v>1292</v>
      </c>
      <c r="C352" s="8" t="s">
        <v>183</v>
      </c>
      <c r="D352" s="8" t="s">
        <v>181</v>
      </c>
      <c r="E352" s="8" t="s">
        <v>37</v>
      </c>
    </row>
    <row r="353" spans="1:5" x14ac:dyDescent="0.25">
      <c r="A353" s="8" t="s">
        <v>1293</v>
      </c>
      <c r="B353" s="8" t="s">
        <v>1294</v>
      </c>
      <c r="C353" s="8" t="s">
        <v>183</v>
      </c>
      <c r="D353" s="8" t="s">
        <v>181</v>
      </c>
      <c r="E353" s="8" t="s">
        <v>37</v>
      </c>
    </row>
    <row r="354" spans="1:5" x14ac:dyDescent="0.25">
      <c r="A354" s="8" t="s">
        <v>490</v>
      </c>
      <c r="B354" s="8" t="s">
        <v>1295</v>
      </c>
      <c r="C354" s="8" t="s">
        <v>183</v>
      </c>
      <c r="D354" s="8" t="s">
        <v>181</v>
      </c>
      <c r="E354" s="8" t="s">
        <v>37</v>
      </c>
    </row>
    <row r="355" spans="1:5" x14ac:dyDescent="0.25">
      <c r="A355" s="8" t="s">
        <v>491</v>
      </c>
      <c r="B355" s="8" t="s">
        <v>1296</v>
      </c>
      <c r="C355" s="8" t="s">
        <v>183</v>
      </c>
      <c r="D355" s="8" t="s">
        <v>181</v>
      </c>
      <c r="E355" s="8" t="s">
        <v>37</v>
      </c>
    </row>
    <row r="356" spans="1:5" x14ac:dyDescent="0.25">
      <c r="A356" s="8" t="s">
        <v>492</v>
      </c>
      <c r="B356" s="8" t="s">
        <v>1297</v>
      </c>
      <c r="C356" s="8" t="s">
        <v>183</v>
      </c>
      <c r="D356" s="8" t="s">
        <v>181</v>
      </c>
      <c r="E356" s="8" t="s">
        <v>37</v>
      </c>
    </row>
    <row r="357" spans="1:5" x14ac:dyDescent="0.25">
      <c r="A357" s="8" t="s">
        <v>1298</v>
      </c>
      <c r="B357" s="8" t="s">
        <v>1299</v>
      </c>
      <c r="C357" s="8" t="s">
        <v>183</v>
      </c>
      <c r="D357" s="8" t="s">
        <v>181</v>
      </c>
      <c r="E357" s="8" t="s">
        <v>37</v>
      </c>
    </row>
    <row r="358" spans="1:5" x14ac:dyDescent="0.25">
      <c r="A358" s="8" t="s">
        <v>1300</v>
      </c>
      <c r="B358" s="8" t="s">
        <v>1301</v>
      </c>
      <c r="C358" s="8" t="s">
        <v>183</v>
      </c>
      <c r="D358" s="8" t="s">
        <v>181</v>
      </c>
      <c r="E358" s="8" t="s">
        <v>37</v>
      </c>
    </row>
    <row r="359" spans="1:5" x14ac:dyDescent="0.25">
      <c r="A359" s="8" t="s">
        <v>493</v>
      </c>
      <c r="B359" s="8" t="s">
        <v>1302</v>
      </c>
      <c r="C359" s="8" t="s">
        <v>183</v>
      </c>
      <c r="D359" s="8" t="s">
        <v>181</v>
      </c>
      <c r="E359" s="8" t="s">
        <v>37</v>
      </c>
    </row>
    <row r="360" spans="1:5" x14ac:dyDescent="0.25">
      <c r="A360" s="8" t="s">
        <v>494</v>
      </c>
      <c r="B360" s="8" t="s">
        <v>1303</v>
      </c>
      <c r="C360" s="8" t="s">
        <v>183</v>
      </c>
      <c r="D360" s="8" t="s">
        <v>181</v>
      </c>
      <c r="E360" s="8" t="s">
        <v>37</v>
      </c>
    </row>
    <row r="361" spans="1:5" x14ac:dyDescent="0.25">
      <c r="A361" s="8" t="s">
        <v>495</v>
      </c>
      <c r="B361" s="8" t="s">
        <v>1304</v>
      </c>
      <c r="C361" s="8" t="s">
        <v>183</v>
      </c>
      <c r="D361" s="8" t="s">
        <v>181</v>
      </c>
      <c r="E361" s="8" t="s">
        <v>37</v>
      </c>
    </row>
    <row r="362" spans="1:5" x14ac:dyDescent="0.25">
      <c r="A362" s="8" t="s">
        <v>496</v>
      </c>
      <c r="B362" s="8" t="s">
        <v>1305</v>
      </c>
      <c r="C362" s="8" t="s">
        <v>183</v>
      </c>
      <c r="D362" s="8" t="s">
        <v>181</v>
      </c>
      <c r="E362" s="8" t="s">
        <v>37</v>
      </c>
    </row>
    <row r="363" spans="1:5" x14ac:dyDescent="0.25">
      <c r="A363" s="8" t="s">
        <v>1306</v>
      </c>
      <c r="B363" s="8" t="s">
        <v>1307</v>
      </c>
      <c r="C363" s="8" t="s">
        <v>183</v>
      </c>
      <c r="D363" s="8" t="s">
        <v>181</v>
      </c>
      <c r="E363" s="8" t="s">
        <v>37</v>
      </c>
    </row>
    <row r="364" spans="1:5" x14ac:dyDescent="0.25">
      <c r="A364" s="8" t="s">
        <v>497</v>
      </c>
      <c r="B364" s="8" t="s">
        <v>1308</v>
      </c>
      <c r="C364" s="8" t="s">
        <v>183</v>
      </c>
      <c r="D364" s="8" t="s">
        <v>181</v>
      </c>
      <c r="E364" s="8" t="s">
        <v>37</v>
      </c>
    </row>
    <row r="365" spans="1:5" x14ac:dyDescent="0.25">
      <c r="A365" s="8" t="s">
        <v>498</v>
      </c>
      <c r="B365" s="8" t="s">
        <v>1309</v>
      </c>
      <c r="C365" s="8" t="s">
        <v>183</v>
      </c>
      <c r="D365" s="8" t="s">
        <v>181</v>
      </c>
      <c r="E365" s="8" t="s">
        <v>37</v>
      </c>
    </row>
    <row r="366" spans="1:5" x14ac:dyDescent="0.25">
      <c r="A366" s="8" t="s">
        <v>499</v>
      </c>
      <c r="B366" s="8" t="s">
        <v>1310</v>
      </c>
      <c r="C366" s="8" t="s">
        <v>183</v>
      </c>
      <c r="D366" s="8" t="s">
        <v>181</v>
      </c>
      <c r="E366" s="8" t="s">
        <v>37</v>
      </c>
    </row>
    <row r="367" spans="1:5" x14ac:dyDescent="0.25">
      <c r="A367" s="8" t="s">
        <v>500</v>
      </c>
      <c r="B367" s="8" t="s">
        <v>500</v>
      </c>
      <c r="C367" s="8" t="s">
        <v>183</v>
      </c>
      <c r="D367" s="8" t="s">
        <v>181</v>
      </c>
      <c r="E367" s="8" t="s">
        <v>37</v>
      </c>
    </row>
    <row r="368" spans="1:5" x14ac:dyDescent="0.25">
      <c r="A368" s="8" t="s">
        <v>1312</v>
      </c>
      <c r="B368" s="8" t="s">
        <v>1313</v>
      </c>
      <c r="C368" s="8" t="s">
        <v>977</v>
      </c>
      <c r="D368" s="8" t="s">
        <v>181</v>
      </c>
      <c r="E368" s="8" t="s">
        <v>37</v>
      </c>
    </row>
    <row r="369" spans="1:5" x14ac:dyDescent="0.25">
      <c r="A369" s="8" t="s">
        <v>1314</v>
      </c>
      <c r="B369" s="8" t="s">
        <v>1315</v>
      </c>
      <c r="C369" s="8" t="s">
        <v>977</v>
      </c>
      <c r="D369" s="8" t="s">
        <v>181</v>
      </c>
      <c r="E369" s="8" t="s">
        <v>37</v>
      </c>
    </row>
    <row r="370" spans="1:5" x14ac:dyDescent="0.25">
      <c r="A370" s="8" t="s">
        <v>501</v>
      </c>
      <c r="B370" s="8" t="s">
        <v>1316</v>
      </c>
      <c r="C370" s="8" t="s">
        <v>180</v>
      </c>
      <c r="D370" s="8" t="s">
        <v>181</v>
      </c>
      <c r="E370" s="8" t="s">
        <v>37</v>
      </c>
    </row>
    <row r="371" spans="1:5" x14ac:dyDescent="0.25">
      <c r="A371" s="8" t="s">
        <v>502</v>
      </c>
      <c r="B371" s="8" t="s">
        <v>1317</v>
      </c>
      <c r="C371" s="8" t="s">
        <v>180</v>
      </c>
      <c r="D371" s="8" t="s">
        <v>181</v>
      </c>
      <c r="E371" s="8" t="s">
        <v>39</v>
      </c>
    </row>
    <row r="372" spans="1:5" x14ac:dyDescent="0.25">
      <c r="A372" s="8" t="s">
        <v>503</v>
      </c>
      <c r="B372" s="8" t="s">
        <v>1318</v>
      </c>
      <c r="C372" s="8" t="s">
        <v>180</v>
      </c>
      <c r="D372" s="8" t="s">
        <v>181</v>
      </c>
      <c r="E372" s="8" t="s">
        <v>37</v>
      </c>
    </row>
    <row r="373" spans="1:5" x14ac:dyDescent="0.25">
      <c r="A373" s="8" t="s">
        <v>504</v>
      </c>
      <c r="B373" s="8" t="s">
        <v>1319</v>
      </c>
      <c r="C373" s="8" t="s">
        <v>180</v>
      </c>
      <c r="D373" s="8" t="s">
        <v>181</v>
      </c>
      <c r="E373" s="8" t="s">
        <v>37</v>
      </c>
    </row>
    <row r="374" spans="1:5" x14ac:dyDescent="0.25">
      <c r="A374" s="8" t="s">
        <v>505</v>
      </c>
      <c r="B374" s="8" t="s">
        <v>1320</v>
      </c>
      <c r="C374" s="8" t="s">
        <v>180</v>
      </c>
      <c r="D374" s="8" t="s">
        <v>181</v>
      </c>
      <c r="E374" s="8" t="s">
        <v>39</v>
      </c>
    </row>
    <row r="375" spans="1:5" ht="30" x14ac:dyDescent="0.25">
      <c r="A375" s="8" t="s">
        <v>506</v>
      </c>
      <c r="B375" s="11" t="s">
        <v>1321</v>
      </c>
      <c r="C375" s="8" t="s">
        <v>180</v>
      </c>
      <c r="D375" s="8" t="s">
        <v>181</v>
      </c>
      <c r="E375" s="8" t="s">
        <v>37</v>
      </c>
    </row>
    <row r="376" spans="1:5" x14ac:dyDescent="0.25">
      <c r="A376" s="8" t="s">
        <v>507</v>
      </c>
      <c r="B376" s="8" t="s">
        <v>1322</v>
      </c>
      <c r="C376" s="8" t="s">
        <v>180</v>
      </c>
      <c r="D376" s="8" t="s">
        <v>181</v>
      </c>
      <c r="E376" s="8" t="s">
        <v>37</v>
      </c>
    </row>
    <row r="377" spans="1:5" x14ac:dyDescent="0.25">
      <c r="A377" s="8" t="s">
        <v>508</v>
      </c>
      <c r="B377" s="8" t="s">
        <v>1323</v>
      </c>
      <c r="C377" s="8" t="s">
        <v>180</v>
      </c>
      <c r="D377" s="8" t="s">
        <v>181</v>
      </c>
      <c r="E377" s="8" t="s">
        <v>38</v>
      </c>
    </row>
    <row r="378" spans="1:5" x14ac:dyDescent="0.25">
      <c r="A378" s="8" t="s">
        <v>509</v>
      </c>
      <c r="B378" s="8" t="s">
        <v>1324</v>
      </c>
      <c r="C378" s="8" t="s">
        <v>180</v>
      </c>
      <c r="D378" s="8" t="s">
        <v>181</v>
      </c>
      <c r="E378" s="8" t="s">
        <v>38</v>
      </c>
    </row>
    <row r="379" spans="1:5" ht="30" x14ac:dyDescent="0.25">
      <c r="A379" s="8" t="s">
        <v>510</v>
      </c>
      <c r="B379" s="11" t="s">
        <v>1325</v>
      </c>
      <c r="C379" s="8" t="s">
        <v>180</v>
      </c>
      <c r="D379" s="8" t="s">
        <v>181</v>
      </c>
      <c r="E379" s="8" t="s">
        <v>38</v>
      </c>
    </row>
    <row r="380" spans="1:5" x14ac:dyDescent="0.25">
      <c r="A380" s="8" t="s">
        <v>511</v>
      </c>
      <c r="B380" s="8" t="s">
        <v>1326</v>
      </c>
      <c r="C380" s="8" t="s">
        <v>180</v>
      </c>
      <c r="D380" s="8" t="s">
        <v>181</v>
      </c>
      <c r="E380" s="8" t="s">
        <v>38</v>
      </c>
    </row>
    <row r="381" spans="1:5" x14ac:dyDescent="0.25">
      <c r="A381" s="8" t="s">
        <v>512</v>
      </c>
      <c r="B381" s="8" t="s">
        <v>1327</v>
      </c>
      <c r="C381" s="8" t="s">
        <v>180</v>
      </c>
      <c r="D381" s="8" t="s">
        <v>181</v>
      </c>
      <c r="E381" s="8" t="s">
        <v>38</v>
      </c>
    </row>
    <row r="382" spans="1:5" x14ac:dyDescent="0.25">
      <c r="A382" s="8" t="s">
        <v>513</v>
      </c>
      <c r="B382" s="8" t="s">
        <v>1328</v>
      </c>
      <c r="C382" s="8" t="s">
        <v>180</v>
      </c>
      <c r="D382" s="8" t="s">
        <v>181</v>
      </c>
      <c r="E382" s="8" t="s">
        <v>38</v>
      </c>
    </row>
    <row r="383" spans="1:5" x14ac:dyDescent="0.25">
      <c r="A383" s="8" t="s">
        <v>514</v>
      </c>
      <c r="B383" s="8" t="s">
        <v>1329</v>
      </c>
      <c r="C383" s="8" t="s">
        <v>180</v>
      </c>
      <c r="D383" s="8" t="s">
        <v>181</v>
      </c>
      <c r="E383" s="8" t="s">
        <v>38</v>
      </c>
    </row>
    <row r="384" spans="1:5" x14ac:dyDescent="0.25">
      <c r="A384" s="8" t="s">
        <v>1330</v>
      </c>
      <c r="B384" s="8" t="s">
        <v>1328</v>
      </c>
      <c r="C384" s="8" t="s">
        <v>180</v>
      </c>
      <c r="D384" s="8" t="s">
        <v>181</v>
      </c>
      <c r="E384" s="8" t="s">
        <v>38</v>
      </c>
    </row>
    <row r="385" spans="1:5" x14ac:dyDescent="0.25">
      <c r="A385" s="8" t="s">
        <v>515</v>
      </c>
      <c r="B385" s="8" t="s">
        <v>1331</v>
      </c>
      <c r="C385" s="8" t="s">
        <v>180</v>
      </c>
      <c r="D385" s="8" t="s">
        <v>181</v>
      </c>
      <c r="E385" s="8" t="s">
        <v>39</v>
      </c>
    </row>
    <row r="386" spans="1:5" x14ac:dyDescent="0.25">
      <c r="A386" s="8" t="s">
        <v>516</v>
      </c>
      <c r="B386" s="8" t="s">
        <v>1332</v>
      </c>
      <c r="C386" s="8" t="s">
        <v>180</v>
      </c>
      <c r="D386" s="8" t="s">
        <v>181</v>
      </c>
      <c r="E386" s="8" t="s">
        <v>39</v>
      </c>
    </row>
    <row r="387" spans="1:5" x14ac:dyDescent="0.25">
      <c r="A387" s="8" t="s">
        <v>517</v>
      </c>
      <c r="B387" s="8" t="s">
        <v>1333</v>
      </c>
      <c r="C387" s="8" t="s">
        <v>183</v>
      </c>
      <c r="D387" s="8" t="s">
        <v>181</v>
      </c>
      <c r="E387" s="8" t="s">
        <v>39</v>
      </c>
    </row>
    <row r="388" spans="1:5" x14ac:dyDescent="0.25">
      <c r="A388" s="8" t="s">
        <v>518</v>
      </c>
      <c r="B388" s="8" t="s">
        <v>1334</v>
      </c>
      <c r="C388" s="8" t="s">
        <v>205</v>
      </c>
      <c r="D388" s="8" t="s">
        <v>181</v>
      </c>
      <c r="E388" s="8" t="s">
        <v>37</v>
      </c>
    </row>
    <row r="389" spans="1:5" x14ac:dyDescent="0.25">
      <c r="A389" s="8" t="s">
        <v>519</v>
      </c>
      <c r="B389" s="8" t="s">
        <v>1335</v>
      </c>
      <c r="C389" s="8" t="s">
        <v>205</v>
      </c>
      <c r="D389" s="8" t="s">
        <v>181</v>
      </c>
      <c r="E389" s="8" t="s">
        <v>37</v>
      </c>
    </row>
    <row r="390" spans="1:5" x14ac:dyDescent="0.25">
      <c r="A390" s="8" t="s">
        <v>520</v>
      </c>
      <c r="B390" s="8" t="s">
        <v>1336</v>
      </c>
      <c r="C390" s="8" t="s">
        <v>205</v>
      </c>
      <c r="D390" s="8" t="s">
        <v>181</v>
      </c>
      <c r="E390" s="8" t="s">
        <v>37</v>
      </c>
    </row>
    <row r="391" spans="1:5" x14ac:dyDescent="0.25">
      <c r="A391" s="8" t="s">
        <v>150</v>
      </c>
      <c r="B391" s="8" t="s">
        <v>210</v>
      </c>
      <c r="C391" s="8" t="s">
        <v>205</v>
      </c>
      <c r="D391" s="8" t="s">
        <v>181</v>
      </c>
      <c r="E391" s="8" t="s">
        <v>120</v>
      </c>
    </row>
    <row r="392" spans="1:5" x14ac:dyDescent="0.25">
      <c r="A392" s="8" t="s">
        <v>151</v>
      </c>
      <c r="B392" s="8" t="s">
        <v>211</v>
      </c>
      <c r="C392" s="8" t="s">
        <v>205</v>
      </c>
      <c r="D392" s="8" t="s">
        <v>181</v>
      </c>
      <c r="E392" s="8" t="s">
        <v>120</v>
      </c>
    </row>
    <row r="393" spans="1:5" x14ac:dyDescent="0.25">
      <c r="A393" s="8" t="s">
        <v>521</v>
      </c>
      <c r="B393" s="8" t="s">
        <v>1337</v>
      </c>
      <c r="C393" s="8" t="s">
        <v>180</v>
      </c>
      <c r="D393" s="8" t="s">
        <v>181</v>
      </c>
      <c r="E393" s="8" t="s">
        <v>37</v>
      </c>
    </row>
    <row r="394" spans="1:5" x14ac:dyDescent="0.25">
      <c r="A394" s="8" t="s">
        <v>522</v>
      </c>
      <c r="B394" s="8" t="s">
        <v>1338</v>
      </c>
      <c r="C394" s="8" t="s">
        <v>180</v>
      </c>
      <c r="D394" s="8" t="s">
        <v>181</v>
      </c>
      <c r="E394" s="8" t="s">
        <v>37</v>
      </c>
    </row>
    <row r="395" spans="1:5" ht="45" x14ac:dyDescent="0.25">
      <c r="A395" s="8" t="s">
        <v>523</v>
      </c>
      <c r="B395" s="11" t="s">
        <v>1339</v>
      </c>
      <c r="C395" s="8" t="s">
        <v>205</v>
      </c>
      <c r="D395" s="8" t="s">
        <v>181</v>
      </c>
      <c r="E395" s="8" t="s">
        <v>37</v>
      </c>
    </row>
    <row r="396" spans="1:5" x14ac:dyDescent="0.25">
      <c r="A396" s="8" t="s">
        <v>524</v>
      </c>
      <c r="B396" s="8" t="s">
        <v>1340</v>
      </c>
      <c r="C396" s="8" t="s">
        <v>205</v>
      </c>
      <c r="D396" s="8" t="s">
        <v>181</v>
      </c>
      <c r="E396" s="8" t="s">
        <v>39</v>
      </c>
    </row>
    <row r="397" spans="1:5" x14ac:dyDescent="0.25">
      <c r="A397" s="8" t="s">
        <v>525</v>
      </c>
      <c r="B397" s="8" t="s">
        <v>1341</v>
      </c>
      <c r="C397" s="8" t="s">
        <v>205</v>
      </c>
      <c r="D397" s="8" t="s">
        <v>181</v>
      </c>
      <c r="E397" s="8" t="s">
        <v>39</v>
      </c>
    </row>
    <row r="398" spans="1:5" x14ac:dyDescent="0.25">
      <c r="A398" s="8" t="s">
        <v>526</v>
      </c>
      <c r="B398" s="8" t="s">
        <v>1342</v>
      </c>
      <c r="C398" s="8" t="s">
        <v>205</v>
      </c>
      <c r="D398" s="8" t="s">
        <v>181</v>
      </c>
      <c r="E398" s="8" t="s">
        <v>39</v>
      </c>
    </row>
    <row r="399" spans="1:5" x14ac:dyDescent="0.25">
      <c r="A399" s="8" t="s">
        <v>527</v>
      </c>
      <c r="B399" s="8" t="s">
        <v>1343</v>
      </c>
      <c r="C399" s="8" t="s">
        <v>205</v>
      </c>
      <c r="D399" s="8" t="s">
        <v>181</v>
      </c>
      <c r="E399" s="8" t="s">
        <v>39</v>
      </c>
    </row>
    <row r="400" spans="1:5" x14ac:dyDescent="0.25">
      <c r="A400" s="8" t="s">
        <v>528</v>
      </c>
      <c r="B400" s="8" t="s">
        <v>1344</v>
      </c>
      <c r="C400" s="8" t="s">
        <v>205</v>
      </c>
      <c r="D400" s="8" t="s">
        <v>181</v>
      </c>
      <c r="E400" s="8" t="s">
        <v>39</v>
      </c>
    </row>
    <row r="401" spans="1:5" x14ac:dyDescent="0.25">
      <c r="A401" s="8" t="s">
        <v>529</v>
      </c>
      <c r="B401" s="8" t="s">
        <v>1345</v>
      </c>
      <c r="C401" s="8" t="s">
        <v>205</v>
      </c>
      <c r="D401" s="8" t="s">
        <v>181</v>
      </c>
      <c r="E401" s="8" t="s">
        <v>39</v>
      </c>
    </row>
    <row r="402" spans="1:5" x14ac:dyDescent="0.25">
      <c r="A402" s="8" t="s">
        <v>530</v>
      </c>
      <c r="B402" s="8" t="s">
        <v>1346</v>
      </c>
      <c r="C402" s="8" t="s">
        <v>205</v>
      </c>
      <c r="D402" s="8" t="s">
        <v>181</v>
      </c>
      <c r="E402" s="8" t="s">
        <v>39</v>
      </c>
    </row>
    <row r="403" spans="1:5" x14ac:dyDescent="0.25">
      <c r="A403" s="8" t="s">
        <v>531</v>
      </c>
      <c r="B403" s="8" t="s">
        <v>1347</v>
      </c>
      <c r="C403" s="8" t="s">
        <v>977</v>
      </c>
      <c r="D403" s="8" t="s">
        <v>181</v>
      </c>
      <c r="E403" s="8" t="s">
        <v>120</v>
      </c>
    </row>
    <row r="404" spans="1:5" x14ac:dyDescent="0.25">
      <c r="A404" s="8" t="s">
        <v>532</v>
      </c>
      <c r="B404" s="8" t="s">
        <v>1348</v>
      </c>
      <c r="C404" s="8" t="s">
        <v>977</v>
      </c>
      <c r="D404" s="8" t="s">
        <v>181</v>
      </c>
      <c r="E404" s="8" t="s">
        <v>120</v>
      </c>
    </row>
    <row r="405" spans="1:5" x14ac:dyDescent="0.25">
      <c r="A405" s="8" t="s">
        <v>533</v>
      </c>
      <c r="B405" s="8" t="s">
        <v>1349</v>
      </c>
      <c r="C405" s="8" t="s">
        <v>977</v>
      </c>
      <c r="D405" s="8" t="s">
        <v>181</v>
      </c>
      <c r="E405" s="8" t="s">
        <v>120</v>
      </c>
    </row>
    <row r="406" spans="1:5" x14ac:dyDescent="0.25">
      <c r="A406" s="8" t="s">
        <v>534</v>
      </c>
      <c r="B406" s="8" t="s">
        <v>1350</v>
      </c>
      <c r="C406" s="8" t="s">
        <v>977</v>
      </c>
      <c r="D406" s="8" t="s">
        <v>181</v>
      </c>
      <c r="E406" s="8" t="s">
        <v>120</v>
      </c>
    </row>
    <row r="407" spans="1:5" x14ac:dyDescent="0.25">
      <c r="A407" s="8" t="s">
        <v>535</v>
      </c>
      <c r="B407" s="8" t="s">
        <v>1351</v>
      </c>
      <c r="C407" s="8" t="s">
        <v>977</v>
      </c>
      <c r="D407" s="8" t="s">
        <v>181</v>
      </c>
      <c r="E407" s="8" t="s">
        <v>120</v>
      </c>
    </row>
    <row r="408" spans="1:5" x14ac:dyDescent="0.25">
      <c r="A408" s="8" t="s">
        <v>536</v>
      </c>
      <c r="B408" s="8" t="s">
        <v>1352</v>
      </c>
      <c r="C408" s="8" t="s">
        <v>977</v>
      </c>
      <c r="D408" s="8" t="s">
        <v>181</v>
      </c>
      <c r="E408" s="8" t="s">
        <v>120</v>
      </c>
    </row>
    <row r="409" spans="1:5" x14ac:dyDescent="0.25">
      <c r="A409" s="8" t="s">
        <v>537</v>
      </c>
      <c r="B409" s="8" t="s">
        <v>1353</v>
      </c>
      <c r="C409" s="8" t="s">
        <v>977</v>
      </c>
      <c r="D409" s="8" t="s">
        <v>181</v>
      </c>
      <c r="E409" s="8" t="s">
        <v>120</v>
      </c>
    </row>
    <row r="410" spans="1:5" x14ac:dyDescent="0.25">
      <c r="A410" s="8" t="s">
        <v>538</v>
      </c>
      <c r="B410" s="8" t="s">
        <v>1354</v>
      </c>
      <c r="C410" s="8" t="s">
        <v>977</v>
      </c>
      <c r="D410" s="8" t="s">
        <v>181</v>
      </c>
      <c r="E410" s="8" t="s">
        <v>120</v>
      </c>
    </row>
    <row r="411" spans="1:5" x14ac:dyDescent="0.25">
      <c r="A411" s="8" t="s">
        <v>539</v>
      </c>
      <c r="B411" s="8" t="s">
        <v>1355</v>
      </c>
      <c r="C411" s="8" t="s">
        <v>205</v>
      </c>
      <c r="D411" s="8" t="s">
        <v>181</v>
      </c>
      <c r="E411" s="8" t="s">
        <v>37</v>
      </c>
    </row>
    <row r="412" spans="1:5" x14ac:dyDescent="0.25">
      <c r="A412" s="8" t="s">
        <v>540</v>
      </c>
      <c r="B412" s="8" t="s">
        <v>1356</v>
      </c>
      <c r="C412" s="8" t="s">
        <v>205</v>
      </c>
      <c r="D412" s="8" t="s">
        <v>181</v>
      </c>
      <c r="E412" s="8" t="s">
        <v>37</v>
      </c>
    </row>
    <row r="413" spans="1:5" x14ac:dyDescent="0.25">
      <c r="A413" s="8" t="s">
        <v>541</v>
      </c>
      <c r="B413" s="8" t="s">
        <v>1357</v>
      </c>
      <c r="C413" s="8" t="s">
        <v>205</v>
      </c>
      <c r="D413" s="8" t="s">
        <v>181</v>
      </c>
      <c r="E413" s="8" t="s">
        <v>37</v>
      </c>
    </row>
    <row r="414" spans="1:5" x14ac:dyDescent="0.25">
      <c r="A414" s="8" t="s">
        <v>542</v>
      </c>
      <c r="B414" s="8" t="s">
        <v>1358</v>
      </c>
      <c r="C414" s="8" t="s">
        <v>205</v>
      </c>
      <c r="D414" s="8" t="s">
        <v>181</v>
      </c>
      <c r="E414" s="8" t="s">
        <v>120</v>
      </c>
    </row>
    <row r="415" spans="1:5" x14ac:dyDescent="0.25">
      <c r="A415" s="8" t="s">
        <v>543</v>
      </c>
      <c r="B415" s="8" t="s">
        <v>1359</v>
      </c>
      <c r="C415" s="8" t="s">
        <v>180</v>
      </c>
      <c r="D415" s="8" t="s">
        <v>181</v>
      </c>
      <c r="E415" s="8" t="s">
        <v>37</v>
      </c>
    </row>
    <row r="416" spans="1:5" x14ac:dyDescent="0.25">
      <c r="A416" s="8" t="s">
        <v>68</v>
      </c>
      <c r="B416" s="8" t="s">
        <v>1360</v>
      </c>
      <c r="C416" s="8" t="s">
        <v>180</v>
      </c>
      <c r="D416" s="8" t="s">
        <v>181</v>
      </c>
      <c r="E416" s="8" t="s">
        <v>37</v>
      </c>
    </row>
    <row r="417" spans="1:5" ht="30" x14ac:dyDescent="0.25">
      <c r="A417" s="8" t="s">
        <v>240</v>
      </c>
      <c r="B417" s="11" t="s">
        <v>241</v>
      </c>
      <c r="C417" s="8" t="s">
        <v>180</v>
      </c>
      <c r="D417" s="8" t="s">
        <v>181</v>
      </c>
      <c r="E417" s="8" t="s">
        <v>37</v>
      </c>
    </row>
    <row r="418" spans="1:5" ht="30" x14ac:dyDescent="0.25">
      <c r="A418" s="8" t="s">
        <v>242</v>
      </c>
      <c r="B418" s="11" t="s">
        <v>243</v>
      </c>
      <c r="C418" s="8" t="s">
        <v>180</v>
      </c>
      <c r="D418" s="8" t="s">
        <v>181</v>
      </c>
      <c r="E418" s="8" t="s">
        <v>37</v>
      </c>
    </row>
    <row r="419" spans="1:5" x14ac:dyDescent="0.25">
      <c r="A419" s="8" t="s">
        <v>544</v>
      </c>
      <c r="B419" s="8" t="s">
        <v>1361</v>
      </c>
      <c r="C419" s="8" t="s">
        <v>205</v>
      </c>
      <c r="D419" s="8" t="s">
        <v>181</v>
      </c>
      <c r="E419" s="8" t="s">
        <v>37</v>
      </c>
    </row>
    <row r="420" spans="1:5" x14ac:dyDescent="0.25">
      <c r="A420" s="8" t="s">
        <v>545</v>
      </c>
      <c r="B420" s="8" t="s">
        <v>1362</v>
      </c>
      <c r="C420" s="8" t="s">
        <v>205</v>
      </c>
      <c r="D420" s="8" t="s">
        <v>181</v>
      </c>
      <c r="E420" s="8" t="s">
        <v>37</v>
      </c>
    </row>
    <row r="421" spans="1:5" x14ac:dyDescent="0.25">
      <c r="A421" s="8" t="s">
        <v>117</v>
      </c>
      <c r="B421" s="8" t="s">
        <v>118</v>
      </c>
      <c r="C421" s="8" t="s">
        <v>180</v>
      </c>
      <c r="D421" s="8" t="s">
        <v>181</v>
      </c>
      <c r="E421" s="8" t="s">
        <v>37</v>
      </c>
    </row>
    <row r="422" spans="1:5" x14ac:dyDescent="0.25">
      <c r="A422" s="8" t="s">
        <v>244</v>
      </c>
      <c r="B422" s="8" t="s">
        <v>245</v>
      </c>
      <c r="C422" s="8" t="s">
        <v>180</v>
      </c>
      <c r="D422" s="8" t="s">
        <v>181</v>
      </c>
      <c r="E422" s="8" t="s">
        <v>37</v>
      </c>
    </row>
    <row r="423" spans="1:5" x14ac:dyDescent="0.25">
      <c r="A423" s="8" t="s">
        <v>546</v>
      </c>
      <c r="B423" s="8" t="s">
        <v>1363</v>
      </c>
      <c r="C423" s="8" t="s">
        <v>180</v>
      </c>
      <c r="D423" s="8" t="s">
        <v>181</v>
      </c>
      <c r="E423" s="8" t="s">
        <v>37</v>
      </c>
    </row>
    <row r="424" spans="1:5" x14ac:dyDescent="0.25">
      <c r="A424" s="8" t="s">
        <v>547</v>
      </c>
      <c r="B424" s="8" t="s">
        <v>1364</v>
      </c>
      <c r="C424" s="8" t="s">
        <v>205</v>
      </c>
      <c r="D424" s="8" t="s">
        <v>181</v>
      </c>
      <c r="E424" s="8" t="s">
        <v>37</v>
      </c>
    </row>
    <row r="425" spans="1:5" x14ac:dyDescent="0.25">
      <c r="A425" s="8" t="s">
        <v>548</v>
      </c>
      <c r="B425" s="8" t="s">
        <v>1365</v>
      </c>
      <c r="C425" s="8" t="s">
        <v>205</v>
      </c>
      <c r="D425" s="8" t="s">
        <v>181</v>
      </c>
      <c r="E425" s="8" t="s">
        <v>37</v>
      </c>
    </row>
    <row r="426" spans="1:5" x14ac:dyDescent="0.25">
      <c r="A426" s="8" t="s">
        <v>549</v>
      </c>
      <c r="B426" s="8" t="s">
        <v>1366</v>
      </c>
      <c r="C426" s="8" t="s">
        <v>205</v>
      </c>
      <c r="D426" s="8" t="s">
        <v>181</v>
      </c>
      <c r="E426" s="8" t="s">
        <v>37</v>
      </c>
    </row>
    <row r="427" spans="1:5" x14ac:dyDescent="0.25">
      <c r="A427" s="8" t="s">
        <v>550</v>
      </c>
      <c r="B427" s="8" t="s">
        <v>1367</v>
      </c>
      <c r="C427" s="8" t="s">
        <v>180</v>
      </c>
      <c r="D427" s="8" t="s">
        <v>181</v>
      </c>
      <c r="E427" s="8" t="s">
        <v>37</v>
      </c>
    </row>
    <row r="428" spans="1:5" x14ac:dyDescent="0.25">
      <c r="A428" s="8" t="s">
        <v>551</v>
      </c>
      <c r="B428" s="8" t="s">
        <v>1368</v>
      </c>
      <c r="C428" s="8" t="s">
        <v>180</v>
      </c>
      <c r="D428" s="8" t="s">
        <v>181</v>
      </c>
      <c r="E428" s="8" t="s">
        <v>37</v>
      </c>
    </row>
    <row r="429" spans="1:5" x14ac:dyDescent="0.25">
      <c r="A429" s="8" t="s">
        <v>105</v>
      </c>
      <c r="B429" s="8" t="s">
        <v>212</v>
      </c>
      <c r="C429" s="8" t="s">
        <v>180</v>
      </c>
      <c r="D429" s="8" t="s">
        <v>181</v>
      </c>
      <c r="E429" s="8" t="s">
        <v>37</v>
      </c>
    </row>
    <row r="430" spans="1:5" x14ac:dyDescent="0.25">
      <c r="A430" s="8" t="s">
        <v>552</v>
      </c>
      <c r="B430" s="8" t="s">
        <v>1369</v>
      </c>
      <c r="C430" s="8" t="s">
        <v>977</v>
      </c>
      <c r="D430" s="8" t="s">
        <v>181</v>
      </c>
      <c r="E430" s="8" t="s">
        <v>37</v>
      </c>
    </row>
    <row r="431" spans="1:5" x14ac:dyDescent="0.25">
      <c r="A431" s="8" t="s">
        <v>1370</v>
      </c>
      <c r="B431" s="8" t="s">
        <v>1371</v>
      </c>
      <c r="C431" s="8" t="s">
        <v>180</v>
      </c>
      <c r="D431" s="8" t="s">
        <v>181</v>
      </c>
      <c r="E431" s="8" t="s">
        <v>37</v>
      </c>
    </row>
    <row r="432" spans="1:5" x14ac:dyDescent="0.25">
      <c r="A432" s="8" t="s">
        <v>1372</v>
      </c>
      <c r="B432" s="8" t="s">
        <v>1373</v>
      </c>
      <c r="C432" s="8" t="s">
        <v>180</v>
      </c>
      <c r="D432" s="8" t="s">
        <v>181</v>
      </c>
      <c r="E432" s="8" t="s">
        <v>37</v>
      </c>
    </row>
    <row r="433" spans="1:5" x14ac:dyDescent="0.25">
      <c r="A433" s="8" t="s">
        <v>553</v>
      </c>
      <c r="B433" s="8" t="s">
        <v>1373</v>
      </c>
      <c r="C433" s="8" t="s">
        <v>180</v>
      </c>
      <c r="D433" s="8" t="s">
        <v>181</v>
      </c>
      <c r="E433" s="8" t="s">
        <v>37</v>
      </c>
    </row>
    <row r="434" spans="1:5" ht="30" x14ac:dyDescent="0.25">
      <c r="A434" s="8" t="s">
        <v>554</v>
      </c>
      <c r="B434" s="11" t="s">
        <v>1374</v>
      </c>
      <c r="C434" s="8" t="s">
        <v>180</v>
      </c>
      <c r="D434" s="8" t="s">
        <v>181</v>
      </c>
      <c r="E434" s="8" t="s">
        <v>37</v>
      </c>
    </row>
    <row r="435" spans="1:5" x14ac:dyDescent="0.25">
      <c r="A435" s="8" t="s">
        <v>1375</v>
      </c>
      <c r="B435" s="8" t="s">
        <v>1376</v>
      </c>
      <c r="C435" s="8" t="s">
        <v>180</v>
      </c>
      <c r="D435" s="8" t="s">
        <v>181</v>
      </c>
      <c r="E435" s="8" t="s">
        <v>38</v>
      </c>
    </row>
    <row r="436" spans="1:5" ht="30" x14ac:dyDescent="0.25">
      <c r="A436" s="8" t="s">
        <v>555</v>
      </c>
      <c r="B436" s="11" t="s">
        <v>1377</v>
      </c>
      <c r="C436" s="8" t="s">
        <v>180</v>
      </c>
      <c r="D436" s="8" t="s">
        <v>181</v>
      </c>
      <c r="E436" s="8" t="s">
        <v>38</v>
      </c>
    </row>
    <row r="437" spans="1:5" x14ac:dyDescent="0.25">
      <c r="A437" s="8" t="s">
        <v>556</v>
      </c>
      <c r="B437" s="8" t="s">
        <v>1378</v>
      </c>
      <c r="C437" s="8" t="s">
        <v>180</v>
      </c>
      <c r="D437" s="8" t="s">
        <v>181</v>
      </c>
      <c r="E437" s="8" t="s">
        <v>38</v>
      </c>
    </row>
    <row r="438" spans="1:5" x14ac:dyDescent="0.25">
      <c r="A438" s="8" t="s">
        <v>557</v>
      </c>
      <c r="B438" s="8" t="s">
        <v>1379</v>
      </c>
      <c r="C438" s="8" t="s">
        <v>180</v>
      </c>
      <c r="D438" s="8" t="s">
        <v>181</v>
      </c>
      <c r="E438" s="8" t="s">
        <v>38</v>
      </c>
    </row>
    <row r="439" spans="1:5" x14ac:dyDescent="0.25">
      <c r="A439" s="8" t="s">
        <v>558</v>
      </c>
      <c r="B439" s="8" t="s">
        <v>1380</v>
      </c>
      <c r="C439" s="8" t="s">
        <v>180</v>
      </c>
      <c r="D439" s="8" t="s">
        <v>181</v>
      </c>
      <c r="E439" s="8" t="s">
        <v>38</v>
      </c>
    </row>
    <row r="440" spans="1:5" x14ac:dyDescent="0.25">
      <c r="A440" s="8" t="s">
        <v>559</v>
      </c>
      <c r="B440" s="8" t="s">
        <v>1381</v>
      </c>
      <c r="C440" s="8" t="s">
        <v>180</v>
      </c>
      <c r="D440" s="8" t="s">
        <v>181</v>
      </c>
      <c r="E440" s="8" t="s">
        <v>38</v>
      </c>
    </row>
    <row r="441" spans="1:5" x14ac:dyDescent="0.25">
      <c r="A441" s="8" t="s">
        <v>560</v>
      </c>
      <c r="B441" s="8" t="s">
        <v>1382</v>
      </c>
      <c r="C441" s="8" t="s">
        <v>180</v>
      </c>
      <c r="D441" s="8" t="s">
        <v>181</v>
      </c>
      <c r="E441" s="8" t="s">
        <v>38</v>
      </c>
    </row>
    <row r="442" spans="1:5" x14ac:dyDescent="0.25">
      <c r="A442" s="8" t="s">
        <v>1383</v>
      </c>
      <c r="B442" s="8" t="s">
        <v>1384</v>
      </c>
      <c r="C442" s="8" t="s">
        <v>180</v>
      </c>
      <c r="D442" s="8" t="s">
        <v>181</v>
      </c>
      <c r="E442" s="8" t="s">
        <v>38</v>
      </c>
    </row>
    <row r="443" spans="1:5" x14ac:dyDescent="0.25">
      <c r="A443" s="8" t="s">
        <v>1385</v>
      </c>
      <c r="B443" s="8" t="s">
        <v>1386</v>
      </c>
      <c r="C443" s="8" t="s">
        <v>180</v>
      </c>
      <c r="D443" s="8" t="s">
        <v>181</v>
      </c>
      <c r="E443" s="8" t="s">
        <v>38</v>
      </c>
    </row>
    <row r="444" spans="1:5" x14ac:dyDescent="0.25">
      <c r="A444" s="8" t="s">
        <v>561</v>
      </c>
      <c r="B444" s="8" t="s">
        <v>1382</v>
      </c>
      <c r="C444" s="8" t="s">
        <v>180</v>
      </c>
      <c r="D444" s="8" t="s">
        <v>181</v>
      </c>
      <c r="E444" s="8" t="s">
        <v>38</v>
      </c>
    </row>
    <row r="445" spans="1:5" x14ac:dyDescent="0.25">
      <c r="A445" s="8" t="s">
        <v>562</v>
      </c>
      <c r="B445" s="8" t="s">
        <v>1384</v>
      </c>
      <c r="C445" s="8" t="s">
        <v>180</v>
      </c>
      <c r="D445" s="8" t="s">
        <v>181</v>
      </c>
      <c r="E445" s="8" t="s">
        <v>38</v>
      </c>
    </row>
    <row r="446" spans="1:5" x14ac:dyDescent="0.25">
      <c r="A446" s="8" t="s">
        <v>563</v>
      </c>
      <c r="B446" s="8" t="s">
        <v>1386</v>
      </c>
      <c r="C446" s="8" t="s">
        <v>180</v>
      </c>
      <c r="D446" s="8" t="s">
        <v>181</v>
      </c>
      <c r="E446" s="8" t="s">
        <v>38</v>
      </c>
    </row>
    <row r="447" spans="1:5" x14ac:dyDescent="0.25">
      <c r="A447" s="8" t="s">
        <v>1387</v>
      </c>
      <c r="B447" s="8" t="s">
        <v>1388</v>
      </c>
      <c r="C447" s="8" t="s">
        <v>180</v>
      </c>
      <c r="D447" s="8" t="s">
        <v>181</v>
      </c>
      <c r="E447" s="8" t="s">
        <v>38</v>
      </c>
    </row>
    <row r="448" spans="1:5" x14ac:dyDescent="0.25">
      <c r="A448" s="8" t="s">
        <v>1389</v>
      </c>
      <c r="B448" s="8" t="s">
        <v>1390</v>
      </c>
      <c r="C448" s="8" t="s">
        <v>180</v>
      </c>
      <c r="D448" s="8" t="s">
        <v>181</v>
      </c>
      <c r="E448" s="8" t="s">
        <v>38</v>
      </c>
    </row>
    <row r="449" spans="1:5" x14ac:dyDescent="0.25">
      <c r="A449" s="8" t="s">
        <v>1391</v>
      </c>
      <c r="B449" s="8" t="s">
        <v>1392</v>
      </c>
      <c r="C449" s="8" t="s">
        <v>180</v>
      </c>
      <c r="D449" s="8" t="s">
        <v>181</v>
      </c>
      <c r="E449" s="8" t="s">
        <v>38</v>
      </c>
    </row>
    <row r="450" spans="1:5" x14ac:dyDescent="0.25">
      <c r="A450" s="8" t="s">
        <v>1393</v>
      </c>
      <c r="B450" s="8" t="s">
        <v>1388</v>
      </c>
      <c r="C450" s="8" t="s">
        <v>180</v>
      </c>
      <c r="D450" s="8" t="s">
        <v>181</v>
      </c>
      <c r="E450" s="8" t="s">
        <v>38</v>
      </c>
    </row>
    <row r="451" spans="1:5" x14ac:dyDescent="0.25">
      <c r="A451" s="8" t="s">
        <v>1394</v>
      </c>
      <c r="B451" s="8" t="s">
        <v>1390</v>
      </c>
      <c r="C451" s="8" t="s">
        <v>180</v>
      </c>
      <c r="D451" s="8" t="s">
        <v>181</v>
      </c>
      <c r="E451" s="8" t="s">
        <v>38</v>
      </c>
    </row>
    <row r="452" spans="1:5" x14ac:dyDescent="0.25">
      <c r="A452" s="8" t="s">
        <v>1395</v>
      </c>
      <c r="B452" s="8" t="s">
        <v>1392</v>
      </c>
      <c r="C452" s="8" t="s">
        <v>180</v>
      </c>
      <c r="D452" s="8" t="s">
        <v>181</v>
      </c>
      <c r="E452" s="8" t="s">
        <v>38</v>
      </c>
    </row>
    <row r="453" spans="1:5" x14ac:dyDescent="0.25">
      <c r="A453" s="8" t="s">
        <v>1396</v>
      </c>
      <c r="B453" s="8" t="s">
        <v>1397</v>
      </c>
      <c r="C453" s="8" t="s">
        <v>180</v>
      </c>
      <c r="D453" s="8" t="s">
        <v>181</v>
      </c>
      <c r="E453" s="8" t="s">
        <v>38</v>
      </c>
    </row>
    <row r="454" spans="1:5" x14ac:dyDescent="0.25">
      <c r="A454" s="8" t="s">
        <v>213</v>
      </c>
      <c r="B454" s="8" t="s">
        <v>213</v>
      </c>
      <c r="C454" s="8" t="s">
        <v>183</v>
      </c>
      <c r="D454" s="8" t="s">
        <v>181</v>
      </c>
      <c r="E454" s="8" t="s">
        <v>37</v>
      </c>
    </row>
    <row r="455" spans="1:5" x14ac:dyDescent="0.25">
      <c r="A455" s="8" t="s">
        <v>214</v>
      </c>
      <c r="B455" s="8" t="s">
        <v>214</v>
      </c>
      <c r="C455" s="8" t="s">
        <v>183</v>
      </c>
      <c r="D455" s="8" t="s">
        <v>181</v>
      </c>
      <c r="E455" s="8" t="s">
        <v>37</v>
      </c>
    </row>
    <row r="456" spans="1:5" x14ac:dyDescent="0.25">
      <c r="A456" s="8" t="s">
        <v>215</v>
      </c>
      <c r="B456" s="8" t="s">
        <v>215</v>
      </c>
      <c r="C456" s="8" t="s">
        <v>183</v>
      </c>
      <c r="D456" s="8" t="s">
        <v>181</v>
      </c>
      <c r="E456" s="8" t="s">
        <v>37</v>
      </c>
    </row>
    <row r="457" spans="1:5" x14ac:dyDescent="0.25">
      <c r="A457" s="8" t="s">
        <v>216</v>
      </c>
      <c r="B457" s="8" t="s">
        <v>216</v>
      </c>
      <c r="C457" s="8" t="s">
        <v>183</v>
      </c>
      <c r="D457" s="8" t="s">
        <v>181</v>
      </c>
      <c r="E457" s="8" t="s">
        <v>37</v>
      </c>
    </row>
    <row r="458" spans="1:5" x14ac:dyDescent="0.25">
      <c r="A458" s="8" t="s">
        <v>217</v>
      </c>
      <c r="B458" s="8" t="s">
        <v>217</v>
      </c>
      <c r="C458" s="8" t="s">
        <v>183</v>
      </c>
      <c r="D458" s="8" t="s">
        <v>181</v>
      </c>
      <c r="E458" s="8" t="s">
        <v>37</v>
      </c>
    </row>
    <row r="459" spans="1:5" x14ac:dyDescent="0.25">
      <c r="A459" s="8" t="s">
        <v>218</v>
      </c>
      <c r="B459" s="8" t="s">
        <v>218</v>
      </c>
      <c r="C459" s="8" t="s">
        <v>183</v>
      </c>
      <c r="D459" s="8" t="s">
        <v>181</v>
      </c>
      <c r="E459" s="8" t="s">
        <v>37</v>
      </c>
    </row>
    <row r="460" spans="1:5" x14ac:dyDescent="0.25">
      <c r="A460" s="8" t="s">
        <v>219</v>
      </c>
      <c r="B460" s="8" t="s">
        <v>219</v>
      </c>
      <c r="C460" s="8" t="s">
        <v>183</v>
      </c>
      <c r="D460" s="8" t="s">
        <v>181</v>
      </c>
      <c r="E460" s="8" t="s">
        <v>37</v>
      </c>
    </row>
    <row r="461" spans="1:5" x14ac:dyDescent="0.25">
      <c r="A461" s="8" t="s">
        <v>220</v>
      </c>
      <c r="B461" s="8" t="s">
        <v>220</v>
      </c>
      <c r="C461" s="8" t="s">
        <v>183</v>
      </c>
      <c r="D461" s="8" t="s">
        <v>181</v>
      </c>
      <c r="E461" s="8" t="s">
        <v>37</v>
      </c>
    </row>
    <row r="462" spans="1:5" x14ac:dyDescent="0.25">
      <c r="A462" s="8" t="s">
        <v>69</v>
      </c>
      <c r="B462" s="8" t="s">
        <v>69</v>
      </c>
      <c r="C462" s="8" t="s">
        <v>183</v>
      </c>
      <c r="D462" s="8" t="s">
        <v>181</v>
      </c>
      <c r="E462" s="8" t="s">
        <v>37</v>
      </c>
    </row>
    <row r="463" spans="1:5" x14ac:dyDescent="0.25">
      <c r="A463" s="8" t="s">
        <v>221</v>
      </c>
      <c r="B463" s="8" t="s">
        <v>221</v>
      </c>
      <c r="C463" s="8" t="s">
        <v>183</v>
      </c>
      <c r="D463" s="8" t="s">
        <v>181</v>
      </c>
      <c r="E463" s="8" t="s">
        <v>37</v>
      </c>
    </row>
    <row r="464" spans="1:5" x14ac:dyDescent="0.25">
      <c r="A464" s="8" t="s">
        <v>564</v>
      </c>
      <c r="B464" s="8" t="s">
        <v>1398</v>
      </c>
      <c r="C464" s="8" t="s">
        <v>183</v>
      </c>
      <c r="D464" s="8" t="s">
        <v>181</v>
      </c>
      <c r="E464" s="8" t="s">
        <v>1033</v>
      </c>
    </row>
    <row r="465" spans="1:5" x14ac:dyDescent="0.25">
      <c r="A465" s="8" t="s">
        <v>565</v>
      </c>
      <c r="B465" s="8" t="s">
        <v>1399</v>
      </c>
      <c r="C465" s="8" t="s">
        <v>183</v>
      </c>
      <c r="D465" s="8" t="s">
        <v>181</v>
      </c>
      <c r="E465" s="8" t="s">
        <v>37</v>
      </c>
    </row>
    <row r="466" spans="1:5" x14ac:dyDescent="0.25">
      <c r="A466" s="8" t="s">
        <v>566</v>
      </c>
      <c r="B466" s="8" t="s">
        <v>1400</v>
      </c>
      <c r="C466" s="8" t="s">
        <v>183</v>
      </c>
      <c r="D466" s="8" t="s">
        <v>181</v>
      </c>
      <c r="E466" s="8" t="s">
        <v>37</v>
      </c>
    </row>
    <row r="467" spans="1:5" x14ac:dyDescent="0.25">
      <c r="A467" s="8" t="s">
        <v>567</v>
      </c>
      <c r="B467" s="8" t="s">
        <v>1401</v>
      </c>
      <c r="C467" s="8" t="s">
        <v>183</v>
      </c>
      <c r="D467" s="8" t="s">
        <v>181</v>
      </c>
      <c r="E467" s="8" t="s">
        <v>37</v>
      </c>
    </row>
    <row r="468" spans="1:5" x14ac:dyDescent="0.25">
      <c r="A468" s="8" t="s">
        <v>568</v>
      </c>
      <c r="B468" s="8" t="s">
        <v>1402</v>
      </c>
      <c r="C468" s="8" t="s">
        <v>183</v>
      </c>
      <c r="D468" s="8" t="s">
        <v>181</v>
      </c>
      <c r="E468" s="8" t="s">
        <v>1033</v>
      </c>
    </row>
    <row r="469" spans="1:5" x14ac:dyDescent="0.25">
      <c r="A469" s="8" t="s">
        <v>569</v>
      </c>
      <c r="B469" s="8" t="s">
        <v>1403</v>
      </c>
      <c r="C469" s="8" t="s">
        <v>183</v>
      </c>
      <c r="D469" s="8" t="s">
        <v>181</v>
      </c>
      <c r="E469" s="8" t="s">
        <v>1033</v>
      </c>
    </row>
    <row r="470" spans="1:5" x14ac:dyDescent="0.25">
      <c r="A470" s="8" t="s">
        <v>570</v>
      </c>
      <c r="B470" s="8" t="s">
        <v>1404</v>
      </c>
      <c r="C470" s="8" t="s">
        <v>183</v>
      </c>
      <c r="D470" s="8" t="s">
        <v>181</v>
      </c>
      <c r="E470" s="8" t="s">
        <v>1033</v>
      </c>
    </row>
    <row r="471" spans="1:5" x14ac:dyDescent="0.25">
      <c r="A471" s="8" t="s">
        <v>1405</v>
      </c>
      <c r="B471" s="8" t="s">
        <v>1406</v>
      </c>
      <c r="C471" s="8" t="s">
        <v>183</v>
      </c>
      <c r="D471" s="8" t="s">
        <v>181</v>
      </c>
      <c r="E471" s="8" t="s">
        <v>37</v>
      </c>
    </row>
    <row r="472" spans="1:5" x14ac:dyDescent="0.25">
      <c r="A472" s="8" t="s">
        <v>571</v>
      </c>
      <c r="B472" s="8" t="s">
        <v>1407</v>
      </c>
      <c r="C472" s="8" t="s">
        <v>183</v>
      </c>
      <c r="D472" s="8" t="s">
        <v>181</v>
      </c>
      <c r="E472" s="8" t="s">
        <v>37</v>
      </c>
    </row>
    <row r="473" spans="1:5" x14ac:dyDescent="0.25">
      <c r="A473" s="8" t="s">
        <v>572</v>
      </c>
      <c r="B473" s="8" t="s">
        <v>1408</v>
      </c>
      <c r="C473" s="8" t="s">
        <v>183</v>
      </c>
      <c r="D473" s="8" t="s">
        <v>181</v>
      </c>
      <c r="E473" s="8" t="s">
        <v>37</v>
      </c>
    </row>
    <row r="474" spans="1:5" x14ac:dyDescent="0.25">
      <c r="A474" s="8" t="s">
        <v>573</v>
      </c>
      <c r="B474" s="8" t="s">
        <v>1409</v>
      </c>
      <c r="C474" s="8" t="s">
        <v>183</v>
      </c>
      <c r="D474" s="8" t="s">
        <v>181</v>
      </c>
      <c r="E474" s="8" t="s">
        <v>37</v>
      </c>
    </row>
    <row r="475" spans="1:5" x14ac:dyDescent="0.25">
      <c r="A475" s="8" t="s">
        <v>574</v>
      </c>
      <c r="B475" s="8" t="s">
        <v>1410</v>
      </c>
      <c r="C475" s="8" t="s">
        <v>183</v>
      </c>
      <c r="D475" s="8" t="s">
        <v>181</v>
      </c>
      <c r="E475" s="8" t="s">
        <v>37</v>
      </c>
    </row>
    <row r="476" spans="1:5" x14ac:dyDescent="0.25">
      <c r="A476" s="8" t="s">
        <v>575</v>
      </c>
      <c r="B476" s="8" t="s">
        <v>1411</v>
      </c>
      <c r="C476" s="8" t="s">
        <v>183</v>
      </c>
      <c r="D476" s="8" t="s">
        <v>181</v>
      </c>
      <c r="E476" s="8" t="s">
        <v>37</v>
      </c>
    </row>
    <row r="477" spans="1:5" x14ac:dyDescent="0.25">
      <c r="A477" s="8" t="s">
        <v>576</v>
      </c>
      <c r="B477" s="8" t="s">
        <v>1412</v>
      </c>
      <c r="C477" s="8" t="s">
        <v>183</v>
      </c>
      <c r="D477" s="8" t="s">
        <v>181</v>
      </c>
      <c r="E477" s="8" t="s">
        <v>37</v>
      </c>
    </row>
    <row r="478" spans="1:5" x14ac:dyDescent="0.25">
      <c r="A478" s="8" t="s">
        <v>577</v>
      </c>
      <c r="B478" s="8" t="s">
        <v>1413</v>
      </c>
      <c r="C478" s="8" t="s">
        <v>183</v>
      </c>
      <c r="D478" s="8" t="s">
        <v>181</v>
      </c>
      <c r="E478" s="8" t="s">
        <v>37</v>
      </c>
    </row>
    <row r="479" spans="1:5" x14ac:dyDescent="0.25">
      <c r="A479" s="8" t="s">
        <v>578</v>
      </c>
      <c r="B479" s="8" t="s">
        <v>1414</v>
      </c>
      <c r="C479" s="8" t="s">
        <v>183</v>
      </c>
      <c r="D479" s="8" t="s">
        <v>181</v>
      </c>
      <c r="E479" s="8" t="s">
        <v>37</v>
      </c>
    </row>
    <row r="480" spans="1:5" ht="30" x14ac:dyDescent="0.25">
      <c r="A480" s="8" t="s">
        <v>579</v>
      </c>
      <c r="B480" s="11" t="s">
        <v>1415</v>
      </c>
      <c r="C480" s="8" t="s">
        <v>183</v>
      </c>
      <c r="D480" s="8" t="s">
        <v>181</v>
      </c>
      <c r="E480" s="8" t="s">
        <v>37</v>
      </c>
    </row>
    <row r="481" spans="1:5" x14ac:dyDescent="0.25">
      <c r="A481" s="8" t="s">
        <v>580</v>
      </c>
      <c r="B481" s="8" t="s">
        <v>1416</v>
      </c>
      <c r="C481" s="8" t="s">
        <v>183</v>
      </c>
      <c r="D481" s="8" t="s">
        <v>181</v>
      </c>
      <c r="E481" s="8" t="s">
        <v>37</v>
      </c>
    </row>
    <row r="482" spans="1:5" x14ac:dyDescent="0.25">
      <c r="A482" s="8" t="s">
        <v>581</v>
      </c>
      <c r="B482" s="8" t="s">
        <v>1417</v>
      </c>
      <c r="C482" s="8" t="s">
        <v>183</v>
      </c>
      <c r="D482" s="8" t="s">
        <v>181</v>
      </c>
      <c r="E482" s="8" t="s">
        <v>1033</v>
      </c>
    </row>
    <row r="483" spans="1:5" x14ac:dyDescent="0.25">
      <c r="A483" s="8" t="s">
        <v>582</v>
      </c>
      <c r="B483" s="8" t="s">
        <v>1418</v>
      </c>
      <c r="C483" s="8" t="s">
        <v>183</v>
      </c>
      <c r="D483" s="8" t="s">
        <v>181</v>
      </c>
      <c r="E483" s="8" t="s">
        <v>1033</v>
      </c>
    </row>
    <row r="484" spans="1:5" x14ac:dyDescent="0.25">
      <c r="A484" s="8" t="s">
        <v>583</v>
      </c>
      <c r="B484" s="8" t="s">
        <v>1419</v>
      </c>
      <c r="C484" s="8" t="s">
        <v>183</v>
      </c>
      <c r="D484" s="8" t="s">
        <v>181</v>
      </c>
      <c r="E484" s="8" t="s">
        <v>1033</v>
      </c>
    </row>
    <row r="485" spans="1:5" x14ac:dyDescent="0.25">
      <c r="A485" s="8" t="s">
        <v>584</v>
      </c>
      <c r="B485" s="8" t="s">
        <v>1420</v>
      </c>
      <c r="C485" s="8" t="s">
        <v>183</v>
      </c>
      <c r="D485" s="8" t="s">
        <v>181</v>
      </c>
      <c r="E485" s="8" t="s">
        <v>1033</v>
      </c>
    </row>
    <row r="486" spans="1:5" x14ac:dyDescent="0.25">
      <c r="A486" s="8" t="s">
        <v>585</v>
      </c>
      <c r="B486" s="8" t="s">
        <v>1421</v>
      </c>
      <c r="C486" s="8" t="s">
        <v>183</v>
      </c>
      <c r="D486" s="8" t="s">
        <v>181</v>
      </c>
      <c r="E486" s="8" t="s">
        <v>37</v>
      </c>
    </row>
    <row r="487" spans="1:5" x14ac:dyDescent="0.25">
      <c r="A487" s="8" t="s">
        <v>1422</v>
      </c>
      <c r="B487" s="8" t="s">
        <v>1423</v>
      </c>
      <c r="C487" s="8" t="s">
        <v>183</v>
      </c>
      <c r="D487" s="8" t="s">
        <v>181</v>
      </c>
      <c r="E487" s="8" t="s">
        <v>37</v>
      </c>
    </row>
    <row r="488" spans="1:5" x14ac:dyDescent="0.25">
      <c r="A488" s="8" t="s">
        <v>586</v>
      </c>
      <c r="B488" s="8" t="s">
        <v>1426</v>
      </c>
      <c r="C488" s="8" t="s">
        <v>183</v>
      </c>
      <c r="D488" s="8" t="s">
        <v>181</v>
      </c>
      <c r="E488" s="8" t="s">
        <v>37</v>
      </c>
    </row>
    <row r="489" spans="1:5" x14ac:dyDescent="0.25">
      <c r="A489" s="8" t="s">
        <v>587</v>
      </c>
      <c r="B489" s="8" t="s">
        <v>1427</v>
      </c>
      <c r="C489" s="8" t="s">
        <v>183</v>
      </c>
      <c r="D489" s="8" t="s">
        <v>181</v>
      </c>
      <c r="E489" s="8" t="s">
        <v>37</v>
      </c>
    </row>
    <row r="490" spans="1:5" x14ac:dyDescent="0.25">
      <c r="A490" s="8" t="s">
        <v>588</v>
      </c>
      <c r="B490" s="8" t="s">
        <v>1428</v>
      </c>
      <c r="C490" s="8" t="s">
        <v>183</v>
      </c>
      <c r="D490" s="8" t="s">
        <v>181</v>
      </c>
      <c r="E490" s="8" t="s">
        <v>37</v>
      </c>
    </row>
    <row r="491" spans="1:5" x14ac:dyDescent="0.25">
      <c r="A491" s="8" t="s">
        <v>1429</v>
      </c>
      <c r="B491" s="8" t="s">
        <v>1430</v>
      </c>
      <c r="C491" s="8" t="s">
        <v>183</v>
      </c>
      <c r="D491" s="8" t="s">
        <v>181</v>
      </c>
      <c r="E491" s="8" t="s">
        <v>37</v>
      </c>
    </row>
    <row r="492" spans="1:5" x14ac:dyDescent="0.25">
      <c r="A492" s="8" t="s">
        <v>589</v>
      </c>
      <c r="B492" s="8" t="s">
        <v>1431</v>
      </c>
      <c r="C492" s="8" t="s">
        <v>183</v>
      </c>
      <c r="D492" s="8" t="s">
        <v>181</v>
      </c>
      <c r="E492" s="8" t="s">
        <v>37</v>
      </c>
    </row>
    <row r="493" spans="1:5" x14ac:dyDescent="0.25">
      <c r="A493" s="8" t="s">
        <v>590</v>
      </c>
      <c r="B493" s="8" t="s">
        <v>1432</v>
      </c>
      <c r="C493" s="8" t="s">
        <v>183</v>
      </c>
      <c r="D493" s="8" t="s">
        <v>181</v>
      </c>
      <c r="E493" s="8" t="s">
        <v>37</v>
      </c>
    </row>
    <row r="494" spans="1:5" x14ac:dyDescent="0.25">
      <c r="A494" s="8" t="s">
        <v>591</v>
      </c>
      <c r="B494" s="8" t="s">
        <v>1433</v>
      </c>
      <c r="C494" s="8" t="s">
        <v>183</v>
      </c>
      <c r="D494" s="8" t="s">
        <v>181</v>
      </c>
      <c r="E494" s="8" t="s">
        <v>37</v>
      </c>
    </row>
    <row r="495" spans="1:5" x14ac:dyDescent="0.25">
      <c r="A495" s="8" t="s">
        <v>592</v>
      </c>
      <c r="B495" s="8" t="s">
        <v>1434</v>
      </c>
      <c r="C495" s="8" t="s">
        <v>183</v>
      </c>
      <c r="D495" s="8" t="s">
        <v>181</v>
      </c>
      <c r="E495" s="8" t="s">
        <v>37</v>
      </c>
    </row>
    <row r="496" spans="1:5" x14ac:dyDescent="0.25">
      <c r="A496" s="8" t="s">
        <v>593</v>
      </c>
      <c r="B496" s="8" t="s">
        <v>1435</v>
      </c>
      <c r="C496" s="8" t="s">
        <v>183</v>
      </c>
      <c r="D496" s="8" t="s">
        <v>181</v>
      </c>
      <c r="E496" s="8" t="s">
        <v>37</v>
      </c>
    </row>
    <row r="497" spans="1:5" x14ac:dyDescent="0.25">
      <c r="A497" s="8" t="s">
        <v>594</v>
      </c>
      <c r="B497" s="8" t="s">
        <v>1436</v>
      </c>
      <c r="C497" s="8" t="s">
        <v>183</v>
      </c>
      <c r="D497" s="8" t="s">
        <v>181</v>
      </c>
      <c r="E497" s="8" t="s">
        <v>37</v>
      </c>
    </row>
    <row r="498" spans="1:5" x14ac:dyDescent="0.25">
      <c r="A498" s="8" t="s">
        <v>1437</v>
      </c>
      <c r="B498" s="8" t="s">
        <v>1438</v>
      </c>
      <c r="C498" s="8" t="s">
        <v>183</v>
      </c>
      <c r="D498" s="8" t="s">
        <v>181</v>
      </c>
      <c r="E498" s="8" t="s">
        <v>37</v>
      </c>
    </row>
    <row r="499" spans="1:5" x14ac:dyDescent="0.25">
      <c r="A499" s="8" t="s">
        <v>595</v>
      </c>
      <c r="B499" s="8" t="s">
        <v>1439</v>
      </c>
      <c r="C499" s="8" t="s">
        <v>183</v>
      </c>
      <c r="D499" s="8" t="s">
        <v>181</v>
      </c>
      <c r="E499" s="8" t="s">
        <v>38</v>
      </c>
    </row>
    <row r="500" spans="1:5" x14ac:dyDescent="0.25">
      <c r="A500" s="8" t="s">
        <v>596</v>
      </c>
      <c r="B500" s="8" t="s">
        <v>1440</v>
      </c>
      <c r="C500" s="8" t="s">
        <v>183</v>
      </c>
      <c r="D500" s="8" t="s">
        <v>181</v>
      </c>
      <c r="E500" s="8" t="s">
        <v>38</v>
      </c>
    </row>
    <row r="501" spans="1:5" x14ac:dyDescent="0.25">
      <c r="A501" s="8" t="s">
        <v>597</v>
      </c>
      <c r="B501" s="8" t="s">
        <v>1441</v>
      </c>
      <c r="C501" s="8" t="s">
        <v>183</v>
      </c>
      <c r="D501" s="8" t="s">
        <v>181</v>
      </c>
      <c r="E501" s="8" t="s">
        <v>38</v>
      </c>
    </row>
    <row r="502" spans="1:5" x14ac:dyDescent="0.25">
      <c r="A502" s="8" t="s">
        <v>598</v>
      </c>
      <c r="B502" s="8" t="s">
        <v>1444</v>
      </c>
      <c r="C502" s="8" t="s">
        <v>183</v>
      </c>
      <c r="D502" s="8" t="s">
        <v>181</v>
      </c>
      <c r="E502" s="8" t="s">
        <v>1033</v>
      </c>
    </row>
    <row r="503" spans="1:5" x14ac:dyDescent="0.25">
      <c r="A503" s="8" t="s">
        <v>599</v>
      </c>
      <c r="B503" s="8" t="s">
        <v>1445</v>
      </c>
      <c r="C503" s="8" t="s">
        <v>183</v>
      </c>
      <c r="D503" s="8" t="s">
        <v>181</v>
      </c>
      <c r="E503" s="8" t="s">
        <v>1033</v>
      </c>
    </row>
    <row r="504" spans="1:5" x14ac:dyDescent="0.25">
      <c r="A504" s="8" t="s">
        <v>600</v>
      </c>
      <c r="B504" s="8" t="s">
        <v>1446</v>
      </c>
      <c r="C504" s="8" t="s">
        <v>183</v>
      </c>
      <c r="D504" s="8" t="s">
        <v>181</v>
      </c>
      <c r="E504" s="8" t="s">
        <v>1033</v>
      </c>
    </row>
    <row r="505" spans="1:5" x14ac:dyDescent="0.25">
      <c r="A505" s="8" t="s">
        <v>601</v>
      </c>
      <c r="B505" s="8" t="s">
        <v>1447</v>
      </c>
      <c r="C505" s="8" t="s">
        <v>183</v>
      </c>
      <c r="D505" s="8" t="s">
        <v>181</v>
      </c>
      <c r="E505" s="8" t="s">
        <v>1033</v>
      </c>
    </row>
    <row r="506" spans="1:5" x14ac:dyDescent="0.25">
      <c r="A506" s="8" t="s">
        <v>602</v>
      </c>
      <c r="B506" s="8" t="s">
        <v>1448</v>
      </c>
      <c r="C506" s="8" t="s">
        <v>183</v>
      </c>
      <c r="D506" s="8" t="s">
        <v>181</v>
      </c>
      <c r="E506" s="8" t="s">
        <v>1033</v>
      </c>
    </row>
    <row r="507" spans="1:5" x14ac:dyDescent="0.25">
      <c r="A507" s="8" t="s">
        <v>603</v>
      </c>
      <c r="B507" s="8" t="s">
        <v>1449</v>
      </c>
      <c r="C507" s="8" t="s">
        <v>183</v>
      </c>
      <c r="D507" s="8" t="s">
        <v>181</v>
      </c>
      <c r="E507" s="8" t="s">
        <v>1033</v>
      </c>
    </row>
    <row r="508" spans="1:5" x14ac:dyDescent="0.25">
      <c r="A508" s="8" t="s">
        <v>604</v>
      </c>
      <c r="B508" s="8" t="s">
        <v>1450</v>
      </c>
      <c r="C508" s="8" t="s">
        <v>183</v>
      </c>
      <c r="D508" s="8" t="s">
        <v>181</v>
      </c>
      <c r="E508" s="8" t="s">
        <v>1033</v>
      </c>
    </row>
    <row r="509" spans="1:5" x14ac:dyDescent="0.25">
      <c r="A509" s="8" t="s">
        <v>605</v>
      </c>
      <c r="B509" s="8" t="s">
        <v>1451</v>
      </c>
      <c r="C509" s="8" t="s">
        <v>183</v>
      </c>
      <c r="D509" s="8" t="s">
        <v>181</v>
      </c>
      <c r="E509" s="8" t="s">
        <v>1033</v>
      </c>
    </row>
    <row r="510" spans="1:5" x14ac:dyDescent="0.25">
      <c r="A510" s="8" t="s">
        <v>606</v>
      </c>
      <c r="B510" s="8" t="s">
        <v>1452</v>
      </c>
      <c r="C510" s="8" t="s">
        <v>183</v>
      </c>
      <c r="D510" s="8" t="s">
        <v>181</v>
      </c>
      <c r="E510" s="8" t="s">
        <v>1033</v>
      </c>
    </row>
    <row r="511" spans="1:5" x14ac:dyDescent="0.25">
      <c r="A511" s="3"/>
      <c r="B511" s="3"/>
      <c r="C511" s="3"/>
      <c r="D511" s="3"/>
      <c r="E511" s="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6"/>
  <sheetViews>
    <sheetView workbookViewId="0">
      <pane ySplit="10" topLeftCell="A59" activePane="bottomLeft" state="frozen"/>
      <selection pane="bottomLeft" activeCell="A73" sqref="A73:A76"/>
    </sheetView>
  </sheetViews>
  <sheetFormatPr defaultRowHeight="15" x14ac:dyDescent="0.25"/>
  <cols>
    <col min="1" max="1" width="11.42578125" bestFit="1" customWidth="1"/>
    <col min="2" max="3" width="26.85546875" bestFit="1" customWidth="1"/>
  </cols>
  <sheetData>
    <row r="1" spans="1:3" x14ac:dyDescent="0.25">
      <c r="A1" t="s">
        <v>167</v>
      </c>
    </row>
    <row r="2" spans="1:3" x14ac:dyDescent="0.25">
      <c r="A2" t="s">
        <v>173</v>
      </c>
      <c r="B2" t="s">
        <v>174</v>
      </c>
    </row>
    <row r="3" spans="1:3" x14ac:dyDescent="0.25">
      <c r="A3" t="s">
        <v>168</v>
      </c>
      <c r="B3" t="s">
        <v>168</v>
      </c>
    </row>
    <row r="4" spans="1:3" x14ac:dyDescent="0.25">
      <c r="A4" t="s">
        <v>169</v>
      </c>
      <c r="B4" t="s">
        <v>169</v>
      </c>
    </row>
    <row r="5" spans="1:3" x14ac:dyDescent="0.25">
      <c r="A5" t="s">
        <v>170</v>
      </c>
      <c r="B5" t="s">
        <v>170</v>
      </c>
    </row>
    <row r="6" spans="1:3" x14ac:dyDescent="0.25">
      <c r="A6" t="s">
        <v>171</v>
      </c>
      <c r="B6" t="s">
        <v>171</v>
      </c>
    </row>
    <row r="7" spans="1:3" x14ac:dyDescent="0.25">
      <c r="A7" t="s">
        <v>226</v>
      </c>
      <c r="B7" t="s">
        <v>226</v>
      </c>
    </row>
    <row r="9" spans="1:3" x14ac:dyDescent="0.25">
      <c r="A9" t="s">
        <v>172</v>
      </c>
    </row>
    <row r="10" spans="1:3" x14ac:dyDescent="0.25">
      <c r="A10" t="s">
        <v>173</v>
      </c>
      <c r="B10" t="s">
        <v>175</v>
      </c>
      <c r="C10" t="s">
        <v>176</v>
      </c>
    </row>
    <row r="11" spans="1:3" x14ac:dyDescent="0.25">
      <c r="A11" t="s">
        <v>168</v>
      </c>
      <c r="B11" t="s">
        <v>6</v>
      </c>
      <c r="C11" t="s">
        <v>6</v>
      </c>
    </row>
    <row r="12" spans="1:3" x14ac:dyDescent="0.25">
      <c r="A12" t="s">
        <v>168</v>
      </c>
      <c r="B12" t="s">
        <v>49</v>
      </c>
      <c r="C12" t="s">
        <v>49</v>
      </c>
    </row>
    <row r="13" spans="1:3" x14ac:dyDescent="0.25">
      <c r="A13" t="s">
        <v>168</v>
      </c>
      <c r="B13" t="s">
        <v>50</v>
      </c>
      <c r="C13" t="s">
        <v>50</v>
      </c>
    </row>
    <row r="14" spans="1:3" x14ac:dyDescent="0.25">
      <c r="A14" t="s">
        <v>168</v>
      </c>
      <c r="B14" t="s">
        <v>82</v>
      </c>
      <c r="C14" t="s">
        <v>82</v>
      </c>
    </row>
    <row r="15" spans="1:3" x14ac:dyDescent="0.25">
      <c r="A15" t="s">
        <v>168</v>
      </c>
      <c r="B15" t="s">
        <v>87</v>
      </c>
      <c r="C15" t="s">
        <v>87</v>
      </c>
    </row>
    <row r="16" spans="1:3" x14ac:dyDescent="0.25">
      <c r="A16" t="s">
        <v>168</v>
      </c>
      <c r="B16" t="s">
        <v>88</v>
      </c>
      <c r="C16" t="s">
        <v>88</v>
      </c>
    </row>
    <row r="17" spans="1:3" x14ac:dyDescent="0.25">
      <c r="A17" t="s">
        <v>168</v>
      </c>
      <c r="B17" t="s">
        <v>83</v>
      </c>
      <c r="C17" t="s">
        <v>83</v>
      </c>
    </row>
    <row r="18" spans="1:3" x14ac:dyDescent="0.25">
      <c r="A18" t="s">
        <v>168</v>
      </c>
      <c r="B18" t="s">
        <v>84</v>
      </c>
      <c r="C18" t="s">
        <v>84</v>
      </c>
    </row>
    <row r="19" spans="1:3" x14ac:dyDescent="0.25">
      <c r="A19" s="12" t="s">
        <v>169</v>
      </c>
      <c r="B19" t="s">
        <v>6</v>
      </c>
      <c r="C19" t="s">
        <v>6</v>
      </c>
    </row>
    <row r="20" spans="1:3" x14ac:dyDescent="0.25">
      <c r="A20" s="12" t="s">
        <v>169</v>
      </c>
      <c r="B20" t="s">
        <v>49</v>
      </c>
      <c r="C20" t="s">
        <v>49</v>
      </c>
    </row>
    <row r="21" spans="1:3" x14ac:dyDescent="0.25">
      <c r="A21" s="12" t="s">
        <v>169</v>
      </c>
      <c r="B21" t="s">
        <v>50</v>
      </c>
      <c r="C21" t="s">
        <v>50</v>
      </c>
    </row>
    <row r="22" spans="1:3" x14ac:dyDescent="0.25">
      <c r="A22" s="12" t="s">
        <v>169</v>
      </c>
      <c r="B22" t="s">
        <v>12</v>
      </c>
      <c r="C22" t="s">
        <v>12</v>
      </c>
    </row>
    <row r="23" spans="1:3" x14ac:dyDescent="0.25">
      <c r="A23" s="12" t="s">
        <v>169</v>
      </c>
      <c r="B23" t="s">
        <v>42</v>
      </c>
      <c r="C23" t="s">
        <v>42</v>
      </c>
    </row>
    <row r="24" spans="1:3" x14ac:dyDescent="0.25">
      <c r="A24" s="12" t="s">
        <v>169</v>
      </c>
      <c r="B24" t="s">
        <v>155</v>
      </c>
      <c r="C24" t="s">
        <v>155</v>
      </c>
    </row>
    <row r="25" spans="1:3" x14ac:dyDescent="0.25">
      <c r="A25" s="12" t="s">
        <v>169</v>
      </c>
      <c r="B25" t="s">
        <v>156</v>
      </c>
      <c r="C25" t="s">
        <v>156</v>
      </c>
    </row>
    <row r="26" spans="1:3" x14ac:dyDescent="0.25">
      <c r="A26" s="12" t="s">
        <v>169</v>
      </c>
      <c r="B26" t="s">
        <v>90</v>
      </c>
      <c r="C26" t="s">
        <v>90</v>
      </c>
    </row>
    <row r="27" spans="1:3" x14ac:dyDescent="0.25">
      <c r="A27" s="12" t="s">
        <v>169</v>
      </c>
      <c r="B27" t="s">
        <v>91</v>
      </c>
      <c r="C27" t="s">
        <v>91</v>
      </c>
    </row>
    <row r="28" spans="1:3" x14ac:dyDescent="0.25">
      <c r="A28" s="12" t="s">
        <v>169</v>
      </c>
      <c r="B28" t="s">
        <v>157</v>
      </c>
      <c r="C28" t="s">
        <v>157</v>
      </c>
    </row>
    <row r="29" spans="1:3" x14ac:dyDescent="0.25">
      <c r="A29" s="12" t="s">
        <v>169</v>
      </c>
      <c r="B29" t="s">
        <v>158</v>
      </c>
      <c r="C29" t="s">
        <v>158</v>
      </c>
    </row>
    <row r="30" spans="1:3" x14ac:dyDescent="0.25">
      <c r="A30" s="12" t="s">
        <v>169</v>
      </c>
      <c r="B30" t="s">
        <v>153</v>
      </c>
      <c r="C30" t="s">
        <v>153</v>
      </c>
    </row>
    <row r="31" spans="1:3" x14ac:dyDescent="0.25">
      <c r="A31" s="12" t="s">
        <v>169</v>
      </c>
      <c r="B31" t="s">
        <v>154</v>
      </c>
      <c r="C31" t="s">
        <v>154</v>
      </c>
    </row>
    <row r="32" spans="1:3" x14ac:dyDescent="0.25">
      <c r="A32" s="13" t="s">
        <v>170</v>
      </c>
      <c r="B32" t="s">
        <v>8</v>
      </c>
      <c r="C32" t="s">
        <v>8</v>
      </c>
    </row>
    <row r="33" spans="1:3" x14ac:dyDescent="0.25">
      <c r="A33" s="13" t="s">
        <v>170</v>
      </c>
      <c r="B33" t="s">
        <v>9</v>
      </c>
      <c r="C33" t="s">
        <v>9</v>
      </c>
    </row>
    <row r="34" spans="1:3" x14ac:dyDescent="0.25">
      <c r="A34" s="13" t="s">
        <v>170</v>
      </c>
      <c r="B34" t="s">
        <v>6</v>
      </c>
      <c r="C34" t="s">
        <v>6</v>
      </c>
    </row>
    <row r="35" spans="1:3" x14ac:dyDescent="0.25">
      <c r="A35" s="13" t="s">
        <v>170</v>
      </c>
      <c r="B35" t="s">
        <v>30</v>
      </c>
      <c r="C35" t="s">
        <v>30</v>
      </c>
    </row>
    <row r="36" spans="1:3" x14ac:dyDescent="0.25">
      <c r="A36" s="13" t="s">
        <v>170</v>
      </c>
      <c r="B36" t="s">
        <v>49</v>
      </c>
      <c r="C36" t="s">
        <v>49</v>
      </c>
    </row>
    <row r="37" spans="1:3" x14ac:dyDescent="0.25">
      <c r="A37" s="13" t="s">
        <v>170</v>
      </c>
      <c r="B37" t="s">
        <v>50</v>
      </c>
      <c r="C37" t="s">
        <v>50</v>
      </c>
    </row>
    <row r="38" spans="1:3" x14ac:dyDescent="0.25">
      <c r="A38" s="13" t="s">
        <v>170</v>
      </c>
      <c r="B38" t="s">
        <v>10</v>
      </c>
      <c r="C38" t="s">
        <v>10</v>
      </c>
    </row>
    <row r="39" spans="1:3" x14ac:dyDescent="0.25">
      <c r="A39" s="13" t="s">
        <v>170</v>
      </c>
      <c r="B39" t="s">
        <v>11</v>
      </c>
      <c r="C39" t="s">
        <v>11</v>
      </c>
    </row>
    <row r="40" spans="1:3" x14ac:dyDescent="0.25">
      <c r="A40" s="13" t="s">
        <v>170</v>
      </c>
      <c r="B40" t="s">
        <v>12</v>
      </c>
      <c r="C40" t="s">
        <v>12</v>
      </c>
    </row>
    <row r="41" spans="1:3" x14ac:dyDescent="0.25">
      <c r="A41" s="13" t="s">
        <v>170</v>
      </c>
      <c r="B41" t="s">
        <v>36</v>
      </c>
      <c r="C41" t="s">
        <v>36</v>
      </c>
    </row>
    <row r="42" spans="1:3" x14ac:dyDescent="0.25">
      <c r="A42" s="13" t="s">
        <v>170</v>
      </c>
      <c r="B42" t="s">
        <v>7</v>
      </c>
      <c r="C42" t="s">
        <v>7</v>
      </c>
    </row>
    <row r="43" spans="1:3" x14ac:dyDescent="0.25">
      <c r="A43" s="13" t="s">
        <v>170</v>
      </c>
      <c r="B43" t="s">
        <v>152</v>
      </c>
      <c r="C43" t="s">
        <v>152</v>
      </c>
    </row>
    <row r="44" spans="1:3" x14ac:dyDescent="0.25">
      <c r="A44" s="13" t="s">
        <v>170</v>
      </c>
      <c r="B44" t="s">
        <v>45</v>
      </c>
      <c r="C44" t="s">
        <v>45</v>
      </c>
    </row>
    <row r="45" spans="1:3" x14ac:dyDescent="0.25">
      <c r="A45" s="13" t="s">
        <v>170</v>
      </c>
      <c r="B45" t="s">
        <v>92</v>
      </c>
      <c r="C45" t="s">
        <v>92</v>
      </c>
    </row>
    <row r="46" spans="1:3" x14ac:dyDescent="0.25">
      <c r="A46" s="13" t="s">
        <v>171</v>
      </c>
      <c r="B46" t="s">
        <v>8</v>
      </c>
      <c r="C46" t="s">
        <v>8</v>
      </c>
    </row>
    <row r="47" spans="1:3" x14ac:dyDescent="0.25">
      <c r="A47" s="13" t="s">
        <v>171</v>
      </c>
      <c r="B47" t="s">
        <v>9</v>
      </c>
      <c r="C47" t="s">
        <v>9</v>
      </c>
    </row>
    <row r="48" spans="1:3" x14ac:dyDescent="0.25">
      <c r="A48" s="13" t="s">
        <v>171</v>
      </c>
      <c r="B48" t="s">
        <v>6</v>
      </c>
      <c r="C48" t="s">
        <v>6</v>
      </c>
    </row>
    <row r="49" spans="1:3" x14ac:dyDescent="0.25">
      <c r="A49" s="13" t="s">
        <v>171</v>
      </c>
      <c r="B49" t="s">
        <v>30</v>
      </c>
      <c r="C49" t="s">
        <v>30</v>
      </c>
    </row>
    <row r="50" spans="1:3" x14ac:dyDescent="0.25">
      <c r="A50" s="13" t="s">
        <v>171</v>
      </c>
      <c r="B50" t="s">
        <v>47</v>
      </c>
      <c r="C50" t="s">
        <v>47</v>
      </c>
    </row>
    <row r="51" spans="1:3" x14ac:dyDescent="0.25">
      <c r="A51" s="13" t="s">
        <v>171</v>
      </c>
      <c r="B51" t="s">
        <v>49</v>
      </c>
      <c r="C51" t="s">
        <v>49</v>
      </c>
    </row>
    <row r="52" spans="1:3" x14ac:dyDescent="0.25">
      <c r="A52" s="13" t="s">
        <v>171</v>
      </c>
      <c r="B52" t="s">
        <v>50</v>
      </c>
      <c r="C52" t="s">
        <v>50</v>
      </c>
    </row>
    <row r="53" spans="1:3" x14ac:dyDescent="0.25">
      <c r="A53" s="13" t="s">
        <v>171</v>
      </c>
      <c r="B53" t="s">
        <v>12</v>
      </c>
      <c r="C53" t="s">
        <v>12</v>
      </c>
    </row>
    <row r="54" spans="1:3" x14ac:dyDescent="0.25">
      <c r="A54" s="13" t="s">
        <v>171</v>
      </c>
      <c r="B54" t="s">
        <v>36</v>
      </c>
      <c r="C54" t="s">
        <v>36</v>
      </c>
    </row>
    <row r="55" spans="1:3" x14ac:dyDescent="0.25">
      <c r="A55" s="13" t="s">
        <v>171</v>
      </c>
      <c r="B55" t="s">
        <v>41</v>
      </c>
      <c r="C55" t="s">
        <v>41</v>
      </c>
    </row>
    <row r="56" spans="1:3" x14ac:dyDescent="0.25">
      <c r="A56" s="13" t="s">
        <v>171</v>
      </c>
      <c r="B56" t="s">
        <v>42</v>
      </c>
      <c r="C56" t="s">
        <v>42</v>
      </c>
    </row>
    <row r="57" spans="1:3" x14ac:dyDescent="0.25">
      <c r="A57" s="13" t="s">
        <v>171</v>
      </c>
      <c r="B57" t="s">
        <v>45</v>
      </c>
      <c r="C57" t="s">
        <v>45</v>
      </c>
    </row>
    <row r="58" spans="1:3" x14ac:dyDescent="0.25">
      <c r="A58" s="13" t="s">
        <v>171</v>
      </c>
      <c r="B58" t="s">
        <v>43</v>
      </c>
      <c r="C58" t="s">
        <v>43</v>
      </c>
    </row>
    <row r="59" spans="1:3" x14ac:dyDescent="0.25">
      <c r="A59" s="13" t="s">
        <v>171</v>
      </c>
      <c r="B59" t="s">
        <v>44</v>
      </c>
      <c r="C59" t="s">
        <v>44</v>
      </c>
    </row>
    <row r="60" spans="1:3" x14ac:dyDescent="0.25">
      <c r="A60" s="13" t="s">
        <v>171</v>
      </c>
      <c r="B60" t="s">
        <v>7</v>
      </c>
      <c r="C60" t="s">
        <v>7</v>
      </c>
    </row>
    <row r="61" spans="1:3" x14ac:dyDescent="0.25">
      <c r="A61" s="13" t="s">
        <v>171</v>
      </c>
      <c r="B61" t="s">
        <v>46</v>
      </c>
      <c r="C61" t="s">
        <v>46</v>
      </c>
    </row>
    <row r="62" spans="1:3" x14ac:dyDescent="0.25">
      <c r="A62" s="13" t="s">
        <v>171</v>
      </c>
      <c r="B62" t="s">
        <v>48</v>
      </c>
      <c r="C62" t="s">
        <v>48</v>
      </c>
    </row>
    <row r="63" spans="1:3" x14ac:dyDescent="0.25">
      <c r="A63" s="13" t="s">
        <v>226</v>
      </c>
      <c r="B63" t="s">
        <v>6</v>
      </c>
      <c r="C63" t="s">
        <v>6</v>
      </c>
    </row>
    <row r="64" spans="1:3" x14ac:dyDescent="0.25">
      <c r="A64" s="13" t="s">
        <v>226</v>
      </c>
      <c r="B64" t="s">
        <v>30</v>
      </c>
      <c r="C64" t="s">
        <v>30</v>
      </c>
    </row>
    <row r="65" spans="1:3" x14ac:dyDescent="0.25">
      <c r="A65" s="13" t="s">
        <v>226</v>
      </c>
      <c r="B65" t="s">
        <v>178</v>
      </c>
      <c r="C65" t="s">
        <v>178</v>
      </c>
    </row>
    <row r="66" spans="1:3" x14ac:dyDescent="0.25">
      <c r="A66" s="13" t="s">
        <v>226</v>
      </c>
      <c r="B66" t="s">
        <v>179</v>
      </c>
      <c r="C66" t="s">
        <v>179</v>
      </c>
    </row>
    <row r="67" spans="1:3" x14ac:dyDescent="0.25">
      <c r="A67" s="13" t="s">
        <v>226</v>
      </c>
      <c r="B67" t="s">
        <v>36</v>
      </c>
      <c r="C67" t="s">
        <v>36</v>
      </c>
    </row>
    <row r="72" spans="1:3" x14ac:dyDescent="0.25">
      <c r="A72" t="s">
        <v>2345</v>
      </c>
      <c r="B72" t="s">
        <v>2346</v>
      </c>
    </row>
    <row r="73" spans="1:3" x14ac:dyDescent="0.25">
      <c r="A73" t="s">
        <v>2347</v>
      </c>
      <c r="B73" t="s">
        <v>2344</v>
      </c>
    </row>
    <row r="74" spans="1:3" x14ac:dyDescent="0.25">
      <c r="A74" t="s">
        <v>2348</v>
      </c>
      <c r="B74" t="s">
        <v>2349</v>
      </c>
    </row>
    <row r="75" spans="1:3" x14ac:dyDescent="0.25">
      <c r="A75" t="s">
        <v>2350</v>
      </c>
      <c r="B75" t="s">
        <v>2351</v>
      </c>
    </row>
    <row r="76" spans="1:3" x14ac:dyDescent="0.25">
      <c r="A76" t="s">
        <v>2352</v>
      </c>
      <c r="B76" t="s">
        <v>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Query type="ReportSummary" id="8b3cb353-9c48-423f-ac56-b58b95eaf1b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OAAAAD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gOCj0vWjARFq9VvcRPv4A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ElUYWJsZS5JbnZlbnRUcmFucy5JdGVtSWR+VGFibGUuSW52ZW50VGFibGUuSXRlbUlkflRhYmxlLkludmVudFRhYmxlTW9kdWxlCTQAAAABy////9T///8GNgAAAC1UYWJsZS5JbnZlbnRUcmFucy5pbnZlbnREaW1JZH5UYWJsZS5JbnZlbnREaW0JNwAAAAcUAAAAAAEAAAAQAAAABC1HbG9iZVNvZnR3YXJlLkF0bGFzNDAuQXRsYXNDb21tb24uVHlwZS5Db2x1bW4CAAAACTgAAAAJOQAAAAk6AAAACTsAAAAJPAAAAAk9AAAACT4AAAAJPwAAAAlAAAAACUEAAAAJQgAAAAlDAAAACUQAAAAJRQAAAA0CERUAAAAEAAAABkY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////7n///8GSgAAABFUYWJsZS5JbnZlbnRUYWJsZQkwAAAAAbT///+5////Bk0AAAAwVGFibGUuSW52ZW50VGFibGUuSXRlbUlkflRhYmxlLkludmVudFRhYmxlTW9kdWxlCTMAAAABsf///7n///8GUAAAAA9UYWJsZS5JbnZlbnREaW0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r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t////Pkdsb2JlU29mdHdhcmUuQXRsYXM0MC5BdGxhc0NvbW1vbi5UeXBlLkF0bGFzUXVlcnlBdHRyaWJ1dGVOYW1lAQAAAAd2YWx1ZV9fAAgCAAAAAgAAAAZUAAAAJDhiM2NiMzUzLTljNDgtNDIzZi1hYzU2LWI1OGI5NWVhZjFiMgGr////rv///wGq////rf///wAAAAAGVwAAAAR0cnVlAaj///+u////Aaf///+t////CwAAAAZaAAAAFkludmVudG9yeSB0cmFuc2FjdGlvbnMBpf///67///8BpP///63///8bAAAABl0AAAAEVHJ1ZQGi////rv///wGh////rf///wYAAAAGYAAAAAVGYWxzZQGf////rv///wGe////rf///xwAAAAJXQAAAAGc////rv///wGb////rf///x0AAAAJYAAAAAGZ////rv///wGY////rf///yoAAAAJXQAAAAGW////rv///wGV////rf///wEAAAAGbAAAAAMzNjABk////67///8Bkv///63///8nAAAABm8AAAALPURhdGFBcmVhSWQBkP///67///8Bj////63///8ZAAAABnIAAAAPQ2VsbHNWZXJ0aWNhbGx5AY3///+u////AYz///+t////CQAAAAoBi////67///8Biv///63///8oAAAABncAAAACMTQBiP///67///8Bh////63///8rAAAABno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AAAAAtJbnZlbnRUcmFucwEAAAABg////4X///8GfgAAAAtJbnZlbnRUYWJsZQEAAAABgf///4X///8GgAAAABFJbnZlbnRUYWJsZU1vZHVsZQEAAAABf////4X///8Ggg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YMAAAAHAAAACY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GAAAAASUAAAAEAAAAAgAAAAmDAAAAAwAAAAmI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kAAAAAAAAAByoAAAAAAQAAAAAAAAAELUdsb2JlU29mdHdhcmUuQXRsYXM0MC5BdGxhc0NvbW1vbi5UeXBlLkNvbHVtbgIAAAABMQAAAA4AAAD/////BooAAAALSW52ZW50VGFibGUGiwAAAAVJdGVtcwkIAAAACQgAAAAJCAAAAAFz////4P///wAAAAAJjgAAAAmPAAAAAXD////d////Co5aDLIjTEGYUXnHNTRDHAkIAAAACQgAAAAJkgAAAAkwAAAABpQAAAALSW52ZW50VHJhbnMGlQAAABFUYWJsZS5JbnZlbnRUcmFucwaWAAAAGFRhYmxlLkludmVudFRyYW5zLkl0ZW1JZAaXAAAABkl0ZW1JZAaYAAAABkl0ZW1JZAEAAAABZ////9n///8AAAAAAWb////Y////AAAAAAAJmwAAAAE0AAAADgAAAP////8GnAAAABFJbnZlbnRUYWJsZU1vZHVsZQadAAAAG0ludmVudG9yeSBtb2R1bGUgcGFyYW1ldGVycwkIAAAACQgAAAAJCAAAAAFh////4P///wAAAAAJoAAAAAmhAAAAAV7////d////jDY7bo0joECb+NWUlyQGpAkIAAAACQgAAAAJpAAAAAkzAAAABqYAAAALSW52ZW50VGFibGUGpwAAACpUYWJsZS5JbnZlbnRUcmFucy5JdGVtSWR+VGFibGUuSW52ZW50VGFibGUGqAAAADFUYWJsZS5JbnZlbnRUcmFucy5JdGVtSWR+VGFibGUuSW52ZW50VGFibGUuSXRlbUlkBqkAAAAGSXRlbUlkBqoAAAAGSXRlbUlkAQAAAAFV////2f///wAAAAABVP///9j///8AAAAAAAmtAAAAATcAAAAOAAAA/////wauAAAACUludmVudERpbQavAAAAFEludmVudG9yeSBkaW1lbnNpb25zCQgAAAAJCAAAAAkIAAAAAU/////g////AAAAAAmyAAAACbMAAAABTP///93///+V85fOxn/PQIPyuKnHlYT2CQgAAAAJCAAAAAm2AAAACTYAAAAGuAAAAAtJbnZlbnRUcmFucwa5AAAAEVRhYmxlLkludmVudFRyYW5zBroAAAAdVGFibGUuSW52ZW50VHJhbnMuaW52ZW50RGltSWQGuwAAAAtpbnZlbnREaW1JZAa8AAAAC2ludmVudERpbUlkAQAAAAFD////2f///wAAAAABQv///9j///8AAAAAAAm/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cAAAAAJwQAAAAnCAAAABsMAAAAJVHJhbnNUeXBlBsQAAAAJUmVmZXJlbmNlBsUAAAAERW51bQkIAAAABscAAAAkMTJiNTM3NTktOTVlMS00MTBiLTk3YzgtNjNjMmQ0MDgwMDBiBTj///8tR2xvYmVTb2Z0d2FyZS5BdGxhczQwLkF0bGFzQ29tbW9uLkFnZ3JlZ2F0aW9uAQAAAAd2YWx1ZV9fAAgCAAAA/////wAAAAAFN////yxHbG9iZVNvZnR3YXJlLkF0bGFzNDAuQXRsYXNDb21tb24uQ29sdW1uVHlwZQEAAAAHdmFsdWVfXwAIAgAAAAAAAAAFNv///ytHbG9iZVNvZnR3YXJlLkF0bGFzNDAuQXRsYXNDb21tb24uU29ydE9yZGVyAQAAAAd2YWx1ZV9fAAgCAAAAAgAAAAAAAAAABTX///9AR2xvYmVTb2Z0d2FyZS5BdGxhczQwLkF0bGFzQ29tbW9uLlR5cGUuQ29sdW1uK0Nyb3NzVGFiQ29sdW1uVHlwZQEAAAAHdmFsdWVfXwAIAgAAAAAAAAAKAQAAAAAAAAAAAAAAAAAGzAAAACQwZTg1ZTYyYS1iMzNhLTRjZjktODA1MS0xNGE2YWRjNTQzYTYGzQAAABtUYWJsZS5JbnZlbnRUcmFucy5UcmFuc1R5cGUKCgoKATkAAAA4AAAACc4AAAAJzwAAAAnQAAAABtEAAAAKVHJhbnNSZWZJZAbSAAAABk51bWJlcgbTAAAABlN0cmluZwkIAAAABtUAAAAkNDQ3ZTYxZjEtNTJlYy00ZjkxLWJkN2EtZTNkYWE1NjAyZjdlASr///84/////////wEAAAABKf///zf///8AAAAAASj///82////AgAAAAAAAAAAASf///81////AAAAAAoBAAAAAAAAAAABAAAAAAbaAAAAJDdkNjQ0YTkzLTkwYmMtNGYxYi04ZGI0LTlmNjdhMTAzYjk4YQbbAAAAHFRhYmxlLkludmVudFRyYW5zLlRyYW5zUmVmSWQKCgoKAToAAAA4AAAACdwAAAAJ3QAAAAneAAAABt8AAAAGSXRlbUlkBuAAAAALSXRlbSBudW1iZXIG4QAAAAZTdHJpbmcJCAAAAAbjAAAAJDY2Yjk4Nzg3LWU1YjUtNGYwMy1iNzMzLTJiYjdkZmU2YjAzNgEc////OP////////8CAAAAARv///83////AAAAAAEa////Nv///wIAAAAAAAAAAAEZ////Nf///wAAAAAKAQAAAAAAAAAAAgAAAAAG6AAAACQ3ZmVkOGQyYS02ZjlkLTQ1MzYtODM5Mi0yNTYyOWY2YjEyMzQG6QAAABhUYWJsZS5JbnZlbnRUcmFucy5JdGVtSWQKCgoKATsAAAA4AAAACeoAAAAJ6wAAAAnsAAAABu0AAAAISXRlbU5hbWUG7gAAAAlJdGVtIG5hbWUG7wAAAAZTdHJpbmcJCAAAAAbxAAAAJGYwZDYwODc4LWFiNmEtNGIwZC1iYjBmLTljOGY1M2RiYjdlOQEO////OP////////8DAAAAAQ3///83////AAAAAAEM////Nv///wIAAAAAAAAAAAEL////Nf///wAAAAAKAQAAAAAAAAAAAwAAAAAG9gAAACRhMDIxZDczYy1hZTY1LTQ5ODYtYmYzZC0wNmM0Mzc5YmRjOTMG9wAAADNUYWJsZS5JbnZlbnRUcmFucy5JdGVtSWR+VGFibGUuSW52ZW50VGFibGUuSXRlbU5hbWUKCgoKATwAAAA4AAAACfgAAAAJ+QAAAAn6AAAABvsAAAAMSW52ZW50U2l0ZUlkBvwAAAAEU2l0ZQb9AAAABlN0cmluZwkIAAAABv8AAAAkOTNmN2M5ODAtMjJjYy00Njg3LTg4ODUtNTU2NzhjNTZjZTVkAQD///84/////////wQAAAAB//7//zf///8AAAAAAf7+//82////AgAAAAAAAAAAAf3+//81////AAAAAAoBAAAAAAAAAAAEAAAAAAYEAQAAJDRiZjMyOThkLWY3YjUtNGE0Yi05NWZmLTc0NDdlZmE3Zjg5NAYFAQAAOlRhYmxlLkludmVudFRyYW5zLmludmVudERpbUlkflRhYmxlLkludmVudERpbS5JbnZlbnRTaXRlSWQKCgoKAT0AAAA4AAAACQYBAAAJBwEAAAkIAQAABgkBAAAQSW52ZW50TG9jYXRpb25JZAYKAQAACVdhcmVob3VzZQYLAQAABlN0cmluZwkIAAAABg0BAAAkZmNjNWE5YTEtZmYyOS00OGRmLWIxNmQtOTQ5ZWRlMDYxY2Q4AfL+//84/////////wUAAAAB8f7//zf///8AAAAAAfD+//82////AgAAAAAAAAAAAe/+//81////AAAAAAoBAAAAAAAAAAAFAAAAAAYSAQAAJDQwNDk1ZjM0LTM4MTAtNDFlYy1hOWIyLWExN2Y5YzdlODE0YwYTAQAAPlRhYmxlLkludmVudFRyYW5zLmludmVudERpbUlkflRhYmxlLkludmVudERpbS5JbnZlbnRMb2NhdGlvbklkCgoKCgE+AAAAOAAAAAkUAQAACRUBAAAJFgEAAAYXAQAADERhdGVQaHlzaWNhbAYYAQAADVBoeXNpY2FsIGRhdGUGGQEAAAREYXRlCQgAAAAGGwEAACQ5OTE4MWM0Yi05YWZhLTRmNDEtYmQzNC1jNzk5MDZlOTY1MDcB5P7//zj/////////BgAAAAHj/v//N////wAAAAAB4v7//zb///8CAAAAAAAAAAAB4f7//zX///8AAAAACgEAAAAAAAAAAAYAAAAABiABAAAkYWM2ODFlN2EtNmJkYy00NTUxLWI0MjQtOTY5ZjE1OGMwOThjBiEBAAAeVGFibGUuSW52ZW50VHJhbnMuRGF0ZVBoeXNpY2FsCgoKCgE/AAAAOAAAAAkiAQAACSMBAAAJJAEAAAYlAQAADURhdGVGaW5hbmNpYWwGJgEAAA5GaW5hbmNpYWwgZGF0ZQYnAQAABERhdGUJCAAAAAYpAQAAJDkxMzNkNmVhLTk2OTAtNDk0YS05YWI0LTFjZDAwNTM5MjVlMQHW/v//OP////////8HAAAAAdX+//83////AAAAAAHU/v//Nv///wIAAAAAAAAAAAHT/v//Nf///wAAAAAKAQAAAAAAAAAABwAAAAAGLgEAACQ4NDA0YTk5OS1hZDFmLTRkYjQtODIwMy1mMTZlZjk2YWQwMDcGLwEAAB9UYWJsZS5JbnZlbnRUcmFucy5EYXRlRmluYW5jaWFsCgoKCgFAAAAAOAAAAAkwAQAACTEBAAAJMgEAAAYzAQAAA1F0eQY0AQAACFF1YW50aXR5BjUBAAAEUmVhbAkIAAAABjcBAAAkNzMwMzQ0MjItM2ZiZS00MjdlLWE1ZjAtNDFlOTJmMGYyNzJlAcj+//84////AQAAAAgAAAABx/7//zf///8AAAAAAcb+//82////AgAAAAAAAAAAAcX+//81////AAAAAAoBAAAAAAAAAAAIAAAAAAY8AQAAJDU1MDBkYzM2LWY3MzgtNDFiNC1iMTU1LTY3YTc5MjhjNTc1NAY9AQAAFVRhYmxlLkludmVudFRyYW5zLlF0eQoKCgoBQQAAADgAAAAJPgEAAAk/AQAACUABAAAGQQEAAAZVbml0SWQGQgEAAARVbml0BkMBAAAGU3RyaW5nCQgAAAAGRQEAACQ3NjE1NmNmMy00YmQ3LTQyZjgtYmU0Yy1jOTFiMjgxMmI0MWMBuv7//zj/////////CQAAAAG5/v//N////wAAAAABuP7//zb///8CAAAAAAAAAAABt/7//zX///8AAAAACgEAAAAAAAAAAAkAAAAABkoBAAAkNjgxODgzYjEtZDZhNS00NGRhLTgwOGUtYjlhZDI2OWNiOGY2BksBAABQVGFibGUuSW52ZW50VHJhbnMuSXRlbUlkflRhYmxlLkludmVudFRhYmxlLkl0ZW1JZH5UYWJsZS5JbnZlbnRUYWJsZU1vZHVsZS5Vbml0SWQKCgoKAUIAAAA4AAAACUwBAAAJTQEAAAlOAQAABk8BAAANSW52ZW50VHJhbnNJZAZQAQAABkxvdCBJRAZRAQAABlN0cmluZwkIAAAABlMBAAAkM2ZhMmE0MWYtNTRlZS00NjY3LThjNmYtZTBjM2EzNjg3MWFiAaz+//84/////////woAAAABq/7//zf///8AAAAAAar+//82////AgAAAAAAAAAAAan+//81////AAAAAAoBAAAAAAAAAAAKAAAAAAZYAQAAJGZjMDMyZmNlLTgzZGYtNDI0YS05OTJlLTBlMDQzM2FjZWI2ZAZZAQAAH1RhYmxlLkludmVudFRyYW5zLkludmVudFRyYW5zSWQKCgoKAUMAAAA4AAAACVoBAAAJWwEAAAlcAQAABl0BAAA3QXRsYXNNYW5hZ2VkQ29sdW1uXzVkZTU5YjEzLTI4YTAtNDJhZC1iOGM2LTE5ZDIzNTY3NjIzYQZeAQAAElZlbmRJbnZvaWNlVHJhbnNJZAkIAAAACQgAAAAGYAEAACRlNDk2MjA2Zi05YzhhLTRhMzMtYjc3Mi0wZGJhZmZhY2M1ZDUBn/7//zj/////////CwAAAAGe/v//N////wIAAAABnf7//zb///8CAAAAAAAAAAABnP7//zX///8AAAAACgEAAAAAAAAAAAsAAAAABmUBAAAkMjI4ZTE0MTAtMDc4NC00NDljLTg4NTEtOTNkOWE3YzNkODFiCQgAAAAKCgoKAUQAAAA4AAAACWcBAAAJaAEAAAlpAQAABmoBAAA3QXRsYXNNYW5hZ2VkQ29sdW1uX2RiOWQ0N2U1LTJhYTItNGVlNy04Yzg1LTVlNTkyOTg4NjlkMQZrAQAACEN1cnJlbmN5CQgAAAAJCAAAAAZtAQAAJGVmZmVkYzZhLWZhMTgtNDAyZi05NGQ1LWIxMzM5NDhmZmUyMwGS/v//OP////////8MAAAAAZH+//83////AgAAAAGQ/v//Nv///wIAAAAAAAAAAAGP/v//Nf///wAAAAAKAQAAAAAAAAAADAAAAAAGcgEAACQ3MDAwMmQ2NS0wODk5LTQ1MGMtODBkOC00NzJlNjQ5YzQwMzIJCAAAAAoKCgoBRQAAADgAAAAJdAEAAAl1AQAACXYBAAAGdwEAADdBdGxhc01hbmFnZWRDb2x1bW5fYzZlZjdiMWQtYjg2YS00NTFjLWE4NDUtM2Y5OGQ4ZWZhYTIwBngBAAAcVFBQIChQdXJjaGFzZSBpbnZvaWNlIHRyYW5zKQkIAAAACQgAAAAGegEAACQxZDRiZTkxZC0zY2Q5LTQ2MzQtOGY0Zi03NjJkYTI1NWFlZTgBhf7//zj/////////DQAAAAGE/v//N////wIAAAABg/7//zb///8CAAAAAAAAAAABgv7//zX///8AAAAACgEAAAAAAAAAAA0AAAAABn8BAAAkNjI5NTA3YjktMzlhYy00MTZkLWIwOGEtZTdiM2UyZjEwZWYzCQgAAAAKCgoKAYMAAAASAAAAB4Q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oIBAAAbVGFibGUuSW52ZW50VHJhbnMuVHJhbnNUeXBlCYMBAAABfP7//3/+//8GhQEAABxUYWJsZS5JbnZlbnRUcmFucy5UcmFuc1JlZklkCYYBAAABef7//3/+//8GiAEAABhUYWJsZS5JbnZlbnRUcmFucy5JdGVtSWQJiQEAAAF2/v//f/7//waLAQAAHlRhYmxlLkludmVudFRyYW5zLkRhdGVQaHlzaWNhbAmMAQAAAXP+//9//v//Bo4BAAAfVGFibGUuSW52ZW50VHJhbnMuRGF0ZUZpbmFuY2lhbAmPAQAAAXD+//9//v//BpEBAAAVVGFibGUuSW52ZW50VHJhbnMuUXR5CZIBAAABbf7//3/+//8GlAEAAB9UYWJsZS5JbnZlbnRUcmFucy5JbnZlbnRUcmFuc0lkCZUBAAAHhgA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lwEAAB9UYWJsZS5JbnZlbnRUcmFucy5EYXRlRmluYW5jaWFsCZgBAAABZ/7//2r+//8GmgEAABhUYWJsZS5JbnZlbnRUcmFucy5JdGVtSWQJmwEAAAeI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k/v//1P///wkwAAAACTEAAAABYf7//9T///8JNgAAAAk3AAAABIk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OAAAAIQAAAAEAAAAJogEAAAMAAAAJowEAAAGPAAAAIgAAAAEAAAAJEgAAAAMAAAAJpQEAAAGSAAAABAAAAAEAAAAJogEAAAMAAAAJpwEAAAGbAAAAKQAAAAAAAAAJqAEAAAAAAAABoAAAACEAAAABAAAACaIBAAADAAAACaoBAAABoQAAACIAAAABAAAACRIAAAADAAAACawBAAAEp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IBAAAAAAAAAa0AAAApAAAAAAAAAAmoAQAAAAAAAAGyAAAAIQAAAAIAAAAJogEAAAMAAAAJsAEAAASz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LY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QAAAAAAAAG/AAAAKQAAAAAAAAAJqAEAAAAAAAAEw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tAEAAAEAAAABAAAABM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QAAAAm1AQAABwAAAAm2AQAABM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m3AQAABwAAAAm4AQAAAc4AAADAAAAACbkBAAABAAAAAQAAAAHPAAAAwQAAAMEAAAAJtQEAAAcAAAAJuwEAAAT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twEAAAcAAAAJvQEAAAHcAAAAwAAAAAm+AQAAAQAAAAEAAAAB3QAAAMEAAADCAAAACbUBAAAHAAAACcABAAAE3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bcBAAAHAAAACcIBAAAB6gAAAMAAAAAJwwEAAAEAAAABAAAAAesAAADBAAAAuQAAAAnEAQAABwAAAAnFAQAABO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gAAAAmiAQAABwAAAAnHAQAAAfgAAADAAAAACcgBAAABAAAAAQAAAAH5AAAAwQAAALkAAAAJxAEAAAcAAAAJy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YAAAAJogEAAAcAAAAJzAEAAAEGAQAAwAAAAAnNAQAAAQAAAAEAAAABBwEAAMEAAAC5AAAACcQBAAAHAAAACc8BAAAEC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122AAAACaIBAAAHAAAACdEBAAABFAEAAMAAAAAJ0gEAAAEAAAABAAAAARUBAADBAAAAwQAAAAm1AQAABwAAAAnUAQAABB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m3AQAABwAAAAnWAQAAASIBAADAAAAACdcBAAABAAAAAQAAAAEjAQAAwQAAAMEAAAAJtQEAAAcAAAAJ2Q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twEAAAcAAAAJ2wEAAAEwAQAAwAAAAAncAQAAAQAAAAEAAAABMQEAAMEAAADBAAAACbUBAAAHAAAACd4BAAAEM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bcBAAAHAAAACeABAAABPgEAAMAAAAAJ4QEAAAEAAAABAAAAAT8BAADBAAAAuQAAAAnEAQAABwAAAAnjAQAABE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gAAAAmiAQAABwAAAAnlAQAAAUwBAADAAAAACeYBAAABAAAAAQAAAAFNAQAAwQAAAMEAAAAJtQEAAAcAAAAJ6AEAAAR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twEAAAcAAAAJ6gEAAAFaAQAAwAAAAAnrAQAAAAAAAAAAAAABWwEAAMEAAACDAAAACewBAAAHAAAACe0BAAAEX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e4BAAAHAAAACe8BAAABZwEAAMAAAAAJ8AEAAAAAAAAAAAAAAWgBAADBAAAAqgAAAAnxAQAABwAAAAnyAQAABG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zAQAABwAAAAn0AQAAAXQBAADAAAAACfABAAAAAAAAAAAAAAF1AQAAwQAAAKoAAAAJ8QEAAAcAAAAJ9wEAAAR2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8wEAAAcAAAAJ+QEAAAW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G/v//OP////////8ABvsBAAAERW51bQb8AQAACVJlZmVyZW5jZQn9AQAAAQL+//82////AgAAAAUB/v//OUdsb2JlU29mdHdhcmUuQXRsYXM0MC5BdGxhc0NvbW1vbi5OdW1iZXJTZXF1ZW5jZUNvbmRpdGlvbgEAAAAHdmFsdWVfXwAIAgAAAAEAAAAAAAYAAgAAEVRhYmxlLkludmVudFRyYW5zCcMAAAAJCAAAAAr/////CQACAAAKCcMAAAAKCgoJCAAAAAkGAgAACQgAAAABhgEAAIMBAAAB+P3//zj/////////AAYJAgAABlN0cmluZwYKAgAABk51bWJlcgn9AQAAAfT9//82////AgAAAAHz/f//Af7//wEAAAAAAAkAAgAACdEAAAAJCAAAAAr/////CQACAAAKCdEAAAAKCgoJCAAAAAkUAgAACQgAAAABiQEAAIMBAAAB6v3//zj/////////AAYXAgAABlN0cmluZwYYAgAAC0l0ZW0gbnVtYmVyCf0BAAAB5v3//zb///8CAAAAAeX9//8B/v//AQAAAAAACQACAAAJ3wAAAAkIAAAACv////8JAAIAAAoJ3wAAAAoKCgkIAAAACSICAAAJCAAAAAGMAQAAgwEAAAHc/f//OP////////8ABiUCAAAERGF0ZQYmAgAADVBoeXNpY2FsIGRhdGUJ/QEAAAHY/f//Nv///wIAAAAB1/3//wH+//8BAAAAAAAJAAIAAAkXAQAACQgAAAAK/////wkAAgAACgkXAQAACgoKCQgAAAAJMAIAAAkIAAAAAY8BAACDAQAAAc79//84/////////wAGMwIAAAREYXRlBjQCAAAORmluYW5jaWFsIGRhdGUJ/QEAAAHK/f//Nv///wIAAAAByf3//wH+//8BAAAAAAAJAAIAAAklAQAACQgAAAAK/////wkAAgAACgklAQAACgoKCQgAAAAJPgIAAAkIAAAAAZIBAACDAQAAAcD9//84////AQAAAAAGQQIAAARSZWFsBkICAAAIUXVhbnRpdHkJ/QEAAAG8/f//Nv///wIAAAABu/3//wH+//8BAAAAAAAJAAIAAAkzAQAACQgAAAAK/////wkAAgAACgkzAQAACgoKCQgAAAAJTAIAAAkIAAAAAZUBAACDAQAAAbL9//84/////////wAGTwIAAAZTdHJpbmcGUAIAAAZMb3QgSUQJ/QEAAAGu/f//Nv///wIAAAABrf3//wH+//8BAAAAAAAJAAIAAAlPAQAACQgAAAAK/////wkAAgAACglPAQAACgoKCQgAAAAJWgIAAAkIAAAABZg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cAgAAEVRhYmxlLkludmVudFRyYW5zBl0CAAANRGF0ZUZpbmFuY2lhbAkIAAAABl8CAAAYMTIuMDEuMjAxNyAuLiAxMi4zMS4yMDE3/////wlcAgAACgldAgAACgoKCQgAAAAJYwIAAAkIAAAAAZsBAACYAQAACVwCAAAGZgIAAAZJdGVtSWQJCAAAAAZoAgAAASr/////CVwCAAAKCWYCAAAKCgoJCAAAAAlsAgAACQgAAAABogEAABIAAAAHo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kv3//3/+//8GbwIAADNUYWJsZS5JbnZlbnRUcmFucy5JdGVtSWR+VGFibGUuSW52ZW50VGFibGUuSXRlbU5hbWUJcAIAAAel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j/3//2r+//8GcgIAADNUYWJsZS5JbnZlbnRUcmFucy5JdGVtSWR+VGFibGUuSW52ZW50VGFibGUuSXRlbVR5cGUJcwIAAAen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M/f//1P///wkzAAAACTQAAAABqAEAAIkAAAAHq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f3//3/+//8GeAIAAFBUYWJsZS5JbnZlbnRUcmFucy5JdGVtSWR+VGFibGUuSW52ZW50VGFibGUuSXRlbUlkflRhYmxlLkludmVudFRhYmxlTW9kdWxlLlVuaXRJZAl5AgAAB6w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G/f//av7//wZ7AgAAVFRhYmxlLkludmVudFRyYW5zLkl0ZW1JZH5UYWJsZS5JbnZlbnRUYWJsZS5JdGVtSWR+VGFibGUuSW52ZW50VGFibGVNb2R1bGUuTW9kdWxlVHlwZQl8AgAAB7A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P9//9//v//Bn4CAAA6VGFibGUuSW52ZW50VHJhbnMuaW52ZW50RGltSWR+VGFibGUuSW52ZW50RGltLkludmVudFNpdGVJZAl/AgAAAYD9//9//v//BoECAAA+VGFibGUuSW52ZW50VHJhbnMuaW52ZW50RGltSWR+VGFibGUuSW52ZW50RGltLkludmVudExvY2F0aW9uSWQJggIAAAe0AQAAAAEAAAAEAAAABDdHbG9iZVNvZnR3YXJlLkF0bGFzNDAuQXRsYXNDb21tb24uVHlwZS5GaWVsZE91dHB1dEZpZWxkAgAAAAmDAQAADQMEt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t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z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e/3//zJHbG9iZVNvZnR3YXJlLkF0bGFzNDAuQXRsYXNDb21tb24uQ29sdW1uQXR0cmlidXRlcwEAAAAHdmFsdWVfXwAIAgAAABAAAAAGhgIAAAROb25lAXn9//98/f//AXj9//97/f//CQAAAAkIAAAAAXb9//98/f//AXX9//97/f//CwAAAAaMAgAAATABc/3//3z9//8Bcv3//3v9//8EAAAABo8CAAAHR2VuZXJhbAFw/f//fP3//wFv/f//e/3//wIAAAAGkgIAAAExAW39//98/f//AWz9//97/f//AAAAAAaVAgAABTEzLjcxAbcBAAASAAAAB7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v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XAgAACEZvbnRCb2xkBpgCAAAFRmFsc2UBZ/3//2r9//8GmgIAAApGb250SXRhbGljCZgCAAABZP3//2r9//8GnQIAAA1Gb250VW5kZXJsaW5lBp4CAAAFLTQxNDIBYf3//2r9//8GoAIAAAhGb250TmFtZQahAgAAB0NhbGlicmkBXv3//2r9//8GowIAAAlGb250Q29sb3IGpAIAAAEwAVv9//9q/f//BqYCAAAIRm9udFNpemUGpwIAAAIxMQFY/f//av3//wapAgAACUZvbnRTdHlsZQaqAgAAB1JlZ3VsYXIHuQEAAAABAAAABAAAAAQ3R2xvYmVTb2Z0d2FyZS5BdGxhczQwLkF0bGFzQ29tbW9uLlR5cGUuRmllbGRPdXRwdXRGaWVsZAIAAAAJhgEAAA0DB7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U/f//fP3//wFT/f//e/3//xAAAAAJhgIAAAFR/f//fP3//wFQ/f//e/3//wkAAAAJCAAAAAFO/f//fP3//wFN/f//e/3//wsAAAAGtAIAAAExAUv9//98/f//AUr9//97/f//BAAAAAa3AgAAB0dlbmVyYWwBSP3//3z9//8BR/3//3v9//8CAAAABroCAAABMQFF/f//fP3//wFE/f//e/3//wAAAAAGvQIAAAUxMC44Nge9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L9//9q/f//CZcCAAAJmAIAAAE//f//av3//wmaAgAACZgCAAABPP3//2r9//8JnQIAAAbGAgAABS00MTQyATn9//9q/f//CaACAAAGyQIAAAdDYWxpYnJpATb9//9q/f//CaMCAAAGzAIAAAEwATP9//9q/f//CaYCAAAGzwIAAAIxMQEw/f//av3//wmpAgAABtICAAAHUmVndWxhcge+AQAAAAEAAAAEAAAABDdHbG9iZVNvZnR3YXJlLkF0bGFzNDAuQXRsYXNDb21tb24uVHlwZS5GaWVsZE91dHB1dEZpZWxkAgAAAAmJAQAADQMHwA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98/f//ASv9//97/f//BgAAAAbWAgAABVRvdGFsASn9//98/f//ASj9//97/f//EAAAAAmGAgAAASb9//98/f//ASX9//97/f//CQAAAAkIAAAAASP9//98/f//ASL9//97/f//CwAAAAbfAgAAATIBIP3//3z9//8BH/3//3v9//8EAAAABuICAAAHR2VuZXJhbAEd/f//fP3//wEc/f//e/3//wIAAAAG5QIAAAExARr9//98/f//ARn9//97/f//AAAAAAboAgAABTEzLjcxB8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3//2r9//8JlwIAAAmYAgAAART9//9q/f//CZoCAAAJmAIAAAER/f//av3//wmdAgAABvECAAAFLTQxNDIBDv3//2r9//8JoAIAAAb0AgAAB0NhbGlicmkBC/3//2r9//8JowIAAAb3AgAAATABCP3//2r9//8JpgIAAAb6AgAAAjExAQX9//9q/f//CakCAAAG/QIAAAdSZWd1bGFyB8MBAAAAAQAAAAQAAAAEN0dsb2JlU29mdHdhcmUuQXRsYXM0MC5BdGxhc0NvbW1vbi5UeXBlLkZpZWxkT3V0cHV0RmllbGQCAAAACXACAAANAwHEAQAAtQEAAAf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f3//3z9//8BAP3//3v9//8JAAAACQgAAAAB/vz//3z9//8B/fz//3v9//8LAAAABgQDAAABMwH7/P//fP3//wH6/P//e/3//wQAAAAGBwMAAAdHZW5lcmFsAfj8//98/f//Aff8//97/f//AgAAAAYKAwAAATEB9fz//3z9//8B9Pz//3v9//8AAAAABg0DAAAFMzQuMTQHx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/P//av3//wmXAgAACZgCAAAB7/z//2r9//8JmgIAAAmYAgAAAez8//9q/f//CZ0CAAAGFgMAAAUtNDE0MgHp/P//av3//wmgAgAABhkDAAAHQ2FsaWJyaQHm/P//av3//wmjAgAABhwDAAABMAHj/P//av3//wmmAgAABh8DAAACMTEB4Pz//2r9//8JqQIAAAYiAwAAB1JlZ3VsYXIHyAEAAAABAAAABAAAAAQ3R2xvYmVTb2Z0d2FyZS5BdGxhczQwLkF0bGFzQ29tbW9uLlR5cGUuRmllbGRPdXRwdXRGaWVsZAIAAAAJfwIAAA0DB8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/P//fP3//wHb/P//e/3//wkAAAAJCAAAAAHZ/P//fP3//wHY/P//e/3//wsAAAAGKQMAAAE0Adb8//98/f//AdX8//97/f//BAAAAAYsAwAAB0dlbmVyYWwB0/z//3z9//8B0vz//3v9//8CAAAABi8DAAABMQHQ/P//fP3//wHP/P//e/3//wAAAAAGMgMAAAE2B8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2r9//8JlwIAAAmYAgAAAcr8//9q/f//CZoCAAAJmAIAAAHH/P//av3//wmdAgAABjsDAAAFLTQxNDIBxPz//2r9//8JoAIAAAY+AwAAB0NhbGlicmkBwfz//2r9//8JowIAAAZBAwAAATABvvz//2r9//8JpgIAAAZEAwAAAjExAbv8//9q/f//CakCAAAGRwMAAAdSZWd1bGFyB80BAAAAAQAAAAQAAAAEN0dsb2JlU29mdHdhcmUuQXRsYXM0MC5BdGxhc0NvbW1vbi5UeXBlLkZpZWxkT3V0cHV0RmllbGQCAAAACYICAAANAwf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z//3z9//8Btvz//3v9//8JAAAACQgAAAABtPz//3z9//8Bs/z//3v9//8LAAAABk4DAAABNQGx/P//fP3//wGw/P//e/3//wQAAAAGUQMAAAdHZW5lcmFsAa78//98/f//Aa38//97/f//AgAAAAZUAwAAATEBq/z//3z9//8Bqvz//3v9//8AAAAABlcDAAAFMTIuODYH0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P//av3//wmXAgAACZgCAAABpfz//2r9//8JmgIAAAmYAgAAAaL8//9q/f//CZ0CAAAGYAMAAAUtNDE0MgGf/P//av3//wmgAgAABmMDAAAHQ2FsaWJyaQGc/P//av3//wmjAgAABmYDAAABMAGZ/P//av3//wmmAgAABmkDAAACMTEBlvz//2r9//8JqQIAAAZsAwAAB1JlZ3VsYXIH0gEAAAABAAAABAAAAAQ3R2xvYmVTb2Z0d2FyZS5BdGxhczQwLkF0bGFzQ29tbW9uLlR5cGUuRmllbGRPdXRwdXRGaWVsZAIAAAAJjAEAAA0DB9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S/P//fP3//wGR/P//e/3//xAAAAAJhgIAAAGP/P//fP3//wGO/P//e/3//wkAAAAJCAAAAAGM/P//fP3//wGL/P//e/3//wsAAAAGdgMAAAE2AYn8//98/f//AYj8//97/f//BAAAAAZ5AwAACG0vZC95eXl5AYb8//98/f//AYX8//97/f//AgAAAAZ8AwAAATEBg/z//3z9//8Bgvz//3v9//8AAAAABn8DAAAFMTQuMTQH1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A/P//av3//wmXAgAACZgCAAABffz//2r9//8JmgIAAAmYAgAAAXr8//9q/f//CZ0CAAAGiAMAAAUtNDE0MgF3/P//av3//wmgAgAABosDAAAHQ2FsaWJyaQF0/P//av3//wmjAgAABo4DAAABMAFx/P//av3//wmmAgAABpEDAAACMTEBbvz//2r9//8JqQIAAAaUAwAAB1JlZ3VsYXIH1wEAAAABAAAABAAAAAQ3R2xvYmVTb2Z0d2FyZS5BdGxhczQwLkF0bGFzQ29tbW9uLlR5cGUuRmllbGRPdXRwdXRGaWVsZAIAAAAJjwEAAA0DB9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q/P//fP3//wFp/P//e/3//xAAAAAJhgIAAAFn/P//fP3//wFm/P//e/3//wkAAAAJCAAAAAFk/P//fP3//wFj/P//e/3//wsAAAAGngMAAAE3AWH8//98/f//AWD8//97/f//BAAAAAahAwAACG0vZC95eXl5AV78//98/f//AV38//97/f//AgAAAAakAwAAATEBW/z//3z9//8BWvz//3v9//8AAAAABqcDAAACMTUH2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v3//wmXAgAACZgCAAABVfz//2r9//8JmgIAAAmYAgAAAVL8//9q/f//CZ0CAAAGsAMAAAUtNDE0MgFP/P//av3//wmgAgAABrMDAAAHQ2FsaWJyaQFM/P//av3//wmjAgAABrYDAAABMAFJ/P//av3//wmmAgAABrkDAAACMTEBRvz//2r9//8JqQIAAAa8AwAAB1JlZ3VsYXIH3AEAAAABAAAABAAAAAQ3R2xvYmVTb2Z0d2FyZS5BdGxhczQwLkF0bGFzQ29tbW9uLlR5cGUuRmllbGRPdXRwdXRGaWVsZAIAAAAJkgEAAA0DB94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P//fP3//wFB/P//e/3//xAAAAAJhgIAAAE//P//fP3//wE+/P//e/3//wkAAAAJCAAAAAE8/P//fP3//wE7/P//e/3//wsAAAAGxgMAAAE4ATn8//98/f//ATj8//97/f//BAAAAAbJAwAAB0dlbmVyYWwBNvz//3z9//8BNfz//3v9//8CAAAABswDAAABMQEz/P//fP3//wEy/P//e/3//wAAAAAGzwMAAAUxMC4yOQf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8//9q/f//CZcCAAAJmAIAAAEt/P//av3//wmaAgAACZgCAAABKvz//2r9//8JnQIAAAbYAwAABS00MTQyASf8//9q/f//CaACAAAG2wMAAAdDYWxpYnJpAST8//9q/f//CaMCAAAG3gMAAAEwASH8//9q/f//CaYCAAAG4QMAAAIxMQEe/P//av3//wmpAgAABuQDAAAHUmVndWxhcgfhAQAAAAEAAAAEAAAABDdHbG9iZVNvZnR3YXJlLkF0bGFzNDAuQXRsYXNDb21tb24uVHlwZS5GaWVsZE91dHB1dEZpZWxkAgAAAAl5AgAADQMH4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r8//98/f//ARn8//97/f//CQAAAAkIAAAAARf8//98/f//ARb8//97/f//CwAAAAbrAwAAATkBFPz//3z9//8BE/z//3v9//8EAAAABu4DAAAHR2VuZXJhbAER/P//fP3//wEQ/P//e/3//wIAAAAG8QMAAAExAQ78//98/f//AQ38//97/f//AAAAAAb0AwAABDYuNDMH5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/P//av3//wmXAgAACZgCAAABCPz//2r9//8JmgIAAAmYAgAAAQX8//9q/f//CZ0CAAAG/QMAAAUtNDE0MgEC/P//av3//wmgAgAABgAEAAAHQ2FsaWJyaQH/+///av3//wmjAgAABgMEAAABMAH8+///av3//wmmAgAABgYEAAACMTEB+fv//2r9//8JqQIAAAYJBAAAB1JlZ3VsYXIH5gEAAAABAAAABAAAAAQ3R2xvYmVTb2Z0d2FyZS5BdGxhczQwLkF0bGFzQ29tbW9uLlR5cGUuRmllbGRPdXRwdXRGaWVsZAIAAAAJlQEAAA0DB+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1+///fP3//wH0+///e/3//xAAAAAJhgIAAAHy+///fP3//wHx+///e/3//wkAAAAJCAAAAAHv+///fP3//wHu+///e/3//wsAAAAGEwQAAAIxMAHs+///fP3//wHr+///e/3//wQAAAAGFgQAAAdHZW5lcmFsAen7//98/f//Aej7//97/f//AgAAAAYZBAAAATEB5vv//3z9//8B5fv//3v9//8AAAAABhwEAAAEOS40Mwf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7//9q/f//CZcCAAAJmAIAAAHg+///av3//wmaAgAACZgCAAAB3fv//2r9//8JnQIAAAYlBAAABS00MTQyAdr7//9q/f//CaACAAAGKAQAAAdDYWxpYnJpAdf7//9q/f//CaMCAAAGKwQAAAEwAdT7//9q/f//CaYCAAAGLgQAAAIxMQHR+///av3//wmpAgAABjEEAAAHUmVndWxhcgfrAQAAAAEAAAAAAAAABDdHbG9iZVNvZnR3YXJlLkF0bGFzNDAuQXRsYXNDb21tb24uVHlwZS5GaWVsZE91dHB1dEZpZWxkAgAAAAHsAQAAtQEAAAft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vv//3z9//8Bzfv//3v9//8kAAAACV4BAAABy/v//3z9//8Byvv//3v9//8LAAAABjcEAAACMTEByPv//3z9//8Bx/v//3v9//8EAAAABjoEAAAHR2VuZXJhbAHF+///fP3//wHE+///e/3//wIAAAAGPQQAAAExAcL7//98/f//AcH7//97/f//AAAAAAZABAAABTIwLjQzAb/7//98/f//Ab77//97/f//AwAAAAZDBAAAnQE9SUYoW0BSZWZlcmVuY2VdPSJQdXJjaGFzZSBvcmRlciIsQXRsYXNUYWJsZSgiVUFUIixEYXRhQXJlYUlkLCJULlZlbmRJbnZvaWNlVHJhbnMiLCIlUmVjSWQiLCIiLCIiLCIiLCIiLCIiLCIiLCJJdGVtSWR8UHVyY2hJRHxJbnZlbnRUcmFuc0lkIiwkQzMsJEIzLCRLMyksIiIpAe4BAAASAAAAB+8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v//2r9//8GRQQAAAhGb250Qm9sZAmYAgAAAbn7//9q/f//BkgEAAAKRm9udEl0YWxpYwmYAgAAAbb7//9q/f//BksEAAANRm9udFVuZGVybGluZQZMBAAABS00MTQyAbP7//9q/f//Bk4EAAAIRm9udE5hbWUGTwQAAAdDYWxpYnJpAbD7//9q/f//BlEEAAAJRm9udENvbG9yBlIEAAABMAGt+///av3//wZUBAAACEZvbnRTaXplBlUEAAACMTEBqvv//2r9//8GVwQAAAlGb250U3R5bGUGWAQAAAdSZWd1bGFyB/ABAAAAAQAAAAAAAAAEN0dsb2JlU29mdHdhcmUuQXRsYXM0MC5BdGxhc0NvbW1vbi5UeXBlLkZpZWxkT3V0cHV0RmllbGQCAAAAAfEBAAC1AQAAB/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+///fP3//wGm+///e/3//yQAAAAJawEAAAGk+///fP3//wGj+///e/3//wsAAAAGXgQAAAIxMgGh+///fP3//wGg+///e/3//wQAAAAGYQQAAAdHZW5lcmFsAZ77//98/f//AZ37//97/f//AgAAAAZkBAAAATEBm/v//3z9//8Bmvv//3v9//8AAAAABmcEAAAFMTAuNDMBmPv//3z9//8Bl/v//3v9//8DAAAABmoEAACpAT1JRihbQFJlZmVyZW5jZV09IlB1cmNoYXNlIG9yZGVyIixBdGxhc1RhYmxlKCJVQVQiLERhdGFBcmVhSWQsIlQuTWFya3VwVHJhbnMiLCIlQ3VycmVuY3lDb2RlIiwiIiwiIiwiIiwiIiwiIiwiIiwiTWFya3VwQ29kZXxUcmFuc1JlY0lkfFRyYW5zVGFibGVJZCIsIlRQUCIsJEwzLCI0OTIiKSwiIikB8wEAABIAAAAH9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///av3//wZsBAAACEZvbnRCb2xkCZgCAAABkvv//2r9//8GbwQAAApGb250SXRhbGljCZgCAAABj/v//2r9//8GcgQAAA1Gb250VW5kZXJsaW5lBnMEAAAFLTQxNDIBjPv//2r9//8GdQQAAAhGb250TmFtZQZ2BAAAB0NhbGlicmkBifv//2r9//8GeAQAAAlGb250Q29sb3IGeQQAAAEwAYb7//9q/f//BnsEAAAIRm9udFNpemUGfAQAAAIxMQGD+///av3//wZ+BAAACUZvbnRTdHlsZQZ/BAAAB1JlZ3VsYXIH9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7//98/f//AX/7//97/f//JAAAAAl4AQAAAX37//98/f//AXz7//97/f//CwAAAAaFBAAAAjEzAXr7//98/f//AXn7//97/f//BAAAAAaIBAAAB0dlbmVyYWwBd/v//3z9//8Bdvv//3v9//8CAAAABosEAAABMQF0+///fP3//wFz+///e/3//wAAAAAGjgQAAAIyOAFx+///fP3//wFw+///e/3//wMAAAAGkQQAAKoBPUlGKFtAUmVmZXJlbmNlXT0iUHVyY2hhc2Ugb3JkZXIiLEF0bGFzQmFsYW5jZSgiVUFUIixEYXRhQXJlYUlkLCJULk1hcmt1cFRyYW5zIiwiU3VtfFBvc3RlZHwwIiwiIiwiIiwiIiwiIiwiIiwiIiwiTWFya3VwQ29kZXxUcmFuc1RhYmxlSWR8VHJhbnNSZWNJZCIsIlRQUCIsIjQ5MiIsJEwzKSwiIikH+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///av3//wlsBAAACZgCAAABa/v//2r9//8JbwQAAAmYAgAAAWj7//9q/f//CXIEAAAGmgQAAAUtNDE0MgFl+///av3//wl1BAAABp0EAAAHQ2FsaWJyaQFi+///av3//wl4BAAABqAEAAABMAFf+///av3//wl7BAAABqMEAAACMTEBXPv//2r9//8JfgQAAAamBAAAB1JlZ3VsYXIB/QEAAA4AAACxAAAABqcEAAALSW52ZW50VHJhbnMGqAQAABZJbnZlbnRvcnkgdHJhbnNhY3Rpb25zCQgAAAAJCAAAAAkIAAAAAVb7///g////AAAAAAmrBAAACawEAAABU/v//93////+2hPNUKGMR7xQeVAaoNHPCQgAAAAJCAAAAAmvBAAACQACAAAKCgoKCgEAAAABT/v//9n///8AAAAAAU77///Y////AAAAAAAJswQAAAQG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tQQAAAQU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twQAAAQi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uQQAAAQw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uwQAAAQ+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vQQAAARM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vwQAAARa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wQQAAAR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wgQAAAMAAAAJwwQAAARs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wgQAAAMAAAAJxQQAAAFwAgAAgwEAAAE6+///OP////////8ABscEAAAGU3RyaW5nBsgEAAAJSXRlbSBuYW1lCTEAAAABNvv//zb///8CAAAAATX7//8B/v//AQAAAAAACTAAAAAJ7QAAAAkIAAAACv////8JMAAAAAoJ7QAAAAbRBAAABkl0ZW1JZAbSBAAAC0ludmVudFRyYW5zCgkIAAAACdQEAAAJCAAAAAFzAgAAmAEAAAkwAAAABtcEAAAISXRlbVR5cGUJCAAAAAbZBAAACSFTZXJ2aWNlc/////8JMAAAAAbbBAAAC0ludmVudFRhYmxlCdcEAAAG3QQAAAZJdGVtSWQKCgkIAAAACd8EAAAJCAAAAAF5AgAAgwEAAAEf+///OP////////8ABuIEAAAGU3RyaW5nBuMEAAAEVW5pdAk0AAAAARv7//82////AgAAAAEa+///Af7//wEAAAAAAAkzAAAACUEBAAAJCAAAAAr/////CTMAAAAKCUEBAAAG7AQAAAZJdGVtSWQG7QQAAAtJbnZlbnRUYWJsZQoJCAAAAAnvBAAACQgAAAABfAIAAJgBAAAJMwAAAAbyBAAACk1vZHVsZVR5cGUJCAAAAAb0BAAABkludmVudP////8JMwAAAAoJ8gQAAAb3BAAABkl0ZW1JZAoKCQgAAAAJ+QQAAAkIAAAAAX8CAACDAQAAAQX7//84/////////wAG/AQAAAZTdHJpbmcG/QQAAARTaXRlCTcAAAABAfv//zb///8CAAAAAQD7//8B/v//AQAAAAAACTYAAAAJ+wAAAAkIAAAACv////8JNgAAAAoJ+wAAAAYGBQAAC2ludmVudERpbUlkBgcFAAALSW52ZW50VHJhbnMKCQgAAAAJCQUAAAkIAAAAAYICAACDAQAAAfX6//84/////////wAGDAUAAAZTdHJpbmcGDQUAAAlXYXJlaG91c2UJNwAAAAHx+v//Nv///wIAAAAB8Pr//wH+//8BAAAAAAAJNgAAAAkJAQAACQgAAAAK/////wk2AAAACgkJAQAABhYFAAALaW52ZW50RGltSWQGFwUAAAtJbnZlbnRUcmFucwoJCAAAAAkZBQAACQgAAAABqwQAACEAAAAKAAAACRsFAAARAAAACRwFAAAEr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bBQAAAAAAAASv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GwUAAAAAAAABswQAACkAAAAAAAAACR4FAAAAAAAAB7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fr//2r9//8GIAUAAAhIZWxwVGV4dAYhBQAAMlNwZWNpZnkgdGhlIG1vZHVsZSB0aGF0IGdlbmVyYXRlZCB0aGUgdHJhbnNhY3Rpb24uAd76//9q/f//BiMFAAAFTGFiZWwJ/AEAAAHb+v//av3//wYmBQAABFR5cGUJ+wEAAAe3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6//9q/f//CSAFAAAGKgUAADVPcmRlciBudW1iZXIsIHByb2plY3QgbnVtYmVyLCBwcm9kdWN0aW9uIG51bWJlciwgZXRjLgHV+v//av3//wkjBQAACQoCAAAB0vr//2r9//8JJgUAAAkJAgAAB7k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r//2r9//8JIAUAAAYzBQAADklkZW50aWZ5IGl0ZW0uAcz6//9q/f//CSMFAAAJGAIAAAHJ+v//av3//wkmBQAACRcCAAAHu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G+v//av3//wkgBQAABjwFAAAcRGF0ZSBvZiBwaHlzaWNhbCB0cmFuc2FjdGlvbgHD+v//av3//wkjBQAACSYCAAABwPr//2r9//8JJgUAAAklAgAAB70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r//2r9//8JIAUAAAZFBQAAHURhdGUgb2YgZmluYW5jaWFsIHRyYW5zYWN0aW9uAbr6//9q/f//CSMFAAAJNAIAAAG3+v//av3//wkmBQAACTMCAAAHv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+v//av3//wkgBQAABk4FAAAkUXVhbnRpdHkgYXR0YWNoZWQgdG8gdGhlIHRyYW5zYWN0aW9uAbH6//9q/f//CSMFAAAJQgIAAAGu+v//av3//wkmBQAACUECAAAHw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+v//av3//wkgBQAABlcFAABSU3VtbWFyeSBudW1iZXIvTG90IElEIGZvciB0cmFuc2FjdGlvbnMgYXR0YWNoZWQgdG8gdGhlIHNhbWUgaW52ZW50b3J5IHRyYW5zYWN0aW9uLgGo+v//av3//wkjBQAACVACAAABpfr//2r9//8JJgUAAAlPAgAAAcIEAAASAAAAB8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r//2r9//8GXwUAAARUeXBlCTMCAAABn/r//2r9//8GYgUAAAVMYWJlbAk0AgAAAZz6//9q/f//BmUFAAAIUmVmZXJzVG8GZgUAAAs9RGF0ZVBlcmlvZAfF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6//9q/f//CV8FAAAJFwIAAAGW+v//av3//wliBQAACRgCAAABk/r//2r9//8JZQUAAAZvBQAACz1JdGVtTnVtYmVyBNQ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iAQAAAwAAAAlxBQAABN8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gAAAAnCBAAAAwAAAAlzBQAABO8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iAQAAAwAAAAl1BQAABPk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CBAAAAwAAAAl3BQAABAk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iAQAAAwAAAAl5BQAABBk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iAQAAAwAAAAl7BQAAARsFAAASAAAABxwFAAAAAQAAAAo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T6//9//v//Bn0FAAAYVGFibGUuSW52ZW50VHJhbnMuSXRlbUlkCYkBAAABgfr//3/+//8GgAUAAB9UYWJsZS5JbnZlbnRUcmFucy5JbnZlbnRUcmFuc0lkCZUBAAABfvr//3/+//8GgwUAABtUYWJsZS5JbnZlbnRUcmFucy5UcmFuc1R5cGUJgwEAAAF7+v//f/7//waGBQAAHFRhYmxlLkludmVudFRyYW5zLlRyYW5zUmVmSWQJhgEAAAF4+v//f/7//waJBQAAHlRhYmxlLkludmVudFRyYW5zLkRhdGVQaHlzaWNhbAmMAQAAAXX6//9//v//BowFAAAfVGFibGUuSW52ZW50VHJhbnMuRGF0ZUZpbmFuY2lhbAmPAQAAAXL6//9//v//Bo8FAAAfVGFibGUuSW52ZW50VHJhbnMuU3RhdHVzUmVjZWlwdAmQBQAAAW/6//9//v//BpIFAAAdVGFibGUuSW52ZW50VHJhbnMuU3RhdHVzSXNzdWUJkwUAAAFs+v//f/7//waVBQAAFVRhYmxlLkludmVudFRyYW5zLlF0eQmSAQAAAWn6//9//v//BpgFAAAiVGFibGUuSW52ZW50VHJhbnMuQ29zdEFtb3VudFBvc3RlZAmZBQAAAR4FAACJAAAAB3E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r//2r9//8GmwUAAAVMYWJlbAnIBAAAAWP6//9q/f//Bp4FAAAEVHlwZQnHBAAAB3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r//2r9//8JXwUAAAaiBQAABEVudW0BXfr//2r9//8JYgUAAAalBQAACUl0ZW0gdHlwZQFa+v//av3//wllBQAABqgFAAAJPUl0ZW1UeXBlB3U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/r//2r9//8JmwUAAAnjBAAAAVT6//9q/f//CZ4FAAAJ4gQAAAd3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6//9q/f//CV8FAAAGsQUAAARFbnVtAU76//9q/f//CWIFAAAGtAUAAAtNb2R1bGUgdHlwZQd5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v6//9q/f//CZsFAAAJ/QQAAAFI+v//av3//wmeBQAACfwEAAAHe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+v//av3//wmbBQAACQ0FAAABQvr//2r9//8JngUAAAkMBQAAAZAFAACDAQAAAT/6//84/////////wAGwgUAAARFbnVtBsMFAAAOUmVjZWlwdCBzdGF0dXMJ/QEAAAE7+v//Nv///wIAAAABOvr//wH+//8BAAAAAAAJAAIAAAbIBQAADVN0YXR1c1JlY2VpcHQJCAAAAAr/////CQACAAAKCcgFAAAKCgoJCAAAAAnNBQAACQgAAAABkwUAAIMBAAABMfr//zj/////////AAbQBQAABEVudW0G0QUAAAxJc3N1ZSBzdGF0dXMJ/QEAAAEt+v//Nv///wIAAAABLPr//wH+//8BAAAAAAAJAAIAAAbWBQAAC1N0YXR1c0lzc3VlCQgAAAAK/////wkAAgAACgnWBQAACgoKCQgAAAAJ2wUAAAkIAAAAAZkFAACDAQAAASP6//84/////////wAG3gUAAARSZWFsBt8FAAAVRmluYW5jaWFsIGNvc3QgYW1vdW50Cf0BAAABH/r//zb///8CAAAAAR76//8B/v//AQAAAAAACQACAAAG5AUAABBDb3N0QW1vdW50UG9zdGVkCQgAAAAK/////wkAAgAACgnkBQAACgoKCQgAAAAJ6QUAAAkIAAAABM0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3AQAAAwAAAAnsBQAABNs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3AQAAAwAAAAnuBQAABOk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3AQAAAwAAAAnwBQAAB+w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r//2r9//8JIAUAAAbzBQAAKVN0YXR1cyBvZiBxdWFudGl0eSBpbiByZWxhdGlvbiB0byByZWNlaXB0AQz6//9q/f//CSMFAAAJwwUAAAEJ+v//av3//wkmBQAACcIFAAAH7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+v//av3//wkgBQAABvwFAAApU3RhdHVzIGZvciBxdWFudGl0eSBpbiByZWxhdGlvbiB0byBpc3N1ZXMBA/r//2r9//8JIwUAAAnRBQAAAQD6//9q/f//CSYFAAAJ0AUAAAf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35//9q/f//CSAFAAAGBQYAADVJbnZlbnRvcnkgdmFsdWUgZm9yIHRoZSBmaW5hbmNpYWxseSB1cGRhdGVkIHF1YW50aXR5LgH6+f//av3//wkjBQAACd8FAAAB9/n//2r9//8JJgUAAAneBQAACw=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lUcmFuc1R5cGUGKgAAAAlSZWZlcmVuY2UGKwAAAARFbnVtBiwAAAAABi0AAAAkMTJiNTM3NTktOTVlMS00MTBiLTk3YzgtNjNjMmQ0MDgwMDBiBdL///8tR2xvYmVTb2Z0d2FyZS5BdGxhczQwLkF0bGFzQ29tbW9uLkFnZ3JlZ2F0aW9uAQAAAAd2YWx1ZV9fAAgOAAAA/////wAAAAAF0f///yxHbG9iZVNvZnR3YXJlLkF0bGFzNDAuQXRsYXNDb21tb24uQ29sdW1uVHlwZQEAAAAHdmFsdWVfXwAIDgAAAAAAAAAF0P///ytHbG9iZVNvZnR3YXJlLkF0bGFzNDAuQXRsYXNDb21tb24uU29ydE9yZGVyAQAAAAd2YWx1ZV9fAAgOAAAAAgAAAAAAAAAABc////9AR2xvYmVTb2Z0d2FyZS5BdGxhczQwLkF0bGFzQ29tbW9uLlR5cGUuQ29sdW1uK0Nyb3NzVGFiQ29sdW1uVHlwZQEAAAAHdmFsdWVfXwAIDgAAAAAAAAAKAQAAAAAAAAAAAAAAAAAGMgAAACQwZTg1ZTYyYS1iMzNhLTRjZjktODA1MS0xNGE2YWRjNTQzYTYGMwAAABtUYWJsZS5JbnZlbnRUcmFucy5UcmFuc1R5cGUKCgoKARUAAAAUAAAACTQAAAAJNQAAAAk2AAAABjcAAAAKVHJhbnNSZWZJZAY4AAAABk51bWJlcgY5AAAABlN0cmluZwksAAAABjsAAAAkNDQ3ZTYxZjEtNTJlYy00ZjkxLWJkN2EtZTNkYWE1NjAyZjdlAcT////S/////////wEAAAABw////9H///8AAAAAAcL////Q////AgAAAAAAAAAAAcH////P////AAAAAAoBAAAAAAAAAAABAAAAAAZAAAAAJDdkNjQ0YTkzLTkwYmMtNGYxYi04ZGI0LTlmNjdhMTAzYjk4YQZBAAAAHFRhYmxlLkludmVudFRyYW5zLlRyYW5zUmVmSWQKCgoKARYAAAAUAAAACUIAAAAJQwAAAAlEAAAABkUAAAAGSXRlbUlkBkYAAAALSXRlbSBudW1iZXIGRwAAAAZTdHJpbmcJLAAAAAZJAAAAJDY2Yjk4Nzg3LWU1YjUtNGYwMy1iNzMzLTJiYjdkZmU2YjAzNgG2////0v////////8CAAAAAbX////R////AAAAAAG0////0P///wIAAAAAAAAAAAGz////z////wAAAAAKAQAAAAAAAAAAAgAAAAAGTgAAACQ3ZmVkOGQyYS02ZjlkLTQ1MzYtODM5Mi0yNTYyOWY2YjEyMzQGTwAAABhUYWJsZS5JbnZlbnRUcmFucy5JdGVtSWQKCgoKARcAAAAUAAAACVAAAAAJUQAAAAlSAAAABlMAAAAISXRlbU5hbWUGVAAAAAlJdGVtIG5hbWUGVQAAAAZTdHJpbmcJLAAAAAZXAAAAJGYwZDYwODc4LWFiNmEtNGIwZC1iYjBmLTljOGY1M2RiYjdlOQGo////0v////////8DAAAAAaf////R////AAAAAAGm////0P///wIAAAAAAAAAAAGl////z////wAAAAAKAQAAAAAAAAAAAwAAAAAGXAAAACRhMDIxZDczYy1hZTY1LTQ5ODYtYmYzZC0wNmM0Mzc5YmRjOTMGXQAAADNUYWJsZS5JbnZlbnRUcmFucy5JdGVtSWR+VGFibGUuSW52ZW50VGFibGUuSXRlbU5hbWUKCgoKARgAAAAUAAAACV4AAAAJXwAAAAlgAAAABmEAAAAMSW52ZW50U2l0ZUlkBmIAAAAEU2l0ZQZjAAAABlN0cmluZwksAAAABmUAAAAkOTNmN2M5ODAtMjJjYy00Njg3LTg4ODUtNTU2NzhjNTZjZTVkAZr////S/////////wQAAAABmf///9H///8AAAAAAZj////Q////AgAAAAAAAAAAAZf////P////AAAAAAoBAAAAAAAAAAAEAAAAAAZqAAAAJDRiZjMyOThkLWY3YjUtNGE0Yi05NWZmLTc0NDdlZmE3Zjg5NAZrAAAAOlRhYmxlLkludmVudFRyYW5zLmludmVudERpbUlkflRhYmxlLkludmVudERpbS5JbnZlbnRTaXRlSWQKCgoKARkAAAAUAAAACWwAAAAJbQAAAAluAAAABm8AAAAQSW52ZW50TG9jYXRpb25JZAZwAAAACVdhcmVob3VzZQZxAAAABlN0cmluZwksAAAABnMAAAAkZmNjNWE5YTEtZmYyOS00OGRmLWIxNmQtOTQ5ZWRlMDYxY2Q4AYz////S/////////wUAAAABi////9H///8AAAAAAYr////Q////AgAAAAAAAAAAAYn////P////AAAAAAoBAAAAAAAAAAAFAAAAAAZ4AAAAJDQwNDk1ZjM0LTM4MTAtNDFlYy1hOWIyLWExN2Y5YzdlODE0YwZ5AAAAPlRhYmxlLkludmVudFRyYW5zLmludmVudERpbUlkflRhYmxlLkludmVudERpbS5JbnZlbnRMb2NhdGlvbklkCgoKCgEaAAAAFAAAAAl6AAAACXsAAAAJfAAAAAZ9AAAADERhdGVQaHlzaWNhbAZ+AAAADVBoeXNpY2FsIGRhdGUGfwAAAAREYXRlCSwAAAAGgQAAACQ5OTE4MWM0Yi05YWZhLTRmNDEtYmQzNC1jNzk5MDZlOTY1MDcBfv///9L/////////BgAAAAF9////0f///wAAAAABfP///9D///8CAAAAAAAAAAABe////8////8AAAAACgEAAAAAAAAAAAYAAAAABoYAAAAkYWM2ODFlN2EtNmJkYy00NTUxLWI0MjQtOTY5ZjE1OGMwOThjBocAAAAeVGFibGUuSW52ZW50VHJhbnMuRGF0ZVBoeXNpY2FsCgoKCgEbAAAAFAAAAAmIAAAACYkAAAAJigAAAAaLAAAADURhdGVGaW5hbmNpYWwGjAAAAA5GaW5hbmNpYWwgZGF0ZQaNAAAABERhdGUJLAAAAAaPAAAAJDkxMzNkNmVhLTk2OTAtNDk0YS05YWI0LTFjZDAwNTM5MjVlMQFw////0v////////8HAAAAAW/////R////AAAAAAFu////0P///wIAAAAAAAAAAAFt////z////wAAAAAKAQAAAAAAAAAABwAAAAAGlAAAACQ4NDA0YTk5OS1hZDFmLTRkYjQtODIwMy1mMTZlZjk2YWQwMDcGlQAAAB9UYWJsZS5JbnZlbnRUcmFucy5EYXRlRmluYW5jaWFsCgoKCgEcAAAAFAAAAAmWAAAACZcAAAAJmAAAAAaZAAAAA1F0eQaaAAAACFF1YW50aXR5BpsAAAAEUmVhbAksAAAABp0AAAAkNzMwMzQ0MjItM2ZiZS00MjdlLWE1ZjAtNDFlOTJmMGYyNzJlAWL////S////AQAAAAgAAAABYf///9H///8AAAAAAWD////Q////AgAAAAAAAAAAAV/////P////AAAAAAoBAAAAAAAAAAAIAAAAAAaiAAAAJDU1MDBkYzM2LWY3MzgtNDFiNC1iMTU1LTY3YTc5MjhjNTc1NAajAAAAFVRhYmxlLkludmVudFRyYW5zLlF0eQoKCgoBHQAAABQAAAAJpAAAAAmlAAAACaYAAAAGpwAAAAZVbml0SWQGqAAAAARVbml0BqkAAAAGU3RyaW5nCSwAAAAGqwAAACQ3NjE1NmNmMy00YmQ3LTQyZjgtYmU0Yy1jOTFiMjgxMmI0MWMBVP///9L/////////CQAAAAFT////0f///wAAAAABUv///9D///8CAAAAAAAAAAABUf///8////8AAAAACgEAAAAAAAAAAAkAAAAABrAAAAAkNjgxODgzYjEtZDZhNS00NGRhLTgwOGUtYjlhZDI2OWNiOGY2BrEAAABQVGFibGUuSW52ZW50VHJhbnMuSXRlbUlkflRhYmxlLkludmVudFRhYmxlLkl0ZW1JZH5UYWJsZS5JbnZlbnRUYWJsZU1vZHVsZS5Vbml0SWQKCgoKAR4AAAAUAAAACbIAAAAJswAAAAm0AAAABrUAAAANSW52ZW50VHJhbnNJZAa2AAAABkxvdCBJRAa3AAAABlN0cmluZwksAAAABrkAAAAkM2ZhMmE0MWYtNTRlZS00NjY3LThjNmYtZTBjM2EzNjg3MWFiAUb////S/////////woAAAABRf///9H///8AAAAAAUT////Q////AgAAAAAAAAAAAUP////P////AAAAAAoBAAAAAAAAAAAKAAAAAAa+AAAAJGZjMDMyZmNlLTgzZGYtNDI0YS05OTJlLTBlMDQzM2FjZWI2ZAa/AAAAH1RhYmxlLkludmVudFRyYW5zLkludmVudFRyYW5zSWQKCgoKAR8AAAAUAAAACcAAAAAJwQAAAAnCAAAABsMAAAA3QXRsYXNNYW5hZ2VkQ29sdW1uXzVkZTU5YjEzLTI4YTAtNDJhZC1iOGM2LTE5ZDIzNTY3NjIzYQbEAAAAElZlbmRJbnZvaWNlVHJhbnNJZAksAAAACSwAAAAGxgAAACRlNDk2MjA2Zi05YzhhLTRhMzMtYjc3Mi0wZGJhZmZhY2M1ZDUBOf///9L/////////CwAAAAE4////0f///wIAAAABN////9D///8CAAAAAAAAAAABNv///8////8AAAAACgEAAAAAAAAAAAsAAAAABssAAAAkMjI4ZTE0MTAtMDc4NC00NDljLTg4NTEtOTNkOWE3YzNkODFiCSwAAAAKCgoKASAAAAAUAAAACc0AAAAJzgAAAAnPAAAABtAAAAA3QXRsYXNNYW5hZ2VkQ29sdW1uX2RiOWQ0N2U1LTJhYTItNGVlNy04Yzg1LTVlNTkyOTg4NjlkMQbRAAAACEN1cnJlbmN5CSwAAAAJLAAAAAbTAAAAJGVmZmVkYzZhLWZhMTgtNDAyZi05NGQ1LWIxMzM5NDhmZmUyMwEs////0v////////8MAAAAASv////R////AgAAAAEq////0P///wIAAAAAAAAAAAEp////z////wAAAAAKAQAAAAAAAAAADAAAAAAG2AAAACQ3MDAwMmQ2NS0wODk5LTQ1MGMtODBkOC00NzJlNjQ5YzQwMzIJLAAAAAoKCgoBIQAAABQAAAAJ2gAAAAnbAAAACdwAAAAG3QAAADdBdGxhc01hbmFnZWRDb2x1bW5fYzZlZjdiMWQtYjg2YS00NTFjLWE4NDUtM2Y5OGQ4ZWZhYTIwBt4AAAAcVFBQIChQdXJjaGFzZSBpbnZvaWNlIHRyYW5zKQksAAAACSwAAAAG4AAAACQxZDRiZTkxZC0zY2Q5LTQ2MzQtOGY0Zi03NjJkYTI1NWFlZTgBH////9L/////////DQAAAAEe////0f///wIAAAABHf///9D///8CAAAAAAAAAAABHP///8////8AAAAACgEAAAAAAAAAAA0AAAAABuUAAAAkNjI5NTA3YjktMzlhYy00MTZkLWIwOGEtZTdiM2UyZjEwZWYzCSwAAAAKCgoKBSQAAAA4R2xvYmVTb2Z0d2FyZS5BdGxhczQwLkF0bGFzQ29tbW9uQ2xpZW50LlJlcG9ydC5SZWZlcmVuY2UBAAAACl9yZWZlcmVuY2UHCCIAAAAJ5wAAAAclAAAAAAEAAAAIAAAABDxHbG9iZVNvZnR3YXJlLkF0bGFzNDAuQXRsYXNDb21tb25DbGllbnQuRGF0YVNvdXJjZUZpZWxkVmFsdWUiAAAACegAAAAJ6QAAAAnqAAAACesAAAAJ7AAAAA0DBCY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e0AAAABAAAAAQAAAAQn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cEAAAAJ7gAAAAcAAAAJ7wAAAAQ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8AAAAAcAAAAJ8QAAAAE0AAAAJgAAAAnyAAAAAQAAAAEAAAABNQAAACcAAADBAAAACe4AAAAHAAAACfQAAAABNgAAACgAAAC9AAAACfAAAAAHAAAACfYAAAABQgAAACYAAAAJ9wAAAAEAAAABAAAAAUMAAAAnAAAAwgAAAAnuAAAABwAAAAn5AAAAAUQAAAAoAAAAvQAAAAnwAAAABwAAAAn7AAAAAVAAAAAmAAAACfwAAAABAAAAAQAAAAFRAAAAJwAAALkAAAAJ/QAAAAcAAAAJ/gAAAAFSAAAAKAAAALYAAAAJ/wAAAAcAAAAJAAEAAAFeAAAAJgAAAAkBAQAAAQAAAAEAAAABXwAAACcAAAC5AAAACf0AAAAHAAAACQMBAAABYAAAACgAAAC2AAAACf8AAAAHAAAACQUBAAABbAAAACYAAAAJBgEAAAEAAAABAAAAAW0AAAAnAAAAuQAAAAn9AAAABwAAAAkIAQAAAW4AAAAoAAAAtgAAAAn/AAAABwAAAAkKAQAAAXoAAAAmAAAACQsBAAABAAAAAQAAAAF7AAAAJwAAAMEAAAAJ7gAAAAcAAAAJDQEAAAF8AAAAKAAAAL0AAAAJ8AAAAAcAAAAJDwEAAAGIAAAAJgAAAAkQAQAAAQAAAAEAAAABiQAAACcAAADBAAAACe4AAAAHAAAACRIBAAABigAAACgAAAC9AAAACfAAAAAHAAAACRQBAAABlgAAACYAAAAJFQEAAAEAAAABAAAAAZcAAAAnAAAAwQAAAAnuAAAABwAAAAkXAQAAAZgAAAAoAAAAvQAAAAnwAAAABwAAAAkZAQAAAaQAAAAmAAAACRoBAAABAAAAAQAAAAGlAAAAJwAAALkAAAAJ/QAAAAcAAAAJHAEAAAGmAAAAKAAAALYAAAAJ/wAAAAcAAAAJHgEAAAGyAAAAJgAAAAkfAQAAAQAAAAEAAAABswAAACcAAADBAAAACe4AAAAHAAAACSEBAAABtAAAACgAAAC9AAAACfAAAAAHAAAACSMBAAABwAAAACYAAAAJJAEAAAAAAAAAAAAAAcEAAAAnAAAAgwAAAAklAQAABwAAAAkmAQAAAcIAAAAoAAAAfgAAAAknAQAABwAAAAkoAQAAAc0AAAAmAAAACSkBAAAAAAAAAAAAAAHOAAAAJwAAAKoAAAAJKgEAAAcAAAAJKwEAAAHPAAAAKAAAAKEAAAAJLAEAAAcAAAAJLQEAAAHaAAAAJgAAAAkpAQAAAAAAAAAAAAAB2wAAACcAAACqAAAACSoBAAAHAAAACTABAAAB3AAAACgAAAChAAAACSwBAAAHAAAACTIBAAAP5wAAAAEAAAAIAQAAAAXoAAAAPEdsb2JlU29mdHdhcmUuQXRsYXM0MC5BdGxhc0NvbW1vbkNsaWVudC5EYXRhU291cmNlRmllbGRWYWx1ZQQAAAASX2lzRHJpbGxEb3duRmlsdGVyBl9kc0tleQpfZmllbGRuYW1lC19maWVsZFZhbHVlAAEBAQEiAAAAAAYzAQAAEVRhYmxlLkludmVudFRyYW5zBjQBAAAKRGF0YUFyZWFJZAkGAAAAAekAAADoAAAAAAkzAQAABjcBAAANRGF0ZUZpbmFuY2lhbAY4AQAAGDEyLjAxLjIwMTcgLi4gMTIuMzEuMjAxNwHqAAAA6AAAAAAJMwEAAAY6AQAABkl0ZW1JZAY7AQAAASoB6wAAAOgAAAAABjwBAAAqVGFibGUuSW52ZW50VHJhbnMuSXRlbUlkflRhYmxlLkludmVudFRhYmxlBj0BAAAISXRlbVR5cGUGPgEAAAkhU2VydmljZXMB7AAAAOgAAAAABj8BAABJVGFibGUuSW52ZW50VHJhbnMuSXRlbUlkflRhYmxlLkludmVudFRhYmxlLkl0ZW1JZH5UYWJsZS5JbnZlbnRUYWJsZU1vZHVsZQZAAQAACk1vZHVsZVR5cGUGQQEAAAZJbnZlbnQH7QAAAAABAAAABAAAAAQ3R2xvYmVTb2Z0d2FyZS5BdGxhczQwLkF0bGFzQ29tbW9uLlR5cGUuRmllbGRPdXRwdXRGaWVsZA4AAAAJQgEAAA0DBO4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+8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9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bz+//8yR2xvYmVTb2Z0d2FyZS5BdGxhczQwLkF0bGFzQ29tbW9uLkNvbHVtbkF0dHJpYnV0ZXMBAAAAB3ZhbHVlX18ACA4AAAAQAAAABkUBAAAETm9uZQG6/v//vf7//wG5/v//vP7//wkAAAAJLAAAAAG3/v//vf7//wG2/v//vP7//wsAAAAGSwEAAAEwAbT+//+9/v//AbP+//+8/v//BAAAAAZOAQAAB0dlbmVyYWwBsf7//73+//8BsP7//7z+//8CAAAABlEBAAABMQGu/v//vf7//wGt/v//vP7//wAAAAAGVAEAAAUxMy43MQHwAAAADAAAAA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Kv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VgEAAAhGb250Qm9sZAZXAQAABUZhbHNlAaj+//+r/v//BlkBAAAKRm9udEl0YWxpYwlXAQAAAaX+//+r/v//BlwBAAANRm9udFVuZGVybGluZQZdAQAABS00MTQyAaL+//+r/v//Bl8BAAAIRm9udE5hbWUGYAEAAAdDYWxpYnJpAZ/+//+r/v//BmIBAAAJRm9udENvbG9yBmMBAAABMAGc/v//q/7//wZlAQAACEZvbnRTaXplBmYBAAACMTEBmf7//6v+//8GaAEAAAlGb250U3R5bGUGaQEAAAdSZWd1bGFyB/IAAAAAAQAAAAQAAAAEN0dsb2JlU29mdHdhcmUuQXRsYXM0MC5BdGxhc0NvbW1vbi5UeXBlLkZpZWxkT3V0cHV0RmllbGQOAAAACWoBAAANAwf0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f7//73+//8BlP7//7z+//8QAAAACUUBAAABkv7//73+//8Bkf7//7z+//8JAAAACSwAAAABj/7//73+//8Bjv7//7z+//8LAAAABnMBAAABMQGM/v//vf7//wGL/v//vP7//wQAAAAGdgEAAAdHZW5lcmFsAYn+//+9/v//AYj+//+8/v//AgAAAAZ5AQAAATEBhv7//73+//8Bhf7//7z+//8AAAAABnwBAAAFMTAuODYH9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v//q/7//wlWAQAACVcBAAABgP7//6v+//8JWQEAAAlXAQAAAX3+//+r/v//CVwBAAAGhQEAAAUtNDE0MgF6/v//q/7//wlfAQAABogBAAAHQ2FsaWJyaQF3/v//q/7//wliAQAABosBAAABMAF0/v//q/7//wllAQAABo4BAAACMTEBcf7//6v+//8JaAEAAAaRAQAAB1JlZ3VsYXIH9wAAAAABAAAABAAAAAQ3R2xvYmVTb2Z0d2FyZS5BdGxhczQwLkF0bGFzQ29tbW9uLlR5cGUuRmllbGRPdXRwdXRGaWVsZA4AAAAJkgEAAA0DB/k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v//vf7//wFs/v//vP7//wYAAAAGlQEAAAVUb3RhbAFq/v//vf7//wFp/v//vP7//xAAAAAJRQEAAAFn/v//vf7//wFm/v//vP7//wkAAAAJLAAAAAFk/v//vf7//wFj/v//vP7//wsAAAAGngEAAAEyAWH+//+9/v//AWD+//+8/v//BAAAAAahAQAAB0dlbmVyYWwBXv7//73+//8BXf7//7z+//8CAAAABqQBAAABMQFb/v//vf7//wFa/v//vP7//wAAAAAGpwEAAAUxMy43MQf7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j+//+r/v//CVYBAAAJVwEAAAFV/v//q/7//wlZAQAACVcBAAABUv7//6v+//8JXAEAAAawAQAABS00MTQyAU/+//+r/v//CV8BAAAGswEAAAdDYWxpYnJpAUz+//+r/v//CWIBAAAGtgEAAAEwAUn+//+r/v//CWUBAAAGuQEAAAIxMQFG/v//q/7//wloAQAABrwBAAAHUmVndWxhcgf8AAAAAAEAAAAEAAAABDdHbG9iZVNvZnR3YXJlLkF0bGFzNDAuQXRsYXNDb21tb24uVHlwZS5GaWVsZE91dHB1dEZpZWxkDgAAAAm9AQAADQMB/QAAAO4AAAAH/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L+//+9/v//AUH+//+8/v//CQAAAAksAAAAAT/+//+9/v//AT7+//+8/v//CwAAAAbDAQAAATMBPP7//73+//8BO/7//7z+//8EAAAABsYBAAAHR2VuZXJhbAE5/v//vf7//wE4/v//vP7//wIAAAAGyQEAAAExATb+//+9/v//ATX+//+8/v//AAAAAAbMAQAABTM0LjE0Af8AAAAMAAAABw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7//6v+//8JVgEAAAlXAQAAATD+//+r/v//CVkBAAAJVwEAAAEt/v//q/7//wlcAQAABtUBAAAFLTQxNDIBKv7//6v+//8JXwEAAAbYAQAAB0NhbGlicmkBJ/7//6v+//8JYgEAAAbbAQAAATABJP7//6v+//8JZQEAAAbeAQAAAjExASH+//+r/v//CWgBAAAG4QEAAAdSZWd1bGFyBwEBAAAAAQAAAAQAAAAEN0dsb2JlU29mdHdhcmUuQXRsYXM0MC5BdGxhc0NvbW1vbi5UeXBlLkZpZWxkT3V0cHV0RmllbGQOAAAACeIBAAANAwcD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7//73+//8BHP7//7z+//8JAAAACSwAAAABGv7//73+//8BGf7//7z+//8LAAAABugBAAABNAEX/v//vf7//wEW/v//vP7//wQAAAAG6wEAAAdHZW5lcmFsART+//+9/v//ARP+//+8/v//AgAAAAbuAQAAATEBEf7//73+//8BEP7//7z+//8AAAAABvEBAAABNgc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7+//+r/v//CVYBAAAJVwEAAAEL/v//q/7//wlZAQAACVcBAAABCP7//6v+//8JXAEAAAb6AQAABS00MTQyAQX+//+r/v//CV8BAAAG/QEAAAdDYWxpYnJpAQL+//+r/v//CWIBAAAGAAIAAAEwAf/9//+r/v//CWUBAAAGAwIAAAIxMQH8/f//q/7//wloAQAABgYCAAAHUmVndWxhcgcGAQAAAAEAAAAEAAAABDdHbG9iZVNvZnR3YXJlLkF0bGFzNDAuQXRsYXNDb21tb24uVHlwZS5GaWVsZE91dHB1dEZpZWxkDgAAAAkHAgAADQMHC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j9//+9/v//Aff9//+8/v//CQAAAAksAAAAAfX9//+9/v//AfT9//+8/v//CwAAAAYNAgAAATUB8v3//73+//8B8f3//7z+//8EAAAABhACAAAHR2VuZXJhbAHv/f//vf7//wHu/f//vP7//wIAAAAGEwIAAAExAez9//+9/v//Aev9//+8/v//AAAAAAYWAgAABTEyLjg2Bw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f3//6v+//8JVgEAAAlXAQAAAeb9//+r/v//CVkBAAAJVwEAAAHj/f//q/7//wlcAQAABh8CAAAFLTQxNDIB4P3//6v+//8JXwEAAAYiAgAAB0NhbGlicmkB3f3//6v+//8JYgEAAAYlAgAAATAB2v3//6v+//8JZQEAAAYoAgAAAjExAdf9//+r/v//CWgBAAAGKwIAAAdSZWd1bGFyBwsBAAAAAQAAAAQAAAAEN0dsb2JlU29mdHdhcmUuQXRsYXM0MC5BdGxhc0NvbW1vbi5UeXBlLkZpZWxkT3V0cHV0RmllbGQOAAAACSwCAAANAwcN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/3//73+//8B0v3//7z+//8QAAAACUUBAAAB0P3//73+//8Bz/3//7z+//8JAAAACSwAAAABzf3//73+//8BzP3//7z+//8LAAAABjUCAAABNgHK/f//vf7//wHJ/f//vP7//wQAAAAGOAIAAAhtL2QveXl5eQHH/f//vf7//wHG/f//vP7//wIAAAAGOwIAAAExAcT9//+9/v//AcP9//+8/v//AAAAAAY+AgAABTE0LjE0Bw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3//6v+//8JVgEAAAlXAQAAAb79//+r/v//CVkBAAAJVwEAAAG7/f//q/7//wlcAQAABkcCAAAFLTQxNDIBuP3//6v+//8JXwEAAAZKAgAAB0NhbGlicmkBtf3//6v+//8JYgEAAAZNAgAAATABsv3//6v+//8JZQEAAAZQAgAAAjExAa/9//+r/v//CWgBAAAGUwIAAAdSZWd1bGFyBxABAAAAAQAAAAQAAAAEN0dsb2JlU29mdHdhcmUuQXRsYXM0MC5BdGxhc0NvbW1vbi5UeXBlLkZpZWxkT3V0cHV0RmllbGQOAAAACVQCAAANAwcS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3//73+//8Bqv3//7z+//8QAAAACUUBAAABqP3//73+//8Bp/3//7z+//8JAAAACSwAAAABpf3//73+//8BpP3//7z+//8LAAAABl0CAAABNwGi/f//vf7//wGh/f//vP7//wQAAAAGYAIAAAhtL2QveXl5eQGf/f//vf7//wGe/f//vP7//wIAAAAGYwIAAAExAZz9//+9/v//AZv9//+8/v//AAAAAAZmAgAAAjE1Bx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3//6v+//8JVgEAAAlXAQAAAZb9//+r/v//CVkBAAAJVwEAAAGT/f//q/7//wlcAQAABm8CAAAFLTQxNDIBkP3//6v+//8JXwEAAAZyAgAAB0NhbGlicmkBjf3//6v+//8JYgEAAAZ1AgAAATABiv3//6v+//8JZQEAAAZ4AgAAAjExAYf9//+r/v//CWgBAAAGewIAAAdSZWd1bGFyBxUBAAAAAQAAAAQAAAAEN0dsb2JlU29mdHdhcmUuQXRsYXM0MC5BdGxhc0NvbW1vbi5UeXBlLkZpZWxkT3V0cHV0RmllbGQOAAAACXwCAAANAwcX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/3//73+//8Bgv3//7z+//8QAAAACUUBAAABgP3//73+//8Bf/3//7z+//8JAAAACSwAAAABff3//73+//8BfP3//7z+//8LAAAABoUCAAABOAF6/f//vf7//wF5/f//vP7//wQAAAAGiAIAAAdHZW5lcmFsAXf9//+9/v//AXb9//+8/v//AgAAAAaLAgAAATEBdP3//73+//8Bc/3//7z+//8AAAAABo4CAAAFMTAuMjkHG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f//q/7//wlWAQAACVcBAAABbv3//6v+//8JWQEAAAlXAQAAAWv9//+r/v//CVwBAAAGlwIAAAUtNDE0MgFo/f//q/7//wlfAQAABpoCAAAHQ2FsaWJyaQFl/f//q/7//wliAQAABp0CAAABMAFi/f//q/7//wllAQAABqACAAACMTEBX/3//6v+//8JaAEAAAajAgAAB1JlZ3VsYXIHGgEAAAABAAAABAAAAAQ3R2xvYmVTb2Z0d2FyZS5BdGxhczQwLkF0bGFzQ29tbW9uLlR5cGUuRmllbGRPdXRwdXRGaWVsZA4AAAAJpAIAAA0DBxw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b/f//vf7//wFa/f//vP7//wkAAAAJLAAAAAFY/f//vf7//wFX/f//vP7//wsAAAAGqgIAAAE5AVX9//+9/v//AVT9//+8/v//BAAAAAatAgAAB0dlbmVyYWwBUv3//73+//8BUf3//7z+//8CAAAABrACAAABMQFP/f//vf7//wFO/f//vP7//wAAAAAGswIAAAQ2LjQzBx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3//6v+//8JVgEAAAlXAQAAAUn9//+r/v//CVkBAAAJVwEAAAFG/f//q/7//wlcAQAABrwCAAAFLTQxNDIBQ/3//6v+//8JXwEAAAa/AgAAB0NhbGlicmkBQP3//6v+//8JYgEAAAbCAgAAATABPf3//6v+//8JZQEAAAbFAgAAAjExATr9//+r/v//CWgBAAAGyAIAAAdSZWd1bGFyBx8BAAAAAQAAAAQAAAAEN0dsb2JlU29mdHdhcmUuQXRsYXM0MC5BdGxhc0NvbW1vbi5UeXBlLkZpZWxkT3V0cHV0RmllbGQOAAAACckCAAANAwch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3//73+//8BNf3//7z+//8QAAAACUUBAAABM/3//73+//8BMv3//7z+//8JAAAACSwAAAABMP3//73+//8BL/3//7z+//8LAAAABtICAAACMTABLf3//73+//8BLP3//7z+//8EAAAABtUCAAAHR2VuZXJhbAEq/f//vf7//wEp/f//vP7//wIAAAAG2AIAAAExASf9//+9/v//ASb9//+8/v//AAAAAAbbAgAABDkuNDMHI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f//q/7//wlWAQAACVcBAAABIf3//6v+//8JWQEAAAlXAQAAAR79//+r/v//CVwBAAAG5AIAAAUtNDE0MgEb/f//q/7//wlfAQAABucCAAAHQ2FsaWJyaQEY/f//q/7//wliAQAABuoCAAABMAEV/f//q/7//wllAQAABu0CAAACMTEBEv3//6v+//8JaAEAAAbwAgAAB1JlZ3VsYXIHJAEAAAABAAAAAAAAAAQ3R2xvYmVTb2Z0d2FyZS5BdGxhczQwLkF0bGFzQ29tbW9uLlR5cGUuRmllbGRPdXRwdXRGaWVsZA4AAAABJQEAAO4AAAAHJ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/9//+9/v//AQ79//+8/v//JAAAAAnEAAAAAQz9//+9/v//AQv9//+8/v//CwAAAAb2AgAAAjExAQn9//+9/v//AQj9//+8/v//BAAAAAb5AgAAB0dlbmVyYWwBBv3//73+//8BBf3//7z+//8CAAAABvwCAAABMQED/f//vf7//wEC/f//vP7//wAAAAAG/wIAAAUyMC40MwEA/f//vf7//wH//P//vP7//wMAAAAGAgMAAJ0BPUlGKFtAUmVmZXJlbmNlXT0iUHVyY2hhc2Ugb3JkZXIiLEF0bGFzVGFibGUoIlVBVCIsRGF0YUFyZWFJZCwiVC5WZW5kSW52b2ljZVRyYW5zIiwiJVJlY0lkIiwiIiwiIiwiIiwiIiwiIiwiIiwiSXRlbUlkfFB1cmNoSUR8SW52ZW50VHJhbnNJZCIsJEMzLCRCMywkSzMpLCIiKQEnAQAADAAAAAc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38//+r/v//BgQDAAAIRm9udEJvbGQJVwEAAAH6/P//q/7//wYHAwAACkZvbnRJdGFsaWMJVwEAAAH3/P//q/7//wYKAwAADUZvbnRVbmRlcmxpbmUGCwMAAAUtNDE0MgH0/P//q/7//wYNAwAACEZvbnROYW1lBg4DAAAHQ2FsaWJyaQHx/P//q/7//wYQAwAACUZvbnRDb2xvcgYRAwAAATAB7vz//6v+//8GEwMAAAhGb250U2l6ZQYUAwAAAjExAev8//+r/v//BhYDAAAJRm9udFN0eWxlBhcDAAAHUmVndWxhcgcpAQAAAAEAAAAAAAAABDdHbG9iZVNvZnR3YXJlLkF0bGFzNDAuQXRsYXNDb21tb24uVHlwZS5GaWVsZE91dHB1dEZpZWxkDgAAAAEqAQAA7gAAAAcr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Pz//73+//8B5/z//7z+//8kAAAACdEAAAAB5fz//73+//8B5Pz//7z+//8LAAAABh0DAAACMTIB4vz//73+//8B4fz//7z+//8EAAAABiADAAAHR2VuZXJhbAHf/P//vf7//wHe/P//vP7//wIAAAAGIwMAAAExAdz8//+9/v//Adv8//+8/v//AAAAAAYmAwAABTEwLjQzAdn8//+9/v//Adj8//+8/v//AwAAAAYpAwAAqQE9SUYoW0BSZWZlcmVuY2VdPSJQdXJjaGFzZSBvcmRlciIsQXRsYXNUYWJsZSgiVUFUIixEYXRhQXJlYUlkLCJULk1hcmt1cFRyYW5zIiwiJUN1cnJlbmN5Q29kZSIsIiIsIiIsIiIsIiIsIiIsIiIsIk1hcmt1cENvZGV8VHJhbnNSZWNJZHxUcmFuc1RhYmxlSWQiLCJUUFAiLCRMMywiNDkyIiksIiIpASwBAAAMAAAABy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vz//6v+//8GKwMAAAhGb250Qm9sZAlXAQAAAdP8//+r/v//Bi4DAAAKRm9udEl0YWxpYwlXAQAAAdD8//+r/v//BjEDAAANRm9udFVuZGVybGluZQYyAwAABS00MTQyAc38//+r/v//BjQDAAAIRm9udE5hbWUGNQMAAAdDYWxpYnJpAcr8//+r/v//BjcDAAAJRm9udENvbG9yBjgDAAABMAHH/P//q/7//wY6AwAACEZvbnRTaXplBjsDAAACMTEBxPz//6v+//8GPQMAAAlGb250U3R5bGUGPgMAAAdSZWd1bGFyBz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P//vf7//wHA/P//vP7//yQAAAAJ3gAAAAG+/P//vf7//wG9/P//vP7//wsAAAAGRAMAAAIxMwG7/P//vf7//wG6/P//vP7//wQAAAAGRwMAAAdHZW5lcmFsAbj8//+9/v//Abf8//+8/v//AgAAAAZKAwAAATEBtfz//73+//8BtPz//7z+//8AAAAABk0DAAACMjgBsvz//73+//8Bsfz//7z+//8DAAAABlADAACqAT1JRihbQFJlZmVyZW5jZV09IlB1cmNoYXNlIG9yZGVyIixBdGxhc0JhbGFuY2UoIlVBVCIsRGF0YUFyZWFJZCwiVC5NYXJrdXBUcmFucyIsIlN1bXxQb3N0ZWR8MCIsIiIsIiIsIiIsIiIsIiIsIiIsIk1hcmt1cENvZGV8VHJhbnNUYWJsZUlkfFRyYW5zUmVjSWQiLCJUUFAiLCI0OTIiLCRMMyksIiIpBz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/z//6v+//8JKwMAAAlXAQAAAaz8//+r/v//CS4DAAAJVwEAAAGp/P//q/7//wkxAwAABlkDAAAFLTQxNDIBpvz//6v+//8JNAMAAAZcAwAAB0NhbGlicmkBo/z//6v+//8JNwMAAAZfAwAAATABoPz//6v+//8JOgMAAAZiAwAAAjExAZ38//+r/v//CT0DAAAGZQMAAAdSZWd1bGFyBUI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Zr8///S/////////wAGZwMAAARFbnVtBmgDAAAJUmVmZXJlbmNlCWkDAAABlvz//9D///8CAAAABZX8//85R2xvYmVTb2Z0d2FyZS5BdGxhczQwLkF0bGFzQ29tbW9uLk51bWJlclNlcXVlbmNlQ29uZGl0aW9uAQAAAAd2YWx1ZV9fAAgOAAAAAQAAAAAABmwDAAARVGFibGUuSW52ZW50VHJhbnMJKQAAAAksAAAACv////8JbAMAAAoJKQAAAAoKCgksAAAACXIDAAAJLAAAAAFqAQAAQgEAAAGM/P//0v////////8ABnUDAAAGU3RyaW5nBnYDAAAGTnVtYmVyCWkDAAABiPz//9D///8CAAAAAYf8//+V/P//AQAAAAAACWwDAAAJNwAAAAksAAAACv////8JbAMAAAoJNwAAAAoKCgksAAAACYADAAAJLAAAAAGSAQAAQgEAAAF+/P//0v////////8ABoMDAAAGU3RyaW5nBoQDAAALSXRlbSBudW1iZXIJaQMAAAF6/P//0P///wIAAAABefz//5X8//8BAAAAAAAJbAMAAAlFAAAACSwAAAAK/////wlsAwAACglFAAAACgoKCSwAAAAJjgMAAAksAAAAAb0BAABCAQAAAXD8///S/////////wAGkQMAAAZTdHJpbmcGkgMAAAlJdGVtIG5hbWUJkwMAAAFs/P//0P///wIAAAABa/z//5X8//8BAAAAAAAJPAEAAAlTAAAACSwAAAAK/////wk8AQAACglTAAAABpsDAAAGSXRlbUlkBpwDAAALSW52ZW50VHJhbnMKCSwAAAAJngMAAAksAAAAAeIBAABCAQAAAWD8///S/////////wAGoQMAAAZTdHJpbmcGogMAAARTaXRlCaMDAAABXPz//9D///8CAAAAAVv8//+V/P//AQAAAAAABqYDAAAtVGFibGUuSW52ZW50VHJhbnMuaW52ZW50RGltSWR+VGFibGUuSW52ZW50RGltCWEAAAAJLAAAAAr/////CaYDAAAKCWEAAAAGqwMAAAtpbnZlbnREaW1JZAasAwAAC0ludmVudFRyYW5zCgksAAAACa4DAAAJLAAAAAEHAgAAQgEAAAFQ/P//0v////////8ABrEDAAAGU3RyaW5nBrIDAAAJV2FyZWhvdXNlCaMDAAABTPz//9D///8CAAAAAUv8//+V/P//AQAAAAAACaYDAAAJbwAAAAksAAAACv////8JpgMAAAoJbwAAAAa7AwAAC2ludmVudERpbUlkBrwDAAALSW52ZW50VHJhbnMKCSwAAAAJvgMAAAksAAAAASwCAABCAQAAAUD8///S/////////wAGwQMAAAREYXRlBsIDAAANUGh5c2ljYWwgZGF0ZQlpAwAAATz8///Q////AgAAAAE7/P//lfz//wEAAAAAAAlsAwAACX0AAAAJLAAAAAr/////CWwDAAAKCX0AAAAKCgoJLAAAAAnMAwAACSwAAAABVAIAAEIBAAABMvz//9L/////////AAbPAwAABERhdGUG0AMAAA5GaW5hbmNpYWwgZGF0ZQlpAwAAAS78///Q////AgAAAAEt/P//lfz//wEAAAAAAAlsAwAACYsAAAAJLAAAAAr/////CWwDAAAKCYsAAAAKCgoJLAAAAAnaAwAACSwAAAABfAIAAEIBAAABJPz//9L///8BAAAAAAbdAwAABFJlYWwG3gMAAAhRdWFudGl0eQlpAwAAASD8///Q////AgAAAAEf/P//lfz//wEAAAAAAAlsAwAACZkAAAAJLAAAAAr/////CWwDAAAKCZkAAAAKCgoJLAAAAAnoAwAACSwAAAABpAIAAEIBAAABFvz//9L/////////AAbrAwAABlN0cmluZwbsAwAABFVuaXQJ7QMAAAES/P//0P///wIAAAABEfz//5X8//8BAAAAAAAJPwEAAAmnAAAACSwAAAAK/////wk/AQAACgmnAAAABvUDAAAGSXRlbUlkBvYDAAALSW52ZW50VGFibGUKCSwAAAAJ+AMAAAksAAAAAckCAABCAQAAAQb8///S/////////wAG+wMAAAZTdHJpbmcG/AMAAAZMb3QgSUQJaQMAAAEC/P//0P///wIAAAABAfz//5X8//8BAAAAAAAJbAMAAAm1AAAACSwAAAAK/////wlsAwAACgm1AAAACgoKCSwAAAAJBgQAAAksAAAABWk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LEAAAAGCAQAAAtJbnZlbnRUcmFucwYJBAAAFkludmVudG9yeSB0cmFuc2FjdGlvbnMJLAAAAAksAAAACSwAAAAF9fv//zBHbG9iZVNvZnR3YXJlLkF0bGFzNDAuQXRsYXNDb21tb24uRGF0YVNvdXJjZVR5cGUBAAAAB3ZhbHVlX18ACA4AAAAAAAAACQwEAAAJDQQAAATy+///C1N5c3RlbS5HdWlkCwAAAAJfYQJfYgJfYwJfZAJfZQJfZgJfZwJfaAJfaQJfagJfawAAAAAAAAAAAAAACAcHAgICAgICAgL+2hPNUKGMR7xQeVAaoNHPCSwAAAAJLAAAAAkQBAAACWwDAAAKCgoKCgEAAAAF7vv//zRHbG9iZVNvZnR3YXJlLkF0bGFzNDAuQXRsYXNDb21tb24uRGF0YVNvdXJjZUpvaW5Nb2RlAQAAAAd2YWx1ZV9fAAgOAAAAAAAAAAXt+///NUdsb2JlU29mdHdhcmUuQXRsYXM0MC5BdGxhc0NvbW1vbi5EYXRhU291cmNlRmV0Y2hNb2RlAQAAAAd2YWx1ZV9fAAgOAAAAAAAAAAAJFAQAAAFyAwAAKAAAAGsAAAAJ8AAAAAMAAAAJFgQAAAGAAwAAKAAAAGsAAAAJ8AAAAAMAAAAJGAQAAAGOAwAAKAAAAGsAAAAJ8AAAAAMAAAAJGgQAAAGTAwAAaQMAAP////8GGwQAAAtJbnZlbnRUYWJsZQYcBAAABUl0ZW1zCSwAAAAJLAAAAAksAAAAAeL7///1+///AAAAAAkfBAAACSAEAAAB3/v///L7//8KjloMsiNMQZhRecc1NEMcCSwAAAAJLAAAAAkjBAAACTwBAAAGJQQAAAtJbnZlbnRUcmFucwYmBAAAEVRhYmxlLkludmVudFRyYW5zBicEAAAYVGFibGUuSW52ZW50VHJhbnMuSXRlbUlkBigEAAAGSXRlbUlkBikEAAAGSXRlbUlkAQAAAAHW+///7vv//wAAAAAB1fv//+37//8AAAAAAAksBAAAAZ4DAAAoAAAAYgAAAAn/AAAAAwAAAAkuBAAAAaMDAABpAwAA/////wYvBAAACUludmVudERpbQYwBAAAFEludmVudG9yeSBkaW1lbnNpb25zCSwAAAAJLAAAAAksAAAAAc77///1+///AAAAAAkzBAAACTQEAAABy/v///L7//+V85fOxn/PQIPyuKnHlYT2CSwAAAAJLAAAAAk3BAAACaYDAAAGOQQAAAtJbnZlbnRUcmFucwY6BAAAEVRhYmxlLkludmVudFRyYW5zBjsEAAAdVGFibGUuSW52ZW50VHJhbnMuaW52ZW50RGltSWQGPAQAAAtpbnZlbnREaW1JZAY9BAAAC2ludmVudERpbUlkAQAAAAHC+///7vv//wAAAAABwfv//+37//8AAAAAAAlABAAAAa4DAAAoAAAAYgAAAAn/AAAAAwAAAAlCBAAAAb4DAAAoAAAAYgAAAAn/AAAAAwAAAAlEBAAAAcwDAAAoAAAAawAAAAnwAAAAAwAAAAlGBAAAAdoDAAAoAAAAawAAAAnwAAAAAwAAAAlIBAAAAegDAAAoAAAAawAAAAnwAAAAAwAAAAlKBAAAAe0DAABpAwAA/////wZLBAAAEUludmVudFRhYmxlTW9kdWxlBkwEAAAbSW52ZW50b3J5IG1vZHVsZSBwYXJhbWV0ZXJzCSwAAAAJLAAAAAksAAAAAbL7///1+///AAAAAAlPBAAACVAEAAABr/v///L7//+MNjtujSOgQJv41ZSXJAakCSwAAAAJLAAAAAlTBAAACT8BAAAGVQQAAAtJbnZlbnRUYWJsZQZWBAAAKlRhYmxlLkludmVudFRyYW5zLkl0ZW1JZH5UYWJsZS5JbnZlbnRUYWJsZQZXBAAAMVRhYmxlLkludmVudFRyYW5zLkl0ZW1JZH5UYWJsZS5JbnZlbnRUYWJsZS5JdGVtSWQGWAQAAAZJdGVtSWQGWQQAAAZJdGVtSWQBAAAAAab7///u+///AAAAAAGl+///7fv//wAAAAAACVwEAAAB+AMAACgAAABiAAAACf8AAAADAAAACV4EAAABBgQAACgAAABrAAAACfAAAAADAAAACWAEAAAEDA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oAAAAJYQQAABEAAAAJYgQAAAQN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EEAAAAAAAABBA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hBAAAAAAAAAQUB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kBAAAAAAAAAcW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7//+r/v//BmYEAAAISGVscFRleHQGZwQAADJTcGVjaWZ5IHRoZSBtb2R1bGUgdGhhdCBnZW5lcmF0ZWQgdGhlIHRyYW5zYWN0aW9uLgGY+///q/7//wZpBAAABUxhYmVsCWgDAAABlfv//6v+//8GbAQAAARUeXBlCWcDAAAHG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S+///q/7//wlmBAAABnAEAAA1T3JkZXIgbnVtYmVyLCBwcm9qZWN0IG51bWJlciwgcHJvZHVjdGlvbiBudW1iZXIsIGV0Yy4Bj/v//6v+//8JaQQAAAl2AwAAAYz7//+r/v//CWwEAAAJdQMAAAca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7//+r/v//CWYEAAAGeQQAAA5JZGVudGlmeSBpdGVtLgGG+///q/7//wlpBAAACYQDAAABg/v//6v+//8JbAQAAAmDAwAAAR8EAAAMBAAAAQAAAAn/AAAAAwAAAAmBBAAABCA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DAAAAAMAAAAJgwQAAAQj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n/AAAAAwAAAAmFBAAAASwEAAAUBAAAAAAAAAmGBAAAAAAAAAcu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7//+r/v//BogEAAAFTGFiZWwJkgMAAAF2+///q/7//waLBAAABFR5cGUJkQMAAAEzBAAADAQAAAIAAAAJ/wAAAAMAAAAJjgQAAAE0BAAADQQAAAAAAAAJDAAAAAAAAAABNwQAABAEAAAAAAAACf8AAAAAAAAAAUAEAAAUBAAAAAAAAAmGBAAAAAAAAAdC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77//+r/v//CYgEAAAJogMAAAFr+///q/7//wmLBAAACaEDAAAHR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+///q/7//wmIBAAACbIDAAABZfv//6v+//8JiwQAAAmxAwAAB0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v//6v+//8JZgQAAAagBAAAHERhdGUgb2YgcGh5c2ljYWwgdHJhbnNhY3Rpb24BX/v//6v+//8JaQQAAAnCAwAAAVz7//+r/v//CWwEAAAJwQMAAA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n7//+r/v//CWYEAAAGqQQAAB1EYXRlIG9mIGZpbmFuY2lhbCB0cmFuc2FjdGlvbgFW+///q/7//wlpBAAACdADAAABU/v//6v+//8JbAQAAAnPAwAAB0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v//6v+//8JZgQAAAayBAAAJFF1YW50aXR5IGF0dGFjaGVkIHRvIHRoZSB0cmFuc2FjdGlvbgFN+///q/7//wlpBAAACd4DAAABSvv//6v+//8JbAQAAAndAwAAAU8EAAAMBAAAAQAAAAn/AAAAAwAAAAm6BAAABFA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DAAAAAMAAAAJvAQAAAFTBAAAEAQAAAAAAAAJ/wAAAAAAAAABXAQAABQEAAAAAAAACYYEAAAAAAAAB14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v//6v+//8JiAQAAAnsAwAAAT77//+r/v//CYsEAAAJ6wMAAAdg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v7//+r/v//CWYEAAAGxwQAAFJTdW1tYXJ5IG51bWJlci9Mb3QgSUQgZm9yIHRyYW5zYWN0aW9ucyBhdHRhY2hlZCB0byB0aGUgc2FtZSBpbnZlbnRvcnkgdHJhbnNhY3Rpb24uATj7//+r/v//CWkEAAAJ/AMAAAE1+///q/7//wlsBAAACfsDAAABYQQAAAwAAAAHYgQ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Mvv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zwQAABhUYWJsZS5JbnZlbnRUcmFucy5JdGVtSWQJkgEAAAEv+///Mvv//wbSBAAAH1RhYmxlLkludmVudFRyYW5zLkludmVudFRyYW5zSWQJyQIAAAEs+///Mvv//wbVBAAAG1RhYmxlLkludmVudFRyYW5zLlRyYW5zVHlwZQlCAQAAASn7//8y+///BtgEAAAcVGFibGUuSW52ZW50VHJhbnMuVHJhbnNSZWZJZAlqAQAAASb7//8y+///BtsEAAAeVGFibGUuSW52ZW50VHJhbnMuRGF0ZVBoeXNpY2FsCSwCAAABI/v//zL7//8G3gQAAB9UYWJsZS5JbnZlbnRUcmFucy5EYXRlRmluYW5jaWFsCVQCAAABIPv//zL7//8G4QQAAB9UYWJsZS5JbnZlbnRUcmFucy5TdGF0dXNSZWNlaXB0CeIEAAABHfv//zL7//8G5AQAAB1UYWJsZS5JbnZlbnRUcmFucy5TdGF0dXNJc3N1ZQnlBAAAARr7//8y+///BucEAAAVVGFibGUuSW52ZW50VHJhbnMuUXR5CXwCAAABF/v//zL7//8G6gQAACJUYWJsZS5JbnZlbnRUcmFucy5Db3N0QW1vdW50UG9zdGVkCesEAAAEZA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4E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T7//8y+///Bu0EAAAzVGFibGUuSW52ZW50VHJhbnMuSXRlbUlkflRhYmxlLkludmVudFRhYmxlLkl0ZW1OYW1lCb0BAAAHgw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BH7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8AQAADNUYWJsZS5JbnZlbnRUcmFucy5JdGVtSWR+VGFibGUuSW52ZW50VGFibGUuSXRlbVR5cGUJ8QQAAAeF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O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k/AQAACe0DAAABhgQAAGQEAAAHjgQ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C/v//zL7//8G9gQAADpUYWJsZS5JbnZlbnRUcmFucy5pbnZlbnREaW1JZH5UYWJsZS5JbnZlbnREaW0uSW52ZW50U2l0ZUlkCeIBAAABCPv//zL7//8G+QQAAD5UYWJsZS5JbnZlbnRUcmFucy5pbnZlbnREaW1JZH5UYWJsZS5JbnZlbnREaW0uSW52ZW50TG9jYXRpb25JZAkHAgAAB7o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QX7//8y+///BvwEAABQVGFibGUuSW52ZW50VHJhbnMuSXRlbUlkflRhYmxlLkludmVudFRhYmxlLkl0ZW1JZH5UYWJsZS5JbnZlbnRUYWJsZU1vZHVsZS5Vbml0SWQJpAIAAAe8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Avv//xH7//8G/wQAAFRUYWJsZS5JbnZlbnRUcmFucy5JdGVtSWR+VGFibGUuSW52ZW50VGFibGUuSXRlbUlkflRhYmxlLkludmVudFRhYmxlTW9kdWxlLk1vZHVsZVR5cGUJAAUAAAHiBAAAQgEAAAH/+v//0v////////8ABgIFAAAERW51bQYDBQAADlJlY2VpcHQgc3RhdHVzCWkDAAAB+/r//9D///8CAAAAAfr6//+V/P//AQAAAAAACWwDAAAGCAUAAA1TdGF0dXNSZWNlaXB0CSwAAAAK/////wlsAwAACgkIBQAACgoKCSwAAAAJDQUAAAksAAAAAeUEAABCAQAAAfH6///S/////////wAGEAUAAARFbnVtBhEFAAAMSXNzdWUgc3RhdHVzCWkDAAAB7fr//9D///8CAAAAAez6//+V/P//AQAAAAAACWwDAAAGFgUAAAtTdGF0dXNJc3N1ZQksAAAACv////8JbAMAAAoJFgUAAAoKCgksAAAACRsFAAAJLAAAAAHrBAAAQgEAAAHj+v//0v////////8ABh4FAAAEUmVhbAYfBQAAFUZpbmFuY2lhbCBjb3N0IGFtb3VudAlpAwAAAd/6///Q////AgAAAAHe+v//lfz//wEAAAAAAAlsAwAABiQFAAAQQ29zdEFtb3VudFBvc3RlZAksAAAACv////8JbAMAAAoJJAUAAAoKCgksAAAACSkFAAAJLAAAAAXx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PAEAAAk9AQAACSwAAAAJPgEAAP////8JPAEAAAYwBQAAC0ludmVudFRhYmxlCT0BAAAGMgUAAAZJdGVtSWQKCgksAAAACTQFAAAJLAAAAAEABQAA8QQAAAk/AQAACUABAAAJLAAAAAlBAQAA/////wk/AQAACglAAQAABjwFAAAGSXRlbUlkCgoJLAAAAAk+BQAACSwAAAABDQUAACgAAAAPAAAACfAAAAADAAAACUEFAAABGwUAACgAAAAPAAAACfAAAAADAAAACUMFAAABKQUAACgAAAAPAAAACfAAAAADAAAACUUFAAABNAUAACgAAAAaAAAACUYFAAADAAAACUcFAAABPgUAACgAAAAWAAAACUYFAAADAAAACUkFAAAHQ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2+v//q/7//wlmBAAABkwFAAApU3RhdHVzIG9mIHF1YW50aXR5IGluIHJlbGF0aW9uIHRvIHJlY2VpcHQBs/r//6v+//8JaQQAAAkDBQAAAbD6//+r/v//CWwEAAAJAgUAAAd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36//+r/v//CWYEAAAGVQUAAClTdGF0dXMgZm9yIHF1YW50aXR5IGluIHJlbGF0aW9uIHRvIGlzc3VlcwGq+v//q/7//wlpBAAACREFAAABp/r//6v+//8JbAQAAAkQBQAAB0U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r//6v+//8JZgQAAAZeBQAANUludmVudG9yeSB2YWx1ZSBmb3IgdGhlIGZpbmFuY2lhbGx5IHVwZGF0ZWQgcXVhbnRpdHkuAaH6//+r/v//CWkEAAAJHwUAAAGe+v//q/7//wlsBAAACR4FAAABRgUAAAwAAAAHR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v//q/7//wZmBQAABFR5cGUGZwUAAARFbnVtAZj6//+r/v//BmkFAAAFTGFiZWwGagUAAAlJdGVtIHR5cGUBlfr//6v+//8GbAUAAAhSZWZlcnNUbwZtBQAACT1JdGVtVHlwZQdJ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6//+r/v//CWYFAAAGcAUAAARFbnVtAY/6//+r/v//CWkFAAAGcwUAAAtNb2R1bGUgdHlwZQs=</Report>
</Atlas>
</file>

<file path=customXml/item3.xml><?xml version="1.0" encoding="utf-8"?>
<Atlas>
  <Query type="ReportList" id="c58fcd72-fb39-4788-b143-276ed87250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RAAAAE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FRQUFRyYW5zX3NzdAYeAAAAEFRQUCB0cmFuc2FjdGlvbnMJCAAAAAkIAAAACQgAAAAF4P///zBHbG9iZVNvZnR3YXJlLkF0bGFzNDAuQXRsYXNDb21tb24uRGF0YVNvdXJjZVR5cGUBAAAAB3ZhbHVlX18ACAIAAAAAAAAACSEAAAAJIgAAAATd////C1N5c3RlbS5HdWlkCwAAAAJfYQJfYgJfYwJfZAJfZQJfZgJfZwJfaAJfaQJfagJfawAAAAAAAAAAAAAACAcHAgICAgICAgIgtVDV1agHRIxQaQjUjNpkCQgAAAAJCAAAAAklAAAABiYAAAASVGFibGUuVFBQVHJhbnN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5UYWJsZS5UUFBUcmFuc19zc3QuSW52ZW50RGltSWR+VGFibGUuSW52ZW50RGltCTEAAAABzv///9T///8GMwAAADFUYWJsZS5UUFBUcmFuc19zc3QuSXRlbUlkflRhYmxlLkludmVudFRhYmxlTW9kdWxlCTQAAAABy////9T///8GNgAAACtUYWJsZS5UUFBUcmFuc19zc3QuSXRlbUlkflRhYmxlLkludmVudFRhYmxlCTcAAAAHFAAAAAABAAAAIAAAAAQtR2xvYmVTb2Z0d2FyZS5BdGxhczQwLkF0bGFzQ29tbW9uLlR5cGUuQ29sdW1uAgAAAAk4AAAACTkAAAAJOgAAAAk7AAAACTwAAAAJPQAAAAk+AAAACT8AAAAJQAAAAAlBAAAACUIAAAAJQwAAAAlEAAAACUUAAAAJRgAAAAlHAAAACUgAAAANDxEVAAAABAAAAAZJAAAADUF0bGFzUmVwb3J0XzINAwcXAAAAAAEAAAAE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b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T///+2////Bk0AAAAPVGFibGUuSW52ZW50RGltCTAAAAABsf///7b///8GUAAAABdUYWJsZS5JbnZlbnRUYWJsZU1vZHVsZQkzAAAAAa7///+2////BlMAAAARVGFibGUuSW52ZW50VGFibGU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q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q////Pkdsb2JlU29mdHdhcmUuQXRsYXM0MC5BdGxhc0NvbW1vbi5UeXBlLkF0bGFzUXVlcnlBdHRyaWJ1dGVOYW1lAQAAAAd2YWx1ZV9fAAgCAAAAAgAAAAZXAAAAJGM1OGZjZDcyLWZiMzktNDc4OC1iMTQzLTI3NmVkODcyNTAxOQGo////q////wGn////qv///wAAAAAGWgAAAAR0cnVlAaX///+r////AaT///+q////CwAAAAZdAAAAEFRQUCB0cmFuc2FjdGlvbnMBov///6v///8Bof///6r///8bAAAABmAAAAAEVHJ1ZQGf////q////wGe////qv///wYAAAAGYwAAAAVGYWxzZQGc////q////wGb////qv///xwAAAAJYAAAAAGZ////q////wGY////qv///x0AAAAJYwAAAAGW////q////wGV////qv///yoAAAAJYAAAAAGT////q////wGS////qv///wEAAAAGbwAAAAMzNjABkP///6v///8Bj////6r///8nAAAABnIAAAALPURhdGFBcmVhSWQBjf///6v///8BjP///6r///8ZAAAABnUAAAAPQ2VsbHNWZXJ0aWNhbGx5AYr///+r////AYn///+q////CQAAAAoBiP///6v///8Bh////6r///8oAAAABnoAAAACMTcBhf///6v///8BhP///6r///8rAAAABn0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wAAAAxUUFBUcmFuc19zc3QBAAAAAYD///+C////BoEAAAAJSW52ZW50RGltAQAAAAF+////gv///waDAAAAEUludmVudFRhYmxlTW9kdWxlAQAAAAF8////gv///waF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QAAAAmGAAAAEQAAAAm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iQAAAAElAAAABAAAAAMAAAAJhgAAAAMAAAAJi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MAAAAAAAAAAcqAAAAAAEAAAAAAAAABC1HbG9iZVNvZnR3YXJlLkF0bGFzNDAuQXRsYXNDb21tb24uVHlwZS5Db2x1bW4CAAAAATEAAAAOAAAA/////waNAAAACUludmVudERpbQaOAAAAFEludmVudG9yeSBkaW1lbnNpb25zCQgAAAAJCAAAAAkIAAAAAXD////g////AAAAAAmRAAAACZIAAAABbf///93////I6FxcYb88S7AwaKejtuBGCQgAAAAJCAAAAAmVAAAACTAAAAAGlwAAAAxUUFBUcmFuc19zc3QGmAAAABJUYWJsZS5UUFBUcmFuc19zc3QGmQAAAB5UYWJsZS5UUFBUcmFuc19zc3QuSW52ZW50RGltSWQGmgAAAAtJbnZlbnREaW1JZAabAAAAC2ludmVudERpbUlkAQAAAAFk////2f///wAAAAABY////9j///8AAAAAAAmeAAAAATQAAAAOAAAA/////wafAAAAEUludmVudFRhYmxlTW9kdWxlBqAAAAAbSW52ZW50b3J5IG1vZHVsZSBwYXJhbWV0ZXJzCQgAAAAJCAAAAAkIAAAAAV7////g////AAAAAAmjAAAACaQAAAABW////93////6rnnGrj1sSqdX5DvVwSOJCQgAAAAJCAAAAAmnAAAACTMAAAAGqQAAAAxUUFBUcmFuc19zc3QGqgAAABJUYWJsZS5UUFBUcmFuc19zc3QGqwAAABlUYWJsZS5UUFBUcmFuc19zc3QuSXRlbUlkBqwAAAAGSXRlbUlkBq0AAAAGSXRlbUlkAQAAAAFS////2f///wAAAAABUf///9j///8AAAAAAAmwAAAAATcAAAAOAAAA/////waxAAAAC0ludmVudFRhYmxlBrIAAAAFSXRlbXMJCAAAAAkIAAAACQgAAAABTP///+D///8AAAAACbUAAAAJtgAAAAFJ////3f///2hKN7/QZAlCsBF1sAFd8zIJCAAAAAkIAAAACbkAAAAJNgAAAAa7AAAADFRQUFRyYW5zX3NzdAa8AAAAElRhYmxlLlRQUFRyYW5zX3NzdAa9AAAAGVRhYmxlLlRQUFRyYW5zX3NzdC5JdGVtSWQGvgAAAAZJdGVtSWQGvwAAAAZJdGVtSWQBAAAAAUD////Z////AAAAAAE/////2P///wAAAAAACcI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wAAAAnEAAAACcUAAAAGxgAAAAlUcmFuc1R5cGUGxwAAAAlSZWZlcmVuY2UGyAAAAARFbnVtCQgAAAAGygAAACQ0MjQwZmRkNi0wYWFjLTQ3YWItOGE3My0wZWNlZmVmY2I4ZDYFNf///y1HbG9iZVNvZnR3YXJlLkF0bGFzNDAuQXRsYXNDb21tb24uQWdncmVnYXRpb24BAAAAB3ZhbHVlX18ACAIAAAD/////AAAAAAU0////LEdsb2JlU29mdHdhcmUuQXRsYXM0MC5BdGxhc0NvbW1vbi5Db2x1bW5UeXBlAQAAAAd2YWx1ZV9fAAgCAAAAAAAAAAUz////K0dsb2JlU29mdHdhcmUuQXRsYXM0MC5BdGxhc0NvbW1vbi5Tb3J0T3JkZXIBAAAAB3ZhbHVlX18ACAIAAAACAAAAAAAAAAAFMv///0BHbG9iZVNvZnR3YXJlLkF0bGFzNDAuQXRsYXNDb21tb24uVHlwZS5Db2x1bW4rQ3Jvc3NUYWJDb2x1bW5UeXBlAQAAAAd2YWx1ZV9fAAgCAAAAAAAAAAoBAAAAAAAAAAAAAAAAAAbPAAAAJGQyM2NmY2U3LTBhNTYtNGNlZS1hODdmLTg1YWQ1MDhhODI2MAbQAAAAHFRhYmxlLlRQUFRyYW5zX3NzdC5UcmFuc1R5cGUKCgoKATkAAAA4AAAACdEAAAAJ0gAAAAnTAAAABtQAAAAKVHJhbnNSZWZJZAbVAAAABk51bWJlcgbWAAAABlN0cmluZwkIAAAABtgAAAAkZTc5ZDM5N2UtMGU4MS00ZWI5LWE0MzAtYzI5YzUyMjYyYzAyASf///81/////////wEAAAABJv///zT///8AAAAAASX///8z////AgAAAAAAAAAAAST///8y////AAAAAAoBAAAAAAAAAAABAAAAAAbdAAAAJDdiNWNhZThmLTdkZjEtNGFmMC1iY2JmLTA3ZDIzMTcxYzIyNAbeAAAAHVRhYmxlLlRQUFRyYW5zX3NzdC5UcmFuc1JlZklkCgoKCgE6AAAAOAAAAAnfAAAACeAAAAAJ4QAAAAbiAAAABkl0ZW1JZAbjAAAAC0l0ZW0gbnVtYmVyBuQAAAAGU3RyaW5nCQgAAAAG5gAAACQzZTkyN2FhMi0yZjMzLTRkZjQtOGMwOC1mNDVkMTJiMDQ3YTcBGf///zX/////////AgAAAAEY////NP///wAAAAABF////zP///8CAAAAAAAAAAABFv///zL///8AAAAACgEAAAAAAAAAAAIAAAAABusAAAAkOWJjZjU2YjItMjFhYi00YzJhLTk5NDgtNDA1NWQwZDU1MjQzBuwAAAAZVGFibGUuVFBQVHJhbnNfc3N0Lkl0ZW1JZAoKCgoBOwAAADgAAAAJ7QAAAAnuAAAACe8AAAAG8AAAAAhJdGVtTmFtZQbxAAAACUl0ZW0gbmFtZQbyAAAABlN0cmluZwkIAAAABvQAAAAkZmNjYTkwNDMtNDQ4ZS00OGUzLWFjY2YtMDJjYjg3NGRhNTI5AQv///81/////////wMAAAABCv///zT///8AAAAAAQn///8z////AgAAAAAAAAAAAQj///8y////AAAAAAoBAAAAAAAAAAADAAAAAAb5AAAAJGExOWIyYmM4LWM2YmMtNDc1MS05MGY2LWU4NWJkNjkxOTA4Ywb6AAAANFRhYmxlLlRQUFRyYW5zX3NzdC5JdGVtSWR+VGFibGUuSW52ZW50VGFibGUuSXRlbU5hbWUKCgoKATwAAAA4AAAACfsAAAAJ/AAAAAn9AAAABv4AAAAJVHJhbnNEYXRlBv8AAAAERGF0ZQYAAQAABERhdGUJCAAAAAYCAQAAJDRhZDQ4MDM5LTUzN2QtNDBkZS1hMzZiLTlhNzkwOGZiMjBiOAH9/v//Nf////////8EAAAAAfz+//80////AAAAAAH7/v//M////wIAAAAAAAAAAAH6/v//Mv///wAAAAAKAQAAAAAAAAAABAAAAAAGBwEAACRmNGI4NzQzZS02OTJiLTQyZTMtYmExNS0zNTg5YWU4MDcyYzgGCAEAABxUYWJsZS5UUFBUcmFuc19zc3QuVHJhbnNEYXRlCgoKCgE9AAAAOAAAAAkJAQAACQoBAAAJCwEAAAYMAQAADEludmVudFNpdGVJZAYNAQAABFNpdGUGDgEAAAZTdHJpbmcJCAAAAAYQAQAAJDJjMmUzOGIxLTBjZWItNDAwNy05YzQ2LWQ0OTc0M2FhZjg4YwHv/v//Nf////////8FAAAAAe7+//80////AAAAAAHt/v//M////wIAAAAAAAAAAAHs/v//Mv///wAAAAAKAQAAAAAAAAAABQAAAAAGFQEAACQ1YmE3YjhkYS1jODU0LTQ4OWQtOWE1Yi02NDY0MzVhOTRkOGYGFgEAADtUYWJsZS5UUFBUcmFuc19zc3QuSW52ZW50RGltSWR+VGFibGUuSW52ZW50RGltLkludmVudFNpdGVJZAoKCgoBPgAAADgAAAAJFwEAAAkYAQAACRkBAAAGGgEAABBJbnZlbnRMb2NhdGlvbklkBhsBAAAJV2FyZWhvdXNlBhwBAAAGU3RyaW5nCQgAAAAGHgEAACQ4ZTYxMTViMS05NDQ1LTRmZmEtYmJjOC1mNDJjZjc2OTRhMzUB4f7//zX/////////BgAAAAHg/v//NP///wAAAAAB3/7//zP///8CAAAAAAAAAAAB3v7//zL///8AAAAACgEAAAAAAAAAAAYAAAAABiMBAAAkMDQ0ODFjNWItZTg2OC00YzNhLTlmNzEtNTBjMGZmMmUzMTlkBiQBAAA/VGFibGUuVFBQVHJhbnNfc3N0LkludmVudERpbUlkflRhYmxlLkludmVudERpbS5JbnZlbnRMb2NhdGlvbklkCgoKCgE/AAAAOAAAAAklAQAACSYBAAAJJwEAAAYoAQAAA1F0eQYpAQAACFF1YW50aXR5BioBAAAEUmVhbAkIAAAABiwBAAAkODhiM2JlM2MtMjVlNy00NzAwLTg2NTQtNmE5MDNmOTFmYWQ3AdP+//81////AQAAAAcAAAAB0v7//zT///8AAAAAAdH+//8z////AgAAAAAAAAAAAdD+//8y////AAAAAAoBAAAAAAAAAAAHAAAAAAYxAQAAJDEyYTM5NTc1LWI1NDYtNDViOC1iYjEyLTJiZjRhZTYzY2IzOAYyAQAAFlRhYmxlLlRQUFRyYW5zX3NzdC5RdHkKCgoKAUAAAAA4AAAACTMBAAAJNAEAAAk1AQAABjYBAAAGVW5pdElkBjcBAAAEVW5pdAY4AQAABlN0cmluZwkIAAAABjoBAAAkMGQ5MDZhMDAtOWQ4NS00NDI0LWI5YWMtMTZmZDNmOTdmYzc2AcX+//81/////////wgAAAABxP7//zT///8AAAAAAcP+//8z////AgAAAAAAAAAAAcL+//8y////AAAAAAoBAAAAAAAAAAAIAAAAAAY/AQAAJDlkMjZiMjI1LTkyMmUtNGU4OC1iZGFmLTU4YTMyMWU3ODJmOAZAAQAAOFRhYmxlLlRQUFRyYW5zX3NzdC5JdGVtSWR+VGFibGUuSW52ZW50VGFibGVNb2R1bGUuVW5pdElkCgoKCgFBAAAAOAAAAAlBAQAACUIBAAAJQwEAAAZEAQAACUNvc3RQcmljZQZFAQAADlRQUCBjb3N0IHByaWNlBkYBAAAEUmVhbAkIAAAABkgBAAAkYzBkZWEzYTAtNmJlZC00OGY3LWE5MzgtMmFhYjljOTM1YmJlAbf+//81////AQAAAAkAAAABtv7//zT///8AAAAAAbX+//8z////AgAAAAAAAAAAAbT+//8y////AAAAAAoBAAAAAAAAAAAJAAAAAAZNAQAAJGQ5NGU1NjRjLTlkZTItNDJkYi1hODg5LWRlZDkxMTEwYjBmYwZOAQAAHFRhYmxlLlRQUFRyYW5zX3NzdC5Db3N0UHJpY2UKCgoKAUIAAAA4AAAACU8BAAAJUAEAAAlRAQAABlIBAAAKQ29zdEFtb3VudAZTAQAAD1RQUCBjb3N0IGFtb3VudAZUAQAABFJlYWwJCAAAAAZWAQAAJDlkOWRhOTRmLTI5MmYtNDE2Yi1hZmJkLTQ4ZjRkMzBmYjYzOQGp/v//Nf///wEAAAAKAAAAAaj+//80////AAAAAAGn/v//M////wIAAAAAAAAAAAGm/v//Mv///wAAAAAKAQAAAAAAAAAACgAAAAAGWwEAACQyOGY4MTQ3OS1hNzg5LTRiZmEtODA2Mi03NjI5NWFmMTgxNzcGXAEAAB1UYWJsZS5UUFBUcmFuc19zc3QuQ29zdEFtb3VudAoKCgoBQwAAADgAAAAJXQEAAAleAQAACV8BAAAGYAEAAAxDdXJyZW5jeUNvZGUGYQEAAAhDdXJyZW5jeQZiAQAABlN0cmluZwkIAAAABmQBAAAkMDM4NDhiYmYtODk5ZC00OWUzLWIxNTgtODMwZDNlZTNlNDZhAZv+//81/////////wsAAAABmv7//zT///8AAAAAAZn+//8z////AgAAAAAAAAAAAZj+//8y////AAAAAAoBAAAAAAAAAAALAAAAAAZpAQAAJDBkOGVmMTE1LTJiNzItNDQ2ZC04YjIzLWEyMzE5ODY0YjhkZgZqAQAAH1RhYmxlLlRQUFRyYW5zX3NzdC5DdXJyZW5jeUNvZGUKCgoKAUQAAAA4AAAACWsBAAAJbAEAAAltAQAABm4BAAANQ29zdEFtb3VudEN1cgZvAQAAGFRQUCBjb3N0IGFtb3VudCBjdXJyZW5jeQZwAQAABFJlYWwJCAAAAAZyAQAAJDdkYTJlZmZjLWU3MDQtNGIwYy05NjM0LTg0ZDZkZDhkNmQ4ZAGN/v//Nf///wEAAAAMAAAAAYz+//80////AAAAAAGL/v//M////wIAAAAAAAAAAAGK/v//Mv///wAAAAAKAQAAAAAAAAAADAAAAAAGdwEAACRhMTcyNTRjOS01Y2NkLTQ4NDItOTcwYy1kNjY4MmIxMjA4NmYGeAEAACBUYWJsZS5UUFBUcmFuc19zc3QuQ29zdEFtb3VudEN1cgoKCgoBRQAAADgAAAAJeQEAAAl6AQAACXsBAAAGfAEAAAdWb3VjaGVyBn0BAAARRmluYW5jaWFsIHZvdWNoZXIGfgEAAAZTdHJpbmcJCAAAAAaAAQAAJDA4OTgxOGEzLTI2OGUtNGZmZC1iNDgwLWE5ZDdiOTliMmRiZAF//v//Nf////////8NAAAAAX7+//80////AAAAAAF9/v//M////wIAAAAAAAAAAAF8/v//Mv///wAAAAAKAQAAAAAAAAAADQAAAAAGhQEAACQ3NTc1OGQ1NC0xZDRkLTRhOTctODgwZi1iNjI2MDNlYWQ3YTYGhgEAABpUYWJsZS5UUFBUcmFuc19zc3QuVm91Y2hlcgoKCgoBRgAAADgAAAAJhwEAAAmIAQAACYkBAAAGigEAAA1JbnZlbnRUcmFuc0lkBosBAAAGTG90IElEBowBAAAGU3RyaW5nCQgAAAAGjgEAACQ5ZTE1YjcyZC02NmJhLTRjZDItODY0Zi01NmQ1NzI0OWIyOGEBcf7//zX/////////DgAAAAFw/v//NP///wAAAAABb/7//zP///8CAAAAAAAAAAABbv7//zL///8AAAAACgEAAAAAAAAAAA4AAAAABpMBAAAkOTZkYWU5MmYtYjdiNy00ZDVjLWI3ZDgtMWM4N2NlMDcwZTZiBpQBAAAgVGFibGUuVFBQVHJhbnNfc3N0LkludmVudFRyYW5zSWQKCgoKAUcAAAA4AAAACZUBAAAJlgEAAAmXAQAABpgBAAAGU3RhdHVzBpkBAAAGU3RhdHVzBpoBAAAERW51bQkIAAAABpwBAAAkODVjNWFjNzEtM2RmOC00MTMwLWE5NjUtM2Q3ZGNkZWJjOWQyAWP+//81/////////w8AAAABYv7//zT///8AAAAAAWH+//8z////AgAAAAAAAAAAAWD+//8y////AAAAAAoBAAAAAAAAAAAPAAAAAAahAQAAJGQ3Yjk5MWMzLWM0YzItNGVjMy1hNWFlLWQwMjZmYThmZTc5OQaiAQAAGVRhYmxlLlRQUFRyYW5zX3NzdC5TdGF0dXMKCgoKAUgAAAA4AAAACaMBAAAJpAEAAAmlAQAABqYBAAAQSW52ZW50VHJhbnNSZWNJZAanAQAAEEludmVudFRyYW5zUmVjSWQGqAEAAAVJbnQ2NAkIAAAABqoBAAAkZDhhNmZjMDUtZjZmNC00MDNlLTgzZmEtNWU3ZGY0OGI2ZmNlAVX+//81////AQAAABAAAAABVP7//zT///8AAAAAAVP+//8z////AgAAAAAAAAAAAVL+//8y////AAAAAAoBAAAAAAAAAAAQAAAAAAavAQAAJDFkYTI2ODYxLTA0YzktNGYyYy05N2U4LTVkOGE2NGJhZWI3NQawAQAAI1RhYmxlLlRQUFRyYW5zX3NzdC5JbnZlbnRUcmFuc1JlY0lkCgoKCgGGAAAAEgAAAAeHAA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P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yAQAAHFRhYmxlLlRQUFRyYW5zX3NzdC5UcmFuc1R5cGUJswEAAAFM/v//T/7//wa1AQAAHVRhYmxlLlRQUFRyYW5zX3NzdC5UcmFuc1JlZklkCbYBAAABSf7//0/+//8GuAEAABlUYWJsZS5UUFBUcmFuc19zc3QuSXRlbUlkCbkBAAABRv7//0/+//8GuwEAABxUYWJsZS5UUFBUcmFuc19zc3QuVHJhbnNEYXRlCbwBAAABQ/7//0/+//8GvgEAABZUYWJsZS5UUFBUcmFuc19zc3QuUXR5Cb8BAAABQP7//0/+//8GwQEAABxUYWJsZS5UUFBUcmFuc19zc3QuQ29zdFByaWNlCcIBAAABPf7//0/+//8GxAEAAB1UYWJsZS5UUFBUcmFuc19zc3QuQ29zdEFtb3VudAnFAQAAATr+//9P/v//BscBAAAfVGFibGUuVFBQVHJhbnNfc3N0LkN1cnJlbmN5Q29kZQnIAQAAATf+//9P/v//BsoBAAAgVGFibGUuVFBQVHJhbnNfc3N0LkNvc3RBbW91bnRDdXIJywEAAAE0/v//T/7//wbNAQAAGlRhYmxlLlRQUFRyYW5zX3NzdC5Wb3VjaGVyCc4BAAABMf7//0/+//8G0AEAACBUYWJsZS5UUFBUcmFuc19zc3QuSW52ZW50VHJhbnNJZAnRAQAAAS7+//9P/v//BtMBAAAZVGFibGUuVFBQVHJhbnNfc3N0LlN0YXR1cwnUAQAAASv+//9P/v//BtYBAAAjVGFibGUuVFBQVHJhbnNfc3N0LkludmVudFRyYW5zUmVjSWQJ1wEAAAeJ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ZAQAAHFRhYmxlLlRQUFRyYW5zX3NzdC5UcmFuc0RhdGUJ2gEAAAEl/v//KP7//wbcAQAAGVRhYmxlLlRQUFRyYW5zX3NzdC5JdGVtSWQJ3QEAAAeL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i/v//1P///wkwAAAACTEAAAABH/7//9T///8JMwAAAAk0AAAAARz+///U////CTYAAAAJNwAAAASM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kQAAACEAAAACAAAACecBAAADAAAACegBAAAEk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wEAAAAAAAABngAAACkAAAAAAAAACesBAAAAAAAAAaMAAAAhAAAAAQAAAAnnAQAAAwAAAAntAQAAAaQAAAAiAAAAAQAAAAkSAAAAAwAAAAnvAQAABK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wAAAAKQAAAAAAAAAJ6wEAAAAAAAABtQAAACEAAAABAAAACecBAAADAAAACfMBAAABtgAAACIAAAABAAAACRIAAAADAAAACfUBAAAEu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cBAAAAAAAAAcIAAAApAAAAAAAAAAnrAQAAAAAAAATD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4AQAAAQAAAAEAAAAEx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mAAAACfkBAAAHAAAACfoBAAAEx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BAAAHAAAACfwBAAAB0QAAAMMAAAAJ/QEAAAEAAAABAAAAAdIAAADEAAAApQAAAAn5AQAABwAAAAn/AQAABN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7AQAABwAAAAkBAgAAAd8AAADDAAAACQICAAABAAAAAQAAAAHgAAAAxAAAAKUAAAAJ+QEAAAcAAAAJBAIAAAT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+wEAAAcAAAAJBgIAAAHtAAAAwwAAAAkHAgAAAQAAAAEAAAAB7gAAAMQAAABzAAAACQgCAAAHAAAACQkCAAAE7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ecBAAAHAAAACQsCAAAB+wAAAMMAAAAJDAIAAAEAAAABAAAAAfwAAADEAAAAnQAAAAn5AQAABwAAAAkOAgAABP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n7AQAABwAAAAkQAgAAAQkBAADDAAAACRECAAABAAAAAQAAAAEKAQAAxAAAAIEAAAAJCAIAAAcAAAAJEwIAAAQ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5wEAAAcAAAAJFQIAAAEXAQAAwwAAAAkWAgAAAQAAAAEAAAABGAEAAMQAAACBAAAACQgCAAAHAAAACRgCAAAEG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ecBAAAHAAAACRoCAAABJQEAAMMAAAAJGwIAAAEAAAABAAAAASYBAADEAAAApQAAAAn5AQAABwAAAAkdAgAABC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7AQAABwAAAAkfAgAAATMBAADDAAAACSACAAABAAAAAQAAAAE0AQAAxAAAAIEAAAAJCAIAAAcAAAAJIgIAAAQ1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5wEAAAcAAAAJJAIAAAFBAQAAwwAAAAklAgAAAQAAAAEAAAABQgEAAMQAAACmAAAACfkBAAAHAAAACScCAAAEQ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BAAAHAAAACSkCAAABTwEAAMMAAAAJKgIAAAEAAAABAAAAAVABAADEAAAApQAAAAn5AQAABwAAAAksAgAABF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7AQAABwAAAAkuAgAAAV0BAADDAAAACS8CAAABAAAAAQAAAAFeAQAAxAAAAKUAAAAJ+QEAAAcAAAAJMQIAAAR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+wEAAAcAAAAJMwIAAAFrAQAAwwAAAAk0AgAAAQAAAAEAAAABbAEAAMQAAAClAAAACfkBAAAHAAAACTYCAAAEb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BAAAHAAAACTgCAAABeQEAAMMAAAAJOQIAAAEAAAABAAAAAXoBAADEAAAApQAAAAn5AQAABwAAAAk7AgAABH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7AQAABwAAAAk9AgAAAYcBAADDAAAACT4CAAABAAAAAQAAAAGIAQAAxAAAAKUAAAAJ+QEAAAcAAAAJQAIAAAS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+wEAAAcAAAAJQgIAAAGVAQAAwwAAAAlDAgAAAQAAAAEAAAABlgEAAMQAAAClAAAACfkBAAAHAAAACUUCAAAEl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BAAAHAAAACUcCAAABowEAAMMAAAAJSAIAAAEAAAABAAAAAaQBAADEAAAAoQAAAAn5AQAABwAAAAlKAgAABK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n7AQAABwAAAAlMAgAABb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P9//81/////////wAGTgIAAARFbnVtBk8CAAAJUmVmZXJlbmNlCVACAAABr/3//zP///8CAAAABa79//85R2xvYmVTb2Z0d2FyZS5BdGxhczQwLkF0bGFzQ29tbW9uLk51bWJlclNlcXVlbmNlQ29uZGl0aW9uAQAAAAd2YWx1ZV9fAAgCAAAAAQAAAAAABlMCAAASVGFibGUuVFBQVHJhbnNfc3N0CcYAAAAJCAAAAAr/////CVMCAAAKCcYAAAAKCgoJCAAAAAlZAgAACQgAAAABtgEAALMBAAABpf3//zX/////////AAZcAgAABlN0cmluZwZdAgAABk51bWJlcglQAgAAAaH9//8z////AgAAAAGg/f//rv3//wEAAAAAAAlTAgAACdQAAAAJCAAAAAr/////CVMCAAAKCdQAAAAKCgoJCAAAAAlnAgAACQgAAAABuQEAALMBAAABl/3//zX/////////AAZqAgAABlN0cmluZwZrAgAAC0l0ZW0gbnVtYmVyCVACAAABk/3//zP///8CAAAAAZL9//+u/f//AQAAAAAACVMCAAAJ4gAAAAkIAAAACv////8JUwIAAAoJ4gAAAAoKCgkIAAAACXUCAAAJCAAAAAG8AQAAswEAAAGJ/f//Nf////////8ABngCAAAERGF0ZQZ5AgAABERhdGUJegIAAAGF/f//M////wIAAAABhP3//679//8BAAAAAAAGfQIAABJUYWJsZS5UUFBUcmFuc19zc3QJ/gAAAAkIAAAACv////8JfQIAAAoJ/gAAAAoKCgkIAAAACYMCAAAJCAAAAAG/AQAAswEAAAF7/f//Nf////////8ABoYCAAAEUmVhbAaHAgAACFF1YW50aXR5CVACAAABd/3//zP///8CAAAAAXb9//+u/f//AQAAAAAACVMCAAAJKAEAAAkIAAAACv////8JUwIAAAoJKAEAAAoKCgkIAAAACZECAAAJCAAAAAHCAQAAswEAAAFt/f//Nf////////8ABpQCAAAEUmVhbAaVAgAADlRQUCBjb3N0IHByaWNlCVACAAABaf3//zP///8CAAAAAWj9//+u/f//AQAAAAAACVMCAAAJRAEAAAkIAAAACv////8JUwIAAAoJRAEAAAoKCgkIAAAACZ8CAAAJCAAAAAHFAQAAswEAAAFf/f//Nf////////8ABqICAAAEUmVhbAajAgAAD1RQUCBjb3N0IGFtb3VudAlQAgAAAVv9//8z////AgAAAAFa/f//rv3//wEAAAAAAAlTAgAACVIBAAAJCAAAAAr/////CVMCAAAKCVIBAAAKCgoJCAAAAAmtAgAACQgAAAAByAEAALMBAAABUf3//zX/////////AAawAgAABlN0cmluZwaxAgAACEN1cnJlbmN5CVACAAABTf3//zP///8CAAAAAUz9//+u/f//AQAAAAAACVMCAAAJYAEAAAkIAAAACv////8JUwIAAAoJYAEAAAoKCgkIAAAACbsCAAAJCAAAAAHLAQAAswEAAAFD/f//Nf////////8ABr4CAAAEUmVhbAa/AgAAGFRQUCBjb3N0IGFtb3VudCBjdXJyZW5jeQlQAgAAAT/9//8z////AgAAAAE+/f//rv3//wEAAAAAAAlTAgAACW4BAAAJCAAAAAr/////CVMCAAAKCW4BAAAKCgoJCAAAAAnJAgAACQgAAAABzgEAALMBAAABNf3//zX/////////AAbMAgAABlN0cmluZwbNAgAAEUZpbmFuY2lhbCB2b3VjaGVyCVACAAABMf3//zP///8CAAAAATD9//+u/f//AQAAAAAACVMCAAAJfAEAAAkIAAAACv////8JUwIAAAoJfAEAAAoKCgkIAAAACdcCAAAJCAAAAAHRAQAAswEAAAEn/f//Nf////////8ABtoCAAAGU3RyaW5nBtsCAAAGTG90IElECVACAAABI/3//zP///8CAAAAASL9//+u/f//AQAAAAAACVMCAAAJigEAAAkIAAAACv////8JUwIAAAoJigEAAAoKCgkIAAAACeUCAAAJCAAAAAHUAQAAswEAAAEZ/f//Nf////////8ABugCAAAERW51bQbpAgAABlN0YXR1cwlQAgAAARX9//8z////AgAAAAEU/f//rv3//wEAAAAAAAlTAgAACZgBAAAJCAAAAAr/////CVMCAAAKCZgBAAAKCgoJCAAAAAnzAgAACQgAAAAB1wEAALMBAAABC/3//zX/////////AAb2AgAABUludDY0CU8CAAAJegIAAAEH/f//M////wIAAAABBv3//679//8BAAAAAAAJfQIAAAmmAQAACQgAAAAK/////wl9AgAACgmmAQAACgoKCQgAAAAJAQMAAAkIAAAABdo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YDAwAAElRhYmxlLlRQUFRyYW5zX3NzdAYEAwAACVRyYW5zRGF0ZQkIAAAABgYDAAAYMTIuMDEuMjAxNyAuLiAxMi4zMS4yMDE3/////wkDAwAACgkEAwAACgoKCQgAAAAJCgMAAAkIAAAAAd0BAADaAQAACQMDAAAGDQMAAAZJdGVtSWQJCAAAAAYPAwAAASr/////CQMDAAAKCQ0DAAAKCgoJCAAAAAkTAwAACQgAAAAB5wEAABIAAAAH6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6/z//0/+//8GFgMAADtUYWJsZS5UUFBUcmFuc19zc3QuSW52ZW50RGltSWR+VGFibGUuSW52ZW50RGltLkludmVudFNpdGVJZAkXAwAAAej8//9P/v//BhkDAAA/VGFibGUuVFBQVHJhbnNfc3N0LkludmVudERpbUlkflRhYmxlLkludmVudERpbS5JbnZlbnRMb2NhdGlvbklkCRoDAAAB6wEAAIwAAAAH7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fz//0/+//8GHAMAADhUYWJsZS5UUFBUcmFuc19zc3QuSXRlbUlkflRhYmxlLkludmVudFRhYmxlTW9kdWxlLlVuaXRJZAkdAwAAB+8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i/P//KP7//wYfAwAAPFRhYmxlLlRQUFRyYW5zX3NzdC5JdGVtSWR+VGFibGUuSW52ZW50VGFibGVNb2R1bGUuTW9kdWxlVHlwZQkgAwAAB/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/8//9P/v//BiIDAAA0VGFibGUuVFBQVHJhbnNfc3N0Lkl0ZW1JZH5UYWJsZS5JbnZlbnRUYWJsZS5JdGVtTmFtZQkjAwAAB/U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c/P//KP7//wYlAwAANFRhYmxlLlRQUFRyYW5zX3NzdC5JdGVtSWR+VGFibGUuSW52ZW50VGFibGUuSXRlbVR5cGUJJgMAAAf4AQAAAAEAAAAEAAAABDdHbG9iZVNvZnR3YXJlLkF0bGFzNDAuQXRsYXNDb21tb24uVHlwZS5GaWVsZE91dHB1dEZpZWxkAgAAAAmzAQAADQME+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+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Nj8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1/z//zJHbG9iZVNvZnR3YXJlLkF0bGFzNDAuQXRsYXNDb21tb24uQ29sdW1uQXR0cmlidXRlcwEAAAAHdmFsdWVfXwAIAgAAABAAAAAGKgMAAAROb25lAdX8///Y/P//AdT8///X/P//CQAAAAkIAAAAAdL8///Y/P//AdH8///X/P//CwAAAAYwAwAAATABz/z//9j8//8Bzvz//9f8//8EAAAABjMDAAAHR2VuZXJhbAHM/P//2Pz//wHL/P//1/z//wIAAAAGNgMAAAExAcn8///Y/P//Acj8///X/P//AAAAAAY5AwAABTEzLjcxAcb8///Y/P//AcX8///X/P//JAAAAAnHAAAAAfsBAAASAAAAB/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w/z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+AwAACEZvbnRCb2xkBj8DAAAFRmFsc2UBwPz//8P8//8GQQMAAApGb250SXRhbGljCT8DAAABvfz//8P8//8GRAMAAA1Gb250VW5kZXJsaW5lBkUDAAAFLTQxNDIBuvz//8P8//8GRwMAAAhGb250TmFtZQZIAwAAB0NhbGlicmkBt/z//8P8//8GSgMAAAlGb250Q29sb3IGSwMAAAEwAbT8///D/P//Bk0DAAAIRm9udFNpemUGTgMAAAIxMQGx/P//w/z//wZQAwAACUZvbnRTdHlsZQZRAwAAB1JlZ3VsYXIH/QEAAAABAAAABAAAAAQ3R2xvYmVTb2Z0d2FyZS5BdGxhczQwLkF0bGFzQ29tbW9uLlR5cGUuRmllbGRPdXRwdXRGaWVsZAIAAAAJtgEAAA0DB/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t/P//2Pz//wGs/P//1/z//xAAAAAJKgMAAAGq/P//2Pz//wGp/P//1/z//wkAAAAJCAAAAAGn/P//2Pz//wGm/P//1/z//wsAAAAGWwMAAAExAaT8///Y/P//AaP8///X/P//BAAAAAZeAwAAB0dlbmVyYWwBofz//9j8//8BoPz//9f8//8CAAAABmEDAAABMQGe/P//2Pz//wGd/P//1/z//wAAAAAGZAMAAAUxMC44NgcB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8///D/P//CT4DAAAJPwMAAAGY/P//w/z//wlBAwAACT8DAAABlfz//8P8//8JRAMAAAZtAwAABS00MTQyAZL8///D/P//CUcDAAAGcAMAAAdDYWxpYnJpAY/8///D/P//CUoDAAAGcwMAAAEwAYz8///D/P//CU0DAAAGdgMAAAIxMQGJ/P//w/z//wlQAwAABnkDAAAHUmVndWxhcgcCAgAAAAEAAAAEAAAABDdHbG9iZVNvZnR3YXJlLkF0bGFzNDAuQXRsYXNDb21tb24uVHlwZS5GaWVsZE91dHB1dEZpZWxkAgAAAAm5AQAADQMHB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X8///Y/P//AYT8///X/P//EAAAAAkqAwAAAYL8///Y/P//AYH8///X/P//CQAAAAkIAAAAAX/8///Y/P//AX78///X/P//CwAAAAaDAwAAATIBfPz//9j8//8Be/z//9f8//8EAAAABoYDAAAHR2VuZXJhbAF5/P//2Pz//wF4/P//1/z//wIAAAAGiQMAAAExAXb8///Y/P//AXX8///X/P//AAAAAAaMAwAABTE0LjE0BwY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z//8P8//8JPgMAAAk/AwAAAXD8///D/P//CUEDAAAJPwMAAAFt/P//w/z//wlEAwAABpUDAAAFLTQxNDIBavz//8P8//8JRwMAAAaYAwAAB0NhbGlicmkBZ/z//8P8//8JSgMAAAabAwAAATABZPz//8P8//8JTQMAAAaeAwAAAjExAWH8///D/P//CVADAAAGoQMAAAdSZWd1bGFyBwcCAAAAAQAAAAQAAAAEN0dsb2JlU29mdHdhcmUuQXRsYXM0MC5BdGxhc0NvbW1vbi5UeXBlLkZpZWxkT3V0cHV0RmllbGQCAAAACSMDAAANAwEIAgAA+QEAAAcJ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fz//9j8//8BXPz//9f8//8JAAAACQgAAAABWvz//9j8//8BWfz//9f8//8LAAAABqgDAAABMwFX/P//2Pz//wFW/P//1/z//wQAAAAGqwMAAAdHZW5lcmFsAVT8///Y/P//AVP8///X/P//AgAAAAauAwAAATEBUfz//9j8//8BUPz//9f8//8AAAAABrEDAAAFMjUuNDMHC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P//w/z//wazAwAACEZvbnRCb2xkCT8DAAABS/z//8P8//8GtgMAAApGb250SXRhbGljCT8DAAABSPz//8P8//8GuQMAAA1Gb250VW5kZXJsaW5lBroDAAAFLTQxNDIBRfz//8P8//8GvAMAAAhGb250TmFtZQa9AwAAB0NhbGlicmkBQvz//8P8//8GvwMAAAlGb250Q29sb3IGwAMAAAEwAT/8///D/P//BsIDAAAIRm9udFNpemUGwwMAAAIxMQE8/P//w/z//wbFAwAACUZvbnRTdHlsZQbGAwAAB1JlZ3VsYXIHDAIAAAABAAAABAAAAAQ3R2xvYmVTb2Z0d2FyZS5BdGxhczQwLkF0bGFzQ29tbW9uLlR5cGUuRmllbGRPdXRwdXRGaWVsZAIAAAAJvAEAAA0DBw4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4/P//2Pz//wE3/P//1/z//wkAAAAJCAAAAAE1/P//2Pz//wE0/P//1/z//wsAAAAGzQMAAAE0ATL8///Y/P//ATH8///X/P//BAAAAAbQAwAACG0vZC95eXl5AS/8///Y/P//AS78///X/P//AgAAAAbTAwAAATEBLPz//9j8//8BK/z//9f8//8AAAAABtYDAAABOQcQ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8///D/P//CT4DAAAJPwMAAAEm/P//w/z//wlBAwAACT8DAAABI/z//8P8//8JRAMAAAbfAwAABS00MTQyASD8///D/P//CUcDAAAG4gMAAAdDYWxpYnJpAR38///D/P//CUoDAAAG5QMAAAEwARr8///D/P//CU0DAAAG6AMAAAIxMQEX/P//w/z//wlQAwAABusDAAAHUmVndWxhcgcRAgAAAAEAAAAEAAAABDdHbG9iZVNvZnR3YXJlLkF0bGFzNDAuQXRsYXNDb21tb24uVHlwZS5GaWVsZE91dHB1dEZpZWxkAgAAAAkXAwAADQMHEw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8///Y/P//ARL8///X/P//CQAAAAkIAAAAARD8///Y/P//AQ/8///X/P//CwAAAAbyAwAAATUBDfz//9j8//8BDPz//9f8//8EAAAABvUDAAAHR2VuZXJhbAEK/P//2Pz//wEJ/P//1/z//wIAAAAG+AMAAAExAQf8///Y/P//AQb8///X/P//AAAAAAb7AwAAATYHF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E/P//w/z//wb9AwAACEZvbnRCb2xkCT8DAAABAfz//8P8//8GAAQAAApGb250SXRhbGljCT8DAAAB/vv//8P8//8GAwQAAA1Gb250VW5kZXJsaW5lBgQEAAAFLTQxNDIB+/v//8P8//8GBgQAAAhGb250TmFtZQYHBAAAB0NhbGlicmkB+Pv//8P8//8GCQQAAAlGb250Q29sb3IGCgQAAAEwAfX7///D/P//BgwEAAAIRm9udFNpemUGDQQAAAIxMQHy+///w/z//wYPBAAACUZvbnRTdHlsZQYQBAAAB1JlZ3VsYXIHFgIAAAABAAAABAAAAAQ3R2xvYmVTb2Z0d2FyZS5BdGxhczQwLkF0bGFzQ29tbW9uLlR5cGUuRmllbGRPdXRwdXRGaWVsZAIAAAAJGgMAAA0DBxg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+///2Pz//wHt+///1/z//wkAAAAJCAAAAAHr+///2Pz//wHq+///1/z//wsAAAAGFwQAAAE2Aej7///Y/P//Aef7///X/P//BAAAAAYaBAAAB0dlbmVyYWwB5fv//9j8//8B5Pv//9f8//8CAAAABh0EAAABMQHi+///2Pz//wHh+///1/z//wAAAAAGIAQAAAQ1LjE0Bxo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v//8P8//8J/QMAAAk/AwAAAdz7///D/P//CQAEAAAJPwMAAAHZ+///w/z//wkDBAAABikEAAAFLTQxNDIB1vv//8P8//8JBgQAAAYsBAAAB0NhbGlicmkB0/v//8P8//8JCQQAAAYvBAAAATAB0Pv//8P8//8JDAQAAAYyBAAAAjExAc37///D/P//CQ8EAAAGNQQAAAdSZWd1bGFyBxsCAAAAAQAAAAQAAAAEN0dsb2JlU29mdHdhcmUuQXRsYXM0MC5BdGxhc0NvbW1vbi5UeXBlLkZpZWxkT3V0cHV0RmllbGQCAAAACb8BAAANAwcd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fv//9j8//8ByPv//9f8//8QAAAACSoDAAABxvv//9j8//8Bxfv//9f8//8JAAAACQgAAAABw/v//9j8//8Bwvv//9f8//8LAAAABj8EAAABNwHA+///2Pz//wG/+///1/z//wQAAAAGQgQAAAdHZW5lcmFsAb37///Y/P//Abz7///X/P//AgAAAAZFBAAAATEBuvv//9j8//8Bufv//9f8//8AAAAABkgEAAAFMTAuMjkHH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+///w/z//wk+AwAACT8DAAABtPv//8P8//8JQQMAAAk/AwAAAbH7///D/P//CUQDAAAGUQQAAAUtNDE0MgGu+///w/z//wlHAwAABlQEAAAHQ2FsaWJyaQGr+///w/z//wlKAwAABlcEAAABMAGo+///w/z//wlNAwAABloEAAACMTEBpfv//8P8//8JUAMAAAZdBAAAB1JlZ3VsYXIHIAIAAAABAAAABAAAAAQ3R2xvYmVTb2Z0d2FyZS5BdGxhczQwLkF0bGFzQ29tbW9uLlR5cGUuRmllbGRPdXRwdXRGaWVsZAIAAAAJHQMAAA0DByI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h+///2Pz//wGg+///1/z//wkAAAAJCAAAAAGe+///2Pz//wGd+///1/z//wsAAAAGZAQAAAE4AZv7///Y/P//AZr7///X/P//BAAAAAZnBAAAB0dlbmVyYWwBmPv//9j8//8Bl/v//9f8//8CAAAABmoEAAABMQGV+///2Pz//wGU+///1/z//wAAAAAGbQQAAAQ2LjQzByQ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v//8P8//8J/QMAAAk/AwAAAY/7///D/P//CQAEAAAJPwMAAAGM+///w/z//wkDBAAABnYEAAAFLTQxNDIBifv//8P8//8JBgQAAAZ5BAAAB0NhbGlicmkBhvv//8P8//8JCQQAAAZ8BAAAATABg/v//8P8//8JDAQAAAZ/BAAAAjExAYD7///D/P//CQ8EAAAGggQAAAdSZWd1bGFyByUCAAAAAQAAAAQAAAAEN0dsb2JlU29mdHdhcmUuQXRsYXM0MC5BdGxhc0NvbW1vbi5UeXBlLkZpZWxkT3V0cHV0RmllbGQCAAAACcIBAAANAwcnAg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v//9j8//8Be/v//9f8//8GAAAABoYEAAAFVG90YWwBefv//9j8//8BePv//9f8//8QAAAACSoDAAABdvv//9j8//8Bdfv//9f8//8JAAAACQgAAAABc/v//9j8//8Bcvv//9f8//8LAAAABo8EAAABOQFw+///2Pz//wFv+///1/z//wQAAAAGkgQAAAdHZW5lcmFsAW37///Y/P//AWz7///X/P//AgAAAAaVBAAAATEBavv//9j8//8Bafv//9f8//8AAAAABpgEAAAEOS4yOQcp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f7///D/P//CT4DAAAJPwMAAAFk+///w/z//wlBAwAACT8DAAABYfv//8P8//8JRAMAAAahBAAABS00MTQyAV77///D/P//CUcDAAAGpAQAAAdDYWxpYnJpAVv7///D/P//CUoDAAAGpwQAAAEwAVj7///D/P//CU0DAAAGqgQAAAIxMQFV+///w/z//wlQAwAABq0EAAAHUmVndWxhcgcqAgAAAAEAAAAEAAAABDdHbG9iZVNvZnR3YXJlLkF0bGFzNDAuQXRsYXNDb21tb24uVHlwZS5GaWVsZE91dHB1dEZpZWxkAgAAAAnFAQAADQMHL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H7///Y/P//AVD7///X/P//EAAAAAkqAwAAAU77///Y/P//AU37///X/P//CQAAAAkIAAAAAUv7///Y/P//AUr7///X/P//CwAAAAa3BAAAAjEwAUj7///Y/P//AUf7///X/P//BAAAAAa6BAAAB0dlbmVyYWwBRfv//9j8//8BRPv//9f8//8CAAAABr0EAAABMQFC+///2Pz//wFB+///1/z//wAAAAAGwAQAAAUxMC40Mwcu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7///D/P//CT4DAAAJPwMAAAE8+///w/z//wlBAwAACT8DAAABOfv//8P8//8JRAMAAAbJBAAABS00MTQyATb7///D/P//CUcDAAAGzAQAAAdDYWxpYnJpATP7///D/P//CUoDAAAGzwQAAAEwATD7///D/P//CU0DAAAG0gQAAAIxMQEt+///w/z//wlQAwAABtUEAAAHUmVndWxhcgcvAgAAAAEAAAAEAAAABDdHbG9iZVNvZnR3YXJlLkF0bGFzNDAuQXRsYXNDb21tb24uVHlwZS5GaWVsZE91dHB1dEZpZWxkAgAAAAnIAQAADQMHMQ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7///Y/P//ASj7///X/P//EAAAAAkqAwAAASb7///Y/P//ASX7///X/P//CQAAAAkIAAAAASP7///Y/P//ASL7///X/P//CwAAAAbfBAAAAjExASD7///Y/P//AR/7///X/P//BAAAAAbiBAAAB0dlbmVyYWwBHfv//9j8//8BHPv//9f8//8CAAAABuUEAAABMQEa+///2Pz//wEZ+///1/z//wAAAAAG6AQAAAUxMC40Mwcz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7///D/P//CT4DAAAJPwMAAAEU+///w/z//wlBAwAACT8DAAABEfv//8P8//8JRAMAAAbxBAAABS00MTQyAQ77///D/P//CUcDAAAG9AQAAAdDYWxpYnJpAQv7///D/P//CUoDAAAG9wQAAAEwAQj7///D/P//CU0DAAAG+gQAAAIxMQEF+///w/z//wlQAwAABv0EAAAHUmVndWxhcgc0AgAAAAEAAAAEAAAABDdHbG9iZVNvZnR3YXJlLkF0bGFzNDAuQXRsYXNDb21tb24uVHlwZS5GaWVsZE91dHB1dEZpZWxkAgAAAAnLAQAADQMHN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H7///Y/P//AQD7///X/P//EAAAAAkqAwAAAf76///Y/P//Af36///X/P//CQAAAAkIAAAAAfv6///Y/P//Afr6///X/P//CwAAAAYHBQAAAjEyAfj6///Y/P//Aff6///X/P//BAAAAAYKBQAAB0dlbmVyYWwB9fr//9j8//8B9Pr//9f8//8CAAAABg0FAAABMQHy+v//2Pz//wHx+v//1/z//wAAAAAGEAUAAAE5Bzg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r//8P8//8JPgMAAAk/AwAAAez6///D/P//CUEDAAAJPwMAAAHp+v//w/z//wlEAwAABhkFAAAFLTQxNDIB5vr//8P8//8JRwMAAAYcBQAAB0NhbGlicmkB4/r//8P8//8JSgMAAAYfBQAAATAB4Pr//8P8//8JTQMAAAYiBQAAAjExAd36///D/P//CVADAAAGJQUAAAdSZWd1bGFyBzkCAAAAAQAAAAQAAAAEN0dsb2JlU29mdHdhcmUuQXRsYXM0MC5BdGxhc0NvbW1vbi5UeXBlLkZpZWxkT3V0cHV0RmllbGQCAAAACc4BAAANAwc7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fr//9j8//8B2Pr//9f8//8QAAAACSoDAAAB1vr//9j8//8B1fr//9f8//8JAAAACQgAAAAB0/r//9j8//8B0vr//9f8//8LAAAABi8FAAACMTMB0Pr//9j8//8Bz/r//9f8//8EAAAABjIFAAAHR2VuZXJhbAHN+v//2Pz//wHM+v//1/z//wIAAAAGNQUAAAExAcr6///Y/P//Acn6///X/P//AAAAAAY4BQAABTE4LjE0Bz0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r//8P8//8JPgMAAAk/AwAAAcT6///D/P//CUEDAAAJPwMAAAHB+v//w/z//wlEAwAABkEFAAAFLTQxNDIBvvr//8P8//8JRwMAAAZEBQAAB0NhbGlicmkBu/r//8P8//8JSgMAAAZHBQAAATABuPr//8P8//8JTQMAAAZKBQAAAjExAbX6///D/P//CVADAAAGTQUAAAdSZWd1bGFyBz4CAAAAAQAAAAQAAAAEN0dsb2JlU29mdHdhcmUuQXRsYXM0MC5BdGxhc0NvbW1vbi5UeXBlLkZpZWxkT3V0cHV0RmllbGQCAAAACdEBAAANAwdA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r//9j8//8BsPr//9f8//8QAAAACSoDAAABrvr//9j8//8Brfr//9f8//8JAAAACQgAAAABq/r//9j8//8Bqvr//9f8//8LAAAABlcFAAACMTQBqPr//9j8//8Bp/r//9f8//8EAAAABloFAAAHR2VuZXJhbAGl+v//2Pz//wGk+v//1/z//wIAAAAGXQUAAAExAaL6///Y/P//AaH6///X/P//AAAAAAZgBQAABDkuNDMHQ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v//w/z//wk+AwAACT8DAAABnPr//8P8//8JQQMAAAk/AwAAAZn6///D/P//CUQDAAAGaQUAAAUtNDE0MgGW+v//w/z//wlHAwAABmwFAAAHQ2FsaWJyaQGT+v//w/z//wlKAwAABm8FAAABMAGQ+v//w/z//wlNAwAABnIFAAACMTEBjfr//8P8//8JUAMAAAZ1BQAAB1JlZ3VsYXIHQwIAAAABAAAABAAAAAQ3R2xvYmVTb2Z0d2FyZS5BdGxhczQwLkF0bGFzQ29tbW9uLlR5cGUuRmllbGRPdXRwdXRGaWVsZAIAAAAJ1AEAAA0DB0U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+v//2Pz//wGI+v//1/z//xAAAAAJKgMAAAGG+v//2Pz//wGF+v//1/z//wkAAAAJCAAAAAGD+v//2Pz//wGC+v//1/z//wsAAAAGfwUAAAIxNQGA+v//2Pz//wF/+v//1/z//wQAAAAGggUAAAdHZW5lcmFsAX36///Y/P//AXz6///X/P//AgAAAAaFBQAAATEBevr//9j8//8Befr//9f8//8AAAAABogFAAABOAdH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6///D/P//CT4DAAAJPwMAAAF0+v//w/z//wlBAwAACT8DAAABcfr//8P8//8JRAMAAAaRBQAABS00MTQyAW76///D/P//CUcDAAAGlAUAAAdDYWxpYnJpAWv6///D/P//CUoDAAAGlwUAAAEwAWj6///D/P//CU0DAAAGmgUAAAIxMQFl+v//w/z//wlQAwAABp0FAAAHUmVndWxhcgdIAgAAAAEAAAAEAAAABDdHbG9iZVNvZnR3YXJlLkF0bGFzNDAuQXRsYXNDb21tb24uVHlwZS5GaWVsZE91dHB1dEZpZWxkAgAAAAnXAQAADQMHS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H6///Y/P//AWD6///X/P//CQAAAAkIAAAAAV76///Y/P//AV36///X/P//CwAAAAakBQAAAjE2AVv6///Y/P//AVr6///X/P//BAAAAAanBQAAB0dlbmVyYWwBWPr//9j8//8BV/r//9f8//8CAAAABqoFAAABMQFV+v//2Pz//wFU+v//1/z//wAAAAAGrQUAAAUxMi43MQFS+v//2Pz//wFR+v//1/z//yQAAAAJpwEAAAdM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6///D/P//CT4DAAAJPwMAAAFM+v//w/z//wlBAwAACT8DAAABSfr//8P8//8JRAMAAAa5BQAABS00MTQyAUb6///D/P//CUcDAAAGvAUAAAdDYWxpYnJpAUP6///D/P//CUoDAAAGvwUAAAEwAUD6///D/P//CU0DAAAGwgUAAAIxMQE9+v//w/z//wlQAwAABsUFAAAHUmVndWxhcgFQAgAADgAAAAidAAAGxgUAAAxUUFBUcmFuc19zc3QGxwUAABBUUFAgdHJhbnNhY3Rpb25zCQgAAAAJCAAAAAkIAAAAATf6///g////AAAAAAnKBQAACcsFAAABNPr//93///8IzAPgEHuwS7uQOJO5VGL0CQgAAAAJCAAAAAnOBQAACVMCAAAKCgoKCgEAAAABMPr//9n///8AAAAAAS/6///Y////AAAAAAAJ0gUAAAR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1AUAAAR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1gUAAAR1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2AUAAAF6AgAADgAAAP////8G2QUAAAxUUFBUcmFuc19zc3QG2gUAABBUUFAgdHJhbnNhY3Rpb25zCQgAAAAJCAAAAAkIAAAAAST6///g////AAAAAAndBQAACd4FAAABIfr//93///8J8/eHGF/vSqHhi2ugVYMTCQgAAAAJCAAAAAnhBQAACX0CAAAKCgoKCgEAAAABHfr//9n///8AAAAAARz6///Y////AAAAAAAJ5QUAAASD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4AAAAJ+wEAAAMAAAAJ5wUAAASR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6QUAAAS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6wUAAASt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7QUAAAS7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7wUAAAT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8QU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8wUAAATl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9QUAAAT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9wU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4AAAAJ+wEAAAMAAAAJ+QUAAAQK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+wUAAAQT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/QUAAAEXAwAAswEAAAEC+v//Nf////////8ABv8FAAAGU3RyaW5nBgAGAAAEU2l0ZQkxAAAAAf75//8z////AgAAAAH9+f//rv3//wEAAAAAAAkwAAAACQwBAAAJCAAAAAr/////CTAAAAAKCQwBAAAGCQYAAAtJbnZlbnREaW1JZAYKBgAADFRQUFRyYW5zX3NzdAoJCAAAAAkMBgAACQgAAAABGgMAALMBAAAB8vn//zX/////////AAYPBgAABlN0cmluZwYQBgAACVdhcmVob3VzZQkxAAAAAe75//8z////AgAAAAHt+f//rv3//wEAAAAAAAkwAAAACRoBAAAJCAAAAAr/////CTAAAAAKCRoBAAAGGQYAAAtJbnZlbnREaW1JZAYaBgAADFRQUFRyYW5zX3NzdAoJCAAAAAkcBgAACQgAAAABHQMAALMBAAAB4vn//zX/////////AAYfBgAABlN0cmluZwYgBgAABFVuaXQJNAAAAAHe+f//M////wIAAAAB3fn//679//8BAAAAAAAJMwAAAAk2AQAACQgAAAAK/////wkzAAAACgk2AQAABikGAAAGSXRlbUlkBioGAAAMVFBQVHJhbnNfc3N0CgkIAAAACSwGAAAJCAAAAAEgAwAA2gEAAAkzAAAABi8GAAAKTW9kdWxlVHlwZQkIAAAABjEGAAAGSW52ZW50/////wkzAAAACgkvBgAABjQGAAAGSXRlbUlkCgoJCAAAAAk2BgAACQgAAAABIwMAALMBAAAByPn//zX/////////AAY5BgAABlN0cmluZwY6BgAACUl0ZW0gbmFtZQk3AAAAAcT5//8z////AgAAAAHD+f//rv3//wEAAAAAAAk2AAAACfAAAAAJCAAAAAr/////CTYAAAAKCfAAAAAGQwYAAAZJdGVtSWQGRAYAAAxUUFBUcmFuc19zc3QKCQgAAAAJRgYAAAkIAAAAASYDAADaAQAACTYAAAAGSQYAAAhJdGVtVHlwZQkIAAAABksGAAAIIVNlcnZpY2X/////CTYAAAAKCUkGAAAGTgYAAAZJdGVtSWQKCgkIAAAACVAGAAAJCAAAAAHKBQAAIQAAAAwAAAAJUgYAABEAAAAJUwYAAAHLBQAAIgAAAAoAAAAJUgYAABEAAAAJVQYAAATO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UgYAAAAAAAAB0gUAACkAAAAAAAAACVcGAAAAAAAAB9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n//8P8//8GWQYAAAhIZWxwVGV4dAZaBgAAMlNwZWNpZnkgdGhlIG1vZHVsZSB0aGF0IGdlbmVyYXRlZCB0aGUgdHJhbnNhY3Rpb24uAaX5///D/P//BlwGAAAFTGFiZWwJTwIAAAGi+f//w/z//wZfBgAABFR5cGUJTgIAAAf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/5///D/P//CVkGAAAGYwYAADVPcmRlciBudW1iZXIsIHByb2plY3QgbnVtYmVyLCBwcm9kdWN0aW9uIG51bWJlciwgZXRjLgGc+f//w/z//wlcBgAACV0CAAABmfn//8P8//8JXwYAAAlcAgAAB9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n//8P8//8JWQYAAAZsBgAADklkZW50aWZ5IGl0ZW0uAZP5///D/P//CVwGAAAJawIAAAGQ+f//w/z//wlfBgAACWoCAAAB3QUAACEAAAARAAAACXMGAAARAAAACXQGAAAB3gUAACIAAAABAAAACfsBAAADAAAACXYGAAAE4Q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MGAAAAAAAAAeUFAAApAAAAAAAAAAl4BgAAAAAAAAfn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5///D/P//CVwGAAAJeQIAAAGE+f//w/z//wlfBgAACXgCAAAH6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f//w/z//wlZBgAABoEGAAAkUXVhbnRpdHkgYXR0YWNoZWQgdG8gdGhlIHRyYW5zYWN0aW9uAX75///D/P//CVwGAAAJhwIAAAF7+f//w/z//wlfBgAACYYCAAAH6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4+f//w/z//wlZBgAABooGAAAPVFBQIGNvc3QgcHJpY2UuAXX5///D/P//CVwGAAAJlQIAAAFy+f//w/z//wlfBgAACZQCAAAH7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+f//w/z//wlZBgAABpMGAAAQVFBQIGNvc3QgYW1vdW50LgFs+f//w/z//wlcBgAACaMCAAABafn//8P8//8JXwYAAAmiAgAAB+8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n//8P8//8JWQYAAAacBgAALkN1cnJlbmN5LCBpZiBhbnksIGF0dGFjaGVkIHRvIHRoZSBpdGVtIHJlY2VpcHQBY/n//8P8//8JXAYAAAmxAgAAAWD5///D/P//CV8GAAAJsAIAAAfx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35///D/P//CVkGAAAGpQYAABxUUFAgY29zdCBhbW91bnQgaW4gY3VycmVuY3kuAVr5///D/P//CVwGAAAJvwIAAAFX+f//w/z//wlfBgAACb4CAAAH8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f//w/z//wlZBgAABq4GAAAzVm91Y2hlciBudW1iZXIgdGhhdCB0aGUgdHJhbnNhY3Rpb24gaXMgYXR0YWNoZWQgdG8uAVH5///D/P//CVwGAAAJzQIAAAFO+f//w/z//wlfBgAACcwCAAAH9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+f//w/z//wlZBgAABrcGAABSU3VtbWFyeSBudW1iZXIvTG90IElEIGZvciB0cmFuc2FjdGlvbnMgYXR0YWNoZWQgdG8gdGhlIHNhbWUgaW52ZW50b3J5IHRyYW5zYWN0aW9uLgFI+f//w/z//wlcBgAACdsCAAABRfn//8P8//8JXwYAAAnaAgAAB/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n//8P8//8JWQYAAAbABgAAFlRQUCB0cmFuc2FjdGlvbiBzdGF0dXMBP/n//8P8//8JXAYAAAnpAgAAATz5///D/P//CV8GAAAJ6AIAAAf5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5///D/P//CVwGAAAJTwIAAAE2+f//w/z//wlfBgAACfYCAAAH+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+f//w/z//wbOBgAABFR5cGUJeAIAAAEw+f//w/z//wbRBgAABUxhYmVsCXkCAAABLfn//8P8//8G1AYAAAhSZWZlcnNUbwbVBgAACz1EYXRlUGVyaW9kB/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n//8P8//8JzgYAAAlqAgAAASf5///D/P//CdEGAAAJawIAAAEk+f//w/z//wnUBgAABt4GAAALPUl0ZW1OdW1iZXIED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102AAAACecBAAADAAAACeAGAAAEH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102AAAACecBAAADAAAACeIGAAAEL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102AAAACecBAAADAAAACeQGAAAEN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RIAAAADAAAACeYGAAAER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ecBAAADAAAACegGAAAEU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RIAAAADAAAACeoGAAABUgYAABIAAAAHUwYAAAABAAAAD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fn//0/+//8G7AYAABxUYWJsZS5UUFBUcmFuc19zc3QuQ29zdFByaWNlCcIBAAABEvn//0/+//8G7wYAAB1UYWJsZS5UUFBUcmFuc19zc3QuQ29zdEFtb3VudAnFAQAAAQ/5//9P/v//BvIGAAAgVGFibGUuVFBQVHJhbnNfc3N0LkNvc3RBbW91bnRDdXIJywEAAAEM+f//T/7//wb1BgAAFlRhYmxlLlRQUFRyYW5zX3NzdC5RdHkJvwEAAAEJ+f//T/7//wb4BgAAHlRhYmxlLlRQUFRyYW5zX3NzdC5JbnZlbnREaW1JZAn5BgAAAQb5//9P/v//BvsGAAAaVGFibGUuVFBQVHJhbnNfc3N0LlZvdWNoZXIJzgEAAAED+f//T/7//wb+BgAAIFRhYmxlLlRQUFRyYW5zX3NzdC5JbnZlbnRUcmFuc0lkCdEBAAABAPn//0/+//8GAQcAAB1UYWJsZS5UUFBUcmFuc19zc3QuVHJhbnNSZWZJZAm2AQAAAf34//9P/v//BgQHAAAcVGFibGUuVFBQVHJhbnNfc3N0LlRyYW5zVHlwZQmzAQAAAfr4//9P/v//BgcHAAAfVGFibGUuVFBQVHJhbnNfc3N0LkN1cnJlbmN5Q29kZQnIAQAAAff4//9P/v//BgoHAAAZVGFibGUuVFBQVHJhbnNfc3N0LlN0YXR1cwnUAQAAAfT4//9P/v//Bg0HAAAZVGFibGUuVFBQVHJhbnNfc3N0Lkl0ZW1JZAm5AQAAB1UGAAAAAQAAAAo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x+P//KP7//wYQBwAAHVRhYmxlLlRQUFRyYW5zX3NzdC5EYXRhQXJlYUlkCREHAAAB7vj//yj+//8GEwcAAB9UYWJsZS5UUFBUcmFuc19zc3QuQ3VycmVuY3lDb2RlCRQHAAAB6/j//yj+//8GFgcAABxUYWJsZS5UUFBUcmFuc19zc3QuVHJhbnNEYXRlCRcHAAAB6Pj//yj+//8GGQcAAB5UYWJsZS5UUFBUcmFuc19zc3QuSW52ZW50RGltSWQJGgcAAAHl+P//KP7//wYcBwAAGlRhYmxlLlRQUFRyYW5zX3NzdC5Wb3VjaGVyCR0HAAAB4vj//yj+//8GHwcAABlUYWJsZS5UUFBUcmFuc19zc3QuSXRlbUlkCSAHAAAB3/j//yj+//8GIgcAACBUYWJsZS5UUFBUcmFuc19zc3QuSW52ZW50VHJhbnNJZAkjBwAAAdz4//8o/v//BiUHAAAdVGFibGUuVFBQVHJhbnNfc3N0LlRyYW5zUmVmSWQJJgcAAAHZ+P//KP7//wYoBwAAHFRhYmxlLlRQUFRyYW5zX3NzdC5UcmFuc1R5cGUJKQcAAAHW+P//KP7//wYrBwAAGVRhYmxlLlRQUFRyYW5zX3NzdC5TdGF0dXMJLAcAAAFXBgAAjAAAAAFzBgAAEgAAAAd0Bg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T+P//T/7//wYuBwAAHFRhYmxlLlRQUFRyYW5zX3NzdC5Db3N0UHJpY2UJwgEAAAHQ+P//T/7//wYxBwAAHVRhYmxlLlRQUFRyYW5zX3NzdC5Db3N0QW1vdW50CcUBAAABzfj//0/+//8GNAcAACBUYWJsZS5UUFBUcmFuc19zc3QuQ29zdEFtb3VudEN1cgnLAQAAAcr4//9P/v//BjcHAAAWVGFibGUuVFBQVHJhbnNfc3N0LlF0eQm/AQAAAcf4//9P/v//BjoHAAAeVGFibGUuVFBQVHJhbnNfc3N0LkludmVudERpbUlkCfkGAAABxPj//0/+//8GPQcAABpUYWJsZS5UUFBUcmFuc19zc3QuVm91Y2hlcgnOAQAAAcH4//9P/v//BkAHAAAgVGFibGUuVFBQVHJhbnNfc3N0LkludmVudFRyYW5zSWQJ0QEAAAG++P//T/7//wZDBwAAHVRhYmxlLlRQUFRyYW5zX3NzdC5UcmFuc1JlZklkCbYBAAABu/j//0/+//8GRgcAABxUYWJsZS5UUFBUcmFuc19zc3QuVHJhbnNUeXBlCbMBAAABuPj//0/+//8GSQcAAB9UYWJsZS5UUFBUcmFuc19zc3QuQ3VycmVuY3lDb2RlCcgBAAABtfj//0/+//8GTAcAABlUYWJsZS5UUFBUcmFuc19zc3QuU3RhdHVzCdQBAAABsvj//0/+//8GTwcAABlUYWJsZS5UUFBUcmFuc19zc3QuSXRlbUlkCbkBAAABr/j//0/+//8GUgcAABxUYWJsZS5UUFBUcmFuc19zc3QuVHJhbnNEYXRlCbwBAAABrPj//0/+//8GVQcAACNUYWJsZS5UUFBUcmFuc19zc3QuSW52ZW50VHJhbnNSZWNJZAnXAQAAAan4//9P/v//BlgHAAAqVGFibGUuVFBQVHJhbnNfc3N0LkludmVudEpvdXJuYWxUcmFuc1JlY0lkCVkHAAABpvj//0/+//8GWwcAACRUYWJsZS5UUFBUcmFuc19zc3QuSW52b2ljZVRyYW5zUmVjSWQJXAcAAAGj+P//T/7//wZeBwAAH1RhYmxlLlRQUFRyYW5zX3NzdC5Qcm9kQk9NUmVjSWQJXwcAAAd2B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Pj//yj+//8GYQcAABxUYWJsZS5UUFBUcmFuc19zc3QuVHJhbnNEYXRlCWIHAAABeAYAAIwAAAAH4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P//w/z//wZkBwAABUxhYmVsCQAGAAABmvj//8P8//8GZwcAAARUeXBlCf8FAAAH4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+P//w/z//wlkBwAACRAGAAABlPj//8P8//8JZwcAAAkPBgAAB+Q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j//8P8//8JZAcAAAkgBgAAAY74///D/P//CWcHAAAJHwYAAAfm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4///D/P//Cc4GAAAGdwcAAARFbnVtAYj4///D/P//CdEGAAAGegcAAAtNb2R1bGUgdHlwZQfo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4///D/P//CWQHAAAJOgYAAAGC+P//w/z//wlnBwAACTkGAAAH6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+P//w/z//wnOBgAABoMHAAAERW51bQF8+P//w/z//wnRBgAABoYHAAAJSXRlbSB0eXBlAXn4///D/P//CdQGAAAGiQcAAAk9SXRlbVR5cGUB+QYAALMBAAABdvj//zX/////////AAaLBwAABlN0cmluZwaMBwAADURpbWVuc2lvbiBOby4JUAIAAAFy+P//M////wIAAAABcfj//679//8BAAAAAAAJUwIAAAaRBwAAC0ludmVudERpbUlkCQgAAAAK/////wlTAgAACgmRBwAACgoKCQgAAAAJlgcAAAkIAAAAAREHAADaAQAACVMCAAAGmQcAAApEYXRhQXJlYUlkCQgAAAAJCAAAAP////8JUwIAAAoJmQcAAAoKCgkIAAAACZ4HAAAJCAAAAAEUBwAA2gEAAAlTAgAABqEHAAAMQ3VycmVuY3lDb2RlCQgAAAAJCAAAAP////8JUwIAAAoJoQcAAAoKCgkIAAAACaYHAAAJCAAAAAEXBwAA2gEAAAlTAgAACQQDAAAJCAAAAAkIAAAA/////wlTAgAACgkEAwAACgoKCQgAAAAJrgcAAAkIAAAAARoHAADaAQAACVMCAAAGsQcAAAtJbnZlbnREaW1JZAkIAAAACQgAAAD/////CVMCAAAKCbEHAAAKCgoJCAAAAAm2BwAACQgAAAABHQcAANoBAAAJUwIAAAa5BwAAB1ZvdWNoZXIJCAAAAAkIAAAA/////wlTAgAACgm5BwAACgoKCQgAAAAJvgcAAAkIAAAAASAHAADaAQAACVMCAAAGwQcAAAZJdGVtSWQJCAAAAAkIAAAA/////wlTAgAACgnBBwAACgoKCQgAAAAJxgcAAAkIAAAAASMHAADaAQAACVMCAAAGyQcAAA1JbnZlbnRUcmFuc0lkCQgAAAAJCAAAAP////8JUwIAAAoJyQcAAAoKCgkIAAAACc4HAAAJCAAAAAEmBwAA2gEAAAlTAgAABtEHAAAKVHJhbnNSZWZJZAkIAAAACQgAAAD/////CVMCAAAKCdEHAAAKCgoJCAAAAAnWBwAACQgAAAABKQcAANoBAAAJUwIAAAbZBwAACVRyYW5zVHlwZQkIAAAACQgAAAD/////CVMCAAAKCdkHAAAKCgoJCAAAAAneBwAACQgAAAABLAcAANoBAAAJUwIAAAbhBwAABlN0YXR1cwkIAAAACQgAAAD/////CVMCAAAKCeEHAAAKCgoJCAAAAAnmBwAACQgAAAABWQcAALMBAAABGPj//zX/////////AAbpBwAABUludDY0BuoHAAAJUmVmZXJlbmNlCXoCAAABFPj//zP///8CAAAAARP4//+u/f//AQAAAAAACX0CAAAG7wcAABdJbnZlbnRKb3VybmFsVHJhbnNSZWNJZAkIAAAACv////8JfQIAAAoJ7wcAAAoKCgkIAAAACfQHAAAJCAAAAAFcBwAAswEAAAEK+P//Nf////////8ABvcHAAAFSW50NjQJ6gcAAAl6AgAAAQb4//8z////AgAAAAEF+P//rv3//wEAAAAAAAl9AgAABv0HAAARSW52b2ljZVRyYW5zUmVjSWQJCAAAAAr/////CX0CAAAKCf0HAAAKCgoJCAAAAAkCCAAACQgAAAABXwcAALMBAAAB/Pf//zX/////////AAYFCAAABUludDY0CeoHAAAJegIAAAH49///M////wIAAAAB9/f//679//8BAAAAAAAJfQIAAAYLCAAADFByb2RCT01SZWNJZAkIAAAACv////8JfQIAAAoJCwgAAAoKCgkIAAAACRAIAAAJCAAAAAFiBwAA2gEAAAlTAgAACQQDAAAJCAAAAAYVCAAAGDA2LjAxLjIwMTcgLi4gMDYuMzAuMjAxN/////8JUwIAAAoJBAMAAAoKCgkIAAAACRkIAAAJCAAAAASW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EAAAAJ+wEAAAMAAAAJHAgAAAGeBwAAEAAAAAAAAAAJ+wEAAAAAAAABpgcAABAAAAAAAAAACfsBAAAAAAAAAa4HAAAQAAAAAAAAAAn7AQAAAAAAAAG2BwAAEAAAAAAAAAAJ+wEAAAAAAAABvgcAABAAAAAAAAAACfsBAAAAAAAAAcYHAAAQAAAAAAAAAAn7AQAAAAAAAAHOBwAAEAAAAAAAAAAJ+wEAAAAAAAAB1gcAABAAAAAAAAAACfsBAAAAAAAAAd4HAAAQAAAAAAAAAAn7AQAAAAAAAAHmBwAAEAAAAAAAAAAJ+wEAAAAAAAAE9A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R4IAAAEAg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AIAAAEEA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IIAAAEGQ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fsBAAADAAAACSQIAAAHH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9///w/z//wlZBgAABicIAAAqSWRlbnRpZmljYXRpb24gb2YgZGltZW5zaW9ucyBmb3IgdGhlIGl0ZW0uAdj3///D/P//CVwGAAAJjAcAAAHV9///w/z//wlfBgAACYsHAAAHHgg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9///w/z//wlcBgAACeoHAAABz/f//8P8//8JXwYAAAnpBwAAByAI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f//8P8//8JXAYAAAnqBwAAAcn3///D/P//CV8GAAAJ9wcAAAciC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3///D/P//CVwGAAAJ6gcAAAHD9///w/z//wlfBgAACQUIAAAHJ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9///w/z//wlfBgAABkIIAAAERGF0ZQG99///w/z//wlcBgAABkUIAAAERGF0ZQG69///w/z//wZHCAAACFJlZmVyc1RvCdUGAAAL
    <Output>
      <OutputObject name="AtlasReport_2"/>
    </Output>
  </Query>
</Atlas>
</file>

<file path=customXml/item4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RAAAAE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gAAAABC1HbG9iZVNvZnR3YXJlLkF0bGFzNDAuQXRsYXNDb21tb24uVHlwZS5Db2x1bW4OAAAACRQAAAAJFQAAAAkWAAAACRcAAAAJGAAAAAkZAAAACRoAAAAJGwAAAAkcAAAACR0AAAAJHgAAAAkfAAAACSAAAAAJIQAAAAkiAAAACSMAAAAJJAAAAA0PDCU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QAAAAgCAAAABiYAAAAVQXRsYXNSZXBvcnRfMl9UYWJsZV8xCSc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UAAAAICAko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QAAAAkqAAAACSsAAAAGLAAAAAlUcmFuc1R5cGUGLQAAAAlSZWZlcmVuY2UGLgAAAARFbnVtBi8AAAAABjAAAAAkNDI0MGZkZDYtMGFhYy00N2FiLThhNzMtMGVjZWZlZmNiOGQ2Bc////8tR2xvYmVTb2Z0d2FyZS5BdGxhczQwLkF0bGFzQ29tbW9uLkFnZ3JlZ2F0aW9uAQAAAAd2YWx1ZV9fAAgOAAAA/////wAAAAAFzv///yxHbG9iZVNvZnR3YXJlLkF0bGFzNDAuQXRsYXNDb21tb24uQ29sdW1uVHlwZQEAAAAHdmFsdWVfXwAIDgAAAAAAAAAFzf///ytHbG9iZVNvZnR3YXJlLkF0bGFzNDAuQXRsYXNDb21tb24uU29ydE9yZGVyAQAAAAd2YWx1ZV9fAAgOAAAAAgAAAAAAAAAABcz///9AR2xvYmVTb2Z0d2FyZS5BdGxhczQwLkF0bGFzQ29tbW9uLlR5cGUuQ29sdW1uK0Nyb3NzVGFiQ29sdW1uVHlwZQEAAAAHdmFsdWVfXwAIDgAAAAAAAAAKAQAAAAAAAAAAAAAAAAAGNQAAACRkMjNjZmNlNy0wYTU2LTRjZWUtYTg3Zi04NWFkNTA4YTgyNjAGNgAAABxUYWJsZS5UUFBUcmFuc19zc3QuVHJhbnNUeXBlCgoKCgEVAAAAFAAAAAk3AAAACTgAAAAJOQAAAAY6AAAAClRyYW5zUmVmSWQGOwAAAAZOdW1iZXIGPAAAAAZTdHJpbmcJLwAAAAY+AAAAJGU3OWQzOTdlLTBlODEtNGViOS1hNDMwLWMyOWM1MjI2MmMwMgHB////z/////////8BAAAAAcD////O////AAAAAAG/////zf///wIAAAAAAAAAAAG+////zP///wAAAAAKAQAAAAAAAAAAAQAAAAAGQwAAACQ3YjVjYWU4Zi03ZGYxLTRhZjAtYmNiZi0wN2QyMzE3MWMyMjQGRAAAAB1UYWJsZS5UUFBUcmFuc19zc3QuVHJhbnNSZWZJZAoKCgoBFgAAABQAAAAJRQAAAAlGAAAACUcAAAAGSAAAAAZJdGVtSWQGSQAAAAtJdGVtIG51bWJlcgZKAAAABlN0cmluZwkvAAAABkwAAAAkM2U5MjdhYTItMmYzMy00ZGY0LThjMDgtZjQ1ZDEyYjA0N2E3AbP////P/////////wIAAAABsv///87///8AAAAAAbH////N////AgAAAAAAAAAAAbD////M////AAAAAAoBAAAAAAAAAAACAAAAAAZRAAAAJDliY2Y1NmIyLTIxYWItNGMyYS05OTQ4LTQwNTVkMGQ1NTI0MwZSAAAAGVRhYmxlLlRQUFRyYW5zX3NzdC5JdGVtSWQKCgoKARcAAAAUAAAACVMAAAAJVAAAAAlVAAAABlYAAAAISXRlbU5hbWUGVwAAAAlJdGVtIG5hbWUGWAAAAAZTdHJpbmcJLwAAAAZaAAAAJGZjY2E5MDQzLTQ0OGUtNDhlMy1hY2NmLTAyY2I4NzRkYTUyOQGl////z/////////8DAAAAAaT////O////AAAAAAGj////zf///wIAAAAAAAAAAAGi////zP///wAAAAAKAQAAAAAAAAAAAwAAAAAGXwAAACRhMTliMmJjOC1jNmJjLTQ3NTEtOTBmNi1lODViZDY5MTkwOGMGYAAAADRUYWJsZS5UUFBUcmFuc19zc3QuSXRlbUlkflRhYmxlLkludmVudFRhYmxlLkl0ZW1OYW1lCgoKCgEYAAAAFAAAAAlhAAAACWIAAAAJYwAAAAZkAAAACVRyYW5zRGF0ZQZlAAAABERhdGUGZgAAAAREYXRlCS8AAAAGaAAAACQ0YWQ0ODAzOS01MzdkLTQwZGUtYTM2Yi05YTc5MDhmYjIwYjgBl////8//////////BAAAAAGW////zv///wAAAAABlf///83///8CAAAAAAAAAAABlP///8z///8AAAAACgEAAAAAAAAAAAQAAAAABm0AAAAkZjRiODc0M2UtNjkyYi00MmUzLWJhMTUtMzU4OWFlODA3MmM4Bm4AAAAcVGFibGUuVFBQVHJhbnNfc3N0LlRyYW5zRGF0ZQoKCgoBGQAAABQAAAAJbwAAAAlwAAAACXEAAAAGcgAAAAxJbnZlbnRTaXRlSWQGcwAAAARTaXRlBnQAAAAGU3RyaW5nCS8AAAAGdgAAACQyYzJlMzhiMS0wY2ViLTQwMDctOWM0Ni1kNDk3NDNhYWY4OGMBif///8//////////BQAAAAGI////zv///wAAAAABh////83///8CAAAAAAAAAAABhv///8z///8AAAAACgEAAAAAAAAAAAUAAAAABnsAAAAkNWJhN2I4ZGEtYzg1NC00ODlkLTlhNWItNjQ2NDM1YTk0ZDhmBnwAAAA7VGFibGUuVFBQVHJhbnNfc3N0LkludmVudERpbUlkflRhYmxlLkludmVudERpbS5JbnZlbnRTaXRlSWQKCgoKARoAAAAUAAAACX0AAAAJfgAAAAl/AAAABoAAAAAQSW52ZW50TG9jYXRpb25JZAaBAAAACVdhcmVob3VzZQaCAAAABlN0cmluZwkvAAAABoQAAAAkOGU2MTE1YjEtOTQ0NS00ZmZhLWJiYzgtZjQyY2Y3Njk0YTM1AXv////P/////////wYAAAABev///87///8AAAAAAXn////N////AgAAAAAAAAAAAXj////M////AAAAAAoBAAAAAAAAAAAGAAAAAAaJAAAAJDA0NDgxYzViLWU4NjgtNGMzYS05ZjcxLTUwYzBmZjJlMzE5ZAaKAAAAP1RhYmxlLlRQUFRyYW5zX3NzdC5JbnZlbnREaW1JZH5UYWJsZS5JbnZlbnREaW0uSW52ZW50TG9jYXRpb25JZAoKCgoBGwAAABQAAAAJiwAAAAmMAAAACY0AAAAGjgAAAANRdHkGjwAAAAhRdWFudGl0eQaQAAAABFJlYWwJLwAAAAaSAAAAJDg4YjNiZTNjLTI1ZTctNDcwMC04NjU0LTZhOTAzZjkxZmFkNwFt////z////wEAAAAHAAAAAWz////O////AAAAAAFr////zf///wIAAAAAAAAAAAFq////zP///wAAAAAKAQAAAAAAAAAABwAAAAAGlwAAACQxMmEzOTU3NS1iNTQ2LTQ1YjgtYmIxMi0yYmY0YWU2M2NiMzgGmAAAABZUYWJsZS5UUFBUcmFuc19zc3QuUXR5CgoKCgEcAAAAFAAAAAmZAAAACZoAAAAJmwAAAAacAAAABlVuaXRJZAadAAAABFVuaXQGngAAAAZTdHJpbmcJLwAAAAagAAAAJDBkOTA2YTAwLTlkODUtNDQyNC1iOWFjLTE2ZmQzZjk3ZmM3NgFf////z/////////8IAAAAAV7////O////AAAAAAFd////zf///wIAAAAAAAAAAAFc////zP///wAAAAAKAQAAAAAAAAAACAAAAAAGpQAAACQ5ZDI2YjIyNS05MjJlLTRlODgtYmRhZi01OGEzMjFlNzgyZjgGpgAAADhUYWJsZS5UUFBUcmFuc19zc3QuSXRlbUlkflRhYmxlLkludmVudFRhYmxlTW9kdWxlLlVuaXRJZAoKCgoBHQAAABQAAAAJpwAAAAmoAAAACakAAAAGqgAAAAlDb3N0UHJpY2UGqwAAAA5UUFAgY29zdCBwcmljZQasAAAABFJlYWwJLwAAAAauAAAAJGMwZGVhM2EwLTZiZWQtNDhmNy1hOTM4LTJhYWI5YzkzNWJiZQFR////z////wEAAAAJAAAAAVD////O////AAAAAAFP////zf///wIAAAAAAAAAAAFO////zP///wAAAAAKAQAAAAAAAAAACQAAAAAGswAAACRkOTRlNTY0Yy05ZGUyLTQyZGItYTg4OS1kZWQ5MTExMGIwZmMGtAAAABxUYWJsZS5UUFBUcmFuc19zc3QuQ29zdFByaWNlCgoKCgEeAAAAFAAAAAm1AAAACbYAAAAJtwAAAAa4AAAACkNvc3RBbW91bnQGuQAAAA9UUFAgY29zdCBhbW91bnQGugAAAARSZWFsCS8AAAAGvAAAACQ5ZDlkYTk0Zi0yOTJmLTQxNmItYWZiZC00OGY0ZDMwZmI2MzkBQ////8////8BAAAACgAAAAFC////zv///wAAAAABQf///83///8CAAAAAAAAAAABQP///8z///8AAAAACgEAAAAAAAAAAAoAAAAABsEAAAAkMjhmODE0NzktYTc4OS00YmZhLTgwNjItNzYyOTVhZjE4MTc3BsIAAAAdVGFibGUuVFBQVHJhbnNfc3N0LkNvc3RBbW91bnQKCgoKAR8AAAAUAAAACcMAAAAJxAAAAAnFAAAABsYAAAAMQ3VycmVuY3lDb2RlBscAAAAIQ3VycmVuY3kGyAAAAAZTdHJpbmcJLwAAAAbKAAAAJDAzODQ4YmJmLTg5OWQtNDllMy1iMTU4LTgzMGQzZWUzZTQ2YQE1////z/////////8LAAAAATT////O////AAAAAAEz////zf///wIAAAAAAAAAAAEy////zP///wAAAAAKAQAAAAAAAAAACwAAAAAGzwAAACQwZDhlZjExNS0yYjcyLTQ0NmQtOGIyMy1hMjMxOTg2NGI4ZGYG0AAAAB9UYWJsZS5UUFBUcmFuc19zc3QuQ3VycmVuY3lDb2RlCgoKCgEgAAAAFAAAAAnRAAAACdIAAAAJ0wAAAAbUAAAADUNvc3RBbW91bnRDdXIG1QAAABhUUFAgY29zdCBhbW91bnQgY3VycmVuY3kG1gAAAARSZWFsCS8AAAAG2AAAACQ3ZGEyZWZmYy1lNzA0LTRiMGMtOTYzNC04NGQ2ZGQ4ZDZkOGQBJ////8////8BAAAADAAAAAEm////zv///wAAAAABJf///83///8CAAAAAAAAAAABJP///8z///8AAAAACgEAAAAAAAAAAAwAAAAABt0AAAAkYTE3MjU0YzktNWNjZC00ODQyLTk3MGMtZDY2ODJiMTIwODZmBt4AAAAgVGFibGUuVFBQVHJhbnNfc3N0LkNvc3RBbW91bnRDdXIKCgoKASEAAAAUAAAACd8AAAAJ4AAAAAnhAAAABuIAAAAHVm91Y2hlcgbjAAAAEUZpbmFuY2lhbCB2b3VjaGVyBuQAAAAGU3RyaW5nCS8AAAAG5gAAACQwODk4MThhMy0yNjhlLTRmZmQtYjQ4MC1hOWQ3Yjk5YjJkYmQBGf///8//////////DQAAAAEY////zv///wAAAAABF////83///8CAAAAAAAAAAABFv///8z///8AAAAACgEAAAAAAAAAAA0AAAAABusAAAAkNzU3NThkNTQtMWQ0ZC00YTk3LTg4MGYtYjYyNjAzZWFkN2E2BuwAAAAaVGFibGUuVFBQVHJhbnNfc3N0LlZvdWNoZXIKCgoKASIAAAAUAAAACe0AAAAJ7gAAAAnvAAAABvAAAAANSW52ZW50VHJhbnNJZAbxAAAABkxvdCBJRAbyAAAABlN0cmluZwkvAAAABvQAAAAkOWUxNWI3MmQtNjZiYS00Y2QyLTg2NGYtNTZkNTcyNDliMjhhAQv////P/////////w4AAAABCv///87///8AAAAAAQn////N////AgAAAAAAAAAAAQj////M////AAAAAAoBAAAAAAAAAAAOAAAAAAb5AAAAJDk2ZGFlOTJmLWI3YjctNGQ1Yy1iN2Q4LTFjODdjZTA3MGU2Ygb6AAAAIFRhYmxlLlRQUFRyYW5zX3NzdC5JbnZlbnRUcmFuc0lkCgoKCgEjAAAAFAAAAAn7AAAACfwAAAAJ/QAAAAb+AAAABlN0YXR1cwb/AAAABlN0YXR1cwYAAQAABEVudW0JLwAAAAYCAQAAJDg1YzVhYzcxLTNkZjgtNDEzMC1hOTY1LTNkN2RjZGViYzlkMgH9/v//z/////////8PAAAAAfz+///O////AAAAAAH7/v//zf///wIAAAAAAAAAAAH6/v//zP///wAAAAAKAQAAAAAAAAAADwAAAAAGBwEAACRkN2I5OTFjMy1jNGMyLTRlYzMtYTVhZS1kMDI2ZmE4ZmU3OTkGCAEAABlUYWJsZS5UUFBUcmFuc19zc3QuU3RhdHVzCgoKCgEkAAAAFAAAAAkJAQAACQoBAAAJCwEAAAYMAQAAEEludmVudFRyYW5zUmVjSWQGDQEAABBJbnZlbnRUcmFuc1JlY0lkBg4BAAAFSW50NjQJLwAAAAYQAQAAJGQ4YTZmYzA1LWY2ZjQtNDAzZS04M2ZhLTVlN2RmNDhiNmZjZQHv/v//z////wEAAAAQAAAAAe7+///O////AAAAAAHt/v//zf///wIAAAAAAAAAAAHs/v//zP///wAAAAAKAQAAAAAAAAAAEAAAAAAGFQEAACQxZGEyNjg2MS0wNGM5LTRmMmMtOTdlOC01ZDhhNjRiYWViNzUGFgEAACNUYWJsZS5UUFBUcmFuc19zc3QuSW52ZW50VHJhbnNSZWNJZAoKCgoFJwAAADhHbG9iZVNvZnR3YXJlLkF0bGFzNDAuQXRsYXNDb21tb25DbGllbnQuUmVwb3J0LlJlZmVyZW5jZQEAAAAKX3JlZmVyZW5jZQcIJQAAAAkXAQAABygAAAAAAQAAAAgAAAAEPEdsb2JlU29mdHdhcmUuQXRsYXM0MC5BdGxhc0NvbW1vbkNsaWVudC5EYXRhU291cmNlRmllbGRWYWx1ZSUAAAAJGAEAAAkZAQAACRoBAAAJGwEAAAkcAQAADQMEK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HQEAAAEAAAABAAAABC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pgAAAAkeAQAABwAAAAkfAQAABC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kgAQAABwAAAAkhAQAAATcAAAApAAAACSIBAAABAAAAAQAAAAE4AAAAKgAAAKUAAAAJHgEAAAcAAAAJJAEAAAE5AAAAKwAAAKEAAAAJIAEAAAcAAAAJJgEAAAFFAAAAKQAAAAknAQAAAQAAAAEAAAABRgAAACoAAAClAAAACR4BAAAHAAAACSkBAAABRwAAACsAAAChAAAACSABAAAHAAAACSsBAAABUwAAACkAAAAJLAEAAAEAAAABAAAAAVQAAAAqAAAAcwAAAAktAQAABwAAAAkuAQAAAVUAAAArAAAAcAAAAAkvAQAABwAAAAkwAQAAAWEAAAApAAAACTEBAAABAAAAAQAAAAFiAAAAKgAAAJ0AAAAJHgEAAAcAAAAJMwEAAAFjAAAAKwAAAJoAAAAJIAEAAAcAAAAJNQEAAAFvAAAAKQAAAAk2AQAAAQAAAAEAAAABcAAAACoAAACBAAAACS0BAAAHAAAACTgBAAABcQAAACsAAAB+AAAACS8BAAAHAAAACToBAAABfQAAACkAAAAJOwEAAAEAAAABAAAAAX4AAAAqAAAAgQAAAAktAQAABwAAAAk9AQAAAX8AAAArAAAAfgAAAAkvAQAABwAAAAk/AQAAAYsAAAApAAAACUABAAABAAAAAQAAAAGMAAAAKgAAAKUAAAAJHgEAAAcAAAAJQgEAAAGNAAAAKwAAAKEAAAAJIAEAAAcAAAAJRAEAAAGZAAAAKQAAAAlFAQAAAQAAAAEAAAABmgAAACoAAACBAAAACS0BAAAHAAAACUcBAAABmwAAACsAAAB+AAAACS8BAAAHAAAACUkBAAABpwAAACkAAAAJSgEAAAEAAAABAAAAAagAAAAqAAAApgAAAAkeAQAABwAAAAlMAQAAAakAAAArAAAAoQAAAAkgAQAABwAAAAlOAQAAAbUAAAApAAAACU8BAAABAAAAAQAAAAG2AAAAKgAAAKUAAAAJHgEAAAcAAAAJUQEAAAG3AAAAKwAAAKEAAAAJIAEAAAcAAAAJUwEAAAHDAAAAKQAAAAlUAQAAAQAAAAEAAAABxAAAACoAAAClAAAACR4BAAAHAAAACVYBAAABxQAAACsAAAChAAAACSABAAAHAAAACVgBAAAB0QAAACkAAAAJWQEAAAEAAAABAAAAAdIAAAAqAAAApQAAAAkeAQAABwAAAAlbAQAAAdMAAAArAAAAoQAAAAkgAQAABwAAAAldAQAAAd8AAAApAAAACV4BAAABAAAAAQAAAAHgAAAAKgAAAKUAAAAJHgEAAAcAAAAJYAEAAAHhAAAAKwAAAKEAAAAJIAEAAAcAAAAJYgEAAAHtAAAAKQAAAAljAQAAAQAAAAEAAAAB7gAAACoAAAClAAAACR4BAAAHAAAACWUBAAAB7wAAACsAAAChAAAACSABAAAHAAAACWcBAAAB+wAAACkAAAAJaAEAAAEAAAABAAAAAfwAAAAqAAAApQAAAAkeAQAABwAAAAlqAQAAAf0AAAArAAAAoQAAAAkgAQAABwAAAAlsAQAAAQkBAAApAAAACW0BAAABAAAAAQAAAAEKAQAAKgAAAKEAAAAJHgEAAAcAAAAJbwEAAAELAQAAKwAAAJoAAAAJIAEAAAcAAAAJcQEAAA8XAQAAAQAAAAgBAAAABRgBAAA8R2xvYmVTb2Z0d2FyZS5BdGxhczQwLkF0bGFzQ29tbW9uQ2xpZW50LkRhdGFTb3VyY2VGaWVsZFZhbHVlBAAAABJfaXNEcmlsbERvd25GaWx0ZXIGX2RzS2V5Cl9maWVsZG5hbWULX2ZpZWxkVmFsdWUAAQEBASUAAAAABnIBAAASVGFibGUuVFBQVHJhbnNfc3N0BnMBAAAKRGF0YUFyZWFJZAkGAAAAARkBAAAYAQAAAAlyAQAABnYBAAAJVHJhbnNEYXRlBncBAAAYMTIuMDEuMjAxNyAuLiAxMi4zMS4yMDE3ARoBAAAYAQAAAAlyAQAABnkBAAAGSXRlbUlkBnoBAAABKgEbAQAAGAEAAAAGewEAADFUYWJsZS5UUFBUcmFuc19zc3QuSXRlbUlkflRhYmxlLkludmVudFRhYmxlTW9kdWxlBnwBAAAKTW9kdWxlVHlwZQZ9AQAABkludmVudAEcAQAAGAEAAAAGfgEAACtUYWJsZS5UUFBUcmFuc19zc3QuSXRlbUlkflRhYmxlLkludmVudFRhYmxlBn8BAAAISXRlbVR5cGUGgAEAAAghU2VydmljZQcdAQAAAAEAAAAEAAAABDdHbG9iZVNvZnR3YXJlLkF0bGFzNDAuQXRsYXNDb21tb24uVHlwZS5GaWVsZE91dHB1dEZpZWxkDgAAAAmBAQAADQMEHg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7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ff7//zJHbG9iZVNvZnR3YXJlLkF0bGFzNDAuQXRsYXNDb21tb24uQ29sdW1uQXR0cmlidXRlcwEAAAAHdmFsdWVfXwAIDgAAABAAAAAGhAEAAAROb25lAXv+//9+/v//AXr+//99/v//CQAAAAkvAAAAAXj+//9+/v//AXf+//99/v//CwAAAAaKAQAAATABdf7//37+//8BdP7//33+//8EAAAABo0BAAAHR2VuZXJhbAFy/v//fv7//wFx/v//ff7//wIAAAAGkAEAAAExAW/+//9+/v//AW7+//99/v//AAAAAAaTAQAABTEzLjcxAWz+//9+/v//AWv+//99/v//JAAAAAktAAAAASABAAAMAAAABy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YAQAACEZvbnRCb2xkBpkBAAAFRmFsc2UBZv7//2n+//8GmwEAAApGb250SXRhbGljCZkBAAABY/7//2n+//8GngEAAA1Gb250VW5kZXJsaW5lBp8BAAAFLTQxNDIBYP7//2n+//8GoQEAAAhGb250TmFtZQaiAQAAB0NhbGlicmkBXf7//2n+//8GpAEAAAlGb250Q29sb3IGpQEAAAEwAVr+//9p/v//BqcBAAAIRm9udFNpemUGqAEAAAIxMQFX/v//af7//waqAQAACUZvbnRTdHlsZQarAQAAB1JlZ3VsYXIHIgEAAAABAAAABAAAAAQ3R2xvYmVTb2Z0d2FyZS5BdGxhczQwLkF0bGFzQ29tbW9uLlR5cGUuRmllbGRPdXRwdXRGaWVsZA4AAAAJrAEAAA0DBy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v//fv7//wFS/v//ff7//xAAAAAJhAEAAAFQ/v//fv7//wFP/v//ff7//wkAAAAJLwAAAAFN/v//fv7//wFM/v//ff7//wsAAAAGtQEAAAExAUr+//9+/v//AUn+//99/v//BAAAAAa4AQAAB0dlbmVyYWwBR/7//37+//8BRv7//33+//8CAAAABrsBAAABMQFE/v//fv7//wFD/v//ff7//wAAAAAGvgEAAAUxMC44Ng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+//9p/v//CZgBAAAJmQEAAAE+/v//af7//wmbAQAACZkBAAABO/7//2n+//8JngEAAAbHAQAABS00MTQyATj+//9p/v//CaEBAAAGygEAAAdDYWxpYnJpATX+//9p/v//CaQBAAAGzQEAAAEwATL+//9p/v//CacBAAAG0AEAAAIxMQEv/v//af7//wmqAQAABtMBAAAHUmVndWxhcgcnAQAAAAEAAAAEAAAABDdHbG9iZVNvZnR3YXJlLkF0bGFzNDAuQXRsYXNDb21tb24uVHlwZS5GaWVsZE91dHB1dEZpZWxkDgAAAAnUAQAADQMHK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+//9+/v//ASr+//99/v//EAAAAAmEAQAAASj+//9+/v//ASf+//99/v//CQAAAAkvAAAAASX+//9+/v//AST+//99/v//CwAAAAbdAQAAATIBIv7//37+//8BIf7//33+//8EAAAABuABAAAHR2VuZXJhbAEf/v//fv7//wEe/v//ff7//wIAAAAG4wEAAAExARz+//9+/v//ARv+//99/v//AAAAAAbmAQAABTE0LjE0By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7//2n+//8JmAEAAAmZAQAAARb+//9p/v//CZsBAAAJmQEAAAET/v//af7//wmeAQAABu8BAAAFLTQxNDIBEP7//2n+//8JoQEAAAbyAQAAB0NhbGlicmkBDf7//2n+//8JpAEAAAb1AQAAATABCv7//2n+//8JpwEAAAb4AQAAAjExAQf+//9p/v//CaoBAAAG+wEAAAdSZWd1bGFyBywBAAAAAQAAAAQAAAAEN0dsb2JlU29mdHdhcmUuQXRsYXM0MC5BdGxhc0NvbW1vbi5UeXBlLkZpZWxkT3V0cHV0RmllbGQOAAAACfwBAAANAwEtAQAAHgEAAAc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7//37+//8BAv7//33+//8JAAAACS8AAAABAP7//37+//8B//3//33+//8LAAAABgICAAABMwH9/f//fv7//wH8/f//ff7//wQAAAAGBQIAAAdHZW5lcmFsAfr9//9+/v//Afn9//99/v//AgAAAAYIAgAAATEB9/3//37+//8B9v3//33+//8AAAAABgsCAAAFMjUuNDMBLwEAAAwAAAA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/f//af7//wYNAgAACEZvbnRCb2xkCZkBAAAB8f3//2n+//8GEAIAAApGb250SXRhbGljCZkBAAAB7v3//2n+//8GEwIAAA1Gb250VW5kZXJsaW5lBhQCAAAFLTQxNDIB6/3//2n+//8GFgIAAAhGb250TmFtZQYXAgAAB0NhbGlicmkB6P3//2n+//8GGQIAAAlGb250Q29sb3IGGgIAAAEwAeX9//9p/v//BhwCAAAIRm9udFNpemUGHQIAAAIxMQHi/f//af7//wYfAgAACUZvbnRTdHlsZQYgAgAAB1JlZ3VsYXIHMQEAAAABAAAABAAAAAQ3R2xvYmVTb2Z0d2FyZS5BdGxhczQwLkF0bGFzQ29tbW9uLlR5cGUuRmllbGRPdXRwdXRGaWVsZA4AAAAJIQIAAA0DBz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e/f//fv7//wHd/f//ff7//wkAAAAJLwAAAAHb/f//fv7//wHa/f//ff7//wsAAAAGJwIAAAE0Adj9//9+/v//Adf9//99/v//BAAAAAYqAgAACG0vZC95eXl5AdX9//9+/v//AdT9//99/v//AgAAAAYtAgAAATEB0v3//37+//8B0f3//33+//8AAAAABjACAAABOQc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9//9p/v//CZgBAAAJmQEAAAHM/f//af7//wmbAQAACZkBAAAByf3//2n+//8JngEAAAY5AgAABS00MTQyAcb9//9p/v//CaEBAAAGPAIAAAdDYWxpYnJpAcP9//9p/v//CaQBAAAGPwIAAAEwAcD9//9p/v//CacBAAAGQgIAAAIxMQG9/f//af7//wmqAQAABkUCAAAHUmVndWxhcgc2AQAAAAEAAAAEAAAABDdHbG9iZVNvZnR3YXJlLkF0bGFzNDAuQXRsYXNDb21tb24uVHlwZS5GaWVsZE91dHB1dEZpZWxkDgAAAAlGAgAADQMHO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n9//9+/v//Abj9//99/v//CQAAAAkvAAAAAbb9//9+/v//AbX9//99/v//CwAAAAZMAgAAATUBs/3//37+//8Bsv3//33+//8EAAAABk8CAAAHR2VuZXJhbAGw/f//fv7//wGv/f//ff7//wIAAAAGUgIAAAExAa39//9+/v//Aaz9//99/v//AAAAAAZVAgAAATYHO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af7//wZXAgAACEZvbnRCb2xkCZkBAAABp/3//2n+//8GWgIAAApGb250SXRhbGljCZkBAAABpP3//2n+//8GXQIAAA1Gb250VW5kZXJsaW5lBl4CAAAFLTQxNDIBof3//2n+//8GYAIAAAhGb250TmFtZQZhAgAAB0NhbGlicmkBnv3//2n+//8GYwIAAAlGb250Q29sb3IGZAIAAAEwAZv9//9p/v//BmYCAAAIRm9udFNpemUGZwIAAAIxMQGY/f//af7//wZpAgAACUZvbnRTdHlsZQZqAgAAB1JlZ3VsYXIHOwEAAAABAAAABAAAAAQ3R2xvYmVTb2Z0d2FyZS5BdGxhczQwLkF0bGFzQ29tbW9uLlR5cGUuRmllbGRPdXRwdXRGaWVsZA4AAAAJawIAAA0DBz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f//fv7//wGT/f//ff7//wkAAAAJLwAAAAGR/f//fv7//wGQ/f//ff7//wsAAAAGcQIAAAE2AY79//9+/v//AY39//99/v//BAAAAAZ0AgAAB0dlbmVyYWwBi/3//37+//8Biv3//33+//8CAAAABncCAAABMQGI/f//fv7//wGH/f//ff7//wAAAAAGegIAAAQ1LjE0Bz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2n+//8JVwIAAAmZAQAAAYL9//9p/v//CVoCAAAJmQEAAAF//f//af7//wldAgAABoMCAAAFLTQxNDIBfP3//2n+//8JYAIAAAaGAgAAB0NhbGlicmkBef3//2n+//8JYwIAAAaJAgAAATABdv3//2n+//8JZgIAAAaMAgAAAjExAXP9//9p/v//CWkCAAAGjwIAAAdSZWd1bGFyB0ABAAAAAQAAAAQAAAAEN0dsb2JlU29mdHdhcmUuQXRsYXM0MC5BdGxhc0NvbW1vbi5UeXBlLkZpZWxkT3V0cHV0RmllbGQOAAAACZACAAANAwd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37+//8Bbv3//33+//8QAAAACYQBAAABbP3//37+//8Ba/3//33+//8JAAAACS8AAAABaf3//37+//8BaP3//33+//8LAAAABpkCAAABNwFm/f//fv7//wFl/f//ff7//wQAAAAGnAIAAAdHZW5lcmFsAWP9//9+/v//AWL9//99/v//AgAAAAafAgAAATEBYP3//37+//8BX/3//33+//8AAAAABqICAAAFMTAuMjkHR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f//af7//wmYAQAACZkBAAABWv3//2n+//8JmwEAAAmZAQAAAVf9//9p/v//CZ4BAAAGqwIAAAUtNDE0MgFU/f//af7//wmhAQAABq4CAAAHQ2FsaWJyaQFR/f//af7//wmkAQAABrECAAABMAFO/f//af7//wmnAQAABrQCAAACMTEBS/3//2n+//8JqgEAAAa3AgAAB1JlZ3VsYXIHRQEAAAABAAAABAAAAAQ3R2xvYmVTb2Z0d2FyZS5BdGxhczQwLkF0bGFzQ29tbW9uLlR5cGUuRmllbGRPdXRwdXRGaWVsZA4AAAAJuAIAAA0DB0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f//fv7//wFG/f//ff7//wkAAAAJLwAAAAFE/f//fv7//wFD/f//ff7//wsAAAAGvgIAAAE4AUH9//9+/v//AUD9//99/v//BAAAAAbBAgAAB0dlbmVyYWwBPv3//37+//8BPf3//33+//8CAAAABsQCAAABMQE7/f//fv7//wE6/f//ff7//wAAAAAGxwIAAAQ2LjQzB0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2n+//8JVwIAAAmZAQAAATX9//9p/v//CVoCAAAJmQEAAAEy/f//af7//wldAgAABtACAAAFLTQxNDIBL/3//2n+//8JYAIAAAbTAgAAB0NhbGlicmkBLP3//2n+//8JYwIAAAbWAgAAATABKf3//2n+//8JZgIAAAbZAgAAAjExASb9//9p/v//CWkCAAAG3AIAAAdSZWd1bGFyB0oBAAAAAQAAAAQAAAAEN0dsb2JlU29mdHdhcmUuQXRsYXM0MC5BdGxhc0NvbW1vbi5UeXBlLkZpZWxkT3V0cHV0RmllbGQOAAAACd0CAAANAwd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v3//37+//8BIf3//33+//8GAAAABuACAAAFVG90YWwBH/3//37+//8BHv3//33+//8QAAAACYQBAAABHP3//37+//8BG/3//33+//8JAAAACS8AAAABGf3//37+//8BGP3//33+//8LAAAABukCAAABOQEW/f//fv7//wEV/f//ff7//wQAAAAG7AIAAAdHZW5lcmFsARP9//9+/v//ARL9//99/v//AgAAAAbvAgAAATEBEP3//37+//8BD/3//33+//8AAAAABvICAAAEOS4yOQd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p/v//CZgBAAAJmQEAAAEK/f//af7//wmbAQAACZkBAAABB/3//2n+//8JngEAAAb7AgAABS00MTQyAQT9//9p/v//CaEBAAAG/gIAAAdDYWxpYnJpAQH9//9p/v//CaQBAAAGAQMAAAEwAf78//9p/v//CacBAAAGBAMAAAIxMQH7/P//af7//wmqAQAABgcDAAAHUmVndWxhcgdPAQAAAAEAAAAEAAAABDdHbG9iZVNvZnR3YXJlLkF0bGFzNDAuQXRsYXNDb21tb24uVHlwZS5GaWVsZE91dHB1dEZpZWxkDgAAAAkIAwAADQMHU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8//9+/v//Afb8//99/v//EAAAAAmEAQAAAfT8//9+/v//AfP8//99/v//CQAAAAkvAAAAAfH8//9+/v//AfD8//99/v//CwAAAAYRAwAAAjEwAe78//9+/v//Ae38//99/v//BAAAAAYUAwAAB0dlbmVyYWwB6/z//37+//8B6vz//33+//8CAAAABhcDAAABMQHo/P//fv7//wHn/P//ff7//wAAAAAGGgMAAAUxMC40Mwd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8//9p/v//CZgBAAAJmQEAAAHi/P//af7//wmbAQAACZkBAAAB3/z//2n+//8JngEAAAYjAwAABS00MTQyAdz8//9p/v//CaEBAAAGJgMAAAdDYWxpYnJpAdn8//9p/v//CaQBAAAGKQMAAAEwAdb8//9p/v//CacBAAAGLAMAAAIxMQHT/P//af7//wmqAQAABi8DAAAHUmVndWxhcgdUAQAAAAEAAAAEAAAABDdHbG9iZVNvZnR3YXJlLkF0bGFzNDAuQXRsYXNDb21tb24uVHlwZS5GaWVsZE91dHB1dEZpZWxkDgAAAAkwAwAADQMHV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8//9+/v//Ac78//99/v//EAAAAAmEAQAAAcz8//9+/v//Acv8//99/v//CQAAAAkvAAAAAcn8//9+/v//Acj8//99/v//CwAAAAY5AwAAAjExAcb8//9+/v//AcX8//99/v//BAAAAAY8AwAAB0dlbmVyYWwBw/z//37+//8Bwvz//33+//8CAAAABj8DAAABMQHA/P//fv7//wG//P//ff7//wAAAAAGQgMAAAUxMC40Mwd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9p/v//CZgBAAAJmQEAAAG6/P//af7//wmbAQAACZkBAAABt/z//2n+//8JngEAAAZLAwAABS00MTQyAbT8//9p/v//CaEBAAAGTgMAAAdDYWxpYnJpAbH8//9p/v//CaQBAAAGUQMAAAEwAa78//9p/v//CacBAAAGVAMAAAIxMQGr/P//af7//wmqAQAABlcDAAAHUmVndWxhcgdZAQAAAAEAAAAEAAAABDdHbG9iZVNvZnR3YXJlLkF0bGFzNDAuQXRsYXNDb21tb24uVHlwZS5GaWVsZE91dHB1dEZpZWxkDgAAAAlYAwAADQMHW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8//9+/v//Aab8//99/v//EAAAAAmEAQAAAaT8//9+/v//AaP8//99/v//CQAAAAkvAAAAAaH8//9+/v//AaD8//99/v//CwAAAAZhAwAAAjEyAZ78//9+/v//AZ38//99/v//BAAAAAZkAwAAB0dlbmVyYWwBm/z//37+//8Bmvz//33+//8CAAAABmcDAAABMQGY/P//fv7//wGX/P//ff7//wAAAAAGagMAAAE5B10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//2n+//8JmAEAAAmZAQAAAZL8//9p/v//CZsBAAAJmQEAAAGP/P//af7//wmeAQAABnMDAAAFLTQxNDIBjPz//2n+//8JoQEAAAZ2AwAAB0NhbGlicmkBifz//2n+//8JpAEAAAZ5AwAAATABhvz//2n+//8JpwEAAAZ8AwAAAjExAYP8//9p/v//CaoBAAAGfwMAAAdSZWd1bGFyB14BAAAAAQAAAAQAAAAEN0dsb2JlU29mdHdhcmUuQXRsYXM0MC5BdGxhc0NvbW1vbi5UeXBlLkZpZWxkT3V0cHV0RmllbGQOAAAACYADAAANAwd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z//37+//8Bfvz//33+//8QAAAACYQBAAABfPz//37+//8Be/z//33+//8JAAAACS8AAAABefz//37+//8BePz//33+//8LAAAABokDAAACMTMBdvz//37+//8Bdfz//33+//8EAAAABowDAAAHR2VuZXJhbAFz/P//fv7//wFy/P//ff7//wIAAAAGjwMAAAExAXD8//9+/v//AW/8//99/v//AAAAAAaSAwAABTE4LjE0B2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z//2n+//8JmAEAAAmZAQAAAWr8//9p/v//CZsBAAAJmQEAAAFn/P//af7//wmeAQAABpsDAAAFLTQxNDIBZPz//2n+//8JoQEAAAaeAwAAB0NhbGlicmkBYfz//2n+//8JpAEAAAahAwAAATABXvz//2n+//8JpwEAAAakAwAAAjExAVv8//9p/v//CaoBAAAGpwMAAAdSZWd1bGFyB2MBAAAAAQAAAAQAAAAEN0dsb2JlU29mdHdhcmUuQXRsYXM0MC5BdGxhc0NvbW1vbi5UeXBlLkZpZWxkT3V0cHV0RmllbGQOAAAACagDAAANAwd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z//37+//8BVvz//33+//8QAAAACYQBAAABVPz//37+//8BU/z//33+//8JAAAACS8AAAABUfz//37+//8BUPz//33+//8LAAAABrEDAAACMTQBTvz//37+//8BTfz//33+//8EAAAABrQDAAAHR2VuZXJhbAFL/P//fv7//wFK/P//ff7//wIAAAAGtwMAAAExAUj8//9+/v//AUf8//99/v//AAAAAAa6AwAABDkuNDMHZ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P//af7//wmYAQAACZkBAAABQvz//2n+//8JmwEAAAmZAQAAAT/8//9p/v//CZ4BAAAGwwMAAAUtNDE0MgE8/P//af7//wmhAQAABsYDAAAHQ2FsaWJyaQE5/P//af7//wmkAQAABskDAAABMAE2/P//af7//wmnAQAABswDAAACMTEBM/z//2n+//8JqgEAAAbPAwAAB1JlZ3VsYXIHaAEAAAABAAAABAAAAAQ3R2xvYmVTb2Z0d2FyZS5BdGxhczQwLkF0bGFzQ29tbW9uLlR5cGUuRmllbGRPdXRwdXRGaWVsZA4AAAAJ0AMAAA0DB2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P//fv7//wEu/P//ff7//xAAAAAJhAEAAAEs/P//fv7//wEr/P//ff7//wkAAAAJLwAAAAEp/P//fv7//wEo/P//ff7//wsAAAAG2QMAAAIxNQEm/P//fv7//wEl/P//ff7//wQAAAAG3AMAAAdHZW5lcmFsASP8//9+/v//ASL8//99/v//AgAAAAbfAwAAATEBIPz//37+//8BH/z//33+//8AAAAABuIDAAABOA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38//9p/v//CZgBAAAJmQEAAAEa/P//af7//wmbAQAACZkBAAABF/z//2n+//8JngEAAAbrAwAABS00MTQyART8//9p/v//CaEBAAAG7gMAAAdDYWxpYnJpARH8//9p/v//CaQBAAAG8QMAAAEwAQ78//9p/v//CacBAAAG9AMAAAIxMQEL/P//af7//wmqAQAABvcDAAAHUmVndWxhcgdtAQAAAAEAAAAEAAAABDdHbG9iZVNvZnR3YXJlLkF0bGFzNDAuQXRsYXNDb21tb24uVHlwZS5GaWVsZE91dHB1dEZpZWxkDgAAAAn4AwAADQMHb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8//9+/v//AQb8//99/v//CQAAAAkvAAAAAQT8//9+/v//AQP8//99/v//CwAAAAb+AwAAAjE2AQH8//9+/v//AQD8//99/v//BAAAAAYBBAAAB0dlbmVyYWwB/vv//37+//8B/fv//33+//8CAAAABgQEAAABMQH7+///fv7//wH6+///ff7//wAAAAAGBwQAAAUxMi43MQH4+///fv7//wH3+///ff7//yQAAAAJDQEAAA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7//9p/v//CZgBAAAJmQEAAAHy+///af7//wmbAQAACZkBAAAB7/v//2n+//8JngEAAAYTBAAABS00MTQyAez7//9p/v//CaEBAAAGFgQAAAdDYWxpYnJpAen7//9p/v//CaQBAAAGGQQAAAEwAeb7//9p/v//CacBAAAGHAQAAAIxMQHj+///af7//wmqAQAABh8EAAAHUmVndWxhcgWB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g+///z/////////8ABiEEAAAERW51bQYiBAAACVJlZmVyZW5jZQkjBAAAAdz7///N////AgAAAAXb+///OUdsb2JlU29mdHdhcmUuQXRsYXM0MC5BdGxhc0NvbW1vbi5OdW1iZXJTZXF1ZW5jZUNvbmRpdGlvbgEAAAAHdmFsdWVfXwAIDgAAAAEAAAAAAAYmBAAAElRhYmxlLlRQUFRyYW5zX3NzdAksAAAACS8AAAAK/////wkmBAAACgksAAAACgoKCS8AAAAJLAQAAAkvAAAAAawBAACBAQAAAdL7///P/////////wAGLwQAAAZTdHJpbmcGMAQAAAZOdW1iZXIJIwQAAAHO+///zf///wIAAAABzfv//9v7//8BAAAAAAAJJgQAAAk6AAAACS8AAAAK/////wkmBAAACgk6AAAACgoKCS8AAAAJOgQAAAkvAAAAAdQBAACBAQAAAcT7///P/////////wAGPQQAAAZTdHJpbmcGPgQAAAtJdGVtIG51bWJlcgkjBAAAAcD7///N////AgAAAAG/+///2/v//wEAAAAAAAkmBAAACUgAAAAJLwAAAAr/////CSYEAAAKCUgAAAAKCgoJLwAAAAlIBAAACS8AAAAB/AEAAIEBAAABtvv//8//////////AAZLBAAABlN0cmluZwZMBAAACUl0ZW0gbmFtZQlNBAAAAbL7///N////AgAAAAGx+///2/v//wEAAAAAAAl+AQAACVYAAAAJLwAAAAr/////CX4BAAAKCVYAAAAGVQQAAAZJdGVtSWQGVgQAAAxUUFBUcmFuc19zc3QKCS8AAAAJWAQAAAkvAAAAASECAACBAQAAAab7///P/////////wAGWwQAAAREYXRlBlwEAAAERGF0ZQldBAAAAaL7///N////AgAAAAGh+///2/v//wEAAAAAAAZgBAAAElRhYmxlLlRQUFRyYW5zX3NzdAlkAAAACS8AAAAK/////wlgBAAACglkAAAACgoKCS8AAAAJZgQAAAkvAAAAAUYCAACBAQAAAZj7///P/////////wAGaQQAAAZTdHJpbmcGagQAAARTaXRlCWsEAAABlPv//83///8CAAAAAZP7///b+///AQAAAAAABm4EAAAuVGFibGUuVFBQVHJhbnNfc3N0LkludmVudERpbUlkflRhYmxlLkludmVudERpbQlyAAAACS8AAAAK/////wluBAAACglyAAAABnMEAAALSW52ZW50RGltSWQGdAQAAAxUUFBUcmFuc19zc3QKCS8AAAAJdgQAAAkvAAAAAWsCAACBAQAAAYj7///P/////////wAGeQQAAAZTdHJpbmcGegQAAAlXYXJlaG91c2UJawQAAAGE+///zf///wIAAAABg/v//9v7//8BAAAAAAAJbgQAAAmAAAAACS8AAAAK/////wluBAAACgmAAAAABoMEAAALSW52ZW50RGltSWQGhAQAAAxUUFBUcmFuc19zc3QKCS8AAAAJhgQAAAkvAAAAAZACAACBAQAAAXj7///P/////////wAGiQQAAARSZWFsBooEAAAIUXVhbnRpdHkJIwQAAAF0+///zf///wIAAAABc/v//9v7//8BAAAAAAAJJgQAAAmOAAAACS8AAAAK/////wkmBAAACgmOAAAACgoKCS8AAAAJlAQAAAkvAAAAAbgCAACBAQAAAWr7///P/////////wAGlwQAAAZTdHJpbmcGmAQAAARVbml0CZkEAAABZvv//83///8CAAAAAWX7///b+///AQAAAAAACXsBAAAJnAAAAAkvAAAACv////8JewEAAAoJnAAAAAahBAAABkl0ZW1JZAaiBAAADFRQUFRyYW5zX3NzdAoJLwAAAAmkBAAACS8AAAAB3QIAAIEBAAABWvv//8//////////AAanBAAABFJlYWwGqAQAAA5UUFAgY29zdCBwcmljZQkjBAAAAVb7///N////AgAAAAFV+///2/v//wEAAAAAAAkmBAAACaoAAAAJLwAAAAr/////CSYEAAAKCaoAAAAKCgoJLwAAAAmyBAAACS8AAAABCAMAAIEBAAABTPv//8//////////AAa1BAAABFJlYWwGtgQAAA9UUFAgY29zdCBhbW91bnQJIwQAAAFI+///zf///wIAAAABR/v//9v7//8BAAAAAAAJJgQAAAm4AAAACS8AAAAK/////wkmBAAACgm4AAAACgoKCS8AAAAJwAQAAAkvAAAAATADAACBAQAAAT77///P/////////wAGwwQAAAZTdHJpbmcGxAQAAAhDdXJyZW5jeQkjBAAAATr7///N////AgAAAAE5+///2/v//wEAAAAAAAkmBAAACcYAAAAJLwAAAAr/////CSYEAAAKCcYAAAAKCgoJLwAAAAnOBAAACS8AAAABWAMAAIEBAAABMPv//8//////////AAbRBAAABFJlYWwG0gQAABhUUFAgY29zdCBhbW91bnQgY3VycmVuY3kJIwQAAAEs+///zf///wIAAAABK/v//9v7//8BAAAAAAAJJgQAAAnUAAAACS8AAAAK/////wkmBAAACgnUAAAACgoKCS8AAAAJ3AQAAAkvAAAAAYADAACBAQAAASL7///P/////////wAG3wQAAAZTdHJpbmcG4AQAABFGaW5hbmNpYWwgdm91Y2hlcgkjBAAAAR77///N////AgAAAAEd+///2/v//wEAAAAAAAkmBAAACeIAAAAJLwAAAAr/////CSYEAAAKCeIAAAAKCgoJLwAAAAnqBAAACS8AAAABqAMAAIEBAAABFPv//8//////////AAbtBAAABlN0cmluZwbuBAAABkxvdCBJRAkjBAAAARD7///N////AgAAAAEP+///2/v//wEAAAAAAAkmBAAACfAAAAAJLwAAAAr/////CSYEAAAKCfAAAAAKCgoJLwAAAAn4BAAACS8AAAAB0AMAAIEBAAABBvv//8//////////AAb7BAAABEVudW0G/AQAAAZTdGF0dXMJIwQAAAEC+///zf///wIAAAABAfv//9v7//8BAAAAAAAJJgQAAAn+AAAACS8AAAAK/////wkmBAAACgn+AAAACgoKCS8AAAAJBgUAAAkvAAAAAfgDAACBAQAAAfj6///P/////////wAGCQUAAAVJbnQ2NAkiBAAACV0EAAAB9Pr//83///8CAAAAAfP6///b+///AQAAAAAACWAEAAAJDAEAAAkvAAAACv////8JYAQAAAoJDAEAAAoKCgkvAAAACRQFAAAJLwAAAAUjB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InQAABhYFAAAMVFBQVHJhbnNfc3N0BhcFAAAQVFBQIHRyYW5zYWN0aW9ucwkvAAAACS8AAAAJLwAAAAXn+v//MEdsb2JlU29mdHdhcmUuQXRsYXM0MC5BdGxhc0NvbW1vbi5EYXRhU291cmNlVHlwZQEAAAAHdmFsdWVfXwAIDgAAAAAAAAAJGgUAAAkbBQAABOT6//8LU3lzdGVtLkd1aWQLAAAAAl9hAl9iAl9jAl9kAl9lAl9mAl9nAl9oAl9pAl9qAl9rAAAAAAAAAAAAAAAIBwcCAgICAgICAgjMA+AQe7BLu5A4k7lUYvQJLwAAAAkvAAAACR4FAAAJJgQAAAoKCgoKAQAAAAXg+v//NEdsb2JlU29mdHdhcmUuQXRsYXM0MC5BdGxhc0NvbW1vbi5EYXRhU291cmNlSm9pbk1vZGUBAAAAB3ZhbHVlX18ACA4AAAAAAAAABd/6//81R2xvYmVTb2Z0d2FyZS5BdGxhczQwLkF0bGFzQ29tbW9uLkRhdGFTb3VyY2VGZXRjaE1vZGUBAAAAB3ZhbHVlX18ACA4AAAAAAAAAAAkiBQAAASwEAAArAAAAVwAAAAkgAQAAAwAAAAkkBQAAAToEAAArAAAAVwAAAAkgAQAAAwAAAAkmBQAAAUgEAAArAAAAVwAAAAkgAQAAAwAAAAkoBQAAAU0EAAAjBAAA/////wYpBQAAC0ludmVudFRhYmxlBioFAAAFSXRlbXMJLwAAAAkvAAAACS8AAAAB1Pr//+f6//8AAAAACS0FAAAJLgUAAAHR+v//5Pr//2hKN7/QZAlCsBF1sAFd8zIJLwAAAAkvAAAACTEFAAAJfgEAAAYzBQAADFRQUFRyYW5zX3NzdAY0BQAAElRhYmxlLlRQUFRyYW5zX3NzdAY1BQAAGVRhYmxlLlRQUFRyYW5zX3NzdC5JdGVtSWQGNgUAAAZJdGVtSWQGNwUAAAZJdGVtSWQBAAAAAcj6///g+v//AAAAAAHH+v//3/r//wAAAAAACToFAAABWAQAACsAAAAqAAAACS8BAAADAAAACTwFAAABXQQAACMEAAD/////Bj0FAAAMVFBQVHJhbnNfc3N0Bj4FAAAQVFBQIHRyYW5zYWN0aW9ucwkvAAAACS8AAAAJLwAAAAHA+v//5/r//wAAAAAJQQUAAAlCBQAAAb36///k+v//CfP3hxhf70qh4YtroFWDEwkvAAAACS8AAAAJRQUAAAlgBAAACgoKCgoBAAAAAbn6///g+v//AAAAAAG4+v//3/r//wAAAAAACUkFAAABZgQAACsAAABOAAAACSABAAADAAAACUsFAAABawQAACMEAAD/////BkwFAAAJSW52ZW50RGltBk0FAAAUSW52ZW50b3J5IGRpbWVuc2lvbnMJLwAAAAkvAAAACS8AAAABsfr//+f6//8AAAAACVAFAAAJUQUAAAGu+v//5Pr//8joXFxhvzxLsDBop6O24EYJLwAAAAkvAAAACVQFAAAJbgQAAAZWBQAADFRQUFRyYW5zX3NzdAZXBQAAElRhYmxlLlRQUFRyYW5zX3NzdAZYBQAAHlRhYmxlLlRQUFRyYW5zX3NzdC5JbnZlbnREaW1JZAZZBQAAC0ludmVudERpbUlkBloFAAALaW52ZW50RGltSWQBAAAAAaX6///g+v//AAAAAAGk+v//3/r//wAAAAAACV0FAAABdgQAACsAAAA2AAAACS8BAAADAAAACV8FAAABhgQAACsAAAA2AAAACS8BAAADAAAACWEFAAABlAQAACsAAABXAAAACSABAAADAAAACWMFAAABmQQAACMEAAD/////BmQFAAARSW52ZW50VGFibGVNb2R1bGUGZQUAABtJbnZlbnRvcnkgbW9kdWxlIHBhcmFtZXRlcnMJLwAAAAkvAAAACS8AAAABmfr//+f6//8AAAAACWgFAAAJaQUAAAGW+v//5Pr///quecauPWxKp1fkO9XBI4kJLwAAAAkvAAAACWwFAAAJewEAAAZuBQAADFRQUFRyYW5zX3NzdAZvBQAAElRhYmxlLlRQUFRyYW5zX3NzdAZwBQAAGVRhYmxlLlRQUFRyYW5zX3NzdC5JdGVtSWQGcQUAAAZJdGVtSWQGcgUAAAZJdGVtSWQBAAAAAY36///g+v//AAAAAAGM+v//3/r//wAAAAAACXUFAAABpAQAACsAAAA2AAAACS8BAAADAAAACXcFAAABsgQAACsAAABXAAAACSABAAADAAAACXkFAAABwAQAACsAAABXAAAACSABAAADAAAACXsFAAABzgQAACsAAABXAAAACSABAAADAAAACX0FAAAB3AQAACsAAABXAAAACSABAAADAAAACX8FAAAB6gQAACsAAABXAAAACSABAAADAAAACYEFAAAB+AQAACsAAABXAAAACSABAAADAAAACYMFAAABBgUAACsAAABXAAAACSABAAADAAAACYUFAAABFAUAACsAAABOAAAACSABAAADAAAACYcFAAAEGgU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wAAAAJiAUAABEAAAAJiQUAAAQb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KAAAACYgFAAARAAAACYsFAAAEH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gFAAAAAAAABCIF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0FAAAAAAAABy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r//2n+//8GjwUAAAhIZWxwVGV4dAaQBQAAMlNwZWNpZnkgdGhlIG1vZHVsZSB0aGF0IGdlbmVyYXRlZCB0aGUgdHJhbnNhY3Rpb24uAW/6//9p/v//BpIFAAAFTGFiZWwJIgQAAAFs+v//af7//waVBQAABFR5cGUJIQQAAAcm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6//9p/v//CY8FAAAGmQUAADVPcmRlciBudW1iZXIsIHByb2plY3QgbnVtYmVyLCBwcm9kdWN0aW9uIG51bWJlciwgZXRjLgFm+v//af7//wmSBQAACTAEAAABY/r//2n+//8JlQUAAAkvBAAABy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r//2n+//8JjwUAAAaiBQAADklkZW50aWZ5IGl0ZW0uAV36//9p/v//CZIFAAAJPgQAAAFa+v//af7//wmVBQAACT0EAAABLQUAABoFAAABAAAACS8BAAADAAAACaoFAAABLgUAABsFAAABAAAACQwAAAADAAAACawFAAABMQUAAB4FAAAAAAAACS8BAAAAAAAAAToFAAAiBQAAAAAAAAmuBQAAAAAAAAc8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6//9p/v//BrAFAAAFTGFiZWwJTAQAAAFO+v//af7//wazBQAABFR5cGUJSwQAAAFBBQAAGgUAABEAAAAJtQUAABEAAAAJtgUAAAFCBQAAGwUAAAEAAAAJIAEAAAMAAAAJuAUAAAFFBQAAHgUAAAAAAAAJtQUAAAAAAAABSQUAACIFAAAAAAAACboFAAAAAAAAB0s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r//2n+//8JkgUAAAlcBAAAAUL6//9p/v//CZUFAAAJWwQAAAFQBQAAGgUAAAIAAAAJLwEAAAMAAAAJwgUAAARR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wAAAAAAAAAAVQFAAAeBQAAAAAAAAkvAQAAAAAAAAFdBQAAIgUAAAAAAAAJrgUAAAAAAAAHX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6+v//af7//wmwBQAACWoEAAABN/r//2n+//8JswUAAAlpBAAAB2E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r//2n+//8JsAUAAAl6BAAAATH6//9p/v//CbMFAAAJeQQAAAdj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76//9p/v//CY8FAAAG1AUAACRRdWFudGl0eSBhdHRhY2hlZCB0byB0aGUgdHJhbnNhY3Rpb24BK/r//2n+//8JkgUAAAmKBAAAASj6//9p/v//CZUFAAAJiQQAAAFoBQAAGgUAAAEAAAAJLwEAAAMAAAAJ3AUAAAFpBQAAGwUAAAEAAAAJDAAAAAMAAAAJ3gUAAAFsBQAAHgUAAAAAAAAJLwEAAAAAAAABdQUAACIFAAAAAAAACa4FAAAAAAAAB3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r//2n+//8JsAUAAAmYBAAAARz6//9p/v//CbMFAAAJlwQAAAd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6//9p/v//CY8FAAAG6QUAAA9UUFAgY29zdCBwcmljZS4BFvr//2n+//8JkgUAAAmoBAAAARP6//9p/v//CZUFAAAJpwQAAAd7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D6//9p/v//CY8FAAAG8gUAABBUUFAgY29zdCBhbW91bnQuAQ36//9p/v//CZIFAAAJtgQAAAEK+v//af7//wmVBQAACbUEAAAHf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+v//af7//wmPBQAABvsFAAAuQ3VycmVuY3ksIGlmIGFueSwgYXR0YWNoZWQgdG8gdGhlIGl0ZW0gcmVjZWlwdAEE+v//af7//wmSBQAACcQEAAABAfr//2n+//8JlQUAAAnDBAAAB38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n//2n+//8JjwUAAAYEBgAAHFRQUCBjb3N0IGFtb3VudCBpbiBjdXJyZW5jeS4B+/n//2n+//8JkgUAAAnSBAAAAfj5//9p/v//CZUFAAAJ0QQAAAe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5//9p/v//CY8FAAAGDQYAADNWb3VjaGVyIG51bWJlciB0aGF0IHRoZSB0cmFuc2FjdGlvbiBpcyBhdHRhY2hlZCB0by4B8vn//2n+//8JkgUAAAngBAAAAe/5//9p/v//CZUFAAAJ3wQAAAe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5//9p/v//CY8FAAAGFgYAAFJTdW1tYXJ5IG51bWJlci9Mb3QgSUQgZm9yIHRyYW5zYWN0aW9ucyBhdHRhY2hlZCB0byB0aGUgc2FtZSBpbnZlbnRvcnkgdHJhbnNhY3Rpb24uAen5//9p/v//CZIFAAAJ7gQAAAHm+f//af7//wmVBQAACe0EAAAHh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+f//af7//wmPBQAABh8GAAAWVFBQIHRyYW5zYWN0aW9uIHN0YXR1cwHg+f//af7//wmSBQAACfwEAAAB3fn//2n+//8JlQUAAAn7BAAAB4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n//2n+//8JkgUAAAkiBAAAAdf5//9p/v//CZUFAAAJCQUAAAGIBQAADAAAAAeJBQ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U+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tBgAAHFRhYmxlLlRQUFRyYW5zX3NzdC5Db3N0UHJpY2UJ3QIAAAHR+f//1Pn//wYwBgAAHVRhYmxlLlRQUFRyYW5zX3NzdC5Db3N0QW1vdW50CQgDAAABzvn//9T5//8GMwYAACBUYWJsZS5UUFBUcmFuc19zc3QuQ29zdEFtb3VudEN1cglYAwAAAcv5///U+f//BjYGAAAWVGFibGUuVFBQVHJhbnNfc3N0LlF0eQmQAgAAAcj5///U+f//BjkGAAAeVGFibGUuVFBQVHJhbnNfc3N0LkludmVudERpbUlkCToGAAABxfn//9T5//8GPAYAABpUYWJsZS5UUFBUcmFuc19zc3QuVm91Y2hlcgmAAwAAAcL5///U+f//Bj8GAAAgVGFibGUuVFBQVHJhbnNfc3N0LkludmVudFRyYW5zSWQJqAMAAAG/+f//1Pn//wZCBgAAHVRhYmxlLlRQUFRyYW5zX3NzdC5UcmFuc1JlZklkCawBAAABvPn//9T5//8GRQYAABxUYWJsZS5UUFBUcmFuc19zc3QuVHJhbnNUeXBlCYEBAAABufn//9T5//8GSAYAAB9UYWJsZS5UUFBUcmFuc19zc3QuQ3VycmVuY3lDb2RlCTADAAABtvn//9T5//8GSwYAABlUYWJsZS5UUFBUcmFuc19zc3QuU3RhdHVzCdADAAABs/n//9T5//8GTgYAABlUYWJsZS5UUFBUcmFuc19zc3QuSXRlbUlkCdQBAAAHiwUAAAABAAAAC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D5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UQYAAB1UYWJsZS5UUFBUcmFuc19zc3QuRGF0YUFyZWFJZAlSBgAAAa35//+w+f//BlQGAAAfVGFibGUuVFBQVHJhbnNfc3N0LkN1cnJlbmN5Q29kZQlVBgAAAar5//+w+f//BlcGAAAcVGFibGUuVFBQVHJhbnNfc3N0LlRyYW5zRGF0ZQlYBgAAAaf5//+w+f//BloGAAAeVGFibGUuVFBQVHJhbnNfc3N0LkludmVudERpbUlkCVsGAAABpPn//7D5//8GXQYAABpUYWJsZS5UUFBUcmFuc19zc3QuVm91Y2hlcgleBgAAAaH5//+w+f//BmAGAAAZVGFibGUuVFBQVHJhbnNfc3N0Lkl0ZW1JZAlhBgAAAZ75//+w+f//BmMGAAAgVGFibGUuVFBQVHJhbnNfc3N0LkludmVudFRyYW5zSWQJZAYAAAGb+f//sPn//wZmBgAAHVRhYmxlLlRQUFRyYW5zX3NzdC5UcmFuc1JlZklkCWcGAAABmPn//7D5//8GaQYAABxUYWJsZS5UUFBUcmFuc19zc3QuVHJhbnNUeXBlCWoGAAABlfn//7D5//8GbAYAABlUYWJsZS5UUFBUcmFuc19zc3QuU3RhdHVzCW0GAAAEjQU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6o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L5///U+f//Bm8GAAA0VGFibGUuVFBQVHJhbnNfc3N0Lkl0ZW1JZH5UYWJsZS5JbnZlbnRUYWJsZS5JdGVtTmFtZQn8AQAAB6w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P+f//sPn//wZyBgAANFRhYmxlLlRQUFRyYW5zX3NzdC5JdGVtSWR+VGFibGUuSW52ZW50VGFibGUuSXRlbVR5cGUJcwYAAAGuBQAAjQUAAAG1BQAADAAAAAe2BQ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M+f//1Pn//wZ1BgAAHFRhYmxlLlRQUFRyYW5zX3NzdC5Db3N0UHJpY2UJ3QIAAAGJ+f//1Pn//wZ4BgAAHVRhYmxlLlRQUFRyYW5zX3NzdC5Db3N0QW1vdW50CQgDAAABhvn//9T5//8GewYAACBUYWJsZS5UUFBUcmFuc19zc3QuQ29zdEFtb3VudEN1cglYAwAAAYP5///U+f//Bn4GAAAWVGFibGUuVFBQVHJhbnNfc3N0LlF0eQmQAgAAAYD5///U+f//BoEGAAAeVGFibGUuVFBQVHJhbnNfc3N0LkludmVudERpbUlkCToGAAABffn//9T5//8GhAYAABpUYWJsZS5UUFBUcmFuc19zc3QuVm91Y2hlcgmAAwAAAXr5///U+f//BocGAAAgVGFibGUuVFBQVHJhbnNfc3N0LkludmVudFRyYW5zSWQJqAMAAAF3+f//1Pn//waKBgAAHVRhYmxlLlRQUFRyYW5zX3NzdC5UcmFuc1JlZklkCawBAAABdPn//9T5//8GjQYAABxUYWJsZS5UUFBUcmFuc19zc3QuVHJhbnNUeXBlCYEBAAABcfn//9T5//8GkAYAAB9UYWJsZS5UUFBUcmFuc19zc3QuQ3VycmVuY3lDb2RlCTADAAABbvn//9T5//8GkwYAABlUYWJsZS5UUFBUcmFuc19zc3QuU3RhdHVzCdADAAABa/n//9T5//8GlgYAABlUYWJsZS5UUFBUcmFuc19zc3QuSXRlbUlkCdQBAAABaPn//9T5//8GmQYAABxUYWJsZS5UUFBUcmFuc19zc3QuVHJhbnNEYXRlCSECAAABZfn//9T5//8GnAYAACNUYWJsZS5UUFBUcmFuc19zc3QuSW52ZW50VHJhbnNSZWNJZAn4AwAAAWL5///U+f//Bp8GAAAqVGFibGUuVFBQVHJhbnNfc3N0LkludmVudEpvdXJuYWxUcmFuc1JlY0lkCaAGAAABX/n//9T5//8GogYAACRUYWJsZS5UUFBUcmFuc19zc3QuSW52b2ljZVRyYW5zUmVjSWQJowYAAAFc+f//1Pn//walBgAAH1RhYmxlLlRQUFRyYW5zX3NzdC5Qcm9kQk9NUmVjSWQJpgYAAAe4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fn//7D5//8GqAYAABxUYWJsZS5UUFBUcmFuc19zc3QuVHJhbnNEYXRlCakGAAABugUAAI0FAAAHwgU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vn//9T5//8GqwYAADtUYWJsZS5UUFBUcmFuc19zc3QuSW52ZW50RGltSWR+VGFibGUuSW52ZW50RGltLkludmVudFNpdGVJZAlGAgAAAVP5///U+f//Bq4GAAA/VGFibGUuVFBQVHJhbnNfc3N0LkludmVudERpbUlkflRhYmxlLkludmVudERpbS5JbnZlbnRMb2NhdGlvbklkCWsCAAAH3A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Pn//9T5//8GsQYAADhUYWJsZS5UUFBUcmFuc19zc3QuSXRlbUlkflRhYmxlLkludmVudFRhYmxlTW9kdWxlLlVuaXRJZAm4AgAAB94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N+f//sPn//wa0BgAAPFRhYmxlLlRQUFRyYW5zX3NzdC5JdGVtSWR+VGFibGUuSW52ZW50VGFibGVNb2R1bGUuTW9kdWxlVHlwZQm1BgAAAToGAACBAQAAAUr5///P/////////wAGtwYAAAZTdHJpbmcGuAYAAA1EaW1lbnNpb24gTm8uCSMEAAABRvn//83///8CAAAAAUX5///b+///AQAAAAAACSYEAAAGvQYAAAtJbnZlbnREaW1JZAkvAAAACv////8JJgQAAAoJvQYAAAoKCgkvAAAACcIGAAAJLwAAAAVSB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JgQAAAbFBgAACkRhdGFBcmVhSWQJLwAAAAkvAAAA/////wkmBAAACgnFBgAACgoKCS8AAAAJygYAAAkvAAAAAVUGAABSBgAACSYEAAAGzQYAAAxDdXJyZW5jeUNvZGUJLwAAAAkvAAAA/////wkmBAAACgnNBgAACgoKCS8AAAAJ0gYAAAkvAAAAAVgGAABSBgAACSYEAAAJdgEAAAkvAAAACS8AAAD/////CSYEAAAKCXYBAAAKCgoJLwAAAAnaBgAACS8AAAABWwYAAFIGAAAJJgQAAAbdBgAAC0ludmVudERpbUlkCS8AAAAJLwAAAP////8JJgQAAAoJ3QYAAAoKCgkvAAAACeIGAAAJLwAAAAFeBgAAUgYAAAkmBAAABuUGAAAHVm91Y2hlcgkvAAAACS8AAAD/////CSYEAAAKCeUGAAAKCgoJLwAAAAnqBgAACS8AAAABYQYAAFIGAAAJJgQAAAbtBgAABkl0ZW1JZAkvAAAACS8AAAD/////CSYEAAAKCe0GAAAKCgoJLwAAAAnyBgAACS8AAAABZAYAAFIGAAAJJgQAAAb1BgAADUludmVudFRyYW5zSWQJLwAAAAkvAAAA/////wkmBAAACgn1BgAACgoKCS8AAAAJ+gYAAAkvAAAAAWcGAABSBgAACSYEAAAG/QYAAApUcmFuc1JlZklkCS8AAAAJLwAAAP////8JJgQAAAoJ/QYAAAoKCgkvAAAACQIHAAAJLwAAAAFqBgAAUgYAAAkmBAAABgUHAAAJVHJhbnNUeXBlCS8AAAAJLwAAAP////8JJgQAAAoJBQcAAAoKCgkvAAAACQoHAAAJLwAAAAFtBgAAUgYAAAkmBAAABg0HAAAGU3RhdHVzCS8AAAAJLwAAAP////8JJgQAAAoJDQcAAAoKCgkvAAAACRIHAAAJLwAAAAFzBgAAUgYAAAl+AQAACX8BAAAJLwAAAAmAAQAA/////wl+AQAACgl/AQAABhoHAAAGSXRlbUlkCgoJLwAAAAkcBwAACS8AAAABoAYAAIEBAAAB4vj//8//////////AAYfBwAABUludDY0BiAHAAAJUmVmZXJlbmNlCV0EAAAB3vj//83///8CAAAAAd34///b+///AQAAAAAACWAEAAAGJQcAABdJbnZlbnRKb3VybmFsVHJhbnNSZWNJZAkvAAAACv////8JYAQAAAoJJQcAAAoKCgkvAAAACSoHAAAJLwAAAAGjBgAAgQEAAAHU+P//z/////////8ABi0HAAAFSW50NjQJIAcAAAldBAAAAdD4///N////AgAAAAHP+P//2/v//wEAAAAAAAlgBAAABjMHAAARSW52b2ljZVRyYW5zUmVjSWQJLwAAAAr/////CWAEAAAKCTMHAAAKCgoJLwAAAAk4BwAACS8AAAABpgYAAIEBAAABxvj//8//////////AAY7BwAABUludDY0CSAHAAAJXQQAAAHC+P//zf///wIAAAABwfj//9v7//8BAAAAAAAJYAQAAAZBBwAADFByb2RCT01SZWNJZAkvAAAACv////8JYAQAAAoJQQcAAAoKCgkvAAAACUYHAAAJLwAAAAGpBgAAUgYAAAkmBAAACXYBAAAJLwAAAAZLBwAAGDA2LjAxLjIwMTcgLi4gMDYuMzAuMjAxN/////8JJgQAAAoJdgEAAAoKCgkvAAAACU8HAAAJLwAAAAG1BgAAUgYAAAl7AQAACXwBAAAJLwAAAAl9AQAA/////wl7AQAACgl8AQAABlcHAAAGSXRlbUlkCgoJLwAAAAlZBwAACS8AAAABwgYAACsAAAAhAAAACSABAAADAAAACVwHAAAEy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0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2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4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6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8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+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A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C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E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BHAcAACsAAAAFAAAACQwAAAADAAAACV8HAAABKgcAACsAAAASAAAACSABAAADAAAACWEHAAABOAcAACsAAAASAAAACSABAAADAAAACWMHAAABRgcAACsAAAASAAAACSABAAADAAAACWUHAAABTwcAACsAAAAlAAAACSABAAADAAAACWcHAAABWQcAACsAAAAEAAAACQwAAAADAAAACWkHAAAHXA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P//af7//wmPBQAABmwHAAAqSWRlbnRpZmljYXRpb24gb2YgZGltZW5zaW9ucyBmb3IgdGhlIGl0ZW0uAZP4//9p/v//CZIFAAAJuAYAAAGQ+P//af7//wmVBQAACbcGAAAHXw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+P//af7//wZ0BwAABFR5cGUGdQcAAARFbnVtAYr4//9p/v//BncHAAAFTGFiZWwGeAcAAAlJdGVtIHR5cGUBh/j//2n+//8GegcAAAhSZWZlcnNUbwZ7BwAACT1JdGVtVHlwZQdh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4//9p/v//CZIFAAAJIAcAAAGB+P//af7//wmVBQAACR8HAAAHYw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+P//af7//wmSBQAACSAHAAABe/j//2n+//8JlQUAAAktBwAAB2U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Pj//2n+//8JkgUAAAkgBwAAAXX4//9p/v//CZUFAAAJOwcAAAdn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4//9p/v//CZUFAAAGkAcAAAREYXRlAW/4//9p/v//CZIFAAAGkwcAAAREYXRlAWz4//9p/v//BpUHAAAIUmVmZXJzVG8GlgcAAAs9RGF0ZVBlcmlvZAdp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4//9p/v//CXQHAAAGmQcAAARFbnVtAWb4//9p/v//CXcHAAAGnAcAAAtNb2R1bGUgdHlwZQs=</Report>
</Atlas>
</file>

<file path=customXml/item5.xml><?xml version="1.0" encoding="utf-8"?>
<Atlas>
  <Query type="ReportSummary" id="990c75b3-7953-42dc-bece-de15fdf8992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UludmVudFN1bQYeAAAAEU9uLWhhbmQgaW52ZW50b3J5CQgAAAAJCAAAAAkIAAAABeD///8wR2xvYmVTb2Z0d2FyZS5BdGxhczQwLkF0bGFzQ29tbW9uLkRhdGFTb3VyY2VUeXBlAQAAAAd2YWx1ZV9fAAgCAAAAAAAAAAkhAAAACSIAAAAE3f///wtTeXN0ZW0uR3VpZAsAAAACX2ECX2ICX2MCX2QCX2UCX2YCX2cCX2gCX2kCX2oCX2sAAAAAAAAAAAAAAAgHBwICAgICAgICoAKNrRjeGUedxMVQ4/t7gQkIAAAACQgAAAAJJQAAAAYmAAAAD1RhYmxlLkludmVudFN1b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rVGFibGUuSW52ZW50U3VtLkludmVudERpbUlkflRhYmxlLkludmVudERpbQkxAAAAAc7////U////BjMAAAAoVGFibGUuSW52ZW50U3VtLkl0ZW1JZH5UYWJsZS5JbnZlbnRUYWJsZQk0AAAABxQAAAAAAQAAAAgAAAAELUdsb2JlU29mdHdhcmUuQXRsYXM0MC5BdGxhc0NvbW1vbi5UeXBlLkNvbHVtbgIAAAAJNQAAAAk2AAAACTcAAAAJOAAAAAk5AAAACToAAAAJOwAAAAk8AAAAERUAAAAEAAAABj0AAAANQXRsYXNSZXBvcnRfMw0DBxcAAAAAAQAAAAM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P///8L///8GQQAAAA9UYWJsZS5JbnZlbnREaW0JMAAAAAG9////wv///wZEAAAAEVRhYmxlLkludmVudFRhYmxlCTM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r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uf///z5HbG9iZVNvZnR3YXJlLkF0bGFzNDAuQXRsYXNDb21tb24uVHlwZS5BdGxhc1F1ZXJ5QXR0cmlidXRlTmFtZQEAAAAHdmFsdWVfXwAIAgAAAAIAAAAGSAAAACQ5OTBjNzViMy03OTUzLTQyZGMtYmVjZS1kZTE1ZmRmODk5MmEBt////7r///8Btv///7n///8AAAAABksAAAAEdHJ1ZQG0////uv///wGz////uf///wsAAAAGTgAAABFPbi1oYW5kIGludmVudG9yeQGx////uv///wGw////uf///xsAAAAGUQAAAARUcnVlAa7///+6////Aa3///+5////BgAAAAZUAAAABUZhbHNlAav///+6////Aar///+5////HAAAAAlRAAAAAaj///+6////Aaf///+5////HQAAAAlUAAAAAaX///+6////AaT///+5////KgAAAAlRAAAAAaL///+6////AaH///+5////AQAAAAZgAAAAAzM2MAGf////uv///wGe////uf///ycAAAAGYwAAAAs9RGF0YUFyZWFJZAGc////uv///wGb////uf///xkAAAAGZgAAAA9DZWxsc1ZlcnRpY2FsbHkBmf///7r///8BmP///7n///8JAAAACgGX////uv///wGW////uf///ygAAAAGawAAAAE4AZT///+6////AZP///+5////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JSW52ZW50U3VtAQAAAAGP////kf///wZyAAAACUludmVudERpbQEAAAABjf///5H///8GdA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dQAAAAMAAAAJdg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gAAAABJQAAAAQAAAACAAAACXUAAAADAAAACXo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wAAAAAAAAAHKgAAAAABAAAAAAAAAAQtR2xvYmVTb2Z0d2FyZS5BdGxhczQwLkF0bGFzQ29tbW9uLlR5cGUuQ29sdW1uAgAAAAExAAAADgAAAP////8GfAAAAAlJbnZlbnREaW0GfQAAABRJbnZlbnRvcnkgZGltZW5zaW9ucwkIAAAACQgAAAAJCAAAAAGB////4P///wAAAAAJgAAAAAmBAAAAAX7////d////T3UhPLuUB0GUEYDWU0ziagkIAAAACQgAAAAJhAAAAAkwAAAABoYAAAAJSW52ZW50U3VtBocAAAAPVGFibGUuSW52ZW50U3VtBogAAAAbVGFibGUuSW52ZW50U3VtLkludmVudERpbUlkBokAAAALSW52ZW50RGltSWQGigAAAAtpbnZlbnREaW1JZAEAAAABdf///9n///8AAAAAAXT////Y////AAAAAAAJjQAAAAE0AAAADgAAAP////8GjgAAAAtJbnZlbnRUYWJsZQaPAAAABUl0ZW1zCQgAAAAJCAAAAAkIAAAAAW/////g////AAAAAAmSAAAACZMAAAABbP///93////trEAuv0CrSp9Hot5u+TS2CQgAAAAJCAAAAAmWAAAACTMAAAAGmAAAAAlJbnZlbnRTdW0GmQAAAA9UYWJsZS5JbnZlbnRTdW0GmgAAABZUYWJsZS5JbnZlbnRTdW0uSXRlbUlkBpsAAAAGSXRlbUlkBpwAAAAGSXRlbUlkAQAAAAFj////2f///wAAAAABYv///9j///8AAAAAAAmf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AAAAAJoQAAAAmiAAAABqMAAAAGSXRlbUlkBqQAAAALSXRlbSBudW1iZXIGpQAAAAZTdHJpbmcJCAAAAAanAAAAJGNiZTA1OWUxLTU2ODMtNDYxMy1iMzg3LWFkNjg0OWUzZTJjZgVY////LUdsb2JlU29mdHdhcmUuQXRsYXM0MC5BdGxhc0NvbW1vbi5BZ2dyZWdhdGlvbgEAAAAHdmFsdWVfXwAIAgAAAP////8AAAAABVf///8sR2xvYmVTb2Z0d2FyZS5BdGxhczQwLkF0bGFzQ29tbW9uLkNvbHVtblR5cGUBAAAAB3ZhbHVlX18ACAIAAAAAAAAABVb///8rR2xvYmVTb2Z0d2FyZS5BdGxhczQwLkF0bGFzQ29tbW9uLlNvcnRPcmRlcgEAAAAHdmFsdWVfXwAIAgAAAAIAAAAAAAAAAAVV////QEdsb2JlU29mdHdhcmUuQXRsYXM0MC5BdGxhc0NvbW1vbi5UeXBlLkNvbHVtbitDcm9zc1RhYkNvbHVtblR5cGUBAAAAB3ZhbHVlX18ACAIAAAAAAAAACgEAAAAAAAAAAAAAAAAABqwAAAAkNmE2ZDc5ODYtOTlmNy00NGRjLTg5YjQtNzY0Y2QwM2RjNmM0Bq0AAAAWVGFibGUuSW52ZW50U3VtLkl0ZW1JZAoKCgoBNgAAADUAAAAJrgAAAAmvAAAACbAAAAAGsQAAAAxJbnZlbnRTaXRlSWQGsgAAAARTaXRlBrMAAAAGU3RyaW5nCQgAAAAGtQAAACQ0OTU2OTYxNi1jYzJkLTRlMjItOGUwNC1iMzkxNTdkMGZjNDcBSv///1j/////////AQAAAAFJ////V////wAAAAABSP///1b///8CAAAAAAAAAAABR////1X///8AAAAACgEAAAAAAAAAAAEAAAAABroAAAAkMTczYzBjYjAtMTUxYi00YmE1LThlZTUtN2UwYWMzMGY5NjY0BrsAAAA4VGFibGUuSW52ZW50U3VtLkludmVudERpbUlkflRhYmxlLkludmVudERpbS5JbnZlbnRTaXRlSWQKCgoKATcAAAA1AAAACbwAAAAJvQAAAAm+AAAABr8AAAAQSW52ZW50TG9jYXRpb25JZAbAAAAACVdhcmVob3VzZQbBAAAABlN0cmluZwkIAAAABsMAAAAkNThhNGMyZjMtZjMxYy00NjcwLWE5NmEtYzVhYTQzZjAyY2YyATz///9Y/////////wIAAAABO////1f///8AAAAAATr///9W////AgAAAAAAAAAAATn///9V////AAAAAAoBAAAAAAAAAAACAAAAAAbIAAAAJGQwMTYzNGViLTdmMzEtNDAzOS1iNzUzLWNhZmJkMGQxNzgzNQbJAAAAPFRhYmxlLkludmVudFN1bS5JbnZlbnREaW1JZH5UYWJsZS5JbnZlbnREaW0uSW52ZW50TG9jYXRpb25JZAoKCgoBOAAAADUAAAAJygAAAAnLAAAACcwAAAAGzQAAAAlQb3N0ZWRRdHkGzgAAAA9DdXJyZW50IE9uLWhhbmQGzwAAAARSZWFsCQgAAAAG0QAAACQyOTY4N2E4NS0zN2JjLTQ5MDYtOGI5OS02MjgzNzg3ZWEwZTcBLv///1j///8BAAAAAwAAAAEt////V////wAAAAABLP///1b///8CAAAAAAAAAAABK////1X///8AAAAACgEAAAAAAAAAAAMAAAAABtYAAAAkODI4OWJlNjEtNTNkMi00NjgzLWFiNGMtYWRlNmQ3OGQ1N2RmBtcAAAAZVGFibGUuSW52ZW50U3VtLlBvc3RlZFF0eQoKCgoBOQAAADUAAAAJ2AAAAAnZAAAACdoAAAAG2wAAADdBdGxhc01hbmFnZWRDb2x1bW5fYzk1OTU0NGYtMGQ3NC00YzcxLWJkNzgtYjE1YzhmZjIyMjU5BtwAAAAbVHJhbnMgYmFja3dvcmRzIChCZWdpbm5pbmcpCQgAAAAJCAAAAAbeAAAAJDg2NjdkZDQ4LTRiNmYtNDJkOC05YmJjLWIwMjA0MjNmYzUzMQEh////WP///wEAAAAEAAAAASD///9X////AgAAAAEf////Vv///wIAAAAAAAAAAAEe////Vf///wAAAAAKAQAAAAAAAAAABAAAAAAG4wAAACRlMGNlY2M0ZS03MWU5LTQ4M2QtOWQ4MC1jZDFjN2ExMGI2YmUJCAAAAAoKCgoBOgAAADUAAAAJ5QAAAAnmAAAACecAAAAG6AAAADdBdGxhc01hbmFnZWRDb2x1bW5fMWJkZWU0M2QtYzYyYi00ZGE4LTkzMDYtYTYyZmE5ZDNlYmU5BukAAAAYVHJhbnMgYmFja3dvcmRzIChFbmRpbmcpCQgAAAAJCAAAAAbrAAAAJDUwYTM2NWQyLTZlYjMtNDNlNC05MDU0LTFkODllYzZjNTFmNAEU////WP///wEAAAAFAAAAARP///9X////AgAAAAES////Vv///wIAAAAAAAAAAAER////Vf///wAAAAAKAQAAAAAAAAAABQAAAAAG8AAAACQ0MTdlOTNiYy1hMDIzLTQwMDYtODgyNS0wYThmOGYxODFkMWIJCAAAAAoKCgoBOwAAADUAAAAJ8gAAAAnzAAAACfQAAAAG9QAAADdBdGxhc01hbmFnZWRDb2x1bW5fNWZkMDcyYmQtMjk4ZS00ZDYzLWJmYmEtYTg3MmQ5ODkzYjJmBvYAAAARQmVnaW5uaW5nIE9uLWhhbmQJCAAAAAkIAAAABvgAAAAkODIxMzQwMDMtN2MwOC00YjUzLTgwZTItYjk3ZjJiYmUxODU1AQf///9Y////AQAAAAYAAAABBv///1f///8CAAAAAQX///9W////AgAAAAAAAAAAAQT///9V////AAAAAAoBAAAAAAAAAAAGAAAAAAb9AAAAJGQ5Y2IzZDAxLWM1MGEtNDg3Zi1iMDU4LWI1ZWFmODVhNDdmZAkIAAAACgoKCgE8AAAANQAAAAn/AAAACQABAAAJAQEAAAYCAQAAN0F0bGFzTWFuYWdlZENvbHVtbl9kZmFmZDcxYi1hYzlkLTQxZjUtYTZhYy00MDMyNDM2YTRjOGMGAwEAAA5FbmRpbmcgT24taGFuZAkIAAAACQgAAAAGBQEAACRkYzYzYzQ4Ni0wNTliLTQ3YTUtYmZhZS0zNGM5MWJhZDUxODIB+v7//1j///8BAAAABwAAAAH5/v//V////wIAAAAB+P7//1b///8CAAAAAAAAAAAB9/7//1X///8AAAAACgEAAAAAAAAAAAcAAAAABgoBAAAkOGYxZjE1N2YtMDM2ZC00ZGYyLTk4NTAtMTc0ZGFlYzY2NzFmCQgAAAAKCgoKAXUAAAASAAAAB3Y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T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g0BAAAWVGFibGUuSW52ZW50U3VtLkl0ZW1JZAkOAQAAAfH+///0/v//BhABAAAZVGFibGUuSW52ZW50U3VtLlBvc3RlZFF0eQkRAQAAB3g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u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hMBAAAWVGFibGUuSW52ZW50U3VtLkl0ZW1JZAkUAQAAB3o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ev+///U////CTAAAAAJMQAAAAHo/v//1P///wkzAAAACTQAAAAEe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AAAAAhAAAAAgAAAAkbAQAAAwAAAAkcAQAABIE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h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sBAAAAAAAAAY0AAAApAAAAAAAAAAkfAQAAAAAAAASS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kwAAACIAAAABAAAACRIAAAADAAAACSE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Z8AAAApAAAAAAAAAAkj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k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fAAAACSUBAAAHAAAACSY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ScBAAAHAAAACSgBAAABrgAAAKAAAAAJKQEAAAEAAAABAAAAAa8AAAChAAAAlgAAAAkqAQAABwAAAAkr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kbAQAABwAAAAktAQAAAbwAAACgAAAACS4BAAABAAAAAQAAAAG9AAAAoQAAAJYAAAAJKgEAAAcAAAAJMAEAAAS+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GwEAAAcAAAAJMgEAAAHKAAAAoAAAAAkzAQAAAQAAAAEAAAABywAAAKEAAACiAAAACSUBAAAHAAAACTU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ScBAAAHAAAACTcBAAAB2AAAAKAAAAAJOAEAAAAAAAAAAAAAAdkAAAChAAAAkAAAAAkqAQAABwAAAAk6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kbAQAABwAAAAk8AQAAAeUAAACgAAAACTgBAAAAAAAAAAAAAAHmAAAAoQAAAI4AAAAJKgEAAAcAAAAJP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GwEAAAcAAAAJQQEAAAHyAAAAoAAAAAlCAQAAAAAAAAAAAAAB8wAAAKEAAAB9AAAACUMBAAAHAAAACUQBAAAE9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UUBAAAHAAAACUYBAAAB/wAAAKAAAAAJQgEAAAAAAAAAAAAAAQABAAChAAAAfQAAAAlDAQAABwAAAAlJAQAABA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lFAQAABwAAAAlLAQAABQ4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T+//9Y/////////wAGTQEAAAZTdHJpbmcGTgEAAAtJdGVtIG51bWJlcglPAQAAAbD+//9W////AgAAAAWv/v//OUdsb2JlU29mdHdhcmUuQXRsYXM0MC5BdGxhc0NvbW1vbi5OdW1iZXJTZXF1ZW5jZUNvbmRpdGlvbgEAAAAHdmFsdWVfXwAIAgAAAAEAAAAAAAZSAQAAD1RhYmxlLkludmVudFN1bQmjAAAACQgAAAAK/////wlSAQAACgmjAAAACgoKCQgAAAAJWAEAAAkIAAAAAREBAAAOAQAAAab+//9Y////AQAAAAAGWwEAAARSZWFsBlwBAAAPUG9zdGVkIHF1YW50aXR5CU8BAAABov7//1b///8CAAAAAaH+//+v/v//AQAAAAAACVIBAAAJzQAAAAkIAAAACv////8JUgEAAAoJzQAAAAoKCgkIAAAACWYBAAAJCAAAAAUU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aAEAAA9UYWJsZS5JbnZlbnRTdW0GaQEAAAZJdGVtSWQJCAAAAAZrAQAAASr/////CWgBAAAKCWkBAAAKCgoJCAAAAAlvAQAACQgAAAABGwEAABIAAAAHH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j/7///T+//8GcgEAADhUYWJsZS5JbnZlbnRTdW0uSW52ZW50RGltSWR+VGFibGUuSW52ZW50RGltLkludmVudFNpdGVJZAlzAQAAAYz+///0/v//BnUBAAA8VGFibGUuSW52ZW50U3VtLkludmVudERpbUlkflRhYmxlLkludmVudERpbS5JbnZlbnRMb2NhdGlvbklkCXYBAAABHwEAAHsAAAAHI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n+///u/v//BngBAAAxVGFibGUuSW52ZW50U3VtLkl0ZW1JZH5UYWJsZS5JbnZlbnRUYWJsZS5JdGVtVHlwZQl5AQAAASMBAAB7AAAAByQBAAAAAQAAAAQAAAAEN0dsb2JlU29mdHdhcmUuQXRsYXM0MC5BdGxhc0NvbW1vbi5UeXBlLkZpZWxkT3V0cHV0RmllbGQCAAAACQ4BAAANAwQl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h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E/v//Mkdsb2JlU29mdHdhcmUuQXRsYXM0MC5BdGxhc0NvbW1vbi5Db2x1bW5BdHRyaWJ1dGVzAQAAAAd2YWx1ZV9fAAgCAAAABgAAAAZ9AQAABVRvdGFsAYL+//+F/v//AYH+//+E/v//EAAAAAaAAQAABE5vbmUBf/7//4X+//8Bfv7//4T+//8JAAAACQgAAAABfP7//4X+//8Be/7//4T+//8LAAAABoYBAAABMAF5/v//hf7//wF4/v//hP7//wQAAAAGiQEAAAdHZW5lcmFsAXb+//+F/v//AXX+//+E/v//AgAAAAaMAQAAATEBc/7//4X+//8Bcv7//4T+//8AAAAABo8BAAAFMzEuMjkBJwEAABIAAAA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w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pEBAAAIRm9udEJvbGQGkgEAAAVGYWxzZQFt/v//cP7//waUAQAACkZvbnRJdGFsaWMJkgEAAAFq/v//cP7//waXAQAADUZvbnRVbmRlcmxpbmUGmAEAAAUtNDE0MgFn/v//cP7//waaAQAACEZvbnROYW1lBpsBAAAHQ2FsaWJyaQFk/v//cP7//wadAQAACUZvbnRDb2xvcgaeAQAAATABYf7//3D+//8GoAEAAAhGb250U2l6ZQahAQAAAjExAV7+//9w/v//BqMBAAAJRm9udFN0eWxlBqQBAAAHUmVndWxhcgcpAQAAAAEAAAAEAAAABDdHbG9iZVNvZnR3YXJlLkF0bGFzNDAuQXRsYXNDb21tb24uVHlwZS5GaWVsZE91dHB1dEZpZWxkAgAAAAlzAQAADQMBKgEAACUBAAAHK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+//+F/v//AVn+//+E/v//CQAAAAkIAAAAAVf+//+F/v//AVb+//+E/v//CwAAAAarAQAAATEBVP7//4X+//8BU/7//4T+//8EAAAABq4BAAAHR2VuZXJhbAFR/v//hf7//wFQ/v//hP7//wIAAAAGsQEAAAExAU7+//+F/v//AU3+//+E/v//AAAAAAa0AQAAATY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v//cP7//wmRAQAACZIBAAABSP7//3D+//8JlAEAAAmSAQAAAUX+//9w/v//CZcBAAAGvQEAAAUtNDE0MgFC/v//cP7//wmaAQAABsABAAAHQ2FsaWJyaQE//v//cP7//wmdAQAABsMBAAABMAE8/v//cP7//wmgAQAABsYBAAACMTEBOf7//3D+//8JowEAAAbJAQAAB1JlZ3VsYXIHLgEAAAABAAAABAAAAAQ3R2xvYmVTb2Z0d2FyZS5BdGxhczQwLkF0bGFzQ29tbW9uLlR5cGUuRmllbGRPdXRwdXRGaWVsZAIAAAAJdgEAAA0DBz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1/v//hf7//wE0/v//hP7//wkAAAAJCAAAAAEy/v//hf7//wEx/v//hP7//wsAAAAG0AEAAAEyAS/+//+F/v//AS7+//+E/v//BAAAAAbTAQAAB0dlbmVyYWwBLP7//4X+//8BK/7//4T+//8CAAAABtYBAAABMQEp/v//hf7//wEo/v//hP7//wAAAAAG2QEAAAUxMi44Ngc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b+//9w/v//CZEBAAAJkgEAAAEj/v//cP7//wmUAQAACZIBAAABIP7//3D+//8JlwEAAAbiAQAABS00MTQyAR3+//9w/v//CZoBAAAG5QEAAAdDYWxpYnJpARr+//9w/v//CZ0BAAAG6AEAAAEwARf+//9w/v//CaABAAAG6wEAAAIxMQEU/v//cP7//wmjAQAABu4BAAAHUmVndWxhcgczAQAAAAEAAAAEAAAABDdHbG9iZVNvZnR3YXJlLkF0bGFzNDAuQXRsYXNDb21tb24uVHlwZS5GaWVsZE91dHB1dEZpZWxkAgAAAAkRAQAADQMHN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D+//+F/v//AQ/+//+E/v//EAAAAAmAAQAAAQ3+//+F/v//AQz+//+E/v//CQAAAAkIAAAAAQr+//+F/v//AQn+//+E/v//CwAAAAb4AQAAATMBB/7//4X+//8BBv7//4T+//8EAAAABvsBAAAvXygqICMsIyMwLjAwXyk7XygqICgjLCMjMC4wMCk7XygqICItIj8/Xyk7XyhAXykBBP7//4X+//8BA/7//4T+//8CAAAABv4BAAABMQEB/v//hf7//wEA/v//hP7//wAAAAAGAQIAAAUxNi43MQH+/f//hf7//wH9/f//hP7//yQAAAAJzgAAAAc3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9//9w/v//CZEBAAAJkgEAAAH4/f//cP7//wmUAQAACZIBAAAB9f3//3D+//8JlwEAAAYNAgAABS00MTQyAfL9//9w/v//CZoBAAAGEAIAAAdDYWxpYnJpAe/9//9w/v//CZ0BAAAGEwIAAAEwAez9//9w/v//CaABAAAGFgIAAAIxMQHp/f//cP7//wmjAQAABhkCAAAHUmVndWxhcgc4AQAAAAEAAAAAAAAABDdHbG9iZVNvZnR3YXJlLkF0bGFzNDAuQXRsYXNDb21tb24uVHlwZS5GaWVsZE91dHB1dEZpZWxkAgAAAAc6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3//4X+//8B5f3//4T+//8kAAAACdwAAAAB4/3//4X+//8B4v3//4T+//8LAAAABh8CAAABNAHg/f//hf7//wHf/f//hP7//wQAAAAGIgIAAC9fKCogIywjIzAuMDBfKTtfKCogKCMsIyMwLjAwKTtfKCogIi0iPz9fKTtfKEBfKQHd/f//hf7//wHc/f//hP7//wIAAAAGJQIAAAExAdr9//+F/v//Adn9//+E/v//AAAAAAYoAgAABTE5Ljg2Adf9//+F/v//Adb9//+E/v//AwAAAAYrAgAAyQE9QXRsYXNCYWxhbmNlKCJQUk9EIixEYXRhQXJlYUlkLCJULkludmVudFRyYW5zfGludmVudERpbUlkfmludmVudERpbUlkQFQuSW52ZW50RGltIiwiU3VtfFF0eXwwIiwiIiwiIiwiIiwiIiwiIiwiIiwiRGF0ZUZpbmFuY2lhbHxJdGVtSWR8VDIuSW52ZW50U2l0ZUlkfFQyLkludmVudExvY2F0aW9uSWQiLFBlcmlvZEJlZ2lubmluZywkQTM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f//cP7//wYtAgAACEZvbnRCb2xkCZIBAAAB0f3//3D+//8GMAIAAApGb250SXRhbGljCZIBAAABzv3//3D+//8GMwIAAA1Gb250VW5kZXJsaW5lBjQCAAAFLTQxNDIBy/3//3D+//8GNgIAAAhGb250TmFtZQY3AgAAB0NhbGlicmkByP3//3D+//8GOQIAAAlGb250Q29sb3IGOgIAAAEwAcX9//9w/v//BjwCAAAIRm9udFNpemUGPQIAAAIxMQHC/f//cP7//wY/AgAACUZvbnRTdHlsZQZAAg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/9//+F/v//Ab79//+E/v//JAAAAAnpAAAAAbz9//+F/v//Abv9//+E/v//CwAAAAZGAgAAATUBuf3//4X+//8BuP3//4T+//8EAAAABkkCAAAvXygqICMsIyMwLjAwXyk7XygqICgjLCMjMC4wMCk7XygqICItIj8/Xyk7XyhAXykBtv3//4X+//8Btf3//4T+//8CAAAABkwCAAABMQGz/f//hf7//wGy/f//hP7//wAAAAAGTwIAAAUxNi44NgGw/f//hf7//wGv/f//hP7//wMAAAAGUgIAAMYBPUF0bGFzQmFsYW5jZSgiUFJPRCIsRGF0YUFyZWFJZCwiVC5JbnZlbnRUcmFuc3xpbnZlbnREaW1JZH5pbnZlbnREaW1JZEBULkludmVudERpbSIsIlN1bXxRdHl8MCIsIiIsIiIsIiIsIiIsIiIsIiIsIkRhdGVGaW5hbmNpYWx8SXRlbUlkfFQyLkludmVudFNpdGVJZHxUMi5JbnZlbnRMb2NhdGlvbklkIixQZXJpb2RFbmRpbmcsJEEzLCRCMywkQzMpB0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3//3D+//8JLQIAAAmSAQAAAar9//9w/v//CTACAAAJkgEAAAGn/f//cP7//wkzAgAABlsCAAAFLTQxNDIBpP3//3D+//8JNgIAAAZeAgAAB0NhbGlicmkBof3//3D+//8JOQIAAAZhAgAAATABnv3//3D+//8JPAIAAAZkAgAAAjExAZv9//9w/v//CT8CAAAGZwIAAAdSZWd1bGFyB0IBAAAAAQAAAAAAAAAEN0dsb2JlU29mdHdhcmUuQXRsYXM0MC5BdGxhc0NvbW1vbi5UeXBlLkZpZWxkT3V0cHV0RmllbGQCAAAAAUMBAAAlAQAAB0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/f//hf7//wGX/f//hP7//yQAAAAJ9gAAAAGV/f//hf7//wGU/f//hP7//wsAAAAGbQIAAAE2AZL9//+F/v//AZH9//+E/v//BAAAAAZwAgAAL18oKiAjLCMjMC4wMF8pO18oKiAoIywjIzAuMDApO18oKiAiLSI/P18pO18oQF8pAY/9//+F/v//AY79//+E/v//AgAAAAZzAgAAATEBjP3//4X+//8Bi/3//4T+//8AAAAABnYCAAAFMTkuODYBif3//4X+//8BiP3//4T+//8DAAAABnkCAAA2PVtAW0N1cnJlbnQgT24taGFuZF1dLVtAW1RyYW5zIGJhY2t3b3JkcyAoQmVnaW5uaW5nKV1dAUUBAAASAAAA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3D+//8GewIAAAhGb250Qm9sZAmSAQAAAYP9//9w/v//Bn4CAAAKRm9udEl0YWxpYwmSAQAAAYD9//9w/v//BoECAAANRm9udFVuZGVybGluZQaCAgAABS00MTQyAX39//9w/v//BoQCAAAIRm9udE5hbWUGhQIAAAdDYWxpYnJpAXr9//9w/v//BocCAAAJRm9udENvbG9yBogCAAABMAF3/f//cP7//waKAgAACEZvbnRTaXplBosCAAACMTEBdP3//3D+//8GjQIAAAlGb250U3R5bGUGjgIAAAdSZWd1bGFyB0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f//hf7//wFw/f//hP7//yQAAAAJAwEAAAFu/f//hf7//wFt/f//hP7//wsAAAAGlAIAAAE3AWv9//+F/v//AWr9//+E/v//BAAAAAaXAgAAL18oKiAjLCMjMC4wMF8pO18oKiAoIywjIzAuMDApO18oKiAiLSI/P18pO18oQF8pAWj9//+F/v//AWf9//+E/v//AgAAAAaaAgAAATEBZf3//4X+//8BZP3//4T+//8AAAAABp0CAAAFMTYuODYBYv3//4X+//8BYf3//4T+//8DAAAABqACAAAzPVtAW0N1cnJlbnQgT24taGFuZF1dLVtAW1RyYW5zIGJhY2t3b3JkcyAoRW5kaW5nKV1dB0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3//3D+//8JewIAAAmSAQAAAVz9//9w/v//CX4CAAAJkgEAAAFZ/f//cP7//wmBAgAABqkCAAAFLTQxNDIBVv3//3D+//8JhAIAAAasAgAAB0NhbGlicmkBU/3//3D+//8JhwIAAAavAgAAATABUP3//3D+//8JigIAAAayAgAAAjExAU39//9w/v//CY0CAAAGtQIAAAdSZWd1bGFyAU8BAAAOAAAArgAAAAa2AgAACUludmVudFN1bQa3AgAAEU9uLWhhbmQgaW52ZW50b3J5CQgAAAAJCAAAAAkIAAAAAUf9///g////AAAAAAm6AgAACbsCAAABRP3//93////hxyIP7XY2T46vgTZM2figCQgAAAAJCAAAAAm+AgAACVIBAAAKCgoKCgEAAAABQP3//9n///8AAAAAAT/9///Y////AAAAAAAJwgIAAAR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EAAAAJJwEAAAMAAAAJxAIAAAR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EAAAAJJwEAAAMAAAAJxgIAAAR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yAIAAAFzAQAADgEAAAE3/f//WP////////8ABsoCAAAGU3RyaW5nBssCAAAEU2l0ZQkxAAAAATP9//9W////AgAAAAEy/f//r/7//wEAAAAAAAkwAAAACbEAAAAJCAAAAAr/////CTAAAAAKCbEAAAAG1AIAAAtJbnZlbnREaW1JZAbVAgAACUludmVudFN1bQoJCAAAAAnXAgAACQgAAAABdgEAAA4BAAABJ/3//1j/////////AAbaAgAABlN0cmluZwbbAgAACVdhcmVob3VzZQkxAAAAASP9//9W////AgAAAAEi/f//r/7//wEAAAAAAAkwAAAACb8AAAAJCAAAAAr/////CTAAAAAKCb8AAAAG5AIAAAtJbnZlbnREaW1JZAblAgAACUludmVudFN1bQoJCAAAAAnnAgAACQgAAAABeQEAABQBAAAJMwAAAAbqAgAACEl0ZW1UeXBlCQgAAAAG7AIAAAghU2VydmljZf////8JMwAAAAoJ6gIAAAbvAgAABkl0ZW1JZAoKCQgAAAAJ8QIAAAkIAAAAAboCAAAhAAAACQAAAAnzAgAAEQAAAAn0AgAABLs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wIAAAAAAAAEv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MCAAAAAAAAAcICAAApAAAAAAAAAAn2AgAAAAAAAAfE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n9//9w/v//BvgCAAAISGVscFRleHQG+QIAAA5JZGVudGlmeSBpdGVtLgEG/f//cP7//wb7AgAABUxhYmVsCU4BAAABA/3//3D+//8G/gIAAARUeXBlCU0BAAAHx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cP7//wn4AgAABgIDAAAcRmluYW5jaWFsbHkgZW50ZXJlZCBxdWFudGl0eQH9/P//cP7//wn7AgAACVwBAAAB+vz//3D+//8J/gIAAAlbAQAAB8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/z//3D+//8GCgMAAARUeXBlCU0BAAAB9Pz//3D+//8GDQMAAAVMYWJlbAlOAQAAAfH8//9w/v//BhADAAAIUmVmZXJzVG8GEQMAAAs9SXRlbU51bWJlcg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gAAAAJGwEAAAMAAAAJEwMAAAT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gAAAAJGwEAAAMAAAAJFQM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FwMAAAHzAgAAEgAAAAf0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o/P//9P7//wYZAwAAFlRhYmxlLkludmVudFN1bS5JdGVtSWQJDgEAAAHl/P//9P7//wYcAwAAG1RhYmxlLkludmVudFN1bS5Qb3N0ZWRWYWx1ZQkdAwAAAeL8///0/v//Bh8DAAAZVGFibGUuSW52ZW50U3VtLlBvc3RlZFF0eQkRAQAAAd/8///0/v//BiIDAAAYVGFibGUuSW52ZW50U3VtLkRlZHVjdGVkCSMDAAAB3Pz///T+//8GJQMAABhUYWJsZS5JbnZlbnRTdW0uUmVjZWl2ZWQJJgMAAAHZ/P//9P7//wYoAwAAHVRhYmxlLkludmVudFN1bS5SZXNlcnZPcmRlcmVkCSkDAAAB1vz///T+//8GKwMAAB5UYWJsZS5JbnZlbnRTdW0uUmVzZXJ2UGh5c2ljYWwJLAMAAAHT/P//9P7//wYuAwAAF1RhYmxlLkludmVudFN1bS5Pbk9yZGVyCS8DAAAB0Pz///T+//8GMQMAABdUYWJsZS5JbnZlbnRTdW0uT3JkZXJlZAkyAwAAAfYCAAB7AAAABx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3D+//8GNAMAAAVMYWJlbAnLAgAAAcr8//9w/v//BjcDAAAEVHlwZQnKAgAABx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z//3D+//8JNAMAAAnbAgAAAcT8//9w/v//CTcDAAAJ2g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8//9w/v//CQoDAAAGQQMAAARFbnVtAb78//9w/v//CQ0DAAAGRAMAAAlJdGVtIHR5cGUBu/z//3D+//8JEAMAAAZHAwAACT1JdGVtVHlwZQEdAwAADgEAAAG4/P//WP////////8ABkkDAAAEUmVhbAZKAwAAFUZpbmFuY2lhbCBjb3N0IGFtb3VudAlPAQAAAbT8//9W////AgAAAAGz/P//r/7//wEAAAAAAAlSAQAABk8DAAALUG9zdGVkVmFsdWUJCAAAAAr/////CVIBAAAKCU8DAAAKCgoJCAAAAAlUAwAACQgAAAABIwMAAA4BAAABqvz//1j/////////AAZXAwAABFJlYWwGWAMAAAhEZWR1Y3RlZAlPAQAAAab8//9W////AgAAAAGl/P//r/7//wEAAAAAAAlSAQAABl0DAAAIRGVkdWN0ZWQJCAAAAAr/////CVIBAAAKCV0DAAAKCgoJCAAAAAliAwAACQgAAAABJgMAAA4BAAABnPz//1j/////////AAZlAwAABFJlYWwGZgMAAAhSZWNlaXZlZAlPAQAAAZj8//9W////AgAAAAGX/P//r/7//wEAAAAAAAlSAQAABmsDAAAIUmVjZWl2ZWQJCAAAAAr/////CVIBAAAKCWsDAAAKCgoJCAAAAAlwAwAACQgAAAABKQMAAA4BAAABjvz//1j/////////AAZzAwAABFJlYWwGdAMAABBPcmRlcmVkIHJlc2VydmVkCU8BAAABivz//1b///8CAAAAAYn8//+v/v//AQAAAAAACVIBAAAGeQMAAA1SZXNlcnZPcmRlcmVkCQgAAAAK/////wlSAQAACgl5AwAACgoKCQgAAAAJfgMAAAkIAAAAASwDAAAOAQAAAYD8//9Y/////////wAGgQMAAARSZWFsBoIDAAARUGh5c2ljYWwgcmVzZXJ2ZWQJTwEAAAF8/P//Vv///wIAAAABe/z//6/+//8BAAAAAAAJUgEAAAaHAwAADlJlc2VydlBoeXNpY2FsCQgAAAAK/////wlSAQAACgmHAwAACgoKCQgAAAAJjAMAAAkIAAAAAS8DAAAOAQAAAXL8//9Y/////////wAGjwMAAARSZWFsBpADAAAIT24gb3JkZXIJTwEAAAFu/P//Vv///wIAAAABbfz//6/+//8BAAAAAAAJUgEAAAaVAwAAB09uT3JkZXIJCAAAAAr/////CVIBAAAKCZUDAAAKCgoJCAAAAAmaAwAACQgAAAABMgMAAA4BAAABZPz//1j/////////AAadAwAABFJlYWwGngMAAAdPcmRlcmVkCU8BAAABYPz//1b///8CAAAAAV/8//+v/v//AQAAAAAACVIBAAAGowMAAAdPcmRlcmVkCQgAAAAK/////wlSAQAACgmjAwAACgoKCQgAAAAJqAMAAAkIAAAABFQ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rAwAABGI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tAwAABH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vAwAABH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xAwAABI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zAwAABJo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1AwAABKg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3AwAAB6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z//3D+//8J+AIAAAa6AwAANUludmVudG9yeSB2YWx1ZSBmb3IgdGhlIGZpbmFuY2lhbGx5IHVwZGF0ZWQgcXVhbnRpdHkuAUX8//9w/v//CfsCAAAJSgMAAAFC/P//cP7//wn+AgAACUkDAAAHr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P//cP7//wn4AgAABsMDAAA7UXVhbnRpdHkgdGhhdCBoYXMgYmVlbiBwaHlzaWNhbGx5IGRlZHVjdGVkLCBidXQgbm90IHBvc3RlZC4BPPz//3D+//8J+wIAAAlYAwAAATn8//9w/v//Cf4CAAAJVwMAAAev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8//9w/v//CfgCAAAGzAMAACpQaHlzaWNhbCBxdWFudGl0eSByZWNlaXZlZCwgYnV0IG5vdCBwb3N0ZWQBM/z//3D+//8J+wIAAAlmAwAAATD8//9w/v//Cf4CAAAJZQMAAAe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38//9w/v//CfgCAAAG1QMAACVRdWFudGl0eSByZXNlcnZlZCBvbiBxdWFudGl0eSBvcmRlcmVkASr8//9w/v//CfsCAAAJdAMAAAEn/P//cP7//wn+AgAACXMDAAAHs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cP7//wn4AgAABt4DAAAqUXVhbnRpdHkgcmVzZXJ2ZWQgb2YgdGhlIHBoeXNpY2FsIHF1YW50aXR5ASH8//9w/v//CfsCAAAJggMAAAEe/P//cP7//wn+AgAACYEDAAAHt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P//cP7//wn4AgAABucDAAARUXVhbnRpdHkgb24gb3JkZXIBGPz//3D+//8J+wIAAAmQAwAAARX8//9w/v//Cf4CAAAJjwMAAAe3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8//9w/v//CfgCAAAG8AMAABBRdWFudGl0eSBvcmRlcmVkAQ/8//9w/v//CfsCAAAJngMAAAEM/P//cP7//wn+AgAACZ0DAAAL
    <Output>
      <OutputObject name="AtlasReport_3"/>
    </Output>
  </Query>
</Atlas>
</file>

<file path=customXml/item6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N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RjYmUwNTllMS01NjgzLTQ2MTMtYjM4Ny1hZDY4NDllM2UyY2Y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ZhNmQ3OTg2LTk5ZjctNDRkYy04OWI0LTc2NGNkMDNkYzZjNAYtAAAAFlRhYmxlLkludmVudFN1bS5JdGVtSWQKCgoKARUAAAAUAAAACS4AAAAJLwAAAAkwAAAABjEAAAAMSW52ZW50U2l0ZUlkBjIAAAAEU2l0ZQYzAAAABlN0cmluZwkmAAAABjUAAAAkNDk1Njk2MTYtY2MyZC00ZTIyLThlMDQtYjM5MTU3ZDBmYzQ3Acr////Y/////////wEAAAAByf///9f///8AAAAAAcj////W////AgAAAAAAAAAAAcf////V////AAAAAAoBAAAAAAAAAAABAAAAAAY6AAAAJDE3M2MwY2IwLTE1MWItNGJhNS04ZWU1LTdlMGFjMzBmOTY2NAY7AAAAOFRhYmxlLkludmVudFN1bS5JbnZlbnREaW1JZH5UYWJsZS5JbnZlbnREaW0uSW52ZW50U2l0ZUlkCgoKCgEWAAAAFAAAAAk8AAAACT0AAAAJPgAAAAY/AAAAEEludmVudExvY2F0aW9uSWQGQAAAAAlXYXJlaG91c2UGQQAAAAZTdHJpbmcJJgAAAAZDAAAAJDU4YTRjMmYzLWYzMWMtNDY3MC1hOTZhLWM1YWE0M2YwMmNmMgG8////2P////////8CAAAAAbv////X////AAAAAAG6////1v///wIAAAAAAAAAAAG5////1f///wAAAAAKAQAAAAAAAAAAAgAAAAAGSAAAACRkMDE2MzRlYi03ZjMxLTQwMzktYjc1My1jYWZiZDBkMTc4MzUGSQAAADxUYWJsZS5JbnZlbnRTdW0uSW52ZW50RGltSWR+VGFibGUuSW52ZW50RGltLkludmVudExvY2F0aW9uSWQKCgoKARcAAAAUAAAACUoAAAAJSwAAAAlMAAAABk0AAAAJUG9zdGVkUXR5Bk4AAAAPQ3VycmVudCBPbi1oYW5kBk8AAAAEUmVhbAkmAAAABlEAAAAkMjk2ODdhODUtMzdiYy00OTA2LThiOTktNjI4Mzc4N2VhMGU3Aa7////Y////AQAAAAMAAAABrf///9f///8AAAAAAaz////W////AgAAAAAAAAAAAav////V////AAAAAAoBAAAAAAAAAAADAAAAAAZWAAAAJDgyODliZTYxLTUzZDItNDY4My1hYjRjLWFkZTZkNzhkNTdkZgZXAAAAGVRhYmxlLkludmVudFN1bS5Qb3N0ZWRRdHkKCgoKARgAAAAUAAAACVgAAAAJWQAAAAlaAAAABlsAAAA3QXRsYXNNYW5hZ2VkQ29sdW1uX2M5NTk1NDRmLTBkNzQtNGM3MS1iZDc4LWIxNWM4ZmYyMjI1OQZcAAAAG1RyYW5zIGJhY2t3b3JkcyAoQmVnaW5uaW5nKQkmAAAACSYAAAAGXgAAACQ4NjY3ZGQ0OC00YjZmLTQyZDgtOWJiYy1iMDIwNDIzZmM1MzEBof///9j///8BAAAABAAAAAGg////1////wIAAAABn////9b///8CAAAAAAAAAAABnv///9X///8AAAAACgEAAAAAAAAAAAQAAAAABmMAAAAkZTBjZWNjNGUtNzFlOS00ODNkLTlkODAtY2QxYzdhMTBiNmJlCSYAAAAKCgoKARkAAAAUAAAACWUAAAAJZgAAAAlnAAAABmgAAAA3QXRsYXNNYW5hZ2VkQ29sdW1uXzFiZGVlNDNkLWM2MmItNGRhOC05MzA2LWE2MmZhOWQzZWJlOQZpAAAAGFRyYW5zIGJhY2t3b3JkcyAoRW5kaW5nKQkmAAAACSYAAAAGawAAACQ1MGEzNjVkMi02ZWIzLTQzZTQtOTA1NC0xZDg5ZWM2YzUxZjQBlP///9j///8BAAAABQAAAAGT////1////wIAAAABkv///9b///8CAAAAAAAAAAABkf///9X///8AAAAACgEAAAAAAAAAAAUAAAAABnAAAAAkNDE3ZTkzYmMtYTAyMy00MDA2LTg4MjUtMGE4ZjhmMTgxZDFiCSYAAAAKCgoKARoAAAAUAAAACXIAAAAJcwAAAAl0AAAABnUAAAA3QXRsYXNNYW5hZ2VkQ29sdW1uXzVmZDA3MmJkLTI5OGUtNGQ2My1iZmJhLWE4NzJkOTg5M2IyZgZ2AAAAEUJlZ2lubmluZyBPbi1oYW5kCSYAAAAJJgAAAAZ4AAAAJDgyMTM0MDAzLTdjMDgtNGI1My04MGUyLWI5N2YyYmJlMTg1NQGH////2P///wEAAAAGAAAAAYb////X////AgAAAAGF////1v///wIAAAAAAAAAAAGE////1f///wAAAAAKAQAAAAAAAAAABgAAAAAGfQAAACRkOWNiM2QwMS1jNTBhLTQ4N2YtYjA1OC1iNWVhZjg1YTQ3ZmQJJgAAAAoKCgoBGwAAABQAAAAJfwAAAAmAAAAACYEAAAAGggAAADdBdGxhc01hbmFnZWRDb2x1bW5fZGZhZmQ3MWItYWM5ZC00MWY1LWE2YWMtNDAzMjQzNmE0YzhjBoMAAAAORW5kaW5nIE9uLWhhbmQJJgAAAAkmAAAABoUAAAAkZGM2M2M0ODYtMDU5Yi00N2E1LWJmYWUtMzRjOTFiYWQ1MTgyAXr////Y////AQAAAAcAAAABef///9f///8CAAAAAXj////W////AgAAAAAAAAAAAXf////V////AAAAAAoBAAAAAAAAAAAHAAAAAAaKAAAAJDhmMWYxNTdmLTAzNmQtNGRmMi05ODUwLTE3NGRhZWM2NjcxZgkmAAAACgoKCgUeAAAAOEdsb2JlU29mdHdhcmUuQXRsYXM0MC5BdGxhc0NvbW1vbkNsaWVudC5SZXBvcnQuUmVmZXJlbmNlAQAAAApfcmVmZXJlbmNlBwgcAAAACYwAAAAHHwAAAAABAAAABAAAAAQ8R2xvYmVTb2Z0d2FyZS5BdGxhczQwLkF0bGFzQ29tbW9uQ2xpZW50LkRhdGFTb3VyY2VGaWVsZFZhbHVlHAAAAAmNAAAACY4AAAAJjwAAAAo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kA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nwAAAAmRAAAABwAAAAmS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mTAAAABwAAAAmUAAAAAS4AAAAgAAAACZUAAAABAAAAAQAAAAEvAAAAIQAAAJYAAAAJlgAAAAcAAAAJlwAAAAEwAAAAIgAAAJMAAAAJmAAAAAcAAAAJmQAAAAE8AAAAIAAAAAmaAAAAAQAAAAEAAAABPQAAACEAAACWAAAACZYAAAAHAAAACZwAAAABPgAAACIAAACTAAAACZgAAAAHAAAACZ4AAAABSgAAACAAAAAJnwAAAAEAAAABAAAAAUsAAAAhAAAAogAAAAmRAAAABwAAAAmhAAAAAUwAAAAiAAAAmgAAAAmTAAAABwAAAAmjAAAAAVgAAAAgAAAACaQAAAAAAAAAAAAAAAFZAAAAIQAAAJAAAAAJlgAAAAcAAAAJpgAAAAFaAAAAIgAAAIUAAAAJmAAAAAcAAAAJqAAAAAFlAAAAIAAAAAmkAAAAAAAAAAAAAAABZgAAACEAAACOAAAACZYAAAAHAAAACasAAAABZwAAACIAAACFAAAACZgAAAAHAAAACa0AAAABcgAAACAAAAAJrgAAAAAAAAAAAAAAAXMAAAAhAAAAfQAAAAmvAAAABwAAAAmwAAAAAXQAAAAiAAAAdwAAAAmxAAAABwAAAAmyAAAAAX8AAAAgAAAACa4AAAAAAAAAAAAAAAGAAAAAIQAAAH0AAAAJrwAAAAcAAAAJtQAAAAGBAAAAIgAAAHcAAAAJsQAAAAcAAAAJtwAAAA+MAAAAAQAAAAgBAAAABY0AAAA8R2xvYmVTb2Z0d2FyZS5BdGxhczQwLkF0bGFzQ29tbW9uQ2xpZW50LkRhdGFTb3VyY2VGaWVsZFZhbHVlBAAAABJfaXNEcmlsbERvd25GaWx0ZXIGX2RzS2V5Cl9maWVsZG5hbWULX2ZpZWxkVmFsdWUAAQEBARwAAAAABrgAAAAPVGFibGUuSW52ZW50U3VtBrkAAAAKRGF0YUFyZWFJZAkGAAAAAY4AAACNAAAAAAm4AAAABrwAAAAGSXRlbUlkBr0AAAABKgGPAAAAjQAAAAAGvgAAAChUYWJsZS5JbnZlbnRTdW0uSXRlbUlkflRhYmxlLkludmVudFRhYmxlBr8AAAAISXRlbVR5cGUGwAAAAAghU2VydmljZQeQAAAAAAEAAAAEAAAABDdHbG9iZVNvZnR3YXJlLkF0bGFzNDAuQXRsYXNDb21tb24uVHlwZS5GaWVsZE91dHB1dEZpZWxkDgAAAAnBAAAADQMEk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k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7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Pf///zJHbG9iZVNvZnR3YXJlLkF0bGFzNDAuQXRsYXNDb21tb24uQ29sdW1uQXR0cmlidXRlcwEAAAAHdmFsdWVfXwAIDgAAAAYAAAAGxAAAAAVUb3RhbAE7////Pv///wE6////Pf///xAAAAAGxwAAAAROb25lATj///8+////ATf///89////CQAAAAkmAAAAATX///8+////ATT///89////CwAAAAbNAAAAATABMv///z7///8BMf///z3///8EAAAABtAAAAAHR2VuZXJhbAEv////Pv///wEu////Pf///wIAAAAG0wAAAAExASz///8+////ASv///89////AAAAAAbWAAAABTMxLjI5AZMAAAAMAAAAB5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K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YAAAACEZvbnRCb2xkBtkAAAAFRmFsc2UBJv///yn///8G2wAAAApGb250SXRhbGljCdkAAAABI////yn///8G3gAAAA1Gb250VW5kZXJsaW5lBt8AAAAFLTQxNDIBIP///yn///8G4QAAAAhGb250TmFtZQbiAAAAB0NhbGlicmkBHf///yn///8G5AAAAAlGb250Q29sb3IG5QAAAAEwARr///8p////BucAAAAIRm9udFNpemUG6AAAAAIxMQEX////Kf///wbqAAAACUZvbnRTdHlsZQbrAAAAB1JlZ3VsYXIHlQAAAAABAAAABAAAAAQ3R2xvYmVTb2Z0d2FyZS5BdGxhczQwLkF0bGFzQ29tbW9uLlR5cGUuRmllbGRPdXRwdXRGaWVsZA4AAAAJ7AAAAA0DAZYAAACRAAAAB5c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///Pv///wES////Pf///wkAAAAJJgAAAAEQ////Pv///wEP////Pf///wsAAAAG8gAAAAExAQ3///8+////AQz///89////BAAAAAb1AAAAB0dlbmVyYWwBCv///z7///8BCf///z3///8CAAAABvgAAAABMQEH////Pv///wEG////Pf///wAAAAAG+wAAAAE2AZgAAAAMAAAAB5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///yn///8J2AAAAAnZAAAAAQH///8p////CdsAAAAJ2QAAAAH+/v//Kf///wneAAAABgQBAAAFLTQxNDIB+/7//yn///8J4QAAAAYHAQAAB0NhbGlicmkB+P7//yn///8J5AAAAAYKAQAAATAB9f7//yn///8J5wAAAAYNAQAAAjExAfL+//8p////CeoAAAAGEAEAAAdSZWd1bGFyB5oAAAAAAQAAAAQAAAAEN0dsb2JlU29mdHdhcmUuQXRsYXM0MC5BdGxhc0NvbW1vbi5UeXBlLkZpZWxkT3V0cHV0RmllbGQOAAAACREBAAANAwec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v7//z7///8B7f7//z3///8JAAAACSYAAAAB6/7//z7///8B6v7//z3///8LAAAABhcBAAABMgHo/v//Pv///wHn/v//Pf///wQAAAAGGgEAAAdHZW5lcmFsAeX+//8+////AeT+//89////AgAAAAYdAQAAATEB4v7//z7///8B4f7//z3///8AAAAABiABAAAFMTIuODYHn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v//Kf///wnYAAAACdkAAAAB3P7//yn///8J2wAAAAnZAAAAAdn+//8p////Cd4AAAAGKQEAAAUtNDE0MgHW/v//Kf///wnhAAAABiwBAAAHQ2FsaWJyaQHT/v//Kf///wnkAAAABi8BAAABMAHQ/v//Kf///wnnAAAABjIBAAACMTEBzf7//yn///8J6gAAAAY1AQAAB1JlZ3VsYXIHnwAAAAABAAAABAAAAAQ3R2xvYmVTb2Z0d2FyZS5BdGxhczQwLkF0bGFzQ29tbW9uLlR5cGUuRmllbGRPdXRwdXRGaWVsZA4AAAAJNgEAAA0DB6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v//Pv///wHI/v//Pf///xAAAAAJxwAAAAHG/v//Pv///wHF/v//Pf///wkAAAAJJgAAAAHD/v//Pv///wHC/v//Pf///wsAAAAGPwEAAAEzAcD+//8+////Ab/+//89////BAAAAAZCAQAAL18oKiAjLCMjMC4wMF8pO18oKiAoIywjIzAuMDApO18oKiAiLSI/P18pO18oQF8pAb3+//8+////Abz+//89////AgAAAAZFAQAAATEBuv7//z7///8Buf7//z3///8AAAAABkgBAAAFMTYuNzEBt/7//z7///8Btv7//z3///8kAAAACU4AAAA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v//Kf///wnYAAAACdkAAAABsf7//yn///8J2wAAAAnZAAAAAa7+//8p////Cd4AAAAGVAEAAAUtNDE0MgGr/v//Kf///wnhAAAABlcBAAAHQ2FsaWJyaQGo/v//Kf///wnkAAAABloBAAABMAGl/v//Kf///wnnAAAABl0BAAACMTEBov7//yn///8J6gAAAAZgAQAAB1JlZ3VsYXIHpAAAAAABAAAAAAAAAAQ3R2xvYmVTb2Z0d2FyZS5BdGxhczQwLkF0bGFzQ29tbW9uLlR5cGUuRmllbGRPdXRwdXRGaWVsZA4AAAAHp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/+//8+////AZ7+//89////JAAAAAlcAAAAAZz+//8+////AZv+//89////CwAAAAZmAQAAATQBmf7//z7///8BmP7//z3///8EAAAABmkBAAAvXygqICMsIyMwLjAwXyk7XygqICgjLCMjMC4wMCk7XygqICItIj8/Xyk7XyhAXykBlv7//z7///8Blf7//z3///8CAAAABmwBAAABMQGT/v//Pv///wGS/v//Pf///wAAAAAGbwEAAAUxOS44NgGQ/v//Pv///wGP/v//Pf///wMAAAAGcgEAAMkBPUF0bGFzQmFsYW5jZSgiUFJPRCIsRGF0YUFyZWFJZCwiVC5JbnZlbnRUcmFuc3xpbnZlbnREaW1JZH5pbnZlbnREaW1JZEBULkludmVudERpbSIsIlN1bXxRdHl8MCIsIiIsIiIsIiIsIiIsIiIsIiIsIkRhdGVGaW5hbmNpYWx8SXRlbUlkfFQyLkludmVudFNpdGVJZHxUMi5JbnZlbnRMb2NhdGlvbklkIixQZXJpb2RCZWdpbm5pbmcsJEEzLCRCMywkQzMpB6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7//yn///8GdAEAAAhGb250Qm9sZAnZAAAAAYr+//8p////BncBAAAKRm9udEl0YWxpYwnZAAAAAYf+//8p////BnoBAAANRm9udFVuZGVybGluZQZ7AQAABS00MTQyAYT+//8p////Bn0BAAAIRm9udE5hbWUGfgEAAAdDYWxpYnJpAYH+//8p////BoABAAAJRm9udENvbG9yBoEBAAABMAF+/v//Kf///waDAQAACEZvbnRTaXplBoQBAAACMTEBe/7//yn///8GhgEAAAlGb250U3R5bGUGhwEAAAdSZWd1bGFyB6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4/v//Pv///wF3/v//Pf///yQAAAAJaQAAAAF1/v//Pv///wF0/v//Pf///wsAAAAGjQEAAAE1AXL+//8+////AXH+//89////BAAAAAaQAQAAL18oKiAjLCMjMC4wMF8pO18oKiAoIywjIzAuMDApO18oKiAiLSI/P18pO18oQF8pAW/+//8+////AW7+//89////AgAAAAaTAQAAATEBbP7//z7///8Ba/7//z3///8AAAAABpYBAAAFMTYuODYBaf7//z7///8BaP7//z3///8DAAAABpkBAADGAT1BdGxhc0JhbGFuY2UoIlBST0QiLERhdGFBcmVhSWQsIlQuSW52ZW50VHJhbnN8aW52ZW50RGltSWR+aW52ZW50RGltSWRAVC5JbnZlbnREaW0iLCJTdW18UXR5fDAiLCIiLCIiLCIiLCIiLCIiLCIiLCJEYXRlRmluYW5jaWFsfEl0ZW1JZHxUMi5JbnZlbnRTaXRlSWR8VDIuSW52ZW50TG9jYXRpb25JZCIsUGVyaW9kRW5kaW5nLCRBMywkQjMsJEMzK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b+//8p////CXQBAAAJ2QAAAAFj/v//Kf///wl3AQAACdkAAAABYP7//yn///8JegEAAAaiAQAABS00MTQyAV3+//8p////CX0BAAAGpQEAAAdDYWxpYnJpAVr+//8p////CYABAAAGqAEAAAEwAVf+//8p////CYMBAAAGqwEAAAIxMQFU/v//Kf///wmGAQAABq4BAAAHUmVndWxhcgeuAAAAAAEAAAAAAAAABDdHbG9iZVNvZnR3YXJlLkF0bGFzNDAuQXRsYXNDb21tb24uVHlwZS5GaWVsZE91dHB1dEZpZWxkDgAAAAGvAAAAkQAAAAe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f7//z7///8BUP7//z3///8kAAAACXYAAAABTv7//z7///8BTf7//z3///8LAAAABrQBAAABNgFL/v//Pv///wFK/v//Pf///wQAAAAGtwEAAC9fKCogIywjIzAuMDBfKTtfKCogKCMsIyMwLjAwKTtfKCogIi0iPz9fKTtfKEBfKQFI/v//Pv///wFH/v//Pf///wIAAAAGugEAAAExAUX+//8+////AUT+//89////AAAAAAa9AQAABTE5Ljg2AUL+//8+////AUH+//89////AwAAAAbAAQAANj1bQFtDdXJyZW50IE9uLWhhbmRdXS1bQFtUcmFucyBiYWNrd29yZHMgKEJlZ2lubmluZyldXQGxAAAADAAAAAey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+//8p////BsIBAAAIRm9udEJvbGQJ2QAAAAE8/v//Kf///wbFAQAACkZvbnRJdGFsaWMJ2QAAAAE5/v//Kf///wbIAQAADUZvbnRVbmRlcmxpbmUGyQEAAAUtNDE0MgE2/v//Kf///wbLAQAACEZvbnROYW1lBswBAAAHQ2FsaWJyaQEz/v//Kf///wbOAQAACUZvbnRDb2xvcgbPAQAAATABMP7//yn///8G0QEAAAhGb250U2l6ZQbSAQAAAjExAS3+//8p////BtQBAAAJRm9udFN0eWxlBtUBAAAHUmVndWxhcg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v7//z7///8BKf7//z3///8kAAAACYMAAAABJ/7//z7///8BJv7//z3///8LAAAABtsBAAABNwEk/v//Pv///wEj/v//Pf///wQAAAAG3gEAAC9fKCogIywjIzAuMDBfKTtfKCogKCMsIyMwLjAwKTtfKCogIi0iPz9fKTtfKEBfKQEh/v//Pv///wEg/v//Pf///wIAAAAG4QEAAAExAR7+//8+////AR3+//89////AAAAAAbkAQAABTE2Ljg2ARv+//8+////ARr+//89////AwAAAAbnAQAAMz1bQFtDdXJyZW50IE9uLWhhbmRdXS1bQFtUcmFucyBiYWNrd29yZHMgKEVuZGluZyldXQe3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j+//8p////CcIBAAAJ2QAAAAEV/v//Kf///wnFAQAACdkAAAABEv7//yn///8JyAEAAAbwAQAABS00MTQyAQ/+//8p////CcsBAAAG8wEAAAdDYWxpYnJpAQz+//8p////Cc4BAAAG9gEAAAEwAQn+//8p////CdEBAAAG+QEAAAIxMQEG/v//Kf///wnUAQAABvwBAAAHUmVndWxhcgXB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D/v//2P////////8ABv4BAAAGU3RyaW5nBv8BAAALSXRlbSBudW1iZXIJAAIAAAH//f//1v///wIAAAAF/v3//zlHbG9iZVNvZnR3YXJlLkF0bGFzNDAuQXRsYXNDb21tb24uTnVtYmVyU2VxdWVuY2VDb25kaXRpb24BAAAAB3ZhbHVlX18ACA4AAAABAAAAAAAGAwIAAA9UYWJsZS5JbnZlbnRTdW0JIwAAAAkmAAAACv////8JAwIAAAoJIwAAAAoKCgkmAAAACQkCAAAJJgAAAAHsAAAAwQAAAAH1/f//2P////////8ABgwCAAAGU3RyaW5nBg0CAAAEU2l0ZQkOAgAAAfH9///W////AgAAAAHw/f///v3//wEAAAAAAAYRAgAAK1RhYmxlLkludmVudFN1bS5JbnZlbnREaW1JZH5UYWJsZS5JbnZlbnREaW0JMQAAAAkmAAAACv////8JEQIAAAoJMQAAAAYWAgAAC0ludmVudERpbUlkBhcCAAAJSW52ZW50U3VtCgkmAAAACRkCAAAJJgAAAAERAQAAwQAAAAHl/f//2P////////8ABhwCAAAGU3RyaW5nBh0CAAAJV2FyZWhvdXNlCQ4CAAAB4f3//9b///8CAAAAAeD9///+/f//AQAAAAAACRECAAAJPwAAAAkmAAAACv////8JEQIAAAoJPwAAAAYmAgAAC0ludmVudERpbUlkBicCAAAJSW52ZW50U3VtCgkmAAAACSkCAAAJJgAAAAE2AQAAwQAAAAHV/f//2P///wEAAAAABiwCAAAEUmVhbAYtAgAAD1Bvc3RlZCBxdWFudGl0eQkAAgAAAdH9///W////AgAAAAHQ/f///v3//wEAAAAAAAkDAgAACU0AAAAJJgAAAAr/////CQMCAAAKCU0AAAAKCgoJJgAAAAk3AgAACSYAAAAFAA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gAAAAY5AgAACUludmVudFN1bQY6AgAAEU9uLWhhbmQgaW52ZW50b3J5CSYAAAAJJgAAAAkmAAAABcT9//8wR2xvYmVTb2Z0d2FyZS5BdGxhczQwLkF0bGFzQ29tbW9uLkRhdGFTb3VyY2VUeXBlAQAAAAd2YWx1ZV9fAAgOAAAAAAAAAAk9AgAACT4CAAAEwf3//wtTeXN0ZW0uR3VpZAsAAAACX2ECX2ICX2MCX2QCX2UCX2YCX2cCX2gCX2kCX2oCX2sAAAAAAAAAAAAAAAgHBwICAgICAgIC4cciD+12Nk+Or4E2TNn4oAkmAAAACSYAAAAJQQIAAAkDAgAACgoKCgoBAAAABb39//80R2xvYmVTb2Z0d2FyZS5BdGxhczQwLkF0bGFzQ29tbW9uLkRhdGFTb3VyY2VKb2luTW9kZQEAAAAHdmFsdWVfXwAIDgAAAAAAAAAFvP3//zVHbG9iZVNvZnR3YXJlLkF0bGFzNDAuQXRsYXNDb21tb24uRGF0YVNvdXJjZUZldGNoTW9kZQEAAAAHdmFsdWVfXwAIDgAAAAAAAAAACUUCAAABCQIAACIAAABRAAAACZMAAAADAAAACUcCAAABDgIAAAACAAD/////BkgCAAAJSW52ZW50RGltBkkCAAAUSW52ZW50b3J5IGRpbWVuc2lvbnMJJgAAAAkmAAAACSYAAAABtf3//8T9//8AAAAACUwCAAAJTQIAAAGy/f//wf3//091ITy7lAdBlBGA1lNM4moJJgAAAAkmAAAACVACAAAJEQIAAAZSAgAACUludmVudFN1bQZTAgAAD1RhYmxlLkludmVudFN1bQZUAgAAG1RhYmxlLkludmVudFN1bS5JbnZlbnREaW1JZAZVAgAAC0ludmVudERpbUlkBlYCAAALaW52ZW50RGltSWQBAAAAAan9//+9/f//AAAAAAGo/f//vP3//wAAAAAACVkCAAABGQIAACIAAABIAAAACZgAAAADAAAACVsCAAABKQIAACIAAABIAAAACZgAAAADAAAACV0CAAABNwIAACIAAABRAAAACZMAAAADAAAACV8CAAAEP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kAAAAJYAIAABEAAAAJYQIAAAQ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CAAAAAAAABEE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gAgAAAAAAAAR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jAgAAAAAAAAd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9//8p////BmUCAAAISGVscFRleHQGZgIAAA5JZGVudGlmeSBpdGVtLgGZ/f//Kf///wZoAgAABUxhYmVsCf8BAAABlv3//yn///8GawIAAARUeXBlCf4BAAABTAIAAD0CAAACAAAACZgAAAADAAAACW4CAAABTQIAAD4CAAAAAAAACQwAAAAAAAAAAVACAABBAgAAAAAAAAmYAAAAAAAAAAFZAgAARQIAAAAAAAAJcQIAAAAAAAAHW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f//Kf///wZzAgAABUxhYmVsCQ0CAAABi/3//yn///8GdgIAAARUeXBlCQwCAAAHX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f//Kf///wlzAgAACR0CAAABhf3//yn///8JdgIAAAkcAgAAB18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3//yn///8JZQIAAAaAAgAAHEZpbmFuY2lhbGx5IGVudGVyZWQgcXVhbnRpdHkBf/3//yn///8JaAIAAAktAgAAAXz9//8p////CWsCAAAJLAIAAAFgAgAADAAAAAdh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5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IAgAAFlRhYmxlLkludmVudFN1bS5JdGVtSWQJwQAAAAF2/f//ef3//waLAgAAG1RhYmxlLkludmVudFN1bS5Qb3N0ZWRWYWx1ZQmMAgAAAXP9//95/f//Bo4CAAAZVGFibGUuSW52ZW50U3VtLlBvc3RlZFF0eQk2AQAAAXD9//95/f//BpECAAAYVGFibGUuSW52ZW50U3VtLkRlZHVjdGVkCZICAAABbf3//3n9//8GlAIAABhUYWJsZS5JbnZlbnRTdW0uUmVjZWl2ZWQJlQIAAAFq/f//ef3//waXAgAAHVRhYmxlLkludmVudFN1bS5SZXNlcnZPcmRlcmVkCZgCAAABZ/3//3n9//8GmgIAAB5UYWJsZS5JbnZlbnRTdW0uUmVzZXJ2UGh5c2ljYWwJmwIAAAFk/f//ef3//wadAgAAF1RhYmxlLkludmVudFN1bS5Pbk9yZGVyCZ4CAAABYf3//3n9//8GoAIAABdUYWJsZS5JbnZlbnRTdW0uT3JkZXJlZAmhAgAABGM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duAg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e/f//ef3//wajAgAAOFRhYmxlLkludmVudFN1bS5JbnZlbnREaW1JZH5UYWJsZS5JbnZlbnREaW0uSW52ZW50U2l0ZUlkCewAAAABW/3//3n9//8GpgIAADxUYWJsZS5JbnZlbnRTdW0uSW52ZW50RGltSWR+VGFibGUuSW52ZW50RGltLkludmVudExvY2F0aW9uSWQJEQEAAAFxAgAAYwIAAAGMAgAAwQAAAAFY/f//2P////////8ABqkCAAAEUmVhbAaqAgAAFUZpbmFuY2lhbCBjb3N0IGFtb3VudAkAAgAAAVT9///W////AgAAAAFT/f///v3//wEAAAAAAAkDAgAABq8CAAALUG9zdGVkVmFsdWUJJgAAAAr/////CQMCAAAKCa8CAAAKCgoJJgAAAAm0AgAACSYAAAABkgIAAMEAAAABSv3//9j/////////AAa3AgAABFJlYWwGuAIAAAhEZWR1Y3RlZAkAAgAAAUb9///W////AgAAAAFF/f///v3//wEAAAAAAAkDAgAABr0CAAAIRGVkdWN0ZWQJJgAAAAr/////CQMCAAAKCb0CAAAKCgoJJgAAAAnCAgAACSYAAAABlQIAAMEAAAABPP3//9j/////////AAbFAgAABFJlYWwGxgIAAAhSZWNlaXZlZAkAAgAAATj9///W////AgAAAAE3/f///v3//wEAAAAAAAkDAgAABssCAAAIUmVjZWl2ZWQJJgAAAAr/////CQMCAAAKCcsCAAAKCgoJJgAAAAnQAgAACSYAAAABmAIAAMEAAAABLv3//9j/////////AAbTAgAABFJlYWwG1AIAABBPcmRlcmVkIHJlc2VydmVkCQACAAABKv3//9b///8CAAAAASn9///+/f//AQAAAAAACQMCAAAG2QIAAA1SZXNlcnZPcmRlcmVkCSYAAAAK/////wkDAgAACgnZAgAACgoKCSYAAAAJ3gIAAAkmAAAAAZsCAADBAAAAASD9///Y/////////wAG4QIAAARSZWFsBuICAAARUGh5c2ljYWwgcmVzZXJ2ZWQJAAIAAAEc/f//1v///wIAAAABG/3///79//8BAAAAAAAJAwIAAAbnAgAADlJlc2VydlBoeXNpY2FsCSYAAAAK/////wkDAgAACgnnAgAACgoKCSYAAAAJ7AIAAAkmAAAAAZ4CAADBAAAAARL9///Y/////////wAG7wIAAARSZWFsBvACAAAIT24gb3JkZXIJAAIAAAEO/f//1v///wIAAAABDf3///79//8BAAAAAAAJAwIAAAb1AgAAB09uT3JkZXIJJgAAAAr/////CQMCAAAKCfUCAAAKCgoJJgAAAAn6AgAACSYAAAABoQIAAMEAAAABBP3//9j/////////AAb9AgAABFJlYWwG/gIAAAdPcmRlcmVkCQACAAABAP3//9b///8CAAAAAf/8///+/f//AQAAAAAACQMCAAAGAwMAAAdPcmRlcmVkCSYAAAAK/////wkDAgAACgkDAwAACgoKCSYAAAAJCAMAAAkmAAAAAbQCAAAiAAAACQAAAAmTAAAAAwAAAAkLAwAAAcICAAAiAAAACQAAAAmTAAAAAwAAAAkNAwAAAdACAAAiAAAACQAAAAmTAAAAAwAAAAkPAwAAAd4CAAAiAAAACQAAAAmTAAAAAwAAAAkRAwAAAewCAAAiAAAACQAAAAmTAAAAAwAAAAkTAwAAAfoCAAAiAAAACQAAAAmTAAAAAwAAAAkVAwAAAQgDAAAiAAAACQAAAAmTAAAAAwAAAAkXAwAABw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Pz//yn///8JZQIAAAYaAwAANUludmVudG9yeSB2YWx1ZSBmb3IgdGhlIGZpbmFuY2lhbGx5IHVwZGF0ZWQgcXVhbnRpdHkuAeX8//8p////CWgCAAAJqgIAAAHi/P//Kf///wlrAgAACak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P//Kf///wllAgAABiMDAAA7UXVhbnRpdHkgdGhhdCBoYXMgYmVlbiBwaHlzaWNhbGx5IGRlZHVjdGVkLCBidXQgbm90IHBvc3RlZC4B3Pz//yn///8JaAIAAAm4AgAAAdn8//8p////CWsCAAAJtwIAAAc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b8//8p////CWUCAAAGLAMAACpQaHlzaWNhbCBxdWFudGl0eSByZWNlaXZlZCwgYnV0IG5vdCBwb3N0ZWQB0/z//yn///8JaAIAAAnGAgAAAdD8//8p////CWsCAAAJxQIAAAc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38//8p////CWUCAAAGNQMAACVRdWFudGl0eSByZXNlcnZlZCBvbiBxdWFudGl0eSBvcmRlcmVkAcr8//8p////CWgCAAAJ1AIAAAHH/P//Kf///wlrAgAACdMC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P//Kf///wllAgAABj4DAAAqUXVhbnRpdHkgcmVzZXJ2ZWQgb2YgdGhlIHBoeXNpY2FsIHF1YW50aXR5AcH8//8p////CWgCAAAJ4gIAAAG+/P//Kf///wlrAgAACeECAAAHF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/P//Kf///wllAgAABkcDAAARUXVhbnRpdHkgb24gb3JkZXIBuPz//yn///8JaAIAAAnwAgAAAbX8//8p////CWsCAAAJ7w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8//8p////CWUCAAAGUAMAABBRdWFudGl0eSBvcmRlcmVkAa/8//8p////CWgCAAAJ/gIAAAGs/P//Kf///wlrAgAACf0CAAAL</Report>
</Atlas>
</file>

<file path=customXml/item7.xml><?xml version="1.0" encoding="utf-8"?>
<Atlas>
  <Query type="ReportSummary" id="babdd06b-fe4c-4545-9736-6f5ee0be0a2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NAAAAD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lRQUFN1bV9zc3QGHgAAAAtUUFAgc3VtbWFyeQkIAAAACQgAAAAJCAAAAAXg////MEdsb2JlU29mdHdhcmUuQXRsYXM0MC5BdGxhc0NvbW1vbi5EYXRhU291cmNlVHlwZQEAAAAHdmFsdWVfXwAIAgAAAAAAAAAJIQAAAAkiAAAABN3///8LU3lzdGVtLkd1aWQLAAAAAl9hAl9iAl9jAl9kAl9lAl9mAl9nAl9oAl9pAl9qAl9rAAAAAAAAAAAAAAAIBwcCAgICAgICAhTX9SQ0sdJKhZSm2Szemr8JCAAAAAkIAAAACSUAAAAGJgAAABBUYWJsZS5UUFBTdW1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xUYWJsZS5UUFBTdW1fc3N0LkludmVudERpbUlkflRhYmxlLkludmVudERpbQkxAAAAAc7////U////BjMAAAApVGFibGUuVFBQU3VtX3NzdC5JdGVtSWR+VGFibGUuSW52ZW50VGFibGUJNAAAAAcUAAAAAAEAAAAQAAAABC1HbG9iZVNvZnR3YXJlLkF0bGFzNDAuQXRsYXNDb21tb24uVHlwZS5Db2x1bW4CAAAACTUAAAAJNgAAAAk3AAAACTgAAAAJOQAAAAk6AAAACTsAAAAJPAAAAAk9AAAACT4AAAAJPwAAAAlAAAAACUEAAAANAxEVAAAABAAAAAZCAAAADUF0bGFzUmVwb3J0XzQNAwcXAAAAAAEAAAAD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v///+9////BkYAAAAPVGFibGUuSW52ZW50RGltCTAAAAABuP///73///8GSQAAABFUYWJsZS5JbnZlbnRUYWJ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1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T///8+R2xvYmVTb2Z0d2FyZS5BdGxhczQwLkF0bGFzQ29tbW9uLlR5cGUuQXRsYXNRdWVyeUF0dHJpYnV0ZU5hbWUBAAAAB3ZhbHVlX18ACAIAAAACAAAABk0AAAAkYmFiZGQwNmItZmU0Yy00NTQ1LTk3MzYtNmY1ZWUwYmUwYTJkAbL///+1////AbH///+0////AAAAAAZQAAAABHRydWUBr////7X///8Brv///7T///8LAAAABlMAAAALVFBQIHN1bW1hcnkBrP///7X///8Bq////7T///8bAAAABlYAAAAEVHJ1ZQGp////tf///wGo////tP///wYAAAAGWQAAAAVGYWxzZQGm////tf///wGl////tP///xwAAAAJVgAAAAGj////tf///wGi////tP///x0AAAAJWQAAAAGg////tf///wGf////tP///yoAAAAJVgAAAAGd////tf///wGc////tP///wEAAAAGZQAAAAMzNjABmv///7X///8Bmf///7T///8nAAAABmgAAAALPURhdGFBcmVhSWQBl////7X///8Blv///7T///8ZAAAABmsAAAAPQ2VsbHNWZXJ0aWNhbGx5AZT///+1////AZP///+0////CQAAAAoBkv///7X///8Bkf///7T///8oAAAABnAAAAACMTMBj////7X///8Bjv///7T///8rAAAABnMAAAARVGFibGVTdHlsZU1lZGl1bTIHHAAAAAABAAAAAw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z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dQAAAApUUFBTdW1fc3N0AQAAAAGK////jP///wZ3AAAACUludmVudERpbQEAAAABiP///4z///8GeQ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egAAAAMAAAAJe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0AAAABJQAAAAQAAAACAAAACXoAAAADAAAACX8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gAAAAAAAAAAHKgAAAAABAAAAAAAAAAQtR2xvYmVTb2Z0d2FyZS5BdGxhczQwLkF0bGFzQ29tbW9uLlR5cGUuQ29sdW1uAgAAAAExAAAADgAAAP////8GgQAAAAlJbnZlbnREaW0GggAAABRJbnZlbnRvcnkgZGltZW5zaW9ucwkIAAAACQgAAAAJCAAAAAF8////4P///wAAAAAJhQAAAAmGAAAAAXn////d////OabvUY/mGUuU7DdKKKJolQkIAAAACQgAAAAJiQAAAAkwAAAABosAAAAKVFBQU3VtX3NzdAaMAAAAEFRhYmxlLlRQUFN1bV9zc3QGjQAAABxUYWJsZS5UUFBTdW1fc3N0LkludmVudERpbUlkBo4AAAALSW52ZW50RGltSWQGjwAAAAtpbnZlbnREaW1JZAEAAAABcP///9n///8AAAAAAW/////Y////AAAAAAAJkgAAAAE0AAAADgAAAP////8GkwAAAAtJbnZlbnRUYWJsZQaUAAAABUl0ZW1zCQgAAAAJCAAAAAkIAAAAAWr////g////AAAAAAmXAAAACZgAAAABZ////93///8OZNsR4xfcTq0Ih/s6vlPQCQgAAAAJCAAAAAmbAAAACTMAAAAGnQAAAApUUFBTdW1fc3N0Bp4AAAAQVGFibGUuVFBQU3VtX3NzdAafAAAAF1RhYmxlLlRQUFN1bV9zc3QuSXRlbUlkBqAAAAAGSXRlbUlkBqEAAAAGSXRlbUlkAQAAAAFe////2f///wAAAAABXf///9j///8AAAAAAAmk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UAAAAJpgAAAAmnAAAABqgAAAAGSXRlbUlkBqkAAAALSXRlbSBudW1iZXIGqgAAAAZTdHJpbmcJCAAAAAasAAAAJDgzMWJlYjgxLTRmNDEtNDMwYS05YzQ3LWUwNjAxZDM5MTRmZAVT////LUdsb2JlU29mdHdhcmUuQXRsYXM0MC5BdGxhc0NvbW1vbi5BZ2dyZWdhdGlvbgEAAAAHdmFsdWVfXwAIAgAAAP////8AAAAABVL///8sR2xvYmVTb2Z0d2FyZS5BdGxhczQwLkF0bGFzQ29tbW9uLkNvbHVtblR5cGUBAAAAB3ZhbHVlX18ACAIAAAAAAAAABVH///8rR2xvYmVTb2Z0d2FyZS5BdGxhczQwLkF0bGFzQ29tbW9uLlNvcnRPcmRlcgEAAAAHdmFsdWVfXwAIAgAAAAIAAAAAAAAAAAVQ////QEdsb2JlU29mdHdhcmUuQXRsYXM0MC5BdGxhc0NvbW1vbi5UeXBlLkNvbHVtbitDcm9zc1RhYkNvbHVtblR5cGUBAAAAB3ZhbHVlX18ACAIAAAAAAAAACgEAAAAAAAAAAAAAAAAABrEAAAAkZDdlMmNhMzEtNDY5YS00MmQ3LTliZTYtOTQxZmY5YTExY2ZkBrIAAAAXVGFibGUuVFBQU3VtX3NzdC5JdGVtSWQKCgoKATYAAAA1AAAACbMAAAAJtAAAAAm1AAAABrYAAAAMSW52ZW50U2l0ZUlkBrcAAAAEU2l0ZQa4AAAABlN0cmluZwkIAAAABroAAAAkMDYzMDE3ZGYtZmJjNi00NWE0LWE5ODMtOGYwN2U2ZDUxYjZjAUX///9T/////////wEAAAABRP///1L///8AAAAAAUP///9R////AgAAAAAAAAAAAUL///9Q////AAAAAAoBAAAAAAAAAAABAAAAAAa/AAAAJGU0NzgyYjQ3LTEwOGQtNDQ3Ny05YzkzLTJiMDRiYWU1M2M3NgbAAAAAOVRhYmxlLlRQUFN1bV9zc3QuSW52ZW50RGltSWR+VGFibGUuSW52ZW50RGltLkludmVudFNpdGVJZAoKCgoBNwAAADUAAAAJwQAAAAnCAAAACcMAAAAGxAAAABBJbnZlbnRMb2NhdGlvbklkBsUAAAAJV2FyZWhvdXNlBsYAAAAGU3RyaW5nCQgAAAAGyAAAACQwOGU0MmVhMS02ZGY1LTQ0OTMtODJkNC0wMjIxZjU3NWMzZjgBN////1P/////////AgAAAAE2////Uv///wAAAAABNf///1H///8CAAAAAAAAAAABNP///1D///8AAAAACgEAAAAAAAAAAAIAAAAABs0AAAAkOTM5OWMwN2EtY2YwOC00OWRkLWJmNjktZDgxMGI0ZmYyNmJiBs4AAAA9VGFibGUuVFBQU3VtX3NzdC5JbnZlbnREaW1JZH5UYWJsZS5JbnZlbnREaW0uSW52ZW50TG9jYXRpb25JZAoKCgoBOAAAADUAAAAJzwAAAAnQAAAACdEAAAAG0gAAAANRdHkG0wAAAAhRdWFudGl0eQbUAAAABFJlYWwJCAAAAAbWAAAAJGY1MzBhN2YwLTdkZTUtNGVjMi04YjBiLTJkYjllMTE1YTE5NwEp////U////wEAAAADAAAAASj///9S////AAAAAAEn////Uf///wIAAAAAAAAAAAEm////UP///wAAAAAKAQAAAAAAAAAAAwAAAAAG2wAAACQyYmMyN2E4OS1jZDU2LTQ1OGQtYjMwMC1jMTgyNjg1ZjhhYTIG3AAAABRUYWJsZS5UUFBTdW1fc3N0LlF0eQoKCgoBOQAAADUAAAAJ3QAAAAneAAAACd8AAAAG4AAAAApDb3N0QW1vdW50BuEAAAAPVFBQIGNvc3QgYW1vdW50BuIAAAAEUmVhbAkIAAAABuQAAAAkNTIzMWZmNTgtMDllMS00ZDBlLTk1YzAtOTdmMTdhOGQ5ZWM2ARv///9T////AQAAAAQAAAABGv///1L///8AAAAAARn///9R////AgAAAAAAAAAAARj///9Q////AAAAAAoBAAAAAAAAAAAEAAAAAAbpAAAAJDMwNTk3YTNmLTQzNzUtNDYzNy05OGQzLWEzMzlmOTc5NjhjZQbqAAAAG1RhYmxlLlRQUFN1bV9zc3QuQ29zdEFtb3VudAoKCgoBOgAAADUAAAAJ6wAAAAnsAAAACe0AAAAG7gAAADdBdGxhc01hbmFnZWRDb2x1bW5fNWZjZTJhMjItYWEwYi00NWNmLWIwMzctY2QyMzY0Zjg0ZDBiBu8AAAAfVFBQIHRyYW5zIGJhY2t3YXJkcyAoQmVnaW5uaW5nKQkIAAAACQgAAAAG8QAAACQyNThmYTZlZS03NDZhLTQyN2YtOWE5ZS04YzA0YzQ1YTQwZGIBDv///1P/////////BQAAAAEN////Uv///wIAAAABDP///1H///8CAAAAAAAAAAABC////1D///8AAAAACgEAAAAAAAAAAAUAAAAABvYAAAAkYjhiMzFiY2UtOGIzMC00M2MyLWFhYjAtODkwYzk3NzM1YzljCQgAAAAKCgoKATsAAAA1AAAACfgAAAAJ+QAAAAn6AAAABvsAAAA3QXRsYXNNYW5hZ2VkQ29sdW1uX2I3M2ZlODc3LWQyOTQtNDU4Yy1iNWU2LWNhZjk1NDY5YmE0Ygb8AAAAHFRQUCB0cmFucyBiYWNrd2FyZHMgKEVuZGluZykJCAAAAAkIAAAABv4AAAAkY2RkYjFkNzQtNGJhZC00YTQzLWIwMGMtOWRlNzUyYTk2YTU5AQH///9T/////////wYAAAABAP///1L///8CAAAAAf/+//9R////AgAAAAAAAAAAAf7+//9Q////AAAAAAoBAAAAAAAAAAAGAAAAAAYDAQAAJDUzYWIyNjg5LTJlNjItNDc3YS05MmI5LWQxNmNiZGRlNjc5NwkIAAAACgoKCgE8AAAANQAAAAkFAQAACQYBAAAJBwEAAAYIAQAAN0F0bGFzTWFuYWdlZENvbHVtbl8wNmFjYjNhMi0yODJlLTQ3NjgtOWMyNC1iM2M4YWVmOWUyYmIGCQEAABdUUFAgT24taGFuZCAoQmVnaW5uaW5nKQkIAAAACQgAAAAGCwEAACRlZWJiOTQ0Zi1hMzRhLTQzNjktOTEwYy01NGNkZGM5MjQzZWMB9P7//1P/////////BwAAAAHz/v//Uv///wIAAAAB8v7//1H///8CAAAAAAAAAAAB8f7//1D///8AAAAACgEAAAAAAAAAAAcAAAAABhABAAAkZDQzOTc0OWYtNzBmNi00MGUwLTk3ZGMtNjMxMGY4MmYzYjY3CQgAAAAKCgoKAT0AAAA1AAAACRIBAAAJEwEAAAkUAQAABhUBAAA3QXRsYXNNYW5hZ2VkQ29sdW1uXzVlZWIyYTY3LTk5OGQtNGM5Mi1hODJkLTgwMGM4M2QzODBlZAYWAQAAFFRQUCBPbi1oYW5kIChFbmRpbmcpCQgAAAAJCAAAAAYYAQAAJDZjMzhkNzliLWJmZWUtNDg1MS05ZGQxLWMwZDU3NjhmOWYwYQHn/v//U/////////8IAAAAAeb+//9S////AgAAAAHl/v//Uf///wIAAAAAAAAAAAHk/v//UP///wAAAAAKAQAAAAAAAAAACAAAAAAGHQEAACQ5NjgxMzg1Mi1jZGFlLTRkYTQtYmQ0YS1kZWUwODY3OWQ5YTcJCAAAAAoKCgoBPgAAADUAAAAJHwEAAAkgAQAACSEBAAAGIgEAADdBdGxhc01hbmFnZWRDb2x1bW5fNzhlMWFjYjAtNDI4MS00ZjI0LWIwMGItZjJiYjZiMmIwNWY5BiMBAAAnVFBQIHRyYW5zIGJhY2t3YXJkcyBiYWxhbmNlIChCZWdpbm5pbmcpCQgAAAAJCAAAAAYlAQAAJGE2MWZjMjkwLWNjMDEtNGU0Ni1hNGE2LTAwOGEwYjI5OTVkNQHa/v//U/////////8JAAAAAdn+//9S////AgAAAAHY/v//Uf///wIAAAAAAAAAAAHX/v//UP///wAAAAAKAQAAAAAAAAAACQAAAAAGKgEAACQ2MTYwZjcwOC0xODZlLTQwY2QtYmNkNy01MTIzYTcwZWZjZTIJCAAAAAoKCgoBPwAAADUAAAAJLAEAAAktAQAACS4BAAAGLwEAADdBdGxhc01hbmFnZWRDb2x1bW5fYTIzNzg2ZTktNDZiNy00ZTdhLWJmY2EtNDMyZWI2MTA0ZTdlBjABAAAkVFBQIHRyYW5zIGJhY2t3YXJkcyBiYWxhbmNlIChFbmRpbmcpCQgAAAAJCAAAAAYyAQAAJGExOWM0MjU4LTQ3NmMtNDUzNS1hZGFmLWMzMzUyNmIzYzM2OAHN/v//U/////////8KAAAAAcz+//9S////AgAAAAHL/v//Uf///wIAAAAAAAAAAAHK/v//UP///wAAAAAKAQAAAAAAAAAACgAAAAAGNwEAACRmZjFmNmYyMy0yNWUxLTRkN2ItYmFhYi1hNTM0NjJiY2RkYzQJCAAAAAoKCgoBQAAAADUAAAAJOQEAAAk6AQAACTsBAAAGPAEAADdBdGxhc01hbmFnZWRDb2x1bW5fZThiZGQ3NjctNDZiYS00ODMzLWIyM2ItZDg1MjI2ODUxM2JhBj0BAAAXVFBQIEJhbGFuY2UgKEJlZ2lubmluZykJCAAAAAkIAAAABj8BAAAkODA4MmU2N2ItYjFmZS00ZTYwLThmMDAtMDAxYjRkYjRkMmYzAcD+//9T/////////wsAAAABv/7//1L///8CAAAAAb7+//9R////AgAAAAAAAAAAAb3+//9Q////AAAAAAoBAAAAAAAAAAALAAAAAAZEAQAAJGY3MzZlYjJhLTk1ZmUtNDYwZS05NWZlLTZiZDQ4MGQwMDNlMgkIAAAACgoKCgFBAAAANQAAAAlGAQAACUcBAAAJSAEAAAZJAQAAN0F0bGFzTWFuYWdlZENvbHVtbl8zZTViOTQzYy05NDJlLTQwNzAtYjcxMy00NWE4ZWVhN2NkOTEGSgEAABRUUFAgQmFsYW5jZSAoRW5kaW5nKQkIAAAACQgAAAAGTAEAACQxYjkwMjAxZi1lMDc3LTQ2MDQtYmE1Ny0wZmYxZGJhYjcyNzEBs/7//1P/////////DAAAAAGy/v//Uv///wIAAAABsf7//1H///8CAAAAAAAAAAABsP7//1D///8AAAAACgEAAAAAAAAAAAwAAAAABlEBAAAkMDZkOWY0NGItNjMzYy00ODcyLWE3ZDYtN2EyODA4MjkxNjU3CQgAAAAKCgoKAXoAAAASAAAAB3s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K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lQBAAAXVGFibGUuVFBQU3VtX3NzdC5JdGVtSWQJVQEAAAGq/v//rf7//wZXAQAAFFRhYmxlLlRQUFN1bV9zc3QuUXR5CVgBAAABp/7//63+//8GWgEAABtUYWJsZS5UUFBTdW1fc3N0LkNvc3RBbW91bnQJWwEAAAd9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p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ZdAQAAF1RhYmxlLlRQUFN1bV9zc3QuSXRlbUlkCV4BAAAHf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of7//9T///8JMAAAAAkxAAAAAZ7+///U////CTMAAAAJNAAAAASA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hQAAACEAAAACAAAACWUBAAADAAAACWYBAAAEh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J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EAAAAAAAABkgAAACkAAAAAAAAACWkBAAAAAAAABJc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YAAAAIgAAAAEAAAAJEgAAAAMAAAAJawEAAASb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pAAAACkAAAAAAAAACW0BAAAAAAAABK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W4BAAABAAAAAQAAAAS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ZcAAAAJbwEAAAcAAAAJcA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ZQEAAAcAAAAJcgEAAAGzAAAApQAAAAlzAQAAAQAAAAEAAAABtAAAAKYAAACPAAAACW8BAAAHAAAACXUBAAAEt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WUBAAAHAAAACXcBAAABwQAAAKUAAAAJeAEAAAEAAAABAAAAAcIAAACmAAAAjwAAAAlvAQAABwAAAAl6AQAABM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llAQAABwAAAAl8AQAAAc8AAAClAAAACX0BAAABAAAAAQAAAAHQAAAApgAAAJcAAAAJbwEAAAcAAAAJfw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ZQEAAAcAAAAJgQEAAAHdAAAApQAAAAmCAQAAAQAAAAEAAAAB3gAAAKYAAACXAAAACW8BAAAHAAAACYQBAAAE3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WUBAAAHAAAACYYBAAAB6wAAAKUAAAAJhwEAAAAAAAAAAAAAAewAAACmAAAAjgAAAAlvAQAABwAAAAmJAQAABO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llAQAABwAAAAmLAQAAAfgAAAClAAAACYcBAAAAAAAAAAAAAAH5AAAApgAAAI4AAAAJbwEAAAcAAAAJj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ZQEAAAcAAAAJkAEAAAEFAQAApQAAAAmHAQAAAAAAAAAAAAABBgEAAKYAAACNAAAACW8BAAAHAAAACZMBAAAEB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WUBAAAHAAAACZUBAAABEgEAAKUAAAAJhwEAAAAAAAAAAAAAARMBAACmAAAAjQAAAAlvAQAABwAAAAmYAQAABB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llAQAABwAAAAmaAQAAAR8BAAClAAAACZsBAAAAAAAAAAAAAAEgAQAApgAAAG8AAAAJnAEAAAcAAAAJnQ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ngEAAAcAAAAJnwEAAAEsAQAApQAAAAmbAQAAAAAAAAAAAAABLQEAAKYAAABvAAAACZwBAAAHAAAACaIB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Z4BAAAHAAAACaQBAAABOQEAAKUAAAAJmwEAAAAAAAAAAAAAAToBAACmAAAAdwAAAAmcAQAABwAAAAmnAQAABD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meAQAABwAAAAmpAQAAAUYBAAClAAAACZsBAAAAAAAAAAAAAAFHAQAApgAAAHcAAAAJnAEAAAcAAAAJrAEAAAR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ngEAAAcAAAAJrgEAAAV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R/v//U/////////8ABrABAAAGU3RyaW5nBrEBAAALSXRlbSBudW1iZXIJsgEAAAFN/v//Uf///wIAAAAFTP7//zlHbG9iZVNvZnR3YXJlLkF0bGFzNDAuQXRsYXNDb21tb24uTnVtYmVyU2VxdWVuY2VDb25kaXRpb24BAAAAB3ZhbHVlX18ACAIAAAABAAAAAAAGtQEAABBUYWJsZS5UUFBTdW1fc3N0CagAAAAJCAAAAAr/////CbUBAAAKCagAAAAKCgoJCAAAAAm7AQAACQgAAAABWAEAAFUBAAABQ/7//1P///8BAAAAAAa+AQAABFJlYWwGvwEAAAhRdWFudGl0eQmyAQAAAT/+//9R////AgAAAAE+/v//TP7//wEAAAAAAAm1AQAACdIAAAAJCAAAAAr/////CbUBAAAKCdIAAAAKCgoJCAAAAAnJAQAACQgAAAABWwEAAFUBAAABNf7//1P///8BAAAAAAbMAQAABFJlYWwGzQEAAA9UUFAgY29zdCBhbW91bnQJsgEAAAEx/v//Uf///wIAAAABMP7//0z+//8BAAAAAAAJtQEAAAngAAAACQgAAAAK/////wm1AQAACgngAAAACgoKCQgAAAAJ1wEAAAkIAAAABV4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bZAQAAEFRhYmxlLlRQUFN1bV9zc3QG2gEAAAZJdGVtSWQJCAAAAAbcAQAAASr/////CdkBAAAKCdoBAAAKCgoJCAAAAAngAQAACQgAAAABZQEAABIAAAAHZg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v7//63+//8G4wEAADlUYWJsZS5UUFBTdW1fc3N0LkludmVudERpbUlkflRhYmxlLkludmVudERpbS5JbnZlbnRTaXRlSWQJ5AEAAAEb/v//rf7//wbmAQAAPVRhYmxlLlRQUFN1bV9zc3QuSW52ZW50RGltSWR+VGFibGUuSW52ZW50RGltLkludmVudExvY2F0aW9uSWQJ5wEAAAFpAQAAgAAAAAdr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P7//6T+//8G6QEAADJUYWJsZS5UUFBTdW1fc3N0Lkl0ZW1JZH5UYWJsZS5JbnZlbnRUYWJsZS5JdGVtVHlwZQnqAQAAAW0BAACAAAAAB24BAAAAAQAAAAQAAAAEN0dsb2JlU29mdHdhcmUuQXRsYXM0MC5BdGxhc0NvbW1vbi5UeXBlLkZpZWxkT3V0cHV0RmllbGQCAAAACVUBAAANAwRv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w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T/v//Mkdsb2JlU29mdHdhcmUuQXRsYXM0MC5BdGxhc0NvbW1vbi5Db2x1bW5BdHRyaWJ1dGVzAQAAAAd2YWx1ZV9fAAgCAAAAEAAAAAbuAQAABE5vbmUBEf7//xT+//8BEP7//xP+//8JAAAACQgAAAABDv7//xT+//8BDf7//xP+//8LAAAABvQBAAABMAEL/v//FP7//wEK/v//E/7//wQAAAAG9wEAAAdHZW5lcmFsAQj+//8U/v//AQf+//8T/v//AgAAAAb6AQAAATEBBf7//xT+//8BBP7//xP+//8AAAAABv0BAAAFMTQuNzEHc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8BAAAIRm9udEJvbGQGAAIAAAVGYWxzZQH//f//Av7//wYCAgAACkZvbnRJdGFsaWMJAAIAAAH8/f//Av7//wYFAgAADUZvbnRVbmRlcmxpbmUGBgIAAAUtNDE0MgH5/f//Av7//wYIAgAACEZvbnROYW1lBgkCAAAHQ2FsaWJyaQH2/f//Av7//wYLAgAACUZvbnRDb2xvcgYMAgAAATAB8/3//wL+//8GDgIAAAhGb250U2l6ZQYPAgAAAjExAfD9//8C/v//BhECAAAJRm9udFN0eWxlBhICAAAHUmVndWxhcgdzAQAAAAEAAAAEAAAABDdHbG9iZVNvZnR3YXJlLkF0bGFzNDAuQXRsYXNDb21tb24uVHlwZS5GaWVsZE91dHB1dEZpZWxkAgAAAAnkAQAADQMHd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z9//8U/v//Aev9//8T/v//CQAAAAkIAAAAAen9//8U/v//Aej9//8T/v//CwAAAAYZAgAAATEB5v3//xT+//8B5f3//xP+//8EAAAABhwCAAAHR2VuZXJhbAHj/f//FP7//wHi/f//E/7//wIAAAAGHwIAAAExAeD9//8U/v//Ad/9//8T/v//AAAAAAYiAgAAATYHd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/f//Av7//wn/AQAACQACAAAB2v3//wL+//8JAgIAAAkAAgAAAdf9//8C/v//CQUCAAAGKwIAAAUtNDE0MgHU/f//Av7//wkIAgAABi4CAAAHQ2FsaWJyaQHR/f//Av7//wkLAgAABjECAAABMAHO/f//Av7//wkOAgAABjQCAAACMTEBy/3//wL+//8JEQIAAAY3AgAAB1JlZ3VsYXIHeAEAAAABAAAABAAAAAQ3R2xvYmVTb2Z0d2FyZS5BdGxhczQwLkF0bGFzQ29tbW9uLlR5cGUuRmllbGRPdXRwdXRGaWVsZAIAAAAJ5wEAAA0DB3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f//FP7//wHG/f//E/7//wkAAAAJCAAAAAHE/f//FP7//wHD/f//E/7//wsAAAAGPgIAAAEyAcH9//8U/v//AcD9//8T/v//BAAAAAZBAgAAB0dlbmVyYWwBvv3//xT+//8Bvf3//xP+//8CAAAABkQCAAABMQG7/f//FP7//wG6/f//E/7//wAAAAAGRwIAAAUxMi44Ngd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9//8C/v//Cf8BAAAJAAIAAAG1/f//Av7//wkCAgAACQACAAABsv3//wL+//8JBQIAAAZQAgAABS00MTQyAa/9//8C/v//CQgCAAAGUwIAAAdDYWxpYnJpAaz9//8C/v//CQsCAAAGVgIAAAEwAan9//8C/v//CQ4CAAAGWQIAAAIxMQGm/f//Av7//wkRAgAABlwCAAAHUmVndWxhcgd9AQAAAAEAAAAEAAAABDdHbG9iZVNvZnR3YXJlLkF0bGFzNDAuQXRsYXNDb21tb24uVHlwZS5GaWVsZE91dHB1dEZpZWxkAgAAAAlYAQAADQMHf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L9//8U/v//AaH9//8T/v//EAAAAAnuAQAAAZ/9//8U/v//AZ79//8T/v//CQAAAAkIAAAAAZz9//8U/v//AZv9//8T/v//CwAAAAZmAgAAATMBmf3//xT+//8BmP3//xP+//8EAAAABmkCAAAHR2VuZXJhbAGW/f//FP7//wGV/f//E/7//wIAAAAGbAIAAAExAZP9//8U/v//AZL9//8T/v//AAAAAAZvAgAABTEwLjI5B4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3//wL+//8J/wEAAAkAAgAAAY39//8C/v//CQICAAAJAAIAAAGK/f//Av7//wkFAgAABngCAAAFLTQxNDIBh/3//wL+//8JCAIAAAZ7AgAAB0NhbGlicmkBhP3//wL+//8JCwIAAAZ+AgAAATABgf3//wL+//8JDgIAAAaBAgAAAjExAX79//8C/v//CRECAAAGhAIAAAdSZWd1bGFyB4IBAAAAAQAAAAQAAAAEN0dsb2JlU29mdHdhcmUuQXRsYXM0MC5BdGxhc0NvbW1vbi5UeXBlLkZpZWxkT3V0cHV0RmllbGQCAAAACVsBAAANAwe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v3//xT+//8Bef3//xP+//8QAAAACe4BAAABd/3//xT+//8Bdv3//xP+//8JAAAACQgAAAABdP3//xT+//8Bc/3//xP+//8LAAAABo4CAAABNAFx/f//FP7//wFw/f//E/7//wQAAAAGkQIAAAdHZW5lcmFsAW79//8U/v//AW39//8T/v//AgAAAAaUAgAAATEBa/3//xT+//8Bav3//xP+//8AAAAABpcCAAAFMTcuMjk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f//Av7//wn/AQAACQACAAABZf3//wL+//8JAgIAAAkAAgAAAWL9//8C/v//CQUCAAAGoAIAAAUtNDE0MgFf/f//Av7//wkIAgAABqMCAAAHQ2FsaWJyaQFc/f//Av7//wkLAgAABqYCAAABMAFZ/f//Av7//wkOAgAABqkCAAACMTEBVv3//wL+//8JEQIAAAasAgAAB1JlZ3VsYXIHhwEAAAABAAAAAAAAAAQ3R2xvYmVTb2Z0d2FyZS5BdGxhczQwLkF0bGFzQ29tbW9uLlR5cGUuRmllbGRPdXRwdXRGaWVsZAIAAAAHi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9//8U/v//AVL9//8T/v//JAAAAAnvAAAAAVD9//8U/v//AU/9//8T/v//CwAAAAayAgAAATUBTf3//xT+//8BTP3//xP+//8EAAAABrUCAAAHR2VuZXJhbAFK/f//FP7//wFJ/f//E/7//wIAAAAGuAIAAAExAUf9//8U/v//AUb9//8T/v//AAAAAAa7AgAAAjMyAUT9//8U/v//AUP9//8T/v//AwAAAAa+AgAAxgE9QXRsYXNCYWxhbmNlKCJQUk9EIixEYXRhQXJlYUlkLCJULlRQUFRyYW5zX3NzdHxJbnZlbnREaW1JZH5pbnZlbnREaW1JZEBULkludmVudERpbSIsIlN1bXxRdHl8MCIsIiIsIiIsIiIsIiIsIiIsIiIsIkl0ZW1JZHxUcmFuc0RhdGV8VDIuSW52ZW50U2l0ZUlkfFQyLkludmVudExvY2F0aW9uSWQiLCRBMyxQZXJpb2RCZWdpbm5pbmcsJEIzLCRDMykHi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f//Av7//wbAAgAACEZvbnRCb2xkCQACAAABPv3//wL+//8GwwIAAApGb250SXRhbGljCQACAAABO/3//wL+//8GxgIAAA1Gb250VW5kZXJsaW5lBscCAAAFLTQxNDIBOP3//wL+//8GyQIAAAhGb250TmFtZQbKAgAAB0NhbGlicmkBNf3//wL+//8GzAIAAAlGb250Q29sb3IGzQIAAAEwATL9//8C/v//Bs8CAAAIRm9udFNpemUG0AIAAAIxMQEv/f//Av7//wbSAgAACUZvbnRTdHlsZQbTAgAAB1JlZ3VsYXIHj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8U/v//ASv9//8T/v//JAAAAAn8AAAAASn9//8U/v//ASj9//8T/v//CwAAAAbZAgAAATYBJv3//xT+//8BJf3//xP+//8EAAAABtwCAAAHR2VuZXJhbAEj/f//FP7//wEi/f//E/7//wIAAAAG3wIAAAExASD9//8U/v//AR/9//8T/v//AAAAAAbiAgAAAjI5AR39//8U/v//ARz9//8T/v//AwAAAAblAgAAwwE9QXRsYXNCYWxhbmNlKCJQUk9EIixEYXRhQXJlYUlkLCJULlRQUFRyYW5zX3NzdHxJbnZlbnREaW1JZH5pbnZlbnREaW1JZEBULkludmVudERpbSIsIlN1bXxRdHl8MCIsIiIsIiIsIiIsIiIsIiIsIiIsIkl0ZW1JZHxUcmFuc0RhdGV8VDIuSW52ZW50U2l0ZUlkfFQyLkludmVudExvY2F0aW9uSWQiLCRBMyxQZXJpb2RFbmRpbmcsJEIzLCRDMyk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Av7//wnAAgAACQACAAABF/3//wL+//8JwwIAAAkAAgAAART9//8C/v//CcYCAAAG7gIAAAUtNDE0MgER/f//Av7//wnJAgAABvECAAAHQ2FsaWJyaQEO/f//Av7//wnMAgAABvQCAAABMAEL/f//Av7//wnPAgAABvcCAAACMTEBCP3//wL+//8J0gIAAAb6AgAAB1JlZ3VsYXIHk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X9//8U/v//AQT9//8T/v//JAAAAAkJAQAAAQL9//8U/v//AQH9//8T/v//CwAAAAYAAwAAATcB//z//xT+//8B/vz//xP+//8EAAAABgMDAAAHR2VuZXJhbAH8/P//FP7//wH7/P//E/7//wIAAAAGBgMAAAExAfn8//8U/v//Afj8//8T/v//AAAAAAYJAwAABTI1LjE0Afb8//8U/v//AfX8//8T/v//AwAAAAYMAwAAMT1bQFF1YW50aXR5XS1bQFtUUFAgdHJhbnMgYmFja3dhcmRzIChCZWdpbm5pbmcpXV0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P//Av7//wnAAgAACQACAAAB8Pz//wL+//8JwwIAAAkAAgAAAe38//8C/v//CcYCAAAGFQMAAAUtNDE0MgHq/P//Av7//wnJAgAABhgDAAAHQ2FsaWJyaQHn/P//Av7//wnMAgAABhsDAAABMAHk/P//Av7//wnPAgAABh4DAAACMTEB4fz//wL+//8J0gIAAAYhAwAAB1JlZ3VsYXI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78//8U/v//Ad38//8T/v//JAAAAAkWAQAAAdv8//8U/v//Adr8//8T/v//CwAAAAYnAwAAATgB2Pz//xT+//8B1/z//xP+//8EAAAABioDAAAHR2VuZXJhbAHV/P//FP7//wHU/P//E/7//wIAAAAGLQMAAAExAdL8//8U/v//AdH8//8T/v//AAAAAAYwAwAABTIyLjE0Ac/8//8U/v//Ac78//8T/v//AwAAAAYzAwAALj1bQFF1YW50aXR5XS1bQFtUUFAgdHJhbnMgYmFja3dhcmRzIChFbmRpbmcpXV0Hm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/P//Av7//wnAAgAACQACAAAByfz//wL+//8JwwIAAAkAAgAAAcb8//8C/v//CcYCAAAGPAMAAAUtNDE0MgHD/P//Av7//wnJAgAABj8DAAAHQ2FsaWJyaQHA/P//Av7//wnMAgAABkIDAAABMAG9/P//Av7//wnPAgAABkUDAAACMTEBuvz//wL+//8J0gIAAAZIAwAAB1JlZ3VsYXIHmwEAAAABAAAAAAAAAAQ3R2xvYmVTb2Z0d2FyZS5BdGxhczQwLkF0bGFzQ29tbW9uLlR5cGUuRmllbGRPdXRwdXRGaWVsZAIAAAABnAEAAG8BAAAHn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f8//8U/v//Abb8//8T/v//JAAAAAkjAQAAAbT8//8U/v//AbP8//8T/v//CwAAAAZOAwAAATkBsfz//xT+//8BsPz//xP+//8EAAAABlEDAAAHR2VuZXJhbAGu/P//FP7//wGt/P//E/7//wIAAAAGVAMAAAExAav8//8U/v//Aar8//8T/v//AAAAAAZXAwAABTM5LjI5Aaj8//8U/v//Aaf8//8T/v//AwAAAAZaAwAAzQE9QXRsYXNCYWxhbmNlKCJQUk9EIixEYXRhQXJlYUlkLCJULlRQUFRyYW5zX3NzdHxJbnZlbnREaW1JZH5pbnZlbnREaW1JZEBULkludmVudERpbSIsIlN1bXxDb3N0QW1vdW50fDAiLCIiLCIiLCIiLCIiLCIiLCIiLCJJdGVtSWR8VHJhbnNEYXRlfFQyLkludmVudFNpdGVJZHxUMi5JbnZlbnRMb2NhdGlvbklkIiwkQTMsUGVyaW9kQmVnaW5uaW5nLCRCMywkQzMpAZ4BAAASAAAAB58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z//wL+//8GXAMAAAhGb250Qm9sZAkAAgAAAaL8//8C/v//Bl8DAAAKRm9udEl0YWxpYwkAAgAAAZ/8//8C/v//BmIDAAANRm9udFVuZGVybGluZQZjAwAABS00MTQyAZz8//8C/v//BmUDAAAIRm9udE5hbWUGZgMAAAdDYWxpYnJpAZn8//8C/v//BmgDAAAJRm9udENvbG9yBmkDAAABMAGW/P//Av7//wZrAwAACEZvbnRTaXplBmwDAAACMTEBk/z//wL+//8GbgMAAAlGb250U3R5bGUGbwMAAAdSZWd1bGFyB6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/P//FP7//wGP/P//E/7//yQAAAAJMAEAAAGN/P//FP7//wGM/P//E/7//wsAAAAGdQMAAAIxMAGK/P//FP7//wGJ/P//E/7//wQAAAAGeAMAAAdHZW5lcmFsAYf8//8U/v//AYb8//8T/v//AgAAAAZ7AwAAATEBhPz//xT+//8Bg/z//xP+//8AAAAABn4DAAAFMzYuNDMBgfz//xT+//8BgPz//xP+//8DAAAABoEDAADKAT1BdGxhc0JhbGFuY2UoIlBST0QiLERhdGFBcmVhSWQsIlQuVFBQVHJhbnNfc3N0fEludmVudERpbUlkfmludmVudERpbUlkQFQuSW52ZW50RGltIiwiU3VtfENvc3RBbW91bnR8MCIsIiIsIiIsIiIsIiIsIiIsIiIsIkl0ZW1JZHxUcmFuc0RhdGV8VDIuSW52ZW50U2l0ZUlkfFQyLkludmVudExvY2F0aW9uSWQiLCRBMyxQZXJpb2RFbmRpbmc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/P//Av7//wlcAwAACQACAAABe/z//wL+//8JXwMAAAkAAgAAAXj8//8C/v//CWIDAAAGigMAAAUtNDE0MgF1/P//Av7//wllAwAABo0DAAAHQ2FsaWJyaQFy/P//Av7//wloAwAABpADAAABMAFv/P//Av7//wlrAwAABpMDAAACMTEBbPz//wL+//8JbgMAAAaWAw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n8//8U/v//AWj8//8T/v//JAAAAAk9AQAAAWb8//8U/v//AWX8//8T/v//CwAAAAacAwAAAjExAWP8//8U/v//AWL8//8T/v//BAAAAAafAwAAB0dlbmVyYWwBYPz//xT+//8BX/z//xP+//8CAAAABqIDAAABMQFd/P//FP7//wFc/P//E/7//wAAAAAGpQMAAAUyNC4yOQFa/P//FP7//wFZ/P//E/7//wMAAAAGqAMAAEI9W0BbVFBQIGNvc3QgYW1vdW50XV0tW0BbVFBQIHRyYW5zIGJhY2t3YXJkcyBiYWxhbmNlIChCZWdpbm5pbmcpXV0Hq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P//Av7//wlcAwAACQACAAABVPz//wL+//8JXwMAAAkAAgAAAVH8//8C/v//CWIDAAAGsQMAAAUtNDE0MgFO/P//Av7//wllAwAABrQDAAAHQ2FsaWJyaQFL/P//Av7//wloAwAABrcDAAABMAFI/P//Av7//wlrAwAABroDAAACMTEBRfz//wL+//8JbgMAAAa9AwAAB1JlZ3VsYXIHr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L8//8U/v//AUH8//8T/v//JAAAAAlKAQAAAT/8//8U/v//AT78//8T/v//CwAAAAbDAwAAAjEyATz8//8U/v//ATv8//8T/v//BAAAAAbGAwAAB0dlbmVyYWwBOfz//xT+//8BOPz//xP+//8CAAAABskDAAABMQE2/P//FP7//wE1/P//E/7//wAAAAAGzAMAAAUyMS4yOQEz/P//FP7//wEy/P//E/7//wMAAAAGzwMAADI9W0BbVFBQIGNvc3QgYW1vdW50XV0tW0BbVFBQIEJhbGFuY2UgKEJlZ2lubmluZyldXQe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8//8C/v//CVwDAAAJAAIAAAEt/P//Av7//wlfAwAACQACAAABKvz//wL+//8JYgMAAAbYAwAABS00MTQyASf8//8C/v//CWUDAAAG2wMAAAdDYWxpYnJpAST8//8C/v//CWgDAAAG3gMAAAEwASH8//8C/v//CWsDAAAG4QMAAAIxMQEe/P//Av7//wluAwAABuQDAAAHUmVndWxhcgGyAQAADgAAAAWdAAAG5QMAAApUUFBTdW1fc3N0BuYDAAALVFBQIHN1bW1hcnkJCAAAAAkIAAAACQgAAAABGPz//+D///8AAAAACekDAAAJ6gMAAAEV/P//3f///3jvi3koQYhEku50ON+m1VYJCAAAAAkIAAAACe0DAAAJtQEAAAoKCgoKAQAAAAER/P//2f///wAAAAABEPz//9j///8AAAAAAAnxAwAABL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wAAAAllAQAAAwAAAAnzAwAABM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wAAAAllAQAAAwAAAAn1AwAABN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wAAAAllAQAAAwAAAAn3AwAABO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n5AwAAAeQBAABVAQAAAQb8//9T/////////wAG+wMAAAZTdHJpbmcG/AMAAARTaXRlCTEAAAABAvz//1H///8CAAAAAQH8//9M/v//AQAAAAAACTAAAAAJtgAAAAkIAAAACv////8JMAAAAAoJtgAAAAYFBAAAC0ludmVudERpbUlkBgYEAAAKVFBQU3VtX3NzdAoJCAAAAAkIBAAACQgAAAAB5wEAAFUBAAAB9vv//1P/////////AAYLBAAABlN0cmluZwYMBAAACVdhcmVob3VzZQkxAAAAAfL7//9R////AgAAAAHx+///TP7//wEAAAAAAAkwAAAACcQAAAAJCAAAAAr/////CTAAAAAKCcQAAAAGFQQAAAtJbnZlbnREaW1JZAYWBAAAClRQUFN1bV9zc3QKCQgAAAAJGAQAAAkIAAAAAeoBAABeAQAACTMAAAAGGwQAAAhJdGVtVHlwZQkIAAAABh0EAAAIIVNlcnZpY2X/////CTMAAAAKCRsEAAAGIAQAAAZJdGVtSWQKCgkIAAAACSIEAAAJCAAAAAHpAwAAIQAAAAQAAAAJJAQAAAcAAAAJJQQAAATq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SQEAAAAAAAABO0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kBAAAAAAAAAHxAwAAKQAAAAAAAAAJJwQAAAAAAAAH8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+///Av7//wYpBAAACEhlbHBUZXh0BioEAAAOSWRlbnRpZnkgaXRlbS4B1fv//wL+//8GLAQAAAVMYWJlbAmxAQAAAdL7//8C/v//Bi8EAAAEVHlwZQmwAQAAB/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v//wL+//8JKQQAAAYzBAAAJFF1YW50aXR5IGF0dGFjaGVkIHRvIHRoZSB0cmFuc2FjdGlvbgHM+///Av7//wksBAAACb8BAAAByfv//wL+//8JLwQAAAm+AQAAB/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v//wL+//8JKQQAAAY8BAAAEFRQUCBjb3N0IGFtb3VudC4Bw/v//wL+//8JLAQAAAnNAQAAAcD7//8C/v//CS8EAAAJzAEAAAf5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37//8C/v//BkQEAAAEVHlwZQmwAQAAAbr7//8C/v//BkcEAAAFTGFiZWwJsQEAAAG3+///Av7//wZKBAAACFJlZmVyc1RvBksEAAALPUl0ZW1OdW1iZXIEC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CAAAACWUBAAADAAAACU0EAAAEG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CAAAACWUBAAADAAAACU8EAAAEI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RIAAAADAAAACVEEAAABJAQAABIAAAAHJQQ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rvv//63+//8GUwQAABxUYWJsZS5UUFBTdW1fc3N0LkludmVudERpbUlkCVQEAAABq/v//63+//8GVgQAABdUYWJsZS5UUFBTdW1fc3N0Lkl0ZW1JZAlVAQAAAaj7//+t/v//BlkEAAAUVGFibGUuVFBQU3VtX3NzdC5RdHkJWAEAAAGl+///rf7//wZcBAAAG1RhYmxlLlRQUFN1bV9zc3QuQ29zdEFtb3VudAlbAQAAAScEAACAAAAAB00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v//wL+//8JLAQAAAn8AwAAAZ/7//8C/v//CS8EAAAJ+wMAAAdP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7//8C/v//CSwEAAAJDAQAAAGZ+///Av7//wkvBAAACQsE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///Av7//wlEBAAABmwEAAAERW51bQGT+///Av7//wlHBAAABm8EAAAJSXRlbSB0eXBlAZD7//8C/v//CUoEAAAGcgQAAAk9SXRlbVR5cGUBVAQAAFUBAAABjfv//1P/////////AAZ0BAAABlN0cmluZwZ1BAAADURpbWVuc2lvbiBOby4JsgEAAAGJ+///Uf///wIAAAABiPv//0z+//8BAAAAAAAJtQEAAAZ6BAAAC0ludmVudERpbUlkCQgAAAAK/////wm1AQAACgl6BAAACgoKCQgAAAAJfwQAAAkIAAAABH8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llAQAAAwAAAAmCBAAAB4I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v//wL+//8JKQQAAAaFBAAAKklkZW50aWZpY2F0aW9uIG9mIGRpbWVuc2lvbnMgZm9yIHRoZSBpdGVtLgF6+///Av7//wksBAAACXUEAAABd/v//wL+//8JLwQAAAl0BAAACw==
    <Output>
      <OutputObject name="AtlasReport_4"/>
    </Output>
  </Query>
</Atlas>
</file>

<file path=customXml/item8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R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GSXRlbUlkBikAAAALSXRlbSBudW1iZXIGKgAAAAZTdHJpbmcGKwAAAAAGLAAAACQ4MzFiZWI4MS00ZjQxLTQzMGEtOWM0Ny1lMDYwMWQzOTE0ZmQ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GQ3ZTJjYTMxLTQ2OWEtNDJkNy05YmU2LTk0MWZmOWExMWNmZAYyAAAAF1RhYmxlLlRQUFN1bV9zc3QuSXRlbUlkCgoKCgEVAAAAFAAAAAkzAAAACTQAAAAJNQAAAAY2AAAADEludmVudFNpdGVJZAY3AAAABFNpdGUGOAAAAAZTdHJpbmcJKwAAAAY6AAAAJDA2MzAxN2RmLWZiYzYtNDVhNC1hOTgzLThmMDdlNmQ1MWI2YwHF////0/////////8BAAAAAcT////S////AAAAAAHD////0f///wIAAAAAAAAAAAHC////0P///wAAAAAKAQAAAAAAAAAAAQAAAAAGPwAAACRlNDc4MmI0Ny0xMDhkLTQ0NzctOWM5My0yYjA0YmFlNTNjNzYGQAAAADlUYWJsZS5UUFBTdW1fc3N0LkludmVudERpbUlkflRhYmxlLkludmVudERpbS5JbnZlbnRTaXRlSWQKCgoKARYAAAAUAAAACUEAAAAJQgAAAAlDAAAABkQAAAAQSW52ZW50TG9jYXRpb25JZAZFAAAACVdhcmVob3VzZQZGAAAABlN0cmluZwkrAAAABkgAAAAkMDhlNDJlYTEtNmRmNS00NDkzLTgyZDQtMDIyMWY1NzVjM2Y4Abf////T/////////wIAAAABtv///9L///8AAAAAAbX////R////AgAAAAAAAAAAAbT////Q////AAAAAAoBAAAAAAAAAAACAAAAAAZNAAAAJDkzOTljMDdhLWNmMDgtNDlkZC1iZjY5LWQ4MTBiNGZmMjZiYgZOAAAAPVRhYmxlLlRQUFN1bV9zc3QuSW52ZW50RGltSWR+VGFibGUuSW52ZW50RGltLkludmVudExvY2F0aW9uSWQKCgoKARcAAAAUAAAACU8AAAAJUAAAAAlRAAAABlIAAAADUXR5BlMAAAAIUXVhbnRpdHkGVAAAAARSZWFsCSsAAAAGVgAAACRmNTMwYTdmMC03ZGU1LTRlYzItOGIwYi0yZGI5ZTExNWExOTcBqf///9P///8BAAAAAwAAAAGo////0v///wAAAAABp////9H///8CAAAAAAAAAAABpv///9D///8AAAAACgEAAAAAAAAAAAMAAAAABlsAAAAkMmJjMjdhODktY2Q1Ni00NThkLWIzMDAtYzE4MjY4NWY4YWEyBlwAAAAUVGFibGUuVFBQU3VtX3NzdC5RdHkKCgoKARgAAAAUAAAACV0AAAAJXgAAAAlfAAAABmAAAAAKQ29zdEFtb3VudAZhAAAAD1RQUCBjb3N0IGFtb3VudAZiAAAABFJlYWwJKwAAAAZkAAAAJDUyMzFmZjU4LTA5ZTEtNGQwZS05NWMwLTk3ZjE3YThkOWVjNgGb////0////wEAAAAEAAAAAZr////S////AAAAAAGZ////0f///wIAAAAAAAAAAAGY////0P///wAAAAAKAQAAAAAAAAAABAAAAAAGaQAAACQzMDU5N2EzZi00Mzc1LTQ2MzctOThkMy1hMzM5Zjk3OTY4Y2UGagAAABtUYWJsZS5UUFBTdW1fc3N0LkNvc3RBbW91bnQKCgoKARkAAAAUAAAACWsAAAAJbAAAAAltAAAABm4AAAA3QXRsYXNNYW5hZ2VkQ29sdW1uXzVmY2UyYTIyLWFhMGItNDVjZi1iMDM3LWNkMjM2NGY4NGQwYgZvAAAAH1RQUCB0cmFucyBiYWNrd2FyZHMgKEJlZ2lubmluZykJKwAAAAkrAAAABnEAAAAkMjU4ZmE2ZWUtNzQ2YS00MjdmLTlhOWUtOGMwNGM0NWE0MGRiAY7////T/////////wUAAAABjf///9L///8CAAAAAYz////R////AgAAAAAAAAAAAYv////Q////AAAAAAoBAAAAAAAAAAAFAAAAAAZ2AAAAJGI4YjMxYmNlLThiMzAtNDNjMi1hYWIwLTg5MGM5NzczNWM5YwkrAAAACgoKCgEaAAAAFAAAAAl4AAAACXkAAAAJegAAAAZ7AAAAN0F0bGFzTWFuYWdlZENvbHVtbl9iNzNmZTg3Ny1kMjk0LTQ1OGMtYjVlNi1jYWY5NTQ2OWJhNGIGfAAAABxUUFAgdHJhbnMgYmFja3dhcmRzIChFbmRpbmcpCSsAAAAJKwAAAAZ+AAAAJGNkZGIxZDc0LTRiYWQtNGE0My1iMDBjLTlkZTc1MmE5NmE1OQGB////0/////////8GAAAAAYD////S////AgAAAAF/////0f///wIAAAAAAAAAAAF+////0P///wAAAAAKAQAAAAAAAAAABgAAAAAGgwAAACQ1M2FiMjY4OS0yZTYyLTQ3N2EtOTJiOS1kMTZjYmRkZTY3OTcJKwAAAAoKCgoBGwAAABQAAAAJhQAAAAmGAAAACYcAAAAGiAAAADdBdGxhc01hbmFnZWRDb2x1bW5fMDZhY2IzYTItMjgyZS00NzY4LTljMjQtYjNjOGFlZjllMmJiBokAAAAXVFBQIE9uLWhhbmQgKEJlZ2lubmluZykJKwAAAAkrAAAABosAAAAkZWViYjk0NGYtYTM0YS00MzY5LTkxMGMtNTRjZGRjOTI0M2VjAXT////T/////////wcAAAABc////9L///8CAAAAAXL////R////AgAAAAAAAAAAAXH////Q////AAAAAAoBAAAAAAAAAAAHAAAAAAaQAAAAJGQ0Mzk3NDlmLTcwZjYtNDBlMC05N2RjLTYzMTBmODJmM2I2NwkrAAAACgoKCgEcAAAAFAAAAAmSAAAACZMAAAAJlAAAAAaVAAAAN0F0bGFzTWFuYWdlZENvbHVtbl81ZWViMmE2Ny05OThkLTRjOTItYTgyZC04MDBjODNkMzgwZWQGlgAAABRUUFAgT24taGFuZCAoRW5kaW5nKQkrAAAACSsAAAAGmAAAACQ2YzM4ZDc5Yi1iZmVlLTQ4NTEtOWRkMS1jMGQ1NzY4ZjlmMGEBZ////9P/////////CAAAAAFm////0v///wIAAAABZf///9H///8CAAAAAAAAAAABZP///9D///8AAAAACgEAAAAAAAAAAAgAAAAABp0AAAAkOTY4MTM4NTItY2RhZS00ZGE0LWJkNGEtZGVlMDg2NzlkOWE3CSsAAAAKCgoKAR0AAAAUAAAACZ8AAAAJoAAAAAmhAAAABqIAAAA3QXRsYXNNYW5hZ2VkQ29sdW1uXzc4ZTFhY2IwLTQyODEtNGYyNC1iMDBiLWYyYmI2YjJiMDVmOQajAAAAJ1RQUCB0cmFucyBiYWNrd2FyZHMgYmFsYW5jZSAoQmVnaW5uaW5nKQkrAAAACSsAAAAGpQAAACRhNjFmYzI5MC1jYzAxLTRlNDYtYTRhNi0wMDhhMGIyOTk1ZDUBWv///9P/////////CQAAAAFZ////0v///wIAAAABWP///9H///8CAAAAAAAAAAABV////9D///8AAAAACgEAAAAAAAAAAAkAAAAABqoAAAAkNjE2MGY3MDgtMTg2ZS00MGNkLWJjZDctNTEyM2E3MGVmY2UyCSsAAAAKCgoKAR4AAAAUAAAACawAAAAJrQAAAAmuAAAABq8AAAA3QXRsYXNNYW5hZ2VkQ29sdW1uX2EyMzc4NmU5LTQ2YjctNGU3YS1iZmNhLTQzMmViNjEwNGU3ZQawAAAAJFRQUCB0cmFucyBiYWNrd2FyZHMgYmFsYW5jZSAoRW5kaW5nKQkrAAAACSsAAAAGsgAAACRhMTljNDI1OC00NzZjLTQ1MzUtYWRhZi1jMzM1MjZiM2MzNjgBTf///9P/////////CgAAAAFM////0v///wIAAAABS////9H///8CAAAAAAAAAAABSv///9D///8AAAAACgEAAAAAAAAAAAoAAAAABrcAAAAkZmYxZjZmMjMtMjVlMS00ZDdiLWJhYWItYTUzNDYyYmNkZGM0CSsAAAAKCgoKAR8AAAAUAAAACbkAAAAJugAAAAm7AAAABrwAAAA3QXRsYXNNYW5hZ2VkQ29sdW1uX2U4YmRkNzY3LTQ2YmEtNDgzMy1iMjNiLWQ4NTIyNjg1MTNiYQa9AAAAF1RQUCBCYWxhbmNlIChCZWdpbm5pbmcpCSsAAAAJKwAAAAa/AAAAJDgwODJlNjdiLWIxZmUtNGU2MC04ZjAwLTAwMWI0ZGI0ZDJmMwFA////0/////////8LAAAAAT/////S////AgAAAAE+////0f///wIAAAAAAAAAAAE9////0P///wAAAAAKAQAAAAAAAAAACwAAAAAGxAAAACRmNzM2ZWIyYS05NWZlLTQ2MGUtOTVmZS02YmQ0ODBkMDAzZTIJKwAAAAoKCgoBIAAAABQAAAAJxgAAAAnHAAAACcgAAAAGyQAAADdBdGxhc01hbmFnZWRDb2x1bW5fM2U1Yjk0M2MtOTQyZS00MDcwLWI3MTMtNDVhOGVlYTdjZDkxBsoAAAAUVFBQIEJhbGFuY2UgKEVuZGluZykJKwAAAAkrAAAABswAAAAkMWI5MDIwMWYtZTA3Ny00NjA0LWJhNTctMGZmMWRiYWI3MjcxATP////T/////////wwAAAABMv///9L///8CAAAAATH////R////AgAAAAAAAAAAATD////Q////AAAAAAoBAAAAAAAAAAAMAAAAAAbRAAAAJDA2ZDlmNDRiLTYzM2MtNDg3Mi1hN2Q2LTdhMjgwODI5MTY1NwkrAAAACgoKCgUjAAAAOEdsb2JlU29mdHdhcmUuQXRsYXM0MC5BdGxhc0NvbW1vbkNsaWVudC5SZXBvcnQuUmVmZXJlbmNlAQAAAApfcmVmZXJlbmNlBwghAAAACdMAAAAHJAAAAAABAAAABAAAAAQ8R2xvYmVTb2Z0d2FyZS5BdGxhczQwLkF0bGFzQ29tbW9uQ2xpZW50LkRhdGFTb3VyY2VGaWVsZFZhbHVlIQAAAAnUAAAACdUAAAAJ1gAAAAoEJ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1wAAAAEAAAABAAAABC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lwAAAAnYAAAABwAAAAnZAAAABC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naAAAABwAAAAnbAAAAATMAAAAlAAAACdwAAAABAAAAAQAAAAE0AAAAJgAAAI8AAAAJ2AAAAAcAAAAJ3gAAAAE1AAAAJwAAAIwAAAAJ2gAAAAcAAAAJ4AAAAAFBAAAAJQAAAAnhAAAAAQAAAAEAAAABQgAAACYAAACPAAAACdgAAAAHAAAACeMAAAABQwAAACcAAACMAAAACdoAAAAHAAAACeUAAAABTwAAACUAAAAJ5gAAAAEAAAABAAAAAVAAAAAmAAAAlwAAAAnYAAAABwAAAAnoAAAAAVEAAAAnAAAAkwAAAAnaAAAABwAAAAnqAAAAAV0AAAAlAAAACesAAAABAAAAAQAAAAFeAAAAJgAAAJcAAAAJ2AAAAAcAAAAJ7QAAAAFfAAAAJwAAAJMAAAAJ2gAAAAcAAAAJ7wAAAAFrAAAAJQAAAAnwAAAAAAAAAAAAAAABbAAAACYAAACOAAAACdgAAAAHAAAACfIAAAABbQAAACcAAACFAAAACdoAAAAHAAAACfQAAAABeAAAACUAAAAJ8AAAAAAAAAAAAAAAAXkAAAAmAAAAjgAAAAnYAAAABwAAAAn3AAAAAXoAAAAnAAAAhQAAAAnaAAAABwAAAAn5AAAAAYUAAAAlAAAACfAAAAAAAAAAAAAAAAGGAAAAJgAAAI0AAAAJ2AAAAAcAAAAJ/AAAAAGHAAAAJwAAAIUAAAAJ2gAAAAcAAAAJ/gAAAAGSAAAAJQAAAAnwAAAAAAAAAAAAAAABkwAAACYAAACNAAAACdgAAAAHAAAACQEBAAABlAAAACcAAACFAAAACdoAAAAHAAAACQMBAAABnwAAACUAAAAJBAEAAAAAAAAAAAAAAaAAAAAmAAAAbwAAAAkFAQAABwAAAAkGAQAAAaEAAAAnAAAAaQAAAAkHAQAABwAAAAkIAQAAAawAAAAlAAAACQQBAAAAAAAAAAAAAAGtAAAAJgAAAG8AAAAJBQEAAAcAAAAJCwEAAAGuAAAAJwAAAGkAAAAJBwEAAAcAAAAJDQEAAAG5AAAAJQAAAAkEAQAAAAAAAAAAAAABugAAACYAAAB3AAAACQUBAAAHAAAACRABAAABuwAAACcAAABwAAAACQcBAAAHAAAACRIBAAABxgAAACUAAAAJBAEAAAAAAAAAAAAAAccAAAAmAAAAdwAAAAkFAQAABwAAAAkVAQAAAcgAAAAnAAAAcAAAAAkHAQAABwAAAAkXAQAAD9MAAAABAAAACAEAAAAF1AAAADxHbG9iZVNvZnR3YXJlLkF0bGFzNDAuQXRsYXNDb21tb25DbGllbnQuRGF0YVNvdXJjZUZpZWxkVmFsdWUEAAAAEl9pc0RyaWxsRG93bkZpbHRlcgZfZHNLZXkKX2ZpZWxkbmFtZQtfZmllbGRWYWx1ZQABAQEBIQAAAAAGGAEAABBUYWJsZS5UUFBTdW1fc3N0BhkBAAAKRGF0YUFyZWFJZAkGAAAAAdUAAADUAAAAAAkYAQAABhwBAAAGSXRlbUlkBh0BAAABKgHWAAAA1AAAAAAGHgEAAClUYWJsZS5UUFBTdW1fc3N0Lkl0ZW1JZH5UYWJsZS5JbnZlbnRUYWJsZQYfAQAACEl0ZW1UeXBlBiABAAAIIVNlcnZpY2UH1wAAAAABAAAABAAAAAQ3R2xvYmVTb2Z0d2FyZS5BdGxhczQwLkF0bGFzQ29tbW9uLlR5cGUuRmllbGRPdXRwdXRGaWVsZA4AAAAJIQEAAA0DBN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e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d3+//8yR2xvYmVTb2Z0d2FyZS5BdGxhczQwLkF0bGFzQ29tbW9uLkNvbHVtbkF0dHJpYnV0ZXMBAAAAB3ZhbHVlX18ACA4AAAAQAAAABiQBAAAETm9uZQHb/v//3v7//wHa/v//3f7//wkAAAAJKwAAAAHY/v//3v7//wHX/v//3f7//wsAAAAGKgEAAAEwAdX+///e/v//AdT+///d/v//BAAAAAYtAQAAB0dlbmVyYWwB0v7//97+//8B0f7//93+//8CAAAABjABAAABMQHP/v//3v7//wHO/v//3f7//wAAAAAGMwEAAAUxNC43MQHaAAAADAAAAAfb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z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QEAAAhGb250Qm9sZAY2AQAABUZhbHNlAcn+///M/v//BjgBAAAKRm9udEl0YWxpYwk2AQAAAcb+///M/v//BjsBAAANRm9udFVuZGVybGluZQY8AQAABS00MTQyAcP+///M/v//Bj4BAAAIRm9udE5hbWUGPwEAAAdDYWxpYnJpAcD+///M/v//BkEBAAAJRm9udENvbG9yBkIBAAABMAG9/v//zP7//wZEAQAACEZvbnRTaXplBkUBAAACMTEBuv7//8z+//8GRwEAAAlGb250U3R5bGUGSAEAAAdSZWd1bGFyB9wAAAAAAQAAAAQAAAAEN0dsb2JlU29mdHdhcmUuQXRsYXM0MC5BdGxhc0NvbW1vbi5UeXBlLkZpZWxkT3V0cHV0RmllbGQOAAAACUkBAAANAwfe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97+//8Btf7//93+//8JAAAACSsAAAABs/7//97+//8Bsv7//93+//8LAAAABk8BAAABMQGw/v//3v7//wGv/v//3f7//wQAAAAGUgEAAAdHZW5lcmFsAa3+///e/v//Aaz+///d/v//AgAAAAZVAQAAATEBqv7//97+//8Bqf7//93+//8AAAAABlgBAAABNgf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+///M/v//CTUBAAAJNgEAAAGk/v//zP7//wk4AQAACTYBAAABof7//8z+//8JOwEAAAZhAQAABS00MTQyAZ7+///M/v//CT4BAAAGZAEAAAdDYWxpYnJpAZv+///M/v//CUEBAAAGZwEAAAEwAZj+///M/v//CUQBAAAGagEAAAIxMQGV/v//zP7//wlHAQAABm0BAAAHUmVndWxhcgfhAAAAAAEAAAAEAAAABDdHbG9iZVNvZnR3YXJlLkF0bGFzNDAuQXRsYXNDb21tb24uVHlwZS5GaWVsZE91dHB1dEZpZWxkDgAAAAluAQAADQMH4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H+///e/v//AZD+///d/v//CQAAAAkrAAAAAY7+///e/v//AY3+///d/v//CwAAAAZ0AQAAATIBi/7//97+//8Biv7//93+//8EAAAABncBAAAHR2VuZXJhbAGI/v//3v7//wGH/v//3f7//wIAAAAGegEAAAExAYX+///e/v//AYT+///d/v//AAAAAAZ9AQAABTEyLjg2B+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8z+//8JNQEAAAk2AQAAAX/+///M/v//CTgBAAAJNgEAAAF8/v//zP7//wk7AQAABoYBAAAFLTQxNDIBef7//8z+//8JPgEAAAaJAQAAB0NhbGlicmkBdv7//8z+//8JQQEAAAaMAQAAATABc/7//8z+//8JRAEAAAaPAQAAAjExAXD+///M/v//CUcBAAAGkgEAAAdSZWd1bGFyB+YAAAAAAQAAAAQAAAAEN0dsb2JlU29mdHdhcmUuQXRsYXM0MC5BdGxhc0NvbW1vbi5UeXBlLkZpZWxkT3V0cHV0RmllbGQOAAAACZMBAAANAwfo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97+//8Ba/7//93+//8QAAAACSQBAAABaf7//97+//8BaP7//93+//8JAAAACSsAAAABZv7//97+//8BZf7//93+//8LAAAABpwBAAABMwFj/v//3v7//wFi/v//3f7//wQAAAAGnwEAAAdHZW5lcmFsAWD+///e/v//AV/+///d/v//AgAAAAaiAQAAATEBXf7//97+//8BXP7//93+//8AAAAABqUBAAAFMTAuMjkH6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v//zP7//wk1AQAACTYBAAABV/7//8z+//8JOAEAAAk2AQAAAVT+///M/v//CTsBAAAGrgEAAAUtNDE0MgFR/v//zP7//wk+AQAABrEBAAAHQ2FsaWJyaQFO/v//zP7//wlBAQAABrQBAAABMAFL/v//zP7//wlEAQAABrcBAAACMTEBSP7//8z+//8JRwEAAAa6AQAAB1JlZ3VsYXIH6wAAAAABAAAABAAAAAQ3R2xvYmVTb2Z0d2FyZS5BdGxhczQwLkF0bGFzQ29tbW9uLlR5cGUuRmllbGRPdXRwdXRGaWVsZA4AAAAJuwEAAA0DB+0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v//3v7//wFD/v//3f7//xAAAAAJJAEAAAFB/v//3v7//wFA/v//3f7//wkAAAAJKwAAAAE+/v//3v7//wE9/v//3f7//wsAAAAGxAEAAAE0ATv+///e/v//ATr+///d/v//BAAAAAbHAQAAB0dlbmVyYWwBOP7//97+//8BN/7//93+//8CAAAABsoBAAABMQE1/v//3v7//wE0/v//3f7//wAAAAAGzQEAAAUxNy4yOQf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+///M/v//CTUBAAAJNgEAAAEv/v//zP7//wk4AQAACTYBAAABLP7//8z+//8JOwEAAAbWAQAABS00MTQyASn+///M/v//CT4BAAAG2QEAAAdDYWxpYnJpASb+///M/v//CUEBAAAG3AEAAAEwASP+///M/v//CUQBAAAG3wEAAAIxMQEg/v//zP7//wlHAQAABuIBAAAHUmVndWxhcgfwAAAAAAEAAAAAAAAABDdHbG9iZVNvZnR3YXJlLkF0bGFzNDAuQXRsYXNDb21tb24uVHlwZS5GaWVsZE91dHB1dEZpZWxkDgAAAA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7//97+//8BHP7//93+//8kAAAACW8AAAABGv7//97+//8BGf7//93+//8LAAAABugBAAABNQEX/v//3v7//wEW/v//3f7//wQAAAAG6wEAAAdHZW5lcmFsART+///e/v//ARP+///d/v//AgAAAAbuAQAAATEBEf7//97+//8BEP7//93+//8AAAAABvEBAAACMzIBDv7//97+//8BDf7//93+//8DAAAABvQBAADGAT1BdGxhc0JhbGFuY2UoIlBST0QiLERhdGFBcmVhSWQsIlQuVFBQVHJhbnNfc3N0fEludmVudERpbUlkfmludmVudERpbUlkQFQuSW52ZW50RGltIiwiU3VtfFF0eXwwIiwiIiwiIiwiIiwiIiwiIiwiIiwiSXRlbUlkfFRyYW5zRGF0ZXxUMi5JbnZlbnRTaXRlSWR8VDIuSW52ZW50TG9jYXRpb25JZCIsJEEzLFBlcmlvZEJlZ2lubmluZywkQjMsJEMzKQf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v+///M/v//BvYBAAAIRm9udEJvbGQJNgEAAAEI/v//zP7//wb5AQAACkZvbnRJdGFsaWMJNgEAAAEF/v//zP7//wb8AQAADUZvbnRVbmRlcmxpbmUG/QEAAAUtNDE0MgEC/v//zP7//wb/AQAACEZvbnROYW1lBgACAAAHQ2FsaWJyaQH//f//zP7//wYCAgAACUZvbnRDb2xvcgYDAgAAATAB/P3//8z+//8GBQIAAAhGb250U2l6ZQYGAgAAAjExAfn9///M/v//BggCAAAJRm9udFN0eWxlBgkCAAAHUmVndWxhcgf3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v3//97+//8B9f3//93+//8kAAAACXwAAAAB8/3//97+//8B8v3//93+//8LAAAABg8CAAABNgHw/f//3v7//wHv/f//3f7//wQAAAAGEgIAAAdHZW5lcmFsAe39///e/v//Aez9///d/v//AgAAAAYVAgAAATEB6v3//97+//8B6f3//93+//8AAAAABhgCAAACMjkB5/3//97+//8B5v3//93+//8DAAAABhsCAADDAT1BdGxhc0JhbGFuY2UoIlBST0QiLERhdGFBcmVhSWQsIlQuVFBQVHJhbnNfc3N0fEludmVudERpbUlkfmludmVudERpbUlkQFQuSW52ZW50RGltIiwiU3VtfFF0eXwwIiwiIiwiIiwiIiwiIiwiIiwiIiwiSXRlbUlkfFRyYW5zRGF0ZXxUMi5JbnZlbnRTaXRlSWR8VDIuSW52ZW50TG9jYXRpb25JZCIsJEEzLFBlcmlvZEVuZGluZywkQjMsJEMzKQf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T9///M/v//CfYBAAAJNgEAAAHh/f//zP7//wn5AQAACTYBAAAB3v3//8z+//8J/AEAAAYkAgAABS00MTQyAdv9///M/v//Cf8BAAAGJwIAAAdDYWxpYnJpAdj9///M/v//CQICAAAGKgIAAAEwAdX9///M/v//CQUCAAAGLQIAAAIxMQHS/f//zP7//wkIAgAABjACAAAHUmVndWxhcgf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97+//8Bzv3//93+//8kAAAACYkAAAABzP3//97+//8By/3//93+//8LAAAABjYCAAABNwHJ/f//3v7//wHI/f//3f7//wQAAAAGOQIAAAdHZW5lcmFsAcb9///e/v//AcX9///d/v//AgAAAAY8AgAAATEBw/3//97+//8Bwv3//93+//8AAAAABj8CAAAFMjUuMTQBwP3//97+//8Bv/3//93+//8DAAAABkICAAAxPVtAUXVhbnRpdHldLVtAW1RQUCB0cmFucyBiYWNrd2FyZHMgKEJlZ2lubmluZyldXQf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/M/v//CfYBAAAJNgEAAAG6/f//zP7//wn5AQAACTYBAAABt/3//8z+//8J/AEAAAZLAgAABS00MTQyAbT9///M/v//Cf8BAAAGTgIAAAdDYWxpYnJpAbH9///M/v//CQICAAAGUQIAAAEwAa79///M/v//CQUCAAAGVAIAAAIxMQGr/f//zP7//wkIAgAABlcCAAAHUmVndWxhcgc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3//97+//8Bp/3//93+//8kAAAACZYAAAABpf3//97+//8BpP3//93+//8LAAAABl0CAAABOAGi/f//3v7//wGh/f//3f7//wQAAAAGYAIAAAdHZW5lcmFsAZ/9///e/v//AZ79///d/v//AgAAAAZjAgAAATEBnP3//97+//8Bm/3//93+//8AAAAABmYCAAAFMjIuMTQBmf3//97+//8BmP3//93+//8DAAAABmkCAAAuPVtAUXVhbnRpdHldLVtAW1RQUCB0cmFucyBiYWNrd2FyZHMgKEVuZGluZyldXQc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9///M/v//CfYBAAAJNgEAAAGT/f//zP7//wn5AQAACTYBAAABkP3//8z+//8J/AEAAAZyAgAABS00MTQyAY39///M/v//Cf8BAAAGdQIAAAdDYWxpYnJpAYr9///M/v//CQICAAAGeAIAAAEwAYf9///M/v//CQUCAAAGewIAAAIxMQGE/f//zP7//wkIAgAABn4CAAAHUmVndWxhcgcEAQAAAAEAAAAAAAAABDdHbG9iZVNvZnR3YXJlLkF0bGFzNDAuQXRsYXNDb21tb24uVHlwZS5GaWVsZE91dHB1dEZpZWxkDgAAAAEFAQAA2AAAAAc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3//97+//8BgP3//93+//8kAAAACaMAAAABfv3//97+//8Bff3//93+//8LAAAABoQCAAABOQF7/f//3v7//wF6/f//3f7//wQAAAAGhwIAAAdHZW5lcmFsAXj9///e/v//AXf9///d/v//AgAAAAaKAgAAATEBdf3//97+//8BdP3//93+//8AAAAABo0CAAAFMzkuMjkBcv3//97+//8Bcf3//93+//8DAAAABpACAADNAT1BdGxhc0JhbGFuY2UoIlBST0QiLERhdGFBcmVhSWQsIlQuVFBQVHJhbnNfc3N0fEludmVudERpbUlkfmludmVudERpbUlkQFQuSW52ZW50RGltIiwiU3VtfENvc3RBbW91bnR8MCIsIiIsIiIsIiIsIiIsIiIsIiIsIkl0ZW1JZHxUcmFuc0RhdGV8VDIuSW52ZW50U2l0ZUlkfFQyLkludmVudExvY2F0aW9uSWQiLCRBMyxQZXJpb2RCZWdpbm5pbmcsJEIzLCRDMykBBwEAAAwAAAA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f//zP7//waSAgAACEZvbnRCb2xkCTYBAAABbP3//8z+//8GlQIAAApGb250SXRhbGljCTYBAAABaf3//8z+//8GmAIAAA1Gb250VW5kZXJsaW5lBpkCAAAFLTQxNDIBZv3//8z+//8GmwIAAAhGb250TmFtZQacAgAAB0NhbGlicmkBY/3//8z+//8GngIAAAlGb250Q29sb3IGnwIAAAEwAWD9///M/v//BqECAAAIRm9udFNpemUGogIAAAIxMQFd/f//zP7//wakAgAACUZvbnRTdHlsZQalAgAAB1JlZ3VsYXIHC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9///e/v//AVn9///d/v//JAAAAAmwAAAAAVf9///e/v//AVb9///d/v//CwAAAAarAgAAAjEwAVT9///e/v//AVP9///d/v//BAAAAAauAgAAB0dlbmVyYWwBUf3//97+//8BUP3//93+//8CAAAABrECAAABMQFO/f//3v7//wFN/f//3f7//wAAAAAGtAIAAAUzNi40MwFL/f//3v7//wFK/f//3f7//wMAAAAGtwIAAMoBPUF0bGFzQmFsYW5jZSgiUFJPRCIsRGF0YUFyZWFJZCwiVC5UUFBUcmFuc19zc3R8SW52ZW50RGltSWR+aW52ZW50RGltSWRAVC5JbnZlbnREaW0iLCJTdW18Q29zdEFtb3VudHwwIiwiIiwiIiwiIiwiIiwiIiwiIiwiSXRlbUlkfFRyYW5zRGF0ZXxUMi5JbnZlbnRTaXRlSWR8VDIuSW52ZW50TG9jYXRpb25JZCIsJEEzLFBlcmlvZEVuZGluZywkQjMsJEMzKQc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j9///M/v//CZICAAAJNgEAAAFF/f//zP7//wmVAgAACTYBAAABQv3//8z+//8JmAIAAAbAAgAABS00MTQyAT/9///M/v//CZsCAAAGwwIAAAdDYWxpYnJpATz9///M/v//CZ4CAAAGxgIAAAEwATn9///M/v//CaECAAAGyQIAAAIxMQE2/f//zP7//wmkAgAABswCAAAHUmVndWxhcgc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3//97+//8BMv3//93+//8kAAAACb0AAAABMP3//97+//8BL/3//93+//8LAAAABtICAAACMTEBLf3//97+//8BLP3//93+//8EAAAABtUCAAAHR2VuZXJhbAEq/f//3v7//wEp/f//3f7//wIAAAAG2AIAAAExASf9///e/v//ASb9///d/v//AAAAAAbbAgAABTI0LjI5AST9///e/v//ASP9///d/v//AwAAAAbeAgAAQj1bQFtUUFAgY29zdCBhbW91bnRdXS1bQFtUUFAgdHJhbnMgYmFja3dhcmRzIGJhbGFuY2UgKEJlZ2lubmluZyldXQ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H9///M/v//CZICAAAJNgEAAAEe/f//zP7//wmVAgAACTYBAAABG/3//8z+//8JmAIAAAbnAgAABS00MTQyARj9///M/v//CZsCAAAG6gIAAAdDYWxpYnJpARX9///M/v//CZ4CAAAG7QIAAAEwARL9///M/v//CaECAAAG8AIAAAIxMQEP/f//zP7//wmkAgAABvMCAAAHUmVndWxhcgcV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P3//97+//8BC/3//93+//8kAAAACcoAAAABCf3//97+//8BCP3//93+//8LAAAABvkCAAACMTIBBv3//97+//8BBf3//93+//8EAAAABvwCAAAHR2VuZXJhbAED/f//3v7//wEC/f//3f7//wIAAAAG/wIAAAExAQD9///e/v//Af/8///d/v//AAAAAAYCAwAABTIxLjI5Af38///e/v//Afz8///d/v//AwAAAAYFAwAAMj1bQFtUUFAgY29zdCBhbW91bnRdXS1bQFtUUFAgQmFsYW5jZSAoQmVnaW5uaW5nKV1dBx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z//8z+//8JkgIAAAk2AQAAAff8///M/v//CZUCAAAJNgEAAAH0/P//zP7//wmYAgAABg4DAAAFLTQxNDIB8fz//8z+//8JmwIAAAYRAwAAB0NhbGlicmkB7vz//8z+//8JngIAAAYUAwAAATAB6/z//8z+//8JoQIAAAYXAwAAAjExAej8///M/v//CaQCAAAGGgMAAAdSZWd1bGFyBSE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eX8///T/////////wAGHAMAAAZTdHJpbmcGHQMAAAtJdGVtIG51bWJlcgkeAwAAAeH8///R////AgAAAAXg/P//OUdsb2JlU29mdHdhcmUuQXRsYXM0MC5BdGxhc0NvbW1vbi5OdW1iZXJTZXF1ZW5jZUNvbmRpdGlvbgEAAAAHdmFsdWVfXwAIDgAAAAEAAAAAAAYhAwAAEFRhYmxlLlRQUFN1bV9zc3QJKAAAAAkrAAAACv////8JIQMAAAoJKAAAAAoKCgkrAAAACScDAAAJKwAAAAFJAQAAIQEAAAHX/P//0/////////8ABioDAAAGU3RyaW5nBisDAAAEU2l0ZQksAwAAAdP8///R////AgAAAAHS/P//4Pz//wEAAAAAAAYvAwAALFRhYmxlLlRQUFN1bV9zc3QuSW52ZW50RGltSWR+VGFibGUuSW52ZW50RGltCTYAAAAJKwAAAAr/////CS8DAAAKCTYAAAAGNAMAAAtJbnZlbnREaW1JZAY1AwAAClRQUFN1bV9zc3QKCSsAAAAJNwMAAAkrAAAAAW4BAAAhAQAAAcf8///T/////////wAGOgMAAAZTdHJpbmcGOwMAAAlXYXJlaG91c2UJLAMAAAHD/P//0f///wIAAAABwvz//+D8//8BAAAAAAAJLwMAAAlEAAAACSsAAAAK/////wkvAwAACglEAAAABkQDAAALSW52ZW50RGltSWQGRQMAAApUUFBTdW1fc3N0CgkrAAAACUcDAAAJKwAAAAGTAQAAIQEAAAG3/P//0////wEAAAAABkoDAAAEUmVhbAZLAwAACFF1YW50aXR5CR4DAAABs/z//9H///8CAAAAAbL8///g/P//AQAAAAAACSEDAAAJUgAAAAkrAAAACv////8JIQMAAAoJUgAAAAoKCgkrAAAACVUDAAAJKwAAAAG7AQAAIQEAAAGp/P//0////wEAAAAABlgDAAAEUmVhbAZZAwAAD1RQUCBjb3N0IGFtb3VudAkeAwAAAaX8///R////AgAAAAGk/P//4Pz//wEAAAAAAAkhAwAACWAAAAAJKwAAAAr/////CSEDAAAKCWAAAAAKCgoJKwAAAAljAwAACSsAAAAFHg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BZ0AAAZlAwAAClRQUFN1bV9zc3QGZgMAAAtUUFAgc3VtbWFyeQkrAAAACSsAAAAJKwAAAAWY/P//MEdsb2JlU29mdHdhcmUuQXRsYXM0MC5BdGxhc0NvbW1vbi5EYXRhU291cmNlVHlwZQEAAAAHdmFsdWVfXwAIDgAAAAAAAAAJaQMAAAlqAwAABJX8//8LU3lzdGVtLkd1aWQLAAAAAl9hAl9iAl9jAl9kAl9lAl9mAl9nAl9oAl9pAl9qAl9rAAAAAAAAAAAAAAAIBwcCAgICAgICAnjvi3koQYhEku50ON+m1VYJKwAAAAkrAAAACW0DAAAJIQMAAAoKCgoKAQAAAAWR/P//NEdsb2JlU29mdHdhcmUuQXRsYXM0MC5BdGxhc0NvbW1vbi5EYXRhU291cmNlSm9pbk1vZGUBAAAAB3ZhbHVlX18ACA4AAAAAAAAABZD8//81R2xvYmVTb2Z0d2FyZS5BdGxhczQwLkF0bGFzQ29tbW9uLkRhdGFTb3VyY2VGZXRjaE1vZGUBAAAAB3ZhbHVlX18ACA4AAAAAAAAAAAlxAwAAAScDAAAnAAAASwAAAAnaAAAAAwAAAAlzAwAAASwDAAAeAwAA/////wZ0AwAACUludmVudERpbQZ1AwAAFEludmVudG9yeSBkaW1lbnNpb25zCSsAAAAJKwAAAAkrAAAAAYn8//+Y/P//AAAAAAl4AwAACXkDAAABhvz//5X8//85pu9Rj+YZS5TsN0ooomiVCSsAAAAJKwAAAAl8AwAACS8DAAAGfgMAAApUUFBTdW1fc3N0Bn8DAAAQVGFibGUuVFBQU3VtX3NzdAaAAwAAHFRhYmxlLlRQUFN1bV9zc3QuSW52ZW50RGltSWQGgQMAAAtJbnZlbnREaW1JZAaCAwAAC2ludmVudERpbUlkAQAAAAF9/P//kfz//wAAAAABfPz//5D8//8AAAAAAAmFAwAAATcDAAAnAAAAQgAAAAnaAAAAAwAAAAmHAwAAAUcDAAAnAAAAQgAAAAnaAAAAAwAAAAmJAwAAAVUDAAAnAAAASwAAAAnaAAAAAwAAAAmLAwAAAWMDAAAnAAAASwAAAAnaAAAAAwAAAAmNAwAABGkD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Y4DAAAHAAAACY8DAAAEa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OAwAAAAAAAARt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gMAAAAAAAAEcQ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kQMAAAAA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/P//zP7//waTAwAACEhlbHBUZXh0BpQDAAAOSWRlbnRpZnkgaXRlbS4Ba/z//8z+//8GlgMAAAVMYWJlbAkdAwAAAWj8///M/v//BpkDAAAEVHlwZQkcAwAAAXgDAABpAwAAAgAAAAnaAAAAAwAAAAmcAwAAAXkDAABqAwAAAAAAAAkMAAAAAAAAAAF8AwAAbQMAAAAAAAAJ2gAAAAAAAAABhQMAAHEDAAAAAAAACZ8DAAAAAAAAB4c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z//8z+//8JlgMAAAkrAwAAAV38///M/v//CZkDAAAJKgMAAAeJ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8///M/v//CZYDAAAJOwMAAAFX/P//zP7//wmZAwAACToDAAAHi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/P//zP7//wmTAwAABq4DAAAkUXVhbnRpdHkgYXR0YWNoZWQgdG8gdGhlIHRyYW5zYWN0aW9uAVH8///M/v//CZYDAAAJSwMAAAFO/P//zP7//wmZAwAACUoDAAAHj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zP7//wmTAwAABrcDAAAQVFBQIGNvc3QgYW1vdW50LgFI/P//zP7//wmWAwAACVkDAAABRfz//8z+//8JmQMAAAlYAwAAAY4DAAAMAAAAB48D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L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8DAAAcVGFibGUuVFBQU3VtX3NzdC5JbnZlbnREaW1JZAnAAwAAAT/8//9C/P//BsIDAAAXVGFibGUuVFBQU3VtX3NzdC5JdGVtSWQJIQEAAAE8/P//Qvz//wbFAwAAFFRhYmxlLlRQUFN1bV9zc3QuUXR5CZMBAAABOfz//0L8//8GyAMAABtUYWJsZS5UUFBTdW1fc3N0LkNvc3RBbW91bnQJuwEAAASRAw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nAM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vz//0L8//8GywMAADlUYWJsZS5UUFBTdW1fc3N0LkludmVudERpbUlkflRhYmxlLkludmVudERpbS5JbnZlbnRTaXRlSWQJSQEAAAEz/P//Qvz//wbOAwAAPVRhYmxlLlRQUFN1bV9zc3QuSW52ZW50RGltSWR+VGFibGUuSW52ZW50RGltLkludmVudExvY2F0aW9uSWQJbgEAAAGfAwAAkQMAAAHAAwAAIQEAAAEw/P//0/////////8ABtEDAAAGU3RyaW5nBtIDAAANRGltZW5zaW9uIE5vLgkeAwAAASz8///R////AgAAAAEr/P//4Pz//wEAAAAAAAkhAwAABtcDAAALSW52ZW50RGltSWQJKwAAAAr/////CSEDAAAKCdcDAAAKCgoJKwAAAAncAwAACSsAAAAB3AMAACcAAAAJAAAACdoAAAADAAAACd8DAAAH3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P//zP7//wmTAwAABuIDAAAqSWRlbnRpZmljYXRpb24gb2YgZGltZW5zaW9ucyBmb3IgdGhlIGl0ZW0uAR38///M/v//CZYDAAAJ0gMAAAEa/P//zP7//wmZAwAACdEDAAAL</Report>
</Atlas>
</file>

<file path=customXml/item9.xml><?xml version="1.0" encoding="utf-8"?>
<Atlas>
  <Query type="ReportList" id="4c64f4c9-425d-49ce-9d58-1a794068921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FAAAAB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hYmxlBh4AAAAFSXRlbXMJCAAAAAkIAAAACQgAAAAF4P///zBHbG9iZVNvZnR3YXJlLkF0bGFzNDAuQXRsYXNDb21tb24uRGF0YVNvdXJjZVR5cGUBAAAAB3ZhbHVlX18ACAIAAAAAAAAACSEAAAAJIgAAAATd////C1N5c3RlbS5HdWlkCwAAAAJfYQJfYgJfYwJfZAJfZQJfZgJfZwJfaAJfaQJfagJfawAAAAAAAAAAAAAACAcHAgICAgICAgKxxC6igkW4R7ZI0n2nNdn4CQgAAAAJCAAAAAklAAAABiYAAAARVGFibGUuSW52ZW50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FRhYmxlLkludmVudFRhYmxlLkl0ZW1JZH5UYWJsZS5JbnZlbnRUYWJsZU1vZHVsZQkxAAAABxQAAAAAAQAAAAgAAAAELUdsb2JlU29mdHdhcmUuQXRsYXM0MC5BdGxhc0NvbW1vbi5UeXBlLkNvbHVtbgIAAAAJMgAAAAkzAAAACTQAAAAJNQAAAAk2AAAADQMRFQAAAAQAAAAGNwAAAA1BdGxhc1JlcG9ydF81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I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G////yP///wY7AAAAF1RhYmxlLkludmVudFRhYmxlTW9kdW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P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wv///z5HbG9iZVNvZnR3YXJlLkF0bGFzNDAuQXRsYXNDb21tb24uVHlwZS5BdGxhc1F1ZXJ5QXR0cmlidXRlTmFtZQEAAAAHdmFsdWVfXwAIAgAAAAIAAAAGPwAAACQ0YzY0ZjRjOS00MjVkLTQ5Y2UtOWQ1OC0xYTc5NDA2ODkyMWEBwP///8P///8Bv////8L///8AAAAABkIAAAAEdHJ1ZQG9////w////wG8////wv///wsAAAAGRQAAAAVJdGVtcwG6////w////wG5////wv///xsAAAAGSAAAAARUcnVlAbf////D////Abb////C////BgAAAAZLAAAABUZhbHNlAbT////D////AbP////C////HAAAAAlIAAAAAbH////D////AbD////C////HQAAAAlLAAAAAa7////D////Aa3////C////KgAAAAlIAAAAAav////D////Aar////C////AQAAAAZXAAAAAzM2MAGo////w////wGn////wv///ycAAAAGWgAAAAs9RGF0YUFyZWFJZAGl////w////wGk////wv///xkAAAAGXQAAAA9DZWxsc1ZlcnRpY2FsbHkBov///8P///8Bof///8L///8JAAAACgGg////w////wGf////wv///ygAAAAGYgAAAAE1AZ3////D////AZz////C////KwAAAAZl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a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cAAAALSW52ZW50VGFibGUBAAAAAZj///+a////Bmk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WoAAAAHAAAACWs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ltAAAAASUAAAAEAAAAAQAAAAlqAAAAAwAAAAlv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AAAAAAAAAAByoAAAAAAQAAAAAAAAAELUdsb2JlU29mdHdhcmUuQXRsYXM0MC5BdGxhc0NvbW1vbi5UeXBlLkNvbHVtbgIAAAABMQAAAA4AAAD/////BnEAAAARSW52ZW50VGFibGVNb2R1bGUGcgAAABtJbnZlbnRvcnkgbW9kdWxlIHBhcmFtZXRlcnMJCAAAAAkIAAAACQgAAAABjP///+D///8AAAAACXUAAAAJdgAAAAGJ////3f///2wVa4zKQdlBvioWqRmwJ7UJCAAAAAkIAAAACXkAAAAJMAAAAAZ7AAAAC0ludmVudFRhYmxlBnwAAAARVGFibGUuSW52ZW50VGFibGUGfQAAABhUYWJsZS5JbnZlbnRUYWJsZS5JdGVtSWQGfgAAAAZJdGVtSWQGfwAAAAZJdGVtSWQBAAAAAYD////Z////AAAAAAF/////2P///wAAAAAACYI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gwAAAAmEAAAACYUAAAAGhgAAAAZJdGVtSWQGhwAAAAtJdGVtIG51bWJlcgaIAAAABlN0cmluZwkIAAAABooAAAAkMjU0YjE3YWEtMWVjZi00MjVhLTk4YWItYjJkZTYyYWU3MzRmBXX///8tR2xvYmVTb2Z0d2FyZS5BdGxhczQwLkF0bGFzQ29tbW9uLkFnZ3JlZ2F0aW9uAQAAAAd2YWx1ZV9fAAgCAAAA/////wAAAAAFdP///yxHbG9iZVNvZnR3YXJlLkF0bGFzNDAuQXRsYXNDb21tb24uQ29sdW1uVHlwZQEAAAAHdmFsdWVfXwAIAgAAAAAAAAAFc////ytHbG9iZVNvZnR3YXJlLkF0bGFzNDAuQXRsYXNDb21tb24uU29ydE9yZGVyAQAAAAd2YWx1ZV9fAAgCAAAAAgAAAAAAAAAABXL///9AR2xvYmVTb2Z0d2FyZS5BdGxhczQwLkF0bGFzQ29tbW9uLlR5cGUuQ29sdW1uK0Nyb3NzVGFiQ29sdW1uVHlwZQEAAAAHdmFsdWVfXwAIAgAAAAAAAAAKAQAAAAAAAAAAAAAAAAAGjwAAACRiYzhlZmU3OS04NzM4LTRhOTItOWJiMS03YTdkNjg5N2FiZDIGkAAAABhUYWJsZS5JbnZlbnRUYWJsZS5JdGVtSWQKCgoKATMAAAAyAAAACZEAAAAJkgAAAAmTAAAABpQAAAAISXRlbU5hbWUGlQAAAAlJdGVtIG5hbWUGlgAAAAZTdHJpbmcJCAAAAAaYAAAAJDFiNzM5NDFmLTVhYTEtNDExNC05NGY4LTEyOTNlYzg5YmM4NQFn////df////////8BAAAAAWb///90////AAAAAAFl////c////wIAAAAAAAAAAAFk////cv///wAAAAAKAQAAAAAAAAAAAQAAAAAGnQAAACQ4ODk2YzU3Yy1lNjA2LTRkMWEtYTZmZi0xZjRiY2ZkOGM3MDYGngAAABpUYWJsZS5JbnZlbnRUYWJsZS5JdGVtTmFtZQoKCgoBNAAAADIAAAAJnwAAAAmgAAAACaEAAAAGogAAAAtJdGVtR3JvdXBJZAajAAAACkl0ZW0gZ3JvdXAGpAAAAAZTdHJpbmcJCAAAAAamAAAAJDg1OTMzMjY3LTE5ZGItNGU3MS1iZGI1LWY3MDYwMDAyYWMzNwFZ////df////////8CAAAAAVj///90////AAAAAAFX////c////wIAAAAAAAAAAAFW////cv///wAAAAAKAQAAAAAAAAAAAgAAAAAGqwAAACQ5MDYwMmRhYi1jMDQ5LTQ4NDItOTIzYi0xYjIxNjE3NmNlMWMGrAAAAB1UYWJsZS5JbnZlbnRUYWJsZS5JdGVtR3JvdXBJZAoKCgoBNQAAADIAAAAJrQAAAAmuAAAACa8AAAAGsAAAAAhJdGVtVHlwZQaxAAAACUl0ZW0gdHlwZQayAAAABEVudW0JCAAAAAa0AAAAJDQ5ZjUwZGI1LTdhOTMtNDc5OC05ZDg3LThiNjk4YTM5ZmUxNAFL////df////////8DAAAAAUr///90////AAAAAAFJ////c////wIAAAAAAAAAAAFI////cv///wAAAAAKAQAAAAAAAAAAAwAAAAAGuQAAACRmZWYyNTc5ZS02NWQ1LTRlMzUtOWM4NS05N2Y2NDhhY2ZhZDEGugAAABpUYWJsZS5JbnZlbnRUYWJsZS5JdGVtVHlwZQoKCgoBNgAAADIAAAAJuwAAAAm8AAAACb0AAAAGvgAAAAZVbml0SWQGvwAAAARVbml0BsAAAAAGU3RyaW5nCQgAAAAGwgAAACRmYjc3ZmQ5MS04ZDY3LTRjYTMtYTgwOC05NDY3YTJiNjBmZmMBPf///3X/////////BAAAAAE8////dP///wAAAAABO////3P///8CAAAAAAAAAAABOv///3L///8AAAAACgEAAAAAAAAAAAQAAAAABscAAAAkYjI5MWE4YTMtM2M1Yy00ZjVhLWJkMDItMDM1ODA2M2U0NzgxBsgAAAA3VGFibGUuSW52ZW50VGFibGUuSXRlbUlkflRhYmxlLkludmVudFRhYmxlTW9kdWxlLlVuaXRJZAoKCgoBagAAABIAAAAHawA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N/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gAAABhUYWJsZS5JbnZlbnRUYWJsZS5JdGVtSWQJywAAAAE0////N////wbNAAAAGlRhYmxlLkludmVudFRhYmxlLkl0ZW1OYW1lCc4AAAABMf///zf///8G0AAAAB1UYWJsZS5JbnZlbnRUYWJsZS5JdGVtR3JvdXBJZAnRAAAAAS7///83////BtMAAAAaVGFibGUuSW52ZW50VGFibGUuSXRlbVR5cGUJ1AAAAAdt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/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WAAAAGFRhYmxlLkludmVudFRhYmxlLkl0ZW1JZAnXAAAAASj///8r////BtkAAAAaVGFibGUuSW52ZW50VGFibGUuSXRlbVR5cGUJ2gAAAAdv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l////1P///wkwAAAACTEAAAAEc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UAAAAhAAAAAQAAAAneAAAAAwAAAAnfAAAAAXYAAAAiAAAAAQAAAAkSAAAAAwAAAAnhAAAABHk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eAAAAAAAAAAGCAAAAKQAAAAAAAAAJ4wAAAAAAAAA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5AAAAAEAAAABAAAABIQ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QAAAAnlAAAABwAAAAnmAAAABI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neAAAABwAAAAnoAAAAAZEAAACDAAAACekAAAABAAAAAQAAAAGSAAAAhAAAAFgAAAAJ5QAAAAcAAAAJ6wAAAAS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3gAAAAcAAAAJ7QAAAAGfAAAAgwAAAAnuAAAAAQAAAAEAAAABoAAAAIQAAABYAAAACeUAAAAHAAAACfAAAAAEo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d4AAAAHAAAACfIAAAABrQAAAIMAAAAJ8wAAAAEAAAABAAAAAa4AAACEAAAAWAAAAAnlAAAABwAAAAn1AAAABK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neAAAABwAAAAn3AAAAAbsAAACDAAAACfgAAAABAAAAAQAAAAG8AAAAhAAAAFcAAAAJ5QAAAAcAAAAJ+gAAAAS9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3gAAAAcAAAAJ/AAAAAXL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D////df////////8ABv4AAAAGU3RyaW5nBv8AAAALSXRlbSBudW1iZXIJAAEAAAH//v//c////wIAAAAF/v7//zlHbG9iZVNvZnR3YXJlLkF0bGFzNDAuQXRsYXNDb21tb24uTnVtYmVyU2VxdWVuY2VDb25kaXRpb24BAAAAB3ZhbHVlX18ACAIAAAABAAAAAAAGAwEAABFUYWJsZS5JbnZlbnRUYWJsZQmGAAAACQgAAAAK/////wkDAQAACgmGAAAACgoKCQgAAAAJCQEAAAkIAAAAAc4AAADLAAAAAfX+//91/////////wAGDAEAAAZTdHJpbmcGDQEAAAlJdGVtIG5hbWUJAAEAAAHx/v//c////wIAAAAB8P7///7+//8BAAAAAAAJAwEAAAmUAAAACQgAAAAK/////wkDAQAACgmUAAAACgoKCQgAAAAJFwEAAAkIAAAAAdEAAADLAAAAAef+//91/////////wAGGgEAAAZTdHJpbmcGGwEAAApJdGVtIGdyb3VwCQABAAAB4/7//3P///8CAAAAAeL+///+/v//AQAAAAAACQMBAAAJogAAAAkIAAAACv////8JAwEAAAoJogAAAAoKCgkIAAAACSUBAAAJCAAAAAHUAAAAywAAAAHZ/v//df////////8ABigBAAAERW51bQYpAQAACUl0ZW0gdHlwZQkAAQAAAdX+//9z////AgAAAAHU/v///v7//wEAAAAAAAkDAQAACbAAAAAJCAAAAAr/////CQMBAAAKCbAAAAAKCgoJCAAAAAkzAQAACQgAAAAF1w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jUBAAARVGFibGUuSW52ZW50VGFibGUGNgEAAAZJdGVtSWQJCAAAAAY4AQAAASr/////CTUBAAAKCTYBAAAKCgoJCAAAAAk8AQAACQgAAAAB2gAAANcAAAAJNQEAAAY/AQAACEl0ZW1UeXBlCQgAAAAGQQEAAAghU2VydmljZf////8JNQEAAAoJPwEAAAoKCgkIAAAACUUBAAAJCAAAAAHeAAAAEgAAAAffA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5/v//N////wZIAQAAN1RhYmxlLkludmVudFRhYmxlLkl0ZW1JZH5UYWJsZS5JbnZlbnRUYWJsZU1vZHVsZS5Vbml0SWQJSQEAAAfh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tv7//yv///8GSwEAADtUYWJsZS5JbnZlbnRUYWJsZS5JdGVtSWR+VGFibGUuSW52ZW50VGFibGVNb2R1bGUuTW9kdWxlVHlwZQlMAQAAAeMAAABwAAAAB+QAAAAAAQAAAAQAAAAEN0dsb2JlU29mdHdhcmUuQXRsYXM0MC5BdGxhc0NvbW1vbi5UeXBlLkZpZWxkT3V0cHV0RmllbGQCAAAACcsAAAANAwTl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m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s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x/v//Mkdsb2JlU29mdHdhcmUuQXRsYXM0MC5BdGxhc0NvbW1vbi5Db2x1bW5BdHRyaWJ1dGVzAQAAAAd2YWx1ZV9fAAgCAAAABgAAAAZQAQAABVRvdGFsAa/+//+y/v//Aa7+//+x/v//EAAAAAZTAQAABE5vbmUBrP7//7L+//8Bq/7//7H+//8JAAAACQgAAAABqf7//7L+//8BqP7//7H+//8LAAAABlkBAAABMAGm/v//sv7//wGl/v//sf7//wQAAAAGXAEAAAdHZW5lcmFsAaP+//+y/v//AaL+//+x/v//AgAAAAZfAQAAATEBoP7//7L+//8Bn/7//7H+//8AAAAABmIBAAAFMjAuNDMH6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d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mQBAAAIRm9udEJvbGQGZQEAAAVGYWxzZQGa/v//nf7//wZnAQAACkZvbnRJdGFsaWMJZQEAAAGX/v//nf7//wZqAQAADUZvbnRVbmRlcmxpbmUGawEAAAUtNDE0MgGU/v//nf7//wZtAQAACEZvbnROYW1lBm4BAAAHQ2FsaWJyaQGR/v//nf7//wZwAQAACUZvbnRDb2xvcgZxAQAAATABjv7//53+//8GcwEAAAhGb250U2l6ZQZ0AQAAAjExAYv+//+d/v//BnYBAAAJRm9udFN0eWxlBncBAAAHUmVndWxhcgfpAAAAAAEAAAAEAAAABDdHbG9iZVNvZnR3YXJlLkF0bGFzNDAuQXRsYXNDb21tb24uVHlwZS5GaWVsZE91dHB1dEZpZWxkAgAAAAnOAAAADQMH6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f+//+y/v//AYb+//+x/v//EAAAAAlTAQAAAYT+//+y/v//AYP+//+x/v//CQAAAAkIAAAAAYH+//+y/v//AYD+//+x/v//CwAAAAaBAQAAATEBfv7//7L+//8Bff7//7H+//8EAAAABoQBAAAHR2VuZXJhbAF7/v//sv7//wF6/v//sf7//wIAAAAGhwEAAAExAXj+//+y/v//AXf+//+x/v//AAAAAAaKAQAAAjU2B+0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7//53+//8JZAEAAAllAQAAAXL+//+d/v//CWcBAAAJZQEAAAFv/v//nf7//wlqAQAABpMBAAAFLTQxNDIBbP7//53+//8JbQEAAAaWAQAAB0NhbGlicmkBaf7//53+//8JcAEAAAaZAQAAATABZv7//53+//8JcwEAAAacAQAAAjExAWP+//+d/v//CXYBAAAGnwEAAAdSZWd1bGFyB+4AAAAAAQAAAAQAAAAEN0dsb2JlU29mdHdhcmUuQXRsYXM0MC5BdGxhc0NvbW1vbi5UeXBlLkZpZWxkT3V0cHV0RmllbGQCAAAACdEAAAANAwf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/7//7L+//8BXv7//7H+//8QAAAACVMBAAABXP7//7L+//8BW/7//7H+//8JAAAACQgAAAABWf7//7L+//8BWP7//7H+//8LAAAABqkBAAABMgFW/v//sv7//wFV/v//sf7//wQAAAAGrAEAAAdHZW5lcmFsAVP+//+y/v//AVL+//+x/v//AgAAAAavAQAAATEBUP7//7L+//8BT/7//7H+//8AAAAABrIBAAAFMTIuMjkH8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/v//nf7//wlkAQAACWUBAAABSv7//53+//8JZwEAAAllAQAAAUf+//+d/v//CWoBAAAGuwEAAAUtNDE0MgFE/v//nf7//wltAQAABr4BAAAHQ2FsaWJyaQFB/v//nf7//wlwAQAABsEBAAABMAE+/v//nf7//wlzAQAABsQBAAACMTEBO/7//53+//8JdgEAAAbHAQAAB1JlZ3VsYXIH8wAAAAABAAAABAAAAAQ3R2xvYmVTb2Z0d2FyZS5BdGxhczQwLkF0bGFzQ29tbW9uLlR5cGUuRmllbGRPdXRwdXRGaWVsZAIAAAAJ1AAAAA0DB/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3/v//sv7//wE2/v//sf7//xAAAAAJUwEAAAE0/v//sv7//wEz/v//sf7//wkAAAAJCAAAAAEx/v//sv7//wEw/v//sf7//wsAAAAG0QEAAAEzAS7+//+y/v//AS3+//+x/v//BAAAAAbUAQAAB0dlbmVyYWwBK/7//7L+//8BKv7//7H+//8CAAAABtcBAAABMQEo/v//sv7//wEn/v//sf7//wAAAAAG2gEAAAUxMS4xNAf3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+//+d/v//CWQBAAAJZQEAAAEi/v//nf7//wlnAQAACWUBAAABH/7//53+//8JagEAAAbjAQAABS00MTQyARz+//+d/v//CW0BAAAG5gEAAAdDYWxpYnJpARn+//+d/v//CXABAAAG6QEAAAEwARb+//+d/v//CXMBAAAG7AEAAAIxMQET/v//nf7//wl2AQAABu8BAAAHUmVndWxhcgf4AAAAAAEAAAAEAAAABDdHbG9iZVNvZnR3YXJlLkF0bGFzNDAuQXRsYXNDb21tb24uVHlwZS5GaWVsZE91dHB1dEZpZWxkAgAAAAlJAQAADQMH+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/+//+y/v//AQ7+//+x/v//CQAAAAkIAAAAAQz+//+y/v//AQv+//+x/v//CwAAAAb2AQAAATQBCf7//7L+//8BCP7//7H+//8EAAAABvkBAAAHR2VuZXJhbAEG/v//sv7//wEF/v//sf7//wIAAAAG/AEAAAExAQP+//+y/v//AQL+//+x/v//AAAAAAb/AQAABDYuNDMH/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v//nf7//wlkAQAACWUBAAAB/f3//53+//8JZwEAAAllAQAAAfr9//+d/v//CWoBAAAGCAIAAAUtNDE0MgH3/f//nf7//wltAQAABgsCAAAHQ2FsaWJyaQH0/f//nf7//wlwAQAABg4CAAABMAHx/f//nf7//wlzAQAABhECAAACMTEB7v3//53+//8JdgEAAAYUAgAAB1JlZ3VsYXIBAAEAAA4AAACvAAAABhUCAAALSW52ZW50VGFibGUGFgIAAAVJdGVtcwkIAAAACQgAAAAJCAAAAAHo/f//4P///wAAAAAJGQIAAAkaAgAAAeX9///d////4kGfOgXEU0iC0ewZNyouAwkIAAAACQgAAAAJHQIAAAkDAQAACgoKCgoBAAAAAeH9///Z////AAAAAAHg/f//2P///wAAAAAACSECAAAEC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d4AAAADAAAACSMCAAAEF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d4AAAADAAAACSUCAAAEJ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d4AAAADAAAACScCAAAEM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d4AAAADAAAACSkCAAAEP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RIAAAADAAAACSsCAAAER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RIAAAADAAAACS0CAAABSQEAAMsAAAAB0v3//3X/////////AAYvAgAABlN0cmluZwYwAgAABFVuaXQJMQAAAAHO/f//c////wIAAAABzf3///7+//8BAAAAAAAJMAAAAAm+AAAACQgAAAAK/////wkwAAAACgm+AAAABjkCAAAGSXRlbUlkBjoCAAALSW52ZW50VGFibGUKCQgAAAAJPAIAAAkIAAAAAUwBAADXAAAACTAAAAAGPwIAAApNb2R1bGVUeXBlCQgAAAAGQQIAAAZJbnZlbnT/////CTAAAAAKCT8CAAAGRAIAAAZJdGVtSWQKCgkIAAAACUYCAAAJCAAAAAEZAgAAIQAAAAgAAAAJSAIAAAcAAAAJSQIAAAQa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gCAAAAAAAAAR0CAAAEAAAAAQAAAAlIAgAAAwAAAAlLAgAAASECAAApAAAAAAAAAAlMAgAAAAAAAAcj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9//+d/v//Bk4CAAAISGVscFRleHQGTwIAAA5JZGVudGlmeSBpdGVtLgGw/f//nf7//wZRAgAABUxhYmVsCf8AAAABrf3//53+//8GVAIAAARUeXBlCf4AAAAHJ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nf7//wlOAgAABlgCAAAYRGVzY3JpcHRpb24gb2YgdGhlIGl0ZW0uAaf9//+d/v//CVECAAAJDQEAAAGk/f//nf7//wlUAgAACQwBAAAHJ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f//nf7//wlOAgAABmECAAAoSXRlbSBncm91cCB0aGF0IHRoZSBpdGVtIGlzIGF0dGFjaGVkIHRvLgGe/f//nf7//wlRAgAACRsBAAABm/3//53+//8JVAIAAAkaAQAAByk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P3//53+//8JTgIAAAZqAgAALlR5cGUgZGV0ZXJtaW5pbmcgaG93IHRoZSBpdGVtIGlzIGFkbWluaXN0ZXJlZC4Blf3//53+//8JUQIAAAkpAQAAAZL9//+d/v//CVQCAAAJKAEAAAcr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/9//+d/v//BnICAAAEVHlwZQn+AAAAAYz9//+d/v//BnUCAAAFTGFiZWwJ/wAAAAGJ/f//nf7//wZ4AgAACFJlZmVyc1RvBnkCAAALPUl0ZW1OdW1iZXIHL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nf7//wlyAgAACSgBAAABg/3//53+//8JdQIAAAkpAQAAAYD9//+d/v//CXgCAAAGggIAAAk9SXRlbVR5cGUEP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d4AAAADAAAACYQCAAAER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RIAAAADAAAACYYCAAABSAIAABIAAAAHSQI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f3//zf///8GiAIAABhUYWJsZS5JbnZlbnRUYWJsZS5JdGVtSWQJywAAAAF2/f//N////waLAgAAGlRhYmxlLkludmVudFRhYmxlLkl0ZW1OYW1lCc4AAAABc/3//zf///8GjgIAAB1UYWJsZS5JbnZlbnRUYWJsZS5JdGVtR3JvdXBJZAnRAAAAAXD9//83////BpECAAAaVGFibGUuSW52ZW50VGFibGUuSXRlbVR5cGUJ1AAAAAdL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t/f//1P///wkwAAAACTEAAAABTAIAAHAAAAAHh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/f//nf7//wlRAgAACTACAAABZ/3//53+//8JVAIAAAkvAgAAB4Y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3//53+//8JcgIAAAaeAgAABEVudW0BYf3//53+//8JdQIAAAahAgAAC01vZHVsZSB0eXBlCw==
    <Output>
      <OutputObject name="AtlasReport_5"/>
    </Output>
  </Query>
</Atlas>
</file>

<file path=customXml/item10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FAAAAB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0DDBk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QAAAAgCAAAABhoAAAAVQXRsYXNSZXBvcnRfNV9UYWJsZV8xCRs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kAAAAICAkc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QAAAAkeAAAACR8AAAAGIAAAAAZJdGVtSWQGIQAAAAtJdGVtIG51bWJlcgYiAAAABlN0cmluZwYjAAAAAAYkAAAAJDI1NGIxN2FhLTFlY2YtNDI1YS05OGFiLWIyZGU2MmFlNzM0ZgXb////LUdsb2JlU29mdHdhcmUuQXRsYXM0MC5BdGxhc0NvbW1vbi5BZ2dyZWdhdGlvbgEAAAAHdmFsdWVfXwAIDgAAAP////8AAAAABdr///8sR2xvYmVTb2Z0d2FyZS5BdGxhczQwLkF0bGFzQ29tbW9uLkNvbHVtblR5cGUBAAAAB3ZhbHVlX18ACA4AAAAAAAAABdn///8rR2xvYmVTb2Z0d2FyZS5BdGxhczQwLkF0bGFzQ29tbW9uLlNvcnRPcmRlcgEAAAAHdmFsdWVfXwAIDgAAAAIAAAAAAAAAAAXY////QEdsb2JlU29mdHdhcmUuQXRsYXM0MC5BdGxhc0NvbW1vbi5UeXBlLkNvbHVtbitDcm9zc1RhYkNvbHVtblR5cGUBAAAAB3ZhbHVlX18ACA4AAAAAAAAACgEAAAAAAAAAAAAAAAAABikAAAAkYmM4ZWZlNzktODczOC00YTkyLTliYjEtN2E3ZDY4OTdhYmQyBioAAAAYVGFibGUuSW52ZW50VGFibGUuSXRlbUlkCgoKCgEVAAAAFAAAAAkrAAAACSwAAAAJLQAAAAYuAAAACEl0ZW1OYW1lBi8AAAAJSXRlbSBuYW1lBjAAAAAGU3RyaW5nCSMAAAAGMgAAACQxYjczOTQxZi01YWExLTQxMTQtOTRmOC0xMjkzZWM4OWJjODUBzf///9v/////////AQAAAAHM////2v///wAAAAABy////9n///8CAAAAAAAAAAAByv///9j///8AAAAACgEAAAAAAAAAAAEAAAAABjcAAAAkODg5NmM1N2MtZTYwNi00ZDFhLWE2ZmYtMWY0YmNmZDhjNzA2BjgAAAAaVGFibGUuSW52ZW50VGFibGUuSXRlbU5hbWUKCgoKARYAAAAUAAAACTkAAAAJOgAAAAk7AAAABjwAAAALSXRlbUdyb3VwSWQGPQAAAApJdGVtIGdyb3VwBj4AAAAGU3RyaW5nCSMAAAAGQAAAACQ4NTkzMzI2Ny0xOWRiLTRlNzEtYmRiNS1mNzA2MDAwMmFjMzcBv////9v/////////AgAAAAG+////2v///wAAAAABvf///9n///8CAAAAAAAAAAABvP///9j///8AAAAACgEAAAAAAAAAAAIAAAAABkUAAAAkOTA2MDJkYWItYzA0OS00ODQyLTkyM2ItMWIyMTYxNzZjZTFjBkYAAAAdVGFibGUuSW52ZW50VGFibGUuSXRlbUdyb3VwSWQKCgoKARcAAAAUAAAACUcAAAAJSAAAAAlJAAAABkoAAAAISXRlbVR5cGUGSwAAAAlJdGVtIHR5cGUGTAAAAARFbnVtCSMAAAAGTgAAACQ0OWY1MGRiNS03YTkzLTQ3OTgtOWQ4Ny04YjY5OGEzOWZlMTQBsf///9v/////////AwAAAAGw////2v///wAAAAABr////9n///8CAAAAAAAAAAABrv///9j///8AAAAACgEAAAAAAAAAAAMAAAAABlMAAAAkZmVmMjU3OWUtNjVkNS00ZTM1LTljODUtOTdmNjQ4YWNmYWQxBlQAAAAaVGFibGUuSW52ZW50VGFibGUuSXRlbVR5cGUKCgoKARgAAAAUAAAACVUAAAAJVgAAAAlXAAAABlgAAAAGVW5pdElkBlkAAAAEVW5pdAZaAAAABlN0cmluZwkjAAAABlwAAAAkZmI3N2ZkOTEtOGQ2Ny00Y2EzLWE4MDgtOTQ2N2EyYjYwZmZjAaP////b/////////wQAAAABov///9r///8AAAAAAaH////Z////AgAAAAAAAAAAAaD////Y////AAAAAAoBAAAAAAAAAAAEAAAAAAZhAAAAJGIyOTFhOGEzLTNjNWMtNGY1YS1iZDAyLTAzNTgwNjNlNDc4MQZiAAAAN1RhYmxlLkludmVudFRhYmxlLkl0ZW1JZH5UYWJsZS5JbnZlbnRUYWJsZU1vZHVsZS5Vbml0SWQKCgoKBRsAAAA4R2xvYmVTb2Z0d2FyZS5BdGxhczQwLkF0bGFzQ29tbW9uQ2xpZW50LlJlcG9ydC5SZWZlcmVuY2UBAAAACl9yZWZlcmVuY2UHCBkAAAAJYwAAAAccAAAAAAEAAAAEAAAABDxHbG9iZVNvZnR3YXJlLkF0bGFzNDAuQXRsYXNDb21tb25DbGllbnQuRGF0YVNvdXJjZUZpZWxkVmFsdWUZAAAACWQAAAAJZQAAAAlmAAAACWcAAAAEH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aAAAAAEAAAABAAAABB4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QAAAAlpAAAABwAAAAlqAAAABB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lrAAAABwAAAAlsAAAAASsAAAAdAAAACW0AAAABAAAAAQAAAAEsAAAAHgAAAFgAAAAJaQAAAAcAAAAJbwAAAAEtAAAAHwAAAFQAAAAJawAAAAcAAAAJcQAAAAE5AAAAHQAAAAlyAAAAAQAAAAEAAAABOgAAAB4AAABYAAAACWkAAAAHAAAACXQAAAABOwAAAB8AAABUAAAACWsAAAAHAAAACXYAAAABRwAAAB0AAAAJdwAAAAEAAAABAAAAAUgAAAAeAAAAWAAAAAlpAAAABwAAAAl5AAAAAUkAAAAfAAAAVAAAAAlrAAAABwAAAAl7AAAAAVUAAAAdAAAACXwAAAABAAAAAQAAAAFWAAAAHgAAAFcAAAAJaQAAAAcAAAAJfgAAAAFXAAAAHwAAAFQAAAAJawAAAAcAAAAJgAAAAA9jAAAAAQAAAAgBAAAABWQAAAA8R2xvYmVTb2Z0d2FyZS5BdGxhczQwLkF0bGFzQ29tbW9uQ2xpZW50LkRhdGFTb3VyY2VGaWVsZFZhbHVlBAAAABJfaXNEcmlsbERvd25GaWx0ZXIGX2RzS2V5Cl9maWVsZG5hbWULX2ZpZWxkVmFsdWUAAQEBARkAAAAABoEAAAARVGFibGUuSW52ZW50VGFibGUGggAAAApEYXRhQXJlYUlkCQYAAAABZQAAAGQAAAAACYEAAAAGhQAAAAZJdGVtSWQGhgAAAAEqAWYAAABkAAAAAAmBAAAABogAAAAISXRlbVR5cGUGiQAAAAghU2VydmljZQFnAAAAZAAAAAAGigAAADBUYWJsZS5JbnZlbnRUYWJsZS5JdGVtSWR+VGFibGUuSW52ZW50VGFibGVNb2R1bGUGiwAAAApNb2R1bGVUeXBlBowAAAAGSW52ZW50B2gAAAAAAQAAAAQAAAAEN0dsb2JlU29mdHdhcmUuQXRsYXM0MC5BdGxhc0NvbW1vbi5UeXBlLkZpZWxkT3V0cHV0RmllbGQOAAAACY0AAAANAwRp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q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c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x////Mkdsb2JlU29mdHdhcmUuQXRsYXM0MC5BdGxhc0NvbW1vbi5Db2x1bW5BdHRyaWJ1dGVzAQAAAAd2YWx1ZV9fAAgOAAAABgAAAAaQAAAABVRvdGFsAW////9y////AW7///9x////EAAAAAaTAAAABE5vbmUBbP///3L///8Ba////3H///8JAAAACSMAAAABaf///3L///8BaP///3H///8LAAAABpkAAAABMAFm////cv///wFl////cf///wQAAAAGnAAAAAdHZW5lcmFsAWP///9y////AWL///9x////AgAAAAafAAAAATEBYP///3L///8BX////3H///8AAAAABqIAAAAFMjAuNDMBawAAAAwAAAAHb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d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qQAAAAIRm9udEJvbGQGpQAAAAVGYWxzZQFa////Xf///wanAAAACkZvbnRJdGFsaWMJpQAAAAFX////Xf///waqAAAADUZvbnRVbmRlcmxpbmUGqwAAAAUtNDE0MgFU////Xf///watAAAACEZvbnROYW1lBq4AAAAHQ2FsaWJyaQFR////Xf///wawAAAACUZvbnRDb2xvcgaxAAAAATABTv///13///8GswAAAAhGb250U2l6ZQa0AAAAAjExAUv///9d////BrYAAAAJRm9udFN0eWxlBrcAAAAHUmVndWxhcgdtAAAAAAEAAAAEAAAABDdHbG9iZVNvZnR3YXJlLkF0bGFzNDAuQXRsYXNDb21tb24uVHlwZS5GaWVsZE91dHB1dEZpZWxkDgAAAAm4AAAADQMHb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f///9y////AUb///9x////EAAAAAmTAAAAAUT///9y////AUP///9x////CQAAAAkjAAAAAUH///9y////AUD///9x////CwAAAAbBAAAAATEBPv///3L///8BPf///3H///8EAAAABsQAAAAHR2VuZXJhbAE7////cv///wE6////cf///wIAAAAGxwAAAAExATj///9y////ATf///9x////AAAAAAbKAAAAAjU2B3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///13///8JpAAAAAmlAAAAATL///9d////CacAAAAJpQAAAAEv////Xf///wmqAAAABtMAAAAFLTQxNDIBLP///13///8JrQAAAAbWAAAAB0NhbGlicmkBKf///13///8JsAAAAAbZAAAAATABJv///13///8JswAAAAbcAAAAAjExASP///9d////CbYAAAAG3wAAAAdSZWd1bGFyB3IAAAAAAQAAAAQAAAAEN0dsb2JlU29mdHdhcmUuQXRsYXM0MC5BdGxhc0NvbW1vbi5UeXBlLkZpZWxkT3V0cHV0RmllbGQOAAAACeAAAAANAwd0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////3L///8BHv///3H///8QAAAACZMAAAABHP///3L///8BG////3H///8JAAAACSMAAAABGf///3L///8BGP///3H///8LAAAABukAAAABMgEW////cv///wEV////cf///wQAAAAG7AAAAAdHZW5lcmFsARP///9y////ARL///9x////AgAAAAbvAAAAATEBEP///3L///8BD////3H///8AAAAABvIAAAAFMTIuMjkHd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///Xf///wmkAAAACaUAAAABCv///13///8JpwAAAAmlAAAAAQf///9d////CaoAAAAG+wAAAAUtNDE0MgEE////Xf///wmtAAAABv4AAAAHQ2FsaWJyaQEB////Xf///wmwAAAABgEBAAABMAH+/v//Xf///wmzAAAABgQBAAACMTEB+/7//13///8JtgAAAAYHAQAAB1JlZ3VsYXIHdwAAAAABAAAABAAAAAQ3R2xvYmVTb2Z0d2FyZS5BdGxhczQwLkF0bGFzQ29tbW9uLlR5cGUuRmllbGRPdXRwdXRGaWVsZA4AAAAJCAEAAA0DB3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3/v//cv///wH2/v//cf///xAAAAAJkwAAAAH0/v//cv///wHz/v//cf///wkAAAAJIwAAAAHx/v//cv///wHw/v//cf///wsAAAAGEQEAAAEzAe7+//9y////Ae3+//9x////BAAAAAYUAQAAB0dlbmVyYWwB6/7//3L///8B6v7//3H///8CAAAABhcBAAABMQHo/v//cv///wHn/v//cf///wAAAAAGGgEAAAUxMS4xNAd7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+//9d////CaQAAAAJpQAAAAHi/v//Xf///wmnAAAACaUAAAAB3/7//13///8JqgAAAAYjAQAABS00MTQyAdz+//9d////Ca0AAAAGJgEAAAdDYWxpYnJpAdn+//9d////CbAAAAAGKQEAAAEwAdb+//9d////CbMAAAAGLAEAAAIxMQHT/v//Xf///wm2AAAABi8BAAAHUmVndWxhcgd8AAAAAAEAAAAEAAAABDdHbG9iZVNvZnR3YXJlLkF0bGFzNDAuQXRsYXNDb21tb24uVHlwZS5GaWVsZE91dHB1dEZpZWxkDgAAAAkwAQAADQMHf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+//9y////Ac7+//9x////CQAAAAkjAAAAAcz+//9y////Acv+//9x////CwAAAAY2AQAAATQByf7//3L///8ByP7//3H///8EAAAABjkBAAAHR2VuZXJhbAHG/v//cv///wHF/v//cf///wIAAAAGPAEAAAExAcP+//9y////AcL+//9x////AAAAAAY/AQAABDYuNDMHg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/v//Xf///wmkAAAACaUAAAABvf7//13///8JpwAAAAmlAAAAAbr+//9d////CaoAAAAGSAEAAAUtNDE0MgG3/v//Xf///wmtAAAABksBAAAHQ2FsaWJyaQG0/v//Xf///wmwAAAABk4BAAABMAGx/v//Xf///wmzAAAABlEBAAACMTEBrv7//13///8JtgAAAAZUAQAAB1JlZ3VsYXIFj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q/7//9v/////////AAZWAQAABlN0cmluZwZXAQAAC0l0ZW0gbnVtYmVyCVgBAAABp/7//9n///8CAAAABab+//85R2xvYmVTb2Z0d2FyZS5BdGxhczQwLkF0bGFzQ29tbW9uLk51bWJlclNlcXVlbmNlQ29uZGl0aW9uAQAAAAd2YWx1ZV9fAAgOAAAAAQAAAAAABlsBAAARVGFibGUuSW52ZW50VGFibGUJIAAAAAkjAAAACv////8JWwEAAAoJIAAAAAoKCgkjAAAACWEBAAAJIwAAAAG4AAAAjQAAAAGd/v//2/////////8ABmQBAAAGU3RyaW5nBmUBAAAJSXRlbSBuYW1lCVgBAAABmf7//9n///8CAAAAAZj+//+m/v//AQAAAAAACVsBAAAJLgAAAAkjAAAACv////8JWwEAAAoJLgAAAAoKCgkjAAAACW8BAAAJIwAAAAHgAAAAjQAAAAGP/v//2/////////8ABnIBAAAGU3RyaW5nBnMBAAAKSXRlbSBncm91cAlYAQAAAYv+///Z////AgAAAAGK/v//pv7//wEAAAAAAAlbAQAACTwAAAAJIwAAAAr/////CVsBAAAKCTwAAAAKCgoJIwAAAAl9AQAACSMAAAABCAEAAI0AAAABgf7//9v/////////AAaAAQAABEVudW0GgQEAAAlJdGVtIHR5cGUJWAEAAAF9/v//2f///wIAAAABfP7//6b+//8BAAAAAAAJWwEAAAlKAAAACSMAAAAK/////wlbAQAACglKAAAACgoKCSMAAAAJiwEAAAkjAAAAATABAACNAAAAAXP+///b/////////wAGjgEAAAZTdHJpbmcGjwEAAARVbml0CZABAAABb/7//9n///8CAAAAAW7+//+m/v//AQAAAAAACYoAAAAJWAAAAAkjAAAACv////8JigAAAAoJWAAAAAaYAQAABkl0ZW1JZAaZAQAAC0ludmVudFRhYmxlCgkjAAAACZsBAAAJIwAAAAVY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vAAAABp0BAAALSW52ZW50VGFibGUGngEAAAVJdGVtcwkjAAAACSMAAAAJIwAAAAVg/v//MEdsb2JlU29mdHdhcmUuQXRsYXM0MC5BdGxhc0NvbW1vbi5EYXRhU291cmNlVHlwZQEAAAAHdmFsdWVfXwAIDgAAAAAAAAAJoQEAAAmiAQAABF3+//8LU3lzdGVtLkd1aWQLAAAAAl9hAl9iAl9jAl9kAl9lAl9mAl9nAl9oAl9pAl9qAl9rAAAAAAAAAAAAAAAIBwcCAgICAgICAuJBnzoFxFNIgtHsGTcqLgMJIwAAAAkjAAAACaUBAAAJWwEAAAoKCgoKAQAAAAVZ/v//NEdsb2JlU29mdHdhcmUuQXRsYXM0MC5BdGxhc0NvbW1vbi5EYXRhU291cmNlSm9pbk1vZGUBAAAAB3ZhbHVlX18ACA4AAAAAAAAABVj+//81R2xvYmVTb2Z0d2FyZS5BdGxhczQwLkF0bGFzQ29tbW9uLkRhdGFTb3VyY2VGZXRjaE1vZGUBAAAAB3ZhbHVlX18ACA4AAAAAAAAAAAmpAQAAAWEBAAAfAAAAJQAAAAlrAAAAAwAAAAmrAQAAAW8BAAAfAAAAJQAAAAlrAAAAAwAAAAmtAQAAAX0BAAAfAAAAJQAAAAlrAAAAAwAAAAmvAQAAAYsBAAAfAAAAJQAAAAlrAAAAAwAAAAmxAQAAAZABAABYAQAA/////wayAQAAEUludmVudFRhYmxlTW9kdWxlBrMBAAAbSW52ZW50b3J5IG1vZHVsZSBwYXJhbWV0ZXJzCSMAAAAJIwAAAAkjAAAAAUv+//9g/v//AAAAAAm2AQAACbcBAAABSP7//13+//9sFWuMykHZQb4qFqkZsCe1CSMAAAAJIwAAAAm6AQAACYoAAAAGvAEAAAtJbnZlbnRUYWJsZQa9AQAAEVRhYmxlLkludmVudFRhYmxlBr4BAAAYVGFibGUuSW52ZW50VGFibGUuSXRlbUlkBr8BAAAGSXRlbUlkBsABAAAGSXRlbUlkAQAAAAE//v//Wf7//wAAAAABPv7//1j+//8AAAAAAAnDAQAAAZsBAAAfAAAAIgAAAAlrAAAAAwAAAAnFAQAABKE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cYBAAAHAAAACccBAAAEog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GAQAAAAAAAASl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nGAQAAAwAAAAnJAQAABKk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coBAAAAAAAAB6s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7//13///8GzAEAAAhIZWxwVGV4dAbNAQAADklkZW50aWZ5IGl0ZW0uATL+//9d////Bs8BAAAFTGFiZWwJVwEAAAEv/v//Xf///wbSAQAABFR5cGUJVgEAAAet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+//9d////CcwBAAAG1gEAABhEZXNjcmlwdGlvbiBvZiB0aGUgaXRlbS4BKf7//13///8JzwEAAAllAQAAASb+//9d////CdIBAAAJZAEAAAev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P+//9d////CcwBAAAG3wEAAChJdGVtIGdyb3VwIHRoYXQgdGhlIGl0ZW0gaXMgYXR0YWNoZWQgdG8uASD+//9d////Cc8BAAAJcwEAAAEd/v//Xf///wnSAQAACXIBAAAHs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v//Xf///wnMAQAABugBAAAuVHlwZSBkZXRlcm1pbmluZyBob3cgdGhlIGl0ZW0gaXMgYWRtaW5pc3RlcmVkLgEX/v//Xf///wnPAQAACYEBAAABFP7//13///8J0gEAAAmAAQAAAbYBAAChAQAAAQAAAAlrAAAAAwAAAAnwAQAABLc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DAAAAAMAAAAJ8gEAAAS6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awAAAAAAAAABwwEAAKkBAAAAAAAACfQBAAAAAAAAB8U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7//13///8JzwEAAAmPAQAAAQj+//9d////CdIBAAAJjgEAAAHGAQAADAAAAAfHAQ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F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8AQAAGFRhYmxlLkludmVudFRhYmxlLkl0ZW1JZAmNAAAAAQL+//8F/v//Bv8BAAAaVGFibGUuSW52ZW50VGFibGUuSXRlbU5hbWUJuAAAAAH//f//Bf7//wYCAgAAHVRhYmxlLkludmVudFRhYmxlLkl0ZW1Hcm91cElkCeAAAAAB/P3//wX+//8GBQIAABpUYWJsZS5JbnZlbnRUYWJsZS5JdGVtVHlwZQkIAQAAB8k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Pn9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YoAAAAJkAEAAATK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8A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9v3//wX+//8GCwIAADdUYWJsZS5JbnZlbnRUYWJsZS5JdGVtSWR+VGFibGUuSW52ZW50VGFibGVNb2R1bGUuVW5pdElkCTABAAAH8g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PP9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DgIAADtUYWJsZS5JbnZlbnRUYWJsZS5JdGVtSWR+VGFibGUuSW52ZW50VGFibGVNb2R1bGUuTW9kdWxlVHlwZQkPAgAAAfQBAADKAQAABQ8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mKAAAACYsAAAAJIwAAAAmMAAAA/////wmKAAAACgmLAAAABhYCAAAGSXRlbUlkCgoJIwAAAAkYAgAACSMAAAABGAIAAB8AAAAEAAAACQwAAAADAAAACRsCAAAHG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f//Xf///wYdAgAABFR5cGUGHgIAAARFbnVtAeH9//9d////BiACAAAFTGFiZWwGIQIAAAtNb2R1bGUgdHlwZQs=</Report>
</Atlas>
</file>

<file path=customXml/itemProps1.xml><?xml version="1.0" encoding="utf-8"?>
<ds:datastoreItem xmlns:ds="http://schemas.openxmlformats.org/officeDocument/2006/customXml" ds:itemID="{1C21A875-107E-4123-A859-007A73B653B1}">
  <ds:schemaRefs/>
</ds:datastoreItem>
</file>

<file path=customXml/itemProps2.xml><?xml version="1.0" encoding="utf-8"?>
<ds:datastoreItem xmlns:ds="http://schemas.openxmlformats.org/officeDocument/2006/customXml" ds:itemID="{8706A964-C7F3-4193-8849-273F35EDAF8D}">
  <ds:schemaRefs/>
</ds:datastoreItem>
</file>

<file path=customXml/itemProps3.xml><?xml version="1.0" encoding="utf-8"?>
<ds:datastoreItem xmlns:ds="http://schemas.openxmlformats.org/officeDocument/2006/customXml" ds:itemID="{C9106098-3F89-46CE-8682-3CE95FD1BAF4}">
  <ds:schemaRefs/>
</ds:datastoreItem>
</file>

<file path=customXml/itemProps4.xml><?xml version="1.0" encoding="utf-8"?>
<ds:datastoreItem xmlns:ds="http://schemas.openxmlformats.org/officeDocument/2006/customXml" ds:itemID="{6C2116D2-9A19-49F7-96CA-F73404476312}">
  <ds:schemaRefs/>
</ds:datastoreItem>
</file>

<file path=customXml/itemProps5.xml><?xml version="1.0" encoding="utf-8"?>
<ds:datastoreItem xmlns:ds="http://schemas.openxmlformats.org/officeDocument/2006/customXml" ds:itemID="{17108A3E-90EA-4AB9-9B88-D3CF5571FB13}">
  <ds:schemaRefs/>
</ds:datastoreItem>
</file>

<file path=customXml/itemProps6.xml><?xml version="1.0" encoding="utf-8"?>
<ds:datastoreItem xmlns:ds="http://schemas.openxmlformats.org/officeDocument/2006/customXml" ds:itemID="{73B963D4-028D-49EE-8DD4-61463230841A}">
  <ds:schemaRefs/>
</ds:datastoreItem>
</file>

<file path=customXml/itemProps7.xml><?xml version="1.0" encoding="utf-8"?>
<ds:datastoreItem xmlns:ds="http://schemas.openxmlformats.org/officeDocument/2006/customXml" ds:itemID="{1E134568-48C8-4D05-A2B9-8E04E02EAB78}">
  <ds:schemaRefs/>
</ds:datastoreItem>
</file>

<file path=customXml/itemProps8.xml><?xml version="1.0" encoding="utf-8"?>
<ds:datastoreItem xmlns:ds="http://schemas.openxmlformats.org/officeDocument/2006/customXml" ds:itemID="{7BDD438A-EDC5-420B-AD47-286A1E1C3389}">
  <ds:schemaRefs/>
</ds:datastoreItem>
</file>

<file path=customXml/itemProps9.xml><?xml version="1.0" encoding="utf-8"?>
<ds:datastoreItem xmlns:ds="http://schemas.openxmlformats.org/officeDocument/2006/customXml" ds:itemID="{F6134BF4-9759-4A97-ACCA-E0C287B4E0CC}">
  <ds:schemaRefs/>
</ds:datastoreItem>
</file>

<file path=customXml/itemProps10.xml><?xml version="1.0" encoding="utf-8"?>
<ds:datastoreItem xmlns:ds="http://schemas.openxmlformats.org/officeDocument/2006/customXml" ds:itemID="{E5701B1E-A784-4833-A5DA-A1EED8A388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General</vt:lpstr>
      <vt:lpstr>On-hand statement</vt:lpstr>
      <vt:lpstr>Adjustment suggestion</vt:lpstr>
      <vt:lpstr>TPP Adjustment Journal</vt:lpstr>
      <vt:lpstr>InventTrans</vt:lpstr>
      <vt:lpstr>TPPTrans</vt:lpstr>
      <vt:lpstr>InventSum</vt:lpstr>
      <vt:lpstr>TPPSum</vt:lpstr>
      <vt:lpstr>InventTable</vt:lpstr>
      <vt:lpstr>Parameter</vt:lpstr>
      <vt:lpstr>InventTrans!AtlasReport_1</vt:lpstr>
      <vt:lpstr>TPPTrans!AtlasReport_2</vt:lpstr>
      <vt:lpstr>InventSum!AtlasReport_3</vt:lpstr>
      <vt:lpstr>TPPSum!AtlasReport_4</vt:lpstr>
      <vt:lpstr>InventTable!AtlasReport_5</vt:lpstr>
      <vt:lpstr>DataAreaId</vt:lpstr>
      <vt:lpstr>DateFormat</vt:lpstr>
      <vt:lpstr>DatePeriod</vt:lpstr>
      <vt:lpstr>DateRegion</vt:lpstr>
      <vt:lpstr>FromDate</vt:lpstr>
      <vt:lpstr>ItemNumber</vt:lpstr>
      <vt:lpstr>ItemType</vt:lpstr>
      <vt:lpstr>PeriodBeginning</vt:lpstr>
      <vt:lpstr>PeriodEnding</vt:lpstr>
      <vt:lpstr>Region</vt:lpstr>
      <vt:lpstr>ToDate</vt:lpstr>
    </vt:vector>
  </TitlesOfParts>
  <Company>Simpson Manufacturing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2017-06-30T05:53:30Z</dcterms:created>
  <dcterms:modified xsi:type="dcterms:W3CDTF">2017-12-30T16:31:47Z</dcterms:modified>
</cp:coreProperties>
</file>