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1075" windowHeight="10005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InventTrans!$A$1:$N$662</definedName>
    <definedName name="AtlasReport_2" localSheetId="5">TPPTrans!$A$1:$Q$537</definedName>
    <definedName name="AtlasReport_3" localSheetId="6">InventSum!$A$1:$H$208</definedName>
    <definedName name="AtlasReport_4" localSheetId="7">TPPSum!$A$1:$M$114</definedName>
    <definedName name="AtlasReport_5" localSheetId="8">InventTable!$A$1:$O$187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E113" i="5" l="1"/>
  <c r="D113" i="5"/>
  <c r="D207" i="4"/>
  <c r="M536" i="3"/>
  <c r="K536" i="3"/>
  <c r="J536" i="3"/>
  <c r="H536" i="3"/>
  <c r="Q536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I661" i="2"/>
  <c r="L167" i="2"/>
  <c r="N167" i="2" s="1"/>
  <c r="L171" i="2"/>
  <c r="N171" i="2" s="1"/>
  <c r="L175" i="2"/>
  <c r="N175" i="2" s="1"/>
  <c r="L179" i="2"/>
  <c r="N179" i="2" s="1"/>
  <c r="L183" i="2"/>
  <c r="N183" i="2" s="1"/>
  <c r="L187" i="2"/>
  <c r="N187" i="2" s="1"/>
  <c r="L191" i="2"/>
  <c r="N191" i="2" s="1"/>
  <c r="L195" i="2"/>
  <c r="N195" i="2" s="1"/>
  <c r="L170" i="2"/>
  <c r="L178" i="2"/>
  <c r="N178" i="2" s="1"/>
  <c r="L190" i="2"/>
  <c r="M170" i="2"/>
  <c r="M178" i="2"/>
  <c r="M190" i="2"/>
  <c r="L168" i="2"/>
  <c r="N168" i="2" s="1"/>
  <c r="L172" i="2"/>
  <c r="L176" i="2"/>
  <c r="N176" i="2" s="1"/>
  <c r="L180" i="2"/>
  <c r="N180" i="2" s="1"/>
  <c r="L184" i="2"/>
  <c r="L188" i="2"/>
  <c r="N188" i="2" s="1"/>
  <c r="L192" i="2"/>
  <c r="L196" i="2"/>
  <c r="N196" i="2" s="1"/>
  <c r="M168" i="2"/>
  <c r="M180" i="2"/>
  <c r="M196" i="2"/>
  <c r="L174" i="2"/>
  <c r="L186" i="2"/>
  <c r="L198" i="2"/>
  <c r="M198" i="2" s="1"/>
  <c r="M167" i="2"/>
  <c r="M171" i="2"/>
  <c r="M175" i="2"/>
  <c r="M179" i="2"/>
  <c r="M183" i="2"/>
  <c r="M187" i="2"/>
  <c r="M191" i="2"/>
  <c r="M195" i="2"/>
  <c r="L169" i="2"/>
  <c r="L173" i="2"/>
  <c r="L177" i="2"/>
  <c r="L181" i="2"/>
  <c r="L185" i="2"/>
  <c r="L189" i="2"/>
  <c r="L193" i="2"/>
  <c r="L197" i="2"/>
  <c r="N170" i="2"/>
  <c r="N190" i="2"/>
  <c r="N198" i="2"/>
  <c r="M176" i="2"/>
  <c r="M188" i="2"/>
  <c r="L166" i="2"/>
  <c r="L182" i="2"/>
  <c r="L194" i="2"/>
  <c r="N172" i="2"/>
  <c r="M172" i="2"/>
  <c r="N184" i="2"/>
  <c r="M184" i="2"/>
  <c r="N192" i="2"/>
  <c r="M192" i="2"/>
  <c r="N174" i="2"/>
  <c r="M174" i="2"/>
  <c r="M186" i="2"/>
  <c r="N186" i="2"/>
  <c r="N169" i="2"/>
  <c r="M169" i="2"/>
  <c r="N173" i="2"/>
  <c r="M173" i="2"/>
  <c r="N177" i="2"/>
  <c r="M177" i="2"/>
  <c r="N181" i="2"/>
  <c r="M181" i="2"/>
  <c r="N185" i="2"/>
  <c r="M185" i="2"/>
  <c r="N189" i="2"/>
  <c r="M189" i="2"/>
  <c r="N193" i="2"/>
  <c r="M193" i="2"/>
  <c r="N197" i="2"/>
  <c r="M197" i="2"/>
  <c r="M166" i="2"/>
  <c r="N166" i="2"/>
  <c r="N182" i="2"/>
  <c r="M182" i="2"/>
  <c r="N194" i="2"/>
  <c r="M194" i="2"/>
  <c r="F1" i="1" l="1"/>
  <c r="G5" i="1" l="1"/>
  <c r="G4" i="1"/>
  <c r="E205" i="4"/>
  <c r="E189" i="4"/>
  <c r="E177" i="4"/>
  <c r="E165" i="4"/>
  <c r="E153" i="4"/>
  <c r="E137" i="4"/>
  <c r="E133" i="4"/>
  <c r="E121" i="4"/>
  <c r="E109" i="4"/>
  <c r="E97" i="4"/>
  <c r="E85" i="4"/>
  <c r="E68" i="4"/>
  <c r="E20" i="4"/>
  <c r="E206" i="4"/>
  <c r="E202" i="4"/>
  <c r="E198" i="4"/>
  <c r="E194" i="4"/>
  <c r="E190" i="4"/>
  <c r="E186" i="4"/>
  <c r="E182" i="4"/>
  <c r="E178" i="4"/>
  <c r="E174" i="4"/>
  <c r="E170" i="4"/>
  <c r="E166" i="4"/>
  <c r="E162" i="4"/>
  <c r="E158" i="4"/>
  <c r="E154" i="4"/>
  <c r="E150" i="4"/>
  <c r="E146" i="4"/>
  <c r="E142" i="4"/>
  <c r="E138" i="4"/>
  <c r="E134" i="4"/>
  <c r="F176" i="4"/>
  <c r="F144" i="4"/>
  <c r="F96" i="4"/>
  <c r="F80" i="4"/>
  <c r="F64" i="4"/>
  <c r="F48" i="4"/>
  <c r="F32" i="4"/>
  <c r="F16" i="4"/>
  <c r="F204" i="4"/>
  <c r="F188" i="4"/>
  <c r="F172" i="4"/>
  <c r="F156" i="4"/>
  <c r="F140" i="4"/>
  <c r="F124" i="4"/>
  <c r="F108" i="4"/>
  <c r="F92" i="4"/>
  <c r="F76" i="4"/>
  <c r="F60" i="4"/>
  <c r="F44" i="4"/>
  <c r="F28" i="4"/>
  <c r="F12" i="4"/>
  <c r="F192" i="4"/>
  <c r="F128" i="4"/>
  <c r="F200" i="4"/>
  <c r="F184" i="4"/>
  <c r="F168" i="4"/>
  <c r="F152" i="4"/>
  <c r="F136" i="4"/>
  <c r="F120" i="4"/>
  <c r="F104" i="4"/>
  <c r="F88" i="4"/>
  <c r="F72" i="4"/>
  <c r="F56" i="4"/>
  <c r="F40" i="4"/>
  <c r="F24" i="4"/>
  <c r="F8" i="4"/>
  <c r="F205" i="4"/>
  <c r="F201" i="4"/>
  <c r="F197" i="4"/>
  <c r="F193" i="4"/>
  <c r="F189" i="4"/>
  <c r="F185" i="4"/>
  <c r="F181" i="4"/>
  <c r="F177" i="4"/>
  <c r="F173" i="4"/>
  <c r="F169" i="4"/>
  <c r="F165" i="4"/>
  <c r="F161" i="4"/>
  <c r="F157" i="4"/>
  <c r="F153" i="4"/>
  <c r="F149" i="4"/>
  <c r="F145" i="4"/>
  <c r="F141" i="4"/>
  <c r="F137" i="4"/>
  <c r="F133" i="4"/>
  <c r="F129" i="4"/>
  <c r="F125" i="4"/>
  <c r="F121" i="4"/>
  <c r="F117" i="4"/>
  <c r="F113" i="4"/>
  <c r="F109" i="4"/>
  <c r="F105" i="4"/>
  <c r="F101" i="4"/>
  <c r="F97" i="4"/>
  <c r="F93" i="4"/>
  <c r="F89" i="4"/>
  <c r="F85" i="4"/>
  <c r="F81" i="4"/>
  <c r="F77" i="4"/>
  <c r="F73" i="4"/>
  <c r="F69" i="4"/>
  <c r="F65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203" i="4"/>
  <c r="F199" i="4"/>
  <c r="F195" i="4"/>
  <c r="F191" i="4"/>
  <c r="F187" i="4"/>
  <c r="F183" i="4"/>
  <c r="F179" i="4"/>
  <c r="F175" i="4"/>
  <c r="F171" i="4"/>
  <c r="F167" i="4"/>
  <c r="F163" i="4"/>
  <c r="F159" i="4"/>
  <c r="F155" i="4"/>
  <c r="F151" i="4"/>
  <c r="F147" i="4"/>
  <c r="F143" i="4"/>
  <c r="F139" i="4"/>
  <c r="F135" i="4"/>
  <c r="F131" i="4"/>
  <c r="F127" i="4"/>
  <c r="F123" i="4"/>
  <c r="F119" i="4"/>
  <c r="F115" i="4"/>
  <c r="F111" i="4"/>
  <c r="F107" i="4"/>
  <c r="F103" i="4"/>
  <c r="F99" i="4"/>
  <c r="F95" i="4"/>
  <c r="F91" i="4"/>
  <c r="F87" i="4"/>
  <c r="F83" i="4"/>
  <c r="F79" i="4"/>
  <c r="F75" i="4"/>
  <c r="F71" i="4"/>
  <c r="F67" i="4"/>
  <c r="F63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  <c r="F206" i="4"/>
  <c r="F202" i="4"/>
  <c r="F198" i="4"/>
  <c r="F194" i="4"/>
  <c r="F190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02" i="4"/>
  <c r="F98" i="4"/>
  <c r="F94" i="4"/>
  <c r="F90" i="4"/>
  <c r="F86" i="4"/>
  <c r="F82" i="4"/>
  <c r="F78" i="4"/>
  <c r="F74" i="4"/>
  <c r="F70" i="4"/>
  <c r="F66" i="4"/>
  <c r="F6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G112" i="5"/>
  <c r="G104" i="5"/>
  <c r="G111" i="5"/>
  <c r="G103" i="5"/>
  <c r="G108" i="5"/>
  <c r="G100" i="5"/>
  <c r="G107" i="5"/>
  <c r="G99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95" i="5"/>
  <c r="G91" i="5"/>
  <c r="G87" i="5"/>
  <c r="G83" i="5"/>
  <c r="G79" i="5"/>
  <c r="G75" i="5"/>
  <c r="G71" i="5"/>
  <c r="G67" i="5"/>
  <c r="G63" i="5"/>
  <c r="G59" i="5"/>
  <c r="G55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G110" i="5"/>
  <c r="G106" i="5"/>
  <c r="G102" i="5"/>
  <c r="G98" i="5"/>
  <c r="G94" i="5"/>
  <c r="G90" i="5"/>
  <c r="G86" i="5"/>
  <c r="G82" i="5"/>
  <c r="G78" i="5"/>
  <c r="G74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K110" i="5"/>
  <c r="K106" i="5"/>
  <c r="K102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14" i="5"/>
  <c r="K10" i="5"/>
  <c r="K6" i="5"/>
  <c r="K109" i="5"/>
  <c r="K105" i="5"/>
  <c r="K101" i="5"/>
  <c r="K97" i="5"/>
  <c r="K93" i="5"/>
  <c r="K89" i="5"/>
  <c r="K85" i="5"/>
  <c r="K81" i="5"/>
  <c r="K77" i="5"/>
  <c r="K73" i="5"/>
  <c r="K69" i="5"/>
  <c r="K65" i="5"/>
  <c r="K61" i="5"/>
  <c r="K57" i="5"/>
  <c r="K53" i="5"/>
  <c r="K49" i="5"/>
  <c r="K45" i="5"/>
  <c r="K41" i="5"/>
  <c r="K37" i="5"/>
  <c r="K33" i="5"/>
  <c r="K29" i="5"/>
  <c r="K25" i="5"/>
  <c r="K21" i="5"/>
  <c r="K17" i="5"/>
  <c r="K13" i="5"/>
  <c r="K9" i="5"/>
  <c r="K5" i="5"/>
  <c r="K112" i="5"/>
  <c r="K108" i="5"/>
  <c r="K104" i="5"/>
  <c r="K100" i="5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16" i="5"/>
  <c r="K12" i="5"/>
  <c r="K8" i="5"/>
  <c r="K4" i="5"/>
  <c r="K111" i="5"/>
  <c r="K107" i="5"/>
  <c r="K103" i="5"/>
  <c r="K99" i="5"/>
  <c r="K95" i="5"/>
  <c r="K91" i="5"/>
  <c r="K87" i="5"/>
  <c r="K83" i="5"/>
  <c r="K79" i="5"/>
  <c r="K75" i="5"/>
  <c r="K71" i="5"/>
  <c r="K67" i="5"/>
  <c r="K63" i="5"/>
  <c r="K59" i="5"/>
  <c r="K55" i="5"/>
  <c r="K51" i="5"/>
  <c r="K47" i="5"/>
  <c r="K43" i="5"/>
  <c r="K39" i="5"/>
  <c r="K35" i="5"/>
  <c r="K31" i="5"/>
  <c r="K27" i="5"/>
  <c r="K23" i="5"/>
  <c r="K19" i="5"/>
  <c r="K15" i="5"/>
  <c r="K11" i="5"/>
  <c r="K7" i="5"/>
  <c r="K3" i="5"/>
  <c r="E204" i="4"/>
  <c r="E200" i="4"/>
  <c r="E196" i="4"/>
  <c r="E192" i="4"/>
  <c r="E188" i="4"/>
  <c r="E184" i="4"/>
  <c r="E180" i="4"/>
  <c r="E176" i="4"/>
  <c r="E172" i="4"/>
  <c r="E168" i="4"/>
  <c r="E164" i="4"/>
  <c r="E160" i="4"/>
  <c r="E156" i="4"/>
  <c r="E152" i="4"/>
  <c r="E148" i="4"/>
  <c r="E144" i="4"/>
  <c r="E140" i="4"/>
  <c r="E136" i="4"/>
  <c r="E132" i="4"/>
  <c r="E128" i="4"/>
  <c r="E124" i="4"/>
  <c r="E120" i="4"/>
  <c r="E116" i="4"/>
  <c r="E112" i="4"/>
  <c r="E108" i="4"/>
  <c r="E104" i="4"/>
  <c r="E100" i="4"/>
  <c r="E96" i="4"/>
  <c r="E92" i="4"/>
  <c r="E88" i="4"/>
  <c r="E84" i="4"/>
  <c r="E80" i="4"/>
  <c r="E76" i="4"/>
  <c r="E64" i="4"/>
  <c r="E48" i="4"/>
  <c r="E32" i="4"/>
  <c r="E16" i="4"/>
  <c r="E201" i="4"/>
  <c r="E193" i="4"/>
  <c r="E173" i="4"/>
  <c r="E169" i="4"/>
  <c r="E157" i="4"/>
  <c r="E145" i="4"/>
  <c r="E125" i="4"/>
  <c r="E113" i="4"/>
  <c r="E101" i="4"/>
  <c r="E89" i="4"/>
  <c r="E77" i="4"/>
  <c r="E36" i="4"/>
  <c r="E203" i="4"/>
  <c r="E199" i="4"/>
  <c r="E195" i="4"/>
  <c r="E191" i="4"/>
  <c r="E187" i="4"/>
  <c r="E183" i="4"/>
  <c r="E179" i="4"/>
  <c r="E175" i="4"/>
  <c r="E171" i="4"/>
  <c r="E167" i="4"/>
  <c r="E163" i="4"/>
  <c r="E159" i="4"/>
  <c r="E155" i="4"/>
  <c r="E151" i="4"/>
  <c r="E147" i="4"/>
  <c r="E143" i="4"/>
  <c r="E139" i="4"/>
  <c r="E135" i="4"/>
  <c r="E131" i="4"/>
  <c r="E127" i="4"/>
  <c r="E123" i="4"/>
  <c r="E119" i="4"/>
  <c r="E115" i="4"/>
  <c r="E111" i="4"/>
  <c r="E107" i="4"/>
  <c r="E103" i="4"/>
  <c r="E99" i="4"/>
  <c r="E95" i="4"/>
  <c r="E91" i="4"/>
  <c r="E87" i="4"/>
  <c r="E83" i="4"/>
  <c r="E79" i="4"/>
  <c r="E75" i="4"/>
  <c r="E60" i="4"/>
  <c r="E44" i="4"/>
  <c r="E28" i="4"/>
  <c r="E12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F109" i="5"/>
  <c r="F105" i="5"/>
  <c r="F101" i="5"/>
  <c r="F97" i="5"/>
  <c r="F93" i="5"/>
  <c r="F89" i="5"/>
  <c r="F85" i="5"/>
  <c r="F81" i="5"/>
  <c r="F77" i="5"/>
  <c r="F73" i="5"/>
  <c r="F69" i="5"/>
  <c r="F65" i="5"/>
  <c r="F61" i="5"/>
  <c r="F56" i="5"/>
  <c r="F50" i="5"/>
  <c r="F45" i="5"/>
  <c r="F40" i="5"/>
  <c r="F34" i="5"/>
  <c r="F29" i="5"/>
  <c r="F24" i="5"/>
  <c r="F18" i="5"/>
  <c r="F13" i="5"/>
  <c r="F8" i="5"/>
  <c r="F112" i="5"/>
  <c r="F108" i="5"/>
  <c r="F104" i="5"/>
  <c r="F100" i="5"/>
  <c r="F96" i="5"/>
  <c r="F92" i="5"/>
  <c r="F88" i="5"/>
  <c r="F84" i="5"/>
  <c r="F80" i="5"/>
  <c r="F76" i="5"/>
  <c r="F72" i="5"/>
  <c r="F68" i="5"/>
  <c r="F64" i="5"/>
  <c r="F60" i="5"/>
  <c r="F54" i="5"/>
  <c r="F49" i="5"/>
  <c r="F44" i="5"/>
  <c r="F38" i="5"/>
  <c r="F33" i="5"/>
  <c r="F28" i="5"/>
  <c r="F22" i="5"/>
  <c r="F17" i="5"/>
  <c r="F12" i="5"/>
  <c r="F6" i="5"/>
  <c r="F111" i="5"/>
  <c r="F107" i="5"/>
  <c r="F103" i="5"/>
  <c r="F99" i="5"/>
  <c r="F95" i="5"/>
  <c r="F91" i="5"/>
  <c r="F87" i="5"/>
  <c r="F83" i="5"/>
  <c r="F79" i="5"/>
  <c r="F75" i="5"/>
  <c r="F71" i="5"/>
  <c r="F67" i="5"/>
  <c r="F63" i="5"/>
  <c r="F58" i="5"/>
  <c r="F53" i="5"/>
  <c r="F48" i="5"/>
  <c r="F42" i="5"/>
  <c r="F37" i="5"/>
  <c r="F32" i="5"/>
  <c r="F26" i="5"/>
  <c r="F21" i="5"/>
  <c r="F16" i="5"/>
  <c r="F10" i="5"/>
  <c r="F5" i="5"/>
  <c r="F110" i="5"/>
  <c r="F106" i="5"/>
  <c r="F102" i="5"/>
  <c r="F98" i="5"/>
  <c r="F94" i="5"/>
  <c r="F90" i="5"/>
  <c r="F86" i="5"/>
  <c r="F82" i="5"/>
  <c r="F78" i="5"/>
  <c r="F74" i="5"/>
  <c r="F70" i="5"/>
  <c r="F66" i="5"/>
  <c r="F62" i="5"/>
  <c r="F57" i="5"/>
  <c r="F52" i="5"/>
  <c r="F46" i="5"/>
  <c r="F41" i="5"/>
  <c r="F36" i="5"/>
  <c r="F30" i="5"/>
  <c r="F25" i="5"/>
  <c r="F20" i="5"/>
  <c r="F14" i="5"/>
  <c r="F9" i="5"/>
  <c r="F4" i="5"/>
  <c r="J110" i="5"/>
  <c r="J106" i="5"/>
  <c r="J102" i="5"/>
  <c r="J98" i="5"/>
  <c r="J94" i="5"/>
  <c r="J90" i="5"/>
  <c r="J86" i="5"/>
  <c r="J82" i="5"/>
  <c r="J78" i="5"/>
  <c r="J74" i="5"/>
  <c r="J70" i="5"/>
  <c r="J64" i="5"/>
  <c r="J59" i="5"/>
  <c r="J54" i="5"/>
  <c r="J48" i="5"/>
  <c r="J43" i="5"/>
  <c r="J38" i="5"/>
  <c r="J109" i="5"/>
  <c r="J105" i="5"/>
  <c r="J101" i="5"/>
  <c r="J97" i="5"/>
  <c r="J93" i="5"/>
  <c r="J89" i="5"/>
  <c r="J85" i="5"/>
  <c r="J81" i="5"/>
  <c r="J77" i="5"/>
  <c r="J73" i="5"/>
  <c r="J68" i="5"/>
  <c r="J63" i="5"/>
  <c r="J58" i="5"/>
  <c r="J52" i="5"/>
  <c r="J47" i="5"/>
  <c r="J42" i="5"/>
  <c r="J36" i="5"/>
  <c r="J112" i="5"/>
  <c r="J108" i="5"/>
  <c r="J104" i="5"/>
  <c r="J100" i="5"/>
  <c r="J96" i="5"/>
  <c r="J92" i="5"/>
  <c r="J88" i="5"/>
  <c r="J84" i="5"/>
  <c r="J80" i="5"/>
  <c r="J76" i="5"/>
  <c r="J72" i="5"/>
  <c r="J67" i="5"/>
  <c r="J62" i="5"/>
  <c r="J56" i="5"/>
  <c r="J51" i="5"/>
  <c r="J46" i="5"/>
  <c r="J40" i="5"/>
  <c r="J35" i="5"/>
  <c r="F59" i="5"/>
  <c r="F55" i="5"/>
  <c r="F51" i="5"/>
  <c r="F47" i="5"/>
  <c r="F43" i="5"/>
  <c r="F39" i="5"/>
  <c r="F35" i="5"/>
  <c r="F31" i="5"/>
  <c r="F27" i="5"/>
  <c r="F23" i="5"/>
  <c r="F19" i="5"/>
  <c r="F15" i="5"/>
  <c r="F11" i="5"/>
  <c r="F7" i="5"/>
  <c r="F3" i="5"/>
  <c r="J111" i="5"/>
  <c r="J107" i="5"/>
  <c r="J103" i="5"/>
  <c r="J99" i="5"/>
  <c r="J95" i="5"/>
  <c r="J91" i="5"/>
  <c r="J87" i="5"/>
  <c r="J83" i="5"/>
  <c r="J79" i="5"/>
  <c r="J75" i="5"/>
  <c r="J71" i="5"/>
  <c r="J66" i="5"/>
  <c r="J60" i="5"/>
  <c r="J55" i="5"/>
  <c r="J50" i="5"/>
  <c r="J44" i="5"/>
  <c r="J39" i="5"/>
  <c r="J32" i="5"/>
  <c r="J28" i="5"/>
  <c r="J24" i="5"/>
  <c r="J20" i="5"/>
  <c r="J16" i="5"/>
  <c r="J12" i="5"/>
  <c r="J8" i="5"/>
  <c r="J4" i="5"/>
  <c r="J31" i="5"/>
  <c r="J27" i="5"/>
  <c r="J23" i="5"/>
  <c r="J19" i="5"/>
  <c r="J15" i="5"/>
  <c r="J11" i="5"/>
  <c r="J7" i="5"/>
  <c r="J3" i="5"/>
  <c r="J34" i="5"/>
  <c r="J30" i="5"/>
  <c r="J26" i="5"/>
  <c r="J22" i="5"/>
  <c r="J18" i="5"/>
  <c r="J14" i="5"/>
  <c r="J10" i="5"/>
  <c r="J6" i="5"/>
  <c r="J69" i="5"/>
  <c r="J65" i="5"/>
  <c r="J61" i="5"/>
  <c r="J57" i="5"/>
  <c r="J53" i="5"/>
  <c r="J49" i="5"/>
  <c r="J45" i="5"/>
  <c r="J41" i="5"/>
  <c r="J37" i="5"/>
  <c r="J33" i="5"/>
  <c r="J29" i="5"/>
  <c r="J25" i="5"/>
  <c r="J21" i="5"/>
  <c r="J17" i="5"/>
  <c r="J13" i="5"/>
  <c r="J9" i="5"/>
  <c r="J5" i="5"/>
  <c r="F196" i="4"/>
  <c r="F180" i="4"/>
  <c r="F164" i="4"/>
  <c r="F148" i="4"/>
  <c r="F132" i="4"/>
  <c r="F116" i="4"/>
  <c r="F100" i="4"/>
  <c r="F84" i="4"/>
  <c r="F68" i="4"/>
  <c r="F52" i="4"/>
  <c r="F36" i="4"/>
  <c r="F20" i="4"/>
  <c r="F4" i="4"/>
  <c r="F160" i="4"/>
  <c r="F112" i="4"/>
  <c r="E130" i="4"/>
  <c r="E126" i="4"/>
  <c r="E122" i="4"/>
  <c r="E118" i="4"/>
  <c r="E114" i="4"/>
  <c r="E110" i="4"/>
  <c r="E106" i="4"/>
  <c r="E102" i="4"/>
  <c r="E98" i="4"/>
  <c r="E94" i="4"/>
  <c r="E90" i="4"/>
  <c r="E86" i="4"/>
  <c r="E82" i="4"/>
  <c r="E78" i="4"/>
  <c r="E72" i="4"/>
  <c r="E56" i="4"/>
  <c r="E40" i="4"/>
  <c r="E24" i="4"/>
  <c r="E8" i="4"/>
  <c r="E197" i="4"/>
  <c r="E185" i="4"/>
  <c r="E181" i="4"/>
  <c r="E161" i="4"/>
  <c r="E149" i="4"/>
  <c r="E141" i="4"/>
  <c r="E129" i="4"/>
  <c r="E117" i="4"/>
  <c r="E105" i="4"/>
  <c r="E93" i="4"/>
  <c r="E81" i="4"/>
  <c r="E52" i="4"/>
  <c r="E4" i="4"/>
  <c r="G4" i="4" l="1"/>
  <c r="G52" i="4"/>
  <c r="G81" i="4"/>
  <c r="G93" i="4"/>
  <c r="G105" i="4"/>
  <c r="G117" i="4"/>
  <c r="G129" i="4"/>
  <c r="G141" i="4"/>
  <c r="G149" i="4"/>
  <c r="G161" i="4"/>
  <c r="G181" i="4"/>
  <c r="G185" i="4"/>
  <c r="G197" i="4"/>
  <c r="G8" i="4"/>
  <c r="G24" i="4"/>
  <c r="G40" i="4"/>
  <c r="G56" i="4"/>
  <c r="G72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H112" i="4"/>
  <c r="H160" i="4"/>
  <c r="H4" i="4"/>
  <c r="H20" i="4"/>
  <c r="H36" i="4"/>
  <c r="H52" i="4"/>
  <c r="H68" i="4"/>
  <c r="H84" i="4"/>
  <c r="H100" i="4"/>
  <c r="H116" i="4"/>
  <c r="H132" i="4"/>
  <c r="H148" i="4"/>
  <c r="H164" i="4"/>
  <c r="H180" i="4"/>
  <c r="H196" i="4"/>
  <c r="L5" i="5"/>
  <c r="L9" i="5"/>
  <c r="L13" i="5"/>
  <c r="L17" i="5"/>
  <c r="L21" i="5"/>
  <c r="L25" i="5"/>
  <c r="L29" i="5"/>
  <c r="L33" i="5"/>
  <c r="L37" i="5"/>
  <c r="L41" i="5"/>
  <c r="L45" i="5"/>
  <c r="L49" i="5"/>
  <c r="L53" i="5"/>
  <c r="L57" i="5"/>
  <c r="L61" i="5"/>
  <c r="L65" i="5"/>
  <c r="L69" i="5"/>
  <c r="L6" i="5"/>
  <c r="L10" i="5"/>
  <c r="L14" i="5"/>
  <c r="L18" i="5"/>
  <c r="L22" i="5"/>
  <c r="L26" i="5"/>
  <c r="L30" i="5"/>
  <c r="L34" i="5"/>
  <c r="L3" i="5"/>
  <c r="L7" i="5"/>
  <c r="L11" i="5"/>
  <c r="L15" i="5"/>
  <c r="L19" i="5"/>
  <c r="L23" i="5"/>
  <c r="L27" i="5"/>
  <c r="L31" i="5"/>
  <c r="L4" i="5"/>
  <c r="L8" i="5"/>
  <c r="L12" i="5"/>
  <c r="L16" i="5"/>
  <c r="L20" i="5"/>
  <c r="L24" i="5"/>
  <c r="L28" i="5"/>
  <c r="L32" i="5"/>
  <c r="L39" i="5"/>
  <c r="L44" i="5"/>
  <c r="L50" i="5"/>
  <c r="L55" i="5"/>
  <c r="L60" i="5"/>
  <c r="L66" i="5"/>
  <c r="L71" i="5"/>
  <c r="L75" i="5"/>
  <c r="L79" i="5"/>
  <c r="L83" i="5"/>
  <c r="L87" i="5"/>
  <c r="L91" i="5"/>
  <c r="L95" i="5"/>
  <c r="L99" i="5"/>
  <c r="L103" i="5"/>
  <c r="L107" i="5"/>
  <c r="L111" i="5"/>
  <c r="H3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L35" i="5"/>
  <c r="L40" i="5"/>
  <c r="L46" i="5"/>
  <c r="L51" i="5"/>
  <c r="L56" i="5"/>
  <c r="L62" i="5"/>
  <c r="L67" i="5"/>
  <c r="L72" i="5"/>
  <c r="L76" i="5"/>
  <c r="L80" i="5"/>
  <c r="L84" i="5"/>
  <c r="L88" i="5"/>
  <c r="L92" i="5"/>
  <c r="L96" i="5"/>
  <c r="L100" i="5"/>
  <c r="L104" i="5"/>
  <c r="L108" i="5"/>
  <c r="L112" i="5"/>
  <c r="L36" i="5"/>
  <c r="L42" i="5"/>
  <c r="L47" i="5"/>
  <c r="L52" i="5"/>
  <c r="L58" i="5"/>
  <c r="L63" i="5"/>
  <c r="L68" i="5"/>
  <c r="L73" i="5"/>
  <c r="L77" i="5"/>
  <c r="L81" i="5"/>
  <c r="L85" i="5"/>
  <c r="L89" i="5"/>
  <c r="L93" i="5"/>
  <c r="L97" i="5"/>
  <c r="L101" i="5"/>
  <c r="L105" i="5"/>
  <c r="L109" i="5"/>
  <c r="L38" i="5"/>
  <c r="L43" i="5"/>
  <c r="L48" i="5"/>
  <c r="L54" i="5"/>
  <c r="L59" i="5"/>
  <c r="L64" i="5"/>
  <c r="L70" i="5"/>
  <c r="L74" i="5"/>
  <c r="L78" i="5"/>
  <c r="L82" i="5"/>
  <c r="L86" i="5"/>
  <c r="L90" i="5"/>
  <c r="L94" i="5"/>
  <c r="L98" i="5"/>
  <c r="L102" i="5"/>
  <c r="L106" i="5"/>
  <c r="L110" i="5"/>
  <c r="H4" i="5"/>
  <c r="H9" i="5"/>
  <c r="H14" i="5"/>
  <c r="H20" i="5"/>
  <c r="H25" i="5"/>
  <c r="H30" i="5"/>
  <c r="H36" i="5"/>
  <c r="H41" i="5"/>
  <c r="H46" i="5"/>
  <c r="H52" i="5"/>
  <c r="H57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5" i="5"/>
  <c r="H10" i="5"/>
  <c r="H16" i="5"/>
  <c r="H21" i="5"/>
  <c r="H26" i="5"/>
  <c r="H32" i="5"/>
  <c r="H37" i="5"/>
  <c r="H42" i="5"/>
  <c r="H48" i="5"/>
  <c r="H53" i="5"/>
  <c r="H58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6" i="5"/>
  <c r="H12" i="5"/>
  <c r="H17" i="5"/>
  <c r="H22" i="5"/>
  <c r="H28" i="5"/>
  <c r="H33" i="5"/>
  <c r="H38" i="5"/>
  <c r="H44" i="5"/>
  <c r="H49" i="5"/>
  <c r="H54" i="5"/>
  <c r="H60" i="5"/>
  <c r="H64" i="5"/>
  <c r="H68" i="5"/>
  <c r="H72" i="5"/>
  <c r="H76" i="5"/>
  <c r="H80" i="5"/>
  <c r="H84" i="5"/>
  <c r="H88" i="5"/>
  <c r="H92" i="5"/>
  <c r="H96" i="5"/>
  <c r="H100" i="5"/>
  <c r="H104" i="5"/>
  <c r="H108" i="5"/>
  <c r="H112" i="5"/>
  <c r="H8" i="5"/>
  <c r="H13" i="5"/>
  <c r="H18" i="5"/>
  <c r="H24" i="5"/>
  <c r="H29" i="5"/>
  <c r="H34" i="5"/>
  <c r="H40" i="5"/>
  <c r="H45" i="5"/>
  <c r="H50" i="5"/>
  <c r="H56" i="5"/>
  <c r="H61" i="5"/>
  <c r="H65" i="5"/>
  <c r="H69" i="5"/>
  <c r="H73" i="5"/>
  <c r="H77" i="5"/>
  <c r="H81" i="5"/>
  <c r="H85" i="5"/>
  <c r="H89" i="5"/>
  <c r="H93" i="5"/>
  <c r="H97" i="5"/>
  <c r="H101" i="5"/>
  <c r="H105" i="5"/>
  <c r="H109" i="5"/>
  <c r="G6" i="4"/>
  <c r="G10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12" i="4"/>
  <c r="G28" i="4"/>
  <c r="G44" i="4"/>
  <c r="G60" i="4"/>
  <c r="G75" i="4"/>
  <c r="G79" i="4"/>
  <c r="G83" i="4"/>
  <c r="G87" i="4"/>
  <c r="G91" i="4"/>
  <c r="G95" i="4"/>
  <c r="G99" i="4"/>
  <c r="G103" i="4"/>
  <c r="G107" i="4"/>
  <c r="G111" i="4"/>
  <c r="G115" i="4"/>
  <c r="G119" i="4"/>
  <c r="G123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5" i="4"/>
  <c r="G179" i="4"/>
  <c r="G183" i="4"/>
  <c r="G187" i="4"/>
  <c r="G191" i="4"/>
  <c r="G195" i="4"/>
  <c r="G199" i="4"/>
  <c r="G203" i="4"/>
  <c r="G36" i="4"/>
  <c r="G77" i="4"/>
  <c r="G89" i="4"/>
  <c r="G101" i="4"/>
  <c r="G113" i="4"/>
  <c r="G125" i="4"/>
  <c r="G145" i="4"/>
  <c r="G157" i="4"/>
  <c r="G169" i="4"/>
  <c r="G173" i="4"/>
  <c r="G193" i="4"/>
  <c r="G201" i="4"/>
  <c r="G16" i="4"/>
  <c r="G32" i="4"/>
  <c r="G48" i="4"/>
  <c r="G64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M3" i="5"/>
  <c r="M7" i="5"/>
  <c r="M11" i="5"/>
  <c r="M15" i="5"/>
  <c r="M19" i="5"/>
  <c r="M23" i="5"/>
  <c r="M27" i="5"/>
  <c r="M31" i="5"/>
  <c r="M35" i="5"/>
  <c r="M39" i="5"/>
  <c r="M43" i="5"/>
  <c r="M47" i="5"/>
  <c r="M51" i="5"/>
  <c r="M55" i="5"/>
  <c r="M59" i="5"/>
  <c r="M63" i="5"/>
  <c r="M67" i="5"/>
  <c r="M71" i="5"/>
  <c r="M75" i="5"/>
  <c r="M79" i="5"/>
  <c r="M83" i="5"/>
  <c r="M87" i="5"/>
  <c r="M91" i="5"/>
  <c r="M95" i="5"/>
  <c r="M99" i="5"/>
  <c r="M103" i="5"/>
  <c r="M107" i="5"/>
  <c r="M111" i="5"/>
  <c r="M4" i="5"/>
  <c r="M8" i="5"/>
  <c r="M12" i="5"/>
  <c r="M16" i="5"/>
  <c r="M20" i="5"/>
  <c r="M24" i="5"/>
  <c r="M28" i="5"/>
  <c r="M32" i="5"/>
  <c r="M36" i="5"/>
  <c r="M40" i="5"/>
  <c r="M44" i="5"/>
  <c r="M48" i="5"/>
  <c r="M52" i="5"/>
  <c r="M56" i="5"/>
  <c r="M60" i="5"/>
  <c r="M64" i="5"/>
  <c r="M68" i="5"/>
  <c r="M72" i="5"/>
  <c r="M76" i="5"/>
  <c r="M80" i="5"/>
  <c r="M84" i="5"/>
  <c r="M88" i="5"/>
  <c r="M92" i="5"/>
  <c r="M96" i="5"/>
  <c r="M100" i="5"/>
  <c r="M104" i="5"/>
  <c r="M108" i="5"/>
  <c r="M112" i="5"/>
  <c r="M5" i="5"/>
  <c r="M9" i="5"/>
  <c r="M13" i="5"/>
  <c r="M17" i="5"/>
  <c r="M21" i="5"/>
  <c r="M25" i="5"/>
  <c r="M29" i="5"/>
  <c r="M33" i="5"/>
  <c r="M37" i="5"/>
  <c r="M41" i="5"/>
  <c r="M45" i="5"/>
  <c r="M49" i="5"/>
  <c r="M53" i="5"/>
  <c r="M57" i="5"/>
  <c r="M61" i="5"/>
  <c r="M65" i="5"/>
  <c r="M69" i="5"/>
  <c r="M73" i="5"/>
  <c r="M77" i="5"/>
  <c r="M81" i="5"/>
  <c r="M85" i="5"/>
  <c r="M89" i="5"/>
  <c r="M93" i="5"/>
  <c r="M97" i="5"/>
  <c r="M101" i="5"/>
  <c r="M105" i="5"/>
  <c r="M109" i="5"/>
  <c r="M6" i="5"/>
  <c r="M10" i="5"/>
  <c r="M14" i="5"/>
  <c r="M18" i="5"/>
  <c r="M22" i="5"/>
  <c r="M26" i="5"/>
  <c r="M30" i="5"/>
  <c r="M34" i="5"/>
  <c r="M38" i="5"/>
  <c r="M42" i="5"/>
  <c r="M46" i="5"/>
  <c r="M50" i="5"/>
  <c r="M54" i="5"/>
  <c r="M58" i="5"/>
  <c r="M62" i="5"/>
  <c r="M66" i="5"/>
  <c r="M70" i="5"/>
  <c r="M74" i="5"/>
  <c r="M78" i="5"/>
  <c r="M82" i="5"/>
  <c r="M86" i="5"/>
  <c r="M90" i="5"/>
  <c r="M94" i="5"/>
  <c r="M98" i="5"/>
  <c r="M102" i="5"/>
  <c r="M106" i="5"/>
  <c r="M110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99" i="5"/>
  <c r="I107" i="5"/>
  <c r="I100" i="5"/>
  <c r="I108" i="5"/>
  <c r="I103" i="5"/>
  <c r="I111" i="5"/>
  <c r="I104" i="5"/>
  <c r="I112" i="5"/>
  <c r="H6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5" i="4"/>
  <c r="H9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8" i="4"/>
  <c r="H24" i="4"/>
  <c r="H40" i="4"/>
  <c r="H56" i="4"/>
  <c r="H72" i="4"/>
  <c r="G3" i="4"/>
  <c r="E207" i="4"/>
  <c r="H3" i="4"/>
  <c r="F207" i="4"/>
  <c r="H88" i="4"/>
  <c r="H104" i="4"/>
  <c r="H120" i="4"/>
  <c r="H136" i="4"/>
  <c r="H152" i="4"/>
  <c r="H168" i="4"/>
  <c r="H184" i="4"/>
  <c r="H200" i="4"/>
  <c r="H128" i="4"/>
  <c r="H192" i="4"/>
  <c r="H12" i="4"/>
  <c r="H28" i="4"/>
  <c r="H44" i="4"/>
  <c r="H60" i="4"/>
  <c r="H76" i="4"/>
  <c r="H92" i="4"/>
  <c r="H108" i="4"/>
  <c r="H124" i="4"/>
  <c r="H140" i="4"/>
  <c r="H156" i="4"/>
  <c r="H172" i="4"/>
  <c r="H188" i="4"/>
  <c r="H204" i="4"/>
  <c r="H16" i="4"/>
  <c r="H32" i="4"/>
  <c r="H48" i="4"/>
  <c r="H64" i="4"/>
  <c r="H80" i="4"/>
  <c r="H96" i="4"/>
  <c r="H144" i="4"/>
  <c r="H176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0" i="4"/>
  <c r="G68" i="4"/>
  <c r="G85" i="4"/>
  <c r="G97" i="4"/>
  <c r="G109" i="4"/>
  <c r="G121" i="4"/>
  <c r="G133" i="4"/>
  <c r="G137" i="4"/>
  <c r="G153" i="4"/>
  <c r="G165" i="4"/>
  <c r="G177" i="4"/>
  <c r="G189" i="4"/>
  <c r="G205" i="4"/>
  <c r="C4" i="1"/>
  <c r="G207" i="4" l="1"/>
  <c r="H207" i="4"/>
</calcChain>
</file>

<file path=xl/sharedStrings.xml><?xml version="1.0" encoding="utf-8"?>
<sst xmlns="http://schemas.openxmlformats.org/spreadsheetml/2006/main" count="20288" uniqueCount="1558">
  <si>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</si>
  <si>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</si>
  <si>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</si>
  <si>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</si>
  <si>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</si>
  <si>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</si>
  <si>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</si>
  <si>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</si>
  <si>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</si>
  <si>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</si>
  <si>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</si>
  <si>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</si>
  <si>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</si>
  <si>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</si>
  <si>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</si>
  <si>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Purchase order</t>
  </si>
  <si>
    <t>CS240300300</t>
  </si>
  <si>
    <t>LA15008014</t>
  </si>
  <si>
    <t>Item name</t>
  </si>
  <si>
    <t>S&amp;P C-Sheet 240 300 g/m2</t>
  </si>
  <si>
    <t>S&amp;P C-Laminate SM (150/2000) 80/1.4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</si>
  <si>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</si>
  <si>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</si>
  <si>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</si>
  <si>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</si>
  <si>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</si>
  <si>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</si>
  <si>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</si>
  <si>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</si>
  <si>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</si>
  <si>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</si>
  <si>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</si>
  <si>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</si>
  <si>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</si>
  <si>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</si>
  <si>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</si>
  <si>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</si>
  <si>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</si>
  <si>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CS240200300</t>
  </si>
  <si>
    <t>LA15005014</t>
  </si>
  <si>
    <t>LA15010014</t>
  </si>
  <si>
    <t>LA15012014</t>
  </si>
  <si>
    <t>LARESI22015</t>
  </si>
  <si>
    <t>CS240400300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</si>
  <si>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</si>
  <si>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</si>
  <si>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</si>
  <si>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</si>
  <si>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</si>
  <si>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</si>
  <si>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</si>
  <si>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</si>
  <si>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</si>
  <si>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</si>
  <si>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</si>
  <si>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</si>
  <si>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</si>
  <si>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</si>
  <si>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</si>
  <si>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</si>
  <si>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</si>
  <si>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</si>
  <si>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LA15010012</t>
  </si>
  <si>
    <t>S&amp;P C-Laminate SM (150/2000) 100/1.2</t>
  </si>
  <si>
    <t>LA15005012</t>
  </si>
  <si>
    <t>S&amp;P C-Laminate SM (150/2000) 50/1.2</t>
  </si>
  <si>
    <t>KG</t>
  </si>
  <si>
    <t>S&amp;P C-Sheet 240 400 g/m2</t>
  </si>
  <si>
    <t>S&amp;P C-Laminate SM (150/2000) 50/1.4</t>
  </si>
  <si>
    <t>S&amp;P C-Laminate SM (150/2000) 100/1.4</t>
  </si>
  <si>
    <t>L</t>
  </si>
  <si>
    <t>AML500195050</t>
  </si>
  <si>
    <t>ARMOMUR025</t>
  </si>
  <si>
    <t>CS240600300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</si>
  <si>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</si>
  <si>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</si>
  <si>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</si>
  <si>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</si>
  <si>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</si>
  <si>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</si>
  <si>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</si>
  <si>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</si>
  <si>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BOM</t>
  </si>
  <si>
    <t>S&amp;P C-Sheet 240 600 g/m2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</si>
  <si>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</si>
  <si>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</si>
  <si>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</si>
  <si>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</si>
  <si>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</si>
  <si>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</si>
  <si>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</si>
  <si>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</si>
  <si>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</si>
  <si>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</si>
  <si>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</si>
  <si>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</si>
  <si>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</si>
  <si>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</si>
  <si>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</si>
  <si>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</si>
  <si>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S&amp;P ARMO-mur , bag of 25kg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</si>
  <si>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</si>
  <si>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</si>
  <si>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</si>
  <si>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</si>
  <si>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</si>
  <si>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</si>
  <si>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</si>
  <si>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</si>
  <si>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</si>
  <si>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</si>
  <si>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</si>
  <si>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</si>
  <si>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</si>
  <si>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</si>
  <si>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SHRESEPO55HP6KG</t>
  </si>
  <si>
    <t>S&amp;P Resin 55 HP
(Set à 6kg)</t>
  </si>
  <si>
    <t>EUR</t>
  </si>
  <si>
    <t>Check Trans</t>
  </si>
  <si>
    <t>Yes</t>
  </si>
  <si>
    <t>Transaction text</t>
  </si>
  <si>
    <t>*</t>
  </si>
  <si>
    <t>Sales order</t>
  </si>
  <si>
    <t>No</t>
  </si>
  <si>
    <t>TransOrigin</t>
  </si>
  <si>
    <t>Lot Id</t>
  </si>
  <si>
    <t>Adjustment?</t>
  </si>
  <si>
    <t>Group by</t>
  </si>
  <si>
    <t>ACMOPPRC019</t>
  </si>
  <si>
    <t>AML200195050</t>
  </si>
  <si>
    <t>ANGF150070AR</t>
  </si>
  <si>
    <t>S&amp;P RC Power Pack,bag of 19 kg.</t>
  </si>
  <si>
    <t>S&amp;P ARMO-mesh L200</t>
  </si>
  <si>
    <t>S&amp;P Glasfaserbewehrung AR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</si>
  <si>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</si>
  <si>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</si>
  <si>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</si>
  <si>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</si>
  <si>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</si>
  <si>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</si>
  <si>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</si>
  <si>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</si>
  <si>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</si>
  <si>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</si>
  <si>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</si>
  <si>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</si>
  <si>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</si>
  <si>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</si>
  <si>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</si>
  <si>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</si>
  <si>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</si>
  <si>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</si>
  <si>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</si>
  <si>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</si>
  <si>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</si>
  <si>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</si>
  <si>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</si>
  <si>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</si>
  <si>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</si>
  <si>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TPP Cost price</t>
  </si>
  <si>
    <t>TPP Cost Amount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</si>
  <si>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</si>
  <si>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</si>
  <si>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</si>
  <si>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</si>
  <si>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</si>
  <si>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</si>
  <si>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</si>
  <si>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</si>
  <si>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</si>
  <si>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</si>
  <si>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</si>
  <si>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</si>
  <si>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</si>
  <si>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</si>
  <si>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</si>
  <si>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</si>
  <si>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</si>
  <si>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</si>
  <si>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</si>
  <si>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</si>
  <si>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</si>
  <si>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</si>
  <si>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</si>
  <si>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</si>
  <si>
    <t>Totaled</t>
  </si>
  <si>
    <t>Material</t>
  </si>
  <si>
    <t>V1.1</t>
  </si>
  <si>
    <t>Fix an issue in TPPSum, TPP balance (ending)</t>
  </si>
  <si>
    <t>ARMOWET025RB</t>
  </si>
  <si>
    <t>S&amp;P ARMO-crete w (rb) 25kg bag</t>
  </si>
  <si>
    <t>Branch</t>
  </si>
  <si>
    <t>Department</t>
  </si>
  <si>
    <t>Cost Center</t>
  </si>
  <si>
    <t>Purpose</t>
  </si>
  <si>
    <t>Tax Group</t>
  </si>
  <si>
    <t>Segment</t>
  </si>
  <si>
    <t>Major Marketing Group</t>
  </si>
  <si>
    <t>Detail Marketing Group</t>
  </si>
  <si>
    <t>Statutory</t>
  </si>
  <si>
    <t>Channel</t>
  </si>
  <si>
    <t>013</t>
  </si>
  <si>
    <t>ICIRpsSp</t>
  </si>
  <si>
    <t>ICI</t>
  </si>
  <si>
    <t>ARMO</t>
  </si>
  <si>
    <t>Grid</t>
  </si>
  <si>
    <t>Mortar Wet</t>
  </si>
  <si>
    <t>FRP</t>
  </si>
  <si>
    <t>Epoxy</t>
  </si>
  <si>
    <t>Sheets Car</t>
  </si>
  <si>
    <t>Laminate</t>
  </si>
  <si>
    <t>Cleaner</t>
  </si>
  <si>
    <t>FX70-JKT-A3MM</t>
  </si>
  <si>
    <t>PowerPack</t>
  </si>
  <si>
    <t>RPS-ALL</t>
  </si>
  <si>
    <t>Grouts</t>
  </si>
  <si>
    <t>FX JACKET, THICKNESS 3MM</t>
  </si>
  <si>
    <t>FX70</t>
  </si>
  <si>
    <t>Posted</t>
  </si>
  <si>
    <t>V1.2</t>
  </si>
  <si>
    <t>In On-hand statement report, round up the amount to 2 decimals when comparing the transaction amount;</t>
  </si>
  <si>
    <t>Fix an issue when there is no record generated;</t>
  </si>
  <si>
    <t>V1.3</t>
  </si>
  <si>
    <t>Fix an issue that macro won't run if there is no record in the list;</t>
  </si>
  <si>
    <t>Transaction</t>
  </si>
  <si>
    <t>Component</t>
  </si>
  <si>
    <t>Supplies</t>
  </si>
  <si>
    <t>200</t>
  </si>
  <si>
    <t>ANGF220100AR</t>
  </si>
  <si>
    <t>Mortar Dry</t>
  </si>
  <si>
    <t>FX225_rb</t>
  </si>
  <si>
    <t>FX225 Repair Mortar Underwater 25KG bag</t>
  </si>
  <si>
    <t>EPOXIES</t>
  </si>
  <si>
    <t>300</t>
  </si>
  <si>
    <t>Shipping</t>
  </si>
  <si>
    <t>Packaging</t>
  </si>
  <si>
    <t>AA-010</t>
  </si>
  <si>
    <t>171</t>
  </si>
  <si>
    <t>SP</t>
  </si>
  <si>
    <t>AA-020</t>
  </si>
  <si>
    <t>AA-030</t>
  </si>
  <si>
    <t>AD-320</t>
  </si>
  <si>
    <t>AK-010</t>
  </si>
  <si>
    <t>AP-010</t>
  </si>
  <si>
    <t>AR-010</t>
  </si>
  <si>
    <t>AW-010</t>
  </si>
  <si>
    <t>CE-050</t>
  </si>
  <si>
    <t>CE-060</t>
  </si>
  <si>
    <t>CE-070</t>
  </si>
  <si>
    <t>SILO</t>
  </si>
  <si>
    <t>CE-080</t>
  </si>
  <si>
    <t>CT-670</t>
  </si>
  <si>
    <t>FL-010</t>
  </si>
  <si>
    <t>FN-010</t>
  </si>
  <si>
    <t>FR-010</t>
  </si>
  <si>
    <t>FS-540</t>
  </si>
  <si>
    <t>FS-550</t>
  </si>
  <si>
    <t>FS-560</t>
  </si>
  <si>
    <t>FS-570</t>
  </si>
  <si>
    <t>FS-580</t>
  </si>
  <si>
    <t>FS-590</t>
  </si>
  <si>
    <t>FT-680</t>
  </si>
  <si>
    <t>FT-690</t>
  </si>
  <si>
    <t>IM080F</t>
  </si>
  <si>
    <t>IM092F</t>
  </si>
  <si>
    <t>MA-130</t>
  </si>
  <si>
    <t>MA-140</t>
  </si>
  <si>
    <t>MO041F</t>
  </si>
  <si>
    <t>MO042F</t>
  </si>
  <si>
    <t>MO043F</t>
  </si>
  <si>
    <t>MO044F</t>
  </si>
  <si>
    <t>MO045F</t>
  </si>
  <si>
    <t>MO051F</t>
  </si>
  <si>
    <t>MO075F</t>
  </si>
  <si>
    <t>MO081F</t>
  </si>
  <si>
    <t>MO082F</t>
  </si>
  <si>
    <t>MO083F</t>
  </si>
  <si>
    <t>MO100F</t>
  </si>
  <si>
    <t>MO110F</t>
  </si>
  <si>
    <t>PG-461</t>
  </si>
  <si>
    <t>PG-470</t>
  </si>
  <si>
    <t>PI010C</t>
  </si>
  <si>
    <t>PM-630</t>
  </si>
  <si>
    <t>RE070F</t>
  </si>
  <si>
    <t>RE080F</t>
  </si>
  <si>
    <t>RE231F</t>
  </si>
  <si>
    <t>RE-290</t>
  </si>
  <si>
    <t>RE-300</t>
  </si>
  <si>
    <t>SF-150</t>
  </si>
  <si>
    <t>SF-160</t>
  </si>
  <si>
    <t>SPMO001</t>
  </si>
  <si>
    <t>SPMO002</t>
  </si>
  <si>
    <t>SS-240</t>
  </si>
  <si>
    <t>SS-250</t>
  </si>
  <si>
    <t>ST-010</t>
  </si>
  <si>
    <t>SV-300</t>
  </si>
  <si>
    <t>SV-390</t>
  </si>
  <si>
    <t>TP-340</t>
  </si>
  <si>
    <t>TS-440</t>
  </si>
  <si>
    <t>Sodium aluminate powder</t>
  </si>
  <si>
    <t>010</t>
  </si>
  <si>
    <t>SPA1</t>
  </si>
  <si>
    <t>Additive</t>
  </si>
  <si>
    <t>Accelerato</t>
  </si>
  <si>
    <t>Lithium carbonate</t>
  </si>
  <si>
    <t>Light sodium carbonate</t>
  </si>
  <si>
    <t>AD058F</t>
  </si>
  <si>
    <t>TECNOACRY (5KG)</t>
  </si>
  <si>
    <t>Acrylics</t>
  </si>
  <si>
    <t>AD060F</t>
  </si>
  <si>
    <t>TECNOACRY (25KG)</t>
  </si>
  <si>
    <t>AD070F</t>
  </si>
  <si>
    <t>TECNOACRY (200KG)</t>
  </si>
  <si>
    <t>BYK-A 530</t>
  </si>
  <si>
    <t>Defoamer</t>
  </si>
  <si>
    <t>Aluminum powder 10890</t>
  </si>
  <si>
    <t>Non-shrink</t>
  </si>
  <si>
    <t>BORRESPERSE NA 220</t>
  </si>
  <si>
    <t>Plasticize</t>
  </si>
  <si>
    <t>Tartaric acid</t>
  </si>
  <si>
    <t>Retardent</t>
  </si>
  <si>
    <t>VINNAPAS 8031</t>
  </si>
  <si>
    <t>Water repe</t>
  </si>
  <si>
    <t>ELECTROLAND</t>
  </si>
  <si>
    <t>Cement</t>
  </si>
  <si>
    <t>CSA</t>
  </si>
  <si>
    <t>DENKA SC1</t>
  </si>
  <si>
    <t>CEM I 52,5 R</t>
  </si>
  <si>
    <t>Type I</t>
  </si>
  <si>
    <t>CEM I 52,5 N/SR</t>
  </si>
  <si>
    <t>ARADUR 2965CH</t>
  </si>
  <si>
    <t>Catalyst</t>
  </si>
  <si>
    <t>t-amine</t>
  </si>
  <si>
    <t>DI006C</t>
  </si>
  <si>
    <t>TECNODIL-R (5L)</t>
  </si>
  <si>
    <t>DI008C</t>
  </si>
  <si>
    <t>TECNODIL-R (10L)</t>
  </si>
  <si>
    <t>DI010C</t>
  </si>
  <si>
    <t>TECNODIL-R (25L)</t>
  </si>
  <si>
    <t>Fibre dramix</t>
  </si>
  <si>
    <t>Fiber</t>
  </si>
  <si>
    <t>Steel</t>
  </si>
  <si>
    <t>NEUFLEX 4 mm</t>
  </si>
  <si>
    <t>NITRILE AC</t>
  </si>
  <si>
    <t>FIBERCAST 500 19 mm</t>
  </si>
  <si>
    <t>PROPYLEN</t>
  </si>
  <si>
    <t>Silica sand 0,2</t>
  </si>
  <si>
    <t>Filler</t>
  </si>
  <si>
    <t>Silica</t>
  </si>
  <si>
    <t>Silica sand 0,1-0,5</t>
  </si>
  <si>
    <t>Silica sand 0,5-1,0</t>
  </si>
  <si>
    <t>Silica sand 1,0 - 2,0</t>
  </si>
  <si>
    <t>Silica sand 2,0 - 3,0</t>
  </si>
  <si>
    <t>Silica sand 3,0 - 5,0</t>
  </si>
  <si>
    <t>INDULTAC-10</t>
  </si>
  <si>
    <t>Thickening</t>
  </si>
  <si>
    <t>BENTONE SD2</t>
  </si>
  <si>
    <t>TECNOIMPER-FLEX (A+B 28.4KG)</t>
  </si>
  <si>
    <t>IM080F-1</t>
  </si>
  <si>
    <t>TECNOIMPER-FLEX (A+B KG)</t>
  </si>
  <si>
    <t>TECNOIMPER (25KG)</t>
  </si>
  <si>
    <t>IM092F-1</t>
  </si>
  <si>
    <t>TECNOIMPER (KG)</t>
  </si>
  <si>
    <t>S&amp;P Resin 220 (Set of 15 kg)</t>
  </si>
  <si>
    <t>ENCOR 5100</t>
  </si>
  <si>
    <t>Resin</t>
  </si>
  <si>
    <t>Acrylic</t>
  </si>
  <si>
    <t>ORGAL P-803 CM</t>
  </si>
  <si>
    <t>TECNOGROUT-N (25KG)</t>
  </si>
  <si>
    <t>MO041F-1</t>
  </si>
  <si>
    <t>TECNOGROUT-N (KG)</t>
  </si>
  <si>
    <t>TECNOGROUT-N RAPIDO (25KG)</t>
  </si>
  <si>
    <t>MO042F-1</t>
  </si>
  <si>
    <t>TECNOGROUT-N RAPIDO (KG)</t>
  </si>
  <si>
    <t>TECNOGROUT-N/PR (25KG)</t>
  </si>
  <si>
    <t>MO043F-1</t>
  </si>
  <si>
    <t>TECNOGROUT-N/PR (KG)</t>
  </si>
  <si>
    <t>TECNOGROUT-N/PR RAPIDO (25KG)</t>
  </si>
  <si>
    <t>MO044F-1</t>
  </si>
  <si>
    <t>TECNOGROUT-N/PR RAPIDO (KG)</t>
  </si>
  <si>
    <t>TECNOGROUT-N/GR (25KG)</t>
  </si>
  <si>
    <t>MO045F-1</t>
  </si>
  <si>
    <t>TECNOGROUT-N/GR (KG)</t>
  </si>
  <si>
    <t>MO047F</t>
  </si>
  <si>
    <t>TECNOGROUT-SR (25KG)</t>
  </si>
  <si>
    <t>MO047F-1</t>
  </si>
  <si>
    <t>TECNOGROUT-SR (KG)</t>
  </si>
  <si>
    <t>TECNOGROUT-K (25KG)</t>
  </si>
  <si>
    <t>MO051F-1</t>
  </si>
  <si>
    <t>TECNOGROUT-K (KG)</t>
  </si>
  <si>
    <t>TECNOGROUT-FIB (25KG)</t>
  </si>
  <si>
    <t>MO075F-1</t>
  </si>
  <si>
    <t>TECNOGROUT-FIB (KG)</t>
  </si>
  <si>
    <t>FERROGROUT-A (25KG)</t>
  </si>
  <si>
    <t>MO081F-1</t>
  </si>
  <si>
    <t>FERROGROUT-A (KG)</t>
  </si>
  <si>
    <t>FERROGROUT-A BLACK (25KG)</t>
  </si>
  <si>
    <t>MO082F-1</t>
  </si>
  <si>
    <t>FERROGROUT-A BLACK (KG)</t>
  </si>
  <si>
    <t>FERROGROUT-A RAPIDO (25KG)</t>
  </si>
  <si>
    <t>MO083F-1</t>
  </si>
  <si>
    <t>FERROGROUT-A RAPIDO (KG)</t>
  </si>
  <si>
    <t>MO084F</t>
  </si>
  <si>
    <t>FERROGROUT-A RAPIDO BLACK (25KG)</t>
  </si>
  <si>
    <t>MO084F-1</t>
  </si>
  <si>
    <t>FERROGROUT-A RAPIDO BLACK (KG)</t>
  </si>
  <si>
    <t>TECNOSTOP (25KG)</t>
  </si>
  <si>
    <t>MO100F-1</t>
  </si>
  <si>
    <t>TECNOSTOP (KG)</t>
  </si>
  <si>
    <t>TECNOGROUT-IN (20KG)</t>
  </si>
  <si>
    <t>MO110F-1</t>
  </si>
  <si>
    <t>TECNOGROUT-IN (KG)</t>
  </si>
  <si>
    <t>MPRE032</t>
  </si>
  <si>
    <t>FETADIT IN A+B 1KG</t>
  </si>
  <si>
    <t>MPRE033</t>
  </si>
  <si>
    <t>FETADIT IN A+B 2KG</t>
  </si>
  <si>
    <t>MPRE034</t>
  </si>
  <si>
    <t>FETADIT IN A+B 5KG</t>
  </si>
  <si>
    <t>MPRE077</t>
  </si>
  <si>
    <t>RALVADUR MATE</t>
  </si>
  <si>
    <t>Oxined white</t>
  </si>
  <si>
    <t>Pigment</t>
  </si>
  <si>
    <t>Pigment Me</t>
  </si>
  <si>
    <t>BAYFERROX BLACK 320</t>
  </si>
  <si>
    <t>TECNOPINT</t>
  </si>
  <si>
    <t>Paints</t>
  </si>
  <si>
    <t>Lead oxide</t>
  </si>
  <si>
    <t>PM-640</t>
  </si>
  <si>
    <t>Zinc oxide</t>
  </si>
  <si>
    <t>RE010F</t>
  </si>
  <si>
    <t>TECNOPOX-ANCLAJES (A+B 2KG)</t>
  </si>
  <si>
    <t>RE020F</t>
  </si>
  <si>
    <t>TECNOPOX-ANCLAJES (A+B 7KG)</t>
  </si>
  <si>
    <t>RE030F</t>
  </si>
  <si>
    <t>TECNOPOX-ANCLAJES (A+B 14KG)</t>
  </si>
  <si>
    <t>RE031F</t>
  </si>
  <si>
    <t>TECNOPOX-P (A+B 2KG)</t>
  </si>
  <si>
    <t>RE040F</t>
  </si>
  <si>
    <t>TECNOPOX-P (A+B 5KG)</t>
  </si>
  <si>
    <t>RE050C</t>
  </si>
  <si>
    <t>TECNOPOX-IN (A+B 2KG)</t>
  </si>
  <si>
    <t>RE060C</t>
  </si>
  <si>
    <t>TECNOPOX-IN (A+B 5KG)</t>
  </si>
  <si>
    <t>RE061C</t>
  </si>
  <si>
    <t>TECNOPOX-IN (A+B 1KG)</t>
  </si>
  <si>
    <t>TECNOPOX-FL (A+B 2KG)</t>
  </si>
  <si>
    <t>TECNOPOX-FL (A+B 5KG)</t>
  </si>
  <si>
    <t>RE100F</t>
  </si>
  <si>
    <t>TECNOPOX-FL (A+B 10KG)</t>
  </si>
  <si>
    <t>RE230F</t>
  </si>
  <si>
    <t>ADHEPOX-SPFM (A+B 2KG)</t>
  </si>
  <si>
    <t>ADHEPOX-SPFM (A+B 5KG)</t>
  </si>
  <si>
    <t>RE232F</t>
  </si>
  <si>
    <t>ADHEPOX-SPFM (A+B 10KG)</t>
  </si>
  <si>
    <t>RE260F</t>
  </si>
  <si>
    <t>TECNOPROT-EPOX (A+B 5KG)</t>
  </si>
  <si>
    <t>ARALDITE GY 257</t>
  </si>
  <si>
    <t>ARALDITE GY 250</t>
  </si>
  <si>
    <t>RE306F</t>
  </si>
  <si>
    <t>TECNOPOX-S (A+B 10KG)</t>
  </si>
  <si>
    <t>RE314F</t>
  </si>
  <si>
    <t>AGENTE TIXOTRÓPICO (10KG)</t>
  </si>
  <si>
    <t>RE318F</t>
  </si>
  <si>
    <t>AGENTE TIXOTRÓPICO (20KG)</t>
  </si>
  <si>
    <t>RE350F</t>
  </si>
  <si>
    <t>TECNOPOX-S (A+B 5KG)</t>
  </si>
  <si>
    <t>SE-020</t>
  </si>
  <si>
    <t>Water</t>
  </si>
  <si>
    <t>Solvent</t>
  </si>
  <si>
    <t>BYK-P 104</t>
  </si>
  <si>
    <t>Surfactant</t>
  </si>
  <si>
    <t>ANTITERRA-U</t>
  </si>
  <si>
    <t>ADITIVO T-1</t>
  </si>
  <si>
    <t>ADITIVO T-2</t>
  </si>
  <si>
    <t>SPMO003</t>
  </si>
  <si>
    <t>ADITIVO T-3</t>
  </si>
  <si>
    <t>SPMO006</t>
  </si>
  <si>
    <t>ADITIVO T-6</t>
  </si>
  <si>
    <t>SPMO008</t>
  </si>
  <si>
    <t>ADITIVO T-8</t>
  </si>
  <si>
    <t>FLUBE OS 139</t>
  </si>
  <si>
    <t>Superplast</t>
  </si>
  <si>
    <t>MELMENT F-10</t>
  </si>
  <si>
    <t>XYLENE</t>
  </si>
  <si>
    <t>Volatile</t>
  </si>
  <si>
    <t>BENZYL ALCOHOL</t>
  </si>
  <si>
    <t>TOLUENE</t>
  </si>
  <si>
    <t>TYLOSE MH 15003 P6</t>
  </si>
  <si>
    <t>Polimeric</t>
  </si>
  <si>
    <t>MICRONIZADO G-100</t>
  </si>
  <si>
    <t>SO0000479</t>
  </si>
  <si>
    <t>Lot 005799</t>
  </si>
  <si>
    <t>Lot 005797</t>
  </si>
  <si>
    <t>Lot 005798</t>
  </si>
  <si>
    <t>RE316F</t>
  </si>
  <si>
    <t>Thixotropic agent 25kg</t>
  </si>
  <si>
    <t>Lot 005800</t>
  </si>
  <si>
    <t>SO0000480</t>
  </si>
  <si>
    <t>Lot 005812</t>
  </si>
  <si>
    <t>Lot 005813</t>
  </si>
  <si>
    <t>REBKT0025</t>
  </si>
  <si>
    <t>Resin Bucket 2.50 lt</t>
  </si>
  <si>
    <t>Lot 005814</t>
  </si>
  <si>
    <t>SO0000481</t>
  </si>
  <si>
    <t>Lot 005823</t>
  </si>
  <si>
    <t>SO0000482</t>
  </si>
  <si>
    <t>MO011F</t>
  </si>
  <si>
    <t>TECNOGROUT-MR (25kg)</t>
  </si>
  <si>
    <t>Lot 005824</t>
  </si>
  <si>
    <t>SO0000483</t>
  </si>
  <si>
    <t>Lot 005825</t>
  </si>
  <si>
    <t>SO0000484</t>
  </si>
  <si>
    <t>Lot 005826</t>
  </si>
  <si>
    <t>SO0000485</t>
  </si>
  <si>
    <t>Lot 005830</t>
  </si>
  <si>
    <t>Lot 005831</t>
  </si>
  <si>
    <t>Lot 005832</t>
  </si>
  <si>
    <t>Lot 005833</t>
  </si>
  <si>
    <t>FX763CTG-PS</t>
  </si>
  <si>
    <t>FX763CTG EPOXY PASTE CARTRIDGE (POR/ESP)</t>
  </si>
  <si>
    <t>Lot 005828</t>
  </si>
  <si>
    <t>Lot 005827</t>
  </si>
  <si>
    <t>PI080C</t>
  </si>
  <si>
    <t>TECNOXAN (25kg)</t>
  </si>
  <si>
    <t>Lot 005829</t>
  </si>
  <si>
    <t>SO0000486</t>
  </si>
  <si>
    <t>Lot 005834</t>
  </si>
  <si>
    <t>SO0000487</t>
  </si>
  <si>
    <t>Lot 005835</t>
  </si>
  <si>
    <t>SO0000488</t>
  </si>
  <si>
    <t>Lot 005836</t>
  </si>
  <si>
    <t>Lot 005837</t>
  </si>
  <si>
    <t>SO0000489</t>
  </si>
  <si>
    <t>Lot 005838</t>
  </si>
  <si>
    <t>SO0000490</t>
  </si>
  <si>
    <t>MO021F</t>
  </si>
  <si>
    <t>TECNOGROUT-PR (25kg)</t>
  </si>
  <si>
    <t>Lot 005840</t>
  </si>
  <si>
    <t>SO0000491</t>
  </si>
  <si>
    <t>Lot 005843</t>
  </si>
  <si>
    <t>Lot 005844</t>
  </si>
  <si>
    <t>SO0000492</t>
  </si>
  <si>
    <t>Lot 005845</t>
  </si>
  <si>
    <t>Lot 005846</t>
  </si>
  <si>
    <t>SO0000493</t>
  </si>
  <si>
    <t>Lot 005849</t>
  </si>
  <si>
    <t>Lot 005848</t>
  </si>
  <si>
    <t>SO0000494</t>
  </si>
  <si>
    <t>Lot 005850</t>
  </si>
  <si>
    <t>SO0000495</t>
  </si>
  <si>
    <t>Lot 005852</t>
  </si>
  <si>
    <t>Lot 005854</t>
  </si>
  <si>
    <t>SO0000496</t>
  </si>
  <si>
    <t>Lot 005864</t>
  </si>
  <si>
    <t>SO0000497</t>
  </si>
  <si>
    <t>Lot 005855</t>
  </si>
  <si>
    <t>Lot 005856</t>
  </si>
  <si>
    <t>SO0000498</t>
  </si>
  <si>
    <t>Lot 005863</t>
  </si>
  <si>
    <t>SO0000499</t>
  </si>
  <si>
    <t>Lot 005859</t>
  </si>
  <si>
    <t>SO0000501</t>
  </si>
  <si>
    <t>Lot 005865</t>
  </si>
  <si>
    <t>SO0000502</t>
  </si>
  <si>
    <t>Lot 005925</t>
  </si>
  <si>
    <t>SO0000503</t>
  </si>
  <si>
    <t>Lot 005929</t>
  </si>
  <si>
    <t>SO0000504</t>
  </si>
  <si>
    <t>Lot 005933</t>
  </si>
  <si>
    <t>SO0000505</t>
  </si>
  <si>
    <t>Lot 005934</t>
  </si>
  <si>
    <t>SO0000506</t>
  </si>
  <si>
    <t>Lot 005936</t>
  </si>
  <si>
    <t>Lot 005935</t>
  </si>
  <si>
    <t>Lot 005937</t>
  </si>
  <si>
    <t>SO0000507</t>
  </si>
  <si>
    <t>Lot 005938</t>
  </si>
  <si>
    <t>SO0000509</t>
  </si>
  <si>
    <t>Lot 005943</t>
  </si>
  <si>
    <t>Lot 005940</t>
  </si>
  <si>
    <t>Lot 005941</t>
  </si>
  <si>
    <t>Lot 005942</t>
  </si>
  <si>
    <t>SO0000512</t>
  </si>
  <si>
    <t>Lot 005972</t>
  </si>
  <si>
    <t>SO0000513</t>
  </si>
  <si>
    <t>Lot 005974</t>
  </si>
  <si>
    <t>Lot 005975</t>
  </si>
  <si>
    <t>Lot 005978</t>
  </si>
  <si>
    <t>Lot 005976</t>
  </si>
  <si>
    <t>SO0000514</t>
  </si>
  <si>
    <t>Lot 006025</t>
  </si>
  <si>
    <t>SO0000515</t>
  </si>
  <si>
    <t>Lot 006082</t>
  </si>
  <si>
    <t>Lot 006080</t>
  </si>
  <si>
    <t>Lot 006081</t>
  </si>
  <si>
    <t>SO0000516</t>
  </si>
  <si>
    <t>Lot 006083</t>
  </si>
  <si>
    <t>Lot 006084</t>
  </si>
  <si>
    <t>SO0000517</t>
  </si>
  <si>
    <t>FS-600</t>
  </si>
  <si>
    <t>Silica Sand</t>
  </si>
  <si>
    <t>Lot 006229</t>
  </si>
  <si>
    <t>Lot 006100</t>
  </si>
  <si>
    <t>Lot 006098</t>
  </si>
  <si>
    <t>Lot 006099</t>
  </si>
  <si>
    <t>SO0000518</t>
  </si>
  <si>
    <t>Lot 006104</t>
  </si>
  <si>
    <t>Lot 006103</t>
  </si>
  <si>
    <t>Lot 006106</t>
  </si>
  <si>
    <t>Lot 006105</t>
  </si>
  <si>
    <t>SO0000519</t>
  </si>
  <si>
    <t>Lot 006189</t>
  </si>
  <si>
    <t>Lot 006188</t>
  </si>
  <si>
    <t>SO0000520</t>
  </si>
  <si>
    <t>Lot 006191</t>
  </si>
  <si>
    <t>Lot 006192</t>
  </si>
  <si>
    <t>Lot 006193</t>
  </si>
  <si>
    <t>Lot 006190</t>
  </si>
  <si>
    <t>SO0000523</t>
  </si>
  <si>
    <t>Lot 006232</t>
  </si>
  <si>
    <t>SO0000524</t>
  </si>
  <si>
    <t>Lot 006243</t>
  </si>
  <si>
    <t>Lot 006242</t>
  </si>
  <si>
    <t>SO0000525</t>
  </si>
  <si>
    <t>Lot 006276</t>
  </si>
  <si>
    <t>Lot 006277</t>
  </si>
  <si>
    <t>PS020C</t>
  </si>
  <si>
    <t>TECNOPUR-CA, 1 box (20 pcs)</t>
  </si>
  <si>
    <t>Lot 006278</t>
  </si>
  <si>
    <t>RECAN025</t>
  </si>
  <si>
    <t>Container 25 lt.</t>
  </si>
  <si>
    <t>Lot 006279</t>
  </si>
  <si>
    <t>RP020C</t>
  </si>
  <si>
    <t>TECNOPOL-21P, kit 10kg (Comp. A +B)</t>
  </si>
  <si>
    <t>Lot 006273</t>
  </si>
  <si>
    <t>RP030C</t>
  </si>
  <si>
    <t>TECNOPOL-21R, kit 10kg (Comp. A+B)</t>
  </si>
  <si>
    <t>Lot 006275</t>
  </si>
  <si>
    <t>SO0000526</t>
  </si>
  <si>
    <t>Lot 006280</t>
  </si>
  <si>
    <t>SO0000527</t>
  </si>
  <si>
    <t>Lot 006318</t>
  </si>
  <si>
    <t>Lot 006327</t>
  </si>
  <si>
    <t>SO0000528</t>
  </si>
  <si>
    <t>Lot 006351</t>
  </si>
  <si>
    <t>SO0000529</t>
  </si>
  <si>
    <t>Lot 006395</t>
  </si>
  <si>
    <t>SO0000530</t>
  </si>
  <si>
    <t>Lot 006396</t>
  </si>
  <si>
    <t>SO0000531</t>
  </si>
  <si>
    <t>Lot 006408</t>
  </si>
  <si>
    <t>SO0000532</t>
  </si>
  <si>
    <t>Lot 006410</t>
  </si>
  <si>
    <t>SO0000533</t>
  </si>
  <si>
    <t>Lot 006416</t>
  </si>
  <si>
    <t>Production</t>
  </si>
  <si>
    <t>Prod00000005</t>
  </si>
  <si>
    <t>Lot 005148</t>
  </si>
  <si>
    <t>Prod00000006</t>
  </si>
  <si>
    <t>Lot 005156</t>
  </si>
  <si>
    <t>Prod00000007</t>
  </si>
  <si>
    <t>Lot 005179</t>
  </si>
  <si>
    <t>Prod00000008</t>
  </si>
  <si>
    <t>Lot 005188</t>
  </si>
  <si>
    <t>Prod00000009</t>
  </si>
  <si>
    <t>Lot 005211</t>
  </si>
  <si>
    <t>Prod00000010</t>
  </si>
  <si>
    <t>Lot 005220</t>
  </si>
  <si>
    <t>Prod00000011</t>
  </si>
  <si>
    <t>Lot 005243</t>
  </si>
  <si>
    <t>Prod00000012</t>
  </si>
  <si>
    <t>Lot 005252</t>
  </si>
  <si>
    <t>Prod00000013</t>
  </si>
  <si>
    <t>Lot 005261</t>
  </si>
  <si>
    <t>Prod00000014</t>
  </si>
  <si>
    <t>Lot 005271</t>
  </si>
  <si>
    <t>Prod00000015</t>
  </si>
  <si>
    <t>Lot 005312</t>
  </si>
  <si>
    <t>Prod00000016</t>
  </si>
  <si>
    <t>Lot 005335</t>
  </si>
  <si>
    <t>Prod00000017</t>
  </si>
  <si>
    <t>Lot 005343</t>
  </si>
  <si>
    <t>Prod00000018</t>
  </si>
  <si>
    <t>Lot 005366</t>
  </si>
  <si>
    <t>Prod00000019</t>
  </si>
  <si>
    <t>Lot 005374</t>
  </si>
  <si>
    <t>Prod00000020</t>
  </si>
  <si>
    <t>Lot 005397</t>
  </si>
  <si>
    <t>Prod00000021</t>
  </si>
  <si>
    <t>MO011F-1</t>
  </si>
  <si>
    <t>TECNOGROUT-MR</t>
  </si>
  <si>
    <t>Lot 005405</t>
  </si>
  <si>
    <t>Prod00000022</t>
  </si>
  <si>
    <t>Lot 005428</t>
  </si>
  <si>
    <t>Prod00000023</t>
  </si>
  <si>
    <t>Lot 005436</t>
  </si>
  <si>
    <t>Prod00000024</t>
  </si>
  <si>
    <t>Lot 005439</t>
  </si>
  <si>
    <t>Prod00000025</t>
  </si>
  <si>
    <t>MO021F-1</t>
  </si>
  <si>
    <t>TECNOGROUT-PR</t>
  </si>
  <si>
    <t>Lot 005471</t>
  </si>
  <si>
    <t>Prod00000026</t>
  </si>
  <si>
    <t>Lot 005488</t>
  </si>
  <si>
    <t>Prod00000027</t>
  </si>
  <si>
    <t>Lot 005496</t>
  </si>
  <si>
    <t>Prod00000028</t>
  </si>
  <si>
    <t>Lot 005519</t>
  </si>
  <si>
    <t>Prod00000029</t>
  </si>
  <si>
    <t>Lot 005527</t>
  </si>
  <si>
    <t>Prod00000030</t>
  </si>
  <si>
    <t>Lot 005550</t>
  </si>
  <si>
    <t>Prod00000031</t>
  </si>
  <si>
    <t>Lot 005553</t>
  </si>
  <si>
    <t>Prod00000032</t>
  </si>
  <si>
    <t>Lot 005582</t>
  </si>
  <si>
    <t>Prod00000033</t>
  </si>
  <si>
    <t>Lot 005605</t>
  </si>
  <si>
    <t>Prod00000034</t>
  </si>
  <si>
    <t>Lot 005613</t>
  </si>
  <si>
    <t>Prod00000035</t>
  </si>
  <si>
    <t>Lot 005639</t>
  </si>
  <si>
    <t>Prod00000036</t>
  </si>
  <si>
    <t>Lot 005647</t>
  </si>
  <si>
    <t>Prod00000037</t>
  </si>
  <si>
    <t>Lot 005670</t>
  </si>
  <si>
    <t>Prod00000038</t>
  </si>
  <si>
    <t>Lot 005678</t>
  </si>
  <si>
    <t>Prod00000039</t>
  </si>
  <si>
    <t>Lot 005701</t>
  </si>
  <si>
    <t>Prod00000040</t>
  </si>
  <si>
    <t>Lot 005709</t>
  </si>
  <si>
    <t>Prod00000041</t>
  </si>
  <si>
    <t>Lot 005732</t>
  </si>
  <si>
    <t>Prod00000042</t>
  </si>
  <si>
    <t>Lot 005762</t>
  </si>
  <si>
    <t>Prod00000043</t>
  </si>
  <si>
    <t>Lot 005773</t>
  </si>
  <si>
    <t>Prod00000044</t>
  </si>
  <si>
    <t>Lot 005801</t>
  </si>
  <si>
    <t>Prod00000045</t>
  </si>
  <si>
    <t>Lot 005815</t>
  </si>
  <si>
    <t>Prod00000046</t>
  </si>
  <si>
    <t>Lot 005866</t>
  </si>
  <si>
    <t>Prod00000047</t>
  </si>
  <si>
    <t>Lot 005892</t>
  </si>
  <si>
    <t>Prod00000048</t>
  </si>
  <si>
    <t>Lot 005915</t>
  </si>
  <si>
    <t>Prod00000049</t>
  </si>
  <si>
    <t>Lot 005930</t>
  </si>
  <si>
    <t>Prod00000050</t>
  </si>
  <si>
    <t>Lot 005944</t>
  </si>
  <si>
    <t>Prod00000051</t>
  </si>
  <si>
    <t>Lot 005979</t>
  </si>
  <si>
    <t>Prod00000052</t>
  </si>
  <si>
    <t>Lot 006026</t>
  </si>
  <si>
    <t>Prod00000053</t>
  </si>
  <si>
    <t>Lot 006049</t>
  </si>
  <si>
    <t>Prod00000054</t>
  </si>
  <si>
    <t>Lot 006072</t>
  </si>
  <si>
    <t>Prod00000055</t>
  </si>
  <si>
    <t>Lot 006090</t>
  </si>
  <si>
    <t>Prod00000056</t>
  </si>
  <si>
    <t>Lot 006108</t>
  </si>
  <si>
    <t>Prod00000057</t>
  </si>
  <si>
    <t>Lot 006131</t>
  </si>
  <si>
    <t>Prod00000058</t>
  </si>
  <si>
    <t>Lot 006145</t>
  </si>
  <si>
    <t>Prod00000059</t>
  </si>
  <si>
    <t>Lot 006156</t>
  </si>
  <si>
    <t>Prod00000060</t>
  </si>
  <si>
    <t>Lot 006179</t>
  </si>
  <si>
    <t>Prod00000061</t>
  </si>
  <si>
    <t>Lot 006197</t>
  </si>
  <si>
    <t>Prod00000062</t>
  </si>
  <si>
    <t>Lot 006220</t>
  </si>
  <si>
    <t>Prod00000063</t>
  </si>
  <si>
    <t>Lot 006256</t>
  </si>
  <si>
    <t>Prod00000064</t>
  </si>
  <si>
    <t>Lot 006264</t>
  </si>
  <si>
    <t>Prod00000065</t>
  </si>
  <si>
    <t>Lot 006281</t>
  </si>
  <si>
    <t>Prod00000066</t>
  </si>
  <si>
    <t>Lot 006310</t>
  </si>
  <si>
    <t>Prod00000067</t>
  </si>
  <si>
    <t>Lot 006319</t>
  </si>
  <si>
    <t>Prod00000068</t>
  </si>
  <si>
    <t>Lot 006343</t>
  </si>
  <si>
    <t>Prod00000069</t>
  </si>
  <si>
    <t>Lot 006353</t>
  </si>
  <si>
    <t>Prod00000070</t>
  </si>
  <si>
    <t>Lot 006376</t>
  </si>
  <si>
    <t>Prod00000071</t>
  </si>
  <si>
    <t>Lot 006397</t>
  </si>
  <si>
    <t>Prod00000072</t>
  </si>
  <si>
    <t>Lot 006417</t>
  </si>
  <si>
    <t>Prod00000073</t>
  </si>
  <si>
    <t>Lot 006437</t>
  </si>
  <si>
    <t>ApP0000334</t>
  </si>
  <si>
    <t>Lot 005073</t>
  </si>
  <si>
    <t>ApP0000335</t>
  </si>
  <si>
    <t>Lot 005076</t>
  </si>
  <si>
    <t>Lot 005077</t>
  </si>
  <si>
    <t>Lot 005078</t>
  </si>
  <si>
    <t>ApP0000336</t>
  </si>
  <si>
    <t>Lot 005074</t>
  </si>
  <si>
    <t>ApP0000337</t>
  </si>
  <si>
    <t>Lot 005075</t>
  </si>
  <si>
    <t>ApP0000338</t>
  </si>
  <si>
    <t>Lot 005079</t>
  </si>
  <si>
    <t>ApP0000344</t>
  </si>
  <si>
    <t>Lot 005106</t>
  </si>
  <si>
    <t>ApP0000349</t>
  </si>
  <si>
    <t>MPRE100</t>
  </si>
  <si>
    <t>SIKAGUARD-711</t>
  </si>
  <si>
    <t>Lot 005740</t>
  </si>
  <si>
    <t>ApP0000350</t>
  </si>
  <si>
    <t>Lot 005793</t>
  </si>
  <si>
    <t>ApP0000353</t>
  </si>
  <si>
    <t>MOBAGINK</t>
  </si>
  <si>
    <t>Mortar Bag Ink</t>
  </si>
  <si>
    <t>Lot 005796</t>
  </si>
  <si>
    <t>ApP0000355</t>
  </si>
  <si>
    <t>MPRP001</t>
  </si>
  <si>
    <t>IR 3321</t>
  </si>
  <si>
    <t>Lot 005851</t>
  </si>
  <si>
    <t>MPRP002</t>
  </si>
  <si>
    <t>IR 3360</t>
  </si>
  <si>
    <t>Lot 005853</t>
  </si>
  <si>
    <t>ApP0000356</t>
  </si>
  <si>
    <t>Lot 005923</t>
  </si>
  <si>
    <t>ApP0000357</t>
  </si>
  <si>
    <t>Lot 005924</t>
  </si>
  <si>
    <t>ApP0000358</t>
  </si>
  <si>
    <t>Lot 005939</t>
  </si>
  <si>
    <t>ApP0000359</t>
  </si>
  <si>
    <t>Lot 005957</t>
  </si>
  <si>
    <t>Lot 005958</t>
  </si>
  <si>
    <t>ApP0000361</t>
  </si>
  <si>
    <t>TRPALET001</t>
  </si>
  <si>
    <t>EUR - Palette</t>
  </si>
  <si>
    <t>Lot 005964</t>
  </si>
  <si>
    <t>ApP0000363</t>
  </si>
  <si>
    <t>Lot 006023</t>
  </si>
  <si>
    <t>Lot 006024</t>
  </si>
  <si>
    <t>ApP0000367</t>
  </si>
  <si>
    <t>Lot 006154</t>
  </si>
  <si>
    <t>Lot 006153</t>
  </si>
  <si>
    <t>Lot 006155</t>
  </si>
  <si>
    <t>ApP0000369</t>
  </si>
  <si>
    <t>MOBAGFIB</t>
  </si>
  <si>
    <t>Mortar Bag FIB</t>
  </si>
  <si>
    <t>Lot 006385</t>
  </si>
  <si>
    <t>MOBAGN</t>
  </si>
  <si>
    <t>Mortar Bag N</t>
  </si>
  <si>
    <t>Lot 006384</t>
  </si>
  <si>
    <t>MOBAGNEUTRAL</t>
  </si>
  <si>
    <t>Mortar Bag Neutral no kg</t>
  </si>
  <si>
    <t>Lot 006386</t>
  </si>
  <si>
    <t>ApP0000370</t>
  </si>
  <si>
    <t>Lot 006388</t>
  </si>
  <si>
    <t>Lot 006387</t>
  </si>
  <si>
    <t>Lot 006389</t>
  </si>
  <si>
    <t>ApP0000372</t>
  </si>
  <si>
    <t>Lot 006390</t>
  </si>
  <si>
    <t>Lot 006391</t>
  </si>
  <si>
    <t>Lot 006392</t>
  </si>
  <si>
    <t>InvJ000152</t>
  </si>
  <si>
    <t>Lot 005927</t>
  </si>
  <si>
    <t>Lot 005928</t>
  </si>
  <si>
    <t>InvJ000154</t>
  </si>
  <si>
    <t>MOBAGMR</t>
  </si>
  <si>
    <t>Mortar Bag MR</t>
  </si>
  <si>
    <t>Lot 006087</t>
  </si>
  <si>
    <t>InvJ000155</t>
  </si>
  <si>
    <t>Lot 006195</t>
  </si>
  <si>
    <t>Lot 006194</t>
  </si>
  <si>
    <t>Lot 006196</t>
  </si>
  <si>
    <t>InvJ000156</t>
  </si>
  <si>
    <t>Lot 006239</t>
  </si>
  <si>
    <t>InvJ000157</t>
  </si>
  <si>
    <t>Lot 006238</t>
  </si>
  <si>
    <t>InvJ000158</t>
  </si>
  <si>
    <t>Lot 006237</t>
  </si>
  <si>
    <t>Lot 006235</t>
  </si>
  <si>
    <t>Lot 006236</t>
  </si>
  <si>
    <t>InvJ000159</t>
  </si>
  <si>
    <t>Lot 006245</t>
  </si>
  <si>
    <t>InvJ000160</t>
  </si>
  <si>
    <t>Lot 006247</t>
  </si>
  <si>
    <t>Lot 006246</t>
  </si>
  <si>
    <t>InvJ000161</t>
  </si>
  <si>
    <t>Lot 006248</t>
  </si>
  <si>
    <t>Lot 006249</t>
  </si>
  <si>
    <t>InvJ000162</t>
  </si>
  <si>
    <t>Lot 006251</t>
  </si>
  <si>
    <t>Lot 006252</t>
  </si>
  <si>
    <t>Lot 006250</t>
  </si>
  <si>
    <t>InvJ000163</t>
  </si>
  <si>
    <t>Lot 006254</t>
  </si>
  <si>
    <t>Lot 006255</t>
  </si>
  <si>
    <t>Lot 006253</t>
  </si>
  <si>
    <t>Profit/Loss</t>
  </si>
  <si>
    <t>InvJ000149</t>
  </si>
  <si>
    <t>Lot 004936</t>
  </si>
  <si>
    <t>Lot 004939</t>
  </si>
  <si>
    <t>Lot 004942</t>
  </si>
  <si>
    <t>Lot 004965</t>
  </si>
  <si>
    <t>Lot 004940</t>
  </si>
  <si>
    <t>Lot 004938</t>
  </si>
  <si>
    <t>Lot 004948</t>
  </si>
  <si>
    <t>Lot 004947</t>
  </si>
  <si>
    <t>Lot 004944</t>
  </si>
  <si>
    <t>Lot 004953</t>
  </si>
  <si>
    <t>Lot 004945</t>
  </si>
  <si>
    <t>Lot 004935</t>
  </si>
  <si>
    <t>Lot 004993</t>
  </si>
  <si>
    <t>Lot 004994</t>
  </si>
  <si>
    <t>Lot 004995</t>
  </si>
  <si>
    <t>Lot 004996</t>
  </si>
  <si>
    <t>Lot 004997</t>
  </si>
  <si>
    <t>Lot 004998</t>
  </si>
  <si>
    <t>Lot 004999</t>
  </si>
  <si>
    <t>Lot 005000</t>
  </si>
  <si>
    <t>Lot 005001</t>
  </si>
  <si>
    <t>Lot 005002</t>
  </si>
  <si>
    <t>Lot 005003</t>
  </si>
  <si>
    <t>Lot 005004</t>
  </si>
  <si>
    <t>Lot 005005</t>
  </si>
  <si>
    <t>Lot 005006</t>
  </si>
  <si>
    <t>Lot 005007</t>
  </si>
  <si>
    <t>Lot 005008</t>
  </si>
  <si>
    <t>Lot 005009</t>
  </si>
  <si>
    <t>Lot 005010</t>
  </si>
  <si>
    <t>Lot 005011</t>
  </si>
  <si>
    <t>Lot 005012</t>
  </si>
  <si>
    <t>Lot 005013</t>
  </si>
  <si>
    <t>Lot 005014</t>
  </si>
  <si>
    <t>Lot 005015</t>
  </si>
  <si>
    <t>Lot 005016</t>
  </si>
  <si>
    <t>Lot 005017</t>
  </si>
  <si>
    <t>Lot 005018</t>
  </si>
  <si>
    <t>Lot 005019</t>
  </si>
  <si>
    <t>Lot 005020</t>
  </si>
  <si>
    <t>Lot 004964</t>
  </si>
  <si>
    <t>Lot 004937</t>
  </si>
  <si>
    <t>Lot 004952</t>
  </si>
  <si>
    <t>Lot 004941</t>
  </si>
  <si>
    <t>Lot 004955</t>
  </si>
  <si>
    <t>Lot 004956</t>
  </si>
  <si>
    <t>Lot 004957</t>
  </si>
  <si>
    <t>Lot 004958</t>
  </si>
  <si>
    <t>Lot 004959</t>
  </si>
  <si>
    <t>Lot 004960</t>
  </si>
  <si>
    <t>Lot 004949</t>
  </si>
  <si>
    <t>Lot 004972</t>
  </si>
  <si>
    <t>Lot 004976</t>
  </si>
  <si>
    <t>Lot 004977</t>
  </si>
  <si>
    <t>Lot 004978</t>
  </si>
  <si>
    <t>Lot 004979</t>
  </si>
  <si>
    <t>Lot 004980</t>
  </si>
  <si>
    <t>Lot 004981</t>
  </si>
  <si>
    <t>Lot 004982</t>
  </si>
  <si>
    <t>Lot 004983</t>
  </si>
  <si>
    <t>Lot 004984</t>
  </si>
  <si>
    <t>Lot 004985</t>
  </si>
  <si>
    <t>Lot 004986</t>
  </si>
  <si>
    <t>Lot 004987</t>
  </si>
  <si>
    <t>Lot 004988</t>
  </si>
  <si>
    <t>Lot 004989</t>
  </si>
  <si>
    <t>Lot 004990</t>
  </si>
  <si>
    <t>Lot 004991</t>
  </si>
  <si>
    <t>Lot 004992</t>
  </si>
  <si>
    <t>Lot 004954</t>
  </si>
  <si>
    <t>Lot 004970</t>
  </si>
  <si>
    <t>Lot 004950</t>
  </si>
  <si>
    <t>Lot 004973</t>
  </si>
  <si>
    <t>Lot 004962</t>
  </si>
  <si>
    <t>Lot 004963</t>
  </si>
  <si>
    <t>Lot 004966</t>
  </si>
  <si>
    <t>Lot 004967</t>
  </si>
  <si>
    <t>Lot 004974</t>
  </si>
  <si>
    <t>Lot 004975</t>
  </si>
  <si>
    <t>Lot 004943</t>
  </si>
  <si>
    <t>Lot 004951</t>
  </si>
  <si>
    <t>Lot 004969</t>
  </si>
  <si>
    <t>Lot 004968</t>
  </si>
  <si>
    <t>Lot 004971</t>
  </si>
  <si>
    <t>Lot 004946</t>
  </si>
  <si>
    <t>Lot 004961</t>
  </si>
  <si>
    <t>InvJ000150</t>
  </si>
  <si>
    <t>Lot 005103</t>
  </si>
  <si>
    <t>Lot 005104</t>
  </si>
  <si>
    <t>Lot 005102</t>
  </si>
  <si>
    <t>Lot 005089</t>
  </si>
  <si>
    <t>Lot 005084</t>
  </si>
  <si>
    <t>Lot 005092</t>
  </si>
  <si>
    <t>Lot 005085</t>
  </si>
  <si>
    <t>Lot 005093</t>
  </si>
  <si>
    <t>Lot 005086</t>
  </si>
  <si>
    <t>Lot 005087</t>
  </si>
  <si>
    <t>Lot 005088</t>
  </si>
  <si>
    <t>Lot 005094</t>
  </si>
  <si>
    <t>Lot 005095</t>
  </si>
  <si>
    <t>Lot 005096</t>
  </si>
  <si>
    <t>Lot 005090</t>
  </si>
  <si>
    <t>Lot 005091</t>
  </si>
  <si>
    <t>Lot 005100</t>
  </si>
  <si>
    <t>Lot 005101</t>
  </si>
  <si>
    <t>Lot 005097</t>
  </si>
  <si>
    <t>Lot 005098</t>
  </si>
  <si>
    <t>Lot 005099</t>
  </si>
  <si>
    <t>Lot 005105</t>
  </si>
  <si>
    <t>InvJ000151</t>
  </si>
  <si>
    <t>AA-040</t>
  </si>
  <si>
    <t>Calcium formate</t>
  </si>
  <si>
    <t>Lot 005140</t>
  </si>
  <si>
    <t>Lot 005135</t>
  </si>
  <si>
    <t>AD-390</t>
  </si>
  <si>
    <t>VINAPOR DF 9010DF</t>
  </si>
  <si>
    <t>Lot 005143</t>
  </si>
  <si>
    <t>Lot 005134</t>
  </si>
  <si>
    <t>CE-090</t>
  </si>
  <si>
    <t>Belith CTS 50</t>
  </si>
  <si>
    <t>Lot 005138</t>
  </si>
  <si>
    <t>FP-340</t>
  </si>
  <si>
    <t>FUMED SILICA N Black</t>
  </si>
  <si>
    <t>Lot 005141</t>
  </si>
  <si>
    <t>Lot 005137</t>
  </si>
  <si>
    <t>FT-700</t>
  </si>
  <si>
    <t>CIMSIL A55</t>
  </si>
  <si>
    <t>Lot 005139</t>
  </si>
  <si>
    <t>FX225</t>
  </si>
  <si>
    <t>25 KG, UNDERWATER GROUT</t>
  </si>
  <si>
    <t>Lot 005132</t>
  </si>
  <si>
    <t>FX225BB</t>
  </si>
  <si>
    <t>FX225 Concentrate BB Black Bag</t>
  </si>
  <si>
    <t>Lot 005133</t>
  </si>
  <si>
    <t>Lot 005147</t>
  </si>
  <si>
    <t>Lot 005136</t>
  </si>
  <si>
    <t>IMCAN010</t>
  </si>
  <si>
    <t>Container 10 lt.</t>
  </si>
  <si>
    <t>Lot 005111</t>
  </si>
  <si>
    <t>Lot 005144</t>
  </si>
  <si>
    <t>MOBAG025NEUTRAL</t>
  </si>
  <si>
    <t>Mortar Bag Neutral 25 kg</t>
  </si>
  <si>
    <t>Lot 005130</t>
  </si>
  <si>
    <t>MOBAGFERRO</t>
  </si>
  <si>
    <t>Mortar Bag Ferrogrout</t>
  </si>
  <si>
    <t>Lot 005119</t>
  </si>
  <si>
    <t>Lot 005114</t>
  </si>
  <si>
    <t>MOBAGGR</t>
  </si>
  <si>
    <t>Mortar Bag GR</t>
  </si>
  <si>
    <t>Lot 005115</t>
  </si>
  <si>
    <t>MOBAGK</t>
  </si>
  <si>
    <t>Mortar Bag K</t>
  </si>
  <si>
    <t>Lot 005116</t>
  </si>
  <si>
    <t>Lot 005117</t>
  </si>
  <si>
    <t>Lot 005129</t>
  </si>
  <si>
    <t>MOBAGNGR</t>
  </si>
  <si>
    <t>Mortar Bag N/GR</t>
  </si>
  <si>
    <t>Lot 005121</t>
  </si>
  <si>
    <t>MOBAGOPEN</t>
  </si>
  <si>
    <t>Mortar Bag Open</t>
  </si>
  <si>
    <t>Lot 005122</t>
  </si>
  <si>
    <t>MOBAGPR</t>
  </si>
  <si>
    <t>Mortar Bag PR</t>
  </si>
  <si>
    <t>Lot 005120</t>
  </si>
  <si>
    <t>MOBAGSR</t>
  </si>
  <si>
    <t>Mortar Bag SR</t>
  </si>
  <si>
    <t>Lot 005118</t>
  </si>
  <si>
    <t>MOBAGTECNO</t>
  </si>
  <si>
    <t>Mortar Bag Tecnostop</t>
  </si>
  <si>
    <t>Lot 005128</t>
  </si>
  <si>
    <t>PL010C</t>
  </si>
  <si>
    <t>TECNOLIM (10L)</t>
  </si>
  <si>
    <t>Lot 005145</t>
  </si>
  <si>
    <t>Lot 005146</t>
  </si>
  <si>
    <t>REBKT00055</t>
  </si>
  <si>
    <t>Resin Bucket 550 cc</t>
  </si>
  <si>
    <t>Lot 005126</t>
  </si>
  <si>
    <t>REBKT00110</t>
  </si>
  <si>
    <t>Resin Bucket 1.10 lt</t>
  </si>
  <si>
    <t>Lot 005123</t>
  </si>
  <si>
    <t>Lot 005125</t>
  </si>
  <si>
    <t>REBKT0056</t>
  </si>
  <si>
    <t>Resin Bucket 5.6 lt</t>
  </si>
  <si>
    <t>Lot 005127</t>
  </si>
  <si>
    <t>REBKT01070</t>
  </si>
  <si>
    <t>Resin Bucket 10.70 lt</t>
  </si>
  <si>
    <t>Lot 005110</t>
  </si>
  <si>
    <t>REBKT025</t>
  </si>
  <si>
    <t>Resin Bucket 25.0 lt</t>
  </si>
  <si>
    <t>Lot 005124</t>
  </si>
  <si>
    <t>RECAN005</t>
  </si>
  <si>
    <t>Container 5 lt.</t>
  </si>
  <si>
    <t>Lot 005113</t>
  </si>
  <si>
    <t>Lot 005112</t>
  </si>
  <si>
    <t>SS-230</t>
  </si>
  <si>
    <t>MELFLUX 2651F</t>
  </si>
  <si>
    <t>Lot 005142</t>
  </si>
  <si>
    <t>Lot 006542</t>
  </si>
  <si>
    <t>Lot 006543</t>
  </si>
  <si>
    <t>Lot 005965</t>
  </si>
  <si>
    <t>Lot 006549</t>
  </si>
  <si>
    <t>Lot 005966</t>
  </si>
  <si>
    <t>Lot 005967</t>
  </si>
  <si>
    <t>Lot 005968</t>
  </si>
  <si>
    <t>Lot 006544</t>
  </si>
  <si>
    <t>Lot 005969</t>
  </si>
  <si>
    <t>Lot 005970</t>
  </si>
  <si>
    <t>Lot 006545</t>
  </si>
  <si>
    <t>Lot 006546</t>
  </si>
  <si>
    <t>Lot 006547</t>
  </si>
  <si>
    <t>Lot 006548</t>
  </si>
  <si>
    <t>Lot 005971</t>
  </si>
  <si>
    <t>Lot 006550</t>
  </si>
  <si>
    <t>Lot 006538</t>
  </si>
  <si>
    <t>Lot 006539</t>
  </si>
  <si>
    <t>Lot 006540</t>
  </si>
  <si>
    <t>Lot 006541</t>
  </si>
  <si>
    <t>Production line</t>
  </si>
  <si>
    <t>Lot 005150</t>
  </si>
  <si>
    <t>Lot 005149</t>
  </si>
  <si>
    <t>Lot 005157</t>
  </si>
  <si>
    <t>Lot 005158</t>
  </si>
  <si>
    <t>Lot 005159</t>
  </si>
  <si>
    <t>Lot 005160</t>
  </si>
  <si>
    <t>Lot 005161</t>
  </si>
  <si>
    <t>Lot 005162</t>
  </si>
  <si>
    <t>Lot 005180</t>
  </si>
  <si>
    <t>Lot 005182</t>
  </si>
  <si>
    <t>Lot 005189</t>
  </si>
  <si>
    <t>Lot 005190</t>
  </si>
  <si>
    <t>Lot 005191</t>
  </si>
  <si>
    <t>Lot 005192</t>
  </si>
  <si>
    <t>Lot 005193</t>
  </si>
  <si>
    <t>Lot 005194</t>
  </si>
  <si>
    <t>Lot 005212</t>
  </si>
  <si>
    <t>Lot 005214</t>
  </si>
  <si>
    <t>Lot 005221</t>
  </si>
  <si>
    <t>Lot 005222</t>
  </si>
  <si>
    <t>Lot 005223</t>
  </si>
  <si>
    <t>Lot 005224</t>
  </si>
  <si>
    <t>Lot 005225</t>
  </si>
  <si>
    <t>Lot 005226</t>
  </si>
  <si>
    <t>Lot 005244</t>
  </si>
  <si>
    <t>Lot 005246</t>
  </si>
  <si>
    <t>Lot 005253</t>
  </si>
  <si>
    <t>Lot 005255</t>
  </si>
  <si>
    <t>Lot 005262</t>
  </si>
  <si>
    <t>Lot 005263</t>
  </si>
  <si>
    <t>Lot 005264</t>
  </si>
  <si>
    <t>Lot 005267</t>
  </si>
  <si>
    <t>Lot 005269</t>
  </si>
  <si>
    <t>Lot 005266</t>
  </si>
  <si>
    <t>Lot 005265</t>
  </si>
  <si>
    <t>Lot 005275</t>
  </si>
  <si>
    <t>Lot 005281</t>
  </si>
  <si>
    <t>Lot 005280</t>
  </si>
  <si>
    <t>Lot 005278</t>
  </si>
  <si>
    <t>Lot 005277</t>
  </si>
  <si>
    <t>Lot 005272</t>
  </si>
  <si>
    <t>Lot 005273</t>
  </si>
  <si>
    <t>Lot 005284</t>
  </si>
  <si>
    <t>Lot 005283</t>
  </si>
  <si>
    <t>Lot 005276</t>
  </si>
  <si>
    <t>Lot 005274</t>
  </si>
  <si>
    <t>Lot 005279</t>
  </si>
  <si>
    <t>Lot 005313</t>
  </si>
  <si>
    <t>Lot 005314</t>
  </si>
  <si>
    <t>Lot 005315</t>
  </si>
  <si>
    <t>Lot 005316</t>
  </si>
  <si>
    <t>Lot 005317</t>
  </si>
  <si>
    <t>Lot 005318</t>
  </si>
  <si>
    <t>Lot 005336</t>
  </si>
  <si>
    <t>Lot 005337</t>
  </si>
  <si>
    <t>Lot 005344</t>
  </si>
  <si>
    <t>Lot 005345</t>
  </si>
  <si>
    <t>Lot 005346</t>
  </si>
  <si>
    <t>Lot 005347</t>
  </si>
  <si>
    <t>Lot 005348</t>
  </si>
  <si>
    <t>Lot 005349</t>
  </si>
  <si>
    <t>Lot 005367</t>
  </si>
  <si>
    <t>Lot 005368</t>
  </si>
  <si>
    <t>Lot 005375</t>
  </si>
  <si>
    <t>Lot 005376</t>
  </si>
  <si>
    <t>Lot 005377</t>
  </si>
  <si>
    <t>Lot 005378</t>
  </si>
  <si>
    <t>Lot 005379</t>
  </si>
  <si>
    <t>Lot 005380</t>
  </si>
  <si>
    <t>Lot 005398</t>
  </si>
  <si>
    <t>Lot 005399</t>
  </si>
  <si>
    <t>Lot 005406</t>
  </si>
  <si>
    <t>Lot 005407</t>
  </si>
  <si>
    <t>Lot 005408</t>
  </si>
  <si>
    <t>Lot 005409</t>
  </si>
  <si>
    <t>Lot 005410</t>
  </si>
  <si>
    <t>Lot 005411</t>
  </si>
  <si>
    <t>Lot 005429</t>
  </si>
  <si>
    <t>Lot 005430</t>
  </si>
  <si>
    <t>Lot 005437</t>
  </si>
  <si>
    <t>Lot 005446</t>
  </si>
  <si>
    <t>Lot 005443</t>
  </si>
  <si>
    <t>Lot 005444</t>
  </si>
  <si>
    <t>Lot 005445</t>
  </si>
  <si>
    <t>Lot 005440</t>
  </si>
  <si>
    <t>Lot 005441</t>
  </si>
  <si>
    <t>Lot 005449</t>
  </si>
  <si>
    <t>Lot 005448</t>
  </si>
  <si>
    <t>Lot 005442</t>
  </si>
  <si>
    <t>Lot 005472</t>
  </si>
  <si>
    <t>Lot 005473</t>
  </si>
  <si>
    <t>Lot 005474</t>
  </si>
  <si>
    <t>Lot 005475</t>
  </si>
  <si>
    <t>Lot 005489</t>
  </si>
  <si>
    <t>Lot 005490</t>
  </si>
  <si>
    <t>Lot 005497</t>
  </si>
  <si>
    <t>Lot 005498</t>
  </si>
  <si>
    <t>Lot 005499</t>
  </si>
  <si>
    <t>Lot 005500</t>
  </si>
  <si>
    <t>Lot 005501</t>
  </si>
  <si>
    <t>Lot 005502</t>
  </si>
  <si>
    <t>Lot 005520</t>
  </si>
  <si>
    <t>Lot 005521</t>
  </si>
  <si>
    <t>Lot 005528</t>
  </si>
  <si>
    <t>Lot 005529</t>
  </si>
  <si>
    <t>Lot 005530</t>
  </si>
  <si>
    <t>Lot 005531</t>
  </si>
  <si>
    <t>Lot 005532</t>
  </si>
  <si>
    <t>Lot 005533</t>
  </si>
  <si>
    <t>Lot 005551</t>
  </si>
  <si>
    <t>Lot 005552</t>
  </si>
  <si>
    <t>Lot 005554</t>
  </si>
  <si>
    <t>Lot 005555</t>
  </si>
  <si>
    <t>Lot 005556</t>
  </si>
  <si>
    <t>Lot 005557</t>
  </si>
  <si>
    <t>Lot 005558</t>
  </si>
  <si>
    <t>Lot 005559</t>
  </si>
  <si>
    <t>Lot 005583</t>
  </si>
  <si>
    <t>Lot 005584</t>
  </si>
  <si>
    <t>Lot 005585</t>
  </si>
  <si>
    <t>Lot 005586</t>
  </si>
  <si>
    <t>Lot 005587</t>
  </si>
  <si>
    <t>Lot 005588</t>
  </si>
  <si>
    <t>Lot 005606</t>
  </si>
  <si>
    <t>Lot 005607</t>
  </si>
  <si>
    <t>Lot 005615</t>
  </si>
  <si>
    <t>Lot 005614</t>
  </si>
  <si>
    <t>Lot 005619</t>
  </si>
  <si>
    <t>Lot 005616</t>
  </si>
  <si>
    <t>Lot 005617</t>
  </si>
  <si>
    <t>Lot 005618</t>
  </si>
  <si>
    <t>Lot 005620</t>
  </si>
  <si>
    <t>Lot 005640</t>
  </si>
  <si>
    <t>Lot 005641</t>
  </si>
  <si>
    <t>Lot 005648</t>
  </si>
  <si>
    <t>Lot 005649</t>
  </si>
  <si>
    <t>Lot 005650</t>
  </si>
  <si>
    <t>Lot 005651</t>
  </si>
  <si>
    <t>Lot 005652</t>
  </si>
  <si>
    <t>Lot 005653</t>
  </si>
  <si>
    <t>Lot 005671</t>
  </si>
  <si>
    <t>Lot 005672</t>
  </si>
  <si>
    <t>Lot 005679</t>
  </si>
  <si>
    <t>Lot 005680</t>
  </si>
  <si>
    <t>Lot 005681</t>
  </si>
  <si>
    <t>Lot 005682</t>
  </si>
  <si>
    <t>Lot 005683</t>
  </si>
  <si>
    <t>Lot 005684</t>
  </si>
  <si>
    <t>Lot 005702</t>
  </si>
  <si>
    <t>Lot 005703</t>
  </si>
  <si>
    <t>Lot 005710</t>
  </si>
  <si>
    <t>Lot 005711</t>
  </si>
  <si>
    <t>Lot 005712</t>
  </si>
  <si>
    <t>Lot 005713</t>
  </si>
  <si>
    <t>Lot 005714</t>
  </si>
  <si>
    <t>Lot 005715</t>
  </si>
  <si>
    <t>Lot 005733</t>
  </si>
  <si>
    <t>Lot 005734</t>
  </si>
  <si>
    <t>Lot 005763</t>
  </si>
  <si>
    <t>Lot 005765</t>
  </si>
  <si>
    <t>Lot 005764</t>
  </si>
  <si>
    <t>Lot 005777</t>
  </si>
  <si>
    <t>Lot 005774</t>
  </si>
  <si>
    <t>Lot 005804</t>
  </si>
  <si>
    <t>Lot 005802</t>
  </si>
  <si>
    <t>Lot 005816</t>
  </si>
  <si>
    <t>Lot 005867</t>
  </si>
  <si>
    <t>Lot 005868</t>
  </si>
  <si>
    <t>Lot 005869</t>
  </si>
  <si>
    <t>Lot 005870</t>
  </si>
  <si>
    <t>Lot 005871</t>
  </si>
  <si>
    <t>Lot 005874</t>
  </si>
  <si>
    <t>Lot 005872</t>
  </si>
  <si>
    <t>Lot 005893</t>
  </si>
  <si>
    <t>Lot 005894</t>
  </si>
  <si>
    <t>Lot 005895</t>
  </si>
  <si>
    <t>Lot 005896</t>
  </si>
  <si>
    <t>Lot 005897</t>
  </si>
  <si>
    <t>Lot 005898</t>
  </si>
  <si>
    <t>Lot 005916</t>
  </si>
  <si>
    <t>Lot 005917</t>
  </si>
  <si>
    <t>Lot 005931</t>
  </si>
  <si>
    <t>Lot 005947</t>
  </si>
  <si>
    <t>Lot 005945</t>
  </si>
  <si>
    <t>Lot 005983</t>
  </si>
  <si>
    <t>Lot 005990</t>
  </si>
  <si>
    <t>Lot 005988</t>
  </si>
  <si>
    <t>Lot 005989</t>
  </si>
  <si>
    <t>Lot 005986</t>
  </si>
  <si>
    <t>Lot 005985</t>
  </si>
  <si>
    <t>Lot 005980</t>
  </si>
  <si>
    <t>Lot 005981</t>
  </si>
  <si>
    <t>Lot 005993</t>
  </si>
  <si>
    <t>Lot 005992</t>
  </si>
  <si>
    <t>Lot 005984</t>
  </si>
  <si>
    <t>Lot 005982</t>
  </si>
  <si>
    <t>Lot 005987</t>
  </si>
  <si>
    <t>Lot 006027</t>
  </si>
  <si>
    <t>Lot 006028</t>
  </si>
  <si>
    <t>Lot 006029</t>
  </si>
  <si>
    <t>Lot 006030</t>
  </si>
  <si>
    <t>Lot 006031</t>
  </si>
  <si>
    <t>Lot 006032</t>
  </si>
  <si>
    <t>Lot 006050</t>
  </si>
  <si>
    <t>Lot 006051</t>
  </si>
  <si>
    <t>Lot 006052</t>
  </si>
  <si>
    <t>Lot 006053</t>
  </si>
  <si>
    <t>Lot 006054</t>
  </si>
  <si>
    <t>Lot 006055</t>
  </si>
  <si>
    <t>Lot 006073</t>
  </si>
  <si>
    <t>Lot 006074</t>
  </si>
  <si>
    <t>Lot 006091</t>
  </si>
  <si>
    <t>Lot 006092</t>
  </si>
  <si>
    <t>Lot 006109</t>
  </si>
  <si>
    <t>Lot 006110</t>
  </si>
  <si>
    <t>Lot 006111</t>
  </si>
  <si>
    <t>Lot 006112</t>
  </si>
  <si>
    <t>Lot 006113</t>
  </si>
  <si>
    <t>Lot 006114</t>
  </si>
  <si>
    <t>Lot 006132</t>
  </si>
  <si>
    <t>Lot 006133</t>
  </si>
  <si>
    <t>Lot 006146</t>
  </si>
  <si>
    <t>Lot 006157</t>
  </si>
  <si>
    <t>Lot 006158</t>
  </si>
  <si>
    <t>Lot 006159</t>
  </si>
  <si>
    <t>Lot 006160</t>
  </si>
  <si>
    <t>Lot 006161</t>
  </si>
  <si>
    <t>Lot 006162</t>
  </si>
  <si>
    <t>Lot 006180</t>
  </si>
  <si>
    <t>Lot 006181</t>
  </si>
  <si>
    <t>Lot 006198</t>
  </si>
  <si>
    <t>Lot 006199</t>
  </si>
  <si>
    <t>Lot 006200</t>
  </si>
  <si>
    <t>Lot 006201</t>
  </si>
  <si>
    <t>Lot 006202</t>
  </si>
  <si>
    <t>Lot 006203</t>
  </si>
  <si>
    <t>Lot 006221</t>
  </si>
  <si>
    <t>Lot 006222</t>
  </si>
  <si>
    <t>Lot 006257</t>
  </si>
  <si>
    <t>Lot 006265</t>
  </si>
  <si>
    <t>Lot 006282</t>
  </si>
  <si>
    <t>Lot 006283</t>
  </si>
  <si>
    <t>Lot 006288</t>
  </si>
  <si>
    <t>Lot 006284</t>
  </si>
  <si>
    <t>Lot 006285</t>
  </si>
  <si>
    <t>Lot 006286</t>
  </si>
  <si>
    <t>Lot 006287</t>
  </si>
  <si>
    <t>Lot 006289</t>
  </si>
  <si>
    <t>Lot 006311</t>
  </si>
  <si>
    <t>Lot 006312</t>
  </si>
  <si>
    <t>Lot 006320</t>
  </si>
  <si>
    <t>Lot 006321</t>
  </si>
  <si>
    <t>Lot 006322</t>
  </si>
  <si>
    <t>Lot 006323</t>
  </si>
  <si>
    <t>Lot 006324</t>
  </si>
  <si>
    <t>Lot 006325</t>
  </si>
  <si>
    <t>Lot 006344</t>
  </si>
  <si>
    <t>Lot 006345</t>
  </si>
  <si>
    <t>Lot 006354</t>
  </si>
  <si>
    <t>Lot 006355</t>
  </si>
  <si>
    <t>Lot 006356</t>
  </si>
  <si>
    <t>Lot 006357</t>
  </si>
  <si>
    <t>Lot 006358</t>
  </si>
  <si>
    <t>Lot 006359</t>
  </si>
  <si>
    <t>Lot 006377</t>
  </si>
  <si>
    <t>Lot 006378</t>
  </si>
  <si>
    <t>Lot 006400</t>
  </si>
  <si>
    <t>Lot 006398</t>
  </si>
  <si>
    <t>Lot 006418</t>
  </si>
  <si>
    <t>Lot 006419</t>
  </si>
  <si>
    <t>Lot 006420</t>
  </si>
  <si>
    <t>Lot 006421</t>
  </si>
  <si>
    <t>Lot 006422</t>
  </si>
  <si>
    <t>Lot 006438</t>
  </si>
  <si>
    <t>Lot 006439</t>
  </si>
  <si>
    <t>14052_064</t>
  </si>
  <si>
    <t>14023_064</t>
  </si>
  <si>
    <t>14060_064</t>
  </si>
  <si>
    <t>14015_064</t>
  </si>
  <si>
    <t>PoI0000300</t>
  </si>
  <si>
    <t>111000567</t>
  </si>
  <si>
    <t>14030_064</t>
  </si>
  <si>
    <t>14033_064</t>
  </si>
  <si>
    <t>14042_064</t>
  </si>
  <si>
    <t>14050_064</t>
  </si>
  <si>
    <t>14056_064</t>
  </si>
  <si>
    <t>14075_064</t>
  </si>
  <si>
    <t>14077_064</t>
  </si>
  <si>
    <t>14082_064</t>
  </si>
  <si>
    <t>14016_064</t>
  </si>
  <si>
    <t>14018_064</t>
  </si>
  <si>
    <t>14040_064</t>
  </si>
  <si>
    <t>14037_064</t>
  </si>
  <si>
    <t>14038_064</t>
  </si>
  <si>
    <t>14044_064</t>
  </si>
  <si>
    <t>14046_064</t>
  </si>
  <si>
    <t>14048_064</t>
  </si>
  <si>
    <t>14035_064</t>
  </si>
  <si>
    <t>14028_064</t>
  </si>
  <si>
    <t>14024_064</t>
  </si>
  <si>
    <t>14026_064</t>
  </si>
  <si>
    <t>14020_064</t>
  </si>
  <si>
    <t>PoI0000284</t>
  </si>
  <si>
    <t>14057_064</t>
  </si>
  <si>
    <t>14061_064</t>
  </si>
  <si>
    <t>14063_064</t>
  </si>
  <si>
    <t>14065_064</t>
  </si>
  <si>
    <t>14069_064</t>
  </si>
  <si>
    <t>14071_064</t>
  </si>
  <si>
    <t>14079_064</t>
  </si>
  <si>
    <t>111000563</t>
  </si>
  <si>
    <t>111000530</t>
  </si>
  <si>
    <t>111000556</t>
  </si>
  <si>
    <t>14032_064</t>
  </si>
  <si>
    <t>111000522</t>
  </si>
  <si>
    <t>14054_064</t>
  </si>
  <si>
    <t>14059_064</t>
  </si>
  <si>
    <t>111000558</t>
  </si>
  <si>
    <t>111000564</t>
  </si>
  <si>
    <t>14081_064</t>
  </si>
  <si>
    <t>POCN000018</t>
  </si>
  <si>
    <t>PoI0000285</t>
  </si>
  <si>
    <t>PoI0000283</t>
  </si>
  <si>
    <t>111000560</t>
  </si>
  <si>
    <t>111000527</t>
  </si>
  <si>
    <t>111000562</t>
  </si>
  <si>
    <t>14051_064</t>
  </si>
  <si>
    <t>111000554</t>
  </si>
  <si>
    <t>111000561</t>
  </si>
  <si>
    <t>111000536</t>
  </si>
  <si>
    <t>PoI0000282</t>
  </si>
  <si>
    <t>111000535</t>
  </si>
  <si>
    <t>PoI0000289</t>
  </si>
  <si>
    <t>111000550</t>
  </si>
  <si>
    <t>PoI0000297</t>
  </si>
  <si>
    <t>111000555</t>
  </si>
  <si>
    <t>111000559</t>
  </si>
  <si>
    <t>111000539</t>
  </si>
  <si>
    <t>111000548</t>
  </si>
  <si>
    <t>111000569</t>
  </si>
  <si>
    <t>111000541</t>
  </si>
  <si>
    <t>111000557</t>
  </si>
  <si>
    <t>2222000038</t>
  </si>
  <si>
    <t>111000549</t>
  </si>
  <si>
    <t>2222000039</t>
  </si>
  <si>
    <t>111000568</t>
  </si>
  <si>
    <t>PoI0000286</t>
  </si>
  <si>
    <t>PoI0000293</t>
  </si>
  <si>
    <t>PoI0000281</t>
  </si>
  <si>
    <t>14031_064</t>
  </si>
  <si>
    <t>111000524</t>
  </si>
  <si>
    <t>111000526</t>
  </si>
  <si>
    <t>111000542</t>
  </si>
  <si>
    <t>111000528</t>
  </si>
  <si>
    <t>111000534</t>
  </si>
  <si>
    <t>111000547</t>
  </si>
  <si>
    <t>14064_064</t>
  </si>
  <si>
    <t>111000552</t>
  </si>
  <si>
    <t>14078_064</t>
  </si>
  <si>
    <t>111000566</t>
  </si>
  <si>
    <t>14034_064</t>
  </si>
  <si>
    <t>111000538</t>
  </si>
  <si>
    <t>14036_064</t>
  </si>
  <si>
    <t>14029_064</t>
  </si>
  <si>
    <t>14025_064</t>
  </si>
  <si>
    <t>14027_064</t>
  </si>
  <si>
    <t>14017_064</t>
  </si>
  <si>
    <t>14019_064</t>
  </si>
  <si>
    <t>14021_064</t>
  </si>
  <si>
    <t>14022_064</t>
  </si>
  <si>
    <t>14045_064</t>
  </si>
  <si>
    <t>14047_064</t>
  </si>
  <si>
    <t>14049_064</t>
  </si>
  <si>
    <t>14039_064</t>
  </si>
  <si>
    <t>14041_064</t>
  </si>
  <si>
    <t>111000523</t>
  </si>
  <si>
    <t>111000529</t>
  </si>
  <si>
    <t>111000532</t>
  </si>
  <si>
    <t>14058_064</t>
  </si>
  <si>
    <t>111000546</t>
  </si>
  <si>
    <t>111000551</t>
  </si>
  <si>
    <t>14062_064</t>
  </si>
  <si>
    <t>14066_064</t>
  </si>
  <si>
    <t>111000553</t>
  </si>
  <si>
    <t>14070_064</t>
  </si>
  <si>
    <t>14072_064</t>
  </si>
  <si>
    <t>14080_064</t>
  </si>
  <si>
    <t>111000570</t>
  </si>
  <si>
    <t>14083_064</t>
  </si>
  <si>
    <t>111000531</t>
  </si>
  <si>
    <t>14043_064</t>
  </si>
  <si>
    <t>111000525</t>
  </si>
  <si>
    <t>14076_064</t>
  </si>
  <si>
    <t>111000565</t>
  </si>
  <si>
    <t>POCN000020</t>
  </si>
  <si>
    <t>PoI0000299</t>
  </si>
  <si>
    <t>PoI0000301</t>
  </si>
  <si>
    <t>PoI0000292</t>
  </si>
  <si>
    <t>POCN000019</t>
  </si>
  <si>
    <t>14053_064</t>
  </si>
  <si>
    <t>PoI0000288</t>
  </si>
  <si>
    <t>PoI0000296</t>
  </si>
  <si>
    <t>14067_064</t>
  </si>
  <si>
    <t>PoI0000303</t>
  </si>
  <si>
    <t>14073_064</t>
  </si>
  <si>
    <t>14068_064</t>
  </si>
  <si>
    <t>14074_064</t>
  </si>
  <si>
    <t>14055_064</t>
  </si>
  <si>
    <t>111000533</t>
  </si>
  <si>
    <t>111000537</t>
  </si>
  <si>
    <t>PoI0000295</t>
  </si>
  <si>
    <t>RECAN200</t>
  </si>
  <si>
    <t>MPPL001</t>
  </si>
  <si>
    <t>DESOXID PI</t>
  </si>
  <si>
    <t>Speciality</t>
  </si>
  <si>
    <t>MPPS001</t>
  </si>
  <si>
    <t>Sealed Polyuretane</t>
  </si>
  <si>
    <t>Polyureth.</t>
  </si>
  <si>
    <t>Silicone</t>
  </si>
  <si>
    <t>Resin Container 200 lt</t>
  </si>
  <si>
    <t>SV-460</t>
  </si>
  <si>
    <t>Ethyl Acetate</t>
  </si>
  <si>
    <t>Solv. vol.</t>
  </si>
  <si>
    <t>TRPOLST005</t>
  </si>
  <si>
    <t>Strapping roll 50cm polyester</t>
  </si>
  <si>
    <t>TPPTransAdjustment</t>
  </si>
  <si>
    <t>Generate journal</t>
  </si>
  <si>
    <t>InvJ000152,InvJ000160,InvJ000161</t>
  </si>
  <si>
    <t>Profit/Loss,Transaction</t>
  </si>
  <si>
    <t>InvJ000150,InvJ000155,InvJ000162,InvJ000163</t>
  </si>
  <si>
    <t>InvJ000151,InvJ000154</t>
  </si>
  <si>
    <t>InvJ000152,InvJ000159,InvJ000160,InvJ000161</t>
  </si>
  <si>
    <t>V1.4</t>
  </si>
  <si>
    <t>Add a new date format for Spain</t>
  </si>
  <si>
    <t>4. Spain</t>
  </si>
  <si>
    <t>dd.MM.aaaa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</si>
</sst>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7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  <xf numFmtId="0" fontId="0" fillId="0" borderId="0" xfId="0" applyAlignment="1">
      <alignment wrapText="1"/>
    </xf>
  </cellXfs>
  <cellStyles count="3">
    <cellStyle name="Comma" xfId="2" builtinId="3"/>
    <cellStyle name="Normal" xfId="0" builtinId="0"/>
    <cellStyle name="Title" xfId="1" builtinId="15"/>
  </cellStyles>
  <dxfs count="136"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6" name="OnHandStatement" displayName="OnHandStatement" ref="A1:P132" totalsRowShown="0" dataDxfId="3" dataCellStyle="Comma">
  <autoFilter ref="A1:P132"/>
  <tableColumns count="16">
    <tableColumn id="1" name="Item"/>
    <tableColumn id="2" name="Site"/>
    <tableColumn id="3" name="Warehouse"/>
    <tableColumn id="4" name="Invent on-hand beginning" dataDxfId="15" dataCellStyle="Comma"/>
    <tableColumn id="5" name="TPP on-hand beginning" dataDxfId="14" dataCellStyle="Comma"/>
    <tableColumn id="6" name="Beginning balance reconcile" dataDxfId="13" dataCellStyle="Comma"/>
    <tableColumn id="7" name="TPP Balance Beginning" dataDxfId="12" dataCellStyle="Comma"/>
    <tableColumn id="8" name="TPP Cost price Beginning" dataDxfId="11" dataCellStyle="Comma"/>
    <tableColumn id="9" name="Invent Transaction" dataDxfId="10" dataCellStyle="Comma"/>
    <tableColumn id="10" name="TPP Transaction" dataDxfId="9" dataCellStyle="Comma"/>
    <tableColumn id="11" name="Invent ending balance" dataDxfId="8" dataCellStyle="Comma"/>
    <tableColumn id="12" name="TPP on-hand ending balance" dataDxfId="7" dataCellStyle="Comma"/>
    <tableColumn id="13" name="Ending ON-hand reconcile" dataDxfId="6" dataCellStyle="Comma"/>
    <tableColumn id="14" name="TPP Balance Ending" dataDxfId="5" dataCellStyle="Comma"/>
    <tableColumn id="15" name="TPP Cost price Ending" dataDxfId="4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7" name="TPPAdjustmentProposal" displayName="TPPAdjustmentProposal" ref="A1:Q474" totalsRowShown="0">
  <autoFilter ref="A1:Q474"/>
  <tableColumns count="17">
    <tableColumn id="1" name="Item number"/>
    <tableColumn id="2" name="Item name" dataDxfId="2"/>
    <tableColumn id="3" name="Site"/>
    <tableColumn id="4" name="Warehouse"/>
    <tableColumn id="5" name="Date" dataDxfId="1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68" totalsRowShown="0">
  <autoFilter ref="A1:I68"/>
  <tableColumns count="9">
    <tableColumn id="1" name="Date" dataDxfId="0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tlasReport_1_Table_1" displayName="AtlasReport_1_Table_1" ref="A2:N661" totalsRowCount="1">
  <autoFilter ref="A2:N660"/>
  <tableColumns count="14">
    <tableColumn id="1" name="Reference" totalsRowLabel="Total" dataDxfId="134" totalsRowDxfId="121"/>
    <tableColumn id="2" name="Number" dataDxfId="133" totalsRowDxfId="120"/>
    <tableColumn id="3" name="Item number" totalsRowLabel="Total" dataDxfId="132" totalsRowDxfId="119"/>
    <tableColumn id="4" name="Item name" dataDxfId="131" totalsRowDxfId="118"/>
    <tableColumn id="5" name="Site" dataDxfId="130" totalsRowDxfId="117"/>
    <tableColumn id="6" name="Warehouse" dataDxfId="129" totalsRowDxfId="116"/>
    <tableColumn id="7" name="Physical date" dataDxfId="128" totalsRowDxfId="115"/>
    <tableColumn id="8" name="Financial date" dataDxfId="127" totalsRowDxfId="114"/>
    <tableColumn id="9" name="Quantity" totalsRowFunction="sum" dataDxfId="126" totalsRowDxfId="113"/>
    <tableColumn id="10" name="Unit" dataDxfId="125" totalsRowDxfId="112"/>
    <tableColumn id="11" name="Lot ID" dataDxfId="124" totalsRowDxfId="111"/>
    <tableColumn id="12" name="VendInvoiceTransId" dataDxfId="123" totalsRowDxfId="110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122" totalsRowDxfId="109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107" totalsRowDxfId="108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AtlasReport_2_Table_1" displayName="AtlasReport_2_Table_1" ref="A2:Q536" totalsRowCount="1">
  <autoFilter ref="A2:Q535"/>
  <tableColumns count="17">
    <tableColumn id="1" name="Reference" totalsRowLabel="Total" dataDxfId="104" totalsRowDxfId="106"/>
    <tableColumn id="2" name="Number" dataDxfId="102" totalsRowDxfId="105"/>
    <tableColumn id="3" name="Item number" dataDxfId="100" totalsRowDxfId="103"/>
    <tableColumn id="4" name="Item name" dataDxfId="98" totalsRowDxfId="101"/>
    <tableColumn id="5" name="Date" dataDxfId="96" totalsRowDxfId="99"/>
    <tableColumn id="6" name="Site" dataDxfId="94" totalsRowDxfId="97"/>
    <tableColumn id="7" name="Warehouse" dataDxfId="92" totalsRowDxfId="95"/>
    <tableColumn id="8" name="Quantity" totalsRowFunction="sum" dataDxfId="90" totalsRowDxfId="93"/>
    <tableColumn id="9" name="Unit" dataDxfId="88" totalsRowDxfId="91"/>
    <tableColumn id="10" name="TPP cost price" totalsRowFunction="sum" dataDxfId="86" totalsRowDxfId="89"/>
    <tableColumn id="11" name="TPP cost amount" totalsRowFunction="sum" dataDxfId="84" totalsRowDxfId="87"/>
    <tableColumn id="12" name="Currency" dataDxfId="82" totalsRowDxfId="85"/>
    <tableColumn id="13" name="TPP cost amount currency" totalsRowFunction="sum" dataDxfId="80" totalsRowDxfId="83"/>
    <tableColumn id="14" name="Financial voucher" dataDxfId="78" totalsRowDxfId="81"/>
    <tableColumn id="15" name="Lot ID" dataDxfId="76" totalsRowDxfId="79"/>
    <tableColumn id="16" name="Status" dataDxfId="74" totalsRowDxfId="77"/>
    <tableColumn id="17" name="InventTransRecId" totalsRowFunction="sum" dataDxfId="73" totalsRowDxfId="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AtlasReport_3_Table_1" displayName="AtlasReport_3_Table_1" ref="A2:H207" totalsRowCount="1">
  <autoFilter ref="A2:H206"/>
  <tableColumns count="8">
    <tableColumn id="1" name="Item number" totalsRowLabel="Total" dataDxfId="72" totalsRowDxfId="65"/>
    <tableColumn id="2" name="Site" dataDxfId="71" totalsRowDxfId="64"/>
    <tableColumn id="3" name="Warehouse" dataDxfId="70" totalsRowDxfId="63"/>
    <tableColumn id="4" name="Current On-hand" totalsRowFunction="sum" dataDxfId="69" totalsRowDxfId="62"/>
    <tableColumn id="5" name="Trans backwords (Beginning)" totalsRowFunction="sum" dataDxfId="68" totalsRowDxfId="61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67" totalsRowDxfId="60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66" totalsRowDxfId="59">
      <calculatedColumnFormula>AtlasReport_3_Table_1[[#This Row],[Current On-hand]]-AtlasReport_3_Table_1[[#This Row],[Trans backwords (Beginning)]]</calculatedColumnFormula>
    </tableColumn>
    <tableColumn id="8" name="Ending On-hand" totalsRowFunction="sum" dataDxfId="57" totalsRowDxfId="58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AtlasReport_4_Table_1" displayName="AtlasReport_4_Table_1" ref="A2:M113" totalsRowCount="1">
  <autoFilter ref="A2:M112"/>
  <tableColumns count="13">
    <tableColumn id="1" name="Item number" totalsRowLabel="Total" dataDxfId="56" totalsRowDxfId="44"/>
    <tableColumn id="2" name="Site" dataDxfId="55" totalsRowDxfId="43"/>
    <tableColumn id="3" name="Warehouse" dataDxfId="54" totalsRowDxfId="42"/>
    <tableColumn id="4" name="Quantity" totalsRowFunction="sum" dataDxfId="53" totalsRowDxfId="41"/>
    <tableColumn id="5" name="TPP cost amount" totalsRowFunction="sum" dataDxfId="52" totalsRowDxfId="40"/>
    <tableColumn id="6" name="TPP trans backwards (Beginning)" dataDxfId="51" totalsRowDxfId="39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50" totalsRowDxfId="38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49" totalsRowDxfId="37">
      <calculatedColumnFormula>AtlasReport_4_Table_1[[#This Row],[Quantity]]-AtlasReport_4_Table_1[[#This Row],[TPP trans backwards (Beginning)]]</calculatedColumnFormula>
    </tableColumn>
    <tableColumn id="9" name="TPP On-hand (Ending)" dataDxfId="48" totalsRowDxfId="36">
      <calculatedColumnFormula>AtlasReport_4_Table_1[[#This Row],[Quantity]]-AtlasReport_4_Table_1[[#This Row],[TPP trans backwards (Ending)]]</calculatedColumnFormula>
    </tableColumn>
    <tableColumn id="10" name="TPP trans backwards balance (Beginning)" dataDxfId="47" totalsRowDxfId="35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46" totalsRowDxfId="34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45" totalsRowDxfId="33">
      <calculatedColumnFormula>AtlasReport_4_Table_1[[#This Row],[TPP cost amount]]-AtlasReport_4_Table_1[[#This Row],[TPP trans backwards balance (Beginning)]]</calculatedColumnFormula>
    </tableColumn>
    <tableColumn id="13" name="TPP Balance (Ending)" dataDxfId="31" totalsRowDxfId="32">
      <calculatedColumnFormula>AtlasReport_4_Table_1[[#This Row],[TPP cost amount]]-AtlasReport_4_Table_1[[#This Row],[TPP trans backwards balance (Ending)]]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5" name="AtlasReport_5_Table_1" displayName="AtlasReport_5_Table_1" ref="A2:O187" totalsRowShown="0">
  <autoFilter ref="A2:O187"/>
  <tableColumns count="15">
    <tableColumn id="1" name="Item number" dataDxfId="30"/>
    <tableColumn id="2" name="Item name" dataDxfId="29"/>
    <tableColumn id="3" name="Item group" dataDxfId="28"/>
    <tableColumn id="4" name="Item type" dataDxfId="27"/>
    <tableColumn id="5" name="Unit" dataDxfId="26"/>
    <tableColumn id="6" name="Branch" dataDxfId="25"/>
    <tableColumn id="7" name="Department" dataDxfId="24"/>
    <tableColumn id="8" name="Cost Center" dataDxfId="23"/>
    <tableColumn id="9" name="Purpose" dataDxfId="22"/>
    <tableColumn id="10" name="Tax Group" dataDxfId="21"/>
    <tableColumn id="11" name="Segment" dataDxfId="20"/>
    <tableColumn id="12" name="Major Marketing Group" dataDxfId="19"/>
    <tableColumn id="13" name="Detail Marketing Group" dataDxfId="18"/>
    <tableColumn id="14" name="Statutory" dataDxfId="17"/>
    <tableColumn id="15" name="Channel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35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7" totalsRowShown="0">
  <autoFilter ref="A72:B77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42"/>
  <sheetViews>
    <sheetView tabSelected="1" workbookViewId="0">
      <selection activeCell="G3" sqref="G3"/>
    </sheetView>
  </sheetViews>
  <sheetFormatPr defaultRowHeight="1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>
      <c r="B1" t="s">
        <v>0</v>
      </c>
      <c r="C1">
        <v>371</v>
      </c>
      <c r="F1" t="str">
        <f>VLOOKUP(DateRegion,Table9[#All],2,0)</f>
        <v>MM.DD.YYYY</v>
      </c>
      <c r="G1" t="s">
        <v>3</v>
      </c>
      <c r="H1" t="s">
        <v>148</v>
      </c>
    </row>
    <row r="2" spans="2:17">
      <c r="B2" t="s">
        <v>1</v>
      </c>
      <c r="C2" s="1">
        <v>43101</v>
      </c>
      <c r="P2" t="s">
        <v>153</v>
      </c>
      <c r="Q2" s="15">
        <v>0.69754629629629628</v>
      </c>
    </row>
    <row r="3" spans="2:17">
      <c r="B3" t="s">
        <v>2</v>
      </c>
      <c r="C3" s="1">
        <v>43159</v>
      </c>
      <c r="P3" t="s">
        <v>154</v>
      </c>
      <c r="Q3" s="15">
        <v>0.69755787037037031</v>
      </c>
    </row>
    <row r="4" spans="2:17">
      <c r="B4" t="s">
        <v>5</v>
      </c>
      <c r="C4" t="str">
        <f>TEXT(FromDate,DateFormat) &amp; " .. " &amp; TEXT(ToDate,DateFormat)</f>
        <v>01.01.2018 .. 02.28.2018</v>
      </c>
      <c r="F4" t="s">
        <v>48</v>
      </c>
      <c r="G4" t="str">
        <f>TEXT(FromDate,DateFormat)&amp;" .. "&amp;TEXT(DATE(2099,12,31),DateFormat)</f>
        <v>01.01.2018 .. 12.31.2099</v>
      </c>
      <c r="P4" s="16" t="s">
        <v>155</v>
      </c>
      <c r="Q4" s="15">
        <v>0.69756944444444446</v>
      </c>
    </row>
    <row r="5" spans="2:17">
      <c r="F5" t="s">
        <v>49</v>
      </c>
      <c r="G5" t="str">
        <f>TEXT(ToDate+1,DateFormat)&amp;" .. "&amp;TEXT(DATE(2099,12,31),DateFormat)</f>
        <v>03.01.2018 .. 12.31.2099</v>
      </c>
    </row>
    <row r="7" spans="2:17">
      <c r="B7" t="s">
        <v>114</v>
      </c>
      <c r="C7" t="s">
        <v>121</v>
      </c>
    </row>
    <row r="8" spans="2:17">
      <c r="B8" t="s">
        <v>96</v>
      </c>
      <c r="C8" t="s">
        <v>149</v>
      </c>
    </row>
    <row r="9" spans="2:17">
      <c r="P9" t="s">
        <v>156</v>
      </c>
      <c r="Q9" s="15">
        <v>0.70126157407407408</v>
      </c>
    </row>
    <row r="10" spans="2:17">
      <c r="P10" t="s">
        <v>157</v>
      </c>
      <c r="Q10" s="15">
        <v>0.70127314814814812</v>
      </c>
    </row>
    <row r="11" spans="2:17">
      <c r="B11" t="s">
        <v>150</v>
      </c>
      <c r="P11" s="17" t="s">
        <v>155</v>
      </c>
      <c r="Q11" s="15">
        <v>0.7015393518518519</v>
      </c>
    </row>
    <row r="12" spans="2:17">
      <c r="B12">
        <v>1</v>
      </c>
      <c r="C12" t="s">
        <v>161</v>
      </c>
    </row>
    <row r="13" spans="2:17">
      <c r="C13" t="s">
        <v>162</v>
      </c>
    </row>
    <row r="14" spans="2:17">
      <c r="C14" t="s">
        <v>163</v>
      </c>
    </row>
    <row r="15" spans="2:17">
      <c r="C15" s="19" t="s">
        <v>184</v>
      </c>
    </row>
    <row r="16" spans="2:17">
      <c r="B16">
        <v>2</v>
      </c>
      <c r="C16" t="s">
        <v>164</v>
      </c>
      <c r="P16" t="s">
        <v>158</v>
      </c>
      <c r="Q16" s="15">
        <v>0.70430555555555552</v>
      </c>
    </row>
    <row r="17" spans="2:17">
      <c r="C17" t="s">
        <v>165</v>
      </c>
      <c r="P17" s="17" t="s">
        <v>1548</v>
      </c>
      <c r="Q17" s="15">
        <v>0.70456018518518526</v>
      </c>
    </row>
    <row r="18" spans="2:17">
      <c r="C18" t="s">
        <v>166</v>
      </c>
      <c r="P18" s="16" t="s">
        <v>155</v>
      </c>
      <c r="Q18" s="15">
        <v>0.70474537037037033</v>
      </c>
    </row>
    <row r="19" spans="2:17">
      <c r="C19" s="18" t="s">
        <v>167</v>
      </c>
    </row>
    <row r="20" spans="2:17">
      <c r="C20" s="19" t="s">
        <v>168</v>
      </c>
    </row>
    <row r="21" spans="2:17">
      <c r="C21" s="19" t="s">
        <v>169</v>
      </c>
    </row>
    <row r="22" spans="2:17">
      <c r="B22">
        <v>3</v>
      </c>
      <c r="C22" t="s">
        <v>170</v>
      </c>
    </row>
    <row r="23" spans="2:17">
      <c r="C23" t="s">
        <v>171</v>
      </c>
      <c r="L23" t="s">
        <v>89</v>
      </c>
      <c r="M23" t="s">
        <v>127</v>
      </c>
    </row>
    <row r="24" spans="2:17">
      <c r="C24" t="s">
        <v>172</v>
      </c>
      <c r="L24" t="s">
        <v>6</v>
      </c>
      <c r="M24" t="s">
        <v>119</v>
      </c>
    </row>
    <row r="25" spans="2:17">
      <c r="C25" s="19" t="s">
        <v>173</v>
      </c>
      <c r="L25" t="s">
        <v>35</v>
      </c>
      <c r="M25" t="s">
        <v>119</v>
      </c>
    </row>
    <row r="26" spans="2:17">
      <c r="C26" s="19" t="s">
        <v>174</v>
      </c>
      <c r="L26" t="s">
        <v>139</v>
      </c>
      <c r="M26" t="s">
        <v>123</v>
      </c>
    </row>
    <row r="27" spans="2:17">
      <c r="B27">
        <v>4</v>
      </c>
      <c r="C27" t="s">
        <v>175</v>
      </c>
      <c r="L27" t="s">
        <v>8</v>
      </c>
      <c r="M27" t="s">
        <v>123</v>
      </c>
    </row>
    <row r="28" spans="2:17">
      <c r="C28" t="s">
        <v>176</v>
      </c>
      <c r="L28" t="s">
        <v>32</v>
      </c>
      <c r="M28" t="s">
        <v>123</v>
      </c>
    </row>
    <row r="29" spans="2:17">
      <c r="C29" s="19" t="s">
        <v>177</v>
      </c>
    </row>
    <row r="30" spans="2:17">
      <c r="C30" s="19" t="s">
        <v>178</v>
      </c>
    </row>
    <row r="31" spans="2:17">
      <c r="C31" s="19" t="s">
        <v>179</v>
      </c>
    </row>
    <row r="32" spans="2:17">
      <c r="B32">
        <v>5</v>
      </c>
      <c r="C32" s="20" t="s">
        <v>180</v>
      </c>
    </row>
    <row r="33" spans="2:4">
      <c r="C33" s="19" t="s">
        <v>181</v>
      </c>
    </row>
    <row r="34" spans="2:4">
      <c r="C34" s="19" t="s">
        <v>182</v>
      </c>
    </row>
    <row r="36" spans="2:4">
      <c r="B36" t="s">
        <v>183</v>
      </c>
    </row>
    <row r="37" spans="2:4">
      <c r="B37" t="s">
        <v>151</v>
      </c>
      <c r="C37" s="1">
        <v>43100</v>
      </c>
      <c r="D37" t="s">
        <v>152</v>
      </c>
    </row>
    <row r="38" spans="2:4">
      <c r="B38" t="s">
        <v>187</v>
      </c>
      <c r="C38" s="1">
        <v>43123</v>
      </c>
      <c r="D38" t="s">
        <v>188</v>
      </c>
    </row>
    <row r="39" spans="2:4">
      <c r="B39" t="s">
        <v>219</v>
      </c>
      <c r="C39" s="1">
        <v>43137</v>
      </c>
      <c r="D39" t="s">
        <v>220</v>
      </c>
    </row>
    <row r="40" spans="2:4">
      <c r="D40" t="s">
        <v>221</v>
      </c>
    </row>
    <row r="41" spans="2:4">
      <c r="B41" t="s">
        <v>222</v>
      </c>
      <c r="C41" s="1">
        <v>43166</v>
      </c>
      <c r="D41" t="s">
        <v>223</v>
      </c>
    </row>
    <row r="42" spans="2:4">
      <c r="B42" t="s">
        <v>1554</v>
      </c>
      <c r="C42" s="1">
        <v>43172</v>
      </c>
      <c r="D42" t="s">
        <v>1555</v>
      </c>
    </row>
  </sheetData>
  <phoneticPr fontId="6" type="noConversion"/>
  <dataValidations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I5" sqref="I5"/>
    </sheetView>
  </sheetViews>
  <sheetFormatPr defaultRowHeight="15"/>
  <cols>
    <col min="1" max="1" width="20.57031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>
      <c r="A1" t="s">
        <v>98</v>
      </c>
      <c r="B1" t="s">
        <v>34</v>
      </c>
      <c r="C1" t="s">
        <v>35</v>
      </c>
      <c r="D1" t="s">
        <v>102</v>
      </c>
      <c r="E1" t="s">
        <v>103</v>
      </c>
      <c r="F1" t="s">
        <v>104</v>
      </c>
      <c r="G1" t="s">
        <v>110</v>
      </c>
      <c r="H1" t="s">
        <v>112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111</v>
      </c>
      <c r="O1" t="s">
        <v>113</v>
      </c>
      <c r="P1" t="s">
        <v>118</v>
      </c>
    </row>
    <row r="2" spans="1:16">
      <c r="A2" t="s">
        <v>236</v>
      </c>
      <c r="B2">
        <v>171</v>
      </c>
      <c r="C2" t="s">
        <v>238</v>
      </c>
      <c r="D2" s="14">
        <v>0</v>
      </c>
      <c r="E2" s="14">
        <v>56</v>
      </c>
      <c r="F2" s="14">
        <v>-56</v>
      </c>
      <c r="G2" s="14">
        <v>0</v>
      </c>
      <c r="H2" s="14">
        <v>0</v>
      </c>
      <c r="I2" s="14">
        <v>56</v>
      </c>
      <c r="J2" s="14">
        <v>0</v>
      </c>
      <c r="K2" s="14">
        <v>56</v>
      </c>
      <c r="L2" s="14">
        <v>56</v>
      </c>
      <c r="M2" s="14">
        <v>0</v>
      </c>
      <c r="N2" s="14">
        <v>0</v>
      </c>
      <c r="O2" s="14">
        <v>0</v>
      </c>
      <c r="P2" t="s">
        <v>123</v>
      </c>
    </row>
    <row r="3" spans="1:16">
      <c r="A3" t="s">
        <v>239</v>
      </c>
      <c r="B3">
        <v>171</v>
      </c>
      <c r="C3" t="s">
        <v>238</v>
      </c>
      <c r="D3" s="14">
        <v>0</v>
      </c>
      <c r="E3" s="14">
        <v>54.5</v>
      </c>
      <c r="F3" s="14">
        <v>-54.5</v>
      </c>
      <c r="G3" s="14">
        <v>0</v>
      </c>
      <c r="H3" s="14">
        <v>0</v>
      </c>
      <c r="I3" s="14">
        <v>54.5</v>
      </c>
      <c r="J3" s="14">
        <v>0</v>
      </c>
      <c r="K3" s="14">
        <v>54.5</v>
      </c>
      <c r="L3" s="14">
        <v>54.5</v>
      </c>
      <c r="M3" s="14">
        <v>0</v>
      </c>
      <c r="N3" s="14">
        <v>0</v>
      </c>
      <c r="O3" s="14">
        <v>0</v>
      </c>
      <c r="P3" t="s">
        <v>123</v>
      </c>
    </row>
    <row r="4" spans="1:16">
      <c r="A4" t="s">
        <v>240</v>
      </c>
      <c r="B4">
        <v>171</v>
      </c>
      <c r="C4" t="s">
        <v>238</v>
      </c>
      <c r="D4" s="14">
        <v>0</v>
      </c>
      <c r="E4" s="14">
        <v>300</v>
      </c>
      <c r="F4" s="14">
        <v>-300</v>
      </c>
      <c r="G4" s="14">
        <v>0</v>
      </c>
      <c r="H4" s="14">
        <v>0</v>
      </c>
      <c r="I4" s="14">
        <v>300</v>
      </c>
      <c r="J4" s="14">
        <v>0</v>
      </c>
      <c r="K4" s="14">
        <v>300</v>
      </c>
      <c r="L4" s="14">
        <v>300</v>
      </c>
      <c r="M4" s="14">
        <v>0</v>
      </c>
      <c r="N4" s="14">
        <v>0</v>
      </c>
      <c r="O4" s="14">
        <v>0</v>
      </c>
      <c r="P4" t="s">
        <v>123</v>
      </c>
    </row>
    <row r="5" spans="1:16">
      <c r="A5" t="s">
        <v>1014</v>
      </c>
      <c r="B5">
        <v>171</v>
      </c>
      <c r="C5" t="s">
        <v>238</v>
      </c>
      <c r="D5" s="14">
        <v>0</v>
      </c>
      <c r="E5" s="14"/>
      <c r="F5" s="14">
        <v>0</v>
      </c>
      <c r="G5" s="14">
        <v>0</v>
      </c>
      <c r="H5" s="14">
        <v>0</v>
      </c>
      <c r="I5" s="14">
        <v>20</v>
      </c>
      <c r="J5" s="14">
        <v>0</v>
      </c>
      <c r="K5" s="14">
        <v>20</v>
      </c>
      <c r="L5" s="14"/>
      <c r="M5" s="14">
        <v>20</v>
      </c>
      <c r="N5" s="14">
        <v>0</v>
      </c>
      <c r="O5" s="14">
        <v>0</v>
      </c>
      <c r="P5" t="s">
        <v>119</v>
      </c>
    </row>
    <row r="6" spans="1:16">
      <c r="A6" t="s">
        <v>128</v>
      </c>
      <c r="B6">
        <v>171</v>
      </c>
      <c r="C6" t="s">
        <v>238</v>
      </c>
      <c r="D6" s="14">
        <v>0</v>
      </c>
      <c r="E6" s="14"/>
      <c r="F6" s="14">
        <v>0</v>
      </c>
      <c r="G6" s="14">
        <v>0</v>
      </c>
      <c r="H6" s="14">
        <v>0</v>
      </c>
      <c r="I6" s="14">
        <v>4</v>
      </c>
      <c r="J6" s="14">
        <v>0</v>
      </c>
      <c r="K6" s="14">
        <v>4</v>
      </c>
      <c r="L6" s="14"/>
      <c r="M6" s="14">
        <v>4</v>
      </c>
      <c r="N6" s="14">
        <v>0</v>
      </c>
      <c r="O6" s="14">
        <v>0</v>
      </c>
      <c r="P6" t="s">
        <v>119</v>
      </c>
    </row>
    <row r="7" spans="1:16">
      <c r="A7" t="s">
        <v>306</v>
      </c>
      <c r="B7">
        <v>171</v>
      </c>
      <c r="C7" t="s">
        <v>238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2</v>
      </c>
      <c r="K7" s="14">
        <v>0</v>
      </c>
      <c r="L7" s="14">
        <v>2</v>
      </c>
      <c r="M7" s="14">
        <v>-2</v>
      </c>
      <c r="N7" s="14">
        <v>0</v>
      </c>
      <c r="O7" s="14">
        <v>0</v>
      </c>
      <c r="P7" t="s">
        <v>119</v>
      </c>
    </row>
    <row r="8" spans="1:16">
      <c r="A8" t="s">
        <v>241</v>
      </c>
      <c r="B8">
        <v>171</v>
      </c>
      <c r="C8" t="s">
        <v>238</v>
      </c>
      <c r="D8" s="14">
        <v>0</v>
      </c>
      <c r="E8" s="14">
        <v>13.549999999999999</v>
      </c>
      <c r="F8" s="14">
        <v>-13.549999999999999</v>
      </c>
      <c r="G8" s="14">
        <v>0</v>
      </c>
      <c r="H8" s="14">
        <v>0</v>
      </c>
      <c r="I8" s="14">
        <v>13.347800000000001</v>
      </c>
      <c r="J8" s="14">
        <v>-0.20219999999999999</v>
      </c>
      <c r="K8" s="14">
        <v>13.347799999999999</v>
      </c>
      <c r="L8" s="14">
        <v>13.347799999999999</v>
      </c>
      <c r="M8" s="14">
        <v>0</v>
      </c>
      <c r="N8" s="14">
        <v>0</v>
      </c>
      <c r="O8" s="14">
        <v>0</v>
      </c>
      <c r="P8" t="s">
        <v>123</v>
      </c>
    </row>
    <row r="9" spans="1:16">
      <c r="A9" t="s">
        <v>1018</v>
      </c>
      <c r="B9">
        <v>171</v>
      </c>
      <c r="C9" t="s">
        <v>238</v>
      </c>
      <c r="D9" s="14">
        <v>0</v>
      </c>
      <c r="E9" s="14"/>
      <c r="F9" s="14">
        <v>0</v>
      </c>
      <c r="G9" s="14">
        <v>0</v>
      </c>
      <c r="H9" s="14">
        <v>0</v>
      </c>
      <c r="I9" s="14">
        <v>24.5</v>
      </c>
      <c r="J9" s="14">
        <v>0</v>
      </c>
      <c r="K9" s="14">
        <v>24.5</v>
      </c>
      <c r="L9" s="14"/>
      <c r="M9" s="14">
        <v>24.5</v>
      </c>
      <c r="N9" s="14">
        <v>0</v>
      </c>
      <c r="O9" s="14">
        <v>0</v>
      </c>
      <c r="P9" t="s">
        <v>119</v>
      </c>
    </row>
    <row r="10" spans="1:16">
      <c r="A10" t="s">
        <v>242</v>
      </c>
      <c r="B10">
        <v>171</v>
      </c>
      <c r="C10" t="s">
        <v>238</v>
      </c>
      <c r="D10" s="14">
        <v>0</v>
      </c>
      <c r="E10" s="14">
        <v>27.950000000000003</v>
      </c>
      <c r="F10" s="14">
        <v>-27.950000000000003</v>
      </c>
      <c r="G10" s="14">
        <v>0</v>
      </c>
      <c r="H10" s="14">
        <v>0</v>
      </c>
      <c r="I10" s="14">
        <v>26.099999999999998</v>
      </c>
      <c r="J10" s="14">
        <v>-1.85</v>
      </c>
      <c r="K10" s="14">
        <v>26.1</v>
      </c>
      <c r="L10" s="14">
        <v>26.1</v>
      </c>
      <c r="M10" s="14">
        <v>0</v>
      </c>
      <c r="N10" s="14">
        <v>0</v>
      </c>
      <c r="O10" s="14">
        <v>0</v>
      </c>
      <c r="P10" t="s">
        <v>123</v>
      </c>
    </row>
    <row r="11" spans="1:16">
      <c r="A11" t="s">
        <v>37</v>
      </c>
      <c r="B11">
        <v>171</v>
      </c>
      <c r="C11" t="s">
        <v>238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195</v>
      </c>
      <c r="J11" s="14">
        <v>195</v>
      </c>
      <c r="K11" s="14">
        <v>195</v>
      </c>
      <c r="L11" s="14">
        <v>195</v>
      </c>
      <c r="M11" s="14">
        <v>0</v>
      </c>
      <c r="N11" s="14">
        <v>0</v>
      </c>
      <c r="O11" s="14">
        <v>0</v>
      </c>
      <c r="P11" t="s">
        <v>123</v>
      </c>
    </row>
    <row r="12" spans="1:16">
      <c r="A12" t="s">
        <v>71</v>
      </c>
      <c r="B12">
        <v>171</v>
      </c>
      <c r="C12" t="s">
        <v>238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195</v>
      </c>
      <c r="J12" s="14">
        <v>195</v>
      </c>
      <c r="K12" s="14">
        <v>195</v>
      </c>
      <c r="L12" s="14">
        <v>195</v>
      </c>
      <c r="M12" s="14">
        <v>0</v>
      </c>
      <c r="N12" s="14">
        <v>0</v>
      </c>
      <c r="O12" s="14">
        <v>0</v>
      </c>
      <c r="P12" t="s">
        <v>123</v>
      </c>
    </row>
    <row r="13" spans="1:16">
      <c r="A13" t="s">
        <v>243</v>
      </c>
      <c r="B13">
        <v>171</v>
      </c>
      <c r="C13" t="s">
        <v>238</v>
      </c>
      <c r="D13" s="14">
        <v>0</v>
      </c>
      <c r="E13" s="14">
        <v>182.55</v>
      </c>
      <c r="F13" s="14">
        <v>-182.55</v>
      </c>
      <c r="G13" s="14">
        <v>0</v>
      </c>
      <c r="H13" s="14">
        <v>0</v>
      </c>
      <c r="I13" s="14">
        <v>182.55</v>
      </c>
      <c r="J13" s="14">
        <v>0</v>
      </c>
      <c r="K13" s="14">
        <v>182.55</v>
      </c>
      <c r="L13" s="14">
        <v>182.55</v>
      </c>
      <c r="M13" s="14">
        <v>0</v>
      </c>
      <c r="N13" s="14">
        <v>0</v>
      </c>
      <c r="O13" s="14">
        <v>0</v>
      </c>
      <c r="P13" t="s">
        <v>123</v>
      </c>
    </row>
    <row r="14" spans="1:16">
      <c r="A14" t="s">
        <v>244</v>
      </c>
      <c r="B14">
        <v>171</v>
      </c>
      <c r="C14" t="s">
        <v>238</v>
      </c>
      <c r="D14" s="14">
        <v>0</v>
      </c>
      <c r="E14" s="14">
        <v>27.9</v>
      </c>
      <c r="F14" s="14">
        <v>-27.9</v>
      </c>
      <c r="G14" s="14">
        <v>0</v>
      </c>
      <c r="H14" s="14">
        <v>0</v>
      </c>
      <c r="I14" s="14">
        <v>27.9</v>
      </c>
      <c r="J14" s="14">
        <v>0</v>
      </c>
      <c r="K14" s="14">
        <v>27.9</v>
      </c>
      <c r="L14" s="14">
        <v>27.9</v>
      </c>
      <c r="M14" s="14">
        <v>0</v>
      </c>
      <c r="N14" s="14">
        <v>0</v>
      </c>
      <c r="O14" s="14">
        <v>0</v>
      </c>
      <c r="P14" t="s">
        <v>123</v>
      </c>
    </row>
    <row r="15" spans="1:16">
      <c r="A15" t="s">
        <v>72</v>
      </c>
      <c r="B15">
        <v>171</v>
      </c>
      <c r="C15" t="s">
        <v>238</v>
      </c>
      <c r="D15" s="14">
        <v>0</v>
      </c>
      <c r="E15" s="14"/>
      <c r="F15" s="14">
        <v>0</v>
      </c>
      <c r="G15" s="14">
        <v>0</v>
      </c>
      <c r="H15" s="14">
        <v>0</v>
      </c>
      <c r="I15" s="14">
        <v>1</v>
      </c>
      <c r="J15" s="14">
        <v>0</v>
      </c>
      <c r="K15" s="14">
        <v>1</v>
      </c>
      <c r="L15" s="14"/>
      <c r="M15" s="14">
        <v>1</v>
      </c>
      <c r="N15" s="14">
        <v>0</v>
      </c>
      <c r="O15" s="14">
        <v>0</v>
      </c>
      <c r="P15" t="s">
        <v>119</v>
      </c>
    </row>
    <row r="16" spans="1:16">
      <c r="A16" t="s">
        <v>189</v>
      </c>
      <c r="B16">
        <v>171</v>
      </c>
      <c r="C16" t="s">
        <v>238</v>
      </c>
      <c r="D16" s="14">
        <v>0</v>
      </c>
      <c r="E16" s="14"/>
      <c r="F16" s="14">
        <v>0</v>
      </c>
      <c r="G16" s="14">
        <v>0</v>
      </c>
      <c r="H16" s="14">
        <v>0</v>
      </c>
      <c r="I16" s="14">
        <v>56</v>
      </c>
      <c r="J16" s="14">
        <v>0</v>
      </c>
      <c r="K16" s="14">
        <v>56</v>
      </c>
      <c r="L16" s="14"/>
      <c r="M16" s="14">
        <v>56</v>
      </c>
      <c r="N16" s="14">
        <v>0</v>
      </c>
      <c r="O16" s="14">
        <v>0</v>
      </c>
      <c r="P16" t="s">
        <v>119</v>
      </c>
    </row>
    <row r="17" spans="1:16">
      <c r="A17" t="s">
        <v>245</v>
      </c>
      <c r="B17">
        <v>171</v>
      </c>
      <c r="C17" t="s">
        <v>238</v>
      </c>
      <c r="D17" s="14">
        <v>0</v>
      </c>
      <c r="E17" s="14">
        <v>34.200000000000003</v>
      </c>
      <c r="F17" s="14">
        <v>-34.200000000000003</v>
      </c>
      <c r="G17" s="14">
        <v>0</v>
      </c>
      <c r="H17" s="14">
        <v>0</v>
      </c>
      <c r="I17" s="14">
        <v>34.200000000000003</v>
      </c>
      <c r="J17" s="14">
        <v>0</v>
      </c>
      <c r="K17" s="14">
        <v>34.200000000000003</v>
      </c>
      <c r="L17" s="14">
        <v>34.200000000000003</v>
      </c>
      <c r="M17" s="14">
        <v>0</v>
      </c>
      <c r="N17" s="14">
        <v>0</v>
      </c>
      <c r="O17" s="14">
        <v>0</v>
      </c>
      <c r="P17" t="s">
        <v>123</v>
      </c>
    </row>
    <row r="18" spans="1:16">
      <c r="A18" t="s">
        <v>246</v>
      </c>
      <c r="B18">
        <v>171</v>
      </c>
      <c r="C18" t="s">
        <v>238</v>
      </c>
      <c r="D18" s="14">
        <v>0</v>
      </c>
      <c r="E18" s="14">
        <v>2</v>
      </c>
      <c r="F18" s="14">
        <v>-2</v>
      </c>
      <c r="G18" s="14">
        <v>0</v>
      </c>
      <c r="H18" s="14">
        <v>0</v>
      </c>
      <c r="I18" s="14">
        <v>2</v>
      </c>
      <c r="J18" s="14">
        <v>0</v>
      </c>
      <c r="K18" s="14">
        <v>2</v>
      </c>
      <c r="L18" s="14">
        <v>2</v>
      </c>
      <c r="M18" s="14">
        <v>0</v>
      </c>
      <c r="N18" s="14">
        <v>0</v>
      </c>
      <c r="O18" s="14">
        <v>0</v>
      </c>
      <c r="P18" t="s">
        <v>123</v>
      </c>
    </row>
    <row r="19" spans="1:16">
      <c r="A19" t="s">
        <v>247</v>
      </c>
      <c r="B19">
        <v>171</v>
      </c>
      <c r="C19" t="s">
        <v>238</v>
      </c>
      <c r="D19" s="14">
        <v>0</v>
      </c>
      <c r="E19" s="14">
        <v>53</v>
      </c>
      <c r="F19" s="14">
        <v>-53</v>
      </c>
      <c r="G19" s="14">
        <v>0</v>
      </c>
      <c r="H19" s="14">
        <v>0</v>
      </c>
      <c r="I19" s="14">
        <v>53</v>
      </c>
      <c r="J19" s="14">
        <v>0</v>
      </c>
      <c r="K19" s="14">
        <v>53</v>
      </c>
      <c r="L19" s="14">
        <v>53</v>
      </c>
      <c r="M19" s="14">
        <v>0</v>
      </c>
      <c r="N19" s="14">
        <v>0</v>
      </c>
      <c r="O19" s="14">
        <v>0</v>
      </c>
      <c r="P19" t="s">
        <v>123</v>
      </c>
    </row>
    <row r="20" spans="1:16">
      <c r="A20" t="s">
        <v>248</v>
      </c>
      <c r="B20">
        <v>171</v>
      </c>
      <c r="C20" t="s">
        <v>249</v>
      </c>
      <c r="D20" s="14">
        <v>0</v>
      </c>
      <c r="E20" s="14">
        <v>22318</v>
      </c>
      <c r="F20" s="14">
        <v>-22318</v>
      </c>
      <c r="G20" s="14">
        <v>0</v>
      </c>
      <c r="H20" s="14">
        <v>0</v>
      </c>
      <c r="I20" s="14">
        <v>15908.9611</v>
      </c>
      <c r="J20" s="14">
        <v>-6409.0389000000005</v>
      </c>
      <c r="K20" s="14">
        <v>15908.9611</v>
      </c>
      <c r="L20" s="14">
        <v>15908.9611</v>
      </c>
      <c r="M20" s="14">
        <v>0</v>
      </c>
      <c r="N20" s="14">
        <v>0</v>
      </c>
      <c r="O20" s="14">
        <v>0</v>
      </c>
      <c r="P20" t="s">
        <v>123</v>
      </c>
    </row>
    <row r="21" spans="1:16">
      <c r="A21" t="s">
        <v>250</v>
      </c>
      <c r="B21">
        <v>171</v>
      </c>
      <c r="C21" t="s">
        <v>249</v>
      </c>
      <c r="D21" s="14">
        <v>0</v>
      </c>
      <c r="E21" s="14">
        <v>15426</v>
      </c>
      <c r="F21" s="14">
        <v>-15426</v>
      </c>
      <c r="G21" s="14">
        <v>0</v>
      </c>
      <c r="H21" s="14">
        <v>0</v>
      </c>
      <c r="I21" s="14">
        <v>9666</v>
      </c>
      <c r="J21" s="14">
        <v>-5760</v>
      </c>
      <c r="K21" s="14">
        <v>9666</v>
      </c>
      <c r="L21" s="14">
        <v>9666</v>
      </c>
      <c r="M21" s="14">
        <v>0</v>
      </c>
      <c r="N21" s="14">
        <v>0</v>
      </c>
      <c r="O21" s="14">
        <v>0</v>
      </c>
      <c r="P21" t="s">
        <v>123</v>
      </c>
    </row>
    <row r="22" spans="1:16">
      <c r="A22" t="s">
        <v>1022</v>
      </c>
      <c r="B22">
        <v>171</v>
      </c>
      <c r="C22" t="s">
        <v>238</v>
      </c>
      <c r="D22" s="14">
        <v>0</v>
      </c>
      <c r="E22" s="14"/>
      <c r="F22" s="14">
        <v>0</v>
      </c>
      <c r="G22" s="14">
        <v>0</v>
      </c>
      <c r="H22" s="14">
        <v>0</v>
      </c>
      <c r="I22" s="14">
        <v>23.5</v>
      </c>
      <c r="J22" s="14">
        <v>0</v>
      </c>
      <c r="K22" s="14">
        <v>23.5</v>
      </c>
      <c r="L22" s="14"/>
      <c r="M22" s="14">
        <v>23.5</v>
      </c>
      <c r="N22" s="14">
        <v>0</v>
      </c>
      <c r="O22" s="14">
        <v>0</v>
      </c>
      <c r="P22" t="s">
        <v>119</v>
      </c>
    </row>
    <row r="23" spans="1:16">
      <c r="A23" t="s">
        <v>38</v>
      </c>
      <c r="B23">
        <v>171</v>
      </c>
      <c r="C23" t="s">
        <v>238</v>
      </c>
      <c r="D23" s="14">
        <v>0</v>
      </c>
      <c r="E23" s="14">
        <v>300</v>
      </c>
      <c r="F23" s="14">
        <v>-300</v>
      </c>
      <c r="G23" s="14">
        <v>0</v>
      </c>
      <c r="H23" s="14">
        <v>0</v>
      </c>
      <c r="I23" s="14">
        <v>300</v>
      </c>
      <c r="J23" s="14">
        <v>0</v>
      </c>
      <c r="K23" s="14">
        <v>300</v>
      </c>
      <c r="L23" s="14">
        <v>300</v>
      </c>
      <c r="M23" s="14">
        <v>0</v>
      </c>
      <c r="N23" s="14">
        <v>0</v>
      </c>
      <c r="O23" s="14">
        <v>0</v>
      </c>
      <c r="P23" t="s">
        <v>123</v>
      </c>
    </row>
    <row r="24" spans="1:16">
      <c r="A24" t="s">
        <v>16</v>
      </c>
      <c r="B24">
        <v>171</v>
      </c>
      <c r="C24" t="s">
        <v>238</v>
      </c>
      <c r="D24" s="14">
        <v>0</v>
      </c>
      <c r="E24" s="14">
        <v>270</v>
      </c>
      <c r="F24" s="14">
        <v>-270</v>
      </c>
      <c r="G24" s="14">
        <v>0</v>
      </c>
      <c r="H24" s="14">
        <v>0</v>
      </c>
      <c r="I24" s="14">
        <v>120</v>
      </c>
      <c r="J24" s="14">
        <v>-150</v>
      </c>
      <c r="K24" s="14">
        <v>120</v>
      </c>
      <c r="L24" s="14">
        <v>120</v>
      </c>
      <c r="M24" s="14">
        <v>0</v>
      </c>
      <c r="N24" s="14">
        <v>0</v>
      </c>
      <c r="O24" s="14">
        <v>0</v>
      </c>
      <c r="P24" t="s">
        <v>123</v>
      </c>
    </row>
    <row r="25" spans="1:16">
      <c r="A25" t="s">
        <v>43</v>
      </c>
      <c r="B25">
        <v>171</v>
      </c>
      <c r="C25" t="s">
        <v>238</v>
      </c>
      <c r="D25" s="14">
        <v>0</v>
      </c>
      <c r="E25" s="14">
        <v>240</v>
      </c>
      <c r="F25" s="14">
        <v>-240</v>
      </c>
      <c r="G25" s="14">
        <v>0</v>
      </c>
      <c r="H25" s="14">
        <v>0</v>
      </c>
      <c r="I25" s="14">
        <v>150</v>
      </c>
      <c r="J25" s="14">
        <v>-90</v>
      </c>
      <c r="K25" s="14">
        <v>150</v>
      </c>
      <c r="L25" s="14">
        <v>150</v>
      </c>
      <c r="M25" s="14">
        <v>0</v>
      </c>
      <c r="N25" s="14">
        <v>0</v>
      </c>
      <c r="O25" s="14">
        <v>0</v>
      </c>
      <c r="P25" t="s">
        <v>123</v>
      </c>
    </row>
    <row r="26" spans="1:16">
      <c r="A26" t="s">
        <v>73</v>
      </c>
      <c r="B26">
        <v>171</v>
      </c>
      <c r="C26" t="s">
        <v>238</v>
      </c>
      <c r="D26" s="14">
        <v>0</v>
      </c>
      <c r="E26" s="14">
        <v>30</v>
      </c>
      <c r="F26" s="14">
        <v>-30</v>
      </c>
      <c r="G26" s="14">
        <v>0</v>
      </c>
      <c r="H26" s="14">
        <v>0</v>
      </c>
      <c r="I26" s="14">
        <v>30</v>
      </c>
      <c r="J26" s="14">
        <v>0</v>
      </c>
      <c r="K26" s="14">
        <v>30</v>
      </c>
      <c r="L26" s="14">
        <v>30</v>
      </c>
      <c r="M26" s="14">
        <v>0</v>
      </c>
      <c r="N26" s="14">
        <v>0</v>
      </c>
      <c r="O26" s="14">
        <v>0</v>
      </c>
      <c r="P26" t="s">
        <v>123</v>
      </c>
    </row>
    <row r="27" spans="1:16">
      <c r="A27" t="s">
        <v>251</v>
      </c>
      <c r="B27">
        <v>171</v>
      </c>
      <c r="C27" t="s">
        <v>238</v>
      </c>
      <c r="D27" s="14">
        <v>0</v>
      </c>
      <c r="E27" s="14">
        <v>173.95</v>
      </c>
      <c r="F27" s="14">
        <v>-173.95</v>
      </c>
      <c r="G27" s="14">
        <v>0</v>
      </c>
      <c r="H27" s="14">
        <v>0</v>
      </c>
      <c r="I27" s="14">
        <v>132.75219999999999</v>
      </c>
      <c r="J27" s="14">
        <v>-41.197800000000001</v>
      </c>
      <c r="K27" s="14">
        <v>132.75219999999999</v>
      </c>
      <c r="L27" s="14">
        <v>132.75219999999999</v>
      </c>
      <c r="M27" s="14">
        <v>0</v>
      </c>
      <c r="N27" s="14">
        <v>0</v>
      </c>
      <c r="O27" s="14">
        <v>0</v>
      </c>
      <c r="P27" t="s">
        <v>123</v>
      </c>
    </row>
    <row r="28" spans="1:16">
      <c r="A28" t="s">
        <v>252</v>
      </c>
      <c r="B28">
        <v>171</v>
      </c>
      <c r="C28" t="s">
        <v>238</v>
      </c>
      <c r="D28" s="14">
        <v>0</v>
      </c>
      <c r="E28" s="14">
        <v>24</v>
      </c>
      <c r="F28" s="14">
        <v>-24</v>
      </c>
      <c r="G28" s="14">
        <v>0</v>
      </c>
      <c r="H28" s="14">
        <v>0</v>
      </c>
      <c r="I28" s="14">
        <v>23</v>
      </c>
      <c r="J28" s="14">
        <v>-1</v>
      </c>
      <c r="K28" s="14">
        <v>23</v>
      </c>
      <c r="L28" s="14">
        <v>23</v>
      </c>
      <c r="M28" s="14">
        <v>0</v>
      </c>
      <c r="N28" s="14">
        <v>0</v>
      </c>
      <c r="O28" s="14">
        <v>0</v>
      </c>
      <c r="P28" t="s">
        <v>123</v>
      </c>
    </row>
    <row r="29" spans="1:16">
      <c r="A29" t="s">
        <v>253</v>
      </c>
      <c r="B29">
        <v>171</v>
      </c>
      <c r="C29" t="s">
        <v>238</v>
      </c>
      <c r="D29" s="14">
        <v>0</v>
      </c>
      <c r="E29" s="14">
        <v>60.7</v>
      </c>
      <c r="F29" s="14">
        <v>-60.7</v>
      </c>
      <c r="G29" s="14">
        <v>0</v>
      </c>
      <c r="H29" s="14">
        <v>0</v>
      </c>
      <c r="I29" s="14">
        <v>60.7</v>
      </c>
      <c r="J29" s="14">
        <v>0</v>
      </c>
      <c r="K29" s="14">
        <v>60.7</v>
      </c>
      <c r="L29" s="14">
        <v>60.7</v>
      </c>
      <c r="M29" s="14">
        <v>0</v>
      </c>
      <c r="N29" s="14">
        <v>0</v>
      </c>
      <c r="O29" s="14">
        <v>0</v>
      </c>
      <c r="P29" t="s">
        <v>123</v>
      </c>
    </row>
    <row r="30" spans="1:16">
      <c r="A30" t="s">
        <v>1025</v>
      </c>
      <c r="B30">
        <v>171</v>
      </c>
      <c r="C30" t="s">
        <v>238</v>
      </c>
      <c r="D30" s="14">
        <v>0</v>
      </c>
      <c r="E30" s="14"/>
      <c r="F30" s="14">
        <v>0</v>
      </c>
      <c r="G30" s="14">
        <v>0</v>
      </c>
      <c r="H30" s="14">
        <v>0</v>
      </c>
      <c r="I30" s="14">
        <v>30</v>
      </c>
      <c r="J30" s="14">
        <v>0</v>
      </c>
      <c r="K30" s="14">
        <v>30</v>
      </c>
      <c r="L30" s="14"/>
      <c r="M30" s="14">
        <v>30</v>
      </c>
      <c r="N30" s="14">
        <v>0</v>
      </c>
      <c r="O30" s="14">
        <v>0</v>
      </c>
      <c r="P30" t="s">
        <v>119</v>
      </c>
    </row>
    <row r="31" spans="1:16">
      <c r="A31" t="s">
        <v>254</v>
      </c>
      <c r="B31">
        <v>171</v>
      </c>
      <c r="C31" t="s">
        <v>238</v>
      </c>
      <c r="D31" s="14">
        <v>0</v>
      </c>
      <c r="E31" s="14">
        <v>24.3</v>
      </c>
      <c r="F31" s="14">
        <v>-24.3</v>
      </c>
      <c r="G31" s="14">
        <v>0</v>
      </c>
      <c r="H31" s="14">
        <v>0</v>
      </c>
      <c r="I31" s="14">
        <v>20.8</v>
      </c>
      <c r="J31" s="14">
        <v>-3.5</v>
      </c>
      <c r="K31" s="14">
        <v>20.8</v>
      </c>
      <c r="L31" s="14">
        <v>20.8</v>
      </c>
      <c r="M31" s="14">
        <v>0</v>
      </c>
      <c r="N31" s="14">
        <v>0</v>
      </c>
      <c r="O31" s="14">
        <v>0</v>
      </c>
      <c r="P31" t="s">
        <v>123</v>
      </c>
    </row>
    <row r="32" spans="1:16">
      <c r="A32" t="s">
        <v>255</v>
      </c>
      <c r="B32">
        <v>171</v>
      </c>
      <c r="C32" t="s">
        <v>238</v>
      </c>
      <c r="D32" s="14">
        <v>0</v>
      </c>
      <c r="E32" s="14">
        <v>2600</v>
      </c>
      <c r="F32" s="14">
        <v>-2600</v>
      </c>
      <c r="G32" s="14">
        <v>0</v>
      </c>
      <c r="H32" s="14">
        <v>0</v>
      </c>
      <c r="I32" s="14">
        <v>2284.31</v>
      </c>
      <c r="J32" s="14">
        <v>-315.69</v>
      </c>
      <c r="K32" s="14">
        <v>2284.31</v>
      </c>
      <c r="L32" s="14">
        <v>2284.31</v>
      </c>
      <c r="M32" s="14">
        <v>0</v>
      </c>
      <c r="N32" s="14">
        <v>0</v>
      </c>
      <c r="O32" s="14">
        <v>0</v>
      </c>
      <c r="P32" t="s">
        <v>123</v>
      </c>
    </row>
    <row r="33" spans="1:16">
      <c r="A33" t="s">
        <v>256</v>
      </c>
      <c r="B33">
        <v>171</v>
      </c>
      <c r="C33" t="s">
        <v>249</v>
      </c>
      <c r="D33" s="14">
        <v>0</v>
      </c>
      <c r="E33" s="14">
        <v>22675</v>
      </c>
      <c r="F33" s="14">
        <v>-22675</v>
      </c>
      <c r="G33" s="14">
        <v>0</v>
      </c>
      <c r="H33" s="14">
        <v>0</v>
      </c>
      <c r="I33" s="14">
        <v>4364.0699000000004</v>
      </c>
      <c r="J33" s="14">
        <v>-18310.930100000001</v>
      </c>
      <c r="K33" s="14">
        <v>4364.0699000000004</v>
      </c>
      <c r="L33" s="14">
        <v>4364.0699000000004</v>
      </c>
      <c r="M33" s="14">
        <v>0</v>
      </c>
      <c r="N33" s="14">
        <v>0</v>
      </c>
      <c r="O33" s="14">
        <v>0</v>
      </c>
      <c r="P33" t="s">
        <v>123</v>
      </c>
    </row>
    <row r="34" spans="1:16">
      <c r="A34" t="s">
        <v>257</v>
      </c>
      <c r="B34">
        <v>171</v>
      </c>
      <c r="C34" t="s">
        <v>249</v>
      </c>
      <c r="D34" s="14">
        <v>0</v>
      </c>
      <c r="E34" s="14">
        <v>24417</v>
      </c>
      <c r="F34" s="14">
        <v>-24417</v>
      </c>
      <c r="G34" s="14">
        <v>0</v>
      </c>
      <c r="H34" s="14">
        <v>0</v>
      </c>
      <c r="I34" s="14">
        <v>5753.074499999997</v>
      </c>
      <c r="J34" s="14">
        <v>-18663.925500000001</v>
      </c>
      <c r="K34" s="14">
        <v>5753.0744999999997</v>
      </c>
      <c r="L34" s="14">
        <v>5753.0744999999997</v>
      </c>
      <c r="M34" s="14">
        <v>0</v>
      </c>
      <c r="N34" s="14">
        <v>0</v>
      </c>
      <c r="O34" s="14">
        <v>0</v>
      </c>
      <c r="P34" t="s">
        <v>123</v>
      </c>
    </row>
    <row r="35" spans="1:16">
      <c r="A35" t="s">
        <v>258</v>
      </c>
      <c r="B35">
        <v>171</v>
      </c>
      <c r="C35" t="s">
        <v>249</v>
      </c>
      <c r="D35" s="14">
        <v>0</v>
      </c>
      <c r="E35" s="14">
        <v>28892</v>
      </c>
      <c r="F35" s="14">
        <v>-28892</v>
      </c>
      <c r="G35" s="14">
        <v>0</v>
      </c>
      <c r="H35" s="14">
        <v>0</v>
      </c>
      <c r="I35" s="14">
        <v>12561.927099999999</v>
      </c>
      <c r="J35" s="14">
        <v>-16330.072900000001</v>
      </c>
      <c r="K35" s="14">
        <v>12561.927099999999</v>
      </c>
      <c r="L35" s="14">
        <v>12561.927099999999</v>
      </c>
      <c r="M35" s="14">
        <v>0</v>
      </c>
      <c r="N35" s="14">
        <v>0</v>
      </c>
      <c r="O35" s="14">
        <v>0</v>
      </c>
      <c r="P35" t="s">
        <v>123</v>
      </c>
    </row>
    <row r="36" spans="1:16">
      <c r="A36" t="s">
        <v>259</v>
      </c>
      <c r="B36">
        <v>171</v>
      </c>
      <c r="C36" t="s">
        <v>249</v>
      </c>
      <c r="D36" s="14">
        <v>0</v>
      </c>
      <c r="E36" s="14">
        <v>7407.0000000000009</v>
      </c>
      <c r="F36" s="14">
        <v>-7407.0000000000009</v>
      </c>
      <c r="G36" s="14">
        <v>0</v>
      </c>
      <c r="H36" s="14">
        <v>0</v>
      </c>
      <c r="I36" s="14">
        <v>15061.902899999999</v>
      </c>
      <c r="J36" s="14">
        <v>7654.9029</v>
      </c>
      <c r="K36" s="14">
        <v>15061.902900000001</v>
      </c>
      <c r="L36" s="14">
        <v>15061.902900000001</v>
      </c>
      <c r="M36" s="14">
        <v>0</v>
      </c>
      <c r="N36" s="14">
        <v>0</v>
      </c>
      <c r="O36" s="14">
        <v>0</v>
      </c>
      <c r="P36" t="s">
        <v>123</v>
      </c>
    </row>
    <row r="37" spans="1:16">
      <c r="A37" t="s">
        <v>260</v>
      </c>
      <c r="B37">
        <v>171</v>
      </c>
      <c r="C37" t="s">
        <v>238</v>
      </c>
      <c r="D37" s="14">
        <v>0</v>
      </c>
      <c r="E37" s="14">
        <v>2200</v>
      </c>
      <c r="F37" s="14">
        <v>-2200</v>
      </c>
      <c r="G37" s="14">
        <v>0</v>
      </c>
      <c r="H37" s="14">
        <v>0</v>
      </c>
      <c r="I37" s="14">
        <v>2200</v>
      </c>
      <c r="J37" s="14">
        <v>0</v>
      </c>
      <c r="K37" s="14">
        <v>2200</v>
      </c>
      <c r="L37" s="14">
        <v>2200</v>
      </c>
      <c r="M37" s="14">
        <v>0</v>
      </c>
      <c r="N37" s="14">
        <v>0</v>
      </c>
      <c r="O37" s="14">
        <v>0</v>
      </c>
      <c r="P37" t="s">
        <v>123</v>
      </c>
    </row>
    <row r="38" spans="1:16">
      <c r="A38" t="s">
        <v>599</v>
      </c>
      <c r="B38">
        <v>171</v>
      </c>
      <c r="C38" t="s">
        <v>238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28842</v>
      </c>
      <c r="J38" s="14">
        <v>-50</v>
      </c>
      <c r="K38" s="14">
        <v>28842</v>
      </c>
      <c r="L38" s="14">
        <v>-50</v>
      </c>
      <c r="M38" s="14">
        <v>28892</v>
      </c>
      <c r="N38" s="14">
        <v>0</v>
      </c>
      <c r="O38" s="14">
        <v>0</v>
      </c>
      <c r="P38" t="s">
        <v>119</v>
      </c>
    </row>
    <row r="39" spans="1:16">
      <c r="A39" t="s">
        <v>261</v>
      </c>
      <c r="B39">
        <v>171</v>
      </c>
      <c r="C39" t="s">
        <v>238</v>
      </c>
      <c r="D39" s="14">
        <v>0</v>
      </c>
      <c r="E39" s="14">
        <v>996.15</v>
      </c>
      <c r="F39" s="14">
        <v>-996.15</v>
      </c>
      <c r="G39" s="14">
        <v>0</v>
      </c>
      <c r="H39" s="14">
        <v>0</v>
      </c>
      <c r="I39" s="14">
        <v>928.70339999999999</v>
      </c>
      <c r="J39" s="14">
        <v>-67.446600000000004</v>
      </c>
      <c r="K39" s="14">
        <v>928.70339999999999</v>
      </c>
      <c r="L39" s="14">
        <v>928.70339999999999</v>
      </c>
      <c r="M39" s="14">
        <v>0</v>
      </c>
      <c r="N39" s="14">
        <v>0</v>
      </c>
      <c r="O39" s="14">
        <v>0</v>
      </c>
      <c r="P39" t="s">
        <v>123</v>
      </c>
    </row>
    <row r="40" spans="1:16">
      <c r="A40" t="s">
        <v>262</v>
      </c>
      <c r="B40">
        <v>171</v>
      </c>
      <c r="C40" t="s">
        <v>238</v>
      </c>
      <c r="D40" s="14">
        <v>0</v>
      </c>
      <c r="E40" s="14">
        <v>27.799999999999997</v>
      </c>
      <c r="F40" s="14">
        <v>-27.799999999999997</v>
      </c>
      <c r="G40" s="14">
        <v>0</v>
      </c>
      <c r="H40" s="14">
        <v>0</v>
      </c>
      <c r="I40" s="14">
        <v>25.4343</v>
      </c>
      <c r="J40" s="14">
        <v>-2.3656999999999995</v>
      </c>
      <c r="K40" s="14">
        <v>25.434299999999997</v>
      </c>
      <c r="L40" s="14">
        <v>25.434299999999997</v>
      </c>
      <c r="M40" s="14">
        <v>0</v>
      </c>
      <c r="N40" s="14">
        <v>0</v>
      </c>
      <c r="O40" s="14">
        <v>0</v>
      </c>
      <c r="P40" t="s">
        <v>123</v>
      </c>
    </row>
    <row r="41" spans="1:16">
      <c r="A41" t="s">
        <v>1029</v>
      </c>
      <c r="B41">
        <v>171</v>
      </c>
      <c r="C41" t="s">
        <v>238</v>
      </c>
      <c r="D41" s="14">
        <v>0</v>
      </c>
      <c r="E41" s="14"/>
      <c r="F41" s="14">
        <v>0</v>
      </c>
      <c r="G41" s="14">
        <v>0</v>
      </c>
      <c r="H41" s="14">
        <v>0</v>
      </c>
      <c r="I41" s="14">
        <v>14</v>
      </c>
      <c r="J41" s="14">
        <v>0</v>
      </c>
      <c r="K41" s="14">
        <v>14</v>
      </c>
      <c r="L41" s="14"/>
      <c r="M41" s="14">
        <v>14</v>
      </c>
      <c r="N41" s="14">
        <v>0</v>
      </c>
      <c r="O41" s="14">
        <v>0</v>
      </c>
      <c r="P41" t="s">
        <v>119</v>
      </c>
    </row>
    <row r="42" spans="1:16">
      <c r="A42" t="s">
        <v>1032</v>
      </c>
      <c r="B42">
        <v>171</v>
      </c>
      <c r="C42" t="s">
        <v>238</v>
      </c>
      <c r="D42" s="14">
        <v>0</v>
      </c>
      <c r="E42" s="14"/>
      <c r="F42" s="14">
        <v>0</v>
      </c>
      <c r="G42" s="14">
        <v>0</v>
      </c>
      <c r="H42" s="14">
        <v>0</v>
      </c>
      <c r="I42" s="14">
        <v>153</v>
      </c>
      <c r="J42" s="14">
        <v>0</v>
      </c>
      <c r="K42" s="14">
        <v>153</v>
      </c>
      <c r="L42" s="14"/>
      <c r="M42" s="14">
        <v>153</v>
      </c>
      <c r="N42" s="14">
        <v>0</v>
      </c>
      <c r="O42" s="14">
        <v>0</v>
      </c>
      <c r="P42" t="s">
        <v>119</v>
      </c>
    </row>
    <row r="43" spans="1:16">
      <c r="A43" t="s">
        <v>230</v>
      </c>
      <c r="B43">
        <v>171</v>
      </c>
      <c r="C43" t="s">
        <v>238</v>
      </c>
      <c r="D43" s="14">
        <v>0</v>
      </c>
      <c r="E43" s="14"/>
      <c r="F43" s="14">
        <v>0</v>
      </c>
      <c r="G43" s="14">
        <v>0</v>
      </c>
      <c r="H43" s="14">
        <v>0</v>
      </c>
      <c r="I43" s="14">
        <v>152</v>
      </c>
      <c r="J43" s="14">
        <v>0</v>
      </c>
      <c r="K43" s="14">
        <v>152</v>
      </c>
      <c r="L43" s="14"/>
      <c r="M43" s="14">
        <v>152</v>
      </c>
      <c r="N43" s="14">
        <v>0</v>
      </c>
      <c r="O43" s="14">
        <v>0</v>
      </c>
      <c r="P43" t="s">
        <v>119</v>
      </c>
    </row>
    <row r="44" spans="1:16">
      <c r="A44" t="s">
        <v>1035</v>
      </c>
      <c r="B44">
        <v>171</v>
      </c>
      <c r="C44" t="s">
        <v>238</v>
      </c>
      <c r="D44" s="14">
        <v>0</v>
      </c>
      <c r="E44" s="14"/>
      <c r="F44" s="14">
        <v>0</v>
      </c>
      <c r="G44" s="14">
        <v>0</v>
      </c>
      <c r="H44" s="14">
        <v>0</v>
      </c>
      <c r="I44" s="14">
        <v>7</v>
      </c>
      <c r="J44" s="14">
        <v>0</v>
      </c>
      <c r="K44" s="14">
        <v>7</v>
      </c>
      <c r="L44" s="14"/>
      <c r="M44" s="14">
        <v>7</v>
      </c>
      <c r="N44" s="14">
        <v>0</v>
      </c>
      <c r="O44" s="14">
        <v>0</v>
      </c>
      <c r="P44" t="s">
        <v>119</v>
      </c>
    </row>
    <row r="45" spans="1:16">
      <c r="A45" t="s">
        <v>212</v>
      </c>
      <c r="B45">
        <v>171</v>
      </c>
      <c r="C45" t="s">
        <v>238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-71</v>
      </c>
      <c r="K45" s="14">
        <v>0</v>
      </c>
      <c r="L45" s="14">
        <v>-71</v>
      </c>
      <c r="M45" s="14">
        <v>71</v>
      </c>
      <c r="N45" s="14">
        <v>0</v>
      </c>
      <c r="O45" s="14">
        <v>0</v>
      </c>
      <c r="P45" t="s">
        <v>119</v>
      </c>
    </row>
    <row r="46" spans="1:16">
      <c r="A46" t="s">
        <v>518</v>
      </c>
      <c r="B46">
        <v>171</v>
      </c>
      <c r="C46" t="s">
        <v>238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50</v>
      </c>
      <c r="J46" s="14">
        <v>-50</v>
      </c>
      <c r="K46" s="14">
        <v>50</v>
      </c>
      <c r="L46" s="14">
        <v>-50</v>
      </c>
      <c r="M46" s="14">
        <v>100</v>
      </c>
      <c r="N46" s="14">
        <v>0</v>
      </c>
      <c r="O46" s="14">
        <v>0</v>
      </c>
      <c r="P46" t="s">
        <v>119</v>
      </c>
    </row>
    <row r="47" spans="1:16">
      <c r="A47" t="s">
        <v>263</v>
      </c>
      <c r="B47">
        <v>171</v>
      </c>
      <c r="C47" t="s">
        <v>238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52</v>
      </c>
      <c r="J47" s="14">
        <v>36</v>
      </c>
      <c r="K47" s="14">
        <v>52</v>
      </c>
      <c r="L47" s="14">
        <v>36</v>
      </c>
      <c r="M47" s="14">
        <v>16</v>
      </c>
      <c r="N47" s="14">
        <v>0</v>
      </c>
      <c r="O47" s="14">
        <v>0</v>
      </c>
      <c r="P47" t="s">
        <v>119</v>
      </c>
    </row>
    <row r="48" spans="1:16">
      <c r="A48" t="s">
        <v>264</v>
      </c>
      <c r="B48">
        <v>171</v>
      </c>
      <c r="C48" t="s">
        <v>238</v>
      </c>
      <c r="D48" s="14">
        <v>0</v>
      </c>
      <c r="E48" s="14"/>
      <c r="F48" s="14">
        <v>0</v>
      </c>
      <c r="G48" s="14">
        <v>0</v>
      </c>
      <c r="H48" s="14">
        <v>0</v>
      </c>
      <c r="I48" s="14">
        <v>24</v>
      </c>
      <c r="J48" s="14">
        <v>0</v>
      </c>
      <c r="K48" s="14">
        <v>24</v>
      </c>
      <c r="L48" s="14"/>
      <c r="M48" s="14">
        <v>24</v>
      </c>
      <c r="N48" s="14">
        <v>0</v>
      </c>
      <c r="O48" s="14">
        <v>0</v>
      </c>
      <c r="P48" t="s">
        <v>119</v>
      </c>
    </row>
    <row r="49" spans="1:16">
      <c r="A49" t="s">
        <v>1040</v>
      </c>
      <c r="B49">
        <v>171</v>
      </c>
      <c r="C49" t="s">
        <v>238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98</v>
      </c>
      <c r="J49" s="14">
        <v>-48</v>
      </c>
      <c r="K49" s="14">
        <v>98</v>
      </c>
      <c r="L49" s="14">
        <v>-48</v>
      </c>
      <c r="M49" s="14">
        <v>146</v>
      </c>
      <c r="N49" s="14">
        <v>0</v>
      </c>
      <c r="O49" s="14">
        <v>0</v>
      </c>
      <c r="P49" t="s">
        <v>119</v>
      </c>
    </row>
    <row r="50" spans="1:16">
      <c r="A50" t="s">
        <v>64</v>
      </c>
      <c r="B50">
        <v>171</v>
      </c>
      <c r="C50" t="s">
        <v>238</v>
      </c>
      <c r="D50" s="14">
        <v>0</v>
      </c>
      <c r="E50" s="14">
        <v>111.99999999999997</v>
      </c>
      <c r="F50" s="14">
        <v>-111.99999999999997</v>
      </c>
      <c r="G50" s="14">
        <v>0</v>
      </c>
      <c r="H50" s="14">
        <v>0</v>
      </c>
      <c r="I50" s="14">
        <v>292.40000000000009</v>
      </c>
      <c r="J50" s="14">
        <v>180.39999999999998</v>
      </c>
      <c r="K50" s="14">
        <v>292.39999999999998</v>
      </c>
      <c r="L50" s="14">
        <v>292.39999999999998</v>
      </c>
      <c r="M50" s="14">
        <v>0</v>
      </c>
      <c r="N50" s="14">
        <v>0</v>
      </c>
      <c r="O50" s="14">
        <v>0</v>
      </c>
      <c r="P50" t="s">
        <v>123</v>
      </c>
    </row>
    <row r="51" spans="1:16">
      <c r="A51" t="s">
        <v>39</v>
      </c>
      <c r="B51">
        <v>171</v>
      </c>
      <c r="C51" t="s">
        <v>238</v>
      </c>
      <c r="D51" s="14">
        <v>0</v>
      </c>
      <c r="E51" s="14">
        <v>150</v>
      </c>
      <c r="F51" s="14">
        <v>-150</v>
      </c>
      <c r="G51" s="14">
        <v>0</v>
      </c>
      <c r="H51" s="14">
        <v>0</v>
      </c>
      <c r="I51" s="14">
        <v>150</v>
      </c>
      <c r="J51" s="14">
        <v>0</v>
      </c>
      <c r="K51" s="14">
        <v>150</v>
      </c>
      <c r="L51" s="14">
        <v>150</v>
      </c>
      <c r="M51" s="14">
        <v>0</v>
      </c>
      <c r="N51" s="14">
        <v>0</v>
      </c>
      <c r="O51" s="14">
        <v>0</v>
      </c>
      <c r="P51" t="s">
        <v>123</v>
      </c>
    </row>
    <row r="52" spans="1:16">
      <c r="A52" t="s">
        <v>58</v>
      </c>
      <c r="B52">
        <v>171</v>
      </c>
      <c r="C52" t="s">
        <v>238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306</v>
      </c>
      <c r="J52" s="14">
        <v>306</v>
      </c>
      <c r="K52" s="14">
        <v>306</v>
      </c>
      <c r="L52" s="14">
        <v>306</v>
      </c>
      <c r="M52" s="14">
        <v>0</v>
      </c>
      <c r="N52" s="14">
        <v>0</v>
      </c>
      <c r="O52" s="14">
        <v>0</v>
      </c>
      <c r="P52" t="s">
        <v>123</v>
      </c>
    </row>
    <row r="53" spans="1:16">
      <c r="A53" t="s">
        <v>17</v>
      </c>
      <c r="B53">
        <v>171</v>
      </c>
      <c r="C53" t="s">
        <v>238</v>
      </c>
      <c r="D53" s="14">
        <v>0</v>
      </c>
      <c r="E53" s="14">
        <v>125</v>
      </c>
      <c r="F53" s="14">
        <v>-125</v>
      </c>
      <c r="G53" s="14">
        <v>0</v>
      </c>
      <c r="H53" s="14">
        <v>0</v>
      </c>
      <c r="I53" s="14">
        <v>275</v>
      </c>
      <c r="J53" s="14">
        <v>150</v>
      </c>
      <c r="K53" s="14">
        <v>275</v>
      </c>
      <c r="L53" s="14">
        <v>275</v>
      </c>
      <c r="M53" s="14">
        <v>0</v>
      </c>
      <c r="N53" s="14">
        <v>0</v>
      </c>
      <c r="O53" s="14">
        <v>0</v>
      </c>
      <c r="P53" t="s">
        <v>123</v>
      </c>
    </row>
    <row r="54" spans="1:16">
      <c r="A54" t="s">
        <v>62</v>
      </c>
      <c r="B54">
        <v>171</v>
      </c>
      <c r="C54" t="s">
        <v>238</v>
      </c>
      <c r="D54" s="14">
        <v>0</v>
      </c>
      <c r="E54" s="14">
        <v>270</v>
      </c>
      <c r="F54" s="14">
        <v>-270</v>
      </c>
      <c r="G54" s="14">
        <v>0</v>
      </c>
      <c r="H54" s="14">
        <v>0</v>
      </c>
      <c r="I54" s="14">
        <v>245</v>
      </c>
      <c r="J54" s="14">
        <v>-25</v>
      </c>
      <c r="K54" s="14">
        <v>245</v>
      </c>
      <c r="L54" s="14">
        <v>245</v>
      </c>
      <c r="M54" s="14">
        <v>0</v>
      </c>
      <c r="N54" s="14">
        <v>0</v>
      </c>
      <c r="O54" s="14">
        <v>0</v>
      </c>
      <c r="P54" t="s">
        <v>123</v>
      </c>
    </row>
    <row r="55" spans="1:16">
      <c r="A55" t="s">
        <v>40</v>
      </c>
      <c r="B55">
        <v>171</v>
      </c>
      <c r="C55" t="s">
        <v>238</v>
      </c>
      <c r="D55" s="14">
        <v>0</v>
      </c>
      <c r="E55" s="14">
        <v>13</v>
      </c>
      <c r="F55" s="14">
        <v>-13</v>
      </c>
      <c r="G55" s="14">
        <v>0</v>
      </c>
      <c r="H55" s="14">
        <v>0</v>
      </c>
      <c r="I55" s="14">
        <v>333</v>
      </c>
      <c r="J55" s="14">
        <v>320</v>
      </c>
      <c r="K55" s="14">
        <v>333</v>
      </c>
      <c r="L55" s="14">
        <v>333</v>
      </c>
      <c r="M55" s="14">
        <v>0</v>
      </c>
      <c r="N55" s="14">
        <v>0</v>
      </c>
      <c r="O55" s="14">
        <v>0</v>
      </c>
      <c r="P55" t="s">
        <v>123</v>
      </c>
    </row>
    <row r="56" spans="1:16">
      <c r="A56" t="s">
        <v>60</v>
      </c>
      <c r="B56">
        <v>171</v>
      </c>
      <c r="C56" t="s">
        <v>238</v>
      </c>
      <c r="D56" s="14">
        <v>0</v>
      </c>
      <c r="E56" s="14">
        <v>400</v>
      </c>
      <c r="F56" s="14">
        <v>-400</v>
      </c>
      <c r="G56" s="14">
        <v>0</v>
      </c>
      <c r="H56" s="14">
        <v>0</v>
      </c>
      <c r="I56" s="14">
        <v>385</v>
      </c>
      <c r="J56" s="14">
        <v>-15</v>
      </c>
      <c r="K56" s="14">
        <v>385</v>
      </c>
      <c r="L56" s="14">
        <v>385</v>
      </c>
      <c r="M56" s="14">
        <v>0</v>
      </c>
      <c r="N56" s="14">
        <v>0</v>
      </c>
      <c r="O56" s="14">
        <v>0</v>
      </c>
      <c r="P56" t="s">
        <v>123</v>
      </c>
    </row>
    <row r="57" spans="1:16">
      <c r="A57" t="s">
        <v>41</v>
      </c>
      <c r="B57">
        <v>171</v>
      </c>
      <c r="C57" t="s">
        <v>238</v>
      </c>
      <c r="D57" s="14">
        <v>0</v>
      </c>
      <c r="E57" s="14">
        <v>380</v>
      </c>
      <c r="F57" s="14">
        <v>-380</v>
      </c>
      <c r="G57" s="14">
        <v>0</v>
      </c>
      <c r="H57" s="14">
        <v>0</v>
      </c>
      <c r="I57" s="14">
        <v>355</v>
      </c>
      <c r="J57" s="14">
        <v>-25</v>
      </c>
      <c r="K57" s="14">
        <v>355</v>
      </c>
      <c r="L57" s="14">
        <v>355</v>
      </c>
      <c r="M57" s="14">
        <v>0</v>
      </c>
      <c r="N57" s="14">
        <v>0</v>
      </c>
      <c r="O57" s="14">
        <v>0</v>
      </c>
      <c r="P57" t="s">
        <v>123</v>
      </c>
    </row>
    <row r="58" spans="1:16">
      <c r="A58" t="s">
        <v>42</v>
      </c>
      <c r="B58">
        <v>171</v>
      </c>
      <c r="C58" t="s">
        <v>238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152</v>
      </c>
      <c r="J58" s="14">
        <v>147</v>
      </c>
      <c r="K58" s="14">
        <v>152</v>
      </c>
      <c r="L58" s="14">
        <v>147</v>
      </c>
      <c r="M58" s="14">
        <v>5</v>
      </c>
      <c r="N58" s="14">
        <v>0</v>
      </c>
      <c r="O58" s="14">
        <v>0</v>
      </c>
      <c r="P58" t="s">
        <v>119</v>
      </c>
    </row>
    <row r="59" spans="1:16">
      <c r="A59" t="s">
        <v>265</v>
      </c>
      <c r="B59">
        <v>171</v>
      </c>
      <c r="C59" t="s">
        <v>238</v>
      </c>
      <c r="D59" s="14">
        <v>0</v>
      </c>
      <c r="E59" s="14">
        <v>625</v>
      </c>
      <c r="F59" s="14">
        <v>-625</v>
      </c>
      <c r="G59" s="14">
        <v>0</v>
      </c>
      <c r="H59" s="14">
        <v>0</v>
      </c>
      <c r="I59" s="14">
        <v>292</v>
      </c>
      <c r="J59" s="14">
        <v>-333</v>
      </c>
      <c r="K59" s="14">
        <v>292</v>
      </c>
      <c r="L59" s="14">
        <v>292</v>
      </c>
      <c r="M59" s="14">
        <v>0</v>
      </c>
      <c r="N59" s="14">
        <v>0</v>
      </c>
      <c r="O59" s="14">
        <v>0</v>
      </c>
      <c r="P59" t="s">
        <v>123</v>
      </c>
    </row>
    <row r="60" spans="1:16">
      <c r="A60" t="s">
        <v>266</v>
      </c>
      <c r="B60">
        <v>171</v>
      </c>
      <c r="C60" t="s">
        <v>238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120.932</v>
      </c>
      <c r="J60" s="14">
        <v>120.932</v>
      </c>
      <c r="K60" s="14">
        <v>120.93199999999999</v>
      </c>
      <c r="L60" s="14">
        <v>120.93199999999999</v>
      </c>
      <c r="M60" s="14">
        <v>0</v>
      </c>
      <c r="N60" s="14">
        <v>0</v>
      </c>
      <c r="O60" s="14">
        <v>0</v>
      </c>
      <c r="P60" t="s">
        <v>123</v>
      </c>
    </row>
    <row r="61" spans="1:16">
      <c r="A61" t="s">
        <v>506</v>
      </c>
      <c r="B61">
        <v>171</v>
      </c>
      <c r="C61" t="s">
        <v>238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31</v>
      </c>
      <c r="J61" s="14">
        <v>-34</v>
      </c>
      <c r="K61" s="14">
        <v>31</v>
      </c>
      <c r="L61" s="14">
        <v>-34</v>
      </c>
      <c r="M61" s="14">
        <v>65</v>
      </c>
      <c r="N61" s="14">
        <v>0</v>
      </c>
      <c r="O61" s="14">
        <v>0</v>
      </c>
      <c r="P61" t="s">
        <v>119</v>
      </c>
    </row>
    <row r="62" spans="1:16">
      <c r="A62" t="s">
        <v>689</v>
      </c>
      <c r="B62">
        <v>171</v>
      </c>
      <c r="C62" t="s">
        <v>238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36.5</v>
      </c>
      <c r="J62" s="14">
        <v>36.499999999999545</v>
      </c>
      <c r="K62" s="14">
        <v>36.5</v>
      </c>
      <c r="L62" s="14">
        <v>36.5</v>
      </c>
      <c r="M62" s="14">
        <v>0</v>
      </c>
      <c r="N62" s="14">
        <v>0</v>
      </c>
      <c r="O62" s="14">
        <v>0</v>
      </c>
      <c r="P62" t="s">
        <v>123</v>
      </c>
    </row>
    <row r="63" spans="1:16">
      <c r="A63" t="s">
        <v>699</v>
      </c>
      <c r="B63">
        <v>171</v>
      </c>
      <c r="C63" t="s">
        <v>238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18.600000000000023</v>
      </c>
      <c r="J63" s="14">
        <v>18.600000000000023</v>
      </c>
      <c r="K63" s="14">
        <v>18.600000000000001</v>
      </c>
      <c r="L63" s="14">
        <v>18.600000000000001</v>
      </c>
      <c r="M63" s="14">
        <v>0</v>
      </c>
      <c r="N63" s="14">
        <v>0</v>
      </c>
      <c r="O63" s="14">
        <v>0</v>
      </c>
      <c r="P63" t="s">
        <v>123</v>
      </c>
    </row>
    <row r="64" spans="1:16">
      <c r="A64" t="s">
        <v>267</v>
      </c>
      <c r="B64">
        <v>171</v>
      </c>
      <c r="C64" t="s">
        <v>238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226</v>
      </c>
      <c r="J64" s="14">
        <v>182</v>
      </c>
      <c r="K64" s="14">
        <v>226</v>
      </c>
      <c r="L64" s="14">
        <v>182</v>
      </c>
      <c r="M64" s="14">
        <v>44</v>
      </c>
      <c r="N64" s="14">
        <v>0</v>
      </c>
      <c r="O64" s="14">
        <v>0</v>
      </c>
      <c r="P64" t="s">
        <v>119</v>
      </c>
    </row>
    <row r="65" spans="1:16">
      <c r="A65" t="s">
        <v>369</v>
      </c>
      <c r="B65">
        <v>171</v>
      </c>
      <c r="C65" t="s">
        <v>238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203.20000000001164</v>
      </c>
      <c r="J65" s="14">
        <v>203.20000000000323</v>
      </c>
      <c r="K65" s="14">
        <v>203.2</v>
      </c>
      <c r="L65" s="14">
        <v>203.2</v>
      </c>
      <c r="M65" s="14">
        <v>0</v>
      </c>
      <c r="N65" s="14">
        <v>0</v>
      </c>
      <c r="O65" s="14">
        <v>0</v>
      </c>
      <c r="P65" t="s">
        <v>123</v>
      </c>
    </row>
    <row r="66" spans="1:16">
      <c r="A66" t="s">
        <v>268</v>
      </c>
      <c r="B66">
        <v>171</v>
      </c>
      <c r="C66" t="s">
        <v>238</v>
      </c>
      <c r="D66" s="14">
        <v>0</v>
      </c>
      <c r="E66" s="14"/>
      <c r="F66" s="14">
        <v>0</v>
      </c>
      <c r="G66" s="14">
        <v>0</v>
      </c>
      <c r="H66" s="14">
        <v>0</v>
      </c>
      <c r="I66" s="14">
        <v>16</v>
      </c>
      <c r="J66" s="14">
        <v>0</v>
      </c>
      <c r="K66" s="14">
        <v>16</v>
      </c>
      <c r="L66" s="14"/>
      <c r="M66" s="14">
        <v>16</v>
      </c>
      <c r="N66" s="14">
        <v>0</v>
      </c>
      <c r="O66" s="14">
        <v>0</v>
      </c>
      <c r="P66" t="s">
        <v>119</v>
      </c>
    </row>
    <row r="67" spans="1:16">
      <c r="A67" t="s">
        <v>269</v>
      </c>
      <c r="B67">
        <v>171</v>
      </c>
      <c r="C67" t="s">
        <v>238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28</v>
      </c>
      <c r="J67" s="14">
        <v>-6</v>
      </c>
      <c r="K67" s="14">
        <v>28</v>
      </c>
      <c r="L67" s="14">
        <v>-6</v>
      </c>
      <c r="M67" s="14">
        <v>34</v>
      </c>
      <c r="N67" s="14">
        <v>0</v>
      </c>
      <c r="O67" s="14">
        <v>0</v>
      </c>
      <c r="P67" t="s">
        <v>119</v>
      </c>
    </row>
    <row r="68" spans="1:16">
      <c r="A68" t="s">
        <v>270</v>
      </c>
      <c r="B68">
        <v>171</v>
      </c>
      <c r="C68" t="s">
        <v>238</v>
      </c>
      <c r="D68" s="14">
        <v>0</v>
      </c>
      <c r="E68" s="14"/>
      <c r="F68" s="14">
        <v>0</v>
      </c>
      <c r="G68" s="14">
        <v>0</v>
      </c>
      <c r="H68" s="14">
        <v>0</v>
      </c>
      <c r="I68" s="14">
        <v>18</v>
      </c>
      <c r="J68" s="14">
        <v>0</v>
      </c>
      <c r="K68" s="14">
        <v>18</v>
      </c>
      <c r="L68" s="14"/>
      <c r="M68" s="14">
        <v>18</v>
      </c>
      <c r="N68" s="14">
        <v>0</v>
      </c>
      <c r="O68" s="14">
        <v>0</v>
      </c>
      <c r="P68" t="s">
        <v>119</v>
      </c>
    </row>
    <row r="69" spans="1:16">
      <c r="A69" t="s">
        <v>271</v>
      </c>
      <c r="B69">
        <v>171</v>
      </c>
      <c r="C69" t="s">
        <v>238</v>
      </c>
      <c r="D69" s="14">
        <v>0</v>
      </c>
      <c r="E69" s="14"/>
      <c r="F69" s="14">
        <v>0</v>
      </c>
      <c r="G69" s="14">
        <v>0</v>
      </c>
      <c r="H69" s="14">
        <v>0</v>
      </c>
      <c r="I69" s="14">
        <v>30</v>
      </c>
      <c r="J69" s="14">
        <v>0</v>
      </c>
      <c r="K69" s="14">
        <v>30</v>
      </c>
      <c r="L69" s="14"/>
      <c r="M69" s="14">
        <v>30</v>
      </c>
      <c r="N69" s="14">
        <v>0</v>
      </c>
      <c r="O69" s="14">
        <v>0</v>
      </c>
      <c r="P69" t="s">
        <v>119</v>
      </c>
    </row>
    <row r="70" spans="1:16">
      <c r="A70" t="s">
        <v>272</v>
      </c>
      <c r="B70">
        <v>171</v>
      </c>
      <c r="C70" t="s">
        <v>238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172</v>
      </c>
      <c r="J70" s="14">
        <v>-9</v>
      </c>
      <c r="K70" s="14">
        <v>172</v>
      </c>
      <c r="L70" s="14">
        <v>-9</v>
      </c>
      <c r="M70" s="14">
        <v>181</v>
      </c>
      <c r="N70" s="14">
        <v>0</v>
      </c>
      <c r="O70" s="14">
        <v>0</v>
      </c>
      <c r="P70" t="s">
        <v>119</v>
      </c>
    </row>
    <row r="71" spans="1:16">
      <c r="A71" t="s">
        <v>273</v>
      </c>
      <c r="B71">
        <v>171</v>
      </c>
      <c r="C71" t="s">
        <v>238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20</v>
      </c>
      <c r="J71" s="14">
        <v>-16</v>
      </c>
      <c r="K71" s="14">
        <v>20</v>
      </c>
      <c r="L71" s="14">
        <v>-16</v>
      </c>
      <c r="M71" s="14">
        <v>36</v>
      </c>
      <c r="N71" s="14">
        <v>0</v>
      </c>
      <c r="O71" s="14">
        <v>0</v>
      </c>
      <c r="P71" t="s">
        <v>119</v>
      </c>
    </row>
    <row r="72" spans="1:16">
      <c r="A72" t="s">
        <v>391</v>
      </c>
      <c r="B72">
        <v>171</v>
      </c>
      <c r="C72" t="s">
        <v>238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15.600000000000364</v>
      </c>
      <c r="J72" s="14">
        <v>15.600000000000364</v>
      </c>
      <c r="K72" s="14">
        <v>15.6</v>
      </c>
      <c r="L72" s="14">
        <v>15.6</v>
      </c>
      <c r="M72" s="14">
        <v>0</v>
      </c>
      <c r="N72" s="14">
        <v>0</v>
      </c>
      <c r="O72" s="14">
        <v>0</v>
      </c>
      <c r="P72" t="s">
        <v>123</v>
      </c>
    </row>
    <row r="73" spans="1:16">
      <c r="A73" t="s">
        <v>274</v>
      </c>
      <c r="B73">
        <v>171</v>
      </c>
      <c r="C73" t="s">
        <v>238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27</v>
      </c>
      <c r="J73" s="14">
        <v>-38</v>
      </c>
      <c r="K73" s="14">
        <v>27</v>
      </c>
      <c r="L73" s="14">
        <v>-38</v>
      </c>
      <c r="M73" s="14">
        <v>65</v>
      </c>
      <c r="N73" s="14">
        <v>0</v>
      </c>
      <c r="O73" s="14">
        <v>0</v>
      </c>
      <c r="P73" t="s">
        <v>119</v>
      </c>
    </row>
    <row r="74" spans="1:16">
      <c r="A74" t="s">
        <v>394</v>
      </c>
      <c r="B74">
        <v>171</v>
      </c>
      <c r="C74" t="s">
        <v>238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22.700000000000045</v>
      </c>
      <c r="J74" s="14">
        <v>22.700000000000045</v>
      </c>
      <c r="K74" s="14">
        <v>22.7</v>
      </c>
      <c r="L74" s="14">
        <v>22.7</v>
      </c>
      <c r="M74" s="14">
        <v>0</v>
      </c>
      <c r="N74" s="14">
        <v>0</v>
      </c>
      <c r="O74" s="14">
        <v>0</v>
      </c>
      <c r="P74" t="s">
        <v>123</v>
      </c>
    </row>
    <row r="75" spans="1:16">
      <c r="A75" t="s">
        <v>275</v>
      </c>
      <c r="B75">
        <v>171</v>
      </c>
      <c r="C75" t="s">
        <v>238</v>
      </c>
      <c r="D75" s="14">
        <v>0</v>
      </c>
      <c r="E75" s="14"/>
      <c r="F75" s="14">
        <v>0</v>
      </c>
      <c r="G75" s="14">
        <v>0</v>
      </c>
      <c r="H75" s="14">
        <v>0</v>
      </c>
      <c r="I75" s="14">
        <v>40</v>
      </c>
      <c r="J75" s="14">
        <v>0</v>
      </c>
      <c r="K75" s="14">
        <v>40</v>
      </c>
      <c r="L75" s="14"/>
      <c r="M75" s="14">
        <v>40</v>
      </c>
      <c r="N75" s="14">
        <v>0</v>
      </c>
      <c r="O75" s="14">
        <v>0</v>
      </c>
      <c r="P75" t="s">
        <v>119</v>
      </c>
    </row>
    <row r="76" spans="1:16">
      <c r="A76" t="s">
        <v>276</v>
      </c>
      <c r="B76">
        <v>171</v>
      </c>
      <c r="C76" t="s">
        <v>238</v>
      </c>
      <c r="D76" s="14">
        <v>0</v>
      </c>
      <c r="E76" s="14"/>
      <c r="F76" s="14">
        <v>0</v>
      </c>
      <c r="G76" s="14">
        <v>0</v>
      </c>
      <c r="H76" s="14">
        <v>0</v>
      </c>
      <c r="I76" s="14">
        <v>34</v>
      </c>
      <c r="J76" s="14">
        <v>0</v>
      </c>
      <c r="K76" s="14">
        <v>34</v>
      </c>
      <c r="L76" s="14"/>
      <c r="M76" s="14">
        <v>34</v>
      </c>
      <c r="N76" s="14">
        <v>0</v>
      </c>
      <c r="O76" s="14">
        <v>0</v>
      </c>
      <c r="P76" t="s">
        <v>119</v>
      </c>
    </row>
    <row r="77" spans="1:16">
      <c r="A77" t="s">
        <v>277</v>
      </c>
      <c r="B77">
        <v>171</v>
      </c>
      <c r="C77" t="s">
        <v>238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26</v>
      </c>
      <c r="J77" s="14">
        <v>-4</v>
      </c>
      <c r="K77" s="14">
        <v>26</v>
      </c>
      <c r="L77" s="14">
        <v>-4</v>
      </c>
      <c r="M77" s="14">
        <v>30</v>
      </c>
      <c r="N77" s="14">
        <v>0</v>
      </c>
      <c r="O77" s="14">
        <v>0</v>
      </c>
      <c r="P77" t="s">
        <v>119</v>
      </c>
    </row>
    <row r="78" spans="1:16">
      <c r="A78" t="s">
        <v>278</v>
      </c>
      <c r="B78">
        <v>171</v>
      </c>
      <c r="C78" t="s">
        <v>238</v>
      </c>
      <c r="D78" s="14">
        <v>0</v>
      </c>
      <c r="E78" s="14"/>
      <c r="F78" s="14">
        <v>0</v>
      </c>
      <c r="G78" s="14">
        <v>0</v>
      </c>
      <c r="H78" s="14">
        <v>0</v>
      </c>
      <c r="I78" s="14">
        <v>24</v>
      </c>
      <c r="J78" s="14">
        <v>0</v>
      </c>
      <c r="K78" s="14">
        <v>24</v>
      </c>
      <c r="L78" s="14"/>
      <c r="M78" s="14">
        <v>24</v>
      </c>
      <c r="N78" s="14">
        <v>0</v>
      </c>
      <c r="O78" s="14">
        <v>0</v>
      </c>
      <c r="P78" t="s">
        <v>119</v>
      </c>
    </row>
    <row r="79" spans="1:16">
      <c r="A79" t="s">
        <v>1044</v>
      </c>
      <c r="B79">
        <v>171</v>
      </c>
      <c r="C79" t="s">
        <v>238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2691</v>
      </c>
      <c r="J79" s="14">
        <v>-204</v>
      </c>
      <c r="K79" s="14">
        <v>2691</v>
      </c>
      <c r="L79" s="14">
        <v>-204</v>
      </c>
      <c r="M79" s="14">
        <v>2895</v>
      </c>
      <c r="N79" s="14">
        <v>0</v>
      </c>
      <c r="O79" s="14">
        <v>0</v>
      </c>
      <c r="P79" t="s">
        <v>119</v>
      </c>
    </row>
    <row r="80" spans="1:16">
      <c r="A80" t="s">
        <v>1047</v>
      </c>
      <c r="B80">
        <v>171</v>
      </c>
      <c r="C80" t="s">
        <v>238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2793</v>
      </c>
      <c r="J80" s="14">
        <v>-42</v>
      </c>
      <c r="K80" s="14">
        <v>2793</v>
      </c>
      <c r="L80" s="14">
        <v>-42</v>
      </c>
      <c r="M80" s="14">
        <v>2835</v>
      </c>
      <c r="N80" s="14">
        <v>0</v>
      </c>
      <c r="O80" s="14">
        <v>0</v>
      </c>
      <c r="P80" t="s">
        <v>119</v>
      </c>
    </row>
    <row r="81" spans="1:16">
      <c r="A81" t="s">
        <v>850</v>
      </c>
      <c r="B81">
        <v>171</v>
      </c>
      <c r="C81" t="s">
        <v>238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13318</v>
      </c>
      <c r="J81" s="14">
        <v>10258</v>
      </c>
      <c r="K81" s="14">
        <v>13318</v>
      </c>
      <c r="L81" s="14">
        <v>10258</v>
      </c>
      <c r="M81" s="14">
        <v>3060</v>
      </c>
      <c r="N81" s="14">
        <v>0</v>
      </c>
      <c r="O81" s="14">
        <v>0</v>
      </c>
      <c r="P81" t="s">
        <v>119</v>
      </c>
    </row>
    <row r="82" spans="1:16">
      <c r="A82" t="s">
        <v>1051</v>
      </c>
      <c r="B82">
        <v>171</v>
      </c>
      <c r="C82" t="s">
        <v>238</v>
      </c>
      <c r="D82" s="14">
        <v>0</v>
      </c>
      <c r="E82" s="14"/>
      <c r="F82" s="14">
        <v>0</v>
      </c>
      <c r="G82" s="14">
        <v>0</v>
      </c>
      <c r="H82" s="14">
        <v>0</v>
      </c>
      <c r="I82" s="14">
        <v>4420</v>
      </c>
      <c r="J82" s="14">
        <v>0</v>
      </c>
      <c r="K82" s="14">
        <v>4420</v>
      </c>
      <c r="L82" s="14"/>
      <c r="M82" s="14">
        <v>4420</v>
      </c>
      <c r="N82" s="14">
        <v>0</v>
      </c>
      <c r="O82" s="14">
        <v>0</v>
      </c>
      <c r="P82" t="s">
        <v>119</v>
      </c>
    </row>
    <row r="83" spans="1:16">
      <c r="A83" t="s">
        <v>1054</v>
      </c>
      <c r="B83">
        <v>171</v>
      </c>
      <c r="C83" t="s">
        <v>238</v>
      </c>
      <c r="D83" s="14">
        <v>0</v>
      </c>
      <c r="E83" s="14"/>
      <c r="F83" s="14">
        <v>0</v>
      </c>
      <c r="G83" s="14">
        <v>0</v>
      </c>
      <c r="H83" s="14">
        <v>0</v>
      </c>
      <c r="I83" s="14">
        <v>2340</v>
      </c>
      <c r="J83" s="14">
        <v>0</v>
      </c>
      <c r="K83" s="14">
        <v>2340</v>
      </c>
      <c r="L83" s="14"/>
      <c r="M83" s="14">
        <v>2340</v>
      </c>
      <c r="N83" s="14">
        <v>0</v>
      </c>
      <c r="O83" s="14">
        <v>0</v>
      </c>
      <c r="P83" t="s">
        <v>119</v>
      </c>
    </row>
    <row r="84" spans="1:16">
      <c r="A84" t="s">
        <v>871</v>
      </c>
      <c r="B84">
        <v>171</v>
      </c>
      <c r="C84" t="s">
        <v>238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6131</v>
      </c>
      <c r="J84" s="14">
        <v>-4485</v>
      </c>
      <c r="K84" s="14">
        <v>6131</v>
      </c>
      <c r="L84" s="14">
        <v>-4485</v>
      </c>
      <c r="M84" s="14">
        <v>10616</v>
      </c>
      <c r="N84" s="14">
        <v>0</v>
      </c>
      <c r="O84" s="14">
        <v>0</v>
      </c>
      <c r="P84" t="s">
        <v>119</v>
      </c>
    </row>
    <row r="85" spans="1:16">
      <c r="A85" t="s">
        <v>853</v>
      </c>
      <c r="B85">
        <v>171</v>
      </c>
      <c r="C85" t="s">
        <v>238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10604</v>
      </c>
      <c r="J85" s="14">
        <v>10604</v>
      </c>
      <c r="K85" s="14">
        <v>10604</v>
      </c>
      <c r="L85" s="14">
        <v>10604</v>
      </c>
      <c r="M85" s="14">
        <v>0</v>
      </c>
      <c r="N85" s="14">
        <v>0</v>
      </c>
      <c r="O85" s="14">
        <v>0</v>
      </c>
      <c r="P85" t="s">
        <v>123</v>
      </c>
    </row>
    <row r="86" spans="1:16">
      <c r="A86" t="s">
        <v>856</v>
      </c>
      <c r="B86">
        <v>171</v>
      </c>
      <c r="C86" t="s">
        <v>238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10434</v>
      </c>
      <c r="J86" s="14">
        <v>6774</v>
      </c>
      <c r="K86" s="14">
        <v>10434</v>
      </c>
      <c r="L86" s="14">
        <v>6774</v>
      </c>
      <c r="M86" s="14">
        <v>3660</v>
      </c>
      <c r="N86" s="14">
        <v>0</v>
      </c>
      <c r="O86" s="14">
        <v>0</v>
      </c>
      <c r="P86" t="s">
        <v>119</v>
      </c>
    </row>
    <row r="87" spans="1:16">
      <c r="A87" t="s">
        <v>1059</v>
      </c>
      <c r="B87">
        <v>171</v>
      </c>
      <c r="C87" t="s">
        <v>238</v>
      </c>
      <c r="D87" s="14">
        <v>0</v>
      </c>
      <c r="E87" s="14"/>
      <c r="F87" s="14">
        <v>0</v>
      </c>
      <c r="G87" s="14">
        <v>0</v>
      </c>
      <c r="H87" s="14">
        <v>0</v>
      </c>
      <c r="I87" s="14">
        <v>3360</v>
      </c>
      <c r="J87" s="14">
        <v>0</v>
      </c>
      <c r="K87" s="14">
        <v>3360</v>
      </c>
      <c r="L87" s="14"/>
      <c r="M87" s="14">
        <v>3360</v>
      </c>
      <c r="N87" s="14">
        <v>0</v>
      </c>
      <c r="O87" s="14">
        <v>0</v>
      </c>
      <c r="P87" t="s">
        <v>119</v>
      </c>
    </row>
    <row r="88" spans="1:16">
      <c r="A88" t="s">
        <v>1062</v>
      </c>
      <c r="B88">
        <v>171</v>
      </c>
      <c r="C88" t="s">
        <v>238</v>
      </c>
      <c r="D88" s="14">
        <v>0</v>
      </c>
      <c r="E88" s="14"/>
      <c r="F88" s="14">
        <v>0</v>
      </c>
      <c r="G88" s="14">
        <v>0</v>
      </c>
      <c r="H88" s="14">
        <v>0</v>
      </c>
      <c r="I88" s="14">
        <v>2700</v>
      </c>
      <c r="J88" s="14">
        <v>0</v>
      </c>
      <c r="K88" s="14">
        <v>2700</v>
      </c>
      <c r="L88" s="14"/>
      <c r="M88" s="14">
        <v>2700</v>
      </c>
      <c r="N88" s="14">
        <v>0</v>
      </c>
      <c r="O88" s="14">
        <v>0</v>
      </c>
      <c r="P88" t="s">
        <v>119</v>
      </c>
    </row>
    <row r="89" spans="1:16">
      <c r="A89" t="s">
        <v>1065</v>
      </c>
      <c r="B89">
        <v>171</v>
      </c>
      <c r="C89" t="s">
        <v>238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23880</v>
      </c>
      <c r="J89" s="14">
        <v>-40</v>
      </c>
      <c r="K89" s="14">
        <v>23880</v>
      </c>
      <c r="L89" s="14">
        <v>-40</v>
      </c>
      <c r="M89" s="14">
        <v>23920</v>
      </c>
      <c r="N89" s="14">
        <v>0</v>
      </c>
      <c r="O89" s="14">
        <v>0</v>
      </c>
      <c r="P89" t="s">
        <v>119</v>
      </c>
    </row>
    <row r="90" spans="1:16">
      <c r="A90" t="s">
        <v>1068</v>
      </c>
      <c r="B90">
        <v>171</v>
      </c>
      <c r="C90" t="s">
        <v>238</v>
      </c>
      <c r="D90" s="14">
        <v>0</v>
      </c>
      <c r="E90" s="14"/>
      <c r="F90" s="14">
        <v>0</v>
      </c>
      <c r="G90" s="14">
        <v>0</v>
      </c>
      <c r="H90" s="14">
        <v>0</v>
      </c>
      <c r="I90" s="14">
        <v>14220</v>
      </c>
      <c r="J90" s="14">
        <v>0</v>
      </c>
      <c r="K90" s="14">
        <v>14220</v>
      </c>
      <c r="L90" s="14"/>
      <c r="M90" s="14">
        <v>14220</v>
      </c>
      <c r="N90" s="14">
        <v>0</v>
      </c>
      <c r="O90" s="14">
        <v>0</v>
      </c>
      <c r="P90" t="s">
        <v>119</v>
      </c>
    </row>
    <row r="91" spans="1:16">
      <c r="A91" t="s">
        <v>1071</v>
      </c>
      <c r="B91">
        <v>171</v>
      </c>
      <c r="C91" t="s">
        <v>238</v>
      </c>
      <c r="D91" s="14">
        <v>0</v>
      </c>
      <c r="E91" s="14"/>
      <c r="F91" s="14">
        <v>0</v>
      </c>
      <c r="G91" s="14">
        <v>0</v>
      </c>
      <c r="H91" s="14">
        <v>0</v>
      </c>
      <c r="I91" s="14">
        <v>3870</v>
      </c>
      <c r="J91" s="14">
        <v>0</v>
      </c>
      <c r="K91" s="14">
        <v>3870</v>
      </c>
      <c r="L91" s="14"/>
      <c r="M91" s="14">
        <v>3870</v>
      </c>
      <c r="N91" s="14">
        <v>0</v>
      </c>
      <c r="O91" s="14">
        <v>0</v>
      </c>
      <c r="P91" t="s">
        <v>119</v>
      </c>
    </row>
    <row r="92" spans="1:16">
      <c r="A92" t="s">
        <v>823</v>
      </c>
      <c r="B92">
        <v>171</v>
      </c>
      <c r="C92" t="s">
        <v>238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-9</v>
      </c>
      <c r="K92" s="14">
        <v>0</v>
      </c>
      <c r="L92" s="14">
        <v>-9</v>
      </c>
      <c r="M92" s="14">
        <v>9</v>
      </c>
      <c r="N92" s="14">
        <v>0</v>
      </c>
      <c r="O92" s="14">
        <v>0</v>
      </c>
      <c r="P92" t="s">
        <v>119</v>
      </c>
    </row>
    <row r="93" spans="1:16">
      <c r="A93" t="s">
        <v>826</v>
      </c>
      <c r="B93">
        <v>171</v>
      </c>
      <c r="C93" t="s">
        <v>238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-9</v>
      </c>
      <c r="K93" s="14">
        <v>0</v>
      </c>
      <c r="L93" s="14">
        <v>-9</v>
      </c>
      <c r="M93" s="14">
        <v>9</v>
      </c>
      <c r="N93" s="14">
        <v>0</v>
      </c>
      <c r="O93" s="14">
        <v>0</v>
      </c>
      <c r="P93" t="s">
        <v>119</v>
      </c>
    </row>
    <row r="94" spans="1:16">
      <c r="A94" t="s">
        <v>279</v>
      </c>
      <c r="B94">
        <v>171</v>
      </c>
      <c r="C94" t="s">
        <v>238</v>
      </c>
      <c r="D94" s="14">
        <v>0</v>
      </c>
      <c r="E94" s="14">
        <v>14.7</v>
      </c>
      <c r="F94" s="14">
        <v>-14.7</v>
      </c>
      <c r="G94" s="14">
        <v>0</v>
      </c>
      <c r="H94" s="14">
        <v>0</v>
      </c>
      <c r="I94" s="14">
        <v>1.7971999999999984</v>
      </c>
      <c r="J94" s="14">
        <v>-12.902800000000001</v>
      </c>
      <c r="K94" s="14">
        <v>1.7972000000000001</v>
      </c>
      <c r="L94" s="14">
        <v>1.7972000000000001</v>
      </c>
      <c r="M94" s="14">
        <v>0</v>
      </c>
      <c r="N94" s="14">
        <v>0</v>
      </c>
      <c r="O94" s="14">
        <v>0</v>
      </c>
      <c r="P94" t="s">
        <v>123</v>
      </c>
    </row>
    <row r="95" spans="1:16">
      <c r="A95" t="s">
        <v>280</v>
      </c>
      <c r="B95">
        <v>171</v>
      </c>
      <c r="C95" t="s">
        <v>238</v>
      </c>
      <c r="D95" s="14">
        <v>0</v>
      </c>
      <c r="E95" s="14">
        <v>147.10000000000002</v>
      </c>
      <c r="F95" s="14">
        <v>-147.10000000000002</v>
      </c>
      <c r="G95" s="14">
        <v>0</v>
      </c>
      <c r="H95" s="14">
        <v>0</v>
      </c>
      <c r="I95" s="14">
        <v>145.84619999999998</v>
      </c>
      <c r="J95" s="14">
        <v>-1.2538</v>
      </c>
      <c r="K95" s="14">
        <v>145.84620000000001</v>
      </c>
      <c r="L95" s="14">
        <v>145.84620000000001</v>
      </c>
      <c r="M95" s="14">
        <v>0</v>
      </c>
      <c r="N95" s="14">
        <v>0</v>
      </c>
      <c r="O95" s="14">
        <v>0</v>
      </c>
      <c r="P95" t="s">
        <v>123</v>
      </c>
    </row>
    <row r="96" spans="1:16">
      <c r="A96" t="s">
        <v>281</v>
      </c>
      <c r="B96">
        <v>171</v>
      </c>
      <c r="C96" t="s">
        <v>238</v>
      </c>
      <c r="D96" s="14">
        <v>0</v>
      </c>
      <c r="E96" s="14"/>
      <c r="F96" s="14">
        <v>0</v>
      </c>
      <c r="G96" s="14">
        <v>0</v>
      </c>
      <c r="H96" s="14">
        <v>0</v>
      </c>
      <c r="I96" s="14">
        <v>10</v>
      </c>
      <c r="J96" s="14">
        <v>0</v>
      </c>
      <c r="K96" s="14">
        <v>10</v>
      </c>
      <c r="L96" s="14"/>
      <c r="M96" s="14">
        <v>10</v>
      </c>
      <c r="N96" s="14">
        <v>0</v>
      </c>
      <c r="O96" s="14">
        <v>0</v>
      </c>
      <c r="P96" t="s">
        <v>119</v>
      </c>
    </row>
    <row r="97" spans="1:16">
      <c r="A97" t="s">
        <v>522</v>
      </c>
      <c r="B97">
        <v>171</v>
      </c>
      <c r="C97" t="s">
        <v>238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5</v>
      </c>
      <c r="J97" s="14">
        <v>5</v>
      </c>
      <c r="K97" s="14">
        <v>5</v>
      </c>
      <c r="L97" s="14">
        <v>5</v>
      </c>
      <c r="M97" s="14">
        <v>0</v>
      </c>
      <c r="N97" s="14">
        <v>0</v>
      </c>
      <c r="O97" s="14">
        <v>0</v>
      </c>
      <c r="P97" t="s">
        <v>123</v>
      </c>
    </row>
    <row r="98" spans="1:16">
      <c r="A98" t="s">
        <v>1074</v>
      </c>
      <c r="B98">
        <v>171</v>
      </c>
      <c r="C98" t="s">
        <v>238</v>
      </c>
      <c r="D98" s="14">
        <v>0</v>
      </c>
      <c r="E98" s="14"/>
      <c r="F98" s="14">
        <v>0</v>
      </c>
      <c r="G98" s="14">
        <v>0</v>
      </c>
      <c r="H98" s="14">
        <v>0</v>
      </c>
      <c r="I98" s="14">
        <v>10</v>
      </c>
      <c r="J98" s="14">
        <v>0</v>
      </c>
      <c r="K98" s="14">
        <v>10</v>
      </c>
      <c r="L98" s="14"/>
      <c r="M98" s="14">
        <v>10</v>
      </c>
      <c r="N98" s="14">
        <v>0</v>
      </c>
      <c r="O98" s="14">
        <v>0</v>
      </c>
      <c r="P98" t="s">
        <v>119</v>
      </c>
    </row>
    <row r="99" spans="1:16">
      <c r="A99" t="s">
        <v>282</v>
      </c>
      <c r="B99">
        <v>171</v>
      </c>
      <c r="C99" t="s">
        <v>238</v>
      </c>
      <c r="D99" s="14">
        <v>0</v>
      </c>
      <c r="E99" s="14">
        <v>42.9</v>
      </c>
      <c r="F99" s="14">
        <v>-42.9</v>
      </c>
      <c r="G99" s="14">
        <v>0</v>
      </c>
      <c r="H99" s="14">
        <v>0</v>
      </c>
      <c r="I99" s="14">
        <v>42.9</v>
      </c>
      <c r="J99" s="14">
        <v>0</v>
      </c>
      <c r="K99" s="14">
        <v>42.9</v>
      </c>
      <c r="L99" s="14">
        <v>42.9</v>
      </c>
      <c r="M99" s="14">
        <v>0</v>
      </c>
      <c r="N99" s="14">
        <v>0</v>
      </c>
      <c r="O99" s="14">
        <v>0</v>
      </c>
      <c r="P99" t="s">
        <v>123</v>
      </c>
    </row>
    <row r="100" spans="1:16">
      <c r="A100" t="s">
        <v>626</v>
      </c>
      <c r="B100">
        <v>171</v>
      </c>
      <c r="C100" t="s">
        <v>238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47</v>
      </c>
      <c r="J100" s="14">
        <v>-40</v>
      </c>
      <c r="K100" s="14">
        <v>47</v>
      </c>
      <c r="L100" s="14">
        <v>-40</v>
      </c>
      <c r="M100" s="14">
        <v>87</v>
      </c>
      <c r="N100" s="14">
        <v>0</v>
      </c>
      <c r="O100" s="14">
        <v>0</v>
      </c>
      <c r="P100" t="s">
        <v>119</v>
      </c>
    </row>
    <row r="101" spans="1:16">
      <c r="A101" t="s">
        <v>429</v>
      </c>
      <c r="B101">
        <v>171</v>
      </c>
      <c r="C101" t="s">
        <v>238</v>
      </c>
      <c r="D101" s="14">
        <v>0</v>
      </c>
      <c r="E101" s="14">
        <v>0</v>
      </c>
      <c r="F101" s="14">
        <v>0</v>
      </c>
      <c r="G101" s="14">
        <v>0</v>
      </c>
      <c r="H101" s="14">
        <v>0</v>
      </c>
      <c r="I101" s="14">
        <v>1</v>
      </c>
      <c r="J101" s="14">
        <v>5</v>
      </c>
      <c r="K101" s="14">
        <v>1</v>
      </c>
      <c r="L101" s="14">
        <v>5</v>
      </c>
      <c r="M101" s="14">
        <v>-4</v>
      </c>
      <c r="N101" s="14">
        <v>0</v>
      </c>
      <c r="O101" s="14">
        <v>0</v>
      </c>
      <c r="P101" t="s">
        <v>119</v>
      </c>
    </row>
    <row r="102" spans="1:16">
      <c r="A102" t="s">
        <v>437</v>
      </c>
      <c r="B102">
        <v>171</v>
      </c>
      <c r="C102" t="s">
        <v>238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10</v>
      </c>
      <c r="K102" s="14">
        <v>0</v>
      </c>
      <c r="L102" s="14">
        <v>10</v>
      </c>
      <c r="M102" s="14">
        <v>-10</v>
      </c>
      <c r="N102" s="14">
        <v>0</v>
      </c>
      <c r="O102" s="14">
        <v>0</v>
      </c>
      <c r="P102" t="s">
        <v>119</v>
      </c>
    </row>
    <row r="103" spans="1:16">
      <c r="A103" t="s">
        <v>283</v>
      </c>
      <c r="B103">
        <v>171</v>
      </c>
      <c r="C103" t="s">
        <v>238</v>
      </c>
      <c r="D103" s="14">
        <v>0</v>
      </c>
      <c r="E103" s="14"/>
      <c r="F103" s="14">
        <v>0</v>
      </c>
      <c r="G103" s="14">
        <v>0</v>
      </c>
      <c r="H103" s="14">
        <v>0</v>
      </c>
      <c r="I103" s="14">
        <v>6</v>
      </c>
      <c r="J103" s="14">
        <v>0</v>
      </c>
      <c r="K103" s="14">
        <v>6</v>
      </c>
      <c r="L103" s="14"/>
      <c r="M103" s="14">
        <v>6</v>
      </c>
      <c r="N103" s="14">
        <v>0</v>
      </c>
      <c r="O103" s="14">
        <v>0</v>
      </c>
      <c r="P103" t="s">
        <v>119</v>
      </c>
    </row>
    <row r="104" spans="1:16">
      <c r="A104" t="s">
        <v>284</v>
      </c>
      <c r="B104">
        <v>171</v>
      </c>
      <c r="C104" t="s">
        <v>238</v>
      </c>
      <c r="D104" s="14">
        <v>0</v>
      </c>
      <c r="E104" s="14">
        <v>0</v>
      </c>
      <c r="F104" s="14">
        <v>0</v>
      </c>
      <c r="G104" s="14">
        <v>0</v>
      </c>
      <c r="H104" s="14">
        <v>0</v>
      </c>
      <c r="I104" s="14">
        <v>32</v>
      </c>
      <c r="J104" s="14">
        <v>-1</v>
      </c>
      <c r="K104" s="14">
        <v>32</v>
      </c>
      <c r="L104" s="14">
        <v>-1</v>
      </c>
      <c r="M104" s="14">
        <v>33</v>
      </c>
      <c r="N104" s="14">
        <v>0</v>
      </c>
      <c r="O104" s="14">
        <v>0</v>
      </c>
      <c r="P104" t="s">
        <v>119</v>
      </c>
    </row>
    <row r="105" spans="1:16">
      <c r="A105" t="s">
        <v>285</v>
      </c>
      <c r="B105">
        <v>171</v>
      </c>
      <c r="C105" t="s">
        <v>238</v>
      </c>
      <c r="D105" s="14">
        <v>0</v>
      </c>
      <c r="E105" s="14">
        <v>0</v>
      </c>
      <c r="F105" s="14">
        <v>0</v>
      </c>
      <c r="G105" s="14">
        <v>0</v>
      </c>
      <c r="H105" s="14">
        <v>0</v>
      </c>
      <c r="I105" s="14">
        <v>38</v>
      </c>
      <c r="J105" s="14">
        <v>13</v>
      </c>
      <c r="K105" s="14">
        <v>38</v>
      </c>
      <c r="L105" s="14">
        <v>13</v>
      </c>
      <c r="M105" s="14">
        <v>25</v>
      </c>
      <c r="N105" s="14">
        <v>0</v>
      </c>
      <c r="O105" s="14">
        <v>0</v>
      </c>
      <c r="P105" t="s">
        <v>119</v>
      </c>
    </row>
    <row r="106" spans="1:16">
      <c r="A106" t="s">
        <v>286</v>
      </c>
      <c r="B106">
        <v>171</v>
      </c>
      <c r="C106" t="s">
        <v>238</v>
      </c>
      <c r="D106" s="14">
        <v>0</v>
      </c>
      <c r="E106" s="14">
        <v>301.2</v>
      </c>
      <c r="F106" s="14">
        <v>-301.2</v>
      </c>
      <c r="G106" s="14">
        <v>0</v>
      </c>
      <c r="H106" s="14">
        <v>0</v>
      </c>
      <c r="I106" s="14">
        <v>259.1422</v>
      </c>
      <c r="J106" s="14">
        <v>-42.0578</v>
      </c>
      <c r="K106" s="14">
        <v>259.1422</v>
      </c>
      <c r="L106" s="14">
        <v>259.1422</v>
      </c>
      <c r="M106" s="14">
        <v>0</v>
      </c>
      <c r="N106" s="14">
        <v>0</v>
      </c>
      <c r="O106" s="14">
        <v>0</v>
      </c>
      <c r="P106" t="s">
        <v>123</v>
      </c>
    </row>
    <row r="107" spans="1:16">
      <c r="A107" t="s">
        <v>287</v>
      </c>
      <c r="B107">
        <v>171</v>
      </c>
      <c r="C107" t="s">
        <v>238</v>
      </c>
      <c r="D107" s="14">
        <v>0</v>
      </c>
      <c r="E107" s="14">
        <v>157.25</v>
      </c>
      <c r="F107" s="14">
        <v>-157.25</v>
      </c>
      <c r="G107" s="14">
        <v>0</v>
      </c>
      <c r="H107" s="14">
        <v>0</v>
      </c>
      <c r="I107" s="14">
        <v>108.36760000000001</v>
      </c>
      <c r="J107" s="14">
        <v>-48.882400000000004</v>
      </c>
      <c r="K107" s="14">
        <v>108.3676</v>
      </c>
      <c r="L107" s="14">
        <v>108.3676</v>
      </c>
      <c r="M107" s="14">
        <v>0</v>
      </c>
      <c r="N107" s="14">
        <v>0</v>
      </c>
      <c r="O107" s="14">
        <v>0</v>
      </c>
      <c r="P107" t="s">
        <v>123</v>
      </c>
    </row>
    <row r="108" spans="1:16">
      <c r="A108" t="s">
        <v>494</v>
      </c>
      <c r="B108">
        <v>171</v>
      </c>
      <c r="C108" t="s">
        <v>238</v>
      </c>
      <c r="D108" s="14">
        <v>0</v>
      </c>
      <c r="E108" s="14">
        <v>0</v>
      </c>
      <c r="F108" s="14">
        <v>0</v>
      </c>
      <c r="G108" s="14">
        <v>0</v>
      </c>
      <c r="H108" s="14">
        <v>0</v>
      </c>
      <c r="I108" s="14">
        <v>19</v>
      </c>
      <c r="J108" s="14">
        <v>18</v>
      </c>
      <c r="K108" s="14">
        <v>19</v>
      </c>
      <c r="L108" s="14">
        <v>18</v>
      </c>
      <c r="M108" s="14">
        <v>1</v>
      </c>
      <c r="N108" s="14">
        <v>0</v>
      </c>
      <c r="O108" s="14">
        <v>0</v>
      </c>
      <c r="P108" t="s">
        <v>119</v>
      </c>
    </row>
    <row r="109" spans="1:16">
      <c r="A109" t="s">
        <v>1078</v>
      </c>
      <c r="B109">
        <v>171</v>
      </c>
      <c r="C109" t="s">
        <v>238</v>
      </c>
      <c r="D109" s="14">
        <v>0</v>
      </c>
      <c r="E109" s="14"/>
      <c r="F109" s="14">
        <v>0</v>
      </c>
      <c r="G109" s="14">
        <v>0</v>
      </c>
      <c r="H109" s="14">
        <v>0</v>
      </c>
      <c r="I109" s="14">
        <v>320</v>
      </c>
      <c r="J109" s="14">
        <v>0</v>
      </c>
      <c r="K109" s="14">
        <v>320</v>
      </c>
      <c r="L109" s="14"/>
      <c r="M109" s="14">
        <v>320</v>
      </c>
      <c r="N109" s="14">
        <v>0</v>
      </c>
      <c r="O109" s="14">
        <v>0</v>
      </c>
      <c r="P109" t="s">
        <v>119</v>
      </c>
    </row>
    <row r="110" spans="1:16">
      <c r="A110" t="s">
        <v>1081</v>
      </c>
      <c r="B110">
        <v>171</v>
      </c>
      <c r="C110" t="s">
        <v>238</v>
      </c>
      <c r="D110" s="14">
        <v>0</v>
      </c>
      <c r="E110" s="14">
        <v>0</v>
      </c>
      <c r="F110" s="14">
        <v>0</v>
      </c>
      <c r="G110" s="14">
        <v>0</v>
      </c>
      <c r="H110" s="14">
        <v>0</v>
      </c>
      <c r="I110" s="14">
        <v>295</v>
      </c>
      <c r="J110" s="14">
        <v>-5</v>
      </c>
      <c r="K110" s="14">
        <v>295</v>
      </c>
      <c r="L110" s="14">
        <v>-5</v>
      </c>
      <c r="M110" s="14">
        <v>300</v>
      </c>
      <c r="N110" s="14">
        <v>0</v>
      </c>
      <c r="O110" s="14">
        <v>0</v>
      </c>
      <c r="P110" t="s">
        <v>119</v>
      </c>
    </row>
    <row r="111" spans="1:16">
      <c r="A111" t="s">
        <v>500</v>
      </c>
      <c r="B111">
        <v>171</v>
      </c>
      <c r="C111" t="s">
        <v>238</v>
      </c>
      <c r="D111" s="14">
        <v>0</v>
      </c>
      <c r="E111" s="14">
        <v>0</v>
      </c>
      <c r="F111" s="14">
        <v>0</v>
      </c>
      <c r="G111" s="14">
        <v>0</v>
      </c>
      <c r="H111" s="14">
        <v>0</v>
      </c>
      <c r="I111" s="14">
        <v>107</v>
      </c>
      <c r="J111" s="14">
        <v>-54</v>
      </c>
      <c r="K111" s="14">
        <v>107</v>
      </c>
      <c r="L111" s="14">
        <v>-54</v>
      </c>
      <c r="M111" s="14">
        <v>161</v>
      </c>
      <c r="N111" s="14">
        <v>0</v>
      </c>
      <c r="O111" s="14">
        <v>0</v>
      </c>
      <c r="P111" t="s">
        <v>119</v>
      </c>
    </row>
    <row r="112" spans="1:16">
      <c r="A112" t="s">
        <v>1085</v>
      </c>
      <c r="B112">
        <v>171</v>
      </c>
      <c r="C112" t="s">
        <v>238</v>
      </c>
      <c r="D112" s="14">
        <v>0</v>
      </c>
      <c r="E112" s="14">
        <v>0</v>
      </c>
      <c r="F112" s="14">
        <v>0</v>
      </c>
      <c r="G112" s="14">
        <v>0</v>
      </c>
      <c r="H112" s="14">
        <v>0</v>
      </c>
      <c r="I112" s="14">
        <v>203</v>
      </c>
      <c r="J112" s="14">
        <v>-47</v>
      </c>
      <c r="K112" s="14">
        <v>203</v>
      </c>
      <c r="L112" s="14">
        <v>-47</v>
      </c>
      <c r="M112" s="14">
        <v>250</v>
      </c>
      <c r="N112" s="14">
        <v>0</v>
      </c>
      <c r="O112" s="14">
        <v>0</v>
      </c>
      <c r="P112" t="s">
        <v>119</v>
      </c>
    </row>
    <row r="113" spans="1:16">
      <c r="A113" t="s">
        <v>1088</v>
      </c>
      <c r="B113">
        <v>171</v>
      </c>
      <c r="C113" t="s">
        <v>238</v>
      </c>
      <c r="D113" s="14">
        <v>0</v>
      </c>
      <c r="E113" s="14"/>
      <c r="F113" s="14">
        <v>0</v>
      </c>
      <c r="G113" s="14">
        <v>0</v>
      </c>
      <c r="H113" s="14">
        <v>0</v>
      </c>
      <c r="I113" s="14">
        <v>132</v>
      </c>
      <c r="J113" s="14">
        <v>0</v>
      </c>
      <c r="K113" s="14">
        <v>132</v>
      </c>
      <c r="L113" s="14"/>
      <c r="M113" s="14">
        <v>132</v>
      </c>
      <c r="N113" s="14">
        <v>0</v>
      </c>
      <c r="O113" s="14">
        <v>0</v>
      </c>
      <c r="P113" t="s">
        <v>119</v>
      </c>
    </row>
    <row r="114" spans="1:16">
      <c r="A114" t="s">
        <v>1091</v>
      </c>
      <c r="B114">
        <v>171</v>
      </c>
      <c r="C114" t="s">
        <v>238</v>
      </c>
      <c r="D114" s="14">
        <v>0</v>
      </c>
      <c r="E114" s="14"/>
      <c r="F114" s="14">
        <v>0</v>
      </c>
      <c r="G114" s="14">
        <v>0</v>
      </c>
      <c r="H114" s="14">
        <v>0</v>
      </c>
      <c r="I114" s="14">
        <v>12</v>
      </c>
      <c r="J114" s="14">
        <v>0</v>
      </c>
      <c r="K114" s="14">
        <v>12</v>
      </c>
      <c r="L114" s="14"/>
      <c r="M114" s="14">
        <v>12</v>
      </c>
      <c r="N114" s="14">
        <v>0</v>
      </c>
      <c r="O114" s="14">
        <v>0</v>
      </c>
      <c r="P114" t="s">
        <v>119</v>
      </c>
    </row>
    <row r="115" spans="1:16">
      <c r="A115" t="s">
        <v>1094</v>
      </c>
      <c r="B115">
        <v>171</v>
      </c>
      <c r="C115" t="s">
        <v>238</v>
      </c>
      <c r="D115" s="14">
        <v>0</v>
      </c>
      <c r="E115" s="14">
        <v>0</v>
      </c>
      <c r="F115" s="14">
        <v>0</v>
      </c>
      <c r="G115" s="14">
        <v>0</v>
      </c>
      <c r="H115" s="14">
        <v>0</v>
      </c>
      <c r="I115" s="14">
        <v>184</v>
      </c>
      <c r="J115" s="14">
        <v>-1</v>
      </c>
      <c r="K115" s="14">
        <v>184</v>
      </c>
      <c r="L115" s="14">
        <v>-1</v>
      </c>
      <c r="M115" s="14">
        <v>185</v>
      </c>
      <c r="N115" s="14">
        <v>0</v>
      </c>
      <c r="O115" s="14">
        <v>0</v>
      </c>
      <c r="P115" t="s">
        <v>119</v>
      </c>
    </row>
    <row r="116" spans="1:16">
      <c r="A116" t="s">
        <v>629</v>
      </c>
      <c r="B116">
        <v>171</v>
      </c>
      <c r="C116" t="s">
        <v>238</v>
      </c>
      <c r="D116" s="14">
        <v>0</v>
      </c>
      <c r="E116" s="14">
        <v>0</v>
      </c>
      <c r="F116" s="14">
        <v>0</v>
      </c>
      <c r="G116" s="14">
        <v>0</v>
      </c>
      <c r="H116" s="14">
        <v>0</v>
      </c>
      <c r="I116" s="14">
        <v>240</v>
      </c>
      <c r="J116" s="14">
        <v>-6</v>
      </c>
      <c r="K116" s="14">
        <v>240</v>
      </c>
      <c r="L116" s="14">
        <v>-6</v>
      </c>
      <c r="M116" s="14">
        <v>246</v>
      </c>
      <c r="N116" s="14">
        <v>0</v>
      </c>
      <c r="O116" s="14">
        <v>0</v>
      </c>
      <c r="P116" t="s">
        <v>119</v>
      </c>
    </row>
    <row r="117" spans="1:16">
      <c r="A117" t="s">
        <v>632</v>
      </c>
      <c r="B117">
        <v>171</v>
      </c>
      <c r="C117" t="s">
        <v>238</v>
      </c>
      <c r="D117" s="14">
        <v>0</v>
      </c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1</v>
      </c>
      <c r="K117" s="14">
        <v>0</v>
      </c>
      <c r="L117" s="14">
        <v>1</v>
      </c>
      <c r="M117" s="14">
        <v>-1</v>
      </c>
      <c r="N117" s="14">
        <v>0</v>
      </c>
      <c r="O117" s="14">
        <v>0</v>
      </c>
      <c r="P117" t="s">
        <v>119</v>
      </c>
    </row>
    <row r="118" spans="1:16">
      <c r="A118" t="s">
        <v>635</v>
      </c>
      <c r="B118">
        <v>171</v>
      </c>
      <c r="C118" t="s">
        <v>238</v>
      </c>
      <c r="D118" s="14">
        <v>0</v>
      </c>
      <c r="E118" s="14">
        <v>0</v>
      </c>
      <c r="F118" s="14">
        <v>0</v>
      </c>
      <c r="G118" s="14">
        <v>0</v>
      </c>
      <c r="H118" s="14">
        <v>0</v>
      </c>
      <c r="I118" s="14">
        <v>0</v>
      </c>
      <c r="J118" s="14">
        <v>1</v>
      </c>
      <c r="K118" s="14">
        <v>0</v>
      </c>
      <c r="L118" s="14">
        <v>1</v>
      </c>
      <c r="M118" s="14">
        <v>-1</v>
      </c>
      <c r="N118" s="14">
        <v>0</v>
      </c>
      <c r="O118" s="14">
        <v>0</v>
      </c>
      <c r="P118" t="s">
        <v>119</v>
      </c>
    </row>
    <row r="119" spans="1:16">
      <c r="A119" t="s">
        <v>288</v>
      </c>
      <c r="B119">
        <v>171</v>
      </c>
      <c r="C119" t="s">
        <v>238</v>
      </c>
      <c r="D119" s="14">
        <v>0</v>
      </c>
      <c r="E119" s="14">
        <v>23.699999999999996</v>
      </c>
      <c r="F119" s="14">
        <v>-23.699999999999996</v>
      </c>
      <c r="G119" s="14">
        <v>0</v>
      </c>
      <c r="H119" s="14">
        <v>0</v>
      </c>
      <c r="I119" s="14">
        <v>22.9922</v>
      </c>
      <c r="J119" s="14">
        <v>-0.70779999999999998</v>
      </c>
      <c r="K119" s="14">
        <v>22.992199999999997</v>
      </c>
      <c r="L119" s="14">
        <v>22.992199999999997</v>
      </c>
      <c r="M119" s="14">
        <v>0</v>
      </c>
      <c r="N119" s="14">
        <v>0</v>
      </c>
      <c r="O119" s="14">
        <v>0</v>
      </c>
      <c r="P119" t="s">
        <v>123</v>
      </c>
    </row>
    <row r="120" spans="1:16">
      <c r="A120" t="s">
        <v>289</v>
      </c>
      <c r="B120">
        <v>171</v>
      </c>
      <c r="C120" t="s">
        <v>238</v>
      </c>
      <c r="D120" s="14">
        <v>0</v>
      </c>
      <c r="E120" s="14">
        <v>9.5000000000000018</v>
      </c>
      <c r="F120" s="14">
        <v>-9.5000000000000018</v>
      </c>
      <c r="G120" s="14">
        <v>0</v>
      </c>
      <c r="H120" s="14">
        <v>0</v>
      </c>
      <c r="I120" s="14">
        <v>8.7922000000000011</v>
      </c>
      <c r="J120" s="14">
        <v>-0.70779999999999998</v>
      </c>
      <c r="K120" s="14">
        <v>8.7922000000000011</v>
      </c>
      <c r="L120" s="14">
        <v>8.7922000000000011</v>
      </c>
      <c r="M120" s="14">
        <v>0</v>
      </c>
      <c r="N120" s="14">
        <v>0</v>
      </c>
      <c r="O120" s="14">
        <v>0</v>
      </c>
      <c r="P120" t="s">
        <v>123</v>
      </c>
    </row>
    <row r="121" spans="1:16">
      <c r="A121" t="s">
        <v>115</v>
      </c>
      <c r="B121">
        <v>171</v>
      </c>
      <c r="C121" t="s">
        <v>238</v>
      </c>
      <c r="D121" s="14">
        <v>0</v>
      </c>
      <c r="E121" s="14">
        <v>0</v>
      </c>
      <c r="F121" s="14">
        <v>0</v>
      </c>
      <c r="G121" s="14">
        <v>0</v>
      </c>
      <c r="H121" s="14">
        <v>0</v>
      </c>
      <c r="I121" s="14">
        <v>7</v>
      </c>
      <c r="J121" s="14">
        <v>-71</v>
      </c>
      <c r="K121" s="14">
        <v>7</v>
      </c>
      <c r="L121" s="14">
        <v>-71</v>
      </c>
      <c r="M121" s="14">
        <v>78</v>
      </c>
      <c r="N121" s="14">
        <v>0</v>
      </c>
      <c r="O121" s="14">
        <v>0</v>
      </c>
      <c r="P121" t="s">
        <v>119</v>
      </c>
    </row>
    <row r="122" spans="1:16">
      <c r="A122" t="s">
        <v>290</v>
      </c>
      <c r="B122">
        <v>171</v>
      </c>
      <c r="C122" t="s">
        <v>238</v>
      </c>
      <c r="D122" s="14">
        <v>0</v>
      </c>
      <c r="E122" s="14">
        <v>46.000000000000057</v>
      </c>
      <c r="F122" s="14">
        <v>-46.000000000000057</v>
      </c>
      <c r="G122" s="14">
        <v>0</v>
      </c>
      <c r="H122" s="14">
        <v>0</v>
      </c>
      <c r="I122" s="14">
        <v>98.849399999999989</v>
      </c>
      <c r="J122" s="14">
        <v>52.849400000000045</v>
      </c>
      <c r="K122" s="14">
        <v>98.84940000000006</v>
      </c>
      <c r="L122" s="14">
        <v>98.84940000000006</v>
      </c>
      <c r="M122" s="14">
        <v>0</v>
      </c>
      <c r="N122" s="14">
        <v>0</v>
      </c>
      <c r="O122" s="14">
        <v>0</v>
      </c>
      <c r="P122" t="s">
        <v>123</v>
      </c>
    </row>
    <row r="123" spans="1:16">
      <c r="A123" t="s">
        <v>291</v>
      </c>
      <c r="B123">
        <v>171</v>
      </c>
      <c r="C123" t="s">
        <v>238</v>
      </c>
      <c r="D123" s="14">
        <v>0</v>
      </c>
      <c r="E123" s="14">
        <v>148</v>
      </c>
      <c r="F123" s="14">
        <v>-148</v>
      </c>
      <c r="G123" s="14">
        <v>0</v>
      </c>
      <c r="H123" s="14">
        <v>0</v>
      </c>
      <c r="I123" s="14">
        <v>110.9</v>
      </c>
      <c r="J123" s="14">
        <v>-37.1</v>
      </c>
      <c r="K123" s="14">
        <v>110.9</v>
      </c>
      <c r="L123" s="14">
        <v>110.9</v>
      </c>
      <c r="M123" s="14">
        <v>0</v>
      </c>
      <c r="N123" s="14">
        <v>0</v>
      </c>
      <c r="O123" s="14">
        <v>0</v>
      </c>
      <c r="P123" t="s">
        <v>123</v>
      </c>
    </row>
    <row r="124" spans="1:16">
      <c r="A124" t="s">
        <v>1098</v>
      </c>
      <c r="B124">
        <v>171</v>
      </c>
      <c r="C124" t="s">
        <v>238</v>
      </c>
      <c r="D124" s="14">
        <v>0</v>
      </c>
      <c r="E124" s="14"/>
      <c r="F124" s="14">
        <v>0</v>
      </c>
      <c r="G124" s="14">
        <v>0</v>
      </c>
      <c r="H124" s="14">
        <v>0</v>
      </c>
      <c r="I124" s="14">
        <v>28.35</v>
      </c>
      <c r="J124" s="14">
        <v>0</v>
      </c>
      <c r="K124" s="14">
        <v>28.35</v>
      </c>
      <c r="L124" s="14"/>
      <c r="M124" s="14">
        <v>28.35</v>
      </c>
      <c r="N124" s="14">
        <v>0</v>
      </c>
      <c r="O124" s="14">
        <v>0</v>
      </c>
      <c r="P124" t="s">
        <v>119</v>
      </c>
    </row>
    <row r="125" spans="1:16">
      <c r="A125" t="s">
        <v>292</v>
      </c>
      <c r="B125">
        <v>171</v>
      </c>
      <c r="C125" t="s">
        <v>238</v>
      </c>
      <c r="D125" s="14">
        <v>0</v>
      </c>
      <c r="E125" s="14">
        <v>171.35</v>
      </c>
      <c r="F125" s="14">
        <v>-171.35</v>
      </c>
      <c r="G125" s="14">
        <v>0</v>
      </c>
      <c r="H125" s="14">
        <v>0</v>
      </c>
      <c r="I125" s="14">
        <v>171.35</v>
      </c>
      <c r="J125" s="14">
        <v>0</v>
      </c>
      <c r="K125" s="14">
        <v>171.35</v>
      </c>
      <c r="L125" s="14">
        <v>171.35</v>
      </c>
      <c r="M125" s="14">
        <v>0</v>
      </c>
      <c r="N125" s="14">
        <v>0</v>
      </c>
      <c r="O125" s="14">
        <v>0</v>
      </c>
      <c r="P125" t="s">
        <v>123</v>
      </c>
    </row>
    <row r="126" spans="1:16">
      <c r="A126" t="s">
        <v>293</v>
      </c>
      <c r="B126">
        <v>171</v>
      </c>
      <c r="C126" t="s">
        <v>238</v>
      </c>
      <c r="D126" s="14">
        <v>0</v>
      </c>
      <c r="E126" s="14">
        <v>874.56</v>
      </c>
      <c r="F126" s="14">
        <v>-874.56</v>
      </c>
      <c r="G126" s="14">
        <v>0</v>
      </c>
      <c r="H126" s="14">
        <v>0</v>
      </c>
      <c r="I126" s="14">
        <v>420.06000000000006</v>
      </c>
      <c r="J126" s="14">
        <v>-454.5</v>
      </c>
      <c r="K126" s="14">
        <v>420.06</v>
      </c>
      <c r="L126" s="14">
        <v>420.06</v>
      </c>
      <c r="M126" s="14">
        <v>0</v>
      </c>
      <c r="N126" s="14">
        <v>0</v>
      </c>
      <c r="O126" s="14">
        <v>0</v>
      </c>
      <c r="P126" t="s">
        <v>123</v>
      </c>
    </row>
    <row r="127" spans="1:16">
      <c r="A127" t="s">
        <v>294</v>
      </c>
      <c r="B127">
        <v>171</v>
      </c>
      <c r="C127" t="s">
        <v>238</v>
      </c>
      <c r="D127" s="14">
        <v>0</v>
      </c>
      <c r="E127" s="14">
        <v>144</v>
      </c>
      <c r="F127" s="14">
        <v>-144</v>
      </c>
      <c r="G127" s="14">
        <v>0</v>
      </c>
      <c r="H127" s="14">
        <v>0</v>
      </c>
      <c r="I127" s="14">
        <v>144</v>
      </c>
      <c r="J127" s="14">
        <v>0</v>
      </c>
      <c r="K127" s="14">
        <v>144</v>
      </c>
      <c r="L127" s="14">
        <v>144</v>
      </c>
      <c r="M127" s="14">
        <v>0</v>
      </c>
      <c r="N127" s="14">
        <v>0</v>
      </c>
      <c r="O127" s="14">
        <v>0</v>
      </c>
      <c r="P127" t="s">
        <v>123</v>
      </c>
    </row>
    <row r="128" spans="1:16">
      <c r="A128" t="s">
        <v>295</v>
      </c>
      <c r="B128">
        <v>171</v>
      </c>
      <c r="C128" t="s">
        <v>238</v>
      </c>
      <c r="D128" s="14">
        <v>0</v>
      </c>
      <c r="E128" s="14">
        <v>168.57500000000002</v>
      </c>
      <c r="F128" s="14">
        <v>-168.57500000000002</v>
      </c>
      <c r="G128" s="14">
        <v>0</v>
      </c>
      <c r="H128" s="14">
        <v>0</v>
      </c>
      <c r="I128" s="14">
        <v>168.43499999999997</v>
      </c>
      <c r="J128" s="14">
        <v>-0.14499999999999999</v>
      </c>
      <c r="K128" s="14">
        <v>168.435</v>
      </c>
      <c r="L128" s="14">
        <v>168.43</v>
      </c>
      <c r="M128" s="14">
        <v>4.9999999999954525E-3</v>
      </c>
      <c r="N128" s="14">
        <v>0</v>
      </c>
      <c r="O128" s="14">
        <v>0</v>
      </c>
      <c r="P128" t="s">
        <v>123</v>
      </c>
    </row>
    <row r="129" spans="1:16">
      <c r="A129" t="s">
        <v>296</v>
      </c>
      <c r="B129">
        <v>171</v>
      </c>
      <c r="C129" t="s">
        <v>238</v>
      </c>
      <c r="D129" s="14">
        <v>0</v>
      </c>
      <c r="E129" s="14">
        <v>625</v>
      </c>
      <c r="F129" s="14">
        <v>-625</v>
      </c>
      <c r="G129" s="14">
        <v>0</v>
      </c>
      <c r="H129" s="14">
        <v>0</v>
      </c>
      <c r="I129" s="14">
        <v>568.44999999999993</v>
      </c>
      <c r="J129" s="14">
        <v>-56.55</v>
      </c>
      <c r="K129" s="14">
        <v>568.45000000000005</v>
      </c>
      <c r="L129" s="14">
        <v>568.45000000000005</v>
      </c>
      <c r="M129" s="14">
        <v>0</v>
      </c>
      <c r="N129" s="14">
        <v>0</v>
      </c>
      <c r="O129" s="14">
        <v>0</v>
      </c>
      <c r="P129" t="s">
        <v>123</v>
      </c>
    </row>
    <row r="130" spans="1:16">
      <c r="A130" t="s">
        <v>297</v>
      </c>
      <c r="B130">
        <v>171</v>
      </c>
      <c r="C130" t="s">
        <v>238</v>
      </c>
      <c r="D130" s="14">
        <v>0</v>
      </c>
      <c r="E130" s="14">
        <v>48</v>
      </c>
      <c r="F130" s="14">
        <v>-48</v>
      </c>
      <c r="G130" s="14">
        <v>0</v>
      </c>
      <c r="H130" s="14">
        <v>0</v>
      </c>
      <c r="I130" s="14">
        <v>48</v>
      </c>
      <c r="J130" s="14">
        <v>0</v>
      </c>
      <c r="K130" s="14">
        <v>48</v>
      </c>
      <c r="L130" s="14">
        <v>48</v>
      </c>
      <c r="M130" s="14">
        <v>0</v>
      </c>
      <c r="N130" s="14">
        <v>0</v>
      </c>
      <c r="O130" s="14">
        <v>0</v>
      </c>
      <c r="P130" t="s">
        <v>123</v>
      </c>
    </row>
    <row r="131" spans="1:16">
      <c r="A131" t="s">
        <v>839</v>
      </c>
      <c r="B131">
        <v>171</v>
      </c>
      <c r="C131" t="s">
        <v>238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>
        <v>150</v>
      </c>
      <c r="J131" s="14">
        <v>150</v>
      </c>
      <c r="K131" s="14">
        <v>150</v>
      </c>
      <c r="L131" s="14">
        <v>150</v>
      </c>
      <c r="M131" s="14">
        <v>0</v>
      </c>
      <c r="N131" s="14">
        <v>0</v>
      </c>
      <c r="O131" s="14">
        <v>0</v>
      </c>
      <c r="P131" t="s">
        <v>123</v>
      </c>
    </row>
    <row r="132" spans="1:16">
      <c r="A132" t="s">
        <v>298</v>
      </c>
      <c r="B132">
        <v>171</v>
      </c>
      <c r="C132" t="s">
        <v>238</v>
      </c>
      <c r="D132" s="14">
        <v>0</v>
      </c>
      <c r="E132" s="14">
        <v>1225</v>
      </c>
      <c r="F132" s="14">
        <v>-1225</v>
      </c>
      <c r="G132" s="14">
        <v>0</v>
      </c>
      <c r="H132" s="14">
        <v>0</v>
      </c>
      <c r="I132" s="14">
        <v>517.01989999999989</v>
      </c>
      <c r="J132" s="14">
        <v>-707.98009999999999</v>
      </c>
      <c r="K132" s="14">
        <v>517.01990000000001</v>
      </c>
      <c r="L132" s="14">
        <v>517.01990000000001</v>
      </c>
      <c r="M132" s="14">
        <v>0</v>
      </c>
      <c r="N132" s="14">
        <v>0</v>
      </c>
      <c r="O132" s="14">
        <v>0</v>
      </c>
      <c r="P132" t="s">
        <v>123</v>
      </c>
    </row>
    <row r="133" spans="1:16"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</row>
  </sheetData>
  <phoneticPr fontId="6" type="noConversion"/>
  <dataValidations count="1">
    <dataValidation type="list" allowBlank="1" showInputMessage="1" showErrorMessage="1" sqref="P2:P133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474"/>
  <sheetViews>
    <sheetView topLeftCell="F133" workbookViewId="0">
      <selection activeCell="Q90" sqref="Q90"/>
    </sheetView>
  </sheetViews>
  <sheetFormatPr defaultRowHeight="15"/>
  <cols>
    <col min="1" max="1" width="14.7109375" customWidth="1"/>
    <col min="2" max="2" width="12.7109375" customWidth="1"/>
    <col min="4" max="4" width="13.42578125" customWidth="1"/>
    <col min="5" max="5" width="13.8554687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9.7109375" customWidth="1"/>
    <col min="15" max="15" width="21.140625" customWidth="1"/>
    <col min="16" max="16" width="23.85546875" customWidth="1"/>
    <col min="17" max="17" width="14.5703125" customWidth="1"/>
  </cols>
  <sheetData>
    <row r="1" spans="1:17">
      <c r="A1" t="s">
        <v>6</v>
      </c>
      <c r="B1" t="s">
        <v>18</v>
      </c>
      <c r="C1" t="s">
        <v>34</v>
      </c>
      <c r="D1" t="s">
        <v>35</v>
      </c>
      <c r="E1" t="s">
        <v>32</v>
      </c>
      <c r="F1" t="s">
        <v>134</v>
      </c>
      <c r="G1" t="s">
        <v>8</v>
      </c>
      <c r="H1" t="s">
        <v>12</v>
      </c>
      <c r="I1" t="s">
        <v>21</v>
      </c>
      <c r="J1" t="s">
        <v>135</v>
      </c>
      <c r="K1" t="s">
        <v>136</v>
      </c>
      <c r="L1" t="s">
        <v>30</v>
      </c>
      <c r="M1" t="s">
        <v>124</v>
      </c>
      <c r="N1" t="s">
        <v>125</v>
      </c>
      <c r="O1" t="s">
        <v>137</v>
      </c>
      <c r="P1" t="s">
        <v>138</v>
      </c>
      <c r="Q1" t="s">
        <v>126</v>
      </c>
    </row>
    <row r="2" spans="1:17">
      <c r="A2" t="s">
        <v>1014</v>
      </c>
      <c r="B2" t="s">
        <v>1015</v>
      </c>
      <c r="C2">
        <v>171</v>
      </c>
      <c r="D2" t="s">
        <v>238</v>
      </c>
      <c r="E2" s="1">
        <v>43101</v>
      </c>
      <c r="F2" t="s">
        <v>902</v>
      </c>
      <c r="G2" t="s">
        <v>1013</v>
      </c>
      <c r="H2">
        <v>20</v>
      </c>
      <c r="I2" t="s">
        <v>66</v>
      </c>
      <c r="J2">
        <v>0</v>
      </c>
      <c r="M2" t="s">
        <v>87</v>
      </c>
      <c r="N2" t="s">
        <v>1016</v>
      </c>
    </row>
    <row r="3" spans="1:17">
      <c r="A3" t="s">
        <v>1014</v>
      </c>
      <c r="B3" t="s">
        <v>1015</v>
      </c>
      <c r="C3">
        <v>171</v>
      </c>
      <c r="D3" t="s">
        <v>238</v>
      </c>
      <c r="E3" s="1">
        <v>43101</v>
      </c>
      <c r="F3" t="s">
        <v>902</v>
      </c>
      <c r="G3" t="s">
        <v>1013</v>
      </c>
      <c r="H3">
        <v>20</v>
      </c>
      <c r="I3" t="s">
        <v>66</v>
      </c>
      <c r="J3">
        <v>0</v>
      </c>
      <c r="M3" t="s">
        <v>1547</v>
      </c>
      <c r="N3" t="s">
        <v>1016</v>
      </c>
      <c r="O3">
        <v>0</v>
      </c>
      <c r="P3">
        <v>0</v>
      </c>
      <c r="Q3" t="s">
        <v>119</v>
      </c>
    </row>
    <row r="4" spans="1:17">
      <c r="A4" t="s">
        <v>128</v>
      </c>
      <c r="B4" t="s">
        <v>131</v>
      </c>
      <c r="C4">
        <v>171</v>
      </c>
      <c r="D4" t="s">
        <v>238</v>
      </c>
      <c r="E4" s="1">
        <v>43101</v>
      </c>
      <c r="F4" t="s">
        <v>902</v>
      </c>
      <c r="G4" t="s">
        <v>1013</v>
      </c>
      <c r="H4">
        <v>4</v>
      </c>
      <c r="I4" t="s">
        <v>22</v>
      </c>
      <c r="J4">
        <v>0</v>
      </c>
      <c r="M4" t="s">
        <v>87</v>
      </c>
      <c r="N4" t="s">
        <v>1017</v>
      </c>
    </row>
    <row r="5" spans="1:17">
      <c r="A5" t="s">
        <v>128</v>
      </c>
      <c r="B5" t="s">
        <v>131</v>
      </c>
      <c r="C5">
        <v>171</v>
      </c>
      <c r="D5" t="s">
        <v>238</v>
      </c>
      <c r="E5" s="1">
        <v>43101</v>
      </c>
      <c r="F5" t="s">
        <v>902</v>
      </c>
      <c r="G5" t="s">
        <v>1013</v>
      </c>
      <c r="H5">
        <v>4</v>
      </c>
      <c r="I5" t="s">
        <v>22</v>
      </c>
      <c r="J5">
        <v>0</v>
      </c>
      <c r="M5" t="s">
        <v>1547</v>
      </c>
      <c r="N5" t="s">
        <v>1017</v>
      </c>
      <c r="O5">
        <v>0</v>
      </c>
      <c r="P5">
        <v>0</v>
      </c>
      <c r="Q5" t="s">
        <v>119</v>
      </c>
    </row>
    <row r="6" spans="1:17">
      <c r="A6" t="s">
        <v>306</v>
      </c>
      <c r="B6" t="s">
        <v>307</v>
      </c>
      <c r="C6">
        <v>171</v>
      </c>
      <c r="D6" t="s">
        <v>238</v>
      </c>
      <c r="E6" s="1">
        <v>43108</v>
      </c>
      <c r="F6" t="s">
        <v>655</v>
      </c>
      <c r="G6" t="s">
        <v>736</v>
      </c>
      <c r="H6">
        <v>2</v>
      </c>
      <c r="I6" t="s">
        <v>22</v>
      </c>
      <c r="J6">
        <v>0</v>
      </c>
      <c r="M6" t="s">
        <v>87</v>
      </c>
      <c r="N6" t="s">
        <v>737</v>
      </c>
      <c r="Q6" t="s">
        <v>123</v>
      </c>
    </row>
    <row r="7" spans="1:17">
      <c r="A7" t="s">
        <v>306</v>
      </c>
      <c r="B7" t="s">
        <v>307</v>
      </c>
      <c r="C7">
        <v>171</v>
      </c>
      <c r="D7" t="s">
        <v>238</v>
      </c>
      <c r="E7" s="1">
        <v>43108</v>
      </c>
      <c r="F7" t="s">
        <v>655</v>
      </c>
      <c r="G7" t="s">
        <v>736</v>
      </c>
      <c r="H7">
        <v>2</v>
      </c>
      <c r="I7" t="s">
        <v>22</v>
      </c>
      <c r="J7">
        <v>0</v>
      </c>
      <c r="K7">
        <v>0</v>
      </c>
      <c r="L7" t="s">
        <v>117</v>
      </c>
      <c r="M7" t="s">
        <v>88</v>
      </c>
      <c r="N7" t="s">
        <v>737</v>
      </c>
      <c r="O7">
        <v>0</v>
      </c>
      <c r="P7">
        <v>0</v>
      </c>
      <c r="Q7" t="s">
        <v>123</v>
      </c>
    </row>
    <row r="8" spans="1:17">
      <c r="A8" t="s">
        <v>306</v>
      </c>
      <c r="B8" t="s">
        <v>307</v>
      </c>
      <c r="C8">
        <v>171</v>
      </c>
      <c r="D8" t="s">
        <v>238</v>
      </c>
      <c r="E8" s="1">
        <v>43132</v>
      </c>
      <c r="F8" t="s">
        <v>224</v>
      </c>
      <c r="G8" t="s">
        <v>867</v>
      </c>
      <c r="H8">
        <v>2</v>
      </c>
      <c r="I8" t="s">
        <v>22</v>
      </c>
      <c r="J8">
        <v>0</v>
      </c>
      <c r="M8" t="s">
        <v>87</v>
      </c>
      <c r="N8" t="s">
        <v>868</v>
      </c>
    </row>
    <row r="9" spans="1:17">
      <c r="A9" t="s">
        <v>306</v>
      </c>
      <c r="B9" t="s">
        <v>307</v>
      </c>
      <c r="C9">
        <v>171</v>
      </c>
      <c r="D9" t="s">
        <v>238</v>
      </c>
      <c r="E9" s="1">
        <v>43132</v>
      </c>
      <c r="F9" t="s">
        <v>224</v>
      </c>
      <c r="G9" t="s">
        <v>867</v>
      </c>
      <c r="H9">
        <v>2</v>
      </c>
      <c r="I9" t="s">
        <v>22</v>
      </c>
      <c r="J9">
        <v>0</v>
      </c>
      <c r="M9" t="s">
        <v>1547</v>
      </c>
      <c r="N9" t="s">
        <v>868</v>
      </c>
      <c r="O9">
        <v>0</v>
      </c>
      <c r="P9">
        <v>0</v>
      </c>
      <c r="Q9" t="s">
        <v>119</v>
      </c>
    </row>
    <row r="10" spans="1:17">
      <c r="A10" t="s">
        <v>306</v>
      </c>
      <c r="B10" t="s">
        <v>307</v>
      </c>
      <c r="C10">
        <v>171</v>
      </c>
      <c r="D10" t="s">
        <v>238</v>
      </c>
      <c r="E10" s="1">
        <v>43132</v>
      </c>
      <c r="F10" t="s">
        <v>224</v>
      </c>
      <c r="G10" t="s">
        <v>888</v>
      </c>
      <c r="H10">
        <v>-2</v>
      </c>
      <c r="I10" t="s">
        <v>22</v>
      </c>
      <c r="J10">
        <v>0</v>
      </c>
      <c r="M10" t="s">
        <v>87</v>
      </c>
      <c r="N10" t="s">
        <v>889</v>
      </c>
    </row>
    <row r="11" spans="1:17">
      <c r="A11" t="s">
        <v>306</v>
      </c>
      <c r="B11" t="s">
        <v>307</v>
      </c>
      <c r="C11">
        <v>171</v>
      </c>
      <c r="D11" t="s">
        <v>238</v>
      </c>
      <c r="E11" s="1">
        <v>43132</v>
      </c>
      <c r="F11" t="s">
        <v>224</v>
      </c>
      <c r="G11" t="s">
        <v>888</v>
      </c>
      <c r="H11">
        <v>-2</v>
      </c>
      <c r="I11" t="s">
        <v>22</v>
      </c>
      <c r="J11">
        <v>0</v>
      </c>
      <c r="K11">
        <v>0</v>
      </c>
      <c r="M11" t="s">
        <v>1547</v>
      </c>
      <c r="N11" t="s">
        <v>889</v>
      </c>
      <c r="O11">
        <v>0</v>
      </c>
      <c r="P11">
        <v>0</v>
      </c>
      <c r="Q11" t="s">
        <v>119</v>
      </c>
    </row>
    <row r="12" spans="1:17">
      <c r="A12" t="s">
        <v>306</v>
      </c>
      <c r="B12" t="s">
        <v>307</v>
      </c>
      <c r="C12">
        <v>171</v>
      </c>
      <c r="D12" t="s">
        <v>238</v>
      </c>
      <c r="E12" s="1">
        <v>43132</v>
      </c>
      <c r="F12" t="s">
        <v>224</v>
      </c>
      <c r="G12" t="s">
        <v>891</v>
      </c>
      <c r="H12">
        <v>-2</v>
      </c>
      <c r="I12" t="s">
        <v>22</v>
      </c>
      <c r="J12">
        <v>0</v>
      </c>
      <c r="M12" t="s">
        <v>87</v>
      </c>
      <c r="N12" t="s">
        <v>892</v>
      </c>
    </row>
    <row r="13" spans="1:17">
      <c r="A13" t="s">
        <v>306</v>
      </c>
      <c r="B13" t="s">
        <v>307</v>
      </c>
      <c r="C13">
        <v>171</v>
      </c>
      <c r="D13" t="s">
        <v>238</v>
      </c>
      <c r="E13" s="1">
        <v>43132</v>
      </c>
      <c r="F13" t="s">
        <v>224</v>
      </c>
      <c r="G13" t="s">
        <v>891</v>
      </c>
      <c r="H13">
        <v>-2</v>
      </c>
      <c r="I13" t="s">
        <v>22</v>
      </c>
      <c r="J13">
        <v>0</v>
      </c>
      <c r="K13">
        <v>0</v>
      </c>
      <c r="M13" t="s">
        <v>1547</v>
      </c>
      <c r="N13" t="s">
        <v>892</v>
      </c>
      <c r="O13">
        <v>0</v>
      </c>
      <c r="P13">
        <v>0</v>
      </c>
      <c r="Q13" t="s">
        <v>119</v>
      </c>
    </row>
    <row r="14" spans="1:17">
      <c r="A14" t="s">
        <v>1018</v>
      </c>
      <c r="B14" t="s">
        <v>1019</v>
      </c>
      <c r="C14">
        <v>171</v>
      </c>
      <c r="D14" t="s">
        <v>238</v>
      </c>
      <c r="E14" s="1">
        <v>43101</v>
      </c>
      <c r="F14" t="s">
        <v>902</v>
      </c>
      <c r="G14" t="s">
        <v>1013</v>
      </c>
      <c r="H14">
        <v>24.5</v>
      </c>
      <c r="I14" t="s">
        <v>66</v>
      </c>
      <c r="J14">
        <v>0</v>
      </c>
      <c r="M14" t="s">
        <v>87</v>
      </c>
      <c r="N14" t="s">
        <v>1020</v>
      </c>
    </row>
    <row r="15" spans="1:17">
      <c r="A15" t="s">
        <v>1018</v>
      </c>
      <c r="B15" t="s">
        <v>1019</v>
      </c>
      <c r="C15">
        <v>171</v>
      </c>
      <c r="D15" t="s">
        <v>238</v>
      </c>
      <c r="E15" s="1">
        <v>43101</v>
      </c>
      <c r="F15" t="s">
        <v>902</v>
      </c>
      <c r="G15" t="s">
        <v>1013</v>
      </c>
      <c r="H15">
        <v>24.5</v>
      </c>
      <c r="I15" t="s">
        <v>66</v>
      </c>
      <c r="J15">
        <v>0</v>
      </c>
      <c r="M15" t="s">
        <v>1547</v>
      </c>
      <c r="N15" t="s">
        <v>1020</v>
      </c>
      <c r="O15">
        <v>0</v>
      </c>
      <c r="P15">
        <v>0</v>
      </c>
      <c r="Q15" t="s">
        <v>119</v>
      </c>
    </row>
    <row r="16" spans="1:17">
      <c r="A16" t="s">
        <v>72</v>
      </c>
      <c r="B16" t="s">
        <v>100</v>
      </c>
      <c r="C16">
        <v>171</v>
      </c>
      <c r="D16" t="s">
        <v>238</v>
      </c>
      <c r="E16" s="1">
        <v>43101</v>
      </c>
      <c r="F16" t="s">
        <v>902</v>
      </c>
      <c r="G16" t="s">
        <v>1013</v>
      </c>
      <c r="H16">
        <v>1</v>
      </c>
      <c r="I16" t="s">
        <v>22</v>
      </c>
      <c r="J16">
        <v>0</v>
      </c>
      <c r="M16" t="s">
        <v>87</v>
      </c>
      <c r="N16" t="s">
        <v>1021</v>
      </c>
    </row>
    <row r="17" spans="1:17">
      <c r="A17" t="s">
        <v>72</v>
      </c>
      <c r="B17" t="s">
        <v>100</v>
      </c>
      <c r="C17">
        <v>171</v>
      </c>
      <c r="D17" t="s">
        <v>238</v>
      </c>
      <c r="E17" s="1">
        <v>43101</v>
      </c>
      <c r="F17" t="s">
        <v>902</v>
      </c>
      <c r="G17" t="s">
        <v>1013</v>
      </c>
      <c r="H17">
        <v>1</v>
      </c>
      <c r="I17" t="s">
        <v>22</v>
      </c>
      <c r="J17">
        <v>0</v>
      </c>
      <c r="M17" t="s">
        <v>1547</v>
      </c>
      <c r="N17" t="s">
        <v>1021</v>
      </c>
      <c r="O17">
        <v>0</v>
      </c>
      <c r="P17">
        <v>0</v>
      </c>
      <c r="Q17" t="s">
        <v>119</v>
      </c>
    </row>
    <row r="18" spans="1:17">
      <c r="A18" t="s">
        <v>189</v>
      </c>
      <c r="B18" t="s">
        <v>190</v>
      </c>
      <c r="C18">
        <v>171</v>
      </c>
      <c r="D18" t="s">
        <v>238</v>
      </c>
      <c r="E18" s="1">
        <v>43101</v>
      </c>
      <c r="F18" t="s">
        <v>902</v>
      </c>
      <c r="G18" t="s">
        <v>990</v>
      </c>
      <c r="H18">
        <v>57</v>
      </c>
      <c r="I18" t="s">
        <v>22</v>
      </c>
      <c r="J18">
        <v>0</v>
      </c>
      <c r="M18" t="s">
        <v>87</v>
      </c>
      <c r="N18" t="s">
        <v>991</v>
      </c>
    </row>
    <row r="19" spans="1:17">
      <c r="A19" t="s">
        <v>189</v>
      </c>
      <c r="B19" t="s">
        <v>190</v>
      </c>
      <c r="C19">
        <v>171</v>
      </c>
      <c r="D19" t="s">
        <v>238</v>
      </c>
      <c r="E19" s="1">
        <v>43101</v>
      </c>
      <c r="F19" t="s">
        <v>902</v>
      </c>
      <c r="G19" t="s">
        <v>990</v>
      </c>
      <c r="H19">
        <v>57</v>
      </c>
      <c r="I19" t="s">
        <v>22</v>
      </c>
      <c r="J19">
        <v>0</v>
      </c>
      <c r="M19" t="s">
        <v>1547</v>
      </c>
      <c r="N19" t="s">
        <v>991</v>
      </c>
      <c r="O19">
        <v>0</v>
      </c>
      <c r="P19">
        <v>0</v>
      </c>
      <c r="Q19" t="s">
        <v>119</v>
      </c>
    </row>
    <row r="20" spans="1:17">
      <c r="A20" t="s">
        <v>189</v>
      </c>
      <c r="B20" t="s">
        <v>190</v>
      </c>
      <c r="C20">
        <v>171</v>
      </c>
      <c r="D20" t="s">
        <v>238</v>
      </c>
      <c r="E20" s="1">
        <v>43132</v>
      </c>
      <c r="F20" t="s">
        <v>224</v>
      </c>
      <c r="G20" t="s">
        <v>874</v>
      </c>
      <c r="H20">
        <v>1</v>
      </c>
      <c r="I20" t="s">
        <v>22</v>
      </c>
      <c r="J20">
        <v>0</v>
      </c>
      <c r="M20" t="s">
        <v>87</v>
      </c>
      <c r="N20" t="s">
        <v>875</v>
      </c>
    </row>
    <row r="21" spans="1:17">
      <c r="A21" t="s">
        <v>189</v>
      </c>
      <c r="B21" t="s">
        <v>190</v>
      </c>
      <c r="C21">
        <v>171</v>
      </c>
      <c r="D21" t="s">
        <v>238</v>
      </c>
      <c r="E21" s="1">
        <v>43132</v>
      </c>
      <c r="F21" t="s">
        <v>224</v>
      </c>
      <c r="G21" t="s">
        <v>874</v>
      </c>
      <c r="H21">
        <v>1</v>
      </c>
      <c r="I21" t="s">
        <v>22</v>
      </c>
      <c r="J21">
        <v>0</v>
      </c>
      <c r="M21" t="s">
        <v>1547</v>
      </c>
      <c r="N21" t="s">
        <v>875</v>
      </c>
      <c r="O21">
        <v>0</v>
      </c>
      <c r="P21">
        <v>0</v>
      </c>
      <c r="Q21" t="s">
        <v>119</v>
      </c>
    </row>
    <row r="22" spans="1:17">
      <c r="A22" t="s">
        <v>189</v>
      </c>
      <c r="B22" t="s">
        <v>190</v>
      </c>
      <c r="C22">
        <v>171</v>
      </c>
      <c r="D22" t="s">
        <v>238</v>
      </c>
      <c r="E22" s="1">
        <v>43132</v>
      </c>
      <c r="F22" t="s">
        <v>224</v>
      </c>
      <c r="G22" t="s">
        <v>894</v>
      </c>
      <c r="H22">
        <v>-1</v>
      </c>
      <c r="I22" t="s">
        <v>22</v>
      </c>
      <c r="J22">
        <v>0</v>
      </c>
      <c r="M22" t="s">
        <v>87</v>
      </c>
      <c r="N22" t="s">
        <v>895</v>
      </c>
    </row>
    <row r="23" spans="1:17">
      <c r="A23" t="s">
        <v>189</v>
      </c>
      <c r="B23" t="s">
        <v>190</v>
      </c>
      <c r="C23">
        <v>171</v>
      </c>
      <c r="D23" t="s">
        <v>238</v>
      </c>
      <c r="E23" s="1">
        <v>43132</v>
      </c>
      <c r="F23" t="s">
        <v>224</v>
      </c>
      <c r="G23" t="s">
        <v>894</v>
      </c>
      <c r="H23">
        <v>-1</v>
      </c>
      <c r="I23" t="s">
        <v>22</v>
      </c>
      <c r="J23">
        <v>0</v>
      </c>
      <c r="K23">
        <v>0</v>
      </c>
      <c r="M23" t="s">
        <v>1547</v>
      </c>
      <c r="N23" t="s">
        <v>895</v>
      </c>
      <c r="O23">
        <v>0</v>
      </c>
      <c r="P23">
        <v>0</v>
      </c>
      <c r="Q23" t="s">
        <v>119</v>
      </c>
    </row>
    <row r="24" spans="1:17">
      <c r="A24" t="s">
        <v>189</v>
      </c>
      <c r="B24" t="s">
        <v>190</v>
      </c>
      <c r="C24">
        <v>171</v>
      </c>
      <c r="D24" t="s">
        <v>238</v>
      </c>
      <c r="E24" s="1">
        <v>43132</v>
      </c>
      <c r="F24" t="s">
        <v>224</v>
      </c>
      <c r="G24" t="s">
        <v>898</v>
      </c>
      <c r="H24">
        <v>-1</v>
      </c>
      <c r="I24" t="s">
        <v>22</v>
      </c>
      <c r="J24">
        <v>0</v>
      </c>
      <c r="M24" t="s">
        <v>87</v>
      </c>
      <c r="N24" t="s">
        <v>899</v>
      </c>
    </row>
    <row r="25" spans="1:17">
      <c r="A25" t="s">
        <v>189</v>
      </c>
      <c r="B25" t="s">
        <v>190</v>
      </c>
      <c r="C25">
        <v>171</v>
      </c>
      <c r="D25" t="s">
        <v>238</v>
      </c>
      <c r="E25" s="1">
        <v>43132</v>
      </c>
      <c r="F25" t="s">
        <v>224</v>
      </c>
      <c r="G25" t="s">
        <v>898</v>
      </c>
      <c r="H25">
        <v>-1</v>
      </c>
      <c r="I25" t="s">
        <v>22</v>
      </c>
      <c r="J25">
        <v>0</v>
      </c>
      <c r="K25">
        <v>0</v>
      </c>
      <c r="M25" t="s">
        <v>1547</v>
      </c>
      <c r="N25" t="s">
        <v>899</v>
      </c>
      <c r="O25">
        <v>0</v>
      </c>
      <c r="P25">
        <v>0</v>
      </c>
      <c r="Q25" t="s">
        <v>119</v>
      </c>
    </row>
    <row r="26" spans="1:17">
      <c r="A26" t="s">
        <v>1022</v>
      </c>
      <c r="B26" t="s">
        <v>1023</v>
      </c>
      <c r="C26">
        <v>171</v>
      </c>
      <c r="D26" t="s">
        <v>238</v>
      </c>
      <c r="E26" s="1">
        <v>43101</v>
      </c>
      <c r="F26" t="s">
        <v>902</v>
      </c>
      <c r="G26" t="s">
        <v>1013</v>
      </c>
      <c r="H26">
        <v>23.5</v>
      </c>
      <c r="I26" t="s">
        <v>66</v>
      </c>
      <c r="J26">
        <v>0</v>
      </c>
      <c r="M26" t="s">
        <v>87</v>
      </c>
      <c r="N26" t="s">
        <v>1024</v>
      </c>
    </row>
    <row r="27" spans="1:17">
      <c r="A27" t="s">
        <v>1022</v>
      </c>
      <c r="B27" t="s">
        <v>1023</v>
      </c>
      <c r="C27">
        <v>171</v>
      </c>
      <c r="D27" t="s">
        <v>238</v>
      </c>
      <c r="E27" s="1">
        <v>43101</v>
      </c>
      <c r="F27" t="s">
        <v>902</v>
      </c>
      <c r="G27" t="s">
        <v>1013</v>
      </c>
      <c r="H27">
        <v>23.5</v>
      </c>
      <c r="I27" t="s">
        <v>66</v>
      </c>
      <c r="J27">
        <v>0</v>
      </c>
      <c r="M27" t="s">
        <v>1547</v>
      </c>
      <c r="N27" t="s">
        <v>1024</v>
      </c>
      <c r="O27">
        <v>0</v>
      </c>
      <c r="P27">
        <v>0</v>
      </c>
      <c r="Q27" t="s">
        <v>119</v>
      </c>
    </row>
    <row r="28" spans="1:17">
      <c r="A28" t="s">
        <v>1025</v>
      </c>
      <c r="B28" t="s">
        <v>1026</v>
      </c>
      <c r="C28">
        <v>171</v>
      </c>
      <c r="D28" t="s">
        <v>238</v>
      </c>
      <c r="E28" s="1">
        <v>43101</v>
      </c>
      <c r="F28" t="s">
        <v>902</v>
      </c>
      <c r="G28" t="s">
        <v>1013</v>
      </c>
      <c r="H28">
        <v>30</v>
      </c>
      <c r="I28" t="s">
        <v>66</v>
      </c>
      <c r="J28">
        <v>0</v>
      </c>
      <c r="M28" t="s">
        <v>87</v>
      </c>
      <c r="N28" t="s">
        <v>1027</v>
      </c>
    </row>
    <row r="29" spans="1:17">
      <c r="A29" t="s">
        <v>1025</v>
      </c>
      <c r="B29" t="s">
        <v>1026</v>
      </c>
      <c r="C29">
        <v>171</v>
      </c>
      <c r="D29" t="s">
        <v>238</v>
      </c>
      <c r="E29" s="1">
        <v>43101</v>
      </c>
      <c r="F29" t="s">
        <v>902</v>
      </c>
      <c r="G29" t="s">
        <v>1013</v>
      </c>
      <c r="H29">
        <v>30</v>
      </c>
      <c r="I29" t="s">
        <v>66</v>
      </c>
      <c r="J29">
        <v>0</v>
      </c>
      <c r="M29" t="s">
        <v>1547</v>
      </c>
      <c r="N29" t="s">
        <v>1027</v>
      </c>
      <c r="O29">
        <v>0</v>
      </c>
      <c r="P29">
        <v>0</v>
      </c>
      <c r="Q29" t="s">
        <v>119</v>
      </c>
    </row>
    <row r="30" spans="1:17">
      <c r="A30" t="s">
        <v>599</v>
      </c>
      <c r="B30" t="s">
        <v>600</v>
      </c>
      <c r="C30">
        <v>171</v>
      </c>
      <c r="D30" t="s">
        <v>238</v>
      </c>
      <c r="E30" s="1">
        <v>43101</v>
      </c>
      <c r="F30" t="s">
        <v>902</v>
      </c>
      <c r="G30" t="s">
        <v>1013</v>
      </c>
      <c r="H30">
        <v>28892</v>
      </c>
      <c r="I30" t="s">
        <v>66</v>
      </c>
      <c r="J30">
        <v>0</v>
      </c>
      <c r="M30" t="s">
        <v>87</v>
      </c>
      <c r="N30" t="s">
        <v>1028</v>
      </c>
    </row>
    <row r="31" spans="1:17">
      <c r="A31" t="s">
        <v>599</v>
      </c>
      <c r="B31" t="s">
        <v>600</v>
      </c>
      <c r="C31">
        <v>171</v>
      </c>
      <c r="D31" t="s">
        <v>238</v>
      </c>
      <c r="E31" s="1">
        <v>43101</v>
      </c>
      <c r="F31" t="s">
        <v>902</v>
      </c>
      <c r="G31" t="s">
        <v>1013</v>
      </c>
      <c r="H31">
        <v>28892</v>
      </c>
      <c r="I31" t="s">
        <v>66</v>
      </c>
      <c r="J31">
        <v>0</v>
      </c>
      <c r="M31" t="s">
        <v>1547</v>
      </c>
      <c r="N31" t="s">
        <v>1028</v>
      </c>
      <c r="O31">
        <v>0</v>
      </c>
      <c r="P31">
        <v>0</v>
      </c>
      <c r="Q31" t="s">
        <v>119</v>
      </c>
    </row>
    <row r="32" spans="1:17">
      <c r="A32" t="s">
        <v>599</v>
      </c>
      <c r="B32" t="s">
        <v>600</v>
      </c>
      <c r="C32">
        <v>171</v>
      </c>
      <c r="D32" t="s">
        <v>238</v>
      </c>
      <c r="E32" s="1">
        <v>43154</v>
      </c>
      <c r="F32" t="s">
        <v>122</v>
      </c>
      <c r="G32" t="s">
        <v>598</v>
      </c>
      <c r="H32">
        <v>-50</v>
      </c>
      <c r="I32" t="s">
        <v>66</v>
      </c>
      <c r="J32">
        <v>0</v>
      </c>
      <c r="M32" t="s">
        <v>87</v>
      </c>
      <c r="N32" t="s">
        <v>601</v>
      </c>
      <c r="Q32" t="s">
        <v>123</v>
      </c>
    </row>
    <row r="33" spans="1:17">
      <c r="A33" t="s">
        <v>599</v>
      </c>
      <c r="B33" t="s">
        <v>600</v>
      </c>
      <c r="C33">
        <v>171</v>
      </c>
      <c r="D33" t="s">
        <v>238</v>
      </c>
      <c r="E33" s="1">
        <v>43154</v>
      </c>
      <c r="F33" t="s">
        <v>122</v>
      </c>
      <c r="G33" t="s">
        <v>598</v>
      </c>
      <c r="H33">
        <v>-50</v>
      </c>
      <c r="I33" t="s">
        <v>66</v>
      </c>
      <c r="J33">
        <v>0</v>
      </c>
      <c r="K33">
        <v>0</v>
      </c>
      <c r="L33" t="s">
        <v>117</v>
      </c>
      <c r="M33" t="s">
        <v>88</v>
      </c>
      <c r="N33" t="s">
        <v>601</v>
      </c>
      <c r="O33">
        <v>0</v>
      </c>
      <c r="P33">
        <v>0</v>
      </c>
      <c r="Q33" t="s">
        <v>123</v>
      </c>
    </row>
    <row r="34" spans="1:17">
      <c r="A34" t="s">
        <v>1029</v>
      </c>
      <c r="B34" t="s">
        <v>1030</v>
      </c>
      <c r="C34">
        <v>171</v>
      </c>
      <c r="D34" t="s">
        <v>238</v>
      </c>
      <c r="E34" s="1">
        <v>43101</v>
      </c>
      <c r="F34" t="s">
        <v>902</v>
      </c>
      <c r="G34" t="s">
        <v>1013</v>
      </c>
      <c r="H34">
        <v>14</v>
      </c>
      <c r="I34" t="s">
        <v>66</v>
      </c>
      <c r="J34">
        <v>0</v>
      </c>
      <c r="M34" t="s">
        <v>87</v>
      </c>
      <c r="N34" t="s">
        <v>1031</v>
      </c>
    </row>
    <row r="35" spans="1:17">
      <c r="A35" t="s">
        <v>1029</v>
      </c>
      <c r="B35" t="s">
        <v>1030</v>
      </c>
      <c r="C35">
        <v>171</v>
      </c>
      <c r="D35" t="s">
        <v>238</v>
      </c>
      <c r="E35" s="1">
        <v>43101</v>
      </c>
      <c r="F35" t="s">
        <v>902</v>
      </c>
      <c r="G35" t="s">
        <v>1013</v>
      </c>
      <c r="H35">
        <v>14</v>
      </c>
      <c r="I35" t="s">
        <v>66</v>
      </c>
      <c r="J35">
        <v>0</v>
      </c>
      <c r="M35" t="s">
        <v>1547</v>
      </c>
      <c r="N35" t="s">
        <v>1031</v>
      </c>
      <c r="O35">
        <v>0</v>
      </c>
      <c r="P35">
        <v>0</v>
      </c>
      <c r="Q35" t="s">
        <v>119</v>
      </c>
    </row>
    <row r="36" spans="1:17">
      <c r="A36" t="s">
        <v>1032</v>
      </c>
      <c r="B36" t="s">
        <v>1033</v>
      </c>
      <c r="C36">
        <v>171</v>
      </c>
      <c r="D36" t="s">
        <v>238</v>
      </c>
      <c r="E36" s="1">
        <v>43101</v>
      </c>
      <c r="F36" t="s">
        <v>902</v>
      </c>
      <c r="G36" t="s">
        <v>1013</v>
      </c>
      <c r="H36">
        <v>153</v>
      </c>
      <c r="I36" t="s">
        <v>22</v>
      </c>
      <c r="J36">
        <v>0</v>
      </c>
      <c r="M36" t="s">
        <v>87</v>
      </c>
      <c r="N36" t="s">
        <v>1034</v>
      </c>
    </row>
    <row r="37" spans="1:17">
      <c r="A37" t="s">
        <v>1032</v>
      </c>
      <c r="B37" t="s">
        <v>1033</v>
      </c>
      <c r="C37">
        <v>171</v>
      </c>
      <c r="D37" t="s">
        <v>238</v>
      </c>
      <c r="E37" s="1">
        <v>43101</v>
      </c>
      <c r="F37" t="s">
        <v>902</v>
      </c>
      <c r="G37" t="s">
        <v>1013</v>
      </c>
      <c r="H37">
        <v>153</v>
      </c>
      <c r="I37" t="s">
        <v>22</v>
      </c>
      <c r="J37">
        <v>0</v>
      </c>
      <c r="M37" t="s">
        <v>1547</v>
      </c>
      <c r="N37" t="s">
        <v>1034</v>
      </c>
      <c r="O37">
        <v>0</v>
      </c>
      <c r="P37">
        <v>0</v>
      </c>
      <c r="Q37" t="s">
        <v>119</v>
      </c>
    </row>
    <row r="38" spans="1:17">
      <c r="A38" t="s">
        <v>230</v>
      </c>
      <c r="B38" t="s">
        <v>231</v>
      </c>
      <c r="C38">
        <v>171</v>
      </c>
      <c r="D38" t="s">
        <v>238</v>
      </c>
      <c r="E38" s="1">
        <v>43101</v>
      </c>
      <c r="F38" t="s">
        <v>902</v>
      </c>
      <c r="G38" t="s">
        <v>990</v>
      </c>
      <c r="H38">
        <v>153</v>
      </c>
      <c r="I38" t="s">
        <v>22</v>
      </c>
      <c r="J38">
        <v>0</v>
      </c>
      <c r="M38" t="s">
        <v>87</v>
      </c>
      <c r="N38" t="s">
        <v>992</v>
      </c>
    </row>
    <row r="39" spans="1:17">
      <c r="A39" t="s">
        <v>230</v>
      </c>
      <c r="B39" t="s">
        <v>231</v>
      </c>
      <c r="C39">
        <v>171</v>
      </c>
      <c r="D39" t="s">
        <v>238</v>
      </c>
      <c r="E39" s="1">
        <v>43101</v>
      </c>
      <c r="F39" t="s">
        <v>902</v>
      </c>
      <c r="G39" t="s">
        <v>990</v>
      </c>
      <c r="H39">
        <v>153</v>
      </c>
      <c r="I39" t="s">
        <v>22</v>
      </c>
      <c r="J39">
        <v>0</v>
      </c>
      <c r="M39" t="s">
        <v>1547</v>
      </c>
      <c r="N39" t="s">
        <v>992</v>
      </c>
      <c r="O39">
        <v>0</v>
      </c>
      <c r="P39">
        <v>0</v>
      </c>
      <c r="Q39" t="s">
        <v>119</v>
      </c>
    </row>
    <row r="40" spans="1:17">
      <c r="A40" t="s">
        <v>230</v>
      </c>
      <c r="B40" t="s">
        <v>231</v>
      </c>
      <c r="C40">
        <v>171</v>
      </c>
      <c r="D40" t="s">
        <v>238</v>
      </c>
      <c r="E40" s="1">
        <v>43132</v>
      </c>
      <c r="F40" t="s">
        <v>224</v>
      </c>
      <c r="G40" t="s">
        <v>874</v>
      </c>
      <c r="H40">
        <v>1</v>
      </c>
      <c r="I40" t="s">
        <v>22</v>
      </c>
      <c r="J40">
        <v>0</v>
      </c>
      <c r="M40" t="s">
        <v>87</v>
      </c>
      <c r="N40" t="s">
        <v>876</v>
      </c>
    </row>
    <row r="41" spans="1:17">
      <c r="A41" t="s">
        <v>230</v>
      </c>
      <c r="B41" t="s">
        <v>231</v>
      </c>
      <c r="C41">
        <v>171</v>
      </c>
      <c r="D41" t="s">
        <v>238</v>
      </c>
      <c r="E41" s="1">
        <v>43132</v>
      </c>
      <c r="F41" t="s">
        <v>224</v>
      </c>
      <c r="G41" t="s">
        <v>874</v>
      </c>
      <c r="H41">
        <v>1</v>
      </c>
      <c r="I41" t="s">
        <v>22</v>
      </c>
      <c r="J41">
        <v>0</v>
      </c>
      <c r="M41" t="s">
        <v>1547</v>
      </c>
      <c r="N41" t="s">
        <v>876</v>
      </c>
      <c r="O41">
        <v>0</v>
      </c>
      <c r="P41">
        <v>0</v>
      </c>
      <c r="Q41" t="s">
        <v>119</v>
      </c>
    </row>
    <row r="42" spans="1:17">
      <c r="A42" t="s">
        <v>230</v>
      </c>
      <c r="B42" t="s">
        <v>231</v>
      </c>
      <c r="C42">
        <v>171</v>
      </c>
      <c r="D42" t="s">
        <v>238</v>
      </c>
      <c r="E42" s="1">
        <v>43132</v>
      </c>
      <c r="F42" t="s">
        <v>224</v>
      </c>
      <c r="G42" t="s">
        <v>894</v>
      </c>
      <c r="H42">
        <v>-1</v>
      </c>
      <c r="I42" t="s">
        <v>22</v>
      </c>
      <c r="J42">
        <v>0</v>
      </c>
      <c r="M42" t="s">
        <v>87</v>
      </c>
      <c r="N42" t="s">
        <v>896</v>
      </c>
    </row>
    <row r="43" spans="1:17">
      <c r="A43" t="s">
        <v>230</v>
      </c>
      <c r="B43" t="s">
        <v>231</v>
      </c>
      <c r="C43">
        <v>171</v>
      </c>
      <c r="D43" t="s">
        <v>238</v>
      </c>
      <c r="E43" s="1">
        <v>43132</v>
      </c>
      <c r="F43" t="s">
        <v>224</v>
      </c>
      <c r="G43" t="s">
        <v>894</v>
      </c>
      <c r="H43">
        <v>-1</v>
      </c>
      <c r="I43" t="s">
        <v>22</v>
      </c>
      <c r="J43">
        <v>0</v>
      </c>
      <c r="K43">
        <v>0</v>
      </c>
      <c r="M43" t="s">
        <v>1547</v>
      </c>
      <c r="N43" t="s">
        <v>896</v>
      </c>
      <c r="O43">
        <v>0</v>
      </c>
      <c r="P43">
        <v>0</v>
      </c>
      <c r="Q43" t="s">
        <v>119</v>
      </c>
    </row>
    <row r="44" spans="1:17">
      <c r="A44" t="s">
        <v>230</v>
      </c>
      <c r="B44" t="s">
        <v>231</v>
      </c>
      <c r="C44">
        <v>171</v>
      </c>
      <c r="D44" t="s">
        <v>238</v>
      </c>
      <c r="E44" s="1">
        <v>43132</v>
      </c>
      <c r="F44" t="s">
        <v>224</v>
      </c>
      <c r="G44" t="s">
        <v>898</v>
      </c>
      <c r="H44">
        <v>-1</v>
      </c>
      <c r="I44" t="s">
        <v>22</v>
      </c>
      <c r="J44">
        <v>0</v>
      </c>
      <c r="M44" t="s">
        <v>87</v>
      </c>
      <c r="N44" t="s">
        <v>900</v>
      </c>
    </row>
    <row r="45" spans="1:17">
      <c r="A45" t="s">
        <v>230</v>
      </c>
      <c r="B45" t="s">
        <v>231</v>
      </c>
      <c r="C45">
        <v>171</v>
      </c>
      <c r="D45" t="s">
        <v>238</v>
      </c>
      <c r="E45" s="1">
        <v>43132</v>
      </c>
      <c r="F45" t="s">
        <v>224</v>
      </c>
      <c r="G45" t="s">
        <v>898</v>
      </c>
      <c r="H45">
        <v>-1</v>
      </c>
      <c r="I45" t="s">
        <v>22</v>
      </c>
      <c r="J45">
        <v>0</v>
      </c>
      <c r="K45">
        <v>0</v>
      </c>
      <c r="M45" t="s">
        <v>1547</v>
      </c>
      <c r="N45" t="s">
        <v>900</v>
      </c>
      <c r="O45">
        <v>0</v>
      </c>
      <c r="P45">
        <v>0</v>
      </c>
      <c r="Q45" t="s">
        <v>119</v>
      </c>
    </row>
    <row r="46" spans="1:17">
      <c r="A46" t="s">
        <v>1035</v>
      </c>
      <c r="B46" t="s">
        <v>1036</v>
      </c>
      <c r="C46">
        <v>171</v>
      </c>
      <c r="D46" t="s">
        <v>238</v>
      </c>
      <c r="E46" s="1">
        <v>43101</v>
      </c>
      <c r="F46" t="s">
        <v>902</v>
      </c>
      <c r="G46" t="s">
        <v>1013</v>
      </c>
      <c r="H46">
        <v>7</v>
      </c>
      <c r="I46" t="s">
        <v>22</v>
      </c>
      <c r="J46">
        <v>0</v>
      </c>
      <c r="M46" t="s">
        <v>87</v>
      </c>
      <c r="N46" t="s">
        <v>1037</v>
      </c>
    </row>
    <row r="47" spans="1:17">
      <c r="A47" t="s">
        <v>1035</v>
      </c>
      <c r="B47" t="s">
        <v>1036</v>
      </c>
      <c r="C47">
        <v>171</v>
      </c>
      <c r="D47" t="s">
        <v>238</v>
      </c>
      <c r="E47" s="1">
        <v>43101</v>
      </c>
      <c r="F47" t="s">
        <v>902</v>
      </c>
      <c r="G47" t="s">
        <v>1013</v>
      </c>
      <c r="H47">
        <v>7</v>
      </c>
      <c r="I47" t="s">
        <v>22</v>
      </c>
      <c r="J47">
        <v>0</v>
      </c>
      <c r="M47" t="s">
        <v>1547</v>
      </c>
      <c r="N47" t="s">
        <v>1037</v>
      </c>
      <c r="O47">
        <v>0</v>
      </c>
      <c r="P47">
        <v>0</v>
      </c>
      <c r="Q47" t="s">
        <v>119</v>
      </c>
    </row>
    <row r="48" spans="1:17">
      <c r="A48" t="s">
        <v>212</v>
      </c>
      <c r="B48" t="s">
        <v>216</v>
      </c>
      <c r="C48">
        <v>171</v>
      </c>
      <c r="D48" t="s">
        <v>238</v>
      </c>
      <c r="E48" s="1">
        <v>43101</v>
      </c>
      <c r="F48" t="s">
        <v>902</v>
      </c>
      <c r="G48" t="s">
        <v>1013</v>
      </c>
      <c r="H48">
        <v>71</v>
      </c>
      <c r="I48" t="s">
        <v>22</v>
      </c>
      <c r="J48">
        <v>0</v>
      </c>
      <c r="M48" t="s">
        <v>87</v>
      </c>
      <c r="N48" t="s">
        <v>1038</v>
      </c>
    </row>
    <row r="49" spans="1:17">
      <c r="A49" t="s">
        <v>212</v>
      </c>
      <c r="B49" t="s">
        <v>216</v>
      </c>
      <c r="C49">
        <v>171</v>
      </c>
      <c r="D49" t="s">
        <v>238</v>
      </c>
      <c r="E49" s="1">
        <v>43101</v>
      </c>
      <c r="F49" t="s">
        <v>902</v>
      </c>
      <c r="G49" t="s">
        <v>1013</v>
      </c>
      <c r="H49">
        <v>71</v>
      </c>
      <c r="I49" t="s">
        <v>22</v>
      </c>
      <c r="J49">
        <v>0</v>
      </c>
      <c r="M49" t="s">
        <v>1547</v>
      </c>
      <c r="N49" t="s">
        <v>1038</v>
      </c>
      <c r="O49">
        <v>0</v>
      </c>
      <c r="P49">
        <v>0</v>
      </c>
      <c r="Q49" t="s">
        <v>119</v>
      </c>
    </row>
    <row r="50" spans="1:17">
      <c r="A50" t="s">
        <v>212</v>
      </c>
      <c r="B50" t="s">
        <v>216</v>
      </c>
      <c r="C50">
        <v>171</v>
      </c>
      <c r="D50" t="s">
        <v>238</v>
      </c>
      <c r="E50" s="1">
        <v>43118</v>
      </c>
      <c r="F50" t="s">
        <v>122</v>
      </c>
      <c r="G50" t="s">
        <v>513</v>
      </c>
      <c r="H50">
        <v>-18</v>
      </c>
      <c r="I50" t="s">
        <v>22</v>
      </c>
      <c r="J50">
        <v>0</v>
      </c>
      <c r="M50" t="s">
        <v>87</v>
      </c>
      <c r="N50" t="s">
        <v>514</v>
      </c>
      <c r="Q50" t="s">
        <v>123</v>
      </c>
    </row>
    <row r="51" spans="1:17">
      <c r="A51" t="s">
        <v>212</v>
      </c>
      <c r="B51" t="s">
        <v>216</v>
      </c>
      <c r="C51">
        <v>171</v>
      </c>
      <c r="D51" t="s">
        <v>238</v>
      </c>
      <c r="E51" s="1">
        <v>43118</v>
      </c>
      <c r="F51" t="s">
        <v>122</v>
      </c>
      <c r="G51" t="s">
        <v>513</v>
      </c>
      <c r="H51">
        <v>-4</v>
      </c>
      <c r="I51" t="s">
        <v>22</v>
      </c>
      <c r="J51">
        <v>0</v>
      </c>
      <c r="M51" t="s">
        <v>87</v>
      </c>
      <c r="N51" t="s">
        <v>515</v>
      </c>
      <c r="Q51" t="s">
        <v>123</v>
      </c>
    </row>
    <row r="52" spans="1:17">
      <c r="A52" t="s">
        <v>212</v>
      </c>
      <c r="B52" t="s">
        <v>216</v>
      </c>
      <c r="C52">
        <v>171</v>
      </c>
      <c r="D52" t="s">
        <v>238</v>
      </c>
      <c r="E52" s="1">
        <v>43118</v>
      </c>
      <c r="F52" t="s">
        <v>122</v>
      </c>
      <c r="G52" t="s">
        <v>513</v>
      </c>
      <c r="H52">
        <v>-1</v>
      </c>
      <c r="I52" t="s">
        <v>22</v>
      </c>
      <c r="J52">
        <v>0</v>
      </c>
      <c r="M52" t="s">
        <v>87</v>
      </c>
      <c r="N52" t="s">
        <v>516</v>
      </c>
      <c r="Q52" t="s">
        <v>123</v>
      </c>
    </row>
    <row r="53" spans="1:17">
      <c r="A53" t="s">
        <v>212</v>
      </c>
      <c r="B53" t="s">
        <v>216</v>
      </c>
      <c r="C53">
        <v>171</v>
      </c>
      <c r="D53" t="s">
        <v>238</v>
      </c>
      <c r="E53" s="1">
        <v>43118</v>
      </c>
      <c r="F53" t="s">
        <v>122</v>
      </c>
      <c r="G53" t="s">
        <v>513</v>
      </c>
      <c r="H53">
        <v>-13</v>
      </c>
      <c r="I53" t="s">
        <v>22</v>
      </c>
      <c r="J53">
        <v>0</v>
      </c>
      <c r="M53" t="s">
        <v>87</v>
      </c>
      <c r="N53" t="s">
        <v>517</v>
      </c>
      <c r="Q53" t="s">
        <v>123</v>
      </c>
    </row>
    <row r="54" spans="1:17">
      <c r="A54" t="s">
        <v>212</v>
      </c>
      <c r="B54" t="s">
        <v>216</v>
      </c>
      <c r="C54">
        <v>171</v>
      </c>
      <c r="D54" t="s">
        <v>238</v>
      </c>
      <c r="E54" s="1">
        <v>43118</v>
      </c>
      <c r="F54" t="s">
        <v>122</v>
      </c>
      <c r="G54" t="s">
        <v>513</v>
      </c>
      <c r="H54">
        <v>-18</v>
      </c>
      <c r="I54" t="s">
        <v>22</v>
      </c>
      <c r="J54">
        <v>0</v>
      </c>
      <c r="K54">
        <v>0</v>
      </c>
      <c r="L54" t="s">
        <v>117</v>
      </c>
      <c r="M54" t="s">
        <v>88</v>
      </c>
      <c r="N54" t="s">
        <v>514</v>
      </c>
      <c r="O54">
        <v>0</v>
      </c>
      <c r="P54">
        <v>0</v>
      </c>
      <c r="Q54" t="s">
        <v>123</v>
      </c>
    </row>
    <row r="55" spans="1:17">
      <c r="A55" t="s">
        <v>212</v>
      </c>
      <c r="B55" t="s">
        <v>216</v>
      </c>
      <c r="C55">
        <v>171</v>
      </c>
      <c r="D55" t="s">
        <v>238</v>
      </c>
      <c r="E55" s="1">
        <v>43118</v>
      </c>
      <c r="F55" t="s">
        <v>122</v>
      </c>
      <c r="G55" t="s">
        <v>513</v>
      </c>
      <c r="H55">
        <v>-4</v>
      </c>
      <c r="I55" t="s">
        <v>22</v>
      </c>
      <c r="J55">
        <v>0</v>
      </c>
      <c r="K55">
        <v>0</v>
      </c>
      <c r="L55" t="s">
        <v>117</v>
      </c>
      <c r="M55" t="s">
        <v>88</v>
      </c>
      <c r="N55" t="s">
        <v>515</v>
      </c>
      <c r="O55">
        <v>0</v>
      </c>
      <c r="P55">
        <v>0</v>
      </c>
      <c r="Q55" t="s">
        <v>123</v>
      </c>
    </row>
    <row r="56" spans="1:17">
      <c r="A56" t="s">
        <v>212</v>
      </c>
      <c r="B56" t="s">
        <v>216</v>
      </c>
      <c r="C56">
        <v>171</v>
      </c>
      <c r="D56" t="s">
        <v>238</v>
      </c>
      <c r="E56" s="1">
        <v>43118</v>
      </c>
      <c r="F56" t="s">
        <v>122</v>
      </c>
      <c r="G56" t="s">
        <v>513</v>
      </c>
      <c r="H56">
        <v>-1</v>
      </c>
      <c r="I56" t="s">
        <v>22</v>
      </c>
      <c r="J56">
        <v>0</v>
      </c>
      <c r="K56">
        <v>0</v>
      </c>
      <c r="L56" t="s">
        <v>117</v>
      </c>
      <c r="M56" t="s">
        <v>88</v>
      </c>
      <c r="N56" t="s">
        <v>516</v>
      </c>
      <c r="O56">
        <v>0</v>
      </c>
      <c r="P56">
        <v>0</v>
      </c>
      <c r="Q56" t="s">
        <v>123</v>
      </c>
    </row>
    <row r="57" spans="1:17">
      <c r="A57" t="s">
        <v>212</v>
      </c>
      <c r="B57" t="s">
        <v>216</v>
      </c>
      <c r="C57">
        <v>171</v>
      </c>
      <c r="D57" t="s">
        <v>238</v>
      </c>
      <c r="E57" s="1">
        <v>43118</v>
      </c>
      <c r="F57" t="s">
        <v>122</v>
      </c>
      <c r="G57" t="s">
        <v>513</v>
      </c>
      <c r="H57">
        <v>-13</v>
      </c>
      <c r="I57" t="s">
        <v>22</v>
      </c>
      <c r="J57">
        <v>0</v>
      </c>
      <c r="K57">
        <v>0</v>
      </c>
      <c r="L57" t="s">
        <v>117</v>
      </c>
      <c r="M57" t="s">
        <v>88</v>
      </c>
      <c r="N57" t="s">
        <v>517</v>
      </c>
      <c r="O57">
        <v>0</v>
      </c>
      <c r="P57">
        <v>0</v>
      </c>
      <c r="Q57" t="s">
        <v>123</v>
      </c>
    </row>
    <row r="58" spans="1:17">
      <c r="A58" t="s">
        <v>212</v>
      </c>
      <c r="B58" t="s">
        <v>216</v>
      </c>
      <c r="C58">
        <v>171</v>
      </c>
      <c r="D58" t="s">
        <v>238</v>
      </c>
      <c r="E58" s="1">
        <v>43154</v>
      </c>
      <c r="F58" t="s">
        <v>122</v>
      </c>
      <c r="G58" t="s">
        <v>613</v>
      </c>
      <c r="H58">
        <v>-19</v>
      </c>
      <c r="I58" t="s">
        <v>22</v>
      </c>
      <c r="J58">
        <v>0</v>
      </c>
      <c r="M58" t="s">
        <v>87</v>
      </c>
      <c r="N58" t="s">
        <v>614</v>
      </c>
      <c r="Q58" t="s">
        <v>123</v>
      </c>
    </row>
    <row r="59" spans="1:17">
      <c r="A59" t="s">
        <v>212</v>
      </c>
      <c r="B59" t="s">
        <v>216</v>
      </c>
      <c r="C59">
        <v>171</v>
      </c>
      <c r="D59" t="s">
        <v>238</v>
      </c>
      <c r="E59" s="1">
        <v>43154</v>
      </c>
      <c r="F59" t="s">
        <v>122</v>
      </c>
      <c r="G59" t="s">
        <v>613</v>
      </c>
      <c r="H59">
        <v>-12</v>
      </c>
      <c r="I59" t="s">
        <v>22</v>
      </c>
      <c r="J59">
        <v>0</v>
      </c>
      <c r="M59" t="s">
        <v>87</v>
      </c>
      <c r="N59" t="s">
        <v>615</v>
      </c>
      <c r="Q59" t="s">
        <v>123</v>
      </c>
    </row>
    <row r="60" spans="1:17">
      <c r="A60" t="s">
        <v>212</v>
      </c>
      <c r="B60" t="s">
        <v>216</v>
      </c>
      <c r="C60">
        <v>171</v>
      </c>
      <c r="D60" t="s">
        <v>238</v>
      </c>
      <c r="E60" s="1">
        <v>43154</v>
      </c>
      <c r="F60" t="s">
        <v>122</v>
      </c>
      <c r="G60" t="s">
        <v>613</v>
      </c>
      <c r="H60">
        <v>-4</v>
      </c>
      <c r="I60" t="s">
        <v>22</v>
      </c>
      <c r="J60">
        <v>0</v>
      </c>
      <c r="M60" t="s">
        <v>87</v>
      </c>
      <c r="N60" t="s">
        <v>616</v>
      </c>
      <c r="Q60" t="s">
        <v>123</v>
      </c>
    </row>
    <row r="61" spans="1:17">
      <c r="A61" t="s">
        <v>212</v>
      </c>
      <c r="B61" t="s">
        <v>216</v>
      </c>
      <c r="C61">
        <v>171</v>
      </c>
      <c r="D61" t="s">
        <v>238</v>
      </c>
      <c r="E61" s="1">
        <v>43154</v>
      </c>
      <c r="F61" t="s">
        <v>122</v>
      </c>
      <c r="G61" t="s">
        <v>613</v>
      </c>
      <c r="H61">
        <v>-19</v>
      </c>
      <c r="I61" t="s">
        <v>22</v>
      </c>
      <c r="J61">
        <v>0</v>
      </c>
      <c r="K61">
        <v>0</v>
      </c>
      <c r="L61" t="s">
        <v>117</v>
      </c>
      <c r="M61" t="s">
        <v>88</v>
      </c>
      <c r="N61" t="s">
        <v>614</v>
      </c>
      <c r="O61">
        <v>0</v>
      </c>
      <c r="P61">
        <v>0</v>
      </c>
      <c r="Q61" t="s">
        <v>123</v>
      </c>
    </row>
    <row r="62" spans="1:17">
      <c r="A62" t="s">
        <v>212</v>
      </c>
      <c r="B62" t="s">
        <v>216</v>
      </c>
      <c r="C62">
        <v>171</v>
      </c>
      <c r="D62" t="s">
        <v>238</v>
      </c>
      <c r="E62" s="1">
        <v>43154</v>
      </c>
      <c r="F62" t="s">
        <v>122</v>
      </c>
      <c r="G62" t="s">
        <v>613</v>
      </c>
      <c r="H62">
        <v>-12</v>
      </c>
      <c r="I62" t="s">
        <v>22</v>
      </c>
      <c r="J62">
        <v>0</v>
      </c>
      <c r="K62">
        <v>0</v>
      </c>
      <c r="L62" t="s">
        <v>117</v>
      </c>
      <c r="M62" t="s">
        <v>88</v>
      </c>
      <c r="N62" t="s">
        <v>615</v>
      </c>
      <c r="O62">
        <v>0</v>
      </c>
      <c r="P62">
        <v>0</v>
      </c>
      <c r="Q62" t="s">
        <v>123</v>
      </c>
    </row>
    <row r="63" spans="1:17">
      <c r="A63" t="s">
        <v>212</v>
      </c>
      <c r="B63" t="s">
        <v>216</v>
      </c>
      <c r="C63">
        <v>171</v>
      </c>
      <c r="D63" t="s">
        <v>238</v>
      </c>
      <c r="E63" s="1">
        <v>43154</v>
      </c>
      <c r="F63" t="s">
        <v>122</v>
      </c>
      <c r="G63" t="s">
        <v>613</v>
      </c>
      <c r="H63">
        <v>-3</v>
      </c>
      <c r="I63" t="s">
        <v>22</v>
      </c>
      <c r="J63">
        <v>0</v>
      </c>
      <c r="K63">
        <v>0</v>
      </c>
      <c r="L63" t="s">
        <v>117</v>
      </c>
      <c r="M63" t="s">
        <v>88</v>
      </c>
      <c r="N63" t="s">
        <v>616</v>
      </c>
      <c r="O63">
        <v>0</v>
      </c>
      <c r="P63">
        <v>0</v>
      </c>
      <c r="Q63" t="s">
        <v>123</v>
      </c>
    </row>
    <row r="64" spans="1:17">
      <c r="A64" t="s">
        <v>212</v>
      </c>
      <c r="B64" t="s">
        <v>216</v>
      </c>
      <c r="C64">
        <v>171</v>
      </c>
      <c r="D64" t="s">
        <v>238</v>
      </c>
      <c r="E64" s="1">
        <v>43154</v>
      </c>
      <c r="F64" t="s">
        <v>122</v>
      </c>
      <c r="G64" t="s">
        <v>613</v>
      </c>
      <c r="H64">
        <v>-1</v>
      </c>
      <c r="I64" t="s">
        <v>22</v>
      </c>
      <c r="J64">
        <v>0</v>
      </c>
      <c r="K64">
        <v>0</v>
      </c>
      <c r="L64" t="s">
        <v>117</v>
      </c>
      <c r="M64" t="s">
        <v>88</v>
      </c>
      <c r="N64" t="s">
        <v>616</v>
      </c>
      <c r="O64">
        <v>0</v>
      </c>
      <c r="P64">
        <v>0</v>
      </c>
      <c r="Q64" t="s">
        <v>123</v>
      </c>
    </row>
    <row r="65" spans="1:17">
      <c r="A65" t="s">
        <v>518</v>
      </c>
      <c r="B65" t="s">
        <v>519</v>
      </c>
      <c r="C65">
        <v>171</v>
      </c>
      <c r="D65" t="s">
        <v>238</v>
      </c>
      <c r="E65" s="1">
        <v>43101</v>
      </c>
      <c r="F65" t="s">
        <v>902</v>
      </c>
      <c r="G65" t="s">
        <v>1013</v>
      </c>
      <c r="H65">
        <v>100</v>
      </c>
      <c r="I65" t="s">
        <v>22</v>
      </c>
      <c r="J65">
        <v>0</v>
      </c>
      <c r="M65" t="s">
        <v>87</v>
      </c>
      <c r="N65" t="s">
        <v>1039</v>
      </c>
    </row>
    <row r="66" spans="1:17">
      <c r="A66" t="s">
        <v>518</v>
      </c>
      <c r="B66" t="s">
        <v>519</v>
      </c>
      <c r="C66">
        <v>171</v>
      </c>
      <c r="D66" t="s">
        <v>238</v>
      </c>
      <c r="E66" s="1">
        <v>43101</v>
      </c>
      <c r="F66" t="s">
        <v>902</v>
      </c>
      <c r="G66" t="s">
        <v>1013</v>
      </c>
      <c r="H66">
        <v>100</v>
      </c>
      <c r="I66" t="s">
        <v>22</v>
      </c>
      <c r="J66">
        <v>0</v>
      </c>
      <c r="M66" t="s">
        <v>1547</v>
      </c>
      <c r="N66" t="s">
        <v>1039</v>
      </c>
      <c r="O66">
        <v>0</v>
      </c>
      <c r="P66">
        <v>0</v>
      </c>
      <c r="Q66" t="s">
        <v>119</v>
      </c>
    </row>
    <row r="67" spans="1:17">
      <c r="A67" t="s">
        <v>518</v>
      </c>
      <c r="B67" t="s">
        <v>519</v>
      </c>
      <c r="C67">
        <v>171</v>
      </c>
      <c r="D67" t="s">
        <v>238</v>
      </c>
      <c r="E67" s="1">
        <v>43118</v>
      </c>
      <c r="F67" t="s">
        <v>122</v>
      </c>
      <c r="G67" t="s">
        <v>513</v>
      </c>
      <c r="H67">
        <v>-50</v>
      </c>
      <c r="I67" t="s">
        <v>22</v>
      </c>
      <c r="J67">
        <v>0</v>
      </c>
      <c r="M67" t="s">
        <v>87</v>
      </c>
      <c r="N67" t="s">
        <v>520</v>
      </c>
      <c r="Q67" t="s">
        <v>123</v>
      </c>
    </row>
    <row r="68" spans="1:17">
      <c r="A68" t="s">
        <v>518</v>
      </c>
      <c r="B68" t="s">
        <v>519</v>
      </c>
      <c r="C68">
        <v>171</v>
      </c>
      <c r="D68" t="s">
        <v>238</v>
      </c>
      <c r="E68" s="1">
        <v>43118</v>
      </c>
      <c r="F68" t="s">
        <v>122</v>
      </c>
      <c r="G68" t="s">
        <v>513</v>
      </c>
      <c r="H68">
        <v>-50</v>
      </c>
      <c r="I68" t="s">
        <v>22</v>
      </c>
      <c r="J68">
        <v>0</v>
      </c>
      <c r="K68">
        <v>0</v>
      </c>
      <c r="L68" t="s">
        <v>117</v>
      </c>
      <c r="M68" t="s">
        <v>88</v>
      </c>
      <c r="N68" t="s">
        <v>520</v>
      </c>
      <c r="O68">
        <v>0</v>
      </c>
      <c r="P68">
        <v>0</v>
      </c>
      <c r="Q68" t="s">
        <v>123</v>
      </c>
    </row>
    <row r="69" spans="1:17">
      <c r="A69" t="s">
        <v>263</v>
      </c>
      <c r="B69" t="s">
        <v>357</v>
      </c>
      <c r="C69">
        <v>171</v>
      </c>
      <c r="D69" t="s">
        <v>238</v>
      </c>
      <c r="E69" s="1">
        <v>43101</v>
      </c>
      <c r="F69" t="s">
        <v>902</v>
      </c>
      <c r="G69" t="s">
        <v>990</v>
      </c>
      <c r="H69">
        <v>16</v>
      </c>
      <c r="I69" t="s">
        <v>22</v>
      </c>
      <c r="J69">
        <v>0</v>
      </c>
      <c r="M69" t="s">
        <v>87</v>
      </c>
      <c r="N69" t="s">
        <v>993</v>
      </c>
    </row>
    <row r="70" spans="1:17">
      <c r="A70" t="s">
        <v>263</v>
      </c>
      <c r="B70" t="s">
        <v>357</v>
      </c>
      <c r="C70">
        <v>171</v>
      </c>
      <c r="D70" t="s">
        <v>238</v>
      </c>
      <c r="E70" s="1">
        <v>43101</v>
      </c>
      <c r="F70" t="s">
        <v>902</v>
      </c>
      <c r="G70" t="s">
        <v>990</v>
      </c>
      <c r="H70">
        <v>16</v>
      </c>
      <c r="I70" t="s">
        <v>22</v>
      </c>
      <c r="J70">
        <v>0</v>
      </c>
      <c r="M70" t="s">
        <v>1547</v>
      </c>
      <c r="N70" t="s">
        <v>993</v>
      </c>
      <c r="O70">
        <v>0</v>
      </c>
      <c r="P70">
        <v>0</v>
      </c>
      <c r="Q70" t="s">
        <v>119</v>
      </c>
    </row>
    <row r="71" spans="1:17">
      <c r="A71" t="s">
        <v>263</v>
      </c>
      <c r="B71" t="s">
        <v>357</v>
      </c>
      <c r="C71">
        <v>171</v>
      </c>
      <c r="D71" t="s">
        <v>238</v>
      </c>
      <c r="E71" s="1">
        <v>43108</v>
      </c>
      <c r="F71" t="s">
        <v>655</v>
      </c>
      <c r="G71" t="s">
        <v>734</v>
      </c>
      <c r="H71">
        <v>45</v>
      </c>
      <c r="I71" t="s">
        <v>22</v>
      </c>
      <c r="J71">
        <v>0</v>
      </c>
      <c r="M71" t="s">
        <v>87</v>
      </c>
      <c r="N71" t="s">
        <v>735</v>
      </c>
      <c r="Q71" t="s">
        <v>123</v>
      </c>
    </row>
    <row r="72" spans="1:17">
      <c r="A72" t="s">
        <v>263</v>
      </c>
      <c r="B72" t="s">
        <v>357</v>
      </c>
      <c r="C72">
        <v>171</v>
      </c>
      <c r="D72" t="s">
        <v>238</v>
      </c>
      <c r="E72" s="1">
        <v>43108</v>
      </c>
      <c r="F72" t="s">
        <v>655</v>
      </c>
      <c r="G72" t="s">
        <v>734</v>
      </c>
      <c r="H72">
        <v>45</v>
      </c>
      <c r="I72" t="s">
        <v>22</v>
      </c>
      <c r="J72">
        <v>0</v>
      </c>
      <c r="K72">
        <v>0</v>
      </c>
      <c r="L72" t="s">
        <v>117</v>
      </c>
      <c r="M72" t="s">
        <v>88</v>
      </c>
      <c r="N72" t="s">
        <v>735</v>
      </c>
      <c r="O72">
        <v>0</v>
      </c>
      <c r="P72">
        <v>0</v>
      </c>
      <c r="Q72" t="s">
        <v>123</v>
      </c>
    </row>
    <row r="73" spans="1:17">
      <c r="A73" t="s">
        <v>263</v>
      </c>
      <c r="B73" t="s">
        <v>357</v>
      </c>
      <c r="C73">
        <v>171</v>
      </c>
      <c r="D73" t="s">
        <v>238</v>
      </c>
      <c r="E73" s="1">
        <v>43147</v>
      </c>
      <c r="F73" t="s">
        <v>122</v>
      </c>
      <c r="G73" t="s">
        <v>591</v>
      </c>
      <c r="H73">
        <v>-2</v>
      </c>
      <c r="I73" t="s">
        <v>22</v>
      </c>
      <c r="J73">
        <v>0</v>
      </c>
      <c r="M73" t="s">
        <v>87</v>
      </c>
      <c r="N73" t="s">
        <v>592</v>
      </c>
      <c r="Q73" t="s">
        <v>123</v>
      </c>
    </row>
    <row r="74" spans="1:17">
      <c r="A74" t="s">
        <v>263</v>
      </c>
      <c r="B74" t="s">
        <v>357</v>
      </c>
      <c r="C74">
        <v>171</v>
      </c>
      <c r="D74" t="s">
        <v>238</v>
      </c>
      <c r="E74" s="1">
        <v>43147</v>
      </c>
      <c r="F74" t="s">
        <v>122</v>
      </c>
      <c r="G74" t="s">
        <v>591</v>
      </c>
      <c r="H74">
        <v>-2</v>
      </c>
      <c r="I74" t="s">
        <v>22</v>
      </c>
      <c r="J74">
        <v>0</v>
      </c>
      <c r="K74">
        <v>0</v>
      </c>
      <c r="L74" t="s">
        <v>117</v>
      </c>
      <c r="M74" t="s">
        <v>88</v>
      </c>
      <c r="N74" t="s">
        <v>592</v>
      </c>
      <c r="O74">
        <v>0</v>
      </c>
      <c r="P74">
        <v>0</v>
      </c>
      <c r="Q74" t="s">
        <v>123</v>
      </c>
    </row>
    <row r="75" spans="1:17">
      <c r="A75" t="s">
        <v>263</v>
      </c>
      <c r="B75" t="s">
        <v>357</v>
      </c>
      <c r="C75">
        <v>171</v>
      </c>
      <c r="D75" t="s">
        <v>238</v>
      </c>
      <c r="E75" s="1">
        <v>43154</v>
      </c>
      <c r="F75" t="s">
        <v>122</v>
      </c>
      <c r="G75" t="s">
        <v>598</v>
      </c>
      <c r="H75">
        <v>-2</v>
      </c>
      <c r="I75" t="s">
        <v>22</v>
      </c>
      <c r="J75">
        <v>0</v>
      </c>
      <c r="M75" t="s">
        <v>87</v>
      </c>
      <c r="N75" t="s">
        <v>602</v>
      </c>
      <c r="Q75" t="s">
        <v>123</v>
      </c>
    </row>
    <row r="76" spans="1:17">
      <c r="A76" t="s">
        <v>263</v>
      </c>
      <c r="B76" t="s">
        <v>357</v>
      </c>
      <c r="C76">
        <v>171</v>
      </c>
      <c r="D76" t="s">
        <v>238</v>
      </c>
      <c r="E76" s="1">
        <v>43154</v>
      </c>
      <c r="F76" t="s">
        <v>122</v>
      </c>
      <c r="G76" t="s">
        <v>610</v>
      </c>
      <c r="H76">
        <v>-5</v>
      </c>
      <c r="I76" t="s">
        <v>22</v>
      </c>
      <c r="J76">
        <v>0</v>
      </c>
      <c r="M76" t="s">
        <v>87</v>
      </c>
      <c r="N76" t="s">
        <v>611</v>
      </c>
      <c r="Q76" t="s">
        <v>123</v>
      </c>
    </row>
    <row r="77" spans="1:17">
      <c r="A77" t="s">
        <v>263</v>
      </c>
      <c r="B77" t="s">
        <v>357</v>
      </c>
      <c r="C77">
        <v>171</v>
      </c>
      <c r="D77" t="s">
        <v>238</v>
      </c>
      <c r="E77" s="1">
        <v>43154</v>
      </c>
      <c r="F77" t="s">
        <v>122</v>
      </c>
      <c r="G77" t="s">
        <v>610</v>
      </c>
      <c r="H77">
        <v>-5</v>
      </c>
      <c r="I77" t="s">
        <v>22</v>
      </c>
      <c r="J77">
        <v>0</v>
      </c>
      <c r="K77">
        <v>0</v>
      </c>
      <c r="L77" t="s">
        <v>117</v>
      </c>
      <c r="M77" t="s">
        <v>88</v>
      </c>
      <c r="N77" t="s">
        <v>611</v>
      </c>
      <c r="O77">
        <v>0</v>
      </c>
      <c r="P77">
        <v>0</v>
      </c>
      <c r="Q77" t="s">
        <v>123</v>
      </c>
    </row>
    <row r="78" spans="1:17">
      <c r="A78" t="s">
        <v>263</v>
      </c>
      <c r="B78" t="s">
        <v>357</v>
      </c>
      <c r="C78">
        <v>171</v>
      </c>
      <c r="D78" t="s">
        <v>238</v>
      </c>
      <c r="E78" s="1">
        <v>43154</v>
      </c>
      <c r="F78" t="s">
        <v>122</v>
      </c>
      <c r="G78" t="s">
        <v>598</v>
      </c>
      <c r="H78">
        <v>-2</v>
      </c>
      <c r="I78" t="s">
        <v>22</v>
      </c>
      <c r="J78">
        <v>0</v>
      </c>
      <c r="K78">
        <v>0</v>
      </c>
      <c r="L78" t="s">
        <v>117</v>
      </c>
      <c r="M78" t="s">
        <v>88</v>
      </c>
      <c r="N78" t="s">
        <v>602</v>
      </c>
      <c r="O78">
        <v>0</v>
      </c>
      <c r="P78">
        <v>0</v>
      </c>
      <c r="Q78" t="s">
        <v>123</v>
      </c>
    </row>
    <row r="79" spans="1:17">
      <c r="A79" t="s">
        <v>264</v>
      </c>
      <c r="B79" t="s">
        <v>360</v>
      </c>
      <c r="C79">
        <v>171</v>
      </c>
      <c r="D79" t="s">
        <v>238</v>
      </c>
      <c r="E79" s="1">
        <v>43101</v>
      </c>
      <c r="F79" t="s">
        <v>902</v>
      </c>
      <c r="G79" t="s">
        <v>990</v>
      </c>
      <c r="H79">
        <v>24</v>
      </c>
      <c r="I79" t="s">
        <v>22</v>
      </c>
      <c r="J79">
        <v>0</v>
      </c>
      <c r="M79" t="s">
        <v>87</v>
      </c>
      <c r="N79" t="s">
        <v>994</v>
      </c>
    </row>
    <row r="80" spans="1:17">
      <c r="A80" t="s">
        <v>264</v>
      </c>
      <c r="B80" t="s">
        <v>360</v>
      </c>
      <c r="C80">
        <v>171</v>
      </c>
      <c r="D80" t="s">
        <v>238</v>
      </c>
      <c r="E80" s="1">
        <v>43101</v>
      </c>
      <c r="F80" t="s">
        <v>902</v>
      </c>
      <c r="G80" t="s">
        <v>990</v>
      </c>
      <c r="H80">
        <v>24</v>
      </c>
      <c r="I80" t="s">
        <v>22</v>
      </c>
      <c r="J80">
        <v>0</v>
      </c>
      <c r="M80" t="s">
        <v>1547</v>
      </c>
      <c r="N80" t="s">
        <v>994</v>
      </c>
      <c r="O80">
        <v>0</v>
      </c>
      <c r="P80">
        <v>0</v>
      </c>
      <c r="Q80" t="s">
        <v>119</v>
      </c>
    </row>
    <row r="81" spans="1:17">
      <c r="A81" t="s">
        <v>1040</v>
      </c>
      <c r="B81" t="s">
        <v>1041</v>
      </c>
      <c r="C81">
        <v>171</v>
      </c>
      <c r="D81" t="s">
        <v>238</v>
      </c>
      <c r="E81" s="1">
        <v>43101</v>
      </c>
      <c r="F81" t="s">
        <v>902</v>
      </c>
      <c r="G81" t="s">
        <v>1013</v>
      </c>
      <c r="H81">
        <v>146</v>
      </c>
      <c r="I81" t="s">
        <v>22</v>
      </c>
      <c r="J81">
        <v>0</v>
      </c>
      <c r="M81" t="s">
        <v>87</v>
      </c>
      <c r="N81" t="s">
        <v>1042</v>
      </c>
    </row>
    <row r="82" spans="1:17">
      <c r="A82" t="s">
        <v>1040</v>
      </c>
      <c r="B82" t="s">
        <v>1041</v>
      </c>
      <c r="C82">
        <v>171</v>
      </c>
      <c r="D82" t="s">
        <v>238</v>
      </c>
      <c r="E82" s="1">
        <v>43101</v>
      </c>
      <c r="F82" t="s">
        <v>902</v>
      </c>
      <c r="G82" t="s">
        <v>1013</v>
      </c>
      <c r="H82">
        <v>146</v>
      </c>
      <c r="I82" t="s">
        <v>22</v>
      </c>
      <c r="J82">
        <v>0</v>
      </c>
      <c r="M82" t="s">
        <v>1547</v>
      </c>
      <c r="N82" t="s">
        <v>1042</v>
      </c>
      <c r="O82">
        <v>0</v>
      </c>
      <c r="P82">
        <v>0</v>
      </c>
      <c r="Q82" t="s">
        <v>119</v>
      </c>
    </row>
    <row r="83" spans="1:17">
      <c r="A83" t="s">
        <v>1040</v>
      </c>
      <c r="B83" t="s">
        <v>1041</v>
      </c>
      <c r="C83">
        <v>171</v>
      </c>
      <c r="D83" t="s">
        <v>238</v>
      </c>
      <c r="E83" s="1">
        <v>43108</v>
      </c>
      <c r="F83" t="s">
        <v>1121</v>
      </c>
      <c r="G83" t="s">
        <v>734</v>
      </c>
      <c r="H83">
        <v>-45</v>
      </c>
      <c r="I83" t="s">
        <v>22</v>
      </c>
      <c r="J83">
        <v>0</v>
      </c>
      <c r="M83" t="s">
        <v>87</v>
      </c>
      <c r="N83" t="s">
        <v>1281</v>
      </c>
      <c r="Q83" t="s">
        <v>123</v>
      </c>
    </row>
    <row r="84" spans="1:17">
      <c r="A84" t="s">
        <v>1040</v>
      </c>
      <c r="B84" t="s">
        <v>1041</v>
      </c>
      <c r="C84">
        <v>171</v>
      </c>
      <c r="D84" t="s">
        <v>238</v>
      </c>
      <c r="E84" s="1">
        <v>43108</v>
      </c>
      <c r="F84" t="s">
        <v>1121</v>
      </c>
      <c r="G84" t="s">
        <v>736</v>
      </c>
      <c r="H84">
        <v>-2</v>
      </c>
      <c r="I84" t="s">
        <v>22</v>
      </c>
      <c r="J84">
        <v>0</v>
      </c>
      <c r="M84" t="s">
        <v>87</v>
      </c>
      <c r="N84" t="s">
        <v>1283</v>
      </c>
      <c r="Q84" t="s">
        <v>123</v>
      </c>
    </row>
    <row r="85" spans="1:17">
      <c r="A85" t="s">
        <v>1040</v>
      </c>
      <c r="B85" t="s">
        <v>1041</v>
      </c>
      <c r="C85">
        <v>171</v>
      </c>
      <c r="D85" t="s">
        <v>238</v>
      </c>
      <c r="E85" s="1">
        <v>43108</v>
      </c>
      <c r="F85" t="s">
        <v>1121</v>
      </c>
      <c r="G85" t="s">
        <v>734</v>
      </c>
      <c r="H85">
        <v>-45</v>
      </c>
      <c r="I85" t="s">
        <v>22</v>
      </c>
      <c r="J85">
        <v>0</v>
      </c>
      <c r="K85">
        <v>0</v>
      </c>
      <c r="L85" t="s">
        <v>117</v>
      </c>
      <c r="M85" t="s">
        <v>88</v>
      </c>
      <c r="N85" t="s">
        <v>1281</v>
      </c>
      <c r="O85">
        <v>0</v>
      </c>
      <c r="P85">
        <v>0</v>
      </c>
      <c r="Q85" t="s">
        <v>123</v>
      </c>
    </row>
    <row r="86" spans="1:17">
      <c r="A86" t="s">
        <v>1040</v>
      </c>
      <c r="B86" t="s">
        <v>1041</v>
      </c>
      <c r="C86">
        <v>171</v>
      </c>
      <c r="D86" t="s">
        <v>238</v>
      </c>
      <c r="E86" s="1">
        <v>43108</v>
      </c>
      <c r="F86" t="s">
        <v>1121</v>
      </c>
      <c r="G86" t="s">
        <v>736</v>
      </c>
      <c r="H86">
        <v>-2</v>
      </c>
      <c r="I86" t="s">
        <v>22</v>
      </c>
      <c r="J86">
        <v>0</v>
      </c>
      <c r="K86">
        <v>0</v>
      </c>
      <c r="L86" t="s">
        <v>117</v>
      </c>
      <c r="M86" t="s">
        <v>88</v>
      </c>
      <c r="N86" t="s">
        <v>1283</v>
      </c>
      <c r="O86">
        <v>0</v>
      </c>
      <c r="P86">
        <v>0</v>
      </c>
      <c r="Q86" t="s">
        <v>123</v>
      </c>
    </row>
    <row r="87" spans="1:17">
      <c r="A87" t="s">
        <v>1040</v>
      </c>
      <c r="B87" t="s">
        <v>1041</v>
      </c>
      <c r="C87">
        <v>171</v>
      </c>
      <c r="D87" t="s">
        <v>238</v>
      </c>
      <c r="E87" s="1">
        <v>43138</v>
      </c>
      <c r="F87" t="s">
        <v>1121</v>
      </c>
      <c r="G87" t="s">
        <v>750</v>
      </c>
      <c r="H87">
        <v>-1</v>
      </c>
      <c r="I87" t="s">
        <v>22</v>
      </c>
      <c r="J87">
        <v>0</v>
      </c>
      <c r="M87" t="s">
        <v>87</v>
      </c>
      <c r="N87" t="s">
        <v>1304</v>
      </c>
      <c r="Q87" t="s">
        <v>123</v>
      </c>
    </row>
    <row r="88" spans="1:17">
      <c r="A88" t="s">
        <v>1040</v>
      </c>
      <c r="B88" t="s">
        <v>1041</v>
      </c>
      <c r="C88">
        <v>171</v>
      </c>
      <c r="D88" t="s">
        <v>238</v>
      </c>
      <c r="E88" s="1">
        <v>43138</v>
      </c>
      <c r="F88" t="s">
        <v>1121</v>
      </c>
      <c r="G88" t="s">
        <v>750</v>
      </c>
      <c r="H88">
        <v>-1</v>
      </c>
      <c r="I88" t="s">
        <v>22</v>
      </c>
      <c r="J88">
        <v>0</v>
      </c>
      <c r="K88">
        <v>0</v>
      </c>
      <c r="L88" t="s">
        <v>117</v>
      </c>
      <c r="M88" t="s">
        <v>88</v>
      </c>
      <c r="N88" t="s">
        <v>1304</v>
      </c>
      <c r="O88">
        <v>0</v>
      </c>
      <c r="P88">
        <v>0</v>
      </c>
      <c r="Q88" t="s">
        <v>123</v>
      </c>
    </row>
    <row r="89" spans="1:17">
      <c r="A89" t="s">
        <v>42</v>
      </c>
      <c r="B89" t="s">
        <v>363</v>
      </c>
      <c r="C89">
        <v>171</v>
      </c>
      <c r="D89" t="s">
        <v>238</v>
      </c>
      <c r="E89" s="1">
        <v>43109</v>
      </c>
      <c r="F89" t="s">
        <v>122</v>
      </c>
      <c r="G89" t="s">
        <v>563</v>
      </c>
      <c r="H89">
        <v>5</v>
      </c>
      <c r="I89" t="s">
        <v>22</v>
      </c>
      <c r="J89">
        <v>0</v>
      </c>
      <c r="M89" t="s">
        <v>87</v>
      </c>
      <c r="N89" t="s">
        <v>564</v>
      </c>
    </row>
    <row r="90" spans="1:17">
      <c r="A90" t="s">
        <v>42</v>
      </c>
      <c r="B90" t="s">
        <v>363</v>
      </c>
      <c r="C90">
        <v>171</v>
      </c>
      <c r="D90" t="s">
        <v>238</v>
      </c>
      <c r="E90" s="1">
        <v>43109</v>
      </c>
      <c r="F90" t="s">
        <v>122</v>
      </c>
      <c r="G90" t="s">
        <v>563</v>
      </c>
      <c r="H90">
        <v>5</v>
      </c>
      <c r="I90" t="s">
        <v>22</v>
      </c>
      <c r="J90">
        <v>0</v>
      </c>
      <c r="M90" t="s">
        <v>1547</v>
      </c>
      <c r="N90" t="s">
        <v>564</v>
      </c>
      <c r="O90">
        <v>0</v>
      </c>
      <c r="P90">
        <v>0</v>
      </c>
      <c r="Q90" t="s">
        <v>119</v>
      </c>
    </row>
    <row r="91" spans="1:17">
      <c r="A91" t="s">
        <v>42</v>
      </c>
      <c r="B91" t="s">
        <v>363</v>
      </c>
      <c r="C91">
        <v>171</v>
      </c>
      <c r="D91" t="s">
        <v>238</v>
      </c>
      <c r="E91" s="1">
        <v>43125</v>
      </c>
      <c r="F91" t="s">
        <v>122</v>
      </c>
      <c r="G91" t="s">
        <v>541</v>
      </c>
      <c r="H91">
        <v>-1</v>
      </c>
      <c r="I91" t="s">
        <v>22</v>
      </c>
      <c r="J91">
        <v>0</v>
      </c>
      <c r="M91" t="s">
        <v>87</v>
      </c>
      <c r="N91" t="s">
        <v>543</v>
      </c>
      <c r="Q91" t="s">
        <v>123</v>
      </c>
    </row>
    <row r="92" spans="1:17">
      <c r="A92" t="s">
        <v>42</v>
      </c>
      <c r="B92" t="s">
        <v>363</v>
      </c>
      <c r="C92">
        <v>171</v>
      </c>
      <c r="D92" t="s">
        <v>238</v>
      </c>
      <c r="E92" s="1">
        <v>43125</v>
      </c>
      <c r="F92" t="s">
        <v>122</v>
      </c>
      <c r="G92" t="s">
        <v>541</v>
      </c>
      <c r="H92">
        <v>-1</v>
      </c>
      <c r="I92" t="s">
        <v>22</v>
      </c>
      <c r="J92">
        <v>0</v>
      </c>
      <c r="K92">
        <v>0</v>
      </c>
      <c r="L92" t="s">
        <v>117</v>
      </c>
      <c r="M92" t="s">
        <v>88</v>
      </c>
      <c r="N92" t="s">
        <v>543</v>
      </c>
      <c r="O92">
        <v>0</v>
      </c>
      <c r="P92">
        <v>0</v>
      </c>
      <c r="Q92" t="s">
        <v>123</v>
      </c>
    </row>
    <row r="93" spans="1:17">
      <c r="A93" t="s">
        <v>42</v>
      </c>
      <c r="B93" t="s">
        <v>363</v>
      </c>
      <c r="C93">
        <v>171</v>
      </c>
      <c r="D93" t="s">
        <v>238</v>
      </c>
      <c r="E93" s="1">
        <v>43130</v>
      </c>
      <c r="F93" t="s">
        <v>122</v>
      </c>
      <c r="G93" t="s">
        <v>554</v>
      </c>
      <c r="H93">
        <v>-34</v>
      </c>
      <c r="I93" t="s">
        <v>22</v>
      </c>
      <c r="J93">
        <v>0</v>
      </c>
      <c r="M93" t="s">
        <v>87</v>
      </c>
      <c r="N93" t="s">
        <v>556</v>
      </c>
      <c r="Q93" t="s">
        <v>123</v>
      </c>
    </row>
    <row r="94" spans="1:17">
      <c r="A94" t="s">
        <v>42</v>
      </c>
      <c r="B94" t="s">
        <v>363</v>
      </c>
      <c r="C94">
        <v>171</v>
      </c>
      <c r="D94" t="s">
        <v>238</v>
      </c>
      <c r="E94" s="1">
        <v>43130</v>
      </c>
      <c r="F94" t="s">
        <v>15</v>
      </c>
      <c r="G94" t="s">
        <v>808</v>
      </c>
      <c r="H94">
        <v>84</v>
      </c>
      <c r="I94" t="s">
        <v>22</v>
      </c>
      <c r="J94">
        <v>0</v>
      </c>
      <c r="K94">
        <v>0</v>
      </c>
      <c r="M94" t="s">
        <v>87</v>
      </c>
      <c r="N94" t="s">
        <v>809</v>
      </c>
      <c r="Q94" t="s">
        <v>123</v>
      </c>
    </row>
    <row r="95" spans="1:17">
      <c r="A95" t="s">
        <v>42</v>
      </c>
      <c r="B95" t="s">
        <v>363</v>
      </c>
      <c r="C95">
        <v>171</v>
      </c>
      <c r="D95" t="s">
        <v>238</v>
      </c>
      <c r="E95" s="1">
        <v>43130</v>
      </c>
      <c r="F95" t="s">
        <v>122</v>
      </c>
      <c r="G95" t="s">
        <v>554</v>
      </c>
      <c r="H95">
        <v>-34</v>
      </c>
      <c r="I95" t="s">
        <v>22</v>
      </c>
      <c r="J95">
        <v>0</v>
      </c>
      <c r="K95">
        <v>0</v>
      </c>
      <c r="L95" t="s">
        <v>117</v>
      </c>
      <c r="M95" t="s">
        <v>88</v>
      </c>
      <c r="N95" t="s">
        <v>556</v>
      </c>
      <c r="O95">
        <v>0</v>
      </c>
      <c r="P95">
        <v>0</v>
      </c>
      <c r="Q95" t="s">
        <v>123</v>
      </c>
    </row>
    <row r="96" spans="1:17">
      <c r="A96" t="s">
        <v>42</v>
      </c>
      <c r="B96" t="s">
        <v>363</v>
      </c>
      <c r="C96">
        <v>171</v>
      </c>
      <c r="D96" t="s">
        <v>238</v>
      </c>
      <c r="E96" s="1">
        <v>43130</v>
      </c>
      <c r="F96" t="s">
        <v>15</v>
      </c>
      <c r="G96" t="s">
        <v>808</v>
      </c>
      <c r="H96">
        <v>84</v>
      </c>
      <c r="I96" t="s">
        <v>22</v>
      </c>
      <c r="J96">
        <v>0</v>
      </c>
      <c r="K96">
        <v>0</v>
      </c>
      <c r="L96" t="s">
        <v>117</v>
      </c>
      <c r="M96" t="s">
        <v>88</v>
      </c>
      <c r="N96" t="s">
        <v>809</v>
      </c>
      <c r="O96">
        <v>0</v>
      </c>
      <c r="P96">
        <v>0</v>
      </c>
      <c r="Q96" t="s">
        <v>123</v>
      </c>
    </row>
    <row r="97" spans="1:17">
      <c r="A97" t="s">
        <v>42</v>
      </c>
      <c r="B97" t="s">
        <v>363</v>
      </c>
      <c r="C97">
        <v>171</v>
      </c>
      <c r="D97" t="s">
        <v>238</v>
      </c>
      <c r="E97" s="1">
        <v>43138</v>
      </c>
      <c r="F97" t="s">
        <v>15</v>
      </c>
      <c r="G97" t="s">
        <v>810</v>
      </c>
      <c r="H97">
        <v>112</v>
      </c>
      <c r="I97" t="s">
        <v>22</v>
      </c>
      <c r="J97">
        <v>0</v>
      </c>
      <c r="K97">
        <v>0</v>
      </c>
      <c r="M97" t="s">
        <v>87</v>
      </c>
      <c r="N97" t="s">
        <v>811</v>
      </c>
      <c r="Q97" t="s">
        <v>123</v>
      </c>
    </row>
    <row r="98" spans="1:17">
      <c r="A98" t="s">
        <v>42</v>
      </c>
      <c r="B98" t="s">
        <v>363</v>
      </c>
      <c r="C98">
        <v>171</v>
      </c>
      <c r="D98" t="s">
        <v>238</v>
      </c>
      <c r="E98" s="1">
        <v>43138</v>
      </c>
      <c r="F98" t="s">
        <v>15</v>
      </c>
      <c r="G98" t="s">
        <v>810</v>
      </c>
      <c r="H98">
        <v>112</v>
      </c>
      <c r="I98" t="s">
        <v>22</v>
      </c>
      <c r="J98">
        <v>0</v>
      </c>
      <c r="K98">
        <v>0</v>
      </c>
      <c r="L98" t="s">
        <v>117</v>
      </c>
      <c r="M98" t="s">
        <v>88</v>
      </c>
      <c r="N98" t="s">
        <v>811</v>
      </c>
      <c r="O98">
        <v>0</v>
      </c>
      <c r="P98">
        <v>0</v>
      </c>
      <c r="Q98" t="s">
        <v>123</v>
      </c>
    </row>
    <row r="99" spans="1:17">
      <c r="A99" t="s">
        <v>42</v>
      </c>
      <c r="B99" t="s">
        <v>363</v>
      </c>
      <c r="C99">
        <v>171</v>
      </c>
      <c r="D99" t="s">
        <v>238</v>
      </c>
      <c r="E99" s="1">
        <v>43147</v>
      </c>
      <c r="F99" t="s">
        <v>122</v>
      </c>
      <c r="G99" t="s">
        <v>595</v>
      </c>
      <c r="H99">
        <v>-10</v>
      </c>
      <c r="I99" t="s">
        <v>22</v>
      </c>
      <c r="J99">
        <v>0</v>
      </c>
      <c r="M99" t="s">
        <v>87</v>
      </c>
      <c r="N99" t="s">
        <v>597</v>
      </c>
      <c r="Q99" t="s">
        <v>123</v>
      </c>
    </row>
    <row r="100" spans="1:17">
      <c r="A100" t="s">
        <v>42</v>
      </c>
      <c r="B100" t="s">
        <v>363</v>
      </c>
      <c r="C100">
        <v>171</v>
      </c>
      <c r="D100" t="s">
        <v>238</v>
      </c>
      <c r="E100" s="1">
        <v>43147</v>
      </c>
      <c r="F100" t="s">
        <v>122</v>
      </c>
      <c r="G100" t="s">
        <v>605</v>
      </c>
      <c r="H100">
        <v>-4</v>
      </c>
      <c r="I100" t="s">
        <v>22</v>
      </c>
      <c r="J100">
        <v>0</v>
      </c>
      <c r="M100" t="s">
        <v>87</v>
      </c>
      <c r="N100" t="s">
        <v>608</v>
      </c>
      <c r="Q100" t="s">
        <v>123</v>
      </c>
    </row>
    <row r="101" spans="1:17">
      <c r="A101" t="s">
        <v>42</v>
      </c>
      <c r="B101" t="s">
        <v>363</v>
      </c>
      <c r="C101">
        <v>171</v>
      </c>
      <c r="D101" t="s">
        <v>238</v>
      </c>
      <c r="E101" s="1">
        <v>43147</v>
      </c>
      <c r="F101" t="s">
        <v>122</v>
      </c>
      <c r="G101" t="s">
        <v>605</v>
      </c>
      <c r="H101">
        <v>-4</v>
      </c>
      <c r="I101" t="s">
        <v>22</v>
      </c>
      <c r="J101">
        <v>0</v>
      </c>
      <c r="K101">
        <v>0</v>
      </c>
      <c r="L101" t="s">
        <v>117</v>
      </c>
      <c r="M101" t="s">
        <v>88</v>
      </c>
      <c r="N101" t="s">
        <v>608</v>
      </c>
      <c r="O101">
        <v>0</v>
      </c>
      <c r="P101">
        <v>0</v>
      </c>
      <c r="Q101" t="s">
        <v>123</v>
      </c>
    </row>
    <row r="102" spans="1:17">
      <c r="A102" t="s">
        <v>42</v>
      </c>
      <c r="B102" t="s">
        <v>363</v>
      </c>
      <c r="C102">
        <v>171</v>
      </c>
      <c r="D102" t="s">
        <v>238</v>
      </c>
      <c r="E102" s="1">
        <v>43147</v>
      </c>
      <c r="F102" t="s">
        <v>122</v>
      </c>
      <c r="G102" t="s">
        <v>595</v>
      </c>
      <c r="H102">
        <v>-10</v>
      </c>
      <c r="I102" t="s">
        <v>22</v>
      </c>
      <c r="J102">
        <v>0</v>
      </c>
      <c r="K102">
        <v>0</v>
      </c>
      <c r="L102" t="s">
        <v>117</v>
      </c>
      <c r="M102" t="s">
        <v>88</v>
      </c>
      <c r="N102" t="s">
        <v>597</v>
      </c>
      <c r="O102">
        <v>0</v>
      </c>
      <c r="P102">
        <v>0</v>
      </c>
      <c r="Q102" t="s">
        <v>123</v>
      </c>
    </row>
    <row r="103" spans="1:17">
      <c r="A103" t="s">
        <v>506</v>
      </c>
      <c r="B103" t="s">
        <v>507</v>
      </c>
      <c r="C103">
        <v>171</v>
      </c>
      <c r="D103" t="s">
        <v>238</v>
      </c>
      <c r="E103" s="1">
        <v>43101</v>
      </c>
      <c r="F103" t="s">
        <v>902</v>
      </c>
      <c r="G103" t="s">
        <v>1013</v>
      </c>
      <c r="H103">
        <v>65</v>
      </c>
      <c r="I103" t="s">
        <v>22</v>
      </c>
      <c r="J103">
        <v>0</v>
      </c>
      <c r="M103" t="s">
        <v>87</v>
      </c>
      <c r="N103" t="s">
        <v>1043</v>
      </c>
    </row>
    <row r="104" spans="1:17">
      <c r="A104" t="s">
        <v>506</v>
      </c>
      <c r="B104" t="s">
        <v>507</v>
      </c>
      <c r="C104">
        <v>171</v>
      </c>
      <c r="D104" t="s">
        <v>238</v>
      </c>
      <c r="E104" s="1">
        <v>43101</v>
      </c>
      <c r="F104" t="s">
        <v>902</v>
      </c>
      <c r="G104" t="s">
        <v>1013</v>
      </c>
      <c r="H104">
        <v>65</v>
      </c>
      <c r="I104" t="s">
        <v>22</v>
      </c>
      <c r="J104">
        <v>0</v>
      </c>
      <c r="M104" t="s">
        <v>1547</v>
      </c>
      <c r="N104" t="s">
        <v>1043</v>
      </c>
      <c r="O104">
        <v>0</v>
      </c>
      <c r="P104">
        <v>0</v>
      </c>
      <c r="Q104" t="s">
        <v>119</v>
      </c>
    </row>
    <row r="105" spans="1:17">
      <c r="A105" t="s">
        <v>506</v>
      </c>
      <c r="B105" t="s">
        <v>507</v>
      </c>
      <c r="C105">
        <v>171</v>
      </c>
      <c r="D105" t="s">
        <v>238</v>
      </c>
      <c r="E105" s="1">
        <v>43108</v>
      </c>
      <c r="F105" t="s">
        <v>655</v>
      </c>
      <c r="G105" t="s">
        <v>692</v>
      </c>
      <c r="H105">
        <v>164</v>
      </c>
      <c r="I105" t="s">
        <v>22</v>
      </c>
      <c r="J105">
        <v>0</v>
      </c>
      <c r="M105" t="s">
        <v>87</v>
      </c>
      <c r="N105" t="s">
        <v>693</v>
      </c>
      <c r="Q105" t="s">
        <v>123</v>
      </c>
    </row>
    <row r="106" spans="1:17">
      <c r="A106" t="s">
        <v>506</v>
      </c>
      <c r="B106" t="s">
        <v>507</v>
      </c>
      <c r="C106">
        <v>171</v>
      </c>
      <c r="D106" t="s">
        <v>238</v>
      </c>
      <c r="E106" s="1">
        <v>43108</v>
      </c>
      <c r="F106" t="s">
        <v>655</v>
      </c>
      <c r="G106" t="s">
        <v>692</v>
      </c>
      <c r="H106">
        <v>164</v>
      </c>
      <c r="I106" t="s">
        <v>22</v>
      </c>
      <c r="J106">
        <v>0</v>
      </c>
      <c r="K106">
        <v>0</v>
      </c>
      <c r="L106" t="s">
        <v>117</v>
      </c>
      <c r="M106" t="s">
        <v>88</v>
      </c>
      <c r="N106" t="s">
        <v>693</v>
      </c>
      <c r="O106">
        <v>0</v>
      </c>
      <c r="P106">
        <v>0</v>
      </c>
      <c r="Q106" t="s">
        <v>123</v>
      </c>
    </row>
    <row r="107" spans="1:17">
      <c r="A107" t="s">
        <v>506</v>
      </c>
      <c r="B107" t="s">
        <v>507</v>
      </c>
      <c r="C107">
        <v>171</v>
      </c>
      <c r="D107" t="s">
        <v>238</v>
      </c>
      <c r="E107" s="1">
        <v>43110</v>
      </c>
      <c r="F107" t="s">
        <v>122</v>
      </c>
      <c r="G107" t="s">
        <v>505</v>
      </c>
      <c r="H107">
        <v>-10</v>
      </c>
      <c r="I107" t="s">
        <v>22</v>
      </c>
      <c r="J107">
        <v>0</v>
      </c>
      <c r="M107" t="s">
        <v>87</v>
      </c>
      <c r="N107" t="s">
        <v>508</v>
      </c>
      <c r="Q107" t="s">
        <v>123</v>
      </c>
    </row>
    <row r="108" spans="1:17">
      <c r="A108" t="s">
        <v>506</v>
      </c>
      <c r="B108" t="s">
        <v>507</v>
      </c>
      <c r="C108">
        <v>171</v>
      </c>
      <c r="D108" t="s">
        <v>238</v>
      </c>
      <c r="E108" s="1">
        <v>43110</v>
      </c>
      <c r="F108" t="s">
        <v>122</v>
      </c>
      <c r="G108" t="s">
        <v>505</v>
      </c>
      <c r="H108">
        <v>-10</v>
      </c>
      <c r="I108" t="s">
        <v>22</v>
      </c>
      <c r="J108">
        <v>0</v>
      </c>
      <c r="K108">
        <v>0</v>
      </c>
      <c r="L108" t="s">
        <v>117</v>
      </c>
      <c r="M108" t="s">
        <v>88</v>
      </c>
      <c r="N108" t="s">
        <v>508</v>
      </c>
      <c r="O108">
        <v>0</v>
      </c>
      <c r="P108">
        <v>0</v>
      </c>
      <c r="Q108" t="s">
        <v>123</v>
      </c>
    </row>
    <row r="109" spans="1:17">
      <c r="A109" t="s">
        <v>506</v>
      </c>
      <c r="B109" t="s">
        <v>507</v>
      </c>
      <c r="C109">
        <v>171</v>
      </c>
      <c r="D109" t="s">
        <v>238</v>
      </c>
      <c r="E109" s="1">
        <v>43111</v>
      </c>
      <c r="F109" t="s">
        <v>122</v>
      </c>
      <c r="G109" t="s">
        <v>511</v>
      </c>
      <c r="H109">
        <v>-40</v>
      </c>
      <c r="I109" t="s">
        <v>22</v>
      </c>
      <c r="J109">
        <v>0</v>
      </c>
      <c r="M109" t="s">
        <v>87</v>
      </c>
      <c r="N109" t="s">
        <v>512</v>
      </c>
      <c r="Q109" t="s">
        <v>123</v>
      </c>
    </row>
    <row r="110" spans="1:17">
      <c r="A110" t="s">
        <v>506</v>
      </c>
      <c r="B110" t="s">
        <v>507</v>
      </c>
      <c r="C110">
        <v>171</v>
      </c>
      <c r="D110" t="s">
        <v>238</v>
      </c>
      <c r="E110" s="1">
        <v>43111</v>
      </c>
      <c r="F110" t="s">
        <v>122</v>
      </c>
      <c r="G110" t="s">
        <v>511</v>
      </c>
      <c r="H110">
        <v>-40</v>
      </c>
      <c r="I110" t="s">
        <v>22</v>
      </c>
      <c r="J110">
        <v>0</v>
      </c>
      <c r="K110">
        <v>0</v>
      </c>
      <c r="L110" t="s">
        <v>117</v>
      </c>
      <c r="M110" t="s">
        <v>88</v>
      </c>
      <c r="N110" t="s">
        <v>512</v>
      </c>
      <c r="O110">
        <v>0</v>
      </c>
      <c r="P110">
        <v>0</v>
      </c>
      <c r="Q110" t="s">
        <v>123</v>
      </c>
    </row>
    <row r="111" spans="1:17">
      <c r="A111" t="s">
        <v>506</v>
      </c>
      <c r="B111" t="s">
        <v>507</v>
      </c>
      <c r="C111">
        <v>171</v>
      </c>
      <c r="D111" t="s">
        <v>238</v>
      </c>
      <c r="E111" s="1">
        <v>43119</v>
      </c>
      <c r="F111" t="s">
        <v>122</v>
      </c>
      <c r="G111" t="s">
        <v>559</v>
      </c>
      <c r="H111">
        <v>-15</v>
      </c>
      <c r="I111" t="s">
        <v>22</v>
      </c>
      <c r="J111">
        <v>0</v>
      </c>
      <c r="M111" t="s">
        <v>87</v>
      </c>
      <c r="N111" t="s">
        <v>560</v>
      </c>
      <c r="Q111" t="s">
        <v>123</v>
      </c>
    </row>
    <row r="112" spans="1:17">
      <c r="A112" t="s">
        <v>506</v>
      </c>
      <c r="B112" t="s">
        <v>507</v>
      </c>
      <c r="C112">
        <v>171</v>
      </c>
      <c r="D112" t="s">
        <v>238</v>
      </c>
      <c r="E112" s="1">
        <v>43119</v>
      </c>
      <c r="F112" t="s">
        <v>122</v>
      </c>
      <c r="G112" t="s">
        <v>559</v>
      </c>
      <c r="H112">
        <v>-15</v>
      </c>
      <c r="I112" t="s">
        <v>22</v>
      </c>
      <c r="J112">
        <v>0</v>
      </c>
      <c r="K112">
        <v>0</v>
      </c>
      <c r="L112" t="s">
        <v>117</v>
      </c>
      <c r="M112" t="s">
        <v>88</v>
      </c>
      <c r="N112" t="s">
        <v>560</v>
      </c>
      <c r="O112">
        <v>0</v>
      </c>
      <c r="P112">
        <v>0</v>
      </c>
      <c r="Q112" t="s">
        <v>123</v>
      </c>
    </row>
    <row r="113" spans="1:17">
      <c r="A113" t="s">
        <v>506</v>
      </c>
      <c r="B113" t="s">
        <v>507</v>
      </c>
      <c r="C113">
        <v>171</v>
      </c>
      <c r="D113" t="s">
        <v>238</v>
      </c>
      <c r="E113" s="1">
        <v>43122</v>
      </c>
      <c r="F113" t="s">
        <v>122</v>
      </c>
      <c r="G113" t="s">
        <v>525</v>
      </c>
      <c r="H113">
        <v>-160</v>
      </c>
      <c r="I113" t="s">
        <v>22</v>
      </c>
      <c r="J113">
        <v>0</v>
      </c>
      <c r="M113" t="s">
        <v>87</v>
      </c>
      <c r="N113" t="s">
        <v>526</v>
      </c>
      <c r="Q113" t="s">
        <v>123</v>
      </c>
    </row>
    <row r="114" spans="1:17">
      <c r="A114" t="s">
        <v>506</v>
      </c>
      <c r="B114" t="s">
        <v>507</v>
      </c>
      <c r="C114">
        <v>171</v>
      </c>
      <c r="D114" t="s">
        <v>238</v>
      </c>
      <c r="E114" s="1">
        <v>43122</v>
      </c>
      <c r="F114" t="s">
        <v>122</v>
      </c>
      <c r="G114" t="s">
        <v>525</v>
      </c>
      <c r="H114">
        <v>-160</v>
      </c>
      <c r="I114" t="s">
        <v>22</v>
      </c>
      <c r="J114">
        <v>0</v>
      </c>
      <c r="K114">
        <v>0</v>
      </c>
      <c r="L114" t="s">
        <v>117</v>
      </c>
      <c r="M114" t="s">
        <v>88</v>
      </c>
      <c r="N114" t="s">
        <v>526</v>
      </c>
      <c r="O114">
        <v>0</v>
      </c>
      <c r="P114">
        <v>0</v>
      </c>
      <c r="Q114" t="s">
        <v>123</v>
      </c>
    </row>
    <row r="115" spans="1:17">
      <c r="A115" t="s">
        <v>506</v>
      </c>
      <c r="B115" t="s">
        <v>507</v>
      </c>
      <c r="C115">
        <v>171</v>
      </c>
      <c r="D115" t="s">
        <v>238</v>
      </c>
      <c r="E115" s="1">
        <v>43130</v>
      </c>
      <c r="F115" t="s">
        <v>122</v>
      </c>
      <c r="G115" t="s">
        <v>549</v>
      </c>
      <c r="H115">
        <v>-2</v>
      </c>
      <c r="I115" t="s">
        <v>22</v>
      </c>
      <c r="J115">
        <v>0</v>
      </c>
      <c r="M115" t="s">
        <v>87</v>
      </c>
      <c r="N115" t="s">
        <v>550</v>
      </c>
      <c r="Q115" t="s">
        <v>123</v>
      </c>
    </row>
    <row r="116" spans="1:17">
      <c r="A116" t="s">
        <v>506</v>
      </c>
      <c r="B116" t="s">
        <v>507</v>
      </c>
      <c r="C116">
        <v>171</v>
      </c>
      <c r="D116" t="s">
        <v>238</v>
      </c>
      <c r="E116" s="1">
        <v>43130</v>
      </c>
      <c r="F116" t="s">
        <v>122</v>
      </c>
      <c r="G116" t="s">
        <v>549</v>
      </c>
      <c r="H116">
        <v>-2</v>
      </c>
      <c r="I116" t="s">
        <v>22</v>
      </c>
      <c r="J116">
        <v>0</v>
      </c>
      <c r="K116">
        <v>0</v>
      </c>
      <c r="L116" t="s">
        <v>117</v>
      </c>
      <c r="M116" t="s">
        <v>88</v>
      </c>
      <c r="N116" t="s">
        <v>550</v>
      </c>
      <c r="O116">
        <v>0</v>
      </c>
      <c r="P116">
        <v>0</v>
      </c>
      <c r="Q116" t="s">
        <v>123</v>
      </c>
    </row>
    <row r="117" spans="1:17">
      <c r="A117" t="s">
        <v>506</v>
      </c>
      <c r="B117" t="s">
        <v>507</v>
      </c>
      <c r="C117">
        <v>171</v>
      </c>
      <c r="D117" t="s">
        <v>238</v>
      </c>
      <c r="E117" s="1">
        <v>43134</v>
      </c>
      <c r="F117" t="s">
        <v>122</v>
      </c>
      <c r="G117" t="s">
        <v>561</v>
      </c>
      <c r="H117">
        <v>-3</v>
      </c>
      <c r="I117" t="s">
        <v>22</v>
      </c>
      <c r="J117">
        <v>0</v>
      </c>
      <c r="M117" t="s">
        <v>87</v>
      </c>
      <c r="N117" t="s">
        <v>562</v>
      </c>
      <c r="Q117" t="s">
        <v>123</v>
      </c>
    </row>
    <row r="118" spans="1:17">
      <c r="A118" t="s">
        <v>506</v>
      </c>
      <c r="B118" t="s">
        <v>507</v>
      </c>
      <c r="C118">
        <v>171</v>
      </c>
      <c r="D118" t="s">
        <v>238</v>
      </c>
      <c r="E118" s="1">
        <v>43134</v>
      </c>
      <c r="F118" t="s">
        <v>122</v>
      </c>
      <c r="G118" t="s">
        <v>561</v>
      </c>
      <c r="H118">
        <v>-3</v>
      </c>
      <c r="I118" t="s">
        <v>22</v>
      </c>
      <c r="J118">
        <v>0</v>
      </c>
      <c r="K118">
        <v>0</v>
      </c>
      <c r="L118" t="s">
        <v>117</v>
      </c>
      <c r="M118" t="s">
        <v>88</v>
      </c>
      <c r="N118" t="s">
        <v>562</v>
      </c>
      <c r="O118">
        <v>0</v>
      </c>
      <c r="P118">
        <v>0</v>
      </c>
      <c r="Q118" t="s">
        <v>123</v>
      </c>
    </row>
    <row r="119" spans="1:17">
      <c r="A119" t="s">
        <v>506</v>
      </c>
      <c r="B119" t="s">
        <v>507</v>
      </c>
      <c r="C119">
        <v>171</v>
      </c>
      <c r="D119" t="s">
        <v>238</v>
      </c>
      <c r="E119" s="1">
        <v>43145</v>
      </c>
      <c r="F119" t="s">
        <v>655</v>
      </c>
      <c r="G119" t="s">
        <v>760</v>
      </c>
      <c r="H119">
        <v>164</v>
      </c>
      <c r="I119" t="s">
        <v>22</v>
      </c>
      <c r="J119">
        <v>0</v>
      </c>
      <c r="M119" t="s">
        <v>87</v>
      </c>
      <c r="N119" t="s">
        <v>761</v>
      </c>
      <c r="Q119" t="s">
        <v>123</v>
      </c>
    </row>
    <row r="120" spans="1:17">
      <c r="A120" t="s">
        <v>506</v>
      </c>
      <c r="B120" t="s">
        <v>507</v>
      </c>
      <c r="C120">
        <v>171</v>
      </c>
      <c r="D120" t="s">
        <v>238</v>
      </c>
      <c r="E120" s="1">
        <v>43145</v>
      </c>
      <c r="F120" t="s">
        <v>655</v>
      </c>
      <c r="G120" t="s">
        <v>760</v>
      </c>
      <c r="H120">
        <v>164</v>
      </c>
      <c r="I120" t="s">
        <v>22</v>
      </c>
      <c r="J120">
        <v>0</v>
      </c>
      <c r="K120">
        <v>0</v>
      </c>
      <c r="L120" t="s">
        <v>117</v>
      </c>
      <c r="M120" t="s">
        <v>88</v>
      </c>
      <c r="N120" t="s">
        <v>761</v>
      </c>
      <c r="O120">
        <v>0</v>
      </c>
      <c r="P120">
        <v>0</v>
      </c>
      <c r="Q120" t="s">
        <v>123</v>
      </c>
    </row>
    <row r="121" spans="1:17">
      <c r="A121" t="s">
        <v>506</v>
      </c>
      <c r="B121" t="s">
        <v>507</v>
      </c>
      <c r="C121">
        <v>171</v>
      </c>
      <c r="D121" t="s">
        <v>238</v>
      </c>
      <c r="E121" s="1">
        <v>43147</v>
      </c>
      <c r="F121" t="s">
        <v>122</v>
      </c>
      <c r="G121" t="s">
        <v>575</v>
      </c>
      <c r="H121">
        <v>-160</v>
      </c>
      <c r="I121" t="s">
        <v>22</v>
      </c>
      <c r="J121">
        <v>0</v>
      </c>
      <c r="M121" t="s">
        <v>87</v>
      </c>
      <c r="N121" t="s">
        <v>576</v>
      </c>
      <c r="Q121" t="s">
        <v>123</v>
      </c>
    </row>
    <row r="122" spans="1:17">
      <c r="A122" t="s">
        <v>506</v>
      </c>
      <c r="B122" t="s">
        <v>507</v>
      </c>
      <c r="C122">
        <v>171</v>
      </c>
      <c r="D122" t="s">
        <v>238</v>
      </c>
      <c r="E122" s="1">
        <v>43147</v>
      </c>
      <c r="F122" t="s">
        <v>122</v>
      </c>
      <c r="G122" t="s">
        <v>575</v>
      </c>
      <c r="H122">
        <v>-160</v>
      </c>
      <c r="I122" t="s">
        <v>22</v>
      </c>
      <c r="J122">
        <v>0</v>
      </c>
      <c r="K122">
        <v>0</v>
      </c>
      <c r="L122" t="s">
        <v>117</v>
      </c>
      <c r="M122" t="s">
        <v>88</v>
      </c>
      <c r="N122" t="s">
        <v>576</v>
      </c>
      <c r="O122">
        <v>0</v>
      </c>
      <c r="P122">
        <v>0</v>
      </c>
      <c r="Q122" t="s">
        <v>123</v>
      </c>
    </row>
    <row r="123" spans="1:17">
      <c r="A123" t="s">
        <v>506</v>
      </c>
      <c r="B123" t="s">
        <v>507</v>
      </c>
      <c r="C123">
        <v>171</v>
      </c>
      <c r="D123" t="s">
        <v>238</v>
      </c>
      <c r="E123" s="1">
        <v>43157</v>
      </c>
      <c r="F123" t="s">
        <v>655</v>
      </c>
      <c r="G123" t="s">
        <v>786</v>
      </c>
      <c r="H123">
        <v>41</v>
      </c>
      <c r="I123" t="s">
        <v>22</v>
      </c>
      <c r="J123">
        <v>0</v>
      </c>
      <c r="M123" t="s">
        <v>87</v>
      </c>
      <c r="N123" t="s">
        <v>787</v>
      </c>
      <c r="Q123" t="s">
        <v>123</v>
      </c>
    </row>
    <row r="124" spans="1:17">
      <c r="A124" t="s">
        <v>506</v>
      </c>
      <c r="B124" t="s">
        <v>507</v>
      </c>
      <c r="C124">
        <v>171</v>
      </c>
      <c r="D124" t="s">
        <v>238</v>
      </c>
      <c r="E124" s="1">
        <v>43157</v>
      </c>
      <c r="F124" t="s">
        <v>655</v>
      </c>
      <c r="G124" t="s">
        <v>786</v>
      </c>
      <c r="H124">
        <v>41</v>
      </c>
      <c r="I124" t="s">
        <v>22</v>
      </c>
      <c r="J124">
        <v>0</v>
      </c>
      <c r="K124">
        <v>0</v>
      </c>
      <c r="L124" t="s">
        <v>117</v>
      </c>
      <c r="M124" t="s">
        <v>88</v>
      </c>
      <c r="N124" t="s">
        <v>787</v>
      </c>
      <c r="O124">
        <v>0</v>
      </c>
      <c r="P124">
        <v>0</v>
      </c>
      <c r="Q124" t="s">
        <v>123</v>
      </c>
    </row>
    <row r="125" spans="1:17">
      <c r="A125" t="s">
        <v>506</v>
      </c>
      <c r="B125" t="s">
        <v>507</v>
      </c>
      <c r="C125">
        <v>171</v>
      </c>
      <c r="D125" t="s">
        <v>238</v>
      </c>
      <c r="E125" s="1">
        <v>43158</v>
      </c>
      <c r="F125" t="s">
        <v>122</v>
      </c>
      <c r="G125" t="s">
        <v>640</v>
      </c>
      <c r="H125">
        <v>-13</v>
      </c>
      <c r="I125" t="s">
        <v>22</v>
      </c>
      <c r="J125">
        <v>0</v>
      </c>
      <c r="M125" t="s">
        <v>87</v>
      </c>
      <c r="N125" t="s">
        <v>641</v>
      </c>
      <c r="Q125" t="s">
        <v>123</v>
      </c>
    </row>
    <row r="126" spans="1:17">
      <c r="A126" t="s">
        <v>506</v>
      </c>
      <c r="B126" t="s">
        <v>507</v>
      </c>
      <c r="C126">
        <v>171</v>
      </c>
      <c r="D126" t="s">
        <v>238</v>
      </c>
      <c r="E126" s="1">
        <v>43158</v>
      </c>
      <c r="F126" t="s">
        <v>122</v>
      </c>
      <c r="G126" t="s">
        <v>640</v>
      </c>
      <c r="H126">
        <v>-13</v>
      </c>
      <c r="I126" t="s">
        <v>22</v>
      </c>
      <c r="J126">
        <v>0</v>
      </c>
      <c r="K126">
        <v>0</v>
      </c>
      <c r="L126" t="s">
        <v>117</v>
      </c>
      <c r="M126" t="s">
        <v>88</v>
      </c>
      <c r="N126" t="s">
        <v>641</v>
      </c>
      <c r="O126">
        <v>0</v>
      </c>
      <c r="P126">
        <v>0</v>
      </c>
      <c r="Q126" t="s">
        <v>123</v>
      </c>
    </row>
    <row r="127" spans="1:17">
      <c r="A127" t="s">
        <v>267</v>
      </c>
      <c r="B127" t="s">
        <v>368</v>
      </c>
      <c r="C127">
        <v>171</v>
      </c>
      <c r="D127" t="s">
        <v>238</v>
      </c>
      <c r="E127" s="1">
        <v>43101</v>
      </c>
      <c r="F127" t="s">
        <v>902</v>
      </c>
      <c r="G127" t="s">
        <v>990</v>
      </c>
      <c r="H127">
        <v>44</v>
      </c>
      <c r="I127" t="s">
        <v>22</v>
      </c>
      <c r="J127">
        <v>0</v>
      </c>
      <c r="M127" t="s">
        <v>87</v>
      </c>
      <c r="N127" t="s">
        <v>995</v>
      </c>
    </row>
    <row r="128" spans="1:17">
      <c r="A128" t="s">
        <v>267</v>
      </c>
      <c r="B128" t="s">
        <v>368</v>
      </c>
      <c r="C128">
        <v>171</v>
      </c>
      <c r="D128" t="s">
        <v>238</v>
      </c>
      <c r="E128" s="1">
        <v>43101</v>
      </c>
      <c r="F128" t="s">
        <v>902</v>
      </c>
      <c r="G128" t="s">
        <v>990</v>
      </c>
      <c r="H128">
        <v>44</v>
      </c>
      <c r="I128" t="s">
        <v>22</v>
      </c>
      <c r="J128">
        <v>0</v>
      </c>
      <c r="M128" t="s">
        <v>1547</v>
      </c>
      <c r="N128" t="s">
        <v>995</v>
      </c>
      <c r="O128">
        <v>0</v>
      </c>
      <c r="P128">
        <v>0</v>
      </c>
      <c r="Q128" t="s">
        <v>119</v>
      </c>
    </row>
    <row r="129" spans="1:17">
      <c r="A129" t="s">
        <v>267</v>
      </c>
      <c r="B129" t="s">
        <v>368</v>
      </c>
      <c r="C129">
        <v>171</v>
      </c>
      <c r="D129" t="s">
        <v>238</v>
      </c>
      <c r="E129" s="1">
        <v>43108</v>
      </c>
      <c r="F129" t="s">
        <v>655</v>
      </c>
      <c r="G129" t="s">
        <v>660</v>
      </c>
      <c r="H129">
        <v>81</v>
      </c>
      <c r="I129" t="s">
        <v>22</v>
      </c>
      <c r="J129">
        <v>0</v>
      </c>
      <c r="M129" t="s">
        <v>87</v>
      </c>
      <c r="N129" t="s">
        <v>661</v>
      </c>
      <c r="Q129" t="s">
        <v>123</v>
      </c>
    </row>
    <row r="130" spans="1:17">
      <c r="A130" t="s">
        <v>267</v>
      </c>
      <c r="B130" t="s">
        <v>368</v>
      </c>
      <c r="C130">
        <v>171</v>
      </c>
      <c r="D130" t="s">
        <v>238</v>
      </c>
      <c r="E130" s="1">
        <v>43108</v>
      </c>
      <c r="F130" t="s">
        <v>655</v>
      </c>
      <c r="G130" t="s">
        <v>664</v>
      </c>
      <c r="H130">
        <v>40</v>
      </c>
      <c r="I130" t="s">
        <v>22</v>
      </c>
      <c r="J130">
        <v>0</v>
      </c>
      <c r="M130" t="s">
        <v>87</v>
      </c>
      <c r="N130" t="s">
        <v>665</v>
      </c>
      <c r="Q130" t="s">
        <v>123</v>
      </c>
    </row>
    <row r="131" spans="1:17">
      <c r="A131" t="s">
        <v>267</v>
      </c>
      <c r="B131" t="s">
        <v>368</v>
      </c>
      <c r="C131">
        <v>171</v>
      </c>
      <c r="D131" t="s">
        <v>238</v>
      </c>
      <c r="E131" s="1">
        <v>43108</v>
      </c>
      <c r="F131" t="s">
        <v>655</v>
      </c>
      <c r="G131" t="s">
        <v>668</v>
      </c>
      <c r="H131">
        <v>76</v>
      </c>
      <c r="I131" t="s">
        <v>22</v>
      </c>
      <c r="J131">
        <v>0</v>
      </c>
      <c r="M131" t="s">
        <v>87</v>
      </c>
      <c r="N131" t="s">
        <v>669</v>
      </c>
      <c r="Q131" t="s">
        <v>123</v>
      </c>
    </row>
    <row r="132" spans="1:17">
      <c r="A132" t="s">
        <v>267</v>
      </c>
      <c r="B132" t="s">
        <v>368</v>
      </c>
      <c r="C132">
        <v>171</v>
      </c>
      <c r="D132" t="s">
        <v>238</v>
      </c>
      <c r="E132" s="1">
        <v>43108</v>
      </c>
      <c r="F132" t="s">
        <v>655</v>
      </c>
      <c r="G132" t="s">
        <v>670</v>
      </c>
      <c r="H132">
        <v>45</v>
      </c>
      <c r="I132" t="s">
        <v>22</v>
      </c>
      <c r="J132">
        <v>0</v>
      </c>
      <c r="M132" t="s">
        <v>87</v>
      </c>
      <c r="N132" t="s">
        <v>671</v>
      </c>
      <c r="Q132" t="s">
        <v>123</v>
      </c>
    </row>
    <row r="133" spans="1:17">
      <c r="A133" t="s">
        <v>267</v>
      </c>
      <c r="B133" t="s">
        <v>368</v>
      </c>
      <c r="C133">
        <v>171</v>
      </c>
      <c r="D133" t="s">
        <v>238</v>
      </c>
      <c r="E133" s="1">
        <v>43108</v>
      </c>
      <c r="F133" t="s">
        <v>655</v>
      </c>
      <c r="G133" t="s">
        <v>678</v>
      </c>
      <c r="H133">
        <v>81</v>
      </c>
      <c r="I133" t="s">
        <v>22</v>
      </c>
      <c r="J133">
        <v>0</v>
      </c>
      <c r="M133" t="s">
        <v>87</v>
      </c>
      <c r="N133" t="s">
        <v>679</v>
      </c>
      <c r="Q133" t="s">
        <v>123</v>
      </c>
    </row>
    <row r="134" spans="1:17">
      <c r="A134" t="s">
        <v>267</v>
      </c>
      <c r="B134" t="s">
        <v>368</v>
      </c>
      <c r="C134">
        <v>171</v>
      </c>
      <c r="D134" t="s">
        <v>238</v>
      </c>
      <c r="E134" s="1">
        <v>43108</v>
      </c>
      <c r="F134" t="s">
        <v>655</v>
      </c>
      <c r="G134" t="s">
        <v>682</v>
      </c>
      <c r="H134">
        <v>121</v>
      </c>
      <c r="I134" t="s">
        <v>22</v>
      </c>
      <c r="J134">
        <v>0</v>
      </c>
      <c r="M134" t="s">
        <v>87</v>
      </c>
      <c r="N134" t="s">
        <v>683</v>
      </c>
      <c r="Q134" t="s">
        <v>123</v>
      </c>
    </row>
    <row r="135" spans="1:17">
      <c r="A135" t="s">
        <v>267</v>
      </c>
      <c r="B135" t="s">
        <v>368</v>
      </c>
      <c r="C135">
        <v>171</v>
      </c>
      <c r="D135" t="s">
        <v>238</v>
      </c>
      <c r="E135" s="1">
        <v>43108</v>
      </c>
      <c r="F135" t="s">
        <v>655</v>
      </c>
      <c r="G135" t="s">
        <v>686</v>
      </c>
      <c r="H135">
        <v>364</v>
      </c>
      <c r="I135" t="s">
        <v>22</v>
      </c>
      <c r="J135">
        <v>0</v>
      </c>
      <c r="M135" t="s">
        <v>87</v>
      </c>
      <c r="N135" t="s">
        <v>687</v>
      </c>
      <c r="Q135" t="s">
        <v>123</v>
      </c>
    </row>
    <row r="136" spans="1:17">
      <c r="A136" t="s">
        <v>267</v>
      </c>
      <c r="B136" t="s">
        <v>368</v>
      </c>
      <c r="C136">
        <v>171</v>
      </c>
      <c r="D136" t="s">
        <v>238</v>
      </c>
      <c r="E136" s="1">
        <v>43108</v>
      </c>
      <c r="F136" t="s">
        <v>655</v>
      </c>
      <c r="G136" t="s">
        <v>706</v>
      </c>
      <c r="H136">
        <v>162</v>
      </c>
      <c r="I136" t="s">
        <v>22</v>
      </c>
      <c r="J136">
        <v>0</v>
      </c>
      <c r="M136" t="s">
        <v>87</v>
      </c>
      <c r="N136" t="s">
        <v>707</v>
      </c>
      <c r="Q136" t="s">
        <v>123</v>
      </c>
    </row>
    <row r="137" spans="1:17">
      <c r="A137" t="s">
        <v>267</v>
      </c>
      <c r="B137" t="s">
        <v>368</v>
      </c>
      <c r="C137">
        <v>171</v>
      </c>
      <c r="D137" t="s">
        <v>238</v>
      </c>
      <c r="E137" s="1">
        <v>43108</v>
      </c>
      <c r="F137" t="s">
        <v>655</v>
      </c>
      <c r="G137" t="s">
        <v>710</v>
      </c>
      <c r="H137">
        <v>405</v>
      </c>
      <c r="I137" t="s">
        <v>22</v>
      </c>
      <c r="J137">
        <v>0</v>
      </c>
      <c r="M137" t="s">
        <v>87</v>
      </c>
      <c r="N137" t="s">
        <v>711</v>
      </c>
      <c r="Q137" t="s">
        <v>123</v>
      </c>
    </row>
    <row r="138" spans="1:17">
      <c r="A138" t="s">
        <v>267</v>
      </c>
      <c r="B138" t="s">
        <v>368</v>
      </c>
      <c r="C138">
        <v>171</v>
      </c>
      <c r="D138" t="s">
        <v>238</v>
      </c>
      <c r="E138" s="1">
        <v>43108</v>
      </c>
      <c r="F138" t="s">
        <v>655</v>
      </c>
      <c r="G138" t="s">
        <v>716</v>
      </c>
      <c r="H138">
        <v>81</v>
      </c>
      <c r="I138" t="s">
        <v>22</v>
      </c>
      <c r="J138">
        <v>0</v>
      </c>
      <c r="M138" t="s">
        <v>87</v>
      </c>
      <c r="N138" t="s">
        <v>717</v>
      </c>
      <c r="Q138" t="s">
        <v>123</v>
      </c>
    </row>
    <row r="139" spans="1:17">
      <c r="A139" t="s">
        <v>267</v>
      </c>
      <c r="B139" t="s">
        <v>368</v>
      </c>
      <c r="C139">
        <v>171</v>
      </c>
      <c r="D139" t="s">
        <v>238</v>
      </c>
      <c r="E139" s="1">
        <v>43108</v>
      </c>
      <c r="F139" t="s">
        <v>655</v>
      </c>
      <c r="G139" t="s">
        <v>724</v>
      </c>
      <c r="H139">
        <v>81</v>
      </c>
      <c r="I139" t="s">
        <v>22</v>
      </c>
      <c r="J139">
        <v>0</v>
      </c>
      <c r="M139" t="s">
        <v>87</v>
      </c>
      <c r="N139" t="s">
        <v>725</v>
      </c>
      <c r="Q139" t="s">
        <v>123</v>
      </c>
    </row>
    <row r="140" spans="1:17">
      <c r="A140" t="s">
        <v>267</v>
      </c>
      <c r="B140" t="s">
        <v>368</v>
      </c>
      <c r="C140">
        <v>171</v>
      </c>
      <c r="D140" t="s">
        <v>238</v>
      </c>
      <c r="E140" s="1">
        <v>43108</v>
      </c>
      <c r="F140" t="s">
        <v>655</v>
      </c>
      <c r="G140" t="s">
        <v>728</v>
      </c>
      <c r="H140">
        <v>202</v>
      </c>
      <c r="I140" t="s">
        <v>22</v>
      </c>
      <c r="J140">
        <v>0</v>
      </c>
      <c r="M140" t="s">
        <v>87</v>
      </c>
      <c r="N140" t="s">
        <v>729</v>
      </c>
      <c r="Q140" t="s">
        <v>123</v>
      </c>
    </row>
    <row r="141" spans="1:17">
      <c r="A141" t="s">
        <v>267</v>
      </c>
      <c r="B141" t="s">
        <v>368</v>
      </c>
      <c r="C141">
        <v>171</v>
      </c>
      <c r="D141" t="s">
        <v>238</v>
      </c>
      <c r="E141" s="1">
        <v>43108</v>
      </c>
      <c r="F141" t="s">
        <v>655</v>
      </c>
      <c r="G141" t="s">
        <v>732</v>
      </c>
      <c r="H141">
        <v>405</v>
      </c>
      <c r="I141" t="s">
        <v>22</v>
      </c>
      <c r="J141">
        <v>0</v>
      </c>
      <c r="M141" t="s">
        <v>87</v>
      </c>
      <c r="N141" t="s">
        <v>733</v>
      </c>
      <c r="Q141" t="s">
        <v>123</v>
      </c>
    </row>
    <row r="142" spans="1:17">
      <c r="A142" t="s">
        <v>267</v>
      </c>
      <c r="B142" t="s">
        <v>368</v>
      </c>
      <c r="C142">
        <v>171</v>
      </c>
      <c r="D142" t="s">
        <v>238</v>
      </c>
      <c r="E142" s="1">
        <v>43108</v>
      </c>
      <c r="F142" t="s">
        <v>655</v>
      </c>
      <c r="G142" t="s">
        <v>706</v>
      </c>
      <c r="H142">
        <v>162</v>
      </c>
      <c r="I142" t="s">
        <v>22</v>
      </c>
      <c r="J142">
        <v>0</v>
      </c>
      <c r="K142">
        <v>0</v>
      </c>
      <c r="L142" t="s">
        <v>117</v>
      </c>
      <c r="M142" t="s">
        <v>88</v>
      </c>
      <c r="N142" t="s">
        <v>707</v>
      </c>
      <c r="O142">
        <v>0</v>
      </c>
      <c r="P142">
        <v>0</v>
      </c>
      <c r="Q142" t="s">
        <v>123</v>
      </c>
    </row>
    <row r="143" spans="1:17">
      <c r="A143" t="s">
        <v>267</v>
      </c>
      <c r="B143" t="s">
        <v>368</v>
      </c>
      <c r="C143">
        <v>171</v>
      </c>
      <c r="D143" t="s">
        <v>238</v>
      </c>
      <c r="E143" s="1">
        <v>43108</v>
      </c>
      <c r="F143" t="s">
        <v>655</v>
      </c>
      <c r="G143" t="s">
        <v>686</v>
      </c>
      <c r="H143">
        <v>364</v>
      </c>
      <c r="I143" t="s">
        <v>22</v>
      </c>
      <c r="J143">
        <v>0</v>
      </c>
      <c r="K143">
        <v>0</v>
      </c>
      <c r="L143" t="s">
        <v>117</v>
      </c>
      <c r="M143" t="s">
        <v>88</v>
      </c>
      <c r="N143" t="s">
        <v>687</v>
      </c>
      <c r="O143">
        <v>0</v>
      </c>
      <c r="P143">
        <v>0</v>
      </c>
      <c r="Q143" t="s">
        <v>123</v>
      </c>
    </row>
    <row r="144" spans="1:17">
      <c r="A144" t="s">
        <v>267</v>
      </c>
      <c r="B144" t="s">
        <v>368</v>
      </c>
      <c r="C144">
        <v>171</v>
      </c>
      <c r="D144" t="s">
        <v>238</v>
      </c>
      <c r="E144" s="1">
        <v>43108</v>
      </c>
      <c r="F144" t="s">
        <v>655</v>
      </c>
      <c r="G144" t="s">
        <v>678</v>
      </c>
      <c r="H144">
        <v>81</v>
      </c>
      <c r="I144" t="s">
        <v>22</v>
      </c>
      <c r="J144">
        <v>0</v>
      </c>
      <c r="K144">
        <v>0</v>
      </c>
      <c r="L144" t="s">
        <v>117</v>
      </c>
      <c r="M144" t="s">
        <v>88</v>
      </c>
      <c r="N144" t="s">
        <v>679</v>
      </c>
      <c r="O144">
        <v>0</v>
      </c>
      <c r="P144">
        <v>0</v>
      </c>
      <c r="Q144" t="s">
        <v>123</v>
      </c>
    </row>
    <row r="145" spans="1:17">
      <c r="A145" t="s">
        <v>267</v>
      </c>
      <c r="B145" t="s">
        <v>368</v>
      </c>
      <c r="C145">
        <v>171</v>
      </c>
      <c r="D145" t="s">
        <v>238</v>
      </c>
      <c r="E145" s="1">
        <v>43108</v>
      </c>
      <c r="F145" t="s">
        <v>655</v>
      </c>
      <c r="G145" t="s">
        <v>682</v>
      </c>
      <c r="H145">
        <v>121</v>
      </c>
      <c r="I145" t="s">
        <v>22</v>
      </c>
      <c r="J145">
        <v>0</v>
      </c>
      <c r="K145">
        <v>0</v>
      </c>
      <c r="L145" t="s">
        <v>117</v>
      </c>
      <c r="M145" t="s">
        <v>88</v>
      </c>
      <c r="N145" t="s">
        <v>683</v>
      </c>
      <c r="O145">
        <v>0</v>
      </c>
      <c r="P145">
        <v>0</v>
      </c>
      <c r="Q145" t="s">
        <v>123</v>
      </c>
    </row>
    <row r="146" spans="1:17">
      <c r="A146" t="s">
        <v>267</v>
      </c>
      <c r="B146" t="s">
        <v>368</v>
      </c>
      <c r="C146">
        <v>171</v>
      </c>
      <c r="D146" t="s">
        <v>238</v>
      </c>
      <c r="E146" s="1">
        <v>43108</v>
      </c>
      <c r="F146" t="s">
        <v>655</v>
      </c>
      <c r="G146" t="s">
        <v>660</v>
      </c>
      <c r="H146">
        <v>81</v>
      </c>
      <c r="I146" t="s">
        <v>22</v>
      </c>
      <c r="J146">
        <v>0</v>
      </c>
      <c r="K146">
        <v>0</v>
      </c>
      <c r="L146" t="s">
        <v>117</v>
      </c>
      <c r="M146" t="s">
        <v>88</v>
      </c>
      <c r="N146" t="s">
        <v>661</v>
      </c>
      <c r="O146">
        <v>0</v>
      </c>
      <c r="P146">
        <v>0</v>
      </c>
      <c r="Q146" t="s">
        <v>123</v>
      </c>
    </row>
    <row r="147" spans="1:17">
      <c r="A147" t="s">
        <v>267</v>
      </c>
      <c r="B147" t="s">
        <v>368</v>
      </c>
      <c r="C147">
        <v>171</v>
      </c>
      <c r="D147" t="s">
        <v>238</v>
      </c>
      <c r="E147" s="1">
        <v>43108</v>
      </c>
      <c r="F147" t="s">
        <v>655</v>
      </c>
      <c r="G147" t="s">
        <v>664</v>
      </c>
      <c r="H147">
        <v>40</v>
      </c>
      <c r="I147" t="s">
        <v>22</v>
      </c>
      <c r="J147">
        <v>0</v>
      </c>
      <c r="K147">
        <v>0</v>
      </c>
      <c r="L147" t="s">
        <v>117</v>
      </c>
      <c r="M147" t="s">
        <v>88</v>
      </c>
      <c r="N147" t="s">
        <v>665</v>
      </c>
      <c r="O147">
        <v>0</v>
      </c>
      <c r="P147">
        <v>0</v>
      </c>
      <c r="Q147" t="s">
        <v>123</v>
      </c>
    </row>
    <row r="148" spans="1:17">
      <c r="A148" t="s">
        <v>267</v>
      </c>
      <c r="B148" t="s">
        <v>368</v>
      </c>
      <c r="C148">
        <v>171</v>
      </c>
      <c r="D148" t="s">
        <v>238</v>
      </c>
      <c r="E148" s="1">
        <v>43108</v>
      </c>
      <c r="F148" t="s">
        <v>655</v>
      </c>
      <c r="G148" t="s">
        <v>668</v>
      </c>
      <c r="H148">
        <v>76</v>
      </c>
      <c r="I148" t="s">
        <v>22</v>
      </c>
      <c r="J148">
        <v>0</v>
      </c>
      <c r="K148">
        <v>0</v>
      </c>
      <c r="L148" t="s">
        <v>117</v>
      </c>
      <c r="M148" t="s">
        <v>88</v>
      </c>
      <c r="N148" t="s">
        <v>669</v>
      </c>
      <c r="O148">
        <v>0</v>
      </c>
      <c r="P148">
        <v>0</v>
      </c>
      <c r="Q148" t="s">
        <v>123</v>
      </c>
    </row>
    <row r="149" spans="1:17">
      <c r="A149" t="s">
        <v>267</v>
      </c>
      <c r="B149" t="s">
        <v>368</v>
      </c>
      <c r="C149">
        <v>171</v>
      </c>
      <c r="D149" t="s">
        <v>238</v>
      </c>
      <c r="E149" s="1">
        <v>43108</v>
      </c>
      <c r="F149" t="s">
        <v>655</v>
      </c>
      <c r="G149" t="s">
        <v>670</v>
      </c>
      <c r="H149">
        <v>45</v>
      </c>
      <c r="I149" t="s">
        <v>22</v>
      </c>
      <c r="J149">
        <v>0</v>
      </c>
      <c r="K149">
        <v>0</v>
      </c>
      <c r="L149" t="s">
        <v>117</v>
      </c>
      <c r="M149" t="s">
        <v>88</v>
      </c>
      <c r="N149" t="s">
        <v>671</v>
      </c>
      <c r="O149">
        <v>0</v>
      </c>
      <c r="P149">
        <v>0</v>
      </c>
      <c r="Q149" t="s">
        <v>123</v>
      </c>
    </row>
    <row r="150" spans="1:17">
      <c r="A150" t="s">
        <v>267</v>
      </c>
      <c r="B150" t="s">
        <v>368</v>
      </c>
      <c r="C150">
        <v>171</v>
      </c>
      <c r="D150" t="s">
        <v>238</v>
      </c>
      <c r="E150" s="1">
        <v>43108</v>
      </c>
      <c r="F150" t="s">
        <v>655</v>
      </c>
      <c r="G150" t="s">
        <v>724</v>
      </c>
      <c r="H150">
        <v>81</v>
      </c>
      <c r="I150" t="s">
        <v>22</v>
      </c>
      <c r="J150">
        <v>0</v>
      </c>
      <c r="K150">
        <v>0</v>
      </c>
      <c r="L150" t="s">
        <v>117</v>
      </c>
      <c r="M150" t="s">
        <v>88</v>
      </c>
      <c r="N150" t="s">
        <v>725</v>
      </c>
      <c r="O150">
        <v>0</v>
      </c>
      <c r="P150">
        <v>0</v>
      </c>
      <c r="Q150" t="s">
        <v>123</v>
      </c>
    </row>
    <row r="151" spans="1:17">
      <c r="A151" t="s">
        <v>267</v>
      </c>
      <c r="B151" t="s">
        <v>368</v>
      </c>
      <c r="C151">
        <v>171</v>
      </c>
      <c r="D151" t="s">
        <v>238</v>
      </c>
      <c r="E151" s="1">
        <v>43108</v>
      </c>
      <c r="F151" t="s">
        <v>655</v>
      </c>
      <c r="G151" t="s">
        <v>728</v>
      </c>
      <c r="H151">
        <v>202</v>
      </c>
      <c r="I151" t="s">
        <v>22</v>
      </c>
      <c r="J151">
        <v>0</v>
      </c>
      <c r="K151">
        <v>0</v>
      </c>
      <c r="L151" t="s">
        <v>117</v>
      </c>
      <c r="M151" t="s">
        <v>88</v>
      </c>
      <c r="N151" t="s">
        <v>729</v>
      </c>
      <c r="O151">
        <v>0</v>
      </c>
      <c r="P151">
        <v>0</v>
      </c>
      <c r="Q151" t="s">
        <v>123</v>
      </c>
    </row>
    <row r="152" spans="1:17">
      <c r="A152" t="s">
        <v>267</v>
      </c>
      <c r="B152" t="s">
        <v>368</v>
      </c>
      <c r="C152">
        <v>171</v>
      </c>
      <c r="D152" t="s">
        <v>238</v>
      </c>
      <c r="E152" s="1">
        <v>43108</v>
      </c>
      <c r="F152" t="s">
        <v>655</v>
      </c>
      <c r="G152" t="s">
        <v>732</v>
      </c>
      <c r="H152">
        <v>405</v>
      </c>
      <c r="I152" t="s">
        <v>22</v>
      </c>
      <c r="J152">
        <v>0</v>
      </c>
      <c r="K152">
        <v>0</v>
      </c>
      <c r="L152" t="s">
        <v>117</v>
      </c>
      <c r="M152" t="s">
        <v>88</v>
      </c>
      <c r="N152" t="s">
        <v>733</v>
      </c>
      <c r="O152">
        <v>0</v>
      </c>
      <c r="P152">
        <v>0</v>
      </c>
      <c r="Q152" t="s">
        <v>123</v>
      </c>
    </row>
    <row r="153" spans="1:17">
      <c r="A153" t="s">
        <v>267</v>
      </c>
      <c r="B153" t="s">
        <v>368</v>
      </c>
      <c r="C153">
        <v>171</v>
      </c>
      <c r="D153" t="s">
        <v>238</v>
      </c>
      <c r="E153" s="1">
        <v>43108</v>
      </c>
      <c r="F153" t="s">
        <v>655</v>
      </c>
      <c r="G153" t="s">
        <v>710</v>
      </c>
      <c r="H153">
        <v>405</v>
      </c>
      <c r="I153" t="s">
        <v>22</v>
      </c>
      <c r="J153">
        <v>0</v>
      </c>
      <c r="K153">
        <v>0</v>
      </c>
      <c r="L153" t="s">
        <v>117</v>
      </c>
      <c r="M153" t="s">
        <v>88</v>
      </c>
      <c r="N153" t="s">
        <v>711</v>
      </c>
      <c r="O153">
        <v>0</v>
      </c>
      <c r="P153">
        <v>0</v>
      </c>
      <c r="Q153" t="s">
        <v>123</v>
      </c>
    </row>
    <row r="154" spans="1:17">
      <c r="A154" t="s">
        <v>267</v>
      </c>
      <c r="B154" t="s">
        <v>368</v>
      </c>
      <c r="C154">
        <v>171</v>
      </c>
      <c r="D154" t="s">
        <v>238</v>
      </c>
      <c r="E154" s="1">
        <v>43108</v>
      </c>
      <c r="F154" t="s">
        <v>655</v>
      </c>
      <c r="G154" t="s">
        <v>716</v>
      </c>
      <c r="H154">
        <v>81</v>
      </c>
      <c r="I154" t="s">
        <v>22</v>
      </c>
      <c r="J154">
        <v>0</v>
      </c>
      <c r="K154">
        <v>0</v>
      </c>
      <c r="L154" t="s">
        <v>117</v>
      </c>
      <c r="M154" t="s">
        <v>88</v>
      </c>
      <c r="N154" t="s">
        <v>717</v>
      </c>
      <c r="O154">
        <v>0</v>
      </c>
      <c r="P154">
        <v>0</v>
      </c>
      <c r="Q154" t="s">
        <v>123</v>
      </c>
    </row>
    <row r="155" spans="1:17">
      <c r="A155" t="s">
        <v>267</v>
      </c>
      <c r="B155" t="s">
        <v>368</v>
      </c>
      <c r="C155">
        <v>171</v>
      </c>
      <c r="D155" t="s">
        <v>238</v>
      </c>
      <c r="E155" s="1">
        <v>43109</v>
      </c>
      <c r="F155" t="s">
        <v>122</v>
      </c>
      <c r="G155" t="s">
        <v>497</v>
      </c>
      <c r="H155">
        <v>-12</v>
      </c>
      <c r="I155" t="s">
        <v>22</v>
      </c>
      <c r="J155">
        <v>0</v>
      </c>
      <c r="M155" t="s">
        <v>87</v>
      </c>
      <c r="N155" t="s">
        <v>498</v>
      </c>
      <c r="Q155" t="s">
        <v>123</v>
      </c>
    </row>
    <row r="156" spans="1:17">
      <c r="A156" t="s">
        <v>267</v>
      </c>
      <c r="B156" t="s">
        <v>368</v>
      </c>
      <c r="C156">
        <v>171</v>
      </c>
      <c r="D156" t="s">
        <v>238</v>
      </c>
      <c r="E156" s="1">
        <v>43109</v>
      </c>
      <c r="F156" t="s">
        <v>122</v>
      </c>
      <c r="G156" t="s">
        <v>497</v>
      </c>
      <c r="H156">
        <v>-12</v>
      </c>
      <c r="I156" t="s">
        <v>22</v>
      </c>
      <c r="J156">
        <v>0</v>
      </c>
      <c r="K156">
        <v>0</v>
      </c>
      <c r="L156" t="s">
        <v>117</v>
      </c>
      <c r="M156" t="s">
        <v>88</v>
      </c>
      <c r="N156" t="s">
        <v>498</v>
      </c>
      <c r="O156">
        <v>0</v>
      </c>
      <c r="P156">
        <v>0</v>
      </c>
      <c r="Q156" t="s">
        <v>123</v>
      </c>
    </row>
    <row r="157" spans="1:17">
      <c r="A157" t="s">
        <v>267</v>
      </c>
      <c r="B157" t="s">
        <v>368</v>
      </c>
      <c r="C157">
        <v>171</v>
      </c>
      <c r="D157" t="s">
        <v>238</v>
      </c>
      <c r="E157" s="1">
        <v>43118</v>
      </c>
      <c r="F157" t="s">
        <v>122</v>
      </c>
      <c r="G157" t="s">
        <v>513</v>
      </c>
      <c r="H157">
        <v>-686</v>
      </c>
      <c r="I157" t="s">
        <v>22</v>
      </c>
      <c r="J157">
        <v>0</v>
      </c>
      <c r="M157" t="s">
        <v>87</v>
      </c>
      <c r="N157" t="s">
        <v>521</v>
      </c>
      <c r="Q157" t="s">
        <v>123</v>
      </c>
    </row>
    <row r="158" spans="1:17">
      <c r="A158" t="s">
        <v>267</v>
      </c>
      <c r="B158" t="s">
        <v>368</v>
      </c>
      <c r="C158">
        <v>171</v>
      </c>
      <c r="D158" t="s">
        <v>238</v>
      </c>
      <c r="E158" s="1">
        <v>43118</v>
      </c>
      <c r="F158" t="s">
        <v>122</v>
      </c>
      <c r="G158" t="s">
        <v>513</v>
      </c>
      <c r="H158">
        <v>-686</v>
      </c>
      <c r="I158" t="s">
        <v>22</v>
      </c>
      <c r="J158">
        <v>0</v>
      </c>
      <c r="K158">
        <v>0</v>
      </c>
      <c r="L158" t="s">
        <v>117</v>
      </c>
      <c r="M158" t="s">
        <v>88</v>
      </c>
      <c r="N158" t="s">
        <v>521</v>
      </c>
      <c r="O158">
        <v>0</v>
      </c>
      <c r="P158">
        <v>0</v>
      </c>
      <c r="Q158" t="s">
        <v>123</v>
      </c>
    </row>
    <row r="159" spans="1:17">
      <c r="A159" t="s">
        <v>267</v>
      </c>
      <c r="B159" t="s">
        <v>368</v>
      </c>
      <c r="C159">
        <v>171</v>
      </c>
      <c r="D159" t="s">
        <v>238</v>
      </c>
      <c r="E159" s="1">
        <v>43122</v>
      </c>
      <c r="F159" t="s">
        <v>122</v>
      </c>
      <c r="G159" t="s">
        <v>527</v>
      </c>
      <c r="H159">
        <v>-60</v>
      </c>
      <c r="I159" t="s">
        <v>22</v>
      </c>
      <c r="J159">
        <v>0</v>
      </c>
      <c r="M159" t="s">
        <v>87</v>
      </c>
      <c r="N159" t="s">
        <v>528</v>
      </c>
      <c r="Q159" t="s">
        <v>123</v>
      </c>
    </row>
    <row r="160" spans="1:17">
      <c r="A160" t="s">
        <v>267</v>
      </c>
      <c r="B160" t="s">
        <v>368</v>
      </c>
      <c r="C160">
        <v>171</v>
      </c>
      <c r="D160" t="s">
        <v>238</v>
      </c>
      <c r="E160" s="1">
        <v>43122</v>
      </c>
      <c r="F160" t="s">
        <v>122</v>
      </c>
      <c r="G160" t="s">
        <v>527</v>
      </c>
      <c r="H160">
        <v>-60</v>
      </c>
      <c r="I160" t="s">
        <v>22</v>
      </c>
      <c r="J160">
        <v>0</v>
      </c>
      <c r="K160">
        <v>0</v>
      </c>
      <c r="L160" t="s">
        <v>117</v>
      </c>
      <c r="M160" t="s">
        <v>88</v>
      </c>
      <c r="N160" t="s">
        <v>528</v>
      </c>
      <c r="O160">
        <v>0</v>
      </c>
      <c r="P160">
        <v>0</v>
      </c>
      <c r="Q160" t="s">
        <v>123</v>
      </c>
    </row>
    <row r="161" spans="1:17">
      <c r="A161" t="s">
        <v>267</v>
      </c>
      <c r="B161" t="s">
        <v>368</v>
      </c>
      <c r="C161">
        <v>171</v>
      </c>
      <c r="D161" t="s">
        <v>238</v>
      </c>
      <c r="E161" s="1">
        <v>43125</v>
      </c>
      <c r="F161" t="s">
        <v>122</v>
      </c>
      <c r="G161" t="s">
        <v>544</v>
      </c>
      <c r="H161">
        <v>-680</v>
      </c>
      <c r="I161" t="s">
        <v>22</v>
      </c>
      <c r="J161">
        <v>0</v>
      </c>
      <c r="M161" t="s">
        <v>87</v>
      </c>
      <c r="N161" t="s">
        <v>545</v>
      </c>
      <c r="Q161" t="s">
        <v>123</v>
      </c>
    </row>
    <row r="162" spans="1:17">
      <c r="A162" t="s">
        <v>267</v>
      </c>
      <c r="B162" t="s">
        <v>368</v>
      </c>
      <c r="C162">
        <v>171</v>
      </c>
      <c r="D162" t="s">
        <v>238</v>
      </c>
      <c r="E162" s="1">
        <v>43125</v>
      </c>
      <c r="F162" t="s">
        <v>122</v>
      </c>
      <c r="G162" t="s">
        <v>544</v>
      </c>
      <c r="H162">
        <v>-680</v>
      </c>
      <c r="I162" t="s">
        <v>22</v>
      </c>
      <c r="J162">
        <v>0</v>
      </c>
      <c r="K162">
        <v>0</v>
      </c>
      <c r="L162" t="s">
        <v>117</v>
      </c>
      <c r="M162" t="s">
        <v>88</v>
      </c>
      <c r="N162" t="s">
        <v>545</v>
      </c>
      <c r="O162">
        <v>0</v>
      </c>
      <c r="P162">
        <v>0</v>
      </c>
      <c r="Q162" t="s">
        <v>123</v>
      </c>
    </row>
    <row r="163" spans="1:17">
      <c r="A163" t="s">
        <v>267</v>
      </c>
      <c r="B163" t="s">
        <v>368</v>
      </c>
      <c r="C163">
        <v>171</v>
      </c>
      <c r="D163" t="s">
        <v>238</v>
      </c>
      <c r="E163" s="1">
        <v>43130</v>
      </c>
      <c r="F163" t="s">
        <v>122</v>
      </c>
      <c r="G163" t="s">
        <v>549</v>
      </c>
      <c r="H163">
        <v>-1</v>
      </c>
      <c r="I163" t="s">
        <v>22</v>
      </c>
      <c r="J163">
        <v>0</v>
      </c>
      <c r="M163" t="s">
        <v>87</v>
      </c>
      <c r="N163" t="s">
        <v>551</v>
      </c>
      <c r="Q163" t="s">
        <v>123</v>
      </c>
    </row>
    <row r="164" spans="1:17">
      <c r="A164" t="s">
        <v>267</v>
      </c>
      <c r="B164" t="s">
        <v>368</v>
      </c>
      <c r="C164">
        <v>171</v>
      </c>
      <c r="D164" t="s">
        <v>238</v>
      </c>
      <c r="E164" s="1">
        <v>43130</v>
      </c>
      <c r="F164" t="s">
        <v>122</v>
      </c>
      <c r="G164" t="s">
        <v>549</v>
      </c>
      <c r="H164">
        <v>-1</v>
      </c>
      <c r="I164" t="s">
        <v>22</v>
      </c>
      <c r="J164">
        <v>0</v>
      </c>
      <c r="K164">
        <v>0</v>
      </c>
      <c r="L164" t="s">
        <v>117</v>
      </c>
      <c r="M164" t="s">
        <v>88</v>
      </c>
      <c r="N164" t="s">
        <v>551</v>
      </c>
      <c r="O164">
        <v>0</v>
      </c>
      <c r="P164">
        <v>0</v>
      </c>
      <c r="Q164" t="s">
        <v>123</v>
      </c>
    </row>
    <row r="165" spans="1:17">
      <c r="A165" t="s">
        <v>267</v>
      </c>
      <c r="B165" t="s">
        <v>368</v>
      </c>
      <c r="C165">
        <v>171</v>
      </c>
      <c r="D165" t="s">
        <v>238</v>
      </c>
      <c r="E165" s="1">
        <v>43132</v>
      </c>
      <c r="F165" t="s">
        <v>655</v>
      </c>
      <c r="G165" t="s">
        <v>746</v>
      </c>
      <c r="H165">
        <v>40</v>
      </c>
      <c r="I165" t="s">
        <v>22</v>
      </c>
      <c r="J165">
        <v>0</v>
      </c>
      <c r="M165" t="s">
        <v>87</v>
      </c>
      <c r="N165" t="s">
        <v>747</v>
      </c>
      <c r="Q165" t="s">
        <v>123</v>
      </c>
    </row>
    <row r="166" spans="1:17">
      <c r="A166" t="s">
        <v>267</v>
      </c>
      <c r="B166" t="s">
        <v>368</v>
      </c>
      <c r="C166">
        <v>171</v>
      </c>
      <c r="D166" t="s">
        <v>238</v>
      </c>
      <c r="E166" s="1">
        <v>43132</v>
      </c>
      <c r="F166" t="s">
        <v>655</v>
      </c>
      <c r="G166" t="s">
        <v>746</v>
      </c>
      <c r="H166">
        <v>40</v>
      </c>
      <c r="I166" t="s">
        <v>22</v>
      </c>
      <c r="J166">
        <v>0</v>
      </c>
      <c r="K166">
        <v>0</v>
      </c>
      <c r="L166" t="s">
        <v>117</v>
      </c>
      <c r="M166" t="s">
        <v>88</v>
      </c>
      <c r="N166" t="s">
        <v>747</v>
      </c>
      <c r="O166">
        <v>0</v>
      </c>
      <c r="P166">
        <v>0</v>
      </c>
      <c r="Q166" t="s">
        <v>123</v>
      </c>
    </row>
    <row r="167" spans="1:17">
      <c r="A167" t="s">
        <v>267</v>
      </c>
      <c r="B167" t="s">
        <v>368</v>
      </c>
      <c r="C167">
        <v>171</v>
      </c>
      <c r="D167" t="s">
        <v>238</v>
      </c>
      <c r="E167" s="1">
        <v>43133</v>
      </c>
      <c r="F167" t="s">
        <v>122</v>
      </c>
      <c r="G167" t="s">
        <v>552</v>
      </c>
      <c r="H167">
        <v>-600</v>
      </c>
      <c r="I167" t="s">
        <v>22</v>
      </c>
      <c r="J167">
        <v>0</v>
      </c>
      <c r="M167" t="s">
        <v>87</v>
      </c>
      <c r="N167" t="s">
        <v>553</v>
      </c>
      <c r="Q167" t="s">
        <v>123</v>
      </c>
    </row>
    <row r="168" spans="1:17">
      <c r="A168" t="s">
        <v>267</v>
      </c>
      <c r="B168" t="s">
        <v>368</v>
      </c>
      <c r="C168">
        <v>171</v>
      </c>
      <c r="D168" t="s">
        <v>238</v>
      </c>
      <c r="E168" s="1">
        <v>43133</v>
      </c>
      <c r="F168" t="s">
        <v>122</v>
      </c>
      <c r="G168" t="s">
        <v>552</v>
      </c>
      <c r="H168">
        <v>-600</v>
      </c>
      <c r="I168" t="s">
        <v>22</v>
      </c>
      <c r="J168">
        <v>0</v>
      </c>
      <c r="K168">
        <v>0</v>
      </c>
      <c r="L168" t="s">
        <v>117</v>
      </c>
      <c r="M168" t="s">
        <v>88</v>
      </c>
      <c r="N168" t="s">
        <v>553</v>
      </c>
      <c r="O168">
        <v>0</v>
      </c>
      <c r="P168">
        <v>0</v>
      </c>
      <c r="Q168" t="s">
        <v>123</v>
      </c>
    </row>
    <row r="169" spans="1:17">
      <c r="A169" t="s">
        <v>267</v>
      </c>
      <c r="B169" t="s">
        <v>368</v>
      </c>
      <c r="C169">
        <v>171</v>
      </c>
      <c r="D169" t="s">
        <v>238</v>
      </c>
      <c r="E169" s="1">
        <v>43143</v>
      </c>
      <c r="F169" t="s">
        <v>122</v>
      </c>
      <c r="G169" t="s">
        <v>569</v>
      </c>
      <c r="H169">
        <v>-60</v>
      </c>
      <c r="I169" t="s">
        <v>22</v>
      </c>
      <c r="J169">
        <v>0</v>
      </c>
      <c r="M169" t="s">
        <v>87</v>
      </c>
      <c r="N169" t="s">
        <v>570</v>
      </c>
      <c r="Q169" t="s">
        <v>123</v>
      </c>
    </row>
    <row r="170" spans="1:17">
      <c r="A170" t="s">
        <v>267</v>
      </c>
      <c r="B170" t="s">
        <v>368</v>
      </c>
      <c r="C170">
        <v>171</v>
      </c>
      <c r="D170" t="s">
        <v>238</v>
      </c>
      <c r="E170" s="1">
        <v>43143</v>
      </c>
      <c r="F170" t="s">
        <v>122</v>
      </c>
      <c r="G170" t="s">
        <v>569</v>
      </c>
      <c r="H170">
        <v>-60</v>
      </c>
      <c r="I170" t="s">
        <v>22</v>
      </c>
      <c r="J170">
        <v>0</v>
      </c>
      <c r="K170">
        <v>0</v>
      </c>
      <c r="L170" t="s">
        <v>117</v>
      </c>
      <c r="M170" t="s">
        <v>88</v>
      </c>
      <c r="N170" t="s">
        <v>570</v>
      </c>
      <c r="O170">
        <v>0</v>
      </c>
      <c r="P170">
        <v>0</v>
      </c>
      <c r="Q170" t="s">
        <v>123</v>
      </c>
    </row>
    <row r="171" spans="1:17">
      <c r="A171" t="s">
        <v>267</v>
      </c>
      <c r="B171" t="s">
        <v>368</v>
      </c>
      <c r="C171">
        <v>171</v>
      </c>
      <c r="D171" t="s">
        <v>238</v>
      </c>
      <c r="E171" s="1">
        <v>43145</v>
      </c>
      <c r="F171" t="s">
        <v>655</v>
      </c>
      <c r="G171" t="s">
        <v>758</v>
      </c>
      <c r="H171">
        <v>405</v>
      </c>
      <c r="I171" t="s">
        <v>22</v>
      </c>
      <c r="J171">
        <v>0</v>
      </c>
      <c r="M171" t="s">
        <v>87</v>
      </c>
      <c r="N171" t="s">
        <v>759</v>
      </c>
      <c r="Q171" t="s">
        <v>123</v>
      </c>
    </row>
    <row r="172" spans="1:17">
      <c r="A172" t="s">
        <v>267</v>
      </c>
      <c r="B172" t="s">
        <v>368</v>
      </c>
      <c r="C172">
        <v>171</v>
      </c>
      <c r="D172" t="s">
        <v>238</v>
      </c>
      <c r="E172" s="1">
        <v>43145</v>
      </c>
      <c r="F172" t="s">
        <v>655</v>
      </c>
      <c r="G172" t="s">
        <v>758</v>
      </c>
      <c r="H172">
        <v>405</v>
      </c>
      <c r="I172" t="s">
        <v>22</v>
      </c>
      <c r="J172">
        <v>0</v>
      </c>
      <c r="K172">
        <v>0</v>
      </c>
      <c r="L172" t="s">
        <v>117</v>
      </c>
      <c r="M172" t="s">
        <v>88</v>
      </c>
      <c r="N172" t="s">
        <v>759</v>
      </c>
      <c r="O172">
        <v>0</v>
      </c>
      <c r="P172">
        <v>0</v>
      </c>
      <c r="Q172" t="s">
        <v>123</v>
      </c>
    </row>
    <row r="173" spans="1:17">
      <c r="A173" t="s">
        <v>267</v>
      </c>
      <c r="B173" t="s">
        <v>368</v>
      </c>
      <c r="C173">
        <v>171</v>
      </c>
      <c r="D173" t="s">
        <v>238</v>
      </c>
      <c r="E173" s="1">
        <v>43146</v>
      </c>
      <c r="F173" t="s">
        <v>655</v>
      </c>
      <c r="G173" t="s">
        <v>764</v>
      </c>
      <c r="H173">
        <v>486</v>
      </c>
      <c r="I173" t="s">
        <v>22</v>
      </c>
      <c r="J173">
        <v>0</v>
      </c>
      <c r="M173" t="s">
        <v>87</v>
      </c>
      <c r="N173" t="s">
        <v>765</v>
      </c>
      <c r="Q173" t="s">
        <v>123</v>
      </c>
    </row>
    <row r="174" spans="1:17">
      <c r="A174" t="s">
        <v>267</v>
      </c>
      <c r="B174" t="s">
        <v>368</v>
      </c>
      <c r="C174">
        <v>171</v>
      </c>
      <c r="D174" t="s">
        <v>238</v>
      </c>
      <c r="E174" s="1">
        <v>43146</v>
      </c>
      <c r="F174" t="s">
        <v>655</v>
      </c>
      <c r="G174" t="s">
        <v>764</v>
      </c>
      <c r="H174">
        <v>486</v>
      </c>
      <c r="I174" t="s">
        <v>22</v>
      </c>
      <c r="J174">
        <v>0</v>
      </c>
      <c r="K174">
        <v>0</v>
      </c>
      <c r="L174" t="s">
        <v>117</v>
      </c>
      <c r="M174" t="s">
        <v>88</v>
      </c>
      <c r="N174" t="s">
        <v>765</v>
      </c>
      <c r="O174">
        <v>0</v>
      </c>
      <c r="P174">
        <v>0</v>
      </c>
      <c r="Q174" t="s">
        <v>123</v>
      </c>
    </row>
    <row r="175" spans="1:17">
      <c r="A175" t="s">
        <v>267</v>
      </c>
      <c r="B175" t="s">
        <v>368</v>
      </c>
      <c r="C175">
        <v>171</v>
      </c>
      <c r="D175" t="s">
        <v>238</v>
      </c>
      <c r="E175" s="1">
        <v>43147</v>
      </c>
      <c r="F175" t="s">
        <v>122</v>
      </c>
      <c r="G175" t="s">
        <v>589</v>
      </c>
      <c r="H175">
        <v>-400</v>
      </c>
      <c r="I175" t="s">
        <v>22</v>
      </c>
      <c r="J175">
        <v>0</v>
      </c>
      <c r="M175" t="s">
        <v>87</v>
      </c>
      <c r="N175" t="s">
        <v>590</v>
      </c>
      <c r="Q175" t="s">
        <v>123</v>
      </c>
    </row>
    <row r="176" spans="1:17">
      <c r="A176" t="s">
        <v>267</v>
      </c>
      <c r="B176" t="s">
        <v>368</v>
      </c>
      <c r="C176">
        <v>171</v>
      </c>
      <c r="D176" t="s">
        <v>238</v>
      </c>
      <c r="E176" s="1">
        <v>43147</v>
      </c>
      <c r="F176" t="s">
        <v>122</v>
      </c>
      <c r="G176" t="s">
        <v>589</v>
      </c>
      <c r="H176">
        <v>-400</v>
      </c>
      <c r="I176" t="s">
        <v>22</v>
      </c>
      <c r="J176">
        <v>0</v>
      </c>
      <c r="K176">
        <v>0</v>
      </c>
      <c r="L176" t="s">
        <v>117</v>
      </c>
      <c r="M176" t="s">
        <v>88</v>
      </c>
      <c r="N176" t="s">
        <v>590</v>
      </c>
      <c r="O176">
        <v>0</v>
      </c>
      <c r="P176">
        <v>0</v>
      </c>
      <c r="Q176" t="s">
        <v>123</v>
      </c>
    </row>
    <row r="177" spans="1:17">
      <c r="A177" t="s">
        <v>267</v>
      </c>
      <c r="B177" t="s">
        <v>368</v>
      </c>
      <c r="C177">
        <v>171</v>
      </c>
      <c r="D177" t="s">
        <v>238</v>
      </c>
      <c r="E177" s="1">
        <v>43151</v>
      </c>
      <c r="F177" t="s">
        <v>655</v>
      </c>
      <c r="G177" t="s">
        <v>770</v>
      </c>
      <c r="H177">
        <v>405</v>
      </c>
      <c r="I177" t="s">
        <v>22</v>
      </c>
      <c r="J177">
        <v>0</v>
      </c>
      <c r="M177" t="s">
        <v>87</v>
      </c>
      <c r="N177" t="s">
        <v>771</v>
      </c>
      <c r="Q177" t="s">
        <v>123</v>
      </c>
    </row>
    <row r="178" spans="1:17">
      <c r="A178" t="s">
        <v>267</v>
      </c>
      <c r="B178" t="s">
        <v>368</v>
      </c>
      <c r="C178">
        <v>171</v>
      </c>
      <c r="D178" t="s">
        <v>238</v>
      </c>
      <c r="E178" s="1">
        <v>43151</v>
      </c>
      <c r="F178" t="s">
        <v>655</v>
      </c>
      <c r="G178" t="s">
        <v>774</v>
      </c>
      <c r="H178">
        <v>81</v>
      </c>
      <c r="I178" t="s">
        <v>22</v>
      </c>
      <c r="J178">
        <v>0</v>
      </c>
      <c r="M178" t="s">
        <v>87</v>
      </c>
      <c r="N178" t="s">
        <v>775</v>
      </c>
      <c r="Q178" t="s">
        <v>123</v>
      </c>
    </row>
    <row r="179" spans="1:17">
      <c r="A179" t="s">
        <v>267</v>
      </c>
      <c r="B179" t="s">
        <v>368</v>
      </c>
      <c r="C179">
        <v>171</v>
      </c>
      <c r="D179" t="s">
        <v>238</v>
      </c>
      <c r="E179" s="1">
        <v>43151</v>
      </c>
      <c r="F179" t="s">
        <v>655</v>
      </c>
      <c r="G179" t="s">
        <v>770</v>
      </c>
      <c r="H179">
        <v>405</v>
      </c>
      <c r="I179" t="s">
        <v>22</v>
      </c>
      <c r="J179">
        <v>0</v>
      </c>
      <c r="K179">
        <v>0</v>
      </c>
      <c r="L179" t="s">
        <v>117</v>
      </c>
      <c r="M179" t="s">
        <v>88</v>
      </c>
      <c r="N179" t="s">
        <v>771</v>
      </c>
      <c r="O179">
        <v>0</v>
      </c>
      <c r="P179">
        <v>0</v>
      </c>
      <c r="Q179" t="s">
        <v>123</v>
      </c>
    </row>
    <row r="180" spans="1:17">
      <c r="A180" t="s">
        <v>267</v>
      </c>
      <c r="B180" t="s">
        <v>368</v>
      </c>
      <c r="C180">
        <v>171</v>
      </c>
      <c r="D180" t="s">
        <v>238</v>
      </c>
      <c r="E180" s="1">
        <v>43151</v>
      </c>
      <c r="F180" t="s">
        <v>655</v>
      </c>
      <c r="G180" t="s">
        <v>774</v>
      </c>
      <c r="H180">
        <v>81</v>
      </c>
      <c r="I180" t="s">
        <v>22</v>
      </c>
      <c r="J180">
        <v>0</v>
      </c>
      <c r="K180">
        <v>0</v>
      </c>
      <c r="L180" t="s">
        <v>117</v>
      </c>
      <c r="M180" t="s">
        <v>88</v>
      </c>
      <c r="N180" t="s">
        <v>775</v>
      </c>
      <c r="O180">
        <v>0</v>
      </c>
      <c r="P180">
        <v>0</v>
      </c>
      <c r="Q180" t="s">
        <v>123</v>
      </c>
    </row>
    <row r="181" spans="1:17">
      <c r="A181" t="s">
        <v>267</v>
      </c>
      <c r="B181" t="s">
        <v>368</v>
      </c>
      <c r="C181">
        <v>171</v>
      </c>
      <c r="D181" t="s">
        <v>238</v>
      </c>
      <c r="E181" s="1">
        <v>43154</v>
      </c>
      <c r="F181" t="s">
        <v>122</v>
      </c>
      <c r="G181" t="s">
        <v>613</v>
      </c>
      <c r="H181">
        <v>-920</v>
      </c>
      <c r="I181" t="s">
        <v>22</v>
      </c>
      <c r="J181">
        <v>0</v>
      </c>
      <c r="M181" t="s">
        <v>87</v>
      </c>
      <c r="N181" t="s">
        <v>617</v>
      </c>
      <c r="Q181" t="s">
        <v>123</v>
      </c>
    </row>
    <row r="182" spans="1:17">
      <c r="A182" t="s">
        <v>267</v>
      </c>
      <c r="B182" t="s">
        <v>368</v>
      </c>
      <c r="C182">
        <v>171</v>
      </c>
      <c r="D182" t="s">
        <v>238</v>
      </c>
      <c r="E182" s="1">
        <v>43154</v>
      </c>
      <c r="F182" t="s">
        <v>122</v>
      </c>
      <c r="G182" t="s">
        <v>613</v>
      </c>
      <c r="H182">
        <v>-920</v>
      </c>
      <c r="I182" t="s">
        <v>22</v>
      </c>
      <c r="J182">
        <v>0</v>
      </c>
      <c r="K182">
        <v>0</v>
      </c>
      <c r="L182" t="s">
        <v>117</v>
      </c>
      <c r="M182" t="s">
        <v>88</v>
      </c>
      <c r="N182" t="s">
        <v>617</v>
      </c>
      <c r="O182">
        <v>0</v>
      </c>
      <c r="P182">
        <v>0</v>
      </c>
      <c r="Q182" t="s">
        <v>123</v>
      </c>
    </row>
    <row r="183" spans="1:17">
      <c r="A183" t="s">
        <v>267</v>
      </c>
      <c r="B183" t="s">
        <v>368</v>
      </c>
      <c r="C183">
        <v>171</v>
      </c>
      <c r="D183" t="s">
        <v>238</v>
      </c>
      <c r="E183" s="1">
        <v>43157</v>
      </c>
      <c r="F183" t="s">
        <v>655</v>
      </c>
      <c r="G183" t="s">
        <v>790</v>
      </c>
      <c r="H183">
        <v>40</v>
      </c>
      <c r="I183" t="s">
        <v>22</v>
      </c>
      <c r="J183">
        <v>0</v>
      </c>
      <c r="M183" t="s">
        <v>87</v>
      </c>
      <c r="N183" t="s">
        <v>791</v>
      </c>
      <c r="Q183" t="s">
        <v>123</v>
      </c>
    </row>
    <row r="184" spans="1:17">
      <c r="A184" t="s">
        <v>267</v>
      </c>
      <c r="B184" t="s">
        <v>368</v>
      </c>
      <c r="C184">
        <v>171</v>
      </c>
      <c r="D184" t="s">
        <v>238</v>
      </c>
      <c r="E184" s="1">
        <v>43157</v>
      </c>
      <c r="F184" t="s">
        <v>655</v>
      </c>
      <c r="G184" t="s">
        <v>790</v>
      </c>
      <c r="H184">
        <v>40</v>
      </c>
      <c r="I184" t="s">
        <v>22</v>
      </c>
      <c r="J184">
        <v>0</v>
      </c>
      <c r="K184">
        <v>0</v>
      </c>
      <c r="L184" t="s">
        <v>117</v>
      </c>
      <c r="M184" t="s">
        <v>88</v>
      </c>
      <c r="N184" t="s">
        <v>791</v>
      </c>
      <c r="O184">
        <v>0</v>
      </c>
      <c r="P184">
        <v>0</v>
      </c>
      <c r="Q184" t="s">
        <v>123</v>
      </c>
    </row>
    <row r="185" spans="1:17">
      <c r="A185" t="s">
        <v>268</v>
      </c>
      <c r="B185" t="s">
        <v>371</v>
      </c>
      <c r="C185">
        <v>171</v>
      </c>
      <c r="D185" t="s">
        <v>238</v>
      </c>
      <c r="E185" s="1">
        <v>43101</v>
      </c>
      <c r="F185" t="s">
        <v>902</v>
      </c>
      <c r="G185" t="s">
        <v>990</v>
      </c>
      <c r="H185">
        <v>16</v>
      </c>
      <c r="I185" t="s">
        <v>22</v>
      </c>
      <c r="J185">
        <v>0</v>
      </c>
      <c r="M185" t="s">
        <v>87</v>
      </c>
      <c r="N185" t="s">
        <v>996</v>
      </c>
    </row>
    <row r="186" spans="1:17">
      <c r="A186" t="s">
        <v>268</v>
      </c>
      <c r="B186" t="s">
        <v>371</v>
      </c>
      <c r="C186">
        <v>171</v>
      </c>
      <c r="D186" t="s">
        <v>238</v>
      </c>
      <c r="E186" s="1">
        <v>43101</v>
      </c>
      <c r="F186" t="s">
        <v>902</v>
      </c>
      <c r="G186" t="s">
        <v>990</v>
      </c>
      <c r="H186">
        <v>16</v>
      </c>
      <c r="I186" t="s">
        <v>22</v>
      </c>
      <c r="J186">
        <v>0</v>
      </c>
      <c r="M186" t="s">
        <v>1547</v>
      </c>
      <c r="N186" t="s">
        <v>996</v>
      </c>
      <c r="O186">
        <v>0</v>
      </c>
      <c r="P186">
        <v>0</v>
      </c>
      <c r="Q186" t="s">
        <v>119</v>
      </c>
    </row>
    <row r="187" spans="1:17">
      <c r="A187" t="s">
        <v>269</v>
      </c>
      <c r="B187" t="s">
        <v>374</v>
      </c>
      <c r="C187">
        <v>171</v>
      </c>
      <c r="D187" t="s">
        <v>238</v>
      </c>
      <c r="E187" s="1">
        <v>43101</v>
      </c>
      <c r="F187" t="s">
        <v>902</v>
      </c>
      <c r="G187" t="s">
        <v>990</v>
      </c>
      <c r="H187">
        <v>34</v>
      </c>
      <c r="I187" t="s">
        <v>22</v>
      </c>
      <c r="J187">
        <v>0</v>
      </c>
      <c r="M187" t="s">
        <v>87</v>
      </c>
      <c r="N187" t="s">
        <v>997</v>
      </c>
    </row>
    <row r="188" spans="1:17">
      <c r="A188" t="s">
        <v>269</v>
      </c>
      <c r="B188" t="s">
        <v>374</v>
      </c>
      <c r="C188">
        <v>171</v>
      </c>
      <c r="D188" t="s">
        <v>238</v>
      </c>
      <c r="E188" s="1">
        <v>43101</v>
      </c>
      <c r="F188" t="s">
        <v>902</v>
      </c>
      <c r="G188" t="s">
        <v>990</v>
      </c>
      <c r="H188">
        <v>34</v>
      </c>
      <c r="I188" t="s">
        <v>22</v>
      </c>
      <c r="J188">
        <v>0</v>
      </c>
      <c r="M188" t="s">
        <v>1547</v>
      </c>
      <c r="N188" t="s">
        <v>997</v>
      </c>
      <c r="O188">
        <v>0</v>
      </c>
      <c r="P188">
        <v>0</v>
      </c>
      <c r="Q188" t="s">
        <v>119</v>
      </c>
    </row>
    <row r="189" spans="1:17">
      <c r="A189" t="s">
        <v>269</v>
      </c>
      <c r="B189" t="s">
        <v>374</v>
      </c>
      <c r="C189">
        <v>171</v>
      </c>
      <c r="D189" t="s">
        <v>238</v>
      </c>
      <c r="E189" s="1">
        <v>43159</v>
      </c>
      <c r="F189" t="s">
        <v>122</v>
      </c>
      <c r="G189" t="s">
        <v>653</v>
      </c>
      <c r="H189">
        <v>-210</v>
      </c>
      <c r="I189" t="s">
        <v>22</v>
      </c>
      <c r="J189">
        <v>0</v>
      </c>
      <c r="M189" t="s">
        <v>87</v>
      </c>
      <c r="N189" t="s">
        <v>654</v>
      </c>
      <c r="Q189" t="s">
        <v>123</v>
      </c>
    </row>
    <row r="190" spans="1:17">
      <c r="A190" t="s">
        <v>269</v>
      </c>
      <c r="B190" t="s">
        <v>374</v>
      </c>
      <c r="C190">
        <v>171</v>
      </c>
      <c r="D190" t="s">
        <v>238</v>
      </c>
      <c r="E190" s="1">
        <v>43159</v>
      </c>
      <c r="F190" t="s">
        <v>655</v>
      </c>
      <c r="G190" t="s">
        <v>796</v>
      </c>
      <c r="H190">
        <v>204</v>
      </c>
      <c r="I190" t="s">
        <v>22</v>
      </c>
      <c r="J190">
        <v>0</v>
      </c>
      <c r="M190" t="s">
        <v>87</v>
      </c>
      <c r="N190" t="s">
        <v>797</v>
      </c>
      <c r="Q190" t="s">
        <v>123</v>
      </c>
    </row>
    <row r="191" spans="1:17">
      <c r="A191" t="s">
        <v>269</v>
      </c>
      <c r="B191" t="s">
        <v>374</v>
      </c>
      <c r="C191">
        <v>171</v>
      </c>
      <c r="D191" t="s">
        <v>238</v>
      </c>
      <c r="E191" s="1">
        <v>43159</v>
      </c>
      <c r="F191" t="s">
        <v>122</v>
      </c>
      <c r="G191" t="s">
        <v>653</v>
      </c>
      <c r="H191">
        <v>-210</v>
      </c>
      <c r="I191" t="s">
        <v>22</v>
      </c>
      <c r="J191">
        <v>0</v>
      </c>
      <c r="K191">
        <v>0</v>
      </c>
      <c r="L191" t="s">
        <v>117</v>
      </c>
      <c r="M191" t="s">
        <v>88</v>
      </c>
      <c r="N191" t="s">
        <v>654</v>
      </c>
      <c r="O191">
        <v>0</v>
      </c>
      <c r="P191">
        <v>0</v>
      </c>
      <c r="Q191" t="s">
        <v>123</v>
      </c>
    </row>
    <row r="192" spans="1:17">
      <c r="A192" t="s">
        <v>269</v>
      </c>
      <c r="B192" t="s">
        <v>374</v>
      </c>
      <c r="C192">
        <v>171</v>
      </c>
      <c r="D192" t="s">
        <v>238</v>
      </c>
      <c r="E192" s="1">
        <v>43159</v>
      </c>
      <c r="F192" t="s">
        <v>655</v>
      </c>
      <c r="G192" t="s">
        <v>796</v>
      </c>
      <c r="H192">
        <v>204</v>
      </c>
      <c r="I192" t="s">
        <v>22</v>
      </c>
      <c r="J192">
        <v>0</v>
      </c>
      <c r="K192">
        <v>0</v>
      </c>
      <c r="L192" t="s">
        <v>117</v>
      </c>
      <c r="M192" t="s">
        <v>88</v>
      </c>
      <c r="N192" t="s">
        <v>797</v>
      </c>
      <c r="O192">
        <v>0</v>
      </c>
      <c r="P192">
        <v>0</v>
      </c>
      <c r="Q192" t="s">
        <v>123</v>
      </c>
    </row>
    <row r="193" spans="1:17">
      <c r="A193" t="s">
        <v>270</v>
      </c>
      <c r="B193" t="s">
        <v>377</v>
      </c>
      <c r="C193">
        <v>171</v>
      </c>
      <c r="D193" t="s">
        <v>238</v>
      </c>
      <c r="E193" s="1">
        <v>43101</v>
      </c>
      <c r="F193" t="s">
        <v>902</v>
      </c>
      <c r="G193" t="s">
        <v>990</v>
      </c>
      <c r="H193">
        <v>18</v>
      </c>
      <c r="I193" t="s">
        <v>22</v>
      </c>
      <c r="J193">
        <v>0</v>
      </c>
      <c r="M193" t="s">
        <v>87</v>
      </c>
      <c r="N193" t="s">
        <v>998</v>
      </c>
    </row>
    <row r="194" spans="1:17">
      <c r="A194" t="s">
        <v>270</v>
      </c>
      <c r="B194" t="s">
        <v>377</v>
      </c>
      <c r="C194">
        <v>171</v>
      </c>
      <c r="D194" t="s">
        <v>238</v>
      </c>
      <c r="E194" s="1">
        <v>43101</v>
      </c>
      <c r="F194" t="s">
        <v>902</v>
      </c>
      <c r="G194" t="s">
        <v>990</v>
      </c>
      <c r="H194">
        <v>18</v>
      </c>
      <c r="I194" t="s">
        <v>22</v>
      </c>
      <c r="J194">
        <v>0</v>
      </c>
      <c r="M194" t="s">
        <v>1547</v>
      </c>
      <c r="N194" t="s">
        <v>998</v>
      </c>
      <c r="O194">
        <v>0</v>
      </c>
      <c r="P194">
        <v>0</v>
      </c>
      <c r="Q194" t="s">
        <v>119</v>
      </c>
    </row>
    <row r="195" spans="1:17">
      <c r="A195" t="s">
        <v>271</v>
      </c>
      <c r="B195" t="s">
        <v>380</v>
      </c>
      <c r="C195">
        <v>171</v>
      </c>
      <c r="D195" t="s">
        <v>238</v>
      </c>
      <c r="E195" s="1">
        <v>43101</v>
      </c>
      <c r="F195" t="s">
        <v>902</v>
      </c>
      <c r="G195" t="s">
        <v>990</v>
      </c>
      <c r="H195">
        <v>30</v>
      </c>
      <c r="I195" t="s">
        <v>22</v>
      </c>
      <c r="J195">
        <v>0</v>
      </c>
      <c r="M195" t="s">
        <v>87</v>
      </c>
      <c r="N195" t="s">
        <v>999</v>
      </c>
    </row>
    <row r="196" spans="1:17">
      <c r="A196" t="s">
        <v>271</v>
      </c>
      <c r="B196" t="s">
        <v>380</v>
      </c>
      <c r="C196">
        <v>171</v>
      </c>
      <c r="D196" t="s">
        <v>238</v>
      </c>
      <c r="E196" s="1">
        <v>43101</v>
      </c>
      <c r="F196" t="s">
        <v>902</v>
      </c>
      <c r="G196" t="s">
        <v>990</v>
      </c>
      <c r="H196">
        <v>30</v>
      </c>
      <c r="I196" t="s">
        <v>22</v>
      </c>
      <c r="J196">
        <v>0</v>
      </c>
      <c r="M196" t="s">
        <v>1547</v>
      </c>
      <c r="N196" t="s">
        <v>999</v>
      </c>
      <c r="O196">
        <v>0</v>
      </c>
      <c r="P196">
        <v>0</v>
      </c>
      <c r="Q196" t="s">
        <v>119</v>
      </c>
    </row>
    <row r="197" spans="1:17">
      <c r="A197" t="s">
        <v>272</v>
      </c>
      <c r="B197" t="s">
        <v>387</v>
      </c>
      <c r="C197">
        <v>171</v>
      </c>
      <c r="D197" t="s">
        <v>238</v>
      </c>
      <c r="E197" s="1">
        <v>43101</v>
      </c>
      <c r="F197" t="s">
        <v>902</v>
      </c>
      <c r="G197" t="s">
        <v>990</v>
      </c>
      <c r="H197">
        <v>181</v>
      </c>
      <c r="I197" t="s">
        <v>22</v>
      </c>
      <c r="J197">
        <v>0</v>
      </c>
      <c r="M197" t="s">
        <v>87</v>
      </c>
      <c r="N197" t="s">
        <v>1000</v>
      </c>
    </row>
    <row r="198" spans="1:17">
      <c r="A198" t="s">
        <v>272</v>
      </c>
      <c r="B198" t="s">
        <v>387</v>
      </c>
      <c r="C198">
        <v>171</v>
      </c>
      <c r="D198" t="s">
        <v>238</v>
      </c>
      <c r="E198" s="1">
        <v>43101</v>
      </c>
      <c r="F198" t="s">
        <v>902</v>
      </c>
      <c r="G198" t="s">
        <v>990</v>
      </c>
      <c r="H198">
        <v>181</v>
      </c>
      <c r="I198" t="s">
        <v>22</v>
      </c>
      <c r="J198">
        <v>0</v>
      </c>
      <c r="M198" t="s">
        <v>1547</v>
      </c>
      <c r="N198" t="s">
        <v>1000</v>
      </c>
      <c r="O198">
        <v>0</v>
      </c>
      <c r="P198">
        <v>0</v>
      </c>
      <c r="Q198" t="s">
        <v>119</v>
      </c>
    </row>
    <row r="199" spans="1:17">
      <c r="A199" t="s">
        <v>272</v>
      </c>
      <c r="B199" t="s">
        <v>387</v>
      </c>
      <c r="C199">
        <v>171</v>
      </c>
      <c r="D199" t="s">
        <v>238</v>
      </c>
      <c r="E199" s="1">
        <v>43125</v>
      </c>
      <c r="F199" t="s">
        <v>122</v>
      </c>
      <c r="G199" t="s">
        <v>538</v>
      </c>
      <c r="H199">
        <v>-2</v>
      </c>
      <c r="I199" t="s">
        <v>22</v>
      </c>
      <c r="J199">
        <v>0</v>
      </c>
      <c r="M199" t="s">
        <v>87</v>
      </c>
      <c r="N199" t="s">
        <v>539</v>
      </c>
      <c r="Q199" t="s">
        <v>123</v>
      </c>
    </row>
    <row r="200" spans="1:17">
      <c r="A200" t="s">
        <v>272</v>
      </c>
      <c r="B200" t="s">
        <v>387</v>
      </c>
      <c r="C200">
        <v>171</v>
      </c>
      <c r="D200" t="s">
        <v>238</v>
      </c>
      <c r="E200" s="1">
        <v>43125</v>
      </c>
      <c r="F200" t="s">
        <v>122</v>
      </c>
      <c r="G200" t="s">
        <v>538</v>
      </c>
      <c r="H200">
        <v>-2</v>
      </c>
      <c r="I200" t="s">
        <v>22</v>
      </c>
      <c r="J200">
        <v>0</v>
      </c>
      <c r="K200">
        <v>0</v>
      </c>
      <c r="L200" t="s">
        <v>117</v>
      </c>
      <c r="M200" t="s">
        <v>88</v>
      </c>
      <c r="N200" t="s">
        <v>539</v>
      </c>
      <c r="O200">
        <v>0</v>
      </c>
      <c r="P200">
        <v>0</v>
      </c>
      <c r="Q200" t="s">
        <v>123</v>
      </c>
    </row>
    <row r="201" spans="1:17">
      <c r="A201" t="s">
        <v>272</v>
      </c>
      <c r="B201" t="s">
        <v>387</v>
      </c>
      <c r="C201">
        <v>171</v>
      </c>
      <c r="D201" t="s">
        <v>238</v>
      </c>
      <c r="E201" s="1">
        <v>43158</v>
      </c>
      <c r="F201" t="s">
        <v>122</v>
      </c>
      <c r="G201" t="s">
        <v>623</v>
      </c>
      <c r="H201">
        <v>-6</v>
      </c>
      <c r="I201" t="s">
        <v>22</v>
      </c>
      <c r="J201">
        <v>0</v>
      </c>
      <c r="M201" t="s">
        <v>87</v>
      </c>
      <c r="N201" t="s">
        <v>625</v>
      </c>
      <c r="Q201" t="s">
        <v>123</v>
      </c>
    </row>
    <row r="202" spans="1:17">
      <c r="A202" t="s">
        <v>272</v>
      </c>
      <c r="B202" t="s">
        <v>387</v>
      </c>
      <c r="C202">
        <v>171</v>
      </c>
      <c r="D202" t="s">
        <v>238</v>
      </c>
      <c r="E202" s="1">
        <v>43158</v>
      </c>
      <c r="F202" t="s">
        <v>122</v>
      </c>
      <c r="G202" t="s">
        <v>640</v>
      </c>
      <c r="H202">
        <v>-1</v>
      </c>
      <c r="I202" t="s">
        <v>22</v>
      </c>
      <c r="J202">
        <v>0</v>
      </c>
      <c r="M202" t="s">
        <v>87</v>
      </c>
      <c r="N202" t="s">
        <v>642</v>
      </c>
      <c r="Q202" t="s">
        <v>123</v>
      </c>
    </row>
    <row r="203" spans="1:17">
      <c r="A203" t="s">
        <v>272</v>
      </c>
      <c r="B203" t="s">
        <v>387</v>
      </c>
      <c r="C203">
        <v>171</v>
      </c>
      <c r="D203" t="s">
        <v>238</v>
      </c>
      <c r="E203" s="1">
        <v>43158</v>
      </c>
      <c r="F203" t="s">
        <v>122</v>
      </c>
      <c r="G203" t="s">
        <v>640</v>
      </c>
      <c r="H203">
        <v>-1</v>
      </c>
      <c r="I203" t="s">
        <v>22</v>
      </c>
      <c r="J203">
        <v>0</v>
      </c>
      <c r="K203">
        <v>0</v>
      </c>
      <c r="L203" t="s">
        <v>117</v>
      </c>
      <c r="M203" t="s">
        <v>88</v>
      </c>
      <c r="N203" t="s">
        <v>642</v>
      </c>
      <c r="O203">
        <v>0</v>
      </c>
      <c r="P203">
        <v>0</v>
      </c>
      <c r="Q203" t="s">
        <v>123</v>
      </c>
    </row>
    <row r="204" spans="1:17">
      <c r="A204" t="s">
        <v>272</v>
      </c>
      <c r="B204" t="s">
        <v>387</v>
      </c>
      <c r="C204">
        <v>171</v>
      </c>
      <c r="D204" t="s">
        <v>238</v>
      </c>
      <c r="E204" s="1">
        <v>43158</v>
      </c>
      <c r="F204" t="s">
        <v>122</v>
      </c>
      <c r="G204" t="s">
        <v>623</v>
      </c>
      <c r="H204">
        <v>-6</v>
      </c>
      <c r="I204" t="s">
        <v>22</v>
      </c>
      <c r="J204">
        <v>0</v>
      </c>
      <c r="K204">
        <v>0</v>
      </c>
      <c r="L204" t="s">
        <v>117</v>
      </c>
      <c r="M204" t="s">
        <v>88</v>
      </c>
      <c r="N204" t="s">
        <v>625</v>
      </c>
      <c r="O204">
        <v>0</v>
      </c>
      <c r="P204">
        <v>0</v>
      </c>
      <c r="Q204" t="s">
        <v>123</v>
      </c>
    </row>
    <row r="205" spans="1:17">
      <c r="A205" t="s">
        <v>273</v>
      </c>
      <c r="B205" t="s">
        <v>390</v>
      </c>
      <c r="C205">
        <v>171</v>
      </c>
      <c r="D205" t="s">
        <v>238</v>
      </c>
      <c r="E205" s="1">
        <v>43101</v>
      </c>
      <c r="F205" t="s">
        <v>902</v>
      </c>
      <c r="G205" t="s">
        <v>990</v>
      </c>
      <c r="H205">
        <v>36</v>
      </c>
      <c r="I205" t="s">
        <v>22</v>
      </c>
      <c r="J205">
        <v>0</v>
      </c>
      <c r="M205" t="s">
        <v>87</v>
      </c>
      <c r="N205" t="s">
        <v>1001</v>
      </c>
    </row>
    <row r="206" spans="1:17">
      <c r="A206" t="s">
        <v>273</v>
      </c>
      <c r="B206" t="s">
        <v>390</v>
      </c>
      <c r="C206">
        <v>171</v>
      </c>
      <c r="D206" t="s">
        <v>238</v>
      </c>
      <c r="E206" s="1">
        <v>43101</v>
      </c>
      <c r="F206" t="s">
        <v>902</v>
      </c>
      <c r="G206" t="s">
        <v>990</v>
      </c>
      <c r="H206">
        <v>36</v>
      </c>
      <c r="I206" t="s">
        <v>22</v>
      </c>
      <c r="J206">
        <v>0</v>
      </c>
      <c r="M206" t="s">
        <v>1547</v>
      </c>
      <c r="N206" t="s">
        <v>1001</v>
      </c>
      <c r="O206">
        <v>0</v>
      </c>
      <c r="P206">
        <v>0</v>
      </c>
      <c r="Q206" t="s">
        <v>119</v>
      </c>
    </row>
    <row r="207" spans="1:17">
      <c r="A207" t="s">
        <v>273</v>
      </c>
      <c r="B207" t="s">
        <v>390</v>
      </c>
      <c r="C207">
        <v>171</v>
      </c>
      <c r="D207" t="s">
        <v>238</v>
      </c>
      <c r="E207" s="1">
        <v>43108</v>
      </c>
      <c r="F207" t="s">
        <v>655</v>
      </c>
      <c r="G207" t="s">
        <v>720</v>
      </c>
      <c r="H207">
        <v>274</v>
      </c>
      <c r="I207" t="s">
        <v>22</v>
      </c>
      <c r="J207">
        <v>0</v>
      </c>
      <c r="M207" t="s">
        <v>87</v>
      </c>
      <c r="N207" t="s">
        <v>721</v>
      </c>
      <c r="Q207" t="s">
        <v>123</v>
      </c>
    </row>
    <row r="208" spans="1:17">
      <c r="A208" t="s">
        <v>273</v>
      </c>
      <c r="B208" t="s">
        <v>390</v>
      </c>
      <c r="C208">
        <v>171</v>
      </c>
      <c r="D208" t="s">
        <v>238</v>
      </c>
      <c r="E208" s="1">
        <v>43108</v>
      </c>
      <c r="F208" t="s">
        <v>655</v>
      </c>
      <c r="G208" t="s">
        <v>720</v>
      </c>
      <c r="H208">
        <v>274</v>
      </c>
      <c r="I208" t="s">
        <v>22</v>
      </c>
      <c r="J208">
        <v>0</v>
      </c>
      <c r="K208">
        <v>0</v>
      </c>
      <c r="L208" t="s">
        <v>117</v>
      </c>
      <c r="M208" t="s">
        <v>88</v>
      </c>
      <c r="N208" t="s">
        <v>721</v>
      </c>
      <c r="O208">
        <v>0</v>
      </c>
      <c r="P208">
        <v>0</v>
      </c>
      <c r="Q208" t="s">
        <v>123</v>
      </c>
    </row>
    <row r="209" spans="1:17">
      <c r="A209" t="s">
        <v>273</v>
      </c>
      <c r="B209" t="s">
        <v>390</v>
      </c>
      <c r="C209">
        <v>171</v>
      </c>
      <c r="D209" t="s">
        <v>238</v>
      </c>
      <c r="E209" s="1">
        <v>43125</v>
      </c>
      <c r="F209" t="s">
        <v>122</v>
      </c>
      <c r="G209" t="s">
        <v>544</v>
      </c>
      <c r="H209">
        <v>-280</v>
      </c>
      <c r="I209" t="s">
        <v>22</v>
      </c>
      <c r="J209">
        <v>0</v>
      </c>
      <c r="M209" t="s">
        <v>87</v>
      </c>
      <c r="N209" t="s">
        <v>546</v>
      </c>
      <c r="Q209" t="s">
        <v>123</v>
      </c>
    </row>
    <row r="210" spans="1:17">
      <c r="A210" t="s">
        <v>273</v>
      </c>
      <c r="B210" t="s">
        <v>390</v>
      </c>
      <c r="C210">
        <v>171</v>
      </c>
      <c r="D210" t="s">
        <v>238</v>
      </c>
      <c r="E210" s="1">
        <v>43125</v>
      </c>
      <c r="F210" t="s">
        <v>122</v>
      </c>
      <c r="G210" t="s">
        <v>544</v>
      </c>
      <c r="H210">
        <v>-280</v>
      </c>
      <c r="I210" t="s">
        <v>22</v>
      </c>
      <c r="J210">
        <v>0</v>
      </c>
      <c r="K210">
        <v>0</v>
      </c>
      <c r="L210" t="s">
        <v>117</v>
      </c>
      <c r="M210" t="s">
        <v>88</v>
      </c>
      <c r="N210" t="s">
        <v>546</v>
      </c>
      <c r="O210">
        <v>0</v>
      </c>
      <c r="P210">
        <v>0</v>
      </c>
      <c r="Q210" t="s">
        <v>123</v>
      </c>
    </row>
    <row r="211" spans="1:17">
      <c r="A211" t="s">
        <v>273</v>
      </c>
      <c r="B211" t="s">
        <v>390</v>
      </c>
      <c r="C211">
        <v>171</v>
      </c>
      <c r="D211" t="s">
        <v>238</v>
      </c>
      <c r="E211" s="1">
        <v>43154</v>
      </c>
      <c r="F211" t="s">
        <v>122</v>
      </c>
      <c r="G211" t="s">
        <v>598</v>
      </c>
      <c r="H211">
        <v>-3</v>
      </c>
      <c r="I211" t="s">
        <v>22</v>
      </c>
      <c r="J211">
        <v>0</v>
      </c>
      <c r="M211" t="s">
        <v>87</v>
      </c>
      <c r="N211" t="s">
        <v>603</v>
      </c>
      <c r="Q211" t="s">
        <v>123</v>
      </c>
    </row>
    <row r="212" spans="1:17">
      <c r="A212" t="s">
        <v>273</v>
      </c>
      <c r="B212" t="s">
        <v>390</v>
      </c>
      <c r="C212">
        <v>171</v>
      </c>
      <c r="D212" t="s">
        <v>238</v>
      </c>
      <c r="E212" s="1">
        <v>43154</v>
      </c>
      <c r="F212" t="s">
        <v>122</v>
      </c>
      <c r="G212" t="s">
        <v>610</v>
      </c>
      <c r="H212">
        <v>-7</v>
      </c>
      <c r="I212" t="s">
        <v>22</v>
      </c>
      <c r="J212">
        <v>0</v>
      </c>
      <c r="M212" t="s">
        <v>87</v>
      </c>
      <c r="N212" t="s">
        <v>612</v>
      </c>
      <c r="Q212" t="s">
        <v>123</v>
      </c>
    </row>
    <row r="213" spans="1:17">
      <c r="A213" t="s">
        <v>273</v>
      </c>
      <c r="B213" t="s">
        <v>390</v>
      </c>
      <c r="C213">
        <v>171</v>
      </c>
      <c r="D213" t="s">
        <v>238</v>
      </c>
      <c r="E213" s="1">
        <v>43154</v>
      </c>
      <c r="F213" t="s">
        <v>122</v>
      </c>
      <c r="G213" t="s">
        <v>598</v>
      </c>
      <c r="H213">
        <v>-3</v>
      </c>
      <c r="I213" t="s">
        <v>22</v>
      </c>
      <c r="J213">
        <v>0</v>
      </c>
      <c r="K213">
        <v>0</v>
      </c>
      <c r="L213" t="s">
        <v>117</v>
      </c>
      <c r="M213" t="s">
        <v>88</v>
      </c>
      <c r="N213" t="s">
        <v>603</v>
      </c>
      <c r="O213">
        <v>0</v>
      </c>
      <c r="P213">
        <v>0</v>
      </c>
      <c r="Q213" t="s">
        <v>123</v>
      </c>
    </row>
    <row r="214" spans="1:17">
      <c r="A214" t="s">
        <v>273</v>
      </c>
      <c r="B214" t="s">
        <v>390</v>
      </c>
      <c r="C214">
        <v>171</v>
      </c>
      <c r="D214" t="s">
        <v>238</v>
      </c>
      <c r="E214" s="1">
        <v>43154</v>
      </c>
      <c r="F214" t="s">
        <v>122</v>
      </c>
      <c r="G214" t="s">
        <v>610</v>
      </c>
      <c r="H214">
        <v>-7</v>
      </c>
      <c r="I214" t="s">
        <v>22</v>
      </c>
      <c r="J214">
        <v>0</v>
      </c>
      <c r="K214">
        <v>0</v>
      </c>
      <c r="L214" t="s">
        <v>117</v>
      </c>
      <c r="M214" t="s">
        <v>88</v>
      </c>
      <c r="N214" t="s">
        <v>612</v>
      </c>
      <c r="O214">
        <v>0</v>
      </c>
      <c r="P214">
        <v>0</v>
      </c>
      <c r="Q214" t="s">
        <v>123</v>
      </c>
    </row>
    <row r="215" spans="1:17">
      <c r="A215" t="s">
        <v>274</v>
      </c>
      <c r="B215" t="s">
        <v>393</v>
      </c>
      <c r="C215">
        <v>171</v>
      </c>
      <c r="D215" t="s">
        <v>238</v>
      </c>
      <c r="E215" s="1">
        <v>43101</v>
      </c>
      <c r="F215" t="s">
        <v>902</v>
      </c>
      <c r="G215" t="s">
        <v>990</v>
      </c>
      <c r="H215">
        <v>65</v>
      </c>
      <c r="I215" t="s">
        <v>22</v>
      </c>
      <c r="J215">
        <v>0</v>
      </c>
      <c r="M215" t="s">
        <v>87</v>
      </c>
      <c r="N215" t="s">
        <v>1002</v>
      </c>
    </row>
    <row r="216" spans="1:17">
      <c r="A216" t="s">
        <v>274</v>
      </c>
      <c r="B216" t="s">
        <v>393</v>
      </c>
      <c r="C216">
        <v>171</v>
      </c>
      <c r="D216" t="s">
        <v>238</v>
      </c>
      <c r="E216" s="1">
        <v>43101</v>
      </c>
      <c r="F216" t="s">
        <v>902</v>
      </c>
      <c r="G216" t="s">
        <v>990</v>
      </c>
      <c r="H216">
        <v>65</v>
      </c>
      <c r="I216" t="s">
        <v>22</v>
      </c>
      <c r="J216">
        <v>0</v>
      </c>
      <c r="M216" t="s">
        <v>1547</v>
      </c>
      <c r="N216" t="s">
        <v>1002</v>
      </c>
      <c r="O216">
        <v>0</v>
      </c>
      <c r="P216">
        <v>0</v>
      </c>
      <c r="Q216" t="s">
        <v>119</v>
      </c>
    </row>
    <row r="217" spans="1:17">
      <c r="A217" t="s">
        <v>274</v>
      </c>
      <c r="B217" t="s">
        <v>393</v>
      </c>
      <c r="C217">
        <v>171</v>
      </c>
      <c r="D217" t="s">
        <v>238</v>
      </c>
      <c r="E217" s="1">
        <v>43110</v>
      </c>
      <c r="F217" t="s">
        <v>122</v>
      </c>
      <c r="G217" t="s">
        <v>509</v>
      </c>
      <c r="H217">
        <v>-40</v>
      </c>
      <c r="I217" t="s">
        <v>22</v>
      </c>
      <c r="J217">
        <v>0</v>
      </c>
      <c r="M217" t="s">
        <v>87</v>
      </c>
      <c r="N217" t="s">
        <v>510</v>
      </c>
      <c r="Q217" t="s">
        <v>123</v>
      </c>
    </row>
    <row r="218" spans="1:17">
      <c r="A218" t="s">
        <v>274</v>
      </c>
      <c r="B218" t="s">
        <v>393</v>
      </c>
      <c r="C218">
        <v>171</v>
      </c>
      <c r="D218" t="s">
        <v>238</v>
      </c>
      <c r="E218" s="1">
        <v>43110</v>
      </c>
      <c r="F218" t="s">
        <v>122</v>
      </c>
      <c r="G218" t="s">
        <v>509</v>
      </c>
      <c r="H218">
        <v>-40</v>
      </c>
      <c r="I218" t="s">
        <v>22</v>
      </c>
      <c r="J218">
        <v>0</v>
      </c>
      <c r="K218">
        <v>0</v>
      </c>
      <c r="L218" t="s">
        <v>117</v>
      </c>
      <c r="M218" t="s">
        <v>88</v>
      </c>
      <c r="N218" t="s">
        <v>510</v>
      </c>
      <c r="O218">
        <v>0</v>
      </c>
      <c r="P218">
        <v>0</v>
      </c>
      <c r="Q218" t="s">
        <v>123</v>
      </c>
    </row>
    <row r="219" spans="1:17">
      <c r="A219" t="s">
        <v>274</v>
      </c>
      <c r="B219" t="s">
        <v>393</v>
      </c>
      <c r="C219">
        <v>171</v>
      </c>
      <c r="D219" t="s">
        <v>238</v>
      </c>
      <c r="E219" s="1">
        <v>43157</v>
      </c>
      <c r="F219" t="s">
        <v>655</v>
      </c>
      <c r="G219" t="s">
        <v>782</v>
      </c>
      <c r="H219">
        <v>42</v>
      </c>
      <c r="I219" t="s">
        <v>22</v>
      </c>
      <c r="J219">
        <v>0</v>
      </c>
      <c r="M219" t="s">
        <v>87</v>
      </c>
      <c r="N219" t="s">
        <v>783</v>
      </c>
      <c r="Q219" t="s">
        <v>123</v>
      </c>
    </row>
    <row r="220" spans="1:17">
      <c r="A220" t="s">
        <v>274</v>
      </c>
      <c r="B220" t="s">
        <v>393</v>
      </c>
      <c r="C220">
        <v>171</v>
      </c>
      <c r="D220" t="s">
        <v>238</v>
      </c>
      <c r="E220" s="1">
        <v>43157</v>
      </c>
      <c r="F220" t="s">
        <v>655</v>
      </c>
      <c r="G220" t="s">
        <v>782</v>
      </c>
      <c r="H220">
        <v>42</v>
      </c>
      <c r="I220" t="s">
        <v>22</v>
      </c>
      <c r="J220">
        <v>0</v>
      </c>
      <c r="K220">
        <v>0</v>
      </c>
      <c r="L220" t="s">
        <v>117</v>
      </c>
      <c r="M220" t="s">
        <v>88</v>
      </c>
      <c r="N220" t="s">
        <v>783</v>
      </c>
      <c r="O220">
        <v>0</v>
      </c>
      <c r="P220">
        <v>0</v>
      </c>
      <c r="Q220" t="s">
        <v>123</v>
      </c>
    </row>
    <row r="221" spans="1:17">
      <c r="A221" t="s">
        <v>274</v>
      </c>
      <c r="B221" t="s">
        <v>393</v>
      </c>
      <c r="C221">
        <v>171</v>
      </c>
      <c r="D221" t="s">
        <v>238</v>
      </c>
      <c r="E221" s="1">
        <v>43158</v>
      </c>
      <c r="F221" t="s">
        <v>122</v>
      </c>
      <c r="G221" t="s">
        <v>638</v>
      </c>
      <c r="H221">
        <v>-40</v>
      </c>
      <c r="I221" t="s">
        <v>22</v>
      </c>
      <c r="J221">
        <v>0</v>
      </c>
      <c r="M221" t="s">
        <v>87</v>
      </c>
      <c r="N221" t="s">
        <v>639</v>
      </c>
      <c r="Q221" t="s">
        <v>123</v>
      </c>
    </row>
    <row r="222" spans="1:17">
      <c r="A222" t="s">
        <v>274</v>
      </c>
      <c r="B222" t="s">
        <v>393</v>
      </c>
      <c r="C222">
        <v>171</v>
      </c>
      <c r="D222" t="s">
        <v>238</v>
      </c>
      <c r="E222" s="1">
        <v>43158</v>
      </c>
      <c r="F222" t="s">
        <v>122</v>
      </c>
      <c r="G222" t="s">
        <v>638</v>
      </c>
      <c r="H222">
        <v>-40</v>
      </c>
      <c r="I222" t="s">
        <v>22</v>
      </c>
      <c r="J222">
        <v>0</v>
      </c>
      <c r="K222">
        <v>0</v>
      </c>
      <c r="L222" t="s">
        <v>117</v>
      </c>
      <c r="M222" t="s">
        <v>88</v>
      </c>
      <c r="N222" t="s">
        <v>639</v>
      </c>
      <c r="O222">
        <v>0</v>
      </c>
      <c r="P222">
        <v>0</v>
      </c>
      <c r="Q222" t="s">
        <v>123</v>
      </c>
    </row>
    <row r="223" spans="1:17">
      <c r="A223" t="s">
        <v>275</v>
      </c>
      <c r="B223" t="s">
        <v>396</v>
      </c>
      <c r="C223">
        <v>171</v>
      </c>
      <c r="D223" t="s">
        <v>238</v>
      </c>
      <c r="E223" s="1">
        <v>43101</v>
      </c>
      <c r="F223" t="s">
        <v>902</v>
      </c>
      <c r="G223" t="s">
        <v>990</v>
      </c>
      <c r="H223">
        <v>40</v>
      </c>
      <c r="I223" t="s">
        <v>22</v>
      </c>
      <c r="J223">
        <v>0</v>
      </c>
      <c r="M223" t="s">
        <v>87</v>
      </c>
      <c r="N223" t="s">
        <v>1003</v>
      </c>
    </row>
    <row r="224" spans="1:17">
      <c r="A224" t="s">
        <v>275</v>
      </c>
      <c r="B224" t="s">
        <v>396</v>
      </c>
      <c r="C224">
        <v>171</v>
      </c>
      <c r="D224" t="s">
        <v>238</v>
      </c>
      <c r="E224" s="1">
        <v>43101</v>
      </c>
      <c r="F224" t="s">
        <v>902</v>
      </c>
      <c r="G224" t="s">
        <v>990</v>
      </c>
      <c r="H224">
        <v>40</v>
      </c>
      <c r="I224" t="s">
        <v>22</v>
      </c>
      <c r="J224">
        <v>0</v>
      </c>
      <c r="M224" t="s">
        <v>1547</v>
      </c>
      <c r="N224" t="s">
        <v>1003</v>
      </c>
      <c r="O224">
        <v>0</v>
      </c>
      <c r="P224">
        <v>0</v>
      </c>
      <c r="Q224" t="s">
        <v>119</v>
      </c>
    </row>
    <row r="225" spans="1:17">
      <c r="A225" t="s">
        <v>276</v>
      </c>
      <c r="B225" t="s">
        <v>399</v>
      </c>
      <c r="C225">
        <v>171</v>
      </c>
      <c r="D225" t="s">
        <v>238</v>
      </c>
      <c r="E225" s="1">
        <v>43101</v>
      </c>
      <c r="F225" t="s">
        <v>902</v>
      </c>
      <c r="G225" t="s">
        <v>990</v>
      </c>
      <c r="H225">
        <v>34</v>
      </c>
      <c r="I225" t="s">
        <v>22</v>
      </c>
      <c r="J225">
        <v>0</v>
      </c>
      <c r="M225" t="s">
        <v>87</v>
      </c>
      <c r="N225" t="s">
        <v>1004</v>
      </c>
    </row>
    <row r="226" spans="1:17">
      <c r="A226" t="s">
        <v>276</v>
      </c>
      <c r="B226" t="s">
        <v>399</v>
      </c>
      <c r="C226">
        <v>171</v>
      </c>
      <c r="D226" t="s">
        <v>238</v>
      </c>
      <c r="E226" s="1">
        <v>43101</v>
      </c>
      <c r="F226" t="s">
        <v>902</v>
      </c>
      <c r="G226" t="s">
        <v>990</v>
      </c>
      <c r="H226">
        <v>34</v>
      </c>
      <c r="I226" t="s">
        <v>22</v>
      </c>
      <c r="J226">
        <v>0</v>
      </c>
      <c r="M226" t="s">
        <v>1547</v>
      </c>
      <c r="N226" t="s">
        <v>1004</v>
      </c>
      <c r="O226">
        <v>0</v>
      </c>
      <c r="P226">
        <v>0</v>
      </c>
      <c r="Q226" t="s">
        <v>119</v>
      </c>
    </row>
    <row r="227" spans="1:17">
      <c r="A227" t="s">
        <v>277</v>
      </c>
      <c r="B227" t="s">
        <v>406</v>
      </c>
      <c r="C227">
        <v>171</v>
      </c>
      <c r="D227" t="s">
        <v>238</v>
      </c>
      <c r="E227" s="1">
        <v>43101</v>
      </c>
      <c r="F227" t="s">
        <v>902</v>
      </c>
      <c r="G227" t="s">
        <v>990</v>
      </c>
      <c r="H227">
        <v>30</v>
      </c>
      <c r="I227" t="s">
        <v>22</v>
      </c>
      <c r="J227">
        <v>0</v>
      </c>
      <c r="M227" t="s">
        <v>87</v>
      </c>
      <c r="N227" t="s">
        <v>1005</v>
      </c>
    </row>
    <row r="228" spans="1:17">
      <c r="A228" t="s">
        <v>277</v>
      </c>
      <c r="B228" t="s">
        <v>406</v>
      </c>
      <c r="C228">
        <v>171</v>
      </c>
      <c r="D228" t="s">
        <v>238</v>
      </c>
      <c r="E228" s="1">
        <v>43101</v>
      </c>
      <c r="F228" t="s">
        <v>902</v>
      </c>
      <c r="G228" t="s">
        <v>990</v>
      </c>
      <c r="H228">
        <v>30</v>
      </c>
      <c r="I228" t="s">
        <v>22</v>
      </c>
      <c r="J228">
        <v>0</v>
      </c>
      <c r="M228" t="s">
        <v>1547</v>
      </c>
      <c r="N228" t="s">
        <v>1005</v>
      </c>
      <c r="O228">
        <v>0</v>
      </c>
      <c r="P228">
        <v>0</v>
      </c>
      <c r="Q228" t="s">
        <v>119</v>
      </c>
    </row>
    <row r="229" spans="1:17">
      <c r="A229" t="s">
        <v>277</v>
      </c>
      <c r="B229" t="s">
        <v>406</v>
      </c>
      <c r="C229">
        <v>171</v>
      </c>
      <c r="D229" t="s">
        <v>238</v>
      </c>
      <c r="E229" s="1">
        <v>43109</v>
      </c>
      <c r="F229" t="s">
        <v>122</v>
      </c>
      <c r="G229" t="s">
        <v>497</v>
      </c>
      <c r="H229">
        <v>-1</v>
      </c>
      <c r="I229" t="s">
        <v>22</v>
      </c>
      <c r="J229">
        <v>0</v>
      </c>
      <c r="M229" t="s">
        <v>87</v>
      </c>
      <c r="N229" t="s">
        <v>499</v>
      </c>
      <c r="Q229" t="s">
        <v>123</v>
      </c>
    </row>
    <row r="230" spans="1:17">
      <c r="A230" t="s">
        <v>277</v>
      </c>
      <c r="B230" t="s">
        <v>406</v>
      </c>
      <c r="C230">
        <v>171</v>
      </c>
      <c r="D230" t="s">
        <v>238</v>
      </c>
      <c r="E230" s="1">
        <v>43109</v>
      </c>
      <c r="F230" t="s">
        <v>122</v>
      </c>
      <c r="G230" t="s">
        <v>497</v>
      </c>
      <c r="H230">
        <v>-1</v>
      </c>
      <c r="I230" t="s">
        <v>22</v>
      </c>
      <c r="J230">
        <v>0</v>
      </c>
      <c r="K230">
        <v>0</v>
      </c>
      <c r="L230" t="s">
        <v>117</v>
      </c>
      <c r="M230" t="s">
        <v>88</v>
      </c>
      <c r="N230" t="s">
        <v>499</v>
      </c>
      <c r="O230">
        <v>0</v>
      </c>
      <c r="P230">
        <v>0</v>
      </c>
      <c r="Q230" t="s">
        <v>123</v>
      </c>
    </row>
    <row r="231" spans="1:17">
      <c r="A231" t="s">
        <v>277</v>
      </c>
      <c r="B231" t="s">
        <v>406</v>
      </c>
      <c r="C231">
        <v>171</v>
      </c>
      <c r="D231" t="s">
        <v>238</v>
      </c>
      <c r="E231" s="1">
        <v>43154</v>
      </c>
      <c r="F231" t="s">
        <v>122</v>
      </c>
      <c r="G231" t="s">
        <v>598</v>
      </c>
      <c r="H231">
        <v>-3</v>
      </c>
      <c r="I231" t="s">
        <v>22</v>
      </c>
      <c r="J231">
        <v>0</v>
      </c>
      <c r="M231" t="s">
        <v>87</v>
      </c>
      <c r="N231" t="s">
        <v>604</v>
      </c>
      <c r="Q231" t="s">
        <v>123</v>
      </c>
    </row>
    <row r="232" spans="1:17">
      <c r="A232" t="s">
        <v>277</v>
      </c>
      <c r="B232" t="s">
        <v>406</v>
      </c>
      <c r="C232">
        <v>171</v>
      </c>
      <c r="D232" t="s">
        <v>238</v>
      </c>
      <c r="E232" s="1">
        <v>43154</v>
      </c>
      <c r="F232" t="s">
        <v>122</v>
      </c>
      <c r="G232" t="s">
        <v>598</v>
      </c>
      <c r="H232">
        <v>-3</v>
      </c>
      <c r="I232" t="s">
        <v>22</v>
      </c>
      <c r="J232">
        <v>0</v>
      </c>
      <c r="K232">
        <v>0</v>
      </c>
      <c r="L232" t="s">
        <v>117</v>
      </c>
      <c r="M232" t="s">
        <v>88</v>
      </c>
      <c r="N232" t="s">
        <v>604</v>
      </c>
      <c r="O232">
        <v>0</v>
      </c>
      <c r="P232">
        <v>0</v>
      </c>
      <c r="Q232" t="s">
        <v>123</v>
      </c>
    </row>
    <row r="233" spans="1:17">
      <c r="A233" t="s">
        <v>278</v>
      </c>
      <c r="B233" t="s">
        <v>409</v>
      </c>
      <c r="C233">
        <v>171</v>
      </c>
      <c r="D233" t="s">
        <v>238</v>
      </c>
      <c r="E233" s="1">
        <v>43101</v>
      </c>
      <c r="F233" t="s">
        <v>902</v>
      </c>
      <c r="G233" t="s">
        <v>990</v>
      </c>
      <c r="H233">
        <v>25</v>
      </c>
      <c r="I233" t="s">
        <v>22</v>
      </c>
      <c r="J233">
        <v>0</v>
      </c>
      <c r="M233" t="s">
        <v>87</v>
      </c>
      <c r="N233" t="s">
        <v>1006</v>
      </c>
    </row>
    <row r="234" spans="1:17">
      <c r="A234" t="s">
        <v>278</v>
      </c>
      <c r="B234" t="s">
        <v>409</v>
      </c>
      <c r="C234">
        <v>171</v>
      </c>
      <c r="D234" t="s">
        <v>238</v>
      </c>
      <c r="E234" s="1">
        <v>43101</v>
      </c>
      <c r="F234" t="s">
        <v>902</v>
      </c>
      <c r="G234" t="s">
        <v>990</v>
      </c>
      <c r="H234">
        <v>25</v>
      </c>
      <c r="I234" t="s">
        <v>22</v>
      </c>
      <c r="J234">
        <v>0</v>
      </c>
      <c r="M234" t="s">
        <v>1547</v>
      </c>
      <c r="N234" t="s">
        <v>1006</v>
      </c>
      <c r="O234">
        <v>0</v>
      </c>
      <c r="P234">
        <v>0</v>
      </c>
      <c r="Q234" t="s">
        <v>119</v>
      </c>
    </row>
    <row r="235" spans="1:17">
      <c r="A235" t="s">
        <v>278</v>
      </c>
      <c r="B235" t="s">
        <v>409</v>
      </c>
      <c r="C235">
        <v>171</v>
      </c>
      <c r="D235" t="s">
        <v>238</v>
      </c>
      <c r="E235" s="1">
        <v>43132</v>
      </c>
      <c r="F235" t="s">
        <v>224</v>
      </c>
      <c r="G235" t="s">
        <v>874</v>
      </c>
      <c r="H235">
        <v>1</v>
      </c>
      <c r="I235" t="s">
        <v>22</v>
      </c>
      <c r="J235">
        <v>0</v>
      </c>
      <c r="M235" t="s">
        <v>87</v>
      </c>
      <c r="N235" t="s">
        <v>877</v>
      </c>
    </row>
    <row r="236" spans="1:17">
      <c r="A236" t="s">
        <v>278</v>
      </c>
      <c r="B236" t="s">
        <v>409</v>
      </c>
      <c r="C236">
        <v>171</v>
      </c>
      <c r="D236" t="s">
        <v>238</v>
      </c>
      <c r="E236" s="1">
        <v>43132</v>
      </c>
      <c r="F236" t="s">
        <v>224</v>
      </c>
      <c r="G236" t="s">
        <v>874</v>
      </c>
      <c r="H236">
        <v>1</v>
      </c>
      <c r="I236" t="s">
        <v>22</v>
      </c>
      <c r="J236">
        <v>0</v>
      </c>
      <c r="M236" t="s">
        <v>1547</v>
      </c>
      <c r="N236" t="s">
        <v>877</v>
      </c>
      <c r="O236">
        <v>0</v>
      </c>
      <c r="P236">
        <v>0</v>
      </c>
      <c r="Q236" t="s">
        <v>119</v>
      </c>
    </row>
    <row r="237" spans="1:17">
      <c r="A237" t="s">
        <v>278</v>
      </c>
      <c r="B237" t="s">
        <v>409</v>
      </c>
      <c r="C237">
        <v>171</v>
      </c>
      <c r="D237" t="s">
        <v>238</v>
      </c>
      <c r="E237" s="1">
        <v>43132</v>
      </c>
      <c r="F237" t="s">
        <v>224</v>
      </c>
      <c r="G237" t="s">
        <v>894</v>
      </c>
      <c r="H237">
        <v>-1</v>
      </c>
      <c r="I237" t="s">
        <v>22</v>
      </c>
      <c r="J237">
        <v>0</v>
      </c>
      <c r="M237" t="s">
        <v>87</v>
      </c>
      <c r="N237" t="s">
        <v>897</v>
      </c>
    </row>
    <row r="238" spans="1:17">
      <c r="A238" t="s">
        <v>278</v>
      </c>
      <c r="B238" t="s">
        <v>409</v>
      </c>
      <c r="C238">
        <v>171</v>
      </c>
      <c r="D238" t="s">
        <v>238</v>
      </c>
      <c r="E238" s="1">
        <v>43132</v>
      </c>
      <c r="F238" t="s">
        <v>224</v>
      </c>
      <c r="G238" t="s">
        <v>894</v>
      </c>
      <c r="H238">
        <v>-1</v>
      </c>
      <c r="I238" t="s">
        <v>22</v>
      </c>
      <c r="J238">
        <v>0</v>
      </c>
      <c r="K238">
        <v>0</v>
      </c>
      <c r="M238" t="s">
        <v>1547</v>
      </c>
      <c r="N238" t="s">
        <v>897</v>
      </c>
      <c r="O238">
        <v>0</v>
      </c>
      <c r="P238">
        <v>0</v>
      </c>
      <c r="Q238" t="s">
        <v>119</v>
      </c>
    </row>
    <row r="239" spans="1:17">
      <c r="A239" t="s">
        <v>278</v>
      </c>
      <c r="B239" t="s">
        <v>409</v>
      </c>
      <c r="C239">
        <v>171</v>
      </c>
      <c r="D239" t="s">
        <v>238</v>
      </c>
      <c r="E239" s="1">
        <v>43132</v>
      </c>
      <c r="F239" t="s">
        <v>224</v>
      </c>
      <c r="G239" t="s">
        <v>898</v>
      </c>
      <c r="H239">
        <v>-1</v>
      </c>
      <c r="I239" t="s">
        <v>22</v>
      </c>
      <c r="J239">
        <v>0</v>
      </c>
      <c r="M239" t="s">
        <v>87</v>
      </c>
      <c r="N239" t="s">
        <v>901</v>
      </c>
    </row>
    <row r="240" spans="1:17">
      <c r="A240" t="s">
        <v>278</v>
      </c>
      <c r="B240" t="s">
        <v>409</v>
      </c>
      <c r="C240">
        <v>171</v>
      </c>
      <c r="D240" t="s">
        <v>238</v>
      </c>
      <c r="E240" s="1">
        <v>43132</v>
      </c>
      <c r="F240" t="s">
        <v>224</v>
      </c>
      <c r="G240" t="s">
        <v>898</v>
      </c>
      <c r="H240">
        <v>-1</v>
      </c>
      <c r="I240" t="s">
        <v>22</v>
      </c>
      <c r="J240">
        <v>0</v>
      </c>
      <c r="K240">
        <v>0</v>
      </c>
      <c r="M240" t="s">
        <v>1547</v>
      </c>
      <c r="N240" t="s">
        <v>901</v>
      </c>
      <c r="O240">
        <v>0</v>
      </c>
      <c r="P240">
        <v>0</v>
      </c>
      <c r="Q240" t="s">
        <v>119</v>
      </c>
    </row>
    <row r="241" spans="1:17">
      <c r="A241" t="s">
        <v>1044</v>
      </c>
      <c r="B241" t="s">
        <v>1045</v>
      </c>
      <c r="C241">
        <v>171</v>
      </c>
      <c r="D241" t="s">
        <v>238</v>
      </c>
      <c r="E241" s="1">
        <v>43101</v>
      </c>
      <c r="F241" t="s">
        <v>902</v>
      </c>
      <c r="G241" t="s">
        <v>1013</v>
      </c>
      <c r="H241">
        <v>2895</v>
      </c>
      <c r="I241" t="s">
        <v>22</v>
      </c>
      <c r="J241">
        <v>0</v>
      </c>
      <c r="M241" t="s">
        <v>87</v>
      </c>
      <c r="N241" t="s">
        <v>1046</v>
      </c>
    </row>
    <row r="242" spans="1:17">
      <c r="A242" t="s">
        <v>1044</v>
      </c>
      <c r="B242" t="s">
        <v>1045</v>
      </c>
      <c r="C242">
        <v>171</v>
      </c>
      <c r="D242" t="s">
        <v>238</v>
      </c>
      <c r="E242" s="1">
        <v>43101</v>
      </c>
      <c r="F242" t="s">
        <v>902</v>
      </c>
      <c r="G242" t="s">
        <v>1013</v>
      </c>
      <c r="H242">
        <v>2895</v>
      </c>
      <c r="I242" t="s">
        <v>22</v>
      </c>
      <c r="J242">
        <v>0</v>
      </c>
      <c r="M242" t="s">
        <v>1547</v>
      </c>
      <c r="N242" t="s">
        <v>1046</v>
      </c>
      <c r="O242">
        <v>0</v>
      </c>
      <c r="P242">
        <v>0</v>
      </c>
      <c r="Q242" t="s">
        <v>119</v>
      </c>
    </row>
    <row r="243" spans="1:17">
      <c r="A243" t="s">
        <v>1044</v>
      </c>
      <c r="B243" t="s">
        <v>1045</v>
      </c>
      <c r="C243">
        <v>171</v>
      </c>
      <c r="D243" t="s">
        <v>238</v>
      </c>
      <c r="E243" s="1">
        <v>43159</v>
      </c>
      <c r="F243" t="s">
        <v>1121</v>
      </c>
      <c r="G243" t="s">
        <v>796</v>
      </c>
      <c r="H243">
        <v>-204</v>
      </c>
      <c r="I243" t="s">
        <v>22</v>
      </c>
      <c r="J243">
        <v>0</v>
      </c>
      <c r="M243" t="s">
        <v>87</v>
      </c>
      <c r="N243" t="s">
        <v>1396</v>
      </c>
      <c r="Q243" t="s">
        <v>123</v>
      </c>
    </row>
    <row r="244" spans="1:17">
      <c r="A244" t="s">
        <v>1044</v>
      </c>
      <c r="B244" t="s">
        <v>1045</v>
      </c>
      <c r="C244">
        <v>171</v>
      </c>
      <c r="D244" t="s">
        <v>238</v>
      </c>
      <c r="E244" s="1">
        <v>43159</v>
      </c>
      <c r="F244" t="s">
        <v>1121</v>
      </c>
      <c r="G244" t="s">
        <v>796</v>
      </c>
      <c r="H244">
        <v>-204</v>
      </c>
      <c r="I244" t="s">
        <v>22</v>
      </c>
      <c r="J244">
        <v>0</v>
      </c>
      <c r="K244">
        <v>0</v>
      </c>
      <c r="L244" t="s">
        <v>117</v>
      </c>
      <c r="M244" t="s">
        <v>88</v>
      </c>
      <c r="N244" t="s">
        <v>1396</v>
      </c>
      <c r="O244">
        <v>0</v>
      </c>
      <c r="P244">
        <v>0</v>
      </c>
      <c r="Q244" t="s">
        <v>123</v>
      </c>
    </row>
    <row r="245" spans="1:17">
      <c r="A245" t="s">
        <v>1047</v>
      </c>
      <c r="B245" t="s">
        <v>1048</v>
      </c>
      <c r="C245">
        <v>171</v>
      </c>
      <c r="D245" t="s">
        <v>238</v>
      </c>
      <c r="E245" s="1">
        <v>43101</v>
      </c>
      <c r="F245" t="s">
        <v>902</v>
      </c>
      <c r="G245" t="s">
        <v>1013</v>
      </c>
      <c r="H245">
        <v>2835</v>
      </c>
      <c r="I245" t="s">
        <v>22</v>
      </c>
      <c r="J245">
        <v>0</v>
      </c>
      <c r="M245" t="s">
        <v>87</v>
      </c>
      <c r="N245" t="s">
        <v>1049</v>
      </c>
    </row>
    <row r="246" spans="1:17">
      <c r="A246" t="s">
        <v>1047</v>
      </c>
      <c r="B246" t="s">
        <v>1048</v>
      </c>
      <c r="C246">
        <v>171</v>
      </c>
      <c r="D246" t="s">
        <v>238</v>
      </c>
      <c r="E246" s="1">
        <v>43101</v>
      </c>
      <c r="F246" t="s">
        <v>902</v>
      </c>
      <c r="G246" t="s">
        <v>1013</v>
      </c>
      <c r="H246">
        <v>2835</v>
      </c>
      <c r="I246" t="s">
        <v>22</v>
      </c>
      <c r="J246">
        <v>0</v>
      </c>
      <c r="M246" t="s">
        <v>1547</v>
      </c>
      <c r="N246" t="s">
        <v>1049</v>
      </c>
      <c r="O246">
        <v>0</v>
      </c>
      <c r="P246">
        <v>0</v>
      </c>
      <c r="Q246" t="s">
        <v>119</v>
      </c>
    </row>
    <row r="247" spans="1:17">
      <c r="A247" t="s">
        <v>1047</v>
      </c>
      <c r="B247" t="s">
        <v>1048</v>
      </c>
      <c r="C247">
        <v>171</v>
      </c>
      <c r="D247" t="s">
        <v>238</v>
      </c>
      <c r="E247" s="1">
        <v>43157</v>
      </c>
      <c r="F247" t="s">
        <v>1121</v>
      </c>
      <c r="G247" t="s">
        <v>782</v>
      </c>
      <c r="H247">
        <v>-42</v>
      </c>
      <c r="I247" t="s">
        <v>22</v>
      </c>
      <c r="J247">
        <v>0</v>
      </c>
      <c r="M247" t="s">
        <v>87</v>
      </c>
      <c r="N247" t="s">
        <v>1371</v>
      </c>
      <c r="Q247" t="s">
        <v>123</v>
      </c>
    </row>
    <row r="248" spans="1:17">
      <c r="A248" t="s">
        <v>1047</v>
      </c>
      <c r="B248" t="s">
        <v>1048</v>
      </c>
      <c r="C248">
        <v>171</v>
      </c>
      <c r="D248" t="s">
        <v>238</v>
      </c>
      <c r="E248" s="1">
        <v>43157</v>
      </c>
      <c r="F248" t="s">
        <v>1121</v>
      </c>
      <c r="G248" t="s">
        <v>782</v>
      </c>
      <c r="H248">
        <v>-42</v>
      </c>
      <c r="I248" t="s">
        <v>22</v>
      </c>
      <c r="J248">
        <v>0</v>
      </c>
      <c r="K248">
        <v>0</v>
      </c>
      <c r="L248" t="s">
        <v>117</v>
      </c>
      <c r="M248" t="s">
        <v>88</v>
      </c>
      <c r="N248" t="s">
        <v>1371</v>
      </c>
      <c r="O248">
        <v>0</v>
      </c>
      <c r="P248">
        <v>0</v>
      </c>
      <c r="Q248" t="s">
        <v>123</v>
      </c>
    </row>
    <row r="249" spans="1:17">
      <c r="A249" t="s">
        <v>850</v>
      </c>
      <c r="B249" t="s">
        <v>851</v>
      </c>
      <c r="C249">
        <v>171</v>
      </c>
      <c r="D249" t="s">
        <v>238</v>
      </c>
      <c r="E249" s="1">
        <v>43101</v>
      </c>
      <c r="F249" t="s">
        <v>902</v>
      </c>
      <c r="G249" t="s">
        <v>1013</v>
      </c>
      <c r="H249">
        <v>3060</v>
      </c>
      <c r="I249" t="s">
        <v>22</v>
      </c>
      <c r="J249">
        <v>0</v>
      </c>
      <c r="M249" t="s">
        <v>87</v>
      </c>
      <c r="N249" t="s">
        <v>1050</v>
      </c>
    </row>
    <row r="250" spans="1:17">
      <c r="A250" t="s">
        <v>850</v>
      </c>
      <c r="B250" t="s">
        <v>851</v>
      </c>
      <c r="C250">
        <v>171</v>
      </c>
      <c r="D250" t="s">
        <v>238</v>
      </c>
      <c r="E250" s="1">
        <v>43101</v>
      </c>
      <c r="F250" t="s">
        <v>902</v>
      </c>
      <c r="G250" t="s">
        <v>1013</v>
      </c>
      <c r="H250">
        <v>3060</v>
      </c>
      <c r="I250" t="s">
        <v>22</v>
      </c>
      <c r="J250">
        <v>0</v>
      </c>
      <c r="M250" t="s">
        <v>1547</v>
      </c>
      <c r="N250" t="s">
        <v>1050</v>
      </c>
      <c r="O250">
        <v>0</v>
      </c>
      <c r="P250">
        <v>0</v>
      </c>
      <c r="Q250" t="s">
        <v>119</v>
      </c>
    </row>
    <row r="251" spans="1:17">
      <c r="A251" t="s">
        <v>850</v>
      </c>
      <c r="B251" t="s">
        <v>851</v>
      </c>
      <c r="C251">
        <v>171</v>
      </c>
      <c r="D251" t="s">
        <v>238</v>
      </c>
      <c r="E251" s="1">
        <v>43108</v>
      </c>
      <c r="F251" t="s">
        <v>1121</v>
      </c>
      <c r="G251" t="s">
        <v>720</v>
      </c>
      <c r="H251">
        <v>-274</v>
      </c>
      <c r="I251" t="s">
        <v>22</v>
      </c>
      <c r="J251">
        <v>0</v>
      </c>
      <c r="M251" t="s">
        <v>87</v>
      </c>
      <c r="N251" t="s">
        <v>1255</v>
      </c>
      <c r="Q251" t="s">
        <v>123</v>
      </c>
    </row>
    <row r="252" spans="1:17">
      <c r="A252" t="s">
        <v>850</v>
      </c>
      <c r="B252" t="s">
        <v>851</v>
      </c>
      <c r="C252">
        <v>171</v>
      </c>
      <c r="D252" t="s">
        <v>238</v>
      </c>
      <c r="E252" s="1">
        <v>43108</v>
      </c>
      <c r="F252" t="s">
        <v>1121</v>
      </c>
      <c r="G252" t="s">
        <v>720</v>
      </c>
      <c r="H252">
        <v>-274</v>
      </c>
      <c r="I252" t="s">
        <v>22</v>
      </c>
      <c r="J252">
        <v>0</v>
      </c>
      <c r="K252">
        <v>0</v>
      </c>
      <c r="L252" t="s">
        <v>117</v>
      </c>
      <c r="M252" t="s">
        <v>88</v>
      </c>
      <c r="N252" t="s">
        <v>1255</v>
      </c>
      <c r="O252">
        <v>0</v>
      </c>
      <c r="P252">
        <v>0</v>
      </c>
      <c r="Q252" t="s">
        <v>123</v>
      </c>
    </row>
    <row r="253" spans="1:17">
      <c r="A253" t="s">
        <v>850</v>
      </c>
      <c r="B253" t="s">
        <v>851</v>
      </c>
      <c r="C253">
        <v>171</v>
      </c>
      <c r="D253" t="s">
        <v>238</v>
      </c>
      <c r="E253" s="1">
        <v>43157</v>
      </c>
      <c r="F253" t="s">
        <v>15</v>
      </c>
      <c r="G253" t="s">
        <v>849</v>
      </c>
      <c r="H253">
        <v>10532</v>
      </c>
      <c r="I253" t="s">
        <v>22</v>
      </c>
      <c r="J253">
        <v>0</v>
      </c>
      <c r="K253">
        <v>0</v>
      </c>
      <c r="M253" t="s">
        <v>87</v>
      </c>
      <c r="N253" t="s">
        <v>852</v>
      </c>
      <c r="Q253" t="s">
        <v>123</v>
      </c>
    </row>
    <row r="254" spans="1:17">
      <c r="A254" t="s">
        <v>850</v>
      </c>
      <c r="B254" t="s">
        <v>851</v>
      </c>
      <c r="C254">
        <v>171</v>
      </c>
      <c r="D254" t="s">
        <v>238</v>
      </c>
      <c r="E254" s="1">
        <v>43157</v>
      </c>
      <c r="F254" t="s">
        <v>15</v>
      </c>
      <c r="G254" t="s">
        <v>859</v>
      </c>
      <c r="H254">
        <v>-10532</v>
      </c>
      <c r="I254" t="s">
        <v>22</v>
      </c>
      <c r="J254">
        <v>0</v>
      </c>
      <c r="K254">
        <v>0</v>
      </c>
      <c r="M254" t="s">
        <v>87</v>
      </c>
      <c r="N254" t="s">
        <v>860</v>
      </c>
      <c r="Q254" t="s">
        <v>123</v>
      </c>
    </row>
    <row r="255" spans="1:17">
      <c r="A255" t="s">
        <v>850</v>
      </c>
      <c r="B255" t="s">
        <v>851</v>
      </c>
      <c r="C255">
        <v>171</v>
      </c>
      <c r="D255" t="s">
        <v>238</v>
      </c>
      <c r="E255" s="1">
        <v>43157</v>
      </c>
      <c r="F255" t="s">
        <v>15</v>
      </c>
      <c r="G255" t="s">
        <v>863</v>
      </c>
      <c r="H255">
        <v>10532</v>
      </c>
      <c r="I255" t="s">
        <v>22</v>
      </c>
      <c r="J255">
        <v>0</v>
      </c>
      <c r="K255">
        <v>0</v>
      </c>
      <c r="M255" t="s">
        <v>87</v>
      </c>
      <c r="N255" t="s">
        <v>864</v>
      </c>
      <c r="Q255" t="s">
        <v>123</v>
      </c>
    </row>
    <row r="256" spans="1:17">
      <c r="A256" t="s">
        <v>850</v>
      </c>
      <c r="B256" t="s">
        <v>851</v>
      </c>
      <c r="C256">
        <v>171</v>
      </c>
      <c r="D256" t="s">
        <v>238</v>
      </c>
      <c r="E256" s="1">
        <v>43157</v>
      </c>
      <c r="F256" t="s">
        <v>15</v>
      </c>
      <c r="G256" t="s">
        <v>859</v>
      </c>
      <c r="H256">
        <v>-10532</v>
      </c>
      <c r="I256" t="s">
        <v>22</v>
      </c>
      <c r="J256">
        <v>0</v>
      </c>
      <c r="K256">
        <v>0</v>
      </c>
      <c r="L256" t="s">
        <v>117</v>
      </c>
      <c r="M256" t="s">
        <v>88</v>
      </c>
      <c r="N256" t="s">
        <v>860</v>
      </c>
      <c r="O256">
        <v>0</v>
      </c>
      <c r="P256">
        <v>0</v>
      </c>
      <c r="Q256" t="s">
        <v>123</v>
      </c>
    </row>
    <row r="257" spans="1:17">
      <c r="A257" t="s">
        <v>850</v>
      </c>
      <c r="B257" t="s">
        <v>851</v>
      </c>
      <c r="C257">
        <v>171</v>
      </c>
      <c r="D257" t="s">
        <v>238</v>
      </c>
      <c r="E257" s="1">
        <v>43157</v>
      </c>
      <c r="F257" t="s">
        <v>15</v>
      </c>
      <c r="G257" t="s">
        <v>849</v>
      </c>
      <c r="H257">
        <v>10532</v>
      </c>
      <c r="I257" t="s">
        <v>22</v>
      </c>
      <c r="J257">
        <v>0</v>
      </c>
      <c r="K257">
        <v>0</v>
      </c>
      <c r="L257" t="s">
        <v>117</v>
      </c>
      <c r="M257" t="s">
        <v>88</v>
      </c>
      <c r="N257" t="s">
        <v>852</v>
      </c>
      <c r="O257">
        <v>0</v>
      </c>
      <c r="P257">
        <v>0</v>
      </c>
      <c r="Q257" t="s">
        <v>123</v>
      </c>
    </row>
    <row r="258" spans="1:17">
      <c r="A258" t="s">
        <v>850</v>
      </c>
      <c r="B258" t="s">
        <v>851</v>
      </c>
      <c r="C258">
        <v>171</v>
      </c>
      <c r="D258" t="s">
        <v>238</v>
      </c>
      <c r="E258" s="1">
        <v>43157</v>
      </c>
      <c r="F258" t="s">
        <v>15</v>
      </c>
      <c r="G258" t="s">
        <v>863</v>
      </c>
      <c r="H258">
        <v>10532</v>
      </c>
      <c r="I258" t="s">
        <v>22</v>
      </c>
      <c r="J258">
        <v>0</v>
      </c>
      <c r="K258">
        <v>0</v>
      </c>
      <c r="L258" t="s">
        <v>117</v>
      </c>
      <c r="M258" t="s">
        <v>88</v>
      </c>
      <c r="N258" t="s">
        <v>864</v>
      </c>
      <c r="O258">
        <v>0</v>
      </c>
      <c r="P258">
        <v>0</v>
      </c>
      <c r="Q258" t="s">
        <v>123</v>
      </c>
    </row>
    <row r="259" spans="1:17">
      <c r="A259" t="s">
        <v>1051</v>
      </c>
      <c r="B259" t="s">
        <v>1052</v>
      </c>
      <c r="C259">
        <v>171</v>
      </c>
      <c r="D259" t="s">
        <v>238</v>
      </c>
      <c r="E259" s="1">
        <v>43101</v>
      </c>
      <c r="F259" t="s">
        <v>902</v>
      </c>
      <c r="G259" t="s">
        <v>1013</v>
      </c>
      <c r="H259">
        <v>4420</v>
      </c>
      <c r="I259" t="s">
        <v>22</v>
      </c>
      <c r="J259">
        <v>0</v>
      </c>
      <c r="M259" t="s">
        <v>87</v>
      </c>
      <c r="N259" t="s">
        <v>1053</v>
      </c>
    </row>
    <row r="260" spans="1:17">
      <c r="A260" t="s">
        <v>1051</v>
      </c>
      <c r="B260" t="s">
        <v>1052</v>
      </c>
      <c r="C260">
        <v>171</v>
      </c>
      <c r="D260" t="s">
        <v>238</v>
      </c>
      <c r="E260" s="1">
        <v>43101</v>
      </c>
      <c r="F260" t="s">
        <v>902</v>
      </c>
      <c r="G260" t="s">
        <v>1013</v>
      </c>
      <c r="H260">
        <v>4420</v>
      </c>
      <c r="I260" t="s">
        <v>22</v>
      </c>
      <c r="J260">
        <v>0</v>
      </c>
      <c r="M260" t="s">
        <v>1547</v>
      </c>
      <c r="N260" t="s">
        <v>1053</v>
      </c>
      <c r="O260">
        <v>0</v>
      </c>
      <c r="P260">
        <v>0</v>
      </c>
      <c r="Q260" t="s">
        <v>119</v>
      </c>
    </row>
    <row r="261" spans="1:17">
      <c r="A261" t="s">
        <v>1054</v>
      </c>
      <c r="B261" t="s">
        <v>1055</v>
      </c>
      <c r="C261">
        <v>171</v>
      </c>
      <c r="D261" t="s">
        <v>238</v>
      </c>
      <c r="E261" s="1">
        <v>43101</v>
      </c>
      <c r="F261" t="s">
        <v>902</v>
      </c>
      <c r="G261" t="s">
        <v>1013</v>
      </c>
      <c r="H261">
        <v>2340</v>
      </c>
      <c r="I261" t="s">
        <v>22</v>
      </c>
      <c r="J261">
        <v>0</v>
      </c>
      <c r="M261" t="s">
        <v>87</v>
      </c>
      <c r="N261" t="s">
        <v>1056</v>
      </c>
    </row>
    <row r="262" spans="1:17">
      <c r="A262" t="s">
        <v>1054</v>
      </c>
      <c r="B262" t="s">
        <v>1055</v>
      </c>
      <c r="C262">
        <v>171</v>
      </c>
      <c r="D262" t="s">
        <v>238</v>
      </c>
      <c r="E262" s="1">
        <v>43101</v>
      </c>
      <c r="F262" t="s">
        <v>902</v>
      </c>
      <c r="G262" t="s">
        <v>1013</v>
      </c>
      <c r="H262">
        <v>2340</v>
      </c>
      <c r="I262" t="s">
        <v>22</v>
      </c>
      <c r="J262">
        <v>0</v>
      </c>
      <c r="M262" t="s">
        <v>1547</v>
      </c>
      <c r="N262" t="s">
        <v>1056</v>
      </c>
      <c r="O262">
        <v>0</v>
      </c>
      <c r="P262">
        <v>0</v>
      </c>
      <c r="Q262" t="s">
        <v>119</v>
      </c>
    </row>
    <row r="263" spans="1:17">
      <c r="A263" t="s">
        <v>871</v>
      </c>
      <c r="B263" t="s">
        <v>872</v>
      </c>
      <c r="C263">
        <v>171</v>
      </c>
      <c r="D263" t="s">
        <v>238</v>
      </c>
      <c r="E263" s="1">
        <v>43101</v>
      </c>
      <c r="F263" t="s">
        <v>902</v>
      </c>
      <c r="G263" t="s">
        <v>1013</v>
      </c>
      <c r="H263">
        <v>6500</v>
      </c>
      <c r="I263" t="s">
        <v>22</v>
      </c>
      <c r="J263">
        <v>0</v>
      </c>
      <c r="M263" t="s">
        <v>87</v>
      </c>
      <c r="N263" t="s">
        <v>1057</v>
      </c>
    </row>
    <row r="264" spans="1:17">
      <c r="A264" t="s">
        <v>871</v>
      </c>
      <c r="B264" t="s">
        <v>872</v>
      </c>
      <c r="C264">
        <v>171</v>
      </c>
      <c r="D264" t="s">
        <v>238</v>
      </c>
      <c r="E264" s="1">
        <v>43101</v>
      </c>
      <c r="F264" t="s">
        <v>902</v>
      </c>
      <c r="G264" t="s">
        <v>1013</v>
      </c>
      <c r="H264">
        <v>6500</v>
      </c>
      <c r="I264" t="s">
        <v>22</v>
      </c>
      <c r="J264">
        <v>0</v>
      </c>
      <c r="M264" t="s">
        <v>1547</v>
      </c>
      <c r="N264" t="s">
        <v>1057</v>
      </c>
      <c r="O264">
        <v>0</v>
      </c>
      <c r="P264">
        <v>0</v>
      </c>
      <c r="Q264" t="s">
        <v>119</v>
      </c>
    </row>
    <row r="265" spans="1:17">
      <c r="A265" t="s">
        <v>871</v>
      </c>
      <c r="B265" t="s">
        <v>872</v>
      </c>
      <c r="C265">
        <v>171</v>
      </c>
      <c r="D265" t="s">
        <v>238</v>
      </c>
      <c r="E265" s="1">
        <v>43108</v>
      </c>
      <c r="F265" t="s">
        <v>1121</v>
      </c>
      <c r="G265" t="s">
        <v>692</v>
      </c>
      <c r="H265">
        <v>-164</v>
      </c>
      <c r="I265" t="s">
        <v>22</v>
      </c>
      <c r="J265">
        <v>0</v>
      </c>
      <c r="M265" t="s">
        <v>87</v>
      </c>
      <c r="N265" t="s">
        <v>1200</v>
      </c>
      <c r="Q265" t="s">
        <v>123</v>
      </c>
    </row>
    <row r="266" spans="1:17">
      <c r="A266" t="s">
        <v>871</v>
      </c>
      <c r="B266" t="s">
        <v>872</v>
      </c>
      <c r="C266">
        <v>171</v>
      </c>
      <c r="D266" t="s">
        <v>238</v>
      </c>
      <c r="E266" s="1">
        <v>43108</v>
      </c>
      <c r="F266" t="s">
        <v>1121</v>
      </c>
      <c r="G266" t="s">
        <v>692</v>
      </c>
      <c r="H266">
        <v>-164</v>
      </c>
      <c r="I266" t="s">
        <v>22</v>
      </c>
      <c r="J266">
        <v>0</v>
      </c>
      <c r="K266">
        <v>0</v>
      </c>
      <c r="L266" t="s">
        <v>117</v>
      </c>
      <c r="M266" t="s">
        <v>88</v>
      </c>
      <c r="N266" t="s">
        <v>1200</v>
      </c>
      <c r="O266">
        <v>0</v>
      </c>
      <c r="P266">
        <v>0</v>
      </c>
      <c r="Q266" t="s">
        <v>123</v>
      </c>
    </row>
    <row r="267" spans="1:17">
      <c r="A267" t="s">
        <v>871</v>
      </c>
      <c r="B267" t="s">
        <v>872</v>
      </c>
      <c r="C267">
        <v>171</v>
      </c>
      <c r="D267" t="s">
        <v>238</v>
      </c>
      <c r="E267" s="1">
        <v>43132</v>
      </c>
      <c r="F267" t="s">
        <v>1121</v>
      </c>
      <c r="G267" t="s">
        <v>742</v>
      </c>
      <c r="H267">
        <v>-4116</v>
      </c>
      <c r="I267" t="s">
        <v>22</v>
      </c>
      <c r="J267">
        <v>0</v>
      </c>
      <c r="M267" t="s">
        <v>87</v>
      </c>
      <c r="N267" t="s">
        <v>1293</v>
      </c>
      <c r="Q267" t="s">
        <v>123</v>
      </c>
    </row>
    <row r="268" spans="1:17">
      <c r="A268" t="s">
        <v>871</v>
      </c>
      <c r="B268" t="s">
        <v>872</v>
      </c>
      <c r="C268">
        <v>171</v>
      </c>
      <c r="D268" t="s">
        <v>238</v>
      </c>
      <c r="E268" s="1">
        <v>43132</v>
      </c>
      <c r="F268" t="s">
        <v>1121</v>
      </c>
      <c r="G268" t="s">
        <v>742</v>
      </c>
      <c r="H268">
        <v>-4116</v>
      </c>
      <c r="I268" t="s">
        <v>22</v>
      </c>
      <c r="J268">
        <v>0</v>
      </c>
      <c r="K268">
        <v>0</v>
      </c>
      <c r="L268" t="s">
        <v>117</v>
      </c>
      <c r="M268" t="s">
        <v>88</v>
      </c>
      <c r="N268" t="s">
        <v>1293</v>
      </c>
      <c r="O268">
        <v>0</v>
      </c>
      <c r="P268">
        <v>0</v>
      </c>
      <c r="Q268" t="s">
        <v>123</v>
      </c>
    </row>
    <row r="269" spans="1:17">
      <c r="A269" t="s">
        <v>871</v>
      </c>
      <c r="B269" t="s">
        <v>872</v>
      </c>
      <c r="C269">
        <v>171</v>
      </c>
      <c r="D269" t="s">
        <v>238</v>
      </c>
      <c r="E269" s="1">
        <v>43145</v>
      </c>
      <c r="F269" t="s">
        <v>224</v>
      </c>
      <c r="G269" t="s">
        <v>870</v>
      </c>
      <c r="H269">
        <v>4116</v>
      </c>
      <c r="I269" t="s">
        <v>22</v>
      </c>
      <c r="J269">
        <v>0</v>
      </c>
      <c r="M269" t="s">
        <v>87</v>
      </c>
      <c r="N269" t="s">
        <v>873</v>
      </c>
    </row>
    <row r="270" spans="1:17">
      <c r="A270" t="s">
        <v>871</v>
      </c>
      <c r="B270" t="s">
        <v>872</v>
      </c>
      <c r="C270">
        <v>171</v>
      </c>
      <c r="D270" t="s">
        <v>238</v>
      </c>
      <c r="E270" s="1">
        <v>43145</v>
      </c>
      <c r="F270" t="s">
        <v>224</v>
      </c>
      <c r="G270" t="s">
        <v>870</v>
      </c>
      <c r="H270">
        <v>4116</v>
      </c>
      <c r="I270" t="s">
        <v>22</v>
      </c>
      <c r="J270">
        <v>0</v>
      </c>
      <c r="M270" t="s">
        <v>1547</v>
      </c>
      <c r="N270" t="s">
        <v>873</v>
      </c>
      <c r="O270">
        <v>0</v>
      </c>
      <c r="P270">
        <v>0</v>
      </c>
      <c r="Q270" t="s">
        <v>119</v>
      </c>
    </row>
    <row r="271" spans="1:17">
      <c r="A271" t="s">
        <v>871</v>
      </c>
      <c r="B271" t="s">
        <v>872</v>
      </c>
      <c r="C271">
        <v>171</v>
      </c>
      <c r="D271" t="s">
        <v>238</v>
      </c>
      <c r="E271" s="1">
        <v>43145</v>
      </c>
      <c r="F271" t="s">
        <v>1121</v>
      </c>
      <c r="G271" t="s">
        <v>760</v>
      </c>
      <c r="H271">
        <v>-164</v>
      </c>
      <c r="I271" t="s">
        <v>22</v>
      </c>
      <c r="J271">
        <v>0</v>
      </c>
      <c r="M271" t="s">
        <v>87</v>
      </c>
      <c r="N271" t="s">
        <v>1334</v>
      </c>
      <c r="Q271" t="s">
        <v>123</v>
      </c>
    </row>
    <row r="272" spans="1:17">
      <c r="A272" t="s">
        <v>871</v>
      </c>
      <c r="B272" t="s">
        <v>872</v>
      </c>
      <c r="C272">
        <v>171</v>
      </c>
      <c r="D272" t="s">
        <v>238</v>
      </c>
      <c r="E272" s="1">
        <v>43145</v>
      </c>
      <c r="F272" t="s">
        <v>1121</v>
      </c>
      <c r="G272" t="s">
        <v>760</v>
      </c>
      <c r="H272">
        <v>-164</v>
      </c>
      <c r="I272" t="s">
        <v>22</v>
      </c>
      <c r="J272">
        <v>0</v>
      </c>
      <c r="K272">
        <v>0</v>
      </c>
      <c r="L272" t="s">
        <v>117</v>
      </c>
      <c r="M272" t="s">
        <v>88</v>
      </c>
      <c r="N272" t="s">
        <v>1334</v>
      </c>
      <c r="O272">
        <v>0</v>
      </c>
      <c r="P272">
        <v>0</v>
      </c>
      <c r="Q272" t="s">
        <v>123</v>
      </c>
    </row>
    <row r="273" spans="1:17">
      <c r="A273" t="s">
        <v>871</v>
      </c>
      <c r="B273" t="s">
        <v>872</v>
      </c>
      <c r="C273">
        <v>171</v>
      </c>
      <c r="D273" t="s">
        <v>238</v>
      </c>
      <c r="E273" s="1">
        <v>43157</v>
      </c>
      <c r="F273" t="s">
        <v>1121</v>
      </c>
      <c r="G273" t="s">
        <v>786</v>
      </c>
      <c r="H273">
        <v>-41</v>
      </c>
      <c r="I273" t="s">
        <v>22</v>
      </c>
      <c r="J273">
        <v>0</v>
      </c>
      <c r="M273" t="s">
        <v>87</v>
      </c>
      <c r="N273" t="s">
        <v>1379</v>
      </c>
      <c r="Q273" t="s">
        <v>123</v>
      </c>
    </row>
    <row r="274" spans="1:17">
      <c r="A274" t="s">
        <v>871</v>
      </c>
      <c r="B274" t="s">
        <v>872</v>
      </c>
      <c r="C274">
        <v>171</v>
      </c>
      <c r="D274" t="s">
        <v>238</v>
      </c>
      <c r="E274" s="1">
        <v>43157</v>
      </c>
      <c r="F274" t="s">
        <v>1121</v>
      </c>
      <c r="G274" t="s">
        <v>786</v>
      </c>
      <c r="H274">
        <v>-41</v>
      </c>
      <c r="I274" t="s">
        <v>22</v>
      </c>
      <c r="J274">
        <v>0</v>
      </c>
      <c r="K274">
        <v>0</v>
      </c>
      <c r="L274" t="s">
        <v>117</v>
      </c>
      <c r="M274" t="s">
        <v>88</v>
      </c>
      <c r="N274" t="s">
        <v>1379</v>
      </c>
      <c r="O274">
        <v>0</v>
      </c>
      <c r="P274">
        <v>0</v>
      </c>
      <c r="Q274" t="s">
        <v>123</v>
      </c>
    </row>
    <row r="275" spans="1:17">
      <c r="A275" t="s">
        <v>856</v>
      </c>
      <c r="B275" t="s">
        <v>857</v>
      </c>
      <c r="C275">
        <v>171</v>
      </c>
      <c r="D275" t="s">
        <v>238</v>
      </c>
      <c r="E275" s="1">
        <v>43101</v>
      </c>
      <c r="F275" t="s">
        <v>902</v>
      </c>
      <c r="G275" t="s">
        <v>1013</v>
      </c>
      <c r="H275">
        <v>3660</v>
      </c>
      <c r="I275" t="s">
        <v>22</v>
      </c>
      <c r="J275">
        <v>0</v>
      </c>
      <c r="M275" t="s">
        <v>87</v>
      </c>
      <c r="N275" t="s">
        <v>1058</v>
      </c>
    </row>
    <row r="276" spans="1:17">
      <c r="A276" t="s">
        <v>856</v>
      </c>
      <c r="B276" t="s">
        <v>857</v>
      </c>
      <c r="C276">
        <v>171</v>
      </c>
      <c r="D276" t="s">
        <v>238</v>
      </c>
      <c r="E276" s="1">
        <v>43101</v>
      </c>
      <c r="F276" t="s">
        <v>902</v>
      </c>
      <c r="G276" t="s">
        <v>1013</v>
      </c>
      <c r="H276">
        <v>3660</v>
      </c>
      <c r="I276" t="s">
        <v>22</v>
      </c>
      <c r="J276">
        <v>0</v>
      </c>
      <c r="M276" t="s">
        <v>1547</v>
      </c>
      <c r="N276" t="s">
        <v>1058</v>
      </c>
      <c r="O276">
        <v>0</v>
      </c>
      <c r="P276">
        <v>0</v>
      </c>
      <c r="Q276" t="s">
        <v>119</v>
      </c>
    </row>
    <row r="277" spans="1:17">
      <c r="A277" t="s">
        <v>856</v>
      </c>
      <c r="B277" t="s">
        <v>857</v>
      </c>
      <c r="C277">
        <v>171</v>
      </c>
      <c r="D277" t="s">
        <v>238</v>
      </c>
      <c r="E277" s="1">
        <v>43108</v>
      </c>
      <c r="F277" t="s">
        <v>1121</v>
      </c>
      <c r="G277" t="s">
        <v>660</v>
      </c>
      <c r="H277">
        <v>-81</v>
      </c>
      <c r="I277" t="s">
        <v>22</v>
      </c>
      <c r="J277">
        <v>0</v>
      </c>
      <c r="M277" t="s">
        <v>87</v>
      </c>
      <c r="N277" t="s">
        <v>1131</v>
      </c>
      <c r="Q277" t="s">
        <v>123</v>
      </c>
    </row>
    <row r="278" spans="1:17">
      <c r="A278" t="s">
        <v>856</v>
      </c>
      <c r="B278" t="s">
        <v>857</v>
      </c>
      <c r="C278">
        <v>171</v>
      </c>
      <c r="D278" t="s">
        <v>238</v>
      </c>
      <c r="E278" s="1">
        <v>43108</v>
      </c>
      <c r="F278" t="s">
        <v>1121</v>
      </c>
      <c r="G278" t="s">
        <v>664</v>
      </c>
      <c r="H278">
        <v>-40</v>
      </c>
      <c r="I278" t="s">
        <v>22</v>
      </c>
      <c r="J278">
        <v>0</v>
      </c>
      <c r="M278" t="s">
        <v>87</v>
      </c>
      <c r="N278" t="s">
        <v>1139</v>
      </c>
      <c r="Q278" t="s">
        <v>123</v>
      </c>
    </row>
    <row r="279" spans="1:17">
      <c r="A279" t="s">
        <v>856</v>
      </c>
      <c r="B279" t="s">
        <v>857</v>
      </c>
      <c r="C279">
        <v>171</v>
      </c>
      <c r="D279" t="s">
        <v>238</v>
      </c>
      <c r="E279" s="1">
        <v>43108</v>
      </c>
      <c r="F279" t="s">
        <v>1121</v>
      </c>
      <c r="G279" t="s">
        <v>668</v>
      </c>
      <c r="H279">
        <v>-76</v>
      </c>
      <c r="I279" t="s">
        <v>22</v>
      </c>
      <c r="J279">
        <v>0</v>
      </c>
      <c r="M279" t="s">
        <v>87</v>
      </c>
      <c r="N279" t="s">
        <v>1147</v>
      </c>
      <c r="Q279" t="s">
        <v>123</v>
      </c>
    </row>
    <row r="280" spans="1:17">
      <c r="A280" t="s">
        <v>856</v>
      </c>
      <c r="B280" t="s">
        <v>857</v>
      </c>
      <c r="C280">
        <v>171</v>
      </c>
      <c r="D280" t="s">
        <v>238</v>
      </c>
      <c r="E280" s="1">
        <v>43108</v>
      </c>
      <c r="F280" t="s">
        <v>1121</v>
      </c>
      <c r="G280" t="s">
        <v>670</v>
      </c>
      <c r="H280">
        <v>-45</v>
      </c>
      <c r="I280" t="s">
        <v>22</v>
      </c>
      <c r="J280">
        <v>0</v>
      </c>
      <c r="M280" t="s">
        <v>87</v>
      </c>
      <c r="N280" t="s">
        <v>1149</v>
      </c>
      <c r="Q280" t="s">
        <v>123</v>
      </c>
    </row>
    <row r="281" spans="1:17">
      <c r="A281" t="s">
        <v>856</v>
      </c>
      <c r="B281" t="s">
        <v>857</v>
      </c>
      <c r="C281">
        <v>171</v>
      </c>
      <c r="D281" t="s">
        <v>238</v>
      </c>
      <c r="E281" s="1">
        <v>43108</v>
      </c>
      <c r="F281" t="s">
        <v>1121</v>
      </c>
      <c r="G281" t="s">
        <v>678</v>
      </c>
      <c r="H281">
        <v>-81</v>
      </c>
      <c r="I281" t="s">
        <v>22</v>
      </c>
      <c r="J281">
        <v>0</v>
      </c>
      <c r="M281" t="s">
        <v>87</v>
      </c>
      <c r="N281" t="s">
        <v>1176</v>
      </c>
      <c r="Q281" t="s">
        <v>123</v>
      </c>
    </row>
    <row r="282" spans="1:17">
      <c r="A282" t="s">
        <v>856</v>
      </c>
      <c r="B282" t="s">
        <v>857</v>
      </c>
      <c r="C282">
        <v>171</v>
      </c>
      <c r="D282" t="s">
        <v>238</v>
      </c>
      <c r="E282" s="1">
        <v>43108</v>
      </c>
      <c r="F282" t="s">
        <v>1121</v>
      </c>
      <c r="G282" t="s">
        <v>682</v>
      </c>
      <c r="H282">
        <v>-121</v>
      </c>
      <c r="I282" t="s">
        <v>22</v>
      </c>
      <c r="J282">
        <v>0</v>
      </c>
      <c r="M282" t="s">
        <v>87</v>
      </c>
      <c r="N282" t="s">
        <v>1184</v>
      </c>
      <c r="Q282" t="s">
        <v>123</v>
      </c>
    </row>
    <row r="283" spans="1:17">
      <c r="A283" t="s">
        <v>856</v>
      </c>
      <c r="B283" t="s">
        <v>857</v>
      </c>
      <c r="C283">
        <v>171</v>
      </c>
      <c r="D283" t="s">
        <v>238</v>
      </c>
      <c r="E283" s="1">
        <v>43108</v>
      </c>
      <c r="F283" t="s">
        <v>1121</v>
      </c>
      <c r="G283" t="s">
        <v>686</v>
      </c>
      <c r="H283">
        <v>-364</v>
      </c>
      <c r="I283" t="s">
        <v>22</v>
      </c>
      <c r="J283">
        <v>0</v>
      </c>
      <c r="M283" t="s">
        <v>87</v>
      </c>
      <c r="N283" t="s">
        <v>1192</v>
      </c>
      <c r="Q283" t="s">
        <v>123</v>
      </c>
    </row>
    <row r="284" spans="1:17">
      <c r="A284" t="s">
        <v>856</v>
      </c>
      <c r="B284" t="s">
        <v>857</v>
      </c>
      <c r="C284">
        <v>171</v>
      </c>
      <c r="D284" t="s">
        <v>238</v>
      </c>
      <c r="E284" s="1">
        <v>43108</v>
      </c>
      <c r="F284" t="s">
        <v>1121</v>
      </c>
      <c r="G284" t="s">
        <v>706</v>
      </c>
      <c r="H284">
        <v>-162</v>
      </c>
      <c r="I284" t="s">
        <v>22</v>
      </c>
      <c r="J284">
        <v>0</v>
      </c>
      <c r="M284" t="s">
        <v>87</v>
      </c>
      <c r="N284" t="s">
        <v>1224</v>
      </c>
      <c r="Q284" t="s">
        <v>123</v>
      </c>
    </row>
    <row r="285" spans="1:17">
      <c r="A285" t="s">
        <v>856</v>
      </c>
      <c r="B285" t="s">
        <v>857</v>
      </c>
      <c r="C285">
        <v>171</v>
      </c>
      <c r="D285" t="s">
        <v>238</v>
      </c>
      <c r="E285" s="1">
        <v>43108</v>
      </c>
      <c r="F285" t="s">
        <v>1121</v>
      </c>
      <c r="G285" t="s">
        <v>710</v>
      </c>
      <c r="H285">
        <v>-405</v>
      </c>
      <c r="I285" t="s">
        <v>22</v>
      </c>
      <c r="J285">
        <v>0</v>
      </c>
      <c r="M285" t="s">
        <v>87</v>
      </c>
      <c r="N285" t="s">
        <v>1232</v>
      </c>
      <c r="Q285" t="s">
        <v>123</v>
      </c>
    </row>
    <row r="286" spans="1:17">
      <c r="A286" t="s">
        <v>856</v>
      </c>
      <c r="B286" t="s">
        <v>857</v>
      </c>
      <c r="C286">
        <v>171</v>
      </c>
      <c r="D286" t="s">
        <v>238</v>
      </c>
      <c r="E286" s="1">
        <v>43108</v>
      </c>
      <c r="F286" t="s">
        <v>1121</v>
      </c>
      <c r="G286" t="s">
        <v>716</v>
      </c>
      <c r="H286">
        <v>-81</v>
      </c>
      <c r="I286" t="s">
        <v>22</v>
      </c>
      <c r="J286">
        <v>0</v>
      </c>
      <c r="M286" t="s">
        <v>87</v>
      </c>
      <c r="N286" t="s">
        <v>1246</v>
      </c>
      <c r="Q286" t="s">
        <v>123</v>
      </c>
    </row>
    <row r="287" spans="1:17">
      <c r="A287" t="s">
        <v>856</v>
      </c>
      <c r="B287" t="s">
        <v>857</v>
      </c>
      <c r="C287">
        <v>171</v>
      </c>
      <c r="D287" t="s">
        <v>238</v>
      </c>
      <c r="E287" s="1">
        <v>43108</v>
      </c>
      <c r="F287" t="s">
        <v>1121</v>
      </c>
      <c r="G287" t="s">
        <v>724</v>
      </c>
      <c r="H287">
        <v>-81</v>
      </c>
      <c r="I287" t="s">
        <v>22</v>
      </c>
      <c r="J287">
        <v>0</v>
      </c>
      <c r="M287" t="s">
        <v>87</v>
      </c>
      <c r="N287" t="s">
        <v>1263</v>
      </c>
      <c r="Q287" t="s">
        <v>123</v>
      </c>
    </row>
    <row r="288" spans="1:17">
      <c r="A288" t="s">
        <v>856</v>
      </c>
      <c r="B288" t="s">
        <v>857</v>
      </c>
      <c r="C288">
        <v>171</v>
      </c>
      <c r="D288" t="s">
        <v>238</v>
      </c>
      <c r="E288" s="1">
        <v>43108</v>
      </c>
      <c r="F288" t="s">
        <v>1121</v>
      </c>
      <c r="G288" t="s">
        <v>728</v>
      </c>
      <c r="H288">
        <v>-202</v>
      </c>
      <c r="I288" t="s">
        <v>22</v>
      </c>
      <c r="J288">
        <v>0</v>
      </c>
      <c r="M288" t="s">
        <v>87</v>
      </c>
      <c r="N288" t="s">
        <v>1271</v>
      </c>
      <c r="Q288" t="s">
        <v>123</v>
      </c>
    </row>
    <row r="289" spans="1:17">
      <c r="A289" t="s">
        <v>856</v>
      </c>
      <c r="B289" t="s">
        <v>857</v>
      </c>
      <c r="C289">
        <v>171</v>
      </c>
      <c r="D289" t="s">
        <v>238</v>
      </c>
      <c r="E289" s="1">
        <v>43108</v>
      </c>
      <c r="F289" t="s">
        <v>1121</v>
      </c>
      <c r="G289" t="s">
        <v>732</v>
      </c>
      <c r="H289">
        <v>-405</v>
      </c>
      <c r="I289" t="s">
        <v>22</v>
      </c>
      <c r="J289">
        <v>0</v>
      </c>
      <c r="M289" t="s">
        <v>87</v>
      </c>
      <c r="N289" t="s">
        <v>1279</v>
      </c>
      <c r="Q289" t="s">
        <v>123</v>
      </c>
    </row>
    <row r="290" spans="1:17">
      <c r="A290" t="s">
        <v>856</v>
      </c>
      <c r="B290" t="s">
        <v>857</v>
      </c>
      <c r="C290">
        <v>171</v>
      </c>
      <c r="D290" t="s">
        <v>238</v>
      </c>
      <c r="E290" s="1">
        <v>43108</v>
      </c>
      <c r="F290" t="s">
        <v>1121</v>
      </c>
      <c r="G290" t="s">
        <v>734</v>
      </c>
      <c r="H290">
        <v>-45</v>
      </c>
      <c r="I290" t="s">
        <v>22</v>
      </c>
      <c r="J290">
        <v>0</v>
      </c>
      <c r="M290" t="s">
        <v>87</v>
      </c>
      <c r="N290" t="s">
        <v>1282</v>
      </c>
      <c r="Q290" t="s">
        <v>123</v>
      </c>
    </row>
    <row r="291" spans="1:17">
      <c r="A291" t="s">
        <v>856</v>
      </c>
      <c r="B291" t="s">
        <v>857</v>
      </c>
      <c r="C291">
        <v>171</v>
      </c>
      <c r="D291" t="s">
        <v>238</v>
      </c>
      <c r="E291" s="1">
        <v>43108</v>
      </c>
      <c r="F291" t="s">
        <v>1121</v>
      </c>
      <c r="G291" t="s">
        <v>706</v>
      </c>
      <c r="H291">
        <v>-162</v>
      </c>
      <c r="I291" t="s">
        <v>22</v>
      </c>
      <c r="J291">
        <v>0</v>
      </c>
      <c r="K291">
        <v>0</v>
      </c>
      <c r="L291" t="s">
        <v>117</v>
      </c>
      <c r="M291" t="s">
        <v>88</v>
      </c>
      <c r="N291" t="s">
        <v>1224</v>
      </c>
      <c r="O291">
        <v>0</v>
      </c>
      <c r="P291">
        <v>0</v>
      </c>
      <c r="Q291" t="s">
        <v>123</v>
      </c>
    </row>
    <row r="292" spans="1:17">
      <c r="A292" t="s">
        <v>856</v>
      </c>
      <c r="B292" t="s">
        <v>857</v>
      </c>
      <c r="C292">
        <v>171</v>
      </c>
      <c r="D292" t="s">
        <v>238</v>
      </c>
      <c r="E292" s="1">
        <v>43108</v>
      </c>
      <c r="F292" t="s">
        <v>1121</v>
      </c>
      <c r="G292" t="s">
        <v>686</v>
      </c>
      <c r="H292">
        <v>-364</v>
      </c>
      <c r="I292" t="s">
        <v>22</v>
      </c>
      <c r="J292">
        <v>0</v>
      </c>
      <c r="K292">
        <v>0</v>
      </c>
      <c r="L292" t="s">
        <v>117</v>
      </c>
      <c r="M292" t="s">
        <v>88</v>
      </c>
      <c r="N292" t="s">
        <v>1192</v>
      </c>
      <c r="O292">
        <v>0</v>
      </c>
      <c r="P292">
        <v>0</v>
      </c>
      <c r="Q292" t="s">
        <v>123</v>
      </c>
    </row>
    <row r="293" spans="1:17">
      <c r="A293" t="s">
        <v>856</v>
      </c>
      <c r="B293" t="s">
        <v>857</v>
      </c>
      <c r="C293">
        <v>171</v>
      </c>
      <c r="D293" t="s">
        <v>238</v>
      </c>
      <c r="E293" s="1">
        <v>43108</v>
      </c>
      <c r="F293" t="s">
        <v>1121</v>
      </c>
      <c r="G293" t="s">
        <v>678</v>
      </c>
      <c r="H293">
        <v>-81</v>
      </c>
      <c r="I293" t="s">
        <v>22</v>
      </c>
      <c r="J293">
        <v>0</v>
      </c>
      <c r="K293">
        <v>0</v>
      </c>
      <c r="L293" t="s">
        <v>117</v>
      </c>
      <c r="M293" t="s">
        <v>88</v>
      </c>
      <c r="N293" t="s">
        <v>1176</v>
      </c>
      <c r="O293">
        <v>0</v>
      </c>
      <c r="P293">
        <v>0</v>
      </c>
      <c r="Q293" t="s">
        <v>123</v>
      </c>
    </row>
    <row r="294" spans="1:17">
      <c r="A294" t="s">
        <v>856</v>
      </c>
      <c r="B294" t="s">
        <v>857</v>
      </c>
      <c r="C294">
        <v>171</v>
      </c>
      <c r="D294" t="s">
        <v>238</v>
      </c>
      <c r="E294" s="1">
        <v>43108</v>
      </c>
      <c r="F294" t="s">
        <v>1121</v>
      </c>
      <c r="G294" t="s">
        <v>682</v>
      </c>
      <c r="H294">
        <v>-121</v>
      </c>
      <c r="I294" t="s">
        <v>22</v>
      </c>
      <c r="J294">
        <v>0</v>
      </c>
      <c r="K294">
        <v>0</v>
      </c>
      <c r="L294" t="s">
        <v>117</v>
      </c>
      <c r="M294" t="s">
        <v>88</v>
      </c>
      <c r="N294" t="s">
        <v>1184</v>
      </c>
      <c r="O294">
        <v>0</v>
      </c>
      <c r="P294">
        <v>0</v>
      </c>
      <c r="Q294" t="s">
        <v>123</v>
      </c>
    </row>
    <row r="295" spans="1:17">
      <c r="A295" t="s">
        <v>856</v>
      </c>
      <c r="B295" t="s">
        <v>857</v>
      </c>
      <c r="C295">
        <v>171</v>
      </c>
      <c r="D295" t="s">
        <v>238</v>
      </c>
      <c r="E295" s="1">
        <v>43108</v>
      </c>
      <c r="F295" t="s">
        <v>1121</v>
      </c>
      <c r="G295" t="s">
        <v>660</v>
      </c>
      <c r="H295">
        <v>-81</v>
      </c>
      <c r="I295" t="s">
        <v>22</v>
      </c>
      <c r="J295">
        <v>0</v>
      </c>
      <c r="K295">
        <v>0</v>
      </c>
      <c r="L295" t="s">
        <v>117</v>
      </c>
      <c r="M295" t="s">
        <v>88</v>
      </c>
      <c r="N295" t="s">
        <v>1131</v>
      </c>
      <c r="O295">
        <v>0</v>
      </c>
      <c r="P295">
        <v>0</v>
      </c>
      <c r="Q295" t="s">
        <v>123</v>
      </c>
    </row>
    <row r="296" spans="1:17">
      <c r="A296" t="s">
        <v>856</v>
      </c>
      <c r="B296" t="s">
        <v>857</v>
      </c>
      <c r="C296">
        <v>171</v>
      </c>
      <c r="D296" t="s">
        <v>238</v>
      </c>
      <c r="E296" s="1">
        <v>43108</v>
      </c>
      <c r="F296" t="s">
        <v>1121</v>
      </c>
      <c r="G296" t="s">
        <v>664</v>
      </c>
      <c r="H296">
        <v>-40</v>
      </c>
      <c r="I296" t="s">
        <v>22</v>
      </c>
      <c r="J296">
        <v>0</v>
      </c>
      <c r="K296">
        <v>0</v>
      </c>
      <c r="L296" t="s">
        <v>117</v>
      </c>
      <c r="M296" t="s">
        <v>88</v>
      </c>
      <c r="N296" t="s">
        <v>1139</v>
      </c>
      <c r="O296">
        <v>0</v>
      </c>
      <c r="P296">
        <v>0</v>
      </c>
      <c r="Q296" t="s">
        <v>123</v>
      </c>
    </row>
    <row r="297" spans="1:17">
      <c r="A297" t="s">
        <v>856</v>
      </c>
      <c r="B297" t="s">
        <v>857</v>
      </c>
      <c r="C297">
        <v>171</v>
      </c>
      <c r="D297" t="s">
        <v>238</v>
      </c>
      <c r="E297" s="1">
        <v>43108</v>
      </c>
      <c r="F297" t="s">
        <v>1121</v>
      </c>
      <c r="G297" t="s">
        <v>668</v>
      </c>
      <c r="H297">
        <v>-76</v>
      </c>
      <c r="I297" t="s">
        <v>22</v>
      </c>
      <c r="J297">
        <v>0</v>
      </c>
      <c r="K297">
        <v>0</v>
      </c>
      <c r="L297" t="s">
        <v>117</v>
      </c>
      <c r="M297" t="s">
        <v>88</v>
      </c>
      <c r="N297" t="s">
        <v>1147</v>
      </c>
      <c r="O297">
        <v>0</v>
      </c>
      <c r="P297">
        <v>0</v>
      </c>
      <c r="Q297" t="s">
        <v>123</v>
      </c>
    </row>
    <row r="298" spans="1:17">
      <c r="A298" t="s">
        <v>856</v>
      </c>
      <c r="B298" t="s">
        <v>857</v>
      </c>
      <c r="C298">
        <v>171</v>
      </c>
      <c r="D298" t="s">
        <v>238</v>
      </c>
      <c r="E298" s="1">
        <v>43108</v>
      </c>
      <c r="F298" t="s">
        <v>1121</v>
      </c>
      <c r="G298" t="s">
        <v>670</v>
      </c>
      <c r="H298">
        <v>-45</v>
      </c>
      <c r="I298" t="s">
        <v>22</v>
      </c>
      <c r="J298">
        <v>0</v>
      </c>
      <c r="K298">
        <v>0</v>
      </c>
      <c r="L298" t="s">
        <v>117</v>
      </c>
      <c r="M298" t="s">
        <v>88</v>
      </c>
      <c r="N298" t="s">
        <v>1149</v>
      </c>
      <c r="O298">
        <v>0</v>
      </c>
      <c r="P298">
        <v>0</v>
      </c>
      <c r="Q298" t="s">
        <v>123</v>
      </c>
    </row>
    <row r="299" spans="1:17">
      <c r="A299" t="s">
        <v>856</v>
      </c>
      <c r="B299" t="s">
        <v>857</v>
      </c>
      <c r="C299">
        <v>171</v>
      </c>
      <c r="D299" t="s">
        <v>238</v>
      </c>
      <c r="E299" s="1">
        <v>43108</v>
      </c>
      <c r="F299" t="s">
        <v>1121</v>
      </c>
      <c r="G299" t="s">
        <v>734</v>
      </c>
      <c r="H299">
        <v>-45</v>
      </c>
      <c r="I299" t="s">
        <v>22</v>
      </c>
      <c r="J299">
        <v>0</v>
      </c>
      <c r="K299">
        <v>0</v>
      </c>
      <c r="L299" t="s">
        <v>117</v>
      </c>
      <c r="M299" t="s">
        <v>88</v>
      </c>
      <c r="N299" t="s">
        <v>1282</v>
      </c>
      <c r="O299">
        <v>0</v>
      </c>
      <c r="P299">
        <v>0</v>
      </c>
      <c r="Q299" t="s">
        <v>123</v>
      </c>
    </row>
    <row r="300" spans="1:17">
      <c r="A300" t="s">
        <v>856</v>
      </c>
      <c r="B300" t="s">
        <v>857</v>
      </c>
      <c r="C300">
        <v>171</v>
      </c>
      <c r="D300" t="s">
        <v>238</v>
      </c>
      <c r="E300" s="1">
        <v>43108</v>
      </c>
      <c r="F300" t="s">
        <v>1121</v>
      </c>
      <c r="G300" t="s">
        <v>724</v>
      </c>
      <c r="H300">
        <v>-81</v>
      </c>
      <c r="I300" t="s">
        <v>22</v>
      </c>
      <c r="J300">
        <v>0</v>
      </c>
      <c r="K300">
        <v>0</v>
      </c>
      <c r="L300" t="s">
        <v>117</v>
      </c>
      <c r="M300" t="s">
        <v>88</v>
      </c>
      <c r="N300" t="s">
        <v>1263</v>
      </c>
      <c r="O300">
        <v>0</v>
      </c>
      <c r="P300">
        <v>0</v>
      </c>
      <c r="Q300" t="s">
        <v>123</v>
      </c>
    </row>
    <row r="301" spans="1:17">
      <c r="A301" t="s">
        <v>856</v>
      </c>
      <c r="B301" t="s">
        <v>857</v>
      </c>
      <c r="C301">
        <v>171</v>
      </c>
      <c r="D301" t="s">
        <v>238</v>
      </c>
      <c r="E301" s="1">
        <v>43108</v>
      </c>
      <c r="F301" t="s">
        <v>1121</v>
      </c>
      <c r="G301" t="s">
        <v>728</v>
      </c>
      <c r="H301">
        <v>-202</v>
      </c>
      <c r="I301" t="s">
        <v>22</v>
      </c>
      <c r="J301">
        <v>0</v>
      </c>
      <c r="K301">
        <v>0</v>
      </c>
      <c r="L301" t="s">
        <v>117</v>
      </c>
      <c r="M301" t="s">
        <v>88</v>
      </c>
      <c r="N301" t="s">
        <v>1271</v>
      </c>
      <c r="O301">
        <v>0</v>
      </c>
      <c r="P301">
        <v>0</v>
      </c>
      <c r="Q301" t="s">
        <v>123</v>
      </c>
    </row>
    <row r="302" spans="1:17">
      <c r="A302" t="s">
        <v>856</v>
      </c>
      <c r="B302" t="s">
        <v>857</v>
      </c>
      <c r="C302">
        <v>171</v>
      </c>
      <c r="D302" t="s">
        <v>238</v>
      </c>
      <c r="E302" s="1">
        <v>43108</v>
      </c>
      <c r="F302" t="s">
        <v>1121</v>
      </c>
      <c r="G302" t="s">
        <v>732</v>
      </c>
      <c r="H302">
        <v>-405</v>
      </c>
      <c r="I302" t="s">
        <v>22</v>
      </c>
      <c r="J302">
        <v>0</v>
      </c>
      <c r="K302">
        <v>0</v>
      </c>
      <c r="L302" t="s">
        <v>117</v>
      </c>
      <c r="M302" t="s">
        <v>88</v>
      </c>
      <c r="N302" t="s">
        <v>1279</v>
      </c>
      <c r="O302">
        <v>0</v>
      </c>
      <c r="P302">
        <v>0</v>
      </c>
      <c r="Q302" t="s">
        <v>123</v>
      </c>
    </row>
    <row r="303" spans="1:17">
      <c r="A303" t="s">
        <v>856</v>
      </c>
      <c r="B303" t="s">
        <v>857</v>
      </c>
      <c r="C303">
        <v>171</v>
      </c>
      <c r="D303" t="s">
        <v>238</v>
      </c>
      <c r="E303" s="1">
        <v>43108</v>
      </c>
      <c r="F303" t="s">
        <v>1121</v>
      </c>
      <c r="G303" t="s">
        <v>716</v>
      </c>
      <c r="H303">
        <v>-81</v>
      </c>
      <c r="I303" t="s">
        <v>22</v>
      </c>
      <c r="J303">
        <v>0</v>
      </c>
      <c r="K303">
        <v>0</v>
      </c>
      <c r="L303" t="s">
        <v>117</v>
      </c>
      <c r="M303" t="s">
        <v>88</v>
      </c>
      <c r="N303" t="s">
        <v>1246</v>
      </c>
      <c r="O303">
        <v>0</v>
      </c>
      <c r="P303">
        <v>0</v>
      </c>
      <c r="Q303" t="s">
        <v>123</v>
      </c>
    </row>
    <row r="304" spans="1:17">
      <c r="A304" t="s">
        <v>856</v>
      </c>
      <c r="B304" t="s">
        <v>857</v>
      </c>
      <c r="C304">
        <v>171</v>
      </c>
      <c r="D304" t="s">
        <v>238</v>
      </c>
      <c r="E304" s="1">
        <v>43108</v>
      </c>
      <c r="F304" t="s">
        <v>1121</v>
      </c>
      <c r="G304" t="s">
        <v>710</v>
      </c>
      <c r="H304">
        <v>-405</v>
      </c>
      <c r="I304" t="s">
        <v>22</v>
      </c>
      <c r="J304">
        <v>0</v>
      </c>
      <c r="K304">
        <v>0</v>
      </c>
      <c r="L304" t="s">
        <v>117</v>
      </c>
      <c r="M304" t="s">
        <v>88</v>
      </c>
      <c r="N304" t="s">
        <v>1232</v>
      </c>
      <c r="O304">
        <v>0</v>
      </c>
      <c r="P304">
        <v>0</v>
      </c>
      <c r="Q304" t="s">
        <v>123</v>
      </c>
    </row>
    <row r="305" spans="1:17">
      <c r="A305" t="s">
        <v>856</v>
      </c>
      <c r="B305" t="s">
        <v>857</v>
      </c>
      <c r="C305">
        <v>171</v>
      </c>
      <c r="D305" t="s">
        <v>238</v>
      </c>
      <c r="E305" s="1">
        <v>43132</v>
      </c>
      <c r="F305" t="s">
        <v>1121</v>
      </c>
      <c r="G305" t="s">
        <v>746</v>
      </c>
      <c r="H305">
        <v>-40</v>
      </c>
      <c r="I305" t="s">
        <v>22</v>
      </c>
      <c r="J305">
        <v>0</v>
      </c>
      <c r="M305" t="s">
        <v>87</v>
      </c>
      <c r="N305" t="s">
        <v>1302</v>
      </c>
      <c r="Q305" t="s">
        <v>123</v>
      </c>
    </row>
    <row r="306" spans="1:17">
      <c r="A306" t="s">
        <v>856</v>
      </c>
      <c r="B306" t="s">
        <v>857</v>
      </c>
      <c r="C306">
        <v>171</v>
      </c>
      <c r="D306" t="s">
        <v>238</v>
      </c>
      <c r="E306" s="1">
        <v>43132</v>
      </c>
      <c r="F306" t="s">
        <v>1121</v>
      </c>
      <c r="G306" t="s">
        <v>746</v>
      </c>
      <c r="H306">
        <v>-40</v>
      </c>
      <c r="I306" t="s">
        <v>22</v>
      </c>
      <c r="J306">
        <v>0</v>
      </c>
      <c r="K306">
        <v>0</v>
      </c>
      <c r="L306" t="s">
        <v>117</v>
      </c>
      <c r="M306" t="s">
        <v>88</v>
      </c>
      <c r="N306" t="s">
        <v>1302</v>
      </c>
      <c r="O306">
        <v>0</v>
      </c>
      <c r="P306">
        <v>0</v>
      </c>
      <c r="Q306" t="s">
        <v>123</v>
      </c>
    </row>
    <row r="307" spans="1:17">
      <c r="A307" t="s">
        <v>856</v>
      </c>
      <c r="B307" t="s">
        <v>857</v>
      </c>
      <c r="C307">
        <v>171</v>
      </c>
      <c r="D307" t="s">
        <v>238</v>
      </c>
      <c r="E307" s="1">
        <v>43145</v>
      </c>
      <c r="F307" t="s">
        <v>1121</v>
      </c>
      <c r="G307" t="s">
        <v>758</v>
      </c>
      <c r="H307">
        <v>-405</v>
      </c>
      <c r="I307" t="s">
        <v>22</v>
      </c>
      <c r="J307">
        <v>0</v>
      </c>
      <c r="M307" t="s">
        <v>87</v>
      </c>
      <c r="N307" t="s">
        <v>1332</v>
      </c>
      <c r="Q307" t="s">
        <v>123</v>
      </c>
    </row>
    <row r="308" spans="1:17">
      <c r="A308" t="s">
        <v>856</v>
      </c>
      <c r="B308" t="s">
        <v>857</v>
      </c>
      <c r="C308">
        <v>171</v>
      </c>
      <c r="D308" t="s">
        <v>238</v>
      </c>
      <c r="E308" s="1">
        <v>43145</v>
      </c>
      <c r="F308" t="s">
        <v>1121</v>
      </c>
      <c r="G308" t="s">
        <v>758</v>
      </c>
      <c r="H308">
        <v>-405</v>
      </c>
      <c r="I308" t="s">
        <v>22</v>
      </c>
      <c r="J308">
        <v>0</v>
      </c>
      <c r="K308">
        <v>0</v>
      </c>
      <c r="L308" t="s">
        <v>117</v>
      </c>
      <c r="M308" t="s">
        <v>88</v>
      </c>
      <c r="N308" t="s">
        <v>1332</v>
      </c>
      <c r="O308">
        <v>0</v>
      </c>
      <c r="P308">
        <v>0</v>
      </c>
      <c r="Q308" t="s">
        <v>123</v>
      </c>
    </row>
    <row r="309" spans="1:17">
      <c r="A309" t="s">
        <v>856</v>
      </c>
      <c r="B309" t="s">
        <v>857</v>
      </c>
      <c r="C309">
        <v>171</v>
      </c>
      <c r="D309" t="s">
        <v>238</v>
      </c>
      <c r="E309" s="1">
        <v>43146</v>
      </c>
      <c r="F309" t="s">
        <v>1121</v>
      </c>
      <c r="G309" t="s">
        <v>764</v>
      </c>
      <c r="H309">
        <v>-486</v>
      </c>
      <c r="I309" t="s">
        <v>22</v>
      </c>
      <c r="J309">
        <v>0</v>
      </c>
      <c r="M309" t="s">
        <v>87</v>
      </c>
      <c r="N309" t="s">
        <v>1342</v>
      </c>
      <c r="Q309" t="s">
        <v>123</v>
      </c>
    </row>
    <row r="310" spans="1:17">
      <c r="A310" t="s">
        <v>856</v>
      </c>
      <c r="B310" t="s">
        <v>857</v>
      </c>
      <c r="C310">
        <v>171</v>
      </c>
      <c r="D310" t="s">
        <v>238</v>
      </c>
      <c r="E310" s="1">
        <v>43146</v>
      </c>
      <c r="F310" t="s">
        <v>1121</v>
      </c>
      <c r="G310" t="s">
        <v>764</v>
      </c>
      <c r="H310">
        <v>-486</v>
      </c>
      <c r="I310" t="s">
        <v>22</v>
      </c>
      <c r="J310">
        <v>0</v>
      </c>
      <c r="K310">
        <v>0</v>
      </c>
      <c r="L310" t="s">
        <v>117</v>
      </c>
      <c r="M310" t="s">
        <v>88</v>
      </c>
      <c r="N310" t="s">
        <v>1342</v>
      </c>
      <c r="O310">
        <v>0</v>
      </c>
      <c r="P310">
        <v>0</v>
      </c>
      <c r="Q310" t="s">
        <v>123</v>
      </c>
    </row>
    <row r="311" spans="1:17">
      <c r="A311" t="s">
        <v>856</v>
      </c>
      <c r="B311" t="s">
        <v>857</v>
      </c>
      <c r="C311">
        <v>171</v>
      </c>
      <c r="D311" t="s">
        <v>238</v>
      </c>
      <c r="E311" s="1">
        <v>43151</v>
      </c>
      <c r="F311" t="s">
        <v>1121</v>
      </c>
      <c r="G311" t="s">
        <v>770</v>
      </c>
      <c r="H311">
        <v>-405</v>
      </c>
      <c r="I311" t="s">
        <v>22</v>
      </c>
      <c r="J311">
        <v>0</v>
      </c>
      <c r="M311" t="s">
        <v>87</v>
      </c>
      <c r="N311" t="s">
        <v>1351</v>
      </c>
      <c r="Q311" t="s">
        <v>123</v>
      </c>
    </row>
    <row r="312" spans="1:17">
      <c r="A312" t="s">
        <v>856</v>
      </c>
      <c r="B312" t="s">
        <v>857</v>
      </c>
      <c r="C312">
        <v>171</v>
      </c>
      <c r="D312" t="s">
        <v>238</v>
      </c>
      <c r="E312" s="1">
        <v>43151</v>
      </c>
      <c r="F312" t="s">
        <v>1121</v>
      </c>
      <c r="G312" t="s">
        <v>774</v>
      </c>
      <c r="H312">
        <v>-81</v>
      </c>
      <c r="I312" t="s">
        <v>22</v>
      </c>
      <c r="J312">
        <v>0</v>
      </c>
      <c r="M312" t="s">
        <v>87</v>
      </c>
      <c r="N312" t="s">
        <v>1359</v>
      </c>
      <c r="Q312" t="s">
        <v>123</v>
      </c>
    </row>
    <row r="313" spans="1:17">
      <c r="A313" t="s">
        <v>856</v>
      </c>
      <c r="B313" t="s">
        <v>857</v>
      </c>
      <c r="C313">
        <v>171</v>
      </c>
      <c r="D313" t="s">
        <v>238</v>
      </c>
      <c r="E313" s="1">
        <v>43151</v>
      </c>
      <c r="F313" t="s">
        <v>1121</v>
      </c>
      <c r="G313" t="s">
        <v>770</v>
      </c>
      <c r="H313">
        <v>-405</v>
      </c>
      <c r="I313" t="s">
        <v>22</v>
      </c>
      <c r="J313">
        <v>0</v>
      </c>
      <c r="K313">
        <v>0</v>
      </c>
      <c r="L313" t="s">
        <v>117</v>
      </c>
      <c r="M313" t="s">
        <v>88</v>
      </c>
      <c r="N313" t="s">
        <v>1351</v>
      </c>
      <c r="O313">
        <v>0</v>
      </c>
      <c r="P313">
        <v>0</v>
      </c>
      <c r="Q313" t="s">
        <v>123</v>
      </c>
    </row>
    <row r="314" spans="1:17">
      <c r="A314" t="s">
        <v>856</v>
      </c>
      <c r="B314" t="s">
        <v>857</v>
      </c>
      <c r="C314">
        <v>171</v>
      </c>
      <c r="D314" t="s">
        <v>238</v>
      </c>
      <c r="E314" s="1">
        <v>43151</v>
      </c>
      <c r="F314" t="s">
        <v>1121</v>
      </c>
      <c r="G314" t="s">
        <v>774</v>
      </c>
      <c r="H314">
        <v>-81</v>
      </c>
      <c r="I314" t="s">
        <v>22</v>
      </c>
      <c r="J314">
        <v>0</v>
      </c>
      <c r="K314">
        <v>0</v>
      </c>
      <c r="L314" t="s">
        <v>117</v>
      </c>
      <c r="M314" t="s">
        <v>88</v>
      </c>
      <c r="N314" t="s">
        <v>1359</v>
      </c>
      <c r="O314">
        <v>0</v>
      </c>
      <c r="P314">
        <v>0</v>
      </c>
      <c r="Q314" t="s">
        <v>123</v>
      </c>
    </row>
    <row r="315" spans="1:17">
      <c r="A315" t="s">
        <v>856</v>
      </c>
      <c r="B315" t="s">
        <v>857</v>
      </c>
      <c r="C315">
        <v>171</v>
      </c>
      <c r="D315" t="s">
        <v>238</v>
      </c>
      <c r="E315" s="1">
        <v>43157</v>
      </c>
      <c r="F315" t="s">
        <v>15</v>
      </c>
      <c r="G315" t="s">
        <v>849</v>
      </c>
      <c r="H315">
        <v>10420</v>
      </c>
      <c r="I315" t="s">
        <v>22</v>
      </c>
      <c r="J315">
        <v>0</v>
      </c>
      <c r="K315">
        <v>0</v>
      </c>
      <c r="M315" t="s">
        <v>87</v>
      </c>
      <c r="N315" t="s">
        <v>858</v>
      </c>
      <c r="Q315" t="s">
        <v>123</v>
      </c>
    </row>
    <row r="316" spans="1:17">
      <c r="A316" t="s">
        <v>856</v>
      </c>
      <c r="B316" t="s">
        <v>857</v>
      </c>
      <c r="C316">
        <v>171</v>
      </c>
      <c r="D316" t="s">
        <v>238</v>
      </c>
      <c r="E316" s="1">
        <v>43157</v>
      </c>
      <c r="F316" t="s">
        <v>15</v>
      </c>
      <c r="G316" t="s">
        <v>859</v>
      </c>
      <c r="H316">
        <v>-10420</v>
      </c>
      <c r="I316" t="s">
        <v>22</v>
      </c>
      <c r="J316">
        <v>0</v>
      </c>
      <c r="K316">
        <v>0</v>
      </c>
      <c r="M316" t="s">
        <v>87</v>
      </c>
      <c r="N316" t="s">
        <v>862</v>
      </c>
      <c r="Q316" t="s">
        <v>123</v>
      </c>
    </row>
    <row r="317" spans="1:17">
      <c r="A317" t="s">
        <v>856</v>
      </c>
      <c r="B317" t="s">
        <v>857</v>
      </c>
      <c r="C317">
        <v>171</v>
      </c>
      <c r="D317" t="s">
        <v>238</v>
      </c>
      <c r="E317" s="1">
        <v>43157</v>
      </c>
      <c r="F317" t="s">
        <v>15</v>
      </c>
      <c r="G317" t="s">
        <v>863</v>
      </c>
      <c r="H317">
        <v>10420</v>
      </c>
      <c r="I317" t="s">
        <v>22</v>
      </c>
      <c r="J317">
        <v>0</v>
      </c>
      <c r="K317">
        <v>0</v>
      </c>
      <c r="M317" t="s">
        <v>87</v>
      </c>
      <c r="N317" t="s">
        <v>866</v>
      </c>
      <c r="Q317" t="s">
        <v>123</v>
      </c>
    </row>
    <row r="318" spans="1:17">
      <c r="A318" t="s">
        <v>856</v>
      </c>
      <c r="B318" t="s">
        <v>857</v>
      </c>
      <c r="C318">
        <v>171</v>
      </c>
      <c r="D318" t="s">
        <v>238</v>
      </c>
      <c r="E318" s="1">
        <v>43157</v>
      </c>
      <c r="F318" t="s">
        <v>1121</v>
      </c>
      <c r="G318" t="s">
        <v>790</v>
      </c>
      <c r="H318">
        <v>-40</v>
      </c>
      <c r="I318" t="s">
        <v>22</v>
      </c>
      <c r="J318">
        <v>0</v>
      </c>
      <c r="M318" t="s">
        <v>87</v>
      </c>
      <c r="N318" t="s">
        <v>1387</v>
      </c>
      <c r="Q318" t="s">
        <v>123</v>
      </c>
    </row>
    <row r="319" spans="1:17">
      <c r="A319" t="s">
        <v>856</v>
      </c>
      <c r="B319" t="s">
        <v>857</v>
      </c>
      <c r="C319">
        <v>171</v>
      </c>
      <c r="D319" t="s">
        <v>238</v>
      </c>
      <c r="E319" s="1">
        <v>43157</v>
      </c>
      <c r="F319" t="s">
        <v>15</v>
      </c>
      <c r="G319" t="s">
        <v>849</v>
      </c>
      <c r="H319">
        <v>10420</v>
      </c>
      <c r="I319" t="s">
        <v>22</v>
      </c>
      <c r="J319">
        <v>0</v>
      </c>
      <c r="K319">
        <v>0</v>
      </c>
      <c r="L319" t="s">
        <v>117</v>
      </c>
      <c r="M319" t="s">
        <v>88</v>
      </c>
      <c r="N319" t="s">
        <v>858</v>
      </c>
      <c r="O319">
        <v>0</v>
      </c>
      <c r="P319">
        <v>0</v>
      </c>
      <c r="Q319" t="s">
        <v>123</v>
      </c>
    </row>
    <row r="320" spans="1:17">
      <c r="A320" t="s">
        <v>856</v>
      </c>
      <c r="B320" t="s">
        <v>857</v>
      </c>
      <c r="C320">
        <v>171</v>
      </c>
      <c r="D320" t="s">
        <v>238</v>
      </c>
      <c r="E320" s="1">
        <v>43157</v>
      </c>
      <c r="F320" t="s">
        <v>15</v>
      </c>
      <c r="G320" t="s">
        <v>863</v>
      </c>
      <c r="H320">
        <v>10420</v>
      </c>
      <c r="I320" t="s">
        <v>22</v>
      </c>
      <c r="J320">
        <v>0</v>
      </c>
      <c r="K320">
        <v>0</v>
      </c>
      <c r="L320" t="s">
        <v>117</v>
      </c>
      <c r="M320" t="s">
        <v>88</v>
      </c>
      <c r="N320" t="s">
        <v>866</v>
      </c>
      <c r="O320">
        <v>0</v>
      </c>
      <c r="P320">
        <v>0</v>
      </c>
      <c r="Q320" t="s">
        <v>123</v>
      </c>
    </row>
    <row r="321" spans="1:17">
      <c r="A321" t="s">
        <v>856</v>
      </c>
      <c r="B321" t="s">
        <v>857</v>
      </c>
      <c r="C321">
        <v>171</v>
      </c>
      <c r="D321" t="s">
        <v>238</v>
      </c>
      <c r="E321" s="1">
        <v>43157</v>
      </c>
      <c r="F321" t="s">
        <v>15</v>
      </c>
      <c r="G321" t="s">
        <v>859</v>
      </c>
      <c r="H321">
        <v>-10420</v>
      </c>
      <c r="I321" t="s">
        <v>22</v>
      </c>
      <c r="J321">
        <v>0</v>
      </c>
      <c r="K321">
        <v>0</v>
      </c>
      <c r="L321" t="s">
        <v>117</v>
      </c>
      <c r="M321" t="s">
        <v>88</v>
      </c>
      <c r="N321" t="s">
        <v>862</v>
      </c>
      <c r="O321">
        <v>0</v>
      </c>
      <c r="P321">
        <v>0</v>
      </c>
      <c r="Q321" t="s">
        <v>123</v>
      </c>
    </row>
    <row r="322" spans="1:17">
      <c r="A322" t="s">
        <v>856</v>
      </c>
      <c r="B322" t="s">
        <v>857</v>
      </c>
      <c r="C322">
        <v>171</v>
      </c>
      <c r="D322" t="s">
        <v>238</v>
      </c>
      <c r="E322" s="1">
        <v>43157</v>
      </c>
      <c r="F322" t="s">
        <v>1121</v>
      </c>
      <c r="G322" t="s">
        <v>790</v>
      </c>
      <c r="H322">
        <v>-40</v>
      </c>
      <c r="I322" t="s">
        <v>22</v>
      </c>
      <c r="J322">
        <v>0</v>
      </c>
      <c r="K322">
        <v>0</v>
      </c>
      <c r="L322" t="s">
        <v>117</v>
      </c>
      <c r="M322" t="s">
        <v>88</v>
      </c>
      <c r="N322" t="s">
        <v>1387</v>
      </c>
      <c r="O322">
        <v>0</v>
      </c>
      <c r="P322">
        <v>0</v>
      </c>
      <c r="Q322" t="s">
        <v>123</v>
      </c>
    </row>
    <row r="323" spans="1:17">
      <c r="A323" t="s">
        <v>1059</v>
      </c>
      <c r="B323" t="s">
        <v>1060</v>
      </c>
      <c r="C323">
        <v>171</v>
      </c>
      <c r="D323" t="s">
        <v>238</v>
      </c>
      <c r="E323" s="1">
        <v>43101</v>
      </c>
      <c r="F323" t="s">
        <v>902</v>
      </c>
      <c r="G323" t="s">
        <v>1013</v>
      </c>
      <c r="H323">
        <v>3360</v>
      </c>
      <c r="I323" t="s">
        <v>22</v>
      </c>
      <c r="J323">
        <v>0</v>
      </c>
      <c r="M323" t="s">
        <v>87</v>
      </c>
      <c r="N323" t="s">
        <v>1061</v>
      </c>
    </row>
    <row r="324" spans="1:17">
      <c r="A324" t="s">
        <v>1059</v>
      </c>
      <c r="B324" t="s">
        <v>1060</v>
      </c>
      <c r="C324">
        <v>171</v>
      </c>
      <c r="D324" t="s">
        <v>238</v>
      </c>
      <c r="E324" s="1">
        <v>43101</v>
      </c>
      <c r="F324" t="s">
        <v>902</v>
      </c>
      <c r="G324" t="s">
        <v>1013</v>
      </c>
      <c r="H324">
        <v>3360</v>
      </c>
      <c r="I324" t="s">
        <v>22</v>
      </c>
      <c r="J324">
        <v>0</v>
      </c>
      <c r="M324" t="s">
        <v>1547</v>
      </c>
      <c r="N324" t="s">
        <v>1061</v>
      </c>
      <c r="O324">
        <v>0</v>
      </c>
      <c r="P324">
        <v>0</v>
      </c>
      <c r="Q324" t="s">
        <v>119</v>
      </c>
    </row>
    <row r="325" spans="1:17">
      <c r="A325" t="s">
        <v>1062</v>
      </c>
      <c r="B325" t="s">
        <v>1063</v>
      </c>
      <c r="C325">
        <v>171</v>
      </c>
      <c r="D325" t="s">
        <v>238</v>
      </c>
      <c r="E325" s="1">
        <v>43101</v>
      </c>
      <c r="F325" t="s">
        <v>902</v>
      </c>
      <c r="G325" t="s">
        <v>1013</v>
      </c>
      <c r="H325">
        <v>2700</v>
      </c>
      <c r="I325" t="s">
        <v>22</v>
      </c>
      <c r="J325">
        <v>0</v>
      </c>
      <c r="M325" t="s">
        <v>87</v>
      </c>
      <c r="N325" t="s">
        <v>1064</v>
      </c>
    </row>
    <row r="326" spans="1:17">
      <c r="A326" t="s">
        <v>1062</v>
      </c>
      <c r="B326" t="s">
        <v>1063</v>
      </c>
      <c r="C326">
        <v>171</v>
      </c>
      <c r="D326" t="s">
        <v>238</v>
      </c>
      <c r="E326" s="1">
        <v>43101</v>
      </c>
      <c r="F326" t="s">
        <v>902</v>
      </c>
      <c r="G326" t="s">
        <v>1013</v>
      </c>
      <c r="H326">
        <v>2700</v>
      </c>
      <c r="I326" t="s">
        <v>22</v>
      </c>
      <c r="J326">
        <v>0</v>
      </c>
      <c r="M326" t="s">
        <v>1547</v>
      </c>
      <c r="N326" t="s">
        <v>1064</v>
      </c>
      <c r="O326">
        <v>0</v>
      </c>
      <c r="P326">
        <v>0</v>
      </c>
      <c r="Q326" t="s">
        <v>119</v>
      </c>
    </row>
    <row r="327" spans="1:17">
      <c r="A327" t="s">
        <v>1065</v>
      </c>
      <c r="B327" t="s">
        <v>1066</v>
      </c>
      <c r="C327">
        <v>171</v>
      </c>
      <c r="D327" t="s">
        <v>238</v>
      </c>
      <c r="E327" s="1">
        <v>43101</v>
      </c>
      <c r="F327" t="s">
        <v>902</v>
      </c>
      <c r="G327" t="s">
        <v>1013</v>
      </c>
      <c r="H327">
        <v>23920</v>
      </c>
      <c r="I327" t="s">
        <v>22</v>
      </c>
      <c r="J327">
        <v>0</v>
      </c>
      <c r="M327" t="s">
        <v>87</v>
      </c>
      <c r="N327" t="s">
        <v>1067</v>
      </c>
    </row>
    <row r="328" spans="1:17">
      <c r="A328" t="s">
        <v>1065</v>
      </c>
      <c r="B328" t="s">
        <v>1066</v>
      </c>
      <c r="C328">
        <v>171</v>
      </c>
      <c r="D328" t="s">
        <v>238</v>
      </c>
      <c r="E328" s="1">
        <v>43101</v>
      </c>
      <c r="F328" t="s">
        <v>902</v>
      </c>
      <c r="G328" t="s">
        <v>1013</v>
      </c>
      <c r="H328">
        <v>23920</v>
      </c>
      <c r="I328" t="s">
        <v>22</v>
      </c>
      <c r="J328">
        <v>0</v>
      </c>
      <c r="M328" t="s">
        <v>1547</v>
      </c>
      <c r="N328" t="s">
        <v>1067</v>
      </c>
      <c r="O328">
        <v>0</v>
      </c>
      <c r="P328">
        <v>0</v>
      </c>
      <c r="Q328" t="s">
        <v>119</v>
      </c>
    </row>
    <row r="329" spans="1:17">
      <c r="A329" t="s">
        <v>1065</v>
      </c>
      <c r="B329" t="s">
        <v>1066</v>
      </c>
      <c r="C329">
        <v>171</v>
      </c>
      <c r="D329" t="s">
        <v>238</v>
      </c>
      <c r="E329" s="1">
        <v>43108</v>
      </c>
      <c r="F329" t="s">
        <v>1121</v>
      </c>
      <c r="G329" t="s">
        <v>702</v>
      </c>
      <c r="H329">
        <v>-40</v>
      </c>
      <c r="I329" t="s">
        <v>22</v>
      </c>
      <c r="J329">
        <v>0</v>
      </c>
      <c r="M329" t="s">
        <v>87</v>
      </c>
      <c r="N329" t="s">
        <v>1216</v>
      </c>
      <c r="Q329" t="s">
        <v>123</v>
      </c>
    </row>
    <row r="330" spans="1:17">
      <c r="A330" t="s">
        <v>1065</v>
      </c>
      <c r="B330" t="s">
        <v>1066</v>
      </c>
      <c r="C330">
        <v>171</v>
      </c>
      <c r="D330" t="s">
        <v>238</v>
      </c>
      <c r="E330" s="1">
        <v>43108</v>
      </c>
      <c r="F330" t="s">
        <v>1121</v>
      </c>
      <c r="G330" t="s">
        <v>702</v>
      </c>
      <c r="H330">
        <v>-40</v>
      </c>
      <c r="I330" t="s">
        <v>22</v>
      </c>
      <c r="J330">
        <v>0</v>
      </c>
      <c r="K330">
        <v>0</v>
      </c>
      <c r="L330" t="s">
        <v>117</v>
      </c>
      <c r="M330" t="s">
        <v>88</v>
      </c>
      <c r="N330" t="s">
        <v>1216</v>
      </c>
      <c r="O330">
        <v>0</v>
      </c>
      <c r="P330">
        <v>0</v>
      </c>
      <c r="Q330" t="s">
        <v>123</v>
      </c>
    </row>
    <row r="331" spans="1:17">
      <c r="A331" t="s">
        <v>1068</v>
      </c>
      <c r="B331" t="s">
        <v>1069</v>
      </c>
      <c r="C331">
        <v>171</v>
      </c>
      <c r="D331" t="s">
        <v>238</v>
      </c>
      <c r="E331" s="1">
        <v>43101</v>
      </c>
      <c r="F331" t="s">
        <v>902</v>
      </c>
      <c r="G331" t="s">
        <v>1013</v>
      </c>
      <c r="H331">
        <v>14220</v>
      </c>
      <c r="I331" t="s">
        <v>22</v>
      </c>
      <c r="J331">
        <v>0</v>
      </c>
      <c r="M331" t="s">
        <v>87</v>
      </c>
      <c r="N331" t="s">
        <v>1070</v>
      </c>
    </row>
    <row r="332" spans="1:17">
      <c r="A332" t="s">
        <v>1068</v>
      </c>
      <c r="B332" t="s">
        <v>1069</v>
      </c>
      <c r="C332">
        <v>171</v>
      </c>
      <c r="D332" t="s">
        <v>238</v>
      </c>
      <c r="E332" s="1">
        <v>43101</v>
      </c>
      <c r="F332" t="s">
        <v>902</v>
      </c>
      <c r="G332" t="s">
        <v>1013</v>
      </c>
      <c r="H332">
        <v>14220</v>
      </c>
      <c r="I332" t="s">
        <v>22</v>
      </c>
      <c r="J332">
        <v>0</v>
      </c>
      <c r="M332" t="s">
        <v>1547</v>
      </c>
      <c r="N332" t="s">
        <v>1070</v>
      </c>
      <c r="O332">
        <v>0</v>
      </c>
      <c r="P332">
        <v>0</v>
      </c>
      <c r="Q332" t="s">
        <v>119</v>
      </c>
    </row>
    <row r="333" spans="1:17">
      <c r="A333" t="s">
        <v>1071</v>
      </c>
      <c r="B333" t="s">
        <v>1072</v>
      </c>
      <c r="C333">
        <v>171</v>
      </c>
      <c r="D333" t="s">
        <v>238</v>
      </c>
      <c r="E333" s="1">
        <v>43101</v>
      </c>
      <c r="F333" t="s">
        <v>902</v>
      </c>
      <c r="G333" t="s">
        <v>1013</v>
      </c>
      <c r="H333">
        <v>3870</v>
      </c>
      <c r="I333" t="s">
        <v>22</v>
      </c>
      <c r="J333">
        <v>0</v>
      </c>
      <c r="M333" t="s">
        <v>87</v>
      </c>
      <c r="N333" t="s">
        <v>1073</v>
      </c>
    </row>
    <row r="334" spans="1:17">
      <c r="A334" t="s">
        <v>1071</v>
      </c>
      <c r="B334" t="s">
        <v>1072</v>
      </c>
      <c r="C334">
        <v>171</v>
      </c>
      <c r="D334" t="s">
        <v>238</v>
      </c>
      <c r="E334" s="1">
        <v>43101</v>
      </c>
      <c r="F334" t="s">
        <v>902</v>
      </c>
      <c r="G334" t="s">
        <v>1013</v>
      </c>
      <c r="H334">
        <v>3870</v>
      </c>
      <c r="I334" t="s">
        <v>22</v>
      </c>
      <c r="J334">
        <v>0</v>
      </c>
      <c r="M334" t="s">
        <v>1547</v>
      </c>
      <c r="N334" t="s">
        <v>1073</v>
      </c>
      <c r="O334">
        <v>0</v>
      </c>
      <c r="P334">
        <v>0</v>
      </c>
      <c r="Q334" t="s">
        <v>119</v>
      </c>
    </row>
    <row r="335" spans="1:17">
      <c r="A335" t="s">
        <v>823</v>
      </c>
      <c r="B335" t="s">
        <v>824</v>
      </c>
      <c r="C335">
        <v>171</v>
      </c>
      <c r="D335" t="s">
        <v>238</v>
      </c>
      <c r="E335" s="1">
        <v>43132</v>
      </c>
      <c r="F335" t="s">
        <v>224</v>
      </c>
      <c r="G335" t="s">
        <v>878</v>
      </c>
      <c r="H335">
        <v>9</v>
      </c>
      <c r="I335" t="s">
        <v>22</v>
      </c>
      <c r="J335">
        <v>0</v>
      </c>
      <c r="M335" t="s">
        <v>87</v>
      </c>
      <c r="N335" t="s">
        <v>879</v>
      </c>
    </row>
    <row r="336" spans="1:17">
      <c r="A336" t="s">
        <v>823</v>
      </c>
      <c r="B336" t="s">
        <v>824</v>
      </c>
      <c r="C336">
        <v>171</v>
      </c>
      <c r="D336" t="s">
        <v>238</v>
      </c>
      <c r="E336" s="1">
        <v>43132</v>
      </c>
      <c r="F336" t="s">
        <v>224</v>
      </c>
      <c r="G336" t="s">
        <v>878</v>
      </c>
      <c r="H336">
        <v>9</v>
      </c>
      <c r="I336" t="s">
        <v>22</v>
      </c>
      <c r="J336">
        <v>0</v>
      </c>
      <c r="M336" t="s">
        <v>1547</v>
      </c>
      <c r="N336" t="s">
        <v>879</v>
      </c>
      <c r="O336">
        <v>0</v>
      </c>
      <c r="P336">
        <v>0</v>
      </c>
      <c r="Q336" t="s">
        <v>119</v>
      </c>
    </row>
    <row r="337" spans="1:17">
      <c r="A337" t="s">
        <v>823</v>
      </c>
      <c r="B337" t="s">
        <v>824</v>
      </c>
      <c r="C337">
        <v>171</v>
      </c>
      <c r="D337" t="s">
        <v>238</v>
      </c>
      <c r="E337" s="1">
        <v>43143</v>
      </c>
      <c r="F337" t="s">
        <v>15</v>
      </c>
      <c r="G337" t="s">
        <v>822</v>
      </c>
      <c r="H337">
        <v>1</v>
      </c>
      <c r="I337" t="s">
        <v>22</v>
      </c>
      <c r="J337">
        <v>0</v>
      </c>
      <c r="K337">
        <v>0</v>
      </c>
      <c r="M337" t="s">
        <v>87</v>
      </c>
      <c r="N337" t="s">
        <v>825</v>
      </c>
      <c r="Q337" t="s">
        <v>123</v>
      </c>
    </row>
    <row r="338" spans="1:17">
      <c r="A338" t="s">
        <v>823</v>
      </c>
      <c r="B338" t="s">
        <v>824</v>
      </c>
      <c r="C338">
        <v>171</v>
      </c>
      <c r="D338" t="s">
        <v>238</v>
      </c>
      <c r="E338" s="1">
        <v>43143</v>
      </c>
      <c r="F338" t="s">
        <v>15</v>
      </c>
      <c r="G338" t="s">
        <v>822</v>
      </c>
      <c r="H338">
        <v>1</v>
      </c>
      <c r="I338" t="s">
        <v>22</v>
      </c>
      <c r="J338">
        <v>0</v>
      </c>
      <c r="K338">
        <v>0</v>
      </c>
      <c r="L338" t="s">
        <v>117</v>
      </c>
      <c r="M338" t="s">
        <v>88</v>
      </c>
      <c r="N338" t="s">
        <v>825</v>
      </c>
      <c r="O338">
        <v>0</v>
      </c>
      <c r="P338">
        <v>0</v>
      </c>
      <c r="Q338" t="s">
        <v>123</v>
      </c>
    </row>
    <row r="339" spans="1:17">
      <c r="A339" t="s">
        <v>823</v>
      </c>
      <c r="B339" t="s">
        <v>824</v>
      </c>
      <c r="C339">
        <v>171</v>
      </c>
      <c r="D339" t="s">
        <v>238</v>
      </c>
      <c r="E339" s="1">
        <v>43146</v>
      </c>
      <c r="F339" t="s">
        <v>1121</v>
      </c>
      <c r="G339" t="s">
        <v>748</v>
      </c>
      <c r="H339">
        <v>-10</v>
      </c>
      <c r="I339" t="s">
        <v>22</v>
      </c>
      <c r="J339">
        <v>0</v>
      </c>
      <c r="M339" t="s">
        <v>87</v>
      </c>
      <c r="N339" t="s">
        <v>1303</v>
      </c>
      <c r="Q339" t="s">
        <v>123</v>
      </c>
    </row>
    <row r="340" spans="1:17">
      <c r="A340" t="s">
        <v>823</v>
      </c>
      <c r="B340" t="s">
        <v>824</v>
      </c>
      <c r="C340">
        <v>171</v>
      </c>
      <c r="D340" t="s">
        <v>238</v>
      </c>
      <c r="E340" s="1">
        <v>43146</v>
      </c>
      <c r="F340" t="s">
        <v>1121</v>
      </c>
      <c r="G340" t="s">
        <v>748</v>
      </c>
      <c r="H340">
        <v>-10</v>
      </c>
      <c r="I340" t="s">
        <v>22</v>
      </c>
      <c r="J340">
        <v>0</v>
      </c>
      <c r="K340">
        <v>0</v>
      </c>
      <c r="L340" t="s">
        <v>117</v>
      </c>
      <c r="M340" t="s">
        <v>88</v>
      </c>
      <c r="N340" t="s">
        <v>1303</v>
      </c>
      <c r="O340">
        <v>0</v>
      </c>
      <c r="P340">
        <v>0</v>
      </c>
      <c r="Q340" t="s">
        <v>123</v>
      </c>
    </row>
    <row r="341" spans="1:17">
      <c r="A341" t="s">
        <v>823</v>
      </c>
      <c r="B341" t="s">
        <v>824</v>
      </c>
      <c r="C341">
        <v>171</v>
      </c>
      <c r="D341" t="s">
        <v>238</v>
      </c>
      <c r="E341" s="1">
        <v>43151</v>
      </c>
      <c r="F341" t="s">
        <v>15</v>
      </c>
      <c r="G341" t="s">
        <v>842</v>
      </c>
      <c r="H341">
        <v>14</v>
      </c>
      <c r="I341" t="s">
        <v>22</v>
      </c>
      <c r="J341">
        <v>0</v>
      </c>
      <c r="K341">
        <v>0</v>
      </c>
      <c r="M341" t="s">
        <v>87</v>
      </c>
      <c r="N341" t="s">
        <v>843</v>
      </c>
      <c r="Q341" t="s">
        <v>123</v>
      </c>
    </row>
    <row r="342" spans="1:17">
      <c r="A342" t="s">
        <v>823</v>
      </c>
      <c r="B342" t="s">
        <v>824</v>
      </c>
      <c r="C342">
        <v>171</v>
      </c>
      <c r="D342" t="s">
        <v>238</v>
      </c>
      <c r="E342" s="1">
        <v>43151</v>
      </c>
      <c r="F342" t="s">
        <v>15</v>
      </c>
      <c r="G342" t="s">
        <v>842</v>
      </c>
      <c r="H342">
        <v>14</v>
      </c>
      <c r="I342" t="s">
        <v>22</v>
      </c>
      <c r="J342">
        <v>0</v>
      </c>
      <c r="K342">
        <v>0</v>
      </c>
      <c r="L342" t="s">
        <v>117</v>
      </c>
      <c r="M342" t="s">
        <v>88</v>
      </c>
      <c r="N342" t="s">
        <v>843</v>
      </c>
      <c r="O342">
        <v>0</v>
      </c>
      <c r="P342">
        <v>0</v>
      </c>
      <c r="Q342" t="s">
        <v>123</v>
      </c>
    </row>
    <row r="343" spans="1:17">
      <c r="A343" t="s">
        <v>823</v>
      </c>
      <c r="B343" t="s">
        <v>824</v>
      </c>
      <c r="C343">
        <v>171</v>
      </c>
      <c r="D343" t="s">
        <v>238</v>
      </c>
      <c r="E343" s="1">
        <v>43157</v>
      </c>
      <c r="F343" t="s">
        <v>1121</v>
      </c>
      <c r="G343" t="s">
        <v>776</v>
      </c>
      <c r="H343">
        <v>-14</v>
      </c>
      <c r="I343" t="s">
        <v>22</v>
      </c>
      <c r="J343">
        <v>0</v>
      </c>
      <c r="M343" t="s">
        <v>87</v>
      </c>
      <c r="N343" t="s">
        <v>1360</v>
      </c>
      <c r="Q343" t="s">
        <v>123</v>
      </c>
    </row>
    <row r="344" spans="1:17">
      <c r="A344" t="s">
        <v>823</v>
      </c>
      <c r="B344" t="s">
        <v>824</v>
      </c>
      <c r="C344">
        <v>171</v>
      </c>
      <c r="D344" t="s">
        <v>238</v>
      </c>
      <c r="E344" s="1">
        <v>43157</v>
      </c>
      <c r="F344" t="s">
        <v>1121</v>
      </c>
      <c r="G344" t="s">
        <v>776</v>
      </c>
      <c r="H344">
        <v>-14</v>
      </c>
      <c r="I344" t="s">
        <v>22</v>
      </c>
      <c r="J344">
        <v>0</v>
      </c>
      <c r="K344">
        <v>0</v>
      </c>
      <c r="L344" t="s">
        <v>117</v>
      </c>
      <c r="M344" t="s">
        <v>88</v>
      </c>
      <c r="N344" t="s">
        <v>1360</v>
      </c>
      <c r="O344">
        <v>0</v>
      </c>
      <c r="P344">
        <v>0</v>
      </c>
      <c r="Q344" t="s">
        <v>123</v>
      </c>
    </row>
    <row r="345" spans="1:17">
      <c r="A345" t="s">
        <v>826</v>
      </c>
      <c r="B345" t="s">
        <v>827</v>
      </c>
      <c r="C345">
        <v>171</v>
      </c>
      <c r="D345" t="s">
        <v>238</v>
      </c>
      <c r="E345" s="1">
        <v>43132</v>
      </c>
      <c r="F345" t="s">
        <v>224</v>
      </c>
      <c r="G345" t="s">
        <v>880</v>
      </c>
      <c r="H345">
        <v>9</v>
      </c>
      <c r="I345" t="s">
        <v>22</v>
      </c>
      <c r="J345">
        <v>0</v>
      </c>
      <c r="M345" t="s">
        <v>87</v>
      </c>
      <c r="N345" t="s">
        <v>881</v>
      </c>
    </row>
    <row r="346" spans="1:17">
      <c r="A346" t="s">
        <v>826</v>
      </c>
      <c r="B346" t="s">
        <v>827</v>
      </c>
      <c r="C346">
        <v>171</v>
      </c>
      <c r="D346" t="s">
        <v>238</v>
      </c>
      <c r="E346" s="1">
        <v>43132</v>
      </c>
      <c r="F346" t="s">
        <v>224</v>
      </c>
      <c r="G346" t="s">
        <v>880</v>
      </c>
      <c r="H346">
        <v>9</v>
      </c>
      <c r="I346" t="s">
        <v>22</v>
      </c>
      <c r="J346">
        <v>0</v>
      </c>
      <c r="M346" t="s">
        <v>1547</v>
      </c>
      <c r="N346" t="s">
        <v>881</v>
      </c>
      <c r="O346">
        <v>0</v>
      </c>
      <c r="P346">
        <v>0</v>
      </c>
      <c r="Q346" t="s">
        <v>119</v>
      </c>
    </row>
    <row r="347" spans="1:17">
      <c r="A347" t="s">
        <v>826</v>
      </c>
      <c r="B347" t="s">
        <v>827</v>
      </c>
      <c r="C347">
        <v>171</v>
      </c>
      <c r="D347" t="s">
        <v>238</v>
      </c>
      <c r="E347" s="1">
        <v>43143</v>
      </c>
      <c r="F347" t="s">
        <v>15</v>
      </c>
      <c r="G347" t="s">
        <v>822</v>
      </c>
      <c r="H347">
        <v>1</v>
      </c>
      <c r="I347" t="s">
        <v>22</v>
      </c>
      <c r="J347">
        <v>0</v>
      </c>
      <c r="K347">
        <v>0</v>
      </c>
      <c r="M347" t="s">
        <v>87</v>
      </c>
      <c r="N347" t="s">
        <v>828</v>
      </c>
      <c r="Q347" t="s">
        <v>123</v>
      </c>
    </row>
    <row r="348" spans="1:17">
      <c r="A348" t="s">
        <v>826</v>
      </c>
      <c r="B348" t="s">
        <v>827</v>
      </c>
      <c r="C348">
        <v>171</v>
      </c>
      <c r="D348" t="s">
        <v>238</v>
      </c>
      <c r="E348" s="1">
        <v>43143</v>
      </c>
      <c r="F348" t="s">
        <v>15</v>
      </c>
      <c r="G348" t="s">
        <v>822</v>
      </c>
      <c r="H348">
        <v>1</v>
      </c>
      <c r="I348" t="s">
        <v>22</v>
      </c>
      <c r="J348">
        <v>0</v>
      </c>
      <c r="K348">
        <v>0</v>
      </c>
      <c r="L348" t="s">
        <v>117</v>
      </c>
      <c r="M348" t="s">
        <v>88</v>
      </c>
      <c r="N348" t="s">
        <v>828</v>
      </c>
      <c r="O348">
        <v>0</v>
      </c>
      <c r="P348">
        <v>0</v>
      </c>
      <c r="Q348" t="s">
        <v>123</v>
      </c>
    </row>
    <row r="349" spans="1:17">
      <c r="A349" t="s">
        <v>826</v>
      </c>
      <c r="B349" t="s">
        <v>827</v>
      </c>
      <c r="C349">
        <v>171</v>
      </c>
      <c r="D349" t="s">
        <v>238</v>
      </c>
      <c r="E349" s="1">
        <v>43146</v>
      </c>
      <c r="F349" t="s">
        <v>1121</v>
      </c>
      <c r="G349" t="s">
        <v>766</v>
      </c>
      <c r="H349">
        <v>-10</v>
      </c>
      <c r="I349" t="s">
        <v>22</v>
      </c>
      <c r="J349">
        <v>0</v>
      </c>
      <c r="M349" t="s">
        <v>87</v>
      </c>
      <c r="N349" t="s">
        <v>1343</v>
      </c>
      <c r="Q349" t="s">
        <v>123</v>
      </c>
    </row>
    <row r="350" spans="1:17">
      <c r="A350" t="s">
        <v>826</v>
      </c>
      <c r="B350" t="s">
        <v>827</v>
      </c>
      <c r="C350">
        <v>171</v>
      </c>
      <c r="D350" t="s">
        <v>238</v>
      </c>
      <c r="E350" s="1">
        <v>43146</v>
      </c>
      <c r="F350" t="s">
        <v>1121</v>
      </c>
      <c r="G350" t="s">
        <v>766</v>
      </c>
      <c r="H350">
        <v>-10</v>
      </c>
      <c r="I350" t="s">
        <v>22</v>
      </c>
      <c r="J350">
        <v>0</v>
      </c>
      <c r="K350">
        <v>0</v>
      </c>
      <c r="L350" t="s">
        <v>117</v>
      </c>
      <c r="M350" t="s">
        <v>88</v>
      </c>
      <c r="N350" t="s">
        <v>1343</v>
      </c>
      <c r="O350">
        <v>0</v>
      </c>
      <c r="P350">
        <v>0</v>
      </c>
      <c r="Q350" t="s">
        <v>123</v>
      </c>
    </row>
    <row r="351" spans="1:17">
      <c r="A351" t="s">
        <v>826</v>
      </c>
      <c r="B351" t="s">
        <v>827</v>
      </c>
      <c r="C351">
        <v>171</v>
      </c>
      <c r="D351" t="s">
        <v>238</v>
      </c>
      <c r="E351" s="1">
        <v>43151</v>
      </c>
      <c r="F351" t="s">
        <v>15</v>
      </c>
      <c r="G351" t="s">
        <v>842</v>
      </c>
      <c r="H351">
        <v>20</v>
      </c>
      <c r="I351" t="s">
        <v>22</v>
      </c>
      <c r="J351">
        <v>0</v>
      </c>
      <c r="K351">
        <v>0</v>
      </c>
      <c r="M351" t="s">
        <v>87</v>
      </c>
      <c r="N351" t="s">
        <v>844</v>
      </c>
      <c r="Q351" t="s">
        <v>123</v>
      </c>
    </row>
    <row r="352" spans="1:17">
      <c r="A352" t="s">
        <v>826</v>
      </c>
      <c r="B352" t="s">
        <v>827</v>
      </c>
      <c r="C352">
        <v>171</v>
      </c>
      <c r="D352" t="s">
        <v>238</v>
      </c>
      <c r="E352" s="1">
        <v>43151</v>
      </c>
      <c r="F352" t="s">
        <v>15</v>
      </c>
      <c r="G352" t="s">
        <v>842</v>
      </c>
      <c r="H352">
        <v>20</v>
      </c>
      <c r="I352" t="s">
        <v>22</v>
      </c>
      <c r="J352">
        <v>0</v>
      </c>
      <c r="K352">
        <v>0</v>
      </c>
      <c r="L352" t="s">
        <v>117</v>
      </c>
      <c r="M352" t="s">
        <v>88</v>
      </c>
      <c r="N352" t="s">
        <v>844</v>
      </c>
      <c r="O352">
        <v>0</v>
      </c>
      <c r="P352">
        <v>0</v>
      </c>
      <c r="Q352" t="s">
        <v>123</v>
      </c>
    </row>
    <row r="353" spans="1:17">
      <c r="A353" t="s">
        <v>826</v>
      </c>
      <c r="B353" t="s">
        <v>827</v>
      </c>
      <c r="C353">
        <v>171</v>
      </c>
      <c r="D353" t="s">
        <v>238</v>
      </c>
      <c r="E353" s="1">
        <v>43157</v>
      </c>
      <c r="F353" t="s">
        <v>1121</v>
      </c>
      <c r="G353" t="s">
        <v>778</v>
      </c>
      <c r="H353">
        <v>-20</v>
      </c>
      <c r="I353" t="s">
        <v>22</v>
      </c>
      <c r="J353">
        <v>0</v>
      </c>
      <c r="M353" t="s">
        <v>87</v>
      </c>
      <c r="N353" t="s">
        <v>1361</v>
      </c>
      <c r="Q353" t="s">
        <v>123</v>
      </c>
    </row>
    <row r="354" spans="1:17">
      <c r="A354" t="s">
        <v>826</v>
      </c>
      <c r="B354" t="s">
        <v>827</v>
      </c>
      <c r="C354">
        <v>171</v>
      </c>
      <c r="D354" t="s">
        <v>238</v>
      </c>
      <c r="E354" s="1">
        <v>43157</v>
      </c>
      <c r="F354" t="s">
        <v>1121</v>
      </c>
      <c r="G354" t="s">
        <v>778</v>
      </c>
      <c r="H354">
        <v>-20</v>
      </c>
      <c r="I354" t="s">
        <v>22</v>
      </c>
      <c r="J354">
        <v>0</v>
      </c>
      <c r="K354">
        <v>0</v>
      </c>
      <c r="L354" t="s">
        <v>117</v>
      </c>
      <c r="M354" t="s">
        <v>88</v>
      </c>
      <c r="N354" t="s">
        <v>1361</v>
      </c>
      <c r="O354">
        <v>0</v>
      </c>
      <c r="P354">
        <v>0</v>
      </c>
      <c r="Q354" t="s">
        <v>123</v>
      </c>
    </row>
    <row r="355" spans="1:17">
      <c r="A355" t="s">
        <v>281</v>
      </c>
      <c r="B355" t="s">
        <v>424</v>
      </c>
      <c r="C355">
        <v>171</v>
      </c>
      <c r="D355" t="s">
        <v>238</v>
      </c>
      <c r="E355" s="1">
        <v>43101</v>
      </c>
      <c r="F355" t="s">
        <v>902</v>
      </c>
      <c r="G355" t="s">
        <v>990</v>
      </c>
      <c r="H355">
        <v>8</v>
      </c>
      <c r="I355" t="s">
        <v>22</v>
      </c>
      <c r="J355">
        <v>0</v>
      </c>
      <c r="M355" t="s">
        <v>87</v>
      </c>
      <c r="N355" t="s">
        <v>1007</v>
      </c>
    </row>
    <row r="356" spans="1:17">
      <c r="A356" t="s">
        <v>281</v>
      </c>
      <c r="B356" t="s">
        <v>424</v>
      </c>
      <c r="C356">
        <v>171</v>
      </c>
      <c r="D356" t="s">
        <v>238</v>
      </c>
      <c r="E356" s="1">
        <v>43101</v>
      </c>
      <c r="F356" t="s">
        <v>902</v>
      </c>
      <c r="G356" t="s">
        <v>990</v>
      </c>
      <c r="H356">
        <v>8</v>
      </c>
      <c r="I356" t="s">
        <v>22</v>
      </c>
      <c r="J356">
        <v>0</v>
      </c>
      <c r="M356" t="s">
        <v>1547</v>
      </c>
      <c r="N356" t="s">
        <v>1007</v>
      </c>
      <c r="O356">
        <v>0</v>
      </c>
      <c r="P356">
        <v>0</v>
      </c>
      <c r="Q356" t="s">
        <v>119</v>
      </c>
    </row>
    <row r="357" spans="1:17">
      <c r="A357" t="s">
        <v>281</v>
      </c>
      <c r="B357" t="s">
        <v>424</v>
      </c>
      <c r="C357">
        <v>171</v>
      </c>
      <c r="D357" t="s">
        <v>238</v>
      </c>
      <c r="E357" s="1">
        <v>43101</v>
      </c>
      <c r="F357" t="s">
        <v>902</v>
      </c>
      <c r="G357" t="s">
        <v>990</v>
      </c>
      <c r="H357">
        <v>2</v>
      </c>
      <c r="I357" t="s">
        <v>22</v>
      </c>
      <c r="J357">
        <v>0</v>
      </c>
      <c r="M357" t="s">
        <v>87</v>
      </c>
      <c r="N357" t="s">
        <v>1008</v>
      </c>
    </row>
    <row r="358" spans="1:17">
      <c r="A358" t="s">
        <v>281</v>
      </c>
      <c r="B358" t="s">
        <v>424</v>
      </c>
      <c r="C358">
        <v>171</v>
      </c>
      <c r="D358" t="s">
        <v>238</v>
      </c>
      <c r="E358" s="1">
        <v>43101</v>
      </c>
      <c r="F358" t="s">
        <v>902</v>
      </c>
      <c r="G358" t="s">
        <v>990</v>
      </c>
      <c r="H358">
        <v>2</v>
      </c>
      <c r="I358" t="s">
        <v>22</v>
      </c>
      <c r="J358">
        <v>0</v>
      </c>
      <c r="M358" t="s">
        <v>1547</v>
      </c>
      <c r="N358" t="s">
        <v>1008</v>
      </c>
      <c r="O358">
        <v>0</v>
      </c>
      <c r="P358">
        <v>0</v>
      </c>
      <c r="Q358" t="s">
        <v>119</v>
      </c>
    </row>
    <row r="359" spans="1:17">
      <c r="A359" t="s">
        <v>1074</v>
      </c>
      <c r="B359" t="s">
        <v>1075</v>
      </c>
      <c r="C359">
        <v>171</v>
      </c>
      <c r="D359" t="s">
        <v>238</v>
      </c>
      <c r="E359" s="1">
        <v>43101</v>
      </c>
      <c r="F359" t="s">
        <v>902</v>
      </c>
      <c r="G359" t="s">
        <v>1013</v>
      </c>
      <c r="H359">
        <v>10</v>
      </c>
      <c r="I359" t="s">
        <v>22</v>
      </c>
      <c r="J359">
        <v>0</v>
      </c>
      <c r="M359" t="s">
        <v>87</v>
      </c>
      <c r="N359" t="s">
        <v>1076</v>
      </c>
    </row>
    <row r="360" spans="1:17">
      <c r="A360" t="s">
        <v>1074</v>
      </c>
      <c r="B360" t="s">
        <v>1075</v>
      </c>
      <c r="C360">
        <v>171</v>
      </c>
      <c r="D360" t="s">
        <v>238</v>
      </c>
      <c r="E360" s="1">
        <v>43101</v>
      </c>
      <c r="F360" t="s">
        <v>902</v>
      </c>
      <c r="G360" t="s">
        <v>1013</v>
      </c>
      <c r="H360">
        <v>10</v>
      </c>
      <c r="I360" t="s">
        <v>22</v>
      </c>
      <c r="J360">
        <v>0</v>
      </c>
      <c r="M360" t="s">
        <v>1547</v>
      </c>
      <c r="N360" t="s">
        <v>1076</v>
      </c>
      <c r="O360">
        <v>0</v>
      </c>
      <c r="P360">
        <v>0</v>
      </c>
      <c r="Q360" t="s">
        <v>119</v>
      </c>
    </row>
    <row r="361" spans="1:17">
      <c r="A361" t="s">
        <v>626</v>
      </c>
      <c r="B361" t="s">
        <v>627</v>
      </c>
      <c r="C361">
        <v>171</v>
      </c>
      <c r="D361" t="s">
        <v>238</v>
      </c>
      <c r="E361" s="1">
        <v>43101</v>
      </c>
      <c r="F361" t="s">
        <v>902</v>
      </c>
      <c r="G361" t="s">
        <v>1013</v>
      </c>
      <c r="H361">
        <v>87</v>
      </c>
      <c r="I361" t="s">
        <v>22</v>
      </c>
      <c r="J361">
        <v>0</v>
      </c>
      <c r="M361" t="s">
        <v>87</v>
      </c>
      <c r="N361" t="s">
        <v>1077</v>
      </c>
    </row>
    <row r="362" spans="1:17">
      <c r="A362" t="s">
        <v>626</v>
      </c>
      <c r="B362" t="s">
        <v>627</v>
      </c>
      <c r="C362">
        <v>171</v>
      </c>
      <c r="D362" t="s">
        <v>238</v>
      </c>
      <c r="E362" s="1">
        <v>43101</v>
      </c>
      <c r="F362" t="s">
        <v>902</v>
      </c>
      <c r="G362" t="s">
        <v>1013</v>
      </c>
      <c r="H362">
        <v>87</v>
      </c>
      <c r="I362" t="s">
        <v>22</v>
      </c>
      <c r="J362">
        <v>0</v>
      </c>
      <c r="M362" t="s">
        <v>1547</v>
      </c>
      <c r="N362" t="s">
        <v>1077</v>
      </c>
      <c r="O362">
        <v>0</v>
      </c>
      <c r="P362">
        <v>0</v>
      </c>
      <c r="Q362" t="s">
        <v>119</v>
      </c>
    </row>
    <row r="363" spans="1:17">
      <c r="A363" t="s">
        <v>626</v>
      </c>
      <c r="B363" t="s">
        <v>627</v>
      </c>
      <c r="C363">
        <v>171</v>
      </c>
      <c r="D363" t="s">
        <v>238</v>
      </c>
      <c r="E363" s="1">
        <v>43158</v>
      </c>
      <c r="F363" t="s">
        <v>122</v>
      </c>
      <c r="G363" t="s">
        <v>623</v>
      </c>
      <c r="H363">
        <v>-40</v>
      </c>
      <c r="I363" t="s">
        <v>22</v>
      </c>
      <c r="J363">
        <v>0</v>
      </c>
      <c r="M363" t="s">
        <v>87</v>
      </c>
      <c r="N363" t="s">
        <v>628</v>
      </c>
      <c r="Q363" t="s">
        <v>123</v>
      </c>
    </row>
    <row r="364" spans="1:17">
      <c r="A364" t="s">
        <v>626</v>
      </c>
      <c r="B364" t="s">
        <v>627</v>
      </c>
      <c r="C364">
        <v>171</v>
      </c>
      <c r="D364" t="s">
        <v>238</v>
      </c>
      <c r="E364" s="1">
        <v>43158</v>
      </c>
      <c r="F364" t="s">
        <v>122</v>
      </c>
      <c r="G364" t="s">
        <v>623</v>
      </c>
      <c r="H364">
        <v>-40</v>
      </c>
      <c r="I364" t="s">
        <v>22</v>
      </c>
      <c r="J364">
        <v>0</v>
      </c>
      <c r="K364">
        <v>0</v>
      </c>
      <c r="L364" t="s">
        <v>117</v>
      </c>
      <c r="M364" t="s">
        <v>88</v>
      </c>
      <c r="N364" t="s">
        <v>628</v>
      </c>
      <c r="O364">
        <v>0</v>
      </c>
      <c r="P364">
        <v>0</v>
      </c>
      <c r="Q364" t="s">
        <v>123</v>
      </c>
    </row>
    <row r="365" spans="1:17">
      <c r="A365" t="s">
        <v>429</v>
      </c>
      <c r="B365" t="s">
        <v>430</v>
      </c>
      <c r="C365">
        <v>171</v>
      </c>
      <c r="D365" t="s">
        <v>238</v>
      </c>
      <c r="E365" s="1">
        <v>43108</v>
      </c>
      <c r="F365" t="s">
        <v>655</v>
      </c>
      <c r="G365" t="s">
        <v>696</v>
      </c>
      <c r="H365">
        <v>5</v>
      </c>
      <c r="I365" t="s">
        <v>22</v>
      </c>
      <c r="J365">
        <v>0</v>
      </c>
      <c r="M365" t="s">
        <v>87</v>
      </c>
      <c r="N365" t="s">
        <v>697</v>
      </c>
      <c r="Q365" t="s">
        <v>123</v>
      </c>
    </row>
    <row r="366" spans="1:17">
      <c r="A366" t="s">
        <v>429</v>
      </c>
      <c r="B366" t="s">
        <v>430</v>
      </c>
      <c r="C366">
        <v>171</v>
      </c>
      <c r="D366" t="s">
        <v>238</v>
      </c>
      <c r="E366" s="1">
        <v>43108</v>
      </c>
      <c r="F366" t="s">
        <v>655</v>
      </c>
      <c r="G366" t="s">
        <v>696</v>
      </c>
      <c r="H366">
        <v>5</v>
      </c>
      <c r="I366" t="s">
        <v>22</v>
      </c>
      <c r="J366">
        <v>0</v>
      </c>
      <c r="K366">
        <v>0</v>
      </c>
      <c r="L366" t="s">
        <v>117</v>
      </c>
      <c r="M366" t="s">
        <v>88</v>
      </c>
      <c r="N366" t="s">
        <v>697</v>
      </c>
      <c r="O366">
        <v>0</v>
      </c>
      <c r="P366">
        <v>0</v>
      </c>
      <c r="Q366" t="s">
        <v>123</v>
      </c>
    </row>
    <row r="367" spans="1:17">
      <c r="A367" t="s">
        <v>429</v>
      </c>
      <c r="B367" t="s">
        <v>430</v>
      </c>
      <c r="C367">
        <v>171</v>
      </c>
      <c r="D367" t="s">
        <v>238</v>
      </c>
      <c r="E367" s="1">
        <v>43137</v>
      </c>
      <c r="F367" t="s">
        <v>224</v>
      </c>
      <c r="G367" t="s">
        <v>882</v>
      </c>
      <c r="H367">
        <v>-4</v>
      </c>
      <c r="I367" t="s">
        <v>22</v>
      </c>
      <c r="J367">
        <v>0</v>
      </c>
      <c r="M367" t="s">
        <v>87</v>
      </c>
      <c r="N367" t="s">
        <v>883</v>
      </c>
    </row>
    <row r="368" spans="1:17">
      <c r="A368" t="s">
        <v>429</v>
      </c>
      <c r="B368" t="s">
        <v>430</v>
      </c>
      <c r="C368">
        <v>171</v>
      </c>
      <c r="D368" t="s">
        <v>238</v>
      </c>
      <c r="E368" s="1">
        <v>43137</v>
      </c>
      <c r="F368" t="s">
        <v>224</v>
      </c>
      <c r="G368" t="s">
        <v>882</v>
      </c>
      <c r="H368">
        <v>-4</v>
      </c>
      <c r="I368" t="s">
        <v>22</v>
      </c>
      <c r="J368">
        <v>0</v>
      </c>
      <c r="K368">
        <v>0</v>
      </c>
      <c r="M368" t="s">
        <v>1547</v>
      </c>
      <c r="N368" t="s">
        <v>883</v>
      </c>
      <c r="O368">
        <v>0</v>
      </c>
      <c r="P368">
        <v>0</v>
      </c>
      <c r="Q368" t="s">
        <v>119</v>
      </c>
    </row>
    <row r="369" spans="1:17">
      <c r="A369" t="s">
        <v>437</v>
      </c>
      <c r="B369" t="s">
        <v>438</v>
      </c>
      <c r="C369">
        <v>171</v>
      </c>
      <c r="D369" t="s">
        <v>238</v>
      </c>
      <c r="E369" s="1">
        <v>43108</v>
      </c>
      <c r="F369" t="s">
        <v>655</v>
      </c>
      <c r="G369" t="s">
        <v>674</v>
      </c>
      <c r="H369">
        <v>10</v>
      </c>
      <c r="I369" t="s">
        <v>22</v>
      </c>
      <c r="J369">
        <v>0</v>
      </c>
      <c r="M369" t="s">
        <v>87</v>
      </c>
      <c r="N369" t="s">
        <v>675</v>
      </c>
      <c r="Q369" t="s">
        <v>123</v>
      </c>
    </row>
    <row r="370" spans="1:17">
      <c r="A370" t="s">
        <v>437</v>
      </c>
      <c r="B370" t="s">
        <v>438</v>
      </c>
      <c r="C370">
        <v>171</v>
      </c>
      <c r="D370" t="s">
        <v>238</v>
      </c>
      <c r="E370" s="1">
        <v>43108</v>
      </c>
      <c r="F370" t="s">
        <v>655</v>
      </c>
      <c r="G370" t="s">
        <v>674</v>
      </c>
      <c r="H370">
        <v>10</v>
      </c>
      <c r="I370" t="s">
        <v>22</v>
      </c>
      <c r="J370">
        <v>0</v>
      </c>
      <c r="K370">
        <v>0</v>
      </c>
      <c r="L370" t="s">
        <v>117</v>
      </c>
      <c r="M370" t="s">
        <v>88</v>
      </c>
      <c r="N370" t="s">
        <v>675</v>
      </c>
      <c r="O370">
        <v>0</v>
      </c>
      <c r="P370">
        <v>0</v>
      </c>
      <c r="Q370" t="s">
        <v>123</v>
      </c>
    </row>
    <row r="371" spans="1:17">
      <c r="A371" t="s">
        <v>437</v>
      </c>
      <c r="B371" t="s">
        <v>438</v>
      </c>
      <c r="C371">
        <v>171</v>
      </c>
      <c r="D371" t="s">
        <v>238</v>
      </c>
      <c r="E371" s="1">
        <v>43132</v>
      </c>
      <c r="F371" t="s">
        <v>224</v>
      </c>
      <c r="G371" t="s">
        <v>867</v>
      </c>
      <c r="H371">
        <v>2</v>
      </c>
      <c r="I371" t="s">
        <v>22</v>
      </c>
      <c r="J371">
        <v>0</v>
      </c>
      <c r="M371" t="s">
        <v>87</v>
      </c>
      <c r="N371" t="s">
        <v>869</v>
      </c>
    </row>
    <row r="372" spans="1:17">
      <c r="A372" t="s">
        <v>437</v>
      </c>
      <c r="B372" t="s">
        <v>438</v>
      </c>
      <c r="C372">
        <v>171</v>
      </c>
      <c r="D372" t="s">
        <v>238</v>
      </c>
      <c r="E372" s="1">
        <v>43132</v>
      </c>
      <c r="F372" t="s">
        <v>224</v>
      </c>
      <c r="G372" t="s">
        <v>867</v>
      </c>
      <c r="H372">
        <v>2</v>
      </c>
      <c r="I372" t="s">
        <v>22</v>
      </c>
      <c r="J372">
        <v>0</v>
      </c>
      <c r="M372" t="s">
        <v>1547</v>
      </c>
      <c r="N372" t="s">
        <v>869</v>
      </c>
      <c r="O372">
        <v>0</v>
      </c>
      <c r="P372">
        <v>0</v>
      </c>
      <c r="Q372" t="s">
        <v>119</v>
      </c>
    </row>
    <row r="373" spans="1:17">
      <c r="A373" t="s">
        <v>437</v>
      </c>
      <c r="B373" t="s">
        <v>438</v>
      </c>
      <c r="C373">
        <v>171</v>
      </c>
      <c r="D373" t="s">
        <v>238</v>
      </c>
      <c r="E373" s="1">
        <v>43132</v>
      </c>
      <c r="F373" t="s">
        <v>224</v>
      </c>
      <c r="G373" t="s">
        <v>886</v>
      </c>
      <c r="H373">
        <v>-8</v>
      </c>
      <c r="I373" t="s">
        <v>22</v>
      </c>
      <c r="J373">
        <v>0</v>
      </c>
      <c r="M373" t="s">
        <v>87</v>
      </c>
      <c r="N373" t="s">
        <v>887</v>
      </c>
    </row>
    <row r="374" spans="1:17">
      <c r="A374" t="s">
        <v>437</v>
      </c>
      <c r="B374" t="s">
        <v>438</v>
      </c>
      <c r="C374">
        <v>171</v>
      </c>
      <c r="D374" t="s">
        <v>238</v>
      </c>
      <c r="E374" s="1">
        <v>43132</v>
      </c>
      <c r="F374" t="s">
        <v>224</v>
      </c>
      <c r="G374" t="s">
        <v>886</v>
      </c>
      <c r="H374">
        <v>-8</v>
      </c>
      <c r="I374" t="s">
        <v>22</v>
      </c>
      <c r="J374">
        <v>0</v>
      </c>
      <c r="K374">
        <v>0</v>
      </c>
      <c r="M374" t="s">
        <v>1547</v>
      </c>
      <c r="N374" t="s">
        <v>887</v>
      </c>
      <c r="O374">
        <v>0</v>
      </c>
      <c r="P374">
        <v>0</v>
      </c>
      <c r="Q374" t="s">
        <v>119</v>
      </c>
    </row>
    <row r="375" spans="1:17">
      <c r="A375" t="s">
        <v>437</v>
      </c>
      <c r="B375" t="s">
        <v>438</v>
      </c>
      <c r="C375">
        <v>171</v>
      </c>
      <c r="D375" t="s">
        <v>238</v>
      </c>
      <c r="E375" s="1">
        <v>43132</v>
      </c>
      <c r="F375" t="s">
        <v>224</v>
      </c>
      <c r="G375" t="s">
        <v>888</v>
      </c>
      <c r="H375">
        <v>-2</v>
      </c>
      <c r="I375" t="s">
        <v>22</v>
      </c>
      <c r="J375">
        <v>0</v>
      </c>
      <c r="M375" t="s">
        <v>87</v>
      </c>
      <c r="N375" t="s">
        <v>890</v>
      </c>
    </row>
    <row r="376" spans="1:17">
      <c r="A376" t="s">
        <v>437</v>
      </c>
      <c r="B376" t="s">
        <v>438</v>
      </c>
      <c r="C376">
        <v>171</v>
      </c>
      <c r="D376" t="s">
        <v>238</v>
      </c>
      <c r="E376" s="1">
        <v>43132</v>
      </c>
      <c r="F376" t="s">
        <v>224</v>
      </c>
      <c r="G376" t="s">
        <v>888</v>
      </c>
      <c r="H376">
        <v>-2</v>
      </c>
      <c r="I376" t="s">
        <v>22</v>
      </c>
      <c r="J376">
        <v>0</v>
      </c>
      <c r="K376">
        <v>0</v>
      </c>
      <c r="M376" t="s">
        <v>1547</v>
      </c>
      <c r="N376" t="s">
        <v>890</v>
      </c>
      <c r="O376">
        <v>0</v>
      </c>
      <c r="P376">
        <v>0</v>
      </c>
      <c r="Q376" t="s">
        <v>119</v>
      </c>
    </row>
    <row r="377" spans="1:17">
      <c r="A377" t="s">
        <v>437</v>
      </c>
      <c r="B377" t="s">
        <v>438</v>
      </c>
      <c r="C377">
        <v>171</v>
      </c>
      <c r="D377" t="s">
        <v>238</v>
      </c>
      <c r="E377" s="1">
        <v>43132</v>
      </c>
      <c r="F377" t="s">
        <v>224</v>
      </c>
      <c r="G377" t="s">
        <v>891</v>
      </c>
      <c r="H377">
        <v>-2</v>
      </c>
      <c r="I377" t="s">
        <v>22</v>
      </c>
      <c r="J377">
        <v>0</v>
      </c>
      <c r="M377" t="s">
        <v>87</v>
      </c>
      <c r="N377" t="s">
        <v>893</v>
      </c>
    </row>
    <row r="378" spans="1:17">
      <c r="A378" t="s">
        <v>437</v>
      </c>
      <c r="B378" t="s">
        <v>438</v>
      </c>
      <c r="C378">
        <v>171</v>
      </c>
      <c r="D378" t="s">
        <v>238</v>
      </c>
      <c r="E378" s="1">
        <v>43132</v>
      </c>
      <c r="F378" t="s">
        <v>224</v>
      </c>
      <c r="G378" t="s">
        <v>891</v>
      </c>
      <c r="H378">
        <v>-2</v>
      </c>
      <c r="I378" t="s">
        <v>22</v>
      </c>
      <c r="J378">
        <v>0</v>
      </c>
      <c r="K378">
        <v>0</v>
      </c>
      <c r="M378" t="s">
        <v>1547</v>
      </c>
      <c r="N378" t="s">
        <v>893</v>
      </c>
      <c r="O378">
        <v>0</v>
      </c>
      <c r="P378">
        <v>0</v>
      </c>
      <c r="Q378" t="s">
        <v>119</v>
      </c>
    </row>
    <row r="379" spans="1:17">
      <c r="A379" t="s">
        <v>283</v>
      </c>
      <c r="B379" t="s">
        <v>445</v>
      </c>
      <c r="C379">
        <v>171</v>
      </c>
      <c r="D379" t="s">
        <v>238</v>
      </c>
      <c r="E379" s="1">
        <v>43101</v>
      </c>
      <c r="F379" t="s">
        <v>902</v>
      </c>
      <c r="G379" t="s">
        <v>990</v>
      </c>
      <c r="H379">
        <v>6</v>
      </c>
      <c r="I379" t="s">
        <v>22</v>
      </c>
      <c r="J379">
        <v>0</v>
      </c>
      <c r="M379" t="s">
        <v>87</v>
      </c>
      <c r="N379" t="s">
        <v>1009</v>
      </c>
    </row>
    <row r="380" spans="1:17">
      <c r="A380" t="s">
        <v>283</v>
      </c>
      <c r="B380" t="s">
        <v>445</v>
      </c>
      <c r="C380">
        <v>171</v>
      </c>
      <c r="D380" t="s">
        <v>238</v>
      </c>
      <c r="E380" s="1">
        <v>43101</v>
      </c>
      <c r="F380" t="s">
        <v>902</v>
      </c>
      <c r="G380" t="s">
        <v>990</v>
      </c>
      <c r="H380">
        <v>6</v>
      </c>
      <c r="I380" t="s">
        <v>22</v>
      </c>
      <c r="J380">
        <v>0</v>
      </c>
      <c r="M380" t="s">
        <v>1547</v>
      </c>
      <c r="N380" t="s">
        <v>1009</v>
      </c>
      <c r="O380">
        <v>0</v>
      </c>
      <c r="P380">
        <v>0</v>
      </c>
      <c r="Q380" t="s">
        <v>119</v>
      </c>
    </row>
    <row r="381" spans="1:17">
      <c r="A381" t="s">
        <v>284</v>
      </c>
      <c r="B381" t="s">
        <v>446</v>
      </c>
      <c r="C381">
        <v>171</v>
      </c>
      <c r="D381" t="s">
        <v>238</v>
      </c>
      <c r="E381" s="1">
        <v>43101</v>
      </c>
      <c r="F381" t="s">
        <v>902</v>
      </c>
      <c r="G381" t="s">
        <v>990</v>
      </c>
      <c r="H381">
        <v>33</v>
      </c>
      <c r="I381" t="s">
        <v>22</v>
      </c>
      <c r="J381">
        <v>0</v>
      </c>
      <c r="M381" t="s">
        <v>87</v>
      </c>
      <c r="N381" t="s">
        <v>1010</v>
      </c>
    </row>
    <row r="382" spans="1:17">
      <c r="A382" t="s">
        <v>284</v>
      </c>
      <c r="B382" t="s">
        <v>446</v>
      </c>
      <c r="C382">
        <v>171</v>
      </c>
      <c r="D382" t="s">
        <v>238</v>
      </c>
      <c r="E382" s="1">
        <v>43101</v>
      </c>
      <c r="F382" t="s">
        <v>902</v>
      </c>
      <c r="G382" t="s">
        <v>990</v>
      </c>
      <c r="H382">
        <v>33</v>
      </c>
      <c r="I382" t="s">
        <v>22</v>
      </c>
      <c r="J382">
        <v>0</v>
      </c>
      <c r="M382" t="s">
        <v>1547</v>
      </c>
      <c r="N382" t="s">
        <v>1010</v>
      </c>
      <c r="O382">
        <v>0</v>
      </c>
      <c r="P382">
        <v>0</v>
      </c>
      <c r="Q382" t="s">
        <v>119</v>
      </c>
    </row>
    <row r="383" spans="1:17">
      <c r="A383" t="s">
        <v>284</v>
      </c>
      <c r="B383" t="s">
        <v>446</v>
      </c>
      <c r="C383">
        <v>171</v>
      </c>
      <c r="D383" t="s">
        <v>238</v>
      </c>
      <c r="E383" s="1">
        <v>43125</v>
      </c>
      <c r="F383" t="s">
        <v>122</v>
      </c>
      <c r="G383" t="s">
        <v>538</v>
      </c>
      <c r="H383">
        <v>-1</v>
      </c>
      <c r="I383" t="s">
        <v>22</v>
      </c>
      <c r="J383">
        <v>0</v>
      </c>
      <c r="M383" t="s">
        <v>87</v>
      </c>
      <c r="N383" t="s">
        <v>540</v>
      </c>
      <c r="Q383" t="s">
        <v>123</v>
      </c>
    </row>
    <row r="384" spans="1:17">
      <c r="A384" t="s">
        <v>284</v>
      </c>
      <c r="B384" t="s">
        <v>446</v>
      </c>
      <c r="C384">
        <v>171</v>
      </c>
      <c r="D384" t="s">
        <v>238</v>
      </c>
      <c r="E384" s="1">
        <v>43125</v>
      </c>
      <c r="F384" t="s">
        <v>122</v>
      </c>
      <c r="G384" t="s">
        <v>538</v>
      </c>
      <c r="H384">
        <v>-1</v>
      </c>
      <c r="I384" t="s">
        <v>22</v>
      </c>
      <c r="J384">
        <v>0</v>
      </c>
      <c r="K384">
        <v>0</v>
      </c>
      <c r="L384" t="s">
        <v>117</v>
      </c>
      <c r="M384" t="s">
        <v>88</v>
      </c>
      <c r="N384" t="s">
        <v>540</v>
      </c>
      <c r="O384">
        <v>0</v>
      </c>
      <c r="P384">
        <v>0</v>
      </c>
      <c r="Q384" t="s">
        <v>123</v>
      </c>
    </row>
    <row r="385" spans="1:17">
      <c r="A385" t="s">
        <v>285</v>
      </c>
      <c r="B385" t="s">
        <v>451</v>
      </c>
      <c r="C385">
        <v>171</v>
      </c>
      <c r="D385" t="s">
        <v>238</v>
      </c>
      <c r="E385" s="1">
        <v>43101</v>
      </c>
      <c r="F385" t="s">
        <v>902</v>
      </c>
      <c r="G385" t="s">
        <v>990</v>
      </c>
      <c r="H385">
        <v>25</v>
      </c>
      <c r="I385" t="s">
        <v>22</v>
      </c>
      <c r="J385">
        <v>0</v>
      </c>
      <c r="M385" t="s">
        <v>87</v>
      </c>
      <c r="N385" t="s">
        <v>1011</v>
      </c>
    </row>
    <row r="386" spans="1:17">
      <c r="A386" t="s">
        <v>285</v>
      </c>
      <c r="B386" t="s">
        <v>451</v>
      </c>
      <c r="C386">
        <v>171</v>
      </c>
      <c r="D386" t="s">
        <v>238</v>
      </c>
      <c r="E386" s="1">
        <v>43101</v>
      </c>
      <c r="F386" t="s">
        <v>902</v>
      </c>
      <c r="G386" t="s">
        <v>990</v>
      </c>
      <c r="H386">
        <v>25</v>
      </c>
      <c r="I386" t="s">
        <v>22</v>
      </c>
      <c r="J386">
        <v>0</v>
      </c>
      <c r="M386" t="s">
        <v>1547</v>
      </c>
      <c r="N386" t="s">
        <v>1011</v>
      </c>
      <c r="O386">
        <v>0</v>
      </c>
      <c r="P386">
        <v>0</v>
      </c>
      <c r="Q386" t="s">
        <v>119</v>
      </c>
    </row>
    <row r="387" spans="1:17">
      <c r="A387" t="s">
        <v>285</v>
      </c>
      <c r="B387" t="s">
        <v>451</v>
      </c>
      <c r="C387">
        <v>171</v>
      </c>
      <c r="D387" t="s">
        <v>238</v>
      </c>
      <c r="E387" s="1">
        <v>43102</v>
      </c>
      <c r="F387" t="s">
        <v>122</v>
      </c>
      <c r="G387" t="s">
        <v>490</v>
      </c>
      <c r="H387">
        <v>-8</v>
      </c>
      <c r="I387" t="s">
        <v>22</v>
      </c>
      <c r="J387">
        <v>0</v>
      </c>
      <c r="M387" t="s">
        <v>87</v>
      </c>
      <c r="N387" t="s">
        <v>493</v>
      </c>
      <c r="Q387" t="s">
        <v>123</v>
      </c>
    </row>
    <row r="388" spans="1:17">
      <c r="A388" t="s">
        <v>285</v>
      </c>
      <c r="B388" t="s">
        <v>451</v>
      </c>
      <c r="C388">
        <v>171</v>
      </c>
      <c r="D388" t="s">
        <v>238</v>
      </c>
      <c r="E388" s="1">
        <v>43102</v>
      </c>
      <c r="F388" t="s">
        <v>122</v>
      </c>
      <c r="G388" t="s">
        <v>490</v>
      </c>
      <c r="H388">
        <v>-8</v>
      </c>
      <c r="I388" t="s">
        <v>22</v>
      </c>
      <c r="J388">
        <v>0</v>
      </c>
      <c r="K388">
        <v>0</v>
      </c>
      <c r="L388" t="s">
        <v>117</v>
      </c>
      <c r="M388" t="s">
        <v>88</v>
      </c>
      <c r="N388" t="s">
        <v>493</v>
      </c>
      <c r="O388">
        <v>0</v>
      </c>
      <c r="P388">
        <v>0</v>
      </c>
      <c r="Q388" t="s">
        <v>123</v>
      </c>
    </row>
    <row r="389" spans="1:17">
      <c r="A389" t="s">
        <v>285</v>
      </c>
      <c r="B389" t="s">
        <v>451</v>
      </c>
      <c r="C389">
        <v>171</v>
      </c>
      <c r="D389" t="s">
        <v>238</v>
      </c>
      <c r="E389" s="1">
        <v>43140</v>
      </c>
      <c r="F389" t="s">
        <v>655</v>
      </c>
      <c r="G389" t="s">
        <v>752</v>
      </c>
      <c r="H389">
        <v>37</v>
      </c>
      <c r="I389" t="s">
        <v>22</v>
      </c>
      <c r="J389">
        <v>0</v>
      </c>
      <c r="M389" t="s">
        <v>87</v>
      </c>
      <c r="N389" t="s">
        <v>753</v>
      </c>
      <c r="Q389" t="s">
        <v>123</v>
      </c>
    </row>
    <row r="390" spans="1:17">
      <c r="A390" t="s">
        <v>285</v>
      </c>
      <c r="B390" t="s">
        <v>451</v>
      </c>
      <c r="C390">
        <v>171</v>
      </c>
      <c r="D390" t="s">
        <v>238</v>
      </c>
      <c r="E390" s="1">
        <v>43140</v>
      </c>
      <c r="F390" t="s">
        <v>655</v>
      </c>
      <c r="G390" t="s">
        <v>752</v>
      </c>
      <c r="H390">
        <v>37</v>
      </c>
      <c r="I390" t="s">
        <v>22</v>
      </c>
      <c r="J390">
        <v>0</v>
      </c>
      <c r="K390">
        <v>0</v>
      </c>
      <c r="L390" t="s">
        <v>117</v>
      </c>
      <c r="M390" t="s">
        <v>88</v>
      </c>
      <c r="N390" t="s">
        <v>753</v>
      </c>
      <c r="O390">
        <v>0</v>
      </c>
      <c r="P390">
        <v>0</v>
      </c>
      <c r="Q390" t="s">
        <v>123</v>
      </c>
    </row>
    <row r="391" spans="1:17">
      <c r="A391" t="s">
        <v>285</v>
      </c>
      <c r="B391" t="s">
        <v>451</v>
      </c>
      <c r="C391">
        <v>171</v>
      </c>
      <c r="D391" t="s">
        <v>238</v>
      </c>
      <c r="E391" s="1">
        <v>43147</v>
      </c>
      <c r="F391" t="s">
        <v>122</v>
      </c>
      <c r="G391" t="s">
        <v>591</v>
      </c>
      <c r="H391">
        <v>-1</v>
      </c>
      <c r="I391" t="s">
        <v>22</v>
      </c>
      <c r="J391">
        <v>0</v>
      </c>
      <c r="M391" t="s">
        <v>87</v>
      </c>
      <c r="N391" t="s">
        <v>594</v>
      </c>
      <c r="Q391" t="s">
        <v>123</v>
      </c>
    </row>
    <row r="392" spans="1:17">
      <c r="A392" t="s">
        <v>285</v>
      </c>
      <c r="B392" t="s">
        <v>451</v>
      </c>
      <c r="C392">
        <v>171</v>
      </c>
      <c r="D392" t="s">
        <v>238</v>
      </c>
      <c r="E392" s="1">
        <v>43147</v>
      </c>
      <c r="F392" t="s">
        <v>122</v>
      </c>
      <c r="G392" t="s">
        <v>591</v>
      </c>
      <c r="H392">
        <v>-1</v>
      </c>
      <c r="I392" t="s">
        <v>22</v>
      </c>
      <c r="J392">
        <v>0</v>
      </c>
      <c r="K392">
        <v>0</v>
      </c>
      <c r="L392" t="s">
        <v>117</v>
      </c>
      <c r="M392" t="s">
        <v>88</v>
      </c>
      <c r="N392" t="s">
        <v>594</v>
      </c>
      <c r="O392">
        <v>0</v>
      </c>
      <c r="P392">
        <v>0</v>
      </c>
      <c r="Q392" t="s">
        <v>123</v>
      </c>
    </row>
    <row r="393" spans="1:17">
      <c r="A393" t="s">
        <v>285</v>
      </c>
      <c r="B393" t="s">
        <v>451</v>
      </c>
      <c r="C393">
        <v>171</v>
      </c>
      <c r="D393" t="s">
        <v>238</v>
      </c>
      <c r="E393" s="1">
        <v>43154</v>
      </c>
      <c r="F393" t="s">
        <v>122</v>
      </c>
      <c r="G393" t="s">
        <v>577</v>
      </c>
      <c r="H393">
        <v>-10</v>
      </c>
      <c r="I393" t="s">
        <v>22</v>
      </c>
      <c r="J393">
        <v>0</v>
      </c>
      <c r="M393" t="s">
        <v>87</v>
      </c>
      <c r="N393" t="s">
        <v>580</v>
      </c>
      <c r="Q393" t="s">
        <v>123</v>
      </c>
    </row>
    <row r="394" spans="1:17">
      <c r="A394" t="s">
        <v>285</v>
      </c>
      <c r="B394" t="s">
        <v>451</v>
      </c>
      <c r="C394">
        <v>171</v>
      </c>
      <c r="D394" t="s">
        <v>238</v>
      </c>
      <c r="E394" s="1">
        <v>43154</v>
      </c>
      <c r="F394" t="s">
        <v>122</v>
      </c>
      <c r="G394" t="s">
        <v>584</v>
      </c>
      <c r="H394">
        <v>-5</v>
      </c>
      <c r="I394" t="s">
        <v>22</v>
      </c>
      <c r="J394">
        <v>0</v>
      </c>
      <c r="M394" t="s">
        <v>87</v>
      </c>
      <c r="N394" t="s">
        <v>587</v>
      </c>
      <c r="Q394" t="s">
        <v>123</v>
      </c>
    </row>
    <row r="395" spans="1:17">
      <c r="A395" t="s">
        <v>285</v>
      </c>
      <c r="B395" t="s">
        <v>451</v>
      </c>
      <c r="C395">
        <v>171</v>
      </c>
      <c r="D395" t="s">
        <v>238</v>
      </c>
      <c r="E395" s="1">
        <v>43154</v>
      </c>
      <c r="F395" t="s">
        <v>122</v>
      </c>
      <c r="G395" t="s">
        <v>577</v>
      </c>
      <c r="H395">
        <v>-10</v>
      </c>
      <c r="I395" t="s">
        <v>22</v>
      </c>
      <c r="J395">
        <v>0</v>
      </c>
      <c r="K395">
        <v>0</v>
      </c>
      <c r="L395" t="s">
        <v>117</v>
      </c>
      <c r="M395" t="s">
        <v>88</v>
      </c>
      <c r="N395" t="s">
        <v>580</v>
      </c>
      <c r="O395">
        <v>0</v>
      </c>
      <c r="P395">
        <v>0</v>
      </c>
      <c r="Q395" t="s">
        <v>123</v>
      </c>
    </row>
    <row r="396" spans="1:17">
      <c r="A396" t="s">
        <v>285</v>
      </c>
      <c r="B396" t="s">
        <v>451</v>
      </c>
      <c r="C396">
        <v>171</v>
      </c>
      <c r="D396" t="s">
        <v>238</v>
      </c>
      <c r="E396" s="1">
        <v>43154</v>
      </c>
      <c r="F396" t="s">
        <v>122</v>
      </c>
      <c r="G396" t="s">
        <v>584</v>
      </c>
      <c r="H396">
        <v>-5</v>
      </c>
      <c r="I396" t="s">
        <v>22</v>
      </c>
      <c r="J396">
        <v>0</v>
      </c>
      <c r="K396">
        <v>0</v>
      </c>
      <c r="L396" t="s">
        <v>117</v>
      </c>
      <c r="M396" t="s">
        <v>88</v>
      </c>
      <c r="N396" t="s">
        <v>587</v>
      </c>
      <c r="O396">
        <v>0</v>
      </c>
      <c r="P396">
        <v>0</v>
      </c>
      <c r="Q396" t="s">
        <v>123</v>
      </c>
    </row>
    <row r="397" spans="1:17">
      <c r="A397" t="s">
        <v>494</v>
      </c>
      <c r="B397" t="s">
        <v>495</v>
      </c>
      <c r="C397">
        <v>171</v>
      </c>
      <c r="D397" t="s">
        <v>238</v>
      </c>
      <c r="E397" s="1">
        <v>43102</v>
      </c>
      <c r="F397" t="s">
        <v>122</v>
      </c>
      <c r="G397" t="s">
        <v>490</v>
      </c>
      <c r="H397">
        <v>-1</v>
      </c>
      <c r="I397" t="s">
        <v>22</v>
      </c>
      <c r="J397">
        <v>0</v>
      </c>
      <c r="M397" t="s">
        <v>87</v>
      </c>
      <c r="N397" t="s">
        <v>496</v>
      </c>
      <c r="Q397" t="s">
        <v>123</v>
      </c>
    </row>
    <row r="398" spans="1:17">
      <c r="A398" t="s">
        <v>494</v>
      </c>
      <c r="B398" t="s">
        <v>495</v>
      </c>
      <c r="C398">
        <v>171</v>
      </c>
      <c r="D398" t="s">
        <v>238</v>
      </c>
      <c r="E398" s="1">
        <v>43102</v>
      </c>
      <c r="F398" t="s">
        <v>122</v>
      </c>
      <c r="G398" t="s">
        <v>490</v>
      </c>
      <c r="H398">
        <v>-1</v>
      </c>
      <c r="I398" t="s">
        <v>22</v>
      </c>
      <c r="J398">
        <v>0</v>
      </c>
      <c r="K398">
        <v>0</v>
      </c>
      <c r="L398" t="s">
        <v>117</v>
      </c>
      <c r="M398" t="s">
        <v>88</v>
      </c>
      <c r="N398" t="s">
        <v>496</v>
      </c>
      <c r="O398">
        <v>0</v>
      </c>
      <c r="P398">
        <v>0</v>
      </c>
      <c r="Q398" t="s">
        <v>123</v>
      </c>
    </row>
    <row r="399" spans="1:17">
      <c r="A399" t="s">
        <v>494</v>
      </c>
      <c r="B399" t="s">
        <v>495</v>
      </c>
      <c r="C399">
        <v>171</v>
      </c>
      <c r="D399" t="s">
        <v>238</v>
      </c>
      <c r="E399" s="1">
        <v>43115</v>
      </c>
      <c r="F399" t="s">
        <v>655</v>
      </c>
      <c r="G399" t="s">
        <v>740</v>
      </c>
      <c r="H399">
        <v>25</v>
      </c>
      <c r="I399" t="s">
        <v>22</v>
      </c>
      <c r="J399">
        <v>0</v>
      </c>
      <c r="M399" t="s">
        <v>87</v>
      </c>
      <c r="N399" t="s">
        <v>741</v>
      </c>
      <c r="Q399" t="s">
        <v>123</v>
      </c>
    </row>
    <row r="400" spans="1:17">
      <c r="A400" t="s">
        <v>494</v>
      </c>
      <c r="B400" t="s">
        <v>495</v>
      </c>
      <c r="C400">
        <v>171</v>
      </c>
      <c r="D400" t="s">
        <v>238</v>
      </c>
      <c r="E400" s="1">
        <v>43115</v>
      </c>
      <c r="F400" t="s">
        <v>655</v>
      </c>
      <c r="G400" t="s">
        <v>740</v>
      </c>
      <c r="H400">
        <v>25</v>
      </c>
      <c r="I400" t="s">
        <v>22</v>
      </c>
      <c r="J400">
        <v>0</v>
      </c>
      <c r="K400">
        <v>0</v>
      </c>
      <c r="L400" t="s">
        <v>117</v>
      </c>
      <c r="M400" t="s">
        <v>88</v>
      </c>
      <c r="N400" t="s">
        <v>741</v>
      </c>
      <c r="O400">
        <v>0</v>
      </c>
      <c r="P400">
        <v>0</v>
      </c>
      <c r="Q400" t="s">
        <v>123</v>
      </c>
    </row>
    <row r="401" spans="1:17">
      <c r="A401" t="s">
        <v>494</v>
      </c>
      <c r="B401" t="s">
        <v>495</v>
      </c>
      <c r="C401">
        <v>171</v>
      </c>
      <c r="D401" t="s">
        <v>238</v>
      </c>
      <c r="E401" s="1">
        <v>43151</v>
      </c>
      <c r="F401" t="s">
        <v>122</v>
      </c>
      <c r="G401" t="s">
        <v>571</v>
      </c>
      <c r="H401">
        <v>-3</v>
      </c>
      <c r="I401" t="s">
        <v>22</v>
      </c>
      <c r="J401">
        <v>0</v>
      </c>
      <c r="M401" t="s">
        <v>87</v>
      </c>
      <c r="N401" t="s">
        <v>574</v>
      </c>
      <c r="Q401" t="s">
        <v>123</v>
      </c>
    </row>
    <row r="402" spans="1:17">
      <c r="A402" t="s">
        <v>494</v>
      </c>
      <c r="B402" t="s">
        <v>495</v>
      </c>
      <c r="C402">
        <v>171</v>
      </c>
      <c r="D402" t="s">
        <v>238</v>
      </c>
      <c r="E402" s="1">
        <v>43151</v>
      </c>
      <c r="F402" t="s">
        <v>122</v>
      </c>
      <c r="G402" t="s">
        <v>571</v>
      </c>
      <c r="H402">
        <v>-3</v>
      </c>
      <c r="I402" t="s">
        <v>22</v>
      </c>
      <c r="J402">
        <v>0</v>
      </c>
      <c r="K402">
        <v>0</v>
      </c>
      <c r="L402" t="s">
        <v>117</v>
      </c>
      <c r="M402" t="s">
        <v>88</v>
      </c>
      <c r="N402" t="s">
        <v>574</v>
      </c>
      <c r="O402">
        <v>0</v>
      </c>
      <c r="P402">
        <v>0</v>
      </c>
      <c r="Q402" t="s">
        <v>123</v>
      </c>
    </row>
    <row r="403" spans="1:17">
      <c r="A403" t="s">
        <v>494</v>
      </c>
      <c r="B403" t="s">
        <v>495</v>
      </c>
      <c r="C403">
        <v>171</v>
      </c>
      <c r="D403" t="s">
        <v>238</v>
      </c>
      <c r="E403" s="1">
        <v>43154</v>
      </c>
      <c r="F403" t="s">
        <v>122</v>
      </c>
      <c r="G403" t="s">
        <v>577</v>
      </c>
      <c r="H403">
        <v>-2</v>
      </c>
      <c r="I403" t="s">
        <v>22</v>
      </c>
      <c r="J403">
        <v>0</v>
      </c>
      <c r="M403" t="s">
        <v>87</v>
      </c>
      <c r="N403" t="s">
        <v>581</v>
      </c>
      <c r="Q403" t="s">
        <v>123</v>
      </c>
    </row>
    <row r="404" spans="1:17">
      <c r="A404" t="s">
        <v>494</v>
      </c>
      <c r="B404" t="s">
        <v>495</v>
      </c>
      <c r="C404">
        <v>171</v>
      </c>
      <c r="D404" t="s">
        <v>238</v>
      </c>
      <c r="E404" s="1">
        <v>43154</v>
      </c>
      <c r="F404" t="s">
        <v>122</v>
      </c>
      <c r="G404" t="s">
        <v>584</v>
      </c>
      <c r="H404">
        <v>-1</v>
      </c>
      <c r="I404" t="s">
        <v>22</v>
      </c>
      <c r="J404">
        <v>0</v>
      </c>
      <c r="M404" t="s">
        <v>87</v>
      </c>
      <c r="N404" t="s">
        <v>588</v>
      </c>
      <c r="Q404" t="s">
        <v>123</v>
      </c>
    </row>
    <row r="405" spans="1:17">
      <c r="A405" t="s">
        <v>494</v>
      </c>
      <c r="B405" t="s">
        <v>495</v>
      </c>
      <c r="C405">
        <v>171</v>
      </c>
      <c r="D405" t="s">
        <v>238</v>
      </c>
      <c r="E405" s="1">
        <v>43154</v>
      </c>
      <c r="F405" t="s">
        <v>122</v>
      </c>
      <c r="G405" t="s">
        <v>618</v>
      </c>
      <c r="H405">
        <v>1</v>
      </c>
      <c r="I405" t="s">
        <v>22</v>
      </c>
      <c r="J405">
        <v>0</v>
      </c>
      <c r="M405" t="s">
        <v>87</v>
      </c>
      <c r="N405" t="s">
        <v>619</v>
      </c>
    </row>
    <row r="406" spans="1:17">
      <c r="A406" t="s">
        <v>494</v>
      </c>
      <c r="B406" t="s">
        <v>495</v>
      </c>
      <c r="C406">
        <v>171</v>
      </c>
      <c r="D406" t="s">
        <v>238</v>
      </c>
      <c r="E406" s="1">
        <v>43154</v>
      </c>
      <c r="F406" t="s">
        <v>122</v>
      </c>
      <c r="G406" t="s">
        <v>618</v>
      </c>
      <c r="H406">
        <v>1</v>
      </c>
      <c r="I406" t="s">
        <v>22</v>
      </c>
      <c r="J406">
        <v>0</v>
      </c>
      <c r="M406" t="s">
        <v>1547</v>
      </c>
      <c r="N406" t="s">
        <v>619</v>
      </c>
      <c r="O406">
        <v>0</v>
      </c>
      <c r="P406">
        <v>0</v>
      </c>
      <c r="Q406" t="s">
        <v>119</v>
      </c>
    </row>
    <row r="407" spans="1:17">
      <c r="A407" t="s">
        <v>494</v>
      </c>
      <c r="B407" t="s">
        <v>495</v>
      </c>
      <c r="C407">
        <v>171</v>
      </c>
      <c r="D407" t="s">
        <v>238</v>
      </c>
      <c r="E407" s="1">
        <v>43154</v>
      </c>
      <c r="F407" t="s">
        <v>122</v>
      </c>
      <c r="G407" t="s">
        <v>584</v>
      </c>
      <c r="H407">
        <v>-1</v>
      </c>
      <c r="I407" t="s">
        <v>22</v>
      </c>
      <c r="J407">
        <v>0</v>
      </c>
      <c r="K407">
        <v>0</v>
      </c>
      <c r="L407" t="s">
        <v>117</v>
      </c>
      <c r="M407" t="s">
        <v>88</v>
      </c>
      <c r="N407" t="s">
        <v>588</v>
      </c>
      <c r="O407">
        <v>0</v>
      </c>
      <c r="P407">
        <v>0</v>
      </c>
      <c r="Q407" t="s">
        <v>123</v>
      </c>
    </row>
    <row r="408" spans="1:17">
      <c r="A408" t="s">
        <v>494</v>
      </c>
      <c r="B408" t="s">
        <v>495</v>
      </c>
      <c r="C408">
        <v>171</v>
      </c>
      <c r="D408" t="s">
        <v>238</v>
      </c>
      <c r="E408" s="1">
        <v>43154</v>
      </c>
      <c r="F408" t="s">
        <v>122</v>
      </c>
      <c r="G408" t="s">
        <v>577</v>
      </c>
      <c r="H408">
        <v>-2</v>
      </c>
      <c r="I408" t="s">
        <v>22</v>
      </c>
      <c r="J408">
        <v>0</v>
      </c>
      <c r="K408">
        <v>0</v>
      </c>
      <c r="L408" t="s">
        <v>117</v>
      </c>
      <c r="M408" t="s">
        <v>88</v>
      </c>
      <c r="N408" t="s">
        <v>581</v>
      </c>
      <c r="O408">
        <v>0</v>
      </c>
      <c r="P408">
        <v>0</v>
      </c>
      <c r="Q408" t="s">
        <v>123</v>
      </c>
    </row>
    <row r="409" spans="1:17">
      <c r="A409" t="s">
        <v>1078</v>
      </c>
      <c r="B409" t="s">
        <v>1079</v>
      </c>
      <c r="C409">
        <v>171</v>
      </c>
      <c r="D409" t="s">
        <v>238</v>
      </c>
      <c r="E409" s="1">
        <v>43101</v>
      </c>
      <c r="F409" t="s">
        <v>902</v>
      </c>
      <c r="G409" t="s">
        <v>1013</v>
      </c>
      <c r="H409">
        <v>320</v>
      </c>
      <c r="I409" t="s">
        <v>22</v>
      </c>
      <c r="J409">
        <v>0</v>
      </c>
      <c r="M409" t="s">
        <v>87</v>
      </c>
      <c r="N409" t="s">
        <v>1080</v>
      </c>
    </row>
    <row r="410" spans="1:17">
      <c r="A410" t="s">
        <v>1078</v>
      </c>
      <c r="B410" t="s">
        <v>1079</v>
      </c>
      <c r="C410">
        <v>171</v>
      </c>
      <c r="D410" t="s">
        <v>238</v>
      </c>
      <c r="E410" s="1">
        <v>43101</v>
      </c>
      <c r="F410" t="s">
        <v>902</v>
      </c>
      <c r="G410" t="s">
        <v>1013</v>
      </c>
      <c r="H410">
        <v>320</v>
      </c>
      <c r="I410" t="s">
        <v>22</v>
      </c>
      <c r="J410">
        <v>0</v>
      </c>
      <c r="M410" t="s">
        <v>1547</v>
      </c>
      <c r="N410" t="s">
        <v>1080</v>
      </c>
      <c r="O410">
        <v>0</v>
      </c>
      <c r="P410">
        <v>0</v>
      </c>
      <c r="Q410" t="s">
        <v>119</v>
      </c>
    </row>
    <row r="411" spans="1:17">
      <c r="A411" t="s">
        <v>1081</v>
      </c>
      <c r="B411" t="s">
        <v>1082</v>
      </c>
      <c r="C411">
        <v>171</v>
      </c>
      <c r="D411" t="s">
        <v>238</v>
      </c>
      <c r="E411" s="1">
        <v>43101</v>
      </c>
      <c r="F411" t="s">
        <v>902</v>
      </c>
      <c r="G411" t="s">
        <v>1013</v>
      </c>
      <c r="H411">
        <v>300</v>
      </c>
      <c r="I411" t="s">
        <v>22</v>
      </c>
      <c r="J411">
        <v>0</v>
      </c>
      <c r="M411" t="s">
        <v>87</v>
      </c>
      <c r="N411" t="s">
        <v>1083</v>
      </c>
    </row>
    <row r="412" spans="1:17">
      <c r="A412" t="s">
        <v>1081</v>
      </c>
      <c r="B412" t="s">
        <v>1082</v>
      </c>
      <c r="C412">
        <v>171</v>
      </c>
      <c r="D412" t="s">
        <v>238</v>
      </c>
      <c r="E412" s="1">
        <v>43101</v>
      </c>
      <c r="F412" t="s">
        <v>902</v>
      </c>
      <c r="G412" t="s">
        <v>1013</v>
      </c>
      <c r="H412">
        <v>300</v>
      </c>
      <c r="I412" t="s">
        <v>22</v>
      </c>
      <c r="J412">
        <v>0</v>
      </c>
      <c r="M412" t="s">
        <v>1547</v>
      </c>
      <c r="N412" t="s">
        <v>1083</v>
      </c>
      <c r="O412">
        <v>0</v>
      </c>
      <c r="P412">
        <v>0</v>
      </c>
      <c r="Q412" t="s">
        <v>119</v>
      </c>
    </row>
    <row r="413" spans="1:17">
      <c r="A413" t="s">
        <v>1081</v>
      </c>
      <c r="B413" t="s">
        <v>1082</v>
      </c>
      <c r="C413">
        <v>171</v>
      </c>
      <c r="D413" t="s">
        <v>238</v>
      </c>
      <c r="E413" s="1">
        <v>43108</v>
      </c>
      <c r="F413" t="s">
        <v>1121</v>
      </c>
      <c r="G413" t="s">
        <v>696</v>
      </c>
      <c r="H413">
        <v>-5</v>
      </c>
      <c r="I413" t="s">
        <v>22</v>
      </c>
      <c r="J413">
        <v>0</v>
      </c>
      <c r="M413" t="s">
        <v>87</v>
      </c>
      <c r="N413" t="s">
        <v>1208</v>
      </c>
      <c r="Q413" t="s">
        <v>123</v>
      </c>
    </row>
    <row r="414" spans="1:17">
      <c r="A414" t="s">
        <v>1081</v>
      </c>
      <c r="B414" t="s">
        <v>1082</v>
      </c>
      <c r="C414">
        <v>171</v>
      </c>
      <c r="D414" t="s">
        <v>238</v>
      </c>
      <c r="E414" s="1">
        <v>43108</v>
      </c>
      <c r="F414" t="s">
        <v>1121</v>
      </c>
      <c r="G414" t="s">
        <v>696</v>
      </c>
      <c r="H414">
        <v>-5</v>
      </c>
      <c r="I414" t="s">
        <v>22</v>
      </c>
      <c r="J414">
        <v>0</v>
      </c>
      <c r="K414">
        <v>0</v>
      </c>
      <c r="L414" t="s">
        <v>117</v>
      </c>
      <c r="M414" t="s">
        <v>88</v>
      </c>
      <c r="N414" t="s">
        <v>1208</v>
      </c>
      <c r="O414">
        <v>0</v>
      </c>
      <c r="P414">
        <v>0</v>
      </c>
      <c r="Q414" t="s">
        <v>123</v>
      </c>
    </row>
    <row r="415" spans="1:17">
      <c r="A415" t="s">
        <v>500</v>
      </c>
      <c r="B415" t="s">
        <v>501</v>
      </c>
      <c r="C415">
        <v>171</v>
      </c>
      <c r="D415" t="s">
        <v>238</v>
      </c>
      <c r="E415" s="1">
        <v>43101</v>
      </c>
      <c r="F415" t="s">
        <v>902</v>
      </c>
      <c r="G415" t="s">
        <v>1013</v>
      </c>
      <c r="H415">
        <v>161</v>
      </c>
      <c r="I415" t="s">
        <v>22</v>
      </c>
      <c r="J415">
        <v>0</v>
      </c>
      <c r="M415" t="s">
        <v>87</v>
      </c>
      <c r="N415" t="s">
        <v>1084</v>
      </c>
    </row>
    <row r="416" spans="1:17">
      <c r="A416" t="s">
        <v>500</v>
      </c>
      <c r="B416" t="s">
        <v>501</v>
      </c>
      <c r="C416">
        <v>171</v>
      </c>
      <c r="D416" t="s">
        <v>238</v>
      </c>
      <c r="E416" s="1">
        <v>43101</v>
      </c>
      <c r="F416" t="s">
        <v>902</v>
      </c>
      <c r="G416" t="s">
        <v>1013</v>
      </c>
      <c r="H416">
        <v>161</v>
      </c>
      <c r="I416" t="s">
        <v>22</v>
      </c>
      <c r="J416">
        <v>0</v>
      </c>
      <c r="M416" t="s">
        <v>1547</v>
      </c>
      <c r="N416" t="s">
        <v>1084</v>
      </c>
      <c r="O416">
        <v>0</v>
      </c>
      <c r="P416">
        <v>0</v>
      </c>
      <c r="Q416" t="s">
        <v>119</v>
      </c>
    </row>
    <row r="417" spans="1:17">
      <c r="A417" t="s">
        <v>500</v>
      </c>
      <c r="B417" t="s">
        <v>501</v>
      </c>
      <c r="C417">
        <v>171</v>
      </c>
      <c r="D417" t="s">
        <v>238</v>
      </c>
      <c r="E417" s="1">
        <v>43108</v>
      </c>
      <c r="F417" t="s">
        <v>1121</v>
      </c>
      <c r="G417" t="s">
        <v>674</v>
      </c>
      <c r="H417">
        <v>-10</v>
      </c>
      <c r="I417" t="s">
        <v>22</v>
      </c>
      <c r="J417">
        <v>0</v>
      </c>
      <c r="M417" t="s">
        <v>87</v>
      </c>
      <c r="N417" t="s">
        <v>1164</v>
      </c>
      <c r="Q417" t="s">
        <v>123</v>
      </c>
    </row>
    <row r="418" spans="1:17">
      <c r="A418" t="s">
        <v>500</v>
      </c>
      <c r="B418" t="s">
        <v>501</v>
      </c>
      <c r="C418">
        <v>171</v>
      </c>
      <c r="D418" t="s">
        <v>238</v>
      </c>
      <c r="E418" s="1">
        <v>43108</v>
      </c>
      <c r="F418" t="s">
        <v>1121</v>
      </c>
      <c r="G418" t="s">
        <v>696</v>
      </c>
      <c r="H418">
        <v>-5</v>
      </c>
      <c r="I418" t="s">
        <v>22</v>
      </c>
      <c r="J418">
        <v>0</v>
      </c>
      <c r="M418" t="s">
        <v>87</v>
      </c>
      <c r="N418" t="s">
        <v>1209</v>
      </c>
      <c r="Q418" t="s">
        <v>123</v>
      </c>
    </row>
    <row r="419" spans="1:17">
      <c r="A419" t="s">
        <v>500</v>
      </c>
      <c r="B419" t="s">
        <v>501</v>
      </c>
      <c r="C419">
        <v>171</v>
      </c>
      <c r="D419" t="s">
        <v>238</v>
      </c>
      <c r="E419" s="1">
        <v>43108</v>
      </c>
      <c r="F419" t="s">
        <v>1121</v>
      </c>
      <c r="G419" t="s">
        <v>696</v>
      </c>
      <c r="H419">
        <v>-5</v>
      </c>
      <c r="I419" t="s">
        <v>22</v>
      </c>
      <c r="J419">
        <v>0</v>
      </c>
      <c r="K419">
        <v>0</v>
      </c>
      <c r="L419" t="s">
        <v>117</v>
      </c>
      <c r="M419" t="s">
        <v>88</v>
      </c>
      <c r="N419" t="s">
        <v>1209</v>
      </c>
      <c r="O419">
        <v>0</v>
      </c>
      <c r="P419">
        <v>0</v>
      </c>
      <c r="Q419" t="s">
        <v>123</v>
      </c>
    </row>
    <row r="420" spans="1:17">
      <c r="A420" t="s">
        <v>500</v>
      </c>
      <c r="B420" t="s">
        <v>501</v>
      </c>
      <c r="C420">
        <v>171</v>
      </c>
      <c r="D420" t="s">
        <v>238</v>
      </c>
      <c r="E420" s="1">
        <v>43108</v>
      </c>
      <c r="F420" t="s">
        <v>1121</v>
      </c>
      <c r="G420" t="s">
        <v>674</v>
      </c>
      <c r="H420">
        <v>-10</v>
      </c>
      <c r="I420" t="s">
        <v>22</v>
      </c>
      <c r="J420">
        <v>0</v>
      </c>
      <c r="K420">
        <v>0</v>
      </c>
      <c r="L420" t="s">
        <v>117</v>
      </c>
      <c r="M420" t="s">
        <v>88</v>
      </c>
      <c r="N420" t="s">
        <v>1164</v>
      </c>
      <c r="O420">
        <v>0</v>
      </c>
      <c r="P420">
        <v>0</v>
      </c>
      <c r="Q420" t="s">
        <v>123</v>
      </c>
    </row>
    <row r="421" spans="1:17">
      <c r="A421" t="s">
        <v>500</v>
      </c>
      <c r="B421" t="s">
        <v>501</v>
      </c>
      <c r="C421">
        <v>171</v>
      </c>
      <c r="D421" t="s">
        <v>238</v>
      </c>
      <c r="E421" s="1">
        <v>43109</v>
      </c>
      <c r="F421" t="s">
        <v>122</v>
      </c>
      <c r="G421" t="s">
        <v>497</v>
      </c>
      <c r="H421">
        <v>-2</v>
      </c>
      <c r="I421" t="s">
        <v>22</v>
      </c>
      <c r="J421">
        <v>0</v>
      </c>
      <c r="M421" t="s">
        <v>87</v>
      </c>
      <c r="N421" t="s">
        <v>502</v>
      </c>
      <c r="Q421" t="s">
        <v>123</v>
      </c>
    </row>
    <row r="422" spans="1:17">
      <c r="A422" t="s">
        <v>500</v>
      </c>
      <c r="B422" t="s">
        <v>501</v>
      </c>
      <c r="C422">
        <v>171</v>
      </c>
      <c r="D422" t="s">
        <v>238</v>
      </c>
      <c r="E422" s="1">
        <v>43109</v>
      </c>
      <c r="F422" t="s">
        <v>122</v>
      </c>
      <c r="G422" t="s">
        <v>497</v>
      </c>
      <c r="H422">
        <v>-2</v>
      </c>
      <c r="I422" t="s">
        <v>22</v>
      </c>
      <c r="J422">
        <v>0</v>
      </c>
      <c r="K422">
        <v>0</v>
      </c>
      <c r="L422" t="s">
        <v>117</v>
      </c>
      <c r="M422" t="s">
        <v>88</v>
      </c>
      <c r="N422" t="s">
        <v>502</v>
      </c>
      <c r="O422">
        <v>0</v>
      </c>
      <c r="P422">
        <v>0</v>
      </c>
      <c r="Q422" t="s">
        <v>123</v>
      </c>
    </row>
    <row r="423" spans="1:17">
      <c r="A423" t="s">
        <v>500</v>
      </c>
      <c r="B423" t="s">
        <v>501</v>
      </c>
      <c r="C423">
        <v>171</v>
      </c>
      <c r="D423" t="s">
        <v>238</v>
      </c>
      <c r="E423" s="1">
        <v>43140</v>
      </c>
      <c r="F423" t="s">
        <v>1121</v>
      </c>
      <c r="G423" t="s">
        <v>752</v>
      </c>
      <c r="H423">
        <v>-37</v>
      </c>
      <c r="I423" t="s">
        <v>22</v>
      </c>
      <c r="J423">
        <v>0</v>
      </c>
      <c r="M423" t="s">
        <v>87</v>
      </c>
      <c r="N423" t="s">
        <v>1314</v>
      </c>
      <c r="Q423" t="s">
        <v>123</v>
      </c>
    </row>
    <row r="424" spans="1:17">
      <c r="A424" t="s">
        <v>500</v>
      </c>
      <c r="B424" t="s">
        <v>501</v>
      </c>
      <c r="C424">
        <v>171</v>
      </c>
      <c r="D424" t="s">
        <v>238</v>
      </c>
      <c r="E424" s="1">
        <v>43140</v>
      </c>
      <c r="F424" t="s">
        <v>1121</v>
      </c>
      <c r="G424" t="s">
        <v>752</v>
      </c>
      <c r="H424">
        <v>-37</v>
      </c>
      <c r="I424" t="s">
        <v>22</v>
      </c>
      <c r="J424">
        <v>0</v>
      </c>
      <c r="K424">
        <v>0</v>
      </c>
      <c r="L424" t="s">
        <v>117</v>
      </c>
      <c r="M424" t="s">
        <v>88</v>
      </c>
      <c r="N424" t="s">
        <v>1314</v>
      </c>
      <c r="O424">
        <v>0</v>
      </c>
      <c r="P424">
        <v>0</v>
      </c>
      <c r="Q424" t="s">
        <v>123</v>
      </c>
    </row>
    <row r="425" spans="1:17">
      <c r="A425" t="s">
        <v>1085</v>
      </c>
      <c r="B425" t="s">
        <v>1086</v>
      </c>
      <c r="C425">
        <v>171</v>
      </c>
      <c r="D425" t="s">
        <v>238</v>
      </c>
      <c r="E425" s="1">
        <v>43101</v>
      </c>
      <c r="F425" t="s">
        <v>902</v>
      </c>
      <c r="G425" t="s">
        <v>1013</v>
      </c>
      <c r="H425">
        <v>250</v>
      </c>
      <c r="I425" t="s">
        <v>22</v>
      </c>
      <c r="J425">
        <v>0</v>
      </c>
      <c r="M425" t="s">
        <v>87</v>
      </c>
      <c r="N425" t="s">
        <v>1087</v>
      </c>
    </row>
    <row r="426" spans="1:17">
      <c r="A426" t="s">
        <v>1085</v>
      </c>
      <c r="B426" t="s">
        <v>1086</v>
      </c>
      <c r="C426">
        <v>171</v>
      </c>
      <c r="D426" t="s">
        <v>238</v>
      </c>
      <c r="E426" s="1">
        <v>43101</v>
      </c>
      <c r="F426" t="s">
        <v>902</v>
      </c>
      <c r="G426" t="s">
        <v>1013</v>
      </c>
      <c r="H426">
        <v>250</v>
      </c>
      <c r="I426" t="s">
        <v>22</v>
      </c>
      <c r="J426">
        <v>0</v>
      </c>
      <c r="M426" t="s">
        <v>1547</v>
      </c>
      <c r="N426" t="s">
        <v>1087</v>
      </c>
      <c r="O426">
        <v>0</v>
      </c>
      <c r="P426">
        <v>0</v>
      </c>
      <c r="Q426" t="s">
        <v>119</v>
      </c>
    </row>
    <row r="427" spans="1:17">
      <c r="A427" t="s">
        <v>1085</v>
      </c>
      <c r="B427" t="s">
        <v>1086</v>
      </c>
      <c r="C427">
        <v>171</v>
      </c>
      <c r="D427" t="s">
        <v>238</v>
      </c>
      <c r="E427" s="1">
        <v>43108</v>
      </c>
      <c r="F427" t="s">
        <v>1121</v>
      </c>
      <c r="G427" t="s">
        <v>674</v>
      </c>
      <c r="H427">
        <v>-10</v>
      </c>
      <c r="I427" t="s">
        <v>22</v>
      </c>
      <c r="J427">
        <v>0</v>
      </c>
      <c r="M427" t="s">
        <v>87</v>
      </c>
      <c r="N427" t="s">
        <v>1165</v>
      </c>
      <c r="Q427" t="s">
        <v>123</v>
      </c>
    </row>
    <row r="428" spans="1:17">
      <c r="A428" t="s">
        <v>1085</v>
      </c>
      <c r="B428" t="s">
        <v>1086</v>
      </c>
      <c r="C428">
        <v>171</v>
      </c>
      <c r="D428" t="s">
        <v>238</v>
      </c>
      <c r="E428" s="1">
        <v>43108</v>
      </c>
      <c r="F428" t="s">
        <v>1121</v>
      </c>
      <c r="G428" t="s">
        <v>674</v>
      </c>
      <c r="H428">
        <v>-10</v>
      </c>
      <c r="I428" t="s">
        <v>22</v>
      </c>
      <c r="J428">
        <v>0</v>
      </c>
      <c r="K428">
        <v>0</v>
      </c>
      <c r="L428" t="s">
        <v>117</v>
      </c>
      <c r="M428" t="s">
        <v>88</v>
      </c>
      <c r="N428" t="s">
        <v>1165</v>
      </c>
      <c r="O428">
        <v>0</v>
      </c>
      <c r="P428">
        <v>0</v>
      </c>
      <c r="Q428" t="s">
        <v>123</v>
      </c>
    </row>
    <row r="429" spans="1:17">
      <c r="A429" t="s">
        <v>1085</v>
      </c>
      <c r="B429" t="s">
        <v>1086</v>
      </c>
      <c r="C429">
        <v>171</v>
      </c>
      <c r="D429" t="s">
        <v>238</v>
      </c>
      <c r="E429" s="1">
        <v>43140</v>
      </c>
      <c r="F429" t="s">
        <v>1121</v>
      </c>
      <c r="G429" t="s">
        <v>752</v>
      </c>
      <c r="H429">
        <v>-37</v>
      </c>
      <c r="I429" t="s">
        <v>22</v>
      </c>
      <c r="J429">
        <v>0</v>
      </c>
      <c r="M429" t="s">
        <v>87</v>
      </c>
      <c r="N429" t="s">
        <v>1315</v>
      </c>
      <c r="Q429" t="s">
        <v>123</v>
      </c>
    </row>
    <row r="430" spans="1:17">
      <c r="A430" t="s">
        <v>1085</v>
      </c>
      <c r="B430" t="s">
        <v>1086</v>
      </c>
      <c r="C430">
        <v>171</v>
      </c>
      <c r="D430" t="s">
        <v>238</v>
      </c>
      <c r="E430" s="1">
        <v>43140</v>
      </c>
      <c r="F430" t="s">
        <v>1121</v>
      </c>
      <c r="G430" t="s">
        <v>752</v>
      </c>
      <c r="H430">
        <v>-37</v>
      </c>
      <c r="I430" t="s">
        <v>22</v>
      </c>
      <c r="J430">
        <v>0</v>
      </c>
      <c r="K430">
        <v>0</v>
      </c>
      <c r="L430" t="s">
        <v>117</v>
      </c>
      <c r="M430" t="s">
        <v>88</v>
      </c>
      <c r="N430" t="s">
        <v>1315</v>
      </c>
      <c r="O430">
        <v>0</v>
      </c>
      <c r="P430">
        <v>0</v>
      </c>
      <c r="Q430" t="s">
        <v>123</v>
      </c>
    </row>
    <row r="431" spans="1:17">
      <c r="A431" t="s">
        <v>1088</v>
      </c>
      <c r="B431" t="s">
        <v>1089</v>
      </c>
      <c r="C431">
        <v>171</v>
      </c>
      <c r="D431" t="s">
        <v>238</v>
      </c>
      <c r="E431" s="1">
        <v>43101</v>
      </c>
      <c r="F431" t="s">
        <v>902</v>
      </c>
      <c r="G431" t="s">
        <v>1013</v>
      </c>
      <c r="H431">
        <v>132</v>
      </c>
      <c r="I431" t="s">
        <v>22</v>
      </c>
      <c r="J431">
        <v>0</v>
      </c>
      <c r="M431" t="s">
        <v>87</v>
      </c>
      <c r="N431" t="s">
        <v>1090</v>
      </c>
    </row>
    <row r="432" spans="1:17">
      <c r="A432" t="s">
        <v>1088</v>
      </c>
      <c r="B432" t="s">
        <v>1089</v>
      </c>
      <c r="C432">
        <v>171</v>
      </c>
      <c r="D432" t="s">
        <v>238</v>
      </c>
      <c r="E432" s="1">
        <v>43101</v>
      </c>
      <c r="F432" t="s">
        <v>902</v>
      </c>
      <c r="G432" t="s">
        <v>1013</v>
      </c>
      <c r="H432">
        <v>132</v>
      </c>
      <c r="I432" t="s">
        <v>22</v>
      </c>
      <c r="J432">
        <v>0</v>
      </c>
      <c r="M432" t="s">
        <v>1547</v>
      </c>
      <c r="N432" t="s">
        <v>1090</v>
      </c>
      <c r="O432">
        <v>0</v>
      </c>
      <c r="P432">
        <v>0</v>
      </c>
      <c r="Q432" t="s">
        <v>119</v>
      </c>
    </row>
    <row r="433" spans="1:17">
      <c r="A433" t="s">
        <v>1091</v>
      </c>
      <c r="B433" t="s">
        <v>1092</v>
      </c>
      <c r="C433">
        <v>171</v>
      </c>
      <c r="D433" t="s">
        <v>238</v>
      </c>
      <c r="E433" s="1">
        <v>43101</v>
      </c>
      <c r="F433" t="s">
        <v>902</v>
      </c>
      <c r="G433" t="s">
        <v>1013</v>
      </c>
      <c r="H433">
        <v>12</v>
      </c>
      <c r="I433" t="s">
        <v>22</v>
      </c>
      <c r="J433">
        <v>0</v>
      </c>
      <c r="M433" t="s">
        <v>87</v>
      </c>
      <c r="N433" t="s">
        <v>1093</v>
      </c>
    </row>
    <row r="434" spans="1:17">
      <c r="A434" t="s">
        <v>1091</v>
      </c>
      <c r="B434" t="s">
        <v>1092</v>
      </c>
      <c r="C434">
        <v>171</v>
      </c>
      <c r="D434" t="s">
        <v>238</v>
      </c>
      <c r="E434" s="1">
        <v>43101</v>
      </c>
      <c r="F434" t="s">
        <v>902</v>
      </c>
      <c r="G434" t="s">
        <v>1013</v>
      </c>
      <c r="H434">
        <v>12</v>
      </c>
      <c r="I434" t="s">
        <v>22</v>
      </c>
      <c r="J434">
        <v>0</v>
      </c>
      <c r="M434" t="s">
        <v>1547</v>
      </c>
      <c r="N434" t="s">
        <v>1093</v>
      </c>
      <c r="O434">
        <v>0</v>
      </c>
      <c r="P434">
        <v>0</v>
      </c>
      <c r="Q434" t="s">
        <v>119</v>
      </c>
    </row>
    <row r="435" spans="1:17">
      <c r="A435" t="s">
        <v>1094</v>
      </c>
      <c r="B435" t="s">
        <v>1095</v>
      </c>
      <c r="C435">
        <v>171</v>
      </c>
      <c r="D435" t="s">
        <v>238</v>
      </c>
      <c r="E435" s="1">
        <v>43101</v>
      </c>
      <c r="F435" t="s">
        <v>902</v>
      </c>
      <c r="G435" t="s">
        <v>1013</v>
      </c>
      <c r="H435">
        <v>185</v>
      </c>
      <c r="I435" t="s">
        <v>22</v>
      </c>
      <c r="J435">
        <v>0</v>
      </c>
      <c r="M435" t="s">
        <v>87</v>
      </c>
      <c r="N435" t="s">
        <v>1096</v>
      </c>
    </row>
    <row r="436" spans="1:17">
      <c r="A436" t="s">
        <v>1094</v>
      </c>
      <c r="B436" t="s">
        <v>1095</v>
      </c>
      <c r="C436">
        <v>171</v>
      </c>
      <c r="D436" t="s">
        <v>238</v>
      </c>
      <c r="E436" s="1">
        <v>43101</v>
      </c>
      <c r="F436" t="s">
        <v>902</v>
      </c>
      <c r="G436" t="s">
        <v>1013</v>
      </c>
      <c r="H436">
        <v>185</v>
      </c>
      <c r="I436" t="s">
        <v>22</v>
      </c>
      <c r="J436">
        <v>0</v>
      </c>
      <c r="M436" t="s">
        <v>1547</v>
      </c>
      <c r="N436" t="s">
        <v>1096</v>
      </c>
      <c r="O436">
        <v>0</v>
      </c>
      <c r="P436">
        <v>0</v>
      </c>
      <c r="Q436" t="s">
        <v>119</v>
      </c>
    </row>
    <row r="437" spans="1:17">
      <c r="A437" t="s">
        <v>1094</v>
      </c>
      <c r="B437" t="s">
        <v>1095</v>
      </c>
      <c r="C437">
        <v>171</v>
      </c>
      <c r="D437" t="s">
        <v>238</v>
      </c>
      <c r="E437" s="1">
        <v>43115</v>
      </c>
      <c r="F437" t="s">
        <v>1121</v>
      </c>
      <c r="G437" t="s">
        <v>738</v>
      </c>
      <c r="H437">
        <v>-1</v>
      </c>
      <c r="I437" t="s">
        <v>22</v>
      </c>
      <c r="J437">
        <v>0</v>
      </c>
      <c r="M437" t="s">
        <v>87</v>
      </c>
      <c r="N437" t="s">
        <v>1285</v>
      </c>
      <c r="Q437" t="s">
        <v>123</v>
      </c>
    </row>
    <row r="438" spans="1:17">
      <c r="A438" t="s">
        <v>1094</v>
      </c>
      <c r="B438" t="s">
        <v>1095</v>
      </c>
      <c r="C438">
        <v>171</v>
      </c>
      <c r="D438" t="s">
        <v>238</v>
      </c>
      <c r="E438" s="1">
        <v>43115</v>
      </c>
      <c r="F438" t="s">
        <v>1121</v>
      </c>
      <c r="G438" t="s">
        <v>738</v>
      </c>
      <c r="H438">
        <v>-1</v>
      </c>
      <c r="I438" t="s">
        <v>22</v>
      </c>
      <c r="J438">
        <v>0</v>
      </c>
      <c r="K438">
        <v>0</v>
      </c>
      <c r="L438" t="s">
        <v>117</v>
      </c>
      <c r="M438" t="s">
        <v>88</v>
      </c>
      <c r="N438" t="s">
        <v>1285</v>
      </c>
      <c r="O438">
        <v>0</v>
      </c>
      <c r="P438">
        <v>0</v>
      </c>
      <c r="Q438" t="s">
        <v>123</v>
      </c>
    </row>
    <row r="439" spans="1:17">
      <c r="A439" t="s">
        <v>629</v>
      </c>
      <c r="B439" t="s">
        <v>630</v>
      </c>
      <c r="C439">
        <v>171</v>
      </c>
      <c r="D439" t="s">
        <v>238</v>
      </c>
      <c r="E439" s="1">
        <v>43101</v>
      </c>
      <c r="F439" t="s">
        <v>902</v>
      </c>
      <c r="G439" t="s">
        <v>1013</v>
      </c>
      <c r="H439">
        <v>246</v>
      </c>
      <c r="I439" t="s">
        <v>22</v>
      </c>
      <c r="J439">
        <v>0</v>
      </c>
      <c r="M439" t="s">
        <v>87</v>
      </c>
      <c r="N439" t="s">
        <v>1097</v>
      </c>
    </row>
    <row r="440" spans="1:17">
      <c r="A440" t="s">
        <v>629</v>
      </c>
      <c r="B440" t="s">
        <v>630</v>
      </c>
      <c r="C440">
        <v>171</v>
      </c>
      <c r="D440" t="s">
        <v>238</v>
      </c>
      <c r="E440" s="1">
        <v>43101</v>
      </c>
      <c r="F440" t="s">
        <v>902</v>
      </c>
      <c r="G440" t="s">
        <v>1013</v>
      </c>
      <c r="H440">
        <v>246</v>
      </c>
      <c r="I440" t="s">
        <v>22</v>
      </c>
      <c r="J440">
        <v>0</v>
      </c>
      <c r="M440" t="s">
        <v>1547</v>
      </c>
      <c r="N440" t="s">
        <v>1097</v>
      </c>
      <c r="O440">
        <v>0</v>
      </c>
      <c r="P440">
        <v>0</v>
      </c>
      <c r="Q440" t="s">
        <v>119</v>
      </c>
    </row>
    <row r="441" spans="1:17">
      <c r="A441" t="s">
        <v>629</v>
      </c>
      <c r="B441" t="s">
        <v>630</v>
      </c>
      <c r="C441">
        <v>171</v>
      </c>
      <c r="D441" t="s">
        <v>238</v>
      </c>
      <c r="E441" s="1">
        <v>43158</v>
      </c>
      <c r="F441" t="s">
        <v>122</v>
      </c>
      <c r="G441" t="s">
        <v>623</v>
      </c>
      <c r="H441">
        <v>-4</v>
      </c>
      <c r="I441" t="s">
        <v>22</v>
      </c>
      <c r="J441">
        <v>0</v>
      </c>
      <c r="M441" t="s">
        <v>87</v>
      </c>
      <c r="N441" t="s">
        <v>631</v>
      </c>
      <c r="Q441" t="s">
        <v>123</v>
      </c>
    </row>
    <row r="442" spans="1:17">
      <c r="A442" t="s">
        <v>629</v>
      </c>
      <c r="B442" t="s">
        <v>630</v>
      </c>
      <c r="C442">
        <v>171</v>
      </c>
      <c r="D442" t="s">
        <v>238</v>
      </c>
      <c r="E442" s="1">
        <v>43158</v>
      </c>
      <c r="F442" t="s">
        <v>1121</v>
      </c>
      <c r="G442" t="s">
        <v>792</v>
      </c>
      <c r="H442">
        <v>-2</v>
      </c>
      <c r="I442" t="s">
        <v>22</v>
      </c>
      <c r="J442">
        <v>0</v>
      </c>
      <c r="M442" t="s">
        <v>87</v>
      </c>
      <c r="N442" t="s">
        <v>1388</v>
      </c>
      <c r="Q442" t="s">
        <v>123</v>
      </c>
    </row>
    <row r="443" spans="1:17">
      <c r="A443" t="s">
        <v>629</v>
      </c>
      <c r="B443" t="s">
        <v>630</v>
      </c>
      <c r="C443">
        <v>171</v>
      </c>
      <c r="D443" t="s">
        <v>238</v>
      </c>
      <c r="E443" s="1">
        <v>43158</v>
      </c>
      <c r="F443" t="s">
        <v>122</v>
      </c>
      <c r="G443" t="s">
        <v>623</v>
      </c>
      <c r="H443">
        <v>-4</v>
      </c>
      <c r="I443" t="s">
        <v>22</v>
      </c>
      <c r="J443">
        <v>0</v>
      </c>
      <c r="K443">
        <v>0</v>
      </c>
      <c r="L443" t="s">
        <v>117</v>
      </c>
      <c r="M443" t="s">
        <v>88</v>
      </c>
      <c r="N443" t="s">
        <v>631</v>
      </c>
      <c r="O443">
        <v>0</v>
      </c>
      <c r="P443">
        <v>0</v>
      </c>
      <c r="Q443" t="s">
        <v>123</v>
      </c>
    </row>
    <row r="444" spans="1:17">
      <c r="A444" t="s">
        <v>629</v>
      </c>
      <c r="B444" t="s">
        <v>630</v>
      </c>
      <c r="C444">
        <v>171</v>
      </c>
      <c r="D444" t="s">
        <v>238</v>
      </c>
      <c r="E444" s="1">
        <v>43158</v>
      </c>
      <c r="F444" t="s">
        <v>1121</v>
      </c>
      <c r="G444" t="s">
        <v>792</v>
      </c>
      <c r="H444">
        <v>-2</v>
      </c>
      <c r="I444" t="s">
        <v>22</v>
      </c>
      <c r="J444">
        <v>0</v>
      </c>
      <c r="K444">
        <v>0</v>
      </c>
      <c r="L444" t="s">
        <v>117</v>
      </c>
      <c r="M444" t="s">
        <v>88</v>
      </c>
      <c r="N444" t="s">
        <v>1388</v>
      </c>
      <c r="O444">
        <v>0</v>
      </c>
      <c r="P444">
        <v>0</v>
      </c>
      <c r="Q444" t="s">
        <v>123</v>
      </c>
    </row>
    <row r="445" spans="1:17">
      <c r="A445" t="s">
        <v>632</v>
      </c>
      <c r="B445" t="s">
        <v>633</v>
      </c>
      <c r="C445">
        <v>171</v>
      </c>
      <c r="D445" t="s">
        <v>238</v>
      </c>
      <c r="E445" s="1">
        <v>43137</v>
      </c>
      <c r="F445" t="s">
        <v>224</v>
      </c>
      <c r="G445" t="s">
        <v>882</v>
      </c>
      <c r="H445">
        <v>-1</v>
      </c>
      <c r="I445" t="s">
        <v>22</v>
      </c>
      <c r="J445">
        <v>0</v>
      </c>
      <c r="M445" t="s">
        <v>87</v>
      </c>
      <c r="N445" t="s">
        <v>884</v>
      </c>
    </row>
    <row r="446" spans="1:17">
      <c r="A446" t="s">
        <v>632</v>
      </c>
      <c r="B446" t="s">
        <v>633</v>
      </c>
      <c r="C446">
        <v>171</v>
      </c>
      <c r="D446" t="s">
        <v>238</v>
      </c>
      <c r="E446" s="1">
        <v>43137</v>
      </c>
      <c r="F446" t="s">
        <v>224</v>
      </c>
      <c r="G446" t="s">
        <v>882</v>
      </c>
      <c r="H446">
        <v>-1</v>
      </c>
      <c r="I446" t="s">
        <v>22</v>
      </c>
      <c r="J446">
        <v>0</v>
      </c>
      <c r="K446">
        <v>0</v>
      </c>
      <c r="M446" t="s">
        <v>1547</v>
      </c>
      <c r="N446" t="s">
        <v>884</v>
      </c>
      <c r="O446">
        <v>0</v>
      </c>
      <c r="P446">
        <v>0</v>
      </c>
      <c r="Q446" t="s">
        <v>119</v>
      </c>
    </row>
    <row r="447" spans="1:17">
      <c r="A447" t="s">
        <v>632</v>
      </c>
      <c r="B447" t="s">
        <v>633</v>
      </c>
      <c r="C447">
        <v>171</v>
      </c>
      <c r="D447" t="s">
        <v>238</v>
      </c>
      <c r="E447" s="1">
        <v>43146</v>
      </c>
      <c r="F447" t="s">
        <v>655</v>
      </c>
      <c r="G447" t="s">
        <v>748</v>
      </c>
      <c r="H447">
        <v>1</v>
      </c>
      <c r="I447" t="s">
        <v>22</v>
      </c>
      <c r="J447">
        <v>0</v>
      </c>
      <c r="M447" t="s">
        <v>87</v>
      </c>
      <c r="N447" t="s">
        <v>749</v>
      </c>
      <c r="Q447" t="s">
        <v>123</v>
      </c>
    </row>
    <row r="448" spans="1:17">
      <c r="A448" t="s">
        <v>632</v>
      </c>
      <c r="B448" t="s">
        <v>633</v>
      </c>
      <c r="C448">
        <v>171</v>
      </c>
      <c r="D448" t="s">
        <v>238</v>
      </c>
      <c r="E448" s="1">
        <v>43146</v>
      </c>
      <c r="F448" t="s">
        <v>655</v>
      </c>
      <c r="G448" t="s">
        <v>748</v>
      </c>
      <c r="H448">
        <v>1</v>
      </c>
      <c r="I448" t="s">
        <v>22</v>
      </c>
      <c r="J448">
        <v>0</v>
      </c>
      <c r="K448">
        <v>0</v>
      </c>
      <c r="L448" t="s">
        <v>117</v>
      </c>
      <c r="M448" t="s">
        <v>88</v>
      </c>
      <c r="N448" t="s">
        <v>749</v>
      </c>
      <c r="O448">
        <v>0</v>
      </c>
      <c r="P448">
        <v>0</v>
      </c>
      <c r="Q448" t="s">
        <v>123</v>
      </c>
    </row>
    <row r="449" spans="1:17">
      <c r="A449" t="s">
        <v>632</v>
      </c>
      <c r="B449" t="s">
        <v>633</v>
      </c>
      <c r="C449">
        <v>171</v>
      </c>
      <c r="D449" t="s">
        <v>238</v>
      </c>
      <c r="E449" s="1">
        <v>43157</v>
      </c>
      <c r="F449" t="s">
        <v>655</v>
      </c>
      <c r="G449" t="s">
        <v>776</v>
      </c>
      <c r="H449">
        <v>14</v>
      </c>
      <c r="I449" t="s">
        <v>22</v>
      </c>
      <c r="J449">
        <v>0</v>
      </c>
      <c r="M449" t="s">
        <v>87</v>
      </c>
      <c r="N449" t="s">
        <v>777</v>
      </c>
      <c r="Q449" t="s">
        <v>123</v>
      </c>
    </row>
    <row r="450" spans="1:17">
      <c r="A450" t="s">
        <v>632</v>
      </c>
      <c r="B450" t="s">
        <v>633</v>
      </c>
      <c r="C450">
        <v>171</v>
      </c>
      <c r="D450" t="s">
        <v>238</v>
      </c>
      <c r="E450" s="1">
        <v>43157</v>
      </c>
      <c r="F450" t="s">
        <v>655</v>
      </c>
      <c r="G450" t="s">
        <v>776</v>
      </c>
      <c r="H450">
        <v>14</v>
      </c>
      <c r="I450" t="s">
        <v>22</v>
      </c>
      <c r="J450">
        <v>0</v>
      </c>
      <c r="K450">
        <v>0</v>
      </c>
      <c r="L450" t="s">
        <v>117</v>
      </c>
      <c r="M450" t="s">
        <v>88</v>
      </c>
      <c r="N450" t="s">
        <v>777</v>
      </c>
      <c r="O450">
        <v>0</v>
      </c>
      <c r="P450">
        <v>0</v>
      </c>
      <c r="Q450" t="s">
        <v>123</v>
      </c>
    </row>
    <row r="451" spans="1:17">
      <c r="A451" t="s">
        <v>632</v>
      </c>
      <c r="B451" t="s">
        <v>633</v>
      </c>
      <c r="C451">
        <v>171</v>
      </c>
      <c r="D451" t="s">
        <v>238</v>
      </c>
      <c r="E451" s="1">
        <v>43158</v>
      </c>
      <c r="F451" t="s">
        <v>122</v>
      </c>
      <c r="G451" t="s">
        <v>623</v>
      </c>
      <c r="H451">
        <v>-14</v>
      </c>
      <c r="I451" t="s">
        <v>22</v>
      </c>
      <c r="J451">
        <v>0</v>
      </c>
      <c r="M451" t="s">
        <v>87</v>
      </c>
      <c r="N451" t="s">
        <v>634</v>
      </c>
      <c r="Q451" t="s">
        <v>123</v>
      </c>
    </row>
    <row r="452" spans="1:17">
      <c r="A452" t="s">
        <v>632</v>
      </c>
      <c r="B452" t="s">
        <v>633</v>
      </c>
      <c r="C452">
        <v>171</v>
      </c>
      <c r="D452" t="s">
        <v>238</v>
      </c>
      <c r="E452" s="1">
        <v>43158</v>
      </c>
      <c r="F452" t="s">
        <v>122</v>
      </c>
      <c r="G452" t="s">
        <v>623</v>
      </c>
      <c r="H452">
        <v>-14</v>
      </c>
      <c r="I452" t="s">
        <v>22</v>
      </c>
      <c r="J452">
        <v>0</v>
      </c>
      <c r="K452">
        <v>0</v>
      </c>
      <c r="L452" t="s">
        <v>117</v>
      </c>
      <c r="M452" t="s">
        <v>88</v>
      </c>
      <c r="N452" t="s">
        <v>634</v>
      </c>
      <c r="O452">
        <v>0</v>
      </c>
      <c r="P452">
        <v>0</v>
      </c>
      <c r="Q452" t="s">
        <v>123</v>
      </c>
    </row>
    <row r="453" spans="1:17">
      <c r="A453" t="s">
        <v>635</v>
      </c>
      <c r="B453" t="s">
        <v>636</v>
      </c>
      <c r="C453">
        <v>171</v>
      </c>
      <c r="D453" t="s">
        <v>238</v>
      </c>
      <c r="E453" s="1">
        <v>43137</v>
      </c>
      <c r="F453" t="s">
        <v>224</v>
      </c>
      <c r="G453" t="s">
        <v>882</v>
      </c>
      <c r="H453">
        <v>-1</v>
      </c>
      <c r="I453" t="s">
        <v>22</v>
      </c>
      <c r="J453">
        <v>0</v>
      </c>
      <c r="M453" t="s">
        <v>87</v>
      </c>
      <c r="N453" t="s">
        <v>885</v>
      </c>
    </row>
    <row r="454" spans="1:17">
      <c r="A454" t="s">
        <v>635</v>
      </c>
      <c r="B454" t="s">
        <v>636</v>
      </c>
      <c r="C454">
        <v>171</v>
      </c>
      <c r="D454" t="s">
        <v>238</v>
      </c>
      <c r="E454" s="1">
        <v>43137</v>
      </c>
      <c r="F454" t="s">
        <v>224</v>
      </c>
      <c r="G454" t="s">
        <v>882</v>
      </c>
      <c r="H454">
        <v>-1</v>
      </c>
      <c r="I454" t="s">
        <v>22</v>
      </c>
      <c r="J454">
        <v>0</v>
      </c>
      <c r="K454">
        <v>0</v>
      </c>
      <c r="M454" t="s">
        <v>1547</v>
      </c>
      <c r="N454" t="s">
        <v>885</v>
      </c>
      <c r="O454">
        <v>0</v>
      </c>
      <c r="P454">
        <v>0</v>
      </c>
      <c r="Q454" t="s">
        <v>119</v>
      </c>
    </row>
    <row r="455" spans="1:17">
      <c r="A455" t="s">
        <v>635</v>
      </c>
      <c r="B455" t="s">
        <v>636</v>
      </c>
      <c r="C455">
        <v>171</v>
      </c>
      <c r="D455" t="s">
        <v>238</v>
      </c>
      <c r="E455" s="1">
        <v>43146</v>
      </c>
      <c r="F455" t="s">
        <v>655</v>
      </c>
      <c r="G455" t="s">
        <v>766</v>
      </c>
      <c r="H455">
        <v>1</v>
      </c>
      <c r="I455" t="s">
        <v>22</v>
      </c>
      <c r="J455">
        <v>0</v>
      </c>
      <c r="M455" t="s">
        <v>87</v>
      </c>
      <c r="N455" t="s">
        <v>767</v>
      </c>
      <c r="Q455" t="s">
        <v>123</v>
      </c>
    </row>
    <row r="456" spans="1:17">
      <c r="A456" t="s">
        <v>635</v>
      </c>
      <c r="B456" t="s">
        <v>636</v>
      </c>
      <c r="C456">
        <v>171</v>
      </c>
      <c r="D456" t="s">
        <v>238</v>
      </c>
      <c r="E456" s="1">
        <v>43146</v>
      </c>
      <c r="F456" t="s">
        <v>655</v>
      </c>
      <c r="G456" t="s">
        <v>766</v>
      </c>
      <c r="H456">
        <v>1</v>
      </c>
      <c r="I456" t="s">
        <v>22</v>
      </c>
      <c r="J456">
        <v>0</v>
      </c>
      <c r="K456">
        <v>0</v>
      </c>
      <c r="L456" t="s">
        <v>117</v>
      </c>
      <c r="M456" t="s">
        <v>88</v>
      </c>
      <c r="N456" t="s">
        <v>767</v>
      </c>
      <c r="O456">
        <v>0</v>
      </c>
      <c r="P456">
        <v>0</v>
      </c>
      <c r="Q456" t="s">
        <v>123</v>
      </c>
    </row>
    <row r="457" spans="1:17">
      <c r="A457" t="s">
        <v>635</v>
      </c>
      <c r="B457" t="s">
        <v>636</v>
      </c>
      <c r="C457">
        <v>171</v>
      </c>
      <c r="D457" t="s">
        <v>238</v>
      </c>
      <c r="E457" s="1">
        <v>43157</v>
      </c>
      <c r="F457" t="s">
        <v>655</v>
      </c>
      <c r="G457" t="s">
        <v>778</v>
      </c>
      <c r="H457">
        <v>20</v>
      </c>
      <c r="I457" t="s">
        <v>22</v>
      </c>
      <c r="J457">
        <v>0</v>
      </c>
      <c r="M457" t="s">
        <v>87</v>
      </c>
      <c r="N457" t="s">
        <v>779</v>
      </c>
      <c r="Q457" t="s">
        <v>123</v>
      </c>
    </row>
    <row r="458" spans="1:17">
      <c r="A458" t="s">
        <v>635</v>
      </c>
      <c r="B458" t="s">
        <v>636</v>
      </c>
      <c r="C458">
        <v>171</v>
      </c>
      <c r="D458" t="s">
        <v>238</v>
      </c>
      <c r="E458" s="1">
        <v>43157</v>
      </c>
      <c r="F458" t="s">
        <v>655</v>
      </c>
      <c r="G458" t="s">
        <v>778</v>
      </c>
      <c r="H458">
        <v>20</v>
      </c>
      <c r="I458" t="s">
        <v>22</v>
      </c>
      <c r="J458">
        <v>0</v>
      </c>
      <c r="K458">
        <v>0</v>
      </c>
      <c r="L458" t="s">
        <v>117</v>
      </c>
      <c r="M458" t="s">
        <v>88</v>
      </c>
      <c r="N458" t="s">
        <v>779</v>
      </c>
      <c r="O458">
        <v>0</v>
      </c>
      <c r="P458">
        <v>0</v>
      </c>
      <c r="Q458" t="s">
        <v>123</v>
      </c>
    </row>
    <row r="459" spans="1:17">
      <c r="A459" t="s">
        <v>635</v>
      </c>
      <c r="B459" t="s">
        <v>636</v>
      </c>
      <c r="C459">
        <v>171</v>
      </c>
      <c r="D459" t="s">
        <v>238</v>
      </c>
      <c r="E459" s="1">
        <v>43158</v>
      </c>
      <c r="F459" t="s">
        <v>122</v>
      </c>
      <c r="G459" t="s">
        <v>623</v>
      </c>
      <c r="H459">
        <v>-20</v>
      </c>
      <c r="I459" t="s">
        <v>22</v>
      </c>
      <c r="J459">
        <v>0</v>
      </c>
      <c r="M459" t="s">
        <v>87</v>
      </c>
      <c r="N459" t="s">
        <v>637</v>
      </c>
      <c r="Q459" t="s">
        <v>123</v>
      </c>
    </row>
    <row r="460" spans="1:17">
      <c r="A460" t="s">
        <v>635</v>
      </c>
      <c r="B460" t="s">
        <v>636</v>
      </c>
      <c r="C460">
        <v>171</v>
      </c>
      <c r="D460" t="s">
        <v>238</v>
      </c>
      <c r="E460" s="1">
        <v>43158</v>
      </c>
      <c r="F460" t="s">
        <v>122</v>
      </c>
      <c r="G460" t="s">
        <v>623</v>
      </c>
      <c r="H460">
        <v>-20</v>
      </c>
      <c r="I460" t="s">
        <v>22</v>
      </c>
      <c r="J460">
        <v>0</v>
      </c>
      <c r="K460">
        <v>0</v>
      </c>
      <c r="L460" t="s">
        <v>117</v>
      </c>
      <c r="M460" t="s">
        <v>88</v>
      </c>
      <c r="N460" t="s">
        <v>637</v>
      </c>
      <c r="O460">
        <v>0</v>
      </c>
      <c r="P460">
        <v>0</v>
      </c>
      <c r="Q460" t="s">
        <v>123</v>
      </c>
    </row>
    <row r="461" spans="1:17" ht="45">
      <c r="A461" t="s">
        <v>115</v>
      </c>
      <c r="B461" s="21" t="s">
        <v>116</v>
      </c>
      <c r="C461">
        <v>171</v>
      </c>
      <c r="D461" t="s">
        <v>238</v>
      </c>
      <c r="E461" s="1">
        <v>43101</v>
      </c>
      <c r="F461" t="s">
        <v>902</v>
      </c>
      <c r="G461" t="s">
        <v>990</v>
      </c>
      <c r="H461">
        <v>78</v>
      </c>
      <c r="I461" t="s">
        <v>22</v>
      </c>
      <c r="J461">
        <v>0</v>
      </c>
      <c r="M461" t="s">
        <v>87</v>
      </c>
      <c r="N461" t="s">
        <v>1012</v>
      </c>
    </row>
    <row r="462" spans="1:17" ht="45">
      <c r="A462" t="s">
        <v>115</v>
      </c>
      <c r="B462" s="21" t="s">
        <v>116</v>
      </c>
      <c r="C462">
        <v>171</v>
      </c>
      <c r="D462" t="s">
        <v>238</v>
      </c>
      <c r="E462" s="1">
        <v>43101</v>
      </c>
      <c r="F462" t="s">
        <v>902</v>
      </c>
      <c r="G462" t="s">
        <v>990</v>
      </c>
      <c r="H462">
        <v>78</v>
      </c>
      <c r="I462" t="s">
        <v>22</v>
      </c>
      <c r="J462">
        <v>0</v>
      </c>
      <c r="M462" t="s">
        <v>1547</v>
      </c>
      <c r="N462" t="s">
        <v>1012</v>
      </c>
      <c r="O462">
        <v>0</v>
      </c>
      <c r="P462">
        <v>0</v>
      </c>
      <c r="Q462" t="s">
        <v>119</v>
      </c>
    </row>
    <row r="463" spans="1:17" ht="45">
      <c r="A463" t="s">
        <v>115</v>
      </c>
      <c r="B463" s="21" t="s">
        <v>116</v>
      </c>
      <c r="C463">
        <v>171</v>
      </c>
      <c r="D463" t="s">
        <v>238</v>
      </c>
      <c r="E463" s="1">
        <v>43102</v>
      </c>
      <c r="F463" t="s">
        <v>122</v>
      </c>
      <c r="G463" t="s">
        <v>547</v>
      </c>
      <c r="H463">
        <v>-19</v>
      </c>
      <c r="I463" t="s">
        <v>22</v>
      </c>
      <c r="J463">
        <v>0</v>
      </c>
      <c r="M463" t="s">
        <v>87</v>
      </c>
      <c r="N463" t="s">
        <v>548</v>
      </c>
      <c r="Q463" t="s">
        <v>123</v>
      </c>
    </row>
    <row r="464" spans="1:17" ht="45">
      <c r="A464" t="s">
        <v>115</v>
      </c>
      <c r="B464" s="21" t="s">
        <v>116</v>
      </c>
      <c r="C464">
        <v>171</v>
      </c>
      <c r="D464" t="s">
        <v>238</v>
      </c>
      <c r="E464" s="1">
        <v>43102</v>
      </c>
      <c r="F464" t="s">
        <v>122</v>
      </c>
      <c r="G464" t="s">
        <v>547</v>
      </c>
      <c r="H464">
        <v>-19</v>
      </c>
      <c r="I464" t="s">
        <v>22</v>
      </c>
      <c r="J464">
        <v>0</v>
      </c>
      <c r="K464">
        <v>0</v>
      </c>
      <c r="L464" t="s">
        <v>117</v>
      </c>
      <c r="M464" t="s">
        <v>88</v>
      </c>
      <c r="N464" t="s">
        <v>548</v>
      </c>
      <c r="O464">
        <v>0</v>
      </c>
      <c r="P464">
        <v>0</v>
      </c>
      <c r="Q464" t="s">
        <v>123</v>
      </c>
    </row>
    <row r="465" spans="1:17" ht="45">
      <c r="A465" t="s">
        <v>115</v>
      </c>
      <c r="B465" s="21" t="s">
        <v>116</v>
      </c>
      <c r="C465">
        <v>171</v>
      </c>
      <c r="D465" t="s">
        <v>238</v>
      </c>
      <c r="E465" s="1">
        <v>43122</v>
      </c>
      <c r="F465" t="s">
        <v>122</v>
      </c>
      <c r="G465" t="s">
        <v>529</v>
      </c>
      <c r="H465">
        <v>-9</v>
      </c>
      <c r="I465" t="s">
        <v>22</v>
      </c>
      <c r="J465">
        <v>0</v>
      </c>
      <c r="M465" t="s">
        <v>87</v>
      </c>
      <c r="N465" t="s">
        <v>531</v>
      </c>
      <c r="Q465" t="s">
        <v>123</v>
      </c>
    </row>
    <row r="466" spans="1:17" ht="45">
      <c r="A466" t="s">
        <v>115</v>
      </c>
      <c r="B466" s="21" t="s">
        <v>116</v>
      </c>
      <c r="C466">
        <v>171</v>
      </c>
      <c r="D466" t="s">
        <v>238</v>
      </c>
      <c r="E466" s="1">
        <v>43122</v>
      </c>
      <c r="F466" t="s">
        <v>122</v>
      </c>
      <c r="G466" t="s">
        <v>529</v>
      </c>
      <c r="H466">
        <v>-9</v>
      </c>
      <c r="I466" t="s">
        <v>22</v>
      </c>
      <c r="J466">
        <v>0</v>
      </c>
      <c r="K466">
        <v>0</v>
      </c>
      <c r="L466" t="s">
        <v>117</v>
      </c>
      <c r="M466" t="s">
        <v>88</v>
      </c>
      <c r="N466" t="s">
        <v>531</v>
      </c>
      <c r="O466">
        <v>0</v>
      </c>
      <c r="P466">
        <v>0</v>
      </c>
      <c r="Q466" t="s">
        <v>123</v>
      </c>
    </row>
    <row r="467" spans="1:17" ht="45">
      <c r="A467" t="s">
        <v>115</v>
      </c>
      <c r="B467" s="21" t="s">
        <v>116</v>
      </c>
      <c r="C467">
        <v>171</v>
      </c>
      <c r="D467" t="s">
        <v>238</v>
      </c>
      <c r="E467" s="1">
        <v>43123</v>
      </c>
      <c r="F467" t="s">
        <v>122</v>
      </c>
      <c r="G467" t="s">
        <v>532</v>
      </c>
      <c r="H467">
        <v>-1</v>
      </c>
      <c r="I467" t="s">
        <v>22</v>
      </c>
      <c r="J467">
        <v>0</v>
      </c>
      <c r="M467" t="s">
        <v>87</v>
      </c>
      <c r="N467" t="s">
        <v>533</v>
      </c>
      <c r="Q467" t="s">
        <v>123</v>
      </c>
    </row>
    <row r="468" spans="1:17" ht="45">
      <c r="A468" t="s">
        <v>115</v>
      </c>
      <c r="B468" s="21" t="s">
        <v>116</v>
      </c>
      <c r="C468">
        <v>171</v>
      </c>
      <c r="D468" t="s">
        <v>238</v>
      </c>
      <c r="E468" s="1">
        <v>43123</v>
      </c>
      <c r="F468" t="s">
        <v>122</v>
      </c>
      <c r="G468" t="s">
        <v>532</v>
      </c>
      <c r="H468">
        <v>-1</v>
      </c>
      <c r="I468" t="s">
        <v>22</v>
      </c>
      <c r="J468">
        <v>0</v>
      </c>
      <c r="K468">
        <v>0</v>
      </c>
      <c r="L468" t="s">
        <v>117</v>
      </c>
      <c r="M468" t="s">
        <v>88</v>
      </c>
      <c r="N468" t="s">
        <v>533</v>
      </c>
      <c r="O468">
        <v>0</v>
      </c>
      <c r="P468">
        <v>0</v>
      </c>
      <c r="Q468" t="s">
        <v>123</v>
      </c>
    </row>
    <row r="469" spans="1:17" ht="45">
      <c r="A469" t="s">
        <v>115</v>
      </c>
      <c r="B469" s="21" t="s">
        <v>116</v>
      </c>
      <c r="C469">
        <v>171</v>
      </c>
      <c r="D469" t="s">
        <v>238</v>
      </c>
      <c r="E469" s="1">
        <v>43147</v>
      </c>
      <c r="F469" t="s">
        <v>122</v>
      </c>
      <c r="G469" t="s">
        <v>605</v>
      </c>
      <c r="H469">
        <v>-7</v>
      </c>
      <c r="I469" t="s">
        <v>22</v>
      </c>
      <c r="J469">
        <v>0</v>
      </c>
      <c r="M469" t="s">
        <v>87</v>
      </c>
      <c r="N469" t="s">
        <v>609</v>
      </c>
      <c r="Q469" t="s">
        <v>123</v>
      </c>
    </row>
    <row r="470" spans="1:17" ht="45">
      <c r="A470" t="s">
        <v>115</v>
      </c>
      <c r="B470" s="21" t="s">
        <v>116</v>
      </c>
      <c r="C470">
        <v>171</v>
      </c>
      <c r="D470" t="s">
        <v>238</v>
      </c>
      <c r="E470" s="1">
        <v>43147</v>
      </c>
      <c r="F470" t="s">
        <v>122</v>
      </c>
      <c r="G470" t="s">
        <v>605</v>
      </c>
      <c r="H470">
        <v>-7</v>
      </c>
      <c r="I470" t="s">
        <v>22</v>
      </c>
      <c r="J470">
        <v>0</v>
      </c>
      <c r="K470">
        <v>0</v>
      </c>
      <c r="L470" t="s">
        <v>117</v>
      </c>
      <c r="M470" t="s">
        <v>88</v>
      </c>
      <c r="N470" t="s">
        <v>609</v>
      </c>
      <c r="O470">
        <v>0</v>
      </c>
      <c r="P470">
        <v>0</v>
      </c>
      <c r="Q470" t="s">
        <v>123</v>
      </c>
    </row>
    <row r="471" spans="1:17" ht="45">
      <c r="A471" t="s">
        <v>115</v>
      </c>
      <c r="B471" s="21" t="s">
        <v>116</v>
      </c>
      <c r="C471">
        <v>171</v>
      </c>
      <c r="D471" t="s">
        <v>238</v>
      </c>
      <c r="E471" s="1">
        <v>43154</v>
      </c>
      <c r="F471" t="s">
        <v>122</v>
      </c>
      <c r="G471" t="s">
        <v>620</v>
      </c>
      <c r="H471">
        <v>-35</v>
      </c>
      <c r="I471" t="s">
        <v>22</v>
      </c>
      <c r="J471">
        <v>0</v>
      </c>
      <c r="M471" t="s">
        <v>87</v>
      </c>
      <c r="N471" t="s">
        <v>622</v>
      </c>
      <c r="Q471" t="s">
        <v>123</v>
      </c>
    </row>
    <row r="472" spans="1:17" ht="45">
      <c r="A472" t="s">
        <v>115</v>
      </c>
      <c r="B472" s="21" t="s">
        <v>116</v>
      </c>
      <c r="C472">
        <v>171</v>
      </c>
      <c r="D472" t="s">
        <v>238</v>
      </c>
      <c r="E472" s="1">
        <v>43154</v>
      </c>
      <c r="F472" t="s">
        <v>122</v>
      </c>
      <c r="G472" t="s">
        <v>620</v>
      </c>
      <c r="H472">
        <v>-35</v>
      </c>
      <c r="I472" t="s">
        <v>22</v>
      </c>
      <c r="J472">
        <v>0</v>
      </c>
      <c r="K472">
        <v>0</v>
      </c>
      <c r="L472" t="s">
        <v>117</v>
      </c>
      <c r="M472" t="s">
        <v>88</v>
      </c>
      <c r="N472" t="s">
        <v>622</v>
      </c>
      <c r="O472">
        <v>0</v>
      </c>
      <c r="P472">
        <v>0</v>
      </c>
      <c r="Q472" t="s">
        <v>123</v>
      </c>
    </row>
    <row r="473" spans="1:17">
      <c r="A473" t="s">
        <v>1098</v>
      </c>
      <c r="B473" t="s">
        <v>1099</v>
      </c>
      <c r="C473">
        <v>171</v>
      </c>
      <c r="D473" t="s">
        <v>238</v>
      </c>
      <c r="E473" s="1">
        <v>43101</v>
      </c>
      <c r="F473" t="s">
        <v>902</v>
      </c>
      <c r="G473" t="s">
        <v>1013</v>
      </c>
      <c r="H473">
        <v>28.35</v>
      </c>
      <c r="I473" t="s">
        <v>66</v>
      </c>
      <c r="J473">
        <v>0</v>
      </c>
      <c r="M473" t="s">
        <v>87</v>
      </c>
      <c r="N473" t="s">
        <v>1100</v>
      </c>
    </row>
    <row r="474" spans="1:17">
      <c r="A474" t="s">
        <v>1098</v>
      </c>
      <c r="B474" t="s">
        <v>1099</v>
      </c>
      <c r="C474">
        <v>171</v>
      </c>
      <c r="D474" t="s">
        <v>238</v>
      </c>
      <c r="E474" s="1">
        <v>43101</v>
      </c>
      <c r="F474" t="s">
        <v>902</v>
      </c>
      <c r="G474" t="s">
        <v>1013</v>
      </c>
      <c r="H474">
        <v>28.35</v>
      </c>
      <c r="I474" t="s">
        <v>66</v>
      </c>
      <c r="J474">
        <v>0</v>
      </c>
      <c r="M474" t="s">
        <v>1547</v>
      </c>
      <c r="N474" t="s">
        <v>1100</v>
      </c>
      <c r="O474">
        <v>0</v>
      </c>
      <c r="P474">
        <v>0</v>
      </c>
      <c r="Q474" t="s">
        <v>119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68"/>
  <sheetViews>
    <sheetView topLeftCell="A22" workbookViewId="0">
      <selection activeCell="Q39" sqref="Q39"/>
    </sheetView>
  </sheetViews>
  <sheetFormatPr defaultRowHeight="15"/>
  <cols>
    <col min="1" max="1" width="9.7109375" bestFit="1" customWidth="1"/>
    <col min="2" max="2" width="14.7109375" customWidth="1"/>
    <col min="3" max="3" width="42.5703125" bestFit="1" customWidth="1"/>
    <col min="4" max="4" width="13.42578125" customWidth="1"/>
    <col min="5" max="5" width="21.7109375" bestFit="1" customWidth="1"/>
    <col min="6" max="6" width="41.42578125" bestFit="1" customWidth="1"/>
    <col min="7" max="7" width="10.85546875" customWidth="1"/>
    <col min="8" max="8" width="15.5703125" customWidth="1"/>
    <col min="9" max="9" width="18.28515625" customWidth="1"/>
  </cols>
  <sheetData>
    <row r="1" spans="1:9">
      <c r="A1" t="s">
        <v>32</v>
      </c>
      <c r="B1" t="s">
        <v>6</v>
      </c>
      <c r="C1" t="s">
        <v>18</v>
      </c>
      <c r="D1" t="s">
        <v>35</v>
      </c>
      <c r="E1" t="s">
        <v>120</v>
      </c>
      <c r="F1" t="s">
        <v>8</v>
      </c>
      <c r="G1" t="s">
        <v>12</v>
      </c>
      <c r="H1" t="s">
        <v>159</v>
      </c>
      <c r="I1" t="s">
        <v>160</v>
      </c>
    </row>
    <row r="2" spans="1:9">
      <c r="A2" s="1">
        <v>43172</v>
      </c>
      <c r="B2" t="s">
        <v>1014</v>
      </c>
      <c r="C2" t="s">
        <v>1015</v>
      </c>
      <c r="D2" t="s">
        <v>238</v>
      </c>
      <c r="E2" t="s">
        <v>902</v>
      </c>
      <c r="F2" t="s">
        <v>1013</v>
      </c>
      <c r="G2">
        <v>20</v>
      </c>
      <c r="H2">
        <v>0</v>
      </c>
      <c r="I2">
        <v>0</v>
      </c>
    </row>
    <row r="3" spans="1:9">
      <c r="A3" s="1">
        <v>43172</v>
      </c>
      <c r="B3" t="s">
        <v>128</v>
      </c>
      <c r="C3" t="s">
        <v>131</v>
      </c>
      <c r="D3" t="s">
        <v>238</v>
      </c>
      <c r="E3" t="s">
        <v>902</v>
      </c>
      <c r="F3" t="s">
        <v>1013</v>
      </c>
      <c r="G3">
        <v>4</v>
      </c>
      <c r="H3">
        <v>0</v>
      </c>
      <c r="I3">
        <v>0</v>
      </c>
    </row>
    <row r="4" spans="1:9">
      <c r="A4" s="1">
        <v>43172</v>
      </c>
      <c r="B4" t="s">
        <v>306</v>
      </c>
      <c r="C4" t="s">
        <v>307</v>
      </c>
      <c r="D4" t="s">
        <v>238</v>
      </c>
      <c r="E4" t="s">
        <v>224</v>
      </c>
      <c r="F4" t="s">
        <v>1549</v>
      </c>
      <c r="G4">
        <v>-2</v>
      </c>
      <c r="H4">
        <v>0</v>
      </c>
      <c r="I4">
        <v>0</v>
      </c>
    </row>
    <row r="5" spans="1:9">
      <c r="A5" s="1">
        <v>43172</v>
      </c>
      <c r="B5" t="s">
        <v>1018</v>
      </c>
      <c r="C5" t="s">
        <v>1019</v>
      </c>
      <c r="D5" t="s">
        <v>238</v>
      </c>
      <c r="E5" t="s">
        <v>902</v>
      </c>
      <c r="F5" t="s">
        <v>1013</v>
      </c>
      <c r="G5">
        <v>24.5</v>
      </c>
      <c r="H5">
        <v>0</v>
      </c>
      <c r="I5">
        <v>0</v>
      </c>
    </row>
    <row r="6" spans="1:9">
      <c r="A6" s="1">
        <v>43172</v>
      </c>
      <c r="B6" t="s">
        <v>72</v>
      </c>
      <c r="C6" t="s">
        <v>100</v>
      </c>
      <c r="D6" t="s">
        <v>238</v>
      </c>
      <c r="E6" t="s">
        <v>902</v>
      </c>
      <c r="F6" t="s">
        <v>1013</v>
      </c>
      <c r="G6">
        <v>1</v>
      </c>
      <c r="H6">
        <v>0</v>
      </c>
      <c r="I6">
        <v>0</v>
      </c>
    </row>
    <row r="7" spans="1:9">
      <c r="A7" s="1">
        <v>43172</v>
      </c>
      <c r="B7" t="s">
        <v>189</v>
      </c>
      <c r="C7" t="s">
        <v>190</v>
      </c>
      <c r="D7" t="s">
        <v>238</v>
      </c>
      <c r="E7" t="s">
        <v>1550</v>
      </c>
      <c r="F7" t="s">
        <v>1551</v>
      </c>
      <c r="G7">
        <v>56</v>
      </c>
      <c r="H7">
        <v>0</v>
      </c>
      <c r="I7">
        <v>0</v>
      </c>
    </row>
    <row r="8" spans="1:9">
      <c r="A8" s="1">
        <v>43172</v>
      </c>
      <c r="B8" t="s">
        <v>1022</v>
      </c>
      <c r="C8" t="s">
        <v>1023</v>
      </c>
      <c r="D8" t="s">
        <v>238</v>
      </c>
      <c r="E8" t="s">
        <v>902</v>
      </c>
      <c r="F8" t="s">
        <v>1013</v>
      </c>
      <c r="G8">
        <v>23.5</v>
      </c>
      <c r="H8">
        <v>0</v>
      </c>
      <c r="I8">
        <v>0</v>
      </c>
    </row>
    <row r="9" spans="1:9">
      <c r="A9" s="1">
        <v>43172</v>
      </c>
      <c r="B9" t="s">
        <v>1025</v>
      </c>
      <c r="C9" t="s">
        <v>1026</v>
      </c>
      <c r="D9" t="s">
        <v>238</v>
      </c>
      <c r="E9" t="s">
        <v>902</v>
      </c>
      <c r="F9" t="s">
        <v>1013</v>
      </c>
      <c r="G9">
        <v>30</v>
      </c>
      <c r="H9">
        <v>0</v>
      </c>
      <c r="I9">
        <v>0</v>
      </c>
    </row>
    <row r="10" spans="1:9">
      <c r="A10" s="1">
        <v>43172</v>
      </c>
      <c r="B10" t="s">
        <v>599</v>
      </c>
      <c r="C10" t="s">
        <v>600</v>
      </c>
      <c r="D10" t="s">
        <v>238</v>
      </c>
      <c r="E10" t="s">
        <v>902</v>
      </c>
      <c r="F10" t="s">
        <v>1013</v>
      </c>
      <c r="G10">
        <v>28892</v>
      </c>
      <c r="H10">
        <v>0</v>
      </c>
      <c r="I10">
        <v>0</v>
      </c>
    </row>
    <row r="11" spans="1:9">
      <c r="A11" s="1">
        <v>43172</v>
      </c>
      <c r="B11" t="s">
        <v>1029</v>
      </c>
      <c r="C11" t="s">
        <v>1030</v>
      </c>
      <c r="D11" t="s">
        <v>238</v>
      </c>
      <c r="E11" t="s">
        <v>902</v>
      </c>
      <c r="F11" t="s">
        <v>1013</v>
      </c>
      <c r="G11">
        <v>14</v>
      </c>
      <c r="H11">
        <v>0</v>
      </c>
      <c r="I11">
        <v>0</v>
      </c>
    </row>
    <row r="12" spans="1:9">
      <c r="A12" s="1">
        <v>43172</v>
      </c>
      <c r="B12" t="s">
        <v>1032</v>
      </c>
      <c r="C12" t="s">
        <v>1033</v>
      </c>
      <c r="D12" t="s">
        <v>238</v>
      </c>
      <c r="E12" t="s">
        <v>902</v>
      </c>
      <c r="F12" t="s">
        <v>1013</v>
      </c>
      <c r="G12">
        <v>153</v>
      </c>
      <c r="H12">
        <v>0</v>
      </c>
      <c r="I12">
        <v>0</v>
      </c>
    </row>
    <row r="13" spans="1:9">
      <c r="A13" s="1">
        <v>43172</v>
      </c>
      <c r="B13" t="s">
        <v>230</v>
      </c>
      <c r="C13" t="s">
        <v>231</v>
      </c>
      <c r="D13" t="s">
        <v>238</v>
      </c>
      <c r="E13" t="s">
        <v>1550</v>
      </c>
      <c r="F13" t="s">
        <v>1551</v>
      </c>
      <c r="G13">
        <v>152</v>
      </c>
      <c r="H13">
        <v>0</v>
      </c>
      <c r="I13">
        <v>0</v>
      </c>
    </row>
    <row r="14" spans="1:9">
      <c r="A14" s="1">
        <v>43172</v>
      </c>
      <c r="B14" t="s">
        <v>1035</v>
      </c>
      <c r="C14" t="s">
        <v>1036</v>
      </c>
      <c r="D14" t="s">
        <v>238</v>
      </c>
      <c r="E14" t="s">
        <v>902</v>
      </c>
      <c r="F14" t="s">
        <v>1013</v>
      </c>
      <c r="G14">
        <v>7</v>
      </c>
      <c r="H14">
        <v>0</v>
      </c>
      <c r="I14">
        <v>0</v>
      </c>
    </row>
    <row r="15" spans="1:9">
      <c r="A15" s="1">
        <v>43172</v>
      </c>
      <c r="B15" t="s">
        <v>212</v>
      </c>
      <c r="C15" t="s">
        <v>216</v>
      </c>
      <c r="D15" t="s">
        <v>238</v>
      </c>
      <c r="E15" t="s">
        <v>902</v>
      </c>
      <c r="F15" t="s">
        <v>1013</v>
      </c>
      <c r="G15">
        <v>71</v>
      </c>
      <c r="H15">
        <v>0</v>
      </c>
      <c r="I15">
        <v>0</v>
      </c>
    </row>
    <row r="16" spans="1:9">
      <c r="A16" s="1">
        <v>43172</v>
      </c>
      <c r="B16" t="s">
        <v>518</v>
      </c>
      <c r="C16" t="s">
        <v>519</v>
      </c>
      <c r="D16" t="s">
        <v>238</v>
      </c>
      <c r="E16" t="s">
        <v>902</v>
      </c>
      <c r="F16" t="s">
        <v>1013</v>
      </c>
      <c r="G16">
        <v>100</v>
      </c>
      <c r="H16">
        <v>0</v>
      </c>
      <c r="I16">
        <v>0</v>
      </c>
    </row>
    <row r="17" spans="1:9">
      <c r="A17" s="1">
        <v>43172</v>
      </c>
      <c r="B17" t="s">
        <v>263</v>
      </c>
      <c r="C17" t="s">
        <v>357</v>
      </c>
      <c r="D17" t="s">
        <v>238</v>
      </c>
      <c r="E17" t="s">
        <v>902</v>
      </c>
      <c r="F17" t="s">
        <v>990</v>
      </c>
      <c r="G17">
        <v>16</v>
      </c>
      <c r="H17">
        <v>0</v>
      </c>
      <c r="I17">
        <v>0</v>
      </c>
    </row>
    <row r="18" spans="1:9">
      <c r="A18" s="1">
        <v>43172</v>
      </c>
      <c r="B18" t="s">
        <v>264</v>
      </c>
      <c r="C18" t="s">
        <v>360</v>
      </c>
      <c r="D18" t="s">
        <v>238</v>
      </c>
      <c r="E18" t="s">
        <v>902</v>
      </c>
      <c r="F18" t="s">
        <v>990</v>
      </c>
      <c r="G18">
        <v>24</v>
      </c>
      <c r="H18">
        <v>0</v>
      </c>
      <c r="I18">
        <v>0</v>
      </c>
    </row>
    <row r="19" spans="1:9">
      <c r="A19" s="1">
        <v>43172</v>
      </c>
      <c r="B19" t="s">
        <v>1040</v>
      </c>
      <c r="C19" t="s">
        <v>1041</v>
      </c>
      <c r="D19" t="s">
        <v>238</v>
      </c>
      <c r="E19" t="s">
        <v>902</v>
      </c>
      <c r="F19" t="s">
        <v>1013</v>
      </c>
      <c r="G19">
        <v>146</v>
      </c>
      <c r="H19">
        <v>0</v>
      </c>
      <c r="I19">
        <v>0</v>
      </c>
    </row>
    <row r="20" spans="1:9">
      <c r="A20" s="1">
        <v>43172</v>
      </c>
      <c r="B20" t="s">
        <v>42</v>
      </c>
      <c r="C20" t="s">
        <v>363</v>
      </c>
      <c r="D20" t="s">
        <v>238</v>
      </c>
      <c r="E20" t="s">
        <v>122</v>
      </c>
      <c r="F20" t="s">
        <v>563</v>
      </c>
      <c r="G20">
        <v>5</v>
      </c>
      <c r="H20">
        <v>0</v>
      </c>
      <c r="I20">
        <v>0</v>
      </c>
    </row>
    <row r="21" spans="1:9">
      <c r="A21" s="1">
        <v>43172</v>
      </c>
      <c r="B21" t="s">
        <v>506</v>
      </c>
      <c r="C21" t="s">
        <v>507</v>
      </c>
      <c r="D21" t="s">
        <v>238</v>
      </c>
      <c r="E21" t="s">
        <v>902</v>
      </c>
      <c r="F21" t="s">
        <v>1013</v>
      </c>
      <c r="G21">
        <v>65</v>
      </c>
      <c r="H21">
        <v>0</v>
      </c>
      <c r="I21">
        <v>0</v>
      </c>
    </row>
    <row r="22" spans="1:9">
      <c r="A22" s="1">
        <v>43172</v>
      </c>
      <c r="B22" t="s">
        <v>267</v>
      </c>
      <c r="C22" t="s">
        <v>368</v>
      </c>
      <c r="D22" t="s">
        <v>238</v>
      </c>
      <c r="E22" t="s">
        <v>902</v>
      </c>
      <c r="F22" t="s">
        <v>990</v>
      </c>
      <c r="G22">
        <v>44</v>
      </c>
      <c r="H22">
        <v>0</v>
      </c>
      <c r="I22">
        <v>0</v>
      </c>
    </row>
    <row r="23" spans="1:9">
      <c r="A23" s="1">
        <v>43172</v>
      </c>
      <c r="B23" t="s">
        <v>268</v>
      </c>
      <c r="C23" t="s">
        <v>371</v>
      </c>
      <c r="D23" t="s">
        <v>238</v>
      </c>
      <c r="E23" t="s">
        <v>902</v>
      </c>
      <c r="F23" t="s">
        <v>990</v>
      </c>
      <c r="G23">
        <v>16</v>
      </c>
      <c r="H23">
        <v>0</v>
      </c>
      <c r="I23">
        <v>0</v>
      </c>
    </row>
    <row r="24" spans="1:9">
      <c r="A24" s="1">
        <v>43172</v>
      </c>
      <c r="B24" t="s">
        <v>269</v>
      </c>
      <c r="C24" t="s">
        <v>374</v>
      </c>
      <c r="D24" t="s">
        <v>238</v>
      </c>
      <c r="E24" t="s">
        <v>902</v>
      </c>
      <c r="F24" t="s">
        <v>990</v>
      </c>
      <c r="G24">
        <v>34</v>
      </c>
      <c r="H24">
        <v>0</v>
      </c>
      <c r="I24">
        <v>0</v>
      </c>
    </row>
    <row r="25" spans="1:9">
      <c r="A25" s="1">
        <v>43172</v>
      </c>
      <c r="B25" t="s">
        <v>270</v>
      </c>
      <c r="C25" t="s">
        <v>377</v>
      </c>
      <c r="D25" t="s">
        <v>238</v>
      </c>
      <c r="E25" t="s">
        <v>902</v>
      </c>
      <c r="F25" t="s">
        <v>990</v>
      </c>
      <c r="G25">
        <v>18</v>
      </c>
      <c r="H25">
        <v>0</v>
      </c>
      <c r="I25">
        <v>0</v>
      </c>
    </row>
    <row r="26" spans="1:9">
      <c r="A26" s="1">
        <v>43172</v>
      </c>
      <c r="B26" t="s">
        <v>271</v>
      </c>
      <c r="C26" t="s">
        <v>380</v>
      </c>
      <c r="D26" t="s">
        <v>238</v>
      </c>
      <c r="E26" t="s">
        <v>902</v>
      </c>
      <c r="F26" t="s">
        <v>990</v>
      </c>
      <c r="G26">
        <v>30</v>
      </c>
      <c r="H26">
        <v>0</v>
      </c>
      <c r="I26">
        <v>0</v>
      </c>
    </row>
    <row r="27" spans="1:9">
      <c r="A27" s="1">
        <v>43172</v>
      </c>
      <c r="B27" t="s">
        <v>272</v>
      </c>
      <c r="C27" t="s">
        <v>387</v>
      </c>
      <c r="D27" t="s">
        <v>238</v>
      </c>
      <c r="E27" t="s">
        <v>902</v>
      </c>
      <c r="F27" t="s">
        <v>990</v>
      </c>
      <c r="G27">
        <v>181</v>
      </c>
      <c r="H27">
        <v>0</v>
      </c>
      <c r="I27">
        <v>0</v>
      </c>
    </row>
    <row r="28" spans="1:9">
      <c r="A28" s="1">
        <v>43172</v>
      </c>
      <c r="B28" t="s">
        <v>273</v>
      </c>
      <c r="C28" t="s">
        <v>390</v>
      </c>
      <c r="D28" t="s">
        <v>238</v>
      </c>
      <c r="E28" t="s">
        <v>902</v>
      </c>
      <c r="F28" t="s">
        <v>990</v>
      </c>
      <c r="G28">
        <v>36</v>
      </c>
      <c r="H28">
        <v>0</v>
      </c>
      <c r="I28">
        <v>0</v>
      </c>
    </row>
    <row r="29" spans="1:9">
      <c r="A29" s="1">
        <v>43172</v>
      </c>
      <c r="B29" t="s">
        <v>274</v>
      </c>
      <c r="C29" t="s">
        <v>393</v>
      </c>
      <c r="D29" t="s">
        <v>238</v>
      </c>
      <c r="E29" t="s">
        <v>902</v>
      </c>
      <c r="F29" t="s">
        <v>990</v>
      </c>
      <c r="G29">
        <v>65</v>
      </c>
      <c r="H29">
        <v>0</v>
      </c>
      <c r="I29">
        <v>0</v>
      </c>
    </row>
    <row r="30" spans="1:9">
      <c r="A30" s="1">
        <v>43172</v>
      </c>
      <c r="B30" t="s">
        <v>275</v>
      </c>
      <c r="C30" t="s">
        <v>396</v>
      </c>
      <c r="D30" t="s">
        <v>238</v>
      </c>
      <c r="E30" t="s">
        <v>902</v>
      </c>
      <c r="F30" t="s">
        <v>990</v>
      </c>
      <c r="G30">
        <v>40</v>
      </c>
      <c r="H30">
        <v>0</v>
      </c>
      <c r="I30">
        <v>0</v>
      </c>
    </row>
    <row r="31" spans="1:9">
      <c r="A31" s="1">
        <v>43172</v>
      </c>
      <c r="B31" t="s">
        <v>276</v>
      </c>
      <c r="C31" t="s">
        <v>399</v>
      </c>
      <c r="D31" t="s">
        <v>238</v>
      </c>
      <c r="E31" t="s">
        <v>902</v>
      </c>
      <c r="F31" t="s">
        <v>990</v>
      </c>
      <c r="G31">
        <v>34</v>
      </c>
      <c r="H31">
        <v>0</v>
      </c>
      <c r="I31">
        <v>0</v>
      </c>
    </row>
    <row r="32" spans="1:9">
      <c r="A32" s="1">
        <v>43172</v>
      </c>
      <c r="B32" t="s">
        <v>277</v>
      </c>
      <c r="C32" t="s">
        <v>406</v>
      </c>
      <c r="D32" t="s">
        <v>238</v>
      </c>
      <c r="E32" t="s">
        <v>902</v>
      </c>
      <c r="F32" t="s">
        <v>990</v>
      </c>
      <c r="G32">
        <v>30</v>
      </c>
      <c r="H32">
        <v>0</v>
      </c>
      <c r="I32">
        <v>0</v>
      </c>
    </row>
    <row r="33" spans="1:9">
      <c r="A33" s="1">
        <v>43172</v>
      </c>
      <c r="B33" t="s">
        <v>278</v>
      </c>
      <c r="C33" t="s">
        <v>409</v>
      </c>
      <c r="D33" t="s">
        <v>238</v>
      </c>
      <c r="E33" t="s">
        <v>1550</v>
      </c>
      <c r="F33" t="s">
        <v>1551</v>
      </c>
      <c r="G33">
        <v>24</v>
      </c>
      <c r="H33">
        <v>0</v>
      </c>
      <c r="I33">
        <v>0</v>
      </c>
    </row>
    <row r="34" spans="1:9">
      <c r="A34" s="1">
        <v>43172</v>
      </c>
      <c r="B34" t="s">
        <v>1044</v>
      </c>
      <c r="C34" t="s">
        <v>1045</v>
      </c>
      <c r="D34" t="s">
        <v>238</v>
      </c>
      <c r="E34" t="s">
        <v>902</v>
      </c>
      <c r="F34" t="s">
        <v>1013</v>
      </c>
      <c r="G34">
        <v>2895</v>
      </c>
      <c r="H34">
        <v>0</v>
      </c>
      <c r="I34">
        <v>0</v>
      </c>
    </row>
    <row r="35" spans="1:9">
      <c r="A35" s="1">
        <v>43172</v>
      </c>
      <c r="B35" t="s">
        <v>1047</v>
      </c>
      <c r="C35" t="s">
        <v>1048</v>
      </c>
      <c r="D35" t="s">
        <v>238</v>
      </c>
      <c r="E35" t="s">
        <v>902</v>
      </c>
      <c r="F35" t="s">
        <v>1013</v>
      </c>
      <c r="G35">
        <v>2835</v>
      </c>
      <c r="H35">
        <v>0</v>
      </c>
      <c r="I35">
        <v>0</v>
      </c>
    </row>
    <row r="36" spans="1:9">
      <c r="A36" s="1">
        <v>43172</v>
      </c>
      <c r="B36" t="s">
        <v>850</v>
      </c>
      <c r="C36" t="s">
        <v>851</v>
      </c>
      <c r="D36" t="s">
        <v>238</v>
      </c>
      <c r="E36" t="s">
        <v>902</v>
      </c>
      <c r="F36" t="s">
        <v>1013</v>
      </c>
      <c r="G36">
        <v>3060</v>
      </c>
      <c r="H36">
        <v>0</v>
      </c>
      <c r="I36">
        <v>0</v>
      </c>
    </row>
    <row r="37" spans="1:9">
      <c r="A37" s="1">
        <v>43172</v>
      </c>
      <c r="B37" t="s">
        <v>1051</v>
      </c>
      <c r="C37" t="s">
        <v>1052</v>
      </c>
      <c r="D37" t="s">
        <v>238</v>
      </c>
      <c r="E37" t="s">
        <v>902</v>
      </c>
      <c r="F37" t="s">
        <v>1013</v>
      </c>
      <c r="G37">
        <v>4420</v>
      </c>
      <c r="H37">
        <v>0</v>
      </c>
      <c r="I37">
        <v>0</v>
      </c>
    </row>
    <row r="38" spans="1:9">
      <c r="A38" s="1">
        <v>43172</v>
      </c>
      <c r="B38" t="s">
        <v>1054</v>
      </c>
      <c r="C38" t="s">
        <v>1055</v>
      </c>
      <c r="D38" t="s">
        <v>238</v>
      </c>
      <c r="E38" t="s">
        <v>902</v>
      </c>
      <c r="F38" t="s">
        <v>1013</v>
      </c>
      <c r="G38">
        <v>2340</v>
      </c>
      <c r="H38">
        <v>0</v>
      </c>
      <c r="I38">
        <v>0</v>
      </c>
    </row>
    <row r="39" spans="1:9">
      <c r="A39" s="1">
        <v>43172</v>
      </c>
      <c r="B39" t="s">
        <v>871</v>
      </c>
      <c r="C39" t="s">
        <v>872</v>
      </c>
      <c r="D39" t="s">
        <v>238</v>
      </c>
      <c r="E39" t="s">
        <v>1550</v>
      </c>
      <c r="F39" t="s">
        <v>1552</v>
      </c>
      <c r="G39">
        <v>10616</v>
      </c>
      <c r="H39">
        <v>0</v>
      </c>
      <c r="I39">
        <v>0</v>
      </c>
    </row>
    <row r="40" spans="1:9">
      <c r="A40" s="1">
        <v>43172</v>
      </c>
      <c r="B40" t="s">
        <v>856</v>
      </c>
      <c r="C40" t="s">
        <v>857</v>
      </c>
      <c r="D40" t="s">
        <v>238</v>
      </c>
      <c r="E40" t="s">
        <v>902</v>
      </c>
      <c r="F40" t="s">
        <v>1013</v>
      </c>
      <c r="G40">
        <v>3660</v>
      </c>
      <c r="H40">
        <v>0</v>
      </c>
      <c r="I40">
        <v>0</v>
      </c>
    </row>
    <row r="41" spans="1:9">
      <c r="A41" s="1">
        <v>43172</v>
      </c>
      <c r="B41" t="s">
        <v>1059</v>
      </c>
      <c r="C41" t="s">
        <v>1060</v>
      </c>
      <c r="D41" t="s">
        <v>238</v>
      </c>
      <c r="E41" t="s">
        <v>902</v>
      </c>
      <c r="F41" t="s">
        <v>1013</v>
      </c>
      <c r="G41">
        <v>3360</v>
      </c>
      <c r="H41">
        <v>0</v>
      </c>
      <c r="I41">
        <v>0</v>
      </c>
    </row>
    <row r="42" spans="1:9">
      <c r="A42" s="1">
        <v>43172</v>
      </c>
      <c r="B42" t="s">
        <v>1062</v>
      </c>
      <c r="C42" t="s">
        <v>1063</v>
      </c>
      <c r="D42" t="s">
        <v>238</v>
      </c>
      <c r="E42" t="s">
        <v>902</v>
      </c>
      <c r="F42" t="s">
        <v>1013</v>
      </c>
      <c r="G42">
        <v>2700</v>
      </c>
      <c r="H42">
        <v>0</v>
      </c>
      <c r="I42">
        <v>0</v>
      </c>
    </row>
    <row r="43" spans="1:9">
      <c r="A43" s="1">
        <v>43172</v>
      </c>
      <c r="B43" t="s">
        <v>1065</v>
      </c>
      <c r="C43" t="s">
        <v>1066</v>
      </c>
      <c r="D43" t="s">
        <v>238</v>
      </c>
      <c r="E43" t="s">
        <v>902</v>
      </c>
      <c r="F43" t="s">
        <v>1013</v>
      </c>
      <c r="G43">
        <v>23920</v>
      </c>
      <c r="H43">
        <v>0</v>
      </c>
      <c r="I43">
        <v>0</v>
      </c>
    </row>
    <row r="44" spans="1:9">
      <c r="A44" s="1">
        <v>43172</v>
      </c>
      <c r="B44" t="s">
        <v>1068</v>
      </c>
      <c r="C44" t="s">
        <v>1069</v>
      </c>
      <c r="D44" t="s">
        <v>238</v>
      </c>
      <c r="E44" t="s">
        <v>902</v>
      </c>
      <c r="F44" t="s">
        <v>1013</v>
      </c>
      <c r="G44">
        <v>14220</v>
      </c>
      <c r="H44">
        <v>0</v>
      </c>
      <c r="I44">
        <v>0</v>
      </c>
    </row>
    <row r="45" spans="1:9">
      <c r="A45" s="1">
        <v>43172</v>
      </c>
      <c r="B45" t="s">
        <v>1071</v>
      </c>
      <c r="C45" t="s">
        <v>1072</v>
      </c>
      <c r="D45" t="s">
        <v>238</v>
      </c>
      <c r="E45" t="s">
        <v>902</v>
      </c>
      <c r="F45" t="s">
        <v>1013</v>
      </c>
      <c r="G45">
        <v>3870</v>
      </c>
      <c r="H45">
        <v>0</v>
      </c>
      <c r="I45">
        <v>0</v>
      </c>
    </row>
    <row r="46" spans="1:9">
      <c r="A46" s="1">
        <v>43172</v>
      </c>
      <c r="B46" t="s">
        <v>823</v>
      </c>
      <c r="C46" t="s">
        <v>824</v>
      </c>
      <c r="D46" t="s">
        <v>238</v>
      </c>
      <c r="E46" t="s">
        <v>224</v>
      </c>
      <c r="F46" t="s">
        <v>878</v>
      </c>
      <c r="G46">
        <v>9</v>
      </c>
      <c r="H46">
        <v>0</v>
      </c>
      <c r="I46">
        <v>0</v>
      </c>
    </row>
    <row r="47" spans="1:9">
      <c r="A47" s="1">
        <v>43172</v>
      </c>
      <c r="B47" t="s">
        <v>826</v>
      </c>
      <c r="C47" t="s">
        <v>827</v>
      </c>
      <c r="D47" t="s">
        <v>238</v>
      </c>
      <c r="E47" t="s">
        <v>224</v>
      </c>
      <c r="F47" t="s">
        <v>880</v>
      </c>
      <c r="G47">
        <v>9</v>
      </c>
      <c r="H47">
        <v>0</v>
      </c>
      <c r="I47">
        <v>0</v>
      </c>
    </row>
    <row r="48" spans="1:9">
      <c r="A48" s="1">
        <v>43172</v>
      </c>
      <c r="B48" t="s">
        <v>281</v>
      </c>
      <c r="C48" t="s">
        <v>424</v>
      </c>
      <c r="D48" t="s">
        <v>238</v>
      </c>
      <c r="E48" t="s">
        <v>902</v>
      </c>
      <c r="F48" t="s">
        <v>990</v>
      </c>
      <c r="G48">
        <v>10</v>
      </c>
      <c r="H48">
        <v>0</v>
      </c>
      <c r="I48">
        <v>0</v>
      </c>
    </row>
    <row r="49" spans="1:9">
      <c r="A49" s="1">
        <v>43172</v>
      </c>
      <c r="B49" t="s">
        <v>1074</v>
      </c>
      <c r="C49" t="s">
        <v>1075</v>
      </c>
      <c r="D49" t="s">
        <v>238</v>
      </c>
      <c r="E49" t="s">
        <v>902</v>
      </c>
      <c r="F49" t="s">
        <v>1013</v>
      </c>
      <c r="G49">
        <v>10</v>
      </c>
      <c r="H49">
        <v>0</v>
      </c>
      <c r="I49">
        <v>0</v>
      </c>
    </row>
    <row r="50" spans="1:9">
      <c r="A50" s="1">
        <v>43172</v>
      </c>
      <c r="B50" t="s">
        <v>626</v>
      </c>
      <c r="C50" t="s">
        <v>627</v>
      </c>
      <c r="D50" t="s">
        <v>238</v>
      </c>
      <c r="E50" t="s">
        <v>902</v>
      </c>
      <c r="F50" t="s">
        <v>1013</v>
      </c>
      <c r="G50">
        <v>87</v>
      </c>
      <c r="H50">
        <v>0</v>
      </c>
      <c r="I50">
        <v>0</v>
      </c>
    </row>
    <row r="51" spans="1:9">
      <c r="A51" s="1">
        <v>43172</v>
      </c>
      <c r="B51" t="s">
        <v>429</v>
      </c>
      <c r="C51" t="s">
        <v>430</v>
      </c>
      <c r="D51" t="s">
        <v>238</v>
      </c>
      <c r="E51" t="s">
        <v>224</v>
      </c>
      <c r="F51" t="s">
        <v>882</v>
      </c>
      <c r="G51">
        <v>-4</v>
      </c>
      <c r="H51">
        <v>0</v>
      </c>
      <c r="I51">
        <v>0</v>
      </c>
    </row>
    <row r="52" spans="1:9">
      <c r="A52" s="1">
        <v>43172</v>
      </c>
      <c r="B52" t="s">
        <v>437</v>
      </c>
      <c r="C52" t="s">
        <v>438</v>
      </c>
      <c r="D52" t="s">
        <v>238</v>
      </c>
      <c r="E52" t="s">
        <v>224</v>
      </c>
      <c r="F52" t="s">
        <v>1553</v>
      </c>
      <c r="G52">
        <v>-10</v>
      </c>
      <c r="H52">
        <v>0</v>
      </c>
      <c r="I52">
        <v>0</v>
      </c>
    </row>
    <row r="53" spans="1:9">
      <c r="A53" s="1">
        <v>43172</v>
      </c>
      <c r="B53" t="s">
        <v>283</v>
      </c>
      <c r="C53" t="s">
        <v>445</v>
      </c>
      <c r="D53" t="s">
        <v>238</v>
      </c>
      <c r="E53" t="s">
        <v>902</v>
      </c>
      <c r="F53" t="s">
        <v>990</v>
      </c>
      <c r="G53">
        <v>6</v>
      </c>
      <c r="H53">
        <v>0</v>
      </c>
      <c r="I53">
        <v>0</v>
      </c>
    </row>
    <row r="54" spans="1:9">
      <c r="A54" s="1">
        <v>43172</v>
      </c>
      <c r="B54" t="s">
        <v>284</v>
      </c>
      <c r="C54" t="s">
        <v>446</v>
      </c>
      <c r="D54" t="s">
        <v>238</v>
      </c>
      <c r="E54" t="s">
        <v>902</v>
      </c>
      <c r="F54" t="s">
        <v>990</v>
      </c>
      <c r="G54">
        <v>33</v>
      </c>
      <c r="H54">
        <v>0</v>
      </c>
      <c r="I54">
        <v>0</v>
      </c>
    </row>
    <row r="55" spans="1:9">
      <c r="A55" s="1">
        <v>43172</v>
      </c>
      <c r="B55" t="s">
        <v>285</v>
      </c>
      <c r="C55" t="s">
        <v>451</v>
      </c>
      <c r="D55" t="s">
        <v>238</v>
      </c>
      <c r="E55" t="s">
        <v>902</v>
      </c>
      <c r="F55" t="s">
        <v>990</v>
      </c>
      <c r="G55">
        <v>25</v>
      </c>
      <c r="H55">
        <v>0</v>
      </c>
      <c r="I55">
        <v>0</v>
      </c>
    </row>
    <row r="56" spans="1:9">
      <c r="A56" s="1">
        <v>43172</v>
      </c>
      <c r="B56" t="s">
        <v>494</v>
      </c>
      <c r="C56" t="s">
        <v>495</v>
      </c>
      <c r="D56" t="s">
        <v>238</v>
      </c>
      <c r="E56" t="s">
        <v>122</v>
      </c>
      <c r="F56" t="s">
        <v>618</v>
      </c>
      <c r="G56">
        <v>1</v>
      </c>
      <c r="H56">
        <v>0</v>
      </c>
      <c r="I56">
        <v>0</v>
      </c>
    </row>
    <row r="57" spans="1:9">
      <c r="A57" s="1">
        <v>43172</v>
      </c>
      <c r="B57" t="s">
        <v>1078</v>
      </c>
      <c r="C57" t="s">
        <v>1079</v>
      </c>
      <c r="D57" t="s">
        <v>238</v>
      </c>
      <c r="E57" t="s">
        <v>902</v>
      </c>
      <c r="F57" t="s">
        <v>1013</v>
      </c>
      <c r="G57">
        <v>320</v>
      </c>
      <c r="H57">
        <v>0</v>
      </c>
      <c r="I57">
        <v>0</v>
      </c>
    </row>
    <row r="58" spans="1:9">
      <c r="A58" s="1">
        <v>43172</v>
      </c>
      <c r="B58" t="s">
        <v>1081</v>
      </c>
      <c r="C58" t="s">
        <v>1082</v>
      </c>
      <c r="D58" t="s">
        <v>238</v>
      </c>
      <c r="E58" t="s">
        <v>902</v>
      </c>
      <c r="F58" t="s">
        <v>1013</v>
      </c>
      <c r="G58">
        <v>300</v>
      </c>
      <c r="H58">
        <v>0</v>
      </c>
      <c r="I58">
        <v>0</v>
      </c>
    </row>
    <row r="59" spans="1:9">
      <c r="A59" s="1">
        <v>43172</v>
      </c>
      <c r="B59" t="s">
        <v>500</v>
      </c>
      <c r="C59" t="s">
        <v>501</v>
      </c>
      <c r="D59" t="s">
        <v>238</v>
      </c>
      <c r="E59" t="s">
        <v>902</v>
      </c>
      <c r="F59" t="s">
        <v>1013</v>
      </c>
      <c r="G59">
        <v>161</v>
      </c>
      <c r="H59">
        <v>0</v>
      </c>
      <c r="I59">
        <v>0</v>
      </c>
    </row>
    <row r="60" spans="1:9">
      <c r="A60" s="1">
        <v>43172</v>
      </c>
      <c r="B60" t="s">
        <v>1085</v>
      </c>
      <c r="C60" t="s">
        <v>1086</v>
      </c>
      <c r="D60" t="s">
        <v>238</v>
      </c>
      <c r="E60" t="s">
        <v>902</v>
      </c>
      <c r="F60" t="s">
        <v>1013</v>
      </c>
      <c r="G60">
        <v>250</v>
      </c>
      <c r="H60">
        <v>0</v>
      </c>
      <c r="I60">
        <v>0</v>
      </c>
    </row>
    <row r="61" spans="1:9">
      <c r="A61" s="1">
        <v>43172</v>
      </c>
      <c r="B61" t="s">
        <v>1088</v>
      </c>
      <c r="C61" t="s">
        <v>1089</v>
      </c>
      <c r="D61" t="s">
        <v>238</v>
      </c>
      <c r="E61" t="s">
        <v>902</v>
      </c>
      <c r="F61" t="s">
        <v>1013</v>
      </c>
      <c r="G61">
        <v>132</v>
      </c>
      <c r="H61">
        <v>0</v>
      </c>
      <c r="I61">
        <v>0</v>
      </c>
    </row>
    <row r="62" spans="1:9">
      <c r="A62" s="1">
        <v>43172</v>
      </c>
      <c r="B62" t="s">
        <v>1091</v>
      </c>
      <c r="C62" t="s">
        <v>1092</v>
      </c>
      <c r="D62" t="s">
        <v>238</v>
      </c>
      <c r="E62" t="s">
        <v>902</v>
      </c>
      <c r="F62" t="s">
        <v>1013</v>
      </c>
      <c r="G62">
        <v>12</v>
      </c>
      <c r="H62">
        <v>0</v>
      </c>
      <c r="I62">
        <v>0</v>
      </c>
    </row>
    <row r="63" spans="1:9">
      <c r="A63" s="1">
        <v>43172</v>
      </c>
      <c r="B63" t="s">
        <v>1094</v>
      </c>
      <c r="C63" t="s">
        <v>1095</v>
      </c>
      <c r="D63" t="s">
        <v>238</v>
      </c>
      <c r="E63" t="s">
        <v>902</v>
      </c>
      <c r="F63" t="s">
        <v>1013</v>
      </c>
      <c r="G63">
        <v>185</v>
      </c>
      <c r="H63">
        <v>0</v>
      </c>
      <c r="I63">
        <v>0</v>
      </c>
    </row>
    <row r="64" spans="1:9">
      <c r="A64" s="1">
        <v>43172</v>
      </c>
      <c r="B64" t="s">
        <v>629</v>
      </c>
      <c r="C64" t="s">
        <v>630</v>
      </c>
      <c r="D64" t="s">
        <v>238</v>
      </c>
      <c r="E64" t="s">
        <v>902</v>
      </c>
      <c r="F64" t="s">
        <v>1013</v>
      </c>
      <c r="G64">
        <v>246</v>
      </c>
      <c r="H64">
        <v>0</v>
      </c>
      <c r="I64">
        <v>0</v>
      </c>
    </row>
    <row r="65" spans="1:9">
      <c r="A65" s="1">
        <v>43172</v>
      </c>
      <c r="B65" t="s">
        <v>632</v>
      </c>
      <c r="C65" t="s">
        <v>633</v>
      </c>
      <c r="D65" t="s">
        <v>238</v>
      </c>
      <c r="E65" t="s">
        <v>224</v>
      </c>
      <c r="F65" t="s">
        <v>882</v>
      </c>
      <c r="G65">
        <v>-1</v>
      </c>
      <c r="H65">
        <v>0</v>
      </c>
      <c r="I65">
        <v>0</v>
      </c>
    </row>
    <row r="66" spans="1:9">
      <c r="A66" s="1">
        <v>43172</v>
      </c>
      <c r="B66" t="s">
        <v>635</v>
      </c>
      <c r="C66" t="s">
        <v>636</v>
      </c>
      <c r="D66" t="s">
        <v>238</v>
      </c>
      <c r="E66" t="s">
        <v>224</v>
      </c>
      <c r="F66" t="s">
        <v>882</v>
      </c>
      <c r="G66">
        <v>-1</v>
      </c>
      <c r="H66">
        <v>0</v>
      </c>
      <c r="I66">
        <v>0</v>
      </c>
    </row>
    <row r="67" spans="1:9" ht="45">
      <c r="A67" s="1">
        <v>43172</v>
      </c>
      <c r="B67" t="s">
        <v>115</v>
      </c>
      <c r="C67" s="21" t="s">
        <v>116</v>
      </c>
      <c r="D67" t="s">
        <v>238</v>
      </c>
      <c r="E67" t="s">
        <v>902</v>
      </c>
      <c r="F67" t="s">
        <v>990</v>
      </c>
      <c r="G67">
        <v>78</v>
      </c>
      <c r="H67">
        <v>0</v>
      </c>
      <c r="I67">
        <v>0</v>
      </c>
    </row>
    <row r="68" spans="1:9">
      <c r="A68" s="1">
        <v>43172</v>
      </c>
      <c r="B68" t="s">
        <v>1098</v>
      </c>
      <c r="C68" t="s">
        <v>1099</v>
      </c>
      <c r="D68" t="s">
        <v>238</v>
      </c>
      <c r="E68" t="s">
        <v>902</v>
      </c>
      <c r="F68" t="s">
        <v>1013</v>
      </c>
      <c r="G68">
        <v>28.35</v>
      </c>
      <c r="H68">
        <v>0</v>
      </c>
      <c r="I68">
        <v>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663"/>
  <sheetViews>
    <sheetView topLeftCell="A2" workbookViewId="0">
      <selection activeCell="A2" sqref="A2"/>
    </sheetView>
  </sheetViews>
  <sheetFormatPr defaultRowHeight="1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8</v>
      </c>
      <c r="B2" s="3" t="s">
        <v>9</v>
      </c>
      <c r="C2" s="3" t="s">
        <v>6</v>
      </c>
      <c r="D2" s="3" t="s">
        <v>18</v>
      </c>
      <c r="E2" s="3" t="s">
        <v>34</v>
      </c>
      <c r="F2" s="3" t="s">
        <v>35</v>
      </c>
      <c r="G2" s="5" t="s">
        <v>10</v>
      </c>
      <c r="H2" s="5" t="s">
        <v>11</v>
      </c>
      <c r="I2" s="3" t="s">
        <v>12</v>
      </c>
      <c r="J2" s="3" t="s">
        <v>21</v>
      </c>
      <c r="K2" s="3" t="s">
        <v>7</v>
      </c>
      <c r="L2" s="3" t="s">
        <v>74</v>
      </c>
      <c r="M2" s="3" t="s">
        <v>30</v>
      </c>
      <c r="N2" s="3" t="s">
        <v>55</v>
      </c>
    </row>
    <row r="3" spans="1:14">
      <c r="A3" s="8" t="s">
        <v>122</v>
      </c>
      <c r="B3" s="8" t="s">
        <v>490</v>
      </c>
      <c r="C3" s="8" t="s">
        <v>333</v>
      </c>
      <c r="D3" s="8" t="s">
        <v>334</v>
      </c>
      <c r="E3" s="8" t="s">
        <v>237</v>
      </c>
      <c r="F3" s="8" t="s">
        <v>238</v>
      </c>
      <c r="G3" s="6">
        <v>43111</v>
      </c>
      <c r="H3" s="6">
        <v>43102</v>
      </c>
      <c r="I3" s="4">
        <v>-1</v>
      </c>
      <c r="J3" s="8" t="s">
        <v>22</v>
      </c>
      <c r="K3" s="8" t="s">
        <v>491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/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 t="str">
        <f>IF(AtlasReport_1_Table_1[[#This Row],[Reference]]="Purchase order",_xll.AtlasFormulas.AtlasFunctions.AtlasBalance("UAT",DataAreaId,"T.MarkupTrans","Sum|Posted|0","","","","","","","MarkupCode|TransTableId|TransRecId","TPP","492",$L3),"")</f>
        <v/>
      </c>
    </row>
    <row r="4" spans="1:14">
      <c r="A4" s="8" t="s">
        <v>122</v>
      </c>
      <c r="B4" s="8" t="s">
        <v>490</v>
      </c>
      <c r="C4" s="8" t="s">
        <v>64</v>
      </c>
      <c r="D4" s="8" t="s">
        <v>65</v>
      </c>
      <c r="E4" s="8" t="s">
        <v>237</v>
      </c>
      <c r="F4" s="8" t="s">
        <v>238</v>
      </c>
      <c r="G4" s="6">
        <v>43111</v>
      </c>
      <c r="H4" s="6">
        <v>43102</v>
      </c>
      <c r="I4" s="4">
        <v>-75</v>
      </c>
      <c r="J4" s="8" t="s">
        <v>24</v>
      </c>
      <c r="K4" s="8" t="s">
        <v>492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/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 t="str">
        <f>IF(AtlasReport_1_Table_1[[#This Row],[Reference]]="Purchase order",_xll.AtlasFormulas.AtlasFunctions.AtlasBalance("UAT",DataAreaId,"T.MarkupTrans","Sum|Posted|0","","","","","","","MarkupCode|TransTableId|TransRecId","TPP","492",$L4),"")</f>
        <v/>
      </c>
    </row>
    <row r="5" spans="1:14">
      <c r="A5" s="8" t="s">
        <v>122</v>
      </c>
      <c r="B5" s="8" t="s">
        <v>490</v>
      </c>
      <c r="C5" s="8" t="s">
        <v>285</v>
      </c>
      <c r="D5" s="8" t="s">
        <v>451</v>
      </c>
      <c r="E5" s="8" t="s">
        <v>237</v>
      </c>
      <c r="F5" s="8" t="s">
        <v>238</v>
      </c>
      <c r="G5" s="6">
        <v>43111</v>
      </c>
      <c r="H5" s="6">
        <v>43102</v>
      </c>
      <c r="I5" s="4">
        <v>-8</v>
      </c>
      <c r="J5" s="8" t="s">
        <v>22</v>
      </c>
      <c r="K5" s="8" t="s">
        <v>493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/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/>
      </c>
      <c r="N5" s="4" t="str">
        <f>IF(AtlasReport_1_Table_1[[#This Row],[Reference]]="Purchase order",_xll.AtlasFormulas.AtlasFunctions.AtlasBalance("UAT",DataAreaId,"T.MarkupTrans","Sum|Posted|0","","","","","","","MarkupCode|TransTableId|TransRecId","TPP","492",$L5),"")</f>
        <v/>
      </c>
    </row>
    <row r="6" spans="1:14">
      <c r="A6" s="8" t="s">
        <v>122</v>
      </c>
      <c r="B6" s="8" t="s">
        <v>490</v>
      </c>
      <c r="C6" s="8" t="s">
        <v>494</v>
      </c>
      <c r="D6" s="8" t="s">
        <v>495</v>
      </c>
      <c r="E6" s="8" t="s">
        <v>237</v>
      </c>
      <c r="F6" s="8" t="s">
        <v>238</v>
      </c>
      <c r="G6" s="6">
        <v>43111</v>
      </c>
      <c r="H6" s="6">
        <v>43102</v>
      </c>
      <c r="I6" s="4">
        <v>-1</v>
      </c>
      <c r="J6" s="8" t="s">
        <v>22</v>
      </c>
      <c r="K6" s="8" t="s">
        <v>496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/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 t="str">
        <f>IF(AtlasReport_1_Table_1[[#This Row],[Reference]]="Purchase order",_xll.AtlasFormulas.AtlasFunctions.AtlasBalance("UAT",DataAreaId,"T.MarkupTrans","Sum|Posted|0","","","","","","","MarkupCode|TransTableId|TransRecId","TPP","492",$L6),"")</f>
        <v/>
      </c>
    </row>
    <row r="7" spans="1:14">
      <c r="A7" s="8" t="s">
        <v>122</v>
      </c>
      <c r="B7" s="8" t="s">
        <v>497</v>
      </c>
      <c r="C7" s="8" t="s">
        <v>267</v>
      </c>
      <c r="D7" s="8" t="s">
        <v>368</v>
      </c>
      <c r="E7" s="8" t="s">
        <v>237</v>
      </c>
      <c r="F7" s="8" t="s">
        <v>238</v>
      </c>
      <c r="G7" s="6">
        <v>43111</v>
      </c>
      <c r="H7" s="6">
        <v>43109</v>
      </c>
      <c r="I7" s="4">
        <v>-12</v>
      </c>
      <c r="J7" s="8" t="s">
        <v>22</v>
      </c>
      <c r="K7" s="8" t="s">
        <v>498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>
      <c r="A8" s="8" t="s">
        <v>122</v>
      </c>
      <c r="B8" s="8" t="s">
        <v>497</v>
      </c>
      <c r="C8" s="8" t="s">
        <v>277</v>
      </c>
      <c r="D8" s="8" t="s">
        <v>406</v>
      </c>
      <c r="E8" s="8" t="s">
        <v>237</v>
      </c>
      <c r="F8" s="8" t="s">
        <v>238</v>
      </c>
      <c r="G8" s="6">
        <v>43111</v>
      </c>
      <c r="H8" s="6">
        <v>43109</v>
      </c>
      <c r="I8" s="4">
        <v>-1</v>
      </c>
      <c r="J8" s="8" t="s">
        <v>22</v>
      </c>
      <c r="K8" s="8" t="s">
        <v>499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>
      <c r="A9" s="8" t="s">
        <v>122</v>
      </c>
      <c r="B9" s="8" t="s">
        <v>497</v>
      </c>
      <c r="C9" s="8" t="s">
        <v>500</v>
      </c>
      <c r="D9" s="8" t="s">
        <v>501</v>
      </c>
      <c r="E9" s="8" t="s">
        <v>237</v>
      </c>
      <c r="F9" s="8" t="s">
        <v>238</v>
      </c>
      <c r="G9" s="6">
        <v>43111</v>
      </c>
      <c r="H9" s="6">
        <v>43109</v>
      </c>
      <c r="I9" s="4">
        <v>-2</v>
      </c>
      <c r="J9" s="8" t="s">
        <v>22</v>
      </c>
      <c r="K9" s="8" t="s">
        <v>502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>
      <c r="A10" s="8" t="s">
        <v>122</v>
      </c>
      <c r="B10" s="8" t="s">
        <v>503</v>
      </c>
      <c r="C10" s="8" t="s">
        <v>64</v>
      </c>
      <c r="D10" s="8" t="s">
        <v>65</v>
      </c>
      <c r="E10" s="8" t="s">
        <v>237</v>
      </c>
      <c r="F10" s="8" t="s">
        <v>238</v>
      </c>
      <c r="G10" s="6">
        <v>43111</v>
      </c>
      <c r="H10" s="6">
        <v>43110</v>
      </c>
      <c r="I10" s="4">
        <v>-15</v>
      </c>
      <c r="J10" s="8" t="s">
        <v>24</v>
      </c>
      <c r="K10" s="8" t="s">
        <v>504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>
      <c r="A11" s="8" t="s">
        <v>122</v>
      </c>
      <c r="B11" s="8" t="s">
        <v>505</v>
      </c>
      <c r="C11" s="8" t="s">
        <v>506</v>
      </c>
      <c r="D11" s="8" t="s">
        <v>507</v>
      </c>
      <c r="E11" s="8" t="s">
        <v>237</v>
      </c>
      <c r="F11" s="8" t="s">
        <v>238</v>
      </c>
      <c r="G11" s="6">
        <v>43111</v>
      </c>
      <c r="H11" s="6">
        <v>43110</v>
      </c>
      <c r="I11" s="4">
        <v>-10</v>
      </c>
      <c r="J11" s="8" t="s">
        <v>22</v>
      </c>
      <c r="K11" s="8" t="s">
        <v>508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>
      <c r="A12" s="8" t="s">
        <v>122</v>
      </c>
      <c r="B12" s="8" t="s">
        <v>509</v>
      </c>
      <c r="C12" s="8" t="s">
        <v>274</v>
      </c>
      <c r="D12" s="8" t="s">
        <v>393</v>
      </c>
      <c r="E12" s="8" t="s">
        <v>237</v>
      </c>
      <c r="F12" s="8" t="s">
        <v>238</v>
      </c>
      <c r="G12" s="6">
        <v>43109</v>
      </c>
      <c r="H12" s="6">
        <v>43110</v>
      </c>
      <c r="I12" s="4">
        <v>-40</v>
      </c>
      <c r="J12" s="8" t="s">
        <v>22</v>
      </c>
      <c r="K12" s="8" t="s">
        <v>510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>
      <c r="A13" s="8" t="s">
        <v>122</v>
      </c>
      <c r="B13" s="8" t="s">
        <v>511</v>
      </c>
      <c r="C13" s="8" t="s">
        <v>506</v>
      </c>
      <c r="D13" s="8" t="s">
        <v>507</v>
      </c>
      <c r="E13" s="8" t="s">
        <v>237</v>
      </c>
      <c r="F13" s="8" t="s">
        <v>238</v>
      </c>
      <c r="G13" s="6">
        <v>43110</v>
      </c>
      <c r="H13" s="6">
        <v>43111</v>
      </c>
      <c r="I13" s="4">
        <v>-40</v>
      </c>
      <c r="J13" s="8" t="s">
        <v>22</v>
      </c>
      <c r="K13" s="8" t="s">
        <v>512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>
      <c r="A14" s="8" t="s">
        <v>122</v>
      </c>
      <c r="B14" s="8" t="s">
        <v>513</v>
      </c>
      <c r="C14" s="8" t="s">
        <v>212</v>
      </c>
      <c r="D14" s="8" t="s">
        <v>216</v>
      </c>
      <c r="E14" s="8" t="s">
        <v>237</v>
      </c>
      <c r="F14" s="8" t="s">
        <v>238</v>
      </c>
      <c r="G14" s="6">
        <v>43117</v>
      </c>
      <c r="H14" s="6">
        <v>43118</v>
      </c>
      <c r="I14" s="4">
        <v>-18</v>
      </c>
      <c r="J14" s="8" t="s">
        <v>22</v>
      </c>
      <c r="K14" s="8" t="s">
        <v>514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>
      <c r="A15" s="8" t="s">
        <v>122</v>
      </c>
      <c r="B15" s="8" t="s">
        <v>513</v>
      </c>
      <c r="C15" s="8" t="s">
        <v>212</v>
      </c>
      <c r="D15" s="8" t="s">
        <v>216</v>
      </c>
      <c r="E15" s="8" t="s">
        <v>237</v>
      </c>
      <c r="F15" s="8" t="s">
        <v>238</v>
      </c>
      <c r="G15" s="6">
        <v>43117</v>
      </c>
      <c r="H15" s="6">
        <v>43118</v>
      </c>
      <c r="I15" s="4">
        <v>-4</v>
      </c>
      <c r="J15" s="8" t="s">
        <v>22</v>
      </c>
      <c r="K15" s="8" t="s">
        <v>515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>
      <c r="A16" s="8" t="s">
        <v>122</v>
      </c>
      <c r="B16" s="8" t="s">
        <v>513</v>
      </c>
      <c r="C16" s="8" t="s">
        <v>212</v>
      </c>
      <c r="D16" s="8" t="s">
        <v>216</v>
      </c>
      <c r="E16" s="8" t="s">
        <v>237</v>
      </c>
      <c r="F16" s="8" t="s">
        <v>238</v>
      </c>
      <c r="G16" s="6">
        <v>43117</v>
      </c>
      <c r="H16" s="6">
        <v>43118</v>
      </c>
      <c r="I16" s="4">
        <v>-1</v>
      </c>
      <c r="J16" s="8" t="s">
        <v>22</v>
      </c>
      <c r="K16" s="8" t="s">
        <v>516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>
      <c r="A17" s="8" t="s">
        <v>122</v>
      </c>
      <c r="B17" s="8" t="s">
        <v>513</v>
      </c>
      <c r="C17" s="8" t="s">
        <v>212</v>
      </c>
      <c r="D17" s="8" t="s">
        <v>216</v>
      </c>
      <c r="E17" s="8" t="s">
        <v>237</v>
      </c>
      <c r="F17" s="8" t="s">
        <v>238</v>
      </c>
      <c r="G17" s="6">
        <v>43117</v>
      </c>
      <c r="H17" s="6">
        <v>43118</v>
      </c>
      <c r="I17" s="4">
        <v>-13</v>
      </c>
      <c r="J17" s="8" t="s">
        <v>22</v>
      </c>
      <c r="K17" s="8" t="s">
        <v>517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>
      <c r="A18" s="8" t="s">
        <v>122</v>
      </c>
      <c r="B18" s="8" t="s">
        <v>513</v>
      </c>
      <c r="C18" s="8" t="s">
        <v>518</v>
      </c>
      <c r="D18" s="8" t="s">
        <v>519</v>
      </c>
      <c r="E18" s="8" t="s">
        <v>237</v>
      </c>
      <c r="F18" s="8" t="s">
        <v>238</v>
      </c>
      <c r="G18" s="6">
        <v>43117</v>
      </c>
      <c r="H18" s="6">
        <v>43118</v>
      </c>
      <c r="I18" s="4">
        <v>-50</v>
      </c>
      <c r="J18" s="8" t="s">
        <v>22</v>
      </c>
      <c r="K18" s="8" t="s">
        <v>520</v>
      </c>
      <c r="L18" s="4" t="str">
        <f>IF(AtlasReport_1_Table_1[[#This Row],[Reference]]="Purchase order",_xll.AtlasFormulas.AtlasFunctions.AtlasTable("UAT",DataAreaId,"T.VendInvoiceTrans","%RecId","","","","","","","ItemId|PurchID|InventTransId",$C18,$B18,$K18),"")</f>
        <v/>
      </c>
      <c r="M18" s="4" t="str">
        <f>IF(AtlasReport_1_Table_1[[#This Row],[Reference]]="Purchase order",_xll.AtlasFormulas.AtlasFunctions.AtlasTable("UAT",DataAreaId,"T.MarkupTrans","%CurrencyCode","","","","","","","MarkupCode|TransRecId|TransTableId","TPP",$L18,"492"),"")</f>
        <v/>
      </c>
      <c r="N18" s="4" t="str">
        <f>IF(AtlasReport_1_Table_1[[#This Row],[Reference]]="Purchase order",_xll.AtlasFormulas.AtlasFunctions.AtlasBalance("UAT",DataAreaId,"T.MarkupTrans","Sum|Posted|0","","","","","","","MarkupCode|TransTableId|TransRecId","TPP","492",$L18),"")</f>
        <v/>
      </c>
    </row>
    <row r="19" spans="1:14">
      <c r="A19" s="8" t="s">
        <v>122</v>
      </c>
      <c r="B19" s="8" t="s">
        <v>513</v>
      </c>
      <c r="C19" s="8" t="s">
        <v>267</v>
      </c>
      <c r="D19" s="8" t="s">
        <v>368</v>
      </c>
      <c r="E19" s="8" t="s">
        <v>237</v>
      </c>
      <c r="F19" s="8" t="s">
        <v>238</v>
      </c>
      <c r="G19" s="6">
        <v>43117</v>
      </c>
      <c r="H19" s="6">
        <v>43118</v>
      </c>
      <c r="I19" s="4">
        <v>-686</v>
      </c>
      <c r="J19" s="8" t="s">
        <v>22</v>
      </c>
      <c r="K19" s="8" t="s">
        <v>521</v>
      </c>
      <c r="L19" s="4" t="str">
        <f>IF(AtlasReport_1_Table_1[[#This Row],[Reference]]="Purchase order",_xll.AtlasFormulas.AtlasFunctions.AtlasTable("UAT",DataAreaId,"T.VendInvoiceTrans","%RecId","","","","","","","ItemId|PurchID|InventTransId",$C19,$B19,$K19),"")</f>
        <v/>
      </c>
      <c r="M19" s="4" t="str">
        <f>IF(AtlasReport_1_Table_1[[#This Row],[Reference]]="Purchase order",_xll.AtlasFormulas.AtlasFunctions.AtlasTable("UAT",DataAreaId,"T.MarkupTrans","%CurrencyCode","","","","","","","MarkupCode|TransRecId|TransTableId","TPP",$L19,"492"),"")</f>
        <v/>
      </c>
      <c r="N19" s="4" t="str">
        <f>IF(AtlasReport_1_Table_1[[#This Row],[Reference]]="Purchase order",_xll.AtlasFormulas.AtlasFunctions.AtlasBalance("UAT",DataAreaId,"T.MarkupTrans","Sum|Posted|0","","","","","","","MarkupCode|TransTableId|TransRecId","TPP","492",$L19),"")</f>
        <v/>
      </c>
    </row>
    <row r="20" spans="1:14">
      <c r="A20" s="8" t="s">
        <v>122</v>
      </c>
      <c r="B20" s="8" t="s">
        <v>513</v>
      </c>
      <c r="C20" s="8" t="s">
        <v>522</v>
      </c>
      <c r="D20" s="8" t="s">
        <v>523</v>
      </c>
      <c r="E20" s="8" t="s">
        <v>237</v>
      </c>
      <c r="F20" s="8" t="s">
        <v>238</v>
      </c>
      <c r="G20" s="6">
        <v>43117</v>
      </c>
      <c r="H20" s="6">
        <v>43118</v>
      </c>
      <c r="I20" s="4">
        <v>-5</v>
      </c>
      <c r="J20" s="8" t="s">
        <v>22</v>
      </c>
      <c r="K20" s="8" t="s">
        <v>524</v>
      </c>
      <c r="L20" s="4" t="str">
        <f>IF(AtlasReport_1_Table_1[[#This Row],[Reference]]="Purchase order",_xll.AtlasFormulas.AtlasFunctions.AtlasTable("UAT",DataAreaId,"T.VendInvoiceTrans","%RecId","","","","","","","ItemId|PurchID|InventTransId",$C20,$B20,$K20),"")</f>
        <v/>
      </c>
      <c r="M20" s="4" t="str">
        <f>IF(AtlasReport_1_Table_1[[#This Row],[Reference]]="Purchase order",_xll.AtlasFormulas.AtlasFunctions.AtlasTable("UAT",DataAreaId,"T.MarkupTrans","%CurrencyCode","","","","","","","MarkupCode|TransRecId|TransTableId","TPP",$L20,"492"),"")</f>
        <v/>
      </c>
      <c r="N20" s="4" t="str">
        <f>IF(AtlasReport_1_Table_1[[#This Row],[Reference]]="Purchase order",_xll.AtlasFormulas.AtlasFunctions.AtlasBalance("UAT",DataAreaId,"T.MarkupTrans","Sum|Posted|0","","","","","","","MarkupCode|TransTableId|TransRecId","TPP","492",$L20),"")</f>
        <v/>
      </c>
    </row>
    <row r="21" spans="1:14">
      <c r="A21" s="8" t="s">
        <v>122</v>
      </c>
      <c r="B21" s="8" t="s">
        <v>525</v>
      </c>
      <c r="C21" s="8" t="s">
        <v>506</v>
      </c>
      <c r="D21" s="8" t="s">
        <v>507</v>
      </c>
      <c r="E21" s="8" t="s">
        <v>237</v>
      </c>
      <c r="F21" s="8" t="s">
        <v>238</v>
      </c>
      <c r="G21" s="6">
        <v>43119</v>
      </c>
      <c r="H21" s="6">
        <v>43122</v>
      </c>
      <c r="I21" s="4">
        <v>-160</v>
      </c>
      <c r="J21" s="8" t="s">
        <v>22</v>
      </c>
      <c r="K21" s="8" t="s">
        <v>526</v>
      </c>
      <c r="L21" s="4" t="str">
        <f>IF(AtlasReport_1_Table_1[[#This Row],[Reference]]="Purchase order",_xll.AtlasFormulas.AtlasFunctions.AtlasTable("UAT",DataAreaId,"T.VendInvoiceTrans","%RecId","","","","","","","ItemId|PurchID|InventTransId",$C21,$B21,$K21),"")</f>
        <v/>
      </c>
      <c r="M21" s="4" t="str">
        <f>IF(AtlasReport_1_Table_1[[#This Row],[Reference]]="Purchase order",_xll.AtlasFormulas.AtlasFunctions.AtlasTable("UAT",DataAreaId,"T.MarkupTrans","%CurrencyCode","","","","","","","MarkupCode|TransRecId|TransTableId","TPP",$L21,"492"),"")</f>
        <v/>
      </c>
      <c r="N21" s="4" t="str">
        <f>IF(AtlasReport_1_Table_1[[#This Row],[Reference]]="Purchase order",_xll.AtlasFormulas.AtlasFunctions.AtlasBalance("UAT",DataAreaId,"T.MarkupTrans","Sum|Posted|0","","","","","","","MarkupCode|TransTableId|TransRecId","TPP","492",$L21),"")</f>
        <v/>
      </c>
    </row>
    <row r="22" spans="1:14">
      <c r="A22" s="8" t="s">
        <v>122</v>
      </c>
      <c r="B22" s="8" t="s">
        <v>527</v>
      </c>
      <c r="C22" s="8" t="s">
        <v>267</v>
      </c>
      <c r="D22" s="8" t="s">
        <v>368</v>
      </c>
      <c r="E22" s="8" t="s">
        <v>237</v>
      </c>
      <c r="F22" s="8" t="s">
        <v>238</v>
      </c>
      <c r="G22" s="6">
        <v>43119</v>
      </c>
      <c r="H22" s="6">
        <v>43122</v>
      </c>
      <c r="I22" s="4">
        <v>-60</v>
      </c>
      <c r="J22" s="8" t="s">
        <v>22</v>
      </c>
      <c r="K22" s="8" t="s">
        <v>528</v>
      </c>
      <c r="L22" s="4" t="str">
        <f>IF(AtlasReport_1_Table_1[[#This Row],[Reference]]="Purchase order",_xll.AtlasFormulas.AtlasFunctions.AtlasTable("UAT",DataAreaId,"T.VendInvoiceTrans","%RecId","","","","","","","ItemId|PurchID|InventTransId",$C22,$B22,$K22),"")</f>
        <v/>
      </c>
      <c r="M22" s="4" t="str">
        <f>IF(AtlasReport_1_Table_1[[#This Row],[Reference]]="Purchase order",_xll.AtlasFormulas.AtlasFunctions.AtlasTable("UAT",DataAreaId,"T.MarkupTrans","%CurrencyCode","","","","","","","MarkupCode|TransRecId|TransTableId","TPP",$L22,"492"),"")</f>
        <v/>
      </c>
      <c r="N22" s="4" t="str">
        <f>IF(AtlasReport_1_Table_1[[#This Row],[Reference]]="Purchase order",_xll.AtlasFormulas.AtlasFunctions.AtlasBalance("UAT",DataAreaId,"T.MarkupTrans","Sum|Posted|0","","","","","","","MarkupCode|TransTableId|TransRecId","TPP","492",$L22),"")</f>
        <v/>
      </c>
    </row>
    <row r="23" spans="1:14">
      <c r="A23" s="8" t="s">
        <v>122</v>
      </c>
      <c r="B23" s="8" t="s">
        <v>529</v>
      </c>
      <c r="C23" s="8" t="s">
        <v>43</v>
      </c>
      <c r="D23" s="8" t="s">
        <v>67</v>
      </c>
      <c r="E23" s="8" t="s">
        <v>237</v>
      </c>
      <c r="F23" s="8" t="s">
        <v>238</v>
      </c>
      <c r="G23" s="6">
        <v>43119</v>
      </c>
      <c r="H23" s="6">
        <v>43122</v>
      </c>
      <c r="I23" s="4">
        <v>-30</v>
      </c>
      <c r="J23" s="8" t="s">
        <v>23</v>
      </c>
      <c r="K23" s="8" t="s">
        <v>530</v>
      </c>
      <c r="L23" s="4" t="str">
        <f>IF(AtlasReport_1_Table_1[[#This Row],[Reference]]="Purchase order",_xll.AtlasFormulas.AtlasFunctions.AtlasTable("UAT",DataAreaId,"T.VendInvoiceTrans","%RecId","","","","","","","ItemId|PurchID|InventTransId",$C23,$B23,$K23),"")</f>
        <v/>
      </c>
      <c r="M23" s="4" t="str">
        <f>IF(AtlasReport_1_Table_1[[#This Row],[Reference]]="Purchase order",_xll.AtlasFormulas.AtlasFunctions.AtlasTable("UAT",DataAreaId,"T.MarkupTrans","%CurrencyCode","","","","","","","MarkupCode|TransRecId|TransTableId","TPP",$L23,"492"),"")</f>
        <v/>
      </c>
      <c r="N23" s="4" t="str">
        <f>IF(AtlasReport_1_Table_1[[#This Row],[Reference]]="Purchase order",_xll.AtlasFormulas.AtlasFunctions.AtlasBalance("UAT",DataAreaId,"T.MarkupTrans","Sum|Posted|0","","","","","","","MarkupCode|TransTableId|TransRecId","TPP","492",$L23),"")</f>
        <v/>
      </c>
    </row>
    <row r="24" spans="1:14" ht="30">
      <c r="A24" s="8" t="s">
        <v>122</v>
      </c>
      <c r="B24" s="8" t="s">
        <v>529</v>
      </c>
      <c r="C24" s="8" t="s">
        <v>115</v>
      </c>
      <c r="D24" s="11" t="s">
        <v>116</v>
      </c>
      <c r="E24" s="8" t="s">
        <v>237</v>
      </c>
      <c r="F24" s="8" t="s">
        <v>238</v>
      </c>
      <c r="G24" s="6">
        <v>43119</v>
      </c>
      <c r="H24" s="6">
        <v>43122</v>
      </c>
      <c r="I24" s="4">
        <v>-9</v>
      </c>
      <c r="J24" s="8" t="s">
        <v>22</v>
      </c>
      <c r="K24" s="8" t="s">
        <v>531</v>
      </c>
      <c r="L24" s="4" t="str">
        <f>IF(AtlasReport_1_Table_1[[#This Row],[Reference]]="Purchase order",_xll.AtlasFormulas.AtlasFunctions.AtlasTable("UAT",DataAreaId,"T.VendInvoiceTrans","%RecId","","","","","","","ItemId|PurchID|InventTransId",$C24,$B24,$K24),"")</f>
        <v/>
      </c>
      <c r="M24" s="4" t="str">
        <f>IF(AtlasReport_1_Table_1[[#This Row],[Reference]]="Purchase order",_xll.AtlasFormulas.AtlasFunctions.AtlasTable("UAT",DataAreaId,"T.MarkupTrans","%CurrencyCode","","","","","","","MarkupCode|TransRecId|TransTableId","TPP",$L24,"492"),"")</f>
        <v/>
      </c>
      <c r="N24" s="4" t="str">
        <f>IF(AtlasReport_1_Table_1[[#This Row],[Reference]]="Purchase order",_xll.AtlasFormulas.AtlasFunctions.AtlasBalance("UAT",DataAreaId,"T.MarkupTrans","Sum|Posted|0","","","","","","","MarkupCode|TransTableId|TransRecId","TPP","492",$L24),"")</f>
        <v/>
      </c>
    </row>
    <row r="25" spans="1:14" ht="30">
      <c r="A25" s="8" t="s">
        <v>122</v>
      </c>
      <c r="B25" s="8" t="s">
        <v>532</v>
      </c>
      <c r="C25" s="8" t="s">
        <v>115</v>
      </c>
      <c r="D25" s="11" t="s">
        <v>116</v>
      </c>
      <c r="E25" s="8" t="s">
        <v>237</v>
      </c>
      <c r="F25" s="8" t="s">
        <v>238</v>
      </c>
      <c r="G25" s="6">
        <v>43122</v>
      </c>
      <c r="H25" s="6">
        <v>43123</v>
      </c>
      <c r="I25" s="4">
        <v>-1</v>
      </c>
      <c r="J25" s="8" t="s">
        <v>22</v>
      </c>
      <c r="K25" s="8" t="s">
        <v>533</v>
      </c>
      <c r="L25" s="4" t="str">
        <f>IF(AtlasReport_1_Table_1[[#This Row],[Reference]]="Purchase order",_xll.AtlasFormulas.AtlasFunctions.AtlasTable("UAT",DataAreaId,"T.VendInvoiceTrans","%RecId","","","","","","","ItemId|PurchID|InventTransId",$C25,$B25,$K25),"")</f>
        <v/>
      </c>
      <c r="M25" s="4" t="str">
        <f>IF(AtlasReport_1_Table_1[[#This Row],[Reference]]="Purchase order",_xll.AtlasFormulas.AtlasFunctions.AtlasTable("UAT",DataAreaId,"T.MarkupTrans","%CurrencyCode","","","","","","","MarkupCode|TransRecId|TransTableId","TPP",$L25,"492"),"")</f>
        <v/>
      </c>
      <c r="N25" s="4" t="str">
        <f>IF(AtlasReport_1_Table_1[[#This Row],[Reference]]="Purchase order",_xll.AtlasFormulas.AtlasFunctions.AtlasBalance("UAT",DataAreaId,"T.MarkupTrans","Sum|Posted|0","","","","","","","MarkupCode|TransTableId|TransRecId","TPP","492",$L25),"")</f>
        <v/>
      </c>
    </row>
    <row r="26" spans="1:14">
      <c r="A26" s="8" t="s">
        <v>122</v>
      </c>
      <c r="B26" s="8" t="s">
        <v>534</v>
      </c>
      <c r="C26" s="8" t="s">
        <v>535</v>
      </c>
      <c r="D26" s="8" t="s">
        <v>536</v>
      </c>
      <c r="E26" s="8" t="s">
        <v>237</v>
      </c>
      <c r="F26" s="8" t="s">
        <v>238</v>
      </c>
      <c r="G26" s="6">
        <v>43122</v>
      </c>
      <c r="H26" s="6">
        <v>43123</v>
      </c>
      <c r="I26" s="4">
        <v>-40</v>
      </c>
      <c r="J26" s="8" t="s">
        <v>22</v>
      </c>
      <c r="K26" s="8" t="s">
        <v>537</v>
      </c>
      <c r="L26" s="4" t="str">
        <f>IF(AtlasReport_1_Table_1[[#This Row],[Reference]]="Purchase order",_xll.AtlasFormulas.AtlasFunctions.AtlasTable("UAT",DataAreaId,"T.VendInvoiceTrans","%RecId","","","","","","","ItemId|PurchID|InventTransId",$C26,$B26,$K26),"")</f>
        <v/>
      </c>
      <c r="M26" s="4" t="str">
        <f>IF(AtlasReport_1_Table_1[[#This Row],[Reference]]="Purchase order",_xll.AtlasFormulas.AtlasFunctions.AtlasTable("UAT",DataAreaId,"T.MarkupTrans","%CurrencyCode","","","","","","","MarkupCode|TransRecId|TransTableId","TPP",$L26,"492"),"")</f>
        <v/>
      </c>
      <c r="N26" s="4" t="str">
        <f>IF(AtlasReport_1_Table_1[[#This Row],[Reference]]="Purchase order",_xll.AtlasFormulas.AtlasFunctions.AtlasBalance("UAT",DataAreaId,"T.MarkupTrans","Sum|Posted|0","","","","","","","MarkupCode|TransTableId|TransRecId","TPP","492",$L26),"")</f>
        <v/>
      </c>
    </row>
    <row r="27" spans="1:14">
      <c r="A27" s="8" t="s">
        <v>122</v>
      </c>
      <c r="B27" s="8" t="s">
        <v>538</v>
      </c>
      <c r="C27" s="8" t="s">
        <v>272</v>
      </c>
      <c r="D27" s="8" t="s">
        <v>387</v>
      </c>
      <c r="E27" s="8" t="s">
        <v>237</v>
      </c>
      <c r="F27" s="8" t="s">
        <v>238</v>
      </c>
      <c r="G27" s="6">
        <v>43124</v>
      </c>
      <c r="H27" s="6">
        <v>43125</v>
      </c>
      <c r="I27" s="4">
        <v>-2</v>
      </c>
      <c r="J27" s="8" t="s">
        <v>22</v>
      </c>
      <c r="K27" s="8" t="s">
        <v>539</v>
      </c>
      <c r="L27" s="4" t="str">
        <f>IF(AtlasReport_1_Table_1[[#This Row],[Reference]]="Purchase order",_xll.AtlasFormulas.AtlasFunctions.AtlasTable("UAT",DataAreaId,"T.VendInvoiceTrans","%RecId","","","","","","","ItemId|PurchID|InventTransId",$C27,$B27,$K27),"")</f>
        <v/>
      </c>
      <c r="M27" s="4" t="str">
        <f>IF(AtlasReport_1_Table_1[[#This Row],[Reference]]="Purchase order",_xll.AtlasFormulas.AtlasFunctions.AtlasTable("UAT",DataAreaId,"T.MarkupTrans","%CurrencyCode","","","","","","","MarkupCode|TransRecId|TransTableId","TPP",$L27,"492"),"")</f>
        <v/>
      </c>
      <c r="N27" s="4" t="str">
        <f>IF(AtlasReport_1_Table_1[[#This Row],[Reference]]="Purchase order",_xll.AtlasFormulas.AtlasFunctions.AtlasBalance("UAT",DataAreaId,"T.MarkupTrans","Sum|Posted|0","","","","","","","MarkupCode|TransTableId|TransRecId","TPP","492",$L27),"")</f>
        <v/>
      </c>
    </row>
    <row r="28" spans="1:14">
      <c r="A28" s="8" t="s">
        <v>122</v>
      </c>
      <c r="B28" s="8" t="s">
        <v>538</v>
      </c>
      <c r="C28" s="8" t="s">
        <v>284</v>
      </c>
      <c r="D28" s="8" t="s">
        <v>446</v>
      </c>
      <c r="E28" s="8" t="s">
        <v>237</v>
      </c>
      <c r="F28" s="8" t="s">
        <v>238</v>
      </c>
      <c r="G28" s="6">
        <v>43124</v>
      </c>
      <c r="H28" s="6">
        <v>43125</v>
      </c>
      <c r="I28" s="4">
        <v>-1</v>
      </c>
      <c r="J28" s="8" t="s">
        <v>22</v>
      </c>
      <c r="K28" s="8" t="s">
        <v>540</v>
      </c>
      <c r="L28" s="4" t="str">
        <f>IF(AtlasReport_1_Table_1[[#This Row],[Reference]]="Purchase order",_xll.AtlasFormulas.AtlasFunctions.AtlasTable("UAT",DataAreaId,"T.VendInvoiceTrans","%RecId","","","","","","","ItemId|PurchID|InventTransId",$C28,$B28,$K28),"")</f>
        <v/>
      </c>
      <c r="M28" s="4" t="str">
        <f>IF(AtlasReport_1_Table_1[[#This Row],[Reference]]="Purchase order",_xll.AtlasFormulas.AtlasFunctions.AtlasTable("UAT",DataAreaId,"T.MarkupTrans","%CurrencyCode","","","","","","","MarkupCode|TransRecId|TransTableId","TPP",$L28,"492"),"")</f>
        <v/>
      </c>
      <c r="N28" s="4" t="str">
        <f>IF(AtlasReport_1_Table_1[[#This Row],[Reference]]="Purchase order",_xll.AtlasFormulas.AtlasFunctions.AtlasBalance("UAT",DataAreaId,"T.MarkupTrans","Sum|Posted|0","","","","","","","MarkupCode|TransTableId|TransRecId","TPP","492",$L28),"")</f>
        <v/>
      </c>
    </row>
    <row r="29" spans="1:14">
      <c r="A29" s="8" t="s">
        <v>122</v>
      </c>
      <c r="B29" s="8" t="s">
        <v>541</v>
      </c>
      <c r="C29" s="8" t="s">
        <v>58</v>
      </c>
      <c r="D29" s="8" t="s">
        <v>59</v>
      </c>
      <c r="E29" s="8" t="s">
        <v>237</v>
      </c>
      <c r="F29" s="8" t="s">
        <v>238</v>
      </c>
      <c r="G29" s="6">
        <v>43124</v>
      </c>
      <c r="H29" s="6">
        <v>43125</v>
      </c>
      <c r="I29" s="4">
        <v>-20</v>
      </c>
      <c r="J29" s="8" t="s">
        <v>24</v>
      </c>
      <c r="K29" s="8" t="s">
        <v>542</v>
      </c>
      <c r="L29" s="4" t="str">
        <f>IF(AtlasReport_1_Table_1[[#This Row],[Reference]]="Purchase order",_xll.AtlasFormulas.AtlasFunctions.AtlasTable("UAT",DataAreaId,"T.VendInvoiceTrans","%RecId","","","","","","","ItemId|PurchID|InventTransId",$C29,$B29,$K29),"")</f>
        <v/>
      </c>
      <c r="M29" s="4" t="str">
        <f>IF(AtlasReport_1_Table_1[[#This Row],[Reference]]="Purchase order",_xll.AtlasFormulas.AtlasFunctions.AtlasTable("UAT",DataAreaId,"T.MarkupTrans","%CurrencyCode","","","","","","","MarkupCode|TransRecId|TransTableId","TPP",$L29,"492"),"")</f>
        <v/>
      </c>
      <c r="N29" s="4" t="str">
        <f>IF(AtlasReport_1_Table_1[[#This Row],[Reference]]="Purchase order",_xll.AtlasFormulas.AtlasFunctions.AtlasBalance("UAT",DataAreaId,"T.MarkupTrans","Sum|Posted|0","","","","","","","MarkupCode|TransTableId|TransRecId","TPP","492",$L29),"")</f>
        <v/>
      </c>
    </row>
    <row r="30" spans="1:14">
      <c r="A30" s="8" t="s">
        <v>122</v>
      </c>
      <c r="B30" s="8" t="s">
        <v>541</v>
      </c>
      <c r="C30" s="8" t="s">
        <v>42</v>
      </c>
      <c r="D30" s="8" t="s">
        <v>363</v>
      </c>
      <c r="E30" s="8" t="s">
        <v>237</v>
      </c>
      <c r="F30" s="8" t="s">
        <v>238</v>
      </c>
      <c r="G30" s="6">
        <v>43124</v>
      </c>
      <c r="H30" s="6">
        <v>43125</v>
      </c>
      <c r="I30" s="4">
        <v>-1</v>
      </c>
      <c r="J30" s="8" t="s">
        <v>22</v>
      </c>
      <c r="K30" s="8" t="s">
        <v>543</v>
      </c>
      <c r="L30" s="4" t="str">
        <f>IF(AtlasReport_1_Table_1[[#This Row],[Reference]]="Purchase order",_xll.AtlasFormulas.AtlasFunctions.AtlasTable("UAT",DataAreaId,"T.VendInvoiceTrans","%RecId","","","","","","","ItemId|PurchID|InventTransId",$C30,$B30,$K30),"")</f>
        <v/>
      </c>
      <c r="M30" s="4" t="str">
        <f>IF(AtlasReport_1_Table_1[[#This Row],[Reference]]="Purchase order",_xll.AtlasFormulas.AtlasFunctions.AtlasTable("UAT",DataAreaId,"T.MarkupTrans","%CurrencyCode","","","","","","","MarkupCode|TransRecId|TransTableId","TPP",$L30,"492"),"")</f>
        <v/>
      </c>
      <c r="N30" s="4" t="str">
        <f>IF(AtlasReport_1_Table_1[[#This Row],[Reference]]="Purchase order",_xll.AtlasFormulas.AtlasFunctions.AtlasBalance("UAT",DataAreaId,"T.MarkupTrans","Sum|Posted|0","","","","","","","MarkupCode|TransTableId|TransRecId","TPP","492",$L30),"")</f>
        <v/>
      </c>
    </row>
    <row r="31" spans="1:14">
      <c r="A31" s="8" t="s">
        <v>122</v>
      </c>
      <c r="B31" s="8" t="s">
        <v>544</v>
      </c>
      <c r="C31" s="8" t="s">
        <v>267</v>
      </c>
      <c r="D31" s="8" t="s">
        <v>368</v>
      </c>
      <c r="E31" s="8" t="s">
        <v>237</v>
      </c>
      <c r="F31" s="8" t="s">
        <v>238</v>
      </c>
      <c r="G31" s="6">
        <v>43124</v>
      </c>
      <c r="H31" s="6">
        <v>43125</v>
      </c>
      <c r="I31" s="4">
        <v>-680</v>
      </c>
      <c r="J31" s="8" t="s">
        <v>22</v>
      </c>
      <c r="K31" s="8" t="s">
        <v>545</v>
      </c>
      <c r="L31" s="4" t="str">
        <f>IF(AtlasReport_1_Table_1[[#This Row],[Reference]]="Purchase order",_xll.AtlasFormulas.AtlasFunctions.AtlasTable("UAT",DataAreaId,"T.VendInvoiceTrans","%RecId","","","","","","","ItemId|PurchID|InventTransId",$C31,$B31,$K31),"")</f>
        <v/>
      </c>
      <c r="M31" s="4" t="str">
        <f>IF(AtlasReport_1_Table_1[[#This Row],[Reference]]="Purchase order",_xll.AtlasFormulas.AtlasFunctions.AtlasTable("UAT",DataAreaId,"T.MarkupTrans","%CurrencyCode","","","","","","","MarkupCode|TransRecId|TransTableId","TPP",$L31,"492"),"")</f>
        <v/>
      </c>
      <c r="N31" s="4" t="str">
        <f>IF(AtlasReport_1_Table_1[[#This Row],[Reference]]="Purchase order",_xll.AtlasFormulas.AtlasFunctions.AtlasBalance("UAT",DataAreaId,"T.MarkupTrans","Sum|Posted|0","","","","","","","MarkupCode|TransTableId|TransRecId","TPP","492",$L31),"")</f>
        <v/>
      </c>
    </row>
    <row r="32" spans="1:14">
      <c r="A32" s="8" t="s">
        <v>122</v>
      </c>
      <c r="B32" s="8" t="s">
        <v>544</v>
      </c>
      <c r="C32" s="8" t="s">
        <v>273</v>
      </c>
      <c r="D32" s="8" t="s">
        <v>390</v>
      </c>
      <c r="E32" s="8" t="s">
        <v>237</v>
      </c>
      <c r="F32" s="8" t="s">
        <v>238</v>
      </c>
      <c r="G32" s="6">
        <v>43124</v>
      </c>
      <c r="H32" s="6">
        <v>43125</v>
      </c>
      <c r="I32" s="4">
        <v>-280</v>
      </c>
      <c r="J32" s="8" t="s">
        <v>22</v>
      </c>
      <c r="K32" s="8" t="s">
        <v>546</v>
      </c>
      <c r="L32" s="4" t="str">
        <f>IF(AtlasReport_1_Table_1[[#This Row],[Reference]]="Purchase order",_xll.AtlasFormulas.AtlasFunctions.AtlasTable("UAT",DataAreaId,"T.VendInvoiceTrans","%RecId","","","","","","","ItemId|PurchID|InventTransId",$C32,$B32,$K32),"")</f>
        <v/>
      </c>
      <c r="M32" s="4" t="str">
        <f>IF(AtlasReport_1_Table_1[[#This Row],[Reference]]="Purchase order",_xll.AtlasFormulas.AtlasFunctions.AtlasTable("UAT",DataAreaId,"T.MarkupTrans","%CurrencyCode","","","","","","","MarkupCode|TransRecId|TransTableId","TPP",$L32,"492"),"")</f>
        <v/>
      </c>
      <c r="N32" s="4" t="str">
        <f>IF(AtlasReport_1_Table_1[[#This Row],[Reference]]="Purchase order",_xll.AtlasFormulas.AtlasFunctions.AtlasBalance("UAT",DataAreaId,"T.MarkupTrans","Sum|Posted|0","","","","","","","MarkupCode|TransTableId|TransRecId","TPP","492",$L32),"")</f>
        <v/>
      </c>
    </row>
    <row r="33" spans="1:14" ht="30">
      <c r="A33" s="8" t="s">
        <v>122</v>
      </c>
      <c r="B33" s="8" t="s">
        <v>547</v>
      </c>
      <c r="C33" s="8" t="s">
        <v>115</v>
      </c>
      <c r="D33" s="11" t="s">
        <v>116</v>
      </c>
      <c r="E33" s="8" t="s">
        <v>237</v>
      </c>
      <c r="F33" s="8" t="s">
        <v>238</v>
      </c>
      <c r="G33" s="6">
        <v>43125</v>
      </c>
      <c r="H33" s="6">
        <v>43102</v>
      </c>
      <c r="I33" s="4">
        <v>-19</v>
      </c>
      <c r="J33" s="8" t="s">
        <v>22</v>
      </c>
      <c r="K33" s="8" t="s">
        <v>548</v>
      </c>
      <c r="L33" s="4" t="str">
        <f>IF(AtlasReport_1_Table_1[[#This Row],[Reference]]="Purchase order",_xll.AtlasFormulas.AtlasFunctions.AtlasTable("UAT",DataAreaId,"T.VendInvoiceTrans","%RecId","","","","","","","ItemId|PurchID|InventTransId",$C33,$B33,$K33),"")</f>
        <v/>
      </c>
      <c r="M33" s="4" t="str">
        <f>IF(AtlasReport_1_Table_1[[#This Row],[Reference]]="Purchase order",_xll.AtlasFormulas.AtlasFunctions.AtlasTable("UAT",DataAreaId,"T.MarkupTrans","%CurrencyCode","","","","","","","MarkupCode|TransRecId|TransTableId","TPP",$L33,"492"),"")</f>
        <v/>
      </c>
      <c r="N33" s="4" t="str">
        <f>IF(AtlasReport_1_Table_1[[#This Row],[Reference]]="Purchase order",_xll.AtlasFormulas.AtlasFunctions.AtlasBalance("UAT",DataAreaId,"T.MarkupTrans","Sum|Posted|0","","","","","","","MarkupCode|TransTableId|TransRecId","TPP","492",$L33),"")</f>
        <v/>
      </c>
    </row>
    <row r="34" spans="1:14">
      <c r="A34" s="8" t="s">
        <v>122</v>
      </c>
      <c r="B34" s="8" t="s">
        <v>549</v>
      </c>
      <c r="C34" s="8" t="s">
        <v>506</v>
      </c>
      <c r="D34" s="8" t="s">
        <v>507</v>
      </c>
      <c r="E34" s="8" t="s">
        <v>237</v>
      </c>
      <c r="F34" s="8" t="s">
        <v>238</v>
      </c>
      <c r="G34" s="6">
        <v>43129</v>
      </c>
      <c r="H34" s="6">
        <v>43130</v>
      </c>
      <c r="I34" s="4">
        <v>-2</v>
      </c>
      <c r="J34" s="8" t="s">
        <v>22</v>
      </c>
      <c r="K34" s="8" t="s">
        <v>550</v>
      </c>
      <c r="L34" s="4" t="str">
        <f>IF(AtlasReport_1_Table_1[[#This Row],[Reference]]="Purchase order",_xll.AtlasFormulas.AtlasFunctions.AtlasTable("UAT",DataAreaId,"T.VendInvoiceTrans","%RecId","","","","","","","ItemId|PurchID|InventTransId",$C34,$B34,$K34),"")</f>
        <v/>
      </c>
      <c r="M34" s="4" t="str">
        <f>IF(AtlasReport_1_Table_1[[#This Row],[Reference]]="Purchase order",_xll.AtlasFormulas.AtlasFunctions.AtlasTable("UAT",DataAreaId,"T.MarkupTrans","%CurrencyCode","","","","","","","MarkupCode|TransRecId|TransTableId","TPP",$L34,"492"),"")</f>
        <v/>
      </c>
      <c r="N34" s="4" t="str">
        <f>IF(AtlasReport_1_Table_1[[#This Row],[Reference]]="Purchase order",_xll.AtlasFormulas.AtlasFunctions.AtlasBalance("UAT",DataAreaId,"T.MarkupTrans","Sum|Posted|0","","","","","","","MarkupCode|TransTableId|TransRecId","TPP","492",$L34),"")</f>
        <v/>
      </c>
    </row>
    <row r="35" spans="1:14">
      <c r="A35" s="8" t="s">
        <v>122</v>
      </c>
      <c r="B35" s="8" t="s">
        <v>549</v>
      </c>
      <c r="C35" s="8" t="s">
        <v>267</v>
      </c>
      <c r="D35" s="8" t="s">
        <v>368</v>
      </c>
      <c r="E35" s="8" t="s">
        <v>237</v>
      </c>
      <c r="F35" s="8" t="s">
        <v>238</v>
      </c>
      <c r="G35" s="6">
        <v>43129</v>
      </c>
      <c r="H35" s="6">
        <v>43130</v>
      </c>
      <c r="I35" s="4">
        <v>-1</v>
      </c>
      <c r="J35" s="8" t="s">
        <v>22</v>
      </c>
      <c r="K35" s="8" t="s">
        <v>551</v>
      </c>
      <c r="L35" s="4" t="str">
        <f>IF(AtlasReport_1_Table_1[[#This Row],[Reference]]="Purchase order",_xll.AtlasFormulas.AtlasFunctions.AtlasTable("UAT",DataAreaId,"T.VendInvoiceTrans","%RecId","","","","","","","ItemId|PurchID|InventTransId",$C35,$B35,$K35),"")</f>
        <v/>
      </c>
      <c r="M35" s="4" t="str">
        <f>IF(AtlasReport_1_Table_1[[#This Row],[Reference]]="Purchase order",_xll.AtlasFormulas.AtlasFunctions.AtlasTable("UAT",DataAreaId,"T.MarkupTrans","%CurrencyCode","","","","","","","MarkupCode|TransRecId|TransTableId","TPP",$L35,"492"),"")</f>
        <v/>
      </c>
      <c r="N35" s="4" t="str">
        <f>IF(AtlasReport_1_Table_1[[#This Row],[Reference]]="Purchase order",_xll.AtlasFormulas.AtlasFunctions.AtlasBalance("UAT",DataAreaId,"T.MarkupTrans","Sum|Posted|0","","","","","","","MarkupCode|TransTableId|TransRecId","TPP","492",$L35),"")</f>
        <v/>
      </c>
    </row>
    <row r="36" spans="1:14">
      <c r="A36" s="8" t="s">
        <v>122</v>
      </c>
      <c r="B36" s="8" t="s">
        <v>552</v>
      </c>
      <c r="C36" s="8" t="s">
        <v>267</v>
      </c>
      <c r="D36" s="8" t="s">
        <v>368</v>
      </c>
      <c r="E36" s="8" t="s">
        <v>237</v>
      </c>
      <c r="F36" s="8" t="s">
        <v>238</v>
      </c>
      <c r="G36" s="6">
        <v>43132</v>
      </c>
      <c r="H36" s="6">
        <v>43133</v>
      </c>
      <c r="I36" s="4">
        <v>-600</v>
      </c>
      <c r="J36" s="8" t="s">
        <v>22</v>
      </c>
      <c r="K36" s="8" t="s">
        <v>553</v>
      </c>
      <c r="L36" s="4" t="str">
        <f>IF(AtlasReport_1_Table_1[[#This Row],[Reference]]="Purchase order",_xll.AtlasFormulas.AtlasFunctions.AtlasTable("UAT",DataAreaId,"T.VendInvoiceTrans","%RecId","","","","","","","ItemId|PurchID|InventTransId",$C36,$B36,$K36),"")</f>
        <v/>
      </c>
      <c r="M36" s="4" t="str">
        <f>IF(AtlasReport_1_Table_1[[#This Row],[Reference]]="Purchase order",_xll.AtlasFormulas.AtlasFunctions.AtlasTable("UAT",DataAreaId,"T.MarkupTrans","%CurrencyCode","","","","","","","MarkupCode|TransRecId|TransTableId","TPP",$L36,"492"),"")</f>
        <v/>
      </c>
      <c r="N36" s="4" t="str">
        <f>IF(AtlasReport_1_Table_1[[#This Row],[Reference]]="Purchase order",_xll.AtlasFormulas.AtlasFunctions.AtlasBalance("UAT",DataAreaId,"T.MarkupTrans","Sum|Posted|0","","","","","","","MarkupCode|TransTableId|TransRecId","TPP","492",$L36),"")</f>
        <v/>
      </c>
    </row>
    <row r="37" spans="1:14">
      <c r="A37" s="8" t="s">
        <v>122</v>
      </c>
      <c r="B37" s="8" t="s">
        <v>554</v>
      </c>
      <c r="C37" s="8" t="s">
        <v>64</v>
      </c>
      <c r="D37" s="8" t="s">
        <v>65</v>
      </c>
      <c r="E37" s="8" t="s">
        <v>237</v>
      </c>
      <c r="F37" s="8" t="s">
        <v>238</v>
      </c>
      <c r="G37" s="6">
        <v>43129</v>
      </c>
      <c r="H37" s="6">
        <v>43130</v>
      </c>
      <c r="I37" s="4">
        <v>-2000</v>
      </c>
      <c r="J37" s="8" t="s">
        <v>24</v>
      </c>
      <c r="K37" s="8" t="s">
        <v>555</v>
      </c>
      <c r="L37" s="4" t="str">
        <f>IF(AtlasReport_1_Table_1[[#This Row],[Reference]]="Purchase order",_xll.AtlasFormulas.AtlasFunctions.AtlasTable("UAT",DataAreaId,"T.VendInvoiceTrans","%RecId","","","","","","","ItemId|PurchID|InventTransId",$C37,$B37,$K37),"")</f>
        <v/>
      </c>
      <c r="M37" s="4" t="str">
        <f>IF(AtlasReport_1_Table_1[[#This Row],[Reference]]="Purchase order",_xll.AtlasFormulas.AtlasFunctions.AtlasTable("UAT",DataAreaId,"T.MarkupTrans","%CurrencyCode","","","","","","","MarkupCode|TransRecId|TransTableId","TPP",$L37,"492"),"")</f>
        <v/>
      </c>
      <c r="N37" s="4" t="str">
        <f>IF(AtlasReport_1_Table_1[[#This Row],[Reference]]="Purchase order",_xll.AtlasFormulas.AtlasFunctions.AtlasBalance("UAT",DataAreaId,"T.MarkupTrans","Sum|Posted|0","","","","","","","MarkupCode|TransTableId|TransRecId","TPP","492",$L37),"")</f>
        <v/>
      </c>
    </row>
    <row r="38" spans="1:14">
      <c r="A38" s="8" t="s">
        <v>122</v>
      </c>
      <c r="B38" s="8" t="s">
        <v>554</v>
      </c>
      <c r="C38" s="8" t="s">
        <v>42</v>
      </c>
      <c r="D38" s="8" t="s">
        <v>363</v>
      </c>
      <c r="E38" s="8" t="s">
        <v>237</v>
      </c>
      <c r="F38" s="8" t="s">
        <v>238</v>
      </c>
      <c r="G38" s="6">
        <v>43129</v>
      </c>
      <c r="H38" s="6">
        <v>43130</v>
      </c>
      <c r="I38" s="4">
        <v>-34</v>
      </c>
      <c r="J38" s="8" t="s">
        <v>22</v>
      </c>
      <c r="K38" s="8" t="s">
        <v>556</v>
      </c>
      <c r="L38" s="4" t="str">
        <f>IF(AtlasReport_1_Table_1[[#This Row],[Reference]]="Purchase order",_xll.AtlasFormulas.AtlasFunctions.AtlasTable("UAT",DataAreaId,"T.VendInvoiceTrans","%RecId","","","","","","","ItemId|PurchID|InventTransId",$C38,$B38,$K38),"")</f>
        <v/>
      </c>
      <c r="M38" s="4" t="str">
        <f>IF(AtlasReport_1_Table_1[[#This Row],[Reference]]="Purchase order",_xll.AtlasFormulas.AtlasFunctions.AtlasTable("UAT",DataAreaId,"T.MarkupTrans","%CurrencyCode","","","","","","","MarkupCode|TransRecId|TransTableId","TPP",$L38,"492"),"")</f>
        <v/>
      </c>
      <c r="N38" s="4" t="str">
        <f>IF(AtlasReport_1_Table_1[[#This Row],[Reference]]="Purchase order",_xll.AtlasFormulas.AtlasFunctions.AtlasBalance("UAT",DataAreaId,"T.MarkupTrans","Sum|Posted|0","","","","","","","MarkupCode|TransTableId|TransRecId","TPP","492",$L38),"")</f>
        <v/>
      </c>
    </row>
    <row r="39" spans="1:14">
      <c r="A39" s="8" t="s">
        <v>122</v>
      </c>
      <c r="B39" s="8" t="s">
        <v>557</v>
      </c>
      <c r="C39" s="8" t="s">
        <v>62</v>
      </c>
      <c r="D39" s="8" t="s">
        <v>63</v>
      </c>
      <c r="E39" s="8" t="s">
        <v>237</v>
      </c>
      <c r="F39" s="8" t="s">
        <v>238</v>
      </c>
      <c r="G39" s="6">
        <v>43130</v>
      </c>
      <c r="H39" s="6">
        <v>43130</v>
      </c>
      <c r="I39" s="4">
        <v>-15</v>
      </c>
      <c r="J39" s="8" t="s">
        <v>24</v>
      </c>
      <c r="K39" s="8" t="s">
        <v>558</v>
      </c>
      <c r="L39" s="4" t="str">
        <f>IF(AtlasReport_1_Table_1[[#This Row],[Reference]]="Purchase order",_xll.AtlasFormulas.AtlasFunctions.AtlasTable("UAT",DataAreaId,"T.VendInvoiceTrans","%RecId","","","","","","","ItemId|PurchID|InventTransId",$C39,$B39,$K39),"")</f>
        <v/>
      </c>
      <c r="M39" s="4" t="str">
        <f>IF(AtlasReport_1_Table_1[[#This Row],[Reference]]="Purchase order",_xll.AtlasFormulas.AtlasFunctions.AtlasTable("UAT",DataAreaId,"T.MarkupTrans","%CurrencyCode","","","","","","","MarkupCode|TransRecId|TransTableId","TPP",$L39,"492"),"")</f>
        <v/>
      </c>
      <c r="N39" s="4" t="str">
        <f>IF(AtlasReport_1_Table_1[[#This Row],[Reference]]="Purchase order",_xll.AtlasFormulas.AtlasFunctions.AtlasBalance("UAT",DataAreaId,"T.MarkupTrans","Sum|Posted|0","","","","","","","MarkupCode|TransTableId|TransRecId","TPP","492",$L39),"")</f>
        <v/>
      </c>
    </row>
    <row r="40" spans="1:14">
      <c r="A40" s="8" t="s">
        <v>122</v>
      </c>
      <c r="B40" s="8" t="s">
        <v>559</v>
      </c>
      <c r="C40" s="8" t="s">
        <v>506</v>
      </c>
      <c r="D40" s="8" t="s">
        <v>507</v>
      </c>
      <c r="E40" s="8" t="s">
        <v>237</v>
      </c>
      <c r="F40" s="8" t="s">
        <v>238</v>
      </c>
      <c r="G40" s="6">
        <v>43118</v>
      </c>
      <c r="H40" s="6">
        <v>43119</v>
      </c>
      <c r="I40" s="4">
        <v>-15</v>
      </c>
      <c r="J40" s="8" t="s">
        <v>22</v>
      </c>
      <c r="K40" s="8" t="s">
        <v>560</v>
      </c>
      <c r="L40" s="4" t="str">
        <f>IF(AtlasReport_1_Table_1[[#This Row],[Reference]]="Purchase order",_xll.AtlasFormulas.AtlasFunctions.AtlasTable("UAT",DataAreaId,"T.VendInvoiceTrans","%RecId","","","","","","","ItemId|PurchID|InventTransId",$C40,$B40,$K40),"")</f>
        <v/>
      </c>
      <c r="M40" s="4" t="str">
        <f>IF(AtlasReport_1_Table_1[[#This Row],[Reference]]="Purchase order",_xll.AtlasFormulas.AtlasFunctions.AtlasTable("UAT",DataAreaId,"T.MarkupTrans","%CurrencyCode","","","","","","","MarkupCode|TransRecId|TransTableId","TPP",$L40,"492"),"")</f>
        <v/>
      </c>
      <c r="N40" s="4" t="str">
        <f>IF(AtlasReport_1_Table_1[[#This Row],[Reference]]="Purchase order",_xll.AtlasFormulas.AtlasFunctions.AtlasBalance("UAT",DataAreaId,"T.MarkupTrans","Sum|Posted|0","","","","","","","MarkupCode|TransTableId|TransRecId","TPP","492",$L40),"")</f>
        <v/>
      </c>
    </row>
    <row r="41" spans="1:14">
      <c r="A41" s="8" t="s">
        <v>122</v>
      </c>
      <c r="B41" s="8" t="s">
        <v>561</v>
      </c>
      <c r="C41" s="8" t="s">
        <v>506</v>
      </c>
      <c r="D41" s="8" t="s">
        <v>507</v>
      </c>
      <c r="E41" s="8" t="s">
        <v>237</v>
      </c>
      <c r="F41" s="8" t="s">
        <v>238</v>
      </c>
      <c r="G41" s="6">
        <v>43146</v>
      </c>
      <c r="H41" s="6">
        <v>43134</v>
      </c>
      <c r="I41" s="4">
        <v>-3</v>
      </c>
      <c r="J41" s="8" t="s">
        <v>22</v>
      </c>
      <c r="K41" s="8" t="s">
        <v>562</v>
      </c>
      <c r="L41" s="4" t="str">
        <f>IF(AtlasReport_1_Table_1[[#This Row],[Reference]]="Purchase order",_xll.AtlasFormulas.AtlasFunctions.AtlasTable("UAT",DataAreaId,"T.VendInvoiceTrans","%RecId","","","","","","","ItemId|PurchID|InventTransId",$C41,$B41,$K41),"")</f>
        <v/>
      </c>
      <c r="M41" s="4" t="str">
        <f>IF(AtlasReport_1_Table_1[[#This Row],[Reference]]="Purchase order",_xll.AtlasFormulas.AtlasFunctions.AtlasTable("UAT",DataAreaId,"T.MarkupTrans","%CurrencyCode","","","","","","","MarkupCode|TransRecId|TransTableId","TPP",$L41,"492"),"")</f>
        <v/>
      </c>
      <c r="N41" s="4" t="str">
        <f>IF(AtlasReport_1_Table_1[[#This Row],[Reference]]="Purchase order",_xll.AtlasFormulas.AtlasFunctions.AtlasBalance("UAT",DataAreaId,"T.MarkupTrans","Sum|Posted|0","","","","","","","MarkupCode|TransTableId|TransRecId","TPP","492",$L41),"")</f>
        <v/>
      </c>
    </row>
    <row r="42" spans="1:14">
      <c r="A42" s="8" t="s">
        <v>122</v>
      </c>
      <c r="B42" s="8" t="s">
        <v>563</v>
      </c>
      <c r="C42" s="8" t="s">
        <v>42</v>
      </c>
      <c r="D42" s="8" t="s">
        <v>363</v>
      </c>
      <c r="E42" s="8" t="s">
        <v>237</v>
      </c>
      <c r="F42" s="8" t="s">
        <v>238</v>
      </c>
      <c r="G42" s="6">
        <v>43109</v>
      </c>
      <c r="H42" s="6">
        <v>43109</v>
      </c>
      <c r="I42" s="4">
        <v>5</v>
      </c>
      <c r="J42" s="8" t="s">
        <v>22</v>
      </c>
      <c r="K42" s="8" t="s">
        <v>564</v>
      </c>
      <c r="L42" s="4" t="str">
        <f>IF(AtlasReport_1_Table_1[[#This Row],[Reference]]="Purchase order",_xll.AtlasFormulas.AtlasFunctions.AtlasTable("UAT",DataAreaId,"T.VendInvoiceTrans","%RecId","","","","","","","ItemId|PurchID|InventTransId",$C42,$B42,$K42),"")</f>
        <v/>
      </c>
      <c r="M42" s="4" t="str">
        <f>IF(AtlasReport_1_Table_1[[#This Row],[Reference]]="Purchase order",_xll.AtlasFormulas.AtlasFunctions.AtlasTable("UAT",DataAreaId,"T.MarkupTrans","%CurrencyCode","","","","","","","MarkupCode|TransRecId|TransTableId","TPP",$L42,"492"),"")</f>
        <v/>
      </c>
      <c r="N42" s="4" t="str">
        <f>IF(AtlasReport_1_Table_1[[#This Row],[Reference]]="Purchase order",_xll.AtlasFormulas.AtlasFunctions.AtlasBalance("UAT",DataAreaId,"T.MarkupTrans","Sum|Posted|0","","","","","","","MarkupCode|TransTableId|TransRecId","TPP","492",$L42),"")</f>
        <v/>
      </c>
    </row>
    <row r="43" spans="1:14">
      <c r="A43" s="8" t="s">
        <v>122</v>
      </c>
      <c r="B43" s="8" t="s">
        <v>565</v>
      </c>
      <c r="C43" s="8" t="s">
        <v>60</v>
      </c>
      <c r="D43" s="8" t="s">
        <v>61</v>
      </c>
      <c r="E43" s="8" t="s">
        <v>237</v>
      </c>
      <c r="F43" s="8" t="s">
        <v>238</v>
      </c>
      <c r="G43" s="6">
        <v>43137</v>
      </c>
      <c r="H43" s="6">
        <v>43141</v>
      </c>
      <c r="I43" s="4">
        <v>-15</v>
      </c>
      <c r="J43" s="8" t="s">
        <v>24</v>
      </c>
      <c r="K43" s="8" t="s">
        <v>566</v>
      </c>
      <c r="L43" s="4" t="str">
        <f>IF(AtlasReport_1_Table_1[[#This Row],[Reference]]="Purchase order",_xll.AtlasFormulas.AtlasFunctions.AtlasTable("UAT",DataAreaId,"T.VendInvoiceTrans","%RecId","","","","","","","ItemId|PurchID|InventTransId",$C43,$B43,$K43),"")</f>
        <v/>
      </c>
      <c r="M43" s="4" t="str">
        <f>IF(AtlasReport_1_Table_1[[#This Row],[Reference]]="Purchase order",_xll.AtlasFormulas.AtlasFunctions.AtlasTable("UAT",DataAreaId,"T.MarkupTrans","%CurrencyCode","","","","","","","MarkupCode|TransRecId|TransTableId","TPP",$L43,"492"),"")</f>
        <v/>
      </c>
      <c r="N43" s="4" t="str">
        <f>IF(AtlasReport_1_Table_1[[#This Row],[Reference]]="Purchase order",_xll.AtlasFormulas.AtlasFunctions.AtlasBalance("UAT",DataAreaId,"T.MarkupTrans","Sum|Posted|0","","","","","","","MarkupCode|TransTableId|TransRecId","TPP","492",$L43),"")</f>
        <v/>
      </c>
    </row>
    <row r="44" spans="1:14">
      <c r="A44" s="8" t="s">
        <v>122</v>
      </c>
      <c r="B44" s="8" t="s">
        <v>567</v>
      </c>
      <c r="C44" s="8" t="s">
        <v>64</v>
      </c>
      <c r="D44" s="8" t="s">
        <v>65</v>
      </c>
      <c r="E44" s="8" t="s">
        <v>237</v>
      </c>
      <c r="F44" s="8" t="s">
        <v>238</v>
      </c>
      <c r="G44" s="6">
        <v>43138</v>
      </c>
      <c r="H44" s="6">
        <v>43143</v>
      </c>
      <c r="I44" s="4">
        <v>-100</v>
      </c>
      <c r="J44" s="8" t="s">
        <v>24</v>
      </c>
      <c r="K44" s="8" t="s">
        <v>568</v>
      </c>
      <c r="L44" s="4" t="str">
        <f>IF(AtlasReport_1_Table_1[[#This Row],[Reference]]="Purchase order",_xll.AtlasFormulas.AtlasFunctions.AtlasTable("UAT",DataAreaId,"T.VendInvoiceTrans","%RecId","","","","","","","ItemId|PurchID|InventTransId",$C44,$B44,$K44),"")</f>
        <v/>
      </c>
      <c r="M44" s="4" t="str">
        <f>IF(AtlasReport_1_Table_1[[#This Row],[Reference]]="Purchase order",_xll.AtlasFormulas.AtlasFunctions.AtlasTable("UAT",DataAreaId,"T.MarkupTrans","%CurrencyCode","","","","","","","MarkupCode|TransRecId|TransTableId","TPP",$L44,"492"),"")</f>
        <v/>
      </c>
      <c r="N44" s="4" t="str">
        <f>IF(AtlasReport_1_Table_1[[#This Row],[Reference]]="Purchase order",_xll.AtlasFormulas.AtlasFunctions.AtlasBalance("UAT",DataAreaId,"T.MarkupTrans","Sum|Posted|0","","","","","","","MarkupCode|TransTableId|TransRecId","TPP","492",$L44),"")</f>
        <v/>
      </c>
    </row>
    <row r="45" spans="1:14">
      <c r="A45" s="8" t="s">
        <v>122</v>
      </c>
      <c r="B45" s="8" t="s">
        <v>569</v>
      </c>
      <c r="C45" s="8" t="s">
        <v>267</v>
      </c>
      <c r="D45" s="8" t="s">
        <v>368</v>
      </c>
      <c r="E45" s="8" t="s">
        <v>237</v>
      </c>
      <c r="F45" s="8" t="s">
        <v>238</v>
      </c>
      <c r="G45" s="6">
        <v>43138</v>
      </c>
      <c r="H45" s="6">
        <v>43143</v>
      </c>
      <c r="I45" s="4">
        <v>-60</v>
      </c>
      <c r="J45" s="8" t="s">
        <v>22</v>
      </c>
      <c r="K45" s="8" t="s">
        <v>570</v>
      </c>
      <c r="L45" s="4" t="str">
        <f>IF(AtlasReport_1_Table_1[[#This Row],[Reference]]="Purchase order",_xll.AtlasFormulas.AtlasFunctions.AtlasTable("UAT",DataAreaId,"T.VendInvoiceTrans","%RecId","","","","","","","ItemId|PurchID|InventTransId",$C45,$B45,$K45),"")</f>
        <v/>
      </c>
      <c r="M45" s="4" t="str">
        <f>IF(AtlasReport_1_Table_1[[#This Row],[Reference]]="Purchase order",_xll.AtlasFormulas.AtlasFunctions.AtlasTable("UAT",DataAreaId,"T.MarkupTrans","%CurrencyCode","","","","","","","MarkupCode|TransRecId|TransTableId","TPP",$L45,"492"),"")</f>
        <v/>
      </c>
      <c r="N45" s="4" t="str">
        <f>IF(AtlasReport_1_Table_1[[#This Row],[Reference]]="Purchase order",_xll.AtlasFormulas.AtlasFunctions.AtlasBalance("UAT",DataAreaId,"T.MarkupTrans","Sum|Posted|0","","","","","","","MarkupCode|TransTableId|TransRecId","TPP","492",$L45),"")</f>
        <v/>
      </c>
    </row>
    <row r="46" spans="1:14">
      <c r="A46" s="8" t="s">
        <v>122</v>
      </c>
      <c r="B46" s="8" t="s">
        <v>571</v>
      </c>
      <c r="C46" s="8" t="s">
        <v>62</v>
      </c>
      <c r="D46" s="8" t="s">
        <v>63</v>
      </c>
      <c r="E46" s="8" t="s">
        <v>237</v>
      </c>
      <c r="F46" s="8" t="s">
        <v>238</v>
      </c>
      <c r="G46" s="6">
        <v>43138</v>
      </c>
      <c r="H46" s="6">
        <v>43151</v>
      </c>
      <c r="I46" s="4">
        <v>-25</v>
      </c>
      <c r="J46" s="8" t="s">
        <v>24</v>
      </c>
      <c r="K46" s="8" t="s">
        <v>572</v>
      </c>
      <c r="L46" s="4" t="str">
        <f>IF(AtlasReport_1_Table_1[[#This Row],[Reference]]="Purchase order",_xll.AtlasFormulas.AtlasFunctions.AtlasTable("UAT",DataAreaId,"T.VendInvoiceTrans","%RecId","","","","","","","ItemId|PurchID|InventTransId",$C46,$B46,$K46),"")</f>
        <v/>
      </c>
      <c r="M46" s="4" t="str">
        <f>IF(AtlasReport_1_Table_1[[#This Row],[Reference]]="Purchase order",_xll.AtlasFormulas.AtlasFunctions.AtlasTable("UAT",DataAreaId,"T.MarkupTrans","%CurrencyCode","","","","","","","MarkupCode|TransRecId|TransTableId","TPP",$L46,"492"),"")</f>
        <v/>
      </c>
      <c r="N46" s="4" t="str">
        <f>IF(AtlasReport_1_Table_1[[#This Row],[Reference]]="Purchase order",_xll.AtlasFormulas.AtlasFunctions.AtlasBalance("UAT",DataAreaId,"T.MarkupTrans","Sum|Posted|0","","","","","","","MarkupCode|TransTableId|TransRecId","TPP","492",$L46),"")</f>
        <v/>
      </c>
    </row>
    <row r="47" spans="1:14">
      <c r="A47" s="8" t="s">
        <v>122</v>
      </c>
      <c r="B47" s="8" t="s">
        <v>571</v>
      </c>
      <c r="C47" s="8" t="s">
        <v>41</v>
      </c>
      <c r="D47" s="8" t="s">
        <v>56</v>
      </c>
      <c r="E47" s="8" t="s">
        <v>237</v>
      </c>
      <c r="F47" s="8" t="s">
        <v>238</v>
      </c>
      <c r="G47" s="6">
        <v>43138</v>
      </c>
      <c r="H47" s="6">
        <v>43151</v>
      </c>
      <c r="I47" s="4">
        <v>-25</v>
      </c>
      <c r="J47" s="8" t="s">
        <v>24</v>
      </c>
      <c r="K47" s="8" t="s">
        <v>573</v>
      </c>
      <c r="L47" s="4" t="str">
        <f>IF(AtlasReport_1_Table_1[[#This Row],[Reference]]="Purchase order",_xll.AtlasFormulas.AtlasFunctions.AtlasTable("UAT",DataAreaId,"T.VendInvoiceTrans","%RecId","","","","","","","ItemId|PurchID|InventTransId",$C47,$B47,$K47),"")</f>
        <v/>
      </c>
      <c r="M47" s="4" t="str">
        <f>IF(AtlasReport_1_Table_1[[#This Row],[Reference]]="Purchase order",_xll.AtlasFormulas.AtlasFunctions.AtlasTable("UAT",DataAreaId,"T.MarkupTrans","%CurrencyCode","","","","","","","MarkupCode|TransRecId|TransTableId","TPP",$L47,"492"),"")</f>
        <v/>
      </c>
      <c r="N47" s="4" t="str">
        <f>IF(AtlasReport_1_Table_1[[#This Row],[Reference]]="Purchase order",_xll.AtlasFormulas.AtlasFunctions.AtlasBalance("UAT",DataAreaId,"T.MarkupTrans","Sum|Posted|0","","","","","","","MarkupCode|TransTableId|TransRecId","TPP","492",$L47),"")</f>
        <v/>
      </c>
    </row>
    <row r="48" spans="1:14">
      <c r="A48" s="8" t="s">
        <v>122</v>
      </c>
      <c r="B48" s="8" t="s">
        <v>571</v>
      </c>
      <c r="C48" s="8" t="s">
        <v>494</v>
      </c>
      <c r="D48" s="8" t="s">
        <v>495</v>
      </c>
      <c r="E48" s="8" t="s">
        <v>237</v>
      </c>
      <c r="F48" s="8" t="s">
        <v>238</v>
      </c>
      <c r="G48" s="6">
        <v>43138</v>
      </c>
      <c r="H48" s="6">
        <v>43151</v>
      </c>
      <c r="I48" s="4">
        <v>-3</v>
      </c>
      <c r="J48" s="8" t="s">
        <v>22</v>
      </c>
      <c r="K48" s="8" t="s">
        <v>574</v>
      </c>
      <c r="L48" s="4" t="str">
        <f>IF(AtlasReport_1_Table_1[[#This Row],[Reference]]="Purchase order",_xll.AtlasFormulas.AtlasFunctions.AtlasTable("UAT",DataAreaId,"T.VendInvoiceTrans","%RecId","","","","","","","ItemId|PurchID|InventTransId",$C48,$B48,$K48),"")</f>
        <v/>
      </c>
      <c r="M48" s="4" t="str">
        <f>IF(AtlasReport_1_Table_1[[#This Row],[Reference]]="Purchase order",_xll.AtlasFormulas.AtlasFunctions.AtlasTable("UAT",DataAreaId,"T.MarkupTrans","%CurrencyCode","","","","","","","MarkupCode|TransRecId|TransTableId","TPP",$L48,"492"),"")</f>
        <v/>
      </c>
      <c r="N48" s="4" t="str">
        <f>IF(AtlasReport_1_Table_1[[#This Row],[Reference]]="Purchase order",_xll.AtlasFormulas.AtlasFunctions.AtlasBalance("UAT",DataAreaId,"T.MarkupTrans","Sum|Posted|0","","","","","","","MarkupCode|TransTableId|TransRecId","TPP","492",$L48),"")</f>
        <v/>
      </c>
    </row>
    <row r="49" spans="1:14">
      <c r="A49" s="8" t="s">
        <v>122</v>
      </c>
      <c r="B49" s="8" t="s">
        <v>575</v>
      </c>
      <c r="C49" s="8" t="s">
        <v>506</v>
      </c>
      <c r="D49" s="8" t="s">
        <v>507</v>
      </c>
      <c r="E49" s="8" t="s">
        <v>237</v>
      </c>
      <c r="F49" s="8" t="s">
        <v>238</v>
      </c>
      <c r="G49" s="6">
        <v>43146</v>
      </c>
      <c r="H49" s="6">
        <v>43147</v>
      </c>
      <c r="I49" s="4">
        <v>-160</v>
      </c>
      <c r="J49" s="8" t="s">
        <v>22</v>
      </c>
      <c r="K49" s="8" t="s">
        <v>576</v>
      </c>
      <c r="L49" s="4" t="str">
        <f>IF(AtlasReport_1_Table_1[[#This Row],[Reference]]="Purchase order",_xll.AtlasFormulas.AtlasFunctions.AtlasTable("UAT",DataAreaId,"T.VendInvoiceTrans","%RecId","","","","","","","ItemId|PurchID|InventTransId",$C49,$B49,$K49),"")</f>
        <v/>
      </c>
      <c r="M49" s="4" t="str">
        <f>IF(AtlasReport_1_Table_1[[#This Row],[Reference]]="Purchase order",_xll.AtlasFormulas.AtlasFunctions.AtlasTable("UAT",DataAreaId,"T.MarkupTrans","%CurrencyCode","","","","","","","MarkupCode|TransRecId|TransTableId","TPP",$L49,"492"),"")</f>
        <v/>
      </c>
      <c r="N49" s="4" t="str">
        <f>IF(AtlasReport_1_Table_1[[#This Row],[Reference]]="Purchase order",_xll.AtlasFormulas.AtlasFunctions.AtlasBalance("UAT",DataAreaId,"T.MarkupTrans","Sum|Posted|0","","","","","","","MarkupCode|TransTableId|TransRecId","TPP","492",$L49),"")</f>
        <v/>
      </c>
    </row>
    <row r="50" spans="1:14">
      <c r="A50" s="8" t="s">
        <v>122</v>
      </c>
      <c r="B50" s="8" t="s">
        <v>577</v>
      </c>
      <c r="C50" s="8" t="s">
        <v>335</v>
      </c>
      <c r="D50" s="8" t="s">
        <v>336</v>
      </c>
      <c r="E50" s="8" t="s">
        <v>237</v>
      </c>
      <c r="F50" s="8" t="s">
        <v>238</v>
      </c>
      <c r="G50" s="6">
        <v>43139</v>
      </c>
      <c r="H50" s="6">
        <v>43154</v>
      </c>
      <c r="I50" s="4">
        <v>-1</v>
      </c>
      <c r="J50" s="8" t="s">
        <v>22</v>
      </c>
      <c r="K50" s="8" t="s">
        <v>578</v>
      </c>
      <c r="L50" s="4" t="str">
        <f>IF(AtlasReport_1_Table_1[[#This Row],[Reference]]="Purchase order",_xll.AtlasFormulas.AtlasFunctions.AtlasTable("UAT",DataAreaId,"T.VendInvoiceTrans","%RecId","","","","","","","ItemId|PurchID|InventTransId",$C50,$B50,$K50),"")</f>
        <v/>
      </c>
      <c r="M50" s="4" t="str">
        <f>IF(AtlasReport_1_Table_1[[#This Row],[Reference]]="Purchase order",_xll.AtlasFormulas.AtlasFunctions.AtlasTable("UAT",DataAreaId,"T.MarkupTrans","%CurrencyCode","","","","","","","MarkupCode|TransRecId|TransTableId","TPP",$L50,"492"),"")</f>
        <v/>
      </c>
      <c r="N50" s="4" t="str">
        <f>IF(AtlasReport_1_Table_1[[#This Row],[Reference]]="Purchase order",_xll.AtlasFormulas.AtlasFunctions.AtlasBalance("UAT",DataAreaId,"T.MarkupTrans","Sum|Posted|0","","","","","","","MarkupCode|TransTableId|TransRecId","TPP","492",$L50),"")</f>
        <v/>
      </c>
    </row>
    <row r="51" spans="1:14">
      <c r="A51" s="8" t="s">
        <v>122</v>
      </c>
      <c r="B51" s="8" t="s">
        <v>577</v>
      </c>
      <c r="C51" s="8" t="s">
        <v>64</v>
      </c>
      <c r="D51" s="8" t="s">
        <v>65</v>
      </c>
      <c r="E51" s="8" t="s">
        <v>237</v>
      </c>
      <c r="F51" s="8" t="s">
        <v>238</v>
      </c>
      <c r="G51" s="6">
        <v>43139</v>
      </c>
      <c r="H51" s="6">
        <v>43154</v>
      </c>
      <c r="I51" s="4">
        <v>-100</v>
      </c>
      <c r="J51" s="8" t="s">
        <v>24</v>
      </c>
      <c r="K51" s="8" t="s">
        <v>579</v>
      </c>
      <c r="L51" s="4" t="str">
        <f>IF(AtlasReport_1_Table_1[[#This Row],[Reference]]="Purchase order",_xll.AtlasFormulas.AtlasFunctions.AtlasTable("UAT",DataAreaId,"T.VendInvoiceTrans","%RecId","","","","","","","ItemId|PurchID|InventTransId",$C51,$B51,$K51),"")</f>
        <v/>
      </c>
      <c r="M51" s="4" t="str">
        <f>IF(AtlasReport_1_Table_1[[#This Row],[Reference]]="Purchase order",_xll.AtlasFormulas.AtlasFunctions.AtlasTable("UAT",DataAreaId,"T.MarkupTrans","%CurrencyCode","","","","","","","MarkupCode|TransRecId|TransTableId","TPP",$L51,"492"),"")</f>
        <v/>
      </c>
      <c r="N51" s="4" t="str">
        <f>IF(AtlasReport_1_Table_1[[#This Row],[Reference]]="Purchase order",_xll.AtlasFormulas.AtlasFunctions.AtlasBalance("UAT",DataAreaId,"T.MarkupTrans","Sum|Posted|0","","","","","","","MarkupCode|TransTableId|TransRecId","TPP","492",$L51),"")</f>
        <v/>
      </c>
    </row>
    <row r="52" spans="1:14">
      <c r="A52" s="8" t="s">
        <v>122</v>
      </c>
      <c r="B52" s="8" t="s">
        <v>577</v>
      </c>
      <c r="C52" s="8" t="s">
        <v>285</v>
      </c>
      <c r="D52" s="8" t="s">
        <v>451</v>
      </c>
      <c r="E52" s="8" t="s">
        <v>237</v>
      </c>
      <c r="F52" s="8" t="s">
        <v>238</v>
      </c>
      <c r="G52" s="6">
        <v>43139</v>
      </c>
      <c r="H52" s="6">
        <v>43154</v>
      </c>
      <c r="I52" s="4">
        <v>-10</v>
      </c>
      <c r="J52" s="8" t="s">
        <v>22</v>
      </c>
      <c r="K52" s="8" t="s">
        <v>580</v>
      </c>
      <c r="L52" s="4" t="str">
        <f>IF(AtlasReport_1_Table_1[[#This Row],[Reference]]="Purchase order",_xll.AtlasFormulas.AtlasFunctions.AtlasTable("UAT",DataAreaId,"T.VendInvoiceTrans","%RecId","","","","","","","ItemId|PurchID|InventTransId",$C52,$B52,$K52),"")</f>
        <v/>
      </c>
      <c r="M52" s="4" t="str">
        <f>IF(AtlasReport_1_Table_1[[#This Row],[Reference]]="Purchase order",_xll.AtlasFormulas.AtlasFunctions.AtlasTable("UAT",DataAreaId,"T.MarkupTrans","%CurrencyCode","","","","","","","MarkupCode|TransRecId|TransTableId","TPP",$L52,"492"),"")</f>
        <v/>
      </c>
      <c r="N52" s="4" t="str">
        <f>IF(AtlasReport_1_Table_1[[#This Row],[Reference]]="Purchase order",_xll.AtlasFormulas.AtlasFunctions.AtlasBalance("UAT",DataAreaId,"T.MarkupTrans","Sum|Posted|0","","","","","","","MarkupCode|TransTableId|TransRecId","TPP","492",$L52),"")</f>
        <v/>
      </c>
    </row>
    <row r="53" spans="1:14">
      <c r="A53" s="8" t="s">
        <v>122</v>
      </c>
      <c r="B53" s="8" t="s">
        <v>577</v>
      </c>
      <c r="C53" s="8" t="s">
        <v>494</v>
      </c>
      <c r="D53" s="8" t="s">
        <v>495</v>
      </c>
      <c r="E53" s="8" t="s">
        <v>237</v>
      </c>
      <c r="F53" s="8" t="s">
        <v>238</v>
      </c>
      <c r="G53" s="6">
        <v>43139</v>
      </c>
      <c r="H53" s="6">
        <v>43154</v>
      </c>
      <c r="I53" s="4">
        <v>-2</v>
      </c>
      <c r="J53" s="8" t="s">
        <v>22</v>
      </c>
      <c r="K53" s="8" t="s">
        <v>581</v>
      </c>
      <c r="L53" s="4" t="str">
        <f>IF(AtlasReport_1_Table_1[[#This Row],[Reference]]="Purchase order",_xll.AtlasFormulas.AtlasFunctions.AtlasTable("UAT",DataAreaId,"T.VendInvoiceTrans","%RecId","","","","","","","ItemId|PurchID|InventTransId",$C53,$B53,$K53),"")</f>
        <v/>
      </c>
      <c r="M53" s="4" t="str">
        <f>IF(AtlasReport_1_Table_1[[#This Row],[Reference]]="Purchase order",_xll.AtlasFormulas.AtlasFunctions.AtlasTable("UAT",DataAreaId,"T.MarkupTrans","%CurrencyCode","","","","","","","MarkupCode|TransRecId|TransTableId","TPP",$L53,"492"),"")</f>
        <v/>
      </c>
      <c r="N53" s="4" t="str">
        <f>IF(AtlasReport_1_Table_1[[#This Row],[Reference]]="Purchase order",_xll.AtlasFormulas.AtlasFunctions.AtlasBalance("UAT",DataAreaId,"T.MarkupTrans","Sum|Posted|0","","","","","","","MarkupCode|TransTableId|TransRecId","TPP","492",$L53),"")</f>
        <v/>
      </c>
    </row>
    <row r="54" spans="1:14">
      <c r="A54" s="8" t="s">
        <v>122</v>
      </c>
      <c r="B54" s="8" t="s">
        <v>582</v>
      </c>
      <c r="C54" s="8" t="s">
        <v>58</v>
      </c>
      <c r="D54" s="8" t="s">
        <v>59</v>
      </c>
      <c r="E54" s="8" t="s">
        <v>237</v>
      </c>
      <c r="F54" s="8" t="s">
        <v>238</v>
      </c>
      <c r="G54" s="6">
        <v>43140</v>
      </c>
      <c r="H54" s="6">
        <v>43141</v>
      </c>
      <c r="I54" s="4">
        <v>-50</v>
      </c>
      <c r="J54" s="8" t="s">
        <v>24</v>
      </c>
      <c r="K54" s="8" t="s">
        <v>583</v>
      </c>
      <c r="L54" s="4" t="str">
        <f>IF(AtlasReport_1_Table_1[[#This Row],[Reference]]="Purchase order",_xll.AtlasFormulas.AtlasFunctions.AtlasTable("UAT",DataAreaId,"T.VendInvoiceTrans","%RecId","","","","","","","ItemId|PurchID|InventTransId",$C54,$B54,$K54),"")</f>
        <v/>
      </c>
      <c r="M54" s="4" t="str">
        <f>IF(AtlasReport_1_Table_1[[#This Row],[Reference]]="Purchase order",_xll.AtlasFormulas.AtlasFunctions.AtlasTable("UAT",DataAreaId,"T.MarkupTrans","%CurrencyCode","","","","","","","MarkupCode|TransRecId|TransTableId","TPP",$L54,"492"),"")</f>
        <v/>
      </c>
      <c r="N54" s="4" t="str">
        <f>IF(AtlasReport_1_Table_1[[#This Row],[Reference]]="Purchase order",_xll.AtlasFormulas.AtlasFunctions.AtlasBalance("UAT",DataAreaId,"T.MarkupTrans","Sum|Posted|0","","","","","","","MarkupCode|TransTableId|TransRecId","TPP","492",$L54),"")</f>
        <v/>
      </c>
    </row>
    <row r="55" spans="1:14">
      <c r="A55" s="8" t="s">
        <v>122</v>
      </c>
      <c r="B55" s="8" t="s">
        <v>584</v>
      </c>
      <c r="C55" s="8" t="s">
        <v>64</v>
      </c>
      <c r="D55" s="8" t="s">
        <v>65</v>
      </c>
      <c r="E55" s="8" t="s">
        <v>237</v>
      </c>
      <c r="F55" s="8" t="s">
        <v>238</v>
      </c>
      <c r="G55" s="6">
        <v>43151</v>
      </c>
      <c r="H55" s="6">
        <v>43154</v>
      </c>
      <c r="I55" s="4">
        <v>-61</v>
      </c>
      <c r="J55" s="8" t="s">
        <v>24</v>
      </c>
      <c r="K55" s="8" t="s">
        <v>585</v>
      </c>
      <c r="L55" s="4" t="str">
        <f>IF(AtlasReport_1_Table_1[[#This Row],[Reference]]="Purchase order",_xll.AtlasFormulas.AtlasFunctions.AtlasTable("UAT",DataAreaId,"T.VendInvoiceTrans","%RecId","","","","","","","ItemId|PurchID|InventTransId",$C55,$B55,$K55),"")</f>
        <v/>
      </c>
      <c r="M55" s="4" t="str">
        <f>IF(AtlasReport_1_Table_1[[#This Row],[Reference]]="Purchase order",_xll.AtlasFormulas.AtlasFunctions.AtlasTable("UAT",DataAreaId,"T.MarkupTrans","%CurrencyCode","","","","","","","MarkupCode|TransRecId|TransTableId","TPP",$L55,"492"),"")</f>
        <v/>
      </c>
      <c r="N55" s="4" t="str">
        <f>IF(AtlasReport_1_Table_1[[#This Row],[Reference]]="Purchase order",_xll.AtlasFormulas.AtlasFunctions.AtlasBalance("UAT",DataAreaId,"T.MarkupTrans","Sum|Posted|0","","","","","","","MarkupCode|TransTableId|TransRecId","TPP","492",$L55),"")</f>
        <v/>
      </c>
    </row>
    <row r="56" spans="1:14">
      <c r="A56" s="8" t="s">
        <v>122</v>
      </c>
      <c r="B56" s="8" t="s">
        <v>584</v>
      </c>
      <c r="C56" s="8" t="s">
        <v>64</v>
      </c>
      <c r="D56" s="8" t="s">
        <v>65</v>
      </c>
      <c r="E56" s="8" t="s">
        <v>237</v>
      </c>
      <c r="F56" s="8" t="s">
        <v>238</v>
      </c>
      <c r="G56" s="6">
        <v>43151</v>
      </c>
      <c r="H56" s="6">
        <v>43154</v>
      </c>
      <c r="I56" s="4">
        <v>-12</v>
      </c>
      <c r="J56" s="8" t="s">
        <v>24</v>
      </c>
      <c r="K56" s="8" t="s">
        <v>586</v>
      </c>
      <c r="L56" s="4" t="str">
        <f>IF(AtlasReport_1_Table_1[[#This Row],[Reference]]="Purchase order",_xll.AtlasFormulas.AtlasFunctions.AtlasTable("UAT",DataAreaId,"T.VendInvoiceTrans","%RecId","","","","","","","ItemId|PurchID|InventTransId",$C56,$B56,$K56),"")</f>
        <v/>
      </c>
      <c r="M56" s="4" t="str">
        <f>IF(AtlasReport_1_Table_1[[#This Row],[Reference]]="Purchase order",_xll.AtlasFormulas.AtlasFunctions.AtlasTable("UAT",DataAreaId,"T.MarkupTrans","%CurrencyCode","","","","","","","MarkupCode|TransRecId|TransTableId","TPP",$L56,"492"),"")</f>
        <v/>
      </c>
      <c r="N56" s="4" t="str">
        <f>IF(AtlasReport_1_Table_1[[#This Row],[Reference]]="Purchase order",_xll.AtlasFormulas.AtlasFunctions.AtlasBalance("UAT",DataAreaId,"T.MarkupTrans","Sum|Posted|0","","","","","","","MarkupCode|TransTableId|TransRecId","TPP","492",$L56),"")</f>
        <v/>
      </c>
    </row>
    <row r="57" spans="1:14">
      <c r="A57" s="8" t="s">
        <v>122</v>
      </c>
      <c r="B57" s="8" t="s">
        <v>584</v>
      </c>
      <c r="C57" s="8" t="s">
        <v>285</v>
      </c>
      <c r="D57" s="8" t="s">
        <v>451</v>
      </c>
      <c r="E57" s="8" t="s">
        <v>237</v>
      </c>
      <c r="F57" s="8" t="s">
        <v>238</v>
      </c>
      <c r="G57" s="6">
        <v>43151</v>
      </c>
      <c r="H57" s="6">
        <v>43154</v>
      </c>
      <c r="I57" s="4">
        <v>-5</v>
      </c>
      <c r="J57" s="8" t="s">
        <v>22</v>
      </c>
      <c r="K57" s="8" t="s">
        <v>587</v>
      </c>
      <c r="L57" s="4" t="str">
        <f>IF(AtlasReport_1_Table_1[[#This Row],[Reference]]="Purchase order",_xll.AtlasFormulas.AtlasFunctions.AtlasTable("UAT",DataAreaId,"T.VendInvoiceTrans","%RecId","","","","","","","ItemId|PurchID|InventTransId",$C57,$B57,$K57),"")</f>
        <v/>
      </c>
      <c r="M57" s="4" t="str">
        <f>IF(AtlasReport_1_Table_1[[#This Row],[Reference]]="Purchase order",_xll.AtlasFormulas.AtlasFunctions.AtlasTable("UAT",DataAreaId,"T.MarkupTrans","%CurrencyCode","","","","","","","MarkupCode|TransRecId|TransTableId","TPP",$L57,"492"),"")</f>
        <v/>
      </c>
      <c r="N57" s="4" t="str">
        <f>IF(AtlasReport_1_Table_1[[#This Row],[Reference]]="Purchase order",_xll.AtlasFormulas.AtlasFunctions.AtlasBalance("UAT",DataAreaId,"T.MarkupTrans","Sum|Posted|0","","","","","","","MarkupCode|TransTableId|TransRecId","TPP","492",$L57),"")</f>
        <v/>
      </c>
    </row>
    <row r="58" spans="1:14">
      <c r="A58" s="8" t="s">
        <v>122</v>
      </c>
      <c r="B58" s="8" t="s">
        <v>584</v>
      </c>
      <c r="C58" s="8" t="s">
        <v>494</v>
      </c>
      <c r="D58" s="8" t="s">
        <v>495</v>
      </c>
      <c r="E58" s="8" t="s">
        <v>237</v>
      </c>
      <c r="F58" s="8" t="s">
        <v>238</v>
      </c>
      <c r="G58" s="6">
        <v>43151</v>
      </c>
      <c r="H58" s="6">
        <v>43154</v>
      </c>
      <c r="I58" s="4">
        <v>-1</v>
      </c>
      <c r="J58" s="8" t="s">
        <v>22</v>
      </c>
      <c r="K58" s="8" t="s">
        <v>588</v>
      </c>
      <c r="L58" s="4" t="str">
        <f>IF(AtlasReport_1_Table_1[[#This Row],[Reference]]="Purchase order",_xll.AtlasFormulas.AtlasFunctions.AtlasTable("UAT",DataAreaId,"T.VendInvoiceTrans","%RecId","","","","","","","ItemId|PurchID|InventTransId",$C58,$B58,$K58),"")</f>
        <v/>
      </c>
      <c r="M58" s="4" t="str">
        <f>IF(AtlasReport_1_Table_1[[#This Row],[Reference]]="Purchase order",_xll.AtlasFormulas.AtlasFunctions.AtlasTable("UAT",DataAreaId,"T.MarkupTrans","%CurrencyCode","","","","","","","MarkupCode|TransRecId|TransTableId","TPP",$L58,"492"),"")</f>
        <v/>
      </c>
      <c r="N58" s="4" t="str">
        <f>IF(AtlasReport_1_Table_1[[#This Row],[Reference]]="Purchase order",_xll.AtlasFormulas.AtlasFunctions.AtlasBalance("UAT",DataAreaId,"T.MarkupTrans","Sum|Posted|0","","","","","","","MarkupCode|TransTableId|TransRecId","TPP","492",$L58),"")</f>
        <v/>
      </c>
    </row>
    <row r="59" spans="1:14">
      <c r="A59" s="8" t="s">
        <v>122</v>
      </c>
      <c r="B59" s="8" t="s">
        <v>589</v>
      </c>
      <c r="C59" s="8" t="s">
        <v>267</v>
      </c>
      <c r="D59" s="8" t="s">
        <v>368</v>
      </c>
      <c r="E59" s="8" t="s">
        <v>237</v>
      </c>
      <c r="F59" s="8" t="s">
        <v>238</v>
      </c>
      <c r="G59" s="6">
        <v>43145</v>
      </c>
      <c r="H59" s="6">
        <v>43147</v>
      </c>
      <c r="I59" s="4">
        <v>-400</v>
      </c>
      <c r="J59" s="8" t="s">
        <v>22</v>
      </c>
      <c r="K59" s="8" t="s">
        <v>590</v>
      </c>
      <c r="L59" s="4" t="str">
        <f>IF(AtlasReport_1_Table_1[[#This Row],[Reference]]="Purchase order",_xll.AtlasFormulas.AtlasFunctions.AtlasTable("UAT",DataAreaId,"T.VendInvoiceTrans","%RecId","","","","","","","ItemId|PurchID|InventTransId",$C59,$B59,$K59),"")</f>
        <v/>
      </c>
      <c r="M59" s="4" t="str">
        <f>IF(AtlasReport_1_Table_1[[#This Row],[Reference]]="Purchase order",_xll.AtlasFormulas.AtlasFunctions.AtlasTable("UAT",DataAreaId,"T.MarkupTrans","%CurrencyCode","","","","","","","MarkupCode|TransRecId|TransTableId","TPP",$L59,"492"),"")</f>
        <v/>
      </c>
      <c r="N59" s="4" t="str">
        <f>IF(AtlasReport_1_Table_1[[#This Row],[Reference]]="Purchase order",_xll.AtlasFormulas.AtlasFunctions.AtlasBalance("UAT",DataAreaId,"T.MarkupTrans","Sum|Posted|0","","","","","","","MarkupCode|TransTableId|TransRecId","TPP","492",$L59),"")</f>
        <v/>
      </c>
    </row>
    <row r="60" spans="1:14">
      <c r="A60" s="8" t="s">
        <v>122</v>
      </c>
      <c r="B60" s="8" t="s">
        <v>591</v>
      </c>
      <c r="C60" s="8" t="s">
        <v>263</v>
      </c>
      <c r="D60" s="8" t="s">
        <v>357</v>
      </c>
      <c r="E60" s="8" t="s">
        <v>237</v>
      </c>
      <c r="F60" s="8" t="s">
        <v>238</v>
      </c>
      <c r="G60" s="6">
        <v>43145</v>
      </c>
      <c r="H60" s="6">
        <v>43147</v>
      </c>
      <c r="I60" s="4">
        <v>-2</v>
      </c>
      <c r="J60" s="8" t="s">
        <v>22</v>
      </c>
      <c r="K60" s="8" t="s">
        <v>592</v>
      </c>
      <c r="L60" s="4" t="str">
        <f>IF(AtlasReport_1_Table_1[[#This Row],[Reference]]="Purchase order",_xll.AtlasFormulas.AtlasFunctions.AtlasTable("UAT",DataAreaId,"T.VendInvoiceTrans","%RecId","","","","","","","ItemId|PurchID|InventTransId",$C60,$B60,$K60),"")</f>
        <v/>
      </c>
      <c r="M60" s="4" t="str">
        <f>IF(AtlasReport_1_Table_1[[#This Row],[Reference]]="Purchase order",_xll.AtlasFormulas.AtlasFunctions.AtlasTable("UAT",DataAreaId,"T.MarkupTrans","%CurrencyCode","","","","","","","MarkupCode|TransRecId|TransTableId","TPP",$L60,"492"),"")</f>
        <v/>
      </c>
      <c r="N60" s="4" t="str">
        <f>IF(AtlasReport_1_Table_1[[#This Row],[Reference]]="Purchase order",_xll.AtlasFormulas.AtlasFunctions.AtlasBalance("UAT",DataAreaId,"T.MarkupTrans","Sum|Posted|0","","","","","","","MarkupCode|TransTableId|TransRecId","TPP","492",$L60),"")</f>
        <v/>
      </c>
    </row>
    <row r="61" spans="1:14">
      <c r="A61" s="8" t="s">
        <v>122</v>
      </c>
      <c r="B61" s="8" t="s">
        <v>591</v>
      </c>
      <c r="C61" s="8" t="s">
        <v>64</v>
      </c>
      <c r="D61" s="8" t="s">
        <v>65</v>
      </c>
      <c r="E61" s="8" t="s">
        <v>237</v>
      </c>
      <c r="F61" s="8" t="s">
        <v>238</v>
      </c>
      <c r="G61" s="6">
        <v>43145</v>
      </c>
      <c r="H61" s="6">
        <v>43147</v>
      </c>
      <c r="I61" s="4">
        <v>-6.6</v>
      </c>
      <c r="J61" s="8" t="s">
        <v>24</v>
      </c>
      <c r="K61" s="8" t="s">
        <v>593</v>
      </c>
      <c r="L61" s="4" t="str">
        <f>IF(AtlasReport_1_Table_1[[#This Row],[Reference]]="Purchase order",_xll.AtlasFormulas.AtlasFunctions.AtlasTable("UAT",DataAreaId,"T.VendInvoiceTrans","%RecId","","","","","","","ItemId|PurchID|InventTransId",$C61,$B61,$K61),"")</f>
        <v/>
      </c>
      <c r="M61" s="4" t="str">
        <f>IF(AtlasReport_1_Table_1[[#This Row],[Reference]]="Purchase order",_xll.AtlasFormulas.AtlasFunctions.AtlasTable("UAT",DataAreaId,"T.MarkupTrans","%CurrencyCode","","","","","","","MarkupCode|TransRecId|TransTableId","TPP",$L61,"492"),"")</f>
        <v/>
      </c>
      <c r="N61" s="4" t="str">
        <f>IF(AtlasReport_1_Table_1[[#This Row],[Reference]]="Purchase order",_xll.AtlasFormulas.AtlasFunctions.AtlasBalance("UAT",DataAreaId,"T.MarkupTrans","Sum|Posted|0","","","","","","","MarkupCode|TransTableId|TransRecId","TPP","492",$L61),"")</f>
        <v/>
      </c>
    </row>
    <row r="62" spans="1:14">
      <c r="A62" s="8" t="s">
        <v>122</v>
      </c>
      <c r="B62" s="8" t="s">
        <v>591</v>
      </c>
      <c r="C62" s="8" t="s">
        <v>285</v>
      </c>
      <c r="D62" s="8" t="s">
        <v>451</v>
      </c>
      <c r="E62" s="8" t="s">
        <v>237</v>
      </c>
      <c r="F62" s="8" t="s">
        <v>238</v>
      </c>
      <c r="G62" s="6">
        <v>43145</v>
      </c>
      <c r="H62" s="6">
        <v>43147</v>
      </c>
      <c r="I62" s="4">
        <v>-1</v>
      </c>
      <c r="J62" s="8" t="s">
        <v>22</v>
      </c>
      <c r="K62" s="8" t="s">
        <v>594</v>
      </c>
      <c r="L62" s="4" t="str">
        <f>IF(AtlasReport_1_Table_1[[#This Row],[Reference]]="Purchase order",_xll.AtlasFormulas.AtlasFunctions.AtlasTable("UAT",DataAreaId,"T.VendInvoiceTrans","%RecId","","","","","","","ItemId|PurchID|InventTransId",$C62,$B62,$K62),"")</f>
        <v/>
      </c>
      <c r="M62" s="4" t="str">
        <f>IF(AtlasReport_1_Table_1[[#This Row],[Reference]]="Purchase order",_xll.AtlasFormulas.AtlasFunctions.AtlasTable("UAT",DataAreaId,"T.MarkupTrans","%CurrencyCode","","","","","","","MarkupCode|TransRecId|TransTableId","TPP",$L62,"492"),"")</f>
        <v/>
      </c>
      <c r="N62" s="4" t="str">
        <f>IF(AtlasReport_1_Table_1[[#This Row],[Reference]]="Purchase order",_xll.AtlasFormulas.AtlasFunctions.AtlasBalance("UAT",DataAreaId,"T.MarkupTrans","Sum|Posted|0","","","","","","","MarkupCode|TransTableId|TransRecId","TPP","492",$L62),"")</f>
        <v/>
      </c>
    </row>
    <row r="63" spans="1:14">
      <c r="A63" s="8" t="s">
        <v>122</v>
      </c>
      <c r="B63" s="8" t="s">
        <v>595</v>
      </c>
      <c r="C63" s="8" t="s">
        <v>64</v>
      </c>
      <c r="D63" s="8" t="s">
        <v>65</v>
      </c>
      <c r="E63" s="8" t="s">
        <v>237</v>
      </c>
      <c r="F63" s="8" t="s">
        <v>238</v>
      </c>
      <c r="G63" s="6">
        <v>43145</v>
      </c>
      <c r="H63" s="6">
        <v>43147</v>
      </c>
      <c r="I63" s="4">
        <v>-1500</v>
      </c>
      <c r="J63" s="8" t="s">
        <v>24</v>
      </c>
      <c r="K63" s="8" t="s">
        <v>596</v>
      </c>
      <c r="L63" s="4" t="str">
        <f>IF(AtlasReport_1_Table_1[[#This Row],[Reference]]="Purchase order",_xll.AtlasFormulas.AtlasFunctions.AtlasTable("UAT",DataAreaId,"T.VendInvoiceTrans","%RecId","","","","","","","ItemId|PurchID|InventTransId",$C63,$B63,$K63),"")</f>
        <v/>
      </c>
      <c r="M63" s="4" t="str">
        <f>IF(AtlasReport_1_Table_1[[#This Row],[Reference]]="Purchase order",_xll.AtlasFormulas.AtlasFunctions.AtlasTable("UAT",DataAreaId,"T.MarkupTrans","%CurrencyCode","","","","","","","MarkupCode|TransRecId|TransTableId","TPP",$L63,"492"),"")</f>
        <v/>
      </c>
      <c r="N63" s="4" t="str">
        <f>IF(AtlasReport_1_Table_1[[#This Row],[Reference]]="Purchase order",_xll.AtlasFormulas.AtlasFunctions.AtlasBalance("UAT",DataAreaId,"T.MarkupTrans","Sum|Posted|0","","","","","","","MarkupCode|TransTableId|TransRecId","TPP","492",$L63),"")</f>
        <v/>
      </c>
    </row>
    <row r="64" spans="1:14">
      <c r="A64" s="8" t="s">
        <v>122</v>
      </c>
      <c r="B64" s="8" t="s">
        <v>595</v>
      </c>
      <c r="C64" s="8" t="s">
        <v>42</v>
      </c>
      <c r="D64" s="8" t="s">
        <v>363</v>
      </c>
      <c r="E64" s="8" t="s">
        <v>237</v>
      </c>
      <c r="F64" s="8" t="s">
        <v>238</v>
      </c>
      <c r="G64" s="6">
        <v>43145</v>
      </c>
      <c r="H64" s="6">
        <v>43147</v>
      </c>
      <c r="I64" s="4">
        <v>-10</v>
      </c>
      <c r="J64" s="8" t="s">
        <v>22</v>
      </c>
      <c r="K64" s="8" t="s">
        <v>597</v>
      </c>
      <c r="L64" s="4" t="str">
        <f>IF(AtlasReport_1_Table_1[[#This Row],[Reference]]="Purchase order",_xll.AtlasFormulas.AtlasFunctions.AtlasTable("UAT",DataAreaId,"T.VendInvoiceTrans","%RecId","","","","","","","ItemId|PurchID|InventTransId",$C64,$B64,$K64),"")</f>
        <v/>
      </c>
      <c r="M64" s="4" t="str">
        <f>IF(AtlasReport_1_Table_1[[#This Row],[Reference]]="Purchase order",_xll.AtlasFormulas.AtlasFunctions.AtlasTable("UAT",DataAreaId,"T.MarkupTrans","%CurrencyCode","","","","","","","MarkupCode|TransRecId|TransTableId","TPP",$L64,"492"),"")</f>
        <v/>
      </c>
      <c r="N64" s="4" t="str">
        <f>IF(AtlasReport_1_Table_1[[#This Row],[Reference]]="Purchase order",_xll.AtlasFormulas.AtlasFunctions.AtlasBalance("UAT",DataAreaId,"T.MarkupTrans","Sum|Posted|0","","","","","","","MarkupCode|TransTableId|TransRecId","TPP","492",$L64),"")</f>
        <v/>
      </c>
    </row>
    <row r="65" spans="1:14">
      <c r="A65" s="8" t="s">
        <v>122</v>
      </c>
      <c r="B65" s="8" t="s">
        <v>598</v>
      </c>
      <c r="C65" s="8" t="s">
        <v>599</v>
      </c>
      <c r="D65" s="8" t="s">
        <v>600</v>
      </c>
      <c r="E65" s="8" t="s">
        <v>237</v>
      </c>
      <c r="F65" s="8" t="s">
        <v>238</v>
      </c>
      <c r="G65" s="6">
        <v>43152</v>
      </c>
      <c r="H65" s="6">
        <v>43154</v>
      </c>
      <c r="I65" s="4">
        <v>-50</v>
      </c>
      <c r="J65" s="8" t="s">
        <v>66</v>
      </c>
      <c r="K65" s="8" t="s">
        <v>601</v>
      </c>
      <c r="L65" s="4" t="str">
        <f>IF(AtlasReport_1_Table_1[[#This Row],[Reference]]="Purchase order",_xll.AtlasFormulas.AtlasFunctions.AtlasTable("UAT",DataAreaId,"T.VendInvoiceTrans","%RecId","","","","","","","ItemId|PurchID|InventTransId",$C65,$B65,$K65),"")</f>
        <v/>
      </c>
      <c r="M65" s="4" t="str">
        <f>IF(AtlasReport_1_Table_1[[#This Row],[Reference]]="Purchase order",_xll.AtlasFormulas.AtlasFunctions.AtlasTable("UAT",DataAreaId,"T.MarkupTrans","%CurrencyCode","","","","","","","MarkupCode|TransRecId|TransTableId","TPP",$L65,"492"),"")</f>
        <v/>
      </c>
      <c r="N65" s="4" t="str">
        <f>IF(AtlasReport_1_Table_1[[#This Row],[Reference]]="Purchase order",_xll.AtlasFormulas.AtlasFunctions.AtlasBalance("UAT",DataAreaId,"T.MarkupTrans","Sum|Posted|0","","","","","","","MarkupCode|TransTableId|TransRecId","TPP","492",$L65),"")</f>
        <v/>
      </c>
    </row>
    <row r="66" spans="1:14">
      <c r="A66" s="8" t="s">
        <v>122</v>
      </c>
      <c r="B66" s="8" t="s">
        <v>598</v>
      </c>
      <c r="C66" s="8" t="s">
        <v>263</v>
      </c>
      <c r="D66" s="8" t="s">
        <v>357</v>
      </c>
      <c r="E66" s="8" t="s">
        <v>237</v>
      </c>
      <c r="F66" s="8" t="s">
        <v>238</v>
      </c>
      <c r="G66" s="6">
        <v>43152</v>
      </c>
      <c r="H66" s="6">
        <v>43154</v>
      </c>
      <c r="I66" s="4">
        <v>-2</v>
      </c>
      <c r="J66" s="8" t="s">
        <v>22</v>
      </c>
      <c r="K66" s="8" t="s">
        <v>602</v>
      </c>
      <c r="L66" s="4" t="str">
        <f>IF(AtlasReport_1_Table_1[[#This Row],[Reference]]="Purchase order",_xll.AtlasFormulas.AtlasFunctions.AtlasTable("UAT",DataAreaId,"T.VendInvoiceTrans","%RecId","","","","","","","ItemId|PurchID|InventTransId",$C66,$B66,$K66),"")</f>
        <v/>
      </c>
      <c r="M66" s="4" t="str">
        <f>IF(AtlasReport_1_Table_1[[#This Row],[Reference]]="Purchase order",_xll.AtlasFormulas.AtlasFunctions.AtlasTable("UAT",DataAreaId,"T.MarkupTrans","%CurrencyCode","","","","","","","MarkupCode|TransRecId|TransTableId","TPP",$L66,"492"),"")</f>
        <v/>
      </c>
      <c r="N66" s="4" t="str">
        <f>IF(AtlasReport_1_Table_1[[#This Row],[Reference]]="Purchase order",_xll.AtlasFormulas.AtlasFunctions.AtlasBalance("UAT",DataAreaId,"T.MarkupTrans","Sum|Posted|0","","","","","","","MarkupCode|TransTableId|TransRecId","TPP","492",$L66),"")</f>
        <v/>
      </c>
    </row>
    <row r="67" spans="1:14">
      <c r="A67" s="8" t="s">
        <v>122</v>
      </c>
      <c r="B67" s="8" t="s">
        <v>598</v>
      </c>
      <c r="C67" s="8" t="s">
        <v>273</v>
      </c>
      <c r="D67" s="8" t="s">
        <v>390</v>
      </c>
      <c r="E67" s="8" t="s">
        <v>237</v>
      </c>
      <c r="F67" s="8" t="s">
        <v>238</v>
      </c>
      <c r="G67" s="6">
        <v>43152</v>
      </c>
      <c r="H67" s="6">
        <v>43154</v>
      </c>
      <c r="I67" s="4">
        <v>-3</v>
      </c>
      <c r="J67" s="8" t="s">
        <v>22</v>
      </c>
      <c r="K67" s="8" t="s">
        <v>603</v>
      </c>
      <c r="L67" s="4" t="str">
        <f>IF(AtlasReport_1_Table_1[[#This Row],[Reference]]="Purchase order",_xll.AtlasFormulas.AtlasFunctions.AtlasTable("UAT",DataAreaId,"T.VendInvoiceTrans","%RecId","","","","","","","ItemId|PurchID|InventTransId",$C67,$B67,$K67),"")</f>
        <v/>
      </c>
      <c r="M67" s="4" t="str">
        <f>IF(AtlasReport_1_Table_1[[#This Row],[Reference]]="Purchase order",_xll.AtlasFormulas.AtlasFunctions.AtlasTable("UAT",DataAreaId,"T.MarkupTrans","%CurrencyCode","","","","","","","MarkupCode|TransRecId|TransTableId","TPP",$L67,"492"),"")</f>
        <v/>
      </c>
      <c r="N67" s="4" t="str">
        <f>IF(AtlasReport_1_Table_1[[#This Row],[Reference]]="Purchase order",_xll.AtlasFormulas.AtlasFunctions.AtlasBalance("UAT",DataAreaId,"T.MarkupTrans","Sum|Posted|0","","","","","","","MarkupCode|TransTableId|TransRecId","TPP","492",$L67),"")</f>
        <v/>
      </c>
    </row>
    <row r="68" spans="1:14">
      <c r="A68" s="8" t="s">
        <v>122</v>
      </c>
      <c r="B68" s="8" t="s">
        <v>598</v>
      </c>
      <c r="C68" s="8" t="s">
        <v>277</v>
      </c>
      <c r="D68" s="8" t="s">
        <v>406</v>
      </c>
      <c r="E68" s="8" t="s">
        <v>237</v>
      </c>
      <c r="F68" s="8" t="s">
        <v>238</v>
      </c>
      <c r="G68" s="6">
        <v>43152</v>
      </c>
      <c r="H68" s="6">
        <v>43154</v>
      </c>
      <c r="I68" s="4">
        <v>-3</v>
      </c>
      <c r="J68" s="8" t="s">
        <v>22</v>
      </c>
      <c r="K68" s="8" t="s">
        <v>604</v>
      </c>
      <c r="L68" s="4" t="str">
        <f>IF(AtlasReport_1_Table_1[[#This Row],[Reference]]="Purchase order",_xll.AtlasFormulas.AtlasFunctions.AtlasTable("UAT",DataAreaId,"T.VendInvoiceTrans","%RecId","","","","","","","ItemId|PurchID|InventTransId",$C68,$B68,$K68),"")</f>
        <v/>
      </c>
      <c r="M68" s="4" t="str">
        <f>IF(AtlasReport_1_Table_1[[#This Row],[Reference]]="Purchase order",_xll.AtlasFormulas.AtlasFunctions.AtlasTable("UAT",DataAreaId,"T.MarkupTrans","%CurrencyCode","","","","","","","MarkupCode|TransRecId|TransTableId","TPP",$L68,"492"),"")</f>
        <v/>
      </c>
      <c r="N68" s="4" t="str">
        <f>IF(AtlasReport_1_Table_1[[#This Row],[Reference]]="Purchase order",_xll.AtlasFormulas.AtlasFunctions.AtlasBalance("UAT",DataAreaId,"T.MarkupTrans","Sum|Posted|0","","","","","","","MarkupCode|TransTableId|TransRecId","TPP","492",$L68),"")</f>
        <v/>
      </c>
    </row>
    <row r="69" spans="1:14">
      <c r="A69" s="8" t="s">
        <v>122</v>
      </c>
      <c r="B69" s="8" t="s">
        <v>605</v>
      </c>
      <c r="C69" s="8" t="s">
        <v>43</v>
      </c>
      <c r="D69" s="8" t="s">
        <v>67</v>
      </c>
      <c r="E69" s="8" t="s">
        <v>237</v>
      </c>
      <c r="F69" s="8" t="s">
        <v>238</v>
      </c>
      <c r="G69" s="6">
        <v>43146</v>
      </c>
      <c r="H69" s="6">
        <v>43147</v>
      </c>
      <c r="I69" s="4">
        <v>-60</v>
      </c>
      <c r="J69" s="8" t="s">
        <v>23</v>
      </c>
      <c r="K69" s="8" t="s">
        <v>606</v>
      </c>
      <c r="L69" s="4" t="str">
        <f>IF(AtlasReport_1_Table_1[[#This Row],[Reference]]="Purchase order",_xll.AtlasFormulas.AtlasFunctions.AtlasTable("UAT",DataAreaId,"T.VendInvoiceTrans","%RecId","","","","","","","ItemId|PurchID|InventTransId",$C69,$B69,$K69),"")</f>
        <v/>
      </c>
      <c r="M69" s="4" t="str">
        <f>IF(AtlasReport_1_Table_1[[#This Row],[Reference]]="Purchase order",_xll.AtlasFormulas.AtlasFunctions.AtlasTable("UAT",DataAreaId,"T.MarkupTrans","%CurrencyCode","","","","","","","MarkupCode|TransRecId|TransTableId","TPP",$L69,"492"),"")</f>
        <v/>
      </c>
      <c r="N69" s="4" t="str">
        <f>IF(AtlasReport_1_Table_1[[#This Row],[Reference]]="Purchase order",_xll.AtlasFormulas.AtlasFunctions.AtlasBalance("UAT",DataAreaId,"T.MarkupTrans","Sum|Posted|0","","","","","","","MarkupCode|TransTableId|TransRecId","TPP","492",$L69),"")</f>
        <v/>
      </c>
    </row>
    <row r="70" spans="1:14">
      <c r="A70" s="8" t="s">
        <v>122</v>
      </c>
      <c r="B70" s="8" t="s">
        <v>605</v>
      </c>
      <c r="C70" s="8" t="s">
        <v>40</v>
      </c>
      <c r="D70" s="8" t="s">
        <v>69</v>
      </c>
      <c r="E70" s="8" t="s">
        <v>237</v>
      </c>
      <c r="F70" s="8" t="s">
        <v>238</v>
      </c>
      <c r="G70" s="6">
        <v>43146</v>
      </c>
      <c r="H70" s="6">
        <v>43147</v>
      </c>
      <c r="I70" s="4">
        <v>-80</v>
      </c>
      <c r="J70" s="8" t="s">
        <v>24</v>
      </c>
      <c r="K70" s="8" t="s">
        <v>607</v>
      </c>
      <c r="L70" s="4" t="str">
        <f>IF(AtlasReport_1_Table_1[[#This Row],[Reference]]="Purchase order",_xll.AtlasFormulas.AtlasFunctions.AtlasTable("UAT",DataAreaId,"T.VendInvoiceTrans","%RecId","","","","","","","ItemId|PurchID|InventTransId",$C70,$B70,$K70),"")</f>
        <v/>
      </c>
      <c r="M70" s="4" t="str">
        <f>IF(AtlasReport_1_Table_1[[#This Row],[Reference]]="Purchase order",_xll.AtlasFormulas.AtlasFunctions.AtlasTable("UAT",DataAreaId,"T.MarkupTrans","%CurrencyCode","","","","","","","MarkupCode|TransRecId|TransTableId","TPP",$L70,"492"),"")</f>
        <v/>
      </c>
      <c r="N70" s="4" t="str">
        <f>IF(AtlasReport_1_Table_1[[#This Row],[Reference]]="Purchase order",_xll.AtlasFormulas.AtlasFunctions.AtlasBalance("UAT",DataAreaId,"T.MarkupTrans","Sum|Posted|0","","","","","","","MarkupCode|TransTableId|TransRecId","TPP","492",$L70),"")</f>
        <v/>
      </c>
    </row>
    <row r="71" spans="1:14">
      <c r="A71" s="8" t="s">
        <v>122</v>
      </c>
      <c r="B71" s="8" t="s">
        <v>605</v>
      </c>
      <c r="C71" s="8" t="s">
        <v>42</v>
      </c>
      <c r="D71" s="8" t="s">
        <v>363</v>
      </c>
      <c r="E71" s="8" t="s">
        <v>237</v>
      </c>
      <c r="F71" s="8" t="s">
        <v>238</v>
      </c>
      <c r="G71" s="6">
        <v>43146</v>
      </c>
      <c r="H71" s="6">
        <v>43147</v>
      </c>
      <c r="I71" s="4">
        <v>-4</v>
      </c>
      <c r="J71" s="8" t="s">
        <v>22</v>
      </c>
      <c r="K71" s="8" t="s">
        <v>608</v>
      </c>
      <c r="L71" s="4" t="str">
        <f>IF(AtlasReport_1_Table_1[[#This Row],[Reference]]="Purchase order",_xll.AtlasFormulas.AtlasFunctions.AtlasTable("UAT",DataAreaId,"T.VendInvoiceTrans","%RecId","","","","","","","ItemId|PurchID|InventTransId",$C71,$B71,$K71),"")</f>
        <v/>
      </c>
      <c r="M71" s="4" t="str">
        <f>IF(AtlasReport_1_Table_1[[#This Row],[Reference]]="Purchase order",_xll.AtlasFormulas.AtlasFunctions.AtlasTable("UAT",DataAreaId,"T.MarkupTrans","%CurrencyCode","","","","","","","MarkupCode|TransRecId|TransTableId","TPP",$L71,"492"),"")</f>
        <v/>
      </c>
      <c r="N71" s="4" t="str">
        <f>IF(AtlasReport_1_Table_1[[#This Row],[Reference]]="Purchase order",_xll.AtlasFormulas.AtlasFunctions.AtlasBalance("UAT",DataAreaId,"T.MarkupTrans","Sum|Posted|0","","","","","","","MarkupCode|TransTableId|TransRecId","TPP","492",$L71),"")</f>
        <v/>
      </c>
    </row>
    <row r="72" spans="1:14" ht="30">
      <c r="A72" s="8" t="s">
        <v>122</v>
      </c>
      <c r="B72" s="8" t="s">
        <v>605</v>
      </c>
      <c r="C72" s="8" t="s">
        <v>115</v>
      </c>
      <c r="D72" s="11" t="s">
        <v>116</v>
      </c>
      <c r="E72" s="8" t="s">
        <v>237</v>
      </c>
      <c r="F72" s="8" t="s">
        <v>238</v>
      </c>
      <c r="G72" s="6">
        <v>43146</v>
      </c>
      <c r="H72" s="6">
        <v>43147</v>
      </c>
      <c r="I72" s="4">
        <v>-7</v>
      </c>
      <c r="J72" s="8" t="s">
        <v>22</v>
      </c>
      <c r="K72" s="8" t="s">
        <v>609</v>
      </c>
      <c r="L72" s="4" t="str">
        <f>IF(AtlasReport_1_Table_1[[#This Row],[Reference]]="Purchase order",_xll.AtlasFormulas.AtlasFunctions.AtlasTable("UAT",DataAreaId,"T.VendInvoiceTrans","%RecId","","","","","","","ItemId|PurchID|InventTransId",$C72,$B72,$K72),"")</f>
        <v/>
      </c>
      <c r="M72" s="4" t="str">
        <f>IF(AtlasReport_1_Table_1[[#This Row],[Reference]]="Purchase order",_xll.AtlasFormulas.AtlasFunctions.AtlasTable("UAT",DataAreaId,"T.MarkupTrans","%CurrencyCode","","","","","","","MarkupCode|TransRecId|TransTableId","TPP",$L72,"492"),"")</f>
        <v/>
      </c>
      <c r="N72" s="4" t="str">
        <f>IF(AtlasReport_1_Table_1[[#This Row],[Reference]]="Purchase order",_xll.AtlasFormulas.AtlasFunctions.AtlasBalance("UAT",DataAreaId,"T.MarkupTrans","Sum|Posted|0","","","","","","","MarkupCode|TransTableId|TransRecId","TPP","492",$L72),"")</f>
        <v/>
      </c>
    </row>
    <row r="73" spans="1:14">
      <c r="A73" s="8" t="s">
        <v>122</v>
      </c>
      <c r="B73" s="8" t="s">
        <v>610</v>
      </c>
      <c r="C73" s="8" t="s">
        <v>263</v>
      </c>
      <c r="D73" s="8" t="s">
        <v>357</v>
      </c>
      <c r="E73" s="8" t="s">
        <v>237</v>
      </c>
      <c r="F73" s="8" t="s">
        <v>238</v>
      </c>
      <c r="G73" s="6">
        <v>43151</v>
      </c>
      <c r="H73" s="6">
        <v>43154</v>
      </c>
      <c r="I73" s="4">
        <v>-5</v>
      </c>
      <c r="J73" s="8" t="s">
        <v>22</v>
      </c>
      <c r="K73" s="8" t="s">
        <v>611</v>
      </c>
      <c r="L73" s="4" t="str">
        <f>IF(AtlasReport_1_Table_1[[#This Row],[Reference]]="Purchase order",_xll.AtlasFormulas.AtlasFunctions.AtlasTable("UAT",DataAreaId,"T.VendInvoiceTrans","%RecId","","","","","","","ItemId|PurchID|InventTransId",$C73,$B73,$K73),"")</f>
        <v/>
      </c>
      <c r="M73" s="4" t="str">
        <f>IF(AtlasReport_1_Table_1[[#This Row],[Reference]]="Purchase order",_xll.AtlasFormulas.AtlasFunctions.AtlasTable("UAT",DataAreaId,"T.MarkupTrans","%CurrencyCode","","","","","","","MarkupCode|TransRecId|TransTableId","TPP",$L73,"492"),"")</f>
        <v/>
      </c>
      <c r="N73" s="4" t="str">
        <f>IF(AtlasReport_1_Table_1[[#This Row],[Reference]]="Purchase order",_xll.AtlasFormulas.AtlasFunctions.AtlasBalance("UAT",DataAreaId,"T.MarkupTrans","Sum|Posted|0","","","","","","","MarkupCode|TransTableId|TransRecId","TPP","492",$L73),"")</f>
        <v/>
      </c>
    </row>
    <row r="74" spans="1:14">
      <c r="A74" s="8" t="s">
        <v>122</v>
      </c>
      <c r="B74" s="8" t="s">
        <v>610</v>
      </c>
      <c r="C74" s="8" t="s">
        <v>273</v>
      </c>
      <c r="D74" s="8" t="s">
        <v>390</v>
      </c>
      <c r="E74" s="8" t="s">
        <v>237</v>
      </c>
      <c r="F74" s="8" t="s">
        <v>238</v>
      </c>
      <c r="G74" s="6">
        <v>43151</v>
      </c>
      <c r="H74" s="6">
        <v>43154</v>
      </c>
      <c r="I74" s="4">
        <v>-7</v>
      </c>
      <c r="J74" s="8" t="s">
        <v>22</v>
      </c>
      <c r="K74" s="8" t="s">
        <v>612</v>
      </c>
      <c r="L74" s="4" t="str">
        <f>IF(AtlasReport_1_Table_1[[#This Row],[Reference]]="Purchase order",_xll.AtlasFormulas.AtlasFunctions.AtlasTable("UAT",DataAreaId,"T.VendInvoiceTrans","%RecId","","","","","","","ItemId|PurchID|InventTransId",$C74,$B74,$K74),"")</f>
        <v/>
      </c>
      <c r="M74" s="4" t="str">
        <f>IF(AtlasReport_1_Table_1[[#This Row],[Reference]]="Purchase order",_xll.AtlasFormulas.AtlasFunctions.AtlasTable("UAT",DataAreaId,"T.MarkupTrans","%CurrencyCode","","","","","","","MarkupCode|TransRecId|TransTableId","TPP",$L74,"492"),"")</f>
        <v/>
      </c>
      <c r="N74" s="4" t="str">
        <f>IF(AtlasReport_1_Table_1[[#This Row],[Reference]]="Purchase order",_xll.AtlasFormulas.AtlasFunctions.AtlasBalance("UAT",DataAreaId,"T.MarkupTrans","Sum|Posted|0","","","","","","","MarkupCode|TransTableId|TransRecId","TPP","492",$L74),"")</f>
        <v/>
      </c>
    </row>
    <row r="75" spans="1:14">
      <c r="A75" s="8" t="s">
        <v>122</v>
      </c>
      <c r="B75" s="8" t="s">
        <v>613</v>
      </c>
      <c r="C75" s="8" t="s">
        <v>212</v>
      </c>
      <c r="D75" s="8" t="s">
        <v>216</v>
      </c>
      <c r="E75" s="8" t="s">
        <v>237</v>
      </c>
      <c r="F75" s="8" t="s">
        <v>238</v>
      </c>
      <c r="G75" s="6">
        <v>43151</v>
      </c>
      <c r="H75" s="6">
        <v>43154</v>
      </c>
      <c r="I75" s="4">
        <v>-19</v>
      </c>
      <c r="J75" s="8" t="s">
        <v>22</v>
      </c>
      <c r="K75" s="8" t="s">
        <v>614</v>
      </c>
      <c r="L75" s="4" t="str">
        <f>IF(AtlasReport_1_Table_1[[#This Row],[Reference]]="Purchase order",_xll.AtlasFormulas.AtlasFunctions.AtlasTable("UAT",DataAreaId,"T.VendInvoiceTrans","%RecId","","","","","","","ItemId|PurchID|InventTransId",$C75,$B75,$K75),"")</f>
        <v/>
      </c>
      <c r="M75" s="4" t="str">
        <f>IF(AtlasReport_1_Table_1[[#This Row],[Reference]]="Purchase order",_xll.AtlasFormulas.AtlasFunctions.AtlasTable("UAT",DataAreaId,"T.MarkupTrans","%CurrencyCode","","","","","","","MarkupCode|TransRecId|TransTableId","TPP",$L75,"492"),"")</f>
        <v/>
      </c>
      <c r="N75" s="4" t="str">
        <f>IF(AtlasReport_1_Table_1[[#This Row],[Reference]]="Purchase order",_xll.AtlasFormulas.AtlasFunctions.AtlasBalance("UAT",DataAreaId,"T.MarkupTrans","Sum|Posted|0","","","","","","","MarkupCode|TransTableId|TransRecId","TPP","492",$L75),"")</f>
        <v/>
      </c>
    </row>
    <row r="76" spans="1:14">
      <c r="A76" s="8" t="s">
        <v>122</v>
      </c>
      <c r="B76" s="8" t="s">
        <v>613</v>
      </c>
      <c r="C76" s="8" t="s">
        <v>212</v>
      </c>
      <c r="D76" s="8" t="s">
        <v>216</v>
      </c>
      <c r="E76" s="8" t="s">
        <v>237</v>
      </c>
      <c r="F76" s="8" t="s">
        <v>238</v>
      </c>
      <c r="G76" s="6">
        <v>43151</v>
      </c>
      <c r="H76" s="6">
        <v>43154</v>
      </c>
      <c r="I76" s="4">
        <v>-12</v>
      </c>
      <c r="J76" s="8" t="s">
        <v>22</v>
      </c>
      <c r="K76" s="8" t="s">
        <v>615</v>
      </c>
      <c r="L76" s="4" t="str">
        <f>IF(AtlasReport_1_Table_1[[#This Row],[Reference]]="Purchase order",_xll.AtlasFormulas.AtlasFunctions.AtlasTable("UAT",DataAreaId,"T.VendInvoiceTrans","%RecId","","","","","","","ItemId|PurchID|InventTransId",$C76,$B76,$K76),"")</f>
        <v/>
      </c>
      <c r="M76" s="4" t="str">
        <f>IF(AtlasReport_1_Table_1[[#This Row],[Reference]]="Purchase order",_xll.AtlasFormulas.AtlasFunctions.AtlasTable("UAT",DataAreaId,"T.MarkupTrans","%CurrencyCode","","","","","","","MarkupCode|TransRecId|TransTableId","TPP",$L76,"492"),"")</f>
        <v/>
      </c>
      <c r="N76" s="4" t="str">
        <f>IF(AtlasReport_1_Table_1[[#This Row],[Reference]]="Purchase order",_xll.AtlasFormulas.AtlasFunctions.AtlasBalance("UAT",DataAreaId,"T.MarkupTrans","Sum|Posted|0","","","","","","","MarkupCode|TransTableId|TransRecId","TPP","492",$L76),"")</f>
        <v/>
      </c>
    </row>
    <row r="77" spans="1:14">
      <c r="A77" s="8" t="s">
        <v>122</v>
      </c>
      <c r="B77" s="8" t="s">
        <v>613</v>
      </c>
      <c r="C77" s="8" t="s">
        <v>212</v>
      </c>
      <c r="D77" s="8" t="s">
        <v>216</v>
      </c>
      <c r="E77" s="8" t="s">
        <v>237</v>
      </c>
      <c r="F77" s="8" t="s">
        <v>238</v>
      </c>
      <c r="G77" s="6">
        <v>43151</v>
      </c>
      <c r="H77" s="6">
        <v>43154</v>
      </c>
      <c r="I77" s="4">
        <v>-4</v>
      </c>
      <c r="J77" s="8" t="s">
        <v>22</v>
      </c>
      <c r="K77" s="8" t="s">
        <v>616</v>
      </c>
      <c r="L77" s="4" t="str">
        <f>IF(AtlasReport_1_Table_1[[#This Row],[Reference]]="Purchase order",_xll.AtlasFormulas.AtlasFunctions.AtlasTable("UAT",DataAreaId,"T.VendInvoiceTrans","%RecId","","","","","","","ItemId|PurchID|InventTransId",$C77,$B77,$K77),"")</f>
        <v/>
      </c>
      <c r="M77" s="4" t="str">
        <f>IF(AtlasReport_1_Table_1[[#This Row],[Reference]]="Purchase order",_xll.AtlasFormulas.AtlasFunctions.AtlasTable("UAT",DataAreaId,"T.MarkupTrans","%CurrencyCode","","","","","","","MarkupCode|TransRecId|TransTableId","TPP",$L77,"492"),"")</f>
        <v/>
      </c>
      <c r="N77" s="4" t="str">
        <f>IF(AtlasReport_1_Table_1[[#This Row],[Reference]]="Purchase order",_xll.AtlasFormulas.AtlasFunctions.AtlasBalance("UAT",DataAreaId,"T.MarkupTrans","Sum|Posted|0","","","","","","","MarkupCode|TransTableId|TransRecId","TPP","492",$L77),"")</f>
        <v/>
      </c>
    </row>
    <row r="78" spans="1:14">
      <c r="A78" s="8" t="s">
        <v>122</v>
      </c>
      <c r="B78" s="8" t="s">
        <v>613</v>
      </c>
      <c r="C78" s="8" t="s">
        <v>267</v>
      </c>
      <c r="D78" s="8" t="s">
        <v>368</v>
      </c>
      <c r="E78" s="8" t="s">
        <v>237</v>
      </c>
      <c r="F78" s="8" t="s">
        <v>238</v>
      </c>
      <c r="G78" s="6">
        <v>43151</v>
      </c>
      <c r="H78" s="6">
        <v>43154</v>
      </c>
      <c r="I78" s="4">
        <v>-920</v>
      </c>
      <c r="J78" s="8" t="s">
        <v>22</v>
      </c>
      <c r="K78" s="8" t="s">
        <v>617</v>
      </c>
      <c r="L78" s="4" t="str">
        <f>IF(AtlasReport_1_Table_1[[#This Row],[Reference]]="Purchase order",_xll.AtlasFormulas.AtlasFunctions.AtlasTable("UAT",DataAreaId,"T.VendInvoiceTrans","%RecId","","","","","","","ItemId|PurchID|InventTransId",$C78,$B78,$K78),"")</f>
        <v/>
      </c>
      <c r="M78" s="4" t="str">
        <f>IF(AtlasReport_1_Table_1[[#This Row],[Reference]]="Purchase order",_xll.AtlasFormulas.AtlasFunctions.AtlasTable("UAT",DataAreaId,"T.MarkupTrans","%CurrencyCode","","","","","","","MarkupCode|TransRecId|TransTableId","TPP",$L78,"492"),"")</f>
        <v/>
      </c>
      <c r="N78" s="4" t="str">
        <f>IF(AtlasReport_1_Table_1[[#This Row],[Reference]]="Purchase order",_xll.AtlasFormulas.AtlasFunctions.AtlasBalance("UAT",DataAreaId,"T.MarkupTrans","Sum|Posted|0","","","","","","","MarkupCode|TransTableId|TransRecId","TPP","492",$L78),"")</f>
        <v/>
      </c>
    </row>
    <row r="79" spans="1:14">
      <c r="A79" s="8" t="s">
        <v>122</v>
      </c>
      <c r="B79" s="8" t="s">
        <v>618</v>
      </c>
      <c r="C79" s="8" t="s">
        <v>494</v>
      </c>
      <c r="D79" s="8" t="s">
        <v>495</v>
      </c>
      <c r="E79" s="8" t="s">
        <v>237</v>
      </c>
      <c r="F79" s="8" t="s">
        <v>238</v>
      </c>
      <c r="G79" s="6">
        <v>43152</v>
      </c>
      <c r="H79" s="6">
        <v>43154</v>
      </c>
      <c r="I79" s="4">
        <v>1</v>
      </c>
      <c r="J79" s="8" t="s">
        <v>22</v>
      </c>
      <c r="K79" s="8" t="s">
        <v>619</v>
      </c>
      <c r="L79" s="4" t="str">
        <f>IF(AtlasReport_1_Table_1[[#This Row],[Reference]]="Purchase order",_xll.AtlasFormulas.AtlasFunctions.AtlasTable("UAT",DataAreaId,"T.VendInvoiceTrans","%RecId","","","","","","","ItemId|PurchID|InventTransId",$C79,$B79,$K79),"")</f>
        <v/>
      </c>
      <c r="M79" s="4" t="str">
        <f>IF(AtlasReport_1_Table_1[[#This Row],[Reference]]="Purchase order",_xll.AtlasFormulas.AtlasFunctions.AtlasTable("UAT",DataAreaId,"T.MarkupTrans","%CurrencyCode","","","","","","","MarkupCode|TransRecId|TransTableId","TPP",$L79,"492"),"")</f>
        <v/>
      </c>
      <c r="N79" s="4" t="str">
        <f>IF(AtlasReport_1_Table_1[[#This Row],[Reference]]="Purchase order",_xll.AtlasFormulas.AtlasFunctions.AtlasBalance("UAT",DataAreaId,"T.MarkupTrans","Sum|Posted|0","","","","","","","MarkupCode|TransTableId|TransRecId","TPP","492",$L79),"")</f>
        <v/>
      </c>
    </row>
    <row r="80" spans="1:14">
      <c r="A80" s="8" t="s">
        <v>122</v>
      </c>
      <c r="B80" s="8" t="s">
        <v>620</v>
      </c>
      <c r="C80" s="8" t="s">
        <v>16</v>
      </c>
      <c r="D80" s="8" t="s">
        <v>19</v>
      </c>
      <c r="E80" s="8" t="s">
        <v>237</v>
      </c>
      <c r="F80" s="8" t="s">
        <v>238</v>
      </c>
      <c r="G80" s="6">
        <v>43153</v>
      </c>
      <c r="H80" s="6">
        <v>43154</v>
      </c>
      <c r="I80" s="4">
        <v>-150</v>
      </c>
      <c r="J80" s="8" t="s">
        <v>23</v>
      </c>
      <c r="K80" s="8" t="s">
        <v>621</v>
      </c>
      <c r="L80" s="4" t="str">
        <f>IF(AtlasReport_1_Table_1[[#This Row],[Reference]]="Purchase order",_xll.AtlasFormulas.AtlasFunctions.AtlasTable("UAT",DataAreaId,"T.VendInvoiceTrans","%RecId","","","","","","","ItemId|PurchID|InventTransId",$C80,$B80,$K80),"")</f>
        <v/>
      </c>
      <c r="M80" s="4" t="str">
        <f>IF(AtlasReport_1_Table_1[[#This Row],[Reference]]="Purchase order",_xll.AtlasFormulas.AtlasFunctions.AtlasTable("UAT",DataAreaId,"T.MarkupTrans","%CurrencyCode","","","","","","","MarkupCode|TransRecId|TransTableId","TPP",$L80,"492"),"")</f>
        <v/>
      </c>
      <c r="N80" s="4" t="str">
        <f>IF(AtlasReport_1_Table_1[[#This Row],[Reference]]="Purchase order",_xll.AtlasFormulas.AtlasFunctions.AtlasBalance("UAT",DataAreaId,"T.MarkupTrans","Sum|Posted|0","","","","","","","MarkupCode|TransTableId|TransRecId","TPP","492",$L80),"")</f>
        <v/>
      </c>
    </row>
    <row r="81" spans="1:14" ht="30">
      <c r="A81" s="8" t="s">
        <v>122</v>
      </c>
      <c r="B81" s="8" t="s">
        <v>620</v>
      </c>
      <c r="C81" s="8" t="s">
        <v>115</v>
      </c>
      <c r="D81" s="11" t="s">
        <v>116</v>
      </c>
      <c r="E81" s="8" t="s">
        <v>237</v>
      </c>
      <c r="F81" s="8" t="s">
        <v>238</v>
      </c>
      <c r="G81" s="6">
        <v>43153</v>
      </c>
      <c r="H81" s="6">
        <v>43154</v>
      </c>
      <c r="I81" s="4">
        <v>-35</v>
      </c>
      <c r="J81" s="8" t="s">
        <v>22</v>
      </c>
      <c r="K81" s="8" t="s">
        <v>622</v>
      </c>
      <c r="L81" s="4" t="str">
        <f>IF(AtlasReport_1_Table_1[[#This Row],[Reference]]="Purchase order",_xll.AtlasFormulas.AtlasFunctions.AtlasTable("UAT",DataAreaId,"T.VendInvoiceTrans","%RecId","","","","","","","ItemId|PurchID|InventTransId",$C81,$B81,$K81),"")</f>
        <v/>
      </c>
      <c r="M81" s="4" t="str">
        <f>IF(AtlasReport_1_Table_1[[#This Row],[Reference]]="Purchase order",_xll.AtlasFormulas.AtlasFunctions.AtlasTable("UAT",DataAreaId,"T.MarkupTrans","%CurrencyCode","","","","","","","MarkupCode|TransRecId|TransTableId","TPP",$L81,"492"),"")</f>
        <v/>
      </c>
      <c r="N81" s="4" t="str">
        <f>IF(AtlasReport_1_Table_1[[#This Row],[Reference]]="Purchase order",_xll.AtlasFormulas.AtlasFunctions.AtlasBalance("UAT",DataAreaId,"T.MarkupTrans","Sum|Posted|0","","","","","","","MarkupCode|TransTableId|TransRecId","TPP","492",$L81),"")</f>
        <v/>
      </c>
    </row>
    <row r="82" spans="1:14">
      <c r="A82" s="8" t="s">
        <v>122</v>
      </c>
      <c r="B82" s="8" t="s">
        <v>623</v>
      </c>
      <c r="C82" s="8" t="s">
        <v>337</v>
      </c>
      <c r="D82" s="8" t="s">
        <v>338</v>
      </c>
      <c r="E82" s="8" t="s">
        <v>237</v>
      </c>
      <c r="F82" s="8" t="s">
        <v>238</v>
      </c>
      <c r="G82" s="6">
        <v>43158</v>
      </c>
      <c r="H82" s="6">
        <v>43158</v>
      </c>
      <c r="I82" s="4">
        <v>-2</v>
      </c>
      <c r="J82" s="8" t="s">
        <v>22</v>
      </c>
      <c r="K82" s="8" t="s">
        <v>624</v>
      </c>
      <c r="L82" s="4" t="str">
        <f>IF(AtlasReport_1_Table_1[[#This Row],[Reference]]="Purchase order",_xll.AtlasFormulas.AtlasFunctions.AtlasTable("UAT",DataAreaId,"T.VendInvoiceTrans","%RecId","","","","","","","ItemId|PurchID|InventTransId",$C82,$B82,$K82),"")</f>
        <v/>
      </c>
      <c r="M82" s="4" t="str">
        <f>IF(AtlasReport_1_Table_1[[#This Row],[Reference]]="Purchase order",_xll.AtlasFormulas.AtlasFunctions.AtlasTable("UAT",DataAreaId,"T.MarkupTrans","%CurrencyCode","","","","","","","MarkupCode|TransRecId|TransTableId","TPP",$L82,"492"),"")</f>
        <v/>
      </c>
      <c r="N82" s="4" t="str">
        <f>IF(AtlasReport_1_Table_1[[#This Row],[Reference]]="Purchase order",_xll.AtlasFormulas.AtlasFunctions.AtlasBalance("UAT",DataAreaId,"T.MarkupTrans","Sum|Posted|0","","","","","","","MarkupCode|TransTableId|TransRecId","TPP","492",$L82),"")</f>
        <v/>
      </c>
    </row>
    <row r="83" spans="1:14">
      <c r="A83" s="8" t="s">
        <v>122</v>
      </c>
      <c r="B83" s="8" t="s">
        <v>623</v>
      </c>
      <c r="C83" s="8" t="s">
        <v>272</v>
      </c>
      <c r="D83" s="8" t="s">
        <v>387</v>
      </c>
      <c r="E83" s="8" t="s">
        <v>237</v>
      </c>
      <c r="F83" s="8" t="s">
        <v>238</v>
      </c>
      <c r="G83" s="6">
        <v>43158</v>
      </c>
      <c r="H83" s="6">
        <v>43158</v>
      </c>
      <c r="I83" s="4">
        <v>-6</v>
      </c>
      <c r="J83" s="8" t="s">
        <v>22</v>
      </c>
      <c r="K83" s="8" t="s">
        <v>625</v>
      </c>
      <c r="L83" s="4" t="str">
        <f>IF(AtlasReport_1_Table_1[[#This Row],[Reference]]="Purchase order",_xll.AtlasFormulas.AtlasFunctions.AtlasTable("UAT",DataAreaId,"T.VendInvoiceTrans","%RecId","","","","","","","ItemId|PurchID|InventTransId",$C83,$B83,$K83),"")</f>
        <v/>
      </c>
      <c r="M83" s="4" t="str">
        <f>IF(AtlasReport_1_Table_1[[#This Row],[Reference]]="Purchase order",_xll.AtlasFormulas.AtlasFunctions.AtlasTable("UAT",DataAreaId,"T.MarkupTrans","%CurrencyCode","","","","","","","MarkupCode|TransRecId|TransTableId","TPP",$L83,"492"),"")</f>
        <v/>
      </c>
      <c r="N83" s="4" t="str">
        <f>IF(AtlasReport_1_Table_1[[#This Row],[Reference]]="Purchase order",_xll.AtlasFormulas.AtlasFunctions.AtlasBalance("UAT",DataAreaId,"T.MarkupTrans","Sum|Posted|0","","","","","","","MarkupCode|TransTableId|TransRecId","TPP","492",$L83),"")</f>
        <v/>
      </c>
    </row>
    <row r="84" spans="1:14">
      <c r="A84" s="8" t="s">
        <v>122</v>
      </c>
      <c r="B84" s="8" t="s">
        <v>623</v>
      </c>
      <c r="C84" s="8" t="s">
        <v>626</v>
      </c>
      <c r="D84" s="8" t="s">
        <v>627</v>
      </c>
      <c r="E84" s="8" t="s">
        <v>237</v>
      </c>
      <c r="F84" s="8" t="s">
        <v>238</v>
      </c>
      <c r="G84" s="6">
        <v>43158</v>
      </c>
      <c r="H84" s="6">
        <v>43158</v>
      </c>
      <c r="I84" s="4">
        <v>-40</v>
      </c>
      <c r="J84" s="8" t="s">
        <v>22</v>
      </c>
      <c r="K84" s="8" t="s">
        <v>628</v>
      </c>
      <c r="L84" s="4" t="str">
        <f>IF(AtlasReport_1_Table_1[[#This Row],[Reference]]="Purchase order",_xll.AtlasFormulas.AtlasFunctions.AtlasTable("UAT",DataAreaId,"T.VendInvoiceTrans","%RecId","","","","","","","ItemId|PurchID|InventTransId",$C84,$B84,$K84),"")</f>
        <v/>
      </c>
      <c r="M84" s="4" t="str">
        <f>IF(AtlasReport_1_Table_1[[#This Row],[Reference]]="Purchase order",_xll.AtlasFormulas.AtlasFunctions.AtlasTable("UAT",DataAreaId,"T.MarkupTrans","%CurrencyCode","","","","","","","MarkupCode|TransRecId|TransTableId","TPP",$L84,"492"),"")</f>
        <v/>
      </c>
      <c r="N84" s="4" t="str">
        <f>IF(AtlasReport_1_Table_1[[#This Row],[Reference]]="Purchase order",_xll.AtlasFormulas.AtlasFunctions.AtlasBalance("UAT",DataAreaId,"T.MarkupTrans","Sum|Posted|0","","","","","","","MarkupCode|TransTableId|TransRecId","TPP","492",$L84),"")</f>
        <v/>
      </c>
    </row>
    <row r="85" spans="1:14">
      <c r="A85" s="8" t="s">
        <v>122</v>
      </c>
      <c r="B85" s="8" t="s">
        <v>623</v>
      </c>
      <c r="C85" s="8" t="s">
        <v>629</v>
      </c>
      <c r="D85" s="8" t="s">
        <v>630</v>
      </c>
      <c r="E85" s="8" t="s">
        <v>237</v>
      </c>
      <c r="F85" s="8" t="s">
        <v>238</v>
      </c>
      <c r="G85" s="6">
        <v>43158</v>
      </c>
      <c r="H85" s="6">
        <v>43158</v>
      </c>
      <c r="I85" s="4">
        <v>-4</v>
      </c>
      <c r="J85" s="8" t="s">
        <v>22</v>
      </c>
      <c r="K85" s="8" t="s">
        <v>631</v>
      </c>
      <c r="L85" s="4" t="str">
        <f>IF(AtlasReport_1_Table_1[[#This Row],[Reference]]="Purchase order",_xll.AtlasFormulas.AtlasFunctions.AtlasTable("UAT",DataAreaId,"T.VendInvoiceTrans","%RecId","","","","","","","ItemId|PurchID|InventTransId",$C85,$B85,$K85),"")</f>
        <v/>
      </c>
      <c r="M85" s="4" t="str">
        <f>IF(AtlasReport_1_Table_1[[#This Row],[Reference]]="Purchase order",_xll.AtlasFormulas.AtlasFunctions.AtlasTable("UAT",DataAreaId,"T.MarkupTrans","%CurrencyCode","","","","","","","MarkupCode|TransRecId|TransTableId","TPP",$L85,"492"),"")</f>
        <v/>
      </c>
      <c r="N85" s="4" t="str">
        <f>IF(AtlasReport_1_Table_1[[#This Row],[Reference]]="Purchase order",_xll.AtlasFormulas.AtlasFunctions.AtlasBalance("UAT",DataAreaId,"T.MarkupTrans","Sum|Posted|0","","","","","","","MarkupCode|TransTableId|TransRecId","TPP","492",$L85),"")</f>
        <v/>
      </c>
    </row>
    <row r="86" spans="1:14">
      <c r="A86" s="8" t="s">
        <v>122</v>
      </c>
      <c r="B86" s="8" t="s">
        <v>623</v>
      </c>
      <c r="C86" s="8" t="s">
        <v>632</v>
      </c>
      <c r="D86" s="8" t="s">
        <v>633</v>
      </c>
      <c r="E86" s="8" t="s">
        <v>237</v>
      </c>
      <c r="F86" s="8" t="s">
        <v>238</v>
      </c>
      <c r="G86" s="6">
        <v>43158</v>
      </c>
      <c r="H86" s="6">
        <v>43158</v>
      </c>
      <c r="I86" s="4">
        <v>-14</v>
      </c>
      <c r="J86" s="8" t="s">
        <v>22</v>
      </c>
      <c r="K86" s="8" t="s">
        <v>634</v>
      </c>
      <c r="L86" s="4" t="str">
        <f>IF(AtlasReport_1_Table_1[[#This Row],[Reference]]="Purchase order",_xll.AtlasFormulas.AtlasFunctions.AtlasTable("UAT",DataAreaId,"T.VendInvoiceTrans","%RecId","","","","","","","ItemId|PurchID|InventTransId",$C86,$B86,$K86),"")</f>
        <v/>
      </c>
      <c r="M86" s="4" t="str">
        <f>IF(AtlasReport_1_Table_1[[#This Row],[Reference]]="Purchase order",_xll.AtlasFormulas.AtlasFunctions.AtlasTable("UAT",DataAreaId,"T.MarkupTrans","%CurrencyCode","","","","","","","MarkupCode|TransRecId|TransTableId","TPP",$L86,"492"),"")</f>
        <v/>
      </c>
      <c r="N86" s="4" t="str">
        <f>IF(AtlasReport_1_Table_1[[#This Row],[Reference]]="Purchase order",_xll.AtlasFormulas.AtlasFunctions.AtlasBalance("UAT",DataAreaId,"T.MarkupTrans","Sum|Posted|0","","","","","","","MarkupCode|TransTableId|TransRecId","TPP","492",$L86),"")</f>
        <v/>
      </c>
    </row>
    <row r="87" spans="1:14">
      <c r="A87" s="8" t="s">
        <v>122</v>
      </c>
      <c r="B87" s="8" t="s">
        <v>623</v>
      </c>
      <c r="C87" s="8" t="s">
        <v>635</v>
      </c>
      <c r="D87" s="8" t="s">
        <v>636</v>
      </c>
      <c r="E87" s="8" t="s">
        <v>237</v>
      </c>
      <c r="F87" s="8" t="s">
        <v>238</v>
      </c>
      <c r="G87" s="6">
        <v>43158</v>
      </c>
      <c r="H87" s="6">
        <v>43158</v>
      </c>
      <c r="I87" s="4">
        <v>-20</v>
      </c>
      <c r="J87" s="8" t="s">
        <v>22</v>
      </c>
      <c r="K87" s="8" t="s">
        <v>637</v>
      </c>
      <c r="L87" s="4" t="str">
        <f>IF(AtlasReport_1_Table_1[[#This Row],[Reference]]="Purchase order",_xll.AtlasFormulas.AtlasFunctions.AtlasTable("UAT",DataAreaId,"T.VendInvoiceTrans","%RecId","","","","","","","ItemId|PurchID|InventTransId",$C87,$B87,$K87),"")</f>
        <v/>
      </c>
      <c r="M87" s="4" t="str">
        <f>IF(AtlasReport_1_Table_1[[#This Row],[Reference]]="Purchase order",_xll.AtlasFormulas.AtlasFunctions.AtlasTable("UAT",DataAreaId,"T.MarkupTrans","%CurrencyCode","","","","","","","MarkupCode|TransRecId|TransTableId","TPP",$L87,"492"),"")</f>
        <v/>
      </c>
      <c r="N87" s="4" t="str">
        <f>IF(AtlasReport_1_Table_1[[#This Row],[Reference]]="Purchase order",_xll.AtlasFormulas.AtlasFunctions.AtlasBalance("UAT",DataAreaId,"T.MarkupTrans","Sum|Posted|0","","","","","","","MarkupCode|TransTableId|TransRecId","TPP","492",$L87),"")</f>
        <v/>
      </c>
    </row>
    <row r="88" spans="1:14">
      <c r="A88" s="8" t="s">
        <v>122</v>
      </c>
      <c r="B88" s="8" t="s">
        <v>638</v>
      </c>
      <c r="C88" s="8" t="s">
        <v>274</v>
      </c>
      <c r="D88" s="8" t="s">
        <v>393</v>
      </c>
      <c r="E88" s="8" t="s">
        <v>237</v>
      </c>
      <c r="F88" s="8" t="s">
        <v>238</v>
      </c>
      <c r="G88" s="6">
        <v>43157</v>
      </c>
      <c r="H88" s="6">
        <v>43158</v>
      </c>
      <c r="I88" s="4">
        <v>-40</v>
      </c>
      <c r="J88" s="8" t="s">
        <v>22</v>
      </c>
      <c r="K88" s="8" t="s">
        <v>639</v>
      </c>
      <c r="L88" s="4" t="str">
        <f>IF(AtlasReport_1_Table_1[[#This Row],[Reference]]="Purchase order",_xll.AtlasFormulas.AtlasFunctions.AtlasTable("UAT",DataAreaId,"T.VendInvoiceTrans","%RecId","","","","","","","ItemId|PurchID|InventTransId",$C88,$B88,$K88),"")</f>
        <v/>
      </c>
      <c r="M88" s="4" t="str">
        <f>IF(AtlasReport_1_Table_1[[#This Row],[Reference]]="Purchase order",_xll.AtlasFormulas.AtlasFunctions.AtlasTable("UAT",DataAreaId,"T.MarkupTrans","%CurrencyCode","","","","","","","MarkupCode|TransRecId|TransTableId","TPP",$L88,"492"),"")</f>
        <v/>
      </c>
      <c r="N88" s="4" t="str">
        <f>IF(AtlasReport_1_Table_1[[#This Row],[Reference]]="Purchase order",_xll.AtlasFormulas.AtlasFunctions.AtlasBalance("UAT",DataAreaId,"T.MarkupTrans","Sum|Posted|0","","","","","","","MarkupCode|TransTableId|TransRecId","TPP","492",$L88),"")</f>
        <v/>
      </c>
    </row>
    <row r="89" spans="1:14">
      <c r="A89" s="8" t="s">
        <v>122</v>
      </c>
      <c r="B89" s="8" t="s">
        <v>640</v>
      </c>
      <c r="C89" s="8" t="s">
        <v>506</v>
      </c>
      <c r="D89" s="8" t="s">
        <v>507</v>
      </c>
      <c r="E89" s="8" t="s">
        <v>237</v>
      </c>
      <c r="F89" s="8" t="s">
        <v>238</v>
      </c>
      <c r="G89" s="6">
        <v>43157</v>
      </c>
      <c r="H89" s="6">
        <v>43158</v>
      </c>
      <c r="I89" s="4">
        <v>-13</v>
      </c>
      <c r="J89" s="8" t="s">
        <v>22</v>
      </c>
      <c r="K89" s="8" t="s">
        <v>641</v>
      </c>
      <c r="L89" s="4" t="str">
        <f>IF(AtlasReport_1_Table_1[[#This Row],[Reference]]="Purchase order",_xll.AtlasFormulas.AtlasFunctions.AtlasTable("UAT",DataAreaId,"T.VendInvoiceTrans","%RecId","","","","","","","ItemId|PurchID|InventTransId",$C89,$B89,$K89),"")</f>
        <v/>
      </c>
      <c r="M89" s="4" t="str">
        <f>IF(AtlasReport_1_Table_1[[#This Row],[Reference]]="Purchase order",_xll.AtlasFormulas.AtlasFunctions.AtlasTable("UAT",DataAreaId,"T.MarkupTrans","%CurrencyCode","","","","","","","MarkupCode|TransRecId|TransTableId","TPP",$L89,"492"),"")</f>
        <v/>
      </c>
      <c r="N89" s="4" t="str">
        <f>IF(AtlasReport_1_Table_1[[#This Row],[Reference]]="Purchase order",_xll.AtlasFormulas.AtlasFunctions.AtlasBalance("UAT",DataAreaId,"T.MarkupTrans","Sum|Posted|0","","","","","","","MarkupCode|TransTableId|TransRecId","TPP","492",$L89),"")</f>
        <v/>
      </c>
    </row>
    <row r="90" spans="1:14">
      <c r="A90" s="8" t="s">
        <v>122</v>
      </c>
      <c r="B90" s="8" t="s">
        <v>640</v>
      </c>
      <c r="C90" s="8" t="s">
        <v>272</v>
      </c>
      <c r="D90" s="8" t="s">
        <v>387</v>
      </c>
      <c r="E90" s="8" t="s">
        <v>237</v>
      </c>
      <c r="F90" s="8" t="s">
        <v>238</v>
      </c>
      <c r="G90" s="6">
        <v>43157</v>
      </c>
      <c r="H90" s="6">
        <v>43158</v>
      </c>
      <c r="I90" s="4">
        <v>-1</v>
      </c>
      <c r="J90" s="8" t="s">
        <v>22</v>
      </c>
      <c r="K90" s="8" t="s">
        <v>642</v>
      </c>
      <c r="L90" s="4" t="str">
        <f>IF(AtlasReport_1_Table_1[[#This Row],[Reference]]="Purchase order",_xll.AtlasFormulas.AtlasFunctions.AtlasTable("UAT",DataAreaId,"T.VendInvoiceTrans","%RecId","","","","","","","ItemId|PurchID|InventTransId",$C90,$B90,$K90),"")</f>
        <v/>
      </c>
      <c r="M90" s="4" t="str">
        <f>IF(AtlasReport_1_Table_1[[#This Row],[Reference]]="Purchase order",_xll.AtlasFormulas.AtlasFunctions.AtlasTable("UAT",DataAreaId,"T.MarkupTrans","%CurrencyCode","","","","","","","MarkupCode|TransRecId|TransTableId","TPP",$L90,"492"),"")</f>
        <v/>
      </c>
      <c r="N90" s="4" t="str">
        <f>IF(AtlasReport_1_Table_1[[#This Row],[Reference]]="Purchase order",_xll.AtlasFormulas.AtlasFunctions.AtlasBalance("UAT",DataAreaId,"T.MarkupTrans","Sum|Posted|0","","","","","","","MarkupCode|TransTableId|TransRecId","TPP","492",$L90),"")</f>
        <v/>
      </c>
    </row>
    <row r="91" spans="1:14">
      <c r="A91" s="8" t="s">
        <v>122</v>
      </c>
      <c r="B91" s="8" t="s">
        <v>643</v>
      </c>
      <c r="C91" s="8" t="s">
        <v>130</v>
      </c>
      <c r="D91" s="8" t="s">
        <v>133</v>
      </c>
      <c r="E91" s="8" t="s">
        <v>237</v>
      </c>
      <c r="F91" s="8" t="s">
        <v>238</v>
      </c>
      <c r="G91" s="6">
        <v>43157</v>
      </c>
      <c r="H91" s="6">
        <v>43158</v>
      </c>
      <c r="I91" s="4">
        <v>-210</v>
      </c>
      <c r="J91" s="8" t="s">
        <v>23</v>
      </c>
      <c r="K91" s="8" t="s">
        <v>644</v>
      </c>
      <c r="L91" s="4" t="str">
        <f>IF(AtlasReport_1_Table_1[[#This Row],[Reference]]="Purchase order",_xll.AtlasFormulas.AtlasFunctions.AtlasTable("UAT",DataAreaId,"T.VendInvoiceTrans","%RecId","","","","","","","ItemId|PurchID|InventTransId",$C91,$B91,$K91),"")</f>
        <v/>
      </c>
      <c r="M91" s="4" t="str">
        <f>IF(AtlasReport_1_Table_1[[#This Row],[Reference]]="Purchase order",_xll.AtlasFormulas.AtlasFunctions.AtlasTable("UAT",DataAreaId,"T.MarkupTrans","%CurrencyCode","","","","","","","MarkupCode|TransRecId|TransTableId","TPP",$L91,"492"),"")</f>
        <v/>
      </c>
      <c r="N91" s="4" t="str">
        <f>IF(AtlasReport_1_Table_1[[#This Row],[Reference]]="Purchase order",_xll.AtlasFormulas.AtlasFunctions.AtlasBalance("UAT",DataAreaId,"T.MarkupTrans","Sum|Posted|0","","","","","","","MarkupCode|TransTableId|TransRecId","TPP","492",$L91),"")</f>
        <v/>
      </c>
    </row>
    <row r="92" spans="1:14">
      <c r="A92" s="8" t="s">
        <v>122</v>
      </c>
      <c r="B92" s="8" t="s">
        <v>645</v>
      </c>
      <c r="C92" s="8" t="s">
        <v>62</v>
      </c>
      <c r="D92" s="8" t="s">
        <v>63</v>
      </c>
      <c r="E92" s="8" t="s">
        <v>237</v>
      </c>
      <c r="F92" s="8" t="s">
        <v>238</v>
      </c>
      <c r="G92" s="6">
        <v>43157</v>
      </c>
      <c r="H92" s="6">
        <v>43157</v>
      </c>
      <c r="I92" s="4">
        <v>15</v>
      </c>
      <c r="J92" s="8" t="s">
        <v>24</v>
      </c>
      <c r="K92" s="8" t="s">
        <v>646</v>
      </c>
      <c r="L92" s="4" t="str">
        <f>IF(AtlasReport_1_Table_1[[#This Row],[Reference]]="Purchase order",_xll.AtlasFormulas.AtlasFunctions.AtlasTable("UAT",DataAreaId,"T.VendInvoiceTrans","%RecId","","","","","","","ItemId|PurchID|InventTransId",$C92,$B92,$K92),"")</f>
        <v/>
      </c>
      <c r="M92" s="4" t="str">
        <f>IF(AtlasReport_1_Table_1[[#This Row],[Reference]]="Purchase order",_xll.AtlasFormulas.AtlasFunctions.AtlasTable("UAT",DataAreaId,"T.MarkupTrans","%CurrencyCode","","","","","","","MarkupCode|TransRecId|TransTableId","TPP",$L92,"492"),"")</f>
        <v/>
      </c>
      <c r="N92" s="4" t="str">
        <f>IF(AtlasReport_1_Table_1[[#This Row],[Reference]]="Purchase order",_xll.AtlasFormulas.AtlasFunctions.AtlasBalance("UAT",DataAreaId,"T.MarkupTrans","Sum|Posted|0","","","","","","","MarkupCode|TransTableId|TransRecId","TPP","492",$L92),"")</f>
        <v/>
      </c>
    </row>
    <row r="93" spans="1:14">
      <c r="A93" s="8" t="s">
        <v>122</v>
      </c>
      <c r="B93" s="8" t="s">
        <v>647</v>
      </c>
      <c r="C93" s="8" t="s">
        <v>60</v>
      </c>
      <c r="D93" s="8" t="s">
        <v>61</v>
      </c>
      <c r="E93" s="8" t="s">
        <v>237</v>
      </c>
      <c r="F93" s="8" t="s">
        <v>238</v>
      </c>
      <c r="G93" s="6">
        <v>43157</v>
      </c>
      <c r="H93" s="6">
        <v>43157</v>
      </c>
      <c r="I93" s="4">
        <v>15</v>
      </c>
      <c r="J93" s="8" t="s">
        <v>24</v>
      </c>
      <c r="K93" s="8" t="s">
        <v>648</v>
      </c>
      <c r="L93" s="4" t="str">
        <f>IF(AtlasReport_1_Table_1[[#This Row],[Reference]]="Purchase order",_xll.AtlasFormulas.AtlasFunctions.AtlasTable("UAT",DataAreaId,"T.VendInvoiceTrans","%RecId","","","","","","","ItemId|PurchID|InventTransId",$C93,$B93,$K93),"")</f>
        <v/>
      </c>
      <c r="M93" s="4" t="str">
        <f>IF(AtlasReport_1_Table_1[[#This Row],[Reference]]="Purchase order",_xll.AtlasFormulas.AtlasFunctions.AtlasTable("UAT",DataAreaId,"T.MarkupTrans","%CurrencyCode","","","","","","","MarkupCode|TransRecId|TransTableId","TPP",$L93,"492"),"")</f>
        <v/>
      </c>
      <c r="N93" s="4" t="str">
        <f>IF(AtlasReport_1_Table_1[[#This Row],[Reference]]="Purchase order",_xll.AtlasFormulas.AtlasFunctions.AtlasBalance("UAT",DataAreaId,"T.MarkupTrans","Sum|Posted|0","","","","","","","MarkupCode|TransTableId|TransRecId","TPP","492",$L93),"")</f>
        <v/>
      </c>
    </row>
    <row r="94" spans="1:14">
      <c r="A94" s="8" t="s">
        <v>122</v>
      </c>
      <c r="B94" s="8" t="s">
        <v>649</v>
      </c>
      <c r="C94" s="8" t="s">
        <v>60</v>
      </c>
      <c r="D94" s="8" t="s">
        <v>61</v>
      </c>
      <c r="E94" s="8" t="s">
        <v>237</v>
      </c>
      <c r="F94" s="8" t="s">
        <v>238</v>
      </c>
      <c r="G94" s="6">
        <v>43158</v>
      </c>
      <c r="H94" s="6">
        <v>43158</v>
      </c>
      <c r="I94" s="4">
        <v>-15</v>
      </c>
      <c r="J94" s="8" t="s">
        <v>24</v>
      </c>
      <c r="K94" s="8" t="s">
        <v>650</v>
      </c>
      <c r="L94" s="4" t="str">
        <f>IF(AtlasReport_1_Table_1[[#This Row],[Reference]]="Purchase order",_xll.AtlasFormulas.AtlasFunctions.AtlasTable("UAT",DataAreaId,"T.VendInvoiceTrans","%RecId","","","","","","","ItemId|PurchID|InventTransId",$C94,$B94,$K94),"")</f>
        <v/>
      </c>
      <c r="M94" s="4" t="str">
        <f>IF(AtlasReport_1_Table_1[[#This Row],[Reference]]="Purchase order",_xll.AtlasFormulas.AtlasFunctions.AtlasTable("UAT",DataAreaId,"T.MarkupTrans","%CurrencyCode","","","","","","","MarkupCode|TransRecId|TransTableId","TPP",$L94,"492"),"")</f>
        <v/>
      </c>
      <c r="N94" s="4" t="str">
        <f>IF(AtlasReport_1_Table_1[[#This Row],[Reference]]="Purchase order",_xll.AtlasFormulas.AtlasFunctions.AtlasBalance("UAT",DataAreaId,"T.MarkupTrans","Sum|Posted|0","","","","","","","MarkupCode|TransTableId|TransRecId","TPP","492",$L94),"")</f>
        <v/>
      </c>
    </row>
    <row r="95" spans="1:14">
      <c r="A95" s="8" t="s">
        <v>122</v>
      </c>
      <c r="B95" s="8" t="s">
        <v>651</v>
      </c>
      <c r="C95" s="8" t="s">
        <v>58</v>
      </c>
      <c r="D95" s="8" t="s">
        <v>59</v>
      </c>
      <c r="E95" s="8" t="s">
        <v>237</v>
      </c>
      <c r="F95" s="8" t="s">
        <v>238</v>
      </c>
      <c r="G95" s="6">
        <v>43159</v>
      </c>
      <c r="H95" s="6">
        <v>43159</v>
      </c>
      <c r="I95" s="4">
        <v>-24</v>
      </c>
      <c r="J95" s="8" t="s">
        <v>24</v>
      </c>
      <c r="K95" s="8" t="s">
        <v>652</v>
      </c>
      <c r="L95" s="4" t="str">
        <f>IF(AtlasReport_1_Table_1[[#This Row],[Reference]]="Purchase order",_xll.AtlasFormulas.AtlasFunctions.AtlasTable("UAT",DataAreaId,"T.VendInvoiceTrans","%RecId","","","","","","","ItemId|PurchID|InventTransId",$C95,$B95,$K95),"")</f>
        <v/>
      </c>
      <c r="M95" s="4" t="str">
        <f>IF(AtlasReport_1_Table_1[[#This Row],[Reference]]="Purchase order",_xll.AtlasFormulas.AtlasFunctions.AtlasTable("UAT",DataAreaId,"T.MarkupTrans","%CurrencyCode","","","","","","","MarkupCode|TransRecId|TransTableId","TPP",$L95,"492"),"")</f>
        <v/>
      </c>
      <c r="N95" s="4" t="str">
        <f>IF(AtlasReport_1_Table_1[[#This Row],[Reference]]="Purchase order",_xll.AtlasFormulas.AtlasFunctions.AtlasBalance("UAT",DataAreaId,"T.MarkupTrans","Sum|Posted|0","","","","","","","MarkupCode|TransTableId|TransRecId","TPP","492",$L95),"")</f>
        <v/>
      </c>
    </row>
    <row r="96" spans="1:14">
      <c r="A96" s="8" t="s">
        <v>122</v>
      </c>
      <c r="B96" s="8" t="s">
        <v>653</v>
      </c>
      <c r="C96" s="8" t="s">
        <v>269</v>
      </c>
      <c r="D96" s="8" t="s">
        <v>374</v>
      </c>
      <c r="E96" s="8" t="s">
        <v>237</v>
      </c>
      <c r="F96" s="8" t="s">
        <v>238</v>
      </c>
      <c r="G96" s="6">
        <v>43159</v>
      </c>
      <c r="H96" s="6">
        <v>43159</v>
      </c>
      <c r="I96" s="4">
        <v>-210</v>
      </c>
      <c r="J96" s="8" t="s">
        <v>22</v>
      </c>
      <c r="K96" s="8" t="s">
        <v>654</v>
      </c>
      <c r="L96" s="4" t="str">
        <f>IF(AtlasReport_1_Table_1[[#This Row],[Reference]]="Purchase order",_xll.AtlasFormulas.AtlasFunctions.AtlasTable("UAT",DataAreaId,"T.VendInvoiceTrans","%RecId","","","","","","","ItemId|PurchID|InventTransId",$C96,$B96,$K96),"")</f>
        <v/>
      </c>
      <c r="M96" s="4" t="str">
        <f>IF(AtlasReport_1_Table_1[[#This Row],[Reference]]="Purchase order",_xll.AtlasFormulas.AtlasFunctions.AtlasTable("UAT",DataAreaId,"T.MarkupTrans","%CurrencyCode","","","","","","","MarkupCode|TransRecId|TransTableId","TPP",$L96,"492"),"")</f>
        <v/>
      </c>
      <c r="N96" s="4" t="str">
        <f>IF(AtlasReport_1_Table_1[[#This Row],[Reference]]="Purchase order",_xll.AtlasFormulas.AtlasFunctions.AtlasBalance("UAT",DataAreaId,"T.MarkupTrans","Sum|Posted|0","","","","","","","MarkupCode|TransTableId|TransRecId","TPP","492",$L96),"")</f>
        <v/>
      </c>
    </row>
    <row r="97" spans="1:14">
      <c r="A97" s="8" t="s">
        <v>655</v>
      </c>
      <c r="B97" s="8" t="s">
        <v>656</v>
      </c>
      <c r="C97" s="8" t="s">
        <v>290</v>
      </c>
      <c r="D97" s="8" t="s">
        <v>472</v>
      </c>
      <c r="E97" s="8" t="s">
        <v>237</v>
      </c>
      <c r="F97" s="8" t="s">
        <v>238</v>
      </c>
      <c r="G97" s="6">
        <v>43108</v>
      </c>
      <c r="H97" s="6">
        <v>43108</v>
      </c>
      <c r="I97" s="4">
        <v>451.85</v>
      </c>
      <c r="J97" s="8" t="s">
        <v>66</v>
      </c>
      <c r="K97" s="8" t="s">
        <v>657</v>
      </c>
      <c r="L97" s="4" t="str">
        <f>IF(AtlasReport_1_Table_1[[#This Row],[Reference]]="Purchase order",_xll.AtlasFormulas.AtlasFunctions.AtlasTable("UAT",DataAreaId,"T.VendInvoiceTrans","%RecId","","","","","","","ItemId|PurchID|InventTransId",$C97,$B97,$K97),"")</f>
        <v/>
      </c>
      <c r="M97" s="4" t="str">
        <f>IF(AtlasReport_1_Table_1[[#This Row],[Reference]]="Purchase order",_xll.AtlasFormulas.AtlasFunctions.AtlasTable("UAT",DataAreaId,"T.MarkupTrans","%CurrencyCode","","","","","","","MarkupCode|TransRecId|TransTableId","TPP",$L97,"492"),"")</f>
        <v/>
      </c>
      <c r="N97" s="4" t="str">
        <f>IF(AtlasReport_1_Table_1[[#This Row],[Reference]]="Purchase order",_xll.AtlasFormulas.AtlasFunctions.AtlasBalance("UAT",DataAreaId,"T.MarkupTrans","Sum|Posted|0","","","","","","","MarkupCode|TransTableId|TransRecId","TPP","492",$L97),"")</f>
        <v/>
      </c>
    </row>
    <row r="98" spans="1:14">
      <c r="A98" s="8" t="s">
        <v>655</v>
      </c>
      <c r="B98" s="8" t="s">
        <v>658</v>
      </c>
      <c r="C98" s="8" t="s">
        <v>369</v>
      </c>
      <c r="D98" s="8" t="s">
        <v>370</v>
      </c>
      <c r="E98" s="8" t="s">
        <v>237</v>
      </c>
      <c r="F98" s="8" t="s">
        <v>238</v>
      </c>
      <c r="G98" s="6">
        <v>43108</v>
      </c>
      <c r="H98" s="6">
        <v>43108</v>
      </c>
      <c r="I98" s="4">
        <v>2027.6</v>
      </c>
      <c r="J98" s="8" t="s">
        <v>66</v>
      </c>
      <c r="K98" s="8" t="s">
        <v>659</v>
      </c>
      <c r="L98" s="4" t="str">
        <f>IF(AtlasReport_1_Table_1[[#This Row],[Reference]]="Purchase order",_xll.AtlasFormulas.AtlasFunctions.AtlasTable("UAT",DataAreaId,"T.VendInvoiceTrans","%RecId","","","","","","","ItemId|PurchID|InventTransId",$C98,$B98,$K98),"")</f>
        <v/>
      </c>
      <c r="M98" s="4" t="str">
        <f>IF(AtlasReport_1_Table_1[[#This Row],[Reference]]="Purchase order",_xll.AtlasFormulas.AtlasFunctions.AtlasTable("UAT",DataAreaId,"T.MarkupTrans","%CurrencyCode","","","","","","","MarkupCode|TransRecId|TransTableId","TPP",$L98,"492"),"")</f>
        <v/>
      </c>
      <c r="N98" s="4" t="str">
        <f>IF(AtlasReport_1_Table_1[[#This Row],[Reference]]="Purchase order",_xll.AtlasFormulas.AtlasFunctions.AtlasBalance("UAT",DataAreaId,"T.MarkupTrans","Sum|Posted|0","","","","","","","MarkupCode|TransTableId|TransRecId","TPP","492",$L98),"")</f>
        <v/>
      </c>
    </row>
    <row r="99" spans="1:14">
      <c r="A99" s="8" t="s">
        <v>655</v>
      </c>
      <c r="B99" s="8" t="s">
        <v>660</v>
      </c>
      <c r="C99" s="8" t="s">
        <v>267</v>
      </c>
      <c r="D99" s="8" t="s">
        <v>368</v>
      </c>
      <c r="E99" s="8" t="s">
        <v>237</v>
      </c>
      <c r="F99" s="8" t="s">
        <v>238</v>
      </c>
      <c r="G99" s="6">
        <v>43108</v>
      </c>
      <c r="H99" s="6">
        <v>43108</v>
      </c>
      <c r="I99" s="4">
        <v>81</v>
      </c>
      <c r="J99" s="8" t="s">
        <v>22</v>
      </c>
      <c r="K99" s="8" t="s">
        <v>661</v>
      </c>
      <c r="L99" s="4" t="str">
        <f>IF(AtlasReport_1_Table_1[[#This Row],[Reference]]="Purchase order",_xll.AtlasFormulas.AtlasFunctions.AtlasTable("UAT",DataAreaId,"T.VendInvoiceTrans","%RecId","","","","","","","ItemId|PurchID|InventTransId",$C99,$B99,$K99),"")</f>
        <v/>
      </c>
      <c r="M99" s="4" t="str">
        <f>IF(AtlasReport_1_Table_1[[#This Row],[Reference]]="Purchase order",_xll.AtlasFormulas.AtlasFunctions.AtlasTable("UAT",DataAreaId,"T.MarkupTrans","%CurrencyCode","","","","","","","MarkupCode|TransRecId|TransTableId","TPP",$L99,"492"),"")</f>
        <v/>
      </c>
      <c r="N99" s="4" t="str">
        <f>IF(AtlasReport_1_Table_1[[#This Row],[Reference]]="Purchase order",_xll.AtlasFormulas.AtlasFunctions.AtlasBalance("UAT",DataAreaId,"T.MarkupTrans","Sum|Posted|0","","","","","","","MarkupCode|TransTableId|TransRecId","TPP","492",$L99),"")</f>
        <v/>
      </c>
    </row>
    <row r="100" spans="1:14">
      <c r="A100" s="8" t="s">
        <v>655</v>
      </c>
      <c r="B100" s="8" t="s">
        <v>662</v>
      </c>
      <c r="C100" s="8" t="s">
        <v>369</v>
      </c>
      <c r="D100" s="8" t="s">
        <v>370</v>
      </c>
      <c r="E100" s="8" t="s">
        <v>237</v>
      </c>
      <c r="F100" s="8" t="s">
        <v>238</v>
      </c>
      <c r="G100" s="6">
        <v>43108</v>
      </c>
      <c r="H100" s="6">
        <v>43108</v>
      </c>
      <c r="I100" s="4">
        <v>1013.8</v>
      </c>
      <c r="J100" s="8" t="s">
        <v>66</v>
      </c>
      <c r="K100" s="8" t="s">
        <v>663</v>
      </c>
      <c r="L100" s="4" t="str">
        <f>IF(AtlasReport_1_Table_1[[#This Row],[Reference]]="Purchase order",_xll.AtlasFormulas.AtlasFunctions.AtlasTable("UAT",DataAreaId,"T.VendInvoiceTrans","%RecId","","","","","","","ItemId|PurchID|InventTransId",$C100,$B100,$K100),"")</f>
        <v/>
      </c>
      <c r="M100" s="4" t="str">
        <f>IF(AtlasReport_1_Table_1[[#This Row],[Reference]]="Purchase order",_xll.AtlasFormulas.AtlasFunctions.AtlasTable("UAT",DataAreaId,"T.MarkupTrans","%CurrencyCode","","","","","","","MarkupCode|TransRecId|TransTableId","TPP",$L100,"492"),"")</f>
        <v/>
      </c>
      <c r="N100" s="4" t="str">
        <f>IF(AtlasReport_1_Table_1[[#This Row],[Reference]]="Purchase order",_xll.AtlasFormulas.AtlasFunctions.AtlasBalance("UAT",DataAreaId,"T.MarkupTrans","Sum|Posted|0","","","","","","","MarkupCode|TransTableId|TransRecId","TPP","492",$L100),"")</f>
        <v/>
      </c>
    </row>
    <row r="101" spans="1:14">
      <c r="A101" s="8" t="s">
        <v>655</v>
      </c>
      <c r="B101" s="8" t="s">
        <v>664</v>
      </c>
      <c r="C101" s="8" t="s">
        <v>267</v>
      </c>
      <c r="D101" s="8" t="s">
        <v>368</v>
      </c>
      <c r="E101" s="8" t="s">
        <v>237</v>
      </c>
      <c r="F101" s="8" t="s">
        <v>238</v>
      </c>
      <c r="G101" s="6">
        <v>43108</v>
      </c>
      <c r="H101" s="6">
        <v>43108</v>
      </c>
      <c r="I101" s="4">
        <v>40</v>
      </c>
      <c r="J101" s="8" t="s">
        <v>22</v>
      </c>
      <c r="K101" s="8" t="s">
        <v>665</v>
      </c>
      <c r="L101" s="4" t="str">
        <f>IF(AtlasReport_1_Table_1[[#This Row],[Reference]]="Purchase order",_xll.AtlasFormulas.AtlasFunctions.AtlasTable("UAT",DataAreaId,"T.VendInvoiceTrans","%RecId","","","","","","","ItemId|PurchID|InventTransId",$C101,$B101,$K101),"")</f>
        <v/>
      </c>
      <c r="M101" s="4" t="str">
        <f>IF(AtlasReport_1_Table_1[[#This Row],[Reference]]="Purchase order",_xll.AtlasFormulas.AtlasFunctions.AtlasTable("UAT",DataAreaId,"T.MarkupTrans","%CurrencyCode","","","","","","","MarkupCode|TransRecId|TransTableId","TPP",$L101,"492"),"")</f>
        <v/>
      </c>
      <c r="N101" s="4" t="str">
        <f>IF(AtlasReport_1_Table_1[[#This Row],[Reference]]="Purchase order",_xll.AtlasFormulas.AtlasFunctions.AtlasBalance("UAT",DataAreaId,"T.MarkupTrans","Sum|Posted|0","","","","","","","MarkupCode|TransTableId|TransRecId","TPP","492",$L101),"")</f>
        <v/>
      </c>
    </row>
    <row r="102" spans="1:14">
      <c r="A102" s="8" t="s">
        <v>655</v>
      </c>
      <c r="B102" s="8" t="s">
        <v>666</v>
      </c>
      <c r="C102" s="8" t="s">
        <v>369</v>
      </c>
      <c r="D102" s="8" t="s">
        <v>370</v>
      </c>
      <c r="E102" s="8" t="s">
        <v>237</v>
      </c>
      <c r="F102" s="8" t="s">
        <v>238</v>
      </c>
      <c r="G102" s="6">
        <v>43108</v>
      </c>
      <c r="H102" s="6">
        <v>43108</v>
      </c>
      <c r="I102" s="4">
        <v>3041.4</v>
      </c>
      <c r="J102" s="8" t="s">
        <v>66</v>
      </c>
      <c r="K102" s="8" t="s">
        <v>667</v>
      </c>
      <c r="L102" s="4" t="str">
        <f>IF(AtlasReport_1_Table_1[[#This Row],[Reference]]="Purchase order",_xll.AtlasFormulas.AtlasFunctions.AtlasTable("UAT",DataAreaId,"T.VendInvoiceTrans","%RecId","","","","","","","ItemId|PurchID|InventTransId",$C102,$B102,$K102),"")</f>
        <v/>
      </c>
      <c r="M102" s="4" t="str">
        <f>IF(AtlasReport_1_Table_1[[#This Row],[Reference]]="Purchase order",_xll.AtlasFormulas.AtlasFunctions.AtlasTable("UAT",DataAreaId,"T.MarkupTrans","%CurrencyCode","","","","","","","MarkupCode|TransRecId|TransTableId","TPP",$L102,"492"),"")</f>
        <v/>
      </c>
      <c r="N102" s="4" t="str">
        <f>IF(AtlasReport_1_Table_1[[#This Row],[Reference]]="Purchase order",_xll.AtlasFormulas.AtlasFunctions.AtlasBalance("UAT",DataAreaId,"T.MarkupTrans","Sum|Posted|0","","","","","","","MarkupCode|TransTableId|TransRecId","TPP","492",$L102),"")</f>
        <v/>
      </c>
    </row>
    <row r="103" spans="1:14">
      <c r="A103" s="8" t="s">
        <v>655</v>
      </c>
      <c r="B103" s="8" t="s">
        <v>668</v>
      </c>
      <c r="C103" s="8" t="s">
        <v>267</v>
      </c>
      <c r="D103" s="8" t="s">
        <v>368</v>
      </c>
      <c r="E103" s="8" t="s">
        <v>237</v>
      </c>
      <c r="F103" s="8" t="s">
        <v>238</v>
      </c>
      <c r="G103" s="6">
        <v>43108</v>
      </c>
      <c r="H103" s="6">
        <v>43108</v>
      </c>
      <c r="I103" s="4">
        <v>76</v>
      </c>
      <c r="J103" s="8" t="s">
        <v>22</v>
      </c>
      <c r="K103" s="8" t="s">
        <v>669</v>
      </c>
      <c r="L103" s="4" t="str">
        <f>IF(AtlasReport_1_Table_1[[#This Row],[Reference]]="Purchase order",_xll.AtlasFormulas.AtlasFunctions.AtlasTable("UAT",DataAreaId,"T.VendInvoiceTrans","%RecId","","","","","","","ItemId|PurchID|InventTransId",$C103,$B103,$K103),"")</f>
        <v/>
      </c>
      <c r="M103" s="4" t="str">
        <f>IF(AtlasReport_1_Table_1[[#This Row],[Reference]]="Purchase order",_xll.AtlasFormulas.AtlasFunctions.AtlasTable("UAT",DataAreaId,"T.MarkupTrans","%CurrencyCode","","","","","","","MarkupCode|TransRecId|TransTableId","TPP",$L103,"492"),"")</f>
        <v/>
      </c>
      <c r="N103" s="4" t="str">
        <f>IF(AtlasReport_1_Table_1[[#This Row],[Reference]]="Purchase order",_xll.AtlasFormulas.AtlasFunctions.AtlasBalance("UAT",DataAreaId,"T.MarkupTrans","Sum|Posted|0","","","","","","","MarkupCode|TransTableId|TransRecId","TPP","492",$L103),"")</f>
        <v/>
      </c>
    </row>
    <row r="104" spans="1:14">
      <c r="A104" s="8" t="s">
        <v>655</v>
      </c>
      <c r="B104" s="8" t="s">
        <v>670</v>
      </c>
      <c r="C104" s="8" t="s">
        <v>267</v>
      </c>
      <c r="D104" s="8" t="s">
        <v>368</v>
      </c>
      <c r="E104" s="8" t="s">
        <v>237</v>
      </c>
      <c r="F104" s="8" t="s">
        <v>238</v>
      </c>
      <c r="G104" s="6">
        <v>43108</v>
      </c>
      <c r="H104" s="6">
        <v>43108</v>
      </c>
      <c r="I104" s="4">
        <v>45</v>
      </c>
      <c r="J104" s="8" t="s">
        <v>22</v>
      </c>
      <c r="K104" s="8" t="s">
        <v>671</v>
      </c>
      <c r="L104" s="4" t="str">
        <f>IF(AtlasReport_1_Table_1[[#This Row],[Reference]]="Purchase order",_xll.AtlasFormulas.AtlasFunctions.AtlasTable("UAT",DataAreaId,"T.VendInvoiceTrans","%RecId","","","","","","","ItemId|PurchID|InventTransId",$C104,$B104,$K104),"")</f>
        <v/>
      </c>
      <c r="M104" s="4" t="str">
        <f>IF(AtlasReport_1_Table_1[[#This Row],[Reference]]="Purchase order",_xll.AtlasFormulas.AtlasFunctions.AtlasTable("UAT",DataAreaId,"T.MarkupTrans","%CurrencyCode","","","","","","","MarkupCode|TransRecId|TransTableId","TPP",$L104,"492"),"")</f>
        <v/>
      </c>
      <c r="N104" s="4" t="str">
        <f>IF(AtlasReport_1_Table_1[[#This Row],[Reference]]="Purchase order",_xll.AtlasFormulas.AtlasFunctions.AtlasBalance("UAT",DataAreaId,"T.MarkupTrans","Sum|Posted|0","","","","","","","MarkupCode|TransTableId|TransRecId","TPP","492",$L104),"")</f>
        <v/>
      </c>
    </row>
    <row r="105" spans="1:14">
      <c r="A105" s="8" t="s">
        <v>655</v>
      </c>
      <c r="B105" s="8" t="s">
        <v>672</v>
      </c>
      <c r="C105" s="8" t="s">
        <v>358</v>
      </c>
      <c r="D105" s="8" t="s">
        <v>359</v>
      </c>
      <c r="E105" s="8" t="s">
        <v>237</v>
      </c>
      <c r="F105" s="8" t="s">
        <v>238</v>
      </c>
      <c r="G105" s="6">
        <v>43110</v>
      </c>
      <c r="H105" s="6">
        <v>43110</v>
      </c>
      <c r="I105" s="4">
        <v>1278</v>
      </c>
      <c r="J105" s="8" t="s">
        <v>66</v>
      </c>
      <c r="K105" s="8" t="s">
        <v>673</v>
      </c>
      <c r="L105" s="4" t="str">
        <f>IF(AtlasReport_1_Table_1[[#This Row],[Reference]]="Purchase order",_xll.AtlasFormulas.AtlasFunctions.AtlasTable("UAT",DataAreaId,"T.VendInvoiceTrans","%RecId","","","","","","","ItemId|PurchID|InventTransId",$C105,$B105,$K105),"")</f>
        <v/>
      </c>
      <c r="M105" s="4" t="str">
        <f>IF(AtlasReport_1_Table_1[[#This Row],[Reference]]="Purchase order",_xll.AtlasFormulas.AtlasFunctions.AtlasTable("UAT",DataAreaId,"T.MarkupTrans","%CurrencyCode","","","","","","","MarkupCode|TransRecId|TransTableId","TPP",$L105,"492"),"")</f>
        <v/>
      </c>
      <c r="N105" s="4" t="str">
        <f>IF(AtlasReport_1_Table_1[[#This Row],[Reference]]="Purchase order",_xll.AtlasFormulas.AtlasFunctions.AtlasBalance("UAT",DataAreaId,"T.MarkupTrans","Sum|Posted|0","","","","","","","MarkupCode|TransTableId|TransRecId","TPP","492",$L105),"")</f>
        <v/>
      </c>
    </row>
    <row r="106" spans="1:14">
      <c r="A106" s="8" t="s">
        <v>655</v>
      </c>
      <c r="B106" s="8" t="s">
        <v>674</v>
      </c>
      <c r="C106" s="8" t="s">
        <v>437</v>
      </c>
      <c r="D106" s="8" t="s">
        <v>438</v>
      </c>
      <c r="E106" s="8" t="s">
        <v>237</v>
      </c>
      <c r="F106" s="8" t="s">
        <v>238</v>
      </c>
      <c r="G106" s="6">
        <v>43108</v>
      </c>
      <c r="H106" s="6">
        <v>43108</v>
      </c>
      <c r="I106" s="4">
        <v>10</v>
      </c>
      <c r="J106" s="8" t="s">
        <v>22</v>
      </c>
      <c r="K106" s="8" t="s">
        <v>675</v>
      </c>
      <c r="L106" s="4" t="str">
        <f>IF(AtlasReport_1_Table_1[[#This Row],[Reference]]="Purchase order",_xll.AtlasFormulas.AtlasFunctions.AtlasTable("UAT",DataAreaId,"T.VendInvoiceTrans","%RecId","","","","","","","ItemId|PurchID|InventTransId",$C106,$B106,$K106),"")</f>
        <v/>
      </c>
      <c r="M106" s="4" t="str">
        <f>IF(AtlasReport_1_Table_1[[#This Row],[Reference]]="Purchase order",_xll.AtlasFormulas.AtlasFunctions.AtlasTable("UAT",DataAreaId,"T.MarkupTrans","%CurrencyCode","","","","","","","MarkupCode|TransRecId|TransTableId","TPP",$L106,"492"),"")</f>
        <v/>
      </c>
      <c r="N106" s="4" t="str">
        <f>IF(AtlasReport_1_Table_1[[#This Row],[Reference]]="Purchase order",_xll.AtlasFormulas.AtlasFunctions.AtlasBalance("UAT",DataAreaId,"T.MarkupTrans","Sum|Posted|0","","","","","","","MarkupCode|TransTableId|TransRecId","TPP","492",$L106),"")</f>
        <v/>
      </c>
    </row>
    <row r="107" spans="1:14">
      <c r="A107" s="8" t="s">
        <v>655</v>
      </c>
      <c r="B107" s="8" t="s">
        <v>676</v>
      </c>
      <c r="C107" s="8" t="s">
        <v>369</v>
      </c>
      <c r="D107" s="8" t="s">
        <v>370</v>
      </c>
      <c r="E107" s="8" t="s">
        <v>237</v>
      </c>
      <c r="F107" s="8" t="s">
        <v>238</v>
      </c>
      <c r="G107" s="6">
        <v>43108</v>
      </c>
      <c r="H107" s="6">
        <v>43108</v>
      </c>
      <c r="I107" s="4">
        <v>2027.6</v>
      </c>
      <c r="J107" s="8" t="s">
        <v>66</v>
      </c>
      <c r="K107" s="8" t="s">
        <v>677</v>
      </c>
      <c r="L107" s="4" t="str">
        <f>IF(AtlasReport_1_Table_1[[#This Row],[Reference]]="Purchase order",_xll.AtlasFormulas.AtlasFunctions.AtlasTable("UAT",DataAreaId,"T.VendInvoiceTrans","%RecId","","","","","","","ItemId|PurchID|InventTransId",$C107,$B107,$K107),"")</f>
        <v/>
      </c>
      <c r="M107" s="4" t="str">
        <f>IF(AtlasReport_1_Table_1[[#This Row],[Reference]]="Purchase order",_xll.AtlasFormulas.AtlasFunctions.AtlasTable("UAT",DataAreaId,"T.MarkupTrans","%CurrencyCode","","","","","","","MarkupCode|TransRecId|TransTableId","TPP",$L107,"492"),"")</f>
        <v/>
      </c>
      <c r="N107" s="4" t="str">
        <f>IF(AtlasReport_1_Table_1[[#This Row],[Reference]]="Purchase order",_xll.AtlasFormulas.AtlasFunctions.AtlasBalance("UAT",DataAreaId,"T.MarkupTrans","Sum|Posted|0","","","","","","","MarkupCode|TransTableId|TransRecId","TPP","492",$L107),"")</f>
        <v/>
      </c>
    </row>
    <row r="108" spans="1:14">
      <c r="A108" s="8" t="s">
        <v>655</v>
      </c>
      <c r="B108" s="8" t="s">
        <v>678</v>
      </c>
      <c r="C108" s="8" t="s">
        <v>267</v>
      </c>
      <c r="D108" s="8" t="s">
        <v>368</v>
      </c>
      <c r="E108" s="8" t="s">
        <v>237</v>
      </c>
      <c r="F108" s="8" t="s">
        <v>238</v>
      </c>
      <c r="G108" s="6">
        <v>43108</v>
      </c>
      <c r="H108" s="6">
        <v>43108</v>
      </c>
      <c r="I108" s="4">
        <v>81</v>
      </c>
      <c r="J108" s="8" t="s">
        <v>22</v>
      </c>
      <c r="K108" s="8" t="s">
        <v>679</v>
      </c>
      <c r="L108" s="4" t="str">
        <f>IF(AtlasReport_1_Table_1[[#This Row],[Reference]]="Purchase order",_xll.AtlasFormulas.AtlasFunctions.AtlasTable("UAT",DataAreaId,"T.VendInvoiceTrans","%RecId","","","","","","","ItemId|PurchID|InventTransId",$C108,$B108,$K108),"")</f>
        <v/>
      </c>
      <c r="M108" s="4" t="str">
        <f>IF(AtlasReport_1_Table_1[[#This Row],[Reference]]="Purchase order",_xll.AtlasFormulas.AtlasFunctions.AtlasTable("UAT",DataAreaId,"T.MarkupTrans","%CurrencyCode","","","","","","","MarkupCode|TransRecId|TransTableId","TPP",$L108,"492"),"")</f>
        <v/>
      </c>
      <c r="N108" s="4" t="str">
        <f>IF(AtlasReport_1_Table_1[[#This Row],[Reference]]="Purchase order",_xll.AtlasFormulas.AtlasFunctions.AtlasBalance("UAT",DataAreaId,"T.MarkupTrans","Sum|Posted|0","","","","","","","MarkupCode|TransTableId|TransRecId","TPP","492",$L108),"")</f>
        <v/>
      </c>
    </row>
    <row r="109" spans="1:14">
      <c r="A109" s="8" t="s">
        <v>655</v>
      </c>
      <c r="B109" s="8" t="s">
        <v>680</v>
      </c>
      <c r="C109" s="8" t="s">
        <v>369</v>
      </c>
      <c r="D109" s="8" t="s">
        <v>370</v>
      </c>
      <c r="E109" s="8" t="s">
        <v>237</v>
      </c>
      <c r="F109" s="8" t="s">
        <v>238</v>
      </c>
      <c r="G109" s="6">
        <v>43108</v>
      </c>
      <c r="H109" s="6">
        <v>43108</v>
      </c>
      <c r="I109" s="4">
        <v>3041.4</v>
      </c>
      <c r="J109" s="8" t="s">
        <v>66</v>
      </c>
      <c r="K109" s="8" t="s">
        <v>681</v>
      </c>
      <c r="L109" s="4" t="str">
        <f>IF(AtlasReport_1_Table_1[[#This Row],[Reference]]="Purchase order",_xll.AtlasFormulas.AtlasFunctions.AtlasTable("UAT",DataAreaId,"T.VendInvoiceTrans","%RecId","","","","","","","ItemId|PurchID|InventTransId",$C109,$B109,$K109),"")</f>
        <v/>
      </c>
      <c r="M109" s="4" t="str">
        <f>IF(AtlasReport_1_Table_1[[#This Row],[Reference]]="Purchase order",_xll.AtlasFormulas.AtlasFunctions.AtlasTable("UAT",DataAreaId,"T.MarkupTrans","%CurrencyCode","","","","","","","MarkupCode|TransRecId|TransTableId","TPP",$L109,"492"),"")</f>
        <v/>
      </c>
      <c r="N109" s="4" t="str">
        <f>IF(AtlasReport_1_Table_1[[#This Row],[Reference]]="Purchase order",_xll.AtlasFormulas.AtlasFunctions.AtlasBalance("UAT",DataAreaId,"T.MarkupTrans","Sum|Posted|0","","","","","","","MarkupCode|TransTableId|TransRecId","TPP","492",$L109),"")</f>
        <v/>
      </c>
    </row>
    <row r="110" spans="1:14">
      <c r="A110" s="8" t="s">
        <v>655</v>
      </c>
      <c r="B110" s="8" t="s">
        <v>682</v>
      </c>
      <c r="C110" s="8" t="s">
        <v>267</v>
      </c>
      <c r="D110" s="8" t="s">
        <v>368</v>
      </c>
      <c r="E110" s="8" t="s">
        <v>237</v>
      </c>
      <c r="F110" s="8" t="s">
        <v>238</v>
      </c>
      <c r="G110" s="6">
        <v>43108</v>
      </c>
      <c r="H110" s="6">
        <v>43108</v>
      </c>
      <c r="I110" s="4">
        <v>121</v>
      </c>
      <c r="J110" s="8" t="s">
        <v>22</v>
      </c>
      <c r="K110" s="8" t="s">
        <v>683</v>
      </c>
      <c r="L110" s="4" t="str">
        <f>IF(AtlasReport_1_Table_1[[#This Row],[Reference]]="Purchase order",_xll.AtlasFormulas.AtlasFunctions.AtlasTable("UAT",DataAreaId,"T.VendInvoiceTrans","%RecId","","","","","","","ItemId|PurchID|InventTransId",$C110,$B110,$K110),"")</f>
        <v/>
      </c>
      <c r="M110" s="4" t="str">
        <f>IF(AtlasReport_1_Table_1[[#This Row],[Reference]]="Purchase order",_xll.AtlasFormulas.AtlasFunctions.AtlasTable("UAT",DataAreaId,"T.MarkupTrans","%CurrencyCode","","","","","","","MarkupCode|TransRecId|TransTableId","TPP",$L110,"492"),"")</f>
        <v/>
      </c>
      <c r="N110" s="4" t="str">
        <f>IF(AtlasReport_1_Table_1[[#This Row],[Reference]]="Purchase order",_xll.AtlasFormulas.AtlasFunctions.AtlasBalance("UAT",DataAreaId,"T.MarkupTrans","Sum|Posted|0","","","","","","","MarkupCode|TransTableId|TransRecId","TPP","492",$L110),"")</f>
        <v/>
      </c>
    </row>
    <row r="111" spans="1:14">
      <c r="A111" s="8" t="s">
        <v>655</v>
      </c>
      <c r="B111" s="8" t="s">
        <v>684</v>
      </c>
      <c r="C111" s="8" t="s">
        <v>369</v>
      </c>
      <c r="D111" s="8" t="s">
        <v>370</v>
      </c>
      <c r="E111" s="8" t="s">
        <v>237</v>
      </c>
      <c r="F111" s="8" t="s">
        <v>238</v>
      </c>
      <c r="G111" s="6">
        <v>43108</v>
      </c>
      <c r="H111" s="6">
        <v>43108</v>
      </c>
      <c r="I111" s="4">
        <v>9124.2000000000007</v>
      </c>
      <c r="J111" s="8" t="s">
        <v>66</v>
      </c>
      <c r="K111" s="8" t="s">
        <v>685</v>
      </c>
      <c r="L111" s="4" t="str">
        <f>IF(AtlasReport_1_Table_1[[#This Row],[Reference]]="Purchase order",_xll.AtlasFormulas.AtlasFunctions.AtlasTable("UAT",DataAreaId,"T.VendInvoiceTrans","%RecId","","","","","","","ItemId|PurchID|InventTransId",$C111,$B111,$K111),"")</f>
        <v/>
      </c>
      <c r="M111" s="4" t="str">
        <f>IF(AtlasReport_1_Table_1[[#This Row],[Reference]]="Purchase order",_xll.AtlasFormulas.AtlasFunctions.AtlasTable("UAT",DataAreaId,"T.MarkupTrans","%CurrencyCode","","","","","","","MarkupCode|TransRecId|TransTableId","TPP",$L111,"492"),"")</f>
        <v/>
      </c>
      <c r="N111" s="4" t="str">
        <f>IF(AtlasReport_1_Table_1[[#This Row],[Reference]]="Purchase order",_xll.AtlasFormulas.AtlasFunctions.AtlasBalance("UAT",DataAreaId,"T.MarkupTrans","Sum|Posted|0","","","","","","","MarkupCode|TransTableId|TransRecId","TPP","492",$L111),"")</f>
        <v/>
      </c>
    </row>
    <row r="112" spans="1:14">
      <c r="A112" s="8" t="s">
        <v>655</v>
      </c>
      <c r="B112" s="8" t="s">
        <v>686</v>
      </c>
      <c r="C112" s="8" t="s">
        <v>267</v>
      </c>
      <c r="D112" s="8" t="s">
        <v>368</v>
      </c>
      <c r="E112" s="8" t="s">
        <v>237</v>
      </c>
      <c r="F112" s="8" t="s">
        <v>238</v>
      </c>
      <c r="G112" s="6">
        <v>43108</v>
      </c>
      <c r="H112" s="6">
        <v>43108</v>
      </c>
      <c r="I112" s="4">
        <v>364</v>
      </c>
      <c r="J112" s="8" t="s">
        <v>22</v>
      </c>
      <c r="K112" s="8" t="s">
        <v>687</v>
      </c>
      <c r="L112" s="4" t="str">
        <f>IF(AtlasReport_1_Table_1[[#This Row],[Reference]]="Purchase order",_xll.AtlasFormulas.AtlasFunctions.AtlasTable("UAT",DataAreaId,"T.VendInvoiceTrans","%RecId","","","","","","","ItemId|PurchID|InventTransId",$C112,$B112,$K112),"")</f>
        <v/>
      </c>
      <c r="M112" s="4" t="str">
        <f>IF(AtlasReport_1_Table_1[[#This Row],[Reference]]="Purchase order",_xll.AtlasFormulas.AtlasFunctions.AtlasTable("UAT",DataAreaId,"T.MarkupTrans","%CurrencyCode","","","","","","","MarkupCode|TransRecId|TransTableId","TPP",$L112,"492"),"")</f>
        <v/>
      </c>
      <c r="N112" s="4" t="str">
        <f>IF(AtlasReport_1_Table_1[[#This Row],[Reference]]="Purchase order",_xll.AtlasFormulas.AtlasFunctions.AtlasBalance("UAT",DataAreaId,"T.MarkupTrans","Sum|Posted|0","","","","","","","MarkupCode|TransTableId|TransRecId","TPP","492",$L112),"")</f>
        <v/>
      </c>
    </row>
    <row r="113" spans="1:14">
      <c r="A113" s="8" t="s">
        <v>655</v>
      </c>
      <c r="B113" s="8" t="s">
        <v>688</v>
      </c>
      <c r="C113" s="8" t="s">
        <v>689</v>
      </c>
      <c r="D113" s="8" t="s">
        <v>690</v>
      </c>
      <c r="E113" s="8" t="s">
        <v>237</v>
      </c>
      <c r="F113" s="8" t="s">
        <v>238</v>
      </c>
      <c r="G113" s="6">
        <v>43108</v>
      </c>
      <c r="H113" s="6">
        <v>43108</v>
      </c>
      <c r="I113" s="4">
        <v>4116</v>
      </c>
      <c r="J113" s="8" t="s">
        <v>66</v>
      </c>
      <c r="K113" s="8" t="s">
        <v>691</v>
      </c>
      <c r="L113" s="4" t="str">
        <f>IF(AtlasReport_1_Table_1[[#This Row],[Reference]]="Purchase order",_xll.AtlasFormulas.AtlasFunctions.AtlasTable("UAT",DataAreaId,"T.VendInvoiceTrans","%RecId","","","","","","","ItemId|PurchID|InventTransId",$C113,$B113,$K113),"")</f>
        <v/>
      </c>
      <c r="M113" s="4" t="str">
        <f>IF(AtlasReport_1_Table_1[[#This Row],[Reference]]="Purchase order",_xll.AtlasFormulas.AtlasFunctions.AtlasTable("UAT",DataAreaId,"T.MarkupTrans","%CurrencyCode","","","","","","","MarkupCode|TransRecId|TransTableId","TPP",$L113,"492"),"")</f>
        <v/>
      </c>
      <c r="N113" s="4" t="str">
        <f>IF(AtlasReport_1_Table_1[[#This Row],[Reference]]="Purchase order",_xll.AtlasFormulas.AtlasFunctions.AtlasBalance("UAT",DataAreaId,"T.MarkupTrans","Sum|Posted|0","","","","","","","MarkupCode|TransTableId|TransRecId","TPP","492",$L113),"")</f>
        <v/>
      </c>
    </row>
    <row r="114" spans="1:14">
      <c r="A114" s="8" t="s">
        <v>655</v>
      </c>
      <c r="B114" s="8" t="s">
        <v>692</v>
      </c>
      <c r="C114" s="8" t="s">
        <v>506</v>
      </c>
      <c r="D114" s="8" t="s">
        <v>507</v>
      </c>
      <c r="E114" s="8" t="s">
        <v>237</v>
      </c>
      <c r="F114" s="8" t="s">
        <v>238</v>
      </c>
      <c r="G114" s="6">
        <v>43108</v>
      </c>
      <c r="H114" s="6">
        <v>43108</v>
      </c>
      <c r="I114" s="4">
        <v>164</v>
      </c>
      <c r="J114" s="8" t="s">
        <v>22</v>
      </c>
      <c r="K114" s="8" t="s">
        <v>693</v>
      </c>
      <c r="L114" s="4" t="str">
        <f>IF(AtlasReport_1_Table_1[[#This Row],[Reference]]="Purchase order",_xll.AtlasFormulas.AtlasFunctions.AtlasTable("UAT",DataAreaId,"T.VendInvoiceTrans","%RecId","","","","","","","ItemId|PurchID|InventTransId",$C114,$B114,$K114),"")</f>
        <v/>
      </c>
      <c r="M114" s="4" t="str">
        <f>IF(AtlasReport_1_Table_1[[#This Row],[Reference]]="Purchase order",_xll.AtlasFormulas.AtlasFunctions.AtlasTable("UAT",DataAreaId,"T.MarkupTrans","%CurrencyCode","","","","","","","MarkupCode|TransRecId|TransTableId","TPP",$L114,"492"),"")</f>
        <v/>
      </c>
      <c r="N114" s="4" t="str">
        <f>IF(AtlasReport_1_Table_1[[#This Row],[Reference]]="Purchase order",_xll.AtlasFormulas.AtlasFunctions.AtlasBalance("UAT",DataAreaId,"T.MarkupTrans","Sum|Posted|0","","","","","","","MarkupCode|TransTableId|TransRecId","TPP","492",$L114),"")</f>
        <v/>
      </c>
    </row>
    <row r="115" spans="1:14">
      <c r="A115" s="8" t="s">
        <v>655</v>
      </c>
      <c r="B115" s="8" t="s">
        <v>694</v>
      </c>
      <c r="C115" s="8" t="s">
        <v>522</v>
      </c>
      <c r="D115" s="8" t="s">
        <v>523</v>
      </c>
      <c r="E115" s="8" t="s">
        <v>237</v>
      </c>
      <c r="F115" s="8" t="s">
        <v>238</v>
      </c>
      <c r="G115" s="6">
        <v>43108</v>
      </c>
      <c r="H115" s="6">
        <v>43108</v>
      </c>
      <c r="I115" s="4">
        <v>10</v>
      </c>
      <c r="J115" s="8" t="s">
        <v>22</v>
      </c>
      <c r="K115" s="8" t="s">
        <v>695</v>
      </c>
      <c r="L115" s="4" t="str">
        <f>IF(AtlasReport_1_Table_1[[#This Row],[Reference]]="Purchase order",_xll.AtlasFormulas.AtlasFunctions.AtlasTable("UAT",DataAreaId,"T.VendInvoiceTrans","%RecId","","","","","","","ItemId|PurchID|InventTransId",$C115,$B115,$K115),"")</f>
        <v/>
      </c>
      <c r="M115" s="4" t="str">
        <f>IF(AtlasReport_1_Table_1[[#This Row],[Reference]]="Purchase order",_xll.AtlasFormulas.AtlasFunctions.AtlasTable("UAT",DataAreaId,"T.MarkupTrans","%CurrencyCode","","","","","","","MarkupCode|TransRecId|TransTableId","TPP",$L115,"492"),"")</f>
        <v/>
      </c>
      <c r="N115" s="4" t="str">
        <f>IF(AtlasReport_1_Table_1[[#This Row],[Reference]]="Purchase order",_xll.AtlasFormulas.AtlasFunctions.AtlasBalance("UAT",DataAreaId,"T.MarkupTrans","Sum|Posted|0","","","","","","","MarkupCode|TransTableId|TransRecId","TPP","492",$L115),"")</f>
        <v/>
      </c>
    </row>
    <row r="116" spans="1:14">
      <c r="A116" s="8" t="s">
        <v>655</v>
      </c>
      <c r="B116" s="8" t="s">
        <v>696</v>
      </c>
      <c r="C116" s="8" t="s">
        <v>429</v>
      </c>
      <c r="D116" s="8" t="s">
        <v>430</v>
      </c>
      <c r="E116" s="8" t="s">
        <v>237</v>
      </c>
      <c r="F116" s="8" t="s">
        <v>238</v>
      </c>
      <c r="G116" s="6">
        <v>43108</v>
      </c>
      <c r="H116" s="6">
        <v>43108</v>
      </c>
      <c r="I116" s="4">
        <v>5</v>
      </c>
      <c r="J116" s="8" t="s">
        <v>22</v>
      </c>
      <c r="K116" s="8" t="s">
        <v>697</v>
      </c>
      <c r="L116" s="4" t="str">
        <f>IF(AtlasReport_1_Table_1[[#This Row],[Reference]]="Purchase order",_xll.AtlasFormulas.AtlasFunctions.AtlasTable("UAT",DataAreaId,"T.VendInvoiceTrans","%RecId","","","","","","","ItemId|PurchID|InventTransId",$C116,$B116,$K116),"")</f>
        <v/>
      </c>
      <c r="M116" s="4" t="str">
        <f>IF(AtlasReport_1_Table_1[[#This Row],[Reference]]="Purchase order",_xll.AtlasFormulas.AtlasFunctions.AtlasTable("UAT",DataAreaId,"T.MarkupTrans","%CurrencyCode","","","","","","","MarkupCode|TransRecId|TransTableId","TPP",$L116,"492"),"")</f>
        <v/>
      </c>
      <c r="N116" s="4" t="str">
        <f>IF(AtlasReport_1_Table_1[[#This Row],[Reference]]="Purchase order",_xll.AtlasFormulas.AtlasFunctions.AtlasBalance("UAT",DataAreaId,"T.MarkupTrans","Sum|Posted|0","","","","","","","MarkupCode|TransTableId|TransRecId","TPP","492",$L116),"")</f>
        <v/>
      </c>
    </row>
    <row r="117" spans="1:14">
      <c r="A117" s="8" t="s">
        <v>655</v>
      </c>
      <c r="B117" s="8" t="s">
        <v>698</v>
      </c>
      <c r="C117" s="8" t="s">
        <v>699</v>
      </c>
      <c r="D117" s="8" t="s">
        <v>700</v>
      </c>
      <c r="E117" s="8" t="s">
        <v>237</v>
      </c>
      <c r="F117" s="8" t="s">
        <v>238</v>
      </c>
      <c r="G117" s="6">
        <v>43108</v>
      </c>
      <c r="H117" s="6">
        <v>43108</v>
      </c>
      <c r="I117" s="4">
        <v>1018.6</v>
      </c>
      <c r="J117" s="8" t="s">
        <v>66</v>
      </c>
      <c r="K117" s="8" t="s">
        <v>701</v>
      </c>
      <c r="L117" s="4" t="str">
        <f>IF(AtlasReport_1_Table_1[[#This Row],[Reference]]="Purchase order",_xll.AtlasFormulas.AtlasFunctions.AtlasTable("UAT",DataAreaId,"T.VendInvoiceTrans","%RecId","","","","","","","ItemId|PurchID|InventTransId",$C117,$B117,$K117),"")</f>
        <v/>
      </c>
      <c r="M117" s="4" t="str">
        <f>IF(AtlasReport_1_Table_1[[#This Row],[Reference]]="Purchase order",_xll.AtlasFormulas.AtlasFunctions.AtlasTable("UAT",DataAreaId,"T.MarkupTrans","%CurrencyCode","","","","","","","MarkupCode|TransRecId|TransTableId","TPP",$L117,"492"),"")</f>
        <v/>
      </c>
      <c r="N117" s="4" t="str">
        <f>IF(AtlasReport_1_Table_1[[#This Row],[Reference]]="Purchase order",_xll.AtlasFormulas.AtlasFunctions.AtlasBalance("UAT",DataAreaId,"T.MarkupTrans","Sum|Posted|0","","","","","","","MarkupCode|TransTableId|TransRecId","TPP","492",$L117),"")</f>
        <v/>
      </c>
    </row>
    <row r="118" spans="1:14">
      <c r="A118" s="8" t="s">
        <v>655</v>
      </c>
      <c r="B118" s="8" t="s">
        <v>702</v>
      </c>
      <c r="C118" s="8" t="s">
        <v>535</v>
      </c>
      <c r="D118" s="8" t="s">
        <v>536</v>
      </c>
      <c r="E118" s="8" t="s">
        <v>237</v>
      </c>
      <c r="F118" s="8" t="s">
        <v>238</v>
      </c>
      <c r="G118" s="6">
        <v>43108</v>
      </c>
      <c r="H118" s="6">
        <v>43108</v>
      </c>
      <c r="I118" s="4">
        <v>40</v>
      </c>
      <c r="J118" s="8" t="s">
        <v>22</v>
      </c>
      <c r="K118" s="8" t="s">
        <v>703</v>
      </c>
      <c r="L118" s="4" t="str">
        <f>IF(AtlasReport_1_Table_1[[#This Row],[Reference]]="Purchase order",_xll.AtlasFormulas.AtlasFunctions.AtlasTable("UAT",DataAreaId,"T.VendInvoiceTrans","%RecId","","","","","","","ItemId|PurchID|InventTransId",$C118,$B118,$K118),"")</f>
        <v/>
      </c>
      <c r="M118" s="4" t="str">
        <f>IF(AtlasReport_1_Table_1[[#This Row],[Reference]]="Purchase order",_xll.AtlasFormulas.AtlasFunctions.AtlasTable("UAT",DataAreaId,"T.MarkupTrans","%CurrencyCode","","","","","","","MarkupCode|TransRecId|TransTableId","TPP",$L118,"492"),"")</f>
        <v/>
      </c>
      <c r="N118" s="4" t="str">
        <f>IF(AtlasReport_1_Table_1[[#This Row],[Reference]]="Purchase order",_xll.AtlasFormulas.AtlasFunctions.AtlasBalance("UAT",DataAreaId,"T.MarkupTrans","Sum|Posted|0","","","","","","","MarkupCode|TransTableId|TransRecId","TPP","492",$L118),"")</f>
        <v/>
      </c>
    </row>
    <row r="119" spans="1:14">
      <c r="A119" s="8" t="s">
        <v>655</v>
      </c>
      <c r="B119" s="8" t="s">
        <v>704</v>
      </c>
      <c r="C119" s="8" t="s">
        <v>369</v>
      </c>
      <c r="D119" s="8" t="s">
        <v>370</v>
      </c>
      <c r="E119" s="8" t="s">
        <v>237</v>
      </c>
      <c r="F119" s="8" t="s">
        <v>238</v>
      </c>
      <c r="G119" s="6">
        <v>43108</v>
      </c>
      <c r="H119" s="6">
        <v>43108</v>
      </c>
      <c r="I119" s="4">
        <v>4055.2</v>
      </c>
      <c r="J119" s="8" t="s">
        <v>66</v>
      </c>
      <c r="K119" s="8" t="s">
        <v>705</v>
      </c>
      <c r="L119" s="4" t="str">
        <f>IF(AtlasReport_1_Table_1[[#This Row],[Reference]]="Purchase order",_xll.AtlasFormulas.AtlasFunctions.AtlasTable("UAT",DataAreaId,"T.VendInvoiceTrans","%RecId","","","","","","","ItemId|PurchID|InventTransId",$C119,$B119,$K119),"")</f>
        <v/>
      </c>
      <c r="M119" s="4" t="str">
        <f>IF(AtlasReport_1_Table_1[[#This Row],[Reference]]="Purchase order",_xll.AtlasFormulas.AtlasFunctions.AtlasTable("UAT",DataAreaId,"T.MarkupTrans","%CurrencyCode","","","","","","","MarkupCode|TransRecId|TransTableId","TPP",$L119,"492"),"")</f>
        <v/>
      </c>
      <c r="N119" s="4" t="str">
        <f>IF(AtlasReport_1_Table_1[[#This Row],[Reference]]="Purchase order",_xll.AtlasFormulas.AtlasFunctions.AtlasBalance("UAT",DataAreaId,"T.MarkupTrans","Sum|Posted|0","","","","","","","MarkupCode|TransTableId|TransRecId","TPP","492",$L119),"")</f>
        <v/>
      </c>
    </row>
    <row r="120" spans="1:14">
      <c r="A120" s="8" t="s">
        <v>655</v>
      </c>
      <c r="B120" s="8" t="s">
        <v>706</v>
      </c>
      <c r="C120" s="8" t="s">
        <v>267</v>
      </c>
      <c r="D120" s="8" t="s">
        <v>368</v>
      </c>
      <c r="E120" s="8" t="s">
        <v>237</v>
      </c>
      <c r="F120" s="8" t="s">
        <v>238</v>
      </c>
      <c r="G120" s="6">
        <v>43108</v>
      </c>
      <c r="H120" s="6">
        <v>43108</v>
      </c>
      <c r="I120" s="4">
        <v>162</v>
      </c>
      <c r="J120" s="8" t="s">
        <v>22</v>
      </c>
      <c r="K120" s="8" t="s">
        <v>707</v>
      </c>
      <c r="L120" s="4" t="str">
        <f>IF(AtlasReport_1_Table_1[[#This Row],[Reference]]="Purchase order",_xll.AtlasFormulas.AtlasFunctions.AtlasTable("UAT",DataAreaId,"T.VendInvoiceTrans","%RecId","","","","","","","ItemId|PurchID|InventTransId",$C120,$B120,$K120),"")</f>
        <v/>
      </c>
      <c r="M120" s="4" t="str">
        <f>IF(AtlasReport_1_Table_1[[#This Row],[Reference]]="Purchase order",_xll.AtlasFormulas.AtlasFunctions.AtlasTable("UAT",DataAreaId,"T.MarkupTrans","%CurrencyCode","","","","","","","MarkupCode|TransRecId|TransTableId","TPP",$L120,"492"),"")</f>
        <v/>
      </c>
      <c r="N120" s="4" t="str">
        <f>IF(AtlasReport_1_Table_1[[#This Row],[Reference]]="Purchase order",_xll.AtlasFormulas.AtlasFunctions.AtlasBalance("UAT",DataAreaId,"T.MarkupTrans","Sum|Posted|0","","","","","","","MarkupCode|TransTableId|TransRecId","TPP","492",$L120),"")</f>
        <v/>
      </c>
    </row>
    <row r="121" spans="1:14">
      <c r="A121" s="8" t="s">
        <v>655</v>
      </c>
      <c r="B121" s="8" t="s">
        <v>708</v>
      </c>
      <c r="C121" s="8" t="s">
        <v>369</v>
      </c>
      <c r="D121" s="8" t="s">
        <v>370</v>
      </c>
      <c r="E121" s="8" t="s">
        <v>237</v>
      </c>
      <c r="F121" s="8" t="s">
        <v>238</v>
      </c>
      <c r="G121" s="6">
        <v>43108</v>
      </c>
      <c r="H121" s="6">
        <v>43108</v>
      </c>
      <c r="I121" s="4">
        <v>10013.799999999999</v>
      </c>
      <c r="J121" s="8" t="s">
        <v>66</v>
      </c>
      <c r="K121" s="8" t="s">
        <v>709</v>
      </c>
      <c r="L121" s="4" t="str">
        <f>IF(AtlasReport_1_Table_1[[#This Row],[Reference]]="Purchase order",_xll.AtlasFormulas.AtlasFunctions.AtlasTable("UAT",DataAreaId,"T.VendInvoiceTrans","%RecId","","","","","","","ItemId|PurchID|InventTransId",$C121,$B121,$K121),"")</f>
        <v/>
      </c>
      <c r="M121" s="4" t="str">
        <f>IF(AtlasReport_1_Table_1[[#This Row],[Reference]]="Purchase order",_xll.AtlasFormulas.AtlasFunctions.AtlasTable("UAT",DataAreaId,"T.MarkupTrans","%CurrencyCode","","","","","","","MarkupCode|TransRecId|TransTableId","TPP",$L121,"492"),"")</f>
        <v/>
      </c>
      <c r="N121" s="4" t="str">
        <f>IF(AtlasReport_1_Table_1[[#This Row],[Reference]]="Purchase order",_xll.AtlasFormulas.AtlasFunctions.AtlasBalance("UAT",DataAreaId,"T.MarkupTrans","Sum|Posted|0","","","","","","","MarkupCode|TransTableId|TransRecId","TPP","492",$L121),"")</f>
        <v/>
      </c>
    </row>
    <row r="122" spans="1:14">
      <c r="A122" s="8" t="s">
        <v>655</v>
      </c>
      <c r="B122" s="8" t="s">
        <v>710</v>
      </c>
      <c r="C122" s="8" t="s">
        <v>267</v>
      </c>
      <c r="D122" s="8" t="s">
        <v>368</v>
      </c>
      <c r="E122" s="8" t="s">
        <v>237</v>
      </c>
      <c r="F122" s="8" t="s">
        <v>238</v>
      </c>
      <c r="G122" s="6">
        <v>43108</v>
      </c>
      <c r="H122" s="6">
        <v>43108</v>
      </c>
      <c r="I122" s="4">
        <v>405</v>
      </c>
      <c r="J122" s="8" t="s">
        <v>22</v>
      </c>
      <c r="K122" s="8" t="s">
        <v>711</v>
      </c>
      <c r="L122" s="4" t="str">
        <f>IF(AtlasReport_1_Table_1[[#This Row],[Reference]]="Purchase order",_xll.AtlasFormulas.AtlasFunctions.AtlasTable("UAT",DataAreaId,"T.VendInvoiceTrans","%RecId","","","","","","","ItemId|PurchID|InventTransId",$C122,$B122,$K122),"")</f>
        <v/>
      </c>
      <c r="M122" s="4" t="str">
        <f>IF(AtlasReport_1_Table_1[[#This Row],[Reference]]="Purchase order",_xll.AtlasFormulas.AtlasFunctions.AtlasTable("UAT",DataAreaId,"T.MarkupTrans","%CurrencyCode","","","","","","","MarkupCode|TransRecId|TransTableId","TPP",$L122,"492"),"")</f>
        <v/>
      </c>
      <c r="N122" s="4" t="str">
        <f>IF(AtlasReport_1_Table_1[[#This Row],[Reference]]="Purchase order",_xll.AtlasFormulas.AtlasFunctions.AtlasBalance("UAT",DataAreaId,"T.MarkupTrans","Sum|Posted|0","","","","","","","MarkupCode|TransTableId|TransRecId","TPP","492",$L122),"")</f>
        <v/>
      </c>
    </row>
    <row r="123" spans="1:14">
      <c r="A123" s="8" t="s">
        <v>655</v>
      </c>
      <c r="B123" s="8" t="s">
        <v>712</v>
      </c>
      <c r="C123" s="8" t="s">
        <v>369</v>
      </c>
      <c r="D123" s="8" t="s">
        <v>370</v>
      </c>
      <c r="E123" s="8" t="s">
        <v>237</v>
      </c>
      <c r="F123" s="8" t="s">
        <v>238</v>
      </c>
      <c r="G123" s="6">
        <v>43108</v>
      </c>
      <c r="H123" s="6">
        <v>43108</v>
      </c>
      <c r="I123" s="4">
        <v>124.2</v>
      </c>
      <c r="J123" s="8" t="s">
        <v>66</v>
      </c>
      <c r="K123" s="8" t="s">
        <v>713</v>
      </c>
      <c r="L123" s="4" t="str">
        <f>IF(AtlasReport_1_Table_1[[#This Row],[Reference]]="Purchase order",_xll.AtlasFormulas.AtlasFunctions.AtlasTable("UAT",DataAreaId,"T.VendInvoiceTrans","%RecId","","","","","","","ItemId|PurchID|InventTransId",$C123,$B123,$K123),"")</f>
        <v/>
      </c>
      <c r="M123" s="4" t="str">
        <f>IF(AtlasReport_1_Table_1[[#This Row],[Reference]]="Purchase order",_xll.AtlasFormulas.AtlasFunctions.AtlasTable("UAT",DataAreaId,"T.MarkupTrans","%CurrencyCode","","","","","","","MarkupCode|TransRecId|TransTableId","TPP",$L123,"492"),"")</f>
        <v/>
      </c>
      <c r="N123" s="4" t="str">
        <f>IF(AtlasReport_1_Table_1[[#This Row],[Reference]]="Purchase order",_xll.AtlasFormulas.AtlasFunctions.AtlasBalance("UAT",DataAreaId,"T.MarkupTrans","Sum|Posted|0","","","","","","","MarkupCode|TransTableId|TransRecId","TPP","492",$L123),"")</f>
        <v/>
      </c>
    </row>
    <row r="124" spans="1:14">
      <c r="A124" s="8" t="s">
        <v>655</v>
      </c>
      <c r="B124" s="8" t="s">
        <v>714</v>
      </c>
      <c r="C124" s="8" t="s">
        <v>369</v>
      </c>
      <c r="D124" s="8" t="s">
        <v>370</v>
      </c>
      <c r="E124" s="8" t="s">
        <v>237</v>
      </c>
      <c r="F124" s="8" t="s">
        <v>238</v>
      </c>
      <c r="G124" s="6">
        <v>43108</v>
      </c>
      <c r="H124" s="6">
        <v>43108</v>
      </c>
      <c r="I124" s="4">
        <v>2027.6</v>
      </c>
      <c r="J124" s="8" t="s">
        <v>66</v>
      </c>
      <c r="K124" s="8" t="s">
        <v>715</v>
      </c>
      <c r="L124" s="4" t="str">
        <f>IF(AtlasReport_1_Table_1[[#This Row],[Reference]]="Purchase order",_xll.AtlasFormulas.AtlasFunctions.AtlasTable("UAT",DataAreaId,"T.VendInvoiceTrans","%RecId","","","","","","","ItemId|PurchID|InventTransId",$C124,$B124,$K124),"")</f>
        <v/>
      </c>
      <c r="M124" s="4" t="str">
        <f>IF(AtlasReport_1_Table_1[[#This Row],[Reference]]="Purchase order",_xll.AtlasFormulas.AtlasFunctions.AtlasTable("UAT",DataAreaId,"T.MarkupTrans","%CurrencyCode","","","","","","","MarkupCode|TransRecId|TransTableId","TPP",$L124,"492"),"")</f>
        <v/>
      </c>
      <c r="N124" s="4" t="str">
        <f>IF(AtlasReport_1_Table_1[[#This Row],[Reference]]="Purchase order",_xll.AtlasFormulas.AtlasFunctions.AtlasBalance("UAT",DataAreaId,"T.MarkupTrans","Sum|Posted|0","","","","","","","MarkupCode|TransTableId|TransRecId","TPP","492",$L124),"")</f>
        <v/>
      </c>
    </row>
    <row r="125" spans="1:14">
      <c r="A125" s="8" t="s">
        <v>655</v>
      </c>
      <c r="B125" s="8" t="s">
        <v>716</v>
      </c>
      <c r="C125" s="8" t="s">
        <v>267</v>
      </c>
      <c r="D125" s="8" t="s">
        <v>368</v>
      </c>
      <c r="E125" s="8" t="s">
        <v>237</v>
      </c>
      <c r="F125" s="8" t="s">
        <v>238</v>
      </c>
      <c r="G125" s="6">
        <v>43108</v>
      </c>
      <c r="H125" s="6">
        <v>43108</v>
      </c>
      <c r="I125" s="4">
        <v>81</v>
      </c>
      <c r="J125" s="8" t="s">
        <v>22</v>
      </c>
      <c r="K125" s="8" t="s">
        <v>717</v>
      </c>
      <c r="L125" s="4" t="str">
        <f>IF(AtlasReport_1_Table_1[[#This Row],[Reference]]="Purchase order",_xll.AtlasFormulas.AtlasFunctions.AtlasTable("UAT",DataAreaId,"T.VendInvoiceTrans","%RecId","","","","","","","ItemId|PurchID|InventTransId",$C125,$B125,$K125),"")</f>
        <v/>
      </c>
      <c r="M125" s="4" t="str">
        <f>IF(AtlasReport_1_Table_1[[#This Row],[Reference]]="Purchase order",_xll.AtlasFormulas.AtlasFunctions.AtlasTable("UAT",DataAreaId,"T.MarkupTrans","%CurrencyCode","","","","","","","MarkupCode|TransRecId|TransTableId","TPP",$L125,"492"),"")</f>
        <v/>
      </c>
      <c r="N125" s="4" t="str">
        <f>IF(AtlasReport_1_Table_1[[#This Row],[Reference]]="Purchase order",_xll.AtlasFormulas.AtlasFunctions.AtlasBalance("UAT",DataAreaId,"T.MarkupTrans","Sum|Posted|0","","","","","","","MarkupCode|TransTableId|TransRecId","TPP","492",$L125),"")</f>
        <v/>
      </c>
    </row>
    <row r="126" spans="1:14">
      <c r="A126" s="8" t="s">
        <v>655</v>
      </c>
      <c r="B126" s="8" t="s">
        <v>718</v>
      </c>
      <c r="C126" s="8" t="s">
        <v>391</v>
      </c>
      <c r="D126" s="8" t="s">
        <v>392</v>
      </c>
      <c r="E126" s="8" t="s">
        <v>237</v>
      </c>
      <c r="F126" s="8" t="s">
        <v>238</v>
      </c>
      <c r="G126" s="6">
        <v>43108</v>
      </c>
      <c r="H126" s="6">
        <v>43108</v>
      </c>
      <c r="I126" s="4">
        <v>6865.6</v>
      </c>
      <c r="J126" s="8" t="s">
        <v>66</v>
      </c>
      <c r="K126" s="8" t="s">
        <v>719</v>
      </c>
      <c r="L126" s="4" t="str">
        <f>IF(AtlasReport_1_Table_1[[#This Row],[Reference]]="Purchase order",_xll.AtlasFormulas.AtlasFunctions.AtlasTable("UAT",DataAreaId,"T.VendInvoiceTrans","%RecId","","","","","","","ItemId|PurchID|InventTransId",$C126,$B126,$K126),"")</f>
        <v/>
      </c>
      <c r="M126" s="4" t="str">
        <f>IF(AtlasReport_1_Table_1[[#This Row],[Reference]]="Purchase order",_xll.AtlasFormulas.AtlasFunctions.AtlasTable("UAT",DataAreaId,"T.MarkupTrans","%CurrencyCode","","","","","","","MarkupCode|TransRecId|TransTableId","TPP",$L126,"492"),"")</f>
        <v/>
      </c>
      <c r="N126" s="4" t="str">
        <f>IF(AtlasReport_1_Table_1[[#This Row],[Reference]]="Purchase order",_xll.AtlasFormulas.AtlasFunctions.AtlasBalance("UAT",DataAreaId,"T.MarkupTrans","Sum|Posted|0","","","","","","","MarkupCode|TransTableId|TransRecId","TPP","492",$L126),"")</f>
        <v/>
      </c>
    </row>
    <row r="127" spans="1:14">
      <c r="A127" s="8" t="s">
        <v>655</v>
      </c>
      <c r="B127" s="8" t="s">
        <v>720</v>
      </c>
      <c r="C127" s="8" t="s">
        <v>273</v>
      </c>
      <c r="D127" s="8" t="s">
        <v>390</v>
      </c>
      <c r="E127" s="8" t="s">
        <v>237</v>
      </c>
      <c r="F127" s="8" t="s">
        <v>238</v>
      </c>
      <c r="G127" s="6">
        <v>43108</v>
      </c>
      <c r="H127" s="6">
        <v>43108</v>
      </c>
      <c r="I127" s="4">
        <v>274</v>
      </c>
      <c r="J127" s="8" t="s">
        <v>22</v>
      </c>
      <c r="K127" s="8" t="s">
        <v>721</v>
      </c>
      <c r="L127" s="4" t="str">
        <f>IF(AtlasReport_1_Table_1[[#This Row],[Reference]]="Purchase order",_xll.AtlasFormulas.AtlasFunctions.AtlasTable("UAT",DataAreaId,"T.VendInvoiceTrans","%RecId","","","","","","","ItemId|PurchID|InventTransId",$C127,$B127,$K127),"")</f>
        <v/>
      </c>
      <c r="M127" s="4" t="str">
        <f>IF(AtlasReport_1_Table_1[[#This Row],[Reference]]="Purchase order",_xll.AtlasFormulas.AtlasFunctions.AtlasTable("UAT",DataAreaId,"T.MarkupTrans","%CurrencyCode","","","","","","","MarkupCode|TransRecId|TransTableId","TPP",$L127,"492"),"")</f>
        <v/>
      </c>
      <c r="N127" s="4" t="str">
        <f>IF(AtlasReport_1_Table_1[[#This Row],[Reference]]="Purchase order",_xll.AtlasFormulas.AtlasFunctions.AtlasBalance("UAT",DataAreaId,"T.MarkupTrans","Sum|Posted|0","","","","","","","MarkupCode|TransTableId|TransRecId","TPP","492",$L127),"")</f>
        <v/>
      </c>
    </row>
    <row r="128" spans="1:14">
      <c r="A128" s="8" t="s">
        <v>655</v>
      </c>
      <c r="B128" s="8" t="s">
        <v>722</v>
      </c>
      <c r="C128" s="8" t="s">
        <v>369</v>
      </c>
      <c r="D128" s="8" t="s">
        <v>370</v>
      </c>
      <c r="E128" s="8" t="s">
        <v>237</v>
      </c>
      <c r="F128" s="8" t="s">
        <v>238</v>
      </c>
      <c r="G128" s="6">
        <v>43108</v>
      </c>
      <c r="H128" s="6">
        <v>43108</v>
      </c>
      <c r="I128" s="4">
        <v>2027.6</v>
      </c>
      <c r="J128" s="8" t="s">
        <v>66</v>
      </c>
      <c r="K128" s="8" t="s">
        <v>723</v>
      </c>
      <c r="L128" s="4" t="str">
        <f>IF(AtlasReport_1_Table_1[[#This Row],[Reference]]="Purchase order",_xll.AtlasFormulas.AtlasFunctions.AtlasTable("UAT",DataAreaId,"T.VendInvoiceTrans","%RecId","","","","","","","ItemId|PurchID|InventTransId",$C128,$B128,$K128),"")</f>
        <v/>
      </c>
      <c r="M128" s="4" t="str">
        <f>IF(AtlasReport_1_Table_1[[#This Row],[Reference]]="Purchase order",_xll.AtlasFormulas.AtlasFunctions.AtlasTable("UAT",DataAreaId,"T.MarkupTrans","%CurrencyCode","","","","","","","MarkupCode|TransRecId|TransTableId","TPP",$L128,"492"),"")</f>
        <v/>
      </c>
      <c r="N128" s="4" t="str">
        <f>IF(AtlasReport_1_Table_1[[#This Row],[Reference]]="Purchase order",_xll.AtlasFormulas.AtlasFunctions.AtlasBalance("UAT",DataAreaId,"T.MarkupTrans","Sum|Posted|0","","","","","","","MarkupCode|TransTableId|TransRecId","TPP","492",$L128),"")</f>
        <v/>
      </c>
    </row>
    <row r="129" spans="1:14">
      <c r="A129" s="8" t="s">
        <v>655</v>
      </c>
      <c r="B129" s="8" t="s">
        <v>724</v>
      </c>
      <c r="C129" s="8" t="s">
        <v>267</v>
      </c>
      <c r="D129" s="8" t="s">
        <v>368</v>
      </c>
      <c r="E129" s="8" t="s">
        <v>237</v>
      </c>
      <c r="F129" s="8" t="s">
        <v>238</v>
      </c>
      <c r="G129" s="6">
        <v>43108</v>
      </c>
      <c r="H129" s="6">
        <v>43108</v>
      </c>
      <c r="I129" s="4">
        <v>81</v>
      </c>
      <c r="J129" s="8" t="s">
        <v>22</v>
      </c>
      <c r="K129" s="8" t="s">
        <v>725</v>
      </c>
      <c r="L129" s="4" t="str">
        <f>IF(AtlasReport_1_Table_1[[#This Row],[Reference]]="Purchase order",_xll.AtlasFormulas.AtlasFunctions.AtlasTable("UAT",DataAreaId,"T.VendInvoiceTrans","%RecId","","","","","","","ItemId|PurchID|InventTransId",$C129,$B129,$K129),"")</f>
        <v/>
      </c>
      <c r="M129" s="4" t="str">
        <f>IF(AtlasReport_1_Table_1[[#This Row],[Reference]]="Purchase order",_xll.AtlasFormulas.AtlasFunctions.AtlasTable("UAT",DataAreaId,"T.MarkupTrans","%CurrencyCode","","","","","","","MarkupCode|TransRecId|TransTableId","TPP",$L129,"492"),"")</f>
        <v/>
      </c>
      <c r="N129" s="4" t="str">
        <f>IF(AtlasReport_1_Table_1[[#This Row],[Reference]]="Purchase order",_xll.AtlasFormulas.AtlasFunctions.AtlasBalance("UAT",DataAreaId,"T.MarkupTrans","Sum|Posted|0","","","","","","","MarkupCode|TransTableId|TransRecId","TPP","492",$L129),"")</f>
        <v/>
      </c>
    </row>
    <row r="130" spans="1:14">
      <c r="A130" s="8" t="s">
        <v>655</v>
      </c>
      <c r="B130" s="8" t="s">
        <v>726</v>
      </c>
      <c r="C130" s="8" t="s">
        <v>369</v>
      </c>
      <c r="D130" s="8" t="s">
        <v>370</v>
      </c>
      <c r="E130" s="8" t="s">
        <v>237</v>
      </c>
      <c r="F130" s="8" t="s">
        <v>238</v>
      </c>
      <c r="G130" s="6">
        <v>43108</v>
      </c>
      <c r="H130" s="6">
        <v>43108</v>
      </c>
      <c r="I130" s="4">
        <v>5069</v>
      </c>
      <c r="J130" s="8" t="s">
        <v>66</v>
      </c>
      <c r="K130" s="8" t="s">
        <v>727</v>
      </c>
      <c r="L130" s="4" t="str">
        <f>IF(AtlasReport_1_Table_1[[#This Row],[Reference]]="Purchase order",_xll.AtlasFormulas.AtlasFunctions.AtlasTable("UAT",DataAreaId,"T.VendInvoiceTrans","%RecId","","","","","","","ItemId|PurchID|InventTransId",$C130,$B130,$K130),"")</f>
        <v/>
      </c>
      <c r="M130" s="4" t="str">
        <f>IF(AtlasReport_1_Table_1[[#This Row],[Reference]]="Purchase order",_xll.AtlasFormulas.AtlasFunctions.AtlasTable("UAT",DataAreaId,"T.MarkupTrans","%CurrencyCode","","","","","","","MarkupCode|TransRecId|TransTableId","TPP",$L130,"492"),"")</f>
        <v/>
      </c>
      <c r="N130" s="4" t="str">
        <f>IF(AtlasReport_1_Table_1[[#This Row],[Reference]]="Purchase order",_xll.AtlasFormulas.AtlasFunctions.AtlasBalance("UAT",DataAreaId,"T.MarkupTrans","Sum|Posted|0","","","","","","","MarkupCode|TransTableId|TransRecId","TPP","492",$L130),"")</f>
        <v/>
      </c>
    </row>
    <row r="131" spans="1:14">
      <c r="A131" s="8" t="s">
        <v>655</v>
      </c>
      <c r="B131" s="8" t="s">
        <v>728</v>
      </c>
      <c r="C131" s="8" t="s">
        <v>267</v>
      </c>
      <c r="D131" s="8" t="s">
        <v>368</v>
      </c>
      <c r="E131" s="8" t="s">
        <v>237</v>
      </c>
      <c r="F131" s="8" t="s">
        <v>238</v>
      </c>
      <c r="G131" s="6">
        <v>43108</v>
      </c>
      <c r="H131" s="6">
        <v>43108</v>
      </c>
      <c r="I131" s="4">
        <v>202</v>
      </c>
      <c r="J131" s="8" t="s">
        <v>22</v>
      </c>
      <c r="K131" s="8" t="s">
        <v>729</v>
      </c>
      <c r="L131" s="4" t="str">
        <f>IF(AtlasReport_1_Table_1[[#This Row],[Reference]]="Purchase order",_xll.AtlasFormulas.AtlasFunctions.AtlasTable("UAT",DataAreaId,"T.VendInvoiceTrans","%RecId","","","","","","","ItemId|PurchID|InventTransId",$C131,$B131,$K131),"")</f>
        <v/>
      </c>
      <c r="M131" s="4" t="str">
        <f>IF(AtlasReport_1_Table_1[[#This Row],[Reference]]="Purchase order",_xll.AtlasFormulas.AtlasFunctions.AtlasTable("UAT",DataAreaId,"T.MarkupTrans","%CurrencyCode","","","","","","","MarkupCode|TransRecId|TransTableId","TPP",$L131,"492"),"")</f>
        <v/>
      </c>
      <c r="N131" s="4" t="str">
        <f>IF(AtlasReport_1_Table_1[[#This Row],[Reference]]="Purchase order",_xll.AtlasFormulas.AtlasFunctions.AtlasBalance("UAT",DataAreaId,"T.MarkupTrans","Sum|Posted|0","","","","","","","MarkupCode|TransTableId|TransRecId","TPP","492",$L131),"")</f>
        <v/>
      </c>
    </row>
    <row r="132" spans="1:14">
      <c r="A132" s="8" t="s">
        <v>655</v>
      </c>
      <c r="B132" s="8" t="s">
        <v>730</v>
      </c>
      <c r="C132" s="8" t="s">
        <v>369</v>
      </c>
      <c r="D132" s="8" t="s">
        <v>370</v>
      </c>
      <c r="E132" s="8" t="s">
        <v>237</v>
      </c>
      <c r="F132" s="8" t="s">
        <v>238</v>
      </c>
      <c r="G132" s="6">
        <v>43108</v>
      </c>
      <c r="H132" s="6">
        <v>43108</v>
      </c>
      <c r="I132" s="4">
        <v>10138</v>
      </c>
      <c r="J132" s="8" t="s">
        <v>66</v>
      </c>
      <c r="K132" s="8" t="s">
        <v>731</v>
      </c>
      <c r="L132" s="4" t="str">
        <f>IF(AtlasReport_1_Table_1[[#This Row],[Reference]]="Purchase order",_xll.AtlasFormulas.AtlasFunctions.AtlasTable("UAT",DataAreaId,"T.VendInvoiceTrans","%RecId","","","","","","","ItemId|PurchID|InventTransId",$C132,$B132,$K132),"")</f>
        <v/>
      </c>
      <c r="M132" s="4" t="str">
        <f>IF(AtlasReport_1_Table_1[[#This Row],[Reference]]="Purchase order",_xll.AtlasFormulas.AtlasFunctions.AtlasTable("UAT",DataAreaId,"T.MarkupTrans","%CurrencyCode","","","","","","","MarkupCode|TransRecId|TransTableId","TPP",$L132,"492"),"")</f>
        <v/>
      </c>
      <c r="N132" s="4" t="str">
        <f>IF(AtlasReport_1_Table_1[[#This Row],[Reference]]="Purchase order",_xll.AtlasFormulas.AtlasFunctions.AtlasBalance("UAT",DataAreaId,"T.MarkupTrans","Sum|Posted|0","","","","","","","MarkupCode|TransTableId|TransRecId","TPP","492",$L132),"")</f>
        <v/>
      </c>
    </row>
    <row r="133" spans="1:14">
      <c r="A133" s="8" t="s">
        <v>655</v>
      </c>
      <c r="B133" s="8" t="s">
        <v>732</v>
      </c>
      <c r="C133" s="8" t="s">
        <v>267</v>
      </c>
      <c r="D133" s="8" t="s">
        <v>368</v>
      </c>
      <c r="E133" s="8" t="s">
        <v>237</v>
      </c>
      <c r="F133" s="8" t="s">
        <v>238</v>
      </c>
      <c r="G133" s="6">
        <v>43108</v>
      </c>
      <c r="H133" s="6">
        <v>43108</v>
      </c>
      <c r="I133" s="4">
        <v>405</v>
      </c>
      <c r="J133" s="8" t="s">
        <v>22</v>
      </c>
      <c r="K133" s="8" t="s">
        <v>733</v>
      </c>
      <c r="L133" s="4" t="str">
        <f>IF(AtlasReport_1_Table_1[[#This Row],[Reference]]="Purchase order",_xll.AtlasFormulas.AtlasFunctions.AtlasTable("UAT",DataAreaId,"T.VendInvoiceTrans","%RecId","","","","","","","ItemId|PurchID|InventTransId",$C133,$B133,$K133),"")</f>
        <v/>
      </c>
      <c r="M133" s="4" t="str">
        <f>IF(AtlasReport_1_Table_1[[#This Row],[Reference]]="Purchase order",_xll.AtlasFormulas.AtlasFunctions.AtlasTable("UAT",DataAreaId,"T.MarkupTrans","%CurrencyCode","","","","","","","MarkupCode|TransRecId|TransTableId","TPP",$L133,"492"),"")</f>
        <v/>
      </c>
      <c r="N133" s="4" t="str">
        <f>IF(AtlasReport_1_Table_1[[#This Row],[Reference]]="Purchase order",_xll.AtlasFormulas.AtlasFunctions.AtlasBalance("UAT",DataAreaId,"T.MarkupTrans","Sum|Posted|0","","","","","","","MarkupCode|TransTableId|TransRecId","TPP","492",$L133),"")</f>
        <v/>
      </c>
    </row>
    <row r="134" spans="1:14">
      <c r="A134" s="8" t="s">
        <v>655</v>
      </c>
      <c r="B134" s="8" t="s">
        <v>734</v>
      </c>
      <c r="C134" s="8" t="s">
        <v>263</v>
      </c>
      <c r="D134" s="8" t="s">
        <v>357</v>
      </c>
      <c r="E134" s="8" t="s">
        <v>237</v>
      </c>
      <c r="F134" s="8" t="s">
        <v>238</v>
      </c>
      <c r="G134" s="6">
        <v>43108</v>
      </c>
      <c r="H134" s="6">
        <v>43108</v>
      </c>
      <c r="I134" s="4">
        <v>45</v>
      </c>
      <c r="J134" s="8" t="s">
        <v>22</v>
      </c>
      <c r="K134" s="8" t="s">
        <v>735</v>
      </c>
      <c r="L134" s="4" t="str">
        <f>IF(AtlasReport_1_Table_1[[#This Row],[Reference]]="Purchase order",_xll.AtlasFormulas.AtlasFunctions.AtlasTable("UAT",DataAreaId,"T.VendInvoiceTrans","%RecId","","","","","","","ItemId|PurchID|InventTransId",$C134,$B134,$K134),"")</f>
        <v/>
      </c>
      <c r="M134" s="4" t="str">
        <f>IF(AtlasReport_1_Table_1[[#This Row],[Reference]]="Purchase order",_xll.AtlasFormulas.AtlasFunctions.AtlasTable("UAT",DataAreaId,"T.MarkupTrans","%CurrencyCode","","","","","","","MarkupCode|TransRecId|TransTableId","TPP",$L134,"492"),"")</f>
        <v/>
      </c>
      <c r="N134" s="4" t="str">
        <f>IF(AtlasReport_1_Table_1[[#This Row],[Reference]]="Purchase order",_xll.AtlasFormulas.AtlasFunctions.AtlasBalance("UAT",DataAreaId,"T.MarkupTrans","Sum|Posted|0","","","","","","","MarkupCode|TransTableId|TransRecId","TPP","492",$L134),"")</f>
        <v/>
      </c>
    </row>
    <row r="135" spans="1:14">
      <c r="A135" s="8" t="s">
        <v>655</v>
      </c>
      <c r="B135" s="8" t="s">
        <v>736</v>
      </c>
      <c r="C135" s="8" t="s">
        <v>306</v>
      </c>
      <c r="D135" s="8" t="s">
        <v>307</v>
      </c>
      <c r="E135" s="8" t="s">
        <v>237</v>
      </c>
      <c r="F135" s="8" t="s">
        <v>238</v>
      </c>
      <c r="G135" s="6">
        <v>43108</v>
      </c>
      <c r="H135" s="6">
        <v>43108</v>
      </c>
      <c r="I135" s="4">
        <v>2</v>
      </c>
      <c r="J135" s="8" t="s">
        <v>22</v>
      </c>
      <c r="K135" s="8" t="s">
        <v>737</v>
      </c>
      <c r="L135" s="4" t="str">
        <f>IF(AtlasReport_1_Table_1[[#This Row],[Reference]]="Purchase order",_xll.AtlasFormulas.AtlasFunctions.AtlasTable("UAT",DataAreaId,"T.VendInvoiceTrans","%RecId","","","","","","","ItemId|PurchID|InventTransId",$C135,$B135,$K135),"")</f>
        <v/>
      </c>
      <c r="M135" s="4" t="str">
        <f>IF(AtlasReport_1_Table_1[[#This Row],[Reference]]="Purchase order",_xll.AtlasFormulas.AtlasFunctions.AtlasTable("UAT",DataAreaId,"T.MarkupTrans","%CurrencyCode","","","","","","","MarkupCode|TransRecId|TransTableId","TPP",$L135,"492"),"")</f>
        <v/>
      </c>
      <c r="N135" s="4" t="str">
        <f>IF(AtlasReport_1_Table_1[[#This Row],[Reference]]="Purchase order",_xll.AtlasFormulas.AtlasFunctions.AtlasBalance("UAT",DataAreaId,"T.MarkupTrans","Sum|Posted|0","","","","","","","MarkupCode|TransTableId|TransRecId","TPP","492",$L135),"")</f>
        <v/>
      </c>
    </row>
    <row r="136" spans="1:14">
      <c r="A136" s="8" t="s">
        <v>655</v>
      </c>
      <c r="B136" s="8" t="s">
        <v>738</v>
      </c>
      <c r="C136" s="8" t="s">
        <v>333</v>
      </c>
      <c r="D136" s="8" t="s">
        <v>334</v>
      </c>
      <c r="E136" s="8" t="s">
        <v>237</v>
      </c>
      <c r="F136" s="8" t="s">
        <v>238</v>
      </c>
      <c r="G136" s="6">
        <v>43115</v>
      </c>
      <c r="H136" s="6">
        <v>43115</v>
      </c>
      <c r="I136" s="4">
        <v>1</v>
      </c>
      <c r="J136" s="8" t="s">
        <v>22</v>
      </c>
      <c r="K136" s="8" t="s">
        <v>739</v>
      </c>
      <c r="L136" s="4" t="str">
        <f>IF(AtlasReport_1_Table_1[[#This Row],[Reference]]="Purchase order",_xll.AtlasFormulas.AtlasFunctions.AtlasTable("UAT",DataAreaId,"T.VendInvoiceTrans","%RecId","","","","","","","ItemId|PurchID|InventTransId",$C136,$B136,$K136),"")</f>
        <v/>
      </c>
      <c r="M136" s="4" t="str">
        <f>IF(AtlasReport_1_Table_1[[#This Row],[Reference]]="Purchase order",_xll.AtlasFormulas.AtlasFunctions.AtlasTable("UAT",DataAreaId,"T.MarkupTrans","%CurrencyCode","","","","","","","MarkupCode|TransRecId|TransTableId","TPP",$L136,"492"),"")</f>
        <v/>
      </c>
      <c r="N136" s="4" t="str">
        <f>IF(AtlasReport_1_Table_1[[#This Row],[Reference]]="Purchase order",_xll.AtlasFormulas.AtlasFunctions.AtlasBalance("UAT",DataAreaId,"T.MarkupTrans","Sum|Posted|0","","","","","","","MarkupCode|TransTableId|TransRecId","TPP","492",$L136),"")</f>
        <v/>
      </c>
    </row>
    <row r="137" spans="1:14">
      <c r="A137" s="8" t="s">
        <v>655</v>
      </c>
      <c r="B137" s="8" t="s">
        <v>740</v>
      </c>
      <c r="C137" s="8" t="s">
        <v>494</v>
      </c>
      <c r="D137" s="8" t="s">
        <v>495</v>
      </c>
      <c r="E137" s="8" t="s">
        <v>237</v>
      </c>
      <c r="F137" s="8" t="s">
        <v>238</v>
      </c>
      <c r="G137" s="6">
        <v>43115</v>
      </c>
      <c r="H137" s="6">
        <v>43115</v>
      </c>
      <c r="I137" s="4">
        <v>25</v>
      </c>
      <c r="J137" s="8" t="s">
        <v>22</v>
      </c>
      <c r="K137" s="8" t="s">
        <v>741</v>
      </c>
      <c r="L137" s="4" t="str">
        <f>IF(AtlasReport_1_Table_1[[#This Row],[Reference]]="Purchase order",_xll.AtlasFormulas.AtlasFunctions.AtlasTable("UAT",DataAreaId,"T.VendInvoiceTrans","%RecId","","","","","","","ItemId|PurchID|InventTransId",$C137,$B137,$K137),"")</f>
        <v/>
      </c>
      <c r="M137" s="4" t="str">
        <f>IF(AtlasReport_1_Table_1[[#This Row],[Reference]]="Purchase order",_xll.AtlasFormulas.AtlasFunctions.AtlasTable("UAT",DataAreaId,"T.MarkupTrans","%CurrencyCode","","","","","","","MarkupCode|TransRecId|TransTableId","TPP",$L137,"492"),"")</f>
        <v/>
      </c>
      <c r="N137" s="4" t="str">
        <f>IF(AtlasReport_1_Table_1[[#This Row],[Reference]]="Purchase order",_xll.AtlasFormulas.AtlasFunctions.AtlasBalance("UAT",DataAreaId,"T.MarkupTrans","Sum|Posted|0","","","","","","","MarkupCode|TransTableId|TransRecId","TPP","492",$L137),"")</f>
        <v/>
      </c>
    </row>
    <row r="138" spans="1:14">
      <c r="A138" s="8" t="s">
        <v>655</v>
      </c>
      <c r="B138" s="8" t="s">
        <v>742</v>
      </c>
      <c r="C138" s="8" t="s">
        <v>689</v>
      </c>
      <c r="D138" s="8" t="s">
        <v>690</v>
      </c>
      <c r="E138" s="8" t="s">
        <v>237</v>
      </c>
      <c r="F138" s="8" t="s">
        <v>238</v>
      </c>
      <c r="G138" s="6">
        <v>43132</v>
      </c>
      <c r="H138" s="6">
        <v>43132</v>
      </c>
      <c r="I138" s="4">
        <v>4116.3999999999996</v>
      </c>
      <c r="J138" s="8" t="s">
        <v>66</v>
      </c>
      <c r="K138" s="8" t="s">
        <v>743</v>
      </c>
      <c r="L138" s="4" t="str">
        <f>IF(AtlasReport_1_Table_1[[#This Row],[Reference]]="Purchase order",_xll.AtlasFormulas.AtlasFunctions.AtlasTable("UAT",DataAreaId,"T.VendInvoiceTrans","%RecId","","","","","","","ItemId|PurchID|InventTransId",$C138,$B138,$K138),"")</f>
        <v/>
      </c>
      <c r="M138" s="4" t="str">
        <f>IF(AtlasReport_1_Table_1[[#This Row],[Reference]]="Purchase order",_xll.AtlasFormulas.AtlasFunctions.AtlasTable("UAT",DataAreaId,"T.MarkupTrans","%CurrencyCode","","","","","","","MarkupCode|TransRecId|TransTableId","TPP",$L138,"492"),"")</f>
        <v/>
      </c>
      <c r="N138" s="4" t="str">
        <f>IF(AtlasReport_1_Table_1[[#This Row],[Reference]]="Purchase order",_xll.AtlasFormulas.AtlasFunctions.AtlasBalance("UAT",DataAreaId,"T.MarkupTrans","Sum|Posted|0","","","","","","","MarkupCode|TransTableId|TransRecId","TPP","492",$L138),"")</f>
        <v/>
      </c>
    </row>
    <row r="139" spans="1:14">
      <c r="A139" s="8" t="s">
        <v>655</v>
      </c>
      <c r="B139" s="8" t="s">
        <v>744</v>
      </c>
      <c r="C139" s="8" t="s">
        <v>369</v>
      </c>
      <c r="D139" s="8" t="s">
        <v>370</v>
      </c>
      <c r="E139" s="8" t="s">
        <v>237</v>
      </c>
      <c r="F139" s="8" t="s">
        <v>238</v>
      </c>
      <c r="G139" s="6">
        <v>43132</v>
      </c>
      <c r="H139" s="6">
        <v>43132</v>
      </c>
      <c r="I139" s="4">
        <v>1013.8</v>
      </c>
      <c r="J139" s="8" t="s">
        <v>66</v>
      </c>
      <c r="K139" s="8" t="s">
        <v>745</v>
      </c>
      <c r="L139" s="4" t="str">
        <f>IF(AtlasReport_1_Table_1[[#This Row],[Reference]]="Purchase order",_xll.AtlasFormulas.AtlasFunctions.AtlasTable("UAT",DataAreaId,"T.VendInvoiceTrans","%RecId","","","","","","","ItemId|PurchID|InventTransId",$C139,$B139,$K139),"")</f>
        <v/>
      </c>
      <c r="M139" s="4" t="str">
        <f>IF(AtlasReport_1_Table_1[[#This Row],[Reference]]="Purchase order",_xll.AtlasFormulas.AtlasFunctions.AtlasTable("UAT",DataAreaId,"T.MarkupTrans","%CurrencyCode","","","","","","","MarkupCode|TransRecId|TransTableId","TPP",$L139,"492"),"")</f>
        <v/>
      </c>
      <c r="N139" s="4" t="str">
        <f>IF(AtlasReport_1_Table_1[[#This Row],[Reference]]="Purchase order",_xll.AtlasFormulas.AtlasFunctions.AtlasBalance("UAT",DataAreaId,"T.MarkupTrans","Sum|Posted|0","","","","","","","MarkupCode|TransTableId|TransRecId","TPP","492",$L139),"")</f>
        <v/>
      </c>
    </row>
    <row r="140" spans="1:14">
      <c r="A140" s="8" t="s">
        <v>655</v>
      </c>
      <c r="B140" s="8" t="s">
        <v>746</v>
      </c>
      <c r="C140" s="8" t="s">
        <v>267</v>
      </c>
      <c r="D140" s="8" t="s">
        <v>368</v>
      </c>
      <c r="E140" s="8" t="s">
        <v>237</v>
      </c>
      <c r="F140" s="8" t="s">
        <v>238</v>
      </c>
      <c r="G140" s="6">
        <v>43132</v>
      </c>
      <c r="H140" s="6">
        <v>43132</v>
      </c>
      <c r="I140" s="4">
        <v>40</v>
      </c>
      <c r="J140" s="8" t="s">
        <v>22</v>
      </c>
      <c r="K140" s="8" t="s">
        <v>747</v>
      </c>
      <c r="L140" s="4" t="str">
        <f>IF(AtlasReport_1_Table_1[[#This Row],[Reference]]="Purchase order",_xll.AtlasFormulas.AtlasFunctions.AtlasTable("UAT",DataAreaId,"T.VendInvoiceTrans","%RecId","","","","","","","ItemId|PurchID|InventTransId",$C140,$B140,$K140),"")</f>
        <v/>
      </c>
      <c r="M140" s="4" t="str">
        <f>IF(AtlasReport_1_Table_1[[#This Row],[Reference]]="Purchase order",_xll.AtlasFormulas.AtlasFunctions.AtlasTable("UAT",DataAreaId,"T.MarkupTrans","%CurrencyCode","","","","","","","MarkupCode|TransRecId|TransTableId","TPP",$L140,"492"),"")</f>
        <v/>
      </c>
      <c r="N140" s="4" t="str">
        <f>IF(AtlasReport_1_Table_1[[#This Row],[Reference]]="Purchase order",_xll.AtlasFormulas.AtlasFunctions.AtlasBalance("UAT",DataAreaId,"T.MarkupTrans","Sum|Posted|0","","","","","","","MarkupCode|TransTableId|TransRecId","TPP","492",$L140),"")</f>
        <v/>
      </c>
    </row>
    <row r="141" spans="1:14">
      <c r="A141" s="8" t="s">
        <v>655</v>
      </c>
      <c r="B141" s="8" t="s">
        <v>748</v>
      </c>
      <c r="C141" s="8" t="s">
        <v>632</v>
      </c>
      <c r="D141" s="8" t="s">
        <v>633</v>
      </c>
      <c r="E141" s="8" t="s">
        <v>237</v>
      </c>
      <c r="F141" s="8" t="s">
        <v>238</v>
      </c>
      <c r="G141" s="6">
        <v>43146</v>
      </c>
      <c r="H141" s="6">
        <v>43146</v>
      </c>
      <c r="I141" s="4">
        <v>1</v>
      </c>
      <c r="J141" s="8" t="s">
        <v>22</v>
      </c>
      <c r="K141" s="8" t="s">
        <v>749</v>
      </c>
      <c r="L141" s="4" t="str">
        <f>IF(AtlasReport_1_Table_1[[#This Row],[Reference]]="Purchase order",_xll.AtlasFormulas.AtlasFunctions.AtlasTable("UAT",DataAreaId,"T.VendInvoiceTrans","%RecId","","","","","","","ItemId|PurchID|InventTransId",$C141,$B141,$K141),"")</f>
        <v/>
      </c>
      <c r="M141" s="4" t="str">
        <f>IF(AtlasReport_1_Table_1[[#This Row],[Reference]]="Purchase order",_xll.AtlasFormulas.AtlasFunctions.AtlasTable("UAT",DataAreaId,"T.MarkupTrans","%CurrencyCode","","","","","","","MarkupCode|TransRecId|TransTableId","TPP",$L141,"492"),"")</f>
        <v/>
      </c>
      <c r="N141" s="4" t="str">
        <f>IF(AtlasReport_1_Table_1[[#This Row],[Reference]]="Purchase order",_xll.AtlasFormulas.AtlasFunctions.AtlasBalance("UAT",DataAreaId,"T.MarkupTrans","Sum|Posted|0","","","","","","","MarkupCode|TransTableId|TransRecId","TPP","492",$L141),"")</f>
        <v/>
      </c>
    </row>
    <row r="142" spans="1:14">
      <c r="A142" s="8" t="s">
        <v>655</v>
      </c>
      <c r="B142" s="8" t="s">
        <v>750</v>
      </c>
      <c r="C142" s="8" t="s">
        <v>335</v>
      </c>
      <c r="D142" s="8" t="s">
        <v>336</v>
      </c>
      <c r="E142" s="8" t="s">
        <v>237</v>
      </c>
      <c r="F142" s="8" t="s">
        <v>238</v>
      </c>
      <c r="G142" s="6">
        <v>43138</v>
      </c>
      <c r="H142" s="6">
        <v>43138</v>
      </c>
      <c r="I142" s="4">
        <v>1</v>
      </c>
      <c r="J142" s="8" t="s">
        <v>22</v>
      </c>
      <c r="K142" s="8" t="s">
        <v>751</v>
      </c>
      <c r="L142" s="4" t="str">
        <f>IF(AtlasReport_1_Table_1[[#This Row],[Reference]]="Purchase order",_xll.AtlasFormulas.AtlasFunctions.AtlasTable("UAT",DataAreaId,"T.VendInvoiceTrans","%RecId","","","","","","","ItemId|PurchID|InventTransId",$C142,$B142,$K142),"")</f>
        <v/>
      </c>
      <c r="M142" s="4" t="str">
        <f>IF(AtlasReport_1_Table_1[[#This Row],[Reference]]="Purchase order",_xll.AtlasFormulas.AtlasFunctions.AtlasTable("UAT",DataAreaId,"T.MarkupTrans","%CurrencyCode","","","","","","","MarkupCode|TransRecId|TransTableId","TPP",$L142,"492"),"")</f>
        <v/>
      </c>
      <c r="N142" s="4" t="str">
        <f>IF(AtlasReport_1_Table_1[[#This Row],[Reference]]="Purchase order",_xll.AtlasFormulas.AtlasFunctions.AtlasBalance("UAT",DataAreaId,"T.MarkupTrans","Sum|Posted|0","","","","","","","MarkupCode|TransTableId|TransRecId","TPP","492",$L142),"")</f>
        <v/>
      </c>
    </row>
    <row r="143" spans="1:14">
      <c r="A143" s="8" t="s">
        <v>655</v>
      </c>
      <c r="B143" s="8" t="s">
        <v>752</v>
      </c>
      <c r="C143" s="8" t="s">
        <v>285</v>
      </c>
      <c r="D143" s="8" t="s">
        <v>451</v>
      </c>
      <c r="E143" s="8" t="s">
        <v>237</v>
      </c>
      <c r="F143" s="8" t="s">
        <v>238</v>
      </c>
      <c r="G143" s="6">
        <v>43140</v>
      </c>
      <c r="H143" s="6">
        <v>43140</v>
      </c>
      <c r="I143" s="4">
        <v>37</v>
      </c>
      <c r="J143" s="8" t="s">
        <v>22</v>
      </c>
      <c r="K143" s="8" t="s">
        <v>753</v>
      </c>
      <c r="L143" s="4" t="str">
        <f>IF(AtlasReport_1_Table_1[[#This Row],[Reference]]="Purchase order",_xll.AtlasFormulas.AtlasFunctions.AtlasTable("UAT",DataAreaId,"T.VendInvoiceTrans","%RecId","","","","","","","ItemId|PurchID|InventTransId",$C143,$B143,$K143),"")</f>
        <v/>
      </c>
      <c r="M143" s="4" t="str">
        <f>IF(AtlasReport_1_Table_1[[#This Row],[Reference]]="Purchase order",_xll.AtlasFormulas.AtlasFunctions.AtlasTable("UAT",DataAreaId,"T.MarkupTrans","%CurrencyCode","","","","","","","MarkupCode|TransRecId|TransTableId","TPP",$L143,"492"),"")</f>
        <v/>
      </c>
      <c r="N143" s="4" t="str">
        <f>IF(AtlasReport_1_Table_1[[#This Row],[Reference]]="Purchase order",_xll.AtlasFormulas.AtlasFunctions.AtlasBalance("UAT",DataAreaId,"T.MarkupTrans","Sum|Posted|0","","","","","","","MarkupCode|TransTableId|TransRecId","TPP","492",$L143),"")</f>
        <v/>
      </c>
    </row>
    <row r="144" spans="1:14">
      <c r="A144" s="8" t="s">
        <v>655</v>
      </c>
      <c r="B144" s="8" t="s">
        <v>754</v>
      </c>
      <c r="C144" s="8" t="s">
        <v>369</v>
      </c>
      <c r="D144" s="8" t="s">
        <v>370</v>
      </c>
      <c r="E144" s="8" t="s">
        <v>237</v>
      </c>
      <c r="F144" s="8" t="s">
        <v>238</v>
      </c>
      <c r="G144" s="6">
        <v>43145</v>
      </c>
      <c r="H144" s="6">
        <v>43145</v>
      </c>
      <c r="I144" s="4">
        <v>1013.8</v>
      </c>
      <c r="J144" s="8" t="s">
        <v>66</v>
      </c>
      <c r="K144" s="8" t="s">
        <v>755</v>
      </c>
      <c r="L144" s="4" t="str">
        <f>IF(AtlasReport_1_Table_1[[#This Row],[Reference]]="Purchase order",_xll.AtlasFormulas.AtlasFunctions.AtlasTable("UAT",DataAreaId,"T.VendInvoiceTrans","%RecId","","","","","","","ItemId|PurchID|InventTransId",$C144,$B144,$K144),"")</f>
        <v/>
      </c>
      <c r="M144" s="4" t="str">
        <f>IF(AtlasReport_1_Table_1[[#This Row],[Reference]]="Purchase order",_xll.AtlasFormulas.AtlasFunctions.AtlasTable("UAT",DataAreaId,"T.MarkupTrans","%CurrencyCode","","","","","","","MarkupCode|TransRecId|TransTableId","TPP",$L144,"492"),"")</f>
        <v/>
      </c>
      <c r="N144" s="4" t="str">
        <f>IF(AtlasReport_1_Table_1[[#This Row],[Reference]]="Purchase order",_xll.AtlasFormulas.AtlasFunctions.AtlasBalance("UAT",DataAreaId,"T.MarkupTrans","Sum|Posted|0","","","","","","","MarkupCode|TransTableId|TransRecId","TPP","492",$L144),"")</f>
        <v/>
      </c>
    </row>
    <row r="145" spans="1:14">
      <c r="A145" s="8" t="s">
        <v>655</v>
      </c>
      <c r="B145" s="8" t="s">
        <v>756</v>
      </c>
      <c r="C145" s="8" t="s">
        <v>369</v>
      </c>
      <c r="D145" s="8" t="s">
        <v>370</v>
      </c>
      <c r="E145" s="8" t="s">
        <v>237</v>
      </c>
      <c r="F145" s="8" t="s">
        <v>238</v>
      </c>
      <c r="G145" s="6">
        <v>43145</v>
      </c>
      <c r="H145" s="6">
        <v>43145</v>
      </c>
      <c r="I145" s="4">
        <v>9124.2000000000007</v>
      </c>
      <c r="J145" s="8" t="s">
        <v>66</v>
      </c>
      <c r="K145" s="8" t="s">
        <v>757</v>
      </c>
      <c r="L145" s="4" t="str">
        <f>IF(AtlasReport_1_Table_1[[#This Row],[Reference]]="Purchase order",_xll.AtlasFormulas.AtlasFunctions.AtlasTable("UAT",DataAreaId,"T.VendInvoiceTrans","%RecId","","","","","","","ItemId|PurchID|InventTransId",$C145,$B145,$K145),"")</f>
        <v/>
      </c>
      <c r="M145" s="4" t="str">
        <f>IF(AtlasReport_1_Table_1[[#This Row],[Reference]]="Purchase order",_xll.AtlasFormulas.AtlasFunctions.AtlasTable("UAT",DataAreaId,"T.MarkupTrans","%CurrencyCode","","","","","","","MarkupCode|TransRecId|TransTableId","TPP",$L145,"492"),"")</f>
        <v/>
      </c>
      <c r="N145" s="4" t="str">
        <f>IF(AtlasReport_1_Table_1[[#This Row],[Reference]]="Purchase order",_xll.AtlasFormulas.AtlasFunctions.AtlasBalance("UAT",DataAreaId,"T.MarkupTrans","Sum|Posted|0","","","","","","","MarkupCode|TransTableId|TransRecId","TPP","492",$L145),"")</f>
        <v/>
      </c>
    </row>
    <row r="146" spans="1:14">
      <c r="A146" s="8" t="s">
        <v>655</v>
      </c>
      <c r="B146" s="8" t="s">
        <v>758</v>
      </c>
      <c r="C146" s="8" t="s">
        <v>267</v>
      </c>
      <c r="D146" s="8" t="s">
        <v>368</v>
      </c>
      <c r="E146" s="8" t="s">
        <v>237</v>
      </c>
      <c r="F146" s="8" t="s">
        <v>238</v>
      </c>
      <c r="G146" s="6">
        <v>43145</v>
      </c>
      <c r="H146" s="6">
        <v>43145</v>
      </c>
      <c r="I146" s="4">
        <v>405</v>
      </c>
      <c r="J146" s="8" t="s">
        <v>22</v>
      </c>
      <c r="K146" s="8" t="s">
        <v>759</v>
      </c>
      <c r="L146" s="4" t="str">
        <f>IF(AtlasReport_1_Table_1[[#This Row],[Reference]]="Purchase order",_xll.AtlasFormulas.AtlasFunctions.AtlasTable("UAT",DataAreaId,"T.VendInvoiceTrans","%RecId","","","","","","","ItemId|PurchID|InventTransId",$C146,$B146,$K146),"")</f>
        <v/>
      </c>
      <c r="M146" s="4" t="str">
        <f>IF(AtlasReport_1_Table_1[[#This Row],[Reference]]="Purchase order",_xll.AtlasFormulas.AtlasFunctions.AtlasTable("UAT",DataAreaId,"T.MarkupTrans","%CurrencyCode","","","","","","","MarkupCode|TransRecId|TransTableId","TPP",$L146,"492"),"")</f>
        <v/>
      </c>
      <c r="N146" s="4" t="str">
        <f>IF(AtlasReport_1_Table_1[[#This Row],[Reference]]="Purchase order",_xll.AtlasFormulas.AtlasFunctions.AtlasBalance("UAT",DataAreaId,"T.MarkupTrans","Sum|Posted|0","","","","","","","MarkupCode|TransTableId|TransRecId","TPP","492",$L146),"")</f>
        <v/>
      </c>
    </row>
    <row r="147" spans="1:14">
      <c r="A147" s="8" t="s">
        <v>655</v>
      </c>
      <c r="B147" s="8" t="s">
        <v>760</v>
      </c>
      <c r="C147" s="8" t="s">
        <v>506</v>
      </c>
      <c r="D147" s="8" t="s">
        <v>507</v>
      </c>
      <c r="E147" s="8" t="s">
        <v>237</v>
      </c>
      <c r="F147" s="8" t="s">
        <v>238</v>
      </c>
      <c r="G147" s="6">
        <v>43145</v>
      </c>
      <c r="H147" s="6">
        <v>43145</v>
      </c>
      <c r="I147" s="4">
        <v>164</v>
      </c>
      <c r="J147" s="8" t="s">
        <v>22</v>
      </c>
      <c r="K147" s="8" t="s">
        <v>761</v>
      </c>
      <c r="L147" s="4" t="str">
        <f>IF(AtlasReport_1_Table_1[[#This Row],[Reference]]="Purchase order",_xll.AtlasFormulas.AtlasFunctions.AtlasTable("UAT",DataAreaId,"T.VendInvoiceTrans","%RecId","","","","","","","ItemId|PurchID|InventTransId",$C147,$B147,$K147),"")</f>
        <v/>
      </c>
      <c r="M147" s="4" t="str">
        <f>IF(AtlasReport_1_Table_1[[#This Row],[Reference]]="Purchase order",_xll.AtlasFormulas.AtlasFunctions.AtlasTable("UAT",DataAreaId,"T.MarkupTrans","%CurrencyCode","","","","","","","MarkupCode|TransRecId|TransTableId","TPP",$L147,"492"),"")</f>
        <v/>
      </c>
      <c r="N147" s="4" t="str">
        <f>IF(AtlasReport_1_Table_1[[#This Row],[Reference]]="Purchase order",_xll.AtlasFormulas.AtlasFunctions.AtlasBalance("UAT",DataAreaId,"T.MarkupTrans","Sum|Posted|0","","","","","","","MarkupCode|TransTableId|TransRecId","TPP","492",$L147),"")</f>
        <v/>
      </c>
    </row>
    <row r="148" spans="1:14">
      <c r="A148" s="8" t="s">
        <v>655</v>
      </c>
      <c r="B148" s="8" t="s">
        <v>762</v>
      </c>
      <c r="C148" s="8" t="s">
        <v>369</v>
      </c>
      <c r="D148" s="8" t="s">
        <v>370</v>
      </c>
      <c r="E148" s="8" t="s">
        <v>237</v>
      </c>
      <c r="F148" s="8" t="s">
        <v>238</v>
      </c>
      <c r="G148" s="6">
        <v>43146</v>
      </c>
      <c r="H148" s="6">
        <v>43146</v>
      </c>
      <c r="I148" s="4">
        <v>12165.6</v>
      </c>
      <c r="J148" s="8" t="s">
        <v>66</v>
      </c>
      <c r="K148" s="8" t="s">
        <v>763</v>
      </c>
      <c r="L148" s="4" t="str">
        <f>IF(AtlasReport_1_Table_1[[#This Row],[Reference]]="Purchase order",_xll.AtlasFormulas.AtlasFunctions.AtlasTable("UAT",DataAreaId,"T.VendInvoiceTrans","%RecId","","","","","","","ItemId|PurchID|InventTransId",$C148,$B148,$K148),"")</f>
        <v/>
      </c>
      <c r="M148" s="4" t="str">
        <f>IF(AtlasReport_1_Table_1[[#This Row],[Reference]]="Purchase order",_xll.AtlasFormulas.AtlasFunctions.AtlasTable("UAT",DataAreaId,"T.MarkupTrans","%CurrencyCode","","","","","","","MarkupCode|TransRecId|TransTableId","TPP",$L148,"492"),"")</f>
        <v/>
      </c>
      <c r="N148" s="4" t="str">
        <f>IF(AtlasReport_1_Table_1[[#This Row],[Reference]]="Purchase order",_xll.AtlasFormulas.AtlasFunctions.AtlasBalance("UAT",DataAreaId,"T.MarkupTrans","Sum|Posted|0","","","","","","","MarkupCode|TransTableId|TransRecId","TPP","492",$L148),"")</f>
        <v/>
      </c>
    </row>
    <row r="149" spans="1:14">
      <c r="A149" s="8" t="s">
        <v>655</v>
      </c>
      <c r="B149" s="8" t="s">
        <v>764</v>
      </c>
      <c r="C149" s="8" t="s">
        <v>267</v>
      </c>
      <c r="D149" s="8" t="s">
        <v>368</v>
      </c>
      <c r="E149" s="8" t="s">
        <v>237</v>
      </c>
      <c r="F149" s="8" t="s">
        <v>238</v>
      </c>
      <c r="G149" s="6">
        <v>43146</v>
      </c>
      <c r="H149" s="6">
        <v>43146</v>
      </c>
      <c r="I149" s="4">
        <v>486</v>
      </c>
      <c r="J149" s="8" t="s">
        <v>22</v>
      </c>
      <c r="K149" s="8" t="s">
        <v>765</v>
      </c>
      <c r="L149" s="4" t="str">
        <f>IF(AtlasReport_1_Table_1[[#This Row],[Reference]]="Purchase order",_xll.AtlasFormulas.AtlasFunctions.AtlasTable("UAT",DataAreaId,"T.VendInvoiceTrans","%RecId","","","","","","","ItemId|PurchID|InventTransId",$C149,$B149,$K149),"")</f>
        <v/>
      </c>
      <c r="M149" s="4" t="str">
        <f>IF(AtlasReport_1_Table_1[[#This Row],[Reference]]="Purchase order",_xll.AtlasFormulas.AtlasFunctions.AtlasTable("UAT",DataAreaId,"T.MarkupTrans","%CurrencyCode","","","","","","","MarkupCode|TransRecId|TransTableId","TPP",$L149,"492"),"")</f>
        <v/>
      </c>
      <c r="N149" s="4" t="str">
        <f>IF(AtlasReport_1_Table_1[[#This Row],[Reference]]="Purchase order",_xll.AtlasFormulas.AtlasFunctions.AtlasBalance("UAT",DataAreaId,"T.MarkupTrans","Sum|Posted|0","","","","","","","MarkupCode|TransTableId|TransRecId","TPP","492",$L149),"")</f>
        <v/>
      </c>
    </row>
    <row r="150" spans="1:14">
      <c r="A150" s="8" t="s">
        <v>655</v>
      </c>
      <c r="B150" s="8" t="s">
        <v>766</v>
      </c>
      <c r="C150" s="8" t="s">
        <v>635</v>
      </c>
      <c r="D150" s="8" t="s">
        <v>636</v>
      </c>
      <c r="E150" s="8" t="s">
        <v>237</v>
      </c>
      <c r="F150" s="8" t="s">
        <v>238</v>
      </c>
      <c r="G150" s="6">
        <v>43146</v>
      </c>
      <c r="H150" s="6">
        <v>43146</v>
      </c>
      <c r="I150" s="4">
        <v>1</v>
      </c>
      <c r="J150" s="8" t="s">
        <v>22</v>
      </c>
      <c r="K150" s="8" t="s">
        <v>767</v>
      </c>
      <c r="L150" s="4" t="str">
        <f>IF(AtlasReport_1_Table_1[[#This Row],[Reference]]="Purchase order",_xll.AtlasFormulas.AtlasFunctions.AtlasTable("UAT",DataAreaId,"T.VendInvoiceTrans","%RecId","","","","","","","ItemId|PurchID|InventTransId",$C150,$B150,$K150),"")</f>
        <v/>
      </c>
      <c r="M150" s="4" t="str">
        <f>IF(AtlasReport_1_Table_1[[#This Row],[Reference]]="Purchase order",_xll.AtlasFormulas.AtlasFunctions.AtlasTable("UAT",DataAreaId,"T.MarkupTrans","%CurrencyCode","","","","","","","MarkupCode|TransRecId|TransTableId","TPP",$L150,"492"),"")</f>
        <v/>
      </c>
      <c r="N150" s="4" t="str">
        <f>IF(AtlasReport_1_Table_1[[#This Row],[Reference]]="Purchase order",_xll.AtlasFormulas.AtlasFunctions.AtlasBalance("UAT",DataAreaId,"T.MarkupTrans","Sum|Posted|0","","","","","","","MarkupCode|TransTableId|TransRecId","TPP","492",$L150),"")</f>
        <v/>
      </c>
    </row>
    <row r="151" spans="1:14">
      <c r="A151" s="8" t="s">
        <v>655</v>
      </c>
      <c r="B151" s="8" t="s">
        <v>768</v>
      </c>
      <c r="C151" s="8" t="s">
        <v>369</v>
      </c>
      <c r="D151" s="8" t="s">
        <v>370</v>
      </c>
      <c r="E151" s="8" t="s">
        <v>237</v>
      </c>
      <c r="F151" s="8" t="s">
        <v>238</v>
      </c>
      <c r="G151" s="6">
        <v>43151</v>
      </c>
      <c r="H151" s="6">
        <v>43151</v>
      </c>
      <c r="I151" s="4">
        <v>10138</v>
      </c>
      <c r="J151" s="8" t="s">
        <v>66</v>
      </c>
      <c r="K151" s="8" t="s">
        <v>769</v>
      </c>
      <c r="L151" s="4" t="str">
        <f>IF(AtlasReport_1_Table_1[[#This Row],[Reference]]="Purchase order",_xll.AtlasFormulas.AtlasFunctions.AtlasTable("UAT",DataAreaId,"T.VendInvoiceTrans","%RecId","","","","","","","ItemId|PurchID|InventTransId",$C151,$B151,$K151),"")</f>
        <v/>
      </c>
      <c r="M151" s="4" t="str">
        <f>IF(AtlasReport_1_Table_1[[#This Row],[Reference]]="Purchase order",_xll.AtlasFormulas.AtlasFunctions.AtlasTable("UAT",DataAreaId,"T.MarkupTrans","%CurrencyCode","","","","","","","MarkupCode|TransRecId|TransTableId","TPP",$L151,"492"),"")</f>
        <v/>
      </c>
      <c r="N151" s="4" t="str">
        <f>IF(AtlasReport_1_Table_1[[#This Row],[Reference]]="Purchase order",_xll.AtlasFormulas.AtlasFunctions.AtlasBalance("UAT",DataAreaId,"T.MarkupTrans","Sum|Posted|0","","","","","","","MarkupCode|TransTableId|TransRecId","TPP","492",$L151),"")</f>
        <v/>
      </c>
    </row>
    <row r="152" spans="1:14">
      <c r="A152" s="8" t="s">
        <v>655</v>
      </c>
      <c r="B152" s="8" t="s">
        <v>770</v>
      </c>
      <c r="C152" s="8" t="s">
        <v>267</v>
      </c>
      <c r="D152" s="8" t="s">
        <v>368</v>
      </c>
      <c r="E152" s="8" t="s">
        <v>237</v>
      </c>
      <c r="F152" s="8" t="s">
        <v>238</v>
      </c>
      <c r="G152" s="6">
        <v>43151</v>
      </c>
      <c r="H152" s="6">
        <v>43151</v>
      </c>
      <c r="I152" s="4">
        <v>405</v>
      </c>
      <c r="J152" s="8" t="s">
        <v>22</v>
      </c>
      <c r="K152" s="8" t="s">
        <v>771</v>
      </c>
      <c r="L152" s="4" t="str">
        <f>IF(AtlasReport_1_Table_1[[#This Row],[Reference]]="Purchase order",_xll.AtlasFormulas.AtlasFunctions.AtlasTable("UAT",DataAreaId,"T.VendInvoiceTrans","%RecId","","","","","","","ItemId|PurchID|InventTransId",$C152,$B152,$K152),"")</f>
        <v/>
      </c>
      <c r="M152" s="4" t="str">
        <f>IF(AtlasReport_1_Table_1[[#This Row],[Reference]]="Purchase order",_xll.AtlasFormulas.AtlasFunctions.AtlasTable("UAT",DataAreaId,"T.MarkupTrans","%CurrencyCode","","","","","","","MarkupCode|TransRecId|TransTableId","TPP",$L152,"492"),"")</f>
        <v/>
      </c>
      <c r="N152" s="4" t="str">
        <f>IF(AtlasReport_1_Table_1[[#This Row],[Reference]]="Purchase order",_xll.AtlasFormulas.AtlasFunctions.AtlasBalance("UAT",DataAreaId,"T.MarkupTrans","Sum|Posted|0","","","","","","","MarkupCode|TransTableId|TransRecId","TPP","492",$L152),"")</f>
        <v/>
      </c>
    </row>
    <row r="153" spans="1:14">
      <c r="A153" s="8" t="s">
        <v>655</v>
      </c>
      <c r="B153" s="8" t="s">
        <v>772</v>
      </c>
      <c r="C153" s="8" t="s">
        <v>369</v>
      </c>
      <c r="D153" s="8" t="s">
        <v>370</v>
      </c>
      <c r="E153" s="8" t="s">
        <v>237</v>
      </c>
      <c r="F153" s="8" t="s">
        <v>238</v>
      </c>
      <c r="G153" s="6">
        <v>43151</v>
      </c>
      <c r="H153" s="6">
        <v>43151</v>
      </c>
      <c r="I153" s="4">
        <v>2027.6</v>
      </c>
      <c r="J153" s="8" t="s">
        <v>66</v>
      </c>
      <c r="K153" s="8" t="s">
        <v>773</v>
      </c>
      <c r="L153" s="4" t="str">
        <f>IF(AtlasReport_1_Table_1[[#This Row],[Reference]]="Purchase order",_xll.AtlasFormulas.AtlasFunctions.AtlasTable("UAT",DataAreaId,"T.VendInvoiceTrans","%RecId","","","","","","","ItemId|PurchID|InventTransId",$C153,$B153,$K153),"")</f>
        <v/>
      </c>
      <c r="M153" s="4" t="str">
        <f>IF(AtlasReport_1_Table_1[[#This Row],[Reference]]="Purchase order",_xll.AtlasFormulas.AtlasFunctions.AtlasTable("UAT",DataAreaId,"T.MarkupTrans","%CurrencyCode","","","","","","","MarkupCode|TransRecId|TransTableId","TPP",$L153,"492"),"")</f>
        <v/>
      </c>
      <c r="N153" s="4" t="str">
        <f>IF(AtlasReport_1_Table_1[[#This Row],[Reference]]="Purchase order",_xll.AtlasFormulas.AtlasFunctions.AtlasBalance("UAT",DataAreaId,"T.MarkupTrans","Sum|Posted|0","","","","","","","MarkupCode|TransTableId|TransRecId","TPP","492",$L153),"")</f>
        <v/>
      </c>
    </row>
    <row r="154" spans="1:14">
      <c r="A154" s="8" t="s">
        <v>655</v>
      </c>
      <c r="B154" s="8" t="s">
        <v>774</v>
      </c>
      <c r="C154" s="8" t="s">
        <v>267</v>
      </c>
      <c r="D154" s="8" t="s">
        <v>368</v>
      </c>
      <c r="E154" s="8" t="s">
        <v>237</v>
      </c>
      <c r="F154" s="8" t="s">
        <v>238</v>
      </c>
      <c r="G154" s="6">
        <v>43151</v>
      </c>
      <c r="H154" s="6">
        <v>43151</v>
      </c>
      <c r="I154" s="4">
        <v>81</v>
      </c>
      <c r="J154" s="8" t="s">
        <v>22</v>
      </c>
      <c r="K154" s="8" t="s">
        <v>775</v>
      </c>
      <c r="L154" s="4" t="str">
        <f>IF(AtlasReport_1_Table_1[[#This Row],[Reference]]="Purchase order",_xll.AtlasFormulas.AtlasFunctions.AtlasTable("UAT",DataAreaId,"T.VendInvoiceTrans","%RecId","","","","","","","ItemId|PurchID|InventTransId",$C154,$B154,$K154),"")</f>
        <v/>
      </c>
      <c r="M154" s="4" t="str">
        <f>IF(AtlasReport_1_Table_1[[#This Row],[Reference]]="Purchase order",_xll.AtlasFormulas.AtlasFunctions.AtlasTable("UAT",DataAreaId,"T.MarkupTrans","%CurrencyCode","","","","","","","MarkupCode|TransRecId|TransTableId","TPP",$L154,"492"),"")</f>
        <v/>
      </c>
      <c r="N154" s="4" t="str">
        <f>IF(AtlasReport_1_Table_1[[#This Row],[Reference]]="Purchase order",_xll.AtlasFormulas.AtlasFunctions.AtlasBalance("UAT",DataAreaId,"T.MarkupTrans","Sum|Posted|0","","","","","","","MarkupCode|TransTableId|TransRecId","TPP","492",$L154),"")</f>
        <v/>
      </c>
    </row>
    <row r="155" spans="1:14">
      <c r="A155" s="8" t="s">
        <v>655</v>
      </c>
      <c r="B155" s="8" t="s">
        <v>776</v>
      </c>
      <c r="C155" s="8" t="s">
        <v>632</v>
      </c>
      <c r="D155" s="8" t="s">
        <v>633</v>
      </c>
      <c r="E155" s="8" t="s">
        <v>237</v>
      </c>
      <c r="F155" s="8" t="s">
        <v>238</v>
      </c>
      <c r="G155" s="6">
        <v>43157</v>
      </c>
      <c r="H155" s="6">
        <v>43157</v>
      </c>
      <c r="I155" s="4">
        <v>14</v>
      </c>
      <c r="J155" s="8" t="s">
        <v>22</v>
      </c>
      <c r="K155" s="8" t="s">
        <v>777</v>
      </c>
      <c r="L155" s="4" t="str">
        <f>IF(AtlasReport_1_Table_1[[#This Row],[Reference]]="Purchase order",_xll.AtlasFormulas.AtlasFunctions.AtlasTable("UAT",DataAreaId,"T.VendInvoiceTrans","%RecId","","","","","","","ItemId|PurchID|InventTransId",$C155,$B155,$K155),"")</f>
        <v/>
      </c>
      <c r="M155" s="4" t="str">
        <f>IF(AtlasReport_1_Table_1[[#This Row],[Reference]]="Purchase order",_xll.AtlasFormulas.AtlasFunctions.AtlasTable("UAT",DataAreaId,"T.MarkupTrans","%CurrencyCode","","","","","","","MarkupCode|TransRecId|TransTableId","TPP",$L155,"492"),"")</f>
        <v/>
      </c>
      <c r="N155" s="4" t="str">
        <f>IF(AtlasReport_1_Table_1[[#This Row],[Reference]]="Purchase order",_xll.AtlasFormulas.AtlasFunctions.AtlasBalance("UAT",DataAreaId,"T.MarkupTrans","Sum|Posted|0","","","","","","","MarkupCode|TransTableId|TransRecId","TPP","492",$L155),"")</f>
        <v/>
      </c>
    </row>
    <row r="156" spans="1:14">
      <c r="A156" s="8" t="s">
        <v>655</v>
      </c>
      <c r="B156" s="8" t="s">
        <v>778</v>
      </c>
      <c r="C156" s="8" t="s">
        <v>635</v>
      </c>
      <c r="D156" s="8" t="s">
        <v>636</v>
      </c>
      <c r="E156" s="8" t="s">
        <v>237</v>
      </c>
      <c r="F156" s="8" t="s">
        <v>238</v>
      </c>
      <c r="G156" s="6">
        <v>43157</v>
      </c>
      <c r="H156" s="6">
        <v>43157</v>
      </c>
      <c r="I156" s="4">
        <v>20</v>
      </c>
      <c r="J156" s="8" t="s">
        <v>22</v>
      </c>
      <c r="K156" s="8" t="s">
        <v>779</v>
      </c>
      <c r="L156" s="4" t="str">
        <f>IF(AtlasReport_1_Table_1[[#This Row],[Reference]]="Purchase order",_xll.AtlasFormulas.AtlasFunctions.AtlasTable("UAT",DataAreaId,"T.VendInvoiceTrans","%RecId","","","","","","","ItemId|PurchID|InventTransId",$C156,$B156,$K156),"")</f>
        <v/>
      </c>
      <c r="M156" s="4" t="str">
        <f>IF(AtlasReport_1_Table_1[[#This Row],[Reference]]="Purchase order",_xll.AtlasFormulas.AtlasFunctions.AtlasTable("UAT",DataAreaId,"T.MarkupTrans","%CurrencyCode","","","","","","","MarkupCode|TransRecId|TransTableId","TPP",$L156,"492"),"")</f>
        <v/>
      </c>
      <c r="N156" s="4" t="str">
        <f>IF(AtlasReport_1_Table_1[[#This Row],[Reference]]="Purchase order",_xll.AtlasFormulas.AtlasFunctions.AtlasBalance("UAT",DataAreaId,"T.MarkupTrans","Sum|Posted|0","","","","","","","MarkupCode|TransTableId|TransRecId","TPP","492",$L156),"")</f>
        <v/>
      </c>
    </row>
    <row r="157" spans="1:14">
      <c r="A157" s="8" t="s">
        <v>655</v>
      </c>
      <c r="B157" s="8" t="s">
        <v>780</v>
      </c>
      <c r="C157" s="8" t="s">
        <v>394</v>
      </c>
      <c r="D157" s="8" t="s">
        <v>395</v>
      </c>
      <c r="E157" s="8" t="s">
        <v>237</v>
      </c>
      <c r="F157" s="8" t="s">
        <v>238</v>
      </c>
      <c r="G157" s="6">
        <v>43157</v>
      </c>
      <c r="H157" s="6">
        <v>43157</v>
      </c>
      <c r="I157" s="4">
        <v>1072.7</v>
      </c>
      <c r="J157" s="8" t="s">
        <v>66</v>
      </c>
      <c r="K157" s="8" t="s">
        <v>781</v>
      </c>
      <c r="L157" s="4" t="str">
        <f>IF(AtlasReport_1_Table_1[[#This Row],[Reference]]="Purchase order",_xll.AtlasFormulas.AtlasFunctions.AtlasTable("UAT",DataAreaId,"T.VendInvoiceTrans","%RecId","","","","","","","ItemId|PurchID|InventTransId",$C157,$B157,$K157),"")</f>
        <v/>
      </c>
      <c r="M157" s="4" t="str">
        <f>IF(AtlasReport_1_Table_1[[#This Row],[Reference]]="Purchase order",_xll.AtlasFormulas.AtlasFunctions.AtlasTable("UAT",DataAreaId,"T.MarkupTrans","%CurrencyCode","","","","","","","MarkupCode|TransRecId|TransTableId","TPP",$L157,"492"),"")</f>
        <v/>
      </c>
      <c r="N157" s="4" t="str">
        <f>IF(AtlasReport_1_Table_1[[#This Row],[Reference]]="Purchase order",_xll.AtlasFormulas.AtlasFunctions.AtlasBalance("UAT",DataAreaId,"T.MarkupTrans","Sum|Posted|0","","","","","","","MarkupCode|TransTableId|TransRecId","TPP","492",$L157),"")</f>
        <v/>
      </c>
    </row>
    <row r="158" spans="1:14">
      <c r="A158" s="8" t="s">
        <v>655</v>
      </c>
      <c r="B158" s="8" t="s">
        <v>782</v>
      </c>
      <c r="C158" s="8" t="s">
        <v>274</v>
      </c>
      <c r="D158" s="8" t="s">
        <v>393</v>
      </c>
      <c r="E158" s="8" t="s">
        <v>237</v>
      </c>
      <c r="F158" s="8" t="s">
        <v>238</v>
      </c>
      <c r="G158" s="6">
        <v>43157</v>
      </c>
      <c r="H158" s="6">
        <v>43157</v>
      </c>
      <c r="I158" s="4">
        <v>42</v>
      </c>
      <c r="J158" s="8" t="s">
        <v>22</v>
      </c>
      <c r="K158" s="8" t="s">
        <v>783</v>
      </c>
      <c r="L158" s="4" t="str">
        <f>IF(AtlasReport_1_Table_1[[#This Row],[Reference]]="Purchase order",_xll.AtlasFormulas.AtlasFunctions.AtlasTable("UAT",DataAreaId,"T.VendInvoiceTrans","%RecId","","","","","","","ItemId|PurchID|InventTransId",$C158,$B158,$K158),"")</f>
        <v/>
      </c>
      <c r="M158" s="4" t="str">
        <f>IF(AtlasReport_1_Table_1[[#This Row],[Reference]]="Purchase order",_xll.AtlasFormulas.AtlasFunctions.AtlasTable("UAT",DataAreaId,"T.MarkupTrans","%CurrencyCode","","","","","","","MarkupCode|TransRecId|TransTableId","TPP",$L158,"492"),"")</f>
        <v/>
      </c>
      <c r="N158" s="4" t="str">
        <f>IF(AtlasReport_1_Table_1[[#This Row],[Reference]]="Purchase order",_xll.AtlasFormulas.AtlasFunctions.AtlasBalance("UAT",DataAreaId,"T.MarkupTrans","Sum|Posted|0","","","","","","","MarkupCode|TransTableId|TransRecId","TPP","492",$L158),"")</f>
        <v/>
      </c>
    </row>
    <row r="159" spans="1:14">
      <c r="A159" s="8" t="s">
        <v>655</v>
      </c>
      <c r="B159" s="8" t="s">
        <v>784</v>
      </c>
      <c r="C159" s="8" t="s">
        <v>689</v>
      </c>
      <c r="D159" s="8" t="s">
        <v>690</v>
      </c>
      <c r="E159" s="8" t="s">
        <v>237</v>
      </c>
      <c r="F159" s="8" t="s">
        <v>238</v>
      </c>
      <c r="G159" s="6">
        <v>43157</v>
      </c>
      <c r="H159" s="6">
        <v>43157</v>
      </c>
      <c r="I159" s="4">
        <v>1029.0999999999999</v>
      </c>
      <c r="J159" s="8" t="s">
        <v>66</v>
      </c>
      <c r="K159" s="8" t="s">
        <v>785</v>
      </c>
      <c r="L159" s="4" t="str">
        <f>IF(AtlasReport_1_Table_1[[#This Row],[Reference]]="Purchase order",_xll.AtlasFormulas.AtlasFunctions.AtlasTable("UAT",DataAreaId,"T.VendInvoiceTrans","%RecId","","","","","","","ItemId|PurchID|InventTransId",$C159,$B159,$K159),"")</f>
        <v/>
      </c>
      <c r="M159" s="4" t="str">
        <f>IF(AtlasReport_1_Table_1[[#This Row],[Reference]]="Purchase order",_xll.AtlasFormulas.AtlasFunctions.AtlasTable("UAT",DataAreaId,"T.MarkupTrans","%CurrencyCode","","","","","","","MarkupCode|TransRecId|TransTableId","TPP",$L159,"492"),"")</f>
        <v/>
      </c>
      <c r="N159" s="4" t="str">
        <f>IF(AtlasReport_1_Table_1[[#This Row],[Reference]]="Purchase order",_xll.AtlasFormulas.AtlasFunctions.AtlasBalance("UAT",DataAreaId,"T.MarkupTrans","Sum|Posted|0","","","","","","","MarkupCode|TransTableId|TransRecId","TPP","492",$L159),"")</f>
        <v/>
      </c>
    </row>
    <row r="160" spans="1:14">
      <c r="A160" s="8" t="s">
        <v>655</v>
      </c>
      <c r="B160" s="8" t="s">
        <v>786</v>
      </c>
      <c r="C160" s="8" t="s">
        <v>506</v>
      </c>
      <c r="D160" s="8" t="s">
        <v>507</v>
      </c>
      <c r="E160" s="8" t="s">
        <v>237</v>
      </c>
      <c r="F160" s="8" t="s">
        <v>238</v>
      </c>
      <c r="G160" s="6">
        <v>43157</v>
      </c>
      <c r="H160" s="6">
        <v>43157</v>
      </c>
      <c r="I160" s="4">
        <v>41</v>
      </c>
      <c r="J160" s="8" t="s">
        <v>22</v>
      </c>
      <c r="K160" s="8" t="s">
        <v>787</v>
      </c>
      <c r="L160" s="4" t="str">
        <f>IF(AtlasReport_1_Table_1[[#This Row],[Reference]]="Purchase order",_xll.AtlasFormulas.AtlasFunctions.AtlasTable("UAT",DataAreaId,"T.VendInvoiceTrans","%RecId","","","","","","","ItemId|PurchID|InventTransId",$C160,$B160,$K160),"")</f>
        <v/>
      </c>
      <c r="M160" s="4" t="str">
        <f>IF(AtlasReport_1_Table_1[[#This Row],[Reference]]="Purchase order",_xll.AtlasFormulas.AtlasFunctions.AtlasTable("UAT",DataAreaId,"T.MarkupTrans","%CurrencyCode","","","","","","","MarkupCode|TransRecId|TransTableId","TPP",$L160,"492"),"")</f>
        <v/>
      </c>
      <c r="N160" s="4" t="str">
        <f>IF(AtlasReport_1_Table_1[[#This Row],[Reference]]="Purchase order",_xll.AtlasFormulas.AtlasFunctions.AtlasBalance("UAT",DataAreaId,"T.MarkupTrans","Sum|Posted|0","","","","","","","MarkupCode|TransTableId|TransRecId","TPP","492",$L160),"")</f>
        <v/>
      </c>
    </row>
    <row r="161" spans="1:14">
      <c r="A161" s="8" t="s">
        <v>655</v>
      </c>
      <c r="B161" s="8" t="s">
        <v>788</v>
      </c>
      <c r="C161" s="8" t="s">
        <v>369</v>
      </c>
      <c r="D161" s="8" t="s">
        <v>370</v>
      </c>
      <c r="E161" s="8" t="s">
        <v>237</v>
      </c>
      <c r="F161" s="8" t="s">
        <v>238</v>
      </c>
      <c r="G161" s="6">
        <v>43157</v>
      </c>
      <c r="H161" s="6">
        <v>43157</v>
      </c>
      <c r="I161" s="4">
        <v>1013.8</v>
      </c>
      <c r="J161" s="8" t="s">
        <v>66</v>
      </c>
      <c r="K161" s="8" t="s">
        <v>789</v>
      </c>
      <c r="L161" s="4" t="str">
        <f>IF(AtlasReport_1_Table_1[[#This Row],[Reference]]="Purchase order",_xll.AtlasFormulas.AtlasFunctions.AtlasTable("UAT",DataAreaId,"T.VendInvoiceTrans","%RecId","","","","","","","ItemId|PurchID|InventTransId",$C161,$B161,$K161),"")</f>
        <v/>
      </c>
      <c r="M161" s="4" t="str">
        <f>IF(AtlasReport_1_Table_1[[#This Row],[Reference]]="Purchase order",_xll.AtlasFormulas.AtlasFunctions.AtlasTable("UAT",DataAreaId,"T.MarkupTrans","%CurrencyCode","","","","","","","MarkupCode|TransRecId|TransTableId","TPP",$L161,"492"),"")</f>
        <v/>
      </c>
      <c r="N161" s="4" t="str">
        <f>IF(AtlasReport_1_Table_1[[#This Row],[Reference]]="Purchase order",_xll.AtlasFormulas.AtlasFunctions.AtlasBalance("UAT",DataAreaId,"T.MarkupTrans","Sum|Posted|0","","","","","","","MarkupCode|TransTableId|TransRecId","TPP","492",$L161),"")</f>
        <v/>
      </c>
    </row>
    <row r="162" spans="1:14">
      <c r="A162" s="8" t="s">
        <v>655</v>
      </c>
      <c r="B162" s="8" t="s">
        <v>790</v>
      </c>
      <c r="C162" s="8" t="s">
        <v>267</v>
      </c>
      <c r="D162" s="8" t="s">
        <v>368</v>
      </c>
      <c r="E162" s="8" t="s">
        <v>237</v>
      </c>
      <c r="F162" s="8" t="s">
        <v>238</v>
      </c>
      <c r="G162" s="6">
        <v>43157</v>
      </c>
      <c r="H162" s="6">
        <v>43157</v>
      </c>
      <c r="I162" s="4">
        <v>40</v>
      </c>
      <c r="J162" s="8" t="s">
        <v>22</v>
      </c>
      <c r="K162" s="8" t="s">
        <v>791</v>
      </c>
      <c r="L162" s="4" t="str">
        <f>IF(AtlasReport_1_Table_1[[#This Row],[Reference]]="Purchase order",_xll.AtlasFormulas.AtlasFunctions.AtlasTable("UAT",DataAreaId,"T.VendInvoiceTrans","%RecId","","","","","","","ItemId|PurchID|InventTransId",$C162,$B162,$K162),"")</f>
        <v/>
      </c>
      <c r="M162" s="4" t="str">
        <f>IF(AtlasReport_1_Table_1[[#This Row],[Reference]]="Purchase order",_xll.AtlasFormulas.AtlasFunctions.AtlasTable("UAT",DataAreaId,"T.MarkupTrans","%CurrencyCode","","","","","","","MarkupCode|TransRecId|TransTableId","TPP",$L162,"492"),"")</f>
        <v/>
      </c>
      <c r="N162" s="4" t="str">
        <f>IF(AtlasReport_1_Table_1[[#This Row],[Reference]]="Purchase order",_xll.AtlasFormulas.AtlasFunctions.AtlasBalance("UAT",DataAreaId,"T.MarkupTrans","Sum|Posted|0","","","","","","","MarkupCode|TransTableId|TransRecId","TPP","492",$L162),"")</f>
        <v/>
      </c>
    </row>
    <row r="163" spans="1:14">
      <c r="A163" s="8" t="s">
        <v>655</v>
      </c>
      <c r="B163" s="8" t="s">
        <v>792</v>
      </c>
      <c r="C163" s="8" t="s">
        <v>337</v>
      </c>
      <c r="D163" s="8" t="s">
        <v>338</v>
      </c>
      <c r="E163" s="8" t="s">
        <v>237</v>
      </c>
      <c r="F163" s="8" t="s">
        <v>238</v>
      </c>
      <c r="G163" s="6">
        <v>43158</v>
      </c>
      <c r="H163" s="6">
        <v>43158</v>
      </c>
      <c r="I163" s="4">
        <v>2</v>
      </c>
      <c r="J163" s="8" t="s">
        <v>22</v>
      </c>
      <c r="K163" s="8" t="s">
        <v>793</v>
      </c>
      <c r="L163" s="4" t="str">
        <f>IF(AtlasReport_1_Table_1[[#This Row],[Reference]]="Purchase order",_xll.AtlasFormulas.AtlasFunctions.AtlasTable("UAT",DataAreaId,"T.VendInvoiceTrans","%RecId","","","","","","","ItemId|PurchID|InventTransId",$C163,$B163,$K163),"")</f>
        <v/>
      </c>
      <c r="M163" s="4" t="str">
        <f>IF(AtlasReport_1_Table_1[[#This Row],[Reference]]="Purchase order",_xll.AtlasFormulas.AtlasFunctions.AtlasTable("UAT",DataAreaId,"T.MarkupTrans","%CurrencyCode","","","","","","","MarkupCode|TransRecId|TransTableId","TPP",$L163,"492"),"")</f>
        <v/>
      </c>
      <c r="N163" s="4" t="str">
        <f>IF(AtlasReport_1_Table_1[[#This Row],[Reference]]="Purchase order",_xll.AtlasFormulas.AtlasFunctions.AtlasBalance("UAT",DataAreaId,"T.MarkupTrans","Sum|Posted|0","","","","","","","MarkupCode|TransTableId|TransRecId","TPP","492",$L163),"")</f>
        <v/>
      </c>
    </row>
    <row r="164" spans="1:14">
      <c r="A164" s="8" t="s">
        <v>655</v>
      </c>
      <c r="B164" s="8" t="s">
        <v>794</v>
      </c>
      <c r="C164" s="8" t="s">
        <v>375</v>
      </c>
      <c r="D164" s="8" t="s">
        <v>376</v>
      </c>
      <c r="E164" s="8" t="s">
        <v>237</v>
      </c>
      <c r="F164" s="8" t="s">
        <v>238</v>
      </c>
      <c r="G164" s="6">
        <v>43159</v>
      </c>
      <c r="H164" s="6">
        <v>43159</v>
      </c>
      <c r="I164" s="4">
        <v>5100</v>
      </c>
      <c r="J164" s="8" t="s">
        <v>66</v>
      </c>
      <c r="K164" s="8" t="s">
        <v>795</v>
      </c>
      <c r="L164" s="4" t="str">
        <f>IF(AtlasReport_1_Table_1[[#This Row],[Reference]]="Purchase order",_xll.AtlasFormulas.AtlasFunctions.AtlasTable("UAT",DataAreaId,"T.VendInvoiceTrans","%RecId","","","","","","","ItemId|PurchID|InventTransId",$C164,$B164,$K164),"")</f>
        <v/>
      </c>
      <c r="M164" s="4" t="str">
        <f>IF(AtlasReport_1_Table_1[[#This Row],[Reference]]="Purchase order",_xll.AtlasFormulas.AtlasFunctions.AtlasTable("UAT",DataAreaId,"T.MarkupTrans","%CurrencyCode","","","","","","","MarkupCode|TransRecId|TransTableId","TPP",$L164,"492"),"")</f>
        <v/>
      </c>
      <c r="N164" s="4" t="str">
        <f>IF(AtlasReport_1_Table_1[[#This Row],[Reference]]="Purchase order",_xll.AtlasFormulas.AtlasFunctions.AtlasBalance("UAT",DataAreaId,"T.MarkupTrans","Sum|Posted|0","","","","","","","MarkupCode|TransTableId|TransRecId","TPP","492",$L164),"")</f>
        <v/>
      </c>
    </row>
    <row r="165" spans="1:14">
      <c r="A165" s="8" t="s">
        <v>655</v>
      </c>
      <c r="B165" s="8" t="s">
        <v>796</v>
      </c>
      <c r="C165" s="8" t="s">
        <v>269</v>
      </c>
      <c r="D165" s="8" t="s">
        <v>374</v>
      </c>
      <c r="E165" s="8" t="s">
        <v>237</v>
      </c>
      <c r="F165" s="8" t="s">
        <v>238</v>
      </c>
      <c r="G165" s="6">
        <v>43159</v>
      </c>
      <c r="H165" s="6">
        <v>43159</v>
      </c>
      <c r="I165" s="4">
        <v>204</v>
      </c>
      <c r="J165" s="8" t="s">
        <v>22</v>
      </c>
      <c r="K165" s="8" t="s">
        <v>797</v>
      </c>
      <c r="L165" s="4" t="str">
        <f>IF(AtlasReport_1_Table_1[[#This Row],[Reference]]="Purchase order",_xll.AtlasFormulas.AtlasFunctions.AtlasTable("UAT",DataAreaId,"T.VendInvoiceTrans","%RecId","","","","","","","ItemId|PurchID|InventTransId",$C165,$B165,$K165),"")</f>
        <v/>
      </c>
      <c r="M165" s="4" t="str">
        <f>IF(AtlasReport_1_Table_1[[#This Row],[Reference]]="Purchase order",_xll.AtlasFormulas.AtlasFunctions.AtlasTable("UAT",DataAreaId,"T.MarkupTrans","%CurrencyCode","","","","","","","MarkupCode|TransRecId|TransTableId","TPP",$L165,"492"),"")</f>
        <v/>
      </c>
      <c r="N165" s="4" t="str">
        <f>IF(AtlasReport_1_Table_1[[#This Row],[Reference]]="Purchase order",_xll.AtlasFormulas.AtlasFunctions.AtlasBalance("UAT",DataAreaId,"T.MarkupTrans","Sum|Posted|0","","","","","","","MarkupCode|TransTableId|TransRecId","TPP","492",$L165),"")</f>
        <v/>
      </c>
    </row>
    <row r="166" spans="1:14">
      <c r="A166" s="8" t="s">
        <v>15</v>
      </c>
      <c r="B166" s="8" t="s">
        <v>798</v>
      </c>
      <c r="C166" s="8" t="s">
        <v>266</v>
      </c>
      <c r="D166" s="8" t="s">
        <v>367</v>
      </c>
      <c r="E166" s="8" t="s">
        <v>237</v>
      </c>
      <c r="F166" s="8" t="s">
        <v>238</v>
      </c>
      <c r="G166" s="6">
        <v>43103</v>
      </c>
      <c r="H166" s="6">
        <v>43105</v>
      </c>
      <c r="I166" s="4">
        <v>125</v>
      </c>
      <c r="J166" s="8" t="s">
        <v>66</v>
      </c>
      <c r="K166" s="8" t="s">
        <v>799</v>
      </c>
      <c r="L166" s="4" t="str">
        <f>IF(AtlasReport_1_Table_1[[#This Row],[Reference]]="Purchase order",_xll.AtlasFormulas.AtlasFunctions.AtlasTable("UAT",DataAreaId,"T.VendInvoiceTrans","%RecId","","","","","","","ItemId|PurchID|InventTransId",$C166,$B166,$K166),"")</f>
        <v>5637299212</v>
      </c>
      <c r="M166" s="4" t="str">
        <f>IF(AtlasReport_1_Table_1[[#This Row],[Reference]]="Purchase order",_xll.AtlasFormulas.AtlasFunctions.AtlasTable("UAT",DataAreaId,"T.MarkupTrans","%CurrencyCode","","","","","","","MarkupCode|TransRecId|TransTableId","TPP",$L166,"492"),"")</f>
        <v/>
      </c>
      <c r="N166" s="4">
        <f>IF(AtlasReport_1_Table_1[[#This Row],[Reference]]="Purchase order",_xll.AtlasFormulas.AtlasFunctions.AtlasBalance("UAT",DataAreaId,"T.MarkupTrans","Sum|Posted|0","","","","","","","MarkupCode|TransTableId|TransRecId","TPP","492",$L166),"")</f>
        <v>0</v>
      </c>
    </row>
    <row r="167" spans="1:14">
      <c r="A167" s="8" t="s">
        <v>15</v>
      </c>
      <c r="B167" s="8" t="s">
        <v>800</v>
      </c>
      <c r="C167" s="8" t="s">
        <v>64</v>
      </c>
      <c r="D167" s="8" t="s">
        <v>65</v>
      </c>
      <c r="E167" s="8" t="s">
        <v>237</v>
      </c>
      <c r="F167" s="8" t="s">
        <v>238</v>
      </c>
      <c r="G167" s="6">
        <v>43130</v>
      </c>
      <c r="H167" s="6">
        <v>43123</v>
      </c>
      <c r="I167" s="4">
        <v>400</v>
      </c>
      <c r="J167" s="8" t="s">
        <v>24</v>
      </c>
      <c r="K167" s="8" t="s">
        <v>801</v>
      </c>
      <c r="L167" s="4" t="str">
        <f>IF(AtlasReport_1_Table_1[[#This Row],[Reference]]="Purchase order",_xll.AtlasFormulas.AtlasFunctions.AtlasTable("UAT",DataAreaId,"T.VendInvoiceTrans","%RecId","","","","","","","ItemId|PurchID|InventTransId",$C167,$B167,$K167),"")</f>
        <v>5637299213</v>
      </c>
      <c r="M167" s="4" t="str">
        <f>IF(AtlasReport_1_Table_1[[#This Row],[Reference]]="Purchase order",_xll.AtlasFormulas.AtlasFunctions.AtlasTable("UAT",DataAreaId,"T.MarkupTrans","%CurrencyCode","","","","","","","MarkupCode|TransRecId|TransTableId","TPP",$L167,"492"),"")</f>
        <v/>
      </c>
      <c r="N167" s="4">
        <f>IF(AtlasReport_1_Table_1[[#This Row],[Reference]]="Purchase order",_xll.AtlasFormulas.AtlasFunctions.AtlasBalance("UAT",DataAreaId,"T.MarkupTrans","Sum|Posted|0","","","","","","","MarkupCode|TransTableId|TransRecId","TPP","492",$L167),"")</f>
        <v>0</v>
      </c>
    </row>
    <row r="168" spans="1:14">
      <c r="A168" s="8" t="s">
        <v>15</v>
      </c>
      <c r="B168" s="8" t="s">
        <v>800</v>
      </c>
      <c r="C168" s="8" t="s">
        <v>58</v>
      </c>
      <c r="D168" s="8" t="s">
        <v>59</v>
      </c>
      <c r="E168" s="8" t="s">
        <v>237</v>
      </c>
      <c r="F168" s="8" t="s">
        <v>238</v>
      </c>
      <c r="G168" s="6">
        <v>43130</v>
      </c>
      <c r="H168" s="6">
        <v>43123</v>
      </c>
      <c r="I168" s="4">
        <v>400</v>
      </c>
      <c r="J168" s="8" t="s">
        <v>24</v>
      </c>
      <c r="K168" s="8" t="s">
        <v>802</v>
      </c>
      <c r="L168" s="4" t="str">
        <f>IF(AtlasReport_1_Table_1[[#This Row],[Reference]]="Purchase order",_xll.AtlasFormulas.AtlasFunctions.AtlasTable("UAT",DataAreaId,"T.VendInvoiceTrans","%RecId","","","","","","","ItemId|PurchID|InventTransId",$C168,$B168,$K168),"")</f>
        <v>5637299214</v>
      </c>
      <c r="M168" s="4" t="str">
        <f>IF(AtlasReport_1_Table_1[[#This Row],[Reference]]="Purchase order",_xll.AtlasFormulas.AtlasFunctions.AtlasTable("UAT",DataAreaId,"T.MarkupTrans","%CurrencyCode","","","","","","","MarkupCode|TransRecId|TransTableId","TPP",$L168,"492"),"")</f>
        <v/>
      </c>
      <c r="N168" s="4">
        <f>IF(AtlasReport_1_Table_1[[#This Row],[Reference]]="Purchase order",_xll.AtlasFormulas.AtlasFunctions.AtlasBalance("UAT",DataAreaId,"T.MarkupTrans","Sum|Posted|0","","","","","","","MarkupCode|TransTableId|TransRecId","TPP","492",$L168),"")</f>
        <v>0</v>
      </c>
    </row>
    <row r="169" spans="1:14">
      <c r="A169" s="8" t="s">
        <v>15</v>
      </c>
      <c r="B169" s="8" t="s">
        <v>800</v>
      </c>
      <c r="C169" s="8" t="s">
        <v>40</v>
      </c>
      <c r="D169" s="8" t="s">
        <v>69</v>
      </c>
      <c r="E169" s="8" t="s">
        <v>237</v>
      </c>
      <c r="F169" s="8" t="s">
        <v>238</v>
      </c>
      <c r="G169" s="6">
        <v>43130</v>
      </c>
      <c r="H169" s="6">
        <v>43123</v>
      </c>
      <c r="I169" s="4">
        <v>400</v>
      </c>
      <c r="J169" s="8" t="s">
        <v>24</v>
      </c>
      <c r="K169" s="8" t="s">
        <v>803</v>
      </c>
      <c r="L169" s="4" t="str">
        <f>IF(AtlasReport_1_Table_1[[#This Row],[Reference]]="Purchase order",_xll.AtlasFormulas.AtlasFunctions.AtlasTable("UAT",DataAreaId,"T.VendInvoiceTrans","%RecId","","","","","","","ItemId|PurchID|InventTransId",$C169,$B169,$K169),"")</f>
        <v>5637299215</v>
      </c>
      <c r="M169" s="4" t="str">
        <f>IF(AtlasReport_1_Table_1[[#This Row],[Reference]]="Purchase order",_xll.AtlasFormulas.AtlasFunctions.AtlasTable("UAT",DataAreaId,"T.MarkupTrans","%CurrencyCode","","","","","","","MarkupCode|TransRecId|TransTableId","TPP",$L169,"492"),"")</f>
        <v/>
      </c>
      <c r="N169" s="4">
        <f>IF(AtlasReport_1_Table_1[[#This Row],[Reference]]="Purchase order",_xll.AtlasFormulas.AtlasFunctions.AtlasBalance("UAT",DataAreaId,"T.MarkupTrans","Sum|Posted|0","","","","","","","MarkupCode|TransTableId|TransRecId","TPP","492",$L169),"")</f>
        <v>0</v>
      </c>
    </row>
    <row r="170" spans="1:14">
      <c r="A170" s="8" t="s">
        <v>15</v>
      </c>
      <c r="B170" s="8" t="s">
        <v>804</v>
      </c>
      <c r="C170" s="8" t="s">
        <v>259</v>
      </c>
      <c r="D170" s="8" t="s">
        <v>352</v>
      </c>
      <c r="E170" s="8" t="s">
        <v>237</v>
      </c>
      <c r="F170" s="8" t="s">
        <v>249</v>
      </c>
      <c r="G170" s="6">
        <v>43103</v>
      </c>
      <c r="H170" s="6">
        <v>43115</v>
      </c>
      <c r="I170" s="4">
        <v>27460</v>
      </c>
      <c r="J170" s="8" t="s">
        <v>66</v>
      </c>
      <c r="K170" s="8" t="s">
        <v>805</v>
      </c>
      <c r="L170" s="4" t="str">
        <f>IF(AtlasReport_1_Table_1[[#This Row],[Reference]]="Purchase order",_xll.AtlasFormulas.AtlasFunctions.AtlasTable("UAT",DataAreaId,"T.VendInvoiceTrans","%RecId","","","","","","","ItemId|PurchID|InventTransId",$C170,$B170,$K170),"")</f>
        <v>5637299216</v>
      </c>
      <c r="M170" s="4" t="str">
        <f>IF(AtlasReport_1_Table_1[[#This Row],[Reference]]="Purchase order",_xll.AtlasFormulas.AtlasFunctions.AtlasTable("UAT",DataAreaId,"T.MarkupTrans","%CurrencyCode","","","","","","","MarkupCode|TransRecId|TransTableId","TPP",$L170,"492"),"")</f>
        <v/>
      </c>
      <c r="N170" s="4">
        <f>IF(AtlasReport_1_Table_1[[#This Row],[Reference]]="Purchase order",_xll.AtlasFormulas.AtlasFunctions.AtlasBalance("UAT",DataAreaId,"T.MarkupTrans","Sum|Posted|0","","","","","","","MarkupCode|TransTableId|TransRecId","TPP","492",$L170),"")</f>
        <v>0</v>
      </c>
    </row>
    <row r="171" spans="1:14">
      <c r="A171" s="8" t="s">
        <v>15</v>
      </c>
      <c r="B171" s="8" t="s">
        <v>806</v>
      </c>
      <c r="C171" s="8" t="s">
        <v>250</v>
      </c>
      <c r="D171" s="8" t="s">
        <v>329</v>
      </c>
      <c r="E171" s="8" t="s">
        <v>237</v>
      </c>
      <c r="F171" s="8" t="s">
        <v>249</v>
      </c>
      <c r="G171" s="6">
        <v>43103</v>
      </c>
      <c r="H171" s="6">
        <v>43131</v>
      </c>
      <c r="I171" s="4">
        <v>28360</v>
      </c>
      <c r="J171" s="8" t="s">
        <v>66</v>
      </c>
      <c r="K171" s="8" t="s">
        <v>807</v>
      </c>
      <c r="L171" s="4" t="str">
        <f>IF(AtlasReport_1_Table_1[[#This Row],[Reference]]="Purchase order",_xll.AtlasFormulas.AtlasFunctions.AtlasTable("UAT",DataAreaId,"T.VendInvoiceTrans","%RecId","","","","","","","ItemId|PurchID|InventTransId",$C171,$B171,$K171),"")</f>
        <v>5637299217</v>
      </c>
      <c r="M171" s="4" t="str">
        <f>IF(AtlasReport_1_Table_1[[#This Row],[Reference]]="Purchase order",_xll.AtlasFormulas.AtlasFunctions.AtlasTable("UAT",DataAreaId,"T.MarkupTrans","%CurrencyCode","","","","","","","MarkupCode|TransRecId|TransTableId","TPP",$L171,"492"),"")</f>
        <v/>
      </c>
      <c r="N171" s="4">
        <f>IF(AtlasReport_1_Table_1[[#This Row],[Reference]]="Purchase order",_xll.AtlasFormulas.AtlasFunctions.AtlasBalance("UAT",DataAreaId,"T.MarkupTrans","Sum|Posted|0","","","","","","","MarkupCode|TransTableId|TransRecId","TPP","492",$L171),"")</f>
        <v>0</v>
      </c>
    </row>
    <row r="172" spans="1:14">
      <c r="A172" s="8" t="s">
        <v>15</v>
      </c>
      <c r="B172" s="8" t="s">
        <v>808</v>
      </c>
      <c r="C172" s="8" t="s">
        <v>42</v>
      </c>
      <c r="D172" s="8" t="s">
        <v>363</v>
      </c>
      <c r="E172" s="8" t="s">
        <v>237</v>
      </c>
      <c r="F172" s="8" t="s">
        <v>238</v>
      </c>
      <c r="G172" s="6">
        <v>43111</v>
      </c>
      <c r="H172" s="6">
        <v>43130</v>
      </c>
      <c r="I172" s="4">
        <v>84</v>
      </c>
      <c r="J172" s="8" t="s">
        <v>22</v>
      </c>
      <c r="K172" s="8" t="s">
        <v>809</v>
      </c>
      <c r="L172" s="4" t="str">
        <f>IF(AtlasReport_1_Table_1[[#This Row],[Reference]]="Purchase order",_xll.AtlasFormulas.AtlasFunctions.AtlasTable("UAT",DataAreaId,"T.VendInvoiceTrans","%RecId","","","","","","","ItemId|PurchID|InventTransId",$C172,$B172,$K172),"")</f>
        <v>5637299235</v>
      </c>
      <c r="M172" s="4" t="str">
        <f>IF(AtlasReport_1_Table_1[[#This Row],[Reference]]="Purchase order",_xll.AtlasFormulas.AtlasFunctions.AtlasTable("UAT",DataAreaId,"T.MarkupTrans","%CurrencyCode","","","","","","","MarkupCode|TransRecId|TransTableId","TPP",$L172,"492"),"")</f>
        <v/>
      </c>
      <c r="N172" s="4">
        <f>IF(AtlasReport_1_Table_1[[#This Row],[Reference]]="Purchase order",_xll.AtlasFormulas.AtlasFunctions.AtlasBalance("UAT",DataAreaId,"T.MarkupTrans","Sum|Posted|0","","","","","","","MarkupCode|TransTableId|TransRecId","TPP","492",$L172),"")</f>
        <v>0</v>
      </c>
    </row>
    <row r="173" spans="1:14">
      <c r="A173" s="8" t="s">
        <v>15</v>
      </c>
      <c r="B173" s="8" t="s">
        <v>810</v>
      </c>
      <c r="C173" s="8" t="s">
        <v>42</v>
      </c>
      <c r="D173" s="8" t="s">
        <v>363</v>
      </c>
      <c r="E173" s="8" t="s">
        <v>237</v>
      </c>
      <c r="F173" s="8" t="s">
        <v>238</v>
      </c>
      <c r="G173" s="6">
        <v>43139</v>
      </c>
      <c r="H173" s="6">
        <v>43138</v>
      </c>
      <c r="I173" s="4">
        <v>112</v>
      </c>
      <c r="J173" s="8" t="s">
        <v>22</v>
      </c>
      <c r="K173" s="8" t="s">
        <v>811</v>
      </c>
      <c r="L173" s="4" t="str">
        <f>IF(AtlasReport_1_Table_1[[#This Row],[Reference]]="Purchase order",_xll.AtlasFormulas.AtlasFunctions.AtlasTable("UAT",DataAreaId,"T.VendInvoiceTrans","%RecId","","","","","","","ItemId|PurchID|InventTransId",$C173,$B173,$K173),"")</f>
        <v>5637299685</v>
      </c>
      <c r="M173" s="4" t="str">
        <f>IF(AtlasReport_1_Table_1[[#This Row],[Reference]]="Purchase order",_xll.AtlasFormulas.AtlasFunctions.AtlasTable("UAT",DataAreaId,"T.MarkupTrans","%CurrencyCode","","","","","","","MarkupCode|TransRecId|TransTableId","TPP",$L173,"492"),"")</f>
        <v/>
      </c>
      <c r="N173" s="4">
        <f>IF(AtlasReport_1_Table_1[[#This Row],[Reference]]="Purchase order",_xll.AtlasFormulas.AtlasFunctions.AtlasBalance("UAT",DataAreaId,"T.MarkupTrans","Sum|Posted|0","","","","","","","MarkupCode|TransTableId|TransRecId","TPP","492",$L173),"")</f>
        <v>0</v>
      </c>
    </row>
    <row r="174" spans="1:14">
      <c r="A174" s="8" t="s">
        <v>15</v>
      </c>
      <c r="B174" s="8" t="s">
        <v>812</v>
      </c>
      <c r="C174" s="8" t="s">
        <v>813</v>
      </c>
      <c r="D174" s="8" t="s">
        <v>814</v>
      </c>
      <c r="E174" s="8" t="s">
        <v>237</v>
      </c>
      <c r="F174" s="8" t="s">
        <v>238</v>
      </c>
      <c r="G174" s="6">
        <v>43108</v>
      </c>
      <c r="H174" s="6">
        <v>43131</v>
      </c>
      <c r="I174" s="4">
        <v>10</v>
      </c>
      <c r="J174" s="8" t="s">
        <v>22</v>
      </c>
      <c r="K174" s="8" t="s">
        <v>815</v>
      </c>
      <c r="L174" s="4" t="str">
        <f>IF(AtlasReport_1_Table_1[[#This Row],[Reference]]="Purchase order",_xll.AtlasFormulas.AtlasFunctions.AtlasTable("UAT",DataAreaId,"T.VendInvoiceTrans","%RecId","","","","","","","ItemId|PurchID|InventTransId",$C174,$B174,$K174),"")</f>
        <v>5637299239</v>
      </c>
      <c r="M174" s="4" t="str">
        <f>IF(AtlasReport_1_Table_1[[#This Row],[Reference]]="Purchase order",_xll.AtlasFormulas.AtlasFunctions.AtlasTable("UAT",DataAreaId,"T.MarkupTrans","%CurrencyCode","","","","","","","MarkupCode|TransRecId|TransTableId","TPP",$L174,"492"),"")</f>
        <v/>
      </c>
      <c r="N174" s="4">
        <f>IF(AtlasReport_1_Table_1[[#This Row],[Reference]]="Purchase order",_xll.AtlasFormulas.AtlasFunctions.AtlasBalance("UAT",DataAreaId,"T.MarkupTrans","Sum|Posted|0","","","","","","","MarkupCode|TransTableId|TransRecId","TPP","492",$L174),"")</f>
        <v>0</v>
      </c>
    </row>
    <row r="175" spans="1:14">
      <c r="A175" s="8" t="s">
        <v>15</v>
      </c>
      <c r="B175" s="8" t="s">
        <v>816</v>
      </c>
      <c r="C175" s="8" t="s">
        <v>64</v>
      </c>
      <c r="D175" s="8" t="s">
        <v>65</v>
      </c>
      <c r="E175" s="8" t="s">
        <v>237</v>
      </c>
      <c r="F175" s="8" t="s">
        <v>238</v>
      </c>
      <c r="G175" s="6">
        <v>43108</v>
      </c>
      <c r="H175" s="6">
        <v>43131</v>
      </c>
      <c r="I175" s="4">
        <v>2000</v>
      </c>
      <c r="J175" s="8" t="s">
        <v>24</v>
      </c>
      <c r="K175" s="8" t="s">
        <v>817</v>
      </c>
      <c r="L175" s="4" t="str">
        <f>IF(AtlasReport_1_Table_1[[#This Row],[Reference]]="Purchase order",_xll.AtlasFormulas.AtlasFunctions.AtlasTable("UAT",DataAreaId,"T.VendInvoiceTrans","%RecId","","","","","","","ItemId|PurchID|InventTransId",$C175,$B175,$K175),"")</f>
        <v>5637299240</v>
      </c>
      <c r="M175" s="4" t="str">
        <f>IF(AtlasReport_1_Table_1[[#This Row],[Reference]]="Purchase order",_xll.AtlasFormulas.AtlasFunctions.AtlasTable("UAT",DataAreaId,"T.MarkupTrans","%CurrencyCode","","","","","","","MarkupCode|TransRecId|TransTableId","TPP",$L175,"492"),"")</f>
        <v/>
      </c>
      <c r="N175" s="4">
        <f>IF(AtlasReport_1_Table_1[[#This Row],[Reference]]="Purchase order",_xll.AtlasFormulas.AtlasFunctions.AtlasBalance("UAT",DataAreaId,"T.MarkupTrans","Sum|Posted|0","","","","","","","MarkupCode|TransTableId|TransRecId","TPP","492",$L175),"")</f>
        <v>0</v>
      </c>
    </row>
    <row r="176" spans="1:14">
      <c r="A176" s="8" t="s">
        <v>15</v>
      </c>
      <c r="B176" s="8" t="s">
        <v>818</v>
      </c>
      <c r="C176" s="8" t="s">
        <v>819</v>
      </c>
      <c r="D176" s="8" t="s">
        <v>820</v>
      </c>
      <c r="E176" s="8" t="s">
        <v>237</v>
      </c>
      <c r="F176" s="8" t="s">
        <v>238</v>
      </c>
      <c r="G176" s="6">
        <v>43108</v>
      </c>
      <c r="H176" s="6">
        <v>43122</v>
      </c>
      <c r="I176" s="4">
        <v>5</v>
      </c>
      <c r="J176" s="8" t="s">
        <v>70</v>
      </c>
      <c r="K176" s="8" t="s">
        <v>821</v>
      </c>
      <c r="L176" s="4" t="str">
        <f>IF(AtlasReport_1_Table_1[[#This Row],[Reference]]="Purchase order",_xll.AtlasFormulas.AtlasFunctions.AtlasTable("UAT",DataAreaId,"T.VendInvoiceTrans","%RecId","","","","","","","ItemId|PurchID|InventTransId",$C176,$B176,$K176),"")</f>
        <v>5637299243</v>
      </c>
      <c r="M176" s="4" t="str">
        <f>IF(AtlasReport_1_Table_1[[#This Row],[Reference]]="Purchase order",_xll.AtlasFormulas.AtlasFunctions.AtlasTable("UAT",DataAreaId,"T.MarkupTrans","%CurrencyCode","","","","","","","MarkupCode|TransRecId|TransTableId","TPP",$L176,"492"),"")</f>
        <v/>
      </c>
      <c r="N176" s="4">
        <f>IF(AtlasReport_1_Table_1[[#This Row],[Reference]]="Purchase order",_xll.AtlasFormulas.AtlasFunctions.AtlasBalance("UAT",DataAreaId,"T.MarkupTrans","Sum|Posted|0","","","","","","","MarkupCode|TransTableId|TransRecId","TPP","492",$L176),"")</f>
        <v>0</v>
      </c>
    </row>
    <row r="177" spans="1:14">
      <c r="A177" s="8" t="s">
        <v>15</v>
      </c>
      <c r="B177" s="8" t="s">
        <v>822</v>
      </c>
      <c r="C177" s="8" t="s">
        <v>823</v>
      </c>
      <c r="D177" s="8" t="s">
        <v>824</v>
      </c>
      <c r="E177" s="8" t="s">
        <v>237</v>
      </c>
      <c r="F177" s="8" t="s">
        <v>238</v>
      </c>
      <c r="G177" s="6">
        <v>43137</v>
      </c>
      <c r="H177" s="6">
        <v>43143</v>
      </c>
      <c r="I177" s="4">
        <v>1</v>
      </c>
      <c r="J177" s="8" t="s">
        <v>22</v>
      </c>
      <c r="K177" s="8" t="s">
        <v>825</v>
      </c>
      <c r="L177" s="4" t="str">
        <f>IF(AtlasReport_1_Table_1[[#This Row],[Reference]]="Purchase order",_xll.AtlasFormulas.AtlasFunctions.AtlasTable("UAT",DataAreaId,"T.VendInvoiceTrans","%RecId","","","","","","","ItemId|PurchID|InventTransId",$C177,$B177,$K177),"")</f>
        <v>5637299688</v>
      </c>
      <c r="M177" s="4" t="str">
        <f>IF(AtlasReport_1_Table_1[[#This Row],[Reference]]="Purchase order",_xll.AtlasFormulas.AtlasFunctions.AtlasTable("UAT",DataAreaId,"T.MarkupTrans","%CurrencyCode","","","","","","","MarkupCode|TransRecId|TransTableId","TPP",$L177,"492"),"")</f>
        <v/>
      </c>
      <c r="N177" s="4">
        <f>IF(AtlasReport_1_Table_1[[#This Row],[Reference]]="Purchase order",_xll.AtlasFormulas.AtlasFunctions.AtlasBalance("UAT",DataAreaId,"T.MarkupTrans","Sum|Posted|0","","","","","","","MarkupCode|TransTableId|TransRecId","TPP","492",$L177),"")</f>
        <v>0</v>
      </c>
    </row>
    <row r="178" spans="1:14">
      <c r="A178" s="8" t="s">
        <v>15</v>
      </c>
      <c r="B178" s="8" t="s">
        <v>822</v>
      </c>
      <c r="C178" s="8" t="s">
        <v>826</v>
      </c>
      <c r="D178" s="8" t="s">
        <v>827</v>
      </c>
      <c r="E178" s="8" t="s">
        <v>237</v>
      </c>
      <c r="F178" s="8" t="s">
        <v>238</v>
      </c>
      <c r="G178" s="6">
        <v>43137</v>
      </c>
      <c r="H178" s="6">
        <v>43143</v>
      </c>
      <c r="I178" s="4">
        <v>1</v>
      </c>
      <c r="J178" s="8" t="s">
        <v>22</v>
      </c>
      <c r="K178" s="8" t="s">
        <v>828</v>
      </c>
      <c r="L178" s="4" t="str">
        <f>IF(AtlasReport_1_Table_1[[#This Row],[Reference]]="Purchase order",_xll.AtlasFormulas.AtlasFunctions.AtlasTable("UAT",DataAreaId,"T.VendInvoiceTrans","%RecId","","","","","","","ItemId|PurchID|InventTransId",$C178,$B178,$K178),"")</f>
        <v>5637299689</v>
      </c>
      <c r="M178" s="4" t="str">
        <f>IF(AtlasReport_1_Table_1[[#This Row],[Reference]]="Purchase order",_xll.AtlasFormulas.AtlasFunctions.AtlasTable("UAT",DataAreaId,"T.MarkupTrans","%CurrencyCode","","","","","","","MarkupCode|TransRecId|TransTableId","TPP",$L178,"492"),"")</f>
        <v/>
      </c>
      <c r="N178" s="4">
        <f>IF(AtlasReport_1_Table_1[[#This Row],[Reference]]="Purchase order",_xll.AtlasFormulas.AtlasFunctions.AtlasBalance("UAT",DataAreaId,"T.MarkupTrans","Sum|Posted|0","","","","","","","MarkupCode|TransTableId|TransRecId","TPP","492",$L178),"")</f>
        <v>0</v>
      </c>
    </row>
    <row r="179" spans="1:14">
      <c r="A179" s="8" t="s">
        <v>15</v>
      </c>
      <c r="B179" s="8" t="s">
        <v>829</v>
      </c>
      <c r="C179" s="8" t="s">
        <v>259</v>
      </c>
      <c r="D179" s="8" t="s">
        <v>352</v>
      </c>
      <c r="E179" s="8" t="s">
        <v>237</v>
      </c>
      <c r="F179" s="8" t="s">
        <v>238</v>
      </c>
      <c r="G179" s="6">
        <v>43115</v>
      </c>
      <c r="H179" s="6">
        <v>43115</v>
      </c>
      <c r="I179" s="4">
        <v>-27460</v>
      </c>
      <c r="J179" s="8" t="s">
        <v>66</v>
      </c>
      <c r="K179" s="8" t="s">
        <v>830</v>
      </c>
      <c r="L179" s="4" t="str">
        <f>IF(AtlasReport_1_Table_1[[#This Row],[Reference]]="Purchase order",_xll.AtlasFormulas.AtlasFunctions.AtlasTable("UAT",DataAreaId,"T.VendInvoiceTrans","%RecId","","","","","","","ItemId|PurchID|InventTransId",$C179,$B179,$K179),"")</f>
        <v>5637299222</v>
      </c>
      <c r="M179" s="4" t="str">
        <f>IF(AtlasReport_1_Table_1[[#This Row],[Reference]]="Purchase order",_xll.AtlasFormulas.AtlasFunctions.AtlasTable("UAT",DataAreaId,"T.MarkupTrans","%CurrencyCode","","","","","","","MarkupCode|TransRecId|TransTableId","TPP",$L179,"492"),"")</f>
        <v/>
      </c>
      <c r="N179" s="4">
        <f>IF(AtlasReport_1_Table_1[[#This Row],[Reference]]="Purchase order",_xll.AtlasFormulas.AtlasFunctions.AtlasBalance("UAT",DataAreaId,"T.MarkupTrans","Sum|Posted|0","","","","","","","MarkupCode|TransTableId|TransRecId","TPP","492",$L179),"")</f>
        <v>0</v>
      </c>
    </row>
    <row r="180" spans="1:14">
      <c r="A180" s="8" t="s">
        <v>15</v>
      </c>
      <c r="B180" s="8" t="s">
        <v>831</v>
      </c>
      <c r="C180" s="8" t="s">
        <v>259</v>
      </c>
      <c r="D180" s="8" t="s">
        <v>352</v>
      </c>
      <c r="E180" s="8" t="s">
        <v>237</v>
      </c>
      <c r="F180" s="8" t="s">
        <v>238</v>
      </c>
      <c r="G180" s="6">
        <v>43115</v>
      </c>
      <c r="H180" s="6">
        <v>43115</v>
      </c>
      <c r="I180" s="4">
        <v>27460</v>
      </c>
      <c r="J180" s="8" t="s">
        <v>66</v>
      </c>
      <c r="K180" s="8" t="s">
        <v>832</v>
      </c>
      <c r="L180" s="4" t="str">
        <f>IF(AtlasReport_1_Table_1[[#This Row],[Reference]]="Purchase order",_xll.AtlasFormulas.AtlasFunctions.AtlasTable("UAT",DataAreaId,"T.VendInvoiceTrans","%RecId","","","","","","","ItemId|PurchID|InventTransId",$C180,$B180,$K180),"")</f>
        <v>5637299223</v>
      </c>
      <c r="M180" s="4" t="str">
        <f>IF(AtlasReport_1_Table_1[[#This Row],[Reference]]="Purchase order",_xll.AtlasFormulas.AtlasFunctions.AtlasTable("UAT",DataAreaId,"T.MarkupTrans","%CurrencyCode","","","","","","","MarkupCode|TransRecId|TransTableId","TPP",$L180,"492"),"")</f>
        <v/>
      </c>
      <c r="N180" s="4">
        <f>IF(AtlasReport_1_Table_1[[#This Row],[Reference]]="Purchase order",_xll.AtlasFormulas.AtlasFunctions.AtlasBalance("UAT",DataAreaId,"T.MarkupTrans","Sum|Posted|0","","","","","","","MarkupCode|TransTableId|TransRecId","TPP","492",$L180),"")</f>
        <v>0</v>
      </c>
    </row>
    <row r="181" spans="1:14">
      <c r="A181" s="8" t="s">
        <v>15</v>
      </c>
      <c r="B181" s="8" t="s">
        <v>833</v>
      </c>
      <c r="C181" s="8" t="s">
        <v>819</v>
      </c>
      <c r="D181" s="8" t="s">
        <v>820</v>
      </c>
      <c r="E181" s="8" t="s">
        <v>237</v>
      </c>
      <c r="F181" s="8" t="s">
        <v>238</v>
      </c>
      <c r="G181" s="6">
        <v>43123</v>
      </c>
      <c r="H181" s="6">
        <v>43123</v>
      </c>
      <c r="I181" s="4">
        <v>-5</v>
      </c>
      <c r="J181" s="8" t="s">
        <v>70</v>
      </c>
      <c r="K181" s="8" t="s">
        <v>834</v>
      </c>
      <c r="L181" s="4" t="str">
        <f>IF(AtlasReport_1_Table_1[[#This Row],[Reference]]="Purchase order",_xll.AtlasFormulas.AtlasFunctions.AtlasTable("UAT",DataAreaId,"T.VendInvoiceTrans","%RecId","","","","","","","ItemId|PurchID|InventTransId",$C181,$B181,$K181),"")</f>
        <v>5637299244</v>
      </c>
      <c r="M181" s="4" t="str">
        <f>IF(AtlasReport_1_Table_1[[#This Row],[Reference]]="Purchase order",_xll.AtlasFormulas.AtlasFunctions.AtlasTable("UAT",DataAreaId,"T.MarkupTrans","%CurrencyCode","","","","","","","MarkupCode|TransRecId|TransTableId","TPP",$L181,"492"),"")</f>
        <v/>
      </c>
      <c r="N181" s="4">
        <f>IF(AtlasReport_1_Table_1[[#This Row],[Reference]]="Purchase order",_xll.AtlasFormulas.AtlasFunctions.AtlasBalance("UAT",DataAreaId,"T.MarkupTrans","Sum|Posted|0","","","","","","","MarkupCode|TransTableId|TransRecId","TPP","492",$L181),"")</f>
        <v>0</v>
      </c>
    </row>
    <row r="182" spans="1:14">
      <c r="A182" s="8" t="s">
        <v>15</v>
      </c>
      <c r="B182" s="8" t="s">
        <v>835</v>
      </c>
      <c r="C182" s="8" t="s">
        <v>64</v>
      </c>
      <c r="D182" s="8" t="s">
        <v>65</v>
      </c>
      <c r="E182" s="8" t="s">
        <v>237</v>
      </c>
      <c r="F182" s="8" t="s">
        <v>238</v>
      </c>
      <c r="G182" s="6">
        <v>43145</v>
      </c>
      <c r="H182" s="6">
        <v>43143</v>
      </c>
      <c r="I182" s="4">
        <v>1650</v>
      </c>
      <c r="J182" s="8" t="s">
        <v>24</v>
      </c>
      <c r="K182" s="8" t="s">
        <v>836</v>
      </c>
      <c r="L182" s="4" t="str">
        <f>IF(AtlasReport_1_Table_1[[#This Row],[Reference]]="Purchase order",_xll.AtlasFormulas.AtlasFunctions.AtlasTable("UAT",DataAreaId,"T.VendInvoiceTrans","%RecId","","","","","","","ItemId|PurchID|InventTransId",$C182,$B182,$K182),"")</f>
        <v>5637299690</v>
      </c>
      <c r="M182" s="4" t="str">
        <f>IF(AtlasReport_1_Table_1[[#This Row],[Reference]]="Purchase order",_xll.AtlasFormulas.AtlasFunctions.AtlasTable("UAT",DataAreaId,"T.MarkupTrans","%CurrencyCode","","","","","","","MarkupCode|TransRecId|TransTableId","TPP",$L182,"492"),"")</f>
        <v/>
      </c>
      <c r="N182" s="4">
        <f>IF(AtlasReport_1_Table_1[[#This Row],[Reference]]="Purchase order",_xll.AtlasFormulas.AtlasFunctions.AtlasBalance("UAT",DataAreaId,"T.MarkupTrans","Sum|Posted|0","","","","","","","MarkupCode|TransTableId|TransRecId","TPP","492",$L182),"")</f>
        <v>0</v>
      </c>
    </row>
    <row r="183" spans="1:14">
      <c r="A183" s="8" t="s">
        <v>15</v>
      </c>
      <c r="B183" s="8" t="s">
        <v>835</v>
      </c>
      <c r="C183" s="8" t="s">
        <v>17</v>
      </c>
      <c r="D183" s="8" t="s">
        <v>20</v>
      </c>
      <c r="E183" s="8" t="s">
        <v>237</v>
      </c>
      <c r="F183" s="8" t="s">
        <v>238</v>
      </c>
      <c r="G183" s="6">
        <v>43145</v>
      </c>
      <c r="H183" s="6">
        <v>43143</v>
      </c>
      <c r="I183" s="4">
        <v>150</v>
      </c>
      <c r="J183" s="8" t="s">
        <v>24</v>
      </c>
      <c r="K183" s="8" t="s">
        <v>837</v>
      </c>
      <c r="L183" s="4" t="str">
        <f>IF(AtlasReport_1_Table_1[[#This Row],[Reference]]="Purchase order",_xll.AtlasFormulas.AtlasFunctions.AtlasTable("UAT",DataAreaId,"T.VendInvoiceTrans","%RecId","","","","","","","ItemId|PurchID|InventTransId",$C183,$B183,$K183),"")</f>
        <v>5637299691</v>
      </c>
      <c r="M183" s="4" t="str">
        <f>IF(AtlasReport_1_Table_1[[#This Row],[Reference]]="Purchase order",_xll.AtlasFormulas.AtlasFunctions.AtlasTable("UAT",DataAreaId,"T.MarkupTrans","%CurrencyCode","","","","","","","MarkupCode|TransRecId|TransTableId","TPP",$L183,"492"),"")</f>
        <v/>
      </c>
      <c r="N183" s="4">
        <f>IF(AtlasReport_1_Table_1[[#This Row],[Reference]]="Purchase order",_xll.AtlasFormulas.AtlasFunctions.AtlasBalance("UAT",DataAreaId,"T.MarkupTrans","Sum|Posted|0","","","","","","","MarkupCode|TransTableId|TransRecId","TPP","492",$L183),"")</f>
        <v>0</v>
      </c>
    </row>
    <row r="184" spans="1:14">
      <c r="A184" s="8" t="s">
        <v>15</v>
      </c>
      <c r="B184" s="8" t="s">
        <v>838</v>
      </c>
      <c r="C184" s="8" t="s">
        <v>839</v>
      </c>
      <c r="D184" s="8" t="s">
        <v>840</v>
      </c>
      <c r="E184" s="8" t="s">
        <v>237</v>
      </c>
      <c r="F184" s="8" t="s">
        <v>238</v>
      </c>
      <c r="G184" s="6">
        <v>43136</v>
      </c>
      <c r="H184" s="6">
        <v>43136</v>
      </c>
      <c r="I184" s="4">
        <v>150</v>
      </c>
      <c r="J184" s="8" t="s">
        <v>22</v>
      </c>
      <c r="K184" s="8" t="s">
        <v>841</v>
      </c>
      <c r="L184" s="4" t="str">
        <f>IF(AtlasReport_1_Table_1[[#This Row],[Reference]]="Purchase order",_xll.AtlasFormulas.AtlasFunctions.AtlasTable("UAT",DataAreaId,"T.VendInvoiceTrans","%RecId","","","","","","","ItemId|PurchID|InventTransId",$C184,$B184,$K184),"")</f>
        <v>5637299687</v>
      </c>
      <c r="M184" s="4" t="str">
        <f>IF(AtlasReport_1_Table_1[[#This Row],[Reference]]="Purchase order",_xll.AtlasFormulas.AtlasFunctions.AtlasTable("UAT",DataAreaId,"T.MarkupTrans","%CurrencyCode","","","","","","","MarkupCode|TransRecId|TransTableId","TPP",$L184,"492"),"")</f>
        <v/>
      </c>
      <c r="N184" s="4">
        <f>IF(AtlasReport_1_Table_1[[#This Row],[Reference]]="Purchase order",_xll.AtlasFormulas.AtlasFunctions.AtlasBalance("UAT",DataAreaId,"T.MarkupTrans","Sum|Posted|0","","","","","","","MarkupCode|TransTableId|TransRecId","TPP","492",$L184),"")</f>
        <v>0</v>
      </c>
    </row>
    <row r="185" spans="1:14">
      <c r="A185" s="8" t="s">
        <v>15</v>
      </c>
      <c r="B185" s="8" t="s">
        <v>842</v>
      </c>
      <c r="C185" s="8" t="s">
        <v>823</v>
      </c>
      <c r="D185" s="8" t="s">
        <v>824</v>
      </c>
      <c r="E185" s="8" t="s">
        <v>237</v>
      </c>
      <c r="F185" s="8" t="s">
        <v>238</v>
      </c>
      <c r="G185" s="6">
        <v>43146</v>
      </c>
      <c r="H185" s="6">
        <v>43151</v>
      </c>
      <c r="I185" s="4">
        <v>14</v>
      </c>
      <c r="J185" s="8" t="s">
        <v>22</v>
      </c>
      <c r="K185" s="8" t="s">
        <v>843</v>
      </c>
      <c r="L185" s="4" t="str">
        <f>IF(AtlasReport_1_Table_1[[#This Row],[Reference]]="Purchase order",_xll.AtlasFormulas.AtlasFunctions.AtlasTable("UAT",DataAreaId,"T.VendInvoiceTrans","%RecId","","","","","","","ItemId|PurchID|InventTransId",$C185,$B185,$K185),"")</f>
        <v>5637299754</v>
      </c>
      <c r="M185" s="4" t="str">
        <f>IF(AtlasReport_1_Table_1[[#This Row],[Reference]]="Purchase order",_xll.AtlasFormulas.AtlasFunctions.AtlasTable("UAT",DataAreaId,"T.MarkupTrans","%CurrencyCode","","","","","","","MarkupCode|TransRecId|TransTableId","TPP",$L185,"492"),"")</f>
        <v/>
      </c>
      <c r="N185" s="4">
        <f>IF(AtlasReport_1_Table_1[[#This Row],[Reference]]="Purchase order",_xll.AtlasFormulas.AtlasFunctions.AtlasBalance("UAT",DataAreaId,"T.MarkupTrans","Sum|Posted|0","","","","","","","MarkupCode|TransTableId|TransRecId","TPP","492",$L185),"")</f>
        <v>0</v>
      </c>
    </row>
    <row r="186" spans="1:14">
      <c r="A186" s="8" t="s">
        <v>15</v>
      </c>
      <c r="B186" s="8" t="s">
        <v>842</v>
      </c>
      <c r="C186" s="8" t="s">
        <v>826</v>
      </c>
      <c r="D186" s="8" t="s">
        <v>827</v>
      </c>
      <c r="E186" s="8" t="s">
        <v>237</v>
      </c>
      <c r="F186" s="8" t="s">
        <v>238</v>
      </c>
      <c r="G186" s="6">
        <v>43146</v>
      </c>
      <c r="H186" s="6">
        <v>43151</v>
      </c>
      <c r="I186" s="4">
        <v>20</v>
      </c>
      <c r="J186" s="8" t="s">
        <v>22</v>
      </c>
      <c r="K186" s="8" t="s">
        <v>844</v>
      </c>
      <c r="L186" s="4" t="str">
        <f>IF(AtlasReport_1_Table_1[[#This Row],[Reference]]="Purchase order",_xll.AtlasFormulas.AtlasFunctions.AtlasTable("UAT",DataAreaId,"T.VendInvoiceTrans","%RecId","","","","","","","ItemId|PurchID|InventTransId",$C186,$B186,$K186),"")</f>
        <v>5637299755</v>
      </c>
      <c r="M186" s="4" t="str">
        <f>IF(AtlasReport_1_Table_1[[#This Row],[Reference]]="Purchase order",_xll.AtlasFormulas.AtlasFunctions.AtlasTable("UAT",DataAreaId,"T.MarkupTrans","%CurrencyCode","","","","","","","MarkupCode|TransRecId|TransTableId","TPP",$L186,"492"),"")</f>
        <v/>
      </c>
      <c r="N186" s="4">
        <f>IF(AtlasReport_1_Table_1[[#This Row],[Reference]]="Purchase order",_xll.AtlasFormulas.AtlasFunctions.AtlasBalance("UAT",DataAreaId,"T.MarkupTrans","Sum|Posted|0","","","","","","","MarkupCode|TransTableId|TransRecId","TPP","492",$L186),"")</f>
        <v>0</v>
      </c>
    </row>
    <row r="187" spans="1:14">
      <c r="A187" s="8" t="s">
        <v>15</v>
      </c>
      <c r="B187" s="8" t="s">
        <v>845</v>
      </c>
      <c r="C187" s="8" t="s">
        <v>37</v>
      </c>
      <c r="D187" s="8" t="s">
        <v>57</v>
      </c>
      <c r="E187" s="8" t="s">
        <v>237</v>
      </c>
      <c r="F187" s="8" t="s">
        <v>238</v>
      </c>
      <c r="G187" s="6">
        <v>43157</v>
      </c>
      <c r="H187" s="6">
        <v>43147</v>
      </c>
      <c r="I187" s="4">
        <v>195</v>
      </c>
      <c r="J187" s="8" t="s">
        <v>23</v>
      </c>
      <c r="K187" s="8" t="s">
        <v>846</v>
      </c>
      <c r="L187" s="4" t="str">
        <f>IF(AtlasReport_1_Table_1[[#This Row],[Reference]]="Purchase order",_xll.AtlasFormulas.AtlasFunctions.AtlasTable("UAT",DataAreaId,"T.VendInvoiceTrans","%RecId","","","","","","","ItemId|PurchID|InventTransId",$C187,$B187,$K187),"")</f>
        <v>5637299747</v>
      </c>
      <c r="M187" s="4" t="str">
        <f>IF(AtlasReport_1_Table_1[[#This Row],[Reference]]="Purchase order",_xll.AtlasFormulas.AtlasFunctions.AtlasTable("UAT",DataAreaId,"T.MarkupTrans","%CurrencyCode","","","","","","","MarkupCode|TransRecId|TransTableId","TPP",$L187,"492"),"")</f>
        <v/>
      </c>
      <c r="N187" s="4">
        <f>IF(AtlasReport_1_Table_1[[#This Row],[Reference]]="Purchase order",_xll.AtlasFormulas.AtlasFunctions.AtlasBalance("UAT",DataAreaId,"T.MarkupTrans","Sum|Posted|0","","","","","","","MarkupCode|TransTableId|TransRecId","TPP","492",$L187),"")</f>
        <v>0</v>
      </c>
    </row>
    <row r="188" spans="1:14">
      <c r="A188" s="8" t="s">
        <v>15</v>
      </c>
      <c r="B188" s="8" t="s">
        <v>845</v>
      </c>
      <c r="C188" s="8" t="s">
        <v>71</v>
      </c>
      <c r="D188" s="8" t="s">
        <v>99</v>
      </c>
      <c r="E188" s="8" t="s">
        <v>237</v>
      </c>
      <c r="F188" s="8" t="s">
        <v>238</v>
      </c>
      <c r="G188" s="6">
        <v>43157</v>
      </c>
      <c r="H188" s="6">
        <v>43147</v>
      </c>
      <c r="I188" s="4">
        <v>195</v>
      </c>
      <c r="J188" s="8" t="s">
        <v>23</v>
      </c>
      <c r="K188" s="8" t="s">
        <v>847</v>
      </c>
      <c r="L188" s="4" t="str">
        <f>IF(AtlasReport_1_Table_1[[#This Row],[Reference]]="Purchase order",_xll.AtlasFormulas.AtlasFunctions.AtlasTable("UAT",DataAreaId,"T.VendInvoiceTrans","%RecId","","","","","","","ItemId|PurchID|InventTransId",$C188,$B188,$K188),"")</f>
        <v>5637299746</v>
      </c>
      <c r="M188" s="4" t="str">
        <f>IF(AtlasReport_1_Table_1[[#This Row],[Reference]]="Purchase order",_xll.AtlasFormulas.AtlasFunctions.AtlasTable("UAT",DataAreaId,"T.MarkupTrans","%CurrencyCode","","","","","","","MarkupCode|TransRecId|TransTableId","TPP",$L188,"492"),"")</f>
        <v/>
      </c>
      <c r="N188" s="4">
        <f>IF(AtlasReport_1_Table_1[[#This Row],[Reference]]="Purchase order",_xll.AtlasFormulas.AtlasFunctions.AtlasBalance("UAT",DataAreaId,"T.MarkupTrans","Sum|Posted|0","","","","","","","MarkupCode|TransTableId|TransRecId","TPP","492",$L188),"")</f>
        <v>0</v>
      </c>
    </row>
    <row r="189" spans="1:14">
      <c r="A189" s="8" t="s">
        <v>15</v>
      </c>
      <c r="B189" s="8" t="s">
        <v>845</v>
      </c>
      <c r="C189" s="8" t="s">
        <v>130</v>
      </c>
      <c r="D189" s="8" t="s">
        <v>133</v>
      </c>
      <c r="E189" s="8" t="s">
        <v>237</v>
      </c>
      <c r="F189" s="8" t="s">
        <v>238</v>
      </c>
      <c r="G189" s="6">
        <v>43157</v>
      </c>
      <c r="H189" s="6">
        <v>43147</v>
      </c>
      <c r="I189" s="4">
        <v>210</v>
      </c>
      <c r="J189" s="8" t="s">
        <v>23</v>
      </c>
      <c r="K189" s="8" t="s">
        <v>848</v>
      </c>
      <c r="L189" s="4" t="str">
        <f>IF(AtlasReport_1_Table_1[[#This Row],[Reference]]="Purchase order",_xll.AtlasFormulas.AtlasFunctions.AtlasTable("UAT",DataAreaId,"T.VendInvoiceTrans","%RecId","","","","","","","ItemId|PurchID|InventTransId",$C189,$B189,$K189),"")</f>
        <v>5637299748</v>
      </c>
      <c r="M189" s="4" t="str">
        <f>IF(AtlasReport_1_Table_1[[#This Row],[Reference]]="Purchase order",_xll.AtlasFormulas.AtlasFunctions.AtlasTable("UAT",DataAreaId,"T.MarkupTrans","%CurrencyCode","","","","","","","MarkupCode|TransRecId|TransTableId","TPP",$L189,"492"),"")</f>
        <v/>
      </c>
      <c r="N189" s="4">
        <f>IF(AtlasReport_1_Table_1[[#This Row],[Reference]]="Purchase order",_xll.AtlasFormulas.AtlasFunctions.AtlasBalance("UAT",DataAreaId,"T.MarkupTrans","Sum|Posted|0","","","","","","","MarkupCode|TransTableId|TransRecId","TPP","492",$L189),"")</f>
        <v>0</v>
      </c>
    </row>
    <row r="190" spans="1:14">
      <c r="A190" s="8" t="s">
        <v>15</v>
      </c>
      <c r="B190" s="8" t="s">
        <v>849</v>
      </c>
      <c r="C190" s="8" t="s">
        <v>850</v>
      </c>
      <c r="D190" s="8" t="s">
        <v>851</v>
      </c>
      <c r="E190" s="8" t="s">
        <v>237</v>
      </c>
      <c r="F190" s="8" t="s">
        <v>238</v>
      </c>
      <c r="G190" s="6">
        <v>43146</v>
      </c>
      <c r="H190" s="6">
        <v>43157</v>
      </c>
      <c r="I190" s="4">
        <v>10532</v>
      </c>
      <c r="J190" s="8" t="s">
        <v>22</v>
      </c>
      <c r="K190" s="8" t="s">
        <v>852</v>
      </c>
      <c r="L190" s="4" t="str">
        <f>IF(AtlasReport_1_Table_1[[#This Row],[Reference]]="Purchase order",_xll.AtlasFormulas.AtlasFunctions.AtlasTable("UAT",DataAreaId,"T.VendInvoiceTrans","%RecId","","","","","","","ItemId|PurchID|InventTransId",$C190,$B190,$K190),"")</f>
        <v>5637299694</v>
      </c>
      <c r="M190" s="4" t="str">
        <f>IF(AtlasReport_1_Table_1[[#This Row],[Reference]]="Purchase order",_xll.AtlasFormulas.AtlasFunctions.AtlasTable("UAT",DataAreaId,"T.MarkupTrans","%CurrencyCode","","","","","","","MarkupCode|TransRecId|TransTableId","TPP",$L190,"492"),"")</f>
        <v/>
      </c>
      <c r="N190" s="4">
        <f>IF(AtlasReport_1_Table_1[[#This Row],[Reference]]="Purchase order",_xll.AtlasFormulas.AtlasFunctions.AtlasBalance("UAT",DataAreaId,"T.MarkupTrans","Sum|Posted|0","","","","","","","MarkupCode|TransTableId|TransRecId","TPP","492",$L190),"")</f>
        <v>0</v>
      </c>
    </row>
    <row r="191" spans="1:14">
      <c r="A191" s="8" t="s">
        <v>15</v>
      </c>
      <c r="B191" s="8" t="s">
        <v>849</v>
      </c>
      <c r="C191" s="8" t="s">
        <v>853</v>
      </c>
      <c r="D191" s="8" t="s">
        <v>854</v>
      </c>
      <c r="E191" s="8" t="s">
        <v>237</v>
      </c>
      <c r="F191" s="8" t="s">
        <v>238</v>
      </c>
      <c r="G191" s="6">
        <v>43146</v>
      </c>
      <c r="H191" s="6">
        <v>43157</v>
      </c>
      <c r="I191" s="4">
        <v>10604</v>
      </c>
      <c r="J191" s="8" t="s">
        <v>22</v>
      </c>
      <c r="K191" s="8" t="s">
        <v>855</v>
      </c>
      <c r="L191" s="4" t="str">
        <f>IF(AtlasReport_1_Table_1[[#This Row],[Reference]]="Purchase order",_xll.AtlasFormulas.AtlasFunctions.AtlasTable("UAT",DataAreaId,"T.VendInvoiceTrans","%RecId","","","","","","","ItemId|PurchID|InventTransId",$C191,$B191,$K191),"")</f>
        <v>5637299693</v>
      </c>
      <c r="M191" s="4" t="str">
        <f>IF(AtlasReport_1_Table_1[[#This Row],[Reference]]="Purchase order",_xll.AtlasFormulas.AtlasFunctions.AtlasTable("UAT",DataAreaId,"T.MarkupTrans","%CurrencyCode","","","","","","","MarkupCode|TransRecId|TransTableId","TPP",$L191,"492"),"")</f>
        <v/>
      </c>
      <c r="N191" s="4">
        <f>IF(AtlasReport_1_Table_1[[#This Row],[Reference]]="Purchase order",_xll.AtlasFormulas.AtlasFunctions.AtlasBalance("UAT",DataAreaId,"T.MarkupTrans","Sum|Posted|0","","","","","","","MarkupCode|TransTableId|TransRecId","TPP","492",$L191),"")</f>
        <v>0</v>
      </c>
    </row>
    <row r="192" spans="1:14">
      <c r="A192" s="8" t="s">
        <v>15</v>
      </c>
      <c r="B192" s="8" t="s">
        <v>849</v>
      </c>
      <c r="C192" s="8" t="s">
        <v>856</v>
      </c>
      <c r="D192" s="8" t="s">
        <v>857</v>
      </c>
      <c r="E192" s="8" t="s">
        <v>237</v>
      </c>
      <c r="F192" s="8" t="s">
        <v>238</v>
      </c>
      <c r="G192" s="6">
        <v>43146</v>
      </c>
      <c r="H192" s="6">
        <v>43157</v>
      </c>
      <c r="I192" s="4">
        <v>10420</v>
      </c>
      <c r="J192" s="8" t="s">
        <v>22</v>
      </c>
      <c r="K192" s="8" t="s">
        <v>858</v>
      </c>
      <c r="L192" s="4" t="str">
        <f>IF(AtlasReport_1_Table_1[[#This Row],[Reference]]="Purchase order",_xll.AtlasFormulas.AtlasFunctions.AtlasTable("UAT",DataAreaId,"T.VendInvoiceTrans","%RecId","","","","","","","ItemId|PurchID|InventTransId",$C192,$B192,$K192),"")</f>
        <v>5637299695</v>
      </c>
      <c r="M192" s="4" t="str">
        <f>IF(AtlasReport_1_Table_1[[#This Row],[Reference]]="Purchase order",_xll.AtlasFormulas.AtlasFunctions.AtlasTable("UAT",DataAreaId,"T.MarkupTrans","%CurrencyCode","","","","","","","MarkupCode|TransRecId|TransTableId","TPP",$L192,"492"),"")</f>
        <v/>
      </c>
      <c r="N192" s="4">
        <f>IF(AtlasReport_1_Table_1[[#This Row],[Reference]]="Purchase order",_xll.AtlasFormulas.AtlasFunctions.AtlasBalance("UAT",DataAreaId,"T.MarkupTrans","Sum|Posted|0","","","","","","","MarkupCode|TransTableId|TransRecId","TPP","492",$L192),"")</f>
        <v>0</v>
      </c>
    </row>
    <row r="193" spans="1:14">
      <c r="A193" s="8" t="s">
        <v>15</v>
      </c>
      <c r="B193" s="8" t="s">
        <v>859</v>
      </c>
      <c r="C193" s="8" t="s">
        <v>850</v>
      </c>
      <c r="D193" s="8" t="s">
        <v>851</v>
      </c>
      <c r="E193" s="8" t="s">
        <v>237</v>
      </c>
      <c r="F193" s="8" t="s">
        <v>238</v>
      </c>
      <c r="G193" s="6">
        <v>43157</v>
      </c>
      <c r="H193" s="6">
        <v>43157</v>
      </c>
      <c r="I193" s="4">
        <v>-10532</v>
      </c>
      <c r="J193" s="8" t="s">
        <v>22</v>
      </c>
      <c r="K193" s="8" t="s">
        <v>860</v>
      </c>
      <c r="L193" s="4" t="str">
        <f>IF(AtlasReport_1_Table_1[[#This Row],[Reference]]="Purchase order",_xll.AtlasFormulas.AtlasFunctions.AtlasTable("UAT",DataAreaId,"T.VendInvoiceTrans","%RecId","","","","","","","ItemId|PurchID|InventTransId",$C193,$B193,$K193),"")</f>
        <v>5637299700</v>
      </c>
      <c r="M193" s="4" t="str">
        <f>IF(AtlasReport_1_Table_1[[#This Row],[Reference]]="Purchase order",_xll.AtlasFormulas.AtlasFunctions.AtlasTable("UAT",DataAreaId,"T.MarkupTrans","%CurrencyCode","","","","","","","MarkupCode|TransRecId|TransTableId","TPP",$L193,"492"),"")</f>
        <v/>
      </c>
      <c r="N193" s="4">
        <f>IF(AtlasReport_1_Table_1[[#This Row],[Reference]]="Purchase order",_xll.AtlasFormulas.AtlasFunctions.AtlasBalance("UAT",DataAreaId,"T.MarkupTrans","Sum|Posted|0","","","","","","","MarkupCode|TransTableId|TransRecId","TPP","492",$L193),"")</f>
        <v>0</v>
      </c>
    </row>
    <row r="194" spans="1:14">
      <c r="A194" s="8" t="s">
        <v>15</v>
      </c>
      <c r="B194" s="8" t="s">
        <v>859</v>
      </c>
      <c r="C194" s="8" t="s">
        <v>853</v>
      </c>
      <c r="D194" s="8" t="s">
        <v>854</v>
      </c>
      <c r="E194" s="8" t="s">
        <v>237</v>
      </c>
      <c r="F194" s="8" t="s">
        <v>238</v>
      </c>
      <c r="G194" s="6">
        <v>43157</v>
      </c>
      <c r="H194" s="6">
        <v>43157</v>
      </c>
      <c r="I194" s="4">
        <v>-10604</v>
      </c>
      <c r="J194" s="8" t="s">
        <v>22</v>
      </c>
      <c r="K194" s="8" t="s">
        <v>861</v>
      </c>
      <c r="L194" s="4" t="str">
        <f>IF(AtlasReport_1_Table_1[[#This Row],[Reference]]="Purchase order",_xll.AtlasFormulas.AtlasFunctions.AtlasTable("UAT",DataAreaId,"T.VendInvoiceTrans","%RecId","","","","","","","ItemId|PurchID|InventTransId",$C194,$B194,$K194),"")</f>
        <v>5637299699</v>
      </c>
      <c r="M194" s="4" t="str">
        <f>IF(AtlasReport_1_Table_1[[#This Row],[Reference]]="Purchase order",_xll.AtlasFormulas.AtlasFunctions.AtlasTable("UAT",DataAreaId,"T.MarkupTrans","%CurrencyCode","","","","","","","MarkupCode|TransRecId|TransTableId","TPP",$L194,"492"),"")</f>
        <v/>
      </c>
      <c r="N194" s="4">
        <f>IF(AtlasReport_1_Table_1[[#This Row],[Reference]]="Purchase order",_xll.AtlasFormulas.AtlasFunctions.AtlasBalance("UAT",DataAreaId,"T.MarkupTrans","Sum|Posted|0","","","","","","","MarkupCode|TransTableId|TransRecId","TPP","492",$L194),"")</f>
        <v>0</v>
      </c>
    </row>
    <row r="195" spans="1:14">
      <c r="A195" s="8" t="s">
        <v>15</v>
      </c>
      <c r="B195" s="8" t="s">
        <v>859</v>
      </c>
      <c r="C195" s="8" t="s">
        <v>856</v>
      </c>
      <c r="D195" s="8" t="s">
        <v>857</v>
      </c>
      <c r="E195" s="8" t="s">
        <v>237</v>
      </c>
      <c r="F195" s="8" t="s">
        <v>238</v>
      </c>
      <c r="G195" s="6">
        <v>43157</v>
      </c>
      <c r="H195" s="6">
        <v>43157</v>
      </c>
      <c r="I195" s="4">
        <v>-10420</v>
      </c>
      <c r="J195" s="8" t="s">
        <v>22</v>
      </c>
      <c r="K195" s="8" t="s">
        <v>862</v>
      </c>
      <c r="L195" s="4" t="str">
        <f>IF(AtlasReport_1_Table_1[[#This Row],[Reference]]="Purchase order",_xll.AtlasFormulas.AtlasFunctions.AtlasTable("UAT",DataAreaId,"T.VendInvoiceTrans","%RecId","","","","","","","ItemId|PurchID|InventTransId",$C195,$B195,$K195),"")</f>
        <v>5637299701</v>
      </c>
      <c r="M195" s="4" t="str">
        <f>IF(AtlasReport_1_Table_1[[#This Row],[Reference]]="Purchase order",_xll.AtlasFormulas.AtlasFunctions.AtlasTable("UAT",DataAreaId,"T.MarkupTrans","%CurrencyCode","","","","","","","MarkupCode|TransRecId|TransTableId","TPP",$L195,"492"),"")</f>
        <v/>
      </c>
      <c r="N195" s="4">
        <f>IF(AtlasReport_1_Table_1[[#This Row],[Reference]]="Purchase order",_xll.AtlasFormulas.AtlasFunctions.AtlasBalance("UAT",DataAreaId,"T.MarkupTrans","Sum|Posted|0","","","","","","","MarkupCode|TransTableId|TransRecId","TPP","492",$L195),"")</f>
        <v>0</v>
      </c>
    </row>
    <row r="196" spans="1:14">
      <c r="A196" s="8" t="s">
        <v>15</v>
      </c>
      <c r="B196" s="8" t="s">
        <v>863</v>
      </c>
      <c r="C196" s="8" t="s">
        <v>850</v>
      </c>
      <c r="D196" s="8" t="s">
        <v>851</v>
      </c>
      <c r="E196" s="8" t="s">
        <v>237</v>
      </c>
      <c r="F196" s="8" t="s">
        <v>238</v>
      </c>
      <c r="G196" s="6">
        <v>43146</v>
      </c>
      <c r="H196" s="6">
        <v>43157</v>
      </c>
      <c r="I196" s="4">
        <v>10532</v>
      </c>
      <c r="J196" s="8" t="s">
        <v>22</v>
      </c>
      <c r="K196" s="8" t="s">
        <v>864</v>
      </c>
      <c r="L196" s="4" t="str">
        <f>IF(AtlasReport_1_Table_1[[#This Row],[Reference]]="Purchase order",_xll.AtlasFormulas.AtlasFunctions.AtlasTable("UAT",DataAreaId,"T.VendInvoiceTrans","%RecId","","","","","","","ItemId|PurchID|InventTransId",$C196,$B196,$K196),"")</f>
        <v>5637299749</v>
      </c>
      <c r="M196" s="4" t="str">
        <f>IF(AtlasReport_1_Table_1[[#This Row],[Reference]]="Purchase order",_xll.AtlasFormulas.AtlasFunctions.AtlasTable("UAT",DataAreaId,"T.MarkupTrans","%CurrencyCode","","","","","","","MarkupCode|TransRecId|TransTableId","TPP",$L196,"492"),"")</f>
        <v/>
      </c>
      <c r="N196" s="4">
        <f>IF(AtlasReport_1_Table_1[[#This Row],[Reference]]="Purchase order",_xll.AtlasFormulas.AtlasFunctions.AtlasBalance("UAT",DataAreaId,"T.MarkupTrans","Sum|Posted|0","","","","","","","MarkupCode|TransTableId|TransRecId","TPP","492",$L196),"")</f>
        <v>0</v>
      </c>
    </row>
    <row r="197" spans="1:14">
      <c r="A197" s="8" t="s">
        <v>15</v>
      </c>
      <c r="B197" s="8" t="s">
        <v>863</v>
      </c>
      <c r="C197" s="8" t="s">
        <v>853</v>
      </c>
      <c r="D197" s="8" t="s">
        <v>854</v>
      </c>
      <c r="E197" s="8" t="s">
        <v>237</v>
      </c>
      <c r="F197" s="8" t="s">
        <v>238</v>
      </c>
      <c r="G197" s="6">
        <v>43146</v>
      </c>
      <c r="H197" s="6">
        <v>43157</v>
      </c>
      <c r="I197" s="4">
        <v>10604</v>
      </c>
      <c r="J197" s="8" t="s">
        <v>22</v>
      </c>
      <c r="K197" s="8" t="s">
        <v>865</v>
      </c>
      <c r="L197" s="4" t="str">
        <f>IF(AtlasReport_1_Table_1[[#This Row],[Reference]]="Purchase order",_xll.AtlasFormulas.AtlasFunctions.AtlasTable("UAT",DataAreaId,"T.VendInvoiceTrans","%RecId","","","","","","","ItemId|PurchID|InventTransId",$C197,$B197,$K197),"")</f>
        <v>5637299750</v>
      </c>
      <c r="M197" s="4" t="str">
        <f>IF(AtlasReport_1_Table_1[[#This Row],[Reference]]="Purchase order",_xll.AtlasFormulas.AtlasFunctions.AtlasTable("UAT",DataAreaId,"T.MarkupTrans","%CurrencyCode","","","","","","","MarkupCode|TransRecId|TransTableId","TPP",$L197,"492"),"")</f>
        <v/>
      </c>
      <c r="N197" s="4">
        <f>IF(AtlasReport_1_Table_1[[#This Row],[Reference]]="Purchase order",_xll.AtlasFormulas.AtlasFunctions.AtlasBalance("UAT",DataAreaId,"T.MarkupTrans","Sum|Posted|0","","","","","","","MarkupCode|TransTableId|TransRecId","TPP","492",$L197),"")</f>
        <v>0</v>
      </c>
    </row>
    <row r="198" spans="1:14">
      <c r="A198" s="8" t="s">
        <v>15</v>
      </c>
      <c r="B198" s="8" t="s">
        <v>863</v>
      </c>
      <c r="C198" s="8" t="s">
        <v>856</v>
      </c>
      <c r="D198" s="8" t="s">
        <v>857</v>
      </c>
      <c r="E198" s="8" t="s">
        <v>237</v>
      </c>
      <c r="F198" s="8" t="s">
        <v>238</v>
      </c>
      <c r="G198" s="6">
        <v>43146</v>
      </c>
      <c r="H198" s="6">
        <v>43157</v>
      </c>
      <c r="I198" s="4">
        <v>10420</v>
      </c>
      <c r="J198" s="8" t="s">
        <v>22</v>
      </c>
      <c r="K198" s="8" t="s">
        <v>866</v>
      </c>
      <c r="L198" s="4" t="str">
        <f>IF(AtlasReport_1_Table_1[[#This Row],[Reference]]="Purchase order",_xll.AtlasFormulas.AtlasFunctions.AtlasTable("UAT",DataAreaId,"T.VendInvoiceTrans","%RecId","","","","","","","ItemId|PurchID|InventTransId",$C198,$B198,$K198),"")</f>
        <v>5637299751</v>
      </c>
      <c r="M198" s="4" t="str">
        <f>IF(AtlasReport_1_Table_1[[#This Row],[Reference]]="Purchase order",_xll.AtlasFormulas.AtlasFunctions.AtlasTable("UAT",DataAreaId,"T.MarkupTrans","%CurrencyCode","","","","","","","MarkupCode|TransRecId|TransTableId","TPP",$L198,"492"),"")</f>
        <v/>
      </c>
      <c r="N198" s="4">
        <f>IF(AtlasReport_1_Table_1[[#This Row],[Reference]]="Purchase order",_xll.AtlasFormulas.AtlasFunctions.AtlasBalance("UAT",DataAreaId,"T.MarkupTrans","Sum|Posted|0","","","","","","","MarkupCode|TransTableId|TransRecId","TPP","492",$L198),"")</f>
        <v>0</v>
      </c>
    </row>
    <row r="199" spans="1:14">
      <c r="A199" s="8" t="s">
        <v>224</v>
      </c>
      <c r="B199" s="8" t="s">
        <v>867</v>
      </c>
      <c r="C199" s="8" t="s">
        <v>306</v>
      </c>
      <c r="D199" s="8" t="s">
        <v>307</v>
      </c>
      <c r="E199" s="8" t="s">
        <v>237</v>
      </c>
      <c r="F199" s="8" t="s">
        <v>238</v>
      </c>
      <c r="G199" s="6">
        <v>43132</v>
      </c>
      <c r="H199" s="6">
        <v>43132</v>
      </c>
      <c r="I199" s="4">
        <v>2</v>
      </c>
      <c r="J199" s="8" t="s">
        <v>22</v>
      </c>
      <c r="K199" s="8" t="s">
        <v>868</v>
      </c>
      <c r="L199" s="4" t="str">
        <f>IF(AtlasReport_1_Table_1[[#This Row],[Reference]]="Purchase order",_xll.AtlasFormulas.AtlasFunctions.AtlasTable("UAT",DataAreaId,"T.VendInvoiceTrans","%RecId","","","","","","","ItemId|PurchID|InventTransId",$C199,$B199,$K199),"")</f>
        <v/>
      </c>
      <c r="M199" s="4" t="str">
        <f>IF(AtlasReport_1_Table_1[[#This Row],[Reference]]="Purchase order",_xll.AtlasFormulas.AtlasFunctions.AtlasTable("UAT",DataAreaId,"T.MarkupTrans","%CurrencyCode","","","","","","","MarkupCode|TransRecId|TransTableId","TPP",$L199,"492"),"")</f>
        <v/>
      </c>
      <c r="N199" s="4" t="str">
        <f>IF(AtlasReport_1_Table_1[[#This Row],[Reference]]="Purchase order",_xll.AtlasFormulas.AtlasFunctions.AtlasBalance("UAT",DataAreaId,"T.MarkupTrans","Sum|Posted|0","","","","","","","MarkupCode|TransTableId|TransRecId","TPP","492",$L199),"")</f>
        <v/>
      </c>
    </row>
    <row r="200" spans="1:14">
      <c r="A200" s="8" t="s">
        <v>224</v>
      </c>
      <c r="B200" s="8" t="s">
        <v>867</v>
      </c>
      <c r="C200" s="8" t="s">
        <v>437</v>
      </c>
      <c r="D200" s="8" t="s">
        <v>438</v>
      </c>
      <c r="E200" s="8" t="s">
        <v>237</v>
      </c>
      <c r="F200" s="8" t="s">
        <v>238</v>
      </c>
      <c r="G200" s="6">
        <v>43132</v>
      </c>
      <c r="H200" s="6">
        <v>43132</v>
      </c>
      <c r="I200" s="4">
        <v>2</v>
      </c>
      <c r="J200" s="8" t="s">
        <v>22</v>
      </c>
      <c r="K200" s="8" t="s">
        <v>869</v>
      </c>
      <c r="L200" s="4" t="str">
        <f>IF(AtlasReport_1_Table_1[[#This Row],[Reference]]="Purchase order",_xll.AtlasFormulas.AtlasFunctions.AtlasTable("UAT",DataAreaId,"T.VendInvoiceTrans","%RecId","","","","","","","ItemId|PurchID|InventTransId",$C200,$B200,$K200),"")</f>
        <v/>
      </c>
      <c r="M200" s="4" t="str">
        <f>IF(AtlasReport_1_Table_1[[#This Row],[Reference]]="Purchase order",_xll.AtlasFormulas.AtlasFunctions.AtlasTable("UAT",DataAreaId,"T.MarkupTrans","%CurrencyCode","","","","","","","MarkupCode|TransRecId|TransTableId","TPP",$L200,"492"),"")</f>
        <v/>
      </c>
      <c r="N200" s="4" t="str">
        <f>IF(AtlasReport_1_Table_1[[#This Row],[Reference]]="Purchase order",_xll.AtlasFormulas.AtlasFunctions.AtlasBalance("UAT",DataAreaId,"T.MarkupTrans","Sum|Posted|0","","","","","","","MarkupCode|TransTableId|TransRecId","TPP","492",$L200),"")</f>
        <v/>
      </c>
    </row>
    <row r="201" spans="1:14">
      <c r="A201" s="8" t="s">
        <v>224</v>
      </c>
      <c r="B201" s="8" t="s">
        <v>870</v>
      </c>
      <c r="C201" s="8" t="s">
        <v>871</v>
      </c>
      <c r="D201" s="8" t="s">
        <v>872</v>
      </c>
      <c r="E201" s="8" t="s">
        <v>237</v>
      </c>
      <c r="F201" s="8" t="s">
        <v>238</v>
      </c>
      <c r="G201" s="6">
        <v>43145</v>
      </c>
      <c r="H201" s="6">
        <v>43145</v>
      </c>
      <c r="I201" s="4">
        <v>4116</v>
      </c>
      <c r="J201" s="8" t="s">
        <v>22</v>
      </c>
      <c r="K201" s="8" t="s">
        <v>873</v>
      </c>
      <c r="L201" s="4" t="str">
        <f>IF(AtlasReport_1_Table_1[[#This Row],[Reference]]="Purchase order",_xll.AtlasFormulas.AtlasFunctions.AtlasTable("UAT",DataAreaId,"T.VendInvoiceTrans","%RecId","","","","","","","ItemId|PurchID|InventTransId",$C201,$B201,$K201),"")</f>
        <v/>
      </c>
      <c r="M201" s="4" t="str">
        <f>IF(AtlasReport_1_Table_1[[#This Row],[Reference]]="Purchase order",_xll.AtlasFormulas.AtlasFunctions.AtlasTable("UAT",DataAreaId,"T.MarkupTrans","%CurrencyCode","","","","","","","MarkupCode|TransRecId|TransTableId","TPP",$L201,"492"),"")</f>
        <v/>
      </c>
      <c r="N201" s="4" t="str">
        <f>IF(AtlasReport_1_Table_1[[#This Row],[Reference]]="Purchase order",_xll.AtlasFormulas.AtlasFunctions.AtlasBalance("UAT",DataAreaId,"T.MarkupTrans","Sum|Posted|0","","","","","","","MarkupCode|TransTableId|TransRecId","TPP","492",$L201),"")</f>
        <v/>
      </c>
    </row>
    <row r="202" spans="1:14">
      <c r="A202" s="8" t="s">
        <v>224</v>
      </c>
      <c r="B202" s="8" t="s">
        <v>874</v>
      </c>
      <c r="C202" s="8" t="s">
        <v>189</v>
      </c>
      <c r="D202" s="8" t="s">
        <v>190</v>
      </c>
      <c r="E202" s="8" t="s">
        <v>237</v>
      </c>
      <c r="F202" s="8" t="s">
        <v>238</v>
      </c>
      <c r="G202" s="6">
        <v>43132</v>
      </c>
      <c r="H202" s="6">
        <v>43132</v>
      </c>
      <c r="I202" s="4">
        <v>1</v>
      </c>
      <c r="J202" s="8" t="s">
        <v>22</v>
      </c>
      <c r="K202" s="8" t="s">
        <v>875</v>
      </c>
      <c r="L202" s="4" t="str">
        <f>IF(AtlasReport_1_Table_1[[#This Row],[Reference]]="Purchase order",_xll.AtlasFormulas.AtlasFunctions.AtlasTable("UAT",DataAreaId,"T.VendInvoiceTrans","%RecId","","","","","","","ItemId|PurchID|InventTransId",$C202,$B202,$K202),"")</f>
        <v/>
      </c>
      <c r="M202" s="4" t="str">
        <f>IF(AtlasReport_1_Table_1[[#This Row],[Reference]]="Purchase order",_xll.AtlasFormulas.AtlasFunctions.AtlasTable("UAT",DataAreaId,"T.MarkupTrans","%CurrencyCode","","","","","","","MarkupCode|TransRecId|TransTableId","TPP",$L202,"492"),"")</f>
        <v/>
      </c>
      <c r="N202" s="4" t="str">
        <f>IF(AtlasReport_1_Table_1[[#This Row],[Reference]]="Purchase order",_xll.AtlasFormulas.AtlasFunctions.AtlasBalance("UAT",DataAreaId,"T.MarkupTrans","Sum|Posted|0","","","","","","","MarkupCode|TransTableId|TransRecId","TPP","492",$L202),"")</f>
        <v/>
      </c>
    </row>
    <row r="203" spans="1:14">
      <c r="A203" s="8" t="s">
        <v>224</v>
      </c>
      <c r="B203" s="8" t="s">
        <v>874</v>
      </c>
      <c r="C203" s="8" t="s">
        <v>230</v>
      </c>
      <c r="D203" s="8" t="s">
        <v>231</v>
      </c>
      <c r="E203" s="8" t="s">
        <v>237</v>
      </c>
      <c r="F203" s="8" t="s">
        <v>238</v>
      </c>
      <c r="G203" s="6">
        <v>43132</v>
      </c>
      <c r="H203" s="6">
        <v>43132</v>
      </c>
      <c r="I203" s="4">
        <v>1</v>
      </c>
      <c r="J203" s="8" t="s">
        <v>22</v>
      </c>
      <c r="K203" s="8" t="s">
        <v>876</v>
      </c>
      <c r="L203" s="4" t="str">
        <f>IF(AtlasReport_1_Table_1[[#This Row],[Reference]]="Purchase order",_xll.AtlasFormulas.AtlasFunctions.AtlasTable("UAT",DataAreaId,"T.VendInvoiceTrans","%RecId","","","","","","","ItemId|PurchID|InventTransId",$C203,$B203,$K203),"")</f>
        <v/>
      </c>
      <c r="M203" s="4" t="str">
        <f>IF(AtlasReport_1_Table_1[[#This Row],[Reference]]="Purchase order",_xll.AtlasFormulas.AtlasFunctions.AtlasTable("UAT",DataAreaId,"T.MarkupTrans","%CurrencyCode","","","","","","","MarkupCode|TransRecId|TransTableId","TPP",$L203,"492"),"")</f>
        <v/>
      </c>
      <c r="N203" s="4" t="str">
        <f>IF(AtlasReport_1_Table_1[[#This Row],[Reference]]="Purchase order",_xll.AtlasFormulas.AtlasFunctions.AtlasBalance("UAT",DataAreaId,"T.MarkupTrans","Sum|Posted|0","","","","","","","MarkupCode|TransTableId|TransRecId","TPP","492",$L203),"")</f>
        <v/>
      </c>
    </row>
    <row r="204" spans="1:14">
      <c r="A204" s="8" t="s">
        <v>224</v>
      </c>
      <c r="B204" s="8" t="s">
        <v>874</v>
      </c>
      <c r="C204" s="8" t="s">
        <v>278</v>
      </c>
      <c r="D204" s="8" t="s">
        <v>409</v>
      </c>
      <c r="E204" s="8" t="s">
        <v>237</v>
      </c>
      <c r="F204" s="8" t="s">
        <v>238</v>
      </c>
      <c r="G204" s="6">
        <v>43132</v>
      </c>
      <c r="H204" s="6">
        <v>43132</v>
      </c>
      <c r="I204" s="4">
        <v>1</v>
      </c>
      <c r="J204" s="8" t="s">
        <v>22</v>
      </c>
      <c r="K204" s="8" t="s">
        <v>877</v>
      </c>
      <c r="L204" s="4" t="str">
        <f>IF(AtlasReport_1_Table_1[[#This Row],[Reference]]="Purchase order",_xll.AtlasFormulas.AtlasFunctions.AtlasTable("UAT",DataAreaId,"T.VendInvoiceTrans","%RecId","","","","","","","ItemId|PurchID|InventTransId",$C204,$B204,$K204),"")</f>
        <v/>
      </c>
      <c r="M204" s="4" t="str">
        <f>IF(AtlasReport_1_Table_1[[#This Row],[Reference]]="Purchase order",_xll.AtlasFormulas.AtlasFunctions.AtlasTable("UAT",DataAreaId,"T.MarkupTrans","%CurrencyCode","","","","","","","MarkupCode|TransRecId|TransTableId","TPP",$L204,"492"),"")</f>
        <v/>
      </c>
      <c r="N204" s="4" t="str">
        <f>IF(AtlasReport_1_Table_1[[#This Row],[Reference]]="Purchase order",_xll.AtlasFormulas.AtlasFunctions.AtlasBalance("UAT",DataAreaId,"T.MarkupTrans","Sum|Posted|0","","","","","","","MarkupCode|TransTableId|TransRecId","TPP","492",$L204),"")</f>
        <v/>
      </c>
    </row>
    <row r="205" spans="1:14">
      <c r="A205" s="8" t="s">
        <v>224</v>
      </c>
      <c r="B205" s="8" t="s">
        <v>878</v>
      </c>
      <c r="C205" s="8" t="s">
        <v>823</v>
      </c>
      <c r="D205" s="8" t="s">
        <v>824</v>
      </c>
      <c r="E205" s="8" t="s">
        <v>237</v>
      </c>
      <c r="F205" s="8" t="s">
        <v>238</v>
      </c>
      <c r="G205" s="6">
        <v>43132</v>
      </c>
      <c r="H205" s="6">
        <v>43132</v>
      </c>
      <c r="I205" s="4">
        <v>9</v>
      </c>
      <c r="J205" s="8" t="s">
        <v>22</v>
      </c>
      <c r="K205" s="8" t="s">
        <v>879</v>
      </c>
      <c r="L205" s="4" t="str">
        <f>IF(AtlasReport_1_Table_1[[#This Row],[Reference]]="Purchase order",_xll.AtlasFormulas.AtlasFunctions.AtlasTable("UAT",DataAreaId,"T.VendInvoiceTrans","%RecId","","","","","","","ItemId|PurchID|InventTransId",$C205,$B205,$K205),"")</f>
        <v/>
      </c>
      <c r="M205" s="4" t="str">
        <f>IF(AtlasReport_1_Table_1[[#This Row],[Reference]]="Purchase order",_xll.AtlasFormulas.AtlasFunctions.AtlasTable("UAT",DataAreaId,"T.MarkupTrans","%CurrencyCode","","","","","","","MarkupCode|TransRecId|TransTableId","TPP",$L205,"492"),"")</f>
        <v/>
      </c>
      <c r="N205" s="4" t="str">
        <f>IF(AtlasReport_1_Table_1[[#This Row],[Reference]]="Purchase order",_xll.AtlasFormulas.AtlasFunctions.AtlasBalance("UAT",DataAreaId,"T.MarkupTrans","Sum|Posted|0","","","","","","","MarkupCode|TransTableId|TransRecId","TPP","492",$L205),"")</f>
        <v/>
      </c>
    </row>
    <row r="206" spans="1:14">
      <c r="A206" s="8" t="s">
        <v>224</v>
      </c>
      <c r="B206" s="8" t="s">
        <v>880</v>
      </c>
      <c r="C206" s="8" t="s">
        <v>826</v>
      </c>
      <c r="D206" s="8" t="s">
        <v>827</v>
      </c>
      <c r="E206" s="8" t="s">
        <v>237</v>
      </c>
      <c r="F206" s="8" t="s">
        <v>238</v>
      </c>
      <c r="G206" s="6">
        <v>43132</v>
      </c>
      <c r="H206" s="6">
        <v>43132</v>
      </c>
      <c r="I206" s="4">
        <v>9</v>
      </c>
      <c r="J206" s="8" t="s">
        <v>22</v>
      </c>
      <c r="K206" s="8" t="s">
        <v>881</v>
      </c>
      <c r="L206" s="4" t="str">
        <f>IF(AtlasReport_1_Table_1[[#This Row],[Reference]]="Purchase order",_xll.AtlasFormulas.AtlasFunctions.AtlasTable("UAT",DataAreaId,"T.VendInvoiceTrans","%RecId","","","","","","","ItemId|PurchID|InventTransId",$C206,$B206,$K206),"")</f>
        <v/>
      </c>
      <c r="M206" s="4" t="str">
        <f>IF(AtlasReport_1_Table_1[[#This Row],[Reference]]="Purchase order",_xll.AtlasFormulas.AtlasFunctions.AtlasTable("UAT",DataAreaId,"T.MarkupTrans","%CurrencyCode","","","","","","","MarkupCode|TransRecId|TransTableId","TPP",$L206,"492"),"")</f>
        <v/>
      </c>
      <c r="N206" s="4" t="str">
        <f>IF(AtlasReport_1_Table_1[[#This Row],[Reference]]="Purchase order",_xll.AtlasFormulas.AtlasFunctions.AtlasBalance("UAT",DataAreaId,"T.MarkupTrans","Sum|Posted|0","","","","","","","MarkupCode|TransTableId|TransRecId","TPP","492",$L206),"")</f>
        <v/>
      </c>
    </row>
    <row r="207" spans="1:14">
      <c r="A207" s="8" t="s">
        <v>224</v>
      </c>
      <c r="B207" s="8" t="s">
        <v>882</v>
      </c>
      <c r="C207" s="8" t="s">
        <v>429</v>
      </c>
      <c r="D207" s="8" t="s">
        <v>430</v>
      </c>
      <c r="E207" s="8" t="s">
        <v>237</v>
      </c>
      <c r="F207" s="8" t="s">
        <v>238</v>
      </c>
      <c r="G207" s="6">
        <v>43137</v>
      </c>
      <c r="H207" s="6">
        <v>43137</v>
      </c>
      <c r="I207" s="4">
        <v>-4</v>
      </c>
      <c r="J207" s="8" t="s">
        <v>22</v>
      </c>
      <c r="K207" s="8" t="s">
        <v>883</v>
      </c>
      <c r="L207" s="4" t="str">
        <f>IF(AtlasReport_1_Table_1[[#This Row],[Reference]]="Purchase order",_xll.AtlasFormulas.AtlasFunctions.AtlasTable("UAT",DataAreaId,"T.VendInvoiceTrans","%RecId","","","","","","","ItemId|PurchID|InventTransId",$C207,$B207,$K207),"")</f>
        <v/>
      </c>
      <c r="M207" s="4" t="str">
        <f>IF(AtlasReport_1_Table_1[[#This Row],[Reference]]="Purchase order",_xll.AtlasFormulas.AtlasFunctions.AtlasTable("UAT",DataAreaId,"T.MarkupTrans","%CurrencyCode","","","","","","","MarkupCode|TransRecId|TransTableId","TPP",$L207,"492"),"")</f>
        <v/>
      </c>
      <c r="N207" s="4" t="str">
        <f>IF(AtlasReport_1_Table_1[[#This Row],[Reference]]="Purchase order",_xll.AtlasFormulas.AtlasFunctions.AtlasBalance("UAT",DataAreaId,"T.MarkupTrans","Sum|Posted|0","","","","","","","MarkupCode|TransTableId|TransRecId","TPP","492",$L207),"")</f>
        <v/>
      </c>
    </row>
    <row r="208" spans="1:14">
      <c r="A208" s="8" t="s">
        <v>224</v>
      </c>
      <c r="B208" s="8" t="s">
        <v>882</v>
      </c>
      <c r="C208" s="8" t="s">
        <v>632</v>
      </c>
      <c r="D208" s="8" t="s">
        <v>633</v>
      </c>
      <c r="E208" s="8" t="s">
        <v>237</v>
      </c>
      <c r="F208" s="8" t="s">
        <v>238</v>
      </c>
      <c r="G208" s="6">
        <v>43137</v>
      </c>
      <c r="H208" s="6">
        <v>43137</v>
      </c>
      <c r="I208" s="4">
        <v>-1</v>
      </c>
      <c r="J208" s="8" t="s">
        <v>22</v>
      </c>
      <c r="K208" s="8" t="s">
        <v>884</v>
      </c>
      <c r="L208" s="4" t="str">
        <f>IF(AtlasReport_1_Table_1[[#This Row],[Reference]]="Purchase order",_xll.AtlasFormulas.AtlasFunctions.AtlasTable("UAT",DataAreaId,"T.VendInvoiceTrans","%RecId","","","","","","","ItemId|PurchID|InventTransId",$C208,$B208,$K208),"")</f>
        <v/>
      </c>
      <c r="M208" s="4" t="str">
        <f>IF(AtlasReport_1_Table_1[[#This Row],[Reference]]="Purchase order",_xll.AtlasFormulas.AtlasFunctions.AtlasTable("UAT",DataAreaId,"T.MarkupTrans","%CurrencyCode","","","","","","","MarkupCode|TransRecId|TransTableId","TPP",$L208,"492"),"")</f>
        <v/>
      </c>
      <c r="N208" s="4" t="str">
        <f>IF(AtlasReport_1_Table_1[[#This Row],[Reference]]="Purchase order",_xll.AtlasFormulas.AtlasFunctions.AtlasBalance("UAT",DataAreaId,"T.MarkupTrans","Sum|Posted|0","","","","","","","MarkupCode|TransTableId|TransRecId","TPP","492",$L208),"")</f>
        <v/>
      </c>
    </row>
    <row r="209" spans="1:14">
      <c r="A209" s="8" t="s">
        <v>224</v>
      </c>
      <c r="B209" s="8" t="s">
        <v>882</v>
      </c>
      <c r="C209" s="8" t="s">
        <v>635</v>
      </c>
      <c r="D209" s="8" t="s">
        <v>636</v>
      </c>
      <c r="E209" s="8" t="s">
        <v>237</v>
      </c>
      <c r="F209" s="8" t="s">
        <v>238</v>
      </c>
      <c r="G209" s="6">
        <v>43137</v>
      </c>
      <c r="H209" s="6">
        <v>43137</v>
      </c>
      <c r="I209" s="4">
        <v>-1</v>
      </c>
      <c r="J209" s="8" t="s">
        <v>22</v>
      </c>
      <c r="K209" s="8" t="s">
        <v>885</v>
      </c>
      <c r="L209" s="4" t="str">
        <f>IF(AtlasReport_1_Table_1[[#This Row],[Reference]]="Purchase order",_xll.AtlasFormulas.AtlasFunctions.AtlasTable("UAT",DataAreaId,"T.VendInvoiceTrans","%RecId","","","","","","","ItemId|PurchID|InventTransId",$C209,$B209,$K209),"")</f>
        <v/>
      </c>
      <c r="M209" s="4" t="str">
        <f>IF(AtlasReport_1_Table_1[[#This Row],[Reference]]="Purchase order",_xll.AtlasFormulas.AtlasFunctions.AtlasTable("UAT",DataAreaId,"T.MarkupTrans","%CurrencyCode","","","","","","","MarkupCode|TransRecId|TransTableId","TPP",$L209,"492"),"")</f>
        <v/>
      </c>
      <c r="N209" s="4" t="str">
        <f>IF(AtlasReport_1_Table_1[[#This Row],[Reference]]="Purchase order",_xll.AtlasFormulas.AtlasFunctions.AtlasBalance("UAT",DataAreaId,"T.MarkupTrans","Sum|Posted|0","","","","","","","MarkupCode|TransTableId|TransRecId","TPP","492",$L209),"")</f>
        <v/>
      </c>
    </row>
    <row r="210" spans="1:14">
      <c r="A210" s="8" t="s">
        <v>224</v>
      </c>
      <c r="B210" s="8" t="s">
        <v>886</v>
      </c>
      <c r="C210" s="8" t="s">
        <v>437</v>
      </c>
      <c r="D210" s="8" t="s">
        <v>438</v>
      </c>
      <c r="E210" s="8" t="s">
        <v>237</v>
      </c>
      <c r="F210" s="8" t="s">
        <v>238</v>
      </c>
      <c r="G210" s="6">
        <v>43132</v>
      </c>
      <c r="H210" s="6">
        <v>43132</v>
      </c>
      <c r="I210" s="4">
        <v>-8</v>
      </c>
      <c r="J210" s="8" t="s">
        <v>22</v>
      </c>
      <c r="K210" s="8" t="s">
        <v>887</v>
      </c>
      <c r="L210" s="4" t="str">
        <f>IF(AtlasReport_1_Table_1[[#This Row],[Reference]]="Purchase order",_xll.AtlasFormulas.AtlasFunctions.AtlasTable("UAT",DataAreaId,"T.VendInvoiceTrans","%RecId","","","","","","","ItemId|PurchID|InventTransId",$C210,$B210,$K210),"")</f>
        <v/>
      </c>
      <c r="M210" s="4" t="str">
        <f>IF(AtlasReport_1_Table_1[[#This Row],[Reference]]="Purchase order",_xll.AtlasFormulas.AtlasFunctions.AtlasTable("UAT",DataAreaId,"T.MarkupTrans","%CurrencyCode","","","","","","","MarkupCode|TransRecId|TransTableId","TPP",$L210,"492"),"")</f>
        <v/>
      </c>
      <c r="N210" s="4" t="str">
        <f>IF(AtlasReport_1_Table_1[[#This Row],[Reference]]="Purchase order",_xll.AtlasFormulas.AtlasFunctions.AtlasBalance("UAT",DataAreaId,"T.MarkupTrans","Sum|Posted|0","","","","","","","MarkupCode|TransTableId|TransRecId","TPP","492",$L210),"")</f>
        <v/>
      </c>
    </row>
    <row r="211" spans="1:14">
      <c r="A211" s="8" t="s">
        <v>224</v>
      </c>
      <c r="B211" s="8" t="s">
        <v>888</v>
      </c>
      <c r="C211" s="8" t="s">
        <v>306</v>
      </c>
      <c r="D211" s="8" t="s">
        <v>307</v>
      </c>
      <c r="E211" s="8" t="s">
        <v>237</v>
      </c>
      <c r="F211" s="8" t="s">
        <v>238</v>
      </c>
      <c r="G211" s="6">
        <v>43132</v>
      </c>
      <c r="H211" s="6">
        <v>43132</v>
      </c>
      <c r="I211" s="4">
        <v>-2</v>
      </c>
      <c r="J211" s="8" t="s">
        <v>22</v>
      </c>
      <c r="K211" s="8" t="s">
        <v>889</v>
      </c>
      <c r="L211" s="4" t="str">
        <f>IF(AtlasReport_1_Table_1[[#This Row],[Reference]]="Purchase order",_xll.AtlasFormulas.AtlasFunctions.AtlasTable("UAT",DataAreaId,"T.VendInvoiceTrans","%RecId","","","","","","","ItemId|PurchID|InventTransId",$C211,$B211,$K211),"")</f>
        <v/>
      </c>
      <c r="M211" s="4" t="str">
        <f>IF(AtlasReport_1_Table_1[[#This Row],[Reference]]="Purchase order",_xll.AtlasFormulas.AtlasFunctions.AtlasTable("UAT",DataAreaId,"T.MarkupTrans","%CurrencyCode","","","","","","","MarkupCode|TransRecId|TransTableId","TPP",$L211,"492"),"")</f>
        <v/>
      </c>
      <c r="N211" s="4" t="str">
        <f>IF(AtlasReport_1_Table_1[[#This Row],[Reference]]="Purchase order",_xll.AtlasFormulas.AtlasFunctions.AtlasBalance("UAT",DataAreaId,"T.MarkupTrans","Sum|Posted|0","","","","","","","MarkupCode|TransTableId|TransRecId","TPP","492",$L211),"")</f>
        <v/>
      </c>
    </row>
    <row r="212" spans="1:14">
      <c r="A212" s="8" t="s">
        <v>224</v>
      </c>
      <c r="B212" s="8" t="s">
        <v>888</v>
      </c>
      <c r="C212" s="8" t="s">
        <v>437</v>
      </c>
      <c r="D212" s="8" t="s">
        <v>438</v>
      </c>
      <c r="E212" s="8" t="s">
        <v>237</v>
      </c>
      <c r="F212" s="8" t="s">
        <v>238</v>
      </c>
      <c r="G212" s="6">
        <v>43132</v>
      </c>
      <c r="H212" s="6">
        <v>43132</v>
      </c>
      <c r="I212" s="4">
        <v>-2</v>
      </c>
      <c r="J212" s="8" t="s">
        <v>22</v>
      </c>
      <c r="K212" s="8" t="s">
        <v>890</v>
      </c>
      <c r="L212" s="4" t="str">
        <f>IF(AtlasReport_1_Table_1[[#This Row],[Reference]]="Purchase order",_xll.AtlasFormulas.AtlasFunctions.AtlasTable("UAT",DataAreaId,"T.VendInvoiceTrans","%RecId","","","","","","","ItemId|PurchID|InventTransId",$C212,$B212,$K212),"")</f>
        <v/>
      </c>
      <c r="M212" s="4" t="str">
        <f>IF(AtlasReport_1_Table_1[[#This Row],[Reference]]="Purchase order",_xll.AtlasFormulas.AtlasFunctions.AtlasTable("UAT",DataAreaId,"T.MarkupTrans","%CurrencyCode","","","","","","","MarkupCode|TransRecId|TransTableId","TPP",$L212,"492"),"")</f>
        <v/>
      </c>
      <c r="N212" s="4" t="str">
        <f>IF(AtlasReport_1_Table_1[[#This Row],[Reference]]="Purchase order",_xll.AtlasFormulas.AtlasFunctions.AtlasBalance("UAT",DataAreaId,"T.MarkupTrans","Sum|Posted|0","","","","","","","MarkupCode|TransTableId|TransRecId","TPP","492",$L212),"")</f>
        <v/>
      </c>
    </row>
    <row r="213" spans="1:14">
      <c r="A213" s="8" t="s">
        <v>224</v>
      </c>
      <c r="B213" s="8" t="s">
        <v>891</v>
      </c>
      <c r="C213" s="8" t="s">
        <v>306</v>
      </c>
      <c r="D213" s="8" t="s">
        <v>307</v>
      </c>
      <c r="E213" s="8" t="s">
        <v>237</v>
      </c>
      <c r="F213" s="8" t="s">
        <v>238</v>
      </c>
      <c r="G213" s="6">
        <v>43132</v>
      </c>
      <c r="H213" s="6">
        <v>43132</v>
      </c>
      <c r="I213" s="4">
        <v>-2</v>
      </c>
      <c r="J213" s="8" t="s">
        <v>22</v>
      </c>
      <c r="K213" s="8" t="s">
        <v>892</v>
      </c>
      <c r="L213" s="4" t="str">
        <f>IF(AtlasReport_1_Table_1[[#This Row],[Reference]]="Purchase order",_xll.AtlasFormulas.AtlasFunctions.AtlasTable("UAT",DataAreaId,"T.VendInvoiceTrans","%RecId","","","","","","","ItemId|PurchID|InventTransId",$C213,$B213,$K213),"")</f>
        <v/>
      </c>
      <c r="M213" s="4" t="str">
        <f>IF(AtlasReport_1_Table_1[[#This Row],[Reference]]="Purchase order",_xll.AtlasFormulas.AtlasFunctions.AtlasTable("UAT",DataAreaId,"T.MarkupTrans","%CurrencyCode","","","","","","","MarkupCode|TransRecId|TransTableId","TPP",$L213,"492"),"")</f>
        <v/>
      </c>
      <c r="N213" s="4" t="str">
        <f>IF(AtlasReport_1_Table_1[[#This Row],[Reference]]="Purchase order",_xll.AtlasFormulas.AtlasFunctions.AtlasBalance("UAT",DataAreaId,"T.MarkupTrans","Sum|Posted|0","","","","","","","MarkupCode|TransTableId|TransRecId","TPP","492",$L213),"")</f>
        <v/>
      </c>
    </row>
    <row r="214" spans="1:14">
      <c r="A214" s="8" t="s">
        <v>224</v>
      </c>
      <c r="B214" s="8" t="s">
        <v>891</v>
      </c>
      <c r="C214" s="8" t="s">
        <v>437</v>
      </c>
      <c r="D214" s="8" t="s">
        <v>438</v>
      </c>
      <c r="E214" s="8" t="s">
        <v>237</v>
      </c>
      <c r="F214" s="8" t="s">
        <v>238</v>
      </c>
      <c r="G214" s="6">
        <v>43132</v>
      </c>
      <c r="H214" s="6">
        <v>43132</v>
      </c>
      <c r="I214" s="4">
        <v>-2</v>
      </c>
      <c r="J214" s="8" t="s">
        <v>22</v>
      </c>
      <c r="K214" s="8" t="s">
        <v>893</v>
      </c>
      <c r="L214" s="4" t="str">
        <f>IF(AtlasReport_1_Table_1[[#This Row],[Reference]]="Purchase order",_xll.AtlasFormulas.AtlasFunctions.AtlasTable("UAT",DataAreaId,"T.VendInvoiceTrans","%RecId","","","","","","","ItemId|PurchID|InventTransId",$C214,$B214,$K214),"")</f>
        <v/>
      </c>
      <c r="M214" s="4" t="str">
        <f>IF(AtlasReport_1_Table_1[[#This Row],[Reference]]="Purchase order",_xll.AtlasFormulas.AtlasFunctions.AtlasTable("UAT",DataAreaId,"T.MarkupTrans","%CurrencyCode","","","","","","","MarkupCode|TransRecId|TransTableId","TPP",$L214,"492"),"")</f>
        <v/>
      </c>
      <c r="N214" s="4" t="str">
        <f>IF(AtlasReport_1_Table_1[[#This Row],[Reference]]="Purchase order",_xll.AtlasFormulas.AtlasFunctions.AtlasBalance("UAT",DataAreaId,"T.MarkupTrans","Sum|Posted|0","","","","","","","MarkupCode|TransTableId|TransRecId","TPP","492",$L214),"")</f>
        <v/>
      </c>
    </row>
    <row r="215" spans="1:14">
      <c r="A215" s="8" t="s">
        <v>224</v>
      </c>
      <c r="B215" s="8" t="s">
        <v>894</v>
      </c>
      <c r="C215" s="8" t="s">
        <v>189</v>
      </c>
      <c r="D215" s="8" t="s">
        <v>190</v>
      </c>
      <c r="E215" s="8" t="s">
        <v>237</v>
      </c>
      <c r="F215" s="8" t="s">
        <v>238</v>
      </c>
      <c r="G215" s="6">
        <v>43132</v>
      </c>
      <c r="H215" s="6">
        <v>43132</v>
      </c>
      <c r="I215" s="4">
        <v>-1</v>
      </c>
      <c r="J215" s="8" t="s">
        <v>22</v>
      </c>
      <c r="K215" s="8" t="s">
        <v>895</v>
      </c>
      <c r="L215" s="4" t="str">
        <f>IF(AtlasReport_1_Table_1[[#This Row],[Reference]]="Purchase order",_xll.AtlasFormulas.AtlasFunctions.AtlasTable("UAT",DataAreaId,"T.VendInvoiceTrans","%RecId","","","","","","","ItemId|PurchID|InventTransId",$C215,$B215,$K215),"")</f>
        <v/>
      </c>
      <c r="M215" s="4" t="str">
        <f>IF(AtlasReport_1_Table_1[[#This Row],[Reference]]="Purchase order",_xll.AtlasFormulas.AtlasFunctions.AtlasTable("UAT",DataAreaId,"T.MarkupTrans","%CurrencyCode","","","","","","","MarkupCode|TransRecId|TransTableId","TPP",$L215,"492"),"")</f>
        <v/>
      </c>
      <c r="N215" s="4" t="str">
        <f>IF(AtlasReport_1_Table_1[[#This Row],[Reference]]="Purchase order",_xll.AtlasFormulas.AtlasFunctions.AtlasBalance("UAT",DataAreaId,"T.MarkupTrans","Sum|Posted|0","","","","","","","MarkupCode|TransTableId|TransRecId","TPP","492",$L215),"")</f>
        <v/>
      </c>
    </row>
    <row r="216" spans="1:14">
      <c r="A216" s="8" t="s">
        <v>224</v>
      </c>
      <c r="B216" s="8" t="s">
        <v>894</v>
      </c>
      <c r="C216" s="8" t="s">
        <v>230</v>
      </c>
      <c r="D216" s="8" t="s">
        <v>231</v>
      </c>
      <c r="E216" s="8" t="s">
        <v>237</v>
      </c>
      <c r="F216" s="8" t="s">
        <v>238</v>
      </c>
      <c r="G216" s="6">
        <v>43132</v>
      </c>
      <c r="H216" s="6">
        <v>43132</v>
      </c>
      <c r="I216" s="4">
        <v>-1</v>
      </c>
      <c r="J216" s="8" t="s">
        <v>22</v>
      </c>
      <c r="K216" s="8" t="s">
        <v>896</v>
      </c>
      <c r="L216" s="4" t="str">
        <f>IF(AtlasReport_1_Table_1[[#This Row],[Reference]]="Purchase order",_xll.AtlasFormulas.AtlasFunctions.AtlasTable("UAT",DataAreaId,"T.VendInvoiceTrans","%RecId","","","","","","","ItemId|PurchID|InventTransId",$C216,$B216,$K216),"")</f>
        <v/>
      </c>
      <c r="M216" s="4" t="str">
        <f>IF(AtlasReport_1_Table_1[[#This Row],[Reference]]="Purchase order",_xll.AtlasFormulas.AtlasFunctions.AtlasTable("UAT",DataAreaId,"T.MarkupTrans","%CurrencyCode","","","","","","","MarkupCode|TransRecId|TransTableId","TPP",$L216,"492"),"")</f>
        <v/>
      </c>
      <c r="N216" s="4" t="str">
        <f>IF(AtlasReport_1_Table_1[[#This Row],[Reference]]="Purchase order",_xll.AtlasFormulas.AtlasFunctions.AtlasBalance("UAT",DataAreaId,"T.MarkupTrans","Sum|Posted|0","","","","","","","MarkupCode|TransTableId|TransRecId","TPP","492",$L216),"")</f>
        <v/>
      </c>
    </row>
    <row r="217" spans="1:14">
      <c r="A217" s="8" t="s">
        <v>224</v>
      </c>
      <c r="B217" s="8" t="s">
        <v>894</v>
      </c>
      <c r="C217" s="8" t="s">
        <v>278</v>
      </c>
      <c r="D217" s="8" t="s">
        <v>409</v>
      </c>
      <c r="E217" s="8" t="s">
        <v>237</v>
      </c>
      <c r="F217" s="8" t="s">
        <v>238</v>
      </c>
      <c r="G217" s="6">
        <v>43132</v>
      </c>
      <c r="H217" s="6">
        <v>43132</v>
      </c>
      <c r="I217" s="4">
        <v>-1</v>
      </c>
      <c r="J217" s="8" t="s">
        <v>22</v>
      </c>
      <c r="K217" s="8" t="s">
        <v>897</v>
      </c>
      <c r="L217" s="4" t="str">
        <f>IF(AtlasReport_1_Table_1[[#This Row],[Reference]]="Purchase order",_xll.AtlasFormulas.AtlasFunctions.AtlasTable("UAT",DataAreaId,"T.VendInvoiceTrans","%RecId","","","","","","","ItemId|PurchID|InventTransId",$C217,$B217,$K217),"")</f>
        <v/>
      </c>
      <c r="M217" s="4" t="str">
        <f>IF(AtlasReport_1_Table_1[[#This Row],[Reference]]="Purchase order",_xll.AtlasFormulas.AtlasFunctions.AtlasTable("UAT",DataAreaId,"T.MarkupTrans","%CurrencyCode","","","","","","","MarkupCode|TransRecId|TransTableId","TPP",$L217,"492"),"")</f>
        <v/>
      </c>
      <c r="N217" s="4" t="str">
        <f>IF(AtlasReport_1_Table_1[[#This Row],[Reference]]="Purchase order",_xll.AtlasFormulas.AtlasFunctions.AtlasBalance("UAT",DataAreaId,"T.MarkupTrans","Sum|Posted|0","","","","","","","MarkupCode|TransTableId|TransRecId","TPP","492",$L217),"")</f>
        <v/>
      </c>
    </row>
    <row r="218" spans="1:14">
      <c r="A218" s="8" t="s">
        <v>224</v>
      </c>
      <c r="B218" s="8" t="s">
        <v>898</v>
      </c>
      <c r="C218" s="8" t="s">
        <v>189</v>
      </c>
      <c r="D218" s="8" t="s">
        <v>190</v>
      </c>
      <c r="E218" s="8" t="s">
        <v>237</v>
      </c>
      <c r="F218" s="8" t="s">
        <v>238</v>
      </c>
      <c r="G218" s="6">
        <v>43132</v>
      </c>
      <c r="H218" s="6">
        <v>43132</v>
      </c>
      <c r="I218" s="4">
        <v>-1</v>
      </c>
      <c r="J218" s="8" t="s">
        <v>22</v>
      </c>
      <c r="K218" s="8" t="s">
        <v>899</v>
      </c>
      <c r="L218" s="4" t="str">
        <f>IF(AtlasReport_1_Table_1[[#This Row],[Reference]]="Purchase order",_xll.AtlasFormulas.AtlasFunctions.AtlasTable("UAT",DataAreaId,"T.VendInvoiceTrans","%RecId","","","","","","","ItemId|PurchID|InventTransId",$C218,$B218,$K218),"")</f>
        <v/>
      </c>
      <c r="M218" s="4" t="str">
        <f>IF(AtlasReport_1_Table_1[[#This Row],[Reference]]="Purchase order",_xll.AtlasFormulas.AtlasFunctions.AtlasTable("UAT",DataAreaId,"T.MarkupTrans","%CurrencyCode","","","","","","","MarkupCode|TransRecId|TransTableId","TPP",$L218,"492"),"")</f>
        <v/>
      </c>
      <c r="N218" s="4" t="str">
        <f>IF(AtlasReport_1_Table_1[[#This Row],[Reference]]="Purchase order",_xll.AtlasFormulas.AtlasFunctions.AtlasBalance("UAT",DataAreaId,"T.MarkupTrans","Sum|Posted|0","","","","","","","MarkupCode|TransTableId|TransRecId","TPP","492",$L218),"")</f>
        <v/>
      </c>
    </row>
    <row r="219" spans="1:14">
      <c r="A219" s="8" t="s">
        <v>224</v>
      </c>
      <c r="B219" s="8" t="s">
        <v>898</v>
      </c>
      <c r="C219" s="8" t="s">
        <v>230</v>
      </c>
      <c r="D219" s="8" t="s">
        <v>231</v>
      </c>
      <c r="E219" s="8" t="s">
        <v>237</v>
      </c>
      <c r="F219" s="8" t="s">
        <v>238</v>
      </c>
      <c r="G219" s="6">
        <v>43132</v>
      </c>
      <c r="H219" s="6">
        <v>43132</v>
      </c>
      <c r="I219" s="4">
        <v>-1</v>
      </c>
      <c r="J219" s="8" t="s">
        <v>22</v>
      </c>
      <c r="K219" s="8" t="s">
        <v>900</v>
      </c>
      <c r="L219" s="4" t="str">
        <f>IF(AtlasReport_1_Table_1[[#This Row],[Reference]]="Purchase order",_xll.AtlasFormulas.AtlasFunctions.AtlasTable("UAT",DataAreaId,"T.VendInvoiceTrans","%RecId","","","","","","","ItemId|PurchID|InventTransId",$C219,$B219,$K219),"")</f>
        <v/>
      </c>
      <c r="M219" s="4" t="str">
        <f>IF(AtlasReport_1_Table_1[[#This Row],[Reference]]="Purchase order",_xll.AtlasFormulas.AtlasFunctions.AtlasTable("UAT",DataAreaId,"T.MarkupTrans","%CurrencyCode","","","","","","","MarkupCode|TransRecId|TransTableId","TPP",$L219,"492"),"")</f>
        <v/>
      </c>
      <c r="N219" s="4" t="str">
        <f>IF(AtlasReport_1_Table_1[[#This Row],[Reference]]="Purchase order",_xll.AtlasFormulas.AtlasFunctions.AtlasBalance("UAT",DataAreaId,"T.MarkupTrans","Sum|Posted|0","","","","","","","MarkupCode|TransTableId|TransRecId","TPP","492",$L219),"")</f>
        <v/>
      </c>
    </row>
    <row r="220" spans="1:14">
      <c r="A220" s="8" t="s">
        <v>224</v>
      </c>
      <c r="B220" s="8" t="s">
        <v>898</v>
      </c>
      <c r="C220" s="8" t="s">
        <v>278</v>
      </c>
      <c r="D220" s="8" t="s">
        <v>409</v>
      </c>
      <c r="E220" s="8" t="s">
        <v>237</v>
      </c>
      <c r="F220" s="8" t="s">
        <v>238</v>
      </c>
      <c r="G220" s="6">
        <v>43132</v>
      </c>
      <c r="H220" s="6">
        <v>43132</v>
      </c>
      <c r="I220" s="4">
        <v>-1</v>
      </c>
      <c r="J220" s="8" t="s">
        <v>22</v>
      </c>
      <c r="K220" s="8" t="s">
        <v>901</v>
      </c>
      <c r="L220" s="4" t="str">
        <f>IF(AtlasReport_1_Table_1[[#This Row],[Reference]]="Purchase order",_xll.AtlasFormulas.AtlasFunctions.AtlasTable("UAT",DataAreaId,"T.VendInvoiceTrans","%RecId","","","","","","","ItemId|PurchID|InventTransId",$C220,$B220,$K220),"")</f>
        <v/>
      </c>
      <c r="M220" s="4" t="str">
        <f>IF(AtlasReport_1_Table_1[[#This Row],[Reference]]="Purchase order",_xll.AtlasFormulas.AtlasFunctions.AtlasTable("UAT",DataAreaId,"T.MarkupTrans","%CurrencyCode","","","","","","","MarkupCode|TransRecId|TransTableId","TPP",$L220,"492"),"")</f>
        <v/>
      </c>
      <c r="N220" s="4" t="str">
        <f>IF(AtlasReport_1_Table_1[[#This Row],[Reference]]="Purchase order",_xll.AtlasFormulas.AtlasFunctions.AtlasBalance("UAT",DataAreaId,"T.MarkupTrans","Sum|Posted|0","","","","","","","MarkupCode|TransTableId|TransRecId","TPP","492",$L220),"")</f>
        <v/>
      </c>
    </row>
    <row r="221" spans="1:14">
      <c r="A221" s="8" t="s">
        <v>902</v>
      </c>
      <c r="B221" s="8" t="s">
        <v>903</v>
      </c>
      <c r="C221" s="8" t="s">
        <v>236</v>
      </c>
      <c r="D221" s="8" t="s">
        <v>299</v>
      </c>
      <c r="E221" s="8" t="s">
        <v>237</v>
      </c>
      <c r="F221" s="8" t="s">
        <v>238</v>
      </c>
      <c r="G221" s="6">
        <v>43101</v>
      </c>
      <c r="H221" s="6">
        <v>43101</v>
      </c>
      <c r="I221" s="4">
        <v>56</v>
      </c>
      <c r="J221" s="8" t="s">
        <v>66</v>
      </c>
      <c r="K221" s="8" t="s">
        <v>904</v>
      </c>
      <c r="L221" s="4" t="str">
        <f>IF(AtlasReport_1_Table_1[[#This Row],[Reference]]="Purchase order",_xll.AtlasFormulas.AtlasFunctions.AtlasTable("UAT",DataAreaId,"T.VendInvoiceTrans","%RecId","","","","","","","ItemId|PurchID|InventTransId",$C221,$B221,$K221),"")</f>
        <v/>
      </c>
      <c r="M221" s="4" t="str">
        <f>IF(AtlasReport_1_Table_1[[#This Row],[Reference]]="Purchase order",_xll.AtlasFormulas.AtlasFunctions.AtlasTable("UAT",DataAreaId,"T.MarkupTrans","%CurrencyCode","","","","","","","MarkupCode|TransRecId|TransTableId","TPP",$L221,"492"),"")</f>
        <v/>
      </c>
      <c r="N221" s="4" t="str">
        <f>IF(AtlasReport_1_Table_1[[#This Row],[Reference]]="Purchase order",_xll.AtlasFormulas.AtlasFunctions.AtlasBalance("UAT",DataAreaId,"T.MarkupTrans","Sum|Posted|0","","","","","","","MarkupCode|TransTableId|TransRecId","TPP","492",$L221),"")</f>
        <v/>
      </c>
    </row>
    <row r="222" spans="1:14">
      <c r="A222" s="8" t="s">
        <v>902</v>
      </c>
      <c r="B222" s="8" t="s">
        <v>903</v>
      </c>
      <c r="C222" s="8" t="s">
        <v>239</v>
      </c>
      <c r="D222" s="8" t="s">
        <v>304</v>
      </c>
      <c r="E222" s="8" t="s">
        <v>237</v>
      </c>
      <c r="F222" s="8" t="s">
        <v>238</v>
      </c>
      <c r="G222" s="6">
        <v>43101</v>
      </c>
      <c r="H222" s="6">
        <v>43101</v>
      </c>
      <c r="I222" s="4">
        <v>54.5</v>
      </c>
      <c r="J222" s="8" t="s">
        <v>66</v>
      </c>
      <c r="K222" s="8" t="s">
        <v>905</v>
      </c>
      <c r="L222" s="4" t="str">
        <f>IF(AtlasReport_1_Table_1[[#This Row],[Reference]]="Purchase order",_xll.AtlasFormulas.AtlasFunctions.AtlasTable("UAT",DataAreaId,"T.VendInvoiceTrans","%RecId","","","","","","","ItemId|PurchID|InventTransId",$C222,$B222,$K222),"")</f>
        <v/>
      </c>
      <c r="M222" s="4" t="str">
        <f>IF(AtlasReport_1_Table_1[[#This Row],[Reference]]="Purchase order",_xll.AtlasFormulas.AtlasFunctions.AtlasTable("UAT",DataAreaId,"T.MarkupTrans","%CurrencyCode","","","","","","","MarkupCode|TransRecId|TransTableId","TPP",$L222,"492"),"")</f>
        <v/>
      </c>
      <c r="N222" s="4" t="str">
        <f>IF(AtlasReport_1_Table_1[[#This Row],[Reference]]="Purchase order",_xll.AtlasFormulas.AtlasFunctions.AtlasBalance("UAT",DataAreaId,"T.MarkupTrans","Sum|Posted|0","","","","","","","MarkupCode|TransTableId|TransRecId","TPP","492",$L222),"")</f>
        <v/>
      </c>
    </row>
    <row r="223" spans="1:14">
      <c r="A223" s="8" t="s">
        <v>902</v>
      </c>
      <c r="B223" s="8" t="s">
        <v>903</v>
      </c>
      <c r="C223" s="8" t="s">
        <v>240</v>
      </c>
      <c r="D223" s="8" t="s">
        <v>305</v>
      </c>
      <c r="E223" s="8" t="s">
        <v>237</v>
      </c>
      <c r="F223" s="8" t="s">
        <v>238</v>
      </c>
      <c r="G223" s="6">
        <v>43101</v>
      </c>
      <c r="H223" s="6">
        <v>43101</v>
      </c>
      <c r="I223" s="4">
        <v>300</v>
      </c>
      <c r="J223" s="8" t="s">
        <v>66</v>
      </c>
      <c r="K223" s="8" t="s">
        <v>906</v>
      </c>
      <c r="L223" s="4" t="str">
        <f>IF(AtlasReport_1_Table_1[[#This Row],[Reference]]="Purchase order",_xll.AtlasFormulas.AtlasFunctions.AtlasTable("UAT",DataAreaId,"T.VendInvoiceTrans","%RecId","","","","","","","ItemId|PurchID|InventTransId",$C223,$B223,$K223),"")</f>
        <v/>
      </c>
      <c r="M223" s="4" t="str">
        <f>IF(AtlasReport_1_Table_1[[#This Row],[Reference]]="Purchase order",_xll.AtlasFormulas.AtlasFunctions.AtlasTable("UAT",DataAreaId,"T.MarkupTrans","%CurrencyCode","","","","","","","MarkupCode|TransRecId|TransTableId","TPP",$L223,"492"),"")</f>
        <v/>
      </c>
      <c r="N223" s="4" t="str">
        <f>IF(AtlasReport_1_Table_1[[#This Row],[Reference]]="Purchase order",_xll.AtlasFormulas.AtlasFunctions.AtlasBalance("UAT",DataAreaId,"T.MarkupTrans","Sum|Posted|0","","","","","","","MarkupCode|TransTableId|TransRecId","TPP","492",$L223),"")</f>
        <v/>
      </c>
    </row>
    <row r="224" spans="1:14">
      <c r="A224" s="8" t="s">
        <v>902</v>
      </c>
      <c r="B224" s="8" t="s">
        <v>903</v>
      </c>
      <c r="C224" s="8" t="s">
        <v>241</v>
      </c>
      <c r="D224" s="8" t="s">
        <v>313</v>
      </c>
      <c r="E224" s="8" t="s">
        <v>237</v>
      </c>
      <c r="F224" s="8" t="s">
        <v>238</v>
      </c>
      <c r="G224" s="6">
        <v>43101</v>
      </c>
      <c r="H224" s="6">
        <v>43101</v>
      </c>
      <c r="I224" s="4">
        <v>13.55</v>
      </c>
      <c r="J224" s="8" t="s">
        <v>66</v>
      </c>
      <c r="K224" s="8" t="s">
        <v>907</v>
      </c>
      <c r="L224" s="4" t="str">
        <f>IF(AtlasReport_1_Table_1[[#This Row],[Reference]]="Purchase order",_xll.AtlasFormulas.AtlasFunctions.AtlasTable("UAT",DataAreaId,"T.VendInvoiceTrans","%RecId","","","","","","","ItemId|PurchID|InventTransId",$C224,$B224,$K224),"")</f>
        <v/>
      </c>
      <c r="M224" s="4" t="str">
        <f>IF(AtlasReport_1_Table_1[[#This Row],[Reference]]="Purchase order",_xll.AtlasFormulas.AtlasFunctions.AtlasTable("UAT",DataAreaId,"T.MarkupTrans","%CurrencyCode","","","","","","","MarkupCode|TransRecId|TransTableId","TPP",$L224,"492"),"")</f>
        <v/>
      </c>
      <c r="N224" s="4" t="str">
        <f>IF(AtlasReport_1_Table_1[[#This Row],[Reference]]="Purchase order",_xll.AtlasFormulas.AtlasFunctions.AtlasBalance("UAT",DataAreaId,"T.MarkupTrans","Sum|Posted|0","","","","","","","MarkupCode|TransTableId|TransRecId","TPP","492",$L224),"")</f>
        <v/>
      </c>
    </row>
    <row r="225" spans="1:14">
      <c r="A225" s="8" t="s">
        <v>902</v>
      </c>
      <c r="B225" s="8" t="s">
        <v>903</v>
      </c>
      <c r="C225" s="8" t="s">
        <v>242</v>
      </c>
      <c r="D225" s="8" t="s">
        <v>315</v>
      </c>
      <c r="E225" s="8" t="s">
        <v>237</v>
      </c>
      <c r="F225" s="8" t="s">
        <v>238</v>
      </c>
      <c r="G225" s="6">
        <v>43101</v>
      </c>
      <c r="H225" s="6">
        <v>43101</v>
      </c>
      <c r="I225" s="4">
        <v>27.95</v>
      </c>
      <c r="J225" s="8" t="s">
        <v>66</v>
      </c>
      <c r="K225" s="8" t="s">
        <v>908</v>
      </c>
      <c r="L225" s="4" t="str">
        <f>IF(AtlasReport_1_Table_1[[#This Row],[Reference]]="Purchase order",_xll.AtlasFormulas.AtlasFunctions.AtlasTable("UAT",DataAreaId,"T.VendInvoiceTrans","%RecId","","","","","","","ItemId|PurchID|InventTransId",$C225,$B225,$K225),"")</f>
        <v/>
      </c>
      <c r="M225" s="4" t="str">
        <f>IF(AtlasReport_1_Table_1[[#This Row],[Reference]]="Purchase order",_xll.AtlasFormulas.AtlasFunctions.AtlasTable("UAT",DataAreaId,"T.MarkupTrans","%CurrencyCode","","","","","","","MarkupCode|TransRecId|TransTableId","TPP",$L225,"492"),"")</f>
        <v/>
      </c>
      <c r="N225" s="4" t="str">
        <f>IF(AtlasReport_1_Table_1[[#This Row],[Reference]]="Purchase order",_xll.AtlasFormulas.AtlasFunctions.AtlasBalance("UAT",DataAreaId,"T.MarkupTrans","Sum|Posted|0","","","","","","","MarkupCode|TransTableId|TransRecId","TPP","492",$L225),"")</f>
        <v/>
      </c>
    </row>
    <row r="226" spans="1:14">
      <c r="A226" s="8" t="s">
        <v>902</v>
      </c>
      <c r="B226" s="8" t="s">
        <v>903</v>
      </c>
      <c r="C226" s="8" t="s">
        <v>243</v>
      </c>
      <c r="D226" s="8" t="s">
        <v>317</v>
      </c>
      <c r="E226" s="8" t="s">
        <v>237</v>
      </c>
      <c r="F226" s="8" t="s">
        <v>238</v>
      </c>
      <c r="G226" s="6">
        <v>43101</v>
      </c>
      <c r="H226" s="6">
        <v>43101</v>
      </c>
      <c r="I226" s="4">
        <v>182.55</v>
      </c>
      <c r="J226" s="8" t="s">
        <v>66</v>
      </c>
      <c r="K226" s="8" t="s">
        <v>909</v>
      </c>
      <c r="L226" s="4" t="str">
        <f>IF(AtlasReport_1_Table_1[[#This Row],[Reference]]="Purchase order",_xll.AtlasFormulas.AtlasFunctions.AtlasTable("UAT",DataAreaId,"T.VendInvoiceTrans","%RecId","","","","","","","ItemId|PurchID|InventTransId",$C226,$B226,$K226),"")</f>
        <v/>
      </c>
      <c r="M226" s="4" t="str">
        <f>IF(AtlasReport_1_Table_1[[#This Row],[Reference]]="Purchase order",_xll.AtlasFormulas.AtlasFunctions.AtlasTable("UAT",DataAreaId,"T.MarkupTrans","%CurrencyCode","","","","","","","MarkupCode|TransRecId|TransTableId","TPP",$L226,"492"),"")</f>
        <v/>
      </c>
      <c r="N226" s="4" t="str">
        <f>IF(AtlasReport_1_Table_1[[#This Row],[Reference]]="Purchase order",_xll.AtlasFormulas.AtlasFunctions.AtlasBalance("UAT",DataAreaId,"T.MarkupTrans","Sum|Posted|0","","","","","","","MarkupCode|TransTableId|TransRecId","TPP","492",$L226),"")</f>
        <v/>
      </c>
    </row>
    <row r="227" spans="1:14">
      <c r="A227" s="8" t="s">
        <v>902</v>
      </c>
      <c r="B227" s="8" t="s">
        <v>903</v>
      </c>
      <c r="C227" s="8" t="s">
        <v>244</v>
      </c>
      <c r="D227" s="8" t="s">
        <v>319</v>
      </c>
      <c r="E227" s="8" t="s">
        <v>237</v>
      </c>
      <c r="F227" s="8" t="s">
        <v>238</v>
      </c>
      <c r="G227" s="6">
        <v>43101</v>
      </c>
      <c r="H227" s="6">
        <v>43101</v>
      </c>
      <c r="I227" s="4">
        <v>27.9</v>
      </c>
      <c r="J227" s="8" t="s">
        <v>66</v>
      </c>
      <c r="K227" s="8" t="s">
        <v>910</v>
      </c>
      <c r="L227" s="4" t="str">
        <f>IF(AtlasReport_1_Table_1[[#This Row],[Reference]]="Purchase order",_xll.AtlasFormulas.AtlasFunctions.AtlasTable("UAT",DataAreaId,"T.VendInvoiceTrans","%RecId","","","","","","","ItemId|PurchID|InventTransId",$C227,$B227,$K227),"")</f>
        <v/>
      </c>
      <c r="M227" s="4" t="str">
        <f>IF(AtlasReport_1_Table_1[[#This Row],[Reference]]="Purchase order",_xll.AtlasFormulas.AtlasFunctions.AtlasTable("UAT",DataAreaId,"T.MarkupTrans","%CurrencyCode","","","","","","","MarkupCode|TransRecId|TransTableId","TPP",$L227,"492"),"")</f>
        <v/>
      </c>
      <c r="N227" s="4" t="str">
        <f>IF(AtlasReport_1_Table_1[[#This Row],[Reference]]="Purchase order",_xll.AtlasFormulas.AtlasFunctions.AtlasBalance("UAT",DataAreaId,"T.MarkupTrans","Sum|Posted|0","","","","","","","MarkupCode|TransTableId|TransRecId","TPP","492",$L227),"")</f>
        <v/>
      </c>
    </row>
    <row r="228" spans="1:14">
      <c r="A228" s="8" t="s">
        <v>902</v>
      </c>
      <c r="B228" s="8" t="s">
        <v>903</v>
      </c>
      <c r="C228" s="8" t="s">
        <v>245</v>
      </c>
      <c r="D228" s="8" t="s">
        <v>321</v>
      </c>
      <c r="E228" s="8" t="s">
        <v>237</v>
      </c>
      <c r="F228" s="8" t="s">
        <v>238</v>
      </c>
      <c r="G228" s="6">
        <v>43101</v>
      </c>
      <c r="H228" s="6">
        <v>43101</v>
      </c>
      <c r="I228" s="4">
        <v>34.200000000000003</v>
      </c>
      <c r="J228" s="8" t="s">
        <v>66</v>
      </c>
      <c r="K228" s="8" t="s">
        <v>911</v>
      </c>
      <c r="L228" s="4" t="str">
        <f>IF(AtlasReport_1_Table_1[[#This Row],[Reference]]="Purchase order",_xll.AtlasFormulas.AtlasFunctions.AtlasTable("UAT",DataAreaId,"T.VendInvoiceTrans","%RecId","","","","","","","ItemId|PurchID|InventTransId",$C228,$B228,$K228),"")</f>
        <v/>
      </c>
      <c r="M228" s="4" t="str">
        <f>IF(AtlasReport_1_Table_1[[#This Row],[Reference]]="Purchase order",_xll.AtlasFormulas.AtlasFunctions.AtlasTable("UAT",DataAreaId,"T.MarkupTrans","%CurrencyCode","","","","","","","MarkupCode|TransRecId|TransTableId","TPP",$L228,"492"),"")</f>
        <v/>
      </c>
      <c r="N228" s="4" t="str">
        <f>IF(AtlasReport_1_Table_1[[#This Row],[Reference]]="Purchase order",_xll.AtlasFormulas.AtlasFunctions.AtlasBalance("UAT",DataAreaId,"T.MarkupTrans","Sum|Posted|0","","","","","","","MarkupCode|TransTableId|TransRecId","TPP","492",$L228),"")</f>
        <v/>
      </c>
    </row>
    <row r="229" spans="1:14">
      <c r="A229" s="8" t="s">
        <v>902</v>
      </c>
      <c r="B229" s="8" t="s">
        <v>903</v>
      </c>
      <c r="C229" s="8" t="s">
        <v>246</v>
      </c>
      <c r="D229" s="8" t="s">
        <v>323</v>
      </c>
      <c r="E229" s="8" t="s">
        <v>237</v>
      </c>
      <c r="F229" s="8" t="s">
        <v>238</v>
      </c>
      <c r="G229" s="6">
        <v>43101</v>
      </c>
      <c r="H229" s="6">
        <v>43101</v>
      </c>
      <c r="I229" s="4">
        <v>2</v>
      </c>
      <c r="J229" s="8" t="s">
        <v>22</v>
      </c>
      <c r="K229" s="8" t="s">
        <v>912</v>
      </c>
      <c r="L229" s="4" t="str">
        <f>IF(AtlasReport_1_Table_1[[#This Row],[Reference]]="Purchase order",_xll.AtlasFormulas.AtlasFunctions.AtlasTable("UAT",DataAreaId,"T.VendInvoiceTrans","%RecId","","","","","","","ItemId|PurchID|InventTransId",$C229,$B229,$K229),"")</f>
        <v/>
      </c>
      <c r="M229" s="4" t="str">
        <f>IF(AtlasReport_1_Table_1[[#This Row],[Reference]]="Purchase order",_xll.AtlasFormulas.AtlasFunctions.AtlasTable("UAT",DataAreaId,"T.MarkupTrans","%CurrencyCode","","","","","","","MarkupCode|TransRecId|TransTableId","TPP",$L229,"492"),"")</f>
        <v/>
      </c>
      <c r="N229" s="4" t="str">
        <f>IF(AtlasReport_1_Table_1[[#This Row],[Reference]]="Purchase order",_xll.AtlasFormulas.AtlasFunctions.AtlasBalance("UAT",DataAreaId,"T.MarkupTrans","Sum|Posted|0","","","","","","","MarkupCode|TransTableId|TransRecId","TPP","492",$L229),"")</f>
        <v/>
      </c>
    </row>
    <row r="230" spans="1:14">
      <c r="A230" s="8" t="s">
        <v>902</v>
      </c>
      <c r="B230" s="8" t="s">
        <v>903</v>
      </c>
      <c r="C230" s="8" t="s">
        <v>247</v>
      </c>
      <c r="D230" s="8" t="s">
        <v>326</v>
      </c>
      <c r="E230" s="8" t="s">
        <v>237</v>
      </c>
      <c r="F230" s="8" t="s">
        <v>238</v>
      </c>
      <c r="G230" s="6">
        <v>43101</v>
      </c>
      <c r="H230" s="6">
        <v>43101</v>
      </c>
      <c r="I230" s="4">
        <v>53</v>
      </c>
      <c r="J230" s="8" t="s">
        <v>22</v>
      </c>
      <c r="K230" s="8" t="s">
        <v>913</v>
      </c>
      <c r="L230" s="4" t="str">
        <f>IF(AtlasReport_1_Table_1[[#This Row],[Reference]]="Purchase order",_xll.AtlasFormulas.AtlasFunctions.AtlasTable("UAT",DataAreaId,"T.VendInvoiceTrans","%RecId","","","","","","","ItemId|PurchID|InventTransId",$C230,$B230,$K230),"")</f>
        <v/>
      </c>
      <c r="M230" s="4" t="str">
        <f>IF(AtlasReport_1_Table_1[[#This Row],[Reference]]="Purchase order",_xll.AtlasFormulas.AtlasFunctions.AtlasTable("UAT",DataAreaId,"T.MarkupTrans","%CurrencyCode","","","","","","","MarkupCode|TransRecId|TransTableId","TPP",$L230,"492"),"")</f>
        <v/>
      </c>
      <c r="N230" s="4" t="str">
        <f>IF(AtlasReport_1_Table_1[[#This Row],[Reference]]="Purchase order",_xll.AtlasFormulas.AtlasFunctions.AtlasBalance("UAT",DataAreaId,"T.MarkupTrans","Sum|Posted|0","","","","","","","MarkupCode|TransTableId|TransRecId","TPP","492",$L230),"")</f>
        <v/>
      </c>
    </row>
    <row r="231" spans="1:14">
      <c r="A231" s="8" t="s">
        <v>902</v>
      </c>
      <c r="B231" s="8" t="s">
        <v>903</v>
      </c>
      <c r="C231" s="8" t="s">
        <v>248</v>
      </c>
      <c r="D231" s="8" t="s">
        <v>327</v>
      </c>
      <c r="E231" s="8" t="s">
        <v>237</v>
      </c>
      <c r="F231" s="8" t="s">
        <v>249</v>
      </c>
      <c r="G231" s="6">
        <v>43101</v>
      </c>
      <c r="H231" s="6">
        <v>43101</v>
      </c>
      <c r="I231" s="4">
        <v>22318</v>
      </c>
      <c r="J231" s="8" t="s">
        <v>66</v>
      </c>
      <c r="K231" s="8" t="s">
        <v>914</v>
      </c>
      <c r="L231" s="4" t="str">
        <f>IF(AtlasReport_1_Table_1[[#This Row],[Reference]]="Purchase order",_xll.AtlasFormulas.AtlasFunctions.AtlasTable("UAT",DataAreaId,"T.VendInvoiceTrans","%RecId","","","","","","","ItemId|PurchID|InventTransId",$C231,$B231,$K231),"")</f>
        <v/>
      </c>
      <c r="M231" s="4" t="str">
        <f>IF(AtlasReport_1_Table_1[[#This Row],[Reference]]="Purchase order",_xll.AtlasFormulas.AtlasFunctions.AtlasTable("UAT",DataAreaId,"T.MarkupTrans","%CurrencyCode","","","","","","","MarkupCode|TransRecId|TransTableId","TPP",$L231,"492"),"")</f>
        <v/>
      </c>
      <c r="N231" s="4" t="str">
        <f>IF(AtlasReport_1_Table_1[[#This Row],[Reference]]="Purchase order",_xll.AtlasFormulas.AtlasFunctions.AtlasBalance("UAT",DataAreaId,"T.MarkupTrans","Sum|Posted|0","","","","","","","MarkupCode|TransTableId|TransRecId","TPP","492",$L231),"")</f>
        <v/>
      </c>
    </row>
    <row r="232" spans="1:14">
      <c r="A232" s="8" t="s">
        <v>902</v>
      </c>
      <c r="B232" s="8" t="s">
        <v>903</v>
      </c>
      <c r="C232" s="8" t="s">
        <v>250</v>
      </c>
      <c r="D232" s="8" t="s">
        <v>329</v>
      </c>
      <c r="E232" s="8" t="s">
        <v>237</v>
      </c>
      <c r="F232" s="8" t="s">
        <v>249</v>
      </c>
      <c r="G232" s="6">
        <v>43101</v>
      </c>
      <c r="H232" s="6">
        <v>43101</v>
      </c>
      <c r="I232" s="4">
        <v>15426</v>
      </c>
      <c r="J232" s="8" t="s">
        <v>66</v>
      </c>
      <c r="K232" s="8" t="s">
        <v>915</v>
      </c>
      <c r="L232" s="4" t="str">
        <f>IF(AtlasReport_1_Table_1[[#This Row],[Reference]]="Purchase order",_xll.AtlasFormulas.AtlasFunctions.AtlasTable("UAT",DataAreaId,"T.VendInvoiceTrans","%RecId","","","","","","","ItemId|PurchID|InventTransId",$C232,$B232,$K232),"")</f>
        <v/>
      </c>
      <c r="M232" s="4" t="str">
        <f>IF(AtlasReport_1_Table_1[[#This Row],[Reference]]="Purchase order",_xll.AtlasFormulas.AtlasFunctions.AtlasTable("UAT",DataAreaId,"T.MarkupTrans","%CurrencyCode","","","","","","","MarkupCode|TransRecId|TransTableId","TPP",$L232,"492"),"")</f>
        <v/>
      </c>
      <c r="N232" s="4" t="str">
        <f>IF(AtlasReport_1_Table_1[[#This Row],[Reference]]="Purchase order",_xll.AtlasFormulas.AtlasFunctions.AtlasBalance("UAT",DataAreaId,"T.MarkupTrans","Sum|Posted|0","","","","","","","MarkupCode|TransTableId|TransRecId","TPP","492",$L232),"")</f>
        <v/>
      </c>
    </row>
    <row r="233" spans="1:14">
      <c r="A233" s="8" t="s">
        <v>902</v>
      </c>
      <c r="B233" s="8" t="s">
        <v>903</v>
      </c>
      <c r="C233" s="8" t="s">
        <v>38</v>
      </c>
      <c r="D233" s="8" t="s">
        <v>81</v>
      </c>
      <c r="E233" s="8" t="s">
        <v>237</v>
      </c>
      <c r="F233" s="8" t="s">
        <v>238</v>
      </c>
      <c r="G233" s="6">
        <v>43101</v>
      </c>
      <c r="H233" s="6">
        <v>43101</v>
      </c>
      <c r="I233" s="4">
        <v>30</v>
      </c>
      <c r="J233" s="8" t="s">
        <v>23</v>
      </c>
      <c r="K233" s="8" t="s">
        <v>916</v>
      </c>
      <c r="L233" s="4" t="str">
        <f>IF(AtlasReport_1_Table_1[[#This Row],[Reference]]="Purchase order",_xll.AtlasFormulas.AtlasFunctions.AtlasTable("UAT",DataAreaId,"T.VendInvoiceTrans","%RecId","","","","","","","ItemId|PurchID|InventTransId",$C233,$B233,$K233),"")</f>
        <v/>
      </c>
      <c r="M233" s="4" t="str">
        <f>IF(AtlasReport_1_Table_1[[#This Row],[Reference]]="Purchase order",_xll.AtlasFormulas.AtlasFunctions.AtlasTable("UAT",DataAreaId,"T.MarkupTrans","%CurrencyCode","","","","","","","MarkupCode|TransRecId|TransTableId","TPP",$L233,"492"),"")</f>
        <v/>
      </c>
      <c r="N233" s="4" t="str">
        <f>IF(AtlasReport_1_Table_1[[#This Row],[Reference]]="Purchase order",_xll.AtlasFormulas.AtlasFunctions.AtlasBalance("UAT",DataAreaId,"T.MarkupTrans","Sum|Posted|0","","","","","","","MarkupCode|TransTableId|TransRecId","TPP","492",$L233),"")</f>
        <v/>
      </c>
    </row>
    <row r="234" spans="1:14">
      <c r="A234" s="8" t="s">
        <v>902</v>
      </c>
      <c r="B234" s="8" t="s">
        <v>903</v>
      </c>
      <c r="C234" s="8" t="s">
        <v>38</v>
      </c>
      <c r="D234" s="8" t="s">
        <v>81</v>
      </c>
      <c r="E234" s="8" t="s">
        <v>237</v>
      </c>
      <c r="F234" s="8" t="s">
        <v>238</v>
      </c>
      <c r="G234" s="6">
        <v>43101</v>
      </c>
      <c r="H234" s="6">
        <v>43101</v>
      </c>
      <c r="I234" s="4">
        <v>30</v>
      </c>
      <c r="J234" s="8" t="s">
        <v>23</v>
      </c>
      <c r="K234" s="8" t="s">
        <v>917</v>
      </c>
      <c r="L234" s="4" t="str">
        <f>IF(AtlasReport_1_Table_1[[#This Row],[Reference]]="Purchase order",_xll.AtlasFormulas.AtlasFunctions.AtlasTable("UAT",DataAreaId,"T.VendInvoiceTrans","%RecId","","","","","","","ItemId|PurchID|InventTransId",$C234,$B234,$K234),"")</f>
        <v/>
      </c>
      <c r="M234" s="4" t="str">
        <f>IF(AtlasReport_1_Table_1[[#This Row],[Reference]]="Purchase order",_xll.AtlasFormulas.AtlasFunctions.AtlasTable("UAT",DataAreaId,"T.MarkupTrans","%CurrencyCode","","","","","","","MarkupCode|TransRecId|TransTableId","TPP",$L234,"492"),"")</f>
        <v/>
      </c>
      <c r="N234" s="4" t="str">
        <f>IF(AtlasReport_1_Table_1[[#This Row],[Reference]]="Purchase order",_xll.AtlasFormulas.AtlasFunctions.AtlasBalance("UAT",DataAreaId,"T.MarkupTrans","Sum|Posted|0","","","","","","","MarkupCode|TransTableId|TransRecId","TPP","492",$L234),"")</f>
        <v/>
      </c>
    </row>
    <row r="235" spans="1:14">
      <c r="A235" s="8" t="s">
        <v>902</v>
      </c>
      <c r="B235" s="8" t="s">
        <v>903</v>
      </c>
      <c r="C235" s="8" t="s">
        <v>38</v>
      </c>
      <c r="D235" s="8" t="s">
        <v>81</v>
      </c>
      <c r="E235" s="8" t="s">
        <v>237</v>
      </c>
      <c r="F235" s="8" t="s">
        <v>238</v>
      </c>
      <c r="G235" s="6">
        <v>43101</v>
      </c>
      <c r="H235" s="6">
        <v>43101</v>
      </c>
      <c r="I235" s="4">
        <v>30</v>
      </c>
      <c r="J235" s="8" t="s">
        <v>23</v>
      </c>
      <c r="K235" s="8" t="s">
        <v>918</v>
      </c>
      <c r="L235" s="4" t="str">
        <f>IF(AtlasReport_1_Table_1[[#This Row],[Reference]]="Purchase order",_xll.AtlasFormulas.AtlasFunctions.AtlasTable("UAT",DataAreaId,"T.VendInvoiceTrans","%RecId","","","","","","","ItemId|PurchID|InventTransId",$C235,$B235,$K235),"")</f>
        <v/>
      </c>
      <c r="M235" s="4" t="str">
        <f>IF(AtlasReport_1_Table_1[[#This Row],[Reference]]="Purchase order",_xll.AtlasFormulas.AtlasFunctions.AtlasTable("UAT",DataAreaId,"T.MarkupTrans","%CurrencyCode","","","","","","","MarkupCode|TransRecId|TransTableId","TPP",$L235,"492"),"")</f>
        <v/>
      </c>
      <c r="N235" s="4" t="str">
        <f>IF(AtlasReport_1_Table_1[[#This Row],[Reference]]="Purchase order",_xll.AtlasFormulas.AtlasFunctions.AtlasBalance("UAT",DataAreaId,"T.MarkupTrans","Sum|Posted|0","","","","","","","MarkupCode|TransTableId|TransRecId","TPP","492",$L235),"")</f>
        <v/>
      </c>
    </row>
    <row r="236" spans="1:14">
      <c r="A236" s="8" t="s">
        <v>902</v>
      </c>
      <c r="B236" s="8" t="s">
        <v>903</v>
      </c>
      <c r="C236" s="8" t="s">
        <v>38</v>
      </c>
      <c r="D236" s="8" t="s">
        <v>81</v>
      </c>
      <c r="E236" s="8" t="s">
        <v>237</v>
      </c>
      <c r="F236" s="8" t="s">
        <v>238</v>
      </c>
      <c r="G236" s="6">
        <v>43101</v>
      </c>
      <c r="H236" s="6">
        <v>43101</v>
      </c>
      <c r="I236" s="4">
        <v>30</v>
      </c>
      <c r="J236" s="8" t="s">
        <v>23</v>
      </c>
      <c r="K236" s="8" t="s">
        <v>919</v>
      </c>
      <c r="L236" s="4" t="str">
        <f>IF(AtlasReport_1_Table_1[[#This Row],[Reference]]="Purchase order",_xll.AtlasFormulas.AtlasFunctions.AtlasTable("UAT",DataAreaId,"T.VendInvoiceTrans","%RecId","","","","","","","ItemId|PurchID|InventTransId",$C236,$B236,$K236),"")</f>
        <v/>
      </c>
      <c r="M236" s="4" t="str">
        <f>IF(AtlasReport_1_Table_1[[#This Row],[Reference]]="Purchase order",_xll.AtlasFormulas.AtlasFunctions.AtlasTable("UAT",DataAreaId,"T.MarkupTrans","%CurrencyCode","","","","","","","MarkupCode|TransRecId|TransTableId","TPP",$L236,"492"),"")</f>
        <v/>
      </c>
      <c r="N236" s="4" t="str">
        <f>IF(AtlasReport_1_Table_1[[#This Row],[Reference]]="Purchase order",_xll.AtlasFormulas.AtlasFunctions.AtlasBalance("UAT",DataAreaId,"T.MarkupTrans","Sum|Posted|0","","","","","","","MarkupCode|TransTableId|TransRecId","TPP","492",$L236),"")</f>
        <v/>
      </c>
    </row>
    <row r="237" spans="1:14">
      <c r="A237" s="8" t="s">
        <v>902</v>
      </c>
      <c r="B237" s="8" t="s">
        <v>903</v>
      </c>
      <c r="C237" s="8" t="s">
        <v>38</v>
      </c>
      <c r="D237" s="8" t="s">
        <v>81</v>
      </c>
      <c r="E237" s="8" t="s">
        <v>237</v>
      </c>
      <c r="F237" s="8" t="s">
        <v>238</v>
      </c>
      <c r="G237" s="6">
        <v>43101</v>
      </c>
      <c r="H237" s="6">
        <v>43101</v>
      </c>
      <c r="I237" s="4">
        <v>30</v>
      </c>
      <c r="J237" s="8" t="s">
        <v>23</v>
      </c>
      <c r="K237" s="8" t="s">
        <v>920</v>
      </c>
      <c r="L237" s="4" t="str">
        <f>IF(AtlasReport_1_Table_1[[#This Row],[Reference]]="Purchase order",_xll.AtlasFormulas.AtlasFunctions.AtlasTable("UAT",DataAreaId,"T.VendInvoiceTrans","%RecId","","","","","","","ItemId|PurchID|InventTransId",$C237,$B237,$K237),"")</f>
        <v/>
      </c>
      <c r="M237" s="4" t="str">
        <f>IF(AtlasReport_1_Table_1[[#This Row],[Reference]]="Purchase order",_xll.AtlasFormulas.AtlasFunctions.AtlasTable("UAT",DataAreaId,"T.MarkupTrans","%CurrencyCode","","","","","","","MarkupCode|TransRecId|TransTableId","TPP",$L237,"492"),"")</f>
        <v/>
      </c>
      <c r="N237" s="4" t="str">
        <f>IF(AtlasReport_1_Table_1[[#This Row],[Reference]]="Purchase order",_xll.AtlasFormulas.AtlasFunctions.AtlasBalance("UAT",DataAreaId,"T.MarkupTrans","Sum|Posted|0","","","","","","","MarkupCode|TransTableId|TransRecId","TPP","492",$L237),"")</f>
        <v/>
      </c>
    </row>
    <row r="238" spans="1:14">
      <c r="A238" s="8" t="s">
        <v>902</v>
      </c>
      <c r="B238" s="8" t="s">
        <v>903</v>
      </c>
      <c r="C238" s="8" t="s">
        <v>38</v>
      </c>
      <c r="D238" s="8" t="s">
        <v>81</v>
      </c>
      <c r="E238" s="8" t="s">
        <v>237</v>
      </c>
      <c r="F238" s="8" t="s">
        <v>238</v>
      </c>
      <c r="G238" s="6">
        <v>43101</v>
      </c>
      <c r="H238" s="6">
        <v>43101</v>
      </c>
      <c r="I238" s="4">
        <v>30</v>
      </c>
      <c r="J238" s="8" t="s">
        <v>23</v>
      </c>
      <c r="K238" s="8" t="s">
        <v>921</v>
      </c>
      <c r="L238" s="4" t="str">
        <f>IF(AtlasReport_1_Table_1[[#This Row],[Reference]]="Purchase order",_xll.AtlasFormulas.AtlasFunctions.AtlasTable("UAT",DataAreaId,"T.VendInvoiceTrans","%RecId","","","","","","","ItemId|PurchID|InventTransId",$C238,$B238,$K238),"")</f>
        <v/>
      </c>
      <c r="M238" s="4" t="str">
        <f>IF(AtlasReport_1_Table_1[[#This Row],[Reference]]="Purchase order",_xll.AtlasFormulas.AtlasFunctions.AtlasTable("UAT",DataAreaId,"T.MarkupTrans","%CurrencyCode","","","","","","","MarkupCode|TransRecId|TransTableId","TPP",$L238,"492"),"")</f>
        <v/>
      </c>
      <c r="N238" s="4" t="str">
        <f>IF(AtlasReport_1_Table_1[[#This Row],[Reference]]="Purchase order",_xll.AtlasFormulas.AtlasFunctions.AtlasBalance("UAT",DataAreaId,"T.MarkupTrans","Sum|Posted|0","","","","","","","MarkupCode|TransTableId|TransRecId","TPP","492",$L238),"")</f>
        <v/>
      </c>
    </row>
    <row r="239" spans="1:14">
      <c r="A239" s="8" t="s">
        <v>902</v>
      </c>
      <c r="B239" s="8" t="s">
        <v>903</v>
      </c>
      <c r="C239" s="8" t="s">
        <v>38</v>
      </c>
      <c r="D239" s="8" t="s">
        <v>81</v>
      </c>
      <c r="E239" s="8" t="s">
        <v>237</v>
      </c>
      <c r="F239" s="8" t="s">
        <v>238</v>
      </c>
      <c r="G239" s="6">
        <v>43101</v>
      </c>
      <c r="H239" s="6">
        <v>43101</v>
      </c>
      <c r="I239" s="4">
        <v>30</v>
      </c>
      <c r="J239" s="8" t="s">
        <v>23</v>
      </c>
      <c r="K239" s="8" t="s">
        <v>922</v>
      </c>
      <c r="L239" s="4" t="str">
        <f>IF(AtlasReport_1_Table_1[[#This Row],[Reference]]="Purchase order",_xll.AtlasFormulas.AtlasFunctions.AtlasTable("UAT",DataAreaId,"T.VendInvoiceTrans","%RecId","","","","","","","ItemId|PurchID|InventTransId",$C239,$B239,$K239),"")</f>
        <v/>
      </c>
      <c r="M239" s="4" t="str">
        <f>IF(AtlasReport_1_Table_1[[#This Row],[Reference]]="Purchase order",_xll.AtlasFormulas.AtlasFunctions.AtlasTable("UAT",DataAreaId,"T.MarkupTrans","%CurrencyCode","","","","","","","MarkupCode|TransRecId|TransTableId","TPP",$L239,"492"),"")</f>
        <v/>
      </c>
      <c r="N239" s="4" t="str">
        <f>IF(AtlasReport_1_Table_1[[#This Row],[Reference]]="Purchase order",_xll.AtlasFormulas.AtlasFunctions.AtlasBalance("UAT",DataAreaId,"T.MarkupTrans","Sum|Posted|0","","","","","","","MarkupCode|TransTableId|TransRecId","TPP","492",$L239),"")</f>
        <v/>
      </c>
    </row>
    <row r="240" spans="1:14">
      <c r="A240" s="8" t="s">
        <v>902</v>
      </c>
      <c r="B240" s="8" t="s">
        <v>903</v>
      </c>
      <c r="C240" s="8" t="s">
        <v>38</v>
      </c>
      <c r="D240" s="8" t="s">
        <v>81</v>
      </c>
      <c r="E240" s="8" t="s">
        <v>237</v>
      </c>
      <c r="F240" s="8" t="s">
        <v>238</v>
      </c>
      <c r="G240" s="6">
        <v>43101</v>
      </c>
      <c r="H240" s="6">
        <v>43101</v>
      </c>
      <c r="I240" s="4">
        <v>30</v>
      </c>
      <c r="J240" s="8" t="s">
        <v>23</v>
      </c>
      <c r="K240" s="8" t="s">
        <v>923</v>
      </c>
      <c r="L240" s="4" t="str">
        <f>IF(AtlasReport_1_Table_1[[#This Row],[Reference]]="Purchase order",_xll.AtlasFormulas.AtlasFunctions.AtlasTable("UAT",DataAreaId,"T.VendInvoiceTrans","%RecId","","","","","","","ItemId|PurchID|InventTransId",$C240,$B240,$K240),"")</f>
        <v/>
      </c>
      <c r="M240" s="4" t="str">
        <f>IF(AtlasReport_1_Table_1[[#This Row],[Reference]]="Purchase order",_xll.AtlasFormulas.AtlasFunctions.AtlasTable("UAT",DataAreaId,"T.MarkupTrans","%CurrencyCode","","","","","","","MarkupCode|TransRecId|TransTableId","TPP",$L240,"492"),"")</f>
        <v/>
      </c>
      <c r="N240" s="4" t="str">
        <f>IF(AtlasReport_1_Table_1[[#This Row],[Reference]]="Purchase order",_xll.AtlasFormulas.AtlasFunctions.AtlasBalance("UAT",DataAreaId,"T.MarkupTrans","Sum|Posted|0","","","","","","","MarkupCode|TransTableId|TransRecId","TPP","492",$L240),"")</f>
        <v/>
      </c>
    </row>
    <row r="241" spans="1:14">
      <c r="A241" s="8" t="s">
        <v>902</v>
      </c>
      <c r="B241" s="8" t="s">
        <v>903</v>
      </c>
      <c r="C241" s="8" t="s">
        <v>38</v>
      </c>
      <c r="D241" s="8" t="s">
        <v>81</v>
      </c>
      <c r="E241" s="8" t="s">
        <v>237</v>
      </c>
      <c r="F241" s="8" t="s">
        <v>238</v>
      </c>
      <c r="G241" s="6">
        <v>43101</v>
      </c>
      <c r="H241" s="6">
        <v>43101</v>
      </c>
      <c r="I241" s="4">
        <v>30</v>
      </c>
      <c r="J241" s="8" t="s">
        <v>23</v>
      </c>
      <c r="K241" s="8" t="s">
        <v>924</v>
      </c>
      <c r="L241" s="4" t="str">
        <f>IF(AtlasReport_1_Table_1[[#This Row],[Reference]]="Purchase order",_xll.AtlasFormulas.AtlasFunctions.AtlasTable("UAT",DataAreaId,"T.VendInvoiceTrans","%RecId","","","","","","","ItemId|PurchID|InventTransId",$C241,$B241,$K241),"")</f>
        <v/>
      </c>
      <c r="M241" s="4" t="str">
        <f>IF(AtlasReport_1_Table_1[[#This Row],[Reference]]="Purchase order",_xll.AtlasFormulas.AtlasFunctions.AtlasTable("UAT",DataAreaId,"T.MarkupTrans","%CurrencyCode","","","","","","","MarkupCode|TransRecId|TransTableId","TPP",$L241,"492"),"")</f>
        <v/>
      </c>
      <c r="N241" s="4" t="str">
        <f>IF(AtlasReport_1_Table_1[[#This Row],[Reference]]="Purchase order",_xll.AtlasFormulas.AtlasFunctions.AtlasBalance("UAT",DataAreaId,"T.MarkupTrans","Sum|Posted|0","","","","","","","MarkupCode|TransTableId|TransRecId","TPP","492",$L241),"")</f>
        <v/>
      </c>
    </row>
    <row r="242" spans="1:14">
      <c r="A242" s="8" t="s">
        <v>902</v>
      </c>
      <c r="B242" s="8" t="s">
        <v>903</v>
      </c>
      <c r="C242" s="8" t="s">
        <v>38</v>
      </c>
      <c r="D242" s="8" t="s">
        <v>81</v>
      </c>
      <c r="E242" s="8" t="s">
        <v>237</v>
      </c>
      <c r="F242" s="8" t="s">
        <v>238</v>
      </c>
      <c r="G242" s="6">
        <v>43101</v>
      </c>
      <c r="H242" s="6">
        <v>43101</v>
      </c>
      <c r="I242" s="4">
        <v>30</v>
      </c>
      <c r="J242" s="8" t="s">
        <v>23</v>
      </c>
      <c r="K242" s="8" t="s">
        <v>925</v>
      </c>
      <c r="L242" s="4" t="str">
        <f>IF(AtlasReport_1_Table_1[[#This Row],[Reference]]="Purchase order",_xll.AtlasFormulas.AtlasFunctions.AtlasTable("UAT",DataAreaId,"T.VendInvoiceTrans","%RecId","","","","","","","ItemId|PurchID|InventTransId",$C242,$B242,$K242),"")</f>
        <v/>
      </c>
      <c r="M242" s="4" t="str">
        <f>IF(AtlasReport_1_Table_1[[#This Row],[Reference]]="Purchase order",_xll.AtlasFormulas.AtlasFunctions.AtlasTable("UAT",DataAreaId,"T.MarkupTrans","%CurrencyCode","","","","","","","MarkupCode|TransRecId|TransTableId","TPP",$L242,"492"),"")</f>
        <v/>
      </c>
      <c r="N242" s="4" t="str">
        <f>IF(AtlasReport_1_Table_1[[#This Row],[Reference]]="Purchase order",_xll.AtlasFormulas.AtlasFunctions.AtlasBalance("UAT",DataAreaId,"T.MarkupTrans","Sum|Posted|0","","","","","","","MarkupCode|TransTableId|TransRecId","TPP","492",$L242),"")</f>
        <v/>
      </c>
    </row>
    <row r="243" spans="1:14">
      <c r="A243" s="8" t="s">
        <v>902</v>
      </c>
      <c r="B243" s="8" t="s">
        <v>903</v>
      </c>
      <c r="C243" s="8" t="s">
        <v>16</v>
      </c>
      <c r="D243" s="8" t="s">
        <v>19</v>
      </c>
      <c r="E243" s="8" t="s">
        <v>237</v>
      </c>
      <c r="F243" s="8" t="s">
        <v>238</v>
      </c>
      <c r="G243" s="6">
        <v>43101</v>
      </c>
      <c r="H243" s="6">
        <v>43101</v>
      </c>
      <c r="I243" s="4">
        <v>30</v>
      </c>
      <c r="J243" s="8" t="s">
        <v>23</v>
      </c>
      <c r="K243" s="8" t="s">
        <v>926</v>
      </c>
      <c r="L243" s="4" t="str">
        <f>IF(AtlasReport_1_Table_1[[#This Row],[Reference]]="Purchase order",_xll.AtlasFormulas.AtlasFunctions.AtlasTable("UAT",DataAreaId,"T.VendInvoiceTrans","%RecId","","","","","","","ItemId|PurchID|InventTransId",$C243,$B243,$K243),"")</f>
        <v/>
      </c>
      <c r="M243" s="4" t="str">
        <f>IF(AtlasReport_1_Table_1[[#This Row],[Reference]]="Purchase order",_xll.AtlasFormulas.AtlasFunctions.AtlasTable("UAT",DataAreaId,"T.MarkupTrans","%CurrencyCode","","","","","","","MarkupCode|TransRecId|TransTableId","TPP",$L243,"492"),"")</f>
        <v/>
      </c>
      <c r="N243" s="4" t="str">
        <f>IF(AtlasReport_1_Table_1[[#This Row],[Reference]]="Purchase order",_xll.AtlasFormulas.AtlasFunctions.AtlasBalance("UAT",DataAreaId,"T.MarkupTrans","Sum|Posted|0","","","","","","","MarkupCode|TransTableId|TransRecId","TPP","492",$L243),"")</f>
        <v/>
      </c>
    </row>
    <row r="244" spans="1:14">
      <c r="A244" s="8" t="s">
        <v>902</v>
      </c>
      <c r="B244" s="8" t="s">
        <v>903</v>
      </c>
      <c r="C244" s="8" t="s">
        <v>16</v>
      </c>
      <c r="D244" s="8" t="s">
        <v>19</v>
      </c>
      <c r="E244" s="8" t="s">
        <v>237</v>
      </c>
      <c r="F244" s="8" t="s">
        <v>238</v>
      </c>
      <c r="G244" s="6">
        <v>43101</v>
      </c>
      <c r="H244" s="6">
        <v>43101</v>
      </c>
      <c r="I244" s="4">
        <v>30</v>
      </c>
      <c r="J244" s="8" t="s">
        <v>23</v>
      </c>
      <c r="K244" s="8" t="s">
        <v>927</v>
      </c>
      <c r="L244" s="4" t="str">
        <f>IF(AtlasReport_1_Table_1[[#This Row],[Reference]]="Purchase order",_xll.AtlasFormulas.AtlasFunctions.AtlasTable("UAT",DataAreaId,"T.VendInvoiceTrans","%RecId","","","","","","","ItemId|PurchID|InventTransId",$C244,$B244,$K244),"")</f>
        <v/>
      </c>
      <c r="M244" s="4" t="str">
        <f>IF(AtlasReport_1_Table_1[[#This Row],[Reference]]="Purchase order",_xll.AtlasFormulas.AtlasFunctions.AtlasTable("UAT",DataAreaId,"T.MarkupTrans","%CurrencyCode","","","","","","","MarkupCode|TransRecId|TransTableId","TPP",$L244,"492"),"")</f>
        <v/>
      </c>
      <c r="N244" s="4" t="str">
        <f>IF(AtlasReport_1_Table_1[[#This Row],[Reference]]="Purchase order",_xll.AtlasFormulas.AtlasFunctions.AtlasBalance("UAT",DataAreaId,"T.MarkupTrans","Sum|Posted|0","","","","","","","MarkupCode|TransTableId|TransRecId","TPP","492",$L244),"")</f>
        <v/>
      </c>
    </row>
    <row r="245" spans="1:14">
      <c r="A245" s="8" t="s">
        <v>902</v>
      </c>
      <c r="B245" s="8" t="s">
        <v>903</v>
      </c>
      <c r="C245" s="8" t="s">
        <v>16</v>
      </c>
      <c r="D245" s="8" t="s">
        <v>19</v>
      </c>
      <c r="E245" s="8" t="s">
        <v>237</v>
      </c>
      <c r="F245" s="8" t="s">
        <v>238</v>
      </c>
      <c r="G245" s="6">
        <v>43101</v>
      </c>
      <c r="H245" s="6">
        <v>43101</v>
      </c>
      <c r="I245" s="4">
        <v>30</v>
      </c>
      <c r="J245" s="8" t="s">
        <v>23</v>
      </c>
      <c r="K245" s="8" t="s">
        <v>928</v>
      </c>
      <c r="L245" s="4" t="str">
        <f>IF(AtlasReport_1_Table_1[[#This Row],[Reference]]="Purchase order",_xll.AtlasFormulas.AtlasFunctions.AtlasTable("UAT",DataAreaId,"T.VendInvoiceTrans","%RecId","","","","","","","ItemId|PurchID|InventTransId",$C245,$B245,$K245),"")</f>
        <v/>
      </c>
      <c r="M245" s="4" t="str">
        <f>IF(AtlasReport_1_Table_1[[#This Row],[Reference]]="Purchase order",_xll.AtlasFormulas.AtlasFunctions.AtlasTable("UAT",DataAreaId,"T.MarkupTrans","%CurrencyCode","","","","","","","MarkupCode|TransRecId|TransTableId","TPP",$L245,"492"),"")</f>
        <v/>
      </c>
      <c r="N245" s="4" t="str">
        <f>IF(AtlasReport_1_Table_1[[#This Row],[Reference]]="Purchase order",_xll.AtlasFormulas.AtlasFunctions.AtlasBalance("UAT",DataAreaId,"T.MarkupTrans","Sum|Posted|0","","","","","","","MarkupCode|TransTableId|TransRecId","TPP","492",$L245),"")</f>
        <v/>
      </c>
    </row>
    <row r="246" spans="1:14">
      <c r="A246" s="8" t="s">
        <v>902</v>
      </c>
      <c r="B246" s="8" t="s">
        <v>903</v>
      </c>
      <c r="C246" s="8" t="s">
        <v>16</v>
      </c>
      <c r="D246" s="8" t="s">
        <v>19</v>
      </c>
      <c r="E246" s="8" t="s">
        <v>237</v>
      </c>
      <c r="F246" s="8" t="s">
        <v>238</v>
      </c>
      <c r="G246" s="6">
        <v>43101</v>
      </c>
      <c r="H246" s="6">
        <v>43101</v>
      </c>
      <c r="I246" s="4">
        <v>30</v>
      </c>
      <c r="J246" s="8" t="s">
        <v>23</v>
      </c>
      <c r="K246" s="8" t="s">
        <v>929</v>
      </c>
      <c r="L246" s="4" t="str">
        <f>IF(AtlasReport_1_Table_1[[#This Row],[Reference]]="Purchase order",_xll.AtlasFormulas.AtlasFunctions.AtlasTable("UAT",DataAreaId,"T.VendInvoiceTrans","%RecId","","","","","","","ItemId|PurchID|InventTransId",$C246,$B246,$K246),"")</f>
        <v/>
      </c>
      <c r="M246" s="4" t="str">
        <f>IF(AtlasReport_1_Table_1[[#This Row],[Reference]]="Purchase order",_xll.AtlasFormulas.AtlasFunctions.AtlasTable("UAT",DataAreaId,"T.MarkupTrans","%CurrencyCode","","","","","","","MarkupCode|TransRecId|TransTableId","TPP",$L246,"492"),"")</f>
        <v/>
      </c>
      <c r="N246" s="4" t="str">
        <f>IF(AtlasReport_1_Table_1[[#This Row],[Reference]]="Purchase order",_xll.AtlasFormulas.AtlasFunctions.AtlasBalance("UAT",DataAreaId,"T.MarkupTrans","Sum|Posted|0","","","","","","","MarkupCode|TransTableId|TransRecId","TPP","492",$L246),"")</f>
        <v/>
      </c>
    </row>
    <row r="247" spans="1:14">
      <c r="A247" s="8" t="s">
        <v>902</v>
      </c>
      <c r="B247" s="8" t="s">
        <v>903</v>
      </c>
      <c r="C247" s="8" t="s">
        <v>16</v>
      </c>
      <c r="D247" s="8" t="s">
        <v>19</v>
      </c>
      <c r="E247" s="8" t="s">
        <v>237</v>
      </c>
      <c r="F247" s="8" t="s">
        <v>238</v>
      </c>
      <c r="G247" s="6">
        <v>43101</v>
      </c>
      <c r="H247" s="6">
        <v>43101</v>
      </c>
      <c r="I247" s="4">
        <v>30</v>
      </c>
      <c r="J247" s="8" t="s">
        <v>23</v>
      </c>
      <c r="K247" s="8" t="s">
        <v>930</v>
      </c>
      <c r="L247" s="4" t="str">
        <f>IF(AtlasReport_1_Table_1[[#This Row],[Reference]]="Purchase order",_xll.AtlasFormulas.AtlasFunctions.AtlasTable("UAT",DataAreaId,"T.VendInvoiceTrans","%RecId","","","","","","","ItemId|PurchID|InventTransId",$C247,$B247,$K247),"")</f>
        <v/>
      </c>
      <c r="M247" s="4" t="str">
        <f>IF(AtlasReport_1_Table_1[[#This Row],[Reference]]="Purchase order",_xll.AtlasFormulas.AtlasFunctions.AtlasTable("UAT",DataAreaId,"T.MarkupTrans","%CurrencyCode","","","","","","","MarkupCode|TransRecId|TransTableId","TPP",$L247,"492"),"")</f>
        <v/>
      </c>
      <c r="N247" s="4" t="str">
        <f>IF(AtlasReport_1_Table_1[[#This Row],[Reference]]="Purchase order",_xll.AtlasFormulas.AtlasFunctions.AtlasBalance("UAT",DataAreaId,"T.MarkupTrans","Sum|Posted|0","","","","","","","MarkupCode|TransTableId|TransRecId","TPP","492",$L247),"")</f>
        <v/>
      </c>
    </row>
    <row r="248" spans="1:14">
      <c r="A248" s="8" t="s">
        <v>902</v>
      </c>
      <c r="B248" s="8" t="s">
        <v>903</v>
      </c>
      <c r="C248" s="8" t="s">
        <v>16</v>
      </c>
      <c r="D248" s="8" t="s">
        <v>19</v>
      </c>
      <c r="E248" s="8" t="s">
        <v>237</v>
      </c>
      <c r="F248" s="8" t="s">
        <v>238</v>
      </c>
      <c r="G248" s="6">
        <v>43101</v>
      </c>
      <c r="H248" s="6">
        <v>43101</v>
      </c>
      <c r="I248" s="4">
        <v>30</v>
      </c>
      <c r="J248" s="8" t="s">
        <v>23</v>
      </c>
      <c r="K248" s="8" t="s">
        <v>931</v>
      </c>
      <c r="L248" s="4" t="str">
        <f>IF(AtlasReport_1_Table_1[[#This Row],[Reference]]="Purchase order",_xll.AtlasFormulas.AtlasFunctions.AtlasTable("UAT",DataAreaId,"T.VendInvoiceTrans","%RecId","","","","","","","ItemId|PurchID|InventTransId",$C248,$B248,$K248),"")</f>
        <v/>
      </c>
      <c r="M248" s="4" t="str">
        <f>IF(AtlasReport_1_Table_1[[#This Row],[Reference]]="Purchase order",_xll.AtlasFormulas.AtlasFunctions.AtlasTable("UAT",DataAreaId,"T.MarkupTrans","%CurrencyCode","","","","","","","MarkupCode|TransRecId|TransTableId","TPP",$L248,"492"),"")</f>
        <v/>
      </c>
      <c r="N248" s="4" t="str">
        <f>IF(AtlasReport_1_Table_1[[#This Row],[Reference]]="Purchase order",_xll.AtlasFormulas.AtlasFunctions.AtlasBalance("UAT",DataAreaId,"T.MarkupTrans","Sum|Posted|0","","","","","","","MarkupCode|TransTableId|TransRecId","TPP","492",$L248),"")</f>
        <v/>
      </c>
    </row>
    <row r="249" spans="1:14">
      <c r="A249" s="8" t="s">
        <v>902</v>
      </c>
      <c r="B249" s="8" t="s">
        <v>903</v>
      </c>
      <c r="C249" s="8" t="s">
        <v>16</v>
      </c>
      <c r="D249" s="8" t="s">
        <v>19</v>
      </c>
      <c r="E249" s="8" t="s">
        <v>237</v>
      </c>
      <c r="F249" s="8" t="s">
        <v>238</v>
      </c>
      <c r="G249" s="6">
        <v>43101</v>
      </c>
      <c r="H249" s="6">
        <v>43101</v>
      </c>
      <c r="I249" s="4">
        <v>30</v>
      </c>
      <c r="J249" s="8" t="s">
        <v>23</v>
      </c>
      <c r="K249" s="8" t="s">
        <v>932</v>
      </c>
      <c r="L249" s="4" t="str">
        <f>IF(AtlasReport_1_Table_1[[#This Row],[Reference]]="Purchase order",_xll.AtlasFormulas.AtlasFunctions.AtlasTable("UAT",DataAreaId,"T.VendInvoiceTrans","%RecId","","","","","","","ItemId|PurchID|InventTransId",$C249,$B249,$K249),"")</f>
        <v/>
      </c>
      <c r="M249" s="4" t="str">
        <f>IF(AtlasReport_1_Table_1[[#This Row],[Reference]]="Purchase order",_xll.AtlasFormulas.AtlasFunctions.AtlasTable("UAT",DataAreaId,"T.MarkupTrans","%CurrencyCode","","","","","","","MarkupCode|TransRecId|TransTableId","TPP",$L249,"492"),"")</f>
        <v/>
      </c>
      <c r="N249" s="4" t="str">
        <f>IF(AtlasReport_1_Table_1[[#This Row],[Reference]]="Purchase order",_xll.AtlasFormulas.AtlasFunctions.AtlasBalance("UAT",DataAreaId,"T.MarkupTrans","Sum|Posted|0","","","","","","","MarkupCode|TransTableId|TransRecId","TPP","492",$L249),"")</f>
        <v/>
      </c>
    </row>
    <row r="250" spans="1:14">
      <c r="A250" s="8" t="s">
        <v>902</v>
      </c>
      <c r="B250" s="8" t="s">
        <v>903</v>
      </c>
      <c r="C250" s="8" t="s">
        <v>16</v>
      </c>
      <c r="D250" s="8" t="s">
        <v>19</v>
      </c>
      <c r="E250" s="8" t="s">
        <v>237</v>
      </c>
      <c r="F250" s="8" t="s">
        <v>238</v>
      </c>
      <c r="G250" s="6">
        <v>43101</v>
      </c>
      <c r="H250" s="6">
        <v>43101</v>
      </c>
      <c r="I250" s="4">
        <v>30</v>
      </c>
      <c r="J250" s="8" t="s">
        <v>23</v>
      </c>
      <c r="K250" s="8" t="s">
        <v>933</v>
      </c>
      <c r="L250" s="4" t="str">
        <f>IF(AtlasReport_1_Table_1[[#This Row],[Reference]]="Purchase order",_xll.AtlasFormulas.AtlasFunctions.AtlasTable("UAT",DataAreaId,"T.VendInvoiceTrans","%RecId","","","","","","","ItemId|PurchID|InventTransId",$C250,$B250,$K250),"")</f>
        <v/>
      </c>
      <c r="M250" s="4" t="str">
        <f>IF(AtlasReport_1_Table_1[[#This Row],[Reference]]="Purchase order",_xll.AtlasFormulas.AtlasFunctions.AtlasTable("UAT",DataAreaId,"T.MarkupTrans","%CurrencyCode","","","","","","","MarkupCode|TransRecId|TransTableId","TPP",$L250,"492"),"")</f>
        <v/>
      </c>
      <c r="N250" s="4" t="str">
        <f>IF(AtlasReport_1_Table_1[[#This Row],[Reference]]="Purchase order",_xll.AtlasFormulas.AtlasFunctions.AtlasBalance("UAT",DataAreaId,"T.MarkupTrans","Sum|Posted|0","","","","","","","MarkupCode|TransTableId|TransRecId","TPP","492",$L250),"")</f>
        <v/>
      </c>
    </row>
    <row r="251" spans="1:14">
      <c r="A251" s="8" t="s">
        <v>902</v>
      </c>
      <c r="B251" s="8" t="s">
        <v>903</v>
      </c>
      <c r="C251" s="8" t="s">
        <v>16</v>
      </c>
      <c r="D251" s="8" t="s">
        <v>19</v>
      </c>
      <c r="E251" s="8" t="s">
        <v>237</v>
      </c>
      <c r="F251" s="8" t="s">
        <v>238</v>
      </c>
      <c r="G251" s="6">
        <v>43101</v>
      </c>
      <c r="H251" s="6">
        <v>43101</v>
      </c>
      <c r="I251" s="4">
        <v>30</v>
      </c>
      <c r="J251" s="8" t="s">
        <v>23</v>
      </c>
      <c r="K251" s="8" t="s">
        <v>934</v>
      </c>
      <c r="L251" s="4" t="str">
        <f>IF(AtlasReport_1_Table_1[[#This Row],[Reference]]="Purchase order",_xll.AtlasFormulas.AtlasFunctions.AtlasTable("UAT",DataAreaId,"T.VendInvoiceTrans","%RecId","","","","","","","ItemId|PurchID|InventTransId",$C251,$B251,$K251),"")</f>
        <v/>
      </c>
      <c r="M251" s="4" t="str">
        <f>IF(AtlasReport_1_Table_1[[#This Row],[Reference]]="Purchase order",_xll.AtlasFormulas.AtlasFunctions.AtlasTable("UAT",DataAreaId,"T.MarkupTrans","%CurrencyCode","","","","","","","MarkupCode|TransRecId|TransTableId","TPP",$L251,"492"),"")</f>
        <v/>
      </c>
      <c r="N251" s="4" t="str">
        <f>IF(AtlasReport_1_Table_1[[#This Row],[Reference]]="Purchase order",_xll.AtlasFormulas.AtlasFunctions.AtlasBalance("UAT",DataAreaId,"T.MarkupTrans","Sum|Posted|0","","","","","","","MarkupCode|TransTableId|TransRecId","TPP","492",$L251),"")</f>
        <v/>
      </c>
    </row>
    <row r="252" spans="1:14">
      <c r="A252" s="8" t="s">
        <v>902</v>
      </c>
      <c r="B252" s="8" t="s">
        <v>903</v>
      </c>
      <c r="C252" s="8" t="s">
        <v>43</v>
      </c>
      <c r="D252" s="8" t="s">
        <v>67</v>
      </c>
      <c r="E252" s="8" t="s">
        <v>237</v>
      </c>
      <c r="F252" s="8" t="s">
        <v>238</v>
      </c>
      <c r="G252" s="6">
        <v>43101</v>
      </c>
      <c r="H252" s="6">
        <v>43101</v>
      </c>
      <c r="I252" s="4">
        <v>30</v>
      </c>
      <c r="J252" s="8" t="s">
        <v>23</v>
      </c>
      <c r="K252" s="8" t="s">
        <v>935</v>
      </c>
      <c r="L252" s="4" t="str">
        <f>IF(AtlasReport_1_Table_1[[#This Row],[Reference]]="Purchase order",_xll.AtlasFormulas.AtlasFunctions.AtlasTable("UAT",DataAreaId,"T.VendInvoiceTrans","%RecId","","","","","","","ItemId|PurchID|InventTransId",$C252,$B252,$K252),"")</f>
        <v/>
      </c>
      <c r="M252" s="4" t="str">
        <f>IF(AtlasReport_1_Table_1[[#This Row],[Reference]]="Purchase order",_xll.AtlasFormulas.AtlasFunctions.AtlasTable("UAT",DataAreaId,"T.MarkupTrans","%CurrencyCode","","","","","","","MarkupCode|TransRecId|TransTableId","TPP",$L252,"492"),"")</f>
        <v/>
      </c>
      <c r="N252" s="4" t="str">
        <f>IF(AtlasReport_1_Table_1[[#This Row],[Reference]]="Purchase order",_xll.AtlasFormulas.AtlasFunctions.AtlasBalance("UAT",DataAreaId,"T.MarkupTrans","Sum|Posted|0","","","","","","","MarkupCode|TransTableId|TransRecId","TPP","492",$L252),"")</f>
        <v/>
      </c>
    </row>
    <row r="253" spans="1:14">
      <c r="A253" s="8" t="s">
        <v>902</v>
      </c>
      <c r="B253" s="8" t="s">
        <v>903</v>
      </c>
      <c r="C253" s="8" t="s">
        <v>43</v>
      </c>
      <c r="D253" s="8" t="s">
        <v>67</v>
      </c>
      <c r="E253" s="8" t="s">
        <v>237</v>
      </c>
      <c r="F253" s="8" t="s">
        <v>238</v>
      </c>
      <c r="G253" s="6">
        <v>43101</v>
      </c>
      <c r="H253" s="6">
        <v>43101</v>
      </c>
      <c r="I253" s="4">
        <v>30</v>
      </c>
      <c r="J253" s="8" t="s">
        <v>23</v>
      </c>
      <c r="K253" s="8" t="s">
        <v>936</v>
      </c>
      <c r="L253" s="4" t="str">
        <f>IF(AtlasReport_1_Table_1[[#This Row],[Reference]]="Purchase order",_xll.AtlasFormulas.AtlasFunctions.AtlasTable("UAT",DataAreaId,"T.VendInvoiceTrans","%RecId","","","","","","","ItemId|PurchID|InventTransId",$C253,$B253,$K253),"")</f>
        <v/>
      </c>
      <c r="M253" s="4" t="str">
        <f>IF(AtlasReport_1_Table_1[[#This Row],[Reference]]="Purchase order",_xll.AtlasFormulas.AtlasFunctions.AtlasTable("UAT",DataAreaId,"T.MarkupTrans","%CurrencyCode","","","","","","","MarkupCode|TransRecId|TransTableId","TPP",$L253,"492"),"")</f>
        <v/>
      </c>
      <c r="N253" s="4" t="str">
        <f>IF(AtlasReport_1_Table_1[[#This Row],[Reference]]="Purchase order",_xll.AtlasFormulas.AtlasFunctions.AtlasBalance("UAT",DataAreaId,"T.MarkupTrans","Sum|Posted|0","","","","","","","MarkupCode|TransTableId|TransRecId","TPP","492",$L253),"")</f>
        <v/>
      </c>
    </row>
    <row r="254" spans="1:14">
      <c r="A254" s="8" t="s">
        <v>902</v>
      </c>
      <c r="B254" s="8" t="s">
        <v>903</v>
      </c>
      <c r="C254" s="8" t="s">
        <v>43</v>
      </c>
      <c r="D254" s="8" t="s">
        <v>67</v>
      </c>
      <c r="E254" s="8" t="s">
        <v>237</v>
      </c>
      <c r="F254" s="8" t="s">
        <v>238</v>
      </c>
      <c r="G254" s="6">
        <v>43101</v>
      </c>
      <c r="H254" s="6">
        <v>43101</v>
      </c>
      <c r="I254" s="4">
        <v>30</v>
      </c>
      <c r="J254" s="8" t="s">
        <v>23</v>
      </c>
      <c r="K254" s="8" t="s">
        <v>937</v>
      </c>
      <c r="L254" s="4" t="str">
        <f>IF(AtlasReport_1_Table_1[[#This Row],[Reference]]="Purchase order",_xll.AtlasFormulas.AtlasFunctions.AtlasTable("UAT",DataAreaId,"T.VendInvoiceTrans","%RecId","","","","","","","ItemId|PurchID|InventTransId",$C254,$B254,$K254),"")</f>
        <v/>
      </c>
      <c r="M254" s="4" t="str">
        <f>IF(AtlasReport_1_Table_1[[#This Row],[Reference]]="Purchase order",_xll.AtlasFormulas.AtlasFunctions.AtlasTable("UAT",DataAreaId,"T.MarkupTrans","%CurrencyCode","","","","","","","MarkupCode|TransRecId|TransTableId","TPP",$L254,"492"),"")</f>
        <v/>
      </c>
      <c r="N254" s="4" t="str">
        <f>IF(AtlasReport_1_Table_1[[#This Row],[Reference]]="Purchase order",_xll.AtlasFormulas.AtlasFunctions.AtlasBalance("UAT",DataAreaId,"T.MarkupTrans","Sum|Posted|0","","","","","","","MarkupCode|TransTableId|TransRecId","TPP","492",$L254),"")</f>
        <v/>
      </c>
    </row>
    <row r="255" spans="1:14">
      <c r="A255" s="8" t="s">
        <v>902</v>
      </c>
      <c r="B255" s="8" t="s">
        <v>903</v>
      </c>
      <c r="C255" s="8" t="s">
        <v>43</v>
      </c>
      <c r="D255" s="8" t="s">
        <v>67</v>
      </c>
      <c r="E255" s="8" t="s">
        <v>237</v>
      </c>
      <c r="F255" s="8" t="s">
        <v>238</v>
      </c>
      <c r="G255" s="6">
        <v>43101</v>
      </c>
      <c r="H255" s="6">
        <v>43101</v>
      </c>
      <c r="I255" s="4">
        <v>30</v>
      </c>
      <c r="J255" s="8" t="s">
        <v>23</v>
      </c>
      <c r="K255" s="8" t="s">
        <v>938</v>
      </c>
      <c r="L255" s="4" t="str">
        <f>IF(AtlasReport_1_Table_1[[#This Row],[Reference]]="Purchase order",_xll.AtlasFormulas.AtlasFunctions.AtlasTable("UAT",DataAreaId,"T.VendInvoiceTrans","%RecId","","","","","","","ItemId|PurchID|InventTransId",$C255,$B255,$K255),"")</f>
        <v/>
      </c>
      <c r="M255" s="4" t="str">
        <f>IF(AtlasReport_1_Table_1[[#This Row],[Reference]]="Purchase order",_xll.AtlasFormulas.AtlasFunctions.AtlasTable("UAT",DataAreaId,"T.MarkupTrans","%CurrencyCode","","","","","","","MarkupCode|TransRecId|TransTableId","TPP",$L255,"492"),"")</f>
        <v/>
      </c>
      <c r="N255" s="4" t="str">
        <f>IF(AtlasReport_1_Table_1[[#This Row],[Reference]]="Purchase order",_xll.AtlasFormulas.AtlasFunctions.AtlasBalance("UAT",DataAreaId,"T.MarkupTrans","Sum|Posted|0","","","","","","","MarkupCode|TransTableId|TransRecId","TPP","492",$L255),"")</f>
        <v/>
      </c>
    </row>
    <row r="256" spans="1:14">
      <c r="A256" s="8" t="s">
        <v>902</v>
      </c>
      <c r="B256" s="8" t="s">
        <v>903</v>
      </c>
      <c r="C256" s="8" t="s">
        <v>43</v>
      </c>
      <c r="D256" s="8" t="s">
        <v>67</v>
      </c>
      <c r="E256" s="8" t="s">
        <v>237</v>
      </c>
      <c r="F256" s="8" t="s">
        <v>238</v>
      </c>
      <c r="G256" s="6">
        <v>43101</v>
      </c>
      <c r="H256" s="6">
        <v>43101</v>
      </c>
      <c r="I256" s="4">
        <v>30</v>
      </c>
      <c r="J256" s="8" t="s">
        <v>23</v>
      </c>
      <c r="K256" s="8" t="s">
        <v>939</v>
      </c>
      <c r="L256" s="4" t="str">
        <f>IF(AtlasReport_1_Table_1[[#This Row],[Reference]]="Purchase order",_xll.AtlasFormulas.AtlasFunctions.AtlasTable("UAT",DataAreaId,"T.VendInvoiceTrans","%RecId","","","","","","","ItemId|PurchID|InventTransId",$C256,$B256,$K256),"")</f>
        <v/>
      </c>
      <c r="M256" s="4" t="str">
        <f>IF(AtlasReport_1_Table_1[[#This Row],[Reference]]="Purchase order",_xll.AtlasFormulas.AtlasFunctions.AtlasTable("UAT",DataAreaId,"T.MarkupTrans","%CurrencyCode","","","","","","","MarkupCode|TransRecId|TransTableId","TPP",$L256,"492"),"")</f>
        <v/>
      </c>
      <c r="N256" s="4" t="str">
        <f>IF(AtlasReport_1_Table_1[[#This Row],[Reference]]="Purchase order",_xll.AtlasFormulas.AtlasFunctions.AtlasBalance("UAT",DataAreaId,"T.MarkupTrans","Sum|Posted|0","","","","","","","MarkupCode|TransTableId|TransRecId","TPP","492",$L256),"")</f>
        <v/>
      </c>
    </row>
    <row r="257" spans="1:14">
      <c r="A257" s="8" t="s">
        <v>902</v>
      </c>
      <c r="B257" s="8" t="s">
        <v>903</v>
      </c>
      <c r="C257" s="8" t="s">
        <v>43</v>
      </c>
      <c r="D257" s="8" t="s">
        <v>67</v>
      </c>
      <c r="E257" s="8" t="s">
        <v>237</v>
      </c>
      <c r="F257" s="8" t="s">
        <v>238</v>
      </c>
      <c r="G257" s="6">
        <v>43101</v>
      </c>
      <c r="H257" s="6">
        <v>43101</v>
      </c>
      <c r="I257" s="4">
        <v>30</v>
      </c>
      <c r="J257" s="8" t="s">
        <v>23</v>
      </c>
      <c r="K257" s="8" t="s">
        <v>940</v>
      </c>
      <c r="L257" s="4" t="str">
        <f>IF(AtlasReport_1_Table_1[[#This Row],[Reference]]="Purchase order",_xll.AtlasFormulas.AtlasFunctions.AtlasTable("UAT",DataAreaId,"T.VendInvoiceTrans","%RecId","","","","","","","ItemId|PurchID|InventTransId",$C257,$B257,$K257),"")</f>
        <v/>
      </c>
      <c r="M257" s="4" t="str">
        <f>IF(AtlasReport_1_Table_1[[#This Row],[Reference]]="Purchase order",_xll.AtlasFormulas.AtlasFunctions.AtlasTable("UAT",DataAreaId,"T.MarkupTrans","%CurrencyCode","","","","","","","MarkupCode|TransRecId|TransTableId","TPP",$L257,"492"),"")</f>
        <v/>
      </c>
      <c r="N257" s="4" t="str">
        <f>IF(AtlasReport_1_Table_1[[#This Row],[Reference]]="Purchase order",_xll.AtlasFormulas.AtlasFunctions.AtlasBalance("UAT",DataAreaId,"T.MarkupTrans","Sum|Posted|0","","","","","","","MarkupCode|TransTableId|TransRecId","TPP","492",$L257),"")</f>
        <v/>
      </c>
    </row>
    <row r="258" spans="1:14">
      <c r="A258" s="8" t="s">
        <v>902</v>
      </c>
      <c r="B258" s="8" t="s">
        <v>903</v>
      </c>
      <c r="C258" s="8" t="s">
        <v>43</v>
      </c>
      <c r="D258" s="8" t="s">
        <v>67</v>
      </c>
      <c r="E258" s="8" t="s">
        <v>237</v>
      </c>
      <c r="F258" s="8" t="s">
        <v>238</v>
      </c>
      <c r="G258" s="6">
        <v>43101</v>
      </c>
      <c r="H258" s="6">
        <v>43101</v>
      </c>
      <c r="I258" s="4">
        <v>30</v>
      </c>
      <c r="J258" s="8" t="s">
        <v>23</v>
      </c>
      <c r="K258" s="8" t="s">
        <v>941</v>
      </c>
      <c r="L258" s="4" t="str">
        <f>IF(AtlasReport_1_Table_1[[#This Row],[Reference]]="Purchase order",_xll.AtlasFormulas.AtlasFunctions.AtlasTable("UAT",DataAreaId,"T.VendInvoiceTrans","%RecId","","","","","","","ItemId|PurchID|InventTransId",$C258,$B258,$K258),"")</f>
        <v/>
      </c>
      <c r="M258" s="4" t="str">
        <f>IF(AtlasReport_1_Table_1[[#This Row],[Reference]]="Purchase order",_xll.AtlasFormulas.AtlasFunctions.AtlasTable("UAT",DataAreaId,"T.MarkupTrans","%CurrencyCode","","","","","","","MarkupCode|TransRecId|TransTableId","TPP",$L258,"492"),"")</f>
        <v/>
      </c>
      <c r="N258" s="4" t="str">
        <f>IF(AtlasReport_1_Table_1[[#This Row],[Reference]]="Purchase order",_xll.AtlasFormulas.AtlasFunctions.AtlasBalance("UAT",DataAreaId,"T.MarkupTrans","Sum|Posted|0","","","","","","","MarkupCode|TransTableId|TransRecId","TPP","492",$L258),"")</f>
        <v/>
      </c>
    </row>
    <row r="259" spans="1:14">
      <c r="A259" s="8" t="s">
        <v>902</v>
      </c>
      <c r="B259" s="8" t="s">
        <v>903</v>
      </c>
      <c r="C259" s="8" t="s">
        <v>43</v>
      </c>
      <c r="D259" s="8" t="s">
        <v>67</v>
      </c>
      <c r="E259" s="8" t="s">
        <v>237</v>
      </c>
      <c r="F259" s="8" t="s">
        <v>238</v>
      </c>
      <c r="G259" s="6">
        <v>43101</v>
      </c>
      <c r="H259" s="6">
        <v>43101</v>
      </c>
      <c r="I259" s="4">
        <v>30</v>
      </c>
      <c r="J259" s="8" t="s">
        <v>23</v>
      </c>
      <c r="K259" s="8" t="s">
        <v>942</v>
      </c>
      <c r="L259" s="4" t="str">
        <f>IF(AtlasReport_1_Table_1[[#This Row],[Reference]]="Purchase order",_xll.AtlasFormulas.AtlasFunctions.AtlasTable("UAT",DataAreaId,"T.VendInvoiceTrans","%RecId","","","","","","","ItemId|PurchID|InventTransId",$C259,$B259,$K259),"")</f>
        <v/>
      </c>
      <c r="M259" s="4" t="str">
        <f>IF(AtlasReport_1_Table_1[[#This Row],[Reference]]="Purchase order",_xll.AtlasFormulas.AtlasFunctions.AtlasTable("UAT",DataAreaId,"T.MarkupTrans","%CurrencyCode","","","","","","","MarkupCode|TransRecId|TransTableId","TPP",$L259,"492"),"")</f>
        <v/>
      </c>
      <c r="N259" s="4" t="str">
        <f>IF(AtlasReport_1_Table_1[[#This Row],[Reference]]="Purchase order",_xll.AtlasFormulas.AtlasFunctions.AtlasBalance("UAT",DataAreaId,"T.MarkupTrans","Sum|Posted|0","","","","","","","MarkupCode|TransTableId|TransRecId","TPP","492",$L259),"")</f>
        <v/>
      </c>
    </row>
    <row r="260" spans="1:14">
      <c r="A260" s="8" t="s">
        <v>902</v>
      </c>
      <c r="B260" s="8" t="s">
        <v>903</v>
      </c>
      <c r="C260" s="8" t="s">
        <v>73</v>
      </c>
      <c r="D260" s="8" t="s">
        <v>83</v>
      </c>
      <c r="E260" s="8" t="s">
        <v>237</v>
      </c>
      <c r="F260" s="8" t="s">
        <v>238</v>
      </c>
      <c r="G260" s="6">
        <v>43101</v>
      </c>
      <c r="H260" s="6">
        <v>43101</v>
      </c>
      <c r="I260" s="4">
        <v>30</v>
      </c>
      <c r="J260" s="8" t="s">
        <v>23</v>
      </c>
      <c r="K260" s="8" t="s">
        <v>943</v>
      </c>
      <c r="L260" s="4" t="str">
        <f>IF(AtlasReport_1_Table_1[[#This Row],[Reference]]="Purchase order",_xll.AtlasFormulas.AtlasFunctions.AtlasTable("UAT",DataAreaId,"T.VendInvoiceTrans","%RecId","","","","","","","ItemId|PurchID|InventTransId",$C260,$B260,$K260),"")</f>
        <v/>
      </c>
      <c r="M260" s="4" t="str">
        <f>IF(AtlasReport_1_Table_1[[#This Row],[Reference]]="Purchase order",_xll.AtlasFormulas.AtlasFunctions.AtlasTable("UAT",DataAreaId,"T.MarkupTrans","%CurrencyCode","","","","","","","MarkupCode|TransRecId|TransTableId","TPP",$L260,"492"),"")</f>
        <v/>
      </c>
      <c r="N260" s="4" t="str">
        <f>IF(AtlasReport_1_Table_1[[#This Row],[Reference]]="Purchase order",_xll.AtlasFormulas.AtlasFunctions.AtlasBalance("UAT",DataAreaId,"T.MarkupTrans","Sum|Posted|0","","","","","","","MarkupCode|TransTableId|TransRecId","TPP","492",$L260),"")</f>
        <v/>
      </c>
    </row>
    <row r="261" spans="1:14">
      <c r="A261" s="8" t="s">
        <v>902</v>
      </c>
      <c r="B261" s="8" t="s">
        <v>903</v>
      </c>
      <c r="C261" s="8" t="s">
        <v>251</v>
      </c>
      <c r="D261" s="8" t="s">
        <v>330</v>
      </c>
      <c r="E261" s="8" t="s">
        <v>237</v>
      </c>
      <c r="F261" s="8" t="s">
        <v>238</v>
      </c>
      <c r="G261" s="6">
        <v>43101</v>
      </c>
      <c r="H261" s="6">
        <v>43101</v>
      </c>
      <c r="I261" s="4">
        <v>173.95</v>
      </c>
      <c r="J261" s="8" t="s">
        <v>66</v>
      </c>
      <c r="K261" s="8" t="s">
        <v>944</v>
      </c>
      <c r="L261" s="4" t="str">
        <f>IF(AtlasReport_1_Table_1[[#This Row],[Reference]]="Purchase order",_xll.AtlasFormulas.AtlasFunctions.AtlasTable("UAT",DataAreaId,"T.VendInvoiceTrans","%RecId","","","","","","","ItemId|PurchID|InventTransId",$C261,$B261,$K261),"")</f>
        <v/>
      </c>
      <c r="M261" s="4" t="str">
        <f>IF(AtlasReport_1_Table_1[[#This Row],[Reference]]="Purchase order",_xll.AtlasFormulas.AtlasFunctions.AtlasTable("UAT",DataAreaId,"T.MarkupTrans","%CurrencyCode","","","","","","","MarkupCode|TransRecId|TransTableId","TPP",$L261,"492"),"")</f>
        <v/>
      </c>
      <c r="N261" s="4" t="str">
        <f>IF(AtlasReport_1_Table_1[[#This Row],[Reference]]="Purchase order",_xll.AtlasFormulas.AtlasFunctions.AtlasBalance("UAT",DataAreaId,"T.MarkupTrans","Sum|Posted|0","","","","","","","MarkupCode|TransTableId|TransRecId","TPP","492",$L261),"")</f>
        <v/>
      </c>
    </row>
    <row r="262" spans="1:14">
      <c r="A262" s="8" t="s">
        <v>902</v>
      </c>
      <c r="B262" s="8" t="s">
        <v>903</v>
      </c>
      <c r="C262" s="8" t="s">
        <v>252</v>
      </c>
      <c r="D262" s="8" t="s">
        <v>339</v>
      </c>
      <c r="E262" s="8" t="s">
        <v>237</v>
      </c>
      <c r="F262" s="8" t="s">
        <v>238</v>
      </c>
      <c r="G262" s="6">
        <v>43101</v>
      </c>
      <c r="H262" s="6">
        <v>43101</v>
      </c>
      <c r="I262" s="4">
        <v>24</v>
      </c>
      <c r="J262" s="8" t="s">
        <v>22</v>
      </c>
      <c r="K262" s="8" t="s">
        <v>945</v>
      </c>
      <c r="L262" s="4" t="str">
        <f>IF(AtlasReport_1_Table_1[[#This Row],[Reference]]="Purchase order",_xll.AtlasFormulas.AtlasFunctions.AtlasTable("UAT",DataAreaId,"T.VendInvoiceTrans","%RecId","","","","","","","ItemId|PurchID|InventTransId",$C262,$B262,$K262),"")</f>
        <v/>
      </c>
      <c r="M262" s="4" t="str">
        <f>IF(AtlasReport_1_Table_1[[#This Row],[Reference]]="Purchase order",_xll.AtlasFormulas.AtlasFunctions.AtlasTable("UAT",DataAreaId,"T.MarkupTrans","%CurrencyCode","","","","","","","MarkupCode|TransRecId|TransTableId","TPP",$L262,"492"),"")</f>
        <v/>
      </c>
      <c r="N262" s="4" t="str">
        <f>IF(AtlasReport_1_Table_1[[#This Row],[Reference]]="Purchase order",_xll.AtlasFormulas.AtlasFunctions.AtlasBalance("UAT",DataAreaId,"T.MarkupTrans","Sum|Posted|0","","","","","","","MarkupCode|TransTableId|TransRecId","TPP","492",$L262),"")</f>
        <v/>
      </c>
    </row>
    <row r="263" spans="1:14">
      <c r="A263" s="8" t="s">
        <v>902</v>
      </c>
      <c r="B263" s="8" t="s">
        <v>903</v>
      </c>
      <c r="C263" s="8" t="s">
        <v>253</v>
      </c>
      <c r="D263" s="8" t="s">
        <v>342</v>
      </c>
      <c r="E263" s="8" t="s">
        <v>237</v>
      </c>
      <c r="F263" s="8" t="s">
        <v>238</v>
      </c>
      <c r="G263" s="6">
        <v>43101</v>
      </c>
      <c r="H263" s="6">
        <v>43101</v>
      </c>
      <c r="I263" s="4">
        <v>60.7</v>
      </c>
      <c r="J263" s="8" t="s">
        <v>66</v>
      </c>
      <c r="K263" s="8" t="s">
        <v>946</v>
      </c>
      <c r="L263" s="4" t="str">
        <f>IF(AtlasReport_1_Table_1[[#This Row],[Reference]]="Purchase order",_xll.AtlasFormulas.AtlasFunctions.AtlasTable("UAT",DataAreaId,"T.VendInvoiceTrans","%RecId","","","","","","","ItemId|PurchID|InventTransId",$C263,$B263,$K263),"")</f>
        <v/>
      </c>
      <c r="M263" s="4" t="str">
        <f>IF(AtlasReport_1_Table_1[[#This Row],[Reference]]="Purchase order",_xll.AtlasFormulas.AtlasFunctions.AtlasTable("UAT",DataAreaId,"T.MarkupTrans","%CurrencyCode","","","","","","","MarkupCode|TransRecId|TransTableId","TPP",$L263,"492"),"")</f>
        <v/>
      </c>
      <c r="N263" s="4" t="str">
        <f>IF(AtlasReport_1_Table_1[[#This Row],[Reference]]="Purchase order",_xll.AtlasFormulas.AtlasFunctions.AtlasBalance("UAT",DataAreaId,"T.MarkupTrans","Sum|Posted|0","","","","","","","MarkupCode|TransTableId|TransRecId","TPP","492",$L263),"")</f>
        <v/>
      </c>
    </row>
    <row r="264" spans="1:14">
      <c r="A264" s="8" t="s">
        <v>902</v>
      </c>
      <c r="B264" s="8" t="s">
        <v>903</v>
      </c>
      <c r="C264" s="8" t="s">
        <v>254</v>
      </c>
      <c r="D264" s="8" t="s">
        <v>344</v>
      </c>
      <c r="E264" s="8" t="s">
        <v>237</v>
      </c>
      <c r="F264" s="8" t="s">
        <v>238</v>
      </c>
      <c r="G264" s="6">
        <v>43101</v>
      </c>
      <c r="H264" s="6">
        <v>43101</v>
      </c>
      <c r="I264" s="4">
        <v>24.3</v>
      </c>
      <c r="J264" s="8" t="s">
        <v>66</v>
      </c>
      <c r="K264" s="8" t="s">
        <v>947</v>
      </c>
      <c r="L264" s="4" t="str">
        <f>IF(AtlasReport_1_Table_1[[#This Row],[Reference]]="Purchase order",_xll.AtlasFormulas.AtlasFunctions.AtlasTable("UAT",DataAreaId,"T.VendInvoiceTrans","%RecId","","","","","","","ItemId|PurchID|InventTransId",$C264,$B264,$K264),"")</f>
        <v/>
      </c>
      <c r="M264" s="4" t="str">
        <f>IF(AtlasReport_1_Table_1[[#This Row],[Reference]]="Purchase order",_xll.AtlasFormulas.AtlasFunctions.AtlasTable("UAT",DataAreaId,"T.MarkupTrans","%CurrencyCode","","","","","","","MarkupCode|TransRecId|TransTableId","TPP",$L264,"492"),"")</f>
        <v/>
      </c>
      <c r="N264" s="4" t="str">
        <f>IF(AtlasReport_1_Table_1[[#This Row],[Reference]]="Purchase order",_xll.AtlasFormulas.AtlasFunctions.AtlasBalance("UAT",DataAreaId,"T.MarkupTrans","Sum|Posted|0","","","","","","","MarkupCode|TransTableId|TransRecId","TPP","492",$L264),"")</f>
        <v/>
      </c>
    </row>
    <row r="265" spans="1:14">
      <c r="A265" s="8" t="s">
        <v>902</v>
      </c>
      <c r="B265" s="8" t="s">
        <v>903</v>
      </c>
      <c r="C265" s="8" t="s">
        <v>255</v>
      </c>
      <c r="D265" s="8" t="s">
        <v>346</v>
      </c>
      <c r="E265" s="8" t="s">
        <v>237</v>
      </c>
      <c r="F265" s="8" t="s">
        <v>238</v>
      </c>
      <c r="G265" s="6">
        <v>43101</v>
      </c>
      <c r="H265" s="6">
        <v>43101</v>
      </c>
      <c r="I265" s="4">
        <v>2600</v>
      </c>
      <c r="J265" s="8" t="s">
        <v>66</v>
      </c>
      <c r="K265" s="8" t="s">
        <v>948</v>
      </c>
      <c r="L265" s="4" t="str">
        <f>IF(AtlasReport_1_Table_1[[#This Row],[Reference]]="Purchase order",_xll.AtlasFormulas.AtlasFunctions.AtlasTable("UAT",DataAreaId,"T.VendInvoiceTrans","%RecId","","","","","","","ItemId|PurchID|InventTransId",$C265,$B265,$K265),"")</f>
        <v/>
      </c>
      <c r="M265" s="4" t="str">
        <f>IF(AtlasReport_1_Table_1[[#This Row],[Reference]]="Purchase order",_xll.AtlasFormulas.AtlasFunctions.AtlasTable("UAT",DataAreaId,"T.MarkupTrans","%CurrencyCode","","","","","","","MarkupCode|TransRecId|TransTableId","TPP",$L265,"492"),"")</f>
        <v/>
      </c>
      <c r="N265" s="4" t="str">
        <f>IF(AtlasReport_1_Table_1[[#This Row],[Reference]]="Purchase order",_xll.AtlasFormulas.AtlasFunctions.AtlasBalance("UAT",DataAreaId,"T.MarkupTrans","Sum|Posted|0","","","","","","","MarkupCode|TransTableId|TransRecId","TPP","492",$L265),"")</f>
        <v/>
      </c>
    </row>
    <row r="266" spans="1:14">
      <c r="A266" s="8" t="s">
        <v>902</v>
      </c>
      <c r="B266" s="8" t="s">
        <v>903</v>
      </c>
      <c r="C266" s="8" t="s">
        <v>256</v>
      </c>
      <c r="D266" s="8" t="s">
        <v>349</v>
      </c>
      <c r="E266" s="8" t="s">
        <v>237</v>
      </c>
      <c r="F266" s="8" t="s">
        <v>249</v>
      </c>
      <c r="G266" s="6">
        <v>43101</v>
      </c>
      <c r="H266" s="6">
        <v>43101</v>
      </c>
      <c r="I266" s="4">
        <v>22675</v>
      </c>
      <c r="J266" s="8" t="s">
        <v>66</v>
      </c>
      <c r="K266" s="8" t="s">
        <v>949</v>
      </c>
      <c r="L266" s="4" t="str">
        <f>IF(AtlasReport_1_Table_1[[#This Row],[Reference]]="Purchase order",_xll.AtlasFormulas.AtlasFunctions.AtlasTable("UAT",DataAreaId,"T.VendInvoiceTrans","%RecId","","","","","","","ItemId|PurchID|InventTransId",$C266,$B266,$K266),"")</f>
        <v/>
      </c>
      <c r="M266" s="4" t="str">
        <f>IF(AtlasReport_1_Table_1[[#This Row],[Reference]]="Purchase order",_xll.AtlasFormulas.AtlasFunctions.AtlasTable("UAT",DataAreaId,"T.MarkupTrans","%CurrencyCode","","","","","","","MarkupCode|TransRecId|TransTableId","TPP",$L266,"492"),"")</f>
        <v/>
      </c>
      <c r="N266" s="4" t="str">
        <f>IF(AtlasReport_1_Table_1[[#This Row],[Reference]]="Purchase order",_xll.AtlasFormulas.AtlasFunctions.AtlasBalance("UAT",DataAreaId,"T.MarkupTrans","Sum|Posted|0","","","","","","","MarkupCode|TransTableId|TransRecId","TPP","492",$L266),"")</f>
        <v/>
      </c>
    </row>
    <row r="267" spans="1:14">
      <c r="A267" s="8" t="s">
        <v>902</v>
      </c>
      <c r="B267" s="8" t="s">
        <v>903</v>
      </c>
      <c r="C267" s="8" t="s">
        <v>257</v>
      </c>
      <c r="D267" s="8" t="s">
        <v>350</v>
      </c>
      <c r="E267" s="8" t="s">
        <v>237</v>
      </c>
      <c r="F267" s="8" t="s">
        <v>249</v>
      </c>
      <c r="G267" s="6">
        <v>43101</v>
      </c>
      <c r="H267" s="6">
        <v>43101</v>
      </c>
      <c r="I267" s="4">
        <v>24417</v>
      </c>
      <c r="J267" s="8" t="s">
        <v>66</v>
      </c>
      <c r="K267" s="8" t="s">
        <v>950</v>
      </c>
      <c r="L267" s="4" t="str">
        <f>IF(AtlasReport_1_Table_1[[#This Row],[Reference]]="Purchase order",_xll.AtlasFormulas.AtlasFunctions.AtlasTable("UAT",DataAreaId,"T.VendInvoiceTrans","%RecId","","","","","","","ItemId|PurchID|InventTransId",$C267,$B267,$K267),"")</f>
        <v/>
      </c>
      <c r="M267" s="4" t="str">
        <f>IF(AtlasReport_1_Table_1[[#This Row],[Reference]]="Purchase order",_xll.AtlasFormulas.AtlasFunctions.AtlasTable("UAT",DataAreaId,"T.MarkupTrans","%CurrencyCode","","","","","","","MarkupCode|TransRecId|TransTableId","TPP",$L267,"492"),"")</f>
        <v/>
      </c>
      <c r="N267" s="4" t="str">
        <f>IF(AtlasReport_1_Table_1[[#This Row],[Reference]]="Purchase order",_xll.AtlasFormulas.AtlasFunctions.AtlasBalance("UAT",DataAreaId,"T.MarkupTrans","Sum|Posted|0","","","","","","","MarkupCode|TransTableId|TransRecId","TPP","492",$L267),"")</f>
        <v/>
      </c>
    </row>
    <row r="268" spans="1:14">
      <c r="A268" s="8" t="s">
        <v>902</v>
      </c>
      <c r="B268" s="8" t="s">
        <v>903</v>
      </c>
      <c r="C268" s="8" t="s">
        <v>258</v>
      </c>
      <c r="D268" s="8" t="s">
        <v>351</v>
      </c>
      <c r="E268" s="8" t="s">
        <v>237</v>
      </c>
      <c r="F268" s="8" t="s">
        <v>249</v>
      </c>
      <c r="G268" s="6">
        <v>43101</v>
      </c>
      <c r="H268" s="6">
        <v>43101</v>
      </c>
      <c r="I268" s="4">
        <v>28892</v>
      </c>
      <c r="J268" s="8" t="s">
        <v>66</v>
      </c>
      <c r="K268" s="8" t="s">
        <v>951</v>
      </c>
      <c r="L268" s="4" t="str">
        <f>IF(AtlasReport_1_Table_1[[#This Row],[Reference]]="Purchase order",_xll.AtlasFormulas.AtlasFunctions.AtlasTable("UAT",DataAreaId,"T.VendInvoiceTrans","%RecId","","","","","","","ItemId|PurchID|InventTransId",$C268,$B268,$K268),"")</f>
        <v/>
      </c>
      <c r="M268" s="4" t="str">
        <f>IF(AtlasReport_1_Table_1[[#This Row],[Reference]]="Purchase order",_xll.AtlasFormulas.AtlasFunctions.AtlasTable("UAT",DataAreaId,"T.MarkupTrans","%CurrencyCode","","","","","","","MarkupCode|TransRecId|TransTableId","TPP",$L268,"492"),"")</f>
        <v/>
      </c>
      <c r="N268" s="4" t="str">
        <f>IF(AtlasReport_1_Table_1[[#This Row],[Reference]]="Purchase order",_xll.AtlasFormulas.AtlasFunctions.AtlasBalance("UAT",DataAreaId,"T.MarkupTrans","Sum|Posted|0","","","","","","","MarkupCode|TransTableId|TransRecId","TPP","492",$L268),"")</f>
        <v/>
      </c>
    </row>
    <row r="269" spans="1:14">
      <c r="A269" s="8" t="s">
        <v>902</v>
      </c>
      <c r="B269" s="8" t="s">
        <v>903</v>
      </c>
      <c r="C269" s="8" t="s">
        <v>259</v>
      </c>
      <c r="D269" s="8" t="s">
        <v>352</v>
      </c>
      <c r="E269" s="8" t="s">
        <v>237</v>
      </c>
      <c r="F269" s="8" t="s">
        <v>249</v>
      </c>
      <c r="G269" s="6">
        <v>43101</v>
      </c>
      <c r="H269" s="6">
        <v>43101</v>
      </c>
      <c r="I269" s="4">
        <v>7407</v>
      </c>
      <c r="J269" s="8" t="s">
        <v>66</v>
      </c>
      <c r="K269" s="8" t="s">
        <v>952</v>
      </c>
      <c r="L269" s="4" t="str">
        <f>IF(AtlasReport_1_Table_1[[#This Row],[Reference]]="Purchase order",_xll.AtlasFormulas.AtlasFunctions.AtlasTable("UAT",DataAreaId,"T.VendInvoiceTrans","%RecId","","","","","","","ItemId|PurchID|InventTransId",$C269,$B269,$K269),"")</f>
        <v/>
      </c>
      <c r="M269" s="4" t="str">
        <f>IF(AtlasReport_1_Table_1[[#This Row],[Reference]]="Purchase order",_xll.AtlasFormulas.AtlasFunctions.AtlasTable("UAT",DataAreaId,"T.MarkupTrans","%CurrencyCode","","","","","","","MarkupCode|TransRecId|TransTableId","TPP",$L269,"492"),"")</f>
        <v/>
      </c>
      <c r="N269" s="4" t="str">
        <f>IF(AtlasReport_1_Table_1[[#This Row],[Reference]]="Purchase order",_xll.AtlasFormulas.AtlasFunctions.AtlasBalance("UAT",DataAreaId,"T.MarkupTrans","Sum|Posted|0","","","","","","","MarkupCode|TransTableId|TransRecId","TPP","492",$L269),"")</f>
        <v/>
      </c>
    </row>
    <row r="270" spans="1:14">
      <c r="A270" s="8" t="s">
        <v>902</v>
      </c>
      <c r="B270" s="8" t="s">
        <v>903</v>
      </c>
      <c r="C270" s="8" t="s">
        <v>260</v>
      </c>
      <c r="D270" s="8" t="s">
        <v>353</v>
      </c>
      <c r="E270" s="8" t="s">
        <v>237</v>
      </c>
      <c r="F270" s="8" t="s">
        <v>238</v>
      </c>
      <c r="G270" s="6">
        <v>43101</v>
      </c>
      <c r="H270" s="6">
        <v>43101</v>
      </c>
      <c r="I270" s="4">
        <v>2200</v>
      </c>
      <c r="J270" s="8" t="s">
        <v>66</v>
      </c>
      <c r="K270" s="8" t="s">
        <v>953</v>
      </c>
      <c r="L270" s="4" t="str">
        <f>IF(AtlasReport_1_Table_1[[#This Row],[Reference]]="Purchase order",_xll.AtlasFormulas.AtlasFunctions.AtlasTable("UAT",DataAreaId,"T.VendInvoiceTrans","%RecId","","","","","","","ItemId|PurchID|InventTransId",$C270,$B270,$K270),"")</f>
        <v/>
      </c>
      <c r="M270" s="4" t="str">
        <f>IF(AtlasReport_1_Table_1[[#This Row],[Reference]]="Purchase order",_xll.AtlasFormulas.AtlasFunctions.AtlasTable("UAT",DataAreaId,"T.MarkupTrans","%CurrencyCode","","","","","","","MarkupCode|TransRecId|TransTableId","TPP",$L270,"492"),"")</f>
        <v/>
      </c>
      <c r="N270" s="4" t="str">
        <f>IF(AtlasReport_1_Table_1[[#This Row],[Reference]]="Purchase order",_xll.AtlasFormulas.AtlasFunctions.AtlasBalance("UAT",DataAreaId,"T.MarkupTrans","Sum|Posted|0","","","","","","","MarkupCode|TransTableId|TransRecId","TPP","492",$L270),"")</f>
        <v/>
      </c>
    </row>
    <row r="271" spans="1:14">
      <c r="A271" s="8" t="s">
        <v>902</v>
      </c>
      <c r="B271" s="8" t="s">
        <v>903</v>
      </c>
      <c r="C271" s="8" t="s">
        <v>261</v>
      </c>
      <c r="D271" s="8" t="s">
        <v>354</v>
      </c>
      <c r="E271" s="8" t="s">
        <v>237</v>
      </c>
      <c r="F271" s="8" t="s">
        <v>238</v>
      </c>
      <c r="G271" s="6">
        <v>43101</v>
      </c>
      <c r="H271" s="6">
        <v>43101</v>
      </c>
      <c r="I271" s="4">
        <v>996.15</v>
      </c>
      <c r="J271" s="8" t="s">
        <v>66</v>
      </c>
      <c r="K271" s="8" t="s">
        <v>954</v>
      </c>
      <c r="L271" s="4" t="str">
        <f>IF(AtlasReport_1_Table_1[[#This Row],[Reference]]="Purchase order",_xll.AtlasFormulas.AtlasFunctions.AtlasTable("UAT",DataAreaId,"T.VendInvoiceTrans","%RecId","","","","","","","ItemId|PurchID|InventTransId",$C271,$B271,$K271),"")</f>
        <v/>
      </c>
      <c r="M271" s="4" t="str">
        <f>IF(AtlasReport_1_Table_1[[#This Row],[Reference]]="Purchase order",_xll.AtlasFormulas.AtlasFunctions.AtlasTable("UAT",DataAreaId,"T.MarkupTrans","%CurrencyCode","","","","","","","MarkupCode|TransRecId|TransTableId","TPP",$L271,"492"),"")</f>
        <v/>
      </c>
      <c r="N271" s="4" t="str">
        <f>IF(AtlasReport_1_Table_1[[#This Row],[Reference]]="Purchase order",_xll.AtlasFormulas.AtlasFunctions.AtlasBalance("UAT",DataAreaId,"T.MarkupTrans","Sum|Posted|0","","","","","","","MarkupCode|TransTableId|TransRecId","TPP","492",$L271),"")</f>
        <v/>
      </c>
    </row>
    <row r="272" spans="1:14">
      <c r="A272" s="8" t="s">
        <v>902</v>
      </c>
      <c r="B272" s="8" t="s">
        <v>903</v>
      </c>
      <c r="C272" s="8" t="s">
        <v>262</v>
      </c>
      <c r="D272" s="8" t="s">
        <v>356</v>
      </c>
      <c r="E272" s="8" t="s">
        <v>237</v>
      </c>
      <c r="F272" s="8" t="s">
        <v>238</v>
      </c>
      <c r="G272" s="6">
        <v>43101</v>
      </c>
      <c r="H272" s="6">
        <v>43101</v>
      </c>
      <c r="I272" s="4">
        <v>27.8</v>
      </c>
      <c r="J272" s="8" t="s">
        <v>66</v>
      </c>
      <c r="K272" s="8" t="s">
        <v>955</v>
      </c>
      <c r="L272" s="4" t="str">
        <f>IF(AtlasReport_1_Table_1[[#This Row],[Reference]]="Purchase order",_xll.AtlasFormulas.AtlasFunctions.AtlasTable("UAT",DataAreaId,"T.VendInvoiceTrans","%RecId","","","","","","","ItemId|PurchID|InventTransId",$C272,$B272,$K272),"")</f>
        <v/>
      </c>
      <c r="M272" s="4" t="str">
        <f>IF(AtlasReport_1_Table_1[[#This Row],[Reference]]="Purchase order",_xll.AtlasFormulas.AtlasFunctions.AtlasTable("UAT",DataAreaId,"T.MarkupTrans","%CurrencyCode","","","","","","","MarkupCode|TransRecId|TransTableId","TPP",$L272,"492"),"")</f>
        <v/>
      </c>
      <c r="N272" s="4" t="str">
        <f>IF(AtlasReport_1_Table_1[[#This Row],[Reference]]="Purchase order",_xll.AtlasFormulas.AtlasFunctions.AtlasBalance("UAT",DataAreaId,"T.MarkupTrans","Sum|Posted|0","","","","","","","MarkupCode|TransTableId|TransRecId","TPP","492",$L272),"")</f>
        <v/>
      </c>
    </row>
    <row r="273" spans="1:14">
      <c r="A273" s="8" t="s">
        <v>902</v>
      </c>
      <c r="B273" s="8" t="s">
        <v>903</v>
      </c>
      <c r="C273" s="8" t="s">
        <v>64</v>
      </c>
      <c r="D273" s="8" t="s">
        <v>65</v>
      </c>
      <c r="E273" s="8" t="s">
        <v>237</v>
      </c>
      <c r="F273" s="8" t="s">
        <v>238</v>
      </c>
      <c r="G273" s="6">
        <v>43101</v>
      </c>
      <c r="H273" s="6">
        <v>43101</v>
      </c>
      <c r="I273" s="4">
        <v>100</v>
      </c>
      <c r="J273" s="8" t="s">
        <v>24</v>
      </c>
      <c r="K273" s="8" t="s">
        <v>956</v>
      </c>
      <c r="L273" s="4" t="str">
        <f>IF(AtlasReport_1_Table_1[[#This Row],[Reference]]="Purchase order",_xll.AtlasFormulas.AtlasFunctions.AtlasTable("UAT",DataAreaId,"T.VendInvoiceTrans","%RecId","","","","","","","ItemId|PurchID|InventTransId",$C273,$B273,$K273),"")</f>
        <v/>
      </c>
      <c r="M273" s="4" t="str">
        <f>IF(AtlasReport_1_Table_1[[#This Row],[Reference]]="Purchase order",_xll.AtlasFormulas.AtlasFunctions.AtlasTable("UAT",DataAreaId,"T.MarkupTrans","%CurrencyCode","","","","","","","MarkupCode|TransRecId|TransTableId","TPP",$L273,"492"),"")</f>
        <v/>
      </c>
      <c r="N273" s="4" t="str">
        <f>IF(AtlasReport_1_Table_1[[#This Row],[Reference]]="Purchase order",_xll.AtlasFormulas.AtlasFunctions.AtlasBalance("UAT",DataAreaId,"T.MarkupTrans","Sum|Posted|0","","","","","","","MarkupCode|TransTableId|TransRecId","TPP","492",$L273),"")</f>
        <v/>
      </c>
    </row>
    <row r="274" spans="1:14">
      <c r="A274" s="8" t="s">
        <v>902</v>
      </c>
      <c r="B274" s="8" t="s">
        <v>903</v>
      </c>
      <c r="C274" s="8" t="s">
        <v>64</v>
      </c>
      <c r="D274" s="8" t="s">
        <v>65</v>
      </c>
      <c r="E274" s="8" t="s">
        <v>237</v>
      </c>
      <c r="F274" s="8" t="s">
        <v>238</v>
      </c>
      <c r="G274" s="6">
        <v>43101</v>
      </c>
      <c r="H274" s="6">
        <v>43101</v>
      </c>
      <c r="I274" s="4">
        <v>12</v>
      </c>
      <c r="J274" s="8" t="s">
        <v>24</v>
      </c>
      <c r="K274" s="8" t="s">
        <v>957</v>
      </c>
      <c r="L274" s="4" t="str">
        <f>IF(AtlasReport_1_Table_1[[#This Row],[Reference]]="Purchase order",_xll.AtlasFormulas.AtlasFunctions.AtlasTable("UAT",DataAreaId,"T.VendInvoiceTrans","%RecId","","","","","","","ItemId|PurchID|InventTransId",$C274,$B274,$K274),"")</f>
        <v/>
      </c>
      <c r="M274" s="4" t="str">
        <f>IF(AtlasReport_1_Table_1[[#This Row],[Reference]]="Purchase order",_xll.AtlasFormulas.AtlasFunctions.AtlasTable("UAT",DataAreaId,"T.MarkupTrans","%CurrencyCode","","","","","","","MarkupCode|TransRecId|TransTableId","TPP",$L274,"492"),"")</f>
        <v/>
      </c>
      <c r="N274" s="4" t="str">
        <f>IF(AtlasReport_1_Table_1[[#This Row],[Reference]]="Purchase order",_xll.AtlasFormulas.AtlasFunctions.AtlasBalance("UAT",DataAreaId,"T.MarkupTrans","Sum|Posted|0","","","","","","","MarkupCode|TransTableId|TransRecId","TPP","492",$L274),"")</f>
        <v/>
      </c>
    </row>
    <row r="275" spans="1:14">
      <c r="A275" s="8" t="s">
        <v>902</v>
      </c>
      <c r="B275" s="8" t="s">
        <v>903</v>
      </c>
      <c r="C275" s="8" t="s">
        <v>39</v>
      </c>
      <c r="D275" s="8" t="s">
        <v>68</v>
      </c>
      <c r="E275" s="8" t="s">
        <v>237</v>
      </c>
      <c r="F275" s="8" t="s">
        <v>238</v>
      </c>
      <c r="G275" s="6">
        <v>43101</v>
      </c>
      <c r="H275" s="6">
        <v>43101</v>
      </c>
      <c r="I275" s="4">
        <v>150</v>
      </c>
      <c r="J275" s="8" t="s">
        <v>24</v>
      </c>
      <c r="K275" s="8" t="s">
        <v>958</v>
      </c>
      <c r="L275" s="4" t="str">
        <f>IF(AtlasReport_1_Table_1[[#This Row],[Reference]]="Purchase order",_xll.AtlasFormulas.AtlasFunctions.AtlasTable("UAT",DataAreaId,"T.VendInvoiceTrans","%RecId","","","","","","","ItemId|PurchID|InventTransId",$C275,$B275,$K275),"")</f>
        <v/>
      </c>
      <c r="M275" s="4" t="str">
        <f>IF(AtlasReport_1_Table_1[[#This Row],[Reference]]="Purchase order",_xll.AtlasFormulas.AtlasFunctions.AtlasTable("UAT",DataAreaId,"T.MarkupTrans","%CurrencyCode","","","","","","","MarkupCode|TransRecId|TransTableId","TPP",$L275,"492"),"")</f>
        <v/>
      </c>
      <c r="N275" s="4" t="str">
        <f>IF(AtlasReport_1_Table_1[[#This Row],[Reference]]="Purchase order",_xll.AtlasFormulas.AtlasFunctions.AtlasBalance("UAT",DataAreaId,"T.MarkupTrans","Sum|Posted|0","","","","","","","MarkupCode|TransTableId|TransRecId","TPP","492",$L275),"")</f>
        <v/>
      </c>
    </row>
    <row r="276" spans="1:14">
      <c r="A276" s="8" t="s">
        <v>902</v>
      </c>
      <c r="B276" s="8" t="s">
        <v>903</v>
      </c>
      <c r="C276" s="8" t="s">
        <v>17</v>
      </c>
      <c r="D276" s="8" t="s">
        <v>20</v>
      </c>
      <c r="E276" s="8" t="s">
        <v>237</v>
      </c>
      <c r="F276" s="8" t="s">
        <v>238</v>
      </c>
      <c r="G276" s="6">
        <v>43101</v>
      </c>
      <c r="H276" s="6">
        <v>43101</v>
      </c>
      <c r="I276" s="4">
        <v>125</v>
      </c>
      <c r="J276" s="8" t="s">
        <v>24</v>
      </c>
      <c r="K276" s="8" t="s">
        <v>959</v>
      </c>
      <c r="L276" s="4" t="str">
        <f>IF(AtlasReport_1_Table_1[[#This Row],[Reference]]="Purchase order",_xll.AtlasFormulas.AtlasFunctions.AtlasTable("UAT",DataAreaId,"T.VendInvoiceTrans","%RecId","","","","","","","ItemId|PurchID|InventTransId",$C276,$B276,$K276),"")</f>
        <v/>
      </c>
      <c r="M276" s="4" t="str">
        <f>IF(AtlasReport_1_Table_1[[#This Row],[Reference]]="Purchase order",_xll.AtlasFormulas.AtlasFunctions.AtlasTable("UAT",DataAreaId,"T.MarkupTrans","%CurrencyCode","","","","","","","MarkupCode|TransRecId|TransTableId","TPP",$L276,"492"),"")</f>
        <v/>
      </c>
      <c r="N276" s="4" t="str">
        <f>IF(AtlasReport_1_Table_1[[#This Row],[Reference]]="Purchase order",_xll.AtlasFormulas.AtlasFunctions.AtlasBalance("UAT",DataAreaId,"T.MarkupTrans","Sum|Posted|0","","","","","","","MarkupCode|TransTableId|TransRecId","TPP","492",$L276),"")</f>
        <v/>
      </c>
    </row>
    <row r="277" spans="1:14">
      <c r="A277" s="8" t="s">
        <v>902</v>
      </c>
      <c r="B277" s="8" t="s">
        <v>903</v>
      </c>
      <c r="C277" s="8" t="s">
        <v>62</v>
      </c>
      <c r="D277" s="8" t="s">
        <v>63</v>
      </c>
      <c r="E277" s="8" t="s">
        <v>237</v>
      </c>
      <c r="F277" s="8" t="s">
        <v>238</v>
      </c>
      <c r="G277" s="6">
        <v>43101</v>
      </c>
      <c r="H277" s="6">
        <v>43101</v>
      </c>
      <c r="I277" s="4">
        <v>100</v>
      </c>
      <c r="J277" s="8" t="s">
        <v>24</v>
      </c>
      <c r="K277" s="8" t="s">
        <v>960</v>
      </c>
      <c r="L277" s="4" t="str">
        <f>IF(AtlasReport_1_Table_1[[#This Row],[Reference]]="Purchase order",_xll.AtlasFormulas.AtlasFunctions.AtlasTable("UAT",DataAreaId,"T.VendInvoiceTrans","%RecId","","","","","","","ItemId|PurchID|InventTransId",$C277,$B277,$K277),"")</f>
        <v/>
      </c>
      <c r="M277" s="4" t="str">
        <f>IF(AtlasReport_1_Table_1[[#This Row],[Reference]]="Purchase order",_xll.AtlasFormulas.AtlasFunctions.AtlasTable("UAT",DataAreaId,"T.MarkupTrans","%CurrencyCode","","","","","","","MarkupCode|TransRecId|TransTableId","TPP",$L277,"492"),"")</f>
        <v/>
      </c>
      <c r="N277" s="4" t="str">
        <f>IF(AtlasReport_1_Table_1[[#This Row],[Reference]]="Purchase order",_xll.AtlasFormulas.AtlasFunctions.AtlasBalance("UAT",DataAreaId,"T.MarkupTrans","Sum|Posted|0","","","","","","","MarkupCode|TransTableId|TransRecId","TPP","492",$L277),"")</f>
        <v/>
      </c>
    </row>
    <row r="278" spans="1:14">
      <c r="A278" s="8" t="s">
        <v>902</v>
      </c>
      <c r="B278" s="8" t="s">
        <v>903</v>
      </c>
      <c r="C278" s="8" t="s">
        <v>62</v>
      </c>
      <c r="D278" s="8" t="s">
        <v>63</v>
      </c>
      <c r="E278" s="8" t="s">
        <v>237</v>
      </c>
      <c r="F278" s="8" t="s">
        <v>238</v>
      </c>
      <c r="G278" s="6">
        <v>43101</v>
      </c>
      <c r="H278" s="6">
        <v>43101</v>
      </c>
      <c r="I278" s="4">
        <v>150</v>
      </c>
      <c r="J278" s="8" t="s">
        <v>24</v>
      </c>
      <c r="K278" s="8" t="s">
        <v>961</v>
      </c>
      <c r="L278" s="4" t="str">
        <f>IF(AtlasReport_1_Table_1[[#This Row],[Reference]]="Purchase order",_xll.AtlasFormulas.AtlasFunctions.AtlasTable("UAT",DataAreaId,"T.VendInvoiceTrans","%RecId","","","","","","","ItemId|PurchID|InventTransId",$C278,$B278,$K278),"")</f>
        <v/>
      </c>
      <c r="M278" s="4" t="str">
        <f>IF(AtlasReport_1_Table_1[[#This Row],[Reference]]="Purchase order",_xll.AtlasFormulas.AtlasFunctions.AtlasTable("UAT",DataAreaId,"T.MarkupTrans","%CurrencyCode","","","","","","","MarkupCode|TransRecId|TransTableId","TPP",$L278,"492"),"")</f>
        <v/>
      </c>
      <c r="N278" s="4" t="str">
        <f>IF(AtlasReport_1_Table_1[[#This Row],[Reference]]="Purchase order",_xll.AtlasFormulas.AtlasFunctions.AtlasBalance("UAT",DataAreaId,"T.MarkupTrans","Sum|Posted|0","","","","","","","MarkupCode|TransTableId|TransRecId","TPP","492",$L278),"")</f>
        <v/>
      </c>
    </row>
    <row r="279" spans="1:14">
      <c r="A279" s="8" t="s">
        <v>902</v>
      </c>
      <c r="B279" s="8" t="s">
        <v>903</v>
      </c>
      <c r="C279" s="8" t="s">
        <v>62</v>
      </c>
      <c r="D279" s="8" t="s">
        <v>63</v>
      </c>
      <c r="E279" s="8" t="s">
        <v>237</v>
      </c>
      <c r="F279" s="8" t="s">
        <v>238</v>
      </c>
      <c r="G279" s="6">
        <v>43101</v>
      </c>
      <c r="H279" s="6">
        <v>43101</v>
      </c>
      <c r="I279" s="4">
        <v>20</v>
      </c>
      <c r="J279" s="8" t="s">
        <v>24</v>
      </c>
      <c r="K279" s="8" t="s">
        <v>962</v>
      </c>
      <c r="L279" s="4" t="str">
        <f>IF(AtlasReport_1_Table_1[[#This Row],[Reference]]="Purchase order",_xll.AtlasFormulas.AtlasFunctions.AtlasTable("UAT",DataAreaId,"T.VendInvoiceTrans","%RecId","","","","","","","ItemId|PurchID|InventTransId",$C279,$B279,$K279),"")</f>
        <v/>
      </c>
      <c r="M279" s="4" t="str">
        <f>IF(AtlasReport_1_Table_1[[#This Row],[Reference]]="Purchase order",_xll.AtlasFormulas.AtlasFunctions.AtlasTable("UAT",DataAreaId,"T.MarkupTrans","%CurrencyCode","","","","","","","MarkupCode|TransRecId|TransTableId","TPP",$L279,"492"),"")</f>
        <v/>
      </c>
      <c r="N279" s="4" t="str">
        <f>IF(AtlasReport_1_Table_1[[#This Row],[Reference]]="Purchase order",_xll.AtlasFormulas.AtlasFunctions.AtlasBalance("UAT",DataAreaId,"T.MarkupTrans","Sum|Posted|0","","","","","","","MarkupCode|TransTableId|TransRecId","TPP","492",$L279),"")</f>
        <v/>
      </c>
    </row>
    <row r="280" spans="1:14">
      <c r="A280" s="8" t="s">
        <v>902</v>
      </c>
      <c r="B280" s="8" t="s">
        <v>903</v>
      </c>
      <c r="C280" s="8" t="s">
        <v>40</v>
      </c>
      <c r="D280" s="8" t="s">
        <v>69</v>
      </c>
      <c r="E280" s="8" t="s">
        <v>237</v>
      </c>
      <c r="F280" s="8" t="s">
        <v>238</v>
      </c>
      <c r="G280" s="6">
        <v>43101</v>
      </c>
      <c r="H280" s="6">
        <v>43101</v>
      </c>
      <c r="I280" s="4">
        <v>9</v>
      </c>
      <c r="J280" s="8" t="s">
        <v>24</v>
      </c>
      <c r="K280" s="8" t="s">
        <v>963</v>
      </c>
      <c r="L280" s="4" t="str">
        <f>IF(AtlasReport_1_Table_1[[#This Row],[Reference]]="Purchase order",_xll.AtlasFormulas.AtlasFunctions.AtlasTable("UAT",DataAreaId,"T.VendInvoiceTrans","%RecId","","","","","","","ItemId|PurchID|InventTransId",$C280,$B280,$K280),"")</f>
        <v/>
      </c>
      <c r="M280" s="4" t="str">
        <f>IF(AtlasReport_1_Table_1[[#This Row],[Reference]]="Purchase order",_xll.AtlasFormulas.AtlasFunctions.AtlasTable("UAT",DataAreaId,"T.MarkupTrans","%CurrencyCode","","","","","","","MarkupCode|TransRecId|TransTableId","TPP",$L280,"492"),"")</f>
        <v/>
      </c>
      <c r="N280" s="4" t="str">
        <f>IF(AtlasReport_1_Table_1[[#This Row],[Reference]]="Purchase order",_xll.AtlasFormulas.AtlasFunctions.AtlasBalance("UAT",DataAreaId,"T.MarkupTrans","Sum|Posted|0","","","","","","","MarkupCode|TransTableId|TransRecId","TPP","492",$L280),"")</f>
        <v/>
      </c>
    </row>
    <row r="281" spans="1:14">
      <c r="A281" s="8" t="s">
        <v>902</v>
      </c>
      <c r="B281" s="8" t="s">
        <v>903</v>
      </c>
      <c r="C281" s="8" t="s">
        <v>40</v>
      </c>
      <c r="D281" s="8" t="s">
        <v>69</v>
      </c>
      <c r="E281" s="8" t="s">
        <v>237</v>
      </c>
      <c r="F281" s="8" t="s">
        <v>238</v>
      </c>
      <c r="G281" s="6">
        <v>43101</v>
      </c>
      <c r="H281" s="6">
        <v>43101</v>
      </c>
      <c r="I281" s="4">
        <v>4</v>
      </c>
      <c r="J281" s="8" t="s">
        <v>24</v>
      </c>
      <c r="K281" s="8" t="s">
        <v>964</v>
      </c>
      <c r="L281" s="4" t="str">
        <f>IF(AtlasReport_1_Table_1[[#This Row],[Reference]]="Purchase order",_xll.AtlasFormulas.AtlasFunctions.AtlasTable("UAT",DataAreaId,"T.VendInvoiceTrans","%RecId","","","","","","","ItemId|PurchID|InventTransId",$C281,$B281,$K281),"")</f>
        <v/>
      </c>
      <c r="M281" s="4" t="str">
        <f>IF(AtlasReport_1_Table_1[[#This Row],[Reference]]="Purchase order",_xll.AtlasFormulas.AtlasFunctions.AtlasTable("UAT",DataAreaId,"T.MarkupTrans","%CurrencyCode","","","","","","","MarkupCode|TransRecId|TransTableId","TPP",$L281,"492"),"")</f>
        <v/>
      </c>
      <c r="N281" s="4" t="str">
        <f>IF(AtlasReport_1_Table_1[[#This Row],[Reference]]="Purchase order",_xll.AtlasFormulas.AtlasFunctions.AtlasBalance("UAT",DataAreaId,"T.MarkupTrans","Sum|Posted|0","","","","","","","MarkupCode|TransTableId|TransRecId","TPP","492",$L281),"")</f>
        <v/>
      </c>
    </row>
    <row r="282" spans="1:14">
      <c r="A282" s="8" t="s">
        <v>902</v>
      </c>
      <c r="B282" s="8" t="s">
        <v>903</v>
      </c>
      <c r="C282" s="8" t="s">
        <v>60</v>
      </c>
      <c r="D282" s="8" t="s">
        <v>61</v>
      </c>
      <c r="E282" s="8" t="s">
        <v>237</v>
      </c>
      <c r="F282" s="8" t="s">
        <v>238</v>
      </c>
      <c r="G282" s="6">
        <v>43101</v>
      </c>
      <c r="H282" s="6">
        <v>43101</v>
      </c>
      <c r="I282" s="4">
        <v>100</v>
      </c>
      <c r="J282" s="8" t="s">
        <v>24</v>
      </c>
      <c r="K282" s="8" t="s">
        <v>965</v>
      </c>
      <c r="L282" s="4" t="str">
        <f>IF(AtlasReport_1_Table_1[[#This Row],[Reference]]="Purchase order",_xll.AtlasFormulas.AtlasFunctions.AtlasTable("UAT",DataAreaId,"T.VendInvoiceTrans","%RecId","","","","","","","ItemId|PurchID|InventTransId",$C282,$B282,$K282),"")</f>
        <v/>
      </c>
      <c r="M282" s="4" t="str">
        <f>IF(AtlasReport_1_Table_1[[#This Row],[Reference]]="Purchase order",_xll.AtlasFormulas.AtlasFunctions.AtlasTable("UAT",DataAreaId,"T.MarkupTrans","%CurrencyCode","","","","","","","MarkupCode|TransRecId|TransTableId","TPP",$L282,"492"),"")</f>
        <v/>
      </c>
      <c r="N282" s="4" t="str">
        <f>IF(AtlasReport_1_Table_1[[#This Row],[Reference]]="Purchase order",_xll.AtlasFormulas.AtlasFunctions.AtlasBalance("UAT",DataAreaId,"T.MarkupTrans","Sum|Posted|0","","","","","","","MarkupCode|TransTableId|TransRecId","TPP","492",$L282),"")</f>
        <v/>
      </c>
    </row>
    <row r="283" spans="1:14">
      <c r="A283" s="8" t="s">
        <v>902</v>
      </c>
      <c r="B283" s="8" t="s">
        <v>903</v>
      </c>
      <c r="C283" s="8" t="s">
        <v>60</v>
      </c>
      <c r="D283" s="8" t="s">
        <v>61</v>
      </c>
      <c r="E283" s="8" t="s">
        <v>237</v>
      </c>
      <c r="F283" s="8" t="s">
        <v>238</v>
      </c>
      <c r="G283" s="6">
        <v>43101</v>
      </c>
      <c r="H283" s="6">
        <v>43101</v>
      </c>
      <c r="I283" s="4">
        <v>150</v>
      </c>
      <c r="J283" s="8" t="s">
        <v>24</v>
      </c>
      <c r="K283" s="8" t="s">
        <v>966</v>
      </c>
      <c r="L283" s="4" t="str">
        <f>IF(AtlasReport_1_Table_1[[#This Row],[Reference]]="Purchase order",_xll.AtlasFormulas.AtlasFunctions.AtlasTable("UAT",DataAreaId,"T.VendInvoiceTrans","%RecId","","","","","","","ItemId|PurchID|InventTransId",$C283,$B283,$K283),"")</f>
        <v/>
      </c>
      <c r="M283" s="4" t="str">
        <f>IF(AtlasReport_1_Table_1[[#This Row],[Reference]]="Purchase order",_xll.AtlasFormulas.AtlasFunctions.AtlasTable("UAT",DataAreaId,"T.MarkupTrans","%CurrencyCode","","","","","","","MarkupCode|TransRecId|TransTableId","TPP",$L283,"492"),"")</f>
        <v/>
      </c>
      <c r="N283" s="4" t="str">
        <f>IF(AtlasReport_1_Table_1[[#This Row],[Reference]]="Purchase order",_xll.AtlasFormulas.AtlasFunctions.AtlasBalance("UAT",DataAreaId,"T.MarkupTrans","Sum|Posted|0","","","","","","","MarkupCode|TransTableId|TransRecId","TPP","492",$L283),"")</f>
        <v/>
      </c>
    </row>
    <row r="284" spans="1:14">
      <c r="A284" s="8" t="s">
        <v>902</v>
      </c>
      <c r="B284" s="8" t="s">
        <v>903</v>
      </c>
      <c r="C284" s="8" t="s">
        <v>60</v>
      </c>
      <c r="D284" s="8" t="s">
        <v>61</v>
      </c>
      <c r="E284" s="8" t="s">
        <v>237</v>
      </c>
      <c r="F284" s="8" t="s">
        <v>238</v>
      </c>
      <c r="G284" s="6">
        <v>43101</v>
      </c>
      <c r="H284" s="6">
        <v>43101</v>
      </c>
      <c r="I284" s="4">
        <v>150</v>
      </c>
      <c r="J284" s="8" t="s">
        <v>24</v>
      </c>
      <c r="K284" s="8" t="s">
        <v>967</v>
      </c>
      <c r="L284" s="4" t="str">
        <f>IF(AtlasReport_1_Table_1[[#This Row],[Reference]]="Purchase order",_xll.AtlasFormulas.AtlasFunctions.AtlasTable("UAT",DataAreaId,"T.VendInvoiceTrans","%RecId","","","","","","","ItemId|PurchID|InventTransId",$C284,$B284,$K284),"")</f>
        <v/>
      </c>
      <c r="M284" s="4" t="str">
        <f>IF(AtlasReport_1_Table_1[[#This Row],[Reference]]="Purchase order",_xll.AtlasFormulas.AtlasFunctions.AtlasTable("UAT",DataAreaId,"T.MarkupTrans","%CurrencyCode","","","","","","","MarkupCode|TransRecId|TransTableId","TPP",$L284,"492"),"")</f>
        <v/>
      </c>
      <c r="N284" s="4" t="str">
        <f>IF(AtlasReport_1_Table_1[[#This Row],[Reference]]="Purchase order",_xll.AtlasFormulas.AtlasFunctions.AtlasBalance("UAT",DataAreaId,"T.MarkupTrans","Sum|Posted|0","","","","","","","MarkupCode|TransTableId|TransRecId","TPP","492",$L284),"")</f>
        <v/>
      </c>
    </row>
    <row r="285" spans="1:14">
      <c r="A285" s="8" t="s">
        <v>902</v>
      </c>
      <c r="B285" s="8" t="s">
        <v>903</v>
      </c>
      <c r="C285" s="8" t="s">
        <v>41</v>
      </c>
      <c r="D285" s="8" t="s">
        <v>56</v>
      </c>
      <c r="E285" s="8" t="s">
        <v>237</v>
      </c>
      <c r="F285" s="8" t="s">
        <v>238</v>
      </c>
      <c r="G285" s="6">
        <v>43101</v>
      </c>
      <c r="H285" s="6">
        <v>43101</v>
      </c>
      <c r="I285" s="4">
        <v>100</v>
      </c>
      <c r="J285" s="8" t="s">
        <v>24</v>
      </c>
      <c r="K285" s="8" t="s">
        <v>968</v>
      </c>
      <c r="L285" s="4" t="str">
        <f>IF(AtlasReport_1_Table_1[[#This Row],[Reference]]="Purchase order",_xll.AtlasFormulas.AtlasFunctions.AtlasTable("UAT",DataAreaId,"T.VendInvoiceTrans","%RecId","","","","","","","ItemId|PurchID|InventTransId",$C285,$B285,$K285),"")</f>
        <v/>
      </c>
      <c r="M285" s="4" t="str">
        <f>IF(AtlasReport_1_Table_1[[#This Row],[Reference]]="Purchase order",_xll.AtlasFormulas.AtlasFunctions.AtlasTable("UAT",DataAreaId,"T.MarkupTrans","%CurrencyCode","","","","","","","MarkupCode|TransRecId|TransTableId","TPP",$L285,"492"),"")</f>
        <v/>
      </c>
      <c r="N285" s="4" t="str">
        <f>IF(AtlasReport_1_Table_1[[#This Row],[Reference]]="Purchase order",_xll.AtlasFormulas.AtlasFunctions.AtlasBalance("UAT",DataAreaId,"T.MarkupTrans","Sum|Posted|0","","","","","","","MarkupCode|TransTableId|TransRecId","TPP","492",$L285),"")</f>
        <v/>
      </c>
    </row>
    <row r="286" spans="1:14">
      <c r="A286" s="8" t="s">
        <v>902</v>
      </c>
      <c r="B286" s="8" t="s">
        <v>903</v>
      </c>
      <c r="C286" s="8" t="s">
        <v>41</v>
      </c>
      <c r="D286" s="8" t="s">
        <v>56</v>
      </c>
      <c r="E286" s="8" t="s">
        <v>237</v>
      </c>
      <c r="F286" s="8" t="s">
        <v>238</v>
      </c>
      <c r="G286" s="6">
        <v>43101</v>
      </c>
      <c r="H286" s="6">
        <v>43101</v>
      </c>
      <c r="I286" s="4">
        <v>100</v>
      </c>
      <c r="J286" s="8" t="s">
        <v>24</v>
      </c>
      <c r="K286" s="8" t="s">
        <v>969</v>
      </c>
      <c r="L286" s="4" t="str">
        <f>IF(AtlasReport_1_Table_1[[#This Row],[Reference]]="Purchase order",_xll.AtlasFormulas.AtlasFunctions.AtlasTable("UAT",DataAreaId,"T.VendInvoiceTrans","%RecId","","","","","","","ItemId|PurchID|InventTransId",$C286,$B286,$K286),"")</f>
        <v/>
      </c>
      <c r="M286" s="4" t="str">
        <f>IF(AtlasReport_1_Table_1[[#This Row],[Reference]]="Purchase order",_xll.AtlasFormulas.AtlasFunctions.AtlasTable("UAT",DataAreaId,"T.MarkupTrans","%CurrencyCode","","","","","","","MarkupCode|TransRecId|TransTableId","TPP",$L286,"492"),"")</f>
        <v/>
      </c>
      <c r="N286" s="4" t="str">
        <f>IF(AtlasReport_1_Table_1[[#This Row],[Reference]]="Purchase order",_xll.AtlasFormulas.AtlasFunctions.AtlasBalance("UAT",DataAreaId,"T.MarkupTrans","Sum|Posted|0","","","","","","","MarkupCode|TransTableId|TransRecId","TPP","492",$L286),"")</f>
        <v/>
      </c>
    </row>
    <row r="287" spans="1:14">
      <c r="A287" s="8" t="s">
        <v>902</v>
      </c>
      <c r="B287" s="8" t="s">
        <v>903</v>
      </c>
      <c r="C287" s="8" t="s">
        <v>41</v>
      </c>
      <c r="D287" s="8" t="s">
        <v>56</v>
      </c>
      <c r="E287" s="8" t="s">
        <v>237</v>
      </c>
      <c r="F287" s="8" t="s">
        <v>238</v>
      </c>
      <c r="G287" s="6">
        <v>43101</v>
      </c>
      <c r="H287" s="6">
        <v>43101</v>
      </c>
      <c r="I287" s="4">
        <v>100</v>
      </c>
      <c r="J287" s="8" t="s">
        <v>24</v>
      </c>
      <c r="K287" s="8" t="s">
        <v>970</v>
      </c>
      <c r="L287" s="4" t="str">
        <f>IF(AtlasReport_1_Table_1[[#This Row],[Reference]]="Purchase order",_xll.AtlasFormulas.AtlasFunctions.AtlasTable("UAT",DataAreaId,"T.VendInvoiceTrans","%RecId","","","","","","","ItemId|PurchID|InventTransId",$C287,$B287,$K287),"")</f>
        <v/>
      </c>
      <c r="M287" s="4" t="str">
        <f>IF(AtlasReport_1_Table_1[[#This Row],[Reference]]="Purchase order",_xll.AtlasFormulas.AtlasFunctions.AtlasTable("UAT",DataAreaId,"T.MarkupTrans","%CurrencyCode","","","","","","","MarkupCode|TransRecId|TransTableId","TPP",$L287,"492"),"")</f>
        <v/>
      </c>
      <c r="N287" s="4" t="str">
        <f>IF(AtlasReport_1_Table_1[[#This Row],[Reference]]="Purchase order",_xll.AtlasFormulas.AtlasFunctions.AtlasBalance("UAT",DataAreaId,"T.MarkupTrans","Sum|Posted|0","","","","","","","MarkupCode|TransTableId|TransRecId","TPP","492",$L287),"")</f>
        <v/>
      </c>
    </row>
    <row r="288" spans="1:14">
      <c r="A288" s="8" t="s">
        <v>902</v>
      </c>
      <c r="B288" s="8" t="s">
        <v>903</v>
      </c>
      <c r="C288" s="8" t="s">
        <v>41</v>
      </c>
      <c r="D288" s="8" t="s">
        <v>56</v>
      </c>
      <c r="E288" s="8" t="s">
        <v>237</v>
      </c>
      <c r="F288" s="8" t="s">
        <v>238</v>
      </c>
      <c r="G288" s="6">
        <v>43101</v>
      </c>
      <c r="H288" s="6">
        <v>43101</v>
      </c>
      <c r="I288" s="4">
        <v>50</v>
      </c>
      <c r="J288" s="8" t="s">
        <v>24</v>
      </c>
      <c r="K288" s="8" t="s">
        <v>971</v>
      </c>
      <c r="L288" s="4" t="str">
        <f>IF(AtlasReport_1_Table_1[[#This Row],[Reference]]="Purchase order",_xll.AtlasFormulas.AtlasFunctions.AtlasTable("UAT",DataAreaId,"T.VendInvoiceTrans","%RecId","","","","","","","ItemId|PurchID|InventTransId",$C288,$B288,$K288),"")</f>
        <v/>
      </c>
      <c r="M288" s="4" t="str">
        <f>IF(AtlasReport_1_Table_1[[#This Row],[Reference]]="Purchase order",_xll.AtlasFormulas.AtlasFunctions.AtlasTable("UAT",DataAreaId,"T.MarkupTrans","%CurrencyCode","","","","","","","MarkupCode|TransRecId|TransTableId","TPP",$L288,"492"),"")</f>
        <v/>
      </c>
      <c r="N288" s="4" t="str">
        <f>IF(AtlasReport_1_Table_1[[#This Row],[Reference]]="Purchase order",_xll.AtlasFormulas.AtlasFunctions.AtlasBalance("UAT",DataAreaId,"T.MarkupTrans","Sum|Posted|0","","","","","","","MarkupCode|TransTableId|TransRecId","TPP","492",$L288),"")</f>
        <v/>
      </c>
    </row>
    <row r="289" spans="1:14">
      <c r="A289" s="8" t="s">
        <v>902</v>
      </c>
      <c r="B289" s="8" t="s">
        <v>903</v>
      </c>
      <c r="C289" s="8" t="s">
        <v>41</v>
      </c>
      <c r="D289" s="8" t="s">
        <v>56</v>
      </c>
      <c r="E289" s="8" t="s">
        <v>237</v>
      </c>
      <c r="F289" s="8" t="s">
        <v>238</v>
      </c>
      <c r="G289" s="6">
        <v>43101</v>
      </c>
      <c r="H289" s="6">
        <v>43101</v>
      </c>
      <c r="I289" s="4">
        <v>30</v>
      </c>
      <c r="J289" s="8" t="s">
        <v>24</v>
      </c>
      <c r="K289" s="8" t="s">
        <v>972</v>
      </c>
      <c r="L289" s="4" t="str">
        <f>IF(AtlasReport_1_Table_1[[#This Row],[Reference]]="Purchase order",_xll.AtlasFormulas.AtlasFunctions.AtlasTable("UAT",DataAreaId,"T.VendInvoiceTrans","%RecId","","","","","","","ItemId|PurchID|InventTransId",$C289,$B289,$K289),"")</f>
        <v/>
      </c>
      <c r="M289" s="4" t="str">
        <f>IF(AtlasReport_1_Table_1[[#This Row],[Reference]]="Purchase order",_xll.AtlasFormulas.AtlasFunctions.AtlasTable("UAT",DataAreaId,"T.MarkupTrans","%CurrencyCode","","","","","","","MarkupCode|TransRecId|TransTableId","TPP",$L289,"492"),"")</f>
        <v/>
      </c>
      <c r="N289" s="4" t="str">
        <f>IF(AtlasReport_1_Table_1[[#This Row],[Reference]]="Purchase order",_xll.AtlasFormulas.AtlasFunctions.AtlasBalance("UAT",DataAreaId,"T.MarkupTrans","Sum|Posted|0","","","","","","","MarkupCode|TransTableId|TransRecId","TPP","492",$L289),"")</f>
        <v/>
      </c>
    </row>
    <row r="290" spans="1:14">
      <c r="A290" s="8" t="s">
        <v>902</v>
      </c>
      <c r="B290" s="8" t="s">
        <v>903</v>
      </c>
      <c r="C290" s="8" t="s">
        <v>265</v>
      </c>
      <c r="D290" s="8" t="s">
        <v>364</v>
      </c>
      <c r="E290" s="8" t="s">
        <v>237</v>
      </c>
      <c r="F290" s="8" t="s">
        <v>238</v>
      </c>
      <c r="G290" s="6">
        <v>43101</v>
      </c>
      <c r="H290" s="6">
        <v>43101</v>
      </c>
      <c r="I290" s="4">
        <v>625</v>
      </c>
      <c r="J290" s="8" t="s">
        <v>66</v>
      </c>
      <c r="K290" s="8" t="s">
        <v>973</v>
      </c>
      <c r="L290" s="4" t="str">
        <f>IF(AtlasReport_1_Table_1[[#This Row],[Reference]]="Purchase order",_xll.AtlasFormulas.AtlasFunctions.AtlasTable("UAT",DataAreaId,"T.VendInvoiceTrans","%RecId","","","","","","","ItemId|PurchID|InventTransId",$C290,$B290,$K290),"")</f>
        <v/>
      </c>
      <c r="M290" s="4" t="str">
        <f>IF(AtlasReport_1_Table_1[[#This Row],[Reference]]="Purchase order",_xll.AtlasFormulas.AtlasFunctions.AtlasTable("UAT",DataAreaId,"T.MarkupTrans","%CurrencyCode","","","","","","","MarkupCode|TransRecId|TransTableId","TPP",$L290,"492"),"")</f>
        <v/>
      </c>
      <c r="N290" s="4" t="str">
        <f>IF(AtlasReport_1_Table_1[[#This Row],[Reference]]="Purchase order",_xll.AtlasFormulas.AtlasFunctions.AtlasBalance("UAT",DataAreaId,"T.MarkupTrans","Sum|Posted|0","","","","","","","MarkupCode|TransTableId|TransRecId","TPP","492",$L290),"")</f>
        <v/>
      </c>
    </row>
    <row r="291" spans="1:14">
      <c r="A291" s="8" t="s">
        <v>902</v>
      </c>
      <c r="B291" s="8" t="s">
        <v>903</v>
      </c>
      <c r="C291" s="8" t="s">
        <v>279</v>
      </c>
      <c r="D291" s="8" t="s">
        <v>420</v>
      </c>
      <c r="E291" s="8" t="s">
        <v>237</v>
      </c>
      <c r="F291" s="8" t="s">
        <v>238</v>
      </c>
      <c r="G291" s="6">
        <v>43101</v>
      </c>
      <c r="H291" s="6">
        <v>43101</v>
      </c>
      <c r="I291" s="4">
        <v>14.7</v>
      </c>
      <c r="J291" s="8" t="s">
        <v>66</v>
      </c>
      <c r="K291" s="8" t="s">
        <v>974</v>
      </c>
      <c r="L291" s="4" t="str">
        <f>IF(AtlasReport_1_Table_1[[#This Row],[Reference]]="Purchase order",_xll.AtlasFormulas.AtlasFunctions.AtlasTable("UAT",DataAreaId,"T.VendInvoiceTrans","%RecId","","","","","","","ItemId|PurchID|InventTransId",$C291,$B291,$K291),"")</f>
        <v/>
      </c>
      <c r="M291" s="4" t="str">
        <f>IF(AtlasReport_1_Table_1[[#This Row],[Reference]]="Purchase order",_xll.AtlasFormulas.AtlasFunctions.AtlasTable("UAT",DataAreaId,"T.MarkupTrans","%CurrencyCode","","","","","","","MarkupCode|TransRecId|TransTableId","TPP",$L291,"492"),"")</f>
        <v/>
      </c>
      <c r="N291" s="4" t="str">
        <f>IF(AtlasReport_1_Table_1[[#This Row],[Reference]]="Purchase order",_xll.AtlasFormulas.AtlasFunctions.AtlasBalance("UAT",DataAreaId,"T.MarkupTrans","Sum|Posted|0","","","","","","","MarkupCode|TransTableId|TransRecId","TPP","492",$L291),"")</f>
        <v/>
      </c>
    </row>
    <row r="292" spans="1:14">
      <c r="A292" s="8" t="s">
        <v>902</v>
      </c>
      <c r="B292" s="8" t="s">
        <v>903</v>
      </c>
      <c r="C292" s="8" t="s">
        <v>280</v>
      </c>
      <c r="D292" s="8" t="s">
        <v>423</v>
      </c>
      <c r="E292" s="8" t="s">
        <v>237</v>
      </c>
      <c r="F292" s="8" t="s">
        <v>238</v>
      </c>
      <c r="G292" s="6">
        <v>43101</v>
      </c>
      <c r="H292" s="6">
        <v>43101</v>
      </c>
      <c r="I292" s="4">
        <v>147.1</v>
      </c>
      <c r="J292" s="8" t="s">
        <v>66</v>
      </c>
      <c r="K292" s="8" t="s">
        <v>975</v>
      </c>
      <c r="L292" s="4" t="str">
        <f>IF(AtlasReport_1_Table_1[[#This Row],[Reference]]="Purchase order",_xll.AtlasFormulas.AtlasFunctions.AtlasTable("UAT",DataAreaId,"T.VendInvoiceTrans","%RecId","","","","","","","ItemId|PurchID|InventTransId",$C292,$B292,$K292),"")</f>
        <v/>
      </c>
      <c r="M292" s="4" t="str">
        <f>IF(AtlasReport_1_Table_1[[#This Row],[Reference]]="Purchase order",_xll.AtlasFormulas.AtlasFunctions.AtlasTable("UAT",DataAreaId,"T.MarkupTrans","%CurrencyCode","","","","","","","MarkupCode|TransRecId|TransTableId","TPP",$L292,"492"),"")</f>
        <v/>
      </c>
      <c r="N292" s="4" t="str">
        <f>IF(AtlasReport_1_Table_1[[#This Row],[Reference]]="Purchase order",_xll.AtlasFormulas.AtlasFunctions.AtlasBalance("UAT",DataAreaId,"T.MarkupTrans","Sum|Posted|0","","","","","","","MarkupCode|TransTableId|TransRecId","TPP","492",$L292),"")</f>
        <v/>
      </c>
    </row>
    <row r="293" spans="1:14">
      <c r="A293" s="8" t="s">
        <v>902</v>
      </c>
      <c r="B293" s="8" t="s">
        <v>903</v>
      </c>
      <c r="C293" s="8" t="s">
        <v>282</v>
      </c>
      <c r="D293" s="8" t="s">
        <v>426</v>
      </c>
      <c r="E293" s="8" t="s">
        <v>237</v>
      </c>
      <c r="F293" s="8" t="s">
        <v>238</v>
      </c>
      <c r="G293" s="6">
        <v>43101</v>
      </c>
      <c r="H293" s="6">
        <v>43101</v>
      </c>
      <c r="I293" s="4">
        <v>42.9</v>
      </c>
      <c r="J293" s="8" t="s">
        <v>66</v>
      </c>
      <c r="K293" s="8" t="s">
        <v>976</v>
      </c>
      <c r="L293" s="4" t="str">
        <f>IF(AtlasReport_1_Table_1[[#This Row],[Reference]]="Purchase order",_xll.AtlasFormulas.AtlasFunctions.AtlasTable("UAT",DataAreaId,"T.VendInvoiceTrans","%RecId","","","","","","","ItemId|PurchID|InventTransId",$C293,$B293,$K293),"")</f>
        <v/>
      </c>
      <c r="M293" s="4" t="str">
        <f>IF(AtlasReport_1_Table_1[[#This Row],[Reference]]="Purchase order",_xll.AtlasFormulas.AtlasFunctions.AtlasTable("UAT",DataAreaId,"T.MarkupTrans","%CurrencyCode","","","","","","","MarkupCode|TransRecId|TransTableId","TPP",$L293,"492"),"")</f>
        <v/>
      </c>
      <c r="N293" s="4" t="str">
        <f>IF(AtlasReport_1_Table_1[[#This Row],[Reference]]="Purchase order",_xll.AtlasFormulas.AtlasFunctions.AtlasBalance("UAT",DataAreaId,"T.MarkupTrans","Sum|Posted|0","","","","","","","MarkupCode|TransTableId|TransRecId","TPP","492",$L293),"")</f>
        <v/>
      </c>
    </row>
    <row r="294" spans="1:14">
      <c r="A294" s="8" t="s">
        <v>902</v>
      </c>
      <c r="B294" s="8" t="s">
        <v>903</v>
      </c>
      <c r="C294" s="8" t="s">
        <v>286</v>
      </c>
      <c r="D294" s="8" t="s">
        <v>456</v>
      </c>
      <c r="E294" s="8" t="s">
        <v>237</v>
      </c>
      <c r="F294" s="8" t="s">
        <v>238</v>
      </c>
      <c r="G294" s="6">
        <v>43101</v>
      </c>
      <c r="H294" s="6">
        <v>43101</v>
      </c>
      <c r="I294" s="4">
        <v>301.2</v>
      </c>
      <c r="J294" s="8" t="s">
        <v>66</v>
      </c>
      <c r="K294" s="8" t="s">
        <v>977</v>
      </c>
      <c r="L294" s="4" t="str">
        <f>IF(AtlasReport_1_Table_1[[#This Row],[Reference]]="Purchase order",_xll.AtlasFormulas.AtlasFunctions.AtlasTable("UAT",DataAreaId,"T.VendInvoiceTrans","%RecId","","","","","","","ItemId|PurchID|InventTransId",$C294,$B294,$K294),"")</f>
        <v/>
      </c>
      <c r="M294" s="4" t="str">
        <f>IF(AtlasReport_1_Table_1[[#This Row],[Reference]]="Purchase order",_xll.AtlasFormulas.AtlasFunctions.AtlasTable("UAT",DataAreaId,"T.MarkupTrans","%CurrencyCode","","","","","","","MarkupCode|TransRecId|TransTableId","TPP",$L294,"492"),"")</f>
        <v/>
      </c>
      <c r="N294" s="4" t="str">
        <f>IF(AtlasReport_1_Table_1[[#This Row],[Reference]]="Purchase order",_xll.AtlasFormulas.AtlasFunctions.AtlasBalance("UAT",DataAreaId,"T.MarkupTrans","Sum|Posted|0","","","","","","","MarkupCode|TransTableId|TransRecId","TPP","492",$L294),"")</f>
        <v/>
      </c>
    </row>
    <row r="295" spans="1:14">
      <c r="A295" s="8" t="s">
        <v>902</v>
      </c>
      <c r="B295" s="8" t="s">
        <v>903</v>
      </c>
      <c r="C295" s="8" t="s">
        <v>287</v>
      </c>
      <c r="D295" s="8" t="s">
        <v>457</v>
      </c>
      <c r="E295" s="8" t="s">
        <v>237</v>
      </c>
      <c r="F295" s="8" t="s">
        <v>238</v>
      </c>
      <c r="G295" s="6">
        <v>43101</v>
      </c>
      <c r="H295" s="6">
        <v>43101</v>
      </c>
      <c r="I295" s="4">
        <v>157.25</v>
      </c>
      <c r="J295" s="8" t="s">
        <v>66</v>
      </c>
      <c r="K295" s="8" t="s">
        <v>978</v>
      </c>
      <c r="L295" s="4" t="str">
        <f>IF(AtlasReport_1_Table_1[[#This Row],[Reference]]="Purchase order",_xll.AtlasFormulas.AtlasFunctions.AtlasTable("UAT",DataAreaId,"T.VendInvoiceTrans","%RecId","","","","","","","ItemId|PurchID|InventTransId",$C295,$B295,$K295),"")</f>
        <v/>
      </c>
      <c r="M295" s="4" t="str">
        <f>IF(AtlasReport_1_Table_1[[#This Row],[Reference]]="Purchase order",_xll.AtlasFormulas.AtlasFunctions.AtlasTable("UAT",DataAreaId,"T.MarkupTrans","%CurrencyCode","","","","","","","MarkupCode|TransRecId|TransTableId","TPP",$L295,"492"),"")</f>
        <v/>
      </c>
      <c r="N295" s="4" t="str">
        <f>IF(AtlasReport_1_Table_1[[#This Row],[Reference]]="Purchase order",_xll.AtlasFormulas.AtlasFunctions.AtlasBalance("UAT",DataAreaId,"T.MarkupTrans","Sum|Posted|0","","","","","","","MarkupCode|TransTableId|TransRecId","TPP","492",$L295),"")</f>
        <v/>
      </c>
    </row>
    <row r="296" spans="1:14">
      <c r="A296" s="8" t="s">
        <v>902</v>
      </c>
      <c r="B296" s="8" t="s">
        <v>903</v>
      </c>
      <c r="C296" s="8" t="s">
        <v>288</v>
      </c>
      <c r="D296" s="8" t="s">
        <v>469</v>
      </c>
      <c r="E296" s="8" t="s">
        <v>237</v>
      </c>
      <c r="F296" s="8" t="s">
        <v>238</v>
      </c>
      <c r="G296" s="6">
        <v>43101</v>
      </c>
      <c r="H296" s="6">
        <v>43101</v>
      </c>
      <c r="I296" s="4">
        <v>23.7</v>
      </c>
      <c r="J296" s="8" t="s">
        <v>66</v>
      </c>
      <c r="K296" s="8" t="s">
        <v>979</v>
      </c>
      <c r="L296" s="4" t="str">
        <f>IF(AtlasReport_1_Table_1[[#This Row],[Reference]]="Purchase order",_xll.AtlasFormulas.AtlasFunctions.AtlasTable("UAT",DataAreaId,"T.VendInvoiceTrans","%RecId","","","","","","","ItemId|PurchID|InventTransId",$C296,$B296,$K296),"")</f>
        <v/>
      </c>
      <c r="M296" s="4" t="str">
        <f>IF(AtlasReport_1_Table_1[[#This Row],[Reference]]="Purchase order",_xll.AtlasFormulas.AtlasFunctions.AtlasTable("UAT",DataAreaId,"T.MarkupTrans","%CurrencyCode","","","","","","","MarkupCode|TransRecId|TransTableId","TPP",$L296,"492"),"")</f>
        <v/>
      </c>
      <c r="N296" s="4" t="str">
        <f>IF(AtlasReport_1_Table_1[[#This Row],[Reference]]="Purchase order",_xll.AtlasFormulas.AtlasFunctions.AtlasBalance("UAT",DataAreaId,"T.MarkupTrans","Sum|Posted|0","","","","","","","MarkupCode|TransTableId|TransRecId","TPP","492",$L296),"")</f>
        <v/>
      </c>
    </row>
    <row r="297" spans="1:14">
      <c r="A297" s="8" t="s">
        <v>902</v>
      </c>
      <c r="B297" s="8" t="s">
        <v>903</v>
      </c>
      <c r="C297" s="8" t="s">
        <v>289</v>
      </c>
      <c r="D297" s="8" t="s">
        <v>471</v>
      </c>
      <c r="E297" s="8" t="s">
        <v>237</v>
      </c>
      <c r="F297" s="8" t="s">
        <v>238</v>
      </c>
      <c r="G297" s="6">
        <v>43101</v>
      </c>
      <c r="H297" s="6">
        <v>43101</v>
      </c>
      <c r="I297" s="4">
        <v>9.5</v>
      </c>
      <c r="J297" s="8" t="s">
        <v>66</v>
      </c>
      <c r="K297" s="8" t="s">
        <v>980</v>
      </c>
      <c r="L297" s="4" t="str">
        <f>IF(AtlasReport_1_Table_1[[#This Row],[Reference]]="Purchase order",_xll.AtlasFormulas.AtlasFunctions.AtlasTable("UAT",DataAreaId,"T.VendInvoiceTrans","%RecId","","","","","","","ItemId|PurchID|InventTransId",$C297,$B297,$K297),"")</f>
        <v/>
      </c>
      <c r="M297" s="4" t="str">
        <f>IF(AtlasReport_1_Table_1[[#This Row],[Reference]]="Purchase order",_xll.AtlasFormulas.AtlasFunctions.AtlasTable("UAT",DataAreaId,"T.MarkupTrans","%CurrencyCode","","","","","","","MarkupCode|TransRecId|TransTableId","TPP",$L297,"492"),"")</f>
        <v/>
      </c>
      <c r="N297" s="4" t="str">
        <f>IF(AtlasReport_1_Table_1[[#This Row],[Reference]]="Purchase order",_xll.AtlasFormulas.AtlasFunctions.AtlasBalance("UAT",DataAreaId,"T.MarkupTrans","Sum|Posted|0","","","","","","","MarkupCode|TransTableId|TransRecId","TPP","492",$L297),"")</f>
        <v/>
      </c>
    </row>
    <row r="298" spans="1:14">
      <c r="A298" s="8" t="s">
        <v>902</v>
      </c>
      <c r="B298" s="8" t="s">
        <v>903</v>
      </c>
      <c r="C298" s="8" t="s">
        <v>290</v>
      </c>
      <c r="D298" s="8" t="s">
        <v>472</v>
      </c>
      <c r="E298" s="8" t="s">
        <v>237</v>
      </c>
      <c r="F298" s="8" t="s">
        <v>238</v>
      </c>
      <c r="G298" s="6">
        <v>43101</v>
      </c>
      <c r="H298" s="6">
        <v>43101</v>
      </c>
      <c r="I298" s="4">
        <v>46</v>
      </c>
      <c r="J298" s="8" t="s">
        <v>66</v>
      </c>
      <c r="K298" s="8" t="s">
        <v>981</v>
      </c>
      <c r="L298" s="4" t="str">
        <f>IF(AtlasReport_1_Table_1[[#This Row],[Reference]]="Purchase order",_xll.AtlasFormulas.AtlasFunctions.AtlasTable("UAT",DataAreaId,"T.VendInvoiceTrans","%RecId","","","","","","","ItemId|PurchID|InventTransId",$C298,$B298,$K298),"")</f>
        <v/>
      </c>
      <c r="M298" s="4" t="str">
        <f>IF(AtlasReport_1_Table_1[[#This Row],[Reference]]="Purchase order",_xll.AtlasFormulas.AtlasFunctions.AtlasTable("UAT",DataAreaId,"T.MarkupTrans","%CurrencyCode","","","","","","","MarkupCode|TransRecId|TransTableId","TPP",$L298,"492"),"")</f>
        <v/>
      </c>
      <c r="N298" s="4" t="str">
        <f>IF(AtlasReport_1_Table_1[[#This Row],[Reference]]="Purchase order",_xll.AtlasFormulas.AtlasFunctions.AtlasBalance("UAT",DataAreaId,"T.MarkupTrans","Sum|Posted|0","","","","","","","MarkupCode|TransTableId|TransRecId","TPP","492",$L298),"")</f>
        <v/>
      </c>
    </row>
    <row r="299" spans="1:14">
      <c r="A299" s="8" t="s">
        <v>902</v>
      </c>
      <c r="B299" s="8" t="s">
        <v>903</v>
      </c>
      <c r="C299" s="8" t="s">
        <v>291</v>
      </c>
      <c r="D299" s="8" t="s">
        <v>473</v>
      </c>
      <c r="E299" s="8" t="s">
        <v>237</v>
      </c>
      <c r="F299" s="8" t="s">
        <v>238</v>
      </c>
      <c r="G299" s="6">
        <v>43101</v>
      </c>
      <c r="H299" s="6">
        <v>43101</v>
      </c>
      <c r="I299" s="4">
        <v>148</v>
      </c>
      <c r="J299" s="8" t="s">
        <v>66</v>
      </c>
      <c r="K299" s="8" t="s">
        <v>982</v>
      </c>
      <c r="L299" s="4" t="str">
        <f>IF(AtlasReport_1_Table_1[[#This Row],[Reference]]="Purchase order",_xll.AtlasFormulas.AtlasFunctions.AtlasTable("UAT",DataAreaId,"T.VendInvoiceTrans","%RecId","","","","","","","ItemId|PurchID|InventTransId",$C299,$B299,$K299),"")</f>
        <v/>
      </c>
      <c r="M299" s="4" t="str">
        <f>IF(AtlasReport_1_Table_1[[#This Row],[Reference]]="Purchase order",_xll.AtlasFormulas.AtlasFunctions.AtlasTable("UAT",DataAreaId,"T.MarkupTrans","%CurrencyCode","","","","","","","MarkupCode|TransRecId|TransTableId","TPP",$L299,"492"),"")</f>
        <v/>
      </c>
      <c r="N299" s="4" t="str">
        <f>IF(AtlasReport_1_Table_1[[#This Row],[Reference]]="Purchase order",_xll.AtlasFormulas.AtlasFunctions.AtlasBalance("UAT",DataAreaId,"T.MarkupTrans","Sum|Posted|0","","","","","","","MarkupCode|TransTableId|TransRecId","TPP","492",$L299),"")</f>
        <v/>
      </c>
    </row>
    <row r="300" spans="1:14">
      <c r="A300" s="8" t="s">
        <v>902</v>
      </c>
      <c r="B300" s="8" t="s">
        <v>903</v>
      </c>
      <c r="C300" s="8" t="s">
        <v>292</v>
      </c>
      <c r="D300" s="8" t="s">
        <v>480</v>
      </c>
      <c r="E300" s="8" t="s">
        <v>237</v>
      </c>
      <c r="F300" s="8" t="s">
        <v>238</v>
      </c>
      <c r="G300" s="6">
        <v>43101</v>
      </c>
      <c r="H300" s="6">
        <v>43101</v>
      </c>
      <c r="I300" s="4">
        <v>171.35</v>
      </c>
      <c r="J300" s="8" t="s">
        <v>66</v>
      </c>
      <c r="K300" s="8" t="s">
        <v>983</v>
      </c>
      <c r="L300" s="4" t="str">
        <f>IF(AtlasReport_1_Table_1[[#This Row],[Reference]]="Purchase order",_xll.AtlasFormulas.AtlasFunctions.AtlasTable("UAT",DataAreaId,"T.VendInvoiceTrans","%RecId","","","","","","","ItemId|PurchID|InventTransId",$C300,$B300,$K300),"")</f>
        <v/>
      </c>
      <c r="M300" s="4" t="str">
        <f>IF(AtlasReport_1_Table_1[[#This Row],[Reference]]="Purchase order",_xll.AtlasFormulas.AtlasFunctions.AtlasTable("UAT",DataAreaId,"T.MarkupTrans","%CurrencyCode","","","","","","","MarkupCode|TransRecId|TransTableId","TPP",$L300,"492"),"")</f>
        <v/>
      </c>
      <c r="N300" s="4" t="str">
        <f>IF(AtlasReport_1_Table_1[[#This Row],[Reference]]="Purchase order",_xll.AtlasFormulas.AtlasFunctions.AtlasBalance("UAT",DataAreaId,"T.MarkupTrans","Sum|Posted|0","","","","","","","MarkupCode|TransTableId|TransRecId","TPP","492",$L300),"")</f>
        <v/>
      </c>
    </row>
    <row r="301" spans="1:14">
      <c r="A301" s="8" t="s">
        <v>902</v>
      </c>
      <c r="B301" s="8" t="s">
        <v>903</v>
      </c>
      <c r="C301" s="8" t="s">
        <v>293</v>
      </c>
      <c r="D301" s="8" t="s">
        <v>482</v>
      </c>
      <c r="E301" s="8" t="s">
        <v>237</v>
      </c>
      <c r="F301" s="8" t="s">
        <v>238</v>
      </c>
      <c r="G301" s="6">
        <v>43101</v>
      </c>
      <c r="H301" s="6">
        <v>43101</v>
      </c>
      <c r="I301" s="4">
        <v>874.56000000000006</v>
      </c>
      <c r="J301" s="8" t="s">
        <v>66</v>
      </c>
      <c r="K301" s="8" t="s">
        <v>984</v>
      </c>
      <c r="L301" s="4" t="str">
        <f>IF(AtlasReport_1_Table_1[[#This Row],[Reference]]="Purchase order",_xll.AtlasFormulas.AtlasFunctions.AtlasTable("UAT",DataAreaId,"T.VendInvoiceTrans","%RecId","","","","","","","ItemId|PurchID|InventTransId",$C301,$B301,$K301),"")</f>
        <v/>
      </c>
      <c r="M301" s="4" t="str">
        <f>IF(AtlasReport_1_Table_1[[#This Row],[Reference]]="Purchase order",_xll.AtlasFormulas.AtlasFunctions.AtlasTable("UAT",DataAreaId,"T.MarkupTrans","%CurrencyCode","","","","","","","MarkupCode|TransRecId|TransTableId","TPP",$L301,"492"),"")</f>
        <v/>
      </c>
      <c r="N301" s="4" t="str">
        <f>IF(AtlasReport_1_Table_1[[#This Row],[Reference]]="Purchase order",_xll.AtlasFormulas.AtlasFunctions.AtlasBalance("UAT",DataAreaId,"T.MarkupTrans","Sum|Posted|0","","","","","","","MarkupCode|TransTableId|TransRecId","TPP","492",$L301),"")</f>
        <v/>
      </c>
    </row>
    <row r="302" spans="1:14">
      <c r="A302" s="8" t="s">
        <v>902</v>
      </c>
      <c r="B302" s="8" t="s">
        <v>903</v>
      </c>
      <c r="C302" s="8" t="s">
        <v>294</v>
      </c>
      <c r="D302" s="8" t="s">
        <v>483</v>
      </c>
      <c r="E302" s="8" t="s">
        <v>237</v>
      </c>
      <c r="F302" s="8" t="s">
        <v>238</v>
      </c>
      <c r="G302" s="6">
        <v>43101</v>
      </c>
      <c r="H302" s="6">
        <v>43101</v>
      </c>
      <c r="I302" s="4">
        <v>144</v>
      </c>
      <c r="J302" s="8" t="s">
        <v>66</v>
      </c>
      <c r="K302" s="8" t="s">
        <v>985</v>
      </c>
      <c r="L302" s="4" t="str">
        <f>IF(AtlasReport_1_Table_1[[#This Row],[Reference]]="Purchase order",_xll.AtlasFormulas.AtlasFunctions.AtlasTable("UAT",DataAreaId,"T.VendInvoiceTrans","%RecId","","","","","","","ItemId|PurchID|InventTransId",$C302,$B302,$K302),"")</f>
        <v/>
      </c>
      <c r="M302" s="4" t="str">
        <f>IF(AtlasReport_1_Table_1[[#This Row],[Reference]]="Purchase order",_xll.AtlasFormulas.AtlasFunctions.AtlasTable("UAT",DataAreaId,"T.MarkupTrans","%CurrencyCode","","","","","","","MarkupCode|TransRecId|TransTableId","TPP",$L302,"492"),"")</f>
        <v/>
      </c>
      <c r="N302" s="4" t="str">
        <f>IF(AtlasReport_1_Table_1[[#This Row],[Reference]]="Purchase order",_xll.AtlasFormulas.AtlasFunctions.AtlasBalance("UAT",DataAreaId,"T.MarkupTrans","Sum|Posted|0","","","","","","","MarkupCode|TransTableId|TransRecId","TPP","492",$L302),"")</f>
        <v/>
      </c>
    </row>
    <row r="303" spans="1:14">
      <c r="A303" s="8" t="s">
        <v>902</v>
      </c>
      <c r="B303" s="8" t="s">
        <v>903</v>
      </c>
      <c r="C303" s="8" t="s">
        <v>295</v>
      </c>
      <c r="D303" s="8" t="s">
        <v>485</v>
      </c>
      <c r="E303" s="8" t="s">
        <v>237</v>
      </c>
      <c r="F303" s="8" t="s">
        <v>238</v>
      </c>
      <c r="G303" s="6">
        <v>43101</v>
      </c>
      <c r="H303" s="6">
        <v>43101</v>
      </c>
      <c r="I303" s="4">
        <v>168.57999999999998</v>
      </c>
      <c r="J303" s="8" t="s">
        <v>66</v>
      </c>
      <c r="K303" s="8" t="s">
        <v>986</v>
      </c>
      <c r="L303" s="4" t="str">
        <f>IF(AtlasReport_1_Table_1[[#This Row],[Reference]]="Purchase order",_xll.AtlasFormulas.AtlasFunctions.AtlasTable("UAT",DataAreaId,"T.VendInvoiceTrans","%RecId","","","","","","","ItemId|PurchID|InventTransId",$C303,$B303,$K303),"")</f>
        <v/>
      </c>
      <c r="M303" s="4" t="str">
        <f>IF(AtlasReport_1_Table_1[[#This Row],[Reference]]="Purchase order",_xll.AtlasFormulas.AtlasFunctions.AtlasTable("UAT",DataAreaId,"T.MarkupTrans","%CurrencyCode","","","","","","","MarkupCode|TransRecId|TransTableId","TPP",$L303,"492"),"")</f>
        <v/>
      </c>
      <c r="N303" s="4" t="str">
        <f>IF(AtlasReport_1_Table_1[[#This Row],[Reference]]="Purchase order",_xll.AtlasFormulas.AtlasFunctions.AtlasBalance("UAT",DataAreaId,"T.MarkupTrans","Sum|Posted|0","","","","","","","MarkupCode|TransTableId|TransRecId","TPP","492",$L303),"")</f>
        <v/>
      </c>
    </row>
    <row r="304" spans="1:14">
      <c r="A304" s="8" t="s">
        <v>902</v>
      </c>
      <c r="B304" s="8" t="s">
        <v>903</v>
      </c>
      <c r="C304" s="8" t="s">
        <v>296</v>
      </c>
      <c r="D304" s="8" t="s">
        <v>486</v>
      </c>
      <c r="E304" s="8" t="s">
        <v>237</v>
      </c>
      <c r="F304" s="8" t="s">
        <v>238</v>
      </c>
      <c r="G304" s="6">
        <v>43101</v>
      </c>
      <c r="H304" s="6">
        <v>43101</v>
      </c>
      <c r="I304" s="4">
        <v>625</v>
      </c>
      <c r="J304" s="8" t="s">
        <v>66</v>
      </c>
      <c r="K304" s="8" t="s">
        <v>987</v>
      </c>
      <c r="L304" s="4" t="str">
        <f>IF(AtlasReport_1_Table_1[[#This Row],[Reference]]="Purchase order",_xll.AtlasFormulas.AtlasFunctions.AtlasTable("UAT",DataAreaId,"T.VendInvoiceTrans","%RecId","","","","","","","ItemId|PurchID|InventTransId",$C304,$B304,$K304),"")</f>
        <v/>
      </c>
      <c r="M304" s="4" t="str">
        <f>IF(AtlasReport_1_Table_1[[#This Row],[Reference]]="Purchase order",_xll.AtlasFormulas.AtlasFunctions.AtlasTable("UAT",DataAreaId,"T.MarkupTrans","%CurrencyCode","","","","","","","MarkupCode|TransRecId|TransTableId","TPP",$L304,"492"),"")</f>
        <v/>
      </c>
      <c r="N304" s="4" t="str">
        <f>IF(AtlasReport_1_Table_1[[#This Row],[Reference]]="Purchase order",_xll.AtlasFormulas.AtlasFunctions.AtlasBalance("UAT",DataAreaId,"T.MarkupTrans","Sum|Posted|0","","","","","","","MarkupCode|TransTableId|TransRecId","TPP","492",$L304),"")</f>
        <v/>
      </c>
    </row>
    <row r="305" spans="1:14">
      <c r="A305" s="8" t="s">
        <v>902</v>
      </c>
      <c r="B305" s="8" t="s">
        <v>903</v>
      </c>
      <c r="C305" s="8" t="s">
        <v>297</v>
      </c>
      <c r="D305" s="8" t="s">
        <v>487</v>
      </c>
      <c r="E305" s="8" t="s">
        <v>237</v>
      </c>
      <c r="F305" s="8" t="s">
        <v>238</v>
      </c>
      <c r="G305" s="6">
        <v>43101</v>
      </c>
      <c r="H305" s="6">
        <v>43101</v>
      </c>
      <c r="I305" s="4">
        <v>48</v>
      </c>
      <c r="J305" s="8" t="s">
        <v>66</v>
      </c>
      <c r="K305" s="8" t="s">
        <v>988</v>
      </c>
      <c r="L305" s="4" t="str">
        <f>IF(AtlasReport_1_Table_1[[#This Row],[Reference]]="Purchase order",_xll.AtlasFormulas.AtlasFunctions.AtlasTable("UAT",DataAreaId,"T.VendInvoiceTrans","%RecId","","","","","","","ItemId|PurchID|InventTransId",$C305,$B305,$K305),"")</f>
        <v/>
      </c>
      <c r="M305" s="4" t="str">
        <f>IF(AtlasReport_1_Table_1[[#This Row],[Reference]]="Purchase order",_xll.AtlasFormulas.AtlasFunctions.AtlasTable("UAT",DataAreaId,"T.MarkupTrans","%CurrencyCode","","","","","","","MarkupCode|TransRecId|TransTableId","TPP",$L305,"492"),"")</f>
        <v/>
      </c>
      <c r="N305" s="4" t="str">
        <f>IF(AtlasReport_1_Table_1[[#This Row],[Reference]]="Purchase order",_xll.AtlasFormulas.AtlasFunctions.AtlasBalance("UAT",DataAreaId,"T.MarkupTrans","Sum|Posted|0","","","","","","","MarkupCode|TransTableId|TransRecId","TPP","492",$L305),"")</f>
        <v/>
      </c>
    </row>
    <row r="306" spans="1:14">
      <c r="A306" s="8" t="s">
        <v>902</v>
      </c>
      <c r="B306" s="8" t="s">
        <v>903</v>
      </c>
      <c r="C306" s="8" t="s">
        <v>298</v>
      </c>
      <c r="D306" s="8" t="s">
        <v>489</v>
      </c>
      <c r="E306" s="8" t="s">
        <v>237</v>
      </c>
      <c r="F306" s="8" t="s">
        <v>238</v>
      </c>
      <c r="G306" s="6">
        <v>43101</v>
      </c>
      <c r="H306" s="6">
        <v>43101</v>
      </c>
      <c r="I306" s="4">
        <v>1225</v>
      </c>
      <c r="J306" s="8" t="s">
        <v>66</v>
      </c>
      <c r="K306" s="8" t="s">
        <v>989</v>
      </c>
      <c r="L306" s="4" t="str">
        <f>IF(AtlasReport_1_Table_1[[#This Row],[Reference]]="Purchase order",_xll.AtlasFormulas.AtlasFunctions.AtlasTable("UAT",DataAreaId,"T.VendInvoiceTrans","%RecId","","","","","","","ItemId|PurchID|InventTransId",$C306,$B306,$K306),"")</f>
        <v/>
      </c>
      <c r="M306" s="4" t="str">
        <f>IF(AtlasReport_1_Table_1[[#This Row],[Reference]]="Purchase order",_xll.AtlasFormulas.AtlasFunctions.AtlasTable("UAT",DataAreaId,"T.MarkupTrans","%CurrencyCode","","","","","","","MarkupCode|TransRecId|TransTableId","TPP",$L306,"492"),"")</f>
        <v/>
      </c>
      <c r="N306" s="4" t="str">
        <f>IF(AtlasReport_1_Table_1[[#This Row],[Reference]]="Purchase order",_xll.AtlasFormulas.AtlasFunctions.AtlasBalance("UAT",DataAreaId,"T.MarkupTrans","Sum|Posted|0","","","","","","","MarkupCode|TransTableId|TransRecId","TPP","492",$L306),"")</f>
        <v/>
      </c>
    </row>
    <row r="307" spans="1:14">
      <c r="A307" s="8" t="s">
        <v>902</v>
      </c>
      <c r="B307" s="8" t="s">
        <v>990</v>
      </c>
      <c r="C307" s="8" t="s">
        <v>189</v>
      </c>
      <c r="D307" s="8" t="s">
        <v>190</v>
      </c>
      <c r="E307" s="8" t="s">
        <v>237</v>
      </c>
      <c r="F307" s="8" t="s">
        <v>238</v>
      </c>
      <c r="G307" s="6">
        <v>43101</v>
      </c>
      <c r="H307" s="6">
        <v>43101</v>
      </c>
      <c r="I307" s="4">
        <v>57</v>
      </c>
      <c r="J307" s="8" t="s">
        <v>22</v>
      </c>
      <c r="K307" s="8" t="s">
        <v>991</v>
      </c>
      <c r="L307" s="4" t="str">
        <f>IF(AtlasReport_1_Table_1[[#This Row],[Reference]]="Purchase order",_xll.AtlasFormulas.AtlasFunctions.AtlasTable("UAT",DataAreaId,"T.VendInvoiceTrans","%RecId","","","","","","","ItemId|PurchID|InventTransId",$C307,$B307,$K307),"")</f>
        <v/>
      </c>
      <c r="M307" s="4" t="str">
        <f>IF(AtlasReport_1_Table_1[[#This Row],[Reference]]="Purchase order",_xll.AtlasFormulas.AtlasFunctions.AtlasTable("UAT",DataAreaId,"T.MarkupTrans","%CurrencyCode","","","","","","","MarkupCode|TransRecId|TransTableId","TPP",$L307,"492"),"")</f>
        <v/>
      </c>
      <c r="N307" s="4" t="str">
        <f>IF(AtlasReport_1_Table_1[[#This Row],[Reference]]="Purchase order",_xll.AtlasFormulas.AtlasFunctions.AtlasBalance("UAT",DataAreaId,"T.MarkupTrans","Sum|Posted|0","","","","","","","MarkupCode|TransTableId|TransRecId","TPP","492",$L307),"")</f>
        <v/>
      </c>
    </row>
    <row r="308" spans="1:14">
      <c r="A308" s="8" t="s">
        <v>902</v>
      </c>
      <c r="B308" s="8" t="s">
        <v>990</v>
      </c>
      <c r="C308" s="8" t="s">
        <v>230</v>
      </c>
      <c r="D308" s="8" t="s">
        <v>231</v>
      </c>
      <c r="E308" s="8" t="s">
        <v>237</v>
      </c>
      <c r="F308" s="8" t="s">
        <v>238</v>
      </c>
      <c r="G308" s="6">
        <v>43101</v>
      </c>
      <c r="H308" s="6">
        <v>43101</v>
      </c>
      <c r="I308" s="4">
        <v>153</v>
      </c>
      <c r="J308" s="8" t="s">
        <v>22</v>
      </c>
      <c r="K308" s="8" t="s">
        <v>992</v>
      </c>
      <c r="L308" s="4" t="str">
        <f>IF(AtlasReport_1_Table_1[[#This Row],[Reference]]="Purchase order",_xll.AtlasFormulas.AtlasFunctions.AtlasTable("UAT",DataAreaId,"T.VendInvoiceTrans","%RecId","","","","","","","ItemId|PurchID|InventTransId",$C308,$B308,$K308),"")</f>
        <v/>
      </c>
      <c r="M308" s="4" t="str">
        <f>IF(AtlasReport_1_Table_1[[#This Row],[Reference]]="Purchase order",_xll.AtlasFormulas.AtlasFunctions.AtlasTable("UAT",DataAreaId,"T.MarkupTrans","%CurrencyCode","","","","","","","MarkupCode|TransRecId|TransTableId","TPP",$L308,"492"),"")</f>
        <v/>
      </c>
      <c r="N308" s="4" t="str">
        <f>IF(AtlasReport_1_Table_1[[#This Row],[Reference]]="Purchase order",_xll.AtlasFormulas.AtlasFunctions.AtlasBalance("UAT",DataAreaId,"T.MarkupTrans","Sum|Posted|0","","","","","","","MarkupCode|TransTableId|TransRecId","TPP","492",$L308),"")</f>
        <v/>
      </c>
    </row>
    <row r="309" spans="1:14">
      <c r="A309" s="8" t="s">
        <v>902</v>
      </c>
      <c r="B309" s="8" t="s">
        <v>990</v>
      </c>
      <c r="C309" s="8" t="s">
        <v>263</v>
      </c>
      <c r="D309" s="8" t="s">
        <v>357</v>
      </c>
      <c r="E309" s="8" t="s">
        <v>237</v>
      </c>
      <c r="F309" s="8" t="s">
        <v>238</v>
      </c>
      <c r="G309" s="6">
        <v>43101</v>
      </c>
      <c r="H309" s="6">
        <v>43101</v>
      </c>
      <c r="I309" s="4">
        <v>16</v>
      </c>
      <c r="J309" s="8" t="s">
        <v>22</v>
      </c>
      <c r="K309" s="8" t="s">
        <v>993</v>
      </c>
      <c r="L309" s="4" t="str">
        <f>IF(AtlasReport_1_Table_1[[#This Row],[Reference]]="Purchase order",_xll.AtlasFormulas.AtlasFunctions.AtlasTable("UAT",DataAreaId,"T.VendInvoiceTrans","%RecId","","","","","","","ItemId|PurchID|InventTransId",$C309,$B309,$K309),"")</f>
        <v/>
      </c>
      <c r="M309" s="4" t="str">
        <f>IF(AtlasReport_1_Table_1[[#This Row],[Reference]]="Purchase order",_xll.AtlasFormulas.AtlasFunctions.AtlasTable("UAT",DataAreaId,"T.MarkupTrans","%CurrencyCode","","","","","","","MarkupCode|TransRecId|TransTableId","TPP",$L309,"492"),"")</f>
        <v/>
      </c>
      <c r="N309" s="4" t="str">
        <f>IF(AtlasReport_1_Table_1[[#This Row],[Reference]]="Purchase order",_xll.AtlasFormulas.AtlasFunctions.AtlasBalance("UAT",DataAreaId,"T.MarkupTrans","Sum|Posted|0","","","","","","","MarkupCode|TransTableId|TransRecId","TPP","492",$L309),"")</f>
        <v/>
      </c>
    </row>
    <row r="310" spans="1:14">
      <c r="A310" s="8" t="s">
        <v>902</v>
      </c>
      <c r="B310" s="8" t="s">
        <v>990</v>
      </c>
      <c r="C310" s="8" t="s">
        <v>264</v>
      </c>
      <c r="D310" s="8" t="s">
        <v>360</v>
      </c>
      <c r="E310" s="8" t="s">
        <v>237</v>
      </c>
      <c r="F310" s="8" t="s">
        <v>238</v>
      </c>
      <c r="G310" s="6">
        <v>43101</v>
      </c>
      <c r="H310" s="6">
        <v>43101</v>
      </c>
      <c r="I310" s="4">
        <v>24</v>
      </c>
      <c r="J310" s="8" t="s">
        <v>22</v>
      </c>
      <c r="K310" s="8" t="s">
        <v>994</v>
      </c>
      <c r="L310" s="4" t="str">
        <f>IF(AtlasReport_1_Table_1[[#This Row],[Reference]]="Purchase order",_xll.AtlasFormulas.AtlasFunctions.AtlasTable("UAT",DataAreaId,"T.VendInvoiceTrans","%RecId","","","","","","","ItemId|PurchID|InventTransId",$C310,$B310,$K310),"")</f>
        <v/>
      </c>
      <c r="M310" s="4" t="str">
        <f>IF(AtlasReport_1_Table_1[[#This Row],[Reference]]="Purchase order",_xll.AtlasFormulas.AtlasFunctions.AtlasTable("UAT",DataAreaId,"T.MarkupTrans","%CurrencyCode","","","","","","","MarkupCode|TransRecId|TransTableId","TPP",$L310,"492"),"")</f>
        <v/>
      </c>
      <c r="N310" s="4" t="str">
        <f>IF(AtlasReport_1_Table_1[[#This Row],[Reference]]="Purchase order",_xll.AtlasFormulas.AtlasFunctions.AtlasBalance("UAT",DataAreaId,"T.MarkupTrans","Sum|Posted|0","","","","","","","MarkupCode|TransTableId|TransRecId","TPP","492",$L310),"")</f>
        <v/>
      </c>
    </row>
    <row r="311" spans="1:14">
      <c r="A311" s="8" t="s">
        <v>902</v>
      </c>
      <c r="B311" s="8" t="s">
        <v>990</v>
      </c>
      <c r="C311" s="8" t="s">
        <v>267</v>
      </c>
      <c r="D311" s="8" t="s">
        <v>368</v>
      </c>
      <c r="E311" s="8" t="s">
        <v>237</v>
      </c>
      <c r="F311" s="8" t="s">
        <v>238</v>
      </c>
      <c r="G311" s="6">
        <v>43101</v>
      </c>
      <c r="H311" s="6">
        <v>43101</v>
      </c>
      <c r="I311" s="4">
        <v>44</v>
      </c>
      <c r="J311" s="8" t="s">
        <v>22</v>
      </c>
      <c r="K311" s="8" t="s">
        <v>995</v>
      </c>
      <c r="L311" s="4" t="str">
        <f>IF(AtlasReport_1_Table_1[[#This Row],[Reference]]="Purchase order",_xll.AtlasFormulas.AtlasFunctions.AtlasTable("UAT",DataAreaId,"T.VendInvoiceTrans","%RecId","","","","","","","ItemId|PurchID|InventTransId",$C311,$B311,$K311),"")</f>
        <v/>
      </c>
      <c r="M311" s="4" t="str">
        <f>IF(AtlasReport_1_Table_1[[#This Row],[Reference]]="Purchase order",_xll.AtlasFormulas.AtlasFunctions.AtlasTable("UAT",DataAreaId,"T.MarkupTrans","%CurrencyCode","","","","","","","MarkupCode|TransRecId|TransTableId","TPP",$L311,"492"),"")</f>
        <v/>
      </c>
      <c r="N311" s="4" t="str">
        <f>IF(AtlasReport_1_Table_1[[#This Row],[Reference]]="Purchase order",_xll.AtlasFormulas.AtlasFunctions.AtlasBalance("UAT",DataAreaId,"T.MarkupTrans","Sum|Posted|0","","","","","","","MarkupCode|TransTableId|TransRecId","TPP","492",$L311),"")</f>
        <v/>
      </c>
    </row>
    <row r="312" spans="1:14">
      <c r="A312" s="8" t="s">
        <v>902</v>
      </c>
      <c r="B312" s="8" t="s">
        <v>990</v>
      </c>
      <c r="C312" s="8" t="s">
        <v>268</v>
      </c>
      <c r="D312" s="8" t="s">
        <v>371</v>
      </c>
      <c r="E312" s="8" t="s">
        <v>237</v>
      </c>
      <c r="F312" s="8" t="s">
        <v>238</v>
      </c>
      <c r="G312" s="6">
        <v>43101</v>
      </c>
      <c r="H312" s="6">
        <v>43101</v>
      </c>
      <c r="I312" s="4">
        <v>16</v>
      </c>
      <c r="J312" s="8" t="s">
        <v>22</v>
      </c>
      <c r="K312" s="8" t="s">
        <v>996</v>
      </c>
      <c r="L312" s="4" t="str">
        <f>IF(AtlasReport_1_Table_1[[#This Row],[Reference]]="Purchase order",_xll.AtlasFormulas.AtlasFunctions.AtlasTable("UAT",DataAreaId,"T.VendInvoiceTrans","%RecId","","","","","","","ItemId|PurchID|InventTransId",$C312,$B312,$K312),"")</f>
        <v/>
      </c>
      <c r="M312" s="4" t="str">
        <f>IF(AtlasReport_1_Table_1[[#This Row],[Reference]]="Purchase order",_xll.AtlasFormulas.AtlasFunctions.AtlasTable("UAT",DataAreaId,"T.MarkupTrans","%CurrencyCode","","","","","","","MarkupCode|TransRecId|TransTableId","TPP",$L312,"492"),"")</f>
        <v/>
      </c>
      <c r="N312" s="4" t="str">
        <f>IF(AtlasReport_1_Table_1[[#This Row],[Reference]]="Purchase order",_xll.AtlasFormulas.AtlasFunctions.AtlasBalance("UAT",DataAreaId,"T.MarkupTrans","Sum|Posted|0","","","","","","","MarkupCode|TransTableId|TransRecId","TPP","492",$L312),"")</f>
        <v/>
      </c>
    </row>
    <row r="313" spans="1:14">
      <c r="A313" s="8" t="s">
        <v>902</v>
      </c>
      <c r="B313" s="8" t="s">
        <v>990</v>
      </c>
      <c r="C313" s="8" t="s">
        <v>269</v>
      </c>
      <c r="D313" s="8" t="s">
        <v>374</v>
      </c>
      <c r="E313" s="8" t="s">
        <v>237</v>
      </c>
      <c r="F313" s="8" t="s">
        <v>238</v>
      </c>
      <c r="G313" s="6">
        <v>43101</v>
      </c>
      <c r="H313" s="6">
        <v>43101</v>
      </c>
      <c r="I313" s="4">
        <v>34</v>
      </c>
      <c r="J313" s="8" t="s">
        <v>22</v>
      </c>
      <c r="K313" s="8" t="s">
        <v>997</v>
      </c>
      <c r="L313" s="4" t="str">
        <f>IF(AtlasReport_1_Table_1[[#This Row],[Reference]]="Purchase order",_xll.AtlasFormulas.AtlasFunctions.AtlasTable("UAT",DataAreaId,"T.VendInvoiceTrans","%RecId","","","","","","","ItemId|PurchID|InventTransId",$C313,$B313,$K313),"")</f>
        <v/>
      </c>
      <c r="M313" s="4" t="str">
        <f>IF(AtlasReport_1_Table_1[[#This Row],[Reference]]="Purchase order",_xll.AtlasFormulas.AtlasFunctions.AtlasTable("UAT",DataAreaId,"T.MarkupTrans","%CurrencyCode","","","","","","","MarkupCode|TransRecId|TransTableId","TPP",$L313,"492"),"")</f>
        <v/>
      </c>
      <c r="N313" s="4" t="str">
        <f>IF(AtlasReport_1_Table_1[[#This Row],[Reference]]="Purchase order",_xll.AtlasFormulas.AtlasFunctions.AtlasBalance("UAT",DataAreaId,"T.MarkupTrans","Sum|Posted|0","","","","","","","MarkupCode|TransTableId|TransRecId","TPP","492",$L313),"")</f>
        <v/>
      </c>
    </row>
    <row r="314" spans="1:14">
      <c r="A314" s="8" t="s">
        <v>902</v>
      </c>
      <c r="B314" s="8" t="s">
        <v>990</v>
      </c>
      <c r="C314" s="8" t="s">
        <v>270</v>
      </c>
      <c r="D314" s="8" t="s">
        <v>377</v>
      </c>
      <c r="E314" s="8" t="s">
        <v>237</v>
      </c>
      <c r="F314" s="8" t="s">
        <v>238</v>
      </c>
      <c r="G314" s="6">
        <v>43101</v>
      </c>
      <c r="H314" s="6">
        <v>43101</v>
      </c>
      <c r="I314" s="4">
        <v>18</v>
      </c>
      <c r="J314" s="8" t="s">
        <v>22</v>
      </c>
      <c r="K314" s="8" t="s">
        <v>998</v>
      </c>
      <c r="L314" s="4" t="str">
        <f>IF(AtlasReport_1_Table_1[[#This Row],[Reference]]="Purchase order",_xll.AtlasFormulas.AtlasFunctions.AtlasTable("UAT",DataAreaId,"T.VendInvoiceTrans","%RecId","","","","","","","ItemId|PurchID|InventTransId",$C314,$B314,$K314),"")</f>
        <v/>
      </c>
      <c r="M314" s="4" t="str">
        <f>IF(AtlasReport_1_Table_1[[#This Row],[Reference]]="Purchase order",_xll.AtlasFormulas.AtlasFunctions.AtlasTable("UAT",DataAreaId,"T.MarkupTrans","%CurrencyCode","","","","","","","MarkupCode|TransRecId|TransTableId","TPP",$L314,"492"),"")</f>
        <v/>
      </c>
      <c r="N314" s="4" t="str">
        <f>IF(AtlasReport_1_Table_1[[#This Row],[Reference]]="Purchase order",_xll.AtlasFormulas.AtlasFunctions.AtlasBalance("UAT",DataAreaId,"T.MarkupTrans","Sum|Posted|0","","","","","","","MarkupCode|TransTableId|TransRecId","TPP","492",$L314),"")</f>
        <v/>
      </c>
    </row>
    <row r="315" spans="1:14">
      <c r="A315" s="8" t="s">
        <v>902</v>
      </c>
      <c r="B315" s="8" t="s">
        <v>990</v>
      </c>
      <c r="C315" s="8" t="s">
        <v>271</v>
      </c>
      <c r="D315" s="8" t="s">
        <v>380</v>
      </c>
      <c r="E315" s="8" t="s">
        <v>237</v>
      </c>
      <c r="F315" s="8" t="s">
        <v>238</v>
      </c>
      <c r="G315" s="6">
        <v>43101</v>
      </c>
      <c r="H315" s="6">
        <v>43101</v>
      </c>
      <c r="I315" s="4">
        <v>30</v>
      </c>
      <c r="J315" s="8" t="s">
        <v>22</v>
      </c>
      <c r="K315" s="8" t="s">
        <v>999</v>
      </c>
      <c r="L315" s="4" t="str">
        <f>IF(AtlasReport_1_Table_1[[#This Row],[Reference]]="Purchase order",_xll.AtlasFormulas.AtlasFunctions.AtlasTable("UAT",DataAreaId,"T.VendInvoiceTrans","%RecId","","","","","","","ItemId|PurchID|InventTransId",$C315,$B315,$K315),"")</f>
        <v/>
      </c>
      <c r="M315" s="4" t="str">
        <f>IF(AtlasReport_1_Table_1[[#This Row],[Reference]]="Purchase order",_xll.AtlasFormulas.AtlasFunctions.AtlasTable("UAT",DataAreaId,"T.MarkupTrans","%CurrencyCode","","","","","","","MarkupCode|TransRecId|TransTableId","TPP",$L315,"492"),"")</f>
        <v/>
      </c>
      <c r="N315" s="4" t="str">
        <f>IF(AtlasReport_1_Table_1[[#This Row],[Reference]]="Purchase order",_xll.AtlasFormulas.AtlasFunctions.AtlasBalance("UAT",DataAreaId,"T.MarkupTrans","Sum|Posted|0","","","","","","","MarkupCode|TransTableId|TransRecId","TPP","492",$L315),"")</f>
        <v/>
      </c>
    </row>
    <row r="316" spans="1:14">
      <c r="A316" s="8" t="s">
        <v>902</v>
      </c>
      <c r="B316" s="8" t="s">
        <v>990</v>
      </c>
      <c r="C316" s="8" t="s">
        <v>272</v>
      </c>
      <c r="D316" s="8" t="s">
        <v>387</v>
      </c>
      <c r="E316" s="8" t="s">
        <v>237</v>
      </c>
      <c r="F316" s="8" t="s">
        <v>238</v>
      </c>
      <c r="G316" s="6">
        <v>43101</v>
      </c>
      <c r="H316" s="6">
        <v>43101</v>
      </c>
      <c r="I316" s="4">
        <v>181</v>
      </c>
      <c r="J316" s="8" t="s">
        <v>22</v>
      </c>
      <c r="K316" s="8" t="s">
        <v>1000</v>
      </c>
      <c r="L316" s="4" t="str">
        <f>IF(AtlasReport_1_Table_1[[#This Row],[Reference]]="Purchase order",_xll.AtlasFormulas.AtlasFunctions.AtlasTable("UAT",DataAreaId,"T.VendInvoiceTrans","%RecId","","","","","","","ItemId|PurchID|InventTransId",$C316,$B316,$K316),"")</f>
        <v/>
      </c>
      <c r="M316" s="4" t="str">
        <f>IF(AtlasReport_1_Table_1[[#This Row],[Reference]]="Purchase order",_xll.AtlasFormulas.AtlasFunctions.AtlasTable("UAT",DataAreaId,"T.MarkupTrans","%CurrencyCode","","","","","","","MarkupCode|TransRecId|TransTableId","TPP",$L316,"492"),"")</f>
        <v/>
      </c>
      <c r="N316" s="4" t="str">
        <f>IF(AtlasReport_1_Table_1[[#This Row],[Reference]]="Purchase order",_xll.AtlasFormulas.AtlasFunctions.AtlasBalance("UAT",DataAreaId,"T.MarkupTrans","Sum|Posted|0","","","","","","","MarkupCode|TransTableId|TransRecId","TPP","492",$L316),"")</f>
        <v/>
      </c>
    </row>
    <row r="317" spans="1:14">
      <c r="A317" s="8" t="s">
        <v>902</v>
      </c>
      <c r="B317" s="8" t="s">
        <v>990</v>
      </c>
      <c r="C317" s="8" t="s">
        <v>273</v>
      </c>
      <c r="D317" s="8" t="s">
        <v>390</v>
      </c>
      <c r="E317" s="8" t="s">
        <v>237</v>
      </c>
      <c r="F317" s="8" t="s">
        <v>238</v>
      </c>
      <c r="G317" s="6">
        <v>43101</v>
      </c>
      <c r="H317" s="6">
        <v>43101</v>
      </c>
      <c r="I317" s="4">
        <v>36</v>
      </c>
      <c r="J317" s="8" t="s">
        <v>22</v>
      </c>
      <c r="K317" s="8" t="s">
        <v>1001</v>
      </c>
      <c r="L317" s="4" t="str">
        <f>IF(AtlasReport_1_Table_1[[#This Row],[Reference]]="Purchase order",_xll.AtlasFormulas.AtlasFunctions.AtlasTable("UAT",DataAreaId,"T.VendInvoiceTrans","%RecId","","","","","","","ItemId|PurchID|InventTransId",$C317,$B317,$K317),"")</f>
        <v/>
      </c>
      <c r="M317" s="4" t="str">
        <f>IF(AtlasReport_1_Table_1[[#This Row],[Reference]]="Purchase order",_xll.AtlasFormulas.AtlasFunctions.AtlasTable("UAT",DataAreaId,"T.MarkupTrans","%CurrencyCode","","","","","","","MarkupCode|TransRecId|TransTableId","TPP",$L317,"492"),"")</f>
        <v/>
      </c>
      <c r="N317" s="4" t="str">
        <f>IF(AtlasReport_1_Table_1[[#This Row],[Reference]]="Purchase order",_xll.AtlasFormulas.AtlasFunctions.AtlasBalance("UAT",DataAreaId,"T.MarkupTrans","Sum|Posted|0","","","","","","","MarkupCode|TransTableId|TransRecId","TPP","492",$L317),"")</f>
        <v/>
      </c>
    </row>
    <row r="318" spans="1:14">
      <c r="A318" s="8" t="s">
        <v>902</v>
      </c>
      <c r="B318" s="8" t="s">
        <v>990</v>
      </c>
      <c r="C318" s="8" t="s">
        <v>274</v>
      </c>
      <c r="D318" s="8" t="s">
        <v>393</v>
      </c>
      <c r="E318" s="8" t="s">
        <v>237</v>
      </c>
      <c r="F318" s="8" t="s">
        <v>238</v>
      </c>
      <c r="G318" s="6">
        <v>43101</v>
      </c>
      <c r="H318" s="6">
        <v>43101</v>
      </c>
      <c r="I318" s="4">
        <v>65</v>
      </c>
      <c r="J318" s="8" t="s">
        <v>22</v>
      </c>
      <c r="K318" s="8" t="s">
        <v>1002</v>
      </c>
      <c r="L318" s="4" t="str">
        <f>IF(AtlasReport_1_Table_1[[#This Row],[Reference]]="Purchase order",_xll.AtlasFormulas.AtlasFunctions.AtlasTable("UAT",DataAreaId,"T.VendInvoiceTrans","%RecId","","","","","","","ItemId|PurchID|InventTransId",$C318,$B318,$K318),"")</f>
        <v/>
      </c>
      <c r="M318" s="4" t="str">
        <f>IF(AtlasReport_1_Table_1[[#This Row],[Reference]]="Purchase order",_xll.AtlasFormulas.AtlasFunctions.AtlasTable("UAT",DataAreaId,"T.MarkupTrans","%CurrencyCode","","","","","","","MarkupCode|TransRecId|TransTableId","TPP",$L318,"492"),"")</f>
        <v/>
      </c>
      <c r="N318" s="4" t="str">
        <f>IF(AtlasReport_1_Table_1[[#This Row],[Reference]]="Purchase order",_xll.AtlasFormulas.AtlasFunctions.AtlasBalance("UAT",DataAreaId,"T.MarkupTrans","Sum|Posted|0","","","","","","","MarkupCode|TransTableId|TransRecId","TPP","492",$L318),"")</f>
        <v/>
      </c>
    </row>
    <row r="319" spans="1:14">
      <c r="A319" s="8" t="s">
        <v>902</v>
      </c>
      <c r="B319" s="8" t="s">
        <v>990</v>
      </c>
      <c r="C319" s="8" t="s">
        <v>275</v>
      </c>
      <c r="D319" s="8" t="s">
        <v>396</v>
      </c>
      <c r="E319" s="8" t="s">
        <v>237</v>
      </c>
      <c r="F319" s="8" t="s">
        <v>238</v>
      </c>
      <c r="G319" s="6">
        <v>43101</v>
      </c>
      <c r="H319" s="6">
        <v>43101</v>
      </c>
      <c r="I319" s="4">
        <v>40</v>
      </c>
      <c r="J319" s="8" t="s">
        <v>22</v>
      </c>
      <c r="K319" s="8" t="s">
        <v>1003</v>
      </c>
      <c r="L319" s="4" t="str">
        <f>IF(AtlasReport_1_Table_1[[#This Row],[Reference]]="Purchase order",_xll.AtlasFormulas.AtlasFunctions.AtlasTable("UAT",DataAreaId,"T.VendInvoiceTrans","%RecId","","","","","","","ItemId|PurchID|InventTransId",$C319,$B319,$K319),"")</f>
        <v/>
      </c>
      <c r="M319" s="4" t="str">
        <f>IF(AtlasReport_1_Table_1[[#This Row],[Reference]]="Purchase order",_xll.AtlasFormulas.AtlasFunctions.AtlasTable("UAT",DataAreaId,"T.MarkupTrans","%CurrencyCode","","","","","","","MarkupCode|TransRecId|TransTableId","TPP",$L319,"492"),"")</f>
        <v/>
      </c>
      <c r="N319" s="4" t="str">
        <f>IF(AtlasReport_1_Table_1[[#This Row],[Reference]]="Purchase order",_xll.AtlasFormulas.AtlasFunctions.AtlasBalance("UAT",DataAreaId,"T.MarkupTrans","Sum|Posted|0","","","","","","","MarkupCode|TransTableId|TransRecId","TPP","492",$L319),"")</f>
        <v/>
      </c>
    </row>
    <row r="320" spans="1:14">
      <c r="A320" s="8" t="s">
        <v>902</v>
      </c>
      <c r="B320" s="8" t="s">
        <v>990</v>
      </c>
      <c r="C320" s="8" t="s">
        <v>276</v>
      </c>
      <c r="D320" s="8" t="s">
        <v>399</v>
      </c>
      <c r="E320" s="8" t="s">
        <v>237</v>
      </c>
      <c r="F320" s="8" t="s">
        <v>238</v>
      </c>
      <c r="G320" s="6">
        <v>43101</v>
      </c>
      <c r="H320" s="6">
        <v>43101</v>
      </c>
      <c r="I320" s="4">
        <v>34</v>
      </c>
      <c r="J320" s="8" t="s">
        <v>22</v>
      </c>
      <c r="K320" s="8" t="s">
        <v>1004</v>
      </c>
      <c r="L320" s="4" t="str">
        <f>IF(AtlasReport_1_Table_1[[#This Row],[Reference]]="Purchase order",_xll.AtlasFormulas.AtlasFunctions.AtlasTable("UAT",DataAreaId,"T.VendInvoiceTrans","%RecId","","","","","","","ItemId|PurchID|InventTransId",$C320,$B320,$K320),"")</f>
        <v/>
      </c>
      <c r="M320" s="4" t="str">
        <f>IF(AtlasReport_1_Table_1[[#This Row],[Reference]]="Purchase order",_xll.AtlasFormulas.AtlasFunctions.AtlasTable("UAT",DataAreaId,"T.MarkupTrans","%CurrencyCode","","","","","","","MarkupCode|TransRecId|TransTableId","TPP",$L320,"492"),"")</f>
        <v/>
      </c>
      <c r="N320" s="4" t="str">
        <f>IF(AtlasReport_1_Table_1[[#This Row],[Reference]]="Purchase order",_xll.AtlasFormulas.AtlasFunctions.AtlasBalance("UAT",DataAreaId,"T.MarkupTrans","Sum|Posted|0","","","","","","","MarkupCode|TransTableId|TransRecId","TPP","492",$L320),"")</f>
        <v/>
      </c>
    </row>
    <row r="321" spans="1:14">
      <c r="A321" s="8" t="s">
        <v>902</v>
      </c>
      <c r="B321" s="8" t="s">
        <v>990</v>
      </c>
      <c r="C321" s="8" t="s">
        <v>277</v>
      </c>
      <c r="D321" s="8" t="s">
        <v>406</v>
      </c>
      <c r="E321" s="8" t="s">
        <v>237</v>
      </c>
      <c r="F321" s="8" t="s">
        <v>238</v>
      </c>
      <c r="G321" s="6">
        <v>43101</v>
      </c>
      <c r="H321" s="6">
        <v>43101</v>
      </c>
      <c r="I321" s="4">
        <v>30</v>
      </c>
      <c r="J321" s="8" t="s">
        <v>22</v>
      </c>
      <c r="K321" s="8" t="s">
        <v>1005</v>
      </c>
      <c r="L321" s="4" t="str">
        <f>IF(AtlasReport_1_Table_1[[#This Row],[Reference]]="Purchase order",_xll.AtlasFormulas.AtlasFunctions.AtlasTable("UAT",DataAreaId,"T.VendInvoiceTrans","%RecId","","","","","","","ItemId|PurchID|InventTransId",$C321,$B321,$K321),"")</f>
        <v/>
      </c>
      <c r="M321" s="4" t="str">
        <f>IF(AtlasReport_1_Table_1[[#This Row],[Reference]]="Purchase order",_xll.AtlasFormulas.AtlasFunctions.AtlasTable("UAT",DataAreaId,"T.MarkupTrans","%CurrencyCode","","","","","","","MarkupCode|TransRecId|TransTableId","TPP",$L321,"492"),"")</f>
        <v/>
      </c>
      <c r="N321" s="4" t="str">
        <f>IF(AtlasReport_1_Table_1[[#This Row],[Reference]]="Purchase order",_xll.AtlasFormulas.AtlasFunctions.AtlasBalance("UAT",DataAreaId,"T.MarkupTrans","Sum|Posted|0","","","","","","","MarkupCode|TransTableId|TransRecId","TPP","492",$L321),"")</f>
        <v/>
      </c>
    </row>
    <row r="322" spans="1:14">
      <c r="A322" s="8" t="s">
        <v>902</v>
      </c>
      <c r="B322" s="8" t="s">
        <v>990</v>
      </c>
      <c r="C322" s="8" t="s">
        <v>278</v>
      </c>
      <c r="D322" s="8" t="s">
        <v>409</v>
      </c>
      <c r="E322" s="8" t="s">
        <v>237</v>
      </c>
      <c r="F322" s="8" t="s">
        <v>238</v>
      </c>
      <c r="G322" s="6">
        <v>43101</v>
      </c>
      <c r="H322" s="6">
        <v>43101</v>
      </c>
      <c r="I322" s="4">
        <v>25</v>
      </c>
      <c r="J322" s="8" t="s">
        <v>22</v>
      </c>
      <c r="K322" s="8" t="s">
        <v>1006</v>
      </c>
      <c r="L322" s="4" t="str">
        <f>IF(AtlasReport_1_Table_1[[#This Row],[Reference]]="Purchase order",_xll.AtlasFormulas.AtlasFunctions.AtlasTable("UAT",DataAreaId,"T.VendInvoiceTrans","%RecId","","","","","","","ItemId|PurchID|InventTransId",$C322,$B322,$K322),"")</f>
        <v/>
      </c>
      <c r="M322" s="4" t="str">
        <f>IF(AtlasReport_1_Table_1[[#This Row],[Reference]]="Purchase order",_xll.AtlasFormulas.AtlasFunctions.AtlasTable("UAT",DataAreaId,"T.MarkupTrans","%CurrencyCode","","","","","","","MarkupCode|TransRecId|TransTableId","TPP",$L322,"492"),"")</f>
        <v/>
      </c>
      <c r="N322" s="4" t="str">
        <f>IF(AtlasReport_1_Table_1[[#This Row],[Reference]]="Purchase order",_xll.AtlasFormulas.AtlasFunctions.AtlasBalance("UAT",DataAreaId,"T.MarkupTrans","Sum|Posted|0","","","","","","","MarkupCode|TransTableId|TransRecId","TPP","492",$L322),"")</f>
        <v/>
      </c>
    </row>
    <row r="323" spans="1:14">
      <c r="A323" s="8" t="s">
        <v>902</v>
      </c>
      <c r="B323" s="8" t="s">
        <v>990</v>
      </c>
      <c r="C323" s="8" t="s">
        <v>281</v>
      </c>
      <c r="D323" s="8" t="s">
        <v>424</v>
      </c>
      <c r="E323" s="8" t="s">
        <v>237</v>
      </c>
      <c r="F323" s="8" t="s">
        <v>238</v>
      </c>
      <c r="G323" s="6">
        <v>43101</v>
      </c>
      <c r="H323" s="6">
        <v>43101</v>
      </c>
      <c r="I323" s="4">
        <v>8</v>
      </c>
      <c r="J323" s="8" t="s">
        <v>22</v>
      </c>
      <c r="K323" s="8" t="s">
        <v>1007</v>
      </c>
      <c r="L323" s="4" t="str">
        <f>IF(AtlasReport_1_Table_1[[#This Row],[Reference]]="Purchase order",_xll.AtlasFormulas.AtlasFunctions.AtlasTable("UAT",DataAreaId,"T.VendInvoiceTrans","%RecId","","","","","","","ItemId|PurchID|InventTransId",$C323,$B323,$K323),"")</f>
        <v/>
      </c>
      <c r="M323" s="4" t="str">
        <f>IF(AtlasReport_1_Table_1[[#This Row],[Reference]]="Purchase order",_xll.AtlasFormulas.AtlasFunctions.AtlasTable("UAT",DataAreaId,"T.MarkupTrans","%CurrencyCode","","","","","","","MarkupCode|TransRecId|TransTableId","TPP",$L323,"492"),"")</f>
        <v/>
      </c>
      <c r="N323" s="4" t="str">
        <f>IF(AtlasReport_1_Table_1[[#This Row],[Reference]]="Purchase order",_xll.AtlasFormulas.AtlasFunctions.AtlasBalance("UAT",DataAreaId,"T.MarkupTrans","Sum|Posted|0","","","","","","","MarkupCode|TransTableId|TransRecId","TPP","492",$L323),"")</f>
        <v/>
      </c>
    </row>
    <row r="324" spans="1:14">
      <c r="A324" s="8" t="s">
        <v>902</v>
      </c>
      <c r="B324" s="8" t="s">
        <v>990</v>
      </c>
      <c r="C324" s="8" t="s">
        <v>281</v>
      </c>
      <c r="D324" s="8" t="s">
        <v>424</v>
      </c>
      <c r="E324" s="8" t="s">
        <v>237</v>
      </c>
      <c r="F324" s="8" t="s">
        <v>238</v>
      </c>
      <c r="G324" s="6">
        <v>43101</v>
      </c>
      <c r="H324" s="6">
        <v>43101</v>
      </c>
      <c r="I324" s="4">
        <v>2</v>
      </c>
      <c r="J324" s="8" t="s">
        <v>22</v>
      </c>
      <c r="K324" s="8" t="s">
        <v>1008</v>
      </c>
      <c r="L324" s="4" t="str">
        <f>IF(AtlasReport_1_Table_1[[#This Row],[Reference]]="Purchase order",_xll.AtlasFormulas.AtlasFunctions.AtlasTable("UAT",DataAreaId,"T.VendInvoiceTrans","%RecId","","","","","","","ItemId|PurchID|InventTransId",$C324,$B324,$K324),"")</f>
        <v/>
      </c>
      <c r="M324" s="4" t="str">
        <f>IF(AtlasReport_1_Table_1[[#This Row],[Reference]]="Purchase order",_xll.AtlasFormulas.AtlasFunctions.AtlasTable("UAT",DataAreaId,"T.MarkupTrans","%CurrencyCode","","","","","","","MarkupCode|TransRecId|TransTableId","TPP",$L324,"492"),"")</f>
        <v/>
      </c>
      <c r="N324" s="4" t="str">
        <f>IF(AtlasReport_1_Table_1[[#This Row],[Reference]]="Purchase order",_xll.AtlasFormulas.AtlasFunctions.AtlasBalance("UAT",DataAreaId,"T.MarkupTrans","Sum|Posted|0","","","","","","","MarkupCode|TransTableId|TransRecId","TPP","492",$L324),"")</f>
        <v/>
      </c>
    </row>
    <row r="325" spans="1:14">
      <c r="A325" s="8" t="s">
        <v>902</v>
      </c>
      <c r="B325" s="8" t="s">
        <v>990</v>
      </c>
      <c r="C325" s="8" t="s">
        <v>283</v>
      </c>
      <c r="D325" s="8" t="s">
        <v>445</v>
      </c>
      <c r="E325" s="8" t="s">
        <v>237</v>
      </c>
      <c r="F325" s="8" t="s">
        <v>238</v>
      </c>
      <c r="G325" s="6">
        <v>43101</v>
      </c>
      <c r="H325" s="6">
        <v>43101</v>
      </c>
      <c r="I325" s="4">
        <v>6</v>
      </c>
      <c r="J325" s="8" t="s">
        <v>22</v>
      </c>
      <c r="K325" s="8" t="s">
        <v>1009</v>
      </c>
      <c r="L325" s="4" t="str">
        <f>IF(AtlasReport_1_Table_1[[#This Row],[Reference]]="Purchase order",_xll.AtlasFormulas.AtlasFunctions.AtlasTable("UAT",DataAreaId,"T.VendInvoiceTrans","%RecId","","","","","","","ItemId|PurchID|InventTransId",$C325,$B325,$K325),"")</f>
        <v/>
      </c>
      <c r="M325" s="4" t="str">
        <f>IF(AtlasReport_1_Table_1[[#This Row],[Reference]]="Purchase order",_xll.AtlasFormulas.AtlasFunctions.AtlasTable("UAT",DataAreaId,"T.MarkupTrans","%CurrencyCode","","","","","","","MarkupCode|TransRecId|TransTableId","TPP",$L325,"492"),"")</f>
        <v/>
      </c>
      <c r="N325" s="4" t="str">
        <f>IF(AtlasReport_1_Table_1[[#This Row],[Reference]]="Purchase order",_xll.AtlasFormulas.AtlasFunctions.AtlasBalance("UAT",DataAreaId,"T.MarkupTrans","Sum|Posted|0","","","","","","","MarkupCode|TransTableId|TransRecId","TPP","492",$L325),"")</f>
        <v/>
      </c>
    </row>
    <row r="326" spans="1:14">
      <c r="A326" s="8" t="s">
        <v>902</v>
      </c>
      <c r="B326" s="8" t="s">
        <v>990</v>
      </c>
      <c r="C326" s="8" t="s">
        <v>284</v>
      </c>
      <c r="D326" s="8" t="s">
        <v>446</v>
      </c>
      <c r="E326" s="8" t="s">
        <v>237</v>
      </c>
      <c r="F326" s="8" t="s">
        <v>238</v>
      </c>
      <c r="G326" s="6">
        <v>43101</v>
      </c>
      <c r="H326" s="6">
        <v>43101</v>
      </c>
      <c r="I326" s="4">
        <v>33</v>
      </c>
      <c r="J326" s="8" t="s">
        <v>22</v>
      </c>
      <c r="K326" s="8" t="s">
        <v>1010</v>
      </c>
      <c r="L326" s="4" t="str">
        <f>IF(AtlasReport_1_Table_1[[#This Row],[Reference]]="Purchase order",_xll.AtlasFormulas.AtlasFunctions.AtlasTable("UAT",DataAreaId,"T.VendInvoiceTrans","%RecId","","","","","","","ItemId|PurchID|InventTransId",$C326,$B326,$K326),"")</f>
        <v/>
      </c>
      <c r="M326" s="4" t="str">
        <f>IF(AtlasReport_1_Table_1[[#This Row],[Reference]]="Purchase order",_xll.AtlasFormulas.AtlasFunctions.AtlasTable("UAT",DataAreaId,"T.MarkupTrans","%CurrencyCode","","","","","","","MarkupCode|TransRecId|TransTableId","TPP",$L326,"492"),"")</f>
        <v/>
      </c>
      <c r="N326" s="4" t="str">
        <f>IF(AtlasReport_1_Table_1[[#This Row],[Reference]]="Purchase order",_xll.AtlasFormulas.AtlasFunctions.AtlasBalance("UAT",DataAreaId,"T.MarkupTrans","Sum|Posted|0","","","","","","","MarkupCode|TransTableId|TransRecId","TPP","492",$L326),"")</f>
        <v/>
      </c>
    </row>
    <row r="327" spans="1:14">
      <c r="A327" s="8" t="s">
        <v>902</v>
      </c>
      <c r="B327" s="8" t="s">
        <v>990</v>
      </c>
      <c r="C327" s="8" t="s">
        <v>285</v>
      </c>
      <c r="D327" s="8" t="s">
        <v>451</v>
      </c>
      <c r="E327" s="8" t="s">
        <v>237</v>
      </c>
      <c r="F327" s="8" t="s">
        <v>238</v>
      </c>
      <c r="G327" s="6">
        <v>43101</v>
      </c>
      <c r="H327" s="6">
        <v>43101</v>
      </c>
      <c r="I327" s="4">
        <v>25</v>
      </c>
      <c r="J327" s="8" t="s">
        <v>22</v>
      </c>
      <c r="K327" s="8" t="s">
        <v>1011</v>
      </c>
      <c r="L327" s="4" t="str">
        <f>IF(AtlasReport_1_Table_1[[#This Row],[Reference]]="Purchase order",_xll.AtlasFormulas.AtlasFunctions.AtlasTable("UAT",DataAreaId,"T.VendInvoiceTrans","%RecId","","","","","","","ItemId|PurchID|InventTransId",$C327,$B327,$K327),"")</f>
        <v/>
      </c>
      <c r="M327" s="4" t="str">
        <f>IF(AtlasReport_1_Table_1[[#This Row],[Reference]]="Purchase order",_xll.AtlasFormulas.AtlasFunctions.AtlasTable("UAT",DataAreaId,"T.MarkupTrans","%CurrencyCode","","","","","","","MarkupCode|TransRecId|TransTableId","TPP",$L327,"492"),"")</f>
        <v/>
      </c>
      <c r="N327" s="4" t="str">
        <f>IF(AtlasReport_1_Table_1[[#This Row],[Reference]]="Purchase order",_xll.AtlasFormulas.AtlasFunctions.AtlasBalance("UAT",DataAreaId,"T.MarkupTrans","Sum|Posted|0","","","","","","","MarkupCode|TransTableId|TransRecId","TPP","492",$L327),"")</f>
        <v/>
      </c>
    </row>
    <row r="328" spans="1:14" ht="30">
      <c r="A328" s="8" t="s">
        <v>902</v>
      </c>
      <c r="B328" s="8" t="s">
        <v>990</v>
      </c>
      <c r="C328" s="8" t="s">
        <v>115</v>
      </c>
      <c r="D328" s="11" t="s">
        <v>116</v>
      </c>
      <c r="E328" s="8" t="s">
        <v>237</v>
      </c>
      <c r="F328" s="8" t="s">
        <v>238</v>
      </c>
      <c r="G328" s="6">
        <v>43101</v>
      </c>
      <c r="H328" s="6">
        <v>43101</v>
      </c>
      <c r="I328" s="4">
        <v>78</v>
      </c>
      <c r="J328" s="8" t="s">
        <v>22</v>
      </c>
      <c r="K328" s="8" t="s">
        <v>1012</v>
      </c>
      <c r="L328" s="4" t="str">
        <f>IF(AtlasReport_1_Table_1[[#This Row],[Reference]]="Purchase order",_xll.AtlasFormulas.AtlasFunctions.AtlasTable("UAT",DataAreaId,"T.VendInvoiceTrans","%RecId","","","","","","","ItemId|PurchID|InventTransId",$C328,$B328,$K328),"")</f>
        <v/>
      </c>
      <c r="M328" s="4" t="str">
        <f>IF(AtlasReport_1_Table_1[[#This Row],[Reference]]="Purchase order",_xll.AtlasFormulas.AtlasFunctions.AtlasTable("UAT",DataAreaId,"T.MarkupTrans","%CurrencyCode","","","","","","","MarkupCode|TransRecId|TransTableId","TPP",$L328,"492"),"")</f>
        <v/>
      </c>
      <c r="N328" s="4" t="str">
        <f>IF(AtlasReport_1_Table_1[[#This Row],[Reference]]="Purchase order",_xll.AtlasFormulas.AtlasFunctions.AtlasBalance("UAT",DataAreaId,"T.MarkupTrans","Sum|Posted|0","","","","","","","MarkupCode|TransTableId|TransRecId","TPP","492",$L328),"")</f>
        <v/>
      </c>
    </row>
    <row r="329" spans="1:14">
      <c r="A329" s="8" t="s">
        <v>902</v>
      </c>
      <c r="B329" s="8" t="s">
        <v>1013</v>
      </c>
      <c r="C329" s="8" t="s">
        <v>1014</v>
      </c>
      <c r="D329" s="8" t="s">
        <v>1015</v>
      </c>
      <c r="E329" s="8" t="s">
        <v>237</v>
      </c>
      <c r="F329" s="8" t="s">
        <v>238</v>
      </c>
      <c r="G329" s="6">
        <v>43101</v>
      </c>
      <c r="H329" s="6">
        <v>43101</v>
      </c>
      <c r="I329" s="4">
        <v>20</v>
      </c>
      <c r="J329" s="8" t="s">
        <v>66</v>
      </c>
      <c r="K329" s="8" t="s">
        <v>1016</v>
      </c>
      <c r="L329" s="4" t="str">
        <f>IF(AtlasReport_1_Table_1[[#This Row],[Reference]]="Purchase order",_xll.AtlasFormulas.AtlasFunctions.AtlasTable("UAT",DataAreaId,"T.VendInvoiceTrans","%RecId","","","","","","","ItemId|PurchID|InventTransId",$C329,$B329,$K329),"")</f>
        <v/>
      </c>
      <c r="M329" s="4" t="str">
        <f>IF(AtlasReport_1_Table_1[[#This Row],[Reference]]="Purchase order",_xll.AtlasFormulas.AtlasFunctions.AtlasTable("UAT",DataAreaId,"T.MarkupTrans","%CurrencyCode","","","","","","","MarkupCode|TransRecId|TransTableId","TPP",$L329,"492"),"")</f>
        <v/>
      </c>
      <c r="N329" s="4" t="str">
        <f>IF(AtlasReport_1_Table_1[[#This Row],[Reference]]="Purchase order",_xll.AtlasFormulas.AtlasFunctions.AtlasBalance("UAT",DataAreaId,"T.MarkupTrans","Sum|Posted|0","","","","","","","MarkupCode|TransTableId|TransRecId","TPP","492",$L329),"")</f>
        <v/>
      </c>
    </row>
    <row r="330" spans="1:14">
      <c r="A330" s="8" t="s">
        <v>902</v>
      </c>
      <c r="B330" s="8" t="s">
        <v>1013</v>
      </c>
      <c r="C330" s="8" t="s">
        <v>128</v>
      </c>
      <c r="D330" s="8" t="s">
        <v>131</v>
      </c>
      <c r="E330" s="8" t="s">
        <v>237</v>
      </c>
      <c r="F330" s="8" t="s">
        <v>238</v>
      </c>
      <c r="G330" s="6">
        <v>43101</v>
      </c>
      <c r="H330" s="6">
        <v>43101</v>
      </c>
      <c r="I330" s="4">
        <v>4</v>
      </c>
      <c r="J330" s="8" t="s">
        <v>22</v>
      </c>
      <c r="K330" s="8" t="s">
        <v>1017</v>
      </c>
      <c r="L330" s="4" t="str">
        <f>IF(AtlasReport_1_Table_1[[#This Row],[Reference]]="Purchase order",_xll.AtlasFormulas.AtlasFunctions.AtlasTable("UAT",DataAreaId,"T.VendInvoiceTrans","%RecId","","","","","","","ItemId|PurchID|InventTransId",$C330,$B330,$K330),"")</f>
        <v/>
      </c>
      <c r="M330" s="4" t="str">
        <f>IF(AtlasReport_1_Table_1[[#This Row],[Reference]]="Purchase order",_xll.AtlasFormulas.AtlasFunctions.AtlasTable("UAT",DataAreaId,"T.MarkupTrans","%CurrencyCode","","","","","","","MarkupCode|TransRecId|TransTableId","TPP",$L330,"492"),"")</f>
        <v/>
      </c>
      <c r="N330" s="4" t="str">
        <f>IF(AtlasReport_1_Table_1[[#This Row],[Reference]]="Purchase order",_xll.AtlasFormulas.AtlasFunctions.AtlasBalance("UAT",DataAreaId,"T.MarkupTrans","Sum|Posted|0","","","","","","","MarkupCode|TransTableId|TransRecId","TPP","492",$L330),"")</f>
        <v/>
      </c>
    </row>
    <row r="331" spans="1:14">
      <c r="A331" s="8" t="s">
        <v>902</v>
      </c>
      <c r="B331" s="8" t="s">
        <v>1013</v>
      </c>
      <c r="C331" s="8" t="s">
        <v>1018</v>
      </c>
      <c r="D331" s="8" t="s">
        <v>1019</v>
      </c>
      <c r="E331" s="8" t="s">
        <v>237</v>
      </c>
      <c r="F331" s="8" t="s">
        <v>238</v>
      </c>
      <c r="G331" s="6">
        <v>43101</v>
      </c>
      <c r="H331" s="6">
        <v>43101</v>
      </c>
      <c r="I331" s="4">
        <v>24.5</v>
      </c>
      <c r="J331" s="8" t="s">
        <v>66</v>
      </c>
      <c r="K331" s="8" t="s">
        <v>1020</v>
      </c>
      <c r="L331" s="4" t="str">
        <f>IF(AtlasReport_1_Table_1[[#This Row],[Reference]]="Purchase order",_xll.AtlasFormulas.AtlasFunctions.AtlasTable("UAT",DataAreaId,"T.VendInvoiceTrans","%RecId","","","","","","","ItemId|PurchID|InventTransId",$C331,$B331,$K331),"")</f>
        <v/>
      </c>
      <c r="M331" s="4" t="str">
        <f>IF(AtlasReport_1_Table_1[[#This Row],[Reference]]="Purchase order",_xll.AtlasFormulas.AtlasFunctions.AtlasTable("UAT",DataAreaId,"T.MarkupTrans","%CurrencyCode","","","","","","","MarkupCode|TransRecId|TransTableId","TPP",$L331,"492"),"")</f>
        <v/>
      </c>
      <c r="N331" s="4" t="str">
        <f>IF(AtlasReport_1_Table_1[[#This Row],[Reference]]="Purchase order",_xll.AtlasFormulas.AtlasFunctions.AtlasBalance("UAT",DataAreaId,"T.MarkupTrans","Sum|Posted|0","","","","","","","MarkupCode|TransTableId|TransRecId","TPP","492",$L331),"")</f>
        <v/>
      </c>
    </row>
    <row r="332" spans="1:14">
      <c r="A332" s="8" t="s">
        <v>902</v>
      </c>
      <c r="B332" s="8" t="s">
        <v>1013</v>
      </c>
      <c r="C332" s="8" t="s">
        <v>72</v>
      </c>
      <c r="D332" s="8" t="s">
        <v>100</v>
      </c>
      <c r="E332" s="8" t="s">
        <v>237</v>
      </c>
      <c r="F332" s="8" t="s">
        <v>238</v>
      </c>
      <c r="G332" s="6">
        <v>43101</v>
      </c>
      <c r="H332" s="6">
        <v>43101</v>
      </c>
      <c r="I332" s="4">
        <v>1</v>
      </c>
      <c r="J332" s="8" t="s">
        <v>22</v>
      </c>
      <c r="K332" s="8" t="s">
        <v>1021</v>
      </c>
      <c r="L332" s="4" t="str">
        <f>IF(AtlasReport_1_Table_1[[#This Row],[Reference]]="Purchase order",_xll.AtlasFormulas.AtlasFunctions.AtlasTable("UAT",DataAreaId,"T.VendInvoiceTrans","%RecId","","","","","","","ItemId|PurchID|InventTransId",$C332,$B332,$K332),"")</f>
        <v/>
      </c>
      <c r="M332" s="4" t="str">
        <f>IF(AtlasReport_1_Table_1[[#This Row],[Reference]]="Purchase order",_xll.AtlasFormulas.AtlasFunctions.AtlasTable("UAT",DataAreaId,"T.MarkupTrans","%CurrencyCode","","","","","","","MarkupCode|TransRecId|TransTableId","TPP",$L332,"492"),"")</f>
        <v/>
      </c>
      <c r="N332" s="4" t="str">
        <f>IF(AtlasReport_1_Table_1[[#This Row],[Reference]]="Purchase order",_xll.AtlasFormulas.AtlasFunctions.AtlasBalance("UAT",DataAreaId,"T.MarkupTrans","Sum|Posted|0","","","","","","","MarkupCode|TransTableId|TransRecId","TPP","492",$L332),"")</f>
        <v/>
      </c>
    </row>
    <row r="333" spans="1:14">
      <c r="A333" s="8" t="s">
        <v>902</v>
      </c>
      <c r="B333" s="8" t="s">
        <v>1013</v>
      </c>
      <c r="C333" s="8" t="s">
        <v>1022</v>
      </c>
      <c r="D333" s="8" t="s">
        <v>1023</v>
      </c>
      <c r="E333" s="8" t="s">
        <v>237</v>
      </c>
      <c r="F333" s="8" t="s">
        <v>238</v>
      </c>
      <c r="G333" s="6">
        <v>43101</v>
      </c>
      <c r="H333" s="6">
        <v>43101</v>
      </c>
      <c r="I333" s="4">
        <v>23.5</v>
      </c>
      <c r="J333" s="8" t="s">
        <v>66</v>
      </c>
      <c r="K333" s="8" t="s">
        <v>1024</v>
      </c>
      <c r="L333" s="4" t="str">
        <f>IF(AtlasReport_1_Table_1[[#This Row],[Reference]]="Purchase order",_xll.AtlasFormulas.AtlasFunctions.AtlasTable("UAT",DataAreaId,"T.VendInvoiceTrans","%RecId","","","","","","","ItemId|PurchID|InventTransId",$C333,$B333,$K333),"")</f>
        <v/>
      </c>
      <c r="M333" s="4" t="str">
        <f>IF(AtlasReport_1_Table_1[[#This Row],[Reference]]="Purchase order",_xll.AtlasFormulas.AtlasFunctions.AtlasTable("UAT",DataAreaId,"T.MarkupTrans","%CurrencyCode","","","","","","","MarkupCode|TransRecId|TransTableId","TPP",$L333,"492"),"")</f>
        <v/>
      </c>
      <c r="N333" s="4" t="str">
        <f>IF(AtlasReport_1_Table_1[[#This Row],[Reference]]="Purchase order",_xll.AtlasFormulas.AtlasFunctions.AtlasBalance("UAT",DataAreaId,"T.MarkupTrans","Sum|Posted|0","","","","","","","MarkupCode|TransTableId|TransRecId","TPP","492",$L333),"")</f>
        <v/>
      </c>
    </row>
    <row r="334" spans="1:14">
      <c r="A334" s="8" t="s">
        <v>902</v>
      </c>
      <c r="B334" s="8" t="s">
        <v>1013</v>
      </c>
      <c r="C334" s="8" t="s">
        <v>1025</v>
      </c>
      <c r="D334" s="8" t="s">
        <v>1026</v>
      </c>
      <c r="E334" s="8" t="s">
        <v>237</v>
      </c>
      <c r="F334" s="8" t="s">
        <v>238</v>
      </c>
      <c r="G334" s="6">
        <v>43101</v>
      </c>
      <c r="H334" s="6">
        <v>43101</v>
      </c>
      <c r="I334" s="4">
        <v>30</v>
      </c>
      <c r="J334" s="8" t="s">
        <v>66</v>
      </c>
      <c r="K334" s="8" t="s">
        <v>1027</v>
      </c>
      <c r="L334" s="4" t="str">
        <f>IF(AtlasReport_1_Table_1[[#This Row],[Reference]]="Purchase order",_xll.AtlasFormulas.AtlasFunctions.AtlasTable("UAT",DataAreaId,"T.VendInvoiceTrans","%RecId","","","","","","","ItemId|PurchID|InventTransId",$C334,$B334,$K334),"")</f>
        <v/>
      </c>
      <c r="M334" s="4" t="str">
        <f>IF(AtlasReport_1_Table_1[[#This Row],[Reference]]="Purchase order",_xll.AtlasFormulas.AtlasFunctions.AtlasTable("UAT",DataAreaId,"T.MarkupTrans","%CurrencyCode","","","","","","","MarkupCode|TransRecId|TransTableId","TPP",$L334,"492"),"")</f>
        <v/>
      </c>
      <c r="N334" s="4" t="str">
        <f>IF(AtlasReport_1_Table_1[[#This Row],[Reference]]="Purchase order",_xll.AtlasFormulas.AtlasFunctions.AtlasBalance("UAT",DataAreaId,"T.MarkupTrans","Sum|Posted|0","","","","","","","MarkupCode|TransTableId|TransRecId","TPP","492",$L334),"")</f>
        <v/>
      </c>
    </row>
    <row r="335" spans="1:14">
      <c r="A335" s="8" t="s">
        <v>902</v>
      </c>
      <c r="B335" s="8" t="s">
        <v>1013</v>
      </c>
      <c r="C335" s="8" t="s">
        <v>599</v>
      </c>
      <c r="D335" s="8" t="s">
        <v>600</v>
      </c>
      <c r="E335" s="8" t="s">
        <v>237</v>
      </c>
      <c r="F335" s="8" t="s">
        <v>238</v>
      </c>
      <c r="G335" s="6">
        <v>43101</v>
      </c>
      <c r="H335" s="6">
        <v>43101</v>
      </c>
      <c r="I335" s="4">
        <v>28892</v>
      </c>
      <c r="J335" s="8" t="s">
        <v>66</v>
      </c>
      <c r="K335" s="8" t="s">
        <v>1028</v>
      </c>
      <c r="L335" s="4" t="str">
        <f>IF(AtlasReport_1_Table_1[[#This Row],[Reference]]="Purchase order",_xll.AtlasFormulas.AtlasFunctions.AtlasTable("UAT",DataAreaId,"T.VendInvoiceTrans","%RecId","","","","","","","ItemId|PurchID|InventTransId",$C335,$B335,$K335),"")</f>
        <v/>
      </c>
      <c r="M335" s="4" t="str">
        <f>IF(AtlasReport_1_Table_1[[#This Row],[Reference]]="Purchase order",_xll.AtlasFormulas.AtlasFunctions.AtlasTable("UAT",DataAreaId,"T.MarkupTrans","%CurrencyCode","","","","","","","MarkupCode|TransRecId|TransTableId","TPP",$L335,"492"),"")</f>
        <v/>
      </c>
      <c r="N335" s="4" t="str">
        <f>IF(AtlasReport_1_Table_1[[#This Row],[Reference]]="Purchase order",_xll.AtlasFormulas.AtlasFunctions.AtlasBalance("UAT",DataAreaId,"T.MarkupTrans","Sum|Posted|0","","","","","","","MarkupCode|TransTableId|TransRecId","TPP","492",$L335),"")</f>
        <v/>
      </c>
    </row>
    <row r="336" spans="1:14">
      <c r="A336" s="8" t="s">
        <v>902</v>
      </c>
      <c r="B336" s="8" t="s">
        <v>1013</v>
      </c>
      <c r="C336" s="8" t="s">
        <v>1029</v>
      </c>
      <c r="D336" s="8" t="s">
        <v>1030</v>
      </c>
      <c r="E336" s="8" t="s">
        <v>237</v>
      </c>
      <c r="F336" s="8" t="s">
        <v>238</v>
      </c>
      <c r="G336" s="6">
        <v>43101</v>
      </c>
      <c r="H336" s="6">
        <v>43101</v>
      </c>
      <c r="I336" s="4">
        <v>14</v>
      </c>
      <c r="J336" s="8" t="s">
        <v>66</v>
      </c>
      <c r="K336" s="8" t="s">
        <v>1031</v>
      </c>
      <c r="L336" s="4" t="str">
        <f>IF(AtlasReport_1_Table_1[[#This Row],[Reference]]="Purchase order",_xll.AtlasFormulas.AtlasFunctions.AtlasTable("UAT",DataAreaId,"T.VendInvoiceTrans","%RecId","","","","","","","ItemId|PurchID|InventTransId",$C336,$B336,$K336),"")</f>
        <v/>
      </c>
      <c r="M336" s="4" t="str">
        <f>IF(AtlasReport_1_Table_1[[#This Row],[Reference]]="Purchase order",_xll.AtlasFormulas.AtlasFunctions.AtlasTable("UAT",DataAreaId,"T.MarkupTrans","%CurrencyCode","","","","","","","MarkupCode|TransRecId|TransTableId","TPP",$L336,"492"),"")</f>
        <v/>
      </c>
      <c r="N336" s="4" t="str">
        <f>IF(AtlasReport_1_Table_1[[#This Row],[Reference]]="Purchase order",_xll.AtlasFormulas.AtlasFunctions.AtlasBalance("UAT",DataAreaId,"T.MarkupTrans","Sum|Posted|0","","","","","","","MarkupCode|TransTableId|TransRecId","TPP","492",$L336),"")</f>
        <v/>
      </c>
    </row>
    <row r="337" spans="1:14">
      <c r="A337" s="8" t="s">
        <v>902</v>
      </c>
      <c r="B337" s="8" t="s">
        <v>1013</v>
      </c>
      <c r="C337" s="8" t="s">
        <v>1032</v>
      </c>
      <c r="D337" s="8" t="s">
        <v>1033</v>
      </c>
      <c r="E337" s="8" t="s">
        <v>237</v>
      </c>
      <c r="F337" s="8" t="s">
        <v>238</v>
      </c>
      <c r="G337" s="6">
        <v>43101</v>
      </c>
      <c r="H337" s="6">
        <v>43101</v>
      </c>
      <c r="I337" s="4">
        <v>153</v>
      </c>
      <c r="J337" s="8" t="s">
        <v>22</v>
      </c>
      <c r="K337" s="8" t="s">
        <v>1034</v>
      </c>
      <c r="L337" s="4" t="str">
        <f>IF(AtlasReport_1_Table_1[[#This Row],[Reference]]="Purchase order",_xll.AtlasFormulas.AtlasFunctions.AtlasTable("UAT",DataAreaId,"T.VendInvoiceTrans","%RecId","","","","","","","ItemId|PurchID|InventTransId",$C337,$B337,$K337),"")</f>
        <v/>
      </c>
      <c r="M337" s="4" t="str">
        <f>IF(AtlasReport_1_Table_1[[#This Row],[Reference]]="Purchase order",_xll.AtlasFormulas.AtlasFunctions.AtlasTable("UAT",DataAreaId,"T.MarkupTrans","%CurrencyCode","","","","","","","MarkupCode|TransRecId|TransTableId","TPP",$L337,"492"),"")</f>
        <v/>
      </c>
      <c r="N337" s="4" t="str">
        <f>IF(AtlasReport_1_Table_1[[#This Row],[Reference]]="Purchase order",_xll.AtlasFormulas.AtlasFunctions.AtlasBalance("UAT",DataAreaId,"T.MarkupTrans","Sum|Posted|0","","","","","","","MarkupCode|TransTableId|TransRecId","TPP","492",$L337),"")</f>
        <v/>
      </c>
    </row>
    <row r="338" spans="1:14">
      <c r="A338" s="8" t="s">
        <v>902</v>
      </c>
      <c r="B338" s="8" t="s">
        <v>1013</v>
      </c>
      <c r="C338" s="8" t="s">
        <v>1035</v>
      </c>
      <c r="D338" s="8" t="s">
        <v>1036</v>
      </c>
      <c r="E338" s="8" t="s">
        <v>237</v>
      </c>
      <c r="F338" s="8" t="s">
        <v>238</v>
      </c>
      <c r="G338" s="6">
        <v>43101</v>
      </c>
      <c r="H338" s="6">
        <v>43101</v>
      </c>
      <c r="I338" s="4">
        <v>7</v>
      </c>
      <c r="J338" s="8" t="s">
        <v>22</v>
      </c>
      <c r="K338" s="8" t="s">
        <v>1037</v>
      </c>
      <c r="L338" s="4" t="str">
        <f>IF(AtlasReport_1_Table_1[[#This Row],[Reference]]="Purchase order",_xll.AtlasFormulas.AtlasFunctions.AtlasTable("UAT",DataAreaId,"T.VendInvoiceTrans","%RecId","","","","","","","ItemId|PurchID|InventTransId",$C338,$B338,$K338),"")</f>
        <v/>
      </c>
      <c r="M338" s="4" t="str">
        <f>IF(AtlasReport_1_Table_1[[#This Row],[Reference]]="Purchase order",_xll.AtlasFormulas.AtlasFunctions.AtlasTable("UAT",DataAreaId,"T.MarkupTrans","%CurrencyCode","","","","","","","MarkupCode|TransRecId|TransTableId","TPP",$L338,"492"),"")</f>
        <v/>
      </c>
      <c r="N338" s="4" t="str">
        <f>IF(AtlasReport_1_Table_1[[#This Row],[Reference]]="Purchase order",_xll.AtlasFormulas.AtlasFunctions.AtlasBalance("UAT",DataAreaId,"T.MarkupTrans","Sum|Posted|0","","","","","","","MarkupCode|TransTableId|TransRecId","TPP","492",$L338),"")</f>
        <v/>
      </c>
    </row>
    <row r="339" spans="1:14">
      <c r="A339" s="8" t="s">
        <v>902</v>
      </c>
      <c r="B339" s="8" t="s">
        <v>1013</v>
      </c>
      <c r="C339" s="8" t="s">
        <v>212</v>
      </c>
      <c r="D339" s="8" t="s">
        <v>216</v>
      </c>
      <c r="E339" s="8" t="s">
        <v>237</v>
      </c>
      <c r="F339" s="8" t="s">
        <v>238</v>
      </c>
      <c r="G339" s="6">
        <v>43101</v>
      </c>
      <c r="H339" s="6">
        <v>43101</v>
      </c>
      <c r="I339" s="4">
        <v>71</v>
      </c>
      <c r="J339" s="8" t="s">
        <v>22</v>
      </c>
      <c r="K339" s="8" t="s">
        <v>1038</v>
      </c>
      <c r="L339" s="4" t="str">
        <f>IF(AtlasReport_1_Table_1[[#This Row],[Reference]]="Purchase order",_xll.AtlasFormulas.AtlasFunctions.AtlasTable("UAT",DataAreaId,"T.VendInvoiceTrans","%RecId","","","","","","","ItemId|PurchID|InventTransId",$C339,$B339,$K339),"")</f>
        <v/>
      </c>
      <c r="M339" s="4" t="str">
        <f>IF(AtlasReport_1_Table_1[[#This Row],[Reference]]="Purchase order",_xll.AtlasFormulas.AtlasFunctions.AtlasTable("UAT",DataAreaId,"T.MarkupTrans","%CurrencyCode","","","","","","","MarkupCode|TransRecId|TransTableId","TPP",$L339,"492"),"")</f>
        <v/>
      </c>
      <c r="N339" s="4" t="str">
        <f>IF(AtlasReport_1_Table_1[[#This Row],[Reference]]="Purchase order",_xll.AtlasFormulas.AtlasFunctions.AtlasBalance("UAT",DataAreaId,"T.MarkupTrans","Sum|Posted|0","","","","","","","MarkupCode|TransTableId|TransRecId","TPP","492",$L339),"")</f>
        <v/>
      </c>
    </row>
    <row r="340" spans="1:14">
      <c r="A340" s="8" t="s">
        <v>902</v>
      </c>
      <c r="B340" s="8" t="s">
        <v>1013</v>
      </c>
      <c r="C340" s="8" t="s">
        <v>518</v>
      </c>
      <c r="D340" s="8" t="s">
        <v>519</v>
      </c>
      <c r="E340" s="8" t="s">
        <v>237</v>
      </c>
      <c r="F340" s="8" t="s">
        <v>238</v>
      </c>
      <c r="G340" s="6">
        <v>43101</v>
      </c>
      <c r="H340" s="6">
        <v>43101</v>
      </c>
      <c r="I340" s="4">
        <v>100</v>
      </c>
      <c r="J340" s="8" t="s">
        <v>22</v>
      </c>
      <c r="K340" s="8" t="s">
        <v>1039</v>
      </c>
      <c r="L340" s="4" t="str">
        <f>IF(AtlasReport_1_Table_1[[#This Row],[Reference]]="Purchase order",_xll.AtlasFormulas.AtlasFunctions.AtlasTable("UAT",DataAreaId,"T.VendInvoiceTrans","%RecId","","","","","","","ItemId|PurchID|InventTransId",$C340,$B340,$K340),"")</f>
        <v/>
      </c>
      <c r="M340" s="4" t="str">
        <f>IF(AtlasReport_1_Table_1[[#This Row],[Reference]]="Purchase order",_xll.AtlasFormulas.AtlasFunctions.AtlasTable("UAT",DataAreaId,"T.MarkupTrans","%CurrencyCode","","","","","","","MarkupCode|TransRecId|TransTableId","TPP",$L340,"492"),"")</f>
        <v/>
      </c>
      <c r="N340" s="4" t="str">
        <f>IF(AtlasReport_1_Table_1[[#This Row],[Reference]]="Purchase order",_xll.AtlasFormulas.AtlasFunctions.AtlasBalance("UAT",DataAreaId,"T.MarkupTrans","Sum|Posted|0","","","","","","","MarkupCode|TransTableId|TransRecId","TPP","492",$L340),"")</f>
        <v/>
      </c>
    </row>
    <row r="341" spans="1:14">
      <c r="A341" s="8" t="s">
        <v>902</v>
      </c>
      <c r="B341" s="8" t="s">
        <v>1013</v>
      </c>
      <c r="C341" s="8" t="s">
        <v>1040</v>
      </c>
      <c r="D341" s="8" t="s">
        <v>1041</v>
      </c>
      <c r="E341" s="8" t="s">
        <v>237</v>
      </c>
      <c r="F341" s="8" t="s">
        <v>238</v>
      </c>
      <c r="G341" s="6">
        <v>43101</v>
      </c>
      <c r="H341" s="6">
        <v>43101</v>
      </c>
      <c r="I341" s="4">
        <v>146</v>
      </c>
      <c r="J341" s="8" t="s">
        <v>22</v>
      </c>
      <c r="K341" s="8" t="s">
        <v>1042</v>
      </c>
      <c r="L341" s="4" t="str">
        <f>IF(AtlasReport_1_Table_1[[#This Row],[Reference]]="Purchase order",_xll.AtlasFormulas.AtlasFunctions.AtlasTable("UAT",DataAreaId,"T.VendInvoiceTrans","%RecId","","","","","","","ItemId|PurchID|InventTransId",$C341,$B341,$K341),"")</f>
        <v/>
      </c>
      <c r="M341" s="4" t="str">
        <f>IF(AtlasReport_1_Table_1[[#This Row],[Reference]]="Purchase order",_xll.AtlasFormulas.AtlasFunctions.AtlasTable("UAT",DataAreaId,"T.MarkupTrans","%CurrencyCode","","","","","","","MarkupCode|TransRecId|TransTableId","TPP",$L341,"492"),"")</f>
        <v/>
      </c>
      <c r="N341" s="4" t="str">
        <f>IF(AtlasReport_1_Table_1[[#This Row],[Reference]]="Purchase order",_xll.AtlasFormulas.AtlasFunctions.AtlasBalance("UAT",DataAreaId,"T.MarkupTrans","Sum|Posted|0","","","","","","","MarkupCode|TransTableId|TransRecId","TPP","492",$L341),"")</f>
        <v/>
      </c>
    </row>
    <row r="342" spans="1:14">
      <c r="A342" s="8" t="s">
        <v>902</v>
      </c>
      <c r="B342" s="8" t="s">
        <v>1013</v>
      </c>
      <c r="C342" s="8" t="s">
        <v>506</v>
      </c>
      <c r="D342" s="8" t="s">
        <v>507</v>
      </c>
      <c r="E342" s="8" t="s">
        <v>237</v>
      </c>
      <c r="F342" s="8" t="s">
        <v>238</v>
      </c>
      <c r="G342" s="6">
        <v>43101</v>
      </c>
      <c r="H342" s="6">
        <v>43101</v>
      </c>
      <c r="I342" s="4">
        <v>65</v>
      </c>
      <c r="J342" s="8" t="s">
        <v>22</v>
      </c>
      <c r="K342" s="8" t="s">
        <v>1043</v>
      </c>
      <c r="L342" s="4" t="str">
        <f>IF(AtlasReport_1_Table_1[[#This Row],[Reference]]="Purchase order",_xll.AtlasFormulas.AtlasFunctions.AtlasTable("UAT",DataAreaId,"T.VendInvoiceTrans","%RecId","","","","","","","ItemId|PurchID|InventTransId",$C342,$B342,$K342),"")</f>
        <v/>
      </c>
      <c r="M342" s="4" t="str">
        <f>IF(AtlasReport_1_Table_1[[#This Row],[Reference]]="Purchase order",_xll.AtlasFormulas.AtlasFunctions.AtlasTable("UAT",DataAreaId,"T.MarkupTrans","%CurrencyCode","","","","","","","MarkupCode|TransRecId|TransTableId","TPP",$L342,"492"),"")</f>
        <v/>
      </c>
      <c r="N342" s="4" t="str">
        <f>IF(AtlasReport_1_Table_1[[#This Row],[Reference]]="Purchase order",_xll.AtlasFormulas.AtlasFunctions.AtlasBalance("UAT",DataAreaId,"T.MarkupTrans","Sum|Posted|0","","","","","","","MarkupCode|TransTableId|TransRecId","TPP","492",$L342),"")</f>
        <v/>
      </c>
    </row>
    <row r="343" spans="1:14">
      <c r="A343" s="8" t="s">
        <v>902</v>
      </c>
      <c r="B343" s="8" t="s">
        <v>1013</v>
      </c>
      <c r="C343" s="8" t="s">
        <v>1044</v>
      </c>
      <c r="D343" s="8" t="s">
        <v>1045</v>
      </c>
      <c r="E343" s="8" t="s">
        <v>237</v>
      </c>
      <c r="F343" s="8" t="s">
        <v>238</v>
      </c>
      <c r="G343" s="6">
        <v>43101</v>
      </c>
      <c r="H343" s="6">
        <v>43101</v>
      </c>
      <c r="I343" s="4">
        <v>2895</v>
      </c>
      <c r="J343" s="8" t="s">
        <v>22</v>
      </c>
      <c r="K343" s="8" t="s">
        <v>1046</v>
      </c>
      <c r="L343" s="4" t="str">
        <f>IF(AtlasReport_1_Table_1[[#This Row],[Reference]]="Purchase order",_xll.AtlasFormulas.AtlasFunctions.AtlasTable("UAT",DataAreaId,"T.VendInvoiceTrans","%RecId","","","","","","","ItemId|PurchID|InventTransId",$C343,$B343,$K343),"")</f>
        <v/>
      </c>
      <c r="M343" s="4" t="str">
        <f>IF(AtlasReport_1_Table_1[[#This Row],[Reference]]="Purchase order",_xll.AtlasFormulas.AtlasFunctions.AtlasTable("UAT",DataAreaId,"T.MarkupTrans","%CurrencyCode","","","","","","","MarkupCode|TransRecId|TransTableId","TPP",$L343,"492"),"")</f>
        <v/>
      </c>
      <c r="N343" s="4" t="str">
        <f>IF(AtlasReport_1_Table_1[[#This Row],[Reference]]="Purchase order",_xll.AtlasFormulas.AtlasFunctions.AtlasBalance("UAT",DataAreaId,"T.MarkupTrans","Sum|Posted|0","","","","","","","MarkupCode|TransTableId|TransRecId","TPP","492",$L343),"")</f>
        <v/>
      </c>
    </row>
    <row r="344" spans="1:14">
      <c r="A344" s="8" t="s">
        <v>902</v>
      </c>
      <c r="B344" s="8" t="s">
        <v>1013</v>
      </c>
      <c r="C344" s="8" t="s">
        <v>1047</v>
      </c>
      <c r="D344" s="8" t="s">
        <v>1048</v>
      </c>
      <c r="E344" s="8" t="s">
        <v>237</v>
      </c>
      <c r="F344" s="8" t="s">
        <v>238</v>
      </c>
      <c r="G344" s="6">
        <v>43101</v>
      </c>
      <c r="H344" s="6">
        <v>43101</v>
      </c>
      <c r="I344" s="4">
        <v>2835</v>
      </c>
      <c r="J344" s="8" t="s">
        <v>22</v>
      </c>
      <c r="K344" s="8" t="s">
        <v>1049</v>
      </c>
      <c r="L344" s="4" t="str">
        <f>IF(AtlasReport_1_Table_1[[#This Row],[Reference]]="Purchase order",_xll.AtlasFormulas.AtlasFunctions.AtlasTable("UAT",DataAreaId,"T.VendInvoiceTrans","%RecId","","","","","","","ItemId|PurchID|InventTransId",$C344,$B344,$K344),"")</f>
        <v/>
      </c>
      <c r="M344" s="4" t="str">
        <f>IF(AtlasReport_1_Table_1[[#This Row],[Reference]]="Purchase order",_xll.AtlasFormulas.AtlasFunctions.AtlasTable("UAT",DataAreaId,"T.MarkupTrans","%CurrencyCode","","","","","","","MarkupCode|TransRecId|TransTableId","TPP",$L344,"492"),"")</f>
        <v/>
      </c>
      <c r="N344" s="4" t="str">
        <f>IF(AtlasReport_1_Table_1[[#This Row],[Reference]]="Purchase order",_xll.AtlasFormulas.AtlasFunctions.AtlasBalance("UAT",DataAreaId,"T.MarkupTrans","Sum|Posted|0","","","","","","","MarkupCode|TransTableId|TransRecId","TPP","492",$L344),"")</f>
        <v/>
      </c>
    </row>
    <row r="345" spans="1:14">
      <c r="A345" s="8" t="s">
        <v>902</v>
      </c>
      <c r="B345" s="8" t="s">
        <v>1013</v>
      </c>
      <c r="C345" s="8" t="s">
        <v>850</v>
      </c>
      <c r="D345" s="8" t="s">
        <v>851</v>
      </c>
      <c r="E345" s="8" t="s">
        <v>237</v>
      </c>
      <c r="F345" s="8" t="s">
        <v>238</v>
      </c>
      <c r="G345" s="6">
        <v>43101</v>
      </c>
      <c r="H345" s="6">
        <v>43101</v>
      </c>
      <c r="I345" s="4">
        <v>3060</v>
      </c>
      <c r="J345" s="8" t="s">
        <v>22</v>
      </c>
      <c r="K345" s="8" t="s">
        <v>1050</v>
      </c>
      <c r="L345" s="4" t="str">
        <f>IF(AtlasReport_1_Table_1[[#This Row],[Reference]]="Purchase order",_xll.AtlasFormulas.AtlasFunctions.AtlasTable("UAT",DataAreaId,"T.VendInvoiceTrans","%RecId","","","","","","","ItemId|PurchID|InventTransId",$C345,$B345,$K345),"")</f>
        <v/>
      </c>
      <c r="M345" s="4" t="str">
        <f>IF(AtlasReport_1_Table_1[[#This Row],[Reference]]="Purchase order",_xll.AtlasFormulas.AtlasFunctions.AtlasTable("UAT",DataAreaId,"T.MarkupTrans","%CurrencyCode","","","","","","","MarkupCode|TransRecId|TransTableId","TPP",$L345,"492"),"")</f>
        <v/>
      </c>
      <c r="N345" s="4" t="str">
        <f>IF(AtlasReport_1_Table_1[[#This Row],[Reference]]="Purchase order",_xll.AtlasFormulas.AtlasFunctions.AtlasBalance("UAT",DataAreaId,"T.MarkupTrans","Sum|Posted|0","","","","","","","MarkupCode|TransTableId|TransRecId","TPP","492",$L345),"")</f>
        <v/>
      </c>
    </row>
    <row r="346" spans="1:14">
      <c r="A346" s="8" t="s">
        <v>902</v>
      </c>
      <c r="B346" s="8" t="s">
        <v>1013</v>
      </c>
      <c r="C346" s="8" t="s">
        <v>1051</v>
      </c>
      <c r="D346" s="8" t="s">
        <v>1052</v>
      </c>
      <c r="E346" s="8" t="s">
        <v>237</v>
      </c>
      <c r="F346" s="8" t="s">
        <v>238</v>
      </c>
      <c r="G346" s="6">
        <v>43101</v>
      </c>
      <c r="H346" s="6">
        <v>43101</v>
      </c>
      <c r="I346" s="4">
        <v>4420</v>
      </c>
      <c r="J346" s="8" t="s">
        <v>22</v>
      </c>
      <c r="K346" s="8" t="s">
        <v>1053</v>
      </c>
      <c r="L346" s="4" t="str">
        <f>IF(AtlasReport_1_Table_1[[#This Row],[Reference]]="Purchase order",_xll.AtlasFormulas.AtlasFunctions.AtlasTable("UAT",DataAreaId,"T.VendInvoiceTrans","%RecId","","","","","","","ItemId|PurchID|InventTransId",$C346,$B346,$K346),"")</f>
        <v/>
      </c>
      <c r="M346" s="4" t="str">
        <f>IF(AtlasReport_1_Table_1[[#This Row],[Reference]]="Purchase order",_xll.AtlasFormulas.AtlasFunctions.AtlasTable("UAT",DataAreaId,"T.MarkupTrans","%CurrencyCode","","","","","","","MarkupCode|TransRecId|TransTableId","TPP",$L346,"492"),"")</f>
        <v/>
      </c>
      <c r="N346" s="4" t="str">
        <f>IF(AtlasReport_1_Table_1[[#This Row],[Reference]]="Purchase order",_xll.AtlasFormulas.AtlasFunctions.AtlasBalance("UAT",DataAreaId,"T.MarkupTrans","Sum|Posted|0","","","","","","","MarkupCode|TransTableId|TransRecId","TPP","492",$L346),"")</f>
        <v/>
      </c>
    </row>
    <row r="347" spans="1:14">
      <c r="A347" s="8" t="s">
        <v>902</v>
      </c>
      <c r="B347" s="8" t="s">
        <v>1013</v>
      </c>
      <c r="C347" s="8" t="s">
        <v>1054</v>
      </c>
      <c r="D347" s="8" t="s">
        <v>1055</v>
      </c>
      <c r="E347" s="8" t="s">
        <v>237</v>
      </c>
      <c r="F347" s="8" t="s">
        <v>238</v>
      </c>
      <c r="G347" s="6">
        <v>43101</v>
      </c>
      <c r="H347" s="6">
        <v>43101</v>
      </c>
      <c r="I347" s="4">
        <v>2340</v>
      </c>
      <c r="J347" s="8" t="s">
        <v>22</v>
      </c>
      <c r="K347" s="8" t="s">
        <v>1056</v>
      </c>
      <c r="L347" s="4" t="str">
        <f>IF(AtlasReport_1_Table_1[[#This Row],[Reference]]="Purchase order",_xll.AtlasFormulas.AtlasFunctions.AtlasTable("UAT",DataAreaId,"T.VendInvoiceTrans","%RecId","","","","","","","ItemId|PurchID|InventTransId",$C347,$B347,$K347),"")</f>
        <v/>
      </c>
      <c r="M347" s="4" t="str">
        <f>IF(AtlasReport_1_Table_1[[#This Row],[Reference]]="Purchase order",_xll.AtlasFormulas.AtlasFunctions.AtlasTable("UAT",DataAreaId,"T.MarkupTrans","%CurrencyCode","","","","","","","MarkupCode|TransRecId|TransTableId","TPP",$L347,"492"),"")</f>
        <v/>
      </c>
      <c r="N347" s="4" t="str">
        <f>IF(AtlasReport_1_Table_1[[#This Row],[Reference]]="Purchase order",_xll.AtlasFormulas.AtlasFunctions.AtlasBalance("UAT",DataAreaId,"T.MarkupTrans","Sum|Posted|0","","","","","","","MarkupCode|TransTableId|TransRecId","TPP","492",$L347),"")</f>
        <v/>
      </c>
    </row>
    <row r="348" spans="1:14">
      <c r="A348" s="8" t="s">
        <v>902</v>
      </c>
      <c r="B348" s="8" t="s">
        <v>1013</v>
      </c>
      <c r="C348" s="8" t="s">
        <v>871</v>
      </c>
      <c r="D348" s="8" t="s">
        <v>872</v>
      </c>
      <c r="E348" s="8" t="s">
        <v>237</v>
      </c>
      <c r="F348" s="8" t="s">
        <v>238</v>
      </c>
      <c r="G348" s="6">
        <v>43101</v>
      </c>
      <c r="H348" s="6">
        <v>43101</v>
      </c>
      <c r="I348" s="4">
        <v>6500</v>
      </c>
      <c r="J348" s="8" t="s">
        <v>22</v>
      </c>
      <c r="K348" s="8" t="s">
        <v>1057</v>
      </c>
      <c r="L348" s="4" t="str">
        <f>IF(AtlasReport_1_Table_1[[#This Row],[Reference]]="Purchase order",_xll.AtlasFormulas.AtlasFunctions.AtlasTable("UAT",DataAreaId,"T.VendInvoiceTrans","%RecId","","","","","","","ItemId|PurchID|InventTransId",$C348,$B348,$K348),"")</f>
        <v/>
      </c>
      <c r="M348" s="4" t="str">
        <f>IF(AtlasReport_1_Table_1[[#This Row],[Reference]]="Purchase order",_xll.AtlasFormulas.AtlasFunctions.AtlasTable("UAT",DataAreaId,"T.MarkupTrans","%CurrencyCode","","","","","","","MarkupCode|TransRecId|TransTableId","TPP",$L348,"492"),"")</f>
        <v/>
      </c>
      <c r="N348" s="4" t="str">
        <f>IF(AtlasReport_1_Table_1[[#This Row],[Reference]]="Purchase order",_xll.AtlasFormulas.AtlasFunctions.AtlasBalance("UAT",DataAreaId,"T.MarkupTrans","Sum|Posted|0","","","","","","","MarkupCode|TransTableId|TransRecId","TPP","492",$L348),"")</f>
        <v/>
      </c>
    </row>
    <row r="349" spans="1:14">
      <c r="A349" s="8" t="s">
        <v>902</v>
      </c>
      <c r="B349" s="8" t="s">
        <v>1013</v>
      </c>
      <c r="C349" s="8" t="s">
        <v>856</v>
      </c>
      <c r="D349" s="8" t="s">
        <v>857</v>
      </c>
      <c r="E349" s="8" t="s">
        <v>237</v>
      </c>
      <c r="F349" s="8" t="s">
        <v>238</v>
      </c>
      <c r="G349" s="6">
        <v>43101</v>
      </c>
      <c r="H349" s="6">
        <v>43101</v>
      </c>
      <c r="I349" s="4">
        <v>3660</v>
      </c>
      <c r="J349" s="8" t="s">
        <v>22</v>
      </c>
      <c r="K349" s="8" t="s">
        <v>1058</v>
      </c>
      <c r="L349" s="4" t="str">
        <f>IF(AtlasReport_1_Table_1[[#This Row],[Reference]]="Purchase order",_xll.AtlasFormulas.AtlasFunctions.AtlasTable("UAT",DataAreaId,"T.VendInvoiceTrans","%RecId","","","","","","","ItemId|PurchID|InventTransId",$C349,$B349,$K349),"")</f>
        <v/>
      </c>
      <c r="M349" s="4" t="str">
        <f>IF(AtlasReport_1_Table_1[[#This Row],[Reference]]="Purchase order",_xll.AtlasFormulas.AtlasFunctions.AtlasTable("UAT",DataAreaId,"T.MarkupTrans","%CurrencyCode","","","","","","","MarkupCode|TransRecId|TransTableId","TPP",$L349,"492"),"")</f>
        <v/>
      </c>
      <c r="N349" s="4" t="str">
        <f>IF(AtlasReport_1_Table_1[[#This Row],[Reference]]="Purchase order",_xll.AtlasFormulas.AtlasFunctions.AtlasBalance("UAT",DataAreaId,"T.MarkupTrans","Sum|Posted|0","","","","","","","MarkupCode|TransTableId|TransRecId","TPP","492",$L349),"")</f>
        <v/>
      </c>
    </row>
    <row r="350" spans="1:14">
      <c r="A350" s="8" t="s">
        <v>902</v>
      </c>
      <c r="B350" s="8" t="s">
        <v>1013</v>
      </c>
      <c r="C350" s="8" t="s">
        <v>1059</v>
      </c>
      <c r="D350" s="8" t="s">
        <v>1060</v>
      </c>
      <c r="E350" s="8" t="s">
        <v>237</v>
      </c>
      <c r="F350" s="8" t="s">
        <v>238</v>
      </c>
      <c r="G350" s="6">
        <v>43101</v>
      </c>
      <c r="H350" s="6">
        <v>43101</v>
      </c>
      <c r="I350" s="4">
        <v>3360</v>
      </c>
      <c r="J350" s="8" t="s">
        <v>22</v>
      </c>
      <c r="K350" s="8" t="s">
        <v>1061</v>
      </c>
      <c r="L350" s="4" t="str">
        <f>IF(AtlasReport_1_Table_1[[#This Row],[Reference]]="Purchase order",_xll.AtlasFormulas.AtlasFunctions.AtlasTable("UAT",DataAreaId,"T.VendInvoiceTrans","%RecId","","","","","","","ItemId|PurchID|InventTransId",$C350,$B350,$K350),"")</f>
        <v/>
      </c>
      <c r="M350" s="4" t="str">
        <f>IF(AtlasReport_1_Table_1[[#This Row],[Reference]]="Purchase order",_xll.AtlasFormulas.AtlasFunctions.AtlasTable("UAT",DataAreaId,"T.MarkupTrans","%CurrencyCode","","","","","","","MarkupCode|TransRecId|TransTableId","TPP",$L350,"492"),"")</f>
        <v/>
      </c>
      <c r="N350" s="4" t="str">
        <f>IF(AtlasReport_1_Table_1[[#This Row],[Reference]]="Purchase order",_xll.AtlasFormulas.AtlasFunctions.AtlasBalance("UAT",DataAreaId,"T.MarkupTrans","Sum|Posted|0","","","","","","","MarkupCode|TransTableId|TransRecId","TPP","492",$L350),"")</f>
        <v/>
      </c>
    </row>
    <row r="351" spans="1:14">
      <c r="A351" s="8" t="s">
        <v>902</v>
      </c>
      <c r="B351" s="8" t="s">
        <v>1013</v>
      </c>
      <c r="C351" s="8" t="s">
        <v>1062</v>
      </c>
      <c r="D351" s="8" t="s">
        <v>1063</v>
      </c>
      <c r="E351" s="8" t="s">
        <v>237</v>
      </c>
      <c r="F351" s="8" t="s">
        <v>238</v>
      </c>
      <c r="G351" s="6">
        <v>43101</v>
      </c>
      <c r="H351" s="6">
        <v>43101</v>
      </c>
      <c r="I351" s="4">
        <v>2700</v>
      </c>
      <c r="J351" s="8" t="s">
        <v>22</v>
      </c>
      <c r="K351" s="8" t="s">
        <v>1064</v>
      </c>
      <c r="L351" s="4" t="str">
        <f>IF(AtlasReport_1_Table_1[[#This Row],[Reference]]="Purchase order",_xll.AtlasFormulas.AtlasFunctions.AtlasTable("UAT",DataAreaId,"T.VendInvoiceTrans","%RecId","","","","","","","ItemId|PurchID|InventTransId",$C351,$B351,$K351),"")</f>
        <v/>
      </c>
      <c r="M351" s="4" t="str">
        <f>IF(AtlasReport_1_Table_1[[#This Row],[Reference]]="Purchase order",_xll.AtlasFormulas.AtlasFunctions.AtlasTable("UAT",DataAreaId,"T.MarkupTrans","%CurrencyCode","","","","","","","MarkupCode|TransRecId|TransTableId","TPP",$L351,"492"),"")</f>
        <v/>
      </c>
      <c r="N351" s="4" t="str">
        <f>IF(AtlasReport_1_Table_1[[#This Row],[Reference]]="Purchase order",_xll.AtlasFormulas.AtlasFunctions.AtlasBalance("UAT",DataAreaId,"T.MarkupTrans","Sum|Posted|0","","","","","","","MarkupCode|TransTableId|TransRecId","TPP","492",$L351),"")</f>
        <v/>
      </c>
    </row>
    <row r="352" spans="1:14">
      <c r="A352" s="8" t="s">
        <v>902</v>
      </c>
      <c r="B352" s="8" t="s">
        <v>1013</v>
      </c>
      <c r="C352" s="8" t="s">
        <v>1065</v>
      </c>
      <c r="D352" s="8" t="s">
        <v>1066</v>
      </c>
      <c r="E352" s="8" t="s">
        <v>237</v>
      </c>
      <c r="F352" s="8" t="s">
        <v>238</v>
      </c>
      <c r="G352" s="6">
        <v>43101</v>
      </c>
      <c r="H352" s="6">
        <v>43101</v>
      </c>
      <c r="I352" s="4">
        <v>23920</v>
      </c>
      <c r="J352" s="8" t="s">
        <v>22</v>
      </c>
      <c r="K352" s="8" t="s">
        <v>1067</v>
      </c>
      <c r="L352" s="4" t="str">
        <f>IF(AtlasReport_1_Table_1[[#This Row],[Reference]]="Purchase order",_xll.AtlasFormulas.AtlasFunctions.AtlasTable("UAT",DataAreaId,"T.VendInvoiceTrans","%RecId","","","","","","","ItemId|PurchID|InventTransId",$C352,$B352,$K352),"")</f>
        <v/>
      </c>
      <c r="M352" s="4" t="str">
        <f>IF(AtlasReport_1_Table_1[[#This Row],[Reference]]="Purchase order",_xll.AtlasFormulas.AtlasFunctions.AtlasTable("UAT",DataAreaId,"T.MarkupTrans","%CurrencyCode","","","","","","","MarkupCode|TransRecId|TransTableId","TPP",$L352,"492"),"")</f>
        <v/>
      </c>
      <c r="N352" s="4" t="str">
        <f>IF(AtlasReport_1_Table_1[[#This Row],[Reference]]="Purchase order",_xll.AtlasFormulas.AtlasFunctions.AtlasBalance("UAT",DataAreaId,"T.MarkupTrans","Sum|Posted|0","","","","","","","MarkupCode|TransTableId|TransRecId","TPP","492",$L352),"")</f>
        <v/>
      </c>
    </row>
    <row r="353" spans="1:14">
      <c r="A353" s="8" t="s">
        <v>902</v>
      </c>
      <c r="B353" s="8" t="s">
        <v>1013</v>
      </c>
      <c r="C353" s="8" t="s">
        <v>1068</v>
      </c>
      <c r="D353" s="8" t="s">
        <v>1069</v>
      </c>
      <c r="E353" s="8" t="s">
        <v>237</v>
      </c>
      <c r="F353" s="8" t="s">
        <v>238</v>
      </c>
      <c r="G353" s="6">
        <v>43101</v>
      </c>
      <c r="H353" s="6">
        <v>43101</v>
      </c>
      <c r="I353" s="4">
        <v>14220</v>
      </c>
      <c r="J353" s="8" t="s">
        <v>22</v>
      </c>
      <c r="K353" s="8" t="s">
        <v>1070</v>
      </c>
      <c r="L353" s="4" t="str">
        <f>IF(AtlasReport_1_Table_1[[#This Row],[Reference]]="Purchase order",_xll.AtlasFormulas.AtlasFunctions.AtlasTable("UAT",DataAreaId,"T.VendInvoiceTrans","%RecId","","","","","","","ItemId|PurchID|InventTransId",$C353,$B353,$K353),"")</f>
        <v/>
      </c>
      <c r="M353" s="4" t="str">
        <f>IF(AtlasReport_1_Table_1[[#This Row],[Reference]]="Purchase order",_xll.AtlasFormulas.AtlasFunctions.AtlasTable("UAT",DataAreaId,"T.MarkupTrans","%CurrencyCode","","","","","","","MarkupCode|TransRecId|TransTableId","TPP",$L353,"492"),"")</f>
        <v/>
      </c>
      <c r="N353" s="4" t="str">
        <f>IF(AtlasReport_1_Table_1[[#This Row],[Reference]]="Purchase order",_xll.AtlasFormulas.AtlasFunctions.AtlasBalance("UAT",DataAreaId,"T.MarkupTrans","Sum|Posted|0","","","","","","","MarkupCode|TransTableId|TransRecId","TPP","492",$L353),"")</f>
        <v/>
      </c>
    </row>
    <row r="354" spans="1:14">
      <c r="A354" s="8" t="s">
        <v>902</v>
      </c>
      <c r="B354" s="8" t="s">
        <v>1013</v>
      </c>
      <c r="C354" s="8" t="s">
        <v>1071</v>
      </c>
      <c r="D354" s="8" t="s">
        <v>1072</v>
      </c>
      <c r="E354" s="8" t="s">
        <v>237</v>
      </c>
      <c r="F354" s="8" t="s">
        <v>238</v>
      </c>
      <c r="G354" s="6">
        <v>43101</v>
      </c>
      <c r="H354" s="6">
        <v>43101</v>
      </c>
      <c r="I354" s="4">
        <v>3870</v>
      </c>
      <c r="J354" s="8" t="s">
        <v>22</v>
      </c>
      <c r="K354" s="8" t="s">
        <v>1073</v>
      </c>
      <c r="L354" s="4" t="str">
        <f>IF(AtlasReport_1_Table_1[[#This Row],[Reference]]="Purchase order",_xll.AtlasFormulas.AtlasFunctions.AtlasTable("UAT",DataAreaId,"T.VendInvoiceTrans","%RecId","","","","","","","ItemId|PurchID|InventTransId",$C354,$B354,$K354),"")</f>
        <v/>
      </c>
      <c r="M354" s="4" t="str">
        <f>IF(AtlasReport_1_Table_1[[#This Row],[Reference]]="Purchase order",_xll.AtlasFormulas.AtlasFunctions.AtlasTable("UAT",DataAreaId,"T.MarkupTrans","%CurrencyCode","","","","","","","MarkupCode|TransRecId|TransTableId","TPP",$L354,"492"),"")</f>
        <v/>
      </c>
      <c r="N354" s="4" t="str">
        <f>IF(AtlasReport_1_Table_1[[#This Row],[Reference]]="Purchase order",_xll.AtlasFormulas.AtlasFunctions.AtlasBalance("UAT",DataAreaId,"T.MarkupTrans","Sum|Posted|0","","","","","","","MarkupCode|TransTableId|TransRecId","TPP","492",$L354),"")</f>
        <v/>
      </c>
    </row>
    <row r="355" spans="1:14">
      <c r="A355" s="8" t="s">
        <v>902</v>
      </c>
      <c r="B355" s="8" t="s">
        <v>1013</v>
      </c>
      <c r="C355" s="8" t="s">
        <v>1074</v>
      </c>
      <c r="D355" s="8" t="s">
        <v>1075</v>
      </c>
      <c r="E355" s="8" t="s">
        <v>237</v>
      </c>
      <c r="F355" s="8" t="s">
        <v>238</v>
      </c>
      <c r="G355" s="6">
        <v>43101</v>
      </c>
      <c r="H355" s="6">
        <v>43101</v>
      </c>
      <c r="I355" s="4">
        <v>10</v>
      </c>
      <c r="J355" s="8" t="s">
        <v>22</v>
      </c>
      <c r="K355" s="8" t="s">
        <v>1076</v>
      </c>
      <c r="L355" s="4" t="str">
        <f>IF(AtlasReport_1_Table_1[[#This Row],[Reference]]="Purchase order",_xll.AtlasFormulas.AtlasFunctions.AtlasTable("UAT",DataAreaId,"T.VendInvoiceTrans","%RecId","","","","","","","ItemId|PurchID|InventTransId",$C355,$B355,$K355),"")</f>
        <v/>
      </c>
      <c r="M355" s="4" t="str">
        <f>IF(AtlasReport_1_Table_1[[#This Row],[Reference]]="Purchase order",_xll.AtlasFormulas.AtlasFunctions.AtlasTable("UAT",DataAreaId,"T.MarkupTrans","%CurrencyCode","","","","","","","MarkupCode|TransRecId|TransTableId","TPP",$L355,"492"),"")</f>
        <v/>
      </c>
      <c r="N355" s="4" t="str">
        <f>IF(AtlasReport_1_Table_1[[#This Row],[Reference]]="Purchase order",_xll.AtlasFormulas.AtlasFunctions.AtlasBalance("UAT",DataAreaId,"T.MarkupTrans","Sum|Posted|0","","","","","","","MarkupCode|TransTableId|TransRecId","TPP","492",$L355),"")</f>
        <v/>
      </c>
    </row>
    <row r="356" spans="1:14">
      <c r="A356" s="8" t="s">
        <v>902</v>
      </c>
      <c r="B356" s="8" t="s">
        <v>1013</v>
      </c>
      <c r="C356" s="8" t="s">
        <v>626</v>
      </c>
      <c r="D356" s="8" t="s">
        <v>627</v>
      </c>
      <c r="E356" s="8" t="s">
        <v>237</v>
      </c>
      <c r="F356" s="8" t="s">
        <v>238</v>
      </c>
      <c r="G356" s="6">
        <v>43101</v>
      </c>
      <c r="H356" s="6">
        <v>43101</v>
      </c>
      <c r="I356" s="4">
        <v>87</v>
      </c>
      <c r="J356" s="8" t="s">
        <v>22</v>
      </c>
      <c r="K356" s="8" t="s">
        <v>1077</v>
      </c>
      <c r="L356" s="4" t="str">
        <f>IF(AtlasReport_1_Table_1[[#This Row],[Reference]]="Purchase order",_xll.AtlasFormulas.AtlasFunctions.AtlasTable("UAT",DataAreaId,"T.VendInvoiceTrans","%RecId","","","","","","","ItemId|PurchID|InventTransId",$C356,$B356,$K356),"")</f>
        <v/>
      </c>
      <c r="M356" s="4" t="str">
        <f>IF(AtlasReport_1_Table_1[[#This Row],[Reference]]="Purchase order",_xll.AtlasFormulas.AtlasFunctions.AtlasTable("UAT",DataAreaId,"T.MarkupTrans","%CurrencyCode","","","","","","","MarkupCode|TransRecId|TransTableId","TPP",$L356,"492"),"")</f>
        <v/>
      </c>
      <c r="N356" s="4" t="str">
        <f>IF(AtlasReport_1_Table_1[[#This Row],[Reference]]="Purchase order",_xll.AtlasFormulas.AtlasFunctions.AtlasBalance("UAT",DataAreaId,"T.MarkupTrans","Sum|Posted|0","","","","","","","MarkupCode|TransTableId|TransRecId","TPP","492",$L356),"")</f>
        <v/>
      </c>
    </row>
    <row r="357" spans="1:14">
      <c r="A357" s="8" t="s">
        <v>902</v>
      </c>
      <c r="B357" s="8" t="s">
        <v>1013</v>
      </c>
      <c r="C357" s="8" t="s">
        <v>1078</v>
      </c>
      <c r="D357" s="8" t="s">
        <v>1079</v>
      </c>
      <c r="E357" s="8" t="s">
        <v>237</v>
      </c>
      <c r="F357" s="8" t="s">
        <v>238</v>
      </c>
      <c r="G357" s="6">
        <v>43101</v>
      </c>
      <c r="H357" s="6">
        <v>43101</v>
      </c>
      <c r="I357" s="4">
        <v>320</v>
      </c>
      <c r="J357" s="8" t="s">
        <v>22</v>
      </c>
      <c r="K357" s="8" t="s">
        <v>1080</v>
      </c>
      <c r="L357" s="4" t="str">
        <f>IF(AtlasReport_1_Table_1[[#This Row],[Reference]]="Purchase order",_xll.AtlasFormulas.AtlasFunctions.AtlasTable("UAT",DataAreaId,"T.VendInvoiceTrans","%RecId","","","","","","","ItemId|PurchID|InventTransId",$C357,$B357,$K357),"")</f>
        <v/>
      </c>
      <c r="M357" s="4" t="str">
        <f>IF(AtlasReport_1_Table_1[[#This Row],[Reference]]="Purchase order",_xll.AtlasFormulas.AtlasFunctions.AtlasTable("UAT",DataAreaId,"T.MarkupTrans","%CurrencyCode","","","","","","","MarkupCode|TransRecId|TransTableId","TPP",$L357,"492"),"")</f>
        <v/>
      </c>
      <c r="N357" s="4" t="str">
        <f>IF(AtlasReport_1_Table_1[[#This Row],[Reference]]="Purchase order",_xll.AtlasFormulas.AtlasFunctions.AtlasBalance("UAT",DataAreaId,"T.MarkupTrans","Sum|Posted|0","","","","","","","MarkupCode|TransTableId|TransRecId","TPP","492",$L357),"")</f>
        <v/>
      </c>
    </row>
    <row r="358" spans="1:14">
      <c r="A358" s="8" t="s">
        <v>902</v>
      </c>
      <c r="B358" s="8" t="s">
        <v>1013</v>
      </c>
      <c r="C358" s="8" t="s">
        <v>1081</v>
      </c>
      <c r="D358" s="8" t="s">
        <v>1082</v>
      </c>
      <c r="E358" s="8" t="s">
        <v>237</v>
      </c>
      <c r="F358" s="8" t="s">
        <v>238</v>
      </c>
      <c r="G358" s="6">
        <v>43101</v>
      </c>
      <c r="H358" s="6">
        <v>43101</v>
      </c>
      <c r="I358" s="4">
        <v>300</v>
      </c>
      <c r="J358" s="8" t="s">
        <v>22</v>
      </c>
      <c r="K358" s="8" t="s">
        <v>1083</v>
      </c>
      <c r="L358" s="4" t="str">
        <f>IF(AtlasReport_1_Table_1[[#This Row],[Reference]]="Purchase order",_xll.AtlasFormulas.AtlasFunctions.AtlasTable("UAT",DataAreaId,"T.VendInvoiceTrans","%RecId","","","","","","","ItemId|PurchID|InventTransId",$C358,$B358,$K358),"")</f>
        <v/>
      </c>
      <c r="M358" s="4" t="str">
        <f>IF(AtlasReport_1_Table_1[[#This Row],[Reference]]="Purchase order",_xll.AtlasFormulas.AtlasFunctions.AtlasTable("UAT",DataAreaId,"T.MarkupTrans","%CurrencyCode","","","","","","","MarkupCode|TransRecId|TransTableId","TPP",$L358,"492"),"")</f>
        <v/>
      </c>
      <c r="N358" s="4" t="str">
        <f>IF(AtlasReport_1_Table_1[[#This Row],[Reference]]="Purchase order",_xll.AtlasFormulas.AtlasFunctions.AtlasBalance("UAT",DataAreaId,"T.MarkupTrans","Sum|Posted|0","","","","","","","MarkupCode|TransTableId|TransRecId","TPP","492",$L358),"")</f>
        <v/>
      </c>
    </row>
    <row r="359" spans="1:14">
      <c r="A359" s="8" t="s">
        <v>902</v>
      </c>
      <c r="B359" s="8" t="s">
        <v>1013</v>
      </c>
      <c r="C359" s="8" t="s">
        <v>500</v>
      </c>
      <c r="D359" s="8" t="s">
        <v>501</v>
      </c>
      <c r="E359" s="8" t="s">
        <v>237</v>
      </c>
      <c r="F359" s="8" t="s">
        <v>238</v>
      </c>
      <c r="G359" s="6">
        <v>43101</v>
      </c>
      <c r="H359" s="6">
        <v>43101</v>
      </c>
      <c r="I359" s="4">
        <v>161</v>
      </c>
      <c r="J359" s="8" t="s">
        <v>22</v>
      </c>
      <c r="K359" s="8" t="s">
        <v>1084</v>
      </c>
      <c r="L359" s="4" t="str">
        <f>IF(AtlasReport_1_Table_1[[#This Row],[Reference]]="Purchase order",_xll.AtlasFormulas.AtlasFunctions.AtlasTable("UAT",DataAreaId,"T.VendInvoiceTrans","%RecId","","","","","","","ItemId|PurchID|InventTransId",$C359,$B359,$K359),"")</f>
        <v/>
      </c>
      <c r="M359" s="4" t="str">
        <f>IF(AtlasReport_1_Table_1[[#This Row],[Reference]]="Purchase order",_xll.AtlasFormulas.AtlasFunctions.AtlasTable("UAT",DataAreaId,"T.MarkupTrans","%CurrencyCode","","","","","","","MarkupCode|TransRecId|TransTableId","TPP",$L359,"492"),"")</f>
        <v/>
      </c>
      <c r="N359" s="4" t="str">
        <f>IF(AtlasReport_1_Table_1[[#This Row],[Reference]]="Purchase order",_xll.AtlasFormulas.AtlasFunctions.AtlasBalance("UAT",DataAreaId,"T.MarkupTrans","Sum|Posted|0","","","","","","","MarkupCode|TransTableId|TransRecId","TPP","492",$L359),"")</f>
        <v/>
      </c>
    </row>
    <row r="360" spans="1:14">
      <c r="A360" s="8" t="s">
        <v>902</v>
      </c>
      <c r="B360" s="8" t="s">
        <v>1013</v>
      </c>
      <c r="C360" s="8" t="s">
        <v>1085</v>
      </c>
      <c r="D360" s="8" t="s">
        <v>1086</v>
      </c>
      <c r="E360" s="8" t="s">
        <v>237</v>
      </c>
      <c r="F360" s="8" t="s">
        <v>238</v>
      </c>
      <c r="G360" s="6">
        <v>43101</v>
      </c>
      <c r="H360" s="6">
        <v>43101</v>
      </c>
      <c r="I360" s="4">
        <v>250</v>
      </c>
      <c r="J360" s="8" t="s">
        <v>22</v>
      </c>
      <c r="K360" s="8" t="s">
        <v>1087</v>
      </c>
      <c r="L360" s="4" t="str">
        <f>IF(AtlasReport_1_Table_1[[#This Row],[Reference]]="Purchase order",_xll.AtlasFormulas.AtlasFunctions.AtlasTable("UAT",DataAreaId,"T.VendInvoiceTrans","%RecId","","","","","","","ItemId|PurchID|InventTransId",$C360,$B360,$K360),"")</f>
        <v/>
      </c>
      <c r="M360" s="4" t="str">
        <f>IF(AtlasReport_1_Table_1[[#This Row],[Reference]]="Purchase order",_xll.AtlasFormulas.AtlasFunctions.AtlasTable("UAT",DataAreaId,"T.MarkupTrans","%CurrencyCode","","","","","","","MarkupCode|TransRecId|TransTableId","TPP",$L360,"492"),"")</f>
        <v/>
      </c>
      <c r="N360" s="4" t="str">
        <f>IF(AtlasReport_1_Table_1[[#This Row],[Reference]]="Purchase order",_xll.AtlasFormulas.AtlasFunctions.AtlasBalance("UAT",DataAreaId,"T.MarkupTrans","Sum|Posted|0","","","","","","","MarkupCode|TransTableId|TransRecId","TPP","492",$L360),"")</f>
        <v/>
      </c>
    </row>
    <row r="361" spans="1:14">
      <c r="A361" s="8" t="s">
        <v>902</v>
      </c>
      <c r="B361" s="8" t="s">
        <v>1013</v>
      </c>
      <c r="C361" s="8" t="s">
        <v>1088</v>
      </c>
      <c r="D361" s="8" t="s">
        <v>1089</v>
      </c>
      <c r="E361" s="8" t="s">
        <v>237</v>
      </c>
      <c r="F361" s="8" t="s">
        <v>238</v>
      </c>
      <c r="G361" s="6">
        <v>43101</v>
      </c>
      <c r="H361" s="6">
        <v>43101</v>
      </c>
      <c r="I361" s="4">
        <v>132</v>
      </c>
      <c r="J361" s="8" t="s">
        <v>22</v>
      </c>
      <c r="K361" s="8" t="s">
        <v>1090</v>
      </c>
      <c r="L361" s="4" t="str">
        <f>IF(AtlasReport_1_Table_1[[#This Row],[Reference]]="Purchase order",_xll.AtlasFormulas.AtlasFunctions.AtlasTable("UAT",DataAreaId,"T.VendInvoiceTrans","%RecId","","","","","","","ItemId|PurchID|InventTransId",$C361,$B361,$K361),"")</f>
        <v/>
      </c>
      <c r="M361" s="4" t="str">
        <f>IF(AtlasReport_1_Table_1[[#This Row],[Reference]]="Purchase order",_xll.AtlasFormulas.AtlasFunctions.AtlasTable("UAT",DataAreaId,"T.MarkupTrans","%CurrencyCode","","","","","","","MarkupCode|TransRecId|TransTableId","TPP",$L361,"492"),"")</f>
        <v/>
      </c>
      <c r="N361" s="4" t="str">
        <f>IF(AtlasReport_1_Table_1[[#This Row],[Reference]]="Purchase order",_xll.AtlasFormulas.AtlasFunctions.AtlasBalance("UAT",DataAreaId,"T.MarkupTrans","Sum|Posted|0","","","","","","","MarkupCode|TransTableId|TransRecId","TPP","492",$L361),"")</f>
        <v/>
      </c>
    </row>
    <row r="362" spans="1:14">
      <c r="A362" s="8" t="s">
        <v>902</v>
      </c>
      <c r="B362" s="8" t="s">
        <v>1013</v>
      </c>
      <c r="C362" s="8" t="s">
        <v>1091</v>
      </c>
      <c r="D362" s="8" t="s">
        <v>1092</v>
      </c>
      <c r="E362" s="8" t="s">
        <v>237</v>
      </c>
      <c r="F362" s="8" t="s">
        <v>238</v>
      </c>
      <c r="G362" s="6">
        <v>43101</v>
      </c>
      <c r="H362" s="6">
        <v>43101</v>
      </c>
      <c r="I362" s="4">
        <v>12</v>
      </c>
      <c r="J362" s="8" t="s">
        <v>22</v>
      </c>
      <c r="K362" s="8" t="s">
        <v>1093</v>
      </c>
      <c r="L362" s="4" t="str">
        <f>IF(AtlasReport_1_Table_1[[#This Row],[Reference]]="Purchase order",_xll.AtlasFormulas.AtlasFunctions.AtlasTable("UAT",DataAreaId,"T.VendInvoiceTrans","%RecId","","","","","","","ItemId|PurchID|InventTransId",$C362,$B362,$K362),"")</f>
        <v/>
      </c>
      <c r="M362" s="4" t="str">
        <f>IF(AtlasReport_1_Table_1[[#This Row],[Reference]]="Purchase order",_xll.AtlasFormulas.AtlasFunctions.AtlasTable("UAT",DataAreaId,"T.MarkupTrans","%CurrencyCode","","","","","","","MarkupCode|TransRecId|TransTableId","TPP",$L362,"492"),"")</f>
        <v/>
      </c>
      <c r="N362" s="4" t="str">
        <f>IF(AtlasReport_1_Table_1[[#This Row],[Reference]]="Purchase order",_xll.AtlasFormulas.AtlasFunctions.AtlasBalance("UAT",DataAreaId,"T.MarkupTrans","Sum|Posted|0","","","","","","","MarkupCode|TransTableId|TransRecId","TPP","492",$L362),"")</f>
        <v/>
      </c>
    </row>
    <row r="363" spans="1:14">
      <c r="A363" s="8" t="s">
        <v>902</v>
      </c>
      <c r="B363" s="8" t="s">
        <v>1013</v>
      </c>
      <c r="C363" s="8" t="s">
        <v>1094</v>
      </c>
      <c r="D363" s="8" t="s">
        <v>1095</v>
      </c>
      <c r="E363" s="8" t="s">
        <v>237</v>
      </c>
      <c r="F363" s="8" t="s">
        <v>238</v>
      </c>
      <c r="G363" s="6">
        <v>43101</v>
      </c>
      <c r="H363" s="6">
        <v>43101</v>
      </c>
      <c r="I363" s="4">
        <v>185</v>
      </c>
      <c r="J363" s="8" t="s">
        <v>22</v>
      </c>
      <c r="K363" s="8" t="s">
        <v>1096</v>
      </c>
      <c r="L363" s="4" t="str">
        <f>IF(AtlasReport_1_Table_1[[#This Row],[Reference]]="Purchase order",_xll.AtlasFormulas.AtlasFunctions.AtlasTable("UAT",DataAreaId,"T.VendInvoiceTrans","%RecId","","","","","","","ItemId|PurchID|InventTransId",$C363,$B363,$K363),"")</f>
        <v/>
      </c>
      <c r="M363" s="4" t="str">
        <f>IF(AtlasReport_1_Table_1[[#This Row],[Reference]]="Purchase order",_xll.AtlasFormulas.AtlasFunctions.AtlasTable("UAT",DataAreaId,"T.MarkupTrans","%CurrencyCode","","","","","","","MarkupCode|TransRecId|TransTableId","TPP",$L363,"492"),"")</f>
        <v/>
      </c>
      <c r="N363" s="4" t="str">
        <f>IF(AtlasReport_1_Table_1[[#This Row],[Reference]]="Purchase order",_xll.AtlasFormulas.AtlasFunctions.AtlasBalance("UAT",DataAreaId,"T.MarkupTrans","Sum|Posted|0","","","","","","","MarkupCode|TransTableId|TransRecId","TPP","492",$L363),"")</f>
        <v/>
      </c>
    </row>
    <row r="364" spans="1:14">
      <c r="A364" s="8" t="s">
        <v>902</v>
      </c>
      <c r="B364" s="8" t="s">
        <v>1013</v>
      </c>
      <c r="C364" s="8" t="s">
        <v>629</v>
      </c>
      <c r="D364" s="8" t="s">
        <v>630</v>
      </c>
      <c r="E364" s="8" t="s">
        <v>237</v>
      </c>
      <c r="F364" s="8" t="s">
        <v>238</v>
      </c>
      <c r="G364" s="6">
        <v>43101</v>
      </c>
      <c r="H364" s="6">
        <v>43101</v>
      </c>
      <c r="I364" s="4">
        <v>246</v>
      </c>
      <c r="J364" s="8" t="s">
        <v>22</v>
      </c>
      <c r="K364" s="8" t="s">
        <v>1097</v>
      </c>
      <c r="L364" s="4" t="str">
        <f>IF(AtlasReport_1_Table_1[[#This Row],[Reference]]="Purchase order",_xll.AtlasFormulas.AtlasFunctions.AtlasTable("UAT",DataAreaId,"T.VendInvoiceTrans","%RecId","","","","","","","ItemId|PurchID|InventTransId",$C364,$B364,$K364),"")</f>
        <v/>
      </c>
      <c r="M364" s="4" t="str">
        <f>IF(AtlasReport_1_Table_1[[#This Row],[Reference]]="Purchase order",_xll.AtlasFormulas.AtlasFunctions.AtlasTable("UAT",DataAreaId,"T.MarkupTrans","%CurrencyCode","","","","","","","MarkupCode|TransRecId|TransTableId","TPP",$L364,"492"),"")</f>
        <v/>
      </c>
      <c r="N364" s="4" t="str">
        <f>IF(AtlasReport_1_Table_1[[#This Row],[Reference]]="Purchase order",_xll.AtlasFormulas.AtlasFunctions.AtlasBalance("UAT",DataAreaId,"T.MarkupTrans","Sum|Posted|0","","","","","","","MarkupCode|TransTableId|TransRecId","TPP","492",$L364),"")</f>
        <v/>
      </c>
    </row>
    <row r="365" spans="1:14">
      <c r="A365" s="8" t="s">
        <v>902</v>
      </c>
      <c r="B365" s="8" t="s">
        <v>1013</v>
      </c>
      <c r="C365" s="8" t="s">
        <v>1098</v>
      </c>
      <c r="D365" s="8" t="s">
        <v>1099</v>
      </c>
      <c r="E365" s="8" t="s">
        <v>237</v>
      </c>
      <c r="F365" s="8" t="s">
        <v>238</v>
      </c>
      <c r="G365" s="6">
        <v>43101</v>
      </c>
      <c r="H365" s="6">
        <v>43101</v>
      </c>
      <c r="I365" s="4">
        <v>28.35</v>
      </c>
      <c r="J365" s="8" t="s">
        <v>66</v>
      </c>
      <c r="K365" s="8" t="s">
        <v>1100</v>
      </c>
      <c r="L365" s="4" t="str">
        <f>IF(AtlasReport_1_Table_1[[#This Row],[Reference]]="Purchase order",_xll.AtlasFormulas.AtlasFunctions.AtlasTable("UAT",DataAreaId,"T.VendInvoiceTrans","%RecId","","","","","","","ItemId|PurchID|InventTransId",$C365,$B365,$K365),"")</f>
        <v/>
      </c>
      <c r="M365" s="4" t="str">
        <f>IF(AtlasReport_1_Table_1[[#This Row],[Reference]]="Purchase order",_xll.AtlasFormulas.AtlasFunctions.AtlasTable("UAT",DataAreaId,"T.MarkupTrans","%CurrencyCode","","","","","","","MarkupCode|TransRecId|TransTableId","TPP",$L365,"492"),"")</f>
        <v/>
      </c>
      <c r="N365" s="4" t="str">
        <f>IF(AtlasReport_1_Table_1[[#This Row],[Reference]]="Purchase order",_xll.AtlasFormulas.AtlasFunctions.AtlasBalance("UAT",DataAreaId,"T.MarkupTrans","Sum|Posted|0","","","","","","","MarkupCode|TransTableId|TransRecId","TPP","492",$L365),"")</f>
        <v/>
      </c>
    </row>
    <row r="366" spans="1:14">
      <c r="A366" s="8" t="s">
        <v>185</v>
      </c>
      <c r="B366" s="8" t="s">
        <v>44</v>
      </c>
      <c r="C366" s="8" t="s">
        <v>189</v>
      </c>
      <c r="D366" s="8" t="s">
        <v>190</v>
      </c>
      <c r="E366" s="8" t="s">
        <v>237</v>
      </c>
      <c r="F366" s="8" t="s">
        <v>44</v>
      </c>
      <c r="G366" s="6">
        <v>43132</v>
      </c>
      <c r="H366" s="6">
        <v>43132</v>
      </c>
      <c r="I366" s="4">
        <v>0</v>
      </c>
      <c r="J366" s="8" t="s">
        <v>22</v>
      </c>
      <c r="K366" s="8" t="s">
        <v>1101</v>
      </c>
      <c r="L366" s="4" t="str">
        <f>IF(AtlasReport_1_Table_1[[#This Row],[Reference]]="Purchase order",_xll.AtlasFormulas.AtlasFunctions.AtlasTable("UAT",DataAreaId,"T.VendInvoiceTrans","%RecId","","","","","","","ItemId|PurchID|InventTransId",$C366,$B366,$K366),"")</f>
        <v/>
      </c>
      <c r="M366" s="4" t="str">
        <f>IF(AtlasReport_1_Table_1[[#This Row],[Reference]]="Purchase order",_xll.AtlasFormulas.AtlasFunctions.AtlasTable("UAT",DataAreaId,"T.MarkupTrans","%CurrencyCode","","","","","","","MarkupCode|TransRecId|TransTableId","TPP",$L366,"492"),"")</f>
        <v/>
      </c>
      <c r="N366" s="4" t="str">
        <f>IF(AtlasReport_1_Table_1[[#This Row],[Reference]]="Purchase order",_xll.AtlasFormulas.AtlasFunctions.AtlasBalance("UAT",DataAreaId,"T.MarkupTrans","Sum|Posted|0","","","","","","","MarkupCode|TransTableId|TransRecId","TPP","492",$L366),"")</f>
        <v/>
      </c>
    </row>
    <row r="367" spans="1:14">
      <c r="A367" s="8" t="s">
        <v>185</v>
      </c>
      <c r="B367" s="8" t="s">
        <v>44</v>
      </c>
      <c r="C367" s="8" t="s">
        <v>16</v>
      </c>
      <c r="D367" s="8" t="s">
        <v>19</v>
      </c>
      <c r="E367" s="8" t="s">
        <v>237</v>
      </c>
      <c r="F367" s="8" t="s">
        <v>44</v>
      </c>
      <c r="G367" s="6">
        <v>43154</v>
      </c>
      <c r="H367" s="6">
        <v>43154</v>
      </c>
      <c r="I367" s="4">
        <v>0</v>
      </c>
      <c r="J367" s="8" t="s">
        <v>23</v>
      </c>
      <c r="K367" s="8" t="s">
        <v>1102</v>
      </c>
      <c r="L367" s="4" t="str">
        <f>IF(AtlasReport_1_Table_1[[#This Row],[Reference]]="Purchase order",_xll.AtlasFormulas.AtlasFunctions.AtlasTable("UAT",DataAreaId,"T.VendInvoiceTrans","%RecId","","","","","","","ItemId|PurchID|InventTransId",$C367,$B367,$K367),"")</f>
        <v/>
      </c>
      <c r="M367" s="4" t="str">
        <f>IF(AtlasReport_1_Table_1[[#This Row],[Reference]]="Purchase order",_xll.AtlasFormulas.AtlasFunctions.AtlasTable("UAT",DataAreaId,"T.MarkupTrans","%CurrencyCode","","","","","","","MarkupCode|TransRecId|TransTableId","TPP",$L367,"492"),"")</f>
        <v/>
      </c>
      <c r="N367" s="4" t="str">
        <f>IF(AtlasReport_1_Table_1[[#This Row],[Reference]]="Purchase order",_xll.AtlasFormulas.AtlasFunctions.AtlasBalance("UAT",DataAreaId,"T.MarkupTrans","Sum|Posted|0","","","","","","","MarkupCode|TransTableId|TransRecId","TPP","492",$L367),"")</f>
        <v/>
      </c>
    </row>
    <row r="368" spans="1:14">
      <c r="A368" s="8" t="s">
        <v>185</v>
      </c>
      <c r="B368" s="8" t="s">
        <v>44</v>
      </c>
      <c r="C368" s="8" t="s">
        <v>43</v>
      </c>
      <c r="D368" s="8" t="s">
        <v>67</v>
      </c>
      <c r="E368" s="8" t="s">
        <v>237</v>
      </c>
      <c r="F368" s="8" t="s">
        <v>44</v>
      </c>
      <c r="G368" s="6">
        <v>43122</v>
      </c>
      <c r="H368" s="6">
        <v>43122</v>
      </c>
      <c r="I368" s="4">
        <v>0</v>
      </c>
      <c r="J368" s="8" t="s">
        <v>23</v>
      </c>
      <c r="K368" s="8" t="s">
        <v>1103</v>
      </c>
      <c r="L368" s="4" t="str">
        <f>IF(AtlasReport_1_Table_1[[#This Row],[Reference]]="Purchase order",_xll.AtlasFormulas.AtlasFunctions.AtlasTable("UAT",DataAreaId,"T.VendInvoiceTrans","%RecId","","","","","","","ItemId|PurchID|InventTransId",$C368,$B368,$K368),"")</f>
        <v/>
      </c>
      <c r="M368" s="4" t="str">
        <f>IF(AtlasReport_1_Table_1[[#This Row],[Reference]]="Purchase order",_xll.AtlasFormulas.AtlasFunctions.AtlasTable("UAT",DataAreaId,"T.MarkupTrans","%CurrencyCode","","","","","","","MarkupCode|TransRecId|TransTableId","TPP",$L368,"492"),"")</f>
        <v/>
      </c>
      <c r="N368" s="4" t="str">
        <f>IF(AtlasReport_1_Table_1[[#This Row],[Reference]]="Purchase order",_xll.AtlasFormulas.AtlasFunctions.AtlasBalance("UAT",DataAreaId,"T.MarkupTrans","Sum|Posted|0","","","","","","","MarkupCode|TransTableId|TransRecId","TPP","492",$L368),"")</f>
        <v/>
      </c>
    </row>
    <row r="369" spans="1:14">
      <c r="A369" s="8" t="s">
        <v>185</v>
      </c>
      <c r="B369" s="8" t="s">
        <v>44</v>
      </c>
      <c r="C369" s="8" t="s">
        <v>230</v>
      </c>
      <c r="D369" s="8" t="s">
        <v>231</v>
      </c>
      <c r="E369" s="8" t="s">
        <v>237</v>
      </c>
      <c r="F369" s="8" t="s">
        <v>44</v>
      </c>
      <c r="G369" s="6">
        <v>43132</v>
      </c>
      <c r="H369" s="6">
        <v>43132</v>
      </c>
      <c r="I369" s="4">
        <v>0</v>
      </c>
      <c r="J369" s="8" t="s">
        <v>22</v>
      </c>
      <c r="K369" s="8" t="s">
        <v>1104</v>
      </c>
      <c r="L369" s="4" t="str">
        <f>IF(AtlasReport_1_Table_1[[#This Row],[Reference]]="Purchase order",_xll.AtlasFormulas.AtlasFunctions.AtlasTable("UAT",DataAreaId,"T.VendInvoiceTrans","%RecId","","","","","","","ItemId|PurchID|InventTransId",$C369,$B369,$K369),"")</f>
        <v/>
      </c>
      <c r="M369" s="4" t="str">
        <f>IF(AtlasReport_1_Table_1[[#This Row],[Reference]]="Purchase order",_xll.AtlasFormulas.AtlasFunctions.AtlasTable("UAT",DataAreaId,"T.MarkupTrans","%CurrencyCode","","","","","","","MarkupCode|TransRecId|TransTableId","TPP",$L369,"492"),"")</f>
        <v/>
      </c>
      <c r="N369" s="4" t="str">
        <f>IF(AtlasReport_1_Table_1[[#This Row],[Reference]]="Purchase order",_xll.AtlasFormulas.AtlasFunctions.AtlasBalance("UAT",DataAreaId,"T.MarkupTrans","Sum|Posted|0","","","","","","","MarkupCode|TransTableId|TransRecId","TPP","492",$L369),"")</f>
        <v/>
      </c>
    </row>
    <row r="370" spans="1:14">
      <c r="A370" s="8" t="s">
        <v>185</v>
      </c>
      <c r="B370" s="8" t="s">
        <v>44</v>
      </c>
      <c r="C370" s="8" t="s">
        <v>64</v>
      </c>
      <c r="D370" s="8" t="s">
        <v>65</v>
      </c>
      <c r="E370" s="8" t="s">
        <v>237</v>
      </c>
      <c r="F370" s="8" t="s">
        <v>44</v>
      </c>
      <c r="G370" s="6">
        <v>43102</v>
      </c>
      <c r="H370" s="6">
        <v>43102</v>
      </c>
      <c r="I370" s="4">
        <v>0</v>
      </c>
      <c r="J370" s="8" t="s">
        <v>24</v>
      </c>
      <c r="K370" s="8" t="s">
        <v>1105</v>
      </c>
      <c r="L370" s="4" t="str">
        <f>IF(AtlasReport_1_Table_1[[#This Row],[Reference]]="Purchase order",_xll.AtlasFormulas.AtlasFunctions.AtlasTable("UAT",DataAreaId,"T.VendInvoiceTrans","%RecId","","","","","","","ItemId|PurchID|InventTransId",$C370,$B370,$K370),"")</f>
        <v/>
      </c>
      <c r="M370" s="4" t="str">
        <f>IF(AtlasReport_1_Table_1[[#This Row],[Reference]]="Purchase order",_xll.AtlasFormulas.AtlasFunctions.AtlasTable("UAT",DataAreaId,"T.MarkupTrans","%CurrencyCode","","","","","","","MarkupCode|TransRecId|TransTableId","TPP",$L370,"492"),"")</f>
        <v/>
      </c>
      <c r="N370" s="4" t="str">
        <f>IF(AtlasReport_1_Table_1[[#This Row],[Reference]]="Purchase order",_xll.AtlasFormulas.AtlasFunctions.AtlasBalance("UAT",DataAreaId,"T.MarkupTrans","Sum|Posted|0","","","","","","","MarkupCode|TransTableId|TransRecId","TPP","492",$L370),"")</f>
        <v/>
      </c>
    </row>
    <row r="371" spans="1:14">
      <c r="A371" s="8" t="s">
        <v>185</v>
      </c>
      <c r="B371" s="8" t="s">
        <v>44</v>
      </c>
      <c r="C371" s="8" t="s">
        <v>64</v>
      </c>
      <c r="D371" s="8" t="s">
        <v>65</v>
      </c>
      <c r="E371" s="8" t="s">
        <v>237</v>
      </c>
      <c r="F371" s="8" t="s">
        <v>44</v>
      </c>
      <c r="G371" s="6">
        <v>43130</v>
      </c>
      <c r="H371" s="6">
        <v>43130</v>
      </c>
      <c r="I371" s="4">
        <v>0</v>
      </c>
      <c r="J371" s="8" t="s">
        <v>24</v>
      </c>
      <c r="K371" s="8" t="s">
        <v>1106</v>
      </c>
      <c r="L371" s="4" t="str">
        <f>IF(AtlasReport_1_Table_1[[#This Row],[Reference]]="Purchase order",_xll.AtlasFormulas.AtlasFunctions.AtlasTable("UAT",DataAreaId,"T.VendInvoiceTrans","%RecId","","","","","","","ItemId|PurchID|InventTransId",$C371,$B371,$K371),"")</f>
        <v/>
      </c>
      <c r="M371" s="4" t="str">
        <f>IF(AtlasReport_1_Table_1[[#This Row],[Reference]]="Purchase order",_xll.AtlasFormulas.AtlasFunctions.AtlasTable("UAT",DataAreaId,"T.MarkupTrans","%CurrencyCode","","","","","","","MarkupCode|TransRecId|TransTableId","TPP",$L371,"492"),"")</f>
        <v/>
      </c>
      <c r="N371" s="4" t="str">
        <f>IF(AtlasReport_1_Table_1[[#This Row],[Reference]]="Purchase order",_xll.AtlasFormulas.AtlasFunctions.AtlasBalance("UAT",DataAreaId,"T.MarkupTrans","Sum|Posted|0","","","","","","","MarkupCode|TransTableId|TransRecId","TPP","492",$L371),"")</f>
        <v/>
      </c>
    </row>
    <row r="372" spans="1:14">
      <c r="A372" s="8" t="s">
        <v>185</v>
      </c>
      <c r="B372" s="8" t="s">
        <v>44</v>
      </c>
      <c r="C372" s="8" t="s">
        <v>64</v>
      </c>
      <c r="D372" s="8" t="s">
        <v>65</v>
      </c>
      <c r="E372" s="8" t="s">
        <v>237</v>
      </c>
      <c r="F372" s="8" t="s">
        <v>44</v>
      </c>
      <c r="G372" s="6">
        <v>43131</v>
      </c>
      <c r="H372" s="6">
        <v>43131</v>
      </c>
      <c r="I372" s="4">
        <v>0</v>
      </c>
      <c r="J372" s="8" t="s">
        <v>24</v>
      </c>
      <c r="K372" s="8" t="s">
        <v>1107</v>
      </c>
      <c r="L372" s="4" t="str">
        <f>IF(AtlasReport_1_Table_1[[#This Row],[Reference]]="Purchase order",_xll.AtlasFormulas.AtlasFunctions.AtlasTable("UAT",DataAreaId,"T.VendInvoiceTrans","%RecId","","","","","","","ItemId|PurchID|InventTransId",$C372,$B372,$K372),"")</f>
        <v/>
      </c>
      <c r="M372" s="4" t="str">
        <f>IF(AtlasReport_1_Table_1[[#This Row],[Reference]]="Purchase order",_xll.AtlasFormulas.AtlasFunctions.AtlasTable("UAT",DataAreaId,"T.MarkupTrans","%CurrencyCode","","","","","","","MarkupCode|TransRecId|TransTableId","TPP",$L372,"492"),"")</f>
        <v/>
      </c>
      <c r="N372" s="4" t="str">
        <f>IF(AtlasReport_1_Table_1[[#This Row],[Reference]]="Purchase order",_xll.AtlasFormulas.AtlasFunctions.AtlasBalance("UAT",DataAreaId,"T.MarkupTrans","Sum|Posted|0","","","","","","","MarkupCode|TransTableId|TransRecId","TPP","492",$L372),"")</f>
        <v/>
      </c>
    </row>
    <row r="373" spans="1:14">
      <c r="A373" s="8" t="s">
        <v>185</v>
      </c>
      <c r="B373" s="8" t="s">
        <v>44</v>
      </c>
      <c r="C373" s="8" t="s">
        <v>64</v>
      </c>
      <c r="D373" s="8" t="s">
        <v>65</v>
      </c>
      <c r="E373" s="8" t="s">
        <v>237</v>
      </c>
      <c r="F373" s="8" t="s">
        <v>44</v>
      </c>
      <c r="G373" s="6">
        <v>43143</v>
      </c>
      <c r="H373" s="6">
        <v>43143</v>
      </c>
      <c r="I373" s="4">
        <v>0</v>
      </c>
      <c r="J373" s="8" t="s">
        <v>24</v>
      </c>
      <c r="K373" s="8" t="s">
        <v>1108</v>
      </c>
      <c r="L373" s="4" t="str">
        <f>IF(AtlasReport_1_Table_1[[#This Row],[Reference]]="Purchase order",_xll.AtlasFormulas.AtlasFunctions.AtlasTable("UAT",DataAreaId,"T.VendInvoiceTrans","%RecId","","","","","","","ItemId|PurchID|InventTransId",$C373,$B373,$K373),"")</f>
        <v/>
      </c>
      <c r="M373" s="4" t="str">
        <f>IF(AtlasReport_1_Table_1[[#This Row],[Reference]]="Purchase order",_xll.AtlasFormulas.AtlasFunctions.AtlasTable("UAT",DataAreaId,"T.MarkupTrans","%CurrencyCode","","","","","","","MarkupCode|TransRecId|TransTableId","TPP",$L373,"492"),"")</f>
        <v/>
      </c>
      <c r="N373" s="4" t="str">
        <f>IF(AtlasReport_1_Table_1[[#This Row],[Reference]]="Purchase order",_xll.AtlasFormulas.AtlasFunctions.AtlasBalance("UAT",DataAreaId,"T.MarkupTrans","Sum|Posted|0","","","","","","","MarkupCode|TransTableId|TransRecId","TPP","492",$L373),"")</f>
        <v/>
      </c>
    </row>
    <row r="374" spans="1:14">
      <c r="A374" s="8" t="s">
        <v>185</v>
      </c>
      <c r="B374" s="8" t="s">
        <v>44</v>
      </c>
      <c r="C374" s="8" t="s">
        <v>58</v>
      </c>
      <c r="D374" s="8" t="s">
        <v>59</v>
      </c>
      <c r="E374" s="8" t="s">
        <v>237</v>
      </c>
      <c r="F374" s="8" t="s">
        <v>44</v>
      </c>
      <c r="G374" s="6">
        <v>43125</v>
      </c>
      <c r="H374" s="6">
        <v>43125</v>
      </c>
      <c r="I374" s="4">
        <v>0</v>
      </c>
      <c r="J374" s="8" t="s">
        <v>24</v>
      </c>
      <c r="K374" s="8" t="s">
        <v>1109</v>
      </c>
      <c r="L374" s="4" t="str">
        <f>IF(AtlasReport_1_Table_1[[#This Row],[Reference]]="Purchase order",_xll.AtlasFormulas.AtlasFunctions.AtlasTable("UAT",DataAreaId,"T.VendInvoiceTrans","%RecId","","","","","","","ItemId|PurchID|InventTransId",$C374,$B374,$K374),"")</f>
        <v/>
      </c>
      <c r="M374" s="4" t="str">
        <f>IF(AtlasReport_1_Table_1[[#This Row],[Reference]]="Purchase order",_xll.AtlasFormulas.AtlasFunctions.AtlasTable("UAT",DataAreaId,"T.MarkupTrans","%CurrencyCode","","","","","","","MarkupCode|TransRecId|TransTableId","TPP",$L374,"492"),"")</f>
        <v/>
      </c>
      <c r="N374" s="4" t="str">
        <f>IF(AtlasReport_1_Table_1[[#This Row],[Reference]]="Purchase order",_xll.AtlasFormulas.AtlasFunctions.AtlasBalance("UAT",DataAreaId,"T.MarkupTrans","Sum|Posted|0","","","","","","","MarkupCode|TransTableId|TransRecId","TPP","492",$L374),"")</f>
        <v/>
      </c>
    </row>
    <row r="375" spans="1:14">
      <c r="A375" s="8" t="s">
        <v>185</v>
      </c>
      <c r="B375" s="8" t="s">
        <v>44</v>
      </c>
      <c r="C375" s="8" t="s">
        <v>62</v>
      </c>
      <c r="D375" s="8" t="s">
        <v>63</v>
      </c>
      <c r="E375" s="8" t="s">
        <v>237</v>
      </c>
      <c r="F375" s="8" t="s">
        <v>44</v>
      </c>
      <c r="G375" s="6">
        <v>43130</v>
      </c>
      <c r="H375" s="6">
        <v>43130</v>
      </c>
      <c r="I375" s="4">
        <v>0</v>
      </c>
      <c r="J375" s="8" t="s">
        <v>24</v>
      </c>
      <c r="K375" s="8" t="s">
        <v>1110</v>
      </c>
      <c r="L375" s="4" t="str">
        <f>IF(AtlasReport_1_Table_1[[#This Row],[Reference]]="Purchase order",_xll.AtlasFormulas.AtlasFunctions.AtlasTable("UAT",DataAreaId,"T.VendInvoiceTrans","%RecId","","","","","","","ItemId|PurchID|InventTransId",$C375,$B375,$K375),"")</f>
        <v/>
      </c>
      <c r="M375" s="4" t="str">
        <f>IF(AtlasReport_1_Table_1[[#This Row],[Reference]]="Purchase order",_xll.AtlasFormulas.AtlasFunctions.AtlasTable("UAT",DataAreaId,"T.MarkupTrans","%CurrencyCode","","","","","","","MarkupCode|TransRecId|TransTableId","TPP",$L375,"492"),"")</f>
        <v/>
      </c>
      <c r="N375" s="4" t="str">
        <f>IF(AtlasReport_1_Table_1[[#This Row],[Reference]]="Purchase order",_xll.AtlasFormulas.AtlasFunctions.AtlasBalance("UAT",DataAreaId,"T.MarkupTrans","Sum|Posted|0","","","","","","","MarkupCode|TransTableId|TransRecId","TPP","492",$L375),"")</f>
        <v/>
      </c>
    </row>
    <row r="376" spans="1:14">
      <c r="A376" s="8" t="s">
        <v>185</v>
      </c>
      <c r="B376" s="8" t="s">
        <v>44</v>
      </c>
      <c r="C376" s="8" t="s">
        <v>40</v>
      </c>
      <c r="D376" s="8" t="s">
        <v>69</v>
      </c>
      <c r="E376" s="8" t="s">
        <v>237</v>
      </c>
      <c r="F376" s="8" t="s">
        <v>44</v>
      </c>
      <c r="G376" s="6">
        <v>43147</v>
      </c>
      <c r="H376" s="6">
        <v>43147</v>
      </c>
      <c r="I376" s="4">
        <v>0</v>
      </c>
      <c r="J376" s="8" t="s">
        <v>24</v>
      </c>
      <c r="K376" s="8" t="s">
        <v>1111</v>
      </c>
      <c r="L376" s="4" t="str">
        <f>IF(AtlasReport_1_Table_1[[#This Row],[Reference]]="Purchase order",_xll.AtlasFormulas.AtlasFunctions.AtlasTable("UAT",DataAreaId,"T.VendInvoiceTrans","%RecId","","","","","","","ItemId|PurchID|InventTransId",$C376,$B376,$K376),"")</f>
        <v/>
      </c>
      <c r="M376" s="4" t="str">
        <f>IF(AtlasReport_1_Table_1[[#This Row],[Reference]]="Purchase order",_xll.AtlasFormulas.AtlasFunctions.AtlasTable("UAT",DataAreaId,"T.MarkupTrans","%CurrencyCode","","","","","","","MarkupCode|TransRecId|TransTableId","TPP",$L376,"492"),"")</f>
        <v/>
      </c>
      <c r="N376" s="4" t="str">
        <f>IF(AtlasReport_1_Table_1[[#This Row],[Reference]]="Purchase order",_xll.AtlasFormulas.AtlasFunctions.AtlasBalance("UAT",DataAreaId,"T.MarkupTrans","Sum|Posted|0","","","","","","","MarkupCode|TransTableId|TransRecId","TPP","492",$L376),"")</f>
        <v/>
      </c>
    </row>
    <row r="377" spans="1:14">
      <c r="A377" s="8" t="s">
        <v>185</v>
      </c>
      <c r="B377" s="8" t="s">
        <v>44</v>
      </c>
      <c r="C377" s="8" t="s">
        <v>60</v>
      </c>
      <c r="D377" s="8" t="s">
        <v>61</v>
      </c>
      <c r="E377" s="8" t="s">
        <v>237</v>
      </c>
      <c r="F377" s="8" t="s">
        <v>44</v>
      </c>
      <c r="G377" s="6">
        <v>43141</v>
      </c>
      <c r="H377" s="6">
        <v>43141</v>
      </c>
      <c r="I377" s="4">
        <v>0</v>
      </c>
      <c r="J377" s="8" t="s">
        <v>24</v>
      </c>
      <c r="K377" s="8" t="s">
        <v>1112</v>
      </c>
      <c r="L377" s="4" t="str">
        <f>IF(AtlasReport_1_Table_1[[#This Row],[Reference]]="Purchase order",_xll.AtlasFormulas.AtlasFunctions.AtlasTable("UAT",DataAreaId,"T.VendInvoiceTrans","%RecId","","","","","","","ItemId|PurchID|InventTransId",$C377,$B377,$K377),"")</f>
        <v/>
      </c>
      <c r="M377" s="4" t="str">
        <f>IF(AtlasReport_1_Table_1[[#This Row],[Reference]]="Purchase order",_xll.AtlasFormulas.AtlasFunctions.AtlasTable("UAT",DataAreaId,"T.MarkupTrans","%CurrencyCode","","","","","","","MarkupCode|TransRecId|TransTableId","TPP",$L377,"492"),"")</f>
        <v/>
      </c>
      <c r="N377" s="4" t="str">
        <f>IF(AtlasReport_1_Table_1[[#This Row],[Reference]]="Purchase order",_xll.AtlasFormulas.AtlasFunctions.AtlasBalance("UAT",DataAreaId,"T.MarkupTrans","Sum|Posted|0","","","","","","","MarkupCode|TransTableId|TransRecId","TPP","492",$L377),"")</f>
        <v/>
      </c>
    </row>
    <row r="378" spans="1:14">
      <c r="A378" s="8" t="s">
        <v>185</v>
      </c>
      <c r="B378" s="8" t="s">
        <v>44</v>
      </c>
      <c r="C378" s="8" t="s">
        <v>60</v>
      </c>
      <c r="D378" s="8" t="s">
        <v>61</v>
      </c>
      <c r="E378" s="8" t="s">
        <v>237</v>
      </c>
      <c r="F378" s="8" t="s">
        <v>44</v>
      </c>
      <c r="G378" s="6">
        <v>43158</v>
      </c>
      <c r="H378" s="6">
        <v>43158</v>
      </c>
      <c r="I378" s="4">
        <v>0</v>
      </c>
      <c r="J378" s="8" t="s">
        <v>24</v>
      </c>
      <c r="K378" s="8" t="s">
        <v>1113</v>
      </c>
      <c r="L378" s="4" t="str">
        <f>IF(AtlasReport_1_Table_1[[#This Row],[Reference]]="Purchase order",_xll.AtlasFormulas.AtlasFunctions.AtlasTable("UAT",DataAreaId,"T.VendInvoiceTrans","%RecId","","","","","","","ItemId|PurchID|InventTransId",$C378,$B378,$K378),"")</f>
        <v/>
      </c>
      <c r="M378" s="4" t="str">
        <f>IF(AtlasReport_1_Table_1[[#This Row],[Reference]]="Purchase order",_xll.AtlasFormulas.AtlasFunctions.AtlasTable("UAT",DataAreaId,"T.MarkupTrans","%CurrencyCode","","","","","","","MarkupCode|TransRecId|TransTableId","TPP",$L378,"492"),"")</f>
        <v/>
      </c>
      <c r="N378" s="4" t="str">
        <f>IF(AtlasReport_1_Table_1[[#This Row],[Reference]]="Purchase order",_xll.AtlasFormulas.AtlasFunctions.AtlasBalance("UAT",DataAreaId,"T.MarkupTrans","Sum|Posted|0","","","","","","","MarkupCode|TransTableId|TransRecId","TPP","492",$L378),"")</f>
        <v/>
      </c>
    </row>
    <row r="379" spans="1:14">
      <c r="A379" s="8" t="s">
        <v>185</v>
      </c>
      <c r="B379" s="8" t="s">
        <v>44</v>
      </c>
      <c r="C379" s="8" t="s">
        <v>41</v>
      </c>
      <c r="D379" s="8" t="s">
        <v>56</v>
      </c>
      <c r="E379" s="8" t="s">
        <v>237</v>
      </c>
      <c r="F379" s="8" t="s">
        <v>44</v>
      </c>
      <c r="G379" s="6">
        <v>43151</v>
      </c>
      <c r="H379" s="6">
        <v>43151</v>
      </c>
      <c r="I379" s="4">
        <v>0</v>
      </c>
      <c r="J379" s="8" t="s">
        <v>24</v>
      </c>
      <c r="K379" s="8" t="s">
        <v>1114</v>
      </c>
      <c r="L379" s="4" t="str">
        <f>IF(AtlasReport_1_Table_1[[#This Row],[Reference]]="Purchase order",_xll.AtlasFormulas.AtlasFunctions.AtlasTable("UAT",DataAreaId,"T.VendInvoiceTrans","%RecId","","","","","","","ItemId|PurchID|InventTransId",$C379,$B379,$K379),"")</f>
        <v/>
      </c>
      <c r="M379" s="4" t="str">
        <f>IF(AtlasReport_1_Table_1[[#This Row],[Reference]]="Purchase order",_xll.AtlasFormulas.AtlasFunctions.AtlasTable("UAT",DataAreaId,"T.MarkupTrans","%CurrencyCode","","","","","","","MarkupCode|TransRecId|TransTableId","TPP",$L379,"492"),"")</f>
        <v/>
      </c>
      <c r="N379" s="4" t="str">
        <f>IF(AtlasReport_1_Table_1[[#This Row],[Reference]]="Purchase order",_xll.AtlasFormulas.AtlasFunctions.AtlasBalance("UAT",DataAreaId,"T.MarkupTrans","Sum|Posted|0","","","","","","","MarkupCode|TransTableId|TransRecId","TPP","492",$L379),"")</f>
        <v/>
      </c>
    </row>
    <row r="380" spans="1:14">
      <c r="A380" s="8" t="s">
        <v>185</v>
      </c>
      <c r="B380" s="8" t="s">
        <v>44</v>
      </c>
      <c r="C380" s="8" t="s">
        <v>42</v>
      </c>
      <c r="D380" s="8" t="s">
        <v>363</v>
      </c>
      <c r="E380" s="8" t="s">
        <v>237</v>
      </c>
      <c r="F380" s="8" t="s">
        <v>44</v>
      </c>
      <c r="G380" s="6">
        <v>43130</v>
      </c>
      <c r="H380" s="6">
        <v>43130</v>
      </c>
      <c r="I380" s="4">
        <v>0</v>
      </c>
      <c r="J380" s="8" t="s">
        <v>22</v>
      </c>
      <c r="K380" s="8" t="s">
        <v>1115</v>
      </c>
      <c r="L380" s="4" t="str">
        <f>IF(AtlasReport_1_Table_1[[#This Row],[Reference]]="Purchase order",_xll.AtlasFormulas.AtlasFunctions.AtlasTable("UAT",DataAreaId,"T.VendInvoiceTrans","%RecId","","","","","","","ItemId|PurchID|InventTransId",$C380,$B380,$K380),"")</f>
        <v/>
      </c>
      <c r="M380" s="4" t="str">
        <f>IF(AtlasReport_1_Table_1[[#This Row],[Reference]]="Purchase order",_xll.AtlasFormulas.AtlasFunctions.AtlasTable("UAT",DataAreaId,"T.MarkupTrans","%CurrencyCode","","","","","","","MarkupCode|TransRecId|TransTableId","TPP",$L380,"492"),"")</f>
        <v/>
      </c>
      <c r="N380" s="4" t="str">
        <f>IF(AtlasReport_1_Table_1[[#This Row],[Reference]]="Purchase order",_xll.AtlasFormulas.AtlasFunctions.AtlasBalance("UAT",DataAreaId,"T.MarkupTrans","Sum|Posted|0","","","","","","","MarkupCode|TransTableId|TransRecId","TPP","492",$L380),"")</f>
        <v/>
      </c>
    </row>
    <row r="381" spans="1:14">
      <c r="A381" s="8" t="s">
        <v>185</v>
      </c>
      <c r="B381" s="8" t="s">
        <v>44</v>
      </c>
      <c r="C381" s="8" t="s">
        <v>42</v>
      </c>
      <c r="D381" s="8" t="s">
        <v>363</v>
      </c>
      <c r="E381" s="8" t="s">
        <v>237</v>
      </c>
      <c r="F381" s="8" t="s">
        <v>44</v>
      </c>
      <c r="G381" s="6">
        <v>43147</v>
      </c>
      <c r="H381" s="6">
        <v>43147</v>
      </c>
      <c r="I381" s="4">
        <v>0</v>
      </c>
      <c r="J381" s="8" t="s">
        <v>22</v>
      </c>
      <c r="K381" s="8" t="s">
        <v>1116</v>
      </c>
      <c r="L381" s="4" t="str">
        <f>IF(AtlasReport_1_Table_1[[#This Row],[Reference]]="Purchase order",_xll.AtlasFormulas.AtlasFunctions.AtlasTable("UAT",DataAreaId,"T.VendInvoiceTrans","%RecId","","","","","","","ItemId|PurchID|InventTransId",$C381,$B381,$K381),"")</f>
        <v/>
      </c>
      <c r="M381" s="4" t="str">
        <f>IF(AtlasReport_1_Table_1[[#This Row],[Reference]]="Purchase order",_xll.AtlasFormulas.AtlasFunctions.AtlasTable("UAT",DataAreaId,"T.MarkupTrans","%CurrencyCode","","","","","","","MarkupCode|TransRecId|TransTableId","TPP",$L381,"492"),"")</f>
        <v/>
      </c>
      <c r="N381" s="4" t="str">
        <f>IF(AtlasReport_1_Table_1[[#This Row],[Reference]]="Purchase order",_xll.AtlasFormulas.AtlasFunctions.AtlasBalance("UAT",DataAreaId,"T.MarkupTrans","Sum|Posted|0","","","","","","","MarkupCode|TransTableId|TransRecId","TPP","492",$L381),"")</f>
        <v/>
      </c>
    </row>
    <row r="382" spans="1:14">
      <c r="A382" s="8" t="s">
        <v>185</v>
      </c>
      <c r="B382" s="8" t="s">
        <v>44</v>
      </c>
      <c r="C382" s="8" t="s">
        <v>871</v>
      </c>
      <c r="D382" s="8" t="s">
        <v>872</v>
      </c>
      <c r="E382" s="8" t="s">
        <v>237</v>
      </c>
      <c r="F382" s="8" t="s">
        <v>44</v>
      </c>
      <c r="G382" s="6">
        <v>43145</v>
      </c>
      <c r="H382" s="6">
        <v>43145</v>
      </c>
      <c r="I382" s="4">
        <v>0</v>
      </c>
      <c r="J382" s="8" t="s">
        <v>22</v>
      </c>
      <c r="K382" s="8" t="s">
        <v>1117</v>
      </c>
      <c r="L382" s="4" t="str">
        <f>IF(AtlasReport_1_Table_1[[#This Row],[Reference]]="Purchase order",_xll.AtlasFormulas.AtlasFunctions.AtlasTable("UAT",DataAreaId,"T.VendInvoiceTrans","%RecId","","","","","","","ItemId|PurchID|InventTransId",$C382,$B382,$K382),"")</f>
        <v/>
      </c>
      <c r="M382" s="4" t="str">
        <f>IF(AtlasReport_1_Table_1[[#This Row],[Reference]]="Purchase order",_xll.AtlasFormulas.AtlasFunctions.AtlasTable("UAT",DataAreaId,"T.MarkupTrans","%CurrencyCode","","","","","","","MarkupCode|TransRecId|TransTableId","TPP",$L382,"492"),"")</f>
        <v/>
      </c>
      <c r="N382" s="4" t="str">
        <f>IF(AtlasReport_1_Table_1[[#This Row],[Reference]]="Purchase order",_xll.AtlasFormulas.AtlasFunctions.AtlasBalance("UAT",DataAreaId,"T.MarkupTrans","Sum|Posted|0","","","","","","","MarkupCode|TransTableId|TransRecId","TPP","492",$L382),"")</f>
        <v/>
      </c>
    </row>
    <row r="383" spans="1:14">
      <c r="A383" s="8" t="s">
        <v>185</v>
      </c>
      <c r="B383" s="8" t="s">
        <v>44</v>
      </c>
      <c r="C383" s="8" t="s">
        <v>856</v>
      </c>
      <c r="D383" s="8" t="s">
        <v>857</v>
      </c>
      <c r="E383" s="8" t="s">
        <v>237</v>
      </c>
      <c r="F383" s="8" t="s">
        <v>44</v>
      </c>
      <c r="G383" s="6">
        <v>43157</v>
      </c>
      <c r="H383" s="6">
        <v>43157</v>
      </c>
      <c r="I383" s="4">
        <v>0</v>
      </c>
      <c r="J383" s="8" t="s">
        <v>22</v>
      </c>
      <c r="K383" s="8" t="s">
        <v>1118</v>
      </c>
      <c r="L383" s="4" t="str">
        <f>IF(AtlasReport_1_Table_1[[#This Row],[Reference]]="Purchase order",_xll.AtlasFormulas.AtlasFunctions.AtlasTable("UAT",DataAreaId,"T.VendInvoiceTrans","%RecId","","","","","","","ItemId|PurchID|InventTransId",$C383,$B383,$K383),"")</f>
        <v/>
      </c>
      <c r="M383" s="4" t="str">
        <f>IF(AtlasReport_1_Table_1[[#This Row],[Reference]]="Purchase order",_xll.AtlasFormulas.AtlasFunctions.AtlasTable("UAT",DataAreaId,"T.MarkupTrans","%CurrencyCode","","","","","","","MarkupCode|TransRecId|TransTableId","TPP",$L383,"492"),"")</f>
        <v/>
      </c>
      <c r="N383" s="4" t="str">
        <f>IF(AtlasReport_1_Table_1[[#This Row],[Reference]]="Purchase order",_xll.AtlasFormulas.AtlasFunctions.AtlasBalance("UAT",DataAreaId,"T.MarkupTrans","Sum|Posted|0","","","","","","","MarkupCode|TransTableId|TransRecId","TPP","492",$L383),"")</f>
        <v/>
      </c>
    </row>
    <row r="384" spans="1:14">
      <c r="A384" s="8" t="s">
        <v>185</v>
      </c>
      <c r="B384" s="8" t="s">
        <v>44</v>
      </c>
      <c r="C384" s="8" t="s">
        <v>823</v>
      </c>
      <c r="D384" s="8" t="s">
        <v>824</v>
      </c>
      <c r="E384" s="8" t="s">
        <v>237</v>
      </c>
      <c r="F384" s="8" t="s">
        <v>44</v>
      </c>
      <c r="G384" s="6">
        <v>43146</v>
      </c>
      <c r="H384" s="6">
        <v>43146</v>
      </c>
      <c r="I384" s="4">
        <v>0</v>
      </c>
      <c r="J384" s="8" t="s">
        <v>22</v>
      </c>
      <c r="K384" s="8" t="s">
        <v>1119</v>
      </c>
      <c r="L384" s="4" t="str">
        <f>IF(AtlasReport_1_Table_1[[#This Row],[Reference]]="Purchase order",_xll.AtlasFormulas.AtlasFunctions.AtlasTable("UAT",DataAreaId,"T.VendInvoiceTrans","%RecId","","","","","","","ItemId|PurchID|InventTransId",$C384,$B384,$K384),"")</f>
        <v/>
      </c>
      <c r="M384" s="4" t="str">
        <f>IF(AtlasReport_1_Table_1[[#This Row],[Reference]]="Purchase order",_xll.AtlasFormulas.AtlasFunctions.AtlasTable("UAT",DataAreaId,"T.MarkupTrans","%CurrencyCode","","","","","","","MarkupCode|TransRecId|TransTableId","TPP",$L384,"492"),"")</f>
        <v/>
      </c>
      <c r="N384" s="4" t="str">
        <f>IF(AtlasReport_1_Table_1[[#This Row],[Reference]]="Purchase order",_xll.AtlasFormulas.AtlasFunctions.AtlasBalance("UAT",DataAreaId,"T.MarkupTrans","Sum|Posted|0","","","","","","","MarkupCode|TransTableId|TransRecId","TPP","492",$L384),"")</f>
        <v/>
      </c>
    </row>
    <row r="385" spans="1:14">
      <c r="A385" s="8" t="s">
        <v>185</v>
      </c>
      <c r="B385" s="8" t="s">
        <v>44</v>
      </c>
      <c r="C385" s="8" t="s">
        <v>826</v>
      </c>
      <c r="D385" s="8" t="s">
        <v>827</v>
      </c>
      <c r="E385" s="8" t="s">
        <v>237</v>
      </c>
      <c r="F385" s="8" t="s">
        <v>44</v>
      </c>
      <c r="G385" s="6">
        <v>43146</v>
      </c>
      <c r="H385" s="6">
        <v>43146</v>
      </c>
      <c r="I385" s="4">
        <v>0</v>
      </c>
      <c r="J385" s="8" t="s">
        <v>22</v>
      </c>
      <c r="K385" s="8" t="s">
        <v>1120</v>
      </c>
      <c r="L385" s="4" t="str">
        <f>IF(AtlasReport_1_Table_1[[#This Row],[Reference]]="Purchase order",_xll.AtlasFormulas.AtlasFunctions.AtlasTable("UAT",DataAreaId,"T.VendInvoiceTrans","%RecId","","","","","","","ItemId|PurchID|InventTransId",$C385,$B385,$K385),"")</f>
        <v/>
      </c>
      <c r="M385" s="4" t="str">
        <f>IF(AtlasReport_1_Table_1[[#This Row],[Reference]]="Purchase order",_xll.AtlasFormulas.AtlasFunctions.AtlasTable("UAT",DataAreaId,"T.MarkupTrans","%CurrencyCode","","","","","","","MarkupCode|TransRecId|TransTableId","TPP",$L385,"492"),"")</f>
        <v/>
      </c>
      <c r="N385" s="4" t="str">
        <f>IF(AtlasReport_1_Table_1[[#This Row],[Reference]]="Purchase order",_xll.AtlasFormulas.AtlasFunctions.AtlasBalance("UAT",DataAreaId,"T.MarkupTrans","Sum|Posted|0","","","","","","","MarkupCode|TransTableId|TransRecId","TPP","492",$L385),"")</f>
        <v/>
      </c>
    </row>
    <row r="386" spans="1:14">
      <c r="A386" s="8" t="s">
        <v>1121</v>
      </c>
      <c r="B386" s="8" t="s">
        <v>656</v>
      </c>
      <c r="C386" s="8" t="s">
        <v>242</v>
      </c>
      <c r="D386" s="8" t="s">
        <v>315</v>
      </c>
      <c r="E386" s="8" t="s">
        <v>237</v>
      </c>
      <c r="F386" s="8" t="s">
        <v>238</v>
      </c>
      <c r="G386" s="6">
        <v>43108</v>
      </c>
      <c r="H386" s="6">
        <v>43108</v>
      </c>
      <c r="I386" s="4">
        <v>-1.85</v>
      </c>
      <c r="J386" s="8" t="s">
        <v>66</v>
      </c>
      <c r="K386" s="8" t="s">
        <v>1122</v>
      </c>
      <c r="L386" s="4" t="str">
        <f>IF(AtlasReport_1_Table_1[[#This Row],[Reference]]="Purchase order",_xll.AtlasFormulas.AtlasFunctions.AtlasTable("UAT",DataAreaId,"T.VendInvoiceTrans","%RecId","","","","","","","ItemId|PurchID|InventTransId",$C386,$B386,$K386),"")</f>
        <v/>
      </c>
      <c r="M386" s="4" t="str">
        <f>IF(AtlasReport_1_Table_1[[#This Row],[Reference]]="Purchase order",_xll.AtlasFormulas.AtlasFunctions.AtlasTable("UAT",DataAreaId,"T.MarkupTrans","%CurrencyCode","","","","","","","MarkupCode|TransRecId|TransTableId","TPP",$L386,"492"),"")</f>
        <v/>
      </c>
      <c r="N386" s="4" t="str">
        <f>IF(AtlasReport_1_Table_1[[#This Row],[Reference]]="Purchase order",_xll.AtlasFormulas.AtlasFunctions.AtlasBalance("UAT",DataAreaId,"T.MarkupTrans","Sum|Posted|0","","","","","","","MarkupCode|TransTableId|TransRecId","TPP","492",$L386),"")</f>
        <v/>
      </c>
    </row>
    <row r="387" spans="1:14">
      <c r="A387" s="8" t="s">
        <v>1121</v>
      </c>
      <c r="B387" s="8" t="s">
        <v>656</v>
      </c>
      <c r="C387" s="8" t="s">
        <v>293</v>
      </c>
      <c r="D387" s="8" t="s">
        <v>482</v>
      </c>
      <c r="E387" s="8" t="s">
        <v>237</v>
      </c>
      <c r="F387" s="8" t="s">
        <v>238</v>
      </c>
      <c r="G387" s="6">
        <v>43108</v>
      </c>
      <c r="H387" s="6">
        <v>43108</v>
      </c>
      <c r="I387" s="4">
        <v>-450</v>
      </c>
      <c r="J387" s="8" t="s">
        <v>66</v>
      </c>
      <c r="K387" s="8" t="s">
        <v>1123</v>
      </c>
      <c r="L387" s="4" t="str">
        <f>IF(AtlasReport_1_Table_1[[#This Row],[Reference]]="Purchase order",_xll.AtlasFormulas.AtlasFunctions.AtlasTable("UAT",DataAreaId,"T.VendInvoiceTrans","%RecId","","","","","","","ItemId|PurchID|InventTransId",$C387,$B387,$K387),"")</f>
        <v/>
      </c>
      <c r="M387" s="4" t="str">
        <f>IF(AtlasReport_1_Table_1[[#This Row],[Reference]]="Purchase order",_xll.AtlasFormulas.AtlasFunctions.AtlasTable("UAT",DataAreaId,"T.MarkupTrans","%CurrencyCode","","","","","","","MarkupCode|TransRecId|TransTableId","TPP",$L387,"492"),"")</f>
        <v/>
      </c>
      <c r="N387" s="4" t="str">
        <f>IF(AtlasReport_1_Table_1[[#This Row],[Reference]]="Purchase order",_xll.AtlasFormulas.AtlasFunctions.AtlasBalance("UAT",DataAreaId,"T.MarkupTrans","Sum|Posted|0","","","","","","","MarkupCode|TransTableId|TransRecId","TPP","492",$L387),"")</f>
        <v/>
      </c>
    </row>
    <row r="388" spans="1:14">
      <c r="A388" s="8" t="s">
        <v>1121</v>
      </c>
      <c r="B388" s="8" t="s">
        <v>658</v>
      </c>
      <c r="C388" s="8" t="s">
        <v>250</v>
      </c>
      <c r="D388" s="8" t="s">
        <v>329</v>
      </c>
      <c r="E388" s="8" t="s">
        <v>237</v>
      </c>
      <c r="F388" s="8" t="s">
        <v>249</v>
      </c>
      <c r="G388" s="6">
        <v>43108</v>
      </c>
      <c r="H388" s="6">
        <v>43108</v>
      </c>
      <c r="I388" s="4">
        <v>-720</v>
      </c>
      <c r="J388" s="8" t="s">
        <v>66</v>
      </c>
      <c r="K388" s="8" t="s">
        <v>1124</v>
      </c>
      <c r="L388" s="4" t="str">
        <f>IF(AtlasReport_1_Table_1[[#This Row],[Reference]]="Purchase order",_xll.AtlasFormulas.AtlasFunctions.AtlasTable("UAT",DataAreaId,"T.VendInvoiceTrans","%RecId","","","","","","","ItemId|PurchID|InventTransId",$C388,$B388,$K388),"")</f>
        <v/>
      </c>
      <c r="M388" s="4" t="str">
        <f>IF(AtlasReport_1_Table_1[[#This Row],[Reference]]="Purchase order",_xll.AtlasFormulas.AtlasFunctions.AtlasTable("UAT",DataAreaId,"T.MarkupTrans","%CurrencyCode","","","","","","","MarkupCode|TransRecId|TransTableId","TPP",$L388,"492"),"")</f>
        <v/>
      </c>
      <c r="N388" s="4" t="str">
        <f>IF(AtlasReport_1_Table_1[[#This Row],[Reference]]="Purchase order",_xll.AtlasFormulas.AtlasFunctions.AtlasBalance("UAT",DataAreaId,"T.MarkupTrans","Sum|Posted|0","","","","","","","MarkupCode|TransTableId|TransRecId","TPP","492",$L388),"")</f>
        <v/>
      </c>
    </row>
    <row r="389" spans="1:14">
      <c r="A389" s="8" t="s">
        <v>1121</v>
      </c>
      <c r="B389" s="8" t="s">
        <v>658</v>
      </c>
      <c r="C389" s="8" t="s">
        <v>256</v>
      </c>
      <c r="D389" s="8" t="s">
        <v>349</v>
      </c>
      <c r="E389" s="8" t="s">
        <v>237</v>
      </c>
      <c r="F389" s="8" t="s">
        <v>249</v>
      </c>
      <c r="G389" s="6">
        <v>43108</v>
      </c>
      <c r="H389" s="6">
        <v>43108</v>
      </c>
      <c r="I389" s="4">
        <v>-300</v>
      </c>
      <c r="J389" s="8" t="s">
        <v>66</v>
      </c>
      <c r="K389" s="8" t="s">
        <v>1125</v>
      </c>
      <c r="L389" s="4" t="str">
        <f>IF(AtlasReport_1_Table_1[[#This Row],[Reference]]="Purchase order",_xll.AtlasFormulas.AtlasFunctions.AtlasTable("UAT",DataAreaId,"T.VendInvoiceTrans","%RecId","","","","","","","ItemId|PurchID|InventTransId",$C389,$B389,$K389),"")</f>
        <v/>
      </c>
      <c r="M389" s="4" t="str">
        <f>IF(AtlasReport_1_Table_1[[#This Row],[Reference]]="Purchase order",_xll.AtlasFormulas.AtlasFunctions.AtlasTable("UAT",DataAreaId,"T.MarkupTrans","%CurrencyCode","","","","","","","MarkupCode|TransRecId|TransTableId","TPP",$L389,"492"),"")</f>
        <v/>
      </c>
      <c r="N389" s="4" t="str">
        <f>IF(AtlasReport_1_Table_1[[#This Row],[Reference]]="Purchase order",_xll.AtlasFormulas.AtlasFunctions.AtlasBalance("UAT",DataAreaId,"T.MarkupTrans","Sum|Posted|0","","","","","","","MarkupCode|TransTableId|TransRecId","TPP","492",$L389),"")</f>
        <v/>
      </c>
    </row>
    <row r="390" spans="1:14">
      <c r="A390" s="8" t="s">
        <v>1121</v>
      </c>
      <c r="B390" s="8" t="s">
        <v>658</v>
      </c>
      <c r="C390" s="8" t="s">
        <v>257</v>
      </c>
      <c r="D390" s="8" t="s">
        <v>350</v>
      </c>
      <c r="E390" s="8" t="s">
        <v>237</v>
      </c>
      <c r="F390" s="8" t="s">
        <v>249</v>
      </c>
      <c r="G390" s="6">
        <v>43108</v>
      </c>
      <c r="H390" s="6">
        <v>43108</v>
      </c>
      <c r="I390" s="4">
        <v>-300</v>
      </c>
      <c r="J390" s="8" t="s">
        <v>66</v>
      </c>
      <c r="K390" s="8" t="s">
        <v>1126</v>
      </c>
      <c r="L390" s="4" t="str">
        <f>IF(AtlasReport_1_Table_1[[#This Row],[Reference]]="Purchase order",_xll.AtlasFormulas.AtlasFunctions.AtlasTable("UAT",DataAreaId,"T.VendInvoiceTrans","%RecId","","","","","","","ItemId|PurchID|InventTransId",$C390,$B390,$K390),"")</f>
        <v/>
      </c>
      <c r="M390" s="4" t="str">
        <f>IF(AtlasReport_1_Table_1[[#This Row],[Reference]]="Purchase order",_xll.AtlasFormulas.AtlasFunctions.AtlasTable("UAT",DataAreaId,"T.MarkupTrans","%CurrencyCode","","","","","","","MarkupCode|TransRecId|TransTableId","TPP",$L390,"492"),"")</f>
        <v/>
      </c>
      <c r="N390" s="4" t="str">
        <f>IF(AtlasReport_1_Table_1[[#This Row],[Reference]]="Purchase order",_xll.AtlasFormulas.AtlasFunctions.AtlasBalance("UAT",DataAreaId,"T.MarkupTrans","Sum|Posted|0","","","","","","","MarkupCode|TransTableId|TransRecId","TPP","492",$L390),"")</f>
        <v/>
      </c>
    </row>
    <row r="391" spans="1:14">
      <c r="A391" s="8" t="s">
        <v>1121</v>
      </c>
      <c r="B391" s="8" t="s">
        <v>658</v>
      </c>
      <c r="C391" s="8" t="s">
        <v>258</v>
      </c>
      <c r="D391" s="8" t="s">
        <v>351</v>
      </c>
      <c r="E391" s="8" t="s">
        <v>237</v>
      </c>
      <c r="F391" s="8" t="s">
        <v>249</v>
      </c>
      <c r="G391" s="6">
        <v>43108</v>
      </c>
      <c r="H391" s="6">
        <v>43108</v>
      </c>
      <c r="I391" s="4">
        <v>-300</v>
      </c>
      <c r="J391" s="8" t="s">
        <v>66</v>
      </c>
      <c r="K391" s="8" t="s">
        <v>1127</v>
      </c>
      <c r="L391" s="4" t="str">
        <f>IF(AtlasReport_1_Table_1[[#This Row],[Reference]]="Purchase order",_xll.AtlasFormulas.AtlasFunctions.AtlasTable("UAT",DataAreaId,"T.VendInvoiceTrans","%RecId","","","","","","","ItemId|PurchID|InventTransId",$C391,$B391,$K391),"")</f>
        <v/>
      </c>
      <c r="M391" s="4" t="str">
        <f>IF(AtlasReport_1_Table_1[[#This Row],[Reference]]="Purchase order",_xll.AtlasFormulas.AtlasFunctions.AtlasTable("UAT",DataAreaId,"T.MarkupTrans","%CurrencyCode","","","","","","","MarkupCode|TransRecId|TransTableId","TPP",$L391,"492"),"")</f>
        <v/>
      </c>
      <c r="N391" s="4" t="str">
        <f>IF(AtlasReport_1_Table_1[[#This Row],[Reference]]="Purchase order",_xll.AtlasFormulas.AtlasFunctions.AtlasBalance("UAT",DataAreaId,"T.MarkupTrans","Sum|Posted|0","","","","","","","MarkupCode|TransTableId|TransRecId","TPP","492",$L391),"")</f>
        <v/>
      </c>
    </row>
    <row r="392" spans="1:14">
      <c r="A392" s="8" t="s">
        <v>1121</v>
      </c>
      <c r="B392" s="8" t="s">
        <v>658</v>
      </c>
      <c r="C392" s="8" t="s">
        <v>259</v>
      </c>
      <c r="D392" s="8" t="s">
        <v>352</v>
      </c>
      <c r="E392" s="8" t="s">
        <v>237</v>
      </c>
      <c r="F392" s="8" t="s">
        <v>249</v>
      </c>
      <c r="G392" s="6">
        <v>43108</v>
      </c>
      <c r="H392" s="6">
        <v>43108</v>
      </c>
      <c r="I392" s="4">
        <v>-400</v>
      </c>
      <c r="J392" s="8" t="s">
        <v>66</v>
      </c>
      <c r="K392" s="8" t="s">
        <v>1128</v>
      </c>
      <c r="L392" s="4" t="str">
        <f>IF(AtlasReport_1_Table_1[[#This Row],[Reference]]="Purchase order",_xll.AtlasFormulas.AtlasFunctions.AtlasTable("UAT",DataAreaId,"T.VendInvoiceTrans","%RecId","","","","","","","ItemId|PurchID|InventTransId",$C392,$B392,$K392),"")</f>
        <v/>
      </c>
      <c r="M392" s="4" t="str">
        <f>IF(AtlasReport_1_Table_1[[#This Row],[Reference]]="Purchase order",_xll.AtlasFormulas.AtlasFunctions.AtlasTable("UAT",DataAreaId,"T.MarkupTrans","%CurrencyCode","","","","","","","MarkupCode|TransRecId|TransTableId","TPP",$L392,"492"),"")</f>
        <v/>
      </c>
      <c r="N392" s="4" t="str">
        <f>IF(AtlasReport_1_Table_1[[#This Row],[Reference]]="Purchase order",_xll.AtlasFormulas.AtlasFunctions.AtlasBalance("UAT",DataAreaId,"T.MarkupTrans","Sum|Posted|0","","","","","","","MarkupCode|TransTableId|TransRecId","TPP","492",$L392),"")</f>
        <v/>
      </c>
    </row>
    <row r="393" spans="1:14">
      <c r="A393" s="8" t="s">
        <v>1121</v>
      </c>
      <c r="B393" s="8" t="s">
        <v>658</v>
      </c>
      <c r="C393" s="8" t="s">
        <v>290</v>
      </c>
      <c r="D393" s="8" t="s">
        <v>472</v>
      </c>
      <c r="E393" s="8" t="s">
        <v>237</v>
      </c>
      <c r="F393" s="8" t="s">
        <v>238</v>
      </c>
      <c r="G393" s="6">
        <v>43108</v>
      </c>
      <c r="H393" s="6">
        <v>43108</v>
      </c>
      <c r="I393" s="4">
        <v>-7.6</v>
      </c>
      <c r="J393" s="8" t="s">
        <v>66</v>
      </c>
      <c r="K393" s="8" t="s">
        <v>1129</v>
      </c>
      <c r="L393" s="4" t="str">
        <f>IF(AtlasReport_1_Table_1[[#This Row],[Reference]]="Purchase order",_xll.AtlasFormulas.AtlasFunctions.AtlasTable("UAT",DataAreaId,"T.VendInvoiceTrans","%RecId","","","","","","","ItemId|PurchID|InventTransId",$C393,$B393,$K393),"")</f>
        <v/>
      </c>
      <c r="M393" s="4" t="str">
        <f>IF(AtlasReport_1_Table_1[[#This Row],[Reference]]="Purchase order",_xll.AtlasFormulas.AtlasFunctions.AtlasTable("UAT",DataAreaId,"T.MarkupTrans","%CurrencyCode","","","","","","","MarkupCode|TransRecId|TransTableId","TPP",$L393,"492"),"")</f>
        <v/>
      </c>
      <c r="N393" s="4" t="str">
        <f>IF(AtlasReport_1_Table_1[[#This Row],[Reference]]="Purchase order",_xll.AtlasFormulas.AtlasFunctions.AtlasBalance("UAT",DataAreaId,"T.MarkupTrans","Sum|Posted|0","","","","","","","MarkupCode|TransTableId|TransRecId","TPP","492",$L393),"")</f>
        <v/>
      </c>
    </row>
    <row r="394" spans="1:14">
      <c r="A394" s="8" t="s">
        <v>1121</v>
      </c>
      <c r="B394" s="8" t="s">
        <v>660</v>
      </c>
      <c r="C394" s="8" t="s">
        <v>369</v>
      </c>
      <c r="D394" s="8" t="s">
        <v>370</v>
      </c>
      <c r="E394" s="8" t="s">
        <v>237</v>
      </c>
      <c r="F394" s="8" t="s">
        <v>238</v>
      </c>
      <c r="G394" s="6">
        <v>43108</v>
      </c>
      <c r="H394" s="6">
        <v>43108</v>
      </c>
      <c r="I394" s="4">
        <v>-2025</v>
      </c>
      <c r="J394" s="8" t="s">
        <v>66</v>
      </c>
      <c r="K394" s="8" t="s">
        <v>1130</v>
      </c>
      <c r="L394" s="4" t="str">
        <f>IF(AtlasReport_1_Table_1[[#This Row],[Reference]]="Purchase order",_xll.AtlasFormulas.AtlasFunctions.AtlasTable("UAT",DataAreaId,"T.VendInvoiceTrans","%RecId","","","","","","","ItemId|PurchID|InventTransId",$C394,$B394,$K394),"")</f>
        <v/>
      </c>
      <c r="M394" s="4" t="str">
        <f>IF(AtlasReport_1_Table_1[[#This Row],[Reference]]="Purchase order",_xll.AtlasFormulas.AtlasFunctions.AtlasTable("UAT",DataAreaId,"T.MarkupTrans","%CurrencyCode","","","","","","","MarkupCode|TransRecId|TransTableId","TPP",$L394,"492"),"")</f>
        <v/>
      </c>
      <c r="N394" s="4" t="str">
        <f>IF(AtlasReport_1_Table_1[[#This Row],[Reference]]="Purchase order",_xll.AtlasFormulas.AtlasFunctions.AtlasBalance("UAT",DataAreaId,"T.MarkupTrans","Sum|Posted|0","","","","","","","MarkupCode|TransTableId|TransRecId","TPP","492",$L394),"")</f>
        <v/>
      </c>
    </row>
    <row r="395" spans="1:14">
      <c r="A395" s="8" t="s">
        <v>1121</v>
      </c>
      <c r="B395" s="8" t="s">
        <v>660</v>
      </c>
      <c r="C395" s="8" t="s">
        <v>856</v>
      </c>
      <c r="D395" s="8" t="s">
        <v>857</v>
      </c>
      <c r="E395" s="8" t="s">
        <v>237</v>
      </c>
      <c r="F395" s="8" t="s">
        <v>238</v>
      </c>
      <c r="G395" s="6">
        <v>43108</v>
      </c>
      <c r="H395" s="6">
        <v>43108</v>
      </c>
      <c r="I395" s="4">
        <v>-81</v>
      </c>
      <c r="J395" s="8" t="s">
        <v>22</v>
      </c>
      <c r="K395" s="8" t="s">
        <v>1131</v>
      </c>
      <c r="L395" s="4" t="str">
        <f>IF(AtlasReport_1_Table_1[[#This Row],[Reference]]="Purchase order",_xll.AtlasFormulas.AtlasFunctions.AtlasTable("UAT",DataAreaId,"T.VendInvoiceTrans","%RecId","","","","","","","ItemId|PurchID|InventTransId",$C395,$B395,$K395),"")</f>
        <v/>
      </c>
      <c r="M395" s="4" t="str">
        <f>IF(AtlasReport_1_Table_1[[#This Row],[Reference]]="Purchase order",_xll.AtlasFormulas.AtlasFunctions.AtlasTable("UAT",DataAreaId,"T.MarkupTrans","%CurrencyCode","","","","","","","MarkupCode|TransRecId|TransTableId","TPP",$L395,"492"),"")</f>
        <v/>
      </c>
      <c r="N395" s="4" t="str">
        <f>IF(AtlasReport_1_Table_1[[#This Row],[Reference]]="Purchase order",_xll.AtlasFormulas.AtlasFunctions.AtlasBalance("UAT",DataAreaId,"T.MarkupTrans","Sum|Posted|0","","","","","","","MarkupCode|TransTableId|TransRecId","TPP","492",$L395),"")</f>
        <v/>
      </c>
    </row>
    <row r="396" spans="1:14">
      <c r="A396" s="8" t="s">
        <v>1121</v>
      </c>
      <c r="B396" s="8" t="s">
        <v>662</v>
      </c>
      <c r="C396" s="8" t="s">
        <v>250</v>
      </c>
      <c r="D396" s="8" t="s">
        <v>329</v>
      </c>
      <c r="E396" s="8" t="s">
        <v>237</v>
      </c>
      <c r="F396" s="8" t="s">
        <v>249</v>
      </c>
      <c r="G396" s="6">
        <v>43108</v>
      </c>
      <c r="H396" s="6">
        <v>43108</v>
      </c>
      <c r="I396" s="4">
        <v>-360</v>
      </c>
      <c r="J396" s="8" t="s">
        <v>66</v>
      </c>
      <c r="K396" s="8" t="s">
        <v>1132</v>
      </c>
      <c r="L396" s="4" t="str">
        <f>IF(AtlasReport_1_Table_1[[#This Row],[Reference]]="Purchase order",_xll.AtlasFormulas.AtlasFunctions.AtlasTable("UAT",DataAreaId,"T.VendInvoiceTrans","%RecId","","","","","","","ItemId|PurchID|InventTransId",$C396,$B396,$K396),"")</f>
        <v/>
      </c>
      <c r="M396" s="4" t="str">
        <f>IF(AtlasReport_1_Table_1[[#This Row],[Reference]]="Purchase order",_xll.AtlasFormulas.AtlasFunctions.AtlasTable("UAT",DataAreaId,"T.MarkupTrans","%CurrencyCode","","","","","","","MarkupCode|TransRecId|TransTableId","TPP",$L396,"492"),"")</f>
        <v/>
      </c>
      <c r="N396" s="4" t="str">
        <f>IF(AtlasReport_1_Table_1[[#This Row],[Reference]]="Purchase order",_xll.AtlasFormulas.AtlasFunctions.AtlasBalance("UAT",DataAreaId,"T.MarkupTrans","Sum|Posted|0","","","","","","","MarkupCode|TransTableId|TransRecId","TPP","492",$L396),"")</f>
        <v/>
      </c>
    </row>
    <row r="397" spans="1:14">
      <c r="A397" s="8" t="s">
        <v>1121</v>
      </c>
      <c r="B397" s="8" t="s">
        <v>662</v>
      </c>
      <c r="C397" s="8" t="s">
        <v>256</v>
      </c>
      <c r="D397" s="8" t="s">
        <v>349</v>
      </c>
      <c r="E397" s="8" t="s">
        <v>237</v>
      </c>
      <c r="F397" s="8" t="s">
        <v>249</v>
      </c>
      <c r="G397" s="6">
        <v>43108</v>
      </c>
      <c r="H397" s="6">
        <v>43108</v>
      </c>
      <c r="I397" s="4">
        <v>-150</v>
      </c>
      <c r="J397" s="8" t="s">
        <v>66</v>
      </c>
      <c r="K397" s="8" t="s">
        <v>1133</v>
      </c>
      <c r="L397" s="4" t="str">
        <f>IF(AtlasReport_1_Table_1[[#This Row],[Reference]]="Purchase order",_xll.AtlasFormulas.AtlasFunctions.AtlasTable("UAT",DataAreaId,"T.VendInvoiceTrans","%RecId","","","","","","","ItemId|PurchID|InventTransId",$C397,$B397,$K397),"")</f>
        <v/>
      </c>
      <c r="M397" s="4" t="str">
        <f>IF(AtlasReport_1_Table_1[[#This Row],[Reference]]="Purchase order",_xll.AtlasFormulas.AtlasFunctions.AtlasTable("UAT",DataAreaId,"T.MarkupTrans","%CurrencyCode","","","","","","","MarkupCode|TransRecId|TransTableId","TPP",$L397,"492"),"")</f>
        <v/>
      </c>
      <c r="N397" s="4" t="str">
        <f>IF(AtlasReport_1_Table_1[[#This Row],[Reference]]="Purchase order",_xll.AtlasFormulas.AtlasFunctions.AtlasBalance("UAT",DataAreaId,"T.MarkupTrans","Sum|Posted|0","","","","","","","MarkupCode|TransTableId|TransRecId","TPP","492",$L397),"")</f>
        <v/>
      </c>
    </row>
    <row r="398" spans="1:14">
      <c r="A398" s="8" t="s">
        <v>1121</v>
      </c>
      <c r="B398" s="8" t="s">
        <v>662</v>
      </c>
      <c r="C398" s="8" t="s">
        <v>257</v>
      </c>
      <c r="D398" s="8" t="s">
        <v>350</v>
      </c>
      <c r="E398" s="8" t="s">
        <v>237</v>
      </c>
      <c r="F398" s="8" t="s">
        <v>249</v>
      </c>
      <c r="G398" s="6">
        <v>43108</v>
      </c>
      <c r="H398" s="6">
        <v>43108</v>
      </c>
      <c r="I398" s="4">
        <v>-150</v>
      </c>
      <c r="J398" s="8" t="s">
        <v>66</v>
      </c>
      <c r="K398" s="8" t="s">
        <v>1134</v>
      </c>
      <c r="L398" s="4" t="str">
        <f>IF(AtlasReport_1_Table_1[[#This Row],[Reference]]="Purchase order",_xll.AtlasFormulas.AtlasFunctions.AtlasTable("UAT",DataAreaId,"T.VendInvoiceTrans","%RecId","","","","","","","ItemId|PurchID|InventTransId",$C398,$B398,$K398),"")</f>
        <v/>
      </c>
      <c r="M398" s="4" t="str">
        <f>IF(AtlasReport_1_Table_1[[#This Row],[Reference]]="Purchase order",_xll.AtlasFormulas.AtlasFunctions.AtlasTable("UAT",DataAreaId,"T.MarkupTrans","%CurrencyCode","","","","","","","MarkupCode|TransRecId|TransTableId","TPP",$L398,"492"),"")</f>
        <v/>
      </c>
      <c r="N398" s="4" t="str">
        <f>IF(AtlasReport_1_Table_1[[#This Row],[Reference]]="Purchase order",_xll.AtlasFormulas.AtlasFunctions.AtlasBalance("UAT",DataAreaId,"T.MarkupTrans","Sum|Posted|0","","","","","","","MarkupCode|TransTableId|TransRecId","TPP","492",$L398),"")</f>
        <v/>
      </c>
    </row>
    <row r="399" spans="1:14">
      <c r="A399" s="8" t="s">
        <v>1121</v>
      </c>
      <c r="B399" s="8" t="s">
        <v>662</v>
      </c>
      <c r="C399" s="8" t="s">
        <v>258</v>
      </c>
      <c r="D399" s="8" t="s">
        <v>351</v>
      </c>
      <c r="E399" s="8" t="s">
        <v>237</v>
      </c>
      <c r="F399" s="8" t="s">
        <v>249</v>
      </c>
      <c r="G399" s="6">
        <v>43108</v>
      </c>
      <c r="H399" s="6">
        <v>43108</v>
      </c>
      <c r="I399" s="4">
        <v>-150</v>
      </c>
      <c r="J399" s="8" t="s">
        <v>66</v>
      </c>
      <c r="K399" s="8" t="s">
        <v>1135</v>
      </c>
      <c r="L399" s="4" t="str">
        <f>IF(AtlasReport_1_Table_1[[#This Row],[Reference]]="Purchase order",_xll.AtlasFormulas.AtlasFunctions.AtlasTable("UAT",DataAreaId,"T.VendInvoiceTrans","%RecId","","","","","","","ItemId|PurchID|InventTransId",$C399,$B399,$K399),"")</f>
        <v/>
      </c>
      <c r="M399" s="4" t="str">
        <f>IF(AtlasReport_1_Table_1[[#This Row],[Reference]]="Purchase order",_xll.AtlasFormulas.AtlasFunctions.AtlasTable("UAT",DataAreaId,"T.MarkupTrans","%CurrencyCode","","","","","","","MarkupCode|TransRecId|TransTableId","TPP",$L399,"492"),"")</f>
        <v/>
      </c>
      <c r="N399" s="4" t="str">
        <f>IF(AtlasReport_1_Table_1[[#This Row],[Reference]]="Purchase order",_xll.AtlasFormulas.AtlasFunctions.AtlasBalance("UAT",DataAreaId,"T.MarkupTrans","Sum|Posted|0","","","","","","","MarkupCode|TransTableId|TransRecId","TPP","492",$L399),"")</f>
        <v/>
      </c>
    </row>
    <row r="400" spans="1:14">
      <c r="A400" s="8" t="s">
        <v>1121</v>
      </c>
      <c r="B400" s="8" t="s">
        <v>662</v>
      </c>
      <c r="C400" s="8" t="s">
        <v>259</v>
      </c>
      <c r="D400" s="8" t="s">
        <v>352</v>
      </c>
      <c r="E400" s="8" t="s">
        <v>237</v>
      </c>
      <c r="F400" s="8" t="s">
        <v>249</v>
      </c>
      <c r="G400" s="6">
        <v>43108</v>
      </c>
      <c r="H400" s="6">
        <v>43108</v>
      </c>
      <c r="I400" s="4">
        <v>-200</v>
      </c>
      <c r="J400" s="8" t="s">
        <v>66</v>
      </c>
      <c r="K400" s="8" t="s">
        <v>1136</v>
      </c>
      <c r="L400" s="4" t="str">
        <f>IF(AtlasReport_1_Table_1[[#This Row],[Reference]]="Purchase order",_xll.AtlasFormulas.AtlasFunctions.AtlasTable("UAT",DataAreaId,"T.VendInvoiceTrans","%RecId","","","","","","","ItemId|PurchID|InventTransId",$C400,$B400,$K400),"")</f>
        <v/>
      </c>
      <c r="M400" s="4" t="str">
        <f>IF(AtlasReport_1_Table_1[[#This Row],[Reference]]="Purchase order",_xll.AtlasFormulas.AtlasFunctions.AtlasTable("UAT",DataAreaId,"T.MarkupTrans","%CurrencyCode","","","","","","","MarkupCode|TransRecId|TransTableId","TPP",$L400,"492"),"")</f>
        <v/>
      </c>
      <c r="N400" s="4" t="str">
        <f>IF(AtlasReport_1_Table_1[[#This Row],[Reference]]="Purchase order",_xll.AtlasFormulas.AtlasFunctions.AtlasBalance("UAT",DataAreaId,"T.MarkupTrans","Sum|Posted|0","","","","","","","MarkupCode|TransTableId|TransRecId","TPP","492",$L400),"")</f>
        <v/>
      </c>
    </row>
    <row r="401" spans="1:14">
      <c r="A401" s="8" t="s">
        <v>1121</v>
      </c>
      <c r="B401" s="8" t="s">
        <v>662</v>
      </c>
      <c r="C401" s="8" t="s">
        <v>290</v>
      </c>
      <c r="D401" s="8" t="s">
        <v>472</v>
      </c>
      <c r="E401" s="8" t="s">
        <v>237</v>
      </c>
      <c r="F401" s="8" t="s">
        <v>238</v>
      </c>
      <c r="G401" s="6">
        <v>43108</v>
      </c>
      <c r="H401" s="6">
        <v>43108</v>
      </c>
      <c r="I401" s="4">
        <v>-3.8</v>
      </c>
      <c r="J401" s="8" t="s">
        <v>66</v>
      </c>
      <c r="K401" s="8" t="s">
        <v>1137</v>
      </c>
      <c r="L401" s="4" t="str">
        <f>IF(AtlasReport_1_Table_1[[#This Row],[Reference]]="Purchase order",_xll.AtlasFormulas.AtlasFunctions.AtlasTable("UAT",DataAreaId,"T.VendInvoiceTrans","%RecId","","","","","","","ItemId|PurchID|InventTransId",$C401,$B401,$K401),"")</f>
        <v/>
      </c>
      <c r="M401" s="4" t="str">
        <f>IF(AtlasReport_1_Table_1[[#This Row],[Reference]]="Purchase order",_xll.AtlasFormulas.AtlasFunctions.AtlasTable("UAT",DataAreaId,"T.MarkupTrans","%CurrencyCode","","","","","","","MarkupCode|TransRecId|TransTableId","TPP",$L401,"492"),"")</f>
        <v/>
      </c>
      <c r="N401" s="4" t="str">
        <f>IF(AtlasReport_1_Table_1[[#This Row],[Reference]]="Purchase order",_xll.AtlasFormulas.AtlasFunctions.AtlasBalance("UAT",DataAreaId,"T.MarkupTrans","Sum|Posted|0","","","","","","","MarkupCode|TransTableId|TransRecId","TPP","492",$L401),"")</f>
        <v/>
      </c>
    </row>
    <row r="402" spans="1:14">
      <c r="A402" s="8" t="s">
        <v>1121</v>
      </c>
      <c r="B402" s="8" t="s">
        <v>664</v>
      </c>
      <c r="C402" s="8" t="s">
        <v>369</v>
      </c>
      <c r="D402" s="8" t="s">
        <v>370</v>
      </c>
      <c r="E402" s="8" t="s">
        <v>237</v>
      </c>
      <c r="F402" s="8" t="s">
        <v>238</v>
      </c>
      <c r="G402" s="6">
        <v>43108</v>
      </c>
      <c r="H402" s="6">
        <v>43108</v>
      </c>
      <c r="I402" s="4">
        <v>-1000</v>
      </c>
      <c r="J402" s="8" t="s">
        <v>66</v>
      </c>
      <c r="K402" s="8" t="s">
        <v>1138</v>
      </c>
      <c r="L402" s="4" t="str">
        <f>IF(AtlasReport_1_Table_1[[#This Row],[Reference]]="Purchase order",_xll.AtlasFormulas.AtlasFunctions.AtlasTable("UAT",DataAreaId,"T.VendInvoiceTrans","%RecId","","","","","","","ItemId|PurchID|InventTransId",$C402,$B402,$K402),"")</f>
        <v/>
      </c>
      <c r="M402" s="4" t="str">
        <f>IF(AtlasReport_1_Table_1[[#This Row],[Reference]]="Purchase order",_xll.AtlasFormulas.AtlasFunctions.AtlasTable("UAT",DataAreaId,"T.MarkupTrans","%CurrencyCode","","","","","","","MarkupCode|TransRecId|TransTableId","TPP",$L402,"492"),"")</f>
        <v/>
      </c>
      <c r="N402" s="4" t="str">
        <f>IF(AtlasReport_1_Table_1[[#This Row],[Reference]]="Purchase order",_xll.AtlasFormulas.AtlasFunctions.AtlasBalance("UAT",DataAreaId,"T.MarkupTrans","Sum|Posted|0","","","","","","","MarkupCode|TransTableId|TransRecId","TPP","492",$L402),"")</f>
        <v/>
      </c>
    </row>
    <row r="403" spans="1:14">
      <c r="A403" s="8" t="s">
        <v>1121</v>
      </c>
      <c r="B403" s="8" t="s">
        <v>664</v>
      </c>
      <c r="C403" s="8" t="s">
        <v>856</v>
      </c>
      <c r="D403" s="8" t="s">
        <v>857</v>
      </c>
      <c r="E403" s="8" t="s">
        <v>237</v>
      </c>
      <c r="F403" s="8" t="s">
        <v>238</v>
      </c>
      <c r="G403" s="6">
        <v>43108</v>
      </c>
      <c r="H403" s="6">
        <v>43108</v>
      </c>
      <c r="I403" s="4">
        <v>-40</v>
      </c>
      <c r="J403" s="8" t="s">
        <v>22</v>
      </c>
      <c r="K403" s="8" t="s">
        <v>1139</v>
      </c>
      <c r="L403" s="4" t="str">
        <f>IF(AtlasReport_1_Table_1[[#This Row],[Reference]]="Purchase order",_xll.AtlasFormulas.AtlasFunctions.AtlasTable("UAT",DataAreaId,"T.VendInvoiceTrans","%RecId","","","","","","","ItemId|PurchID|InventTransId",$C403,$B403,$K403),"")</f>
        <v/>
      </c>
      <c r="M403" s="4" t="str">
        <f>IF(AtlasReport_1_Table_1[[#This Row],[Reference]]="Purchase order",_xll.AtlasFormulas.AtlasFunctions.AtlasTable("UAT",DataAreaId,"T.MarkupTrans","%CurrencyCode","","","","","","","MarkupCode|TransRecId|TransTableId","TPP",$L403,"492"),"")</f>
        <v/>
      </c>
      <c r="N403" s="4" t="str">
        <f>IF(AtlasReport_1_Table_1[[#This Row],[Reference]]="Purchase order",_xll.AtlasFormulas.AtlasFunctions.AtlasBalance("UAT",DataAreaId,"T.MarkupTrans","Sum|Posted|0","","","","","","","MarkupCode|TransTableId|TransRecId","TPP","492",$L403),"")</f>
        <v/>
      </c>
    </row>
    <row r="404" spans="1:14">
      <c r="A404" s="8" t="s">
        <v>1121</v>
      </c>
      <c r="B404" s="8" t="s">
        <v>666</v>
      </c>
      <c r="C404" s="8" t="s">
        <v>250</v>
      </c>
      <c r="D404" s="8" t="s">
        <v>329</v>
      </c>
      <c r="E404" s="8" t="s">
        <v>237</v>
      </c>
      <c r="F404" s="8" t="s">
        <v>249</v>
      </c>
      <c r="G404" s="6">
        <v>43108</v>
      </c>
      <c r="H404" s="6">
        <v>43108</v>
      </c>
      <c r="I404" s="4">
        <v>-1080</v>
      </c>
      <c r="J404" s="8" t="s">
        <v>66</v>
      </c>
      <c r="K404" s="8" t="s">
        <v>1140</v>
      </c>
      <c r="L404" s="4" t="str">
        <f>IF(AtlasReport_1_Table_1[[#This Row],[Reference]]="Purchase order",_xll.AtlasFormulas.AtlasFunctions.AtlasTable("UAT",DataAreaId,"T.VendInvoiceTrans","%RecId","","","","","","","ItemId|PurchID|InventTransId",$C404,$B404,$K404),"")</f>
        <v/>
      </c>
      <c r="M404" s="4" t="str">
        <f>IF(AtlasReport_1_Table_1[[#This Row],[Reference]]="Purchase order",_xll.AtlasFormulas.AtlasFunctions.AtlasTable("UAT",DataAreaId,"T.MarkupTrans","%CurrencyCode","","","","","","","MarkupCode|TransRecId|TransTableId","TPP",$L404,"492"),"")</f>
        <v/>
      </c>
      <c r="N404" s="4" t="str">
        <f>IF(AtlasReport_1_Table_1[[#This Row],[Reference]]="Purchase order",_xll.AtlasFormulas.AtlasFunctions.AtlasBalance("UAT",DataAreaId,"T.MarkupTrans","Sum|Posted|0","","","","","","","MarkupCode|TransTableId|TransRecId","TPP","492",$L404),"")</f>
        <v/>
      </c>
    </row>
    <row r="405" spans="1:14">
      <c r="A405" s="8" t="s">
        <v>1121</v>
      </c>
      <c r="B405" s="8" t="s">
        <v>666</v>
      </c>
      <c r="C405" s="8" t="s">
        <v>256</v>
      </c>
      <c r="D405" s="8" t="s">
        <v>349</v>
      </c>
      <c r="E405" s="8" t="s">
        <v>237</v>
      </c>
      <c r="F405" s="8" t="s">
        <v>249</v>
      </c>
      <c r="G405" s="6">
        <v>43108</v>
      </c>
      <c r="H405" s="6">
        <v>43108</v>
      </c>
      <c r="I405" s="4">
        <v>-450</v>
      </c>
      <c r="J405" s="8" t="s">
        <v>66</v>
      </c>
      <c r="K405" s="8" t="s">
        <v>1141</v>
      </c>
      <c r="L405" s="4" t="str">
        <f>IF(AtlasReport_1_Table_1[[#This Row],[Reference]]="Purchase order",_xll.AtlasFormulas.AtlasFunctions.AtlasTable("UAT",DataAreaId,"T.VendInvoiceTrans","%RecId","","","","","","","ItemId|PurchID|InventTransId",$C405,$B405,$K405),"")</f>
        <v/>
      </c>
      <c r="M405" s="4" t="str">
        <f>IF(AtlasReport_1_Table_1[[#This Row],[Reference]]="Purchase order",_xll.AtlasFormulas.AtlasFunctions.AtlasTable("UAT",DataAreaId,"T.MarkupTrans","%CurrencyCode","","","","","","","MarkupCode|TransRecId|TransTableId","TPP",$L405,"492"),"")</f>
        <v/>
      </c>
      <c r="N405" s="4" t="str">
        <f>IF(AtlasReport_1_Table_1[[#This Row],[Reference]]="Purchase order",_xll.AtlasFormulas.AtlasFunctions.AtlasBalance("UAT",DataAreaId,"T.MarkupTrans","Sum|Posted|0","","","","","","","MarkupCode|TransTableId|TransRecId","TPP","492",$L405),"")</f>
        <v/>
      </c>
    </row>
    <row r="406" spans="1:14">
      <c r="A406" s="8" t="s">
        <v>1121</v>
      </c>
      <c r="B406" s="8" t="s">
        <v>666</v>
      </c>
      <c r="C406" s="8" t="s">
        <v>257</v>
      </c>
      <c r="D406" s="8" t="s">
        <v>350</v>
      </c>
      <c r="E406" s="8" t="s">
        <v>237</v>
      </c>
      <c r="F406" s="8" t="s">
        <v>249</v>
      </c>
      <c r="G406" s="6">
        <v>43108</v>
      </c>
      <c r="H406" s="6">
        <v>43108</v>
      </c>
      <c r="I406" s="4">
        <v>-450</v>
      </c>
      <c r="J406" s="8" t="s">
        <v>66</v>
      </c>
      <c r="K406" s="8" t="s">
        <v>1142</v>
      </c>
      <c r="L406" s="4" t="str">
        <f>IF(AtlasReport_1_Table_1[[#This Row],[Reference]]="Purchase order",_xll.AtlasFormulas.AtlasFunctions.AtlasTable("UAT",DataAreaId,"T.VendInvoiceTrans","%RecId","","","","","","","ItemId|PurchID|InventTransId",$C406,$B406,$K406),"")</f>
        <v/>
      </c>
      <c r="M406" s="4" t="str">
        <f>IF(AtlasReport_1_Table_1[[#This Row],[Reference]]="Purchase order",_xll.AtlasFormulas.AtlasFunctions.AtlasTable("UAT",DataAreaId,"T.MarkupTrans","%CurrencyCode","","","","","","","MarkupCode|TransRecId|TransTableId","TPP",$L406,"492"),"")</f>
        <v/>
      </c>
      <c r="N406" s="4" t="str">
        <f>IF(AtlasReport_1_Table_1[[#This Row],[Reference]]="Purchase order",_xll.AtlasFormulas.AtlasFunctions.AtlasBalance("UAT",DataAreaId,"T.MarkupTrans","Sum|Posted|0","","","","","","","MarkupCode|TransTableId|TransRecId","TPP","492",$L406),"")</f>
        <v/>
      </c>
    </row>
    <row r="407" spans="1:14">
      <c r="A407" s="8" t="s">
        <v>1121</v>
      </c>
      <c r="B407" s="8" t="s">
        <v>666</v>
      </c>
      <c r="C407" s="8" t="s">
        <v>258</v>
      </c>
      <c r="D407" s="8" t="s">
        <v>351</v>
      </c>
      <c r="E407" s="8" t="s">
        <v>237</v>
      </c>
      <c r="F407" s="8" t="s">
        <v>249</v>
      </c>
      <c r="G407" s="6">
        <v>43108</v>
      </c>
      <c r="H407" s="6">
        <v>43108</v>
      </c>
      <c r="I407" s="4">
        <v>-450</v>
      </c>
      <c r="J407" s="8" t="s">
        <v>66</v>
      </c>
      <c r="K407" s="8" t="s">
        <v>1143</v>
      </c>
      <c r="L407" s="4" t="str">
        <f>IF(AtlasReport_1_Table_1[[#This Row],[Reference]]="Purchase order",_xll.AtlasFormulas.AtlasFunctions.AtlasTable("UAT",DataAreaId,"T.VendInvoiceTrans","%RecId","","","","","","","ItemId|PurchID|InventTransId",$C407,$B407,$K407),"")</f>
        <v/>
      </c>
      <c r="M407" s="4" t="str">
        <f>IF(AtlasReport_1_Table_1[[#This Row],[Reference]]="Purchase order",_xll.AtlasFormulas.AtlasFunctions.AtlasTable("UAT",DataAreaId,"T.MarkupTrans","%CurrencyCode","","","","","","","MarkupCode|TransRecId|TransTableId","TPP",$L407,"492"),"")</f>
        <v/>
      </c>
      <c r="N407" s="4" t="str">
        <f>IF(AtlasReport_1_Table_1[[#This Row],[Reference]]="Purchase order",_xll.AtlasFormulas.AtlasFunctions.AtlasBalance("UAT",DataAreaId,"T.MarkupTrans","Sum|Posted|0","","","","","","","MarkupCode|TransTableId|TransRecId","TPP","492",$L407),"")</f>
        <v/>
      </c>
    </row>
    <row r="408" spans="1:14">
      <c r="A408" s="8" t="s">
        <v>1121</v>
      </c>
      <c r="B408" s="8" t="s">
        <v>666</v>
      </c>
      <c r="C408" s="8" t="s">
        <v>259</v>
      </c>
      <c r="D408" s="8" t="s">
        <v>352</v>
      </c>
      <c r="E408" s="8" t="s">
        <v>237</v>
      </c>
      <c r="F408" s="8" t="s">
        <v>249</v>
      </c>
      <c r="G408" s="6">
        <v>43108</v>
      </c>
      <c r="H408" s="6">
        <v>43108</v>
      </c>
      <c r="I408" s="4">
        <v>-600</v>
      </c>
      <c r="J408" s="8" t="s">
        <v>66</v>
      </c>
      <c r="K408" s="8" t="s">
        <v>1144</v>
      </c>
      <c r="L408" s="4" t="str">
        <f>IF(AtlasReport_1_Table_1[[#This Row],[Reference]]="Purchase order",_xll.AtlasFormulas.AtlasFunctions.AtlasTable("UAT",DataAreaId,"T.VendInvoiceTrans","%RecId","","","","","","","ItemId|PurchID|InventTransId",$C408,$B408,$K408),"")</f>
        <v/>
      </c>
      <c r="M408" s="4" t="str">
        <f>IF(AtlasReport_1_Table_1[[#This Row],[Reference]]="Purchase order",_xll.AtlasFormulas.AtlasFunctions.AtlasTable("UAT",DataAreaId,"T.MarkupTrans","%CurrencyCode","","","","","","","MarkupCode|TransRecId|TransTableId","TPP",$L408,"492"),"")</f>
        <v/>
      </c>
      <c r="N408" s="4" t="str">
        <f>IF(AtlasReport_1_Table_1[[#This Row],[Reference]]="Purchase order",_xll.AtlasFormulas.AtlasFunctions.AtlasBalance("UAT",DataAreaId,"T.MarkupTrans","Sum|Posted|0","","","","","","","MarkupCode|TransTableId|TransRecId","TPP","492",$L408),"")</f>
        <v/>
      </c>
    </row>
    <row r="409" spans="1:14">
      <c r="A409" s="8" t="s">
        <v>1121</v>
      </c>
      <c r="B409" s="8" t="s">
        <v>666</v>
      </c>
      <c r="C409" s="8" t="s">
        <v>290</v>
      </c>
      <c r="D409" s="8" t="s">
        <v>472</v>
      </c>
      <c r="E409" s="8" t="s">
        <v>237</v>
      </c>
      <c r="F409" s="8" t="s">
        <v>238</v>
      </c>
      <c r="G409" s="6">
        <v>43108</v>
      </c>
      <c r="H409" s="6">
        <v>43108</v>
      </c>
      <c r="I409" s="4">
        <v>-11.4</v>
      </c>
      <c r="J409" s="8" t="s">
        <v>66</v>
      </c>
      <c r="K409" s="8" t="s">
        <v>1145</v>
      </c>
      <c r="L409" s="4" t="str">
        <f>IF(AtlasReport_1_Table_1[[#This Row],[Reference]]="Purchase order",_xll.AtlasFormulas.AtlasFunctions.AtlasTable("UAT",DataAreaId,"T.VendInvoiceTrans","%RecId","","","","","","","ItemId|PurchID|InventTransId",$C409,$B409,$K409),"")</f>
        <v/>
      </c>
      <c r="M409" s="4" t="str">
        <f>IF(AtlasReport_1_Table_1[[#This Row],[Reference]]="Purchase order",_xll.AtlasFormulas.AtlasFunctions.AtlasTable("UAT",DataAreaId,"T.MarkupTrans","%CurrencyCode","","","","","","","MarkupCode|TransRecId|TransTableId","TPP",$L409,"492"),"")</f>
        <v/>
      </c>
      <c r="N409" s="4" t="str">
        <f>IF(AtlasReport_1_Table_1[[#This Row],[Reference]]="Purchase order",_xll.AtlasFormulas.AtlasFunctions.AtlasBalance("UAT",DataAreaId,"T.MarkupTrans","Sum|Posted|0","","","","","","","MarkupCode|TransTableId|TransRecId","TPP","492",$L409),"")</f>
        <v/>
      </c>
    </row>
    <row r="410" spans="1:14">
      <c r="A410" s="8" t="s">
        <v>1121</v>
      </c>
      <c r="B410" s="8" t="s">
        <v>668</v>
      </c>
      <c r="C410" s="8" t="s">
        <v>369</v>
      </c>
      <c r="D410" s="8" t="s">
        <v>370</v>
      </c>
      <c r="E410" s="8" t="s">
        <v>237</v>
      </c>
      <c r="F410" s="8" t="s">
        <v>238</v>
      </c>
      <c r="G410" s="6">
        <v>43108</v>
      </c>
      <c r="H410" s="6">
        <v>43108</v>
      </c>
      <c r="I410" s="4">
        <v>-1900</v>
      </c>
      <c r="J410" s="8" t="s">
        <v>66</v>
      </c>
      <c r="K410" s="8" t="s">
        <v>1146</v>
      </c>
      <c r="L410" s="4" t="str">
        <f>IF(AtlasReport_1_Table_1[[#This Row],[Reference]]="Purchase order",_xll.AtlasFormulas.AtlasFunctions.AtlasTable("UAT",DataAreaId,"T.VendInvoiceTrans","%RecId","","","","","","","ItemId|PurchID|InventTransId",$C410,$B410,$K410),"")</f>
        <v/>
      </c>
      <c r="M410" s="4" t="str">
        <f>IF(AtlasReport_1_Table_1[[#This Row],[Reference]]="Purchase order",_xll.AtlasFormulas.AtlasFunctions.AtlasTable("UAT",DataAreaId,"T.MarkupTrans","%CurrencyCode","","","","","","","MarkupCode|TransRecId|TransTableId","TPP",$L410,"492"),"")</f>
        <v/>
      </c>
      <c r="N410" s="4" t="str">
        <f>IF(AtlasReport_1_Table_1[[#This Row],[Reference]]="Purchase order",_xll.AtlasFormulas.AtlasFunctions.AtlasBalance("UAT",DataAreaId,"T.MarkupTrans","Sum|Posted|0","","","","","","","MarkupCode|TransTableId|TransRecId","TPP","492",$L410),"")</f>
        <v/>
      </c>
    </row>
    <row r="411" spans="1:14">
      <c r="A411" s="8" t="s">
        <v>1121</v>
      </c>
      <c r="B411" s="8" t="s">
        <v>668</v>
      </c>
      <c r="C411" s="8" t="s">
        <v>856</v>
      </c>
      <c r="D411" s="8" t="s">
        <v>857</v>
      </c>
      <c r="E411" s="8" t="s">
        <v>237</v>
      </c>
      <c r="F411" s="8" t="s">
        <v>238</v>
      </c>
      <c r="G411" s="6">
        <v>43108</v>
      </c>
      <c r="H411" s="6">
        <v>43108</v>
      </c>
      <c r="I411" s="4">
        <v>-76</v>
      </c>
      <c r="J411" s="8" t="s">
        <v>22</v>
      </c>
      <c r="K411" s="8" t="s">
        <v>1147</v>
      </c>
      <c r="L411" s="4" t="str">
        <f>IF(AtlasReport_1_Table_1[[#This Row],[Reference]]="Purchase order",_xll.AtlasFormulas.AtlasFunctions.AtlasTable("UAT",DataAreaId,"T.VendInvoiceTrans","%RecId","","","","","","","ItemId|PurchID|InventTransId",$C411,$B411,$K411),"")</f>
        <v/>
      </c>
      <c r="M411" s="4" t="str">
        <f>IF(AtlasReport_1_Table_1[[#This Row],[Reference]]="Purchase order",_xll.AtlasFormulas.AtlasFunctions.AtlasTable("UAT",DataAreaId,"T.MarkupTrans","%CurrencyCode","","","","","","","MarkupCode|TransRecId|TransTableId","TPP",$L411,"492"),"")</f>
        <v/>
      </c>
      <c r="N411" s="4" t="str">
        <f>IF(AtlasReport_1_Table_1[[#This Row],[Reference]]="Purchase order",_xll.AtlasFormulas.AtlasFunctions.AtlasBalance("UAT",DataAreaId,"T.MarkupTrans","Sum|Posted|0","","","","","","","MarkupCode|TransTableId|TransRecId","TPP","492",$L411),"")</f>
        <v/>
      </c>
    </row>
    <row r="412" spans="1:14">
      <c r="A412" s="8" t="s">
        <v>1121</v>
      </c>
      <c r="B412" s="8" t="s">
        <v>670</v>
      </c>
      <c r="C412" s="8" t="s">
        <v>369</v>
      </c>
      <c r="D412" s="8" t="s">
        <v>370</v>
      </c>
      <c r="E412" s="8" t="s">
        <v>237</v>
      </c>
      <c r="F412" s="8" t="s">
        <v>238</v>
      </c>
      <c r="G412" s="6">
        <v>43108</v>
      </c>
      <c r="H412" s="6">
        <v>43108</v>
      </c>
      <c r="I412" s="4">
        <v>-1125</v>
      </c>
      <c r="J412" s="8" t="s">
        <v>66</v>
      </c>
      <c r="K412" s="8" t="s">
        <v>1148</v>
      </c>
      <c r="L412" s="4" t="str">
        <f>IF(AtlasReport_1_Table_1[[#This Row],[Reference]]="Purchase order",_xll.AtlasFormulas.AtlasFunctions.AtlasTable("UAT",DataAreaId,"T.VendInvoiceTrans","%RecId","","","","","","","ItemId|PurchID|InventTransId",$C412,$B412,$K412),"")</f>
        <v/>
      </c>
      <c r="M412" s="4" t="str">
        <f>IF(AtlasReport_1_Table_1[[#This Row],[Reference]]="Purchase order",_xll.AtlasFormulas.AtlasFunctions.AtlasTable("UAT",DataAreaId,"T.MarkupTrans","%CurrencyCode","","","","","","","MarkupCode|TransRecId|TransTableId","TPP",$L412,"492"),"")</f>
        <v/>
      </c>
      <c r="N412" s="4" t="str">
        <f>IF(AtlasReport_1_Table_1[[#This Row],[Reference]]="Purchase order",_xll.AtlasFormulas.AtlasFunctions.AtlasBalance("UAT",DataAreaId,"T.MarkupTrans","Sum|Posted|0","","","","","","","MarkupCode|TransTableId|TransRecId","TPP","492",$L412),"")</f>
        <v/>
      </c>
    </row>
    <row r="413" spans="1:14">
      <c r="A413" s="8" t="s">
        <v>1121</v>
      </c>
      <c r="B413" s="8" t="s">
        <v>670</v>
      </c>
      <c r="C413" s="8" t="s">
        <v>856</v>
      </c>
      <c r="D413" s="8" t="s">
        <v>857</v>
      </c>
      <c r="E413" s="8" t="s">
        <v>237</v>
      </c>
      <c r="F413" s="8" t="s">
        <v>238</v>
      </c>
      <c r="G413" s="6">
        <v>43108</v>
      </c>
      <c r="H413" s="6">
        <v>43108</v>
      </c>
      <c r="I413" s="4">
        <v>-45</v>
      </c>
      <c r="J413" s="8" t="s">
        <v>22</v>
      </c>
      <c r="K413" s="8" t="s">
        <v>1149</v>
      </c>
      <c r="L413" s="4" t="str">
        <f>IF(AtlasReport_1_Table_1[[#This Row],[Reference]]="Purchase order",_xll.AtlasFormulas.AtlasFunctions.AtlasTable("UAT",DataAreaId,"T.VendInvoiceTrans","%RecId","","","","","","","ItemId|PurchID|InventTransId",$C413,$B413,$K413),"")</f>
        <v/>
      </c>
      <c r="M413" s="4" t="str">
        <f>IF(AtlasReport_1_Table_1[[#This Row],[Reference]]="Purchase order",_xll.AtlasFormulas.AtlasFunctions.AtlasTable("UAT",DataAreaId,"T.MarkupTrans","%CurrencyCode","","","","","","","MarkupCode|TransRecId|TransTableId","TPP",$L413,"492"),"")</f>
        <v/>
      </c>
      <c r="N413" s="4" t="str">
        <f>IF(AtlasReport_1_Table_1[[#This Row],[Reference]]="Purchase order",_xll.AtlasFormulas.AtlasFunctions.AtlasBalance("UAT",DataAreaId,"T.MarkupTrans","Sum|Posted|0","","","","","","","MarkupCode|TransTableId|TransRecId","TPP","492",$L413),"")</f>
        <v/>
      </c>
    </row>
    <row r="414" spans="1:14">
      <c r="A414" s="8" t="s">
        <v>1121</v>
      </c>
      <c r="B414" s="8" t="s">
        <v>672</v>
      </c>
      <c r="C414" s="8" t="s">
        <v>248</v>
      </c>
      <c r="D414" s="8" t="s">
        <v>327</v>
      </c>
      <c r="E414" s="8" t="s">
        <v>237</v>
      </c>
      <c r="F414" s="8" t="s">
        <v>249</v>
      </c>
      <c r="G414" s="6">
        <v>43110</v>
      </c>
      <c r="H414" s="6">
        <v>43110</v>
      </c>
      <c r="I414" s="4">
        <v>-414</v>
      </c>
      <c r="J414" s="8" t="s">
        <v>66</v>
      </c>
      <c r="K414" s="8" t="s">
        <v>1150</v>
      </c>
      <c r="L414" s="4" t="str">
        <f>IF(AtlasReport_1_Table_1[[#This Row],[Reference]]="Purchase order",_xll.AtlasFormulas.AtlasFunctions.AtlasTable("UAT",DataAreaId,"T.VendInvoiceTrans","%RecId","","","","","","","ItemId|PurchID|InventTransId",$C414,$B414,$K414),"")</f>
        <v/>
      </c>
      <c r="M414" s="4" t="str">
        <f>IF(AtlasReport_1_Table_1[[#This Row],[Reference]]="Purchase order",_xll.AtlasFormulas.AtlasFunctions.AtlasTable("UAT",DataAreaId,"T.MarkupTrans","%CurrencyCode","","","","","","","MarkupCode|TransRecId|TransTableId","TPP",$L414,"492"),"")</f>
        <v/>
      </c>
      <c r="N414" s="4" t="str">
        <f>IF(AtlasReport_1_Table_1[[#This Row],[Reference]]="Purchase order",_xll.AtlasFormulas.AtlasFunctions.AtlasBalance("UAT",DataAreaId,"T.MarkupTrans","Sum|Posted|0","","","","","","","MarkupCode|TransTableId|TransRecId","TPP","492",$L414),"")</f>
        <v/>
      </c>
    </row>
    <row r="415" spans="1:14">
      <c r="A415" s="8" t="s">
        <v>1121</v>
      </c>
      <c r="B415" s="8" t="s">
        <v>672</v>
      </c>
      <c r="C415" s="8" t="s">
        <v>255</v>
      </c>
      <c r="D415" s="8" t="s">
        <v>346</v>
      </c>
      <c r="E415" s="8" t="s">
        <v>237</v>
      </c>
      <c r="F415" s="8" t="s">
        <v>238</v>
      </c>
      <c r="G415" s="6">
        <v>43110</v>
      </c>
      <c r="H415" s="6">
        <v>43110</v>
      </c>
      <c r="I415" s="4">
        <v>-315</v>
      </c>
      <c r="J415" s="8" t="s">
        <v>66</v>
      </c>
      <c r="K415" s="8" t="s">
        <v>1151</v>
      </c>
      <c r="L415" s="4" t="str">
        <f>IF(AtlasReport_1_Table_1[[#This Row],[Reference]]="Purchase order",_xll.AtlasFormulas.AtlasFunctions.AtlasTable("UAT",DataAreaId,"T.VendInvoiceTrans","%RecId","","","","","","","ItemId|PurchID|InventTransId",$C415,$B415,$K415),"")</f>
        <v/>
      </c>
      <c r="M415" s="4" t="str">
        <f>IF(AtlasReport_1_Table_1[[#This Row],[Reference]]="Purchase order",_xll.AtlasFormulas.AtlasFunctions.AtlasTable("UAT",DataAreaId,"T.MarkupTrans","%CurrencyCode","","","","","","","MarkupCode|TransRecId|TransTableId","TPP",$L415,"492"),"")</f>
        <v/>
      </c>
      <c r="N415" s="4" t="str">
        <f>IF(AtlasReport_1_Table_1[[#This Row],[Reference]]="Purchase order",_xll.AtlasFormulas.AtlasFunctions.AtlasBalance("UAT",DataAreaId,"T.MarkupTrans","Sum|Posted|0","","","","","","","MarkupCode|TransTableId|TransRecId","TPP","492",$L415),"")</f>
        <v/>
      </c>
    </row>
    <row r="416" spans="1:14">
      <c r="A416" s="8" t="s">
        <v>1121</v>
      </c>
      <c r="B416" s="8" t="s">
        <v>672</v>
      </c>
      <c r="C416" s="8" t="s">
        <v>256</v>
      </c>
      <c r="D416" s="8" t="s">
        <v>349</v>
      </c>
      <c r="E416" s="8" t="s">
        <v>237</v>
      </c>
      <c r="F416" s="8" t="s">
        <v>249</v>
      </c>
      <c r="G416" s="6">
        <v>43110</v>
      </c>
      <c r="H416" s="6">
        <v>43110</v>
      </c>
      <c r="I416" s="4">
        <v>-103.5</v>
      </c>
      <c r="J416" s="8" t="s">
        <v>66</v>
      </c>
      <c r="K416" s="8" t="s">
        <v>1152</v>
      </c>
      <c r="L416" s="4" t="str">
        <f>IF(AtlasReport_1_Table_1[[#This Row],[Reference]]="Purchase order",_xll.AtlasFormulas.AtlasFunctions.AtlasTable("UAT",DataAreaId,"T.VendInvoiceTrans","%RecId","","","","","","","ItemId|PurchID|InventTransId",$C416,$B416,$K416),"")</f>
        <v/>
      </c>
      <c r="M416" s="4" t="str">
        <f>IF(AtlasReport_1_Table_1[[#This Row],[Reference]]="Purchase order",_xll.AtlasFormulas.AtlasFunctions.AtlasTable("UAT",DataAreaId,"T.MarkupTrans","%CurrencyCode","","","","","","","MarkupCode|TransRecId|TransTableId","TPP",$L416,"492"),"")</f>
        <v/>
      </c>
      <c r="N416" s="4" t="str">
        <f>IF(AtlasReport_1_Table_1[[#This Row],[Reference]]="Purchase order",_xll.AtlasFormulas.AtlasFunctions.AtlasBalance("UAT",DataAreaId,"T.MarkupTrans","Sum|Posted|0","","","","","","","MarkupCode|TransTableId|TransRecId","TPP","492",$L416),"")</f>
        <v/>
      </c>
    </row>
    <row r="417" spans="1:14">
      <c r="A417" s="8" t="s">
        <v>1121</v>
      </c>
      <c r="B417" s="8" t="s">
        <v>672</v>
      </c>
      <c r="C417" s="8" t="s">
        <v>261</v>
      </c>
      <c r="D417" s="8" t="s">
        <v>354</v>
      </c>
      <c r="E417" s="8" t="s">
        <v>237</v>
      </c>
      <c r="F417" s="8" t="s">
        <v>238</v>
      </c>
      <c r="G417" s="6">
        <v>43110</v>
      </c>
      <c r="H417" s="6">
        <v>43110</v>
      </c>
      <c r="I417" s="4">
        <v>-18</v>
      </c>
      <c r="J417" s="8" t="s">
        <v>66</v>
      </c>
      <c r="K417" s="8" t="s">
        <v>1153</v>
      </c>
      <c r="L417" s="4" t="str">
        <f>IF(AtlasReport_1_Table_1[[#This Row],[Reference]]="Purchase order",_xll.AtlasFormulas.AtlasFunctions.AtlasTable("UAT",DataAreaId,"T.VendInvoiceTrans","%RecId","","","","","","","ItemId|PurchID|InventTransId",$C417,$B417,$K417),"")</f>
        <v/>
      </c>
      <c r="M417" s="4" t="str">
        <f>IF(AtlasReport_1_Table_1[[#This Row],[Reference]]="Purchase order",_xll.AtlasFormulas.AtlasFunctions.AtlasTable("UAT",DataAreaId,"T.MarkupTrans","%CurrencyCode","","","","","","","MarkupCode|TransRecId|TransTableId","TPP",$L417,"492"),"")</f>
        <v/>
      </c>
      <c r="N417" s="4" t="str">
        <f>IF(AtlasReport_1_Table_1[[#This Row],[Reference]]="Purchase order",_xll.AtlasFormulas.AtlasFunctions.AtlasBalance("UAT",DataAreaId,"T.MarkupTrans","Sum|Posted|0","","","","","","","MarkupCode|TransTableId|TransRecId","TPP","492",$L417),"")</f>
        <v/>
      </c>
    </row>
    <row r="418" spans="1:14">
      <c r="A418" s="8" t="s">
        <v>1121</v>
      </c>
      <c r="B418" s="8" t="s">
        <v>672</v>
      </c>
      <c r="C418" s="8" t="s">
        <v>265</v>
      </c>
      <c r="D418" s="8" t="s">
        <v>364</v>
      </c>
      <c r="E418" s="8" t="s">
        <v>237</v>
      </c>
      <c r="F418" s="8" t="s">
        <v>238</v>
      </c>
      <c r="G418" s="6">
        <v>43110</v>
      </c>
      <c r="H418" s="6">
        <v>43110</v>
      </c>
      <c r="I418" s="4">
        <v>-333</v>
      </c>
      <c r="J418" s="8" t="s">
        <v>66</v>
      </c>
      <c r="K418" s="8" t="s">
        <v>1154</v>
      </c>
      <c r="L418" s="4" t="str">
        <f>IF(AtlasReport_1_Table_1[[#This Row],[Reference]]="Purchase order",_xll.AtlasFormulas.AtlasFunctions.AtlasTable("UAT",DataAreaId,"T.VendInvoiceTrans","%RecId","","","","","","","ItemId|PurchID|InventTransId",$C418,$B418,$K418),"")</f>
        <v/>
      </c>
      <c r="M418" s="4" t="str">
        <f>IF(AtlasReport_1_Table_1[[#This Row],[Reference]]="Purchase order",_xll.AtlasFormulas.AtlasFunctions.AtlasTable("UAT",DataAreaId,"T.MarkupTrans","%CurrencyCode","","","","","","","MarkupCode|TransRecId|TransTableId","TPP",$L418,"492"),"")</f>
        <v/>
      </c>
      <c r="N418" s="4" t="str">
        <f>IF(AtlasReport_1_Table_1[[#This Row],[Reference]]="Purchase order",_xll.AtlasFormulas.AtlasFunctions.AtlasBalance("UAT",DataAreaId,"T.MarkupTrans","Sum|Posted|0","","","","","","","MarkupCode|TransTableId|TransRecId","TPP","492",$L418),"")</f>
        <v/>
      </c>
    </row>
    <row r="419" spans="1:14">
      <c r="A419" s="8" t="s">
        <v>1121</v>
      </c>
      <c r="B419" s="8" t="s">
        <v>672</v>
      </c>
      <c r="C419" s="8" t="s">
        <v>293</v>
      </c>
      <c r="D419" s="8" t="s">
        <v>482</v>
      </c>
      <c r="E419" s="8" t="s">
        <v>237</v>
      </c>
      <c r="F419" s="8" t="s">
        <v>238</v>
      </c>
      <c r="G419" s="6">
        <v>43110</v>
      </c>
      <c r="H419" s="6">
        <v>43110</v>
      </c>
      <c r="I419" s="4">
        <v>-4.5</v>
      </c>
      <c r="J419" s="8" t="s">
        <v>66</v>
      </c>
      <c r="K419" s="8" t="s">
        <v>1155</v>
      </c>
      <c r="L419" s="4" t="str">
        <f>IF(AtlasReport_1_Table_1[[#This Row],[Reference]]="Purchase order",_xll.AtlasFormulas.AtlasFunctions.AtlasTable("UAT",DataAreaId,"T.VendInvoiceTrans","%RecId","","","","","","","ItemId|PurchID|InventTransId",$C419,$B419,$K419),"")</f>
        <v/>
      </c>
      <c r="M419" s="4" t="str">
        <f>IF(AtlasReport_1_Table_1[[#This Row],[Reference]]="Purchase order",_xll.AtlasFormulas.AtlasFunctions.AtlasTable("UAT",DataAreaId,"T.MarkupTrans","%CurrencyCode","","","","","","","MarkupCode|TransRecId|TransTableId","TPP",$L419,"492"),"")</f>
        <v/>
      </c>
      <c r="N419" s="4" t="str">
        <f>IF(AtlasReport_1_Table_1[[#This Row],[Reference]]="Purchase order",_xll.AtlasFormulas.AtlasFunctions.AtlasBalance("UAT",DataAreaId,"T.MarkupTrans","Sum|Posted|0","","","","","","","MarkupCode|TransTableId|TransRecId","TPP","492",$L419),"")</f>
        <v/>
      </c>
    </row>
    <row r="420" spans="1:14">
      <c r="A420" s="8" t="s">
        <v>1121</v>
      </c>
      <c r="B420" s="8" t="s">
        <v>672</v>
      </c>
      <c r="C420" s="8" t="s">
        <v>298</v>
      </c>
      <c r="D420" s="8" t="s">
        <v>489</v>
      </c>
      <c r="E420" s="8" t="s">
        <v>237</v>
      </c>
      <c r="F420" s="8" t="s">
        <v>238</v>
      </c>
      <c r="G420" s="6">
        <v>43110</v>
      </c>
      <c r="H420" s="6">
        <v>43110</v>
      </c>
      <c r="I420" s="4">
        <v>-45</v>
      </c>
      <c r="J420" s="8" t="s">
        <v>66</v>
      </c>
      <c r="K420" s="8" t="s">
        <v>1156</v>
      </c>
      <c r="L420" s="4" t="str">
        <f>IF(AtlasReport_1_Table_1[[#This Row],[Reference]]="Purchase order",_xll.AtlasFormulas.AtlasFunctions.AtlasTable("UAT",DataAreaId,"T.VendInvoiceTrans","%RecId","","","","","","","ItemId|PurchID|InventTransId",$C420,$B420,$K420),"")</f>
        <v/>
      </c>
      <c r="M420" s="4" t="str">
        <f>IF(AtlasReport_1_Table_1[[#This Row],[Reference]]="Purchase order",_xll.AtlasFormulas.AtlasFunctions.AtlasTable("UAT",DataAreaId,"T.MarkupTrans","%CurrencyCode","","","","","","","MarkupCode|TransRecId|TransTableId","TPP",$L420,"492"),"")</f>
        <v/>
      </c>
      <c r="N420" s="4" t="str">
        <f>IF(AtlasReport_1_Table_1[[#This Row],[Reference]]="Purchase order",_xll.AtlasFormulas.AtlasFunctions.AtlasBalance("UAT",DataAreaId,"T.MarkupTrans","Sum|Posted|0","","","","","","","MarkupCode|TransTableId|TransRecId","TPP","492",$L420),"")</f>
        <v/>
      </c>
    </row>
    <row r="421" spans="1:14">
      <c r="A421" s="8" t="s">
        <v>1121</v>
      </c>
      <c r="B421" s="8" t="s">
        <v>674</v>
      </c>
      <c r="C421" s="8" t="s">
        <v>241</v>
      </c>
      <c r="D421" s="8" t="s">
        <v>313</v>
      </c>
      <c r="E421" s="8" t="s">
        <v>237</v>
      </c>
      <c r="F421" s="8" t="s">
        <v>238</v>
      </c>
      <c r="G421" s="6">
        <v>43108</v>
      </c>
      <c r="H421" s="6">
        <v>43108</v>
      </c>
      <c r="I421" s="4">
        <v>-4.4499999999999998E-2</v>
      </c>
      <c r="J421" s="8" t="s">
        <v>66</v>
      </c>
      <c r="K421" s="8" t="s">
        <v>1157</v>
      </c>
      <c r="L421" s="4" t="str">
        <f>IF(AtlasReport_1_Table_1[[#This Row],[Reference]]="Purchase order",_xll.AtlasFormulas.AtlasFunctions.AtlasTable("UAT",DataAreaId,"T.VendInvoiceTrans","%RecId","","","","","","","ItemId|PurchID|InventTransId",$C421,$B421,$K421),"")</f>
        <v/>
      </c>
      <c r="M421" s="4" t="str">
        <f>IF(AtlasReport_1_Table_1[[#This Row],[Reference]]="Purchase order",_xll.AtlasFormulas.AtlasFunctions.AtlasTable("UAT",DataAreaId,"T.MarkupTrans","%CurrencyCode","","","","","","","MarkupCode|TransRecId|TransTableId","TPP",$L421,"492"),"")</f>
        <v/>
      </c>
      <c r="N421" s="4" t="str">
        <f>IF(AtlasReport_1_Table_1[[#This Row],[Reference]]="Purchase order",_xll.AtlasFormulas.AtlasFunctions.AtlasBalance("UAT",DataAreaId,"T.MarkupTrans","Sum|Posted|0","","","","","","","MarkupCode|TransTableId|TransRecId","TPP","492",$L421),"")</f>
        <v/>
      </c>
    </row>
    <row r="422" spans="1:14">
      <c r="A422" s="8" t="s">
        <v>1121</v>
      </c>
      <c r="B422" s="8" t="s">
        <v>674</v>
      </c>
      <c r="C422" s="8" t="s">
        <v>251</v>
      </c>
      <c r="D422" s="8" t="s">
        <v>330</v>
      </c>
      <c r="E422" s="8" t="s">
        <v>237</v>
      </c>
      <c r="F422" s="8" t="s">
        <v>238</v>
      </c>
      <c r="G422" s="6">
        <v>43108</v>
      </c>
      <c r="H422" s="6">
        <v>43108</v>
      </c>
      <c r="I422" s="4">
        <v>-8.9047000000000018</v>
      </c>
      <c r="J422" s="8" t="s">
        <v>66</v>
      </c>
      <c r="K422" s="8" t="s">
        <v>1158</v>
      </c>
      <c r="L422" s="4" t="str">
        <f>IF(AtlasReport_1_Table_1[[#This Row],[Reference]]="Purchase order",_xll.AtlasFormulas.AtlasFunctions.AtlasTable("UAT",DataAreaId,"T.VendInvoiceTrans","%RecId","","","","","","","ItemId|PurchID|InventTransId",$C422,$B422,$K422),"")</f>
        <v/>
      </c>
      <c r="M422" s="4" t="str">
        <f>IF(AtlasReport_1_Table_1[[#This Row],[Reference]]="Purchase order",_xll.AtlasFormulas.AtlasFunctions.AtlasTable("UAT",DataAreaId,"T.MarkupTrans","%CurrencyCode","","","","","","","MarkupCode|TransRecId|TransTableId","TPP",$L422,"492"),"")</f>
        <v/>
      </c>
      <c r="N422" s="4" t="str">
        <f>IF(AtlasReport_1_Table_1[[#This Row],[Reference]]="Purchase order",_xll.AtlasFormulas.AtlasFunctions.AtlasBalance("UAT",DataAreaId,"T.MarkupTrans","Sum|Posted|0","","","","","","","MarkupCode|TransTableId|TransRecId","TPP","492",$L422),"")</f>
        <v/>
      </c>
    </row>
    <row r="423" spans="1:14">
      <c r="A423" s="8" t="s">
        <v>1121</v>
      </c>
      <c r="B423" s="8" t="s">
        <v>674</v>
      </c>
      <c r="C423" s="8" t="s">
        <v>261</v>
      </c>
      <c r="D423" s="8" t="s">
        <v>354</v>
      </c>
      <c r="E423" s="8" t="s">
        <v>237</v>
      </c>
      <c r="F423" s="8" t="s">
        <v>238</v>
      </c>
      <c r="G423" s="6">
        <v>43108</v>
      </c>
      <c r="H423" s="6">
        <v>43108</v>
      </c>
      <c r="I423" s="4">
        <v>-10.017799999999999</v>
      </c>
      <c r="J423" s="8" t="s">
        <v>66</v>
      </c>
      <c r="K423" s="8" t="s">
        <v>1159</v>
      </c>
      <c r="L423" s="4" t="str">
        <f>IF(AtlasReport_1_Table_1[[#This Row],[Reference]]="Purchase order",_xll.AtlasFormulas.AtlasFunctions.AtlasTable("UAT",DataAreaId,"T.VendInvoiceTrans","%RecId","","","","","","","ItemId|PurchID|InventTransId",$C423,$B423,$K423),"")</f>
        <v/>
      </c>
      <c r="M423" s="4" t="str">
        <f>IF(AtlasReport_1_Table_1[[#This Row],[Reference]]="Purchase order",_xll.AtlasFormulas.AtlasFunctions.AtlasTable("UAT",DataAreaId,"T.MarkupTrans","%CurrencyCode","","","","","","","MarkupCode|TransRecId|TransTableId","TPP",$L423,"492"),"")</f>
        <v/>
      </c>
      <c r="N423" s="4" t="str">
        <f>IF(AtlasReport_1_Table_1[[#This Row],[Reference]]="Purchase order",_xll.AtlasFormulas.AtlasFunctions.AtlasBalance("UAT",DataAreaId,"T.MarkupTrans","Sum|Posted|0","","","","","","","MarkupCode|TransTableId|TransRecId","TPP","492",$L423),"")</f>
        <v/>
      </c>
    </row>
    <row r="424" spans="1:14">
      <c r="A424" s="8" t="s">
        <v>1121</v>
      </c>
      <c r="B424" s="8" t="s">
        <v>674</v>
      </c>
      <c r="C424" s="8" t="s">
        <v>279</v>
      </c>
      <c r="D424" s="8" t="s">
        <v>420</v>
      </c>
      <c r="E424" s="8" t="s">
        <v>237</v>
      </c>
      <c r="F424" s="8" t="s">
        <v>238</v>
      </c>
      <c r="G424" s="6">
        <v>43108</v>
      </c>
      <c r="H424" s="6">
        <v>43108</v>
      </c>
      <c r="I424" s="4">
        <v>-2.8405999999999998</v>
      </c>
      <c r="J424" s="8" t="s">
        <v>66</v>
      </c>
      <c r="K424" s="8" t="s">
        <v>1160</v>
      </c>
      <c r="L424" s="4" t="str">
        <f>IF(AtlasReport_1_Table_1[[#This Row],[Reference]]="Purchase order",_xll.AtlasFormulas.AtlasFunctions.AtlasTable("UAT",DataAreaId,"T.VendInvoiceTrans","%RecId","","","","","","","ItemId|PurchID|InventTransId",$C424,$B424,$K424),"")</f>
        <v/>
      </c>
      <c r="M424" s="4" t="str">
        <f>IF(AtlasReport_1_Table_1[[#This Row],[Reference]]="Purchase order",_xll.AtlasFormulas.AtlasFunctions.AtlasTable("UAT",DataAreaId,"T.MarkupTrans","%CurrencyCode","","","","","","","MarkupCode|TransRecId|TransTableId","TPP",$L424,"492"),"")</f>
        <v/>
      </c>
      <c r="N424" s="4" t="str">
        <f>IF(AtlasReport_1_Table_1[[#This Row],[Reference]]="Purchase order",_xll.AtlasFormulas.AtlasFunctions.AtlasBalance("UAT",DataAreaId,"T.MarkupTrans","Sum|Posted|0","","","","","","","MarkupCode|TransTableId|TransRecId","TPP","492",$L424),"")</f>
        <v/>
      </c>
    </row>
    <row r="425" spans="1:14">
      <c r="A425" s="8" t="s">
        <v>1121</v>
      </c>
      <c r="B425" s="8" t="s">
        <v>674</v>
      </c>
      <c r="C425" s="8" t="s">
        <v>280</v>
      </c>
      <c r="D425" s="8" t="s">
        <v>423</v>
      </c>
      <c r="E425" s="8" t="s">
        <v>237</v>
      </c>
      <c r="F425" s="8" t="s">
        <v>238</v>
      </c>
      <c r="G425" s="6">
        <v>43108</v>
      </c>
      <c r="H425" s="6">
        <v>43108</v>
      </c>
      <c r="I425" s="4">
        <v>-0.27600000000000002</v>
      </c>
      <c r="J425" s="8" t="s">
        <v>66</v>
      </c>
      <c r="K425" s="8" t="s">
        <v>1161</v>
      </c>
      <c r="L425" s="4" t="str">
        <f>IF(AtlasReport_1_Table_1[[#This Row],[Reference]]="Purchase order",_xll.AtlasFormulas.AtlasFunctions.AtlasTable("UAT",DataAreaId,"T.VendInvoiceTrans","%RecId","","","","","","","ItemId|PurchID|InventTransId",$C425,$B425,$K425),"")</f>
        <v/>
      </c>
      <c r="M425" s="4" t="str">
        <f>IF(AtlasReport_1_Table_1[[#This Row],[Reference]]="Purchase order",_xll.AtlasFormulas.AtlasFunctions.AtlasTable("UAT",DataAreaId,"T.MarkupTrans","%CurrencyCode","","","","","","","MarkupCode|TransRecId|TransTableId","TPP",$L425,"492"),"")</f>
        <v/>
      </c>
      <c r="N425" s="4" t="str">
        <f>IF(AtlasReport_1_Table_1[[#This Row],[Reference]]="Purchase order",_xll.AtlasFormulas.AtlasFunctions.AtlasBalance("UAT",DataAreaId,"T.MarkupTrans","Sum|Posted|0","","","","","","","MarkupCode|TransTableId|TransRecId","TPP","492",$L425),"")</f>
        <v/>
      </c>
    </row>
    <row r="426" spans="1:14">
      <c r="A426" s="8" t="s">
        <v>1121</v>
      </c>
      <c r="B426" s="8" t="s">
        <v>674</v>
      </c>
      <c r="C426" s="8" t="s">
        <v>286</v>
      </c>
      <c r="D426" s="8" t="s">
        <v>456</v>
      </c>
      <c r="E426" s="8" t="s">
        <v>237</v>
      </c>
      <c r="F426" s="8" t="s">
        <v>238</v>
      </c>
      <c r="G426" s="6">
        <v>43108</v>
      </c>
      <c r="H426" s="6">
        <v>43108</v>
      </c>
      <c r="I426" s="4">
        <v>-8.9047000000000018</v>
      </c>
      <c r="J426" s="8" t="s">
        <v>66</v>
      </c>
      <c r="K426" s="8" t="s">
        <v>1162</v>
      </c>
      <c r="L426" s="4" t="str">
        <f>IF(AtlasReport_1_Table_1[[#This Row],[Reference]]="Purchase order",_xll.AtlasFormulas.AtlasFunctions.AtlasTable("UAT",DataAreaId,"T.VendInvoiceTrans","%RecId","","","","","","","ItemId|PurchID|InventTransId",$C426,$B426,$K426),"")</f>
        <v/>
      </c>
      <c r="M426" s="4" t="str">
        <f>IF(AtlasReport_1_Table_1[[#This Row],[Reference]]="Purchase order",_xll.AtlasFormulas.AtlasFunctions.AtlasTable("UAT",DataAreaId,"T.MarkupTrans","%CurrencyCode","","","","","","","MarkupCode|TransRecId|TransTableId","TPP",$L426,"492"),"")</f>
        <v/>
      </c>
      <c r="N426" s="4" t="str">
        <f>IF(AtlasReport_1_Table_1[[#This Row],[Reference]]="Purchase order",_xll.AtlasFormulas.AtlasFunctions.AtlasBalance("UAT",DataAreaId,"T.MarkupTrans","Sum|Posted|0","","","","","","","MarkupCode|TransTableId|TransRecId","TPP","492",$L426),"")</f>
        <v/>
      </c>
    </row>
    <row r="427" spans="1:14">
      <c r="A427" s="8" t="s">
        <v>1121</v>
      </c>
      <c r="B427" s="8" t="s">
        <v>674</v>
      </c>
      <c r="C427" s="8" t="s">
        <v>287</v>
      </c>
      <c r="D427" s="8" t="s">
        <v>457</v>
      </c>
      <c r="E427" s="8" t="s">
        <v>237</v>
      </c>
      <c r="F427" s="8" t="s">
        <v>238</v>
      </c>
      <c r="G427" s="6">
        <v>43108</v>
      </c>
      <c r="H427" s="6">
        <v>43108</v>
      </c>
      <c r="I427" s="4">
        <v>-10.685699999999999</v>
      </c>
      <c r="J427" s="8" t="s">
        <v>66</v>
      </c>
      <c r="K427" s="8" t="s">
        <v>1163</v>
      </c>
      <c r="L427" s="4" t="str">
        <f>IF(AtlasReport_1_Table_1[[#This Row],[Reference]]="Purchase order",_xll.AtlasFormulas.AtlasFunctions.AtlasTable("UAT",DataAreaId,"T.VendInvoiceTrans","%RecId","","","","","","","ItemId|PurchID|InventTransId",$C427,$B427,$K427),"")</f>
        <v/>
      </c>
      <c r="M427" s="4" t="str">
        <f>IF(AtlasReport_1_Table_1[[#This Row],[Reference]]="Purchase order",_xll.AtlasFormulas.AtlasFunctions.AtlasTable("UAT",DataAreaId,"T.MarkupTrans","%CurrencyCode","","","","","","","MarkupCode|TransRecId|TransTableId","TPP",$L427,"492"),"")</f>
        <v/>
      </c>
      <c r="N427" s="4" t="str">
        <f>IF(AtlasReport_1_Table_1[[#This Row],[Reference]]="Purchase order",_xll.AtlasFormulas.AtlasFunctions.AtlasBalance("UAT",DataAreaId,"T.MarkupTrans","Sum|Posted|0","","","","","","","MarkupCode|TransTableId|TransRecId","TPP","492",$L427),"")</f>
        <v/>
      </c>
    </row>
    <row r="428" spans="1:14">
      <c r="A428" s="8" t="s">
        <v>1121</v>
      </c>
      <c r="B428" s="8" t="s">
        <v>674</v>
      </c>
      <c r="C428" s="8" t="s">
        <v>500</v>
      </c>
      <c r="D428" s="8" t="s">
        <v>501</v>
      </c>
      <c r="E428" s="8" t="s">
        <v>237</v>
      </c>
      <c r="F428" s="8" t="s">
        <v>238</v>
      </c>
      <c r="G428" s="6">
        <v>43108</v>
      </c>
      <c r="H428" s="6">
        <v>43108</v>
      </c>
      <c r="I428" s="4">
        <v>-10</v>
      </c>
      <c r="J428" s="8" t="s">
        <v>22</v>
      </c>
      <c r="K428" s="8" t="s">
        <v>1164</v>
      </c>
      <c r="L428" s="4" t="str">
        <f>IF(AtlasReport_1_Table_1[[#This Row],[Reference]]="Purchase order",_xll.AtlasFormulas.AtlasFunctions.AtlasTable("UAT",DataAreaId,"T.VendInvoiceTrans","%RecId","","","","","","","ItemId|PurchID|InventTransId",$C428,$B428,$K428),"")</f>
        <v/>
      </c>
      <c r="M428" s="4" t="str">
        <f>IF(AtlasReport_1_Table_1[[#This Row],[Reference]]="Purchase order",_xll.AtlasFormulas.AtlasFunctions.AtlasTable("UAT",DataAreaId,"T.MarkupTrans","%CurrencyCode","","","","","","","MarkupCode|TransRecId|TransTableId","TPP",$L428,"492"),"")</f>
        <v/>
      </c>
      <c r="N428" s="4" t="str">
        <f>IF(AtlasReport_1_Table_1[[#This Row],[Reference]]="Purchase order",_xll.AtlasFormulas.AtlasFunctions.AtlasBalance("UAT",DataAreaId,"T.MarkupTrans","Sum|Posted|0","","","","","","","MarkupCode|TransTableId|TransRecId","TPP","492",$L428),"")</f>
        <v/>
      </c>
    </row>
    <row r="429" spans="1:14">
      <c r="A429" s="8" t="s">
        <v>1121</v>
      </c>
      <c r="B429" s="8" t="s">
        <v>674</v>
      </c>
      <c r="C429" s="8" t="s">
        <v>1085</v>
      </c>
      <c r="D429" s="8" t="s">
        <v>1086</v>
      </c>
      <c r="E429" s="8" t="s">
        <v>237</v>
      </c>
      <c r="F429" s="8" t="s">
        <v>238</v>
      </c>
      <c r="G429" s="6">
        <v>43108</v>
      </c>
      <c r="H429" s="6">
        <v>43108</v>
      </c>
      <c r="I429" s="4">
        <v>-10</v>
      </c>
      <c r="J429" s="8" t="s">
        <v>22</v>
      </c>
      <c r="K429" s="8" t="s">
        <v>1165</v>
      </c>
      <c r="L429" s="4" t="str">
        <f>IF(AtlasReport_1_Table_1[[#This Row],[Reference]]="Purchase order",_xll.AtlasFormulas.AtlasFunctions.AtlasTable("UAT",DataAreaId,"T.VendInvoiceTrans","%RecId","","","","","","","ItemId|PurchID|InventTransId",$C429,$B429,$K429),"")</f>
        <v/>
      </c>
      <c r="M429" s="4" t="str">
        <f>IF(AtlasReport_1_Table_1[[#This Row],[Reference]]="Purchase order",_xll.AtlasFormulas.AtlasFunctions.AtlasTable("UAT",DataAreaId,"T.MarkupTrans","%CurrencyCode","","","","","","","MarkupCode|TransRecId|TransTableId","TPP",$L429,"492"),"")</f>
        <v/>
      </c>
      <c r="N429" s="4" t="str">
        <f>IF(AtlasReport_1_Table_1[[#This Row],[Reference]]="Purchase order",_xll.AtlasFormulas.AtlasFunctions.AtlasBalance("UAT",DataAreaId,"T.MarkupTrans","Sum|Posted|0","","","","","","","MarkupCode|TransTableId|TransRecId","TPP","492",$L429),"")</f>
        <v/>
      </c>
    </row>
    <row r="430" spans="1:14">
      <c r="A430" s="8" t="s">
        <v>1121</v>
      </c>
      <c r="B430" s="8" t="s">
        <v>674</v>
      </c>
      <c r="C430" s="8" t="s">
        <v>288</v>
      </c>
      <c r="D430" s="8" t="s">
        <v>469</v>
      </c>
      <c r="E430" s="8" t="s">
        <v>237</v>
      </c>
      <c r="F430" s="8" t="s">
        <v>238</v>
      </c>
      <c r="G430" s="6">
        <v>43108</v>
      </c>
      <c r="H430" s="6">
        <v>43108</v>
      </c>
      <c r="I430" s="4">
        <v>-0.15579999999999999</v>
      </c>
      <c r="J430" s="8" t="s">
        <v>66</v>
      </c>
      <c r="K430" s="8" t="s">
        <v>1166</v>
      </c>
      <c r="L430" s="4" t="str">
        <f>IF(AtlasReport_1_Table_1[[#This Row],[Reference]]="Purchase order",_xll.AtlasFormulas.AtlasFunctions.AtlasTable("UAT",DataAreaId,"T.VendInvoiceTrans","%RecId","","","","","","","ItemId|PurchID|InventTransId",$C430,$B430,$K430),"")</f>
        <v/>
      </c>
      <c r="M430" s="4" t="str">
        <f>IF(AtlasReport_1_Table_1[[#This Row],[Reference]]="Purchase order",_xll.AtlasFormulas.AtlasFunctions.AtlasTable("UAT",DataAreaId,"T.MarkupTrans","%CurrencyCode","","","","","","","MarkupCode|TransRecId|TransTableId","TPP",$L430,"492"),"")</f>
        <v/>
      </c>
      <c r="N430" s="4" t="str">
        <f>IF(AtlasReport_1_Table_1[[#This Row],[Reference]]="Purchase order",_xll.AtlasFormulas.AtlasFunctions.AtlasBalance("UAT",DataAreaId,"T.MarkupTrans","Sum|Posted|0","","","","","","","MarkupCode|TransTableId|TransRecId","TPP","492",$L430),"")</f>
        <v/>
      </c>
    </row>
    <row r="431" spans="1:14">
      <c r="A431" s="8" t="s">
        <v>1121</v>
      </c>
      <c r="B431" s="8" t="s">
        <v>674</v>
      </c>
      <c r="C431" s="8" t="s">
        <v>289</v>
      </c>
      <c r="D431" s="8" t="s">
        <v>471</v>
      </c>
      <c r="E431" s="8" t="s">
        <v>237</v>
      </c>
      <c r="F431" s="8" t="s">
        <v>238</v>
      </c>
      <c r="G431" s="6">
        <v>43108</v>
      </c>
      <c r="H431" s="6">
        <v>43108</v>
      </c>
      <c r="I431" s="4">
        <v>-0.15579999999999999</v>
      </c>
      <c r="J431" s="8" t="s">
        <v>66</v>
      </c>
      <c r="K431" s="8" t="s">
        <v>1167</v>
      </c>
      <c r="L431" s="4" t="str">
        <f>IF(AtlasReport_1_Table_1[[#This Row],[Reference]]="Purchase order",_xll.AtlasFormulas.AtlasFunctions.AtlasTable("UAT",DataAreaId,"T.VendInvoiceTrans","%RecId","","","","","","","ItemId|PurchID|InventTransId",$C431,$B431,$K431),"")</f>
        <v/>
      </c>
      <c r="M431" s="4" t="str">
        <f>IF(AtlasReport_1_Table_1[[#This Row],[Reference]]="Purchase order",_xll.AtlasFormulas.AtlasFunctions.AtlasTable("UAT",DataAreaId,"T.MarkupTrans","%CurrencyCode","","","","","","","MarkupCode|TransRecId|TransTableId","TPP",$L431,"492"),"")</f>
        <v/>
      </c>
      <c r="N431" s="4" t="str">
        <f>IF(AtlasReport_1_Table_1[[#This Row],[Reference]]="Purchase order",_xll.AtlasFormulas.AtlasFunctions.AtlasBalance("UAT",DataAreaId,"T.MarkupTrans","Sum|Posted|0","","","","","","","MarkupCode|TransTableId|TransRecId","TPP","492",$L431),"")</f>
        <v/>
      </c>
    </row>
    <row r="432" spans="1:14">
      <c r="A432" s="8" t="s">
        <v>1121</v>
      </c>
      <c r="B432" s="8" t="s">
        <v>674</v>
      </c>
      <c r="C432" s="8" t="s">
        <v>298</v>
      </c>
      <c r="D432" s="8" t="s">
        <v>489</v>
      </c>
      <c r="E432" s="8" t="s">
        <v>237</v>
      </c>
      <c r="F432" s="8" t="s">
        <v>238</v>
      </c>
      <c r="G432" s="6">
        <v>43108</v>
      </c>
      <c r="H432" s="6">
        <v>43108</v>
      </c>
      <c r="I432" s="4">
        <v>-8.0141999999999989</v>
      </c>
      <c r="J432" s="8" t="s">
        <v>66</v>
      </c>
      <c r="K432" s="8" t="s">
        <v>1168</v>
      </c>
      <c r="L432" s="4" t="str">
        <f>IF(AtlasReport_1_Table_1[[#This Row],[Reference]]="Purchase order",_xll.AtlasFormulas.AtlasFunctions.AtlasTable("UAT",DataAreaId,"T.VendInvoiceTrans","%RecId","","","","","","","ItemId|PurchID|InventTransId",$C432,$B432,$K432),"")</f>
        <v/>
      </c>
      <c r="M432" s="4" t="str">
        <f>IF(AtlasReport_1_Table_1[[#This Row],[Reference]]="Purchase order",_xll.AtlasFormulas.AtlasFunctions.AtlasTable("UAT",DataAreaId,"T.MarkupTrans","%CurrencyCode","","","","","","","MarkupCode|TransRecId|TransTableId","TPP",$L432,"492"),"")</f>
        <v/>
      </c>
      <c r="N432" s="4" t="str">
        <f>IF(AtlasReport_1_Table_1[[#This Row],[Reference]]="Purchase order",_xll.AtlasFormulas.AtlasFunctions.AtlasBalance("UAT",DataAreaId,"T.MarkupTrans","Sum|Posted|0","","","","","","","MarkupCode|TransTableId|TransRecId","TPP","492",$L432),"")</f>
        <v/>
      </c>
    </row>
    <row r="433" spans="1:14">
      <c r="A433" s="8" t="s">
        <v>1121</v>
      </c>
      <c r="B433" s="8" t="s">
        <v>676</v>
      </c>
      <c r="C433" s="8" t="s">
        <v>250</v>
      </c>
      <c r="D433" s="8" t="s">
        <v>329</v>
      </c>
      <c r="E433" s="8" t="s">
        <v>237</v>
      </c>
      <c r="F433" s="8" t="s">
        <v>249</v>
      </c>
      <c r="G433" s="6">
        <v>43108</v>
      </c>
      <c r="H433" s="6">
        <v>43108</v>
      </c>
      <c r="I433" s="4">
        <v>-720</v>
      </c>
      <c r="J433" s="8" t="s">
        <v>66</v>
      </c>
      <c r="K433" s="8" t="s">
        <v>1169</v>
      </c>
      <c r="L433" s="4" t="str">
        <f>IF(AtlasReport_1_Table_1[[#This Row],[Reference]]="Purchase order",_xll.AtlasFormulas.AtlasFunctions.AtlasTable("UAT",DataAreaId,"T.VendInvoiceTrans","%RecId","","","","","","","ItemId|PurchID|InventTransId",$C433,$B433,$K433),"")</f>
        <v/>
      </c>
      <c r="M433" s="4" t="str">
        <f>IF(AtlasReport_1_Table_1[[#This Row],[Reference]]="Purchase order",_xll.AtlasFormulas.AtlasFunctions.AtlasTable("UAT",DataAreaId,"T.MarkupTrans","%CurrencyCode","","","","","","","MarkupCode|TransRecId|TransTableId","TPP",$L433,"492"),"")</f>
        <v/>
      </c>
      <c r="N433" s="4" t="str">
        <f>IF(AtlasReport_1_Table_1[[#This Row],[Reference]]="Purchase order",_xll.AtlasFormulas.AtlasFunctions.AtlasBalance("UAT",DataAreaId,"T.MarkupTrans","Sum|Posted|0","","","","","","","MarkupCode|TransTableId|TransRecId","TPP","492",$L433),"")</f>
        <v/>
      </c>
    </row>
    <row r="434" spans="1:14">
      <c r="A434" s="8" t="s">
        <v>1121</v>
      </c>
      <c r="B434" s="8" t="s">
        <v>676</v>
      </c>
      <c r="C434" s="8" t="s">
        <v>256</v>
      </c>
      <c r="D434" s="8" t="s">
        <v>349</v>
      </c>
      <c r="E434" s="8" t="s">
        <v>237</v>
      </c>
      <c r="F434" s="8" t="s">
        <v>249</v>
      </c>
      <c r="G434" s="6">
        <v>43108</v>
      </c>
      <c r="H434" s="6">
        <v>43108</v>
      </c>
      <c r="I434" s="4">
        <v>-300</v>
      </c>
      <c r="J434" s="8" t="s">
        <v>66</v>
      </c>
      <c r="K434" s="8" t="s">
        <v>1170</v>
      </c>
      <c r="L434" s="4" t="str">
        <f>IF(AtlasReport_1_Table_1[[#This Row],[Reference]]="Purchase order",_xll.AtlasFormulas.AtlasFunctions.AtlasTable("UAT",DataAreaId,"T.VendInvoiceTrans","%RecId","","","","","","","ItemId|PurchID|InventTransId",$C434,$B434,$K434),"")</f>
        <v/>
      </c>
      <c r="M434" s="4" t="str">
        <f>IF(AtlasReport_1_Table_1[[#This Row],[Reference]]="Purchase order",_xll.AtlasFormulas.AtlasFunctions.AtlasTable("UAT",DataAreaId,"T.MarkupTrans","%CurrencyCode","","","","","","","MarkupCode|TransRecId|TransTableId","TPP",$L434,"492"),"")</f>
        <v/>
      </c>
      <c r="N434" s="4" t="str">
        <f>IF(AtlasReport_1_Table_1[[#This Row],[Reference]]="Purchase order",_xll.AtlasFormulas.AtlasFunctions.AtlasBalance("UAT",DataAreaId,"T.MarkupTrans","Sum|Posted|0","","","","","","","MarkupCode|TransTableId|TransRecId","TPP","492",$L434),"")</f>
        <v/>
      </c>
    </row>
    <row r="435" spans="1:14">
      <c r="A435" s="8" t="s">
        <v>1121</v>
      </c>
      <c r="B435" s="8" t="s">
        <v>676</v>
      </c>
      <c r="C435" s="8" t="s">
        <v>257</v>
      </c>
      <c r="D435" s="8" t="s">
        <v>350</v>
      </c>
      <c r="E435" s="8" t="s">
        <v>237</v>
      </c>
      <c r="F435" s="8" t="s">
        <v>249</v>
      </c>
      <c r="G435" s="6">
        <v>43108</v>
      </c>
      <c r="H435" s="6">
        <v>43108</v>
      </c>
      <c r="I435" s="4">
        <v>-300</v>
      </c>
      <c r="J435" s="8" t="s">
        <v>66</v>
      </c>
      <c r="K435" s="8" t="s">
        <v>1171</v>
      </c>
      <c r="L435" s="4" t="str">
        <f>IF(AtlasReport_1_Table_1[[#This Row],[Reference]]="Purchase order",_xll.AtlasFormulas.AtlasFunctions.AtlasTable("UAT",DataAreaId,"T.VendInvoiceTrans","%RecId","","","","","","","ItemId|PurchID|InventTransId",$C435,$B435,$K435),"")</f>
        <v/>
      </c>
      <c r="M435" s="4" t="str">
        <f>IF(AtlasReport_1_Table_1[[#This Row],[Reference]]="Purchase order",_xll.AtlasFormulas.AtlasFunctions.AtlasTable("UAT",DataAreaId,"T.MarkupTrans","%CurrencyCode","","","","","","","MarkupCode|TransRecId|TransTableId","TPP",$L435,"492"),"")</f>
        <v/>
      </c>
      <c r="N435" s="4" t="str">
        <f>IF(AtlasReport_1_Table_1[[#This Row],[Reference]]="Purchase order",_xll.AtlasFormulas.AtlasFunctions.AtlasBalance("UAT",DataAreaId,"T.MarkupTrans","Sum|Posted|0","","","","","","","MarkupCode|TransTableId|TransRecId","TPP","492",$L435),"")</f>
        <v/>
      </c>
    </row>
    <row r="436" spans="1:14">
      <c r="A436" s="8" t="s">
        <v>1121</v>
      </c>
      <c r="B436" s="8" t="s">
        <v>676</v>
      </c>
      <c r="C436" s="8" t="s">
        <v>258</v>
      </c>
      <c r="D436" s="8" t="s">
        <v>351</v>
      </c>
      <c r="E436" s="8" t="s">
        <v>237</v>
      </c>
      <c r="F436" s="8" t="s">
        <v>249</v>
      </c>
      <c r="G436" s="6">
        <v>43108</v>
      </c>
      <c r="H436" s="6">
        <v>43108</v>
      </c>
      <c r="I436" s="4">
        <v>-300</v>
      </c>
      <c r="J436" s="8" t="s">
        <v>66</v>
      </c>
      <c r="K436" s="8" t="s">
        <v>1172</v>
      </c>
      <c r="L436" s="4" t="str">
        <f>IF(AtlasReport_1_Table_1[[#This Row],[Reference]]="Purchase order",_xll.AtlasFormulas.AtlasFunctions.AtlasTable("UAT",DataAreaId,"T.VendInvoiceTrans","%RecId","","","","","","","ItemId|PurchID|InventTransId",$C436,$B436,$K436),"")</f>
        <v/>
      </c>
      <c r="M436" s="4" t="str">
        <f>IF(AtlasReport_1_Table_1[[#This Row],[Reference]]="Purchase order",_xll.AtlasFormulas.AtlasFunctions.AtlasTable("UAT",DataAreaId,"T.MarkupTrans","%CurrencyCode","","","","","","","MarkupCode|TransRecId|TransTableId","TPP",$L436,"492"),"")</f>
        <v/>
      </c>
      <c r="N436" s="4" t="str">
        <f>IF(AtlasReport_1_Table_1[[#This Row],[Reference]]="Purchase order",_xll.AtlasFormulas.AtlasFunctions.AtlasBalance("UAT",DataAreaId,"T.MarkupTrans","Sum|Posted|0","","","","","","","MarkupCode|TransTableId|TransRecId","TPP","492",$L436),"")</f>
        <v/>
      </c>
    </row>
    <row r="437" spans="1:14">
      <c r="A437" s="8" t="s">
        <v>1121</v>
      </c>
      <c r="B437" s="8" t="s">
        <v>676</v>
      </c>
      <c r="C437" s="8" t="s">
        <v>259</v>
      </c>
      <c r="D437" s="8" t="s">
        <v>352</v>
      </c>
      <c r="E437" s="8" t="s">
        <v>237</v>
      </c>
      <c r="F437" s="8" t="s">
        <v>249</v>
      </c>
      <c r="G437" s="6">
        <v>43108</v>
      </c>
      <c r="H437" s="6">
        <v>43108</v>
      </c>
      <c r="I437" s="4">
        <v>-400</v>
      </c>
      <c r="J437" s="8" t="s">
        <v>66</v>
      </c>
      <c r="K437" s="8" t="s">
        <v>1173</v>
      </c>
      <c r="L437" s="4" t="str">
        <f>IF(AtlasReport_1_Table_1[[#This Row],[Reference]]="Purchase order",_xll.AtlasFormulas.AtlasFunctions.AtlasTable("UAT",DataAreaId,"T.VendInvoiceTrans","%RecId","","","","","","","ItemId|PurchID|InventTransId",$C437,$B437,$K437),"")</f>
        <v/>
      </c>
      <c r="M437" s="4" t="str">
        <f>IF(AtlasReport_1_Table_1[[#This Row],[Reference]]="Purchase order",_xll.AtlasFormulas.AtlasFunctions.AtlasTable("UAT",DataAreaId,"T.MarkupTrans","%CurrencyCode","","","","","","","MarkupCode|TransRecId|TransTableId","TPP",$L437,"492"),"")</f>
        <v/>
      </c>
      <c r="N437" s="4" t="str">
        <f>IF(AtlasReport_1_Table_1[[#This Row],[Reference]]="Purchase order",_xll.AtlasFormulas.AtlasFunctions.AtlasBalance("UAT",DataAreaId,"T.MarkupTrans","Sum|Posted|0","","","","","","","MarkupCode|TransTableId|TransRecId","TPP","492",$L437),"")</f>
        <v/>
      </c>
    </row>
    <row r="438" spans="1:14">
      <c r="A438" s="8" t="s">
        <v>1121</v>
      </c>
      <c r="B438" s="8" t="s">
        <v>676</v>
      </c>
      <c r="C438" s="8" t="s">
        <v>290</v>
      </c>
      <c r="D438" s="8" t="s">
        <v>472</v>
      </c>
      <c r="E438" s="8" t="s">
        <v>237</v>
      </c>
      <c r="F438" s="8" t="s">
        <v>238</v>
      </c>
      <c r="G438" s="6">
        <v>43108</v>
      </c>
      <c r="H438" s="6">
        <v>43108</v>
      </c>
      <c r="I438" s="4">
        <v>-7.6</v>
      </c>
      <c r="J438" s="8" t="s">
        <v>66</v>
      </c>
      <c r="K438" s="8" t="s">
        <v>1174</v>
      </c>
      <c r="L438" s="4" t="str">
        <f>IF(AtlasReport_1_Table_1[[#This Row],[Reference]]="Purchase order",_xll.AtlasFormulas.AtlasFunctions.AtlasTable("UAT",DataAreaId,"T.VendInvoiceTrans","%RecId","","","","","","","ItemId|PurchID|InventTransId",$C438,$B438,$K438),"")</f>
        <v/>
      </c>
      <c r="M438" s="4" t="str">
        <f>IF(AtlasReport_1_Table_1[[#This Row],[Reference]]="Purchase order",_xll.AtlasFormulas.AtlasFunctions.AtlasTable("UAT",DataAreaId,"T.MarkupTrans","%CurrencyCode","","","","","","","MarkupCode|TransRecId|TransTableId","TPP",$L438,"492"),"")</f>
        <v/>
      </c>
      <c r="N438" s="4" t="str">
        <f>IF(AtlasReport_1_Table_1[[#This Row],[Reference]]="Purchase order",_xll.AtlasFormulas.AtlasFunctions.AtlasBalance("UAT",DataAreaId,"T.MarkupTrans","Sum|Posted|0","","","","","","","MarkupCode|TransTableId|TransRecId","TPP","492",$L438),"")</f>
        <v/>
      </c>
    </row>
    <row r="439" spans="1:14">
      <c r="A439" s="8" t="s">
        <v>1121</v>
      </c>
      <c r="B439" s="8" t="s">
        <v>678</v>
      </c>
      <c r="C439" s="8" t="s">
        <v>369</v>
      </c>
      <c r="D439" s="8" t="s">
        <v>370</v>
      </c>
      <c r="E439" s="8" t="s">
        <v>237</v>
      </c>
      <c r="F439" s="8" t="s">
        <v>238</v>
      </c>
      <c r="G439" s="6">
        <v>43108</v>
      </c>
      <c r="H439" s="6">
        <v>43108</v>
      </c>
      <c r="I439" s="4">
        <v>-2025</v>
      </c>
      <c r="J439" s="8" t="s">
        <v>66</v>
      </c>
      <c r="K439" s="8" t="s">
        <v>1175</v>
      </c>
      <c r="L439" s="4" t="str">
        <f>IF(AtlasReport_1_Table_1[[#This Row],[Reference]]="Purchase order",_xll.AtlasFormulas.AtlasFunctions.AtlasTable("UAT",DataAreaId,"T.VendInvoiceTrans","%RecId","","","","","","","ItemId|PurchID|InventTransId",$C439,$B439,$K439),"")</f>
        <v/>
      </c>
      <c r="M439" s="4" t="str">
        <f>IF(AtlasReport_1_Table_1[[#This Row],[Reference]]="Purchase order",_xll.AtlasFormulas.AtlasFunctions.AtlasTable("UAT",DataAreaId,"T.MarkupTrans","%CurrencyCode","","","","","","","MarkupCode|TransRecId|TransTableId","TPP",$L439,"492"),"")</f>
        <v/>
      </c>
      <c r="N439" s="4" t="str">
        <f>IF(AtlasReport_1_Table_1[[#This Row],[Reference]]="Purchase order",_xll.AtlasFormulas.AtlasFunctions.AtlasBalance("UAT",DataAreaId,"T.MarkupTrans","Sum|Posted|0","","","","","","","MarkupCode|TransTableId|TransRecId","TPP","492",$L439),"")</f>
        <v/>
      </c>
    </row>
    <row r="440" spans="1:14">
      <c r="A440" s="8" t="s">
        <v>1121</v>
      </c>
      <c r="B440" s="8" t="s">
        <v>678</v>
      </c>
      <c r="C440" s="8" t="s">
        <v>856</v>
      </c>
      <c r="D440" s="8" t="s">
        <v>857</v>
      </c>
      <c r="E440" s="8" t="s">
        <v>237</v>
      </c>
      <c r="F440" s="8" t="s">
        <v>238</v>
      </c>
      <c r="G440" s="6">
        <v>43108</v>
      </c>
      <c r="H440" s="6">
        <v>43108</v>
      </c>
      <c r="I440" s="4">
        <v>-81</v>
      </c>
      <c r="J440" s="8" t="s">
        <v>22</v>
      </c>
      <c r="K440" s="8" t="s">
        <v>1176</v>
      </c>
      <c r="L440" s="4" t="str">
        <f>IF(AtlasReport_1_Table_1[[#This Row],[Reference]]="Purchase order",_xll.AtlasFormulas.AtlasFunctions.AtlasTable("UAT",DataAreaId,"T.VendInvoiceTrans","%RecId","","","","","","","ItemId|PurchID|InventTransId",$C440,$B440,$K440),"")</f>
        <v/>
      </c>
      <c r="M440" s="4" t="str">
        <f>IF(AtlasReport_1_Table_1[[#This Row],[Reference]]="Purchase order",_xll.AtlasFormulas.AtlasFunctions.AtlasTable("UAT",DataAreaId,"T.MarkupTrans","%CurrencyCode","","","","","","","MarkupCode|TransRecId|TransTableId","TPP",$L440,"492"),"")</f>
        <v/>
      </c>
      <c r="N440" s="4" t="str">
        <f>IF(AtlasReport_1_Table_1[[#This Row],[Reference]]="Purchase order",_xll.AtlasFormulas.AtlasFunctions.AtlasBalance("UAT",DataAreaId,"T.MarkupTrans","Sum|Posted|0","","","","","","","MarkupCode|TransTableId|TransRecId","TPP","492",$L440),"")</f>
        <v/>
      </c>
    </row>
    <row r="441" spans="1:14">
      <c r="A441" s="8" t="s">
        <v>1121</v>
      </c>
      <c r="B441" s="8" t="s">
        <v>680</v>
      </c>
      <c r="C441" s="8" t="s">
        <v>250</v>
      </c>
      <c r="D441" s="8" t="s">
        <v>329</v>
      </c>
      <c r="E441" s="8" t="s">
        <v>237</v>
      </c>
      <c r="F441" s="8" t="s">
        <v>249</v>
      </c>
      <c r="G441" s="6">
        <v>43108</v>
      </c>
      <c r="H441" s="6">
        <v>43108</v>
      </c>
      <c r="I441" s="4">
        <v>-1080</v>
      </c>
      <c r="J441" s="8" t="s">
        <v>66</v>
      </c>
      <c r="K441" s="8" t="s">
        <v>1177</v>
      </c>
      <c r="L441" s="4" t="str">
        <f>IF(AtlasReport_1_Table_1[[#This Row],[Reference]]="Purchase order",_xll.AtlasFormulas.AtlasFunctions.AtlasTable("UAT",DataAreaId,"T.VendInvoiceTrans","%RecId","","","","","","","ItemId|PurchID|InventTransId",$C441,$B441,$K441),"")</f>
        <v/>
      </c>
      <c r="M441" s="4" t="str">
        <f>IF(AtlasReport_1_Table_1[[#This Row],[Reference]]="Purchase order",_xll.AtlasFormulas.AtlasFunctions.AtlasTable("UAT",DataAreaId,"T.MarkupTrans","%CurrencyCode","","","","","","","MarkupCode|TransRecId|TransTableId","TPP",$L441,"492"),"")</f>
        <v/>
      </c>
      <c r="N441" s="4" t="str">
        <f>IF(AtlasReport_1_Table_1[[#This Row],[Reference]]="Purchase order",_xll.AtlasFormulas.AtlasFunctions.AtlasBalance("UAT",DataAreaId,"T.MarkupTrans","Sum|Posted|0","","","","","","","MarkupCode|TransTableId|TransRecId","TPP","492",$L441),"")</f>
        <v/>
      </c>
    </row>
    <row r="442" spans="1:14">
      <c r="A442" s="8" t="s">
        <v>1121</v>
      </c>
      <c r="B442" s="8" t="s">
        <v>680</v>
      </c>
      <c r="C442" s="8" t="s">
        <v>256</v>
      </c>
      <c r="D442" s="8" t="s">
        <v>349</v>
      </c>
      <c r="E442" s="8" t="s">
        <v>237</v>
      </c>
      <c r="F442" s="8" t="s">
        <v>249</v>
      </c>
      <c r="G442" s="6">
        <v>43108</v>
      </c>
      <c r="H442" s="6">
        <v>43108</v>
      </c>
      <c r="I442" s="4">
        <v>-450</v>
      </c>
      <c r="J442" s="8" t="s">
        <v>66</v>
      </c>
      <c r="K442" s="8" t="s">
        <v>1178</v>
      </c>
      <c r="L442" s="4" t="str">
        <f>IF(AtlasReport_1_Table_1[[#This Row],[Reference]]="Purchase order",_xll.AtlasFormulas.AtlasFunctions.AtlasTable("UAT",DataAreaId,"T.VendInvoiceTrans","%RecId","","","","","","","ItemId|PurchID|InventTransId",$C442,$B442,$K442),"")</f>
        <v/>
      </c>
      <c r="M442" s="4" t="str">
        <f>IF(AtlasReport_1_Table_1[[#This Row],[Reference]]="Purchase order",_xll.AtlasFormulas.AtlasFunctions.AtlasTable("UAT",DataAreaId,"T.MarkupTrans","%CurrencyCode","","","","","","","MarkupCode|TransRecId|TransTableId","TPP",$L442,"492"),"")</f>
        <v/>
      </c>
      <c r="N442" s="4" t="str">
        <f>IF(AtlasReport_1_Table_1[[#This Row],[Reference]]="Purchase order",_xll.AtlasFormulas.AtlasFunctions.AtlasBalance("UAT",DataAreaId,"T.MarkupTrans","Sum|Posted|0","","","","","","","MarkupCode|TransTableId|TransRecId","TPP","492",$L442),"")</f>
        <v/>
      </c>
    </row>
    <row r="443" spans="1:14">
      <c r="A443" s="8" t="s">
        <v>1121</v>
      </c>
      <c r="B443" s="8" t="s">
        <v>680</v>
      </c>
      <c r="C443" s="8" t="s">
        <v>257</v>
      </c>
      <c r="D443" s="8" t="s">
        <v>350</v>
      </c>
      <c r="E443" s="8" t="s">
        <v>237</v>
      </c>
      <c r="F443" s="8" t="s">
        <v>249</v>
      </c>
      <c r="G443" s="6">
        <v>43108</v>
      </c>
      <c r="H443" s="6">
        <v>43108</v>
      </c>
      <c r="I443" s="4">
        <v>-450</v>
      </c>
      <c r="J443" s="8" t="s">
        <v>66</v>
      </c>
      <c r="K443" s="8" t="s">
        <v>1179</v>
      </c>
      <c r="L443" s="4" t="str">
        <f>IF(AtlasReport_1_Table_1[[#This Row],[Reference]]="Purchase order",_xll.AtlasFormulas.AtlasFunctions.AtlasTable("UAT",DataAreaId,"T.VendInvoiceTrans","%RecId","","","","","","","ItemId|PurchID|InventTransId",$C443,$B443,$K443),"")</f>
        <v/>
      </c>
      <c r="M443" s="4" t="str">
        <f>IF(AtlasReport_1_Table_1[[#This Row],[Reference]]="Purchase order",_xll.AtlasFormulas.AtlasFunctions.AtlasTable("UAT",DataAreaId,"T.MarkupTrans","%CurrencyCode","","","","","","","MarkupCode|TransRecId|TransTableId","TPP",$L443,"492"),"")</f>
        <v/>
      </c>
      <c r="N443" s="4" t="str">
        <f>IF(AtlasReport_1_Table_1[[#This Row],[Reference]]="Purchase order",_xll.AtlasFormulas.AtlasFunctions.AtlasBalance("UAT",DataAreaId,"T.MarkupTrans","Sum|Posted|0","","","","","","","MarkupCode|TransTableId|TransRecId","TPP","492",$L443),"")</f>
        <v/>
      </c>
    </row>
    <row r="444" spans="1:14">
      <c r="A444" s="8" t="s">
        <v>1121</v>
      </c>
      <c r="B444" s="8" t="s">
        <v>680</v>
      </c>
      <c r="C444" s="8" t="s">
        <v>258</v>
      </c>
      <c r="D444" s="8" t="s">
        <v>351</v>
      </c>
      <c r="E444" s="8" t="s">
        <v>237</v>
      </c>
      <c r="F444" s="8" t="s">
        <v>249</v>
      </c>
      <c r="G444" s="6">
        <v>43108</v>
      </c>
      <c r="H444" s="6">
        <v>43108</v>
      </c>
      <c r="I444" s="4">
        <v>-450</v>
      </c>
      <c r="J444" s="8" t="s">
        <v>66</v>
      </c>
      <c r="K444" s="8" t="s">
        <v>1180</v>
      </c>
      <c r="L444" s="4" t="str">
        <f>IF(AtlasReport_1_Table_1[[#This Row],[Reference]]="Purchase order",_xll.AtlasFormulas.AtlasFunctions.AtlasTable("UAT",DataAreaId,"T.VendInvoiceTrans","%RecId","","","","","","","ItemId|PurchID|InventTransId",$C444,$B444,$K444),"")</f>
        <v/>
      </c>
      <c r="M444" s="4" t="str">
        <f>IF(AtlasReport_1_Table_1[[#This Row],[Reference]]="Purchase order",_xll.AtlasFormulas.AtlasFunctions.AtlasTable("UAT",DataAreaId,"T.MarkupTrans","%CurrencyCode","","","","","","","MarkupCode|TransRecId|TransTableId","TPP",$L444,"492"),"")</f>
        <v/>
      </c>
      <c r="N444" s="4" t="str">
        <f>IF(AtlasReport_1_Table_1[[#This Row],[Reference]]="Purchase order",_xll.AtlasFormulas.AtlasFunctions.AtlasBalance("UAT",DataAreaId,"T.MarkupTrans","Sum|Posted|0","","","","","","","MarkupCode|TransTableId|TransRecId","TPP","492",$L444),"")</f>
        <v/>
      </c>
    </row>
    <row r="445" spans="1:14">
      <c r="A445" s="8" t="s">
        <v>1121</v>
      </c>
      <c r="B445" s="8" t="s">
        <v>680</v>
      </c>
      <c r="C445" s="8" t="s">
        <v>259</v>
      </c>
      <c r="D445" s="8" t="s">
        <v>352</v>
      </c>
      <c r="E445" s="8" t="s">
        <v>237</v>
      </c>
      <c r="F445" s="8" t="s">
        <v>249</v>
      </c>
      <c r="G445" s="6">
        <v>43108</v>
      </c>
      <c r="H445" s="6">
        <v>43108</v>
      </c>
      <c r="I445" s="4">
        <v>-600</v>
      </c>
      <c r="J445" s="8" t="s">
        <v>66</v>
      </c>
      <c r="K445" s="8" t="s">
        <v>1181</v>
      </c>
      <c r="L445" s="4" t="str">
        <f>IF(AtlasReport_1_Table_1[[#This Row],[Reference]]="Purchase order",_xll.AtlasFormulas.AtlasFunctions.AtlasTable("UAT",DataAreaId,"T.VendInvoiceTrans","%RecId","","","","","","","ItemId|PurchID|InventTransId",$C445,$B445,$K445),"")</f>
        <v/>
      </c>
      <c r="M445" s="4" t="str">
        <f>IF(AtlasReport_1_Table_1[[#This Row],[Reference]]="Purchase order",_xll.AtlasFormulas.AtlasFunctions.AtlasTable("UAT",DataAreaId,"T.MarkupTrans","%CurrencyCode","","","","","","","MarkupCode|TransRecId|TransTableId","TPP",$L445,"492"),"")</f>
        <v/>
      </c>
      <c r="N445" s="4" t="str">
        <f>IF(AtlasReport_1_Table_1[[#This Row],[Reference]]="Purchase order",_xll.AtlasFormulas.AtlasFunctions.AtlasBalance("UAT",DataAreaId,"T.MarkupTrans","Sum|Posted|0","","","","","","","MarkupCode|TransTableId|TransRecId","TPP","492",$L445),"")</f>
        <v/>
      </c>
    </row>
    <row r="446" spans="1:14">
      <c r="A446" s="8" t="s">
        <v>1121</v>
      </c>
      <c r="B446" s="8" t="s">
        <v>680</v>
      </c>
      <c r="C446" s="8" t="s">
        <v>290</v>
      </c>
      <c r="D446" s="8" t="s">
        <v>472</v>
      </c>
      <c r="E446" s="8" t="s">
        <v>237</v>
      </c>
      <c r="F446" s="8" t="s">
        <v>238</v>
      </c>
      <c r="G446" s="6">
        <v>43108</v>
      </c>
      <c r="H446" s="6">
        <v>43108</v>
      </c>
      <c r="I446" s="4">
        <v>-11.4</v>
      </c>
      <c r="J446" s="8" t="s">
        <v>66</v>
      </c>
      <c r="K446" s="8" t="s">
        <v>1182</v>
      </c>
      <c r="L446" s="4" t="str">
        <f>IF(AtlasReport_1_Table_1[[#This Row],[Reference]]="Purchase order",_xll.AtlasFormulas.AtlasFunctions.AtlasTable("UAT",DataAreaId,"T.VendInvoiceTrans","%RecId","","","","","","","ItemId|PurchID|InventTransId",$C446,$B446,$K446),"")</f>
        <v/>
      </c>
      <c r="M446" s="4" t="str">
        <f>IF(AtlasReport_1_Table_1[[#This Row],[Reference]]="Purchase order",_xll.AtlasFormulas.AtlasFunctions.AtlasTable("UAT",DataAreaId,"T.MarkupTrans","%CurrencyCode","","","","","","","MarkupCode|TransRecId|TransTableId","TPP",$L446,"492"),"")</f>
        <v/>
      </c>
      <c r="N446" s="4" t="str">
        <f>IF(AtlasReport_1_Table_1[[#This Row],[Reference]]="Purchase order",_xll.AtlasFormulas.AtlasFunctions.AtlasBalance("UAT",DataAreaId,"T.MarkupTrans","Sum|Posted|0","","","","","","","MarkupCode|TransTableId|TransRecId","TPP","492",$L446),"")</f>
        <v/>
      </c>
    </row>
    <row r="447" spans="1:14">
      <c r="A447" s="8" t="s">
        <v>1121</v>
      </c>
      <c r="B447" s="8" t="s">
        <v>682</v>
      </c>
      <c r="C447" s="8" t="s">
        <v>369</v>
      </c>
      <c r="D447" s="8" t="s">
        <v>370</v>
      </c>
      <c r="E447" s="8" t="s">
        <v>237</v>
      </c>
      <c r="F447" s="8" t="s">
        <v>238</v>
      </c>
      <c r="G447" s="6">
        <v>43108</v>
      </c>
      <c r="H447" s="6">
        <v>43108</v>
      </c>
      <c r="I447" s="4">
        <v>-3025</v>
      </c>
      <c r="J447" s="8" t="s">
        <v>66</v>
      </c>
      <c r="K447" s="8" t="s">
        <v>1183</v>
      </c>
      <c r="L447" s="4" t="str">
        <f>IF(AtlasReport_1_Table_1[[#This Row],[Reference]]="Purchase order",_xll.AtlasFormulas.AtlasFunctions.AtlasTable("UAT",DataAreaId,"T.VendInvoiceTrans","%RecId","","","","","","","ItemId|PurchID|InventTransId",$C447,$B447,$K447),"")</f>
        <v/>
      </c>
      <c r="M447" s="4" t="str">
        <f>IF(AtlasReport_1_Table_1[[#This Row],[Reference]]="Purchase order",_xll.AtlasFormulas.AtlasFunctions.AtlasTable("UAT",DataAreaId,"T.MarkupTrans","%CurrencyCode","","","","","","","MarkupCode|TransRecId|TransTableId","TPP",$L447,"492"),"")</f>
        <v/>
      </c>
      <c r="N447" s="4" t="str">
        <f>IF(AtlasReport_1_Table_1[[#This Row],[Reference]]="Purchase order",_xll.AtlasFormulas.AtlasFunctions.AtlasBalance("UAT",DataAreaId,"T.MarkupTrans","Sum|Posted|0","","","","","","","MarkupCode|TransTableId|TransRecId","TPP","492",$L447),"")</f>
        <v/>
      </c>
    </row>
    <row r="448" spans="1:14">
      <c r="A448" s="8" t="s">
        <v>1121</v>
      </c>
      <c r="B448" s="8" t="s">
        <v>682</v>
      </c>
      <c r="C448" s="8" t="s">
        <v>856</v>
      </c>
      <c r="D448" s="8" t="s">
        <v>857</v>
      </c>
      <c r="E448" s="8" t="s">
        <v>237</v>
      </c>
      <c r="F448" s="8" t="s">
        <v>238</v>
      </c>
      <c r="G448" s="6">
        <v>43108</v>
      </c>
      <c r="H448" s="6">
        <v>43108</v>
      </c>
      <c r="I448" s="4">
        <v>-121</v>
      </c>
      <c r="J448" s="8" t="s">
        <v>22</v>
      </c>
      <c r="K448" s="8" t="s">
        <v>1184</v>
      </c>
      <c r="L448" s="4" t="str">
        <f>IF(AtlasReport_1_Table_1[[#This Row],[Reference]]="Purchase order",_xll.AtlasFormulas.AtlasFunctions.AtlasTable("UAT",DataAreaId,"T.VendInvoiceTrans","%RecId","","","","","","","ItemId|PurchID|InventTransId",$C448,$B448,$K448),"")</f>
        <v/>
      </c>
      <c r="M448" s="4" t="str">
        <f>IF(AtlasReport_1_Table_1[[#This Row],[Reference]]="Purchase order",_xll.AtlasFormulas.AtlasFunctions.AtlasTable("UAT",DataAreaId,"T.MarkupTrans","%CurrencyCode","","","","","","","MarkupCode|TransRecId|TransTableId","TPP",$L448,"492"),"")</f>
        <v/>
      </c>
      <c r="N448" s="4" t="str">
        <f>IF(AtlasReport_1_Table_1[[#This Row],[Reference]]="Purchase order",_xll.AtlasFormulas.AtlasFunctions.AtlasBalance("UAT",DataAreaId,"T.MarkupTrans","Sum|Posted|0","","","","","","","MarkupCode|TransTableId|TransRecId","TPP","492",$L448),"")</f>
        <v/>
      </c>
    </row>
    <row r="449" spans="1:14">
      <c r="A449" s="8" t="s">
        <v>1121</v>
      </c>
      <c r="B449" s="8" t="s">
        <v>684</v>
      </c>
      <c r="C449" s="8" t="s">
        <v>250</v>
      </c>
      <c r="D449" s="8" t="s">
        <v>329</v>
      </c>
      <c r="E449" s="8" t="s">
        <v>237</v>
      </c>
      <c r="F449" s="8" t="s">
        <v>249</v>
      </c>
      <c r="G449" s="6">
        <v>43108</v>
      </c>
      <c r="H449" s="6">
        <v>43108</v>
      </c>
      <c r="I449" s="4">
        <v>-3240</v>
      </c>
      <c r="J449" s="8" t="s">
        <v>66</v>
      </c>
      <c r="K449" s="8" t="s">
        <v>1185</v>
      </c>
      <c r="L449" s="4" t="str">
        <f>IF(AtlasReport_1_Table_1[[#This Row],[Reference]]="Purchase order",_xll.AtlasFormulas.AtlasFunctions.AtlasTable("UAT",DataAreaId,"T.VendInvoiceTrans","%RecId","","","","","","","ItemId|PurchID|InventTransId",$C449,$B449,$K449),"")</f>
        <v/>
      </c>
      <c r="M449" s="4" t="str">
        <f>IF(AtlasReport_1_Table_1[[#This Row],[Reference]]="Purchase order",_xll.AtlasFormulas.AtlasFunctions.AtlasTable("UAT",DataAreaId,"T.MarkupTrans","%CurrencyCode","","","","","","","MarkupCode|TransRecId|TransTableId","TPP",$L449,"492"),"")</f>
        <v/>
      </c>
      <c r="N449" s="4" t="str">
        <f>IF(AtlasReport_1_Table_1[[#This Row],[Reference]]="Purchase order",_xll.AtlasFormulas.AtlasFunctions.AtlasBalance("UAT",DataAreaId,"T.MarkupTrans","Sum|Posted|0","","","","","","","MarkupCode|TransTableId|TransRecId","TPP","492",$L449),"")</f>
        <v/>
      </c>
    </row>
    <row r="450" spans="1:14">
      <c r="A450" s="8" t="s">
        <v>1121</v>
      </c>
      <c r="B450" s="8" t="s">
        <v>684</v>
      </c>
      <c r="C450" s="8" t="s">
        <v>256</v>
      </c>
      <c r="D450" s="8" t="s">
        <v>349</v>
      </c>
      <c r="E450" s="8" t="s">
        <v>237</v>
      </c>
      <c r="F450" s="8" t="s">
        <v>249</v>
      </c>
      <c r="G450" s="6">
        <v>43108</v>
      </c>
      <c r="H450" s="6">
        <v>43108</v>
      </c>
      <c r="I450" s="4">
        <v>-1350</v>
      </c>
      <c r="J450" s="8" t="s">
        <v>66</v>
      </c>
      <c r="K450" s="8" t="s">
        <v>1186</v>
      </c>
      <c r="L450" s="4" t="str">
        <f>IF(AtlasReport_1_Table_1[[#This Row],[Reference]]="Purchase order",_xll.AtlasFormulas.AtlasFunctions.AtlasTable("UAT",DataAreaId,"T.VendInvoiceTrans","%RecId","","","","","","","ItemId|PurchID|InventTransId",$C450,$B450,$K450),"")</f>
        <v/>
      </c>
      <c r="M450" s="4" t="str">
        <f>IF(AtlasReport_1_Table_1[[#This Row],[Reference]]="Purchase order",_xll.AtlasFormulas.AtlasFunctions.AtlasTable("UAT",DataAreaId,"T.MarkupTrans","%CurrencyCode","","","","","","","MarkupCode|TransRecId|TransTableId","TPP",$L450,"492"),"")</f>
        <v/>
      </c>
      <c r="N450" s="4" t="str">
        <f>IF(AtlasReport_1_Table_1[[#This Row],[Reference]]="Purchase order",_xll.AtlasFormulas.AtlasFunctions.AtlasBalance("UAT",DataAreaId,"T.MarkupTrans","Sum|Posted|0","","","","","","","MarkupCode|TransTableId|TransRecId","TPP","492",$L450),"")</f>
        <v/>
      </c>
    </row>
    <row r="451" spans="1:14">
      <c r="A451" s="8" t="s">
        <v>1121</v>
      </c>
      <c r="B451" s="8" t="s">
        <v>684</v>
      </c>
      <c r="C451" s="8" t="s">
        <v>257</v>
      </c>
      <c r="D451" s="8" t="s">
        <v>350</v>
      </c>
      <c r="E451" s="8" t="s">
        <v>237</v>
      </c>
      <c r="F451" s="8" t="s">
        <v>249</v>
      </c>
      <c r="G451" s="6">
        <v>43108</v>
      </c>
      <c r="H451" s="6">
        <v>43108</v>
      </c>
      <c r="I451" s="4">
        <v>-1350</v>
      </c>
      <c r="J451" s="8" t="s">
        <v>66</v>
      </c>
      <c r="K451" s="8" t="s">
        <v>1187</v>
      </c>
      <c r="L451" s="4" t="str">
        <f>IF(AtlasReport_1_Table_1[[#This Row],[Reference]]="Purchase order",_xll.AtlasFormulas.AtlasFunctions.AtlasTable("UAT",DataAreaId,"T.VendInvoiceTrans","%RecId","","","","","","","ItemId|PurchID|InventTransId",$C451,$B451,$K451),"")</f>
        <v/>
      </c>
      <c r="M451" s="4" t="str">
        <f>IF(AtlasReport_1_Table_1[[#This Row],[Reference]]="Purchase order",_xll.AtlasFormulas.AtlasFunctions.AtlasTable("UAT",DataAreaId,"T.MarkupTrans","%CurrencyCode","","","","","","","MarkupCode|TransRecId|TransTableId","TPP",$L451,"492"),"")</f>
        <v/>
      </c>
      <c r="N451" s="4" t="str">
        <f>IF(AtlasReport_1_Table_1[[#This Row],[Reference]]="Purchase order",_xll.AtlasFormulas.AtlasFunctions.AtlasBalance("UAT",DataAreaId,"T.MarkupTrans","Sum|Posted|0","","","","","","","MarkupCode|TransTableId|TransRecId","TPP","492",$L451),"")</f>
        <v/>
      </c>
    </row>
    <row r="452" spans="1:14">
      <c r="A452" s="8" t="s">
        <v>1121</v>
      </c>
      <c r="B452" s="8" t="s">
        <v>684</v>
      </c>
      <c r="C452" s="8" t="s">
        <v>258</v>
      </c>
      <c r="D452" s="8" t="s">
        <v>351</v>
      </c>
      <c r="E452" s="8" t="s">
        <v>237</v>
      </c>
      <c r="F452" s="8" t="s">
        <v>249</v>
      </c>
      <c r="G452" s="6">
        <v>43108</v>
      </c>
      <c r="H452" s="6">
        <v>43108</v>
      </c>
      <c r="I452" s="4">
        <v>-1350</v>
      </c>
      <c r="J452" s="8" t="s">
        <v>66</v>
      </c>
      <c r="K452" s="8" t="s">
        <v>1188</v>
      </c>
      <c r="L452" s="4" t="str">
        <f>IF(AtlasReport_1_Table_1[[#This Row],[Reference]]="Purchase order",_xll.AtlasFormulas.AtlasFunctions.AtlasTable("UAT",DataAreaId,"T.VendInvoiceTrans","%RecId","","","","","","","ItemId|PurchID|InventTransId",$C452,$B452,$K452),"")</f>
        <v/>
      </c>
      <c r="M452" s="4" t="str">
        <f>IF(AtlasReport_1_Table_1[[#This Row],[Reference]]="Purchase order",_xll.AtlasFormulas.AtlasFunctions.AtlasTable("UAT",DataAreaId,"T.MarkupTrans","%CurrencyCode","","","","","","","MarkupCode|TransRecId|TransTableId","TPP",$L452,"492"),"")</f>
        <v/>
      </c>
      <c r="N452" s="4" t="str">
        <f>IF(AtlasReport_1_Table_1[[#This Row],[Reference]]="Purchase order",_xll.AtlasFormulas.AtlasFunctions.AtlasBalance("UAT",DataAreaId,"T.MarkupTrans","Sum|Posted|0","","","","","","","MarkupCode|TransTableId|TransRecId","TPP","492",$L452),"")</f>
        <v/>
      </c>
    </row>
    <row r="453" spans="1:14">
      <c r="A453" s="8" t="s">
        <v>1121</v>
      </c>
      <c r="B453" s="8" t="s">
        <v>684</v>
      </c>
      <c r="C453" s="8" t="s">
        <v>259</v>
      </c>
      <c r="D453" s="8" t="s">
        <v>352</v>
      </c>
      <c r="E453" s="8" t="s">
        <v>237</v>
      </c>
      <c r="F453" s="8" t="s">
        <v>249</v>
      </c>
      <c r="G453" s="6">
        <v>43108</v>
      </c>
      <c r="H453" s="6">
        <v>43108</v>
      </c>
      <c r="I453" s="4">
        <v>-1800</v>
      </c>
      <c r="J453" s="8" t="s">
        <v>66</v>
      </c>
      <c r="K453" s="8" t="s">
        <v>1189</v>
      </c>
      <c r="L453" s="4" t="str">
        <f>IF(AtlasReport_1_Table_1[[#This Row],[Reference]]="Purchase order",_xll.AtlasFormulas.AtlasFunctions.AtlasTable("UAT",DataAreaId,"T.VendInvoiceTrans","%RecId","","","","","","","ItemId|PurchID|InventTransId",$C453,$B453,$K453),"")</f>
        <v/>
      </c>
      <c r="M453" s="4" t="str">
        <f>IF(AtlasReport_1_Table_1[[#This Row],[Reference]]="Purchase order",_xll.AtlasFormulas.AtlasFunctions.AtlasTable("UAT",DataAreaId,"T.MarkupTrans","%CurrencyCode","","","","","","","MarkupCode|TransRecId|TransTableId","TPP",$L453,"492"),"")</f>
        <v/>
      </c>
      <c r="N453" s="4" t="str">
        <f>IF(AtlasReport_1_Table_1[[#This Row],[Reference]]="Purchase order",_xll.AtlasFormulas.AtlasFunctions.AtlasBalance("UAT",DataAreaId,"T.MarkupTrans","Sum|Posted|0","","","","","","","MarkupCode|TransTableId|TransRecId","TPP","492",$L453),"")</f>
        <v/>
      </c>
    </row>
    <row r="454" spans="1:14">
      <c r="A454" s="8" t="s">
        <v>1121</v>
      </c>
      <c r="B454" s="8" t="s">
        <v>684</v>
      </c>
      <c r="C454" s="8" t="s">
        <v>290</v>
      </c>
      <c r="D454" s="8" t="s">
        <v>472</v>
      </c>
      <c r="E454" s="8" t="s">
        <v>237</v>
      </c>
      <c r="F454" s="8" t="s">
        <v>238</v>
      </c>
      <c r="G454" s="6">
        <v>43108</v>
      </c>
      <c r="H454" s="6">
        <v>43108</v>
      </c>
      <c r="I454" s="4">
        <v>-34.200000000000003</v>
      </c>
      <c r="J454" s="8" t="s">
        <v>66</v>
      </c>
      <c r="K454" s="8" t="s">
        <v>1190</v>
      </c>
      <c r="L454" s="4" t="str">
        <f>IF(AtlasReport_1_Table_1[[#This Row],[Reference]]="Purchase order",_xll.AtlasFormulas.AtlasFunctions.AtlasTable("UAT",DataAreaId,"T.VendInvoiceTrans","%RecId","","","","","","","ItemId|PurchID|InventTransId",$C454,$B454,$K454),"")</f>
        <v/>
      </c>
      <c r="M454" s="4" t="str">
        <f>IF(AtlasReport_1_Table_1[[#This Row],[Reference]]="Purchase order",_xll.AtlasFormulas.AtlasFunctions.AtlasTable("UAT",DataAreaId,"T.MarkupTrans","%CurrencyCode","","","","","","","MarkupCode|TransRecId|TransTableId","TPP",$L454,"492"),"")</f>
        <v/>
      </c>
      <c r="N454" s="4" t="str">
        <f>IF(AtlasReport_1_Table_1[[#This Row],[Reference]]="Purchase order",_xll.AtlasFormulas.AtlasFunctions.AtlasBalance("UAT",DataAreaId,"T.MarkupTrans","Sum|Posted|0","","","","","","","MarkupCode|TransTableId|TransRecId","TPP","492",$L454),"")</f>
        <v/>
      </c>
    </row>
    <row r="455" spans="1:14">
      <c r="A455" s="8" t="s">
        <v>1121</v>
      </c>
      <c r="B455" s="8" t="s">
        <v>686</v>
      </c>
      <c r="C455" s="8" t="s">
        <v>369</v>
      </c>
      <c r="D455" s="8" t="s">
        <v>370</v>
      </c>
      <c r="E455" s="8" t="s">
        <v>237</v>
      </c>
      <c r="F455" s="8" t="s">
        <v>238</v>
      </c>
      <c r="G455" s="6">
        <v>43108</v>
      </c>
      <c r="H455" s="6">
        <v>43108</v>
      </c>
      <c r="I455" s="4">
        <v>-9100</v>
      </c>
      <c r="J455" s="8" t="s">
        <v>66</v>
      </c>
      <c r="K455" s="8" t="s">
        <v>1191</v>
      </c>
      <c r="L455" s="4" t="str">
        <f>IF(AtlasReport_1_Table_1[[#This Row],[Reference]]="Purchase order",_xll.AtlasFormulas.AtlasFunctions.AtlasTable("UAT",DataAreaId,"T.VendInvoiceTrans","%RecId","","","","","","","ItemId|PurchID|InventTransId",$C455,$B455,$K455),"")</f>
        <v/>
      </c>
      <c r="M455" s="4" t="str">
        <f>IF(AtlasReport_1_Table_1[[#This Row],[Reference]]="Purchase order",_xll.AtlasFormulas.AtlasFunctions.AtlasTable("UAT",DataAreaId,"T.MarkupTrans","%CurrencyCode","","","","","","","MarkupCode|TransRecId|TransTableId","TPP",$L455,"492"),"")</f>
        <v/>
      </c>
      <c r="N455" s="4" t="str">
        <f>IF(AtlasReport_1_Table_1[[#This Row],[Reference]]="Purchase order",_xll.AtlasFormulas.AtlasFunctions.AtlasBalance("UAT",DataAreaId,"T.MarkupTrans","Sum|Posted|0","","","","","","","MarkupCode|TransTableId|TransRecId","TPP","492",$L455),"")</f>
        <v/>
      </c>
    </row>
    <row r="456" spans="1:14">
      <c r="A456" s="8" t="s">
        <v>1121</v>
      </c>
      <c r="B456" s="8" t="s">
        <v>686</v>
      </c>
      <c r="C456" s="8" t="s">
        <v>856</v>
      </c>
      <c r="D456" s="8" t="s">
        <v>857</v>
      </c>
      <c r="E456" s="8" t="s">
        <v>237</v>
      </c>
      <c r="F456" s="8" t="s">
        <v>238</v>
      </c>
      <c r="G456" s="6">
        <v>43108</v>
      </c>
      <c r="H456" s="6">
        <v>43108</v>
      </c>
      <c r="I456" s="4">
        <v>-364</v>
      </c>
      <c r="J456" s="8" t="s">
        <v>22</v>
      </c>
      <c r="K456" s="8" t="s">
        <v>1192</v>
      </c>
      <c r="L456" s="4" t="str">
        <f>IF(AtlasReport_1_Table_1[[#This Row],[Reference]]="Purchase order",_xll.AtlasFormulas.AtlasFunctions.AtlasTable("UAT",DataAreaId,"T.VendInvoiceTrans","%RecId","","","","","","","ItemId|PurchID|InventTransId",$C456,$B456,$K456),"")</f>
        <v/>
      </c>
      <c r="M456" s="4" t="str">
        <f>IF(AtlasReport_1_Table_1[[#This Row],[Reference]]="Purchase order",_xll.AtlasFormulas.AtlasFunctions.AtlasTable("UAT",DataAreaId,"T.MarkupTrans","%CurrencyCode","","","","","","","MarkupCode|TransRecId|TransTableId","TPP",$L456,"492"),"")</f>
        <v/>
      </c>
      <c r="N456" s="4" t="str">
        <f>IF(AtlasReport_1_Table_1[[#This Row],[Reference]]="Purchase order",_xll.AtlasFormulas.AtlasFunctions.AtlasBalance("UAT",DataAreaId,"T.MarkupTrans","Sum|Posted|0","","","","","","","MarkupCode|TransTableId|TransRecId","TPP","492",$L456),"")</f>
        <v/>
      </c>
    </row>
    <row r="457" spans="1:14">
      <c r="A457" s="8" t="s">
        <v>1121</v>
      </c>
      <c r="B457" s="8" t="s">
        <v>688</v>
      </c>
      <c r="C457" s="8" t="s">
        <v>248</v>
      </c>
      <c r="D457" s="8" t="s">
        <v>327</v>
      </c>
      <c r="E457" s="8" t="s">
        <v>237</v>
      </c>
      <c r="F457" s="8" t="s">
        <v>249</v>
      </c>
      <c r="G457" s="6">
        <v>43108</v>
      </c>
      <c r="H457" s="6">
        <v>43108</v>
      </c>
      <c r="I457" s="4">
        <v>-1500</v>
      </c>
      <c r="J457" s="8" t="s">
        <v>66</v>
      </c>
      <c r="K457" s="8" t="s">
        <v>1193</v>
      </c>
      <c r="L457" s="4" t="str">
        <f>IF(AtlasReport_1_Table_1[[#This Row],[Reference]]="Purchase order",_xll.AtlasFormulas.AtlasFunctions.AtlasTable("UAT",DataAreaId,"T.VendInvoiceTrans","%RecId","","","","","","","ItemId|PurchID|InventTransId",$C457,$B457,$K457),"")</f>
        <v/>
      </c>
      <c r="M457" s="4" t="str">
        <f>IF(AtlasReport_1_Table_1[[#This Row],[Reference]]="Purchase order",_xll.AtlasFormulas.AtlasFunctions.AtlasTable("UAT",DataAreaId,"T.MarkupTrans","%CurrencyCode","","","","","","","MarkupCode|TransRecId|TransTableId","TPP",$L457,"492"),"")</f>
        <v/>
      </c>
      <c r="N457" s="4" t="str">
        <f>IF(AtlasReport_1_Table_1[[#This Row],[Reference]]="Purchase order",_xll.AtlasFormulas.AtlasFunctions.AtlasBalance("UAT",DataAreaId,"T.MarkupTrans","Sum|Posted|0","","","","","","","MarkupCode|TransTableId|TransRecId","TPP","492",$L457),"")</f>
        <v/>
      </c>
    </row>
    <row r="458" spans="1:14">
      <c r="A458" s="8" t="s">
        <v>1121</v>
      </c>
      <c r="B458" s="8" t="s">
        <v>688</v>
      </c>
      <c r="C458" s="8" t="s">
        <v>256</v>
      </c>
      <c r="D458" s="8" t="s">
        <v>349</v>
      </c>
      <c r="E458" s="8" t="s">
        <v>237</v>
      </c>
      <c r="F458" s="8" t="s">
        <v>249</v>
      </c>
      <c r="G458" s="6">
        <v>43108</v>
      </c>
      <c r="H458" s="6">
        <v>43108</v>
      </c>
      <c r="I458" s="4">
        <v>-600</v>
      </c>
      <c r="J458" s="8" t="s">
        <v>66</v>
      </c>
      <c r="K458" s="8" t="s">
        <v>1194</v>
      </c>
      <c r="L458" s="4" t="str">
        <f>IF(AtlasReport_1_Table_1[[#This Row],[Reference]]="Purchase order",_xll.AtlasFormulas.AtlasFunctions.AtlasTable("UAT",DataAreaId,"T.VendInvoiceTrans","%RecId","","","","","","","ItemId|PurchID|InventTransId",$C458,$B458,$K458),"")</f>
        <v/>
      </c>
      <c r="M458" s="4" t="str">
        <f>IF(AtlasReport_1_Table_1[[#This Row],[Reference]]="Purchase order",_xll.AtlasFormulas.AtlasFunctions.AtlasTable("UAT",DataAreaId,"T.MarkupTrans","%CurrencyCode","","","","","","","MarkupCode|TransRecId|TransTableId","TPP",$L458,"492"),"")</f>
        <v/>
      </c>
      <c r="N458" s="4" t="str">
        <f>IF(AtlasReport_1_Table_1[[#This Row],[Reference]]="Purchase order",_xll.AtlasFormulas.AtlasFunctions.AtlasBalance("UAT",DataAreaId,"T.MarkupTrans","Sum|Posted|0","","","","","","","MarkupCode|TransTableId|TransRecId","TPP","492",$L458),"")</f>
        <v/>
      </c>
    </row>
    <row r="459" spans="1:14">
      <c r="A459" s="8" t="s">
        <v>1121</v>
      </c>
      <c r="B459" s="8" t="s">
        <v>688</v>
      </c>
      <c r="C459" s="8" t="s">
        <v>257</v>
      </c>
      <c r="D459" s="8" t="s">
        <v>350</v>
      </c>
      <c r="E459" s="8" t="s">
        <v>237</v>
      </c>
      <c r="F459" s="8" t="s">
        <v>249</v>
      </c>
      <c r="G459" s="6">
        <v>43108</v>
      </c>
      <c r="H459" s="6">
        <v>43108</v>
      </c>
      <c r="I459" s="4">
        <v>-600</v>
      </c>
      <c r="J459" s="8" t="s">
        <v>66</v>
      </c>
      <c r="K459" s="8" t="s">
        <v>1195</v>
      </c>
      <c r="L459" s="4" t="str">
        <f>IF(AtlasReport_1_Table_1[[#This Row],[Reference]]="Purchase order",_xll.AtlasFormulas.AtlasFunctions.AtlasTable("UAT",DataAreaId,"T.VendInvoiceTrans","%RecId","","","","","","","ItemId|PurchID|InventTransId",$C459,$B459,$K459),"")</f>
        <v/>
      </c>
      <c r="M459" s="4" t="str">
        <f>IF(AtlasReport_1_Table_1[[#This Row],[Reference]]="Purchase order",_xll.AtlasFormulas.AtlasFunctions.AtlasTable("UAT",DataAreaId,"T.MarkupTrans","%CurrencyCode","","","","","","","MarkupCode|TransRecId|TransTableId","TPP",$L459,"492"),"")</f>
        <v/>
      </c>
      <c r="N459" s="4" t="str">
        <f>IF(AtlasReport_1_Table_1[[#This Row],[Reference]]="Purchase order",_xll.AtlasFormulas.AtlasFunctions.AtlasBalance("UAT",DataAreaId,"T.MarkupTrans","Sum|Posted|0","","","","","","","MarkupCode|TransTableId|TransRecId","TPP","492",$L459),"")</f>
        <v/>
      </c>
    </row>
    <row r="460" spans="1:14">
      <c r="A460" s="8" t="s">
        <v>1121</v>
      </c>
      <c r="B460" s="8" t="s">
        <v>688</v>
      </c>
      <c r="C460" s="8" t="s">
        <v>258</v>
      </c>
      <c r="D460" s="8" t="s">
        <v>351</v>
      </c>
      <c r="E460" s="8" t="s">
        <v>237</v>
      </c>
      <c r="F460" s="8" t="s">
        <v>249</v>
      </c>
      <c r="G460" s="6">
        <v>43108</v>
      </c>
      <c r="H460" s="6">
        <v>43108</v>
      </c>
      <c r="I460" s="4">
        <v>-600</v>
      </c>
      <c r="J460" s="8" t="s">
        <v>66</v>
      </c>
      <c r="K460" s="8" t="s">
        <v>1196</v>
      </c>
      <c r="L460" s="4" t="str">
        <f>IF(AtlasReport_1_Table_1[[#This Row],[Reference]]="Purchase order",_xll.AtlasFormulas.AtlasFunctions.AtlasTable("UAT",DataAreaId,"T.VendInvoiceTrans","%RecId","","","","","","","ItemId|PurchID|InventTransId",$C460,$B460,$K460),"")</f>
        <v/>
      </c>
      <c r="M460" s="4" t="str">
        <f>IF(AtlasReport_1_Table_1[[#This Row],[Reference]]="Purchase order",_xll.AtlasFormulas.AtlasFunctions.AtlasTable("UAT",DataAreaId,"T.MarkupTrans","%CurrencyCode","","","","","","","MarkupCode|TransRecId|TransTableId","TPP",$L460,"492"),"")</f>
        <v/>
      </c>
      <c r="N460" s="4" t="str">
        <f>IF(AtlasReport_1_Table_1[[#This Row],[Reference]]="Purchase order",_xll.AtlasFormulas.AtlasFunctions.AtlasBalance("UAT",DataAreaId,"T.MarkupTrans","Sum|Posted|0","","","","","","","MarkupCode|TransTableId|TransRecId","TPP","492",$L460),"")</f>
        <v/>
      </c>
    </row>
    <row r="461" spans="1:14">
      <c r="A461" s="8" t="s">
        <v>1121</v>
      </c>
      <c r="B461" s="8" t="s">
        <v>688</v>
      </c>
      <c r="C461" s="8" t="s">
        <v>259</v>
      </c>
      <c r="D461" s="8" t="s">
        <v>352</v>
      </c>
      <c r="E461" s="8" t="s">
        <v>237</v>
      </c>
      <c r="F461" s="8" t="s">
        <v>249</v>
      </c>
      <c r="G461" s="6">
        <v>43108</v>
      </c>
      <c r="H461" s="6">
        <v>43108</v>
      </c>
      <c r="I461" s="4">
        <v>-800</v>
      </c>
      <c r="J461" s="8" t="s">
        <v>66</v>
      </c>
      <c r="K461" s="8" t="s">
        <v>1197</v>
      </c>
      <c r="L461" s="4" t="str">
        <f>IF(AtlasReport_1_Table_1[[#This Row],[Reference]]="Purchase order",_xll.AtlasFormulas.AtlasFunctions.AtlasTable("UAT",DataAreaId,"T.VendInvoiceTrans","%RecId","","","","","","","ItemId|PurchID|InventTransId",$C461,$B461,$K461),"")</f>
        <v/>
      </c>
      <c r="M461" s="4" t="str">
        <f>IF(AtlasReport_1_Table_1[[#This Row],[Reference]]="Purchase order",_xll.AtlasFormulas.AtlasFunctions.AtlasTable("UAT",DataAreaId,"T.MarkupTrans","%CurrencyCode","","","","","","","MarkupCode|TransRecId|TransTableId","TPP",$L461,"492"),"")</f>
        <v/>
      </c>
      <c r="N461" s="4" t="str">
        <f>IF(AtlasReport_1_Table_1[[#This Row],[Reference]]="Purchase order",_xll.AtlasFormulas.AtlasFunctions.AtlasBalance("UAT",DataAreaId,"T.MarkupTrans","Sum|Posted|0","","","","","","","MarkupCode|TransTableId|TransRecId","TPP","492",$L461),"")</f>
        <v/>
      </c>
    </row>
    <row r="462" spans="1:14">
      <c r="A462" s="8" t="s">
        <v>1121</v>
      </c>
      <c r="B462" s="8" t="s">
        <v>688</v>
      </c>
      <c r="C462" s="8" t="s">
        <v>290</v>
      </c>
      <c r="D462" s="8" t="s">
        <v>472</v>
      </c>
      <c r="E462" s="8" t="s">
        <v>237</v>
      </c>
      <c r="F462" s="8" t="s">
        <v>238</v>
      </c>
      <c r="G462" s="6">
        <v>43108</v>
      </c>
      <c r="H462" s="6">
        <v>43108</v>
      </c>
      <c r="I462" s="4">
        <v>-16.399999999999999</v>
      </c>
      <c r="J462" s="8" t="s">
        <v>66</v>
      </c>
      <c r="K462" s="8" t="s">
        <v>1198</v>
      </c>
      <c r="L462" s="4" t="str">
        <f>IF(AtlasReport_1_Table_1[[#This Row],[Reference]]="Purchase order",_xll.AtlasFormulas.AtlasFunctions.AtlasTable("UAT",DataAreaId,"T.VendInvoiceTrans","%RecId","","","","","","","ItemId|PurchID|InventTransId",$C462,$B462,$K462),"")</f>
        <v/>
      </c>
      <c r="M462" s="4" t="str">
        <f>IF(AtlasReport_1_Table_1[[#This Row],[Reference]]="Purchase order",_xll.AtlasFormulas.AtlasFunctions.AtlasTable("UAT",DataAreaId,"T.MarkupTrans","%CurrencyCode","","","","","","","MarkupCode|TransRecId|TransTableId","TPP",$L462,"492"),"")</f>
        <v/>
      </c>
      <c r="N462" s="4" t="str">
        <f>IF(AtlasReport_1_Table_1[[#This Row],[Reference]]="Purchase order",_xll.AtlasFormulas.AtlasFunctions.AtlasBalance("UAT",DataAreaId,"T.MarkupTrans","Sum|Posted|0","","","","","","","MarkupCode|TransTableId|TransRecId","TPP","492",$L462),"")</f>
        <v/>
      </c>
    </row>
    <row r="463" spans="1:14">
      <c r="A463" s="8" t="s">
        <v>1121</v>
      </c>
      <c r="B463" s="8" t="s">
        <v>692</v>
      </c>
      <c r="C463" s="8" t="s">
        <v>689</v>
      </c>
      <c r="D463" s="8" t="s">
        <v>690</v>
      </c>
      <c r="E463" s="8" t="s">
        <v>237</v>
      </c>
      <c r="F463" s="8" t="s">
        <v>238</v>
      </c>
      <c r="G463" s="6">
        <v>43108</v>
      </c>
      <c r="H463" s="6">
        <v>43108</v>
      </c>
      <c r="I463" s="4">
        <v>-4100</v>
      </c>
      <c r="J463" s="8" t="s">
        <v>66</v>
      </c>
      <c r="K463" s="8" t="s">
        <v>1199</v>
      </c>
      <c r="L463" s="4" t="str">
        <f>IF(AtlasReport_1_Table_1[[#This Row],[Reference]]="Purchase order",_xll.AtlasFormulas.AtlasFunctions.AtlasTable("UAT",DataAreaId,"T.VendInvoiceTrans","%RecId","","","","","","","ItemId|PurchID|InventTransId",$C463,$B463,$K463),"")</f>
        <v/>
      </c>
      <c r="M463" s="4" t="str">
        <f>IF(AtlasReport_1_Table_1[[#This Row],[Reference]]="Purchase order",_xll.AtlasFormulas.AtlasFunctions.AtlasTable("UAT",DataAreaId,"T.MarkupTrans","%CurrencyCode","","","","","","","MarkupCode|TransRecId|TransTableId","TPP",$L463,"492"),"")</f>
        <v/>
      </c>
      <c r="N463" s="4" t="str">
        <f>IF(AtlasReport_1_Table_1[[#This Row],[Reference]]="Purchase order",_xll.AtlasFormulas.AtlasFunctions.AtlasBalance("UAT",DataAreaId,"T.MarkupTrans","Sum|Posted|0","","","","","","","MarkupCode|TransTableId|TransRecId","TPP","492",$L463),"")</f>
        <v/>
      </c>
    </row>
    <row r="464" spans="1:14">
      <c r="A464" s="8" t="s">
        <v>1121</v>
      </c>
      <c r="B464" s="8" t="s">
        <v>692</v>
      </c>
      <c r="C464" s="8" t="s">
        <v>871</v>
      </c>
      <c r="D464" s="8" t="s">
        <v>872</v>
      </c>
      <c r="E464" s="8" t="s">
        <v>237</v>
      </c>
      <c r="F464" s="8" t="s">
        <v>238</v>
      </c>
      <c r="G464" s="6">
        <v>43108</v>
      </c>
      <c r="H464" s="6">
        <v>43108</v>
      </c>
      <c r="I464" s="4">
        <v>-164</v>
      </c>
      <c r="J464" s="8" t="s">
        <v>22</v>
      </c>
      <c r="K464" s="8" t="s">
        <v>1200</v>
      </c>
      <c r="L464" s="4" t="str">
        <f>IF(AtlasReport_1_Table_1[[#This Row],[Reference]]="Purchase order",_xll.AtlasFormulas.AtlasFunctions.AtlasTable("UAT",DataAreaId,"T.VendInvoiceTrans","%RecId","","","","","","","ItemId|PurchID|InventTransId",$C464,$B464,$K464),"")</f>
        <v/>
      </c>
      <c r="M464" s="4" t="str">
        <f>IF(AtlasReport_1_Table_1[[#This Row],[Reference]]="Purchase order",_xll.AtlasFormulas.AtlasFunctions.AtlasTable("UAT",DataAreaId,"T.MarkupTrans","%CurrencyCode","","","","","","","MarkupCode|TransRecId|TransTableId","TPP",$L464,"492"),"")</f>
        <v/>
      </c>
      <c r="N464" s="4" t="str">
        <f>IF(AtlasReport_1_Table_1[[#This Row],[Reference]]="Purchase order",_xll.AtlasFormulas.AtlasFunctions.AtlasBalance("UAT",DataAreaId,"T.MarkupTrans","Sum|Posted|0","","","","","","","MarkupCode|TransTableId|TransRecId","TPP","492",$L464),"")</f>
        <v/>
      </c>
    </row>
    <row r="465" spans="1:14">
      <c r="A465" s="8" t="s">
        <v>1121</v>
      </c>
      <c r="B465" s="8" t="s">
        <v>694</v>
      </c>
      <c r="C465" s="8" t="s">
        <v>813</v>
      </c>
      <c r="D465" s="8" t="s">
        <v>814</v>
      </c>
      <c r="E465" s="8" t="s">
        <v>237</v>
      </c>
      <c r="F465" s="8" t="s">
        <v>238</v>
      </c>
      <c r="G465" s="6">
        <v>43108</v>
      </c>
      <c r="H465" s="6">
        <v>43108</v>
      </c>
      <c r="I465" s="4">
        <v>-10</v>
      </c>
      <c r="J465" s="8" t="s">
        <v>22</v>
      </c>
      <c r="K465" s="8" t="s">
        <v>1201</v>
      </c>
      <c r="L465" s="4" t="str">
        <f>IF(AtlasReport_1_Table_1[[#This Row],[Reference]]="Purchase order",_xll.AtlasFormulas.AtlasFunctions.AtlasTable("UAT",DataAreaId,"T.VendInvoiceTrans","%RecId","","","","","","","ItemId|PurchID|InventTransId",$C465,$B465,$K465),"")</f>
        <v/>
      </c>
      <c r="M465" s="4" t="str">
        <f>IF(AtlasReport_1_Table_1[[#This Row],[Reference]]="Purchase order",_xll.AtlasFormulas.AtlasFunctions.AtlasTable("UAT",DataAreaId,"T.MarkupTrans","%CurrencyCode","","","","","","","MarkupCode|TransRecId|TransTableId","TPP",$L465,"492"),"")</f>
        <v/>
      </c>
      <c r="N465" s="4" t="str">
        <f>IF(AtlasReport_1_Table_1[[#This Row],[Reference]]="Purchase order",_xll.AtlasFormulas.AtlasFunctions.AtlasBalance("UAT",DataAreaId,"T.MarkupTrans","Sum|Posted|0","","","","","","","MarkupCode|TransTableId|TransRecId","TPP","492",$L465),"")</f>
        <v/>
      </c>
    </row>
    <row r="466" spans="1:14">
      <c r="A466" s="8" t="s">
        <v>1121</v>
      </c>
      <c r="B466" s="8" t="s">
        <v>696</v>
      </c>
      <c r="C466" s="8" t="s">
        <v>251</v>
      </c>
      <c r="D466" s="8" t="s">
        <v>330</v>
      </c>
      <c r="E466" s="8" t="s">
        <v>237</v>
      </c>
      <c r="F466" s="8" t="s">
        <v>238</v>
      </c>
      <c r="G466" s="6">
        <v>43108</v>
      </c>
      <c r="H466" s="6">
        <v>43108</v>
      </c>
      <c r="I466" s="4">
        <v>-0.75</v>
      </c>
      <c r="J466" s="8" t="s">
        <v>66</v>
      </c>
      <c r="K466" s="8" t="s">
        <v>1202</v>
      </c>
      <c r="L466" s="4" t="str">
        <f>IF(AtlasReport_1_Table_1[[#This Row],[Reference]]="Purchase order",_xll.AtlasFormulas.AtlasFunctions.AtlasTable("UAT",DataAreaId,"T.VendInvoiceTrans","%RecId","","","","","","","ItemId|PurchID|InventTransId",$C466,$B466,$K466),"")</f>
        <v/>
      </c>
      <c r="M466" s="4" t="str">
        <f>IF(AtlasReport_1_Table_1[[#This Row],[Reference]]="Purchase order",_xll.AtlasFormulas.AtlasFunctions.AtlasTable("UAT",DataAreaId,"T.MarkupTrans","%CurrencyCode","","","","","","","MarkupCode|TransRecId|TransTableId","TPP",$L466,"492"),"")</f>
        <v/>
      </c>
      <c r="N466" s="4" t="str">
        <f>IF(AtlasReport_1_Table_1[[#This Row],[Reference]]="Purchase order",_xll.AtlasFormulas.AtlasFunctions.AtlasBalance("UAT",DataAreaId,"T.MarkupTrans","Sum|Posted|0","","","","","","","MarkupCode|TransTableId|TransRecId","TPP","492",$L466),"")</f>
        <v/>
      </c>
    </row>
    <row r="467" spans="1:14">
      <c r="A467" s="8" t="s">
        <v>1121</v>
      </c>
      <c r="B467" s="8" t="s">
        <v>696</v>
      </c>
      <c r="C467" s="8" t="s">
        <v>255</v>
      </c>
      <c r="D467" s="8" t="s">
        <v>346</v>
      </c>
      <c r="E467" s="8" t="s">
        <v>237</v>
      </c>
      <c r="F467" s="8" t="s">
        <v>238</v>
      </c>
      <c r="G467" s="6">
        <v>43108</v>
      </c>
      <c r="H467" s="6">
        <v>43108</v>
      </c>
      <c r="I467" s="4">
        <v>-0.69</v>
      </c>
      <c r="J467" s="8" t="s">
        <v>66</v>
      </c>
      <c r="K467" s="8" t="s">
        <v>1203</v>
      </c>
      <c r="L467" s="4" t="str">
        <f>IF(AtlasReport_1_Table_1[[#This Row],[Reference]]="Purchase order",_xll.AtlasFormulas.AtlasFunctions.AtlasTable("UAT",DataAreaId,"T.VendInvoiceTrans","%RecId","","","","","","","ItemId|PurchID|InventTransId",$C467,$B467,$K467),"")</f>
        <v/>
      </c>
      <c r="M467" s="4" t="str">
        <f>IF(AtlasReport_1_Table_1[[#This Row],[Reference]]="Purchase order",_xll.AtlasFormulas.AtlasFunctions.AtlasTable("UAT",DataAreaId,"T.MarkupTrans","%CurrencyCode","","","","","","","MarkupCode|TransRecId|TransTableId","TPP",$L467,"492"),"")</f>
        <v/>
      </c>
      <c r="N467" s="4" t="str">
        <f>IF(AtlasReport_1_Table_1[[#This Row],[Reference]]="Purchase order",_xll.AtlasFormulas.AtlasFunctions.AtlasBalance("UAT",DataAreaId,"T.MarkupTrans","Sum|Posted|0","","","","","","","MarkupCode|TransTableId|TransRecId","TPP","492",$L467),"")</f>
        <v/>
      </c>
    </row>
    <row r="468" spans="1:14">
      <c r="A468" s="8" t="s">
        <v>1121</v>
      </c>
      <c r="B468" s="8" t="s">
        <v>696</v>
      </c>
      <c r="C468" s="8" t="s">
        <v>256</v>
      </c>
      <c r="D468" s="8" t="s">
        <v>349</v>
      </c>
      <c r="E468" s="8" t="s">
        <v>237</v>
      </c>
      <c r="F468" s="8" t="s">
        <v>249</v>
      </c>
      <c r="G468" s="6">
        <v>43108</v>
      </c>
      <c r="H468" s="6">
        <v>43108</v>
      </c>
      <c r="I468" s="4">
        <v>-2.4750000000000001</v>
      </c>
      <c r="J468" s="8" t="s">
        <v>66</v>
      </c>
      <c r="K468" s="8" t="s">
        <v>1204</v>
      </c>
      <c r="L468" s="4" t="str">
        <f>IF(AtlasReport_1_Table_1[[#This Row],[Reference]]="Purchase order",_xll.AtlasFormulas.AtlasFunctions.AtlasTable("UAT",DataAreaId,"T.VendInvoiceTrans","%RecId","","","","","","","ItemId|PurchID|InventTransId",$C468,$B468,$K468),"")</f>
        <v/>
      </c>
      <c r="M468" s="4" t="str">
        <f>IF(AtlasReport_1_Table_1[[#This Row],[Reference]]="Purchase order",_xll.AtlasFormulas.AtlasFunctions.AtlasTable("UAT",DataAreaId,"T.MarkupTrans","%CurrencyCode","","","","","","","MarkupCode|TransRecId|TransTableId","TPP",$L468,"492"),"")</f>
        <v/>
      </c>
      <c r="N468" s="4" t="str">
        <f>IF(AtlasReport_1_Table_1[[#This Row],[Reference]]="Purchase order",_xll.AtlasFormulas.AtlasFunctions.AtlasBalance("UAT",DataAreaId,"T.MarkupTrans","Sum|Posted|0","","","","","","","MarkupCode|TransTableId|TransRecId","TPP","492",$L468),"")</f>
        <v/>
      </c>
    </row>
    <row r="469" spans="1:14">
      <c r="A469" s="8" t="s">
        <v>1121</v>
      </c>
      <c r="B469" s="8" t="s">
        <v>696</v>
      </c>
      <c r="C469" s="8" t="s">
        <v>257</v>
      </c>
      <c r="D469" s="8" t="s">
        <v>350</v>
      </c>
      <c r="E469" s="8" t="s">
        <v>237</v>
      </c>
      <c r="F469" s="8" t="s">
        <v>249</v>
      </c>
      <c r="G469" s="6">
        <v>43108</v>
      </c>
      <c r="H469" s="6">
        <v>43108</v>
      </c>
      <c r="I469" s="4">
        <v>-3.9899999999999998</v>
      </c>
      <c r="J469" s="8" t="s">
        <v>66</v>
      </c>
      <c r="K469" s="8" t="s">
        <v>1205</v>
      </c>
      <c r="L469" s="4" t="str">
        <f>IF(AtlasReport_1_Table_1[[#This Row],[Reference]]="Purchase order",_xll.AtlasFormulas.AtlasFunctions.AtlasTable("UAT",DataAreaId,"T.VendInvoiceTrans","%RecId","","","","","","","ItemId|PurchID|InventTransId",$C469,$B469,$K469),"")</f>
        <v/>
      </c>
      <c r="M469" s="4" t="str">
        <f>IF(AtlasReport_1_Table_1[[#This Row],[Reference]]="Purchase order",_xll.AtlasFormulas.AtlasFunctions.AtlasTable("UAT",DataAreaId,"T.MarkupTrans","%CurrencyCode","","","","","","","MarkupCode|TransRecId|TransTableId","TPP",$L469,"492"),"")</f>
        <v/>
      </c>
      <c r="N469" s="4" t="str">
        <f>IF(AtlasReport_1_Table_1[[#This Row],[Reference]]="Purchase order",_xll.AtlasFormulas.AtlasFunctions.AtlasBalance("UAT",DataAreaId,"T.MarkupTrans","Sum|Posted|0","","","","","","","MarkupCode|TransTableId|TransRecId","TPP","492",$L469),"")</f>
        <v/>
      </c>
    </row>
    <row r="470" spans="1:14">
      <c r="A470" s="8" t="s">
        <v>1121</v>
      </c>
      <c r="B470" s="8" t="s">
        <v>696</v>
      </c>
      <c r="C470" s="8" t="s">
        <v>286</v>
      </c>
      <c r="D470" s="8" t="s">
        <v>456</v>
      </c>
      <c r="E470" s="8" t="s">
        <v>237</v>
      </c>
      <c r="F470" s="8" t="s">
        <v>238</v>
      </c>
      <c r="G470" s="6">
        <v>43108</v>
      </c>
      <c r="H470" s="6">
        <v>43108</v>
      </c>
      <c r="I470" s="4">
        <v>-1.61</v>
      </c>
      <c r="J470" s="8" t="s">
        <v>66</v>
      </c>
      <c r="K470" s="8" t="s">
        <v>1206</v>
      </c>
      <c r="L470" s="4" t="str">
        <f>IF(AtlasReport_1_Table_1[[#This Row],[Reference]]="Purchase order",_xll.AtlasFormulas.AtlasFunctions.AtlasTable("UAT",DataAreaId,"T.VendInvoiceTrans","%RecId","","","","","","","ItemId|PurchID|InventTransId",$C470,$B470,$K470),"")</f>
        <v/>
      </c>
      <c r="M470" s="4" t="str">
        <f>IF(AtlasReport_1_Table_1[[#This Row],[Reference]]="Purchase order",_xll.AtlasFormulas.AtlasFunctions.AtlasTable("UAT",DataAreaId,"T.MarkupTrans","%CurrencyCode","","","","","","","MarkupCode|TransRecId|TransTableId","TPP",$L470,"492"),"")</f>
        <v/>
      </c>
      <c r="N470" s="4" t="str">
        <f>IF(AtlasReport_1_Table_1[[#This Row],[Reference]]="Purchase order",_xll.AtlasFormulas.AtlasFunctions.AtlasBalance("UAT",DataAreaId,"T.MarkupTrans","Sum|Posted|0","","","","","","","MarkupCode|TransTableId|TransRecId","TPP","492",$L470),"")</f>
        <v/>
      </c>
    </row>
    <row r="471" spans="1:14">
      <c r="A471" s="8" t="s">
        <v>1121</v>
      </c>
      <c r="B471" s="8" t="s">
        <v>696</v>
      </c>
      <c r="C471" s="8" t="s">
        <v>287</v>
      </c>
      <c r="D471" s="8" t="s">
        <v>457</v>
      </c>
      <c r="E471" s="8" t="s">
        <v>237</v>
      </c>
      <c r="F471" s="8" t="s">
        <v>238</v>
      </c>
      <c r="G471" s="6">
        <v>43108</v>
      </c>
      <c r="H471" s="6">
        <v>43108</v>
      </c>
      <c r="I471" s="4">
        <v>-0.34499999999999997</v>
      </c>
      <c r="J471" s="8" t="s">
        <v>66</v>
      </c>
      <c r="K471" s="8" t="s">
        <v>1207</v>
      </c>
      <c r="L471" s="4" t="str">
        <f>IF(AtlasReport_1_Table_1[[#This Row],[Reference]]="Purchase order",_xll.AtlasFormulas.AtlasFunctions.AtlasTable("UAT",DataAreaId,"T.VendInvoiceTrans","%RecId","","","","","","","ItemId|PurchID|InventTransId",$C471,$B471,$K471),"")</f>
        <v/>
      </c>
      <c r="M471" s="4" t="str">
        <f>IF(AtlasReport_1_Table_1[[#This Row],[Reference]]="Purchase order",_xll.AtlasFormulas.AtlasFunctions.AtlasTable("UAT",DataAreaId,"T.MarkupTrans","%CurrencyCode","","","","","","","MarkupCode|TransRecId|TransTableId","TPP",$L471,"492"),"")</f>
        <v/>
      </c>
      <c r="N471" s="4" t="str">
        <f>IF(AtlasReport_1_Table_1[[#This Row],[Reference]]="Purchase order",_xll.AtlasFormulas.AtlasFunctions.AtlasBalance("UAT",DataAreaId,"T.MarkupTrans","Sum|Posted|0","","","","","","","MarkupCode|TransTableId|TransRecId","TPP","492",$L471),"")</f>
        <v/>
      </c>
    </row>
    <row r="472" spans="1:14">
      <c r="A472" s="8" t="s">
        <v>1121</v>
      </c>
      <c r="B472" s="8" t="s">
        <v>696</v>
      </c>
      <c r="C472" s="8" t="s">
        <v>1081</v>
      </c>
      <c r="D472" s="8" t="s">
        <v>1082</v>
      </c>
      <c r="E472" s="8" t="s">
        <v>237</v>
      </c>
      <c r="F472" s="8" t="s">
        <v>238</v>
      </c>
      <c r="G472" s="6">
        <v>43108</v>
      </c>
      <c r="H472" s="6">
        <v>43108</v>
      </c>
      <c r="I472" s="4">
        <v>-5</v>
      </c>
      <c r="J472" s="8" t="s">
        <v>22</v>
      </c>
      <c r="K472" s="8" t="s">
        <v>1208</v>
      </c>
      <c r="L472" s="4" t="str">
        <f>IF(AtlasReport_1_Table_1[[#This Row],[Reference]]="Purchase order",_xll.AtlasFormulas.AtlasFunctions.AtlasTable("UAT",DataAreaId,"T.VendInvoiceTrans","%RecId","","","","","","","ItemId|PurchID|InventTransId",$C472,$B472,$K472),"")</f>
        <v/>
      </c>
      <c r="M472" s="4" t="str">
        <f>IF(AtlasReport_1_Table_1[[#This Row],[Reference]]="Purchase order",_xll.AtlasFormulas.AtlasFunctions.AtlasTable("UAT",DataAreaId,"T.MarkupTrans","%CurrencyCode","","","","","","","MarkupCode|TransRecId|TransTableId","TPP",$L472,"492"),"")</f>
        <v/>
      </c>
      <c r="N472" s="4" t="str">
        <f>IF(AtlasReport_1_Table_1[[#This Row],[Reference]]="Purchase order",_xll.AtlasFormulas.AtlasFunctions.AtlasBalance("UAT",DataAreaId,"T.MarkupTrans","Sum|Posted|0","","","","","","","MarkupCode|TransTableId|TransRecId","TPP","492",$L472),"")</f>
        <v/>
      </c>
    </row>
    <row r="473" spans="1:14">
      <c r="A473" s="8" t="s">
        <v>1121</v>
      </c>
      <c r="B473" s="8" t="s">
        <v>696</v>
      </c>
      <c r="C473" s="8" t="s">
        <v>500</v>
      </c>
      <c r="D473" s="8" t="s">
        <v>501</v>
      </c>
      <c r="E473" s="8" t="s">
        <v>237</v>
      </c>
      <c r="F473" s="8" t="s">
        <v>238</v>
      </c>
      <c r="G473" s="6">
        <v>43108</v>
      </c>
      <c r="H473" s="6">
        <v>43108</v>
      </c>
      <c r="I473" s="4">
        <v>-5</v>
      </c>
      <c r="J473" s="8" t="s">
        <v>22</v>
      </c>
      <c r="K473" s="8" t="s">
        <v>1209</v>
      </c>
      <c r="L473" s="4" t="str">
        <f>IF(AtlasReport_1_Table_1[[#This Row],[Reference]]="Purchase order",_xll.AtlasFormulas.AtlasFunctions.AtlasTable("UAT",DataAreaId,"T.VendInvoiceTrans","%RecId","","","","","","","ItemId|PurchID|InventTransId",$C473,$B473,$K473),"")</f>
        <v/>
      </c>
      <c r="M473" s="4" t="str">
        <f>IF(AtlasReport_1_Table_1[[#This Row],[Reference]]="Purchase order",_xll.AtlasFormulas.AtlasFunctions.AtlasTable("UAT",DataAreaId,"T.MarkupTrans","%CurrencyCode","","","","","","","MarkupCode|TransRecId|TransTableId","TPP",$L473,"492"),"")</f>
        <v/>
      </c>
      <c r="N473" s="4" t="str">
        <f>IF(AtlasReport_1_Table_1[[#This Row],[Reference]]="Purchase order",_xll.AtlasFormulas.AtlasFunctions.AtlasBalance("UAT",DataAreaId,"T.MarkupTrans","Sum|Posted|0","","","","","","","MarkupCode|TransTableId|TransRecId","TPP","492",$L473),"")</f>
        <v/>
      </c>
    </row>
    <row r="474" spans="1:14">
      <c r="A474" s="8" t="s">
        <v>1121</v>
      </c>
      <c r="B474" s="8" t="s">
        <v>696</v>
      </c>
      <c r="C474" s="8" t="s">
        <v>295</v>
      </c>
      <c r="D474" s="8" t="s">
        <v>485</v>
      </c>
      <c r="E474" s="8" t="s">
        <v>237</v>
      </c>
      <c r="F474" s="8" t="s">
        <v>238</v>
      </c>
      <c r="G474" s="6">
        <v>43108</v>
      </c>
      <c r="H474" s="6">
        <v>43108</v>
      </c>
      <c r="I474" s="4">
        <v>-0.14499999999999999</v>
      </c>
      <c r="J474" s="8" t="s">
        <v>66</v>
      </c>
      <c r="K474" s="8" t="s">
        <v>1210</v>
      </c>
      <c r="L474" s="4" t="str">
        <f>IF(AtlasReport_1_Table_1[[#This Row],[Reference]]="Purchase order",_xll.AtlasFormulas.AtlasFunctions.AtlasTable("UAT",DataAreaId,"T.VendInvoiceTrans","%RecId","","","","","","","ItemId|PurchID|InventTransId",$C474,$B474,$K474),"")</f>
        <v/>
      </c>
      <c r="M474" s="4" t="str">
        <f>IF(AtlasReport_1_Table_1[[#This Row],[Reference]]="Purchase order",_xll.AtlasFormulas.AtlasFunctions.AtlasTable("UAT",DataAreaId,"T.MarkupTrans","%CurrencyCode","","","","","","","MarkupCode|TransRecId|TransTableId","TPP",$L474,"492"),"")</f>
        <v/>
      </c>
      <c r="N474" s="4" t="str">
        <f>IF(AtlasReport_1_Table_1[[#This Row],[Reference]]="Purchase order",_xll.AtlasFormulas.AtlasFunctions.AtlasBalance("UAT",DataAreaId,"T.MarkupTrans","Sum|Posted|0","","","","","","","MarkupCode|TransTableId|TransRecId","TPP","492",$L474),"")</f>
        <v/>
      </c>
    </row>
    <row r="475" spans="1:14">
      <c r="A475" s="8" t="s">
        <v>1121</v>
      </c>
      <c r="B475" s="8" t="s">
        <v>698</v>
      </c>
      <c r="C475" s="8" t="s">
        <v>248</v>
      </c>
      <c r="D475" s="8" t="s">
        <v>327</v>
      </c>
      <c r="E475" s="8" t="s">
        <v>237</v>
      </c>
      <c r="F475" s="8" t="s">
        <v>249</v>
      </c>
      <c r="G475" s="6">
        <v>43108</v>
      </c>
      <c r="H475" s="6">
        <v>43108</v>
      </c>
      <c r="I475" s="4">
        <v>-364.85669999999999</v>
      </c>
      <c r="J475" s="8" t="s">
        <v>66</v>
      </c>
      <c r="K475" s="8" t="s">
        <v>1211</v>
      </c>
      <c r="L475" s="4" t="str">
        <f>IF(AtlasReport_1_Table_1[[#This Row],[Reference]]="Purchase order",_xll.AtlasFormulas.AtlasFunctions.AtlasTable("UAT",DataAreaId,"T.VendInvoiceTrans","%RecId","","","","","","","ItemId|PurchID|InventTransId",$C475,$B475,$K475),"")</f>
        <v/>
      </c>
      <c r="M475" s="4" t="str">
        <f>IF(AtlasReport_1_Table_1[[#This Row],[Reference]]="Purchase order",_xll.AtlasFormulas.AtlasFunctions.AtlasTable("UAT",DataAreaId,"T.MarkupTrans","%CurrencyCode","","","","","","","MarkupCode|TransRecId|TransTableId","TPP",$L475,"492"),"")</f>
        <v/>
      </c>
      <c r="N475" s="4" t="str">
        <f>IF(AtlasReport_1_Table_1[[#This Row],[Reference]]="Purchase order",_xll.AtlasFormulas.AtlasFunctions.AtlasBalance("UAT",DataAreaId,"T.MarkupTrans","Sum|Posted|0","","","","","","","MarkupCode|TransTableId|TransRecId","TPP","492",$L475),"")</f>
        <v/>
      </c>
    </row>
    <row r="476" spans="1:14">
      <c r="A476" s="8" t="s">
        <v>1121</v>
      </c>
      <c r="B476" s="8" t="s">
        <v>698</v>
      </c>
      <c r="C476" s="8" t="s">
        <v>256</v>
      </c>
      <c r="D476" s="8" t="s">
        <v>349</v>
      </c>
      <c r="E476" s="8" t="s">
        <v>237</v>
      </c>
      <c r="F476" s="8" t="s">
        <v>249</v>
      </c>
      <c r="G476" s="6">
        <v>43108</v>
      </c>
      <c r="H476" s="6">
        <v>43108</v>
      </c>
      <c r="I476" s="4">
        <v>-299.88220000000001</v>
      </c>
      <c r="J476" s="8" t="s">
        <v>66</v>
      </c>
      <c r="K476" s="8" t="s">
        <v>1212</v>
      </c>
      <c r="L476" s="4" t="str">
        <f>IF(AtlasReport_1_Table_1[[#This Row],[Reference]]="Purchase order",_xll.AtlasFormulas.AtlasFunctions.AtlasTable("UAT",DataAreaId,"T.VendInvoiceTrans","%RecId","","","","","","","ItemId|PurchID|InventTransId",$C476,$B476,$K476),"")</f>
        <v/>
      </c>
      <c r="M476" s="4" t="str">
        <f>IF(AtlasReport_1_Table_1[[#This Row],[Reference]]="Purchase order",_xll.AtlasFormulas.AtlasFunctions.AtlasTable("UAT",DataAreaId,"T.MarkupTrans","%CurrencyCode","","","","","","","MarkupCode|TransRecId|TransTableId","TPP",$L476,"492"),"")</f>
        <v/>
      </c>
      <c r="N476" s="4" t="str">
        <f>IF(AtlasReport_1_Table_1[[#This Row],[Reference]]="Purchase order",_xll.AtlasFormulas.AtlasFunctions.AtlasBalance("UAT",DataAreaId,"T.MarkupTrans","Sum|Posted|0","","","","","","","MarkupCode|TransTableId|TransRecId","TPP","492",$L476),"")</f>
        <v/>
      </c>
    </row>
    <row r="477" spans="1:14">
      <c r="A477" s="8" t="s">
        <v>1121</v>
      </c>
      <c r="B477" s="8" t="s">
        <v>698</v>
      </c>
      <c r="C477" s="8" t="s">
        <v>257</v>
      </c>
      <c r="D477" s="8" t="s">
        <v>350</v>
      </c>
      <c r="E477" s="8" t="s">
        <v>237</v>
      </c>
      <c r="F477" s="8" t="s">
        <v>249</v>
      </c>
      <c r="G477" s="6">
        <v>43108</v>
      </c>
      <c r="H477" s="6">
        <v>43108</v>
      </c>
      <c r="I477" s="4">
        <v>-349.86260000000004</v>
      </c>
      <c r="J477" s="8" t="s">
        <v>66</v>
      </c>
      <c r="K477" s="8" t="s">
        <v>1213</v>
      </c>
      <c r="L477" s="4" t="str">
        <f>IF(AtlasReport_1_Table_1[[#This Row],[Reference]]="Purchase order",_xll.AtlasFormulas.AtlasFunctions.AtlasTable("UAT",DataAreaId,"T.VendInvoiceTrans","%RecId","","","","","","","ItemId|PurchID|InventTransId",$C477,$B477,$K477),"")</f>
        <v/>
      </c>
      <c r="M477" s="4" t="str">
        <f>IF(AtlasReport_1_Table_1[[#This Row],[Reference]]="Purchase order",_xll.AtlasFormulas.AtlasFunctions.AtlasTable("UAT",DataAreaId,"T.MarkupTrans","%CurrencyCode","","","","","","","MarkupCode|TransRecId|TransTableId","TPP",$L477,"492"),"")</f>
        <v/>
      </c>
      <c r="N477" s="4" t="str">
        <f>IF(AtlasReport_1_Table_1[[#This Row],[Reference]]="Purchase order",_xll.AtlasFormulas.AtlasFunctions.AtlasBalance("UAT",DataAreaId,"T.MarkupTrans","Sum|Posted|0","","","","","","","MarkupCode|TransTableId|TransRecId","TPP","492",$L477),"")</f>
        <v/>
      </c>
    </row>
    <row r="478" spans="1:14">
      <c r="A478" s="8" t="s">
        <v>1121</v>
      </c>
      <c r="B478" s="8" t="s">
        <v>698</v>
      </c>
      <c r="C478" s="8" t="s">
        <v>290</v>
      </c>
      <c r="D478" s="8" t="s">
        <v>472</v>
      </c>
      <c r="E478" s="8" t="s">
        <v>237</v>
      </c>
      <c r="F478" s="8" t="s">
        <v>238</v>
      </c>
      <c r="G478" s="6">
        <v>43108</v>
      </c>
      <c r="H478" s="6">
        <v>43108</v>
      </c>
      <c r="I478" s="4">
        <v>-3.5985999999999998</v>
      </c>
      <c r="J478" s="8" t="s">
        <v>66</v>
      </c>
      <c r="K478" s="8" t="s">
        <v>1214</v>
      </c>
      <c r="L478" s="4" t="str">
        <f>IF(AtlasReport_1_Table_1[[#This Row],[Reference]]="Purchase order",_xll.AtlasFormulas.AtlasFunctions.AtlasTable("UAT",DataAreaId,"T.VendInvoiceTrans","%RecId","","","","","","","ItemId|PurchID|InventTransId",$C478,$B478,$K478),"")</f>
        <v/>
      </c>
      <c r="M478" s="4" t="str">
        <f>IF(AtlasReport_1_Table_1[[#This Row],[Reference]]="Purchase order",_xll.AtlasFormulas.AtlasFunctions.AtlasTable("UAT",DataAreaId,"T.MarkupTrans","%CurrencyCode","","","","","","","MarkupCode|TransRecId|TransTableId","TPP",$L478,"492"),"")</f>
        <v/>
      </c>
      <c r="N478" s="4" t="str">
        <f>IF(AtlasReport_1_Table_1[[#This Row],[Reference]]="Purchase order",_xll.AtlasFormulas.AtlasFunctions.AtlasBalance("UAT",DataAreaId,"T.MarkupTrans","Sum|Posted|0","","","","","","","MarkupCode|TransTableId|TransRecId","TPP","492",$L478),"")</f>
        <v/>
      </c>
    </row>
    <row r="479" spans="1:14">
      <c r="A479" s="8" t="s">
        <v>1121</v>
      </c>
      <c r="B479" s="8" t="s">
        <v>702</v>
      </c>
      <c r="C479" s="8" t="s">
        <v>699</v>
      </c>
      <c r="D479" s="8" t="s">
        <v>700</v>
      </c>
      <c r="E479" s="8" t="s">
        <v>237</v>
      </c>
      <c r="F479" s="8" t="s">
        <v>238</v>
      </c>
      <c r="G479" s="6">
        <v>43108</v>
      </c>
      <c r="H479" s="6">
        <v>43108</v>
      </c>
      <c r="I479" s="4">
        <v>-1000</v>
      </c>
      <c r="J479" s="8" t="s">
        <v>66</v>
      </c>
      <c r="K479" s="8" t="s">
        <v>1215</v>
      </c>
      <c r="L479" s="4" t="str">
        <f>IF(AtlasReport_1_Table_1[[#This Row],[Reference]]="Purchase order",_xll.AtlasFormulas.AtlasFunctions.AtlasTable("UAT",DataAreaId,"T.VendInvoiceTrans","%RecId","","","","","","","ItemId|PurchID|InventTransId",$C479,$B479,$K479),"")</f>
        <v/>
      </c>
      <c r="M479" s="4" t="str">
        <f>IF(AtlasReport_1_Table_1[[#This Row],[Reference]]="Purchase order",_xll.AtlasFormulas.AtlasFunctions.AtlasTable("UAT",DataAreaId,"T.MarkupTrans","%CurrencyCode","","","","","","","MarkupCode|TransRecId|TransTableId","TPP",$L479,"492"),"")</f>
        <v/>
      </c>
      <c r="N479" s="4" t="str">
        <f>IF(AtlasReport_1_Table_1[[#This Row],[Reference]]="Purchase order",_xll.AtlasFormulas.AtlasFunctions.AtlasBalance("UAT",DataAreaId,"T.MarkupTrans","Sum|Posted|0","","","","","","","MarkupCode|TransTableId|TransRecId","TPP","492",$L479),"")</f>
        <v/>
      </c>
    </row>
    <row r="480" spans="1:14">
      <c r="A480" s="8" t="s">
        <v>1121</v>
      </c>
      <c r="B480" s="8" t="s">
        <v>702</v>
      </c>
      <c r="C480" s="8" t="s">
        <v>1065</v>
      </c>
      <c r="D480" s="8" t="s">
        <v>1066</v>
      </c>
      <c r="E480" s="8" t="s">
        <v>237</v>
      </c>
      <c r="F480" s="8" t="s">
        <v>238</v>
      </c>
      <c r="G480" s="6">
        <v>43108</v>
      </c>
      <c r="H480" s="6">
        <v>43108</v>
      </c>
      <c r="I480" s="4">
        <v>-40</v>
      </c>
      <c r="J480" s="8" t="s">
        <v>22</v>
      </c>
      <c r="K480" s="8" t="s">
        <v>1216</v>
      </c>
      <c r="L480" s="4" t="str">
        <f>IF(AtlasReport_1_Table_1[[#This Row],[Reference]]="Purchase order",_xll.AtlasFormulas.AtlasFunctions.AtlasTable("UAT",DataAreaId,"T.VendInvoiceTrans","%RecId","","","","","","","ItemId|PurchID|InventTransId",$C480,$B480,$K480),"")</f>
        <v/>
      </c>
      <c r="M480" s="4" t="str">
        <f>IF(AtlasReport_1_Table_1[[#This Row],[Reference]]="Purchase order",_xll.AtlasFormulas.AtlasFunctions.AtlasTable("UAT",DataAreaId,"T.MarkupTrans","%CurrencyCode","","","","","","","MarkupCode|TransRecId|TransTableId","TPP",$L480,"492"),"")</f>
        <v/>
      </c>
      <c r="N480" s="4" t="str">
        <f>IF(AtlasReport_1_Table_1[[#This Row],[Reference]]="Purchase order",_xll.AtlasFormulas.AtlasFunctions.AtlasBalance("UAT",DataAreaId,"T.MarkupTrans","Sum|Posted|0","","","","","","","MarkupCode|TransTableId|TransRecId","TPP","492",$L480),"")</f>
        <v/>
      </c>
    </row>
    <row r="481" spans="1:14">
      <c r="A481" s="8" t="s">
        <v>1121</v>
      </c>
      <c r="B481" s="8" t="s">
        <v>704</v>
      </c>
      <c r="C481" s="8" t="s">
        <v>250</v>
      </c>
      <c r="D481" s="8" t="s">
        <v>329</v>
      </c>
      <c r="E481" s="8" t="s">
        <v>237</v>
      </c>
      <c r="F481" s="8" t="s">
        <v>249</v>
      </c>
      <c r="G481" s="6">
        <v>43108</v>
      </c>
      <c r="H481" s="6">
        <v>43108</v>
      </c>
      <c r="I481" s="4">
        <v>-1440</v>
      </c>
      <c r="J481" s="8" t="s">
        <v>66</v>
      </c>
      <c r="K481" s="8" t="s">
        <v>1217</v>
      </c>
      <c r="L481" s="4" t="str">
        <f>IF(AtlasReport_1_Table_1[[#This Row],[Reference]]="Purchase order",_xll.AtlasFormulas.AtlasFunctions.AtlasTable("UAT",DataAreaId,"T.VendInvoiceTrans","%RecId","","","","","","","ItemId|PurchID|InventTransId",$C481,$B481,$K481),"")</f>
        <v/>
      </c>
      <c r="M481" s="4" t="str">
        <f>IF(AtlasReport_1_Table_1[[#This Row],[Reference]]="Purchase order",_xll.AtlasFormulas.AtlasFunctions.AtlasTable("UAT",DataAreaId,"T.MarkupTrans","%CurrencyCode","","","","","","","MarkupCode|TransRecId|TransTableId","TPP",$L481,"492"),"")</f>
        <v/>
      </c>
      <c r="N481" s="4" t="str">
        <f>IF(AtlasReport_1_Table_1[[#This Row],[Reference]]="Purchase order",_xll.AtlasFormulas.AtlasFunctions.AtlasBalance("UAT",DataAreaId,"T.MarkupTrans","Sum|Posted|0","","","","","","","MarkupCode|TransTableId|TransRecId","TPP","492",$L481),"")</f>
        <v/>
      </c>
    </row>
    <row r="482" spans="1:14">
      <c r="A482" s="8" t="s">
        <v>1121</v>
      </c>
      <c r="B482" s="8" t="s">
        <v>704</v>
      </c>
      <c r="C482" s="8" t="s">
        <v>256</v>
      </c>
      <c r="D482" s="8" t="s">
        <v>349</v>
      </c>
      <c r="E482" s="8" t="s">
        <v>237</v>
      </c>
      <c r="F482" s="8" t="s">
        <v>249</v>
      </c>
      <c r="G482" s="6">
        <v>43108</v>
      </c>
      <c r="H482" s="6">
        <v>43108</v>
      </c>
      <c r="I482" s="4">
        <v>-600</v>
      </c>
      <c r="J482" s="8" t="s">
        <v>66</v>
      </c>
      <c r="K482" s="8" t="s">
        <v>1218</v>
      </c>
      <c r="L482" s="4" t="str">
        <f>IF(AtlasReport_1_Table_1[[#This Row],[Reference]]="Purchase order",_xll.AtlasFormulas.AtlasFunctions.AtlasTable("UAT",DataAreaId,"T.VendInvoiceTrans","%RecId","","","","","","","ItemId|PurchID|InventTransId",$C482,$B482,$K482),"")</f>
        <v/>
      </c>
      <c r="M482" s="4" t="str">
        <f>IF(AtlasReport_1_Table_1[[#This Row],[Reference]]="Purchase order",_xll.AtlasFormulas.AtlasFunctions.AtlasTable("UAT",DataAreaId,"T.MarkupTrans","%CurrencyCode","","","","","","","MarkupCode|TransRecId|TransTableId","TPP",$L482,"492"),"")</f>
        <v/>
      </c>
      <c r="N482" s="4" t="str">
        <f>IF(AtlasReport_1_Table_1[[#This Row],[Reference]]="Purchase order",_xll.AtlasFormulas.AtlasFunctions.AtlasBalance("UAT",DataAreaId,"T.MarkupTrans","Sum|Posted|0","","","","","","","MarkupCode|TransTableId|TransRecId","TPP","492",$L482),"")</f>
        <v/>
      </c>
    </row>
    <row r="483" spans="1:14">
      <c r="A483" s="8" t="s">
        <v>1121</v>
      </c>
      <c r="B483" s="8" t="s">
        <v>704</v>
      </c>
      <c r="C483" s="8" t="s">
        <v>257</v>
      </c>
      <c r="D483" s="8" t="s">
        <v>350</v>
      </c>
      <c r="E483" s="8" t="s">
        <v>237</v>
      </c>
      <c r="F483" s="8" t="s">
        <v>249</v>
      </c>
      <c r="G483" s="6">
        <v>43108</v>
      </c>
      <c r="H483" s="6">
        <v>43108</v>
      </c>
      <c r="I483" s="4">
        <v>-600</v>
      </c>
      <c r="J483" s="8" t="s">
        <v>66</v>
      </c>
      <c r="K483" s="8" t="s">
        <v>1219</v>
      </c>
      <c r="L483" s="4" t="str">
        <f>IF(AtlasReport_1_Table_1[[#This Row],[Reference]]="Purchase order",_xll.AtlasFormulas.AtlasFunctions.AtlasTable("UAT",DataAreaId,"T.VendInvoiceTrans","%RecId","","","","","","","ItemId|PurchID|InventTransId",$C483,$B483,$K483),"")</f>
        <v/>
      </c>
      <c r="M483" s="4" t="str">
        <f>IF(AtlasReport_1_Table_1[[#This Row],[Reference]]="Purchase order",_xll.AtlasFormulas.AtlasFunctions.AtlasTable("UAT",DataAreaId,"T.MarkupTrans","%CurrencyCode","","","","","","","MarkupCode|TransRecId|TransTableId","TPP",$L483,"492"),"")</f>
        <v/>
      </c>
      <c r="N483" s="4" t="str">
        <f>IF(AtlasReport_1_Table_1[[#This Row],[Reference]]="Purchase order",_xll.AtlasFormulas.AtlasFunctions.AtlasBalance("UAT",DataAreaId,"T.MarkupTrans","Sum|Posted|0","","","","","","","MarkupCode|TransTableId|TransRecId","TPP","492",$L483),"")</f>
        <v/>
      </c>
    </row>
    <row r="484" spans="1:14">
      <c r="A484" s="8" t="s">
        <v>1121</v>
      </c>
      <c r="B484" s="8" t="s">
        <v>704</v>
      </c>
      <c r="C484" s="8" t="s">
        <v>258</v>
      </c>
      <c r="D484" s="8" t="s">
        <v>351</v>
      </c>
      <c r="E484" s="8" t="s">
        <v>237</v>
      </c>
      <c r="F484" s="8" t="s">
        <v>249</v>
      </c>
      <c r="G484" s="6">
        <v>43108</v>
      </c>
      <c r="H484" s="6">
        <v>43108</v>
      </c>
      <c r="I484" s="4">
        <v>-600</v>
      </c>
      <c r="J484" s="8" t="s">
        <v>66</v>
      </c>
      <c r="K484" s="8" t="s">
        <v>1220</v>
      </c>
      <c r="L484" s="4" t="str">
        <f>IF(AtlasReport_1_Table_1[[#This Row],[Reference]]="Purchase order",_xll.AtlasFormulas.AtlasFunctions.AtlasTable("UAT",DataAreaId,"T.VendInvoiceTrans","%RecId","","","","","","","ItemId|PurchID|InventTransId",$C484,$B484,$K484),"")</f>
        <v/>
      </c>
      <c r="M484" s="4" t="str">
        <f>IF(AtlasReport_1_Table_1[[#This Row],[Reference]]="Purchase order",_xll.AtlasFormulas.AtlasFunctions.AtlasTable("UAT",DataAreaId,"T.MarkupTrans","%CurrencyCode","","","","","","","MarkupCode|TransRecId|TransTableId","TPP",$L484,"492"),"")</f>
        <v/>
      </c>
      <c r="N484" s="4" t="str">
        <f>IF(AtlasReport_1_Table_1[[#This Row],[Reference]]="Purchase order",_xll.AtlasFormulas.AtlasFunctions.AtlasBalance("UAT",DataAreaId,"T.MarkupTrans","Sum|Posted|0","","","","","","","MarkupCode|TransTableId|TransRecId","TPP","492",$L484),"")</f>
        <v/>
      </c>
    </row>
    <row r="485" spans="1:14">
      <c r="A485" s="8" t="s">
        <v>1121</v>
      </c>
      <c r="B485" s="8" t="s">
        <v>704</v>
      </c>
      <c r="C485" s="8" t="s">
        <v>259</v>
      </c>
      <c r="D485" s="8" t="s">
        <v>352</v>
      </c>
      <c r="E485" s="8" t="s">
        <v>237</v>
      </c>
      <c r="F485" s="8" t="s">
        <v>249</v>
      </c>
      <c r="G485" s="6">
        <v>43108</v>
      </c>
      <c r="H485" s="6">
        <v>43108</v>
      </c>
      <c r="I485" s="4">
        <v>-800</v>
      </c>
      <c r="J485" s="8" t="s">
        <v>66</v>
      </c>
      <c r="K485" s="8" t="s">
        <v>1221</v>
      </c>
      <c r="L485" s="4" t="str">
        <f>IF(AtlasReport_1_Table_1[[#This Row],[Reference]]="Purchase order",_xll.AtlasFormulas.AtlasFunctions.AtlasTable("UAT",DataAreaId,"T.VendInvoiceTrans","%RecId","","","","","","","ItemId|PurchID|InventTransId",$C485,$B485,$K485),"")</f>
        <v/>
      </c>
      <c r="M485" s="4" t="str">
        <f>IF(AtlasReport_1_Table_1[[#This Row],[Reference]]="Purchase order",_xll.AtlasFormulas.AtlasFunctions.AtlasTable("UAT",DataAreaId,"T.MarkupTrans","%CurrencyCode","","","","","","","MarkupCode|TransRecId|TransTableId","TPP",$L485,"492"),"")</f>
        <v/>
      </c>
      <c r="N485" s="4" t="str">
        <f>IF(AtlasReport_1_Table_1[[#This Row],[Reference]]="Purchase order",_xll.AtlasFormulas.AtlasFunctions.AtlasBalance("UAT",DataAreaId,"T.MarkupTrans","Sum|Posted|0","","","","","","","MarkupCode|TransTableId|TransRecId","TPP","492",$L485),"")</f>
        <v/>
      </c>
    </row>
    <row r="486" spans="1:14">
      <c r="A486" s="8" t="s">
        <v>1121</v>
      </c>
      <c r="B486" s="8" t="s">
        <v>704</v>
      </c>
      <c r="C486" s="8" t="s">
        <v>290</v>
      </c>
      <c r="D486" s="8" t="s">
        <v>472</v>
      </c>
      <c r="E486" s="8" t="s">
        <v>237</v>
      </c>
      <c r="F486" s="8" t="s">
        <v>238</v>
      </c>
      <c r="G486" s="6">
        <v>43108</v>
      </c>
      <c r="H486" s="6">
        <v>43108</v>
      </c>
      <c r="I486" s="4">
        <v>-15.2</v>
      </c>
      <c r="J486" s="8" t="s">
        <v>66</v>
      </c>
      <c r="K486" s="8" t="s">
        <v>1222</v>
      </c>
      <c r="L486" s="4" t="str">
        <f>IF(AtlasReport_1_Table_1[[#This Row],[Reference]]="Purchase order",_xll.AtlasFormulas.AtlasFunctions.AtlasTable("UAT",DataAreaId,"T.VendInvoiceTrans","%RecId","","","","","","","ItemId|PurchID|InventTransId",$C486,$B486,$K486),"")</f>
        <v/>
      </c>
      <c r="M486" s="4" t="str">
        <f>IF(AtlasReport_1_Table_1[[#This Row],[Reference]]="Purchase order",_xll.AtlasFormulas.AtlasFunctions.AtlasTable("UAT",DataAreaId,"T.MarkupTrans","%CurrencyCode","","","","","","","MarkupCode|TransRecId|TransTableId","TPP",$L486,"492"),"")</f>
        <v/>
      </c>
      <c r="N486" s="4" t="str">
        <f>IF(AtlasReport_1_Table_1[[#This Row],[Reference]]="Purchase order",_xll.AtlasFormulas.AtlasFunctions.AtlasBalance("UAT",DataAreaId,"T.MarkupTrans","Sum|Posted|0","","","","","","","MarkupCode|TransTableId|TransRecId","TPP","492",$L486),"")</f>
        <v/>
      </c>
    </row>
    <row r="487" spans="1:14">
      <c r="A487" s="8" t="s">
        <v>1121</v>
      </c>
      <c r="B487" s="8" t="s">
        <v>706</v>
      </c>
      <c r="C487" s="8" t="s">
        <v>369</v>
      </c>
      <c r="D487" s="8" t="s">
        <v>370</v>
      </c>
      <c r="E487" s="8" t="s">
        <v>237</v>
      </c>
      <c r="F487" s="8" t="s">
        <v>238</v>
      </c>
      <c r="G487" s="6">
        <v>43108</v>
      </c>
      <c r="H487" s="6">
        <v>43108</v>
      </c>
      <c r="I487" s="4">
        <v>-4050</v>
      </c>
      <c r="J487" s="8" t="s">
        <v>66</v>
      </c>
      <c r="K487" s="8" t="s">
        <v>1223</v>
      </c>
      <c r="L487" s="4" t="str">
        <f>IF(AtlasReport_1_Table_1[[#This Row],[Reference]]="Purchase order",_xll.AtlasFormulas.AtlasFunctions.AtlasTable("UAT",DataAreaId,"T.VendInvoiceTrans","%RecId","","","","","","","ItemId|PurchID|InventTransId",$C487,$B487,$K487),"")</f>
        <v/>
      </c>
      <c r="M487" s="4" t="str">
        <f>IF(AtlasReport_1_Table_1[[#This Row],[Reference]]="Purchase order",_xll.AtlasFormulas.AtlasFunctions.AtlasTable("UAT",DataAreaId,"T.MarkupTrans","%CurrencyCode","","","","","","","MarkupCode|TransRecId|TransTableId","TPP",$L487,"492"),"")</f>
        <v/>
      </c>
      <c r="N487" s="4" t="str">
        <f>IF(AtlasReport_1_Table_1[[#This Row],[Reference]]="Purchase order",_xll.AtlasFormulas.AtlasFunctions.AtlasBalance("UAT",DataAreaId,"T.MarkupTrans","Sum|Posted|0","","","","","","","MarkupCode|TransTableId|TransRecId","TPP","492",$L487),"")</f>
        <v/>
      </c>
    </row>
    <row r="488" spans="1:14">
      <c r="A488" s="8" t="s">
        <v>1121</v>
      </c>
      <c r="B488" s="8" t="s">
        <v>706</v>
      </c>
      <c r="C488" s="8" t="s">
        <v>856</v>
      </c>
      <c r="D488" s="8" t="s">
        <v>857</v>
      </c>
      <c r="E488" s="8" t="s">
        <v>237</v>
      </c>
      <c r="F488" s="8" t="s">
        <v>238</v>
      </c>
      <c r="G488" s="6">
        <v>43108</v>
      </c>
      <c r="H488" s="6">
        <v>43108</v>
      </c>
      <c r="I488" s="4">
        <v>-162</v>
      </c>
      <c r="J488" s="8" t="s">
        <v>22</v>
      </c>
      <c r="K488" s="8" t="s">
        <v>1224</v>
      </c>
      <c r="L488" s="4" t="str">
        <f>IF(AtlasReport_1_Table_1[[#This Row],[Reference]]="Purchase order",_xll.AtlasFormulas.AtlasFunctions.AtlasTable("UAT",DataAreaId,"T.VendInvoiceTrans","%RecId","","","","","","","ItemId|PurchID|InventTransId",$C488,$B488,$K488),"")</f>
        <v/>
      </c>
      <c r="M488" s="4" t="str">
        <f>IF(AtlasReport_1_Table_1[[#This Row],[Reference]]="Purchase order",_xll.AtlasFormulas.AtlasFunctions.AtlasTable("UAT",DataAreaId,"T.MarkupTrans","%CurrencyCode","","","","","","","MarkupCode|TransRecId|TransTableId","TPP",$L488,"492"),"")</f>
        <v/>
      </c>
      <c r="N488" s="4" t="str">
        <f>IF(AtlasReport_1_Table_1[[#This Row],[Reference]]="Purchase order",_xll.AtlasFormulas.AtlasFunctions.AtlasBalance("UAT",DataAreaId,"T.MarkupTrans","Sum|Posted|0","","","","","","","MarkupCode|TransTableId|TransRecId","TPP","492",$L488),"")</f>
        <v/>
      </c>
    </row>
    <row r="489" spans="1:14">
      <c r="A489" s="8" t="s">
        <v>1121</v>
      </c>
      <c r="B489" s="8" t="s">
        <v>708</v>
      </c>
      <c r="C489" s="8" t="s">
        <v>250</v>
      </c>
      <c r="D489" s="8" t="s">
        <v>329</v>
      </c>
      <c r="E489" s="8" t="s">
        <v>237</v>
      </c>
      <c r="F489" s="8" t="s">
        <v>249</v>
      </c>
      <c r="G489" s="6">
        <v>43108</v>
      </c>
      <c r="H489" s="6">
        <v>43108</v>
      </c>
      <c r="I489" s="4">
        <v>-3560</v>
      </c>
      <c r="J489" s="8" t="s">
        <v>66</v>
      </c>
      <c r="K489" s="8" t="s">
        <v>1225</v>
      </c>
      <c r="L489" s="4" t="str">
        <f>IF(AtlasReport_1_Table_1[[#This Row],[Reference]]="Purchase order",_xll.AtlasFormulas.AtlasFunctions.AtlasTable("UAT",DataAreaId,"T.VendInvoiceTrans","%RecId","","","","","","","ItemId|PurchID|InventTransId",$C489,$B489,$K489),"")</f>
        <v/>
      </c>
      <c r="M489" s="4" t="str">
        <f>IF(AtlasReport_1_Table_1[[#This Row],[Reference]]="Purchase order",_xll.AtlasFormulas.AtlasFunctions.AtlasTable("UAT",DataAreaId,"T.MarkupTrans","%CurrencyCode","","","","","","","MarkupCode|TransRecId|TransTableId","TPP",$L489,"492"),"")</f>
        <v/>
      </c>
      <c r="N489" s="4" t="str">
        <f>IF(AtlasReport_1_Table_1[[#This Row],[Reference]]="Purchase order",_xll.AtlasFormulas.AtlasFunctions.AtlasBalance("UAT",DataAreaId,"T.MarkupTrans","Sum|Posted|0","","","","","","","MarkupCode|TransTableId|TransRecId","TPP","492",$L489),"")</f>
        <v/>
      </c>
    </row>
    <row r="490" spans="1:14">
      <c r="A490" s="8" t="s">
        <v>1121</v>
      </c>
      <c r="B490" s="8" t="s">
        <v>708</v>
      </c>
      <c r="C490" s="8" t="s">
        <v>256</v>
      </c>
      <c r="D490" s="8" t="s">
        <v>349</v>
      </c>
      <c r="E490" s="8" t="s">
        <v>237</v>
      </c>
      <c r="F490" s="8" t="s">
        <v>249</v>
      </c>
      <c r="G490" s="6">
        <v>43108</v>
      </c>
      <c r="H490" s="6">
        <v>43108</v>
      </c>
      <c r="I490" s="4">
        <v>-1485</v>
      </c>
      <c r="J490" s="8" t="s">
        <v>66</v>
      </c>
      <c r="K490" s="8" t="s">
        <v>1226</v>
      </c>
      <c r="L490" s="4" t="str">
        <f>IF(AtlasReport_1_Table_1[[#This Row],[Reference]]="Purchase order",_xll.AtlasFormulas.AtlasFunctions.AtlasTable("UAT",DataAreaId,"T.VendInvoiceTrans","%RecId","","","","","","","ItemId|PurchID|InventTransId",$C490,$B490,$K490),"")</f>
        <v/>
      </c>
      <c r="M490" s="4" t="str">
        <f>IF(AtlasReport_1_Table_1[[#This Row],[Reference]]="Purchase order",_xll.AtlasFormulas.AtlasFunctions.AtlasTable("UAT",DataAreaId,"T.MarkupTrans","%CurrencyCode","","","","","","","MarkupCode|TransRecId|TransTableId","TPP",$L490,"492"),"")</f>
        <v/>
      </c>
      <c r="N490" s="4" t="str">
        <f>IF(AtlasReport_1_Table_1[[#This Row],[Reference]]="Purchase order",_xll.AtlasFormulas.AtlasFunctions.AtlasBalance("UAT",DataAreaId,"T.MarkupTrans","Sum|Posted|0","","","","","","","MarkupCode|TransTableId|TransRecId","TPP","492",$L490),"")</f>
        <v/>
      </c>
    </row>
    <row r="491" spans="1:14">
      <c r="A491" s="8" t="s">
        <v>1121</v>
      </c>
      <c r="B491" s="8" t="s">
        <v>708</v>
      </c>
      <c r="C491" s="8" t="s">
        <v>257</v>
      </c>
      <c r="D491" s="8" t="s">
        <v>350</v>
      </c>
      <c r="E491" s="8" t="s">
        <v>237</v>
      </c>
      <c r="F491" s="8" t="s">
        <v>249</v>
      </c>
      <c r="G491" s="6">
        <v>43108</v>
      </c>
      <c r="H491" s="6">
        <v>43108</v>
      </c>
      <c r="I491" s="4">
        <v>-1485</v>
      </c>
      <c r="J491" s="8" t="s">
        <v>66</v>
      </c>
      <c r="K491" s="8" t="s">
        <v>1227</v>
      </c>
      <c r="L491" s="4" t="str">
        <f>IF(AtlasReport_1_Table_1[[#This Row],[Reference]]="Purchase order",_xll.AtlasFormulas.AtlasFunctions.AtlasTable("UAT",DataAreaId,"T.VendInvoiceTrans","%RecId","","","","","","","ItemId|PurchID|InventTransId",$C491,$B491,$K491),"")</f>
        <v/>
      </c>
      <c r="M491" s="4" t="str">
        <f>IF(AtlasReport_1_Table_1[[#This Row],[Reference]]="Purchase order",_xll.AtlasFormulas.AtlasFunctions.AtlasTable("UAT",DataAreaId,"T.MarkupTrans","%CurrencyCode","","","","","","","MarkupCode|TransRecId|TransTableId","TPP",$L491,"492"),"")</f>
        <v/>
      </c>
      <c r="N491" s="4" t="str">
        <f>IF(AtlasReport_1_Table_1[[#This Row],[Reference]]="Purchase order",_xll.AtlasFormulas.AtlasFunctions.AtlasBalance("UAT",DataAreaId,"T.MarkupTrans","Sum|Posted|0","","","","","","","MarkupCode|TransTableId|TransRecId","TPP","492",$L491),"")</f>
        <v/>
      </c>
    </row>
    <row r="492" spans="1:14">
      <c r="A492" s="8" t="s">
        <v>1121</v>
      </c>
      <c r="B492" s="8" t="s">
        <v>708</v>
      </c>
      <c r="C492" s="8" t="s">
        <v>258</v>
      </c>
      <c r="D492" s="8" t="s">
        <v>351</v>
      </c>
      <c r="E492" s="8" t="s">
        <v>237</v>
      </c>
      <c r="F492" s="8" t="s">
        <v>249</v>
      </c>
      <c r="G492" s="6">
        <v>43108</v>
      </c>
      <c r="H492" s="6">
        <v>43108</v>
      </c>
      <c r="I492" s="4">
        <v>-1485</v>
      </c>
      <c r="J492" s="8" t="s">
        <v>66</v>
      </c>
      <c r="K492" s="8" t="s">
        <v>1228</v>
      </c>
      <c r="L492" s="4" t="str">
        <f>IF(AtlasReport_1_Table_1[[#This Row],[Reference]]="Purchase order",_xll.AtlasFormulas.AtlasFunctions.AtlasTable("UAT",DataAreaId,"T.VendInvoiceTrans","%RecId","","","","","","","ItemId|PurchID|InventTransId",$C492,$B492,$K492),"")</f>
        <v/>
      </c>
      <c r="M492" s="4" t="str">
        <f>IF(AtlasReport_1_Table_1[[#This Row],[Reference]]="Purchase order",_xll.AtlasFormulas.AtlasFunctions.AtlasTable("UAT",DataAreaId,"T.MarkupTrans","%CurrencyCode","","","","","","","MarkupCode|TransRecId|TransTableId","TPP",$L492,"492"),"")</f>
        <v/>
      </c>
      <c r="N492" s="4" t="str">
        <f>IF(AtlasReport_1_Table_1[[#This Row],[Reference]]="Purchase order",_xll.AtlasFormulas.AtlasFunctions.AtlasBalance("UAT",DataAreaId,"T.MarkupTrans","Sum|Posted|0","","","","","","","MarkupCode|TransTableId|TransRecId","TPP","492",$L492),"")</f>
        <v/>
      </c>
    </row>
    <row r="493" spans="1:14">
      <c r="A493" s="8" t="s">
        <v>1121</v>
      </c>
      <c r="B493" s="8" t="s">
        <v>708</v>
      </c>
      <c r="C493" s="8" t="s">
        <v>259</v>
      </c>
      <c r="D493" s="8" t="s">
        <v>352</v>
      </c>
      <c r="E493" s="8" t="s">
        <v>237</v>
      </c>
      <c r="F493" s="8" t="s">
        <v>249</v>
      </c>
      <c r="G493" s="6">
        <v>43108</v>
      </c>
      <c r="H493" s="6">
        <v>43108</v>
      </c>
      <c r="I493" s="4">
        <v>-1980</v>
      </c>
      <c r="J493" s="8" t="s">
        <v>66</v>
      </c>
      <c r="K493" s="8" t="s">
        <v>1229</v>
      </c>
      <c r="L493" s="4" t="str">
        <f>IF(AtlasReport_1_Table_1[[#This Row],[Reference]]="Purchase order",_xll.AtlasFormulas.AtlasFunctions.AtlasTable("UAT",DataAreaId,"T.VendInvoiceTrans","%RecId","","","","","","","ItemId|PurchID|InventTransId",$C493,$B493,$K493),"")</f>
        <v/>
      </c>
      <c r="M493" s="4" t="str">
        <f>IF(AtlasReport_1_Table_1[[#This Row],[Reference]]="Purchase order",_xll.AtlasFormulas.AtlasFunctions.AtlasTable("UAT",DataAreaId,"T.MarkupTrans","%CurrencyCode","","","","","","","MarkupCode|TransRecId|TransTableId","TPP",$L493,"492"),"")</f>
        <v/>
      </c>
      <c r="N493" s="4" t="str">
        <f>IF(AtlasReport_1_Table_1[[#This Row],[Reference]]="Purchase order",_xll.AtlasFormulas.AtlasFunctions.AtlasBalance("UAT",DataAreaId,"T.MarkupTrans","Sum|Posted|0","","","","","","","MarkupCode|TransTableId|TransRecId","TPP","492",$L493),"")</f>
        <v/>
      </c>
    </row>
    <row r="494" spans="1:14">
      <c r="A494" s="8" t="s">
        <v>1121</v>
      </c>
      <c r="B494" s="8" t="s">
        <v>708</v>
      </c>
      <c r="C494" s="8" t="s">
        <v>290</v>
      </c>
      <c r="D494" s="8" t="s">
        <v>472</v>
      </c>
      <c r="E494" s="8" t="s">
        <v>237</v>
      </c>
      <c r="F494" s="8" t="s">
        <v>238</v>
      </c>
      <c r="G494" s="6">
        <v>43108</v>
      </c>
      <c r="H494" s="6">
        <v>43108</v>
      </c>
      <c r="I494" s="4">
        <v>-37.6</v>
      </c>
      <c r="J494" s="8" t="s">
        <v>66</v>
      </c>
      <c r="K494" s="8" t="s">
        <v>1230</v>
      </c>
      <c r="L494" s="4" t="str">
        <f>IF(AtlasReport_1_Table_1[[#This Row],[Reference]]="Purchase order",_xll.AtlasFormulas.AtlasFunctions.AtlasTable("UAT",DataAreaId,"T.VendInvoiceTrans","%RecId","","","","","","","ItemId|PurchID|InventTransId",$C494,$B494,$K494),"")</f>
        <v/>
      </c>
      <c r="M494" s="4" t="str">
        <f>IF(AtlasReport_1_Table_1[[#This Row],[Reference]]="Purchase order",_xll.AtlasFormulas.AtlasFunctions.AtlasTable("UAT",DataAreaId,"T.MarkupTrans","%CurrencyCode","","","","","","","MarkupCode|TransRecId|TransTableId","TPP",$L494,"492"),"")</f>
        <v/>
      </c>
      <c r="N494" s="4" t="str">
        <f>IF(AtlasReport_1_Table_1[[#This Row],[Reference]]="Purchase order",_xll.AtlasFormulas.AtlasFunctions.AtlasBalance("UAT",DataAreaId,"T.MarkupTrans","Sum|Posted|0","","","","","","","MarkupCode|TransTableId|TransRecId","TPP","492",$L494),"")</f>
        <v/>
      </c>
    </row>
    <row r="495" spans="1:14">
      <c r="A495" s="8" t="s">
        <v>1121</v>
      </c>
      <c r="B495" s="8" t="s">
        <v>710</v>
      </c>
      <c r="C495" s="8" t="s">
        <v>369</v>
      </c>
      <c r="D495" s="8" t="s">
        <v>370</v>
      </c>
      <c r="E495" s="8" t="s">
        <v>237</v>
      </c>
      <c r="F495" s="8" t="s">
        <v>238</v>
      </c>
      <c r="G495" s="6">
        <v>43108</v>
      </c>
      <c r="H495" s="6">
        <v>43108</v>
      </c>
      <c r="I495" s="4">
        <v>-10125</v>
      </c>
      <c r="J495" s="8" t="s">
        <v>66</v>
      </c>
      <c r="K495" s="8" t="s">
        <v>1231</v>
      </c>
      <c r="L495" s="4" t="str">
        <f>IF(AtlasReport_1_Table_1[[#This Row],[Reference]]="Purchase order",_xll.AtlasFormulas.AtlasFunctions.AtlasTable("UAT",DataAreaId,"T.VendInvoiceTrans","%RecId","","","","","","","ItemId|PurchID|InventTransId",$C495,$B495,$K495),"")</f>
        <v/>
      </c>
      <c r="M495" s="4" t="str">
        <f>IF(AtlasReport_1_Table_1[[#This Row],[Reference]]="Purchase order",_xll.AtlasFormulas.AtlasFunctions.AtlasTable("UAT",DataAreaId,"T.MarkupTrans","%CurrencyCode","","","","","","","MarkupCode|TransRecId|TransTableId","TPP",$L495,"492"),"")</f>
        <v/>
      </c>
      <c r="N495" s="4" t="str">
        <f>IF(AtlasReport_1_Table_1[[#This Row],[Reference]]="Purchase order",_xll.AtlasFormulas.AtlasFunctions.AtlasBalance("UAT",DataAreaId,"T.MarkupTrans","Sum|Posted|0","","","","","","","MarkupCode|TransTableId|TransRecId","TPP","492",$L495),"")</f>
        <v/>
      </c>
    </row>
    <row r="496" spans="1:14">
      <c r="A496" s="8" t="s">
        <v>1121</v>
      </c>
      <c r="B496" s="8" t="s">
        <v>710</v>
      </c>
      <c r="C496" s="8" t="s">
        <v>856</v>
      </c>
      <c r="D496" s="8" t="s">
        <v>857</v>
      </c>
      <c r="E496" s="8" t="s">
        <v>237</v>
      </c>
      <c r="F496" s="8" t="s">
        <v>238</v>
      </c>
      <c r="G496" s="6">
        <v>43108</v>
      </c>
      <c r="H496" s="6">
        <v>43108</v>
      </c>
      <c r="I496" s="4">
        <v>-405</v>
      </c>
      <c r="J496" s="8" t="s">
        <v>22</v>
      </c>
      <c r="K496" s="8" t="s">
        <v>1232</v>
      </c>
      <c r="L496" s="4" t="str">
        <f>IF(AtlasReport_1_Table_1[[#This Row],[Reference]]="Purchase order",_xll.AtlasFormulas.AtlasFunctions.AtlasTable("UAT",DataAreaId,"T.VendInvoiceTrans","%RecId","","","","","","","ItemId|PurchID|InventTransId",$C496,$B496,$K496),"")</f>
        <v/>
      </c>
      <c r="M496" s="4" t="str">
        <f>IF(AtlasReport_1_Table_1[[#This Row],[Reference]]="Purchase order",_xll.AtlasFormulas.AtlasFunctions.AtlasTable("UAT",DataAreaId,"T.MarkupTrans","%CurrencyCode","","","","","","","MarkupCode|TransRecId|TransTableId","TPP",$L496,"492"),"")</f>
        <v/>
      </c>
      <c r="N496" s="4" t="str">
        <f>IF(AtlasReport_1_Table_1[[#This Row],[Reference]]="Purchase order",_xll.AtlasFormulas.AtlasFunctions.AtlasBalance("UAT",DataAreaId,"T.MarkupTrans","Sum|Posted|0","","","","","","","MarkupCode|TransTableId|TransRecId","TPP","492",$L496),"")</f>
        <v/>
      </c>
    </row>
    <row r="497" spans="1:14">
      <c r="A497" s="8" t="s">
        <v>1121</v>
      </c>
      <c r="B497" s="8" t="s">
        <v>712</v>
      </c>
      <c r="C497" s="8" t="s">
        <v>250</v>
      </c>
      <c r="D497" s="8" t="s">
        <v>329</v>
      </c>
      <c r="E497" s="8" t="s">
        <v>237</v>
      </c>
      <c r="F497" s="8" t="s">
        <v>249</v>
      </c>
      <c r="G497" s="6">
        <v>43108</v>
      </c>
      <c r="H497" s="6">
        <v>43108</v>
      </c>
      <c r="I497" s="4">
        <v>-45</v>
      </c>
      <c r="J497" s="8" t="s">
        <v>66</v>
      </c>
      <c r="K497" s="8" t="s">
        <v>1233</v>
      </c>
      <c r="L497" s="4" t="str">
        <f>IF(AtlasReport_1_Table_1[[#This Row],[Reference]]="Purchase order",_xll.AtlasFormulas.AtlasFunctions.AtlasTable("UAT",DataAreaId,"T.VendInvoiceTrans","%RecId","","","","","","","ItemId|PurchID|InventTransId",$C497,$B497,$K497),"")</f>
        <v/>
      </c>
      <c r="M497" s="4" t="str">
        <f>IF(AtlasReport_1_Table_1[[#This Row],[Reference]]="Purchase order",_xll.AtlasFormulas.AtlasFunctions.AtlasTable("UAT",DataAreaId,"T.MarkupTrans","%CurrencyCode","","","","","","","MarkupCode|TransRecId|TransTableId","TPP",$L497,"492"),"")</f>
        <v/>
      </c>
      <c r="N497" s="4" t="str">
        <f>IF(AtlasReport_1_Table_1[[#This Row],[Reference]]="Purchase order",_xll.AtlasFormulas.AtlasFunctions.AtlasBalance("UAT",DataAreaId,"T.MarkupTrans","Sum|Posted|0","","","","","","","MarkupCode|TransTableId|TransRecId","TPP","492",$L497),"")</f>
        <v/>
      </c>
    </row>
    <row r="498" spans="1:14">
      <c r="A498" s="8" t="s">
        <v>1121</v>
      </c>
      <c r="B498" s="8" t="s">
        <v>712</v>
      </c>
      <c r="C498" s="8" t="s">
        <v>256</v>
      </c>
      <c r="D498" s="8" t="s">
        <v>349</v>
      </c>
      <c r="E498" s="8" t="s">
        <v>237</v>
      </c>
      <c r="F498" s="8" t="s">
        <v>249</v>
      </c>
      <c r="G498" s="6">
        <v>43108</v>
      </c>
      <c r="H498" s="6">
        <v>43108</v>
      </c>
      <c r="I498" s="4">
        <v>-20</v>
      </c>
      <c r="J498" s="8" t="s">
        <v>66</v>
      </c>
      <c r="K498" s="8" t="s">
        <v>1234</v>
      </c>
      <c r="L498" s="4" t="str">
        <f>IF(AtlasReport_1_Table_1[[#This Row],[Reference]]="Purchase order",_xll.AtlasFormulas.AtlasFunctions.AtlasTable("UAT",DataAreaId,"T.VendInvoiceTrans","%RecId","","","","","","","ItemId|PurchID|InventTransId",$C498,$B498,$K498),"")</f>
        <v/>
      </c>
      <c r="M498" s="4" t="str">
        <f>IF(AtlasReport_1_Table_1[[#This Row],[Reference]]="Purchase order",_xll.AtlasFormulas.AtlasFunctions.AtlasTable("UAT",DataAreaId,"T.MarkupTrans","%CurrencyCode","","","","","","","MarkupCode|TransRecId|TransTableId","TPP",$L498,"492"),"")</f>
        <v/>
      </c>
      <c r="N498" s="4" t="str">
        <f>IF(AtlasReport_1_Table_1[[#This Row],[Reference]]="Purchase order",_xll.AtlasFormulas.AtlasFunctions.AtlasBalance("UAT",DataAreaId,"T.MarkupTrans","Sum|Posted|0","","","","","","","MarkupCode|TransTableId|TransRecId","TPP","492",$L498),"")</f>
        <v/>
      </c>
    </row>
    <row r="499" spans="1:14">
      <c r="A499" s="8" t="s">
        <v>1121</v>
      </c>
      <c r="B499" s="8" t="s">
        <v>712</v>
      </c>
      <c r="C499" s="8" t="s">
        <v>257</v>
      </c>
      <c r="D499" s="8" t="s">
        <v>350</v>
      </c>
      <c r="E499" s="8" t="s">
        <v>237</v>
      </c>
      <c r="F499" s="8" t="s">
        <v>249</v>
      </c>
      <c r="G499" s="6">
        <v>43108</v>
      </c>
      <c r="H499" s="6">
        <v>43108</v>
      </c>
      <c r="I499" s="4">
        <v>-20</v>
      </c>
      <c r="J499" s="8" t="s">
        <v>66</v>
      </c>
      <c r="K499" s="8" t="s">
        <v>1235</v>
      </c>
      <c r="L499" s="4" t="str">
        <f>IF(AtlasReport_1_Table_1[[#This Row],[Reference]]="Purchase order",_xll.AtlasFormulas.AtlasFunctions.AtlasTable("UAT",DataAreaId,"T.VendInvoiceTrans","%RecId","","","","","","","ItemId|PurchID|InventTransId",$C499,$B499,$K499),"")</f>
        <v/>
      </c>
      <c r="M499" s="4" t="str">
        <f>IF(AtlasReport_1_Table_1[[#This Row],[Reference]]="Purchase order",_xll.AtlasFormulas.AtlasFunctions.AtlasTable("UAT",DataAreaId,"T.MarkupTrans","%CurrencyCode","","","","","","","MarkupCode|TransRecId|TransTableId","TPP",$L499,"492"),"")</f>
        <v/>
      </c>
      <c r="N499" s="4" t="str">
        <f>IF(AtlasReport_1_Table_1[[#This Row],[Reference]]="Purchase order",_xll.AtlasFormulas.AtlasFunctions.AtlasBalance("UAT",DataAreaId,"T.MarkupTrans","Sum|Posted|0","","","","","","","MarkupCode|TransTableId|TransRecId","TPP","492",$L499),"")</f>
        <v/>
      </c>
    </row>
    <row r="500" spans="1:14">
      <c r="A500" s="8" t="s">
        <v>1121</v>
      </c>
      <c r="B500" s="8" t="s">
        <v>712</v>
      </c>
      <c r="C500" s="8" t="s">
        <v>258</v>
      </c>
      <c r="D500" s="8" t="s">
        <v>351</v>
      </c>
      <c r="E500" s="8" t="s">
        <v>237</v>
      </c>
      <c r="F500" s="8" t="s">
        <v>249</v>
      </c>
      <c r="G500" s="6">
        <v>43108</v>
      </c>
      <c r="H500" s="6">
        <v>43108</v>
      </c>
      <c r="I500" s="4">
        <v>-20</v>
      </c>
      <c r="J500" s="8" t="s">
        <v>66</v>
      </c>
      <c r="K500" s="8" t="s">
        <v>1236</v>
      </c>
      <c r="L500" s="4" t="str">
        <f>IF(AtlasReport_1_Table_1[[#This Row],[Reference]]="Purchase order",_xll.AtlasFormulas.AtlasFunctions.AtlasTable("UAT",DataAreaId,"T.VendInvoiceTrans","%RecId","","","","","","","ItemId|PurchID|InventTransId",$C500,$B500,$K500),"")</f>
        <v/>
      </c>
      <c r="M500" s="4" t="str">
        <f>IF(AtlasReport_1_Table_1[[#This Row],[Reference]]="Purchase order",_xll.AtlasFormulas.AtlasFunctions.AtlasTable("UAT",DataAreaId,"T.MarkupTrans","%CurrencyCode","","","","","","","MarkupCode|TransRecId|TransTableId","TPP",$L500,"492"),"")</f>
        <v/>
      </c>
      <c r="N500" s="4" t="str">
        <f>IF(AtlasReport_1_Table_1[[#This Row],[Reference]]="Purchase order",_xll.AtlasFormulas.AtlasFunctions.AtlasBalance("UAT",DataAreaId,"T.MarkupTrans","Sum|Posted|0","","","","","","","MarkupCode|TransTableId|TransRecId","TPP","492",$L500),"")</f>
        <v/>
      </c>
    </row>
    <row r="501" spans="1:14">
      <c r="A501" s="8" t="s">
        <v>1121</v>
      </c>
      <c r="B501" s="8" t="s">
        <v>712</v>
      </c>
      <c r="C501" s="8" t="s">
        <v>259</v>
      </c>
      <c r="D501" s="8" t="s">
        <v>352</v>
      </c>
      <c r="E501" s="8" t="s">
        <v>237</v>
      </c>
      <c r="F501" s="8" t="s">
        <v>249</v>
      </c>
      <c r="G501" s="6">
        <v>43108</v>
      </c>
      <c r="H501" s="6">
        <v>43108</v>
      </c>
      <c r="I501" s="4">
        <v>-25</v>
      </c>
      <c r="J501" s="8" t="s">
        <v>66</v>
      </c>
      <c r="K501" s="8" t="s">
        <v>1237</v>
      </c>
      <c r="L501" s="4" t="str">
        <f>IF(AtlasReport_1_Table_1[[#This Row],[Reference]]="Purchase order",_xll.AtlasFormulas.AtlasFunctions.AtlasTable("UAT",DataAreaId,"T.VendInvoiceTrans","%RecId","","","","","","","ItemId|PurchID|InventTransId",$C501,$B501,$K501),"")</f>
        <v/>
      </c>
      <c r="M501" s="4" t="str">
        <f>IF(AtlasReport_1_Table_1[[#This Row],[Reference]]="Purchase order",_xll.AtlasFormulas.AtlasFunctions.AtlasTable("UAT",DataAreaId,"T.MarkupTrans","%CurrencyCode","","","","","","","MarkupCode|TransRecId|TransTableId","TPP",$L501,"492"),"")</f>
        <v/>
      </c>
      <c r="N501" s="4" t="str">
        <f>IF(AtlasReport_1_Table_1[[#This Row],[Reference]]="Purchase order",_xll.AtlasFormulas.AtlasFunctions.AtlasBalance("UAT",DataAreaId,"T.MarkupTrans","Sum|Posted|0","","","","","","","MarkupCode|TransTableId|TransRecId","TPP","492",$L501),"")</f>
        <v/>
      </c>
    </row>
    <row r="502" spans="1:14">
      <c r="A502" s="8" t="s">
        <v>1121</v>
      </c>
      <c r="B502" s="8" t="s">
        <v>712</v>
      </c>
      <c r="C502" s="8" t="s">
        <v>290</v>
      </c>
      <c r="D502" s="8" t="s">
        <v>472</v>
      </c>
      <c r="E502" s="8" t="s">
        <v>237</v>
      </c>
      <c r="F502" s="8" t="s">
        <v>238</v>
      </c>
      <c r="G502" s="6">
        <v>43108</v>
      </c>
      <c r="H502" s="6">
        <v>43108</v>
      </c>
      <c r="I502" s="4">
        <v>-0.5</v>
      </c>
      <c r="J502" s="8" t="s">
        <v>66</v>
      </c>
      <c r="K502" s="8" t="s">
        <v>1238</v>
      </c>
      <c r="L502" s="4" t="str">
        <f>IF(AtlasReport_1_Table_1[[#This Row],[Reference]]="Purchase order",_xll.AtlasFormulas.AtlasFunctions.AtlasTable("UAT",DataAreaId,"T.VendInvoiceTrans","%RecId","","","","","","","ItemId|PurchID|InventTransId",$C502,$B502,$K502),"")</f>
        <v/>
      </c>
      <c r="M502" s="4" t="str">
        <f>IF(AtlasReport_1_Table_1[[#This Row],[Reference]]="Purchase order",_xll.AtlasFormulas.AtlasFunctions.AtlasTable("UAT",DataAreaId,"T.MarkupTrans","%CurrencyCode","","","","","","","MarkupCode|TransRecId|TransTableId","TPP",$L502,"492"),"")</f>
        <v/>
      </c>
      <c r="N502" s="4" t="str">
        <f>IF(AtlasReport_1_Table_1[[#This Row],[Reference]]="Purchase order",_xll.AtlasFormulas.AtlasFunctions.AtlasBalance("UAT",DataAreaId,"T.MarkupTrans","Sum|Posted|0","","","","","","","MarkupCode|TransTableId|TransRecId","TPP","492",$L502),"")</f>
        <v/>
      </c>
    </row>
    <row r="503" spans="1:14">
      <c r="A503" s="8" t="s">
        <v>1121</v>
      </c>
      <c r="B503" s="8" t="s">
        <v>714</v>
      </c>
      <c r="C503" s="8" t="s">
        <v>250</v>
      </c>
      <c r="D503" s="8" t="s">
        <v>329</v>
      </c>
      <c r="E503" s="8" t="s">
        <v>237</v>
      </c>
      <c r="F503" s="8" t="s">
        <v>249</v>
      </c>
      <c r="G503" s="6">
        <v>43108</v>
      </c>
      <c r="H503" s="6">
        <v>43108</v>
      </c>
      <c r="I503" s="4">
        <v>-720</v>
      </c>
      <c r="J503" s="8" t="s">
        <v>66</v>
      </c>
      <c r="K503" s="8" t="s">
        <v>1239</v>
      </c>
      <c r="L503" s="4" t="str">
        <f>IF(AtlasReport_1_Table_1[[#This Row],[Reference]]="Purchase order",_xll.AtlasFormulas.AtlasFunctions.AtlasTable("UAT",DataAreaId,"T.VendInvoiceTrans","%RecId","","","","","","","ItemId|PurchID|InventTransId",$C503,$B503,$K503),"")</f>
        <v/>
      </c>
      <c r="M503" s="4" t="str">
        <f>IF(AtlasReport_1_Table_1[[#This Row],[Reference]]="Purchase order",_xll.AtlasFormulas.AtlasFunctions.AtlasTable("UAT",DataAreaId,"T.MarkupTrans","%CurrencyCode","","","","","","","MarkupCode|TransRecId|TransTableId","TPP",$L503,"492"),"")</f>
        <v/>
      </c>
      <c r="N503" s="4" t="str">
        <f>IF(AtlasReport_1_Table_1[[#This Row],[Reference]]="Purchase order",_xll.AtlasFormulas.AtlasFunctions.AtlasBalance("UAT",DataAreaId,"T.MarkupTrans","Sum|Posted|0","","","","","","","MarkupCode|TransTableId|TransRecId","TPP","492",$L503),"")</f>
        <v/>
      </c>
    </row>
    <row r="504" spans="1:14">
      <c r="A504" s="8" t="s">
        <v>1121</v>
      </c>
      <c r="B504" s="8" t="s">
        <v>714</v>
      </c>
      <c r="C504" s="8" t="s">
        <v>256</v>
      </c>
      <c r="D504" s="8" t="s">
        <v>349</v>
      </c>
      <c r="E504" s="8" t="s">
        <v>237</v>
      </c>
      <c r="F504" s="8" t="s">
        <v>249</v>
      </c>
      <c r="G504" s="6">
        <v>43108</v>
      </c>
      <c r="H504" s="6">
        <v>43108</v>
      </c>
      <c r="I504" s="4">
        <v>-300</v>
      </c>
      <c r="J504" s="8" t="s">
        <v>66</v>
      </c>
      <c r="K504" s="8" t="s">
        <v>1240</v>
      </c>
      <c r="L504" s="4" t="str">
        <f>IF(AtlasReport_1_Table_1[[#This Row],[Reference]]="Purchase order",_xll.AtlasFormulas.AtlasFunctions.AtlasTable("UAT",DataAreaId,"T.VendInvoiceTrans","%RecId","","","","","","","ItemId|PurchID|InventTransId",$C504,$B504,$K504),"")</f>
        <v/>
      </c>
      <c r="M504" s="4" t="str">
        <f>IF(AtlasReport_1_Table_1[[#This Row],[Reference]]="Purchase order",_xll.AtlasFormulas.AtlasFunctions.AtlasTable("UAT",DataAreaId,"T.MarkupTrans","%CurrencyCode","","","","","","","MarkupCode|TransRecId|TransTableId","TPP",$L504,"492"),"")</f>
        <v/>
      </c>
      <c r="N504" s="4" t="str">
        <f>IF(AtlasReport_1_Table_1[[#This Row],[Reference]]="Purchase order",_xll.AtlasFormulas.AtlasFunctions.AtlasBalance("UAT",DataAreaId,"T.MarkupTrans","Sum|Posted|0","","","","","","","MarkupCode|TransTableId|TransRecId","TPP","492",$L504),"")</f>
        <v/>
      </c>
    </row>
    <row r="505" spans="1:14">
      <c r="A505" s="8" t="s">
        <v>1121</v>
      </c>
      <c r="B505" s="8" t="s">
        <v>714</v>
      </c>
      <c r="C505" s="8" t="s">
        <v>257</v>
      </c>
      <c r="D505" s="8" t="s">
        <v>350</v>
      </c>
      <c r="E505" s="8" t="s">
        <v>237</v>
      </c>
      <c r="F505" s="8" t="s">
        <v>249</v>
      </c>
      <c r="G505" s="6">
        <v>43108</v>
      </c>
      <c r="H505" s="6">
        <v>43108</v>
      </c>
      <c r="I505" s="4">
        <v>-300</v>
      </c>
      <c r="J505" s="8" t="s">
        <v>66</v>
      </c>
      <c r="K505" s="8" t="s">
        <v>1241</v>
      </c>
      <c r="L505" s="4" t="str">
        <f>IF(AtlasReport_1_Table_1[[#This Row],[Reference]]="Purchase order",_xll.AtlasFormulas.AtlasFunctions.AtlasTable("UAT",DataAreaId,"T.VendInvoiceTrans","%RecId","","","","","","","ItemId|PurchID|InventTransId",$C505,$B505,$K505),"")</f>
        <v/>
      </c>
      <c r="M505" s="4" t="str">
        <f>IF(AtlasReport_1_Table_1[[#This Row],[Reference]]="Purchase order",_xll.AtlasFormulas.AtlasFunctions.AtlasTable("UAT",DataAreaId,"T.MarkupTrans","%CurrencyCode","","","","","","","MarkupCode|TransRecId|TransTableId","TPP",$L505,"492"),"")</f>
        <v/>
      </c>
      <c r="N505" s="4" t="str">
        <f>IF(AtlasReport_1_Table_1[[#This Row],[Reference]]="Purchase order",_xll.AtlasFormulas.AtlasFunctions.AtlasBalance("UAT",DataAreaId,"T.MarkupTrans","Sum|Posted|0","","","","","","","MarkupCode|TransTableId|TransRecId","TPP","492",$L505),"")</f>
        <v/>
      </c>
    </row>
    <row r="506" spans="1:14">
      <c r="A506" s="8" t="s">
        <v>1121</v>
      </c>
      <c r="B506" s="8" t="s">
        <v>714</v>
      </c>
      <c r="C506" s="8" t="s">
        <v>258</v>
      </c>
      <c r="D506" s="8" t="s">
        <v>351</v>
      </c>
      <c r="E506" s="8" t="s">
        <v>237</v>
      </c>
      <c r="F506" s="8" t="s">
        <v>249</v>
      </c>
      <c r="G506" s="6">
        <v>43108</v>
      </c>
      <c r="H506" s="6">
        <v>43108</v>
      </c>
      <c r="I506" s="4">
        <v>-300</v>
      </c>
      <c r="J506" s="8" t="s">
        <v>66</v>
      </c>
      <c r="K506" s="8" t="s">
        <v>1242</v>
      </c>
      <c r="L506" s="4" t="str">
        <f>IF(AtlasReport_1_Table_1[[#This Row],[Reference]]="Purchase order",_xll.AtlasFormulas.AtlasFunctions.AtlasTable("UAT",DataAreaId,"T.VendInvoiceTrans","%RecId","","","","","","","ItemId|PurchID|InventTransId",$C506,$B506,$K506),"")</f>
        <v/>
      </c>
      <c r="M506" s="4" t="str">
        <f>IF(AtlasReport_1_Table_1[[#This Row],[Reference]]="Purchase order",_xll.AtlasFormulas.AtlasFunctions.AtlasTable("UAT",DataAreaId,"T.MarkupTrans","%CurrencyCode","","","","","","","MarkupCode|TransRecId|TransTableId","TPP",$L506,"492"),"")</f>
        <v/>
      </c>
      <c r="N506" s="4" t="str">
        <f>IF(AtlasReport_1_Table_1[[#This Row],[Reference]]="Purchase order",_xll.AtlasFormulas.AtlasFunctions.AtlasBalance("UAT",DataAreaId,"T.MarkupTrans","Sum|Posted|0","","","","","","","MarkupCode|TransTableId|TransRecId","TPP","492",$L506),"")</f>
        <v/>
      </c>
    </row>
    <row r="507" spans="1:14">
      <c r="A507" s="8" t="s">
        <v>1121</v>
      </c>
      <c r="B507" s="8" t="s">
        <v>714</v>
      </c>
      <c r="C507" s="8" t="s">
        <v>259</v>
      </c>
      <c r="D507" s="8" t="s">
        <v>352</v>
      </c>
      <c r="E507" s="8" t="s">
        <v>237</v>
      </c>
      <c r="F507" s="8" t="s">
        <v>249</v>
      </c>
      <c r="G507" s="6">
        <v>43108</v>
      </c>
      <c r="H507" s="6">
        <v>43108</v>
      </c>
      <c r="I507" s="4">
        <v>-400</v>
      </c>
      <c r="J507" s="8" t="s">
        <v>66</v>
      </c>
      <c r="K507" s="8" t="s">
        <v>1243</v>
      </c>
      <c r="L507" s="4" t="str">
        <f>IF(AtlasReport_1_Table_1[[#This Row],[Reference]]="Purchase order",_xll.AtlasFormulas.AtlasFunctions.AtlasTable("UAT",DataAreaId,"T.VendInvoiceTrans","%RecId","","","","","","","ItemId|PurchID|InventTransId",$C507,$B507,$K507),"")</f>
        <v/>
      </c>
      <c r="M507" s="4" t="str">
        <f>IF(AtlasReport_1_Table_1[[#This Row],[Reference]]="Purchase order",_xll.AtlasFormulas.AtlasFunctions.AtlasTable("UAT",DataAreaId,"T.MarkupTrans","%CurrencyCode","","","","","","","MarkupCode|TransRecId|TransTableId","TPP",$L507,"492"),"")</f>
        <v/>
      </c>
      <c r="N507" s="4" t="str">
        <f>IF(AtlasReport_1_Table_1[[#This Row],[Reference]]="Purchase order",_xll.AtlasFormulas.AtlasFunctions.AtlasBalance("UAT",DataAreaId,"T.MarkupTrans","Sum|Posted|0","","","","","","","MarkupCode|TransTableId|TransRecId","TPP","492",$L507),"")</f>
        <v/>
      </c>
    </row>
    <row r="508" spans="1:14">
      <c r="A508" s="8" t="s">
        <v>1121</v>
      </c>
      <c r="B508" s="8" t="s">
        <v>714</v>
      </c>
      <c r="C508" s="8" t="s">
        <v>290</v>
      </c>
      <c r="D508" s="8" t="s">
        <v>472</v>
      </c>
      <c r="E508" s="8" t="s">
        <v>237</v>
      </c>
      <c r="F508" s="8" t="s">
        <v>238</v>
      </c>
      <c r="G508" s="6">
        <v>43108</v>
      </c>
      <c r="H508" s="6">
        <v>43108</v>
      </c>
      <c r="I508" s="4">
        <v>-7.6</v>
      </c>
      <c r="J508" s="8" t="s">
        <v>66</v>
      </c>
      <c r="K508" s="8" t="s">
        <v>1244</v>
      </c>
      <c r="L508" s="4" t="str">
        <f>IF(AtlasReport_1_Table_1[[#This Row],[Reference]]="Purchase order",_xll.AtlasFormulas.AtlasFunctions.AtlasTable("UAT",DataAreaId,"T.VendInvoiceTrans","%RecId","","","","","","","ItemId|PurchID|InventTransId",$C508,$B508,$K508),"")</f>
        <v/>
      </c>
      <c r="M508" s="4" t="str">
        <f>IF(AtlasReport_1_Table_1[[#This Row],[Reference]]="Purchase order",_xll.AtlasFormulas.AtlasFunctions.AtlasTable("UAT",DataAreaId,"T.MarkupTrans","%CurrencyCode","","","","","","","MarkupCode|TransRecId|TransTableId","TPP",$L508,"492"),"")</f>
        <v/>
      </c>
      <c r="N508" s="4" t="str">
        <f>IF(AtlasReport_1_Table_1[[#This Row],[Reference]]="Purchase order",_xll.AtlasFormulas.AtlasFunctions.AtlasBalance("UAT",DataAreaId,"T.MarkupTrans","Sum|Posted|0","","","","","","","MarkupCode|TransTableId|TransRecId","TPP","492",$L508),"")</f>
        <v/>
      </c>
    </row>
    <row r="509" spans="1:14">
      <c r="A509" s="8" t="s">
        <v>1121</v>
      </c>
      <c r="B509" s="8" t="s">
        <v>716</v>
      </c>
      <c r="C509" s="8" t="s">
        <v>369</v>
      </c>
      <c r="D509" s="8" t="s">
        <v>370</v>
      </c>
      <c r="E509" s="8" t="s">
        <v>237</v>
      </c>
      <c r="F509" s="8" t="s">
        <v>238</v>
      </c>
      <c r="G509" s="6">
        <v>43108</v>
      </c>
      <c r="H509" s="6">
        <v>43108</v>
      </c>
      <c r="I509" s="4">
        <v>-2025</v>
      </c>
      <c r="J509" s="8" t="s">
        <v>66</v>
      </c>
      <c r="K509" s="8" t="s">
        <v>1245</v>
      </c>
      <c r="L509" s="4" t="str">
        <f>IF(AtlasReport_1_Table_1[[#This Row],[Reference]]="Purchase order",_xll.AtlasFormulas.AtlasFunctions.AtlasTable("UAT",DataAreaId,"T.VendInvoiceTrans","%RecId","","","","","","","ItemId|PurchID|InventTransId",$C509,$B509,$K509),"")</f>
        <v/>
      </c>
      <c r="M509" s="4" t="str">
        <f>IF(AtlasReport_1_Table_1[[#This Row],[Reference]]="Purchase order",_xll.AtlasFormulas.AtlasFunctions.AtlasTable("UAT",DataAreaId,"T.MarkupTrans","%CurrencyCode","","","","","","","MarkupCode|TransRecId|TransTableId","TPP",$L509,"492"),"")</f>
        <v/>
      </c>
      <c r="N509" s="4" t="str">
        <f>IF(AtlasReport_1_Table_1[[#This Row],[Reference]]="Purchase order",_xll.AtlasFormulas.AtlasFunctions.AtlasBalance("UAT",DataAreaId,"T.MarkupTrans","Sum|Posted|0","","","","","","","MarkupCode|TransTableId|TransRecId","TPP","492",$L509),"")</f>
        <v/>
      </c>
    </row>
    <row r="510" spans="1:14">
      <c r="A510" s="8" t="s">
        <v>1121</v>
      </c>
      <c r="B510" s="8" t="s">
        <v>716</v>
      </c>
      <c r="C510" s="8" t="s">
        <v>856</v>
      </c>
      <c r="D510" s="8" t="s">
        <v>857</v>
      </c>
      <c r="E510" s="8" t="s">
        <v>237</v>
      </c>
      <c r="F510" s="8" t="s">
        <v>238</v>
      </c>
      <c r="G510" s="6">
        <v>43108</v>
      </c>
      <c r="H510" s="6">
        <v>43108</v>
      </c>
      <c r="I510" s="4">
        <v>-81</v>
      </c>
      <c r="J510" s="8" t="s">
        <v>22</v>
      </c>
      <c r="K510" s="8" t="s">
        <v>1246</v>
      </c>
      <c r="L510" s="4" t="str">
        <f>IF(AtlasReport_1_Table_1[[#This Row],[Reference]]="Purchase order",_xll.AtlasFormulas.AtlasFunctions.AtlasTable("UAT",DataAreaId,"T.VendInvoiceTrans","%RecId","","","","","","","ItemId|PurchID|InventTransId",$C510,$B510,$K510),"")</f>
        <v/>
      </c>
      <c r="M510" s="4" t="str">
        <f>IF(AtlasReport_1_Table_1[[#This Row],[Reference]]="Purchase order",_xll.AtlasFormulas.AtlasFunctions.AtlasTable("UAT",DataAreaId,"T.MarkupTrans","%CurrencyCode","","","","","","","MarkupCode|TransRecId|TransTableId","TPP",$L510,"492"),"")</f>
        <v/>
      </c>
      <c r="N510" s="4" t="str">
        <f>IF(AtlasReport_1_Table_1[[#This Row],[Reference]]="Purchase order",_xll.AtlasFormulas.AtlasFunctions.AtlasBalance("UAT",DataAreaId,"T.MarkupTrans","Sum|Posted|0","","","","","","","MarkupCode|TransTableId|TransRecId","TPP","492",$L510),"")</f>
        <v/>
      </c>
    </row>
    <row r="511" spans="1:14">
      <c r="A511" s="8" t="s">
        <v>1121</v>
      </c>
      <c r="B511" s="8" t="s">
        <v>718</v>
      </c>
      <c r="C511" s="8" t="s">
        <v>248</v>
      </c>
      <c r="D511" s="8" t="s">
        <v>327</v>
      </c>
      <c r="E511" s="8" t="s">
        <v>237</v>
      </c>
      <c r="F511" s="8" t="s">
        <v>249</v>
      </c>
      <c r="G511" s="6">
        <v>43108</v>
      </c>
      <c r="H511" s="6">
        <v>43108</v>
      </c>
      <c r="I511" s="4">
        <v>-1925</v>
      </c>
      <c r="J511" s="8" t="s">
        <v>66</v>
      </c>
      <c r="K511" s="8" t="s">
        <v>1247</v>
      </c>
      <c r="L511" s="4" t="str">
        <f>IF(AtlasReport_1_Table_1[[#This Row],[Reference]]="Purchase order",_xll.AtlasFormulas.AtlasFunctions.AtlasTable("UAT",DataAreaId,"T.VendInvoiceTrans","%RecId","","","","","","","ItemId|PurchID|InventTransId",$C511,$B511,$K511),"")</f>
        <v/>
      </c>
      <c r="M511" s="4" t="str">
        <f>IF(AtlasReport_1_Table_1[[#This Row],[Reference]]="Purchase order",_xll.AtlasFormulas.AtlasFunctions.AtlasTable("UAT",DataAreaId,"T.MarkupTrans","%CurrencyCode","","","","","","","MarkupCode|TransRecId|TransTableId","TPP",$L511,"492"),"")</f>
        <v/>
      </c>
      <c r="N511" s="4" t="str">
        <f>IF(AtlasReport_1_Table_1[[#This Row],[Reference]]="Purchase order",_xll.AtlasFormulas.AtlasFunctions.AtlasBalance("UAT",DataAreaId,"T.MarkupTrans","Sum|Posted|0","","","","","","","MarkupCode|TransTableId|TransRecId","TPP","492",$L511),"")</f>
        <v/>
      </c>
    </row>
    <row r="512" spans="1:14">
      <c r="A512" s="8" t="s">
        <v>1121</v>
      </c>
      <c r="B512" s="8" t="s">
        <v>718</v>
      </c>
      <c r="C512" s="8" t="s">
        <v>250</v>
      </c>
      <c r="D512" s="8" t="s">
        <v>329</v>
      </c>
      <c r="E512" s="8" t="s">
        <v>237</v>
      </c>
      <c r="F512" s="8" t="s">
        <v>249</v>
      </c>
      <c r="G512" s="6">
        <v>43108</v>
      </c>
      <c r="H512" s="6">
        <v>43108</v>
      </c>
      <c r="I512" s="4">
        <v>-350</v>
      </c>
      <c r="J512" s="8" t="s">
        <v>66</v>
      </c>
      <c r="K512" s="8" t="s">
        <v>1248</v>
      </c>
      <c r="L512" s="4" t="str">
        <f>IF(AtlasReport_1_Table_1[[#This Row],[Reference]]="Purchase order",_xll.AtlasFormulas.AtlasFunctions.AtlasTable("UAT",DataAreaId,"T.VendInvoiceTrans","%RecId","","","","","","","ItemId|PurchID|InventTransId",$C512,$B512,$K512),"")</f>
        <v/>
      </c>
      <c r="M512" s="4" t="str">
        <f>IF(AtlasReport_1_Table_1[[#This Row],[Reference]]="Purchase order",_xll.AtlasFormulas.AtlasFunctions.AtlasTable("UAT",DataAreaId,"T.MarkupTrans","%CurrencyCode","","","","","","","MarkupCode|TransRecId|TransTableId","TPP",$L512,"492"),"")</f>
        <v/>
      </c>
      <c r="N512" s="4" t="str">
        <f>IF(AtlasReport_1_Table_1[[#This Row],[Reference]]="Purchase order",_xll.AtlasFormulas.AtlasFunctions.AtlasBalance("UAT",DataAreaId,"T.MarkupTrans","Sum|Posted|0","","","","","","","MarkupCode|TransTableId|TransRecId","TPP","492",$L512),"")</f>
        <v/>
      </c>
    </row>
    <row r="513" spans="1:14">
      <c r="A513" s="8" t="s">
        <v>1121</v>
      </c>
      <c r="B513" s="8" t="s">
        <v>718</v>
      </c>
      <c r="C513" s="8" t="s">
        <v>254</v>
      </c>
      <c r="D513" s="8" t="s">
        <v>344</v>
      </c>
      <c r="E513" s="8" t="s">
        <v>237</v>
      </c>
      <c r="F513" s="8" t="s">
        <v>238</v>
      </c>
      <c r="G513" s="6">
        <v>43108</v>
      </c>
      <c r="H513" s="6">
        <v>43108</v>
      </c>
      <c r="I513" s="4">
        <v>-3.5</v>
      </c>
      <c r="J513" s="8" t="s">
        <v>66</v>
      </c>
      <c r="K513" s="8" t="s">
        <v>1249</v>
      </c>
      <c r="L513" s="4" t="str">
        <f>IF(AtlasReport_1_Table_1[[#This Row],[Reference]]="Purchase order",_xll.AtlasFormulas.AtlasFunctions.AtlasTable("UAT",DataAreaId,"T.VendInvoiceTrans","%RecId","","","","","","","ItemId|PurchID|InventTransId",$C513,$B513,$K513),"")</f>
        <v/>
      </c>
      <c r="M513" s="4" t="str">
        <f>IF(AtlasReport_1_Table_1[[#This Row],[Reference]]="Purchase order",_xll.AtlasFormulas.AtlasFunctions.AtlasTable("UAT",DataAreaId,"T.MarkupTrans","%CurrencyCode","","","","","","","MarkupCode|TransRecId|TransTableId","TPP",$L513,"492"),"")</f>
        <v/>
      </c>
      <c r="N513" s="4" t="str">
        <f>IF(AtlasReport_1_Table_1[[#This Row],[Reference]]="Purchase order",_xll.AtlasFormulas.AtlasFunctions.AtlasBalance("UAT",DataAreaId,"T.MarkupTrans","Sum|Posted|0","","","","","","","MarkupCode|TransTableId|TransRecId","TPP","492",$L513),"")</f>
        <v/>
      </c>
    </row>
    <row r="514" spans="1:14">
      <c r="A514" s="8" t="s">
        <v>1121</v>
      </c>
      <c r="B514" s="8" t="s">
        <v>718</v>
      </c>
      <c r="C514" s="8" t="s">
        <v>256</v>
      </c>
      <c r="D514" s="8" t="s">
        <v>349</v>
      </c>
      <c r="E514" s="8" t="s">
        <v>237</v>
      </c>
      <c r="F514" s="8" t="s">
        <v>249</v>
      </c>
      <c r="G514" s="6">
        <v>43108</v>
      </c>
      <c r="H514" s="6">
        <v>43108</v>
      </c>
      <c r="I514" s="4">
        <v>-1575</v>
      </c>
      <c r="J514" s="8" t="s">
        <v>66</v>
      </c>
      <c r="K514" s="8" t="s">
        <v>1250</v>
      </c>
      <c r="L514" s="4" t="str">
        <f>IF(AtlasReport_1_Table_1[[#This Row],[Reference]]="Purchase order",_xll.AtlasFormulas.AtlasFunctions.AtlasTable("UAT",DataAreaId,"T.VendInvoiceTrans","%RecId","","","","","","","ItemId|PurchID|InventTransId",$C514,$B514,$K514),"")</f>
        <v/>
      </c>
      <c r="M514" s="4" t="str">
        <f>IF(AtlasReport_1_Table_1[[#This Row],[Reference]]="Purchase order",_xll.AtlasFormulas.AtlasFunctions.AtlasTable("UAT",DataAreaId,"T.MarkupTrans","%CurrencyCode","","","","","","","MarkupCode|TransRecId|TransTableId","TPP",$L514,"492"),"")</f>
        <v/>
      </c>
      <c r="N514" s="4" t="str">
        <f>IF(AtlasReport_1_Table_1[[#This Row],[Reference]]="Purchase order",_xll.AtlasFormulas.AtlasFunctions.AtlasBalance("UAT",DataAreaId,"T.MarkupTrans","Sum|Posted|0","","","","","","","MarkupCode|TransTableId|TransRecId","TPP","492",$L514),"")</f>
        <v/>
      </c>
    </row>
    <row r="515" spans="1:14">
      <c r="A515" s="8" t="s">
        <v>1121</v>
      </c>
      <c r="B515" s="8" t="s">
        <v>718</v>
      </c>
      <c r="C515" s="8" t="s">
        <v>257</v>
      </c>
      <c r="D515" s="8" t="s">
        <v>350</v>
      </c>
      <c r="E515" s="8" t="s">
        <v>237</v>
      </c>
      <c r="F515" s="8" t="s">
        <v>249</v>
      </c>
      <c r="G515" s="6">
        <v>43108</v>
      </c>
      <c r="H515" s="6">
        <v>43108</v>
      </c>
      <c r="I515" s="4">
        <v>-1575</v>
      </c>
      <c r="J515" s="8" t="s">
        <v>66</v>
      </c>
      <c r="K515" s="8" t="s">
        <v>1251</v>
      </c>
      <c r="L515" s="4" t="str">
        <f>IF(AtlasReport_1_Table_1[[#This Row],[Reference]]="Purchase order",_xll.AtlasFormulas.AtlasFunctions.AtlasTable("UAT",DataAreaId,"T.VendInvoiceTrans","%RecId","","","","","","","ItemId|PurchID|InventTransId",$C515,$B515,$K515),"")</f>
        <v/>
      </c>
      <c r="M515" s="4" t="str">
        <f>IF(AtlasReport_1_Table_1[[#This Row],[Reference]]="Purchase order",_xll.AtlasFormulas.AtlasFunctions.AtlasTable("UAT",DataAreaId,"T.MarkupTrans","%CurrencyCode","","","","","","","MarkupCode|TransRecId|TransTableId","TPP",$L515,"492"),"")</f>
        <v/>
      </c>
      <c r="N515" s="4" t="str">
        <f>IF(AtlasReport_1_Table_1[[#This Row],[Reference]]="Purchase order",_xll.AtlasFormulas.AtlasFunctions.AtlasBalance("UAT",DataAreaId,"T.MarkupTrans","Sum|Posted|0","","","","","","","MarkupCode|TransTableId|TransRecId","TPP","492",$L515),"")</f>
        <v/>
      </c>
    </row>
    <row r="516" spans="1:14">
      <c r="A516" s="8" t="s">
        <v>1121</v>
      </c>
      <c r="B516" s="8" t="s">
        <v>718</v>
      </c>
      <c r="C516" s="8" t="s">
        <v>258</v>
      </c>
      <c r="D516" s="8" t="s">
        <v>351</v>
      </c>
      <c r="E516" s="8" t="s">
        <v>237</v>
      </c>
      <c r="F516" s="8" t="s">
        <v>249</v>
      </c>
      <c r="G516" s="6">
        <v>43108</v>
      </c>
      <c r="H516" s="6">
        <v>43108</v>
      </c>
      <c r="I516" s="4">
        <v>-1400</v>
      </c>
      <c r="J516" s="8" t="s">
        <v>66</v>
      </c>
      <c r="K516" s="8" t="s">
        <v>1252</v>
      </c>
      <c r="L516" s="4" t="str">
        <f>IF(AtlasReport_1_Table_1[[#This Row],[Reference]]="Purchase order",_xll.AtlasFormulas.AtlasFunctions.AtlasTable("UAT",DataAreaId,"T.VendInvoiceTrans","%RecId","","","","","","","ItemId|PurchID|InventTransId",$C516,$B516,$K516),"")</f>
        <v/>
      </c>
      <c r="M516" s="4" t="str">
        <f>IF(AtlasReport_1_Table_1[[#This Row],[Reference]]="Purchase order",_xll.AtlasFormulas.AtlasFunctions.AtlasTable("UAT",DataAreaId,"T.MarkupTrans","%CurrencyCode","","","","","","","MarkupCode|TransRecId|TransTableId","TPP",$L516,"492"),"")</f>
        <v/>
      </c>
      <c r="N516" s="4" t="str">
        <f>IF(AtlasReport_1_Table_1[[#This Row],[Reference]]="Purchase order",_xll.AtlasFormulas.AtlasFunctions.AtlasBalance("UAT",DataAreaId,"T.MarkupTrans","Sum|Posted|0","","","","","","","MarkupCode|TransTableId|TransRecId","TPP","492",$L516),"")</f>
        <v/>
      </c>
    </row>
    <row r="517" spans="1:14">
      <c r="A517" s="8" t="s">
        <v>1121</v>
      </c>
      <c r="B517" s="8" t="s">
        <v>718</v>
      </c>
      <c r="C517" s="8" t="s">
        <v>291</v>
      </c>
      <c r="D517" s="8" t="s">
        <v>473</v>
      </c>
      <c r="E517" s="8" t="s">
        <v>237</v>
      </c>
      <c r="F517" s="8" t="s">
        <v>238</v>
      </c>
      <c r="G517" s="6">
        <v>43108</v>
      </c>
      <c r="H517" s="6">
        <v>43108</v>
      </c>
      <c r="I517" s="4">
        <v>-37.1</v>
      </c>
      <c r="J517" s="8" t="s">
        <v>66</v>
      </c>
      <c r="K517" s="8" t="s">
        <v>1253</v>
      </c>
      <c r="L517" s="4" t="str">
        <f>IF(AtlasReport_1_Table_1[[#This Row],[Reference]]="Purchase order",_xll.AtlasFormulas.AtlasFunctions.AtlasTable("UAT",DataAreaId,"T.VendInvoiceTrans","%RecId","","","","","","","ItemId|PurchID|InventTransId",$C517,$B517,$K517),"")</f>
        <v/>
      </c>
      <c r="M517" s="4" t="str">
        <f>IF(AtlasReport_1_Table_1[[#This Row],[Reference]]="Purchase order",_xll.AtlasFormulas.AtlasFunctions.AtlasTable("UAT",DataAreaId,"T.MarkupTrans","%CurrencyCode","","","","","","","MarkupCode|TransRecId|TransTableId","TPP",$L517,"492"),"")</f>
        <v/>
      </c>
      <c r="N517" s="4" t="str">
        <f>IF(AtlasReport_1_Table_1[[#This Row],[Reference]]="Purchase order",_xll.AtlasFormulas.AtlasFunctions.AtlasBalance("UAT",DataAreaId,"T.MarkupTrans","Sum|Posted|0","","","","","","","MarkupCode|TransTableId|TransRecId","TPP","492",$L517),"")</f>
        <v/>
      </c>
    </row>
    <row r="518" spans="1:14">
      <c r="A518" s="8" t="s">
        <v>1121</v>
      </c>
      <c r="B518" s="8" t="s">
        <v>720</v>
      </c>
      <c r="C518" s="8" t="s">
        <v>391</v>
      </c>
      <c r="D518" s="8" t="s">
        <v>392</v>
      </c>
      <c r="E518" s="8" t="s">
        <v>237</v>
      </c>
      <c r="F518" s="8" t="s">
        <v>238</v>
      </c>
      <c r="G518" s="6">
        <v>43108</v>
      </c>
      <c r="H518" s="6">
        <v>43108</v>
      </c>
      <c r="I518" s="4">
        <v>-6850</v>
      </c>
      <c r="J518" s="8" t="s">
        <v>66</v>
      </c>
      <c r="K518" s="8" t="s">
        <v>1254</v>
      </c>
      <c r="L518" s="4" t="str">
        <f>IF(AtlasReport_1_Table_1[[#This Row],[Reference]]="Purchase order",_xll.AtlasFormulas.AtlasFunctions.AtlasTable("UAT",DataAreaId,"T.VendInvoiceTrans","%RecId","","","","","","","ItemId|PurchID|InventTransId",$C518,$B518,$K518),"")</f>
        <v/>
      </c>
      <c r="M518" s="4" t="str">
        <f>IF(AtlasReport_1_Table_1[[#This Row],[Reference]]="Purchase order",_xll.AtlasFormulas.AtlasFunctions.AtlasTable("UAT",DataAreaId,"T.MarkupTrans","%CurrencyCode","","","","","","","MarkupCode|TransRecId|TransTableId","TPP",$L518,"492"),"")</f>
        <v/>
      </c>
      <c r="N518" s="4" t="str">
        <f>IF(AtlasReport_1_Table_1[[#This Row],[Reference]]="Purchase order",_xll.AtlasFormulas.AtlasFunctions.AtlasBalance("UAT",DataAreaId,"T.MarkupTrans","Sum|Posted|0","","","","","","","MarkupCode|TransTableId|TransRecId","TPP","492",$L518),"")</f>
        <v/>
      </c>
    </row>
    <row r="519" spans="1:14">
      <c r="A519" s="8" t="s">
        <v>1121</v>
      </c>
      <c r="B519" s="8" t="s">
        <v>720</v>
      </c>
      <c r="C519" s="8" t="s">
        <v>850</v>
      </c>
      <c r="D519" s="8" t="s">
        <v>851</v>
      </c>
      <c r="E519" s="8" t="s">
        <v>237</v>
      </c>
      <c r="F519" s="8" t="s">
        <v>238</v>
      </c>
      <c r="G519" s="6">
        <v>43108</v>
      </c>
      <c r="H519" s="6">
        <v>43108</v>
      </c>
      <c r="I519" s="4">
        <v>-274</v>
      </c>
      <c r="J519" s="8" t="s">
        <v>22</v>
      </c>
      <c r="K519" s="8" t="s">
        <v>1255</v>
      </c>
      <c r="L519" s="4" t="str">
        <f>IF(AtlasReport_1_Table_1[[#This Row],[Reference]]="Purchase order",_xll.AtlasFormulas.AtlasFunctions.AtlasTable("UAT",DataAreaId,"T.VendInvoiceTrans","%RecId","","","","","","","ItemId|PurchID|InventTransId",$C519,$B519,$K519),"")</f>
        <v/>
      </c>
      <c r="M519" s="4" t="str">
        <f>IF(AtlasReport_1_Table_1[[#This Row],[Reference]]="Purchase order",_xll.AtlasFormulas.AtlasFunctions.AtlasTable("UAT",DataAreaId,"T.MarkupTrans","%CurrencyCode","","","","","","","MarkupCode|TransRecId|TransTableId","TPP",$L519,"492"),"")</f>
        <v/>
      </c>
      <c r="N519" s="4" t="str">
        <f>IF(AtlasReport_1_Table_1[[#This Row],[Reference]]="Purchase order",_xll.AtlasFormulas.AtlasFunctions.AtlasBalance("UAT",DataAreaId,"T.MarkupTrans","Sum|Posted|0","","","","","","","MarkupCode|TransTableId|TransRecId","TPP","492",$L519),"")</f>
        <v/>
      </c>
    </row>
    <row r="520" spans="1:14">
      <c r="A520" s="8" t="s">
        <v>1121</v>
      </c>
      <c r="B520" s="8" t="s">
        <v>722</v>
      </c>
      <c r="C520" s="8" t="s">
        <v>250</v>
      </c>
      <c r="D520" s="8" t="s">
        <v>329</v>
      </c>
      <c r="E520" s="8" t="s">
        <v>237</v>
      </c>
      <c r="F520" s="8" t="s">
        <v>249</v>
      </c>
      <c r="G520" s="6">
        <v>43108</v>
      </c>
      <c r="H520" s="6">
        <v>43108</v>
      </c>
      <c r="I520" s="4">
        <v>-720</v>
      </c>
      <c r="J520" s="8" t="s">
        <v>66</v>
      </c>
      <c r="K520" s="8" t="s">
        <v>1256</v>
      </c>
      <c r="L520" s="4" t="str">
        <f>IF(AtlasReport_1_Table_1[[#This Row],[Reference]]="Purchase order",_xll.AtlasFormulas.AtlasFunctions.AtlasTable("UAT",DataAreaId,"T.VendInvoiceTrans","%RecId","","","","","","","ItemId|PurchID|InventTransId",$C520,$B520,$K520),"")</f>
        <v/>
      </c>
      <c r="M520" s="4" t="str">
        <f>IF(AtlasReport_1_Table_1[[#This Row],[Reference]]="Purchase order",_xll.AtlasFormulas.AtlasFunctions.AtlasTable("UAT",DataAreaId,"T.MarkupTrans","%CurrencyCode","","","","","","","MarkupCode|TransRecId|TransTableId","TPP",$L520,"492"),"")</f>
        <v/>
      </c>
      <c r="N520" s="4" t="str">
        <f>IF(AtlasReport_1_Table_1[[#This Row],[Reference]]="Purchase order",_xll.AtlasFormulas.AtlasFunctions.AtlasBalance("UAT",DataAreaId,"T.MarkupTrans","Sum|Posted|0","","","","","","","MarkupCode|TransTableId|TransRecId","TPP","492",$L520),"")</f>
        <v/>
      </c>
    </row>
    <row r="521" spans="1:14">
      <c r="A521" s="8" t="s">
        <v>1121</v>
      </c>
      <c r="B521" s="8" t="s">
        <v>722</v>
      </c>
      <c r="C521" s="8" t="s">
        <v>256</v>
      </c>
      <c r="D521" s="8" t="s">
        <v>349</v>
      </c>
      <c r="E521" s="8" t="s">
        <v>237</v>
      </c>
      <c r="F521" s="8" t="s">
        <v>249</v>
      </c>
      <c r="G521" s="6">
        <v>43108</v>
      </c>
      <c r="H521" s="6">
        <v>43108</v>
      </c>
      <c r="I521" s="4">
        <v>-300</v>
      </c>
      <c r="J521" s="8" t="s">
        <v>66</v>
      </c>
      <c r="K521" s="8" t="s">
        <v>1257</v>
      </c>
      <c r="L521" s="4" t="str">
        <f>IF(AtlasReport_1_Table_1[[#This Row],[Reference]]="Purchase order",_xll.AtlasFormulas.AtlasFunctions.AtlasTable("UAT",DataAreaId,"T.VendInvoiceTrans","%RecId","","","","","","","ItemId|PurchID|InventTransId",$C521,$B521,$K521),"")</f>
        <v/>
      </c>
      <c r="M521" s="4" t="str">
        <f>IF(AtlasReport_1_Table_1[[#This Row],[Reference]]="Purchase order",_xll.AtlasFormulas.AtlasFunctions.AtlasTable("UAT",DataAreaId,"T.MarkupTrans","%CurrencyCode","","","","","","","MarkupCode|TransRecId|TransTableId","TPP",$L521,"492"),"")</f>
        <v/>
      </c>
      <c r="N521" s="4" t="str">
        <f>IF(AtlasReport_1_Table_1[[#This Row],[Reference]]="Purchase order",_xll.AtlasFormulas.AtlasFunctions.AtlasBalance("UAT",DataAreaId,"T.MarkupTrans","Sum|Posted|0","","","","","","","MarkupCode|TransTableId|TransRecId","TPP","492",$L521),"")</f>
        <v/>
      </c>
    </row>
    <row r="522" spans="1:14">
      <c r="A522" s="8" t="s">
        <v>1121</v>
      </c>
      <c r="B522" s="8" t="s">
        <v>722</v>
      </c>
      <c r="C522" s="8" t="s">
        <v>257</v>
      </c>
      <c r="D522" s="8" t="s">
        <v>350</v>
      </c>
      <c r="E522" s="8" t="s">
        <v>237</v>
      </c>
      <c r="F522" s="8" t="s">
        <v>249</v>
      </c>
      <c r="G522" s="6">
        <v>43108</v>
      </c>
      <c r="H522" s="6">
        <v>43108</v>
      </c>
      <c r="I522" s="4">
        <v>-300</v>
      </c>
      <c r="J522" s="8" t="s">
        <v>66</v>
      </c>
      <c r="K522" s="8" t="s">
        <v>1258</v>
      </c>
      <c r="L522" s="4" t="str">
        <f>IF(AtlasReport_1_Table_1[[#This Row],[Reference]]="Purchase order",_xll.AtlasFormulas.AtlasFunctions.AtlasTable("UAT",DataAreaId,"T.VendInvoiceTrans","%RecId","","","","","","","ItemId|PurchID|InventTransId",$C522,$B522,$K522),"")</f>
        <v/>
      </c>
      <c r="M522" s="4" t="str">
        <f>IF(AtlasReport_1_Table_1[[#This Row],[Reference]]="Purchase order",_xll.AtlasFormulas.AtlasFunctions.AtlasTable("UAT",DataAreaId,"T.MarkupTrans","%CurrencyCode","","","","","","","MarkupCode|TransRecId|TransTableId","TPP",$L522,"492"),"")</f>
        <v/>
      </c>
      <c r="N522" s="4" t="str">
        <f>IF(AtlasReport_1_Table_1[[#This Row],[Reference]]="Purchase order",_xll.AtlasFormulas.AtlasFunctions.AtlasBalance("UAT",DataAreaId,"T.MarkupTrans","Sum|Posted|0","","","","","","","MarkupCode|TransTableId|TransRecId","TPP","492",$L522),"")</f>
        <v/>
      </c>
    </row>
    <row r="523" spans="1:14">
      <c r="A523" s="8" t="s">
        <v>1121</v>
      </c>
      <c r="B523" s="8" t="s">
        <v>722</v>
      </c>
      <c r="C523" s="8" t="s">
        <v>258</v>
      </c>
      <c r="D523" s="8" t="s">
        <v>351</v>
      </c>
      <c r="E523" s="8" t="s">
        <v>237</v>
      </c>
      <c r="F523" s="8" t="s">
        <v>249</v>
      </c>
      <c r="G523" s="6">
        <v>43108</v>
      </c>
      <c r="H523" s="6">
        <v>43108</v>
      </c>
      <c r="I523" s="4">
        <v>-300</v>
      </c>
      <c r="J523" s="8" t="s">
        <v>66</v>
      </c>
      <c r="K523" s="8" t="s">
        <v>1259</v>
      </c>
      <c r="L523" s="4" t="str">
        <f>IF(AtlasReport_1_Table_1[[#This Row],[Reference]]="Purchase order",_xll.AtlasFormulas.AtlasFunctions.AtlasTable("UAT",DataAreaId,"T.VendInvoiceTrans","%RecId","","","","","","","ItemId|PurchID|InventTransId",$C523,$B523,$K523),"")</f>
        <v/>
      </c>
      <c r="M523" s="4" t="str">
        <f>IF(AtlasReport_1_Table_1[[#This Row],[Reference]]="Purchase order",_xll.AtlasFormulas.AtlasFunctions.AtlasTable("UAT",DataAreaId,"T.MarkupTrans","%CurrencyCode","","","","","","","MarkupCode|TransRecId|TransTableId","TPP",$L523,"492"),"")</f>
        <v/>
      </c>
      <c r="N523" s="4" t="str">
        <f>IF(AtlasReport_1_Table_1[[#This Row],[Reference]]="Purchase order",_xll.AtlasFormulas.AtlasFunctions.AtlasBalance("UAT",DataAreaId,"T.MarkupTrans","Sum|Posted|0","","","","","","","MarkupCode|TransTableId|TransRecId","TPP","492",$L523),"")</f>
        <v/>
      </c>
    </row>
    <row r="524" spans="1:14">
      <c r="A524" s="8" t="s">
        <v>1121</v>
      </c>
      <c r="B524" s="8" t="s">
        <v>722</v>
      </c>
      <c r="C524" s="8" t="s">
        <v>259</v>
      </c>
      <c r="D524" s="8" t="s">
        <v>352</v>
      </c>
      <c r="E524" s="8" t="s">
        <v>237</v>
      </c>
      <c r="F524" s="8" t="s">
        <v>249</v>
      </c>
      <c r="G524" s="6">
        <v>43108</v>
      </c>
      <c r="H524" s="6">
        <v>43108</v>
      </c>
      <c r="I524" s="4">
        <v>-400</v>
      </c>
      <c r="J524" s="8" t="s">
        <v>66</v>
      </c>
      <c r="K524" s="8" t="s">
        <v>1260</v>
      </c>
      <c r="L524" s="4" t="str">
        <f>IF(AtlasReport_1_Table_1[[#This Row],[Reference]]="Purchase order",_xll.AtlasFormulas.AtlasFunctions.AtlasTable("UAT",DataAreaId,"T.VendInvoiceTrans","%RecId","","","","","","","ItemId|PurchID|InventTransId",$C524,$B524,$K524),"")</f>
        <v/>
      </c>
      <c r="M524" s="4" t="str">
        <f>IF(AtlasReport_1_Table_1[[#This Row],[Reference]]="Purchase order",_xll.AtlasFormulas.AtlasFunctions.AtlasTable("UAT",DataAreaId,"T.MarkupTrans","%CurrencyCode","","","","","","","MarkupCode|TransRecId|TransTableId","TPP",$L524,"492"),"")</f>
        <v/>
      </c>
      <c r="N524" s="4" t="str">
        <f>IF(AtlasReport_1_Table_1[[#This Row],[Reference]]="Purchase order",_xll.AtlasFormulas.AtlasFunctions.AtlasBalance("UAT",DataAreaId,"T.MarkupTrans","Sum|Posted|0","","","","","","","MarkupCode|TransTableId|TransRecId","TPP","492",$L524),"")</f>
        <v/>
      </c>
    </row>
    <row r="525" spans="1:14">
      <c r="A525" s="8" t="s">
        <v>1121</v>
      </c>
      <c r="B525" s="8" t="s">
        <v>722</v>
      </c>
      <c r="C525" s="8" t="s">
        <v>290</v>
      </c>
      <c r="D525" s="8" t="s">
        <v>472</v>
      </c>
      <c r="E525" s="8" t="s">
        <v>237</v>
      </c>
      <c r="F525" s="8" t="s">
        <v>238</v>
      </c>
      <c r="G525" s="6">
        <v>43108</v>
      </c>
      <c r="H525" s="6">
        <v>43108</v>
      </c>
      <c r="I525" s="4">
        <v>-7.6</v>
      </c>
      <c r="J525" s="8" t="s">
        <v>66</v>
      </c>
      <c r="K525" s="8" t="s">
        <v>1261</v>
      </c>
      <c r="L525" s="4" t="str">
        <f>IF(AtlasReport_1_Table_1[[#This Row],[Reference]]="Purchase order",_xll.AtlasFormulas.AtlasFunctions.AtlasTable("UAT",DataAreaId,"T.VendInvoiceTrans","%RecId","","","","","","","ItemId|PurchID|InventTransId",$C525,$B525,$K525),"")</f>
        <v/>
      </c>
      <c r="M525" s="4" t="str">
        <f>IF(AtlasReport_1_Table_1[[#This Row],[Reference]]="Purchase order",_xll.AtlasFormulas.AtlasFunctions.AtlasTable("UAT",DataAreaId,"T.MarkupTrans","%CurrencyCode","","","","","","","MarkupCode|TransRecId|TransTableId","TPP",$L525,"492"),"")</f>
        <v/>
      </c>
      <c r="N525" s="4" t="str">
        <f>IF(AtlasReport_1_Table_1[[#This Row],[Reference]]="Purchase order",_xll.AtlasFormulas.AtlasFunctions.AtlasBalance("UAT",DataAreaId,"T.MarkupTrans","Sum|Posted|0","","","","","","","MarkupCode|TransTableId|TransRecId","TPP","492",$L525),"")</f>
        <v/>
      </c>
    </row>
    <row r="526" spans="1:14">
      <c r="A526" s="8" t="s">
        <v>1121</v>
      </c>
      <c r="B526" s="8" t="s">
        <v>724</v>
      </c>
      <c r="C526" s="8" t="s">
        <v>369</v>
      </c>
      <c r="D526" s="8" t="s">
        <v>370</v>
      </c>
      <c r="E526" s="8" t="s">
        <v>237</v>
      </c>
      <c r="F526" s="8" t="s">
        <v>238</v>
      </c>
      <c r="G526" s="6">
        <v>43108</v>
      </c>
      <c r="H526" s="6">
        <v>43108</v>
      </c>
      <c r="I526" s="4">
        <v>-2025</v>
      </c>
      <c r="J526" s="8" t="s">
        <v>66</v>
      </c>
      <c r="K526" s="8" t="s">
        <v>1262</v>
      </c>
      <c r="L526" s="4" t="str">
        <f>IF(AtlasReport_1_Table_1[[#This Row],[Reference]]="Purchase order",_xll.AtlasFormulas.AtlasFunctions.AtlasTable("UAT",DataAreaId,"T.VendInvoiceTrans","%RecId","","","","","","","ItemId|PurchID|InventTransId",$C526,$B526,$K526),"")</f>
        <v/>
      </c>
      <c r="M526" s="4" t="str">
        <f>IF(AtlasReport_1_Table_1[[#This Row],[Reference]]="Purchase order",_xll.AtlasFormulas.AtlasFunctions.AtlasTable("UAT",DataAreaId,"T.MarkupTrans","%CurrencyCode","","","","","","","MarkupCode|TransRecId|TransTableId","TPP",$L526,"492"),"")</f>
        <v/>
      </c>
      <c r="N526" s="4" t="str">
        <f>IF(AtlasReport_1_Table_1[[#This Row],[Reference]]="Purchase order",_xll.AtlasFormulas.AtlasFunctions.AtlasBalance("UAT",DataAreaId,"T.MarkupTrans","Sum|Posted|0","","","","","","","MarkupCode|TransTableId|TransRecId","TPP","492",$L526),"")</f>
        <v/>
      </c>
    </row>
    <row r="527" spans="1:14">
      <c r="A527" s="8" t="s">
        <v>1121</v>
      </c>
      <c r="B527" s="8" t="s">
        <v>724</v>
      </c>
      <c r="C527" s="8" t="s">
        <v>856</v>
      </c>
      <c r="D527" s="8" t="s">
        <v>857</v>
      </c>
      <c r="E527" s="8" t="s">
        <v>237</v>
      </c>
      <c r="F527" s="8" t="s">
        <v>238</v>
      </c>
      <c r="G527" s="6">
        <v>43108</v>
      </c>
      <c r="H527" s="6">
        <v>43108</v>
      </c>
      <c r="I527" s="4">
        <v>-81</v>
      </c>
      <c r="J527" s="8" t="s">
        <v>22</v>
      </c>
      <c r="K527" s="8" t="s">
        <v>1263</v>
      </c>
      <c r="L527" s="4" t="str">
        <f>IF(AtlasReport_1_Table_1[[#This Row],[Reference]]="Purchase order",_xll.AtlasFormulas.AtlasFunctions.AtlasTable("UAT",DataAreaId,"T.VendInvoiceTrans","%RecId","","","","","","","ItemId|PurchID|InventTransId",$C527,$B527,$K527),"")</f>
        <v/>
      </c>
      <c r="M527" s="4" t="str">
        <f>IF(AtlasReport_1_Table_1[[#This Row],[Reference]]="Purchase order",_xll.AtlasFormulas.AtlasFunctions.AtlasTable("UAT",DataAreaId,"T.MarkupTrans","%CurrencyCode","","","","","","","MarkupCode|TransRecId|TransTableId","TPP",$L527,"492"),"")</f>
        <v/>
      </c>
      <c r="N527" s="4" t="str">
        <f>IF(AtlasReport_1_Table_1[[#This Row],[Reference]]="Purchase order",_xll.AtlasFormulas.AtlasFunctions.AtlasBalance("UAT",DataAreaId,"T.MarkupTrans","Sum|Posted|0","","","","","","","MarkupCode|TransTableId|TransRecId","TPP","492",$L527),"")</f>
        <v/>
      </c>
    </row>
    <row r="528" spans="1:14">
      <c r="A528" s="8" t="s">
        <v>1121</v>
      </c>
      <c r="B528" s="8" t="s">
        <v>726</v>
      </c>
      <c r="C528" s="8" t="s">
        <v>250</v>
      </c>
      <c r="D528" s="8" t="s">
        <v>329</v>
      </c>
      <c r="E528" s="8" t="s">
        <v>237</v>
      </c>
      <c r="F528" s="8" t="s">
        <v>249</v>
      </c>
      <c r="G528" s="6">
        <v>43108</v>
      </c>
      <c r="H528" s="6">
        <v>43108</v>
      </c>
      <c r="I528" s="4">
        <v>-1800</v>
      </c>
      <c r="J528" s="8" t="s">
        <v>66</v>
      </c>
      <c r="K528" s="8" t="s">
        <v>1264</v>
      </c>
      <c r="L528" s="4" t="str">
        <f>IF(AtlasReport_1_Table_1[[#This Row],[Reference]]="Purchase order",_xll.AtlasFormulas.AtlasFunctions.AtlasTable("UAT",DataAreaId,"T.VendInvoiceTrans","%RecId","","","","","","","ItemId|PurchID|InventTransId",$C528,$B528,$K528),"")</f>
        <v/>
      </c>
      <c r="M528" s="4" t="str">
        <f>IF(AtlasReport_1_Table_1[[#This Row],[Reference]]="Purchase order",_xll.AtlasFormulas.AtlasFunctions.AtlasTable("UAT",DataAreaId,"T.MarkupTrans","%CurrencyCode","","","","","","","MarkupCode|TransRecId|TransTableId","TPP",$L528,"492"),"")</f>
        <v/>
      </c>
      <c r="N528" s="4" t="str">
        <f>IF(AtlasReport_1_Table_1[[#This Row],[Reference]]="Purchase order",_xll.AtlasFormulas.AtlasFunctions.AtlasBalance("UAT",DataAreaId,"T.MarkupTrans","Sum|Posted|0","","","","","","","MarkupCode|TransTableId|TransRecId","TPP","492",$L528),"")</f>
        <v/>
      </c>
    </row>
    <row r="529" spans="1:14">
      <c r="A529" s="8" t="s">
        <v>1121</v>
      </c>
      <c r="B529" s="8" t="s">
        <v>726</v>
      </c>
      <c r="C529" s="8" t="s">
        <v>256</v>
      </c>
      <c r="D529" s="8" t="s">
        <v>349</v>
      </c>
      <c r="E529" s="8" t="s">
        <v>237</v>
      </c>
      <c r="F529" s="8" t="s">
        <v>249</v>
      </c>
      <c r="G529" s="6">
        <v>43108</v>
      </c>
      <c r="H529" s="6">
        <v>43108</v>
      </c>
      <c r="I529" s="4">
        <v>-750</v>
      </c>
      <c r="J529" s="8" t="s">
        <v>66</v>
      </c>
      <c r="K529" s="8" t="s">
        <v>1265</v>
      </c>
      <c r="L529" s="4" t="str">
        <f>IF(AtlasReport_1_Table_1[[#This Row],[Reference]]="Purchase order",_xll.AtlasFormulas.AtlasFunctions.AtlasTable("UAT",DataAreaId,"T.VendInvoiceTrans","%RecId","","","","","","","ItemId|PurchID|InventTransId",$C529,$B529,$K529),"")</f>
        <v/>
      </c>
      <c r="M529" s="4" t="str">
        <f>IF(AtlasReport_1_Table_1[[#This Row],[Reference]]="Purchase order",_xll.AtlasFormulas.AtlasFunctions.AtlasTable("UAT",DataAreaId,"T.MarkupTrans","%CurrencyCode","","","","","","","MarkupCode|TransRecId|TransTableId","TPP",$L529,"492"),"")</f>
        <v/>
      </c>
      <c r="N529" s="4" t="str">
        <f>IF(AtlasReport_1_Table_1[[#This Row],[Reference]]="Purchase order",_xll.AtlasFormulas.AtlasFunctions.AtlasBalance("UAT",DataAreaId,"T.MarkupTrans","Sum|Posted|0","","","","","","","MarkupCode|TransTableId|TransRecId","TPP","492",$L529),"")</f>
        <v/>
      </c>
    </row>
    <row r="530" spans="1:14">
      <c r="A530" s="8" t="s">
        <v>1121</v>
      </c>
      <c r="B530" s="8" t="s">
        <v>726</v>
      </c>
      <c r="C530" s="8" t="s">
        <v>257</v>
      </c>
      <c r="D530" s="8" t="s">
        <v>350</v>
      </c>
      <c r="E530" s="8" t="s">
        <v>237</v>
      </c>
      <c r="F530" s="8" t="s">
        <v>249</v>
      </c>
      <c r="G530" s="6">
        <v>43108</v>
      </c>
      <c r="H530" s="6">
        <v>43108</v>
      </c>
      <c r="I530" s="4">
        <v>-750</v>
      </c>
      <c r="J530" s="8" t="s">
        <v>66</v>
      </c>
      <c r="K530" s="8" t="s">
        <v>1266</v>
      </c>
      <c r="L530" s="4" t="str">
        <f>IF(AtlasReport_1_Table_1[[#This Row],[Reference]]="Purchase order",_xll.AtlasFormulas.AtlasFunctions.AtlasTable("UAT",DataAreaId,"T.VendInvoiceTrans","%RecId","","","","","","","ItemId|PurchID|InventTransId",$C530,$B530,$K530),"")</f>
        <v/>
      </c>
      <c r="M530" s="4" t="str">
        <f>IF(AtlasReport_1_Table_1[[#This Row],[Reference]]="Purchase order",_xll.AtlasFormulas.AtlasFunctions.AtlasTable("UAT",DataAreaId,"T.MarkupTrans","%CurrencyCode","","","","","","","MarkupCode|TransRecId|TransTableId","TPP",$L530,"492"),"")</f>
        <v/>
      </c>
      <c r="N530" s="4" t="str">
        <f>IF(AtlasReport_1_Table_1[[#This Row],[Reference]]="Purchase order",_xll.AtlasFormulas.AtlasFunctions.AtlasBalance("UAT",DataAreaId,"T.MarkupTrans","Sum|Posted|0","","","","","","","MarkupCode|TransTableId|TransRecId","TPP","492",$L530),"")</f>
        <v/>
      </c>
    </row>
    <row r="531" spans="1:14">
      <c r="A531" s="8" t="s">
        <v>1121</v>
      </c>
      <c r="B531" s="8" t="s">
        <v>726</v>
      </c>
      <c r="C531" s="8" t="s">
        <v>258</v>
      </c>
      <c r="D531" s="8" t="s">
        <v>351</v>
      </c>
      <c r="E531" s="8" t="s">
        <v>237</v>
      </c>
      <c r="F531" s="8" t="s">
        <v>249</v>
      </c>
      <c r="G531" s="6">
        <v>43108</v>
      </c>
      <c r="H531" s="6">
        <v>43108</v>
      </c>
      <c r="I531" s="4">
        <v>-750</v>
      </c>
      <c r="J531" s="8" t="s">
        <v>66</v>
      </c>
      <c r="K531" s="8" t="s">
        <v>1267</v>
      </c>
      <c r="L531" s="4" t="str">
        <f>IF(AtlasReport_1_Table_1[[#This Row],[Reference]]="Purchase order",_xll.AtlasFormulas.AtlasFunctions.AtlasTable("UAT",DataAreaId,"T.VendInvoiceTrans","%RecId","","","","","","","ItemId|PurchID|InventTransId",$C531,$B531,$K531),"")</f>
        <v/>
      </c>
      <c r="M531" s="4" t="str">
        <f>IF(AtlasReport_1_Table_1[[#This Row],[Reference]]="Purchase order",_xll.AtlasFormulas.AtlasFunctions.AtlasTable("UAT",DataAreaId,"T.MarkupTrans","%CurrencyCode","","","","","","","MarkupCode|TransRecId|TransTableId","TPP",$L531,"492"),"")</f>
        <v/>
      </c>
      <c r="N531" s="4" t="str">
        <f>IF(AtlasReport_1_Table_1[[#This Row],[Reference]]="Purchase order",_xll.AtlasFormulas.AtlasFunctions.AtlasBalance("UAT",DataAreaId,"T.MarkupTrans","Sum|Posted|0","","","","","","","MarkupCode|TransTableId|TransRecId","TPP","492",$L531),"")</f>
        <v/>
      </c>
    </row>
    <row r="532" spans="1:14">
      <c r="A532" s="8" t="s">
        <v>1121</v>
      </c>
      <c r="B532" s="8" t="s">
        <v>726</v>
      </c>
      <c r="C532" s="8" t="s">
        <v>259</v>
      </c>
      <c r="D532" s="8" t="s">
        <v>352</v>
      </c>
      <c r="E532" s="8" t="s">
        <v>237</v>
      </c>
      <c r="F532" s="8" t="s">
        <v>249</v>
      </c>
      <c r="G532" s="6">
        <v>43108</v>
      </c>
      <c r="H532" s="6">
        <v>43108</v>
      </c>
      <c r="I532" s="4">
        <v>-1000</v>
      </c>
      <c r="J532" s="8" t="s">
        <v>66</v>
      </c>
      <c r="K532" s="8" t="s">
        <v>1268</v>
      </c>
      <c r="L532" s="4" t="str">
        <f>IF(AtlasReport_1_Table_1[[#This Row],[Reference]]="Purchase order",_xll.AtlasFormulas.AtlasFunctions.AtlasTable("UAT",DataAreaId,"T.VendInvoiceTrans","%RecId","","","","","","","ItemId|PurchID|InventTransId",$C532,$B532,$K532),"")</f>
        <v/>
      </c>
      <c r="M532" s="4" t="str">
        <f>IF(AtlasReport_1_Table_1[[#This Row],[Reference]]="Purchase order",_xll.AtlasFormulas.AtlasFunctions.AtlasTable("UAT",DataAreaId,"T.MarkupTrans","%CurrencyCode","","","","","","","MarkupCode|TransRecId|TransTableId","TPP",$L532,"492"),"")</f>
        <v/>
      </c>
      <c r="N532" s="4" t="str">
        <f>IF(AtlasReport_1_Table_1[[#This Row],[Reference]]="Purchase order",_xll.AtlasFormulas.AtlasFunctions.AtlasBalance("UAT",DataAreaId,"T.MarkupTrans","Sum|Posted|0","","","","","","","MarkupCode|TransTableId|TransRecId","TPP","492",$L532),"")</f>
        <v/>
      </c>
    </row>
    <row r="533" spans="1:14">
      <c r="A533" s="8" t="s">
        <v>1121</v>
      </c>
      <c r="B533" s="8" t="s">
        <v>726</v>
      </c>
      <c r="C533" s="8" t="s">
        <v>290</v>
      </c>
      <c r="D533" s="8" t="s">
        <v>472</v>
      </c>
      <c r="E533" s="8" t="s">
        <v>237</v>
      </c>
      <c r="F533" s="8" t="s">
        <v>238</v>
      </c>
      <c r="G533" s="6">
        <v>43108</v>
      </c>
      <c r="H533" s="6">
        <v>43108</v>
      </c>
      <c r="I533" s="4">
        <v>-19</v>
      </c>
      <c r="J533" s="8" t="s">
        <v>66</v>
      </c>
      <c r="K533" s="8" t="s">
        <v>1269</v>
      </c>
      <c r="L533" s="4" t="str">
        <f>IF(AtlasReport_1_Table_1[[#This Row],[Reference]]="Purchase order",_xll.AtlasFormulas.AtlasFunctions.AtlasTable("UAT",DataAreaId,"T.VendInvoiceTrans","%RecId","","","","","","","ItemId|PurchID|InventTransId",$C533,$B533,$K533),"")</f>
        <v/>
      </c>
      <c r="M533" s="4" t="str">
        <f>IF(AtlasReport_1_Table_1[[#This Row],[Reference]]="Purchase order",_xll.AtlasFormulas.AtlasFunctions.AtlasTable("UAT",DataAreaId,"T.MarkupTrans","%CurrencyCode","","","","","","","MarkupCode|TransRecId|TransTableId","TPP",$L533,"492"),"")</f>
        <v/>
      </c>
      <c r="N533" s="4" t="str">
        <f>IF(AtlasReport_1_Table_1[[#This Row],[Reference]]="Purchase order",_xll.AtlasFormulas.AtlasFunctions.AtlasBalance("UAT",DataAreaId,"T.MarkupTrans","Sum|Posted|0","","","","","","","MarkupCode|TransTableId|TransRecId","TPP","492",$L533),"")</f>
        <v/>
      </c>
    </row>
    <row r="534" spans="1:14">
      <c r="A534" s="8" t="s">
        <v>1121</v>
      </c>
      <c r="B534" s="8" t="s">
        <v>728</v>
      </c>
      <c r="C534" s="8" t="s">
        <v>369</v>
      </c>
      <c r="D534" s="8" t="s">
        <v>370</v>
      </c>
      <c r="E534" s="8" t="s">
        <v>237</v>
      </c>
      <c r="F534" s="8" t="s">
        <v>238</v>
      </c>
      <c r="G534" s="6">
        <v>43108</v>
      </c>
      <c r="H534" s="6">
        <v>43108</v>
      </c>
      <c r="I534" s="4">
        <v>-5050</v>
      </c>
      <c r="J534" s="8" t="s">
        <v>66</v>
      </c>
      <c r="K534" s="8" t="s">
        <v>1270</v>
      </c>
      <c r="L534" s="4" t="str">
        <f>IF(AtlasReport_1_Table_1[[#This Row],[Reference]]="Purchase order",_xll.AtlasFormulas.AtlasFunctions.AtlasTable("UAT",DataAreaId,"T.VendInvoiceTrans","%RecId","","","","","","","ItemId|PurchID|InventTransId",$C534,$B534,$K534),"")</f>
        <v/>
      </c>
      <c r="M534" s="4" t="str">
        <f>IF(AtlasReport_1_Table_1[[#This Row],[Reference]]="Purchase order",_xll.AtlasFormulas.AtlasFunctions.AtlasTable("UAT",DataAreaId,"T.MarkupTrans","%CurrencyCode","","","","","","","MarkupCode|TransRecId|TransTableId","TPP",$L534,"492"),"")</f>
        <v/>
      </c>
      <c r="N534" s="4" t="str">
        <f>IF(AtlasReport_1_Table_1[[#This Row],[Reference]]="Purchase order",_xll.AtlasFormulas.AtlasFunctions.AtlasBalance("UAT",DataAreaId,"T.MarkupTrans","Sum|Posted|0","","","","","","","MarkupCode|TransTableId|TransRecId","TPP","492",$L534),"")</f>
        <v/>
      </c>
    </row>
    <row r="535" spans="1:14">
      <c r="A535" s="8" t="s">
        <v>1121</v>
      </c>
      <c r="B535" s="8" t="s">
        <v>728</v>
      </c>
      <c r="C535" s="8" t="s">
        <v>856</v>
      </c>
      <c r="D535" s="8" t="s">
        <v>857</v>
      </c>
      <c r="E535" s="8" t="s">
        <v>237</v>
      </c>
      <c r="F535" s="8" t="s">
        <v>238</v>
      </c>
      <c r="G535" s="6">
        <v>43108</v>
      </c>
      <c r="H535" s="6">
        <v>43108</v>
      </c>
      <c r="I535" s="4">
        <v>-202</v>
      </c>
      <c r="J535" s="8" t="s">
        <v>22</v>
      </c>
      <c r="K535" s="8" t="s">
        <v>1271</v>
      </c>
      <c r="L535" s="4" t="str">
        <f>IF(AtlasReport_1_Table_1[[#This Row],[Reference]]="Purchase order",_xll.AtlasFormulas.AtlasFunctions.AtlasTable("UAT",DataAreaId,"T.VendInvoiceTrans","%RecId","","","","","","","ItemId|PurchID|InventTransId",$C535,$B535,$K535),"")</f>
        <v/>
      </c>
      <c r="M535" s="4" t="str">
        <f>IF(AtlasReport_1_Table_1[[#This Row],[Reference]]="Purchase order",_xll.AtlasFormulas.AtlasFunctions.AtlasTable("UAT",DataAreaId,"T.MarkupTrans","%CurrencyCode","","","","","","","MarkupCode|TransRecId|TransTableId","TPP",$L535,"492"),"")</f>
        <v/>
      </c>
      <c r="N535" s="4" t="str">
        <f>IF(AtlasReport_1_Table_1[[#This Row],[Reference]]="Purchase order",_xll.AtlasFormulas.AtlasFunctions.AtlasBalance("UAT",DataAreaId,"T.MarkupTrans","Sum|Posted|0","","","","","","","MarkupCode|TransTableId|TransRecId","TPP","492",$L535),"")</f>
        <v/>
      </c>
    </row>
    <row r="536" spans="1:14">
      <c r="A536" s="8" t="s">
        <v>1121</v>
      </c>
      <c r="B536" s="8" t="s">
        <v>730</v>
      </c>
      <c r="C536" s="8" t="s">
        <v>250</v>
      </c>
      <c r="D536" s="8" t="s">
        <v>329</v>
      </c>
      <c r="E536" s="8" t="s">
        <v>237</v>
      </c>
      <c r="F536" s="8" t="s">
        <v>249</v>
      </c>
      <c r="G536" s="6">
        <v>43108</v>
      </c>
      <c r="H536" s="6">
        <v>43108</v>
      </c>
      <c r="I536" s="4">
        <v>-3600</v>
      </c>
      <c r="J536" s="8" t="s">
        <v>66</v>
      </c>
      <c r="K536" s="8" t="s">
        <v>1272</v>
      </c>
      <c r="L536" s="4" t="str">
        <f>IF(AtlasReport_1_Table_1[[#This Row],[Reference]]="Purchase order",_xll.AtlasFormulas.AtlasFunctions.AtlasTable("UAT",DataAreaId,"T.VendInvoiceTrans","%RecId","","","","","","","ItemId|PurchID|InventTransId",$C536,$B536,$K536),"")</f>
        <v/>
      </c>
      <c r="M536" s="4" t="str">
        <f>IF(AtlasReport_1_Table_1[[#This Row],[Reference]]="Purchase order",_xll.AtlasFormulas.AtlasFunctions.AtlasTable("UAT",DataAreaId,"T.MarkupTrans","%CurrencyCode","","","","","","","MarkupCode|TransRecId|TransTableId","TPP",$L536,"492"),"")</f>
        <v/>
      </c>
      <c r="N536" s="4" t="str">
        <f>IF(AtlasReport_1_Table_1[[#This Row],[Reference]]="Purchase order",_xll.AtlasFormulas.AtlasFunctions.AtlasBalance("UAT",DataAreaId,"T.MarkupTrans","Sum|Posted|0","","","","","","","MarkupCode|TransTableId|TransRecId","TPP","492",$L536),"")</f>
        <v/>
      </c>
    </row>
    <row r="537" spans="1:14">
      <c r="A537" s="8" t="s">
        <v>1121</v>
      </c>
      <c r="B537" s="8" t="s">
        <v>730</v>
      </c>
      <c r="C537" s="8" t="s">
        <v>256</v>
      </c>
      <c r="D537" s="8" t="s">
        <v>349</v>
      </c>
      <c r="E537" s="8" t="s">
        <v>237</v>
      </c>
      <c r="F537" s="8" t="s">
        <v>249</v>
      </c>
      <c r="G537" s="6">
        <v>43108</v>
      </c>
      <c r="H537" s="6">
        <v>43108</v>
      </c>
      <c r="I537" s="4">
        <v>-1500</v>
      </c>
      <c r="J537" s="8" t="s">
        <v>66</v>
      </c>
      <c r="K537" s="8" t="s">
        <v>1273</v>
      </c>
      <c r="L537" s="4" t="str">
        <f>IF(AtlasReport_1_Table_1[[#This Row],[Reference]]="Purchase order",_xll.AtlasFormulas.AtlasFunctions.AtlasTable("UAT",DataAreaId,"T.VendInvoiceTrans","%RecId","","","","","","","ItemId|PurchID|InventTransId",$C537,$B537,$K537),"")</f>
        <v/>
      </c>
      <c r="M537" s="4" t="str">
        <f>IF(AtlasReport_1_Table_1[[#This Row],[Reference]]="Purchase order",_xll.AtlasFormulas.AtlasFunctions.AtlasTable("UAT",DataAreaId,"T.MarkupTrans","%CurrencyCode","","","","","","","MarkupCode|TransRecId|TransTableId","TPP",$L537,"492"),"")</f>
        <v/>
      </c>
      <c r="N537" s="4" t="str">
        <f>IF(AtlasReport_1_Table_1[[#This Row],[Reference]]="Purchase order",_xll.AtlasFormulas.AtlasFunctions.AtlasBalance("UAT",DataAreaId,"T.MarkupTrans","Sum|Posted|0","","","","","","","MarkupCode|TransTableId|TransRecId","TPP","492",$L537),"")</f>
        <v/>
      </c>
    </row>
    <row r="538" spans="1:14">
      <c r="A538" s="8" t="s">
        <v>1121</v>
      </c>
      <c r="B538" s="8" t="s">
        <v>730</v>
      </c>
      <c r="C538" s="8" t="s">
        <v>257</v>
      </c>
      <c r="D538" s="8" t="s">
        <v>350</v>
      </c>
      <c r="E538" s="8" t="s">
        <v>237</v>
      </c>
      <c r="F538" s="8" t="s">
        <v>249</v>
      </c>
      <c r="G538" s="6">
        <v>43108</v>
      </c>
      <c r="H538" s="6">
        <v>43108</v>
      </c>
      <c r="I538" s="4">
        <v>-1500</v>
      </c>
      <c r="J538" s="8" t="s">
        <v>66</v>
      </c>
      <c r="K538" s="8" t="s">
        <v>1274</v>
      </c>
      <c r="L538" s="4" t="str">
        <f>IF(AtlasReport_1_Table_1[[#This Row],[Reference]]="Purchase order",_xll.AtlasFormulas.AtlasFunctions.AtlasTable("UAT",DataAreaId,"T.VendInvoiceTrans","%RecId","","","","","","","ItemId|PurchID|InventTransId",$C538,$B538,$K538),"")</f>
        <v/>
      </c>
      <c r="M538" s="4" t="str">
        <f>IF(AtlasReport_1_Table_1[[#This Row],[Reference]]="Purchase order",_xll.AtlasFormulas.AtlasFunctions.AtlasTable("UAT",DataAreaId,"T.MarkupTrans","%CurrencyCode","","","","","","","MarkupCode|TransRecId|TransTableId","TPP",$L538,"492"),"")</f>
        <v/>
      </c>
      <c r="N538" s="4" t="str">
        <f>IF(AtlasReport_1_Table_1[[#This Row],[Reference]]="Purchase order",_xll.AtlasFormulas.AtlasFunctions.AtlasBalance("UAT",DataAreaId,"T.MarkupTrans","Sum|Posted|0","","","","","","","MarkupCode|TransTableId|TransRecId","TPP","492",$L538),"")</f>
        <v/>
      </c>
    </row>
    <row r="539" spans="1:14">
      <c r="A539" s="8" t="s">
        <v>1121</v>
      </c>
      <c r="B539" s="8" t="s">
        <v>730</v>
      </c>
      <c r="C539" s="8" t="s">
        <v>258</v>
      </c>
      <c r="D539" s="8" t="s">
        <v>351</v>
      </c>
      <c r="E539" s="8" t="s">
        <v>237</v>
      </c>
      <c r="F539" s="8" t="s">
        <v>249</v>
      </c>
      <c r="G539" s="6">
        <v>43108</v>
      </c>
      <c r="H539" s="6">
        <v>43108</v>
      </c>
      <c r="I539" s="4">
        <v>-1500</v>
      </c>
      <c r="J539" s="8" t="s">
        <v>66</v>
      </c>
      <c r="K539" s="8" t="s">
        <v>1275</v>
      </c>
      <c r="L539" s="4" t="str">
        <f>IF(AtlasReport_1_Table_1[[#This Row],[Reference]]="Purchase order",_xll.AtlasFormulas.AtlasFunctions.AtlasTable("UAT",DataAreaId,"T.VendInvoiceTrans","%RecId","","","","","","","ItemId|PurchID|InventTransId",$C539,$B539,$K539),"")</f>
        <v/>
      </c>
      <c r="M539" s="4" t="str">
        <f>IF(AtlasReport_1_Table_1[[#This Row],[Reference]]="Purchase order",_xll.AtlasFormulas.AtlasFunctions.AtlasTable("UAT",DataAreaId,"T.MarkupTrans","%CurrencyCode","","","","","","","MarkupCode|TransRecId|TransTableId","TPP",$L539,"492"),"")</f>
        <v/>
      </c>
      <c r="N539" s="4" t="str">
        <f>IF(AtlasReport_1_Table_1[[#This Row],[Reference]]="Purchase order",_xll.AtlasFormulas.AtlasFunctions.AtlasBalance("UAT",DataAreaId,"T.MarkupTrans","Sum|Posted|0","","","","","","","MarkupCode|TransTableId|TransRecId","TPP","492",$L539),"")</f>
        <v/>
      </c>
    </row>
    <row r="540" spans="1:14">
      <c r="A540" s="8" t="s">
        <v>1121</v>
      </c>
      <c r="B540" s="8" t="s">
        <v>730</v>
      </c>
      <c r="C540" s="8" t="s">
        <v>259</v>
      </c>
      <c r="D540" s="8" t="s">
        <v>352</v>
      </c>
      <c r="E540" s="8" t="s">
        <v>237</v>
      </c>
      <c r="F540" s="8" t="s">
        <v>249</v>
      </c>
      <c r="G540" s="6">
        <v>43108</v>
      </c>
      <c r="H540" s="6">
        <v>43108</v>
      </c>
      <c r="I540" s="4">
        <v>-2000</v>
      </c>
      <c r="J540" s="8" t="s">
        <v>66</v>
      </c>
      <c r="K540" s="8" t="s">
        <v>1276</v>
      </c>
      <c r="L540" s="4" t="str">
        <f>IF(AtlasReport_1_Table_1[[#This Row],[Reference]]="Purchase order",_xll.AtlasFormulas.AtlasFunctions.AtlasTable("UAT",DataAreaId,"T.VendInvoiceTrans","%RecId","","","","","","","ItemId|PurchID|InventTransId",$C540,$B540,$K540),"")</f>
        <v/>
      </c>
      <c r="M540" s="4" t="str">
        <f>IF(AtlasReport_1_Table_1[[#This Row],[Reference]]="Purchase order",_xll.AtlasFormulas.AtlasFunctions.AtlasTable("UAT",DataAreaId,"T.MarkupTrans","%CurrencyCode","","","","","","","MarkupCode|TransRecId|TransTableId","TPP",$L540,"492"),"")</f>
        <v/>
      </c>
      <c r="N540" s="4" t="str">
        <f>IF(AtlasReport_1_Table_1[[#This Row],[Reference]]="Purchase order",_xll.AtlasFormulas.AtlasFunctions.AtlasBalance("UAT",DataAreaId,"T.MarkupTrans","Sum|Posted|0","","","","","","","MarkupCode|TransTableId|TransRecId","TPP","492",$L540),"")</f>
        <v/>
      </c>
    </row>
    <row r="541" spans="1:14">
      <c r="A541" s="8" t="s">
        <v>1121</v>
      </c>
      <c r="B541" s="8" t="s">
        <v>730</v>
      </c>
      <c r="C541" s="8" t="s">
        <v>290</v>
      </c>
      <c r="D541" s="8" t="s">
        <v>472</v>
      </c>
      <c r="E541" s="8" t="s">
        <v>237</v>
      </c>
      <c r="F541" s="8" t="s">
        <v>238</v>
      </c>
      <c r="G541" s="6">
        <v>43108</v>
      </c>
      <c r="H541" s="6">
        <v>43108</v>
      </c>
      <c r="I541" s="4">
        <v>-38</v>
      </c>
      <c r="J541" s="8" t="s">
        <v>66</v>
      </c>
      <c r="K541" s="8" t="s">
        <v>1277</v>
      </c>
      <c r="L541" s="4" t="str">
        <f>IF(AtlasReport_1_Table_1[[#This Row],[Reference]]="Purchase order",_xll.AtlasFormulas.AtlasFunctions.AtlasTable("UAT",DataAreaId,"T.VendInvoiceTrans","%RecId","","","","","","","ItemId|PurchID|InventTransId",$C541,$B541,$K541),"")</f>
        <v/>
      </c>
      <c r="M541" s="4" t="str">
        <f>IF(AtlasReport_1_Table_1[[#This Row],[Reference]]="Purchase order",_xll.AtlasFormulas.AtlasFunctions.AtlasTable("UAT",DataAreaId,"T.MarkupTrans","%CurrencyCode","","","","","","","MarkupCode|TransRecId|TransTableId","TPP",$L541,"492"),"")</f>
        <v/>
      </c>
      <c r="N541" s="4" t="str">
        <f>IF(AtlasReport_1_Table_1[[#This Row],[Reference]]="Purchase order",_xll.AtlasFormulas.AtlasFunctions.AtlasBalance("UAT",DataAreaId,"T.MarkupTrans","Sum|Posted|0","","","","","","","MarkupCode|TransTableId|TransRecId","TPP","492",$L541),"")</f>
        <v/>
      </c>
    </row>
    <row r="542" spans="1:14">
      <c r="A542" s="8" t="s">
        <v>1121</v>
      </c>
      <c r="B542" s="8" t="s">
        <v>732</v>
      </c>
      <c r="C542" s="8" t="s">
        <v>369</v>
      </c>
      <c r="D542" s="8" t="s">
        <v>370</v>
      </c>
      <c r="E542" s="8" t="s">
        <v>237</v>
      </c>
      <c r="F542" s="8" t="s">
        <v>238</v>
      </c>
      <c r="G542" s="6">
        <v>43108</v>
      </c>
      <c r="H542" s="6">
        <v>43108</v>
      </c>
      <c r="I542" s="4">
        <v>-10125</v>
      </c>
      <c r="J542" s="8" t="s">
        <v>66</v>
      </c>
      <c r="K542" s="8" t="s">
        <v>1278</v>
      </c>
      <c r="L542" s="4" t="str">
        <f>IF(AtlasReport_1_Table_1[[#This Row],[Reference]]="Purchase order",_xll.AtlasFormulas.AtlasFunctions.AtlasTable("UAT",DataAreaId,"T.VendInvoiceTrans","%RecId","","","","","","","ItemId|PurchID|InventTransId",$C542,$B542,$K542),"")</f>
        <v/>
      </c>
      <c r="M542" s="4" t="str">
        <f>IF(AtlasReport_1_Table_1[[#This Row],[Reference]]="Purchase order",_xll.AtlasFormulas.AtlasFunctions.AtlasTable("UAT",DataAreaId,"T.MarkupTrans","%CurrencyCode","","","","","","","MarkupCode|TransRecId|TransTableId","TPP",$L542,"492"),"")</f>
        <v/>
      </c>
      <c r="N542" s="4" t="str">
        <f>IF(AtlasReport_1_Table_1[[#This Row],[Reference]]="Purchase order",_xll.AtlasFormulas.AtlasFunctions.AtlasBalance("UAT",DataAreaId,"T.MarkupTrans","Sum|Posted|0","","","","","","","MarkupCode|TransTableId|TransRecId","TPP","492",$L542),"")</f>
        <v/>
      </c>
    </row>
    <row r="543" spans="1:14">
      <c r="A543" s="8" t="s">
        <v>1121</v>
      </c>
      <c r="B543" s="8" t="s">
        <v>732</v>
      </c>
      <c r="C543" s="8" t="s">
        <v>856</v>
      </c>
      <c r="D543" s="8" t="s">
        <v>857</v>
      </c>
      <c r="E543" s="8" t="s">
        <v>237</v>
      </c>
      <c r="F543" s="8" t="s">
        <v>238</v>
      </c>
      <c r="G543" s="6">
        <v>43108</v>
      </c>
      <c r="H543" s="6">
        <v>43108</v>
      </c>
      <c r="I543" s="4">
        <v>-405</v>
      </c>
      <c r="J543" s="8" t="s">
        <v>22</v>
      </c>
      <c r="K543" s="8" t="s">
        <v>1279</v>
      </c>
      <c r="L543" s="4" t="str">
        <f>IF(AtlasReport_1_Table_1[[#This Row],[Reference]]="Purchase order",_xll.AtlasFormulas.AtlasFunctions.AtlasTable("UAT",DataAreaId,"T.VendInvoiceTrans","%RecId","","","","","","","ItemId|PurchID|InventTransId",$C543,$B543,$K543),"")</f>
        <v/>
      </c>
      <c r="M543" s="4" t="str">
        <f>IF(AtlasReport_1_Table_1[[#This Row],[Reference]]="Purchase order",_xll.AtlasFormulas.AtlasFunctions.AtlasTable("UAT",DataAreaId,"T.MarkupTrans","%CurrencyCode","","","","","","","MarkupCode|TransRecId|TransTableId","TPP",$L543,"492"),"")</f>
        <v/>
      </c>
      <c r="N543" s="4" t="str">
        <f>IF(AtlasReport_1_Table_1[[#This Row],[Reference]]="Purchase order",_xll.AtlasFormulas.AtlasFunctions.AtlasBalance("UAT",DataAreaId,"T.MarkupTrans","Sum|Posted|0","","","","","","","MarkupCode|TransTableId|TransRecId","TPP","492",$L543),"")</f>
        <v/>
      </c>
    </row>
    <row r="544" spans="1:14">
      <c r="A544" s="8" t="s">
        <v>1121</v>
      </c>
      <c r="B544" s="8" t="s">
        <v>734</v>
      </c>
      <c r="C544" s="8" t="s">
        <v>358</v>
      </c>
      <c r="D544" s="8" t="s">
        <v>359</v>
      </c>
      <c r="E544" s="8" t="s">
        <v>237</v>
      </c>
      <c r="F544" s="8" t="s">
        <v>238</v>
      </c>
      <c r="G544" s="6">
        <v>43108</v>
      </c>
      <c r="H544" s="6">
        <v>43108</v>
      </c>
      <c r="I544" s="4">
        <v>-1278</v>
      </c>
      <c r="J544" s="8" t="s">
        <v>66</v>
      </c>
      <c r="K544" s="8" t="s">
        <v>1280</v>
      </c>
      <c r="L544" s="4" t="str">
        <f>IF(AtlasReport_1_Table_1[[#This Row],[Reference]]="Purchase order",_xll.AtlasFormulas.AtlasFunctions.AtlasTable("UAT",DataAreaId,"T.VendInvoiceTrans","%RecId","","","","","","","ItemId|PurchID|InventTransId",$C544,$B544,$K544),"")</f>
        <v/>
      </c>
      <c r="M544" s="4" t="str">
        <f>IF(AtlasReport_1_Table_1[[#This Row],[Reference]]="Purchase order",_xll.AtlasFormulas.AtlasFunctions.AtlasTable("UAT",DataAreaId,"T.MarkupTrans","%CurrencyCode","","","","","","","MarkupCode|TransRecId|TransTableId","TPP",$L544,"492"),"")</f>
        <v/>
      </c>
      <c r="N544" s="4" t="str">
        <f>IF(AtlasReport_1_Table_1[[#This Row],[Reference]]="Purchase order",_xll.AtlasFormulas.AtlasFunctions.AtlasBalance("UAT",DataAreaId,"T.MarkupTrans","Sum|Posted|0","","","","","","","MarkupCode|TransTableId|TransRecId","TPP","492",$L544),"")</f>
        <v/>
      </c>
    </row>
    <row r="545" spans="1:14">
      <c r="A545" s="8" t="s">
        <v>1121</v>
      </c>
      <c r="B545" s="8" t="s">
        <v>734</v>
      </c>
      <c r="C545" s="8" t="s">
        <v>1040</v>
      </c>
      <c r="D545" s="8" t="s">
        <v>1041</v>
      </c>
      <c r="E545" s="8" t="s">
        <v>237</v>
      </c>
      <c r="F545" s="8" t="s">
        <v>238</v>
      </c>
      <c r="G545" s="6">
        <v>43108</v>
      </c>
      <c r="H545" s="6">
        <v>43108</v>
      </c>
      <c r="I545" s="4">
        <v>-45</v>
      </c>
      <c r="J545" s="8" t="s">
        <v>22</v>
      </c>
      <c r="K545" s="8" t="s">
        <v>1281</v>
      </c>
      <c r="L545" s="4" t="str">
        <f>IF(AtlasReport_1_Table_1[[#This Row],[Reference]]="Purchase order",_xll.AtlasFormulas.AtlasFunctions.AtlasTable("UAT",DataAreaId,"T.VendInvoiceTrans","%RecId","","","","","","","ItemId|PurchID|InventTransId",$C545,$B545,$K545),"")</f>
        <v/>
      </c>
      <c r="M545" s="4" t="str">
        <f>IF(AtlasReport_1_Table_1[[#This Row],[Reference]]="Purchase order",_xll.AtlasFormulas.AtlasFunctions.AtlasTable("UAT",DataAreaId,"T.MarkupTrans","%CurrencyCode","","","","","","","MarkupCode|TransRecId|TransTableId","TPP",$L545,"492"),"")</f>
        <v/>
      </c>
      <c r="N545" s="4" t="str">
        <f>IF(AtlasReport_1_Table_1[[#This Row],[Reference]]="Purchase order",_xll.AtlasFormulas.AtlasFunctions.AtlasBalance("UAT",DataAreaId,"T.MarkupTrans","Sum|Posted|0","","","","","","","MarkupCode|TransTableId|TransRecId","TPP","492",$L545),"")</f>
        <v/>
      </c>
    </row>
    <row r="546" spans="1:14">
      <c r="A546" s="8" t="s">
        <v>1121</v>
      </c>
      <c r="B546" s="8" t="s">
        <v>734</v>
      </c>
      <c r="C546" s="8" t="s">
        <v>856</v>
      </c>
      <c r="D546" s="8" t="s">
        <v>857</v>
      </c>
      <c r="E546" s="8" t="s">
        <v>237</v>
      </c>
      <c r="F546" s="8" t="s">
        <v>238</v>
      </c>
      <c r="G546" s="6">
        <v>43108</v>
      </c>
      <c r="H546" s="6">
        <v>43108</v>
      </c>
      <c r="I546" s="4">
        <v>-45</v>
      </c>
      <c r="J546" s="8" t="s">
        <v>22</v>
      </c>
      <c r="K546" s="8" t="s">
        <v>1282</v>
      </c>
      <c r="L546" s="4" t="str">
        <f>IF(AtlasReport_1_Table_1[[#This Row],[Reference]]="Purchase order",_xll.AtlasFormulas.AtlasFunctions.AtlasTable("UAT",DataAreaId,"T.VendInvoiceTrans","%RecId","","","","","","","ItemId|PurchID|InventTransId",$C546,$B546,$K546),"")</f>
        <v/>
      </c>
      <c r="M546" s="4" t="str">
        <f>IF(AtlasReport_1_Table_1[[#This Row],[Reference]]="Purchase order",_xll.AtlasFormulas.AtlasFunctions.AtlasTable("UAT",DataAreaId,"T.MarkupTrans","%CurrencyCode","","","","","","","MarkupCode|TransRecId|TransTableId","TPP",$L546,"492"),"")</f>
        <v/>
      </c>
      <c r="N546" s="4" t="str">
        <f>IF(AtlasReport_1_Table_1[[#This Row],[Reference]]="Purchase order",_xll.AtlasFormulas.AtlasFunctions.AtlasBalance("UAT",DataAreaId,"T.MarkupTrans","Sum|Posted|0","","","","","","","MarkupCode|TransTableId|TransRecId","TPP","492",$L546),"")</f>
        <v/>
      </c>
    </row>
    <row r="547" spans="1:14">
      <c r="A547" s="8" t="s">
        <v>1121</v>
      </c>
      <c r="B547" s="8" t="s">
        <v>736</v>
      </c>
      <c r="C547" s="8" t="s">
        <v>1040</v>
      </c>
      <c r="D547" s="8" t="s">
        <v>1041</v>
      </c>
      <c r="E547" s="8" t="s">
        <v>237</v>
      </c>
      <c r="F547" s="8" t="s">
        <v>238</v>
      </c>
      <c r="G547" s="6">
        <v>43108</v>
      </c>
      <c r="H547" s="6">
        <v>43108</v>
      </c>
      <c r="I547" s="4">
        <v>-2</v>
      </c>
      <c r="J547" s="8" t="s">
        <v>22</v>
      </c>
      <c r="K547" s="8" t="s">
        <v>1283</v>
      </c>
      <c r="L547" s="4" t="str">
        <f>IF(AtlasReport_1_Table_1[[#This Row],[Reference]]="Purchase order",_xll.AtlasFormulas.AtlasFunctions.AtlasTable("UAT",DataAreaId,"T.VendInvoiceTrans","%RecId","","","","","","","ItemId|PurchID|InventTransId",$C547,$B547,$K547),"")</f>
        <v/>
      </c>
      <c r="M547" s="4" t="str">
        <f>IF(AtlasReport_1_Table_1[[#This Row],[Reference]]="Purchase order",_xll.AtlasFormulas.AtlasFunctions.AtlasTable("UAT",DataAreaId,"T.MarkupTrans","%CurrencyCode","","","","","","","MarkupCode|TransRecId|TransTableId","TPP",$L547,"492"),"")</f>
        <v/>
      </c>
      <c r="N547" s="4" t="str">
        <f>IF(AtlasReport_1_Table_1[[#This Row],[Reference]]="Purchase order",_xll.AtlasFormulas.AtlasFunctions.AtlasBalance("UAT",DataAreaId,"T.MarkupTrans","Sum|Posted|0","","","","","","","MarkupCode|TransTableId|TransRecId","TPP","492",$L547),"")</f>
        <v/>
      </c>
    </row>
    <row r="548" spans="1:14">
      <c r="A548" s="8" t="s">
        <v>1121</v>
      </c>
      <c r="B548" s="8" t="s">
        <v>736</v>
      </c>
      <c r="C548" s="8" t="s">
        <v>266</v>
      </c>
      <c r="D548" s="8" t="s">
        <v>367</v>
      </c>
      <c r="E548" s="8" t="s">
        <v>237</v>
      </c>
      <c r="F548" s="8" t="s">
        <v>238</v>
      </c>
      <c r="G548" s="6">
        <v>43108</v>
      </c>
      <c r="H548" s="6">
        <v>43108</v>
      </c>
      <c r="I548" s="4">
        <v>-4.0679999999999996</v>
      </c>
      <c r="J548" s="8" t="s">
        <v>66</v>
      </c>
      <c r="K548" s="8" t="s">
        <v>1284</v>
      </c>
      <c r="L548" s="4" t="str">
        <f>IF(AtlasReport_1_Table_1[[#This Row],[Reference]]="Purchase order",_xll.AtlasFormulas.AtlasFunctions.AtlasTable("UAT",DataAreaId,"T.VendInvoiceTrans","%RecId","","","","","","","ItemId|PurchID|InventTransId",$C548,$B548,$K548),"")</f>
        <v/>
      </c>
      <c r="M548" s="4" t="str">
        <f>IF(AtlasReport_1_Table_1[[#This Row],[Reference]]="Purchase order",_xll.AtlasFormulas.AtlasFunctions.AtlasTable("UAT",DataAreaId,"T.MarkupTrans","%CurrencyCode","","","","","","","MarkupCode|TransRecId|TransTableId","TPP",$L548,"492"),"")</f>
        <v/>
      </c>
      <c r="N548" s="4" t="str">
        <f>IF(AtlasReport_1_Table_1[[#This Row],[Reference]]="Purchase order",_xll.AtlasFormulas.AtlasFunctions.AtlasBalance("UAT",DataAreaId,"T.MarkupTrans","Sum|Posted|0","","","","","","","MarkupCode|TransTableId|TransRecId","TPP","492",$L548),"")</f>
        <v/>
      </c>
    </row>
    <row r="549" spans="1:14">
      <c r="A549" s="8" t="s">
        <v>1121</v>
      </c>
      <c r="B549" s="8" t="s">
        <v>738</v>
      </c>
      <c r="C549" s="8" t="s">
        <v>1094</v>
      </c>
      <c r="D549" s="8" t="s">
        <v>1095</v>
      </c>
      <c r="E549" s="8" t="s">
        <v>237</v>
      </c>
      <c r="F549" s="8" t="s">
        <v>238</v>
      </c>
      <c r="G549" s="6">
        <v>43115</v>
      </c>
      <c r="H549" s="6">
        <v>43115</v>
      </c>
      <c r="I549" s="4">
        <v>-1</v>
      </c>
      <c r="J549" s="8" t="s">
        <v>22</v>
      </c>
      <c r="K549" s="8" t="s">
        <v>1285</v>
      </c>
      <c r="L549" s="4" t="str">
        <f>IF(AtlasReport_1_Table_1[[#This Row],[Reference]]="Purchase order",_xll.AtlasFormulas.AtlasFunctions.AtlasTable("UAT",DataAreaId,"T.VendInvoiceTrans","%RecId","","","","","","","ItemId|PurchID|InventTransId",$C549,$B549,$K549),"")</f>
        <v/>
      </c>
      <c r="M549" s="4" t="str">
        <f>IF(AtlasReport_1_Table_1[[#This Row],[Reference]]="Purchase order",_xll.AtlasFormulas.AtlasFunctions.AtlasTable("UAT",DataAreaId,"T.MarkupTrans","%CurrencyCode","","","","","","","MarkupCode|TransRecId|TransTableId","TPP",$L549,"492"),"")</f>
        <v/>
      </c>
      <c r="N549" s="4" t="str">
        <f>IF(AtlasReport_1_Table_1[[#This Row],[Reference]]="Purchase order",_xll.AtlasFormulas.AtlasFunctions.AtlasBalance("UAT",DataAreaId,"T.MarkupTrans","Sum|Posted|0","","","","","","","MarkupCode|TransTableId|TransRecId","TPP","492",$L549),"")</f>
        <v/>
      </c>
    </row>
    <row r="550" spans="1:14">
      <c r="A550" s="8" t="s">
        <v>1121</v>
      </c>
      <c r="B550" s="8" t="s">
        <v>738</v>
      </c>
      <c r="C550" s="8" t="s">
        <v>296</v>
      </c>
      <c r="D550" s="8" t="s">
        <v>486</v>
      </c>
      <c r="E550" s="8" t="s">
        <v>237</v>
      </c>
      <c r="F550" s="8" t="s">
        <v>238</v>
      </c>
      <c r="G550" s="6">
        <v>43115</v>
      </c>
      <c r="H550" s="6">
        <v>43115</v>
      </c>
      <c r="I550" s="4">
        <v>-4.3499999999999996</v>
      </c>
      <c r="J550" s="8" t="s">
        <v>66</v>
      </c>
      <c r="K550" s="8" t="s">
        <v>1286</v>
      </c>
      <c r="L550" s="4" t="str">
        <f>IF(AtlasReport_1_Table_1[[#This Row],[Reference]]="Purchase order",_xll.AtlasFormulas.AtlasFunctions.AtlasTable("UAT",DataAreaId,"T.VendInvoiceTrans","%RecId","","","","","","","ItemId|PurchID|InventTransId",$C550,$B550,$K550),"")</f>
        <v/>
      </c>
      <c r="M550" s="4" t="str">
        <f>IF(AtlasReport_1_Table_1[[#This Row],[Reference]]="Purchase order",_xll.AtlasFormulas.AtlasFunctions.AtlasTable("UAT",DataAreaId,"T.MarkupTrans","%CurrencyCode","","","","","","","MarkupCode|TransRecId|TransTableId","TPP",$L550,"492"),"")</f>
        <v/>
      </c>
      <c r="N550" s="4" t="str">
        <f>IF(AtlasReport_1_Table_1[[#This Row],[Reference]]="Purchase order",_xll.AtlasFormulas.AtlasFunctions.AtlasBalance("UAT",DataAreaId,"T.MarkupTrans","Sum|Posted|0","","","","","","","MarkupCode|TransTableId|TransRecId","TPP","492",$L550),"")</f>
        <v/>
      </c>
    </row>
    <row r="551" spans="1:14">
      <c r="A551" s="8" t="s">
        <v>1121</v>
      </c>
      <c r="B551" s="8" t="s">
        <v>740</v>
      </c>
      <c r="C551" s="8" t="s">
        <v>298</v>
      </c>
      <c r="D551" s="8" t="s">
        <v>489</v>
      </c>
      <c r="E551" s="8" t="s">
        <v>237</v>
      </c>
      <c r="F551" s="8" t="s">
        <v>238</v>
      </c>
      <c r="G551" s="6">
        <v>43115</v>
      </c>
      <c r="H551" s="6">
        <v>43115</v>
      </c>
      <c r="I551" s="4">
        <v>-625</v>
      </c>
      <c r="J551" s="8" t="s">
        <v>66</v>
      </c>
      <c r="K551" s="8" t="s">
        <v>1287</v>
      </c>
      <c r="L551" s="4" t="str">
        <f>IF(AtlasReport_1_Table_1[[#This Row],[Reference]]="Purchase order",_xll.AtlasFormulas.AtlasFunctions.AtlasTable("UAT",DataAreaId,"T.VendInvoiceTrans","%RecId","","","","","","","ItemId|PurchID|InventTransId",$C551,$B551,$K551),"")</f>
        <v/>
      </c>
      <c r="M551" s="4" t="str">
        <f>IF(AtlasReport_1_Table_1[[#This Row],[Reference]]="Purchase order",_xll.AtlasFormulas.AtlasFunctions.AtlasTable("UAT",DataAreaId,"T.MarkupTrans","%CurrencyCode","","","","","","","MarkupCode|TransRecId|TransTableId","TPP",$L551,"492"),"")</f>
        <v/>
      </c>
      <c r="N551" s="4" t="str">
        <f>IF(AtlasReport_1_Table_1[[#This Row],[Reference]]="Purchase order",_xll.AtlasFormulas.AtlasFunctions.AtlasBalance("UAT",DataAreaId,"T.MarkupTrans","Sum|Posted|0","","","","","","","MarkupCode|TransTableId|TransRecId","TPP","492",$L551),"")</f>
        <v/>
      </c>
    </row>
    <row r="552" spans="1:14">
      <c r="A552" s="8" t="s">
        <v>1121</v>
      </c>
      <c r="B552" s="8" t="s">
        <v>742</v>
      </c>
      <c r="C552" s="8" t="s">
        <v>248</v>
      </c>
      <c r="D552" s="8" t="s">
        <v>327</v>
      </c>
      <c r="E552" s="8" t="s">
        <v>237</v>
      </c>
      <c r="F552" s="8" t="s">
        <v>249</v>
      </c>
      <c r="G552" s="6">
        <v>43132</v>
      </c>
      <c r="H552" s="6">
        <v>43132</v>
      </c>
      <c r="I552" s="4">
        <v>-1500.1458</v>
      </c>
      <c r="J552" s="8" t="s">
        <v>66</v>
      </c>
      <c r="K552" s="8" t="s">
        <v>1288</v>
      </c>
      <c r="L552" s="4" t="str">
        <f>IF(AtlasReport_1_Table_1[[#This Row],[Reference]]="Purchase order",_xll.AtlasFormulas.AtlasFunctions.AtlasTable("UAT",DataAreaId,"T.VendInvoiceTrans","%RecId","","","","","","","ItemId|PurchID|InventTransId",$C552,$B552,$K552),"")</f>
        <v/>
      </c>
      <c r="M552" s="4" t="str">
        <f>IF(AtlasReport_1_Table_1[[#This Row],[Reference]]="Purchase order",_xll.AtlasFormulas.AtlasFunctions.AtlasTable("UAT",DataAreaId,"T.MarkupTrans","%CurrencyCode","","","","","","","MarkupCode|TransRecId|TransTableId","TPP",$L552,"492"),"")</f>
        <v/>
      </c>
      <c r="N552" s="4" t="str">
        <f>IF(AtlasReport_1_Table_1[[#This Row],[Reference]]="Purchase order",_xll.AtlasFormulas.AtlasFunctions.AtlasBalance("UAT",DataAreaId,"T.MarkupTrans","Sum|Posted|0","","","","","","","MarkupCode|TransTableId|TransRecId","TPP","492",$L552),"")</f>
        <v/>
      </c>
    </row>
    <row r="553" spans="1:14">
      <c r="A553" s="8" t="s">
        <v>1121</v>
      </c>
      <c r="B553" s="8" t="s">
        <v>742</v>
      </c>
      <c r="C553" s="8" t="s">
        <v>256</v>
      </c>
      <c r="D553" s="8" t="s">
        <v>349</v>
      </c>
      <c r="E553" s="8" t="s">
        <v>237</v>
      </c>
      <c r="F553" s="8" t="s">
        <v>249</v>
      </c>
      <c r="G553" s="6">
        <v>43132</v>
      </c>
      <c r="H553" s="6">
        <v>43132</v>
      </c>
      <c r="I553" s="4">
        <v>-600.05829999999992</v>
      </c>
      <c r="J553" s="8" t="s">
        <v>66</v>
      </c>
      <c r="K553" s="8" t="s">
        <v>1289</v>
      </c>
      <c r="L553" s="4" t="str">
        <f>IF(AtlasReport_1_Table_1[[#This Row],[Reference]]="Purchase order",_xll.AtlasFormulas.AtlasFunctions.AtlasTable("UAT",DataAreaId,"T.VendInvoiceTrans","%RecId","","","","","","","ItemId|PurchID|InventTransId",$C553,$B553,$K553),"")</f>
        <v/>
      </c>
      <c r="M553" s="4" t="str">
        <f>IF(AtlasReport_1_Table_1[[#This Row],[Reference]]="Purchase order",_xll.AtlasFormulas.AtlasFunctions.AtlasTable("UAT",DataAreaId,"T.MarkupTrans","%CurrencyCode","","","","","","","MarkupCode|TransRecId|TransTableId","TPP",$L553,"492"),"")</f>
        <v/>
      </c>
      <c r="N553" s="4" t="str">
        <f>IF(AtlasReport_1_Table_1[[#This Row],[Reference]]="Purchase order",_xll.AtlasFormulas.AtlasFunctions.AtlasBalance("UAT",DataAreaId,"T.MarkupTrans","Sum|Posted|0","","","","","","","MarkupCode|TransTableId|TransRecId","TPP","492",$L553),"")</f>
        <v/>
      </c>
    </row>
    <row r="554" spans="1:14">
      <c r="A554" s="8" t="s">
        <v>1121</v>
      </c>
      <c r="B554" s="8" t="s">
        <v>742</v>
      </c>
      <c r="C554" s="8" t="s">
        <v>257</v>
      </c>
      <c r="D554" s="8" t="s">
        <v>350</v>
      </c>
      <c r="E554" s="8" t="s">
        <v>237</v>
      </c>
      <c r="F554" s="8" t="s">
        <v>249</v>
      </c>
      <c r="G554" s="6">
        <v>43132</v>
      </c>
      <c r="H554" s="6">
        <v>43132</v>
      </c>
      <c r="I554" s="4">
        <v>-600.05829999999992</v>
      </c>
      <c r="J554" s="8" t="s">
        <v>66</v>
      </c>
      <c r="K554" s="8" t="s">
        <v>1290</v>
      </c>
      <c r="L554" s="4" t="str">
        <f>IF(AtlasReport_1_Table_1[[#This Row],[Reference]]="Purchase order",_xll.AtlasFormulas.AtlasFunctions.AtlasTable("UAT",DataAreaId,"T.VendInvoiceTrans","%RecId","","","","","","","ItemId|PurchID|InventTransId",$C554,$B554,$K554),"")</f>
        <v/>
      </c>
      <c r="M554" s="4" t="str">
        <f>IF(AtlasReport_1_Table_1[[#This Row],[Reference]]="Purchase order",_xll.AtlasFormulas.AtlasFunctions.AtlasTable("UAT",DataAreaId,"T.MarkupTrans","%CurrencyCode","","","","","","","MarkupCode|TransRecId|TransTableId","TPP",$L554,"492"),"")</f>
        <v/>
      </c>
      <c r="N554" s="4" t="str">
        <f>IF(AtlasReport_1_Table_1[[#This Row],[Reference]]="Purchase order",_xll.AtlasFormulas.AtlasFunctions.AtlasBalance("UAT",DataAreaId,"T.MarkupTrans","Sum|Posted|0","","","","","","","MarkupCode|TransTableId|TransRecId","TPP","492",$L554),"")</f>
        <v/>
      </c>
    </row>
    <row r="555" spans="1:14">
      <c r="A555" s="8" t="s">
        <v>1121</v>
      </c>
      <c r="B555" s="8" t="s">
        <v>742</v>
      </c>
      <c r="C555" s="8" t="s">
        <v>258</v>
      </c>
      <c r="D555" s="8" t="s">
        <v>351</v>
      </c>
      <c r="E555" s="8" t="s">
        <v>237</v>
      </c>
      <c r="F555" s="8" t="s">
        <v>249</v>
      </c>
      <c r="G555" s="6">
        <v>43132</v>
      </c>
      <c r="H555" s="6">
        <v>43132</v>
      </c>
      <c r="I555" s="4">
        <v>-600.05829999999992</v>
      </c>
      <c r="J555" s="8" t="s">
        <v>66</v>
      </c>
      <c r="K555" s="8" t="s">
        <v>1291</v>
      </c>
      <c r="L555" s="4" t="str">
        <f>IF(AtlasReport_1_Table_1[[#This Row],[Reference]]="Purchase order",_xll.AtlasFormulas.AtlasFunctions.AtlasTable("UAT",DataAreaId,"T.VendInvoiceTrans","%RecId","","","","","","","ItemId|PurchID|InventTransId",$C555,$B555,$K555),"")</f>
        <v/>
      </c>
      <c r="M555" s="4" t="str">
        <f>IF(AtlasReport_1_Table_1[[#This Row],[Reference]]="Purchase order",_xll.AtlasFormulas.AtlasFunctions.AtlasTable("UAT",DataAreaId,"T.MarkupTrans","%CurrencyCode","","","","","","","MarkupCode|TransRecId|TransTableId","TPP",$L555,"492"),"")</f>
        <v/>
      </c>
      <c r="N555" s="4" t="str">
        <f>IF(AtlasReport_1_Table_1[[#This Row],[Reference]]="Purchase order",_xll.AtlasFormulas.AtlasFunctions.AtlasBalance("UAT",DataAreaId,"T.MarkupTrans","Sum|Posted|0","","","","","","","MarkupCode|TransTableId|TransRecId","TPP","492",$L555),"")</f>
        <v/>
      </c>
    </row>
    <row r="556" spans="1:14">
      <c r="A556" s="8" t="s">
        <v>1121</v>
      </c>
      <c r="B556" s="8" t="s">
        <v>742</v>
      </c>
      <c r="C556" s="8" t="s">
        <v>259</v>
      </c>
      <c r="D556" s="8" t="s">
        <v>352</v>
      </c>
      <c r="E556" s="8" t="s">
        <v>237</v>
      </c>
      <c r="F556" s="8" t="s">
        <v>249</v>
      </c>
      <c r="G556" s="6">
        <v>43132</v>
      </c>
      <c r="H556" s="6">
        <v>43132</v>
      </c>
      <c r="I556" s="4">
        <v>-800.07770000000005</v>
      </c>
      <c r="J556" s="8" t="s">
        <v>66</v>
      </c>
      <c r="K556" s="8" t="s">
        <v>1292</v>
      </c>
      <c r="L556" s="4" t="str">
        <f>IF(AtlasReport_1_Table_1[[#This Row],[Reference]]="Purchase order",_xll.AtlasFormulas.AtlasFunctions.AtlasTable("UAT",DataAreaId,"T.VendInvoiceTrans","%RecId","","","","","","","ItemId|PurchID|InventTransId",$C556,$B556,$K556),"")</f>
        <v/>
      </c>
      <c r="M556" s="4" t="str">
        <f>IF(AtlasReport_1_Table_1[[#This Row],[Reference]]="Purchase order",_xll.AtlasFormulas.AtlasFunctions.AtlasTable("UAT",DataAreaId,"T.MarkupTrans","%CurrencyCode","","","","","","","MarkupCode|TransRecId|TransTableId","TPP",$L556,"492"),"")</f>
        <v/>
      </c>
      <c r="N556" s="4" t="str">
        <f>IF(AtlasReport_1_Table_1[[#This Row],[Reference]]="Purchase order",_xll.AtlasFormulas.AtlasFunctions.AtlasBalance("UAT",DataAreaId,"T.MarkupTrans","Sum|Posted|0","","","","","","","MarkupCode|TransTableId|TransRecId","TPP","492",$L556),"")</f>
        <v/>
      </c>
    </row>
    <row r="557" spans="1:14">
      <c r="A557" s="8" t="s">
        <v>1121</v>
      </c>
      <c r="B557" s="8" t="s">
        <v>742</v>
      </c>
      <c r="C557" s="8" t="s">
        <v>871</v>
      </c>
      <c r="D557" s="8" t="s">
        <v>872</v>
      </c>
      <c r="E557" s="8" t="s">
        <v>237</v>
      </c>
      <c r="F557" s="8" t="s">
        <v>238</v>
      </c>
      <c r="G557" s="6">
        <v>43132</v>
      </c>
      <c r="H557" s="6">
        <v>43132</v>
      </c>
      <c r="I557" s="4">
        <v>-4116</v>
      </c>
      <c r="J557" s="8" t="s">
        <v>22</v>
      </c>
      <c r="K557" s="8" t="s">
        <v>1293</v>
      </c>
      <c r="L557" s="4" t="str">
        <f>IF(AtlasReport_1_Table_1[[#This Row],[Reference]]="Purchase order",_xll.AtlasFormulas.AtlasFunctions.AtlasTable("UAT",DataAreaId,"T.VendInvoiceTrans","%RecId","","","","","","","ItemId|PurchID|InventTransId",$C557,$B557,$K557),"")</f>
        <v/>
      </c>
      <c r="M557" s="4" t="str">
        <f>IF(AtlasReport_1_Table_1[[#This Row],[Reference]]="Purchase order",_xll.AtlasFormulas.AtlasFunctions.AtlasTable("UAT",DataAreaId,"T.MarkupTrans","%CurrencyCode","","","","","","","MarkupCode|TransRecId|TransTableId","TPP",$L557,"492"),"")</f>
        <v/>
      </c>
      <c r="N557" s="4" t="str">
        <f>IF(AtlasReport_1_Table_1[[#This Row],[Reference]]="Purchase order",_xll.AtlasFormulas.AtlasFunctions.AtlasBalance("UAT",DataAreaId,"T.MarkupTrans","Sum|Posted|0","","","","","","","MarkupCode|TransTableId|TransRecId","TPP","492",$L557),"")</f>
        <v/>
      </c>
    </row>
    <row r="558" spans="1:14">
      <c r="A558" s="8" t="s">
        <v>1121</v>
      </c>
      <c r="B558" s="8" t="s">
        <v>742</v>
      </c>
      <c r="C558" s="8" t="s">
        <v>290</v>
      </c>
      <c r="D558" s="8" t="s">
        <v>472</v>
      </c>
      <c r="E558" s="8" t="s">
        <v>237</v>
      </c>
      <c r="F558" s="8" t="s">
        <v>238</v>
      </c>
      <c r="G558" s="6">
        <v>43132</v>
      </c>
      <c r="H558" s="6">
        <v>43132</v>
      </c>
      <c r="I558" s="4">
        <v>-16.401600000000002</v>
      </c>
      <c r="J558" s="8" t="s">
        <v>66</v>
      </c>
      <c r="K558" s="8" t="s">
        <v>1294</v>
      </c>
      <c r="L558" s="4" t="str">
        <f>IF(AtlasReport_1_Table_1[[#This Row],[Reference]]="Purchase order",_xll.AtlasFormulas.AtlasFunctions.AtlasTable("UAT",DataAreaId,"T.VendInvoiceTrans","%RecId","","","","","","","ItemId|PurchID|InventTransId",$C558,$B558,$K558),"")</f>
        <v/>
      </c>
      <c r="M558" s="4" t="str">
        <f>IF(AtlasReport_1_Table_1[[#This Row],[Reference]]="Purchase order",_xll.AtlasFormulas.AtlasFunctions.AtlasTable("UAT",DataAreaId,"T.MarkupTrans","%CurrencyCode","","","","","","","MarkupCode|TransRecId|TransTableId","TPP",$L558,"492"),"")</f>
        <v/>
      </c>
      <c r="N558" s="4" t="str">
        <f>IF(AtlasReport_1_Table_1[[#This Row],[Reference]]="Purchase order",_xll.AtlasFormulas.AtlasFunctions.AtlasBalance("UAT",DataAreaId,"T.MarkupTrans","Sum|Posted|0","","","","","","","MarkupCode|TransTableId|TransRecId","TPP","492",$L558),"")</f>
        <v/>
      </c>
    </row>
    <row r="559" spans="1:14">
      <c r="A559" s="8" t="s">
        <v>1121</v>
      </c>
      <c r="B559" s="8" t="s">
        <v>744</v>
      </c>
      <c r="C559" s="8" t="s">
        <v>250</v>
      </c>
      <c r="D559" s="8" t="s">
        <v>329</v>
      </c>
      <c r="E559" s="8" t="s">
        <v>237</v>
      </c>
      <c r="F559" s="8" t="s">
        <v>249</v>
      </c>
      <c r="G559" s="6">
        <v>43132</v>
      </c>
      <c r="H559" s="6">
        <v>43132</v>
      </c>
      <c r="I559" s="4">
        <v>-360</v>
      </c>
      <c r="J559" s="8" t="s">
        <v>66</v>
      </c>
      <c r="K559" s="8" t="s">
        <v>1295</v>
      </c>
      <c r="L559" s="4" t="str">
        <f>IF(AtlasReport_1_Table_1[[#This Row],[Reference]]="Purchase order",_xll.AtlasFormulas.AtlasFunctions.AtlasTable("UAT",DataAreaId,"T.VendInvoiceTrans","%RecId","","","","","","","ItemId|PurchID|InventTransId",$C559,$B559,$K559),"")</f>
        <v/>
      </c>
      <c r="M559" s="4" t="str">
        <f>IF(AtlasReport_1_Table_1[[#This Row],[Reference]]="Purchase order",_xll.AtlasFormulas.AtlasFunctions.AtlasTable("UAT",DataAreaId,"T.MarkupTrans","%CurrencyCode","","","","","","","MarkupCode|TransRecId|TransTableId","TPP",$L559,"492"),"")</f>
        <v/>
      </c>
      <c r="N559" s="4" t="str">
        <f>IF(AtlasReport_1_Table_1[[#This Row],[Reference]]="Purchase order",_xll.AtlasFormulas.AtlasFunctions.AtlasBalance("UAT",DataAreaId,"T.MarkupTrans","Sum|Posted|0","","","","","","","MarkupCode|TransTableId|TransRecId","TPP","492",$L559),"")</f>
        <v/>
      </c>
    </row>
    <row r="560" spans="1:14">
      <c r="A560" s="8" t="s">
        <v>1121</v>
      </c>
      <c r="B560" s="8" t="s">
        <v>744</v>
      </c>
      <c r="C560" s="8" t="s">
        <v>256</v>
      </c>
      <c r="D560" s="8" t="s">
        <v>349</v>
      </c>
      <c r="E560" s="8" t="s">
        <v>237</v>
      </c>
      <c r="F560" s="8" t="s">
        <v>249</v>
      </c>
      <c r="G560" s="6">
        <v>43132</v>
      </c>
      <c r="H560" s="6">
        <v>43132</v>
      </c>
      <c r="I560" s="4">
        <v>-150</v>
      </c>
      <c r="J560" s="8" t="s">
        <v>66</v>
      </c>
      <c r="K560" s="8" t="s">
        <v>1296</v>
      </c>
      <c r="L560" s="4" t="str">
        <f>IF(AtlasReport_1_Table_1[[#This Row],[Reference]]="Purchase order",_xll.AtlasFormulas.AtlasFunctions.AtlasTable("UAT",DataAreaId,"T.VendInvoiceTrans","%RecId","","","","","","","ItemId|PurchID|InventTransId",$C560,$B560,$K560),"")</f>
        <v/>
      </c>
      <c r="M560" s="4" t="str">
        <f>IF(AtlasReport_1_Table_1[[#This Row],[Reference]]="Purchase order",_xll.AtlasFormulas.AtlasFunctions.AtlasTable("UAT",DataAreaId,"T.MarkupTrans","%CurrencyCode","","","","","","","MarkupCode|TransRecId|TransTableId","TPP",$L560,"492"),"")</f>
        <v/>
      </c>
      <c r="N560" s="4" t="str">
        <f>IF(AtlasReport_1_Table_1[[#This Row],[Reference]]="Purchase order",_xll.AtlasFormulas.AtlasFunctions.AtlasBalance("UAT",DataAreaId,"T.MarkupTrans","Sum|Posted|0","","","","","","","MarkupCode|TransTableId|TransRecId","TPP","492",$L560),"")</f>
        <v/>
      </c>
    </row>
    <row r="561" spans="1:14">
      <c r="A561" s="8" t="s">
        <v>1121</v>
      </c>
      <c r="B561" s="8" t="s">
        <v>744</v>
      </c>
      <c r="C561" s="8" t="s">
        <v>257</v>
      </c>
      <c r="D561" s="8" t="s">
        <v>350</v>
      </c>
      <c r="E561" s="8" t="s">
        <v>237</v>
      </c>
      <c r="F561" s="8" t="s">
        <v>249</v>
      </c>
      <c r="G561" s="6">
        <v>43132</v>
      </c>
      <c r="H561" s="6">
        <v>43132</v>
      </c>
      <c r="I561" s="4">
        <v>-150</v>
      </c>
      <c r="J561" s="8" t="s">
        <v>66</v>
      </c>
      <c r="K561" s="8" t="s">
        <v>1297</v>
      </c>
      <c r="L561" s="4" t="str">
        <f>IF(AtlasReport_1_Table_1[[#This Row],[Reference]]="Purchase order",_xll.AtlasFormulas.AtlasFunctions.AtlasTable("UAT",DataAreaId,"T.VendInvoiceTrans","%RecId","","","","","","","ItemId|PurchID|InventTransId",$C561,$B561,$K561),"")</f>
        <v/>
      </c>
      <c r="M561" s="4" t="str">
        <f>IF(AtlasReport_1_Table_1[[#This Row],[Reference]]="Purchase order",_xll.AtlasFormulas.AtlasFunctions.AtlasTable("UAT",DataAreaId,"T.MarkupTrans","%CurrencyCode","","","","","","","MarkupCode|TransRecId|TransTableId","TPP",$L561,"492"),"")</f>
        <v/>
      </c>
      <c r="N561" s="4" t="str">
        <f>IF(AtlasReport_1_Table_1[[#This Row],[Reference]]="Purchase order",_xll.AtlasFormulas.AtlasFunctions.AtlasBalance("UAT",DataAreaId,"T.MarkupTrans","Sum|Posted|0","","","","","","","MarkupCode|TransTableId|TransRecId","TPP","492",$L561),"")</f>
        <v/>
      </c>
    </row>
    <row r="562" spans="1:14">
      <c r="A562" s="8" t="s">
        <v>1121</v>
      </c>
      <c r="B562" s="8" t="s">
        <v>744</v>
      </c>
      <c r="C562" s="8" t="s">
        <v>258</v>
      </c>
      <c r="D562" s="8" t="s">
        <v>351</v>
      </c>
      <c r="E562" s="8" t="s">
        <v>237</v>
      </c>
      <c r="F562" s="8" t="s">
        <v>249</v>
      </c>
      <c r="G562" s="6">
        <v>43132</v>
      </c>
      <c r="H562" s="6">
        <v>43132</v>
      </c>
      <c r="I562" s="4">
        <v>-150</v>
      </c>
      <c r="J562" s="8" t="s">
        <v>66</v>
      </c>
      <c r="K562" s="8" t="s">
        <v>1298</v>
      </c>
      <c r="L562" s="4" t="str">
        <f>IF(AtlasReport_1_Table_1[[#This Row],[Reference]]="Purchase order",_xll.AtlasFormulas.AtlasFunctions.AtlasTable("UAT",DataAreaId,"T.VendInvoiceTrans","%RecId","","","","","","","ItemId|PurchID|InventTransId",$C562,$B562,$K562),"")</f>
        <v/>
      </c>
      <c r="M562" s="4" t="str">
        <f>IF(AtlasReport_1_Table_1[[#This Row],[Reference]]="Purchase order",_xll.AtlasFormulas.AtlasFunctions.AtlasTable("UAT",DataAreaId,"T.MarkupTrans","%CurrencyCode","","","","","","","MarkupCode|TransRecId|TransTableId","TPP",$L562,"492"),"")</f>
        <v/>
      </c>
      <c r="N562" s="4" t="str">
        <f>IF(AtlasReport_1_Table_1[[#This Row],[Reference]]="Purchase order",_xll.AtlasFormulas.AtlasFunctions.AtlasBalance("UAT",DataAreaId,"T.MarkupTrans","Sum|Posted|0","","","","","","","MarkupCode|TransTableId|TransRecId","TPP","492",$L562),"")</f>
        <v/>
      </c>
    </row>
    <row r="563" spans="1:14">
      <c r="A563" s="8" t="s">
        <v>1121</v>
      </c>
      <c r="B563" s="8" t="s">
        <v>744</v>
      </c>
      <c r="C563" s="8" t="s">
        <v>259</v>
      </c>
      <c r="D563" s="8" t="s">
        <v>352</v>
      </c>
      <c r="E563" s="8" t="s">
        <v>237</v>
      </c>
      <c r="F563" s="8" t="s">
        <v>249</v>
      </c>
      <c r="G563" s="6">
        <v>43132</v>
      </c>
      <c r="H563" s="6">
        <v>43132</v>
      </c>
      <c r="I563" s="4">
        <v>-200</v>
      </c>
      <c r="J563" s="8" t="s">
        <v>66</v>
      </c>
      <c r="K563" s="8" t="s">
        <v>1299</v>
      </c>
      <c r="L563" s="4" t="str">
        <f>IF(AtlasReport_1_Table_1[[#This Row],[Reference]]="Purchase order",_xll.AtlasFormulas.AtlasFunctions.AtlasTable("UAT",DataAreaId,"T.VendInvoiceTrans","%RecId","","","","","","","ItemId|PurchID|InventTransId",$C563,$B563,$K563),"")</f>
        <v/>
      </c>
      <c r="M563" s="4" t="str">
        <f>IF(AtlasReport_1_Table_1[[#This Row],[Reference]]="Purchase order",_xll.AtlasFormulas.AtlasFunctions.AtlasTable("UAT",DataAreaId,"T.MarkupTrans","%CurrencyCode","","","","","","","MarkupCode|TransRecId|TransTableId","TPP",$L563,"492"),"")</f>
        <v/>
      </c>
      <c r="N563" s="4" t="str">
        <f>IF(AtlasReport_1_Table_1[[#This Row],[Reference]]="Purchase order",_xll.AtlasFormulas.AtlasFunctions.AtlasBalance("UAT",DataAreaId,"T.MarkupTrans","Sum|Posted|0","","","","","","","MarkupCode|TransTableId|TransRecId","TPP","492",$L563),"")</f>
        <v/>
      </c>
    </row>
    <row r="564" spans="1:14">
      <c r="A564" s="8" t="s">
        <v>1121</v>
      </c>
      <c r="B564" s="8" t="s">
        <v>744</v>
      </c>
      <c r="C564" s="8" t="s">
        <v>290</v>
      </c>
      <c r="D564" s="8" t="s">
        <v>472</v>
      </c>
      <c r="E564" s="8" t="s">
        <v>237</v>
      </c>
      <c r="F564" s="8" t="s">
        <v>238</v>
      </c>
      <c r="G564" s="6">
        <v>43132</v>
      </c>
      <c r="H564" s="6">
        <v>43132</v>
      </c>
      <c r="I564" s="4">
        <v>-3.8</v>
      </c>
      <c r="J564" s="8" t="s">
        <v>66</v>
      </c>
      <c r="K564" s="8" t="s">
        <v>1300</v>
      </c>
      <c r="L564" s="4" t="str">
        <f>IF(AtlasReport_1_Table_1[[#This Row],[Reference]]="Purchase order",_xll.AtlasFormulas.AtlasFunctions.AtlasTable("UAT",DataAreaId,"T.VendInvoiceTrans","%RecId","","","","","","","ItemId|PurchID|InventTransId",$C564,$B564,$K564),"")</f>
        <v/>
      </c>
      <c r="M564" s="4" t="str">
        <f>IF(AtlasReport_1_Table_1[[#This Row],[Reference]]="Purchase order",_xll.AtlasFormulas.AtlasFunctions.AtlasTable("UAT",DataAreaId,"T.MarkupTrans","%CurrencyCode","","","","","","","MarkupCode|TransRecId|TransTableId","TPP",$L564,"492"),"")</f>
        <v/>
      </c>
      <c r="N564" s="4" t="str">
        <f>IF(AtlasReport_1_Table_1[[#This Row],[Reference]]="Purchase order",_xll.AtlasFormulas.AtlasFunctions.AtlasBalance("UAT",DataAreaId,"T.MarkupTrans","Sum|Posted|0","","","","","","","MarkupCode|TransTableId|TransRecId","TPP","492",$L564),"")</f>
        <v/>
      </c>
    </row>
    <row r="565" spans="1:14">
      <c r="A565" s="8" t="s">
        <v>1121</v>
      </c>
      <c r="B565" s="8" t="s">
        <v>746</v>
      </c>
      <c r="C565" s="8" t="s">
        <v>369</v>
      </c>
      <c r="D565" s="8" t="s">
        <v>370</v>
      </c>
      <c r="E565" s="8" t="s">
        <v>237</v>
      </c>
      <c r="F565" s="8" t="s">
        <v>238</v>
      </c>
      <c r="G565" s="6">
        <v>43132</v>
      </c>
      <c r="H565" s="6">
        <v>43132</v>
      </c>
      <c r="I565" s="4">
        <v>-1000</v>
      </c>
      <c r="J565" s="8" t="s">
        <v>66</v>
      </c>
      <c r="K565" s="8" t="s">
        <v>1301</v>
      </c>
      <c r="L565" s="4" t="str">
        <f>IF(AtlasReport_1_Table_1[[#This Row],[Reference]]="Purchase order",_xll.AtlasFormulas.AtlasFunctions.AtlasTable("UAT",DataAreaId,"T.VendInvoiceTrans","%RecId","","","","","","","ItemId|PurchID|InventTransId",$C565,$B565,$K565),"")</f>
        <v/>
      </c>
      <c r="M565" s="4" t="str">
        <f>IF(AtlasReport_1_Table_1[[#This Row],[Reference]]="Purchase order",_xll.AtlasFormulas.AtlasFunctions.AtlasTable("UAT",DataAreaId,"T.MarkupTrans","%CurrencyCode","","","","","","","MarkupCode|TransRecId|TransTableId","TPP",$L565,"492"),"")</f>
        <v/>
      </c>
      <c r="N565" s="4" t="str">
        <f>IF(AtlasReport_1_Table_1[[#This Row],[Reference]]="Purchase order",_xll.AtlasFormulas.AtlasFunctions.AtlasBalance("UAT",DataAreaId,"T.MarkupTrans","Sum|Posted|0","","","","","","","MarkupCode|TransTableId|TransRecId","TPP","492",$L565),"")</f>
        <v/>
      </c>
    </row>
    <row r="566" spans="1:14">
      <c r="A566" s="8" t="s">
        <v>1121</v>
      </c>
      <c r="B566" s="8" t="s">
        <v>746</v>
      </c>
      <c r="C566" s="8" t="s">
        <v>856</v>
      </c>
      <c r="D566" s="8" t="s">
        <v>857</v>
      </c>
      <c r="E566" s="8" t="s">
        <v>237</v>
      </c>
      <c r="F566" s="8" t="s">
        <v>238</v>
      </c>
      <c r="G566" s="6">
        <v>43132</v>
      </c>
      <c r="H566" s="6">
        <v>43132</v>
      </c>
      <c r="I566" s="4">
        <v>-40</v>
      </c>
      <c r="J566" s="8" t="s">
        <v>22</v>
      </c>
      <c r="K566" s="8" t="s">
        <v>1302</v>
      </c>
      <c r="L566" s="4" t="str">
        <f>IF(AtlasReport_1_Table_1[[#This Row],[Reference]]="Purchase order",_xll.AtlasFormulas.AtlasFunctions.AtlasTable("UAT",DataAreaId,"T.VendInvoiceTrans","%RecId","","","","","","","ItemId|PurchID|InventTransId",$C566,$B566,$K566),"")</f>
        <v/>
      </c>
      <c r="M566" s="4" t="str">
        <f>IF(AtlasReport_1_Table_1[[#This Row],[Reference]]="Purchase order",_xll.AtlasFormulas.AtlasFunctions.AtlasTable("UAT",DataAreaId,"T.MarkupTrans","%CurrencyCode","","","","","","","MarkupCode|TransRecId|TransTableId","TPP",$L566,"492"),"")</f>
        <v/>
      </c>
      <c r="N566" s="4" t="str">
        <f>IF(AtlasReport_1_Table_1[[#This Row],[Reference]]="Purchase order",_xll.AtlasFormulas.AtlasFunctions.AtlasBalance("UAT",DataAreaId,"T.MarkupTrans","Sum|Posted|0","","","","","","","MarkupCode|TransTableId|TransRecId","TPP","492",$L566),"")</f>
        <v/>
      </c>
    </row>
    <row r="567" spans="1:14">
      <c r="A567" s="8" t="s">
        <v>1121</v>
      </c>
      <c r="B567" s="8" t="s">
        <v>748</v>
      </c>
      <c r="C567" s="8" t="s">
        <v>823</v>
      </c>
      <c r="D567" s="8" t="s">
        <v>824</v>
      </c>
      <c r="E567" s="8" t="s">
        <v>237</v>
      </c>
      <c r="F567" s="8" t="s">
        <v>238</v>
      </c>
      <c r="G567" s="6">
        <v>43146</v>
      </c>
      <c r="H567" s="6">
        <v>43146</v>
      </c>
      <c r="I567" s="4">
        <v>-10</v>
      </c>
      <c r="J567" s="8" t="s">
        <v>22</v>
      </c>
      <c r="K567" s="8" t="s">
        <v>1303</v>
      </c>
      <c r="L567" s="4" t="str">
        <f>IF(AtlasReport_1_Table_1[[#This Row],[Reference]]="Purchase order",_xll.AtlasFormulas.AtlasFunctions.AtlasTable("UAT",DataAreaId,"T.VendInvoiceTrans","%RecId","","","","","","","ItemId|PurchID|InventTransId",$C567,$B567,$K567),"")</f>
        <v/>
      </c>
      <c r="M567" s="4" t="str">
        <f>IF(AtlasReport_1_Table_1[[#This Row],[Reference]]="Purchase order",_xll.AtlasFormulas.AtlasFunctions.AtlasTable("UAT",DataAreaId,"T.MarkupTrans","%CurrencyCode","","","","","","","MarkupCode|TransRecId|TransTableId","TPP",$L567,"492"),"")</f>
        <v/>
      </c>
      <c r="N567" s="4" t="str">
        <f>IF(AtlasReport_1_Table_1[[#This Row],[Reference]]="Purchase order",_xll.AtlasFormulas.AtlasFunctions.AtlasBalance("UAT",DataAreaId,"T.MarkupTrans","Sum|Posted|0","","","","","","","MarkupCode|TransTableId|TransRecId","TPP","492",$L567),"")</f>
        <v/>
      </c>
    </row>
    <row r="568" spans="1:14">
      <c r="A568" s="8" t="s">
        <v>1121</v>
      </c>
      <c r="B568" s="8" t="s">
        <v>750</v>
      </c>
      <c r="C568" s="8" t="s">
        <v>1040</v>
      </c>
      <c r="D568" s="8" t="s">
        <v>1041</v>
      </c>
      <c r="E568" s="8" t="s">
        <v>237</v>
      </c>
      <c r="F568" s="8" t="s">
        <v>238</v>
      </c>
      <c r="G568" s="6">
        <v>43138</v>
      </c>
      <c r="H568" s="6">
        <v>43138</v>
      </c>
      <c r="I568" s="4">
        <v>-1</v>
      </c>
      <c r="J568" s="8" t="s">
        <v>22</v>
      </c>
      <c r="K568" s="8" t="s">
        <v>1304</v>
      </c>
      <c r="L568" s="4" t="str">
        <f>IF(AtlasReport_1_Table_1[[#This Row],[Reference]]="Purchase order",_xll.AtlasFormulas.AtlasFunctions.AtlasTable("UAT",DataAreaId,"T.VendInvoiceTrans","%RecId","","","","","","","ItemId|PurchID|InventTransId",$C568,$B568,$K568),"")</f>
        <v/>
      </c>
      <c r="M568" s="4" t="str">
        <f>IF(AtlasReport_1_Table_1[[#This Row],[Reference]]="Purchase order",_xll.AtlasFormulas.AtlasFunctions.AtlasTable("UAT",DataAreaId,"T.MarkupTrans","%CurrencyCode","","","","","","","MarkupCode|TransRecId|TransTableId","TPP",$L568,"492"),"")</f>
        <v/>
      </c>
      <c r="N568" s="4" t="str">
        <f>IF(AtlasReport_1_Table_1[[#This Row],[Reference]]="Purchase order",_xll.AtlasFormulas.AtlasFunctions.AtlasBalance("UAT",DataAreaId,"T.MarkupTrans","Sum|Posted|0","","","","","","","MarkupCode|TransTableId|TransRecId","TPP","492",$L568),"")</f>
        <v/>
      </c>
    </row>
    <row r="569" spans="1:14">
      <c r="A569" s="8" t="s">
        <v>1121</v>
      </c>
      <c r="B569" s="8" t="s">
        <v>750</v>
      </c>
      <c r="C569" s="8" t="s">
        <v>296</v>
      </c>
      <c r="D569" s="8" t="s">
        <v>486</v>
      </c>
      <c r="E569" s="8" t="s">
        <v>237</v>
      </c>
      <c r="F569" s="8" t="s">
        <v>238</v>
      </c>
      <c r="G569" s="6">
        <v>43138</v>
      </c>
      <c r="H569" s="6">
        <v>43138</v>
      </c>
      <c r="I569" s="4">
        <v>-8.6999999999999993</v>
      </c>
      <c r="J569" s="8" t="s">
        <v>66</v>
      </c>
      <c r="K569" s="8" t="s">
        <v>1305</v>
      </c>
      <c r="L569" s="4" t="str">
        <f>IF(AtlasReport_1_Table_1[[#This Row],[Reference]]="Purchase order",_xll.AtlasFormulas.AtlasFunctions.AtlasTable("UAT",DataAreaId,"T.VendInvoiceTrans","%RecId","","","","","","","ItemId|PurchID|InventTransId",$C569,$B569,$K569),"")</f>
        <v/>
      </c>
      <c r="M569" s="4" t="str">
        <f>IF(AtlasReport_1_Table_1[[#This Row],[Reference]]="Purchase order",_xll.AtlasFormulas.AtlasFunctions.AtlasTable("UAT",DataAreaId,"T.MarkupTrans","%CurrencyCode","","","","","","","MarkupCode|TransRecId|TransTableId","TPP",$L569,"492"),"")</f>
        <v/>
      </c>
      <c r="N569" s="4" t="str">
        <f>IF(AtlasReport_1_Table_1[[#This Row],[Reference]]="Purchase order",_xll.AtlasFormulas.AtlasFunctions.AtlasBalance("UAT",DataAreaId,"T.MarkupTrans","Sum|Posted|0","","","","","","","MarkupCode|TransTableId|TransRecId","TPP","492",$L569),"")</f>
        <v/>
      </c>
    </row>
    <row r="570" spans="1:14">
      <c r="A570" s="8" t="s">
        <v>1121</v>
      </c>
      <c r="B570" s="8" t="s">
        <v>752</v>
      </c>
      <c r="C570" s="8" t="s">
        <v>241</v>
      </c>
      <c r="D570" s="8" t="s">
        <v>313</v>
      </c>
      <c r="E570" s="8" t="s">
        <v>237</v>
      </c>
      <c r="F570" s="8" t="s">
        <v>238</v>
      </c>
      <c r="G570" s="6">
        <v>43140</v>
      </c>
      <c r="H570" s="6">
        <v>43140</v>
      </c>
      <c r="I570" s="4">
        <v>-0.15770000000000001</v>
      </c>
      <c r="J570" s="8" t="s">
        <v>66</v>
      </c>
      <c r="K570" s="8" t="s">
        <v>1306</v>
      </c>
      <c r="L570" s="4" t="str">
        <f>IF(AtlasReport_1_Table_1[[#This Row],[Reference]]="Purchase order",_xll.AtlasFormulas.AtlasFunctions.AtlasTable("UAT",DataAreaId,"T.VendInvoiceTrans","%RecId","","","","","","","ItemId|PurchID|InventTransId",$C570,$B570,$K570),"")</f>
        <v/>
      </c>
      <c r="M570" s="4" t="str">
        <f>IF(AtlasReport_1_Table_1[[#This Row],[Reference]]="Purchase order",_xll.AtlasFormulas.AtlasFunctions.AtlasTable("UAT",DataAreaId,"T.MarkupTrans","%CurrencyCode","","","","","","","MarkupCode|TransRecId|TransTableId","TPP",$L570,"492"),"")</f>
        <v/>
      </c>
      <c r="N570" s="4" t="str">
        <f>IF(AtlasReport_1_Table_1[[#This Row],[Reference]]="Purchase order",_xll.AtlasFormulas.AtlasFunctions.AtlasBalance("UAT",DataAreaId,"T.MarkupTrans","Sum|Posted|0","","","","","","","MarkupCode|TransTableId|TransRecId","TPP","492",$L570),"")</f>
        <v/>
      </c>
    </row>
    <row r="571" spans="1:14">
      <c r="A571" s="8" t="s">
        <v>1121</v>
      </c>
      <c r="B571" s="8" t="s">
        <v>752</v>
      </c>
      <c r="C571" s="8" t="s">
        <v>251</v>
      </c>
      <c r="D571" s="8" t="s">
        <v>330</v>
      </c>
      <c r="E571" s="8" t="s">
        <v>237</v>
      </c>
      <c r="F571" s="8" t="s">
        <v>238</v>
      </c>
      <c r="G571" s="6">
        <v>43140</v>
      </c>
      <c r="H571" s="6">
        <v>43140</v>
      </c>
      <c r="I571" s="4">
        <v>-31.543099999999999</v>
      </c>
      <c r="J571" s="8" t="s">
        <v>66</v>
      </c>
      <c r="K571" s="8" t="s">
        <v>1307</v>
      </c>
      <c r="L571" s="4" t="str">
        <f>IF(AtlasReport_1_Table_1[[#This Row],[Reference]]="Purchase order",_xll.AtlasFormulas.AtlasFunctions.AtlasTable("UAT",DataAreaId,"T.VendInvoiceTrans","%RecId","","","","","","","ItemId|PurchID|InventTransId",$C571,$B571,$K571),"")</f>
        <v/>
      </c>
      <c r="M571" s="4" t="str">
        <f>IF(AtlasReport_1_Table_1[[#This Row],[Reference]]="Purchase order",_xll.AtlasFormulas.AtlasFunctions.AtlasTable("UAT",DataAreaId,"T.MarkupTrans","%CurrencyCode","","","","","","","MarkupCode|TransRecId|TransTableId","TPP",$L571,"492"),"")</f>
        <v/>
      </c>
      <c r="N571" s="4" t="str">
        <f>IF(AtlasReport_1_Table_1[[#This Row],[Reference]]="Purchase order",_xll.AtlasFormulas.AtlasFunctions.AtlasBalance("UAT",DataAreaId,"T.MarkupTrans","Sum|Posted|0","","","","","","","MarkupCode|TransTableId|TransRecId","TPP","492",$L571),"")</f>
        <v/>
      </c>
    </row>
    <row r="572" spans="1:14">
      <c r="A572" s="8" t="s">
        <v>1121</v>
      </c>
      <c r="B572" s="8" t="s">
        <v>752</v>
      </c>
      <c r="C572" s="8" t="s">
        <v>261</v>
      </c>
      <c r="D572" s="8" t="s">
        <v>354</v>
      </c>
      <c r="E572" s="8" t="s">
        <v>237</v>
      </c>
      <c r="F572" s="8" t="s">
        <v>238</v>
      </c>
      <c r="G572" s="6">
        <v>43140</v>
      </c>
      <c r="H572" s="6">
        <v>43140</v>
      </c>
      <c r="I572" s="4">
        <v>-39.428800000000003</v>
      </c>
      <c r="J572" s="8" t="s">
        <v>66</v>
      </c>
      <c r="K572" s="8" t="s">
        <v>1308</v>
      </c>
      <c r="L572" s="4" t="str">
        <f>IF(AtlasReport_1_Table_1[[#This Row],[Reference]]="Purchase order",_xll.AtlasFormulas.AtlasFunctions.AtlasTable("UAT",DataAreaId,"T.VendInvoiceTrans","%RecId","","","","","","","ItemId|PurchID|InventTransId",$C572,$B572,$K572),"")</f>
        <v/>
      </c>
      <c r="M572" s="4" t="str">
        <f>IF(AtlasReport_1_Table_1[[#This Row],[Reference]]="Purchase order",_xll.AtlasFormulas.AtlasFunctions.AtlasTable("UAT",DataAreaId,"T.MarkupTrans","%CurrencyCode","","","","","","","MarkupCode|TransRecId|TransTableId","TPP",$L572,"492"),"")</f>
        <v/>
      </c>
      <c r="N572" s="4" t="str">
        <f>IF(AtlasReport_1_Table_1[[#This Row],[Reference]]="Purchase order",_xll.AtlasFormulas.AtlasFunctions.AtlasBalance("UAT",DataAreaId,"T.MarkupTrans","Sum|Posted|0","","","","","","","MarkupCode|TransTableId|TransRecId","TPP","492",$L572),"")</f>
        <v/>
      </c>
    </row>
    <row r="573" spans="1:14">
      <c r="A573" s="8" t="s">
        <v>1121</v>
      </c>
      <c r="B573" s="8" t="s">
        <v>752</v>
      </c>
      <c r="C573" s="8" t="s">
        <v>262</v>
      </c>
      <c r="D573" s="8" t="s">
        <v>356</v>
      </c>
      <c r="E573" s="8" t="s">
        <v>237</v>
      </c>
      <c r="F573" s="8" t="s">
        <v>238</v>
      </c>
      <c r="G573" s="6">
        <v>43140</v>
      </c>
      <c r="H573" s="6">
        <v>43140</v>
      </c>
      <c r="I573" s="4">
        <v>-2.3656999999999995</v>
      </c>
      <c r="J573" s="8" t="s">
        <v>66</v>
      </c>
      <c r="K573" s="8" t="s">
        <v>1309</v>
      </c>
      <c r="L573" s="4" t="str">
        <f>IF(AtlasReport_1_Table_1[[#This Row],[Reference]]="Purchase order",_xll.AtlasFormulas.AtlasFunctions.AtlasTable("UAT",DataAreaId,"T.VendInvoiceTrans","%RecId","","","","","","","ItemId|PurchID|InventTransId",$C573,$B573,$K573),"")</f>
        <v/>
      </c>
      <c r="M573" s="4" t="str">
        <f>IF(AtlasReport_1_Table_1[[#This Row],[Reference]]="Purchase order",_xll.AtlasFormulas.AtlasFunctions.AtlasTable("UAT",DataAreaId,"T.MarkupTrans","%CurrencyCode","","","","","","","MarkupCode|TransRecId|TransTableId","TPP",$L573,"492"),"")</f>
        <v/>
      </c>
      <c r="N573" s="4" t="str">
        <f>IF(AtlasReport_1_Table_1[[#This Row],[Reference]]="Purchase order",_xll.AtlasFormulas.AtlasFunctions.AtlasBalance("UAT",DataAreaId,"T.MarkupTrans","Sum|Posted|0","","","","","","","MarkupCode|TransTableId|TransRecId","TPP","492",$L573),"")</f>
        <v/>
      </c>
    </row>
    <row r="574" spans="1:14">
      <c r="A574" s="8" t="s">
        <v>1121</v>
      </c>
      <c r="B574" s="8" t="s">
        <v>752</v>
      </c>
      <c r="C574" s="8" t="s">
        <v>279</v>
      </c>
      <c r="D574" s="8" t="s">
        <v>420</v>
      </c>
      <c r="E574" s="8" t="s">
        <v>237</v>
      </c>
      <c r="F574" s="8" t="s">
        <v>238</v>
      </c>
      <c r="G574" s="6">
        <v>43140</v>
      </c>
      <c r="H574" s="6">
        <v>43140</v>
      </c>
      <c r="I574" s="4">
        <v>-10.062200000000001</v>
      </c>
      <c r="J574" s="8" t="s">
        <v>66</v>
      </c>
      <c r="K574" s="8" t="s">
        <v>1310</v>
      </c>
      <c r="L574" s="4" t="str">
        <f>IF(AtlasReport_1_Table_1[[#This Row],[Reference]]="Purchase order",_xll.AtlasFormulas.AtlasFunctions.AtlasTable("UAT",DataAreaId,"T.VendInvoiceTrans","%RecId","","","","","","","ItemId|PurchID|InventTransId",$C574,$B574,$K574),"")</f>
        <v/>
      </c>
      <c r="M574" s="4" t="str">
        <f>IF(AtlasReport_1_Table_1[[#This Row],[Reference]]="Purchase order",_xll.AtlasFormulas.AtlasFunctions.AtlasTable("UAT",DataAreaId,"T.MarkupTrans","%CurrencyCode","","","","","","","MarkupCode|TransRecId|TransTableId","TPP",$L574,"492"),"")</f>
        <v/>
      </c>
      <c r="N574" s="4" t="str">
        <f>IF(AtlasReport_1_Table_1[[#This Row],[Reference]]="Purchase order",_xll.AtlasFormulas.AtlasFunctions.AtlasBalance("UAT",DataAreaId,"T.MarkupTrans","Sum|Posted|0","","","","","","","MarkupCode|TransTableId|TransRecId","TPP","492",$L574),"")</f>
        <v/>
      </c>
    </row>
    <row r="575" spans="1:14">
      <c r="A575" s="8" t="s">
        <v>1121</v>
      </c>
      <c r="B575" s="8" t="s">
        <v>752</v>
      </c>
      <c r="C575" s="8" t="s">
        <v>280</v>
      </c>
      <c r="D575" s="8" t="s">
        <v>423</v>
      </c>
      <c r="E575" s="8" t="s">
        <v>237</v>
      </c>
      <c r="F575" s="8" t="s">
        <v>238</v>
      </c>
      <c r="G575" s="6">
        <v>43140</v>
      </c>
      <c r="H575" s="6">
        <v>43140</v>
      </c>
      <c r="I575" s="4">
        <v>-0.9778</v>
      </c>
      <c r="J575" s="8" t="s">
        <v>66</v>
      </c>
      <c r="K575" s="8" t="s">
        <v>1311</v>
      </c>
      <c r="L575" s="4" t="str">
        <f>IF(AtlasReport_1_Table_1[[#This Row],[Reference]]="Purchase order",_xll.AtlasFormulas.AtlasFunctions.AtlasTable("UAT",DataAreaId,"T.VendInvoiceTrans","%RecId","","","","","","","ItemId|PurchID|InventTransId",$C575,$B575,$K575),"")</f>
        <v/>
      </c>
      <c r="M575" s="4" t="str">
        <f>IF(AtlasReport_1_Table_1[[#This Row],[Reference]]="Purchase order",_xll.AtlasFormulas.AtlasFunctions.AtlasTable("UAT",DataAreaId,"T.MarkupTrans","%CurrencyCode","","","","","","","MarkupCode|TransRecId|TransTableId","TPP",$L575,"492"),"")</f>
        <v/>
      </c>
      <c r="N575" s="4" t="str">
        <f>IF(AtlasReport_1_Table_1[[#This Row],[Reference]]="Purchase order",_xll.AtlasFormulas.AtlasFunctions.AtlasBalance("UAT",DataAreaId,"T.MarkupTrans","Sum|Posted|0","","","","","","","MarkupCode|TransTableId|TransRecId","TPP","492",$L575),"")</f>
        <v/>
      </c>
    </row>
    <row r="576" spans="1:14">
      <c r="A576" s="8" t="s">
        <v>1121</v>
      </c>
      <c r="B576" s="8" t="s">
        <v>752</v>
      </c>
      <c r="C576" s="8" t="s">
        <v>286</v>
      </c>
      <c r="D576" s="8" t="s">
        <v>456</v>
      </c>
      <c r="E576" s="8" t="s">
        <v>237</v>
      </c>
      <c r="F576" s="8" t="s">
        <v>238</v>
      </c>
      <c r="G576" s="6">
        <v>43140</v>
      </c>
      <c r="H576" s="6">
        <v>43140</v>
      </c>
      <c r="I576" s="4">
        <v>-31.543099999999999</v>
      </c>
      <c r="J576" s="8" t="s">
        <v>66</v>
      </c>
      <c r="K576" s="8" t="s">
        <v>1312</v>
      </c>
      <c r="L576" s="4" t="str">
        <f>IF(AtlasReport_1_Table_1[[#This Row],[Reference]]="Purchase order",_xll.AtlasFormulas.AtlasFunctions.AtlasTable("UAT",DataAreaId,"T.VendInvoiceTrans","%RecId","","","","","","","ItemId|PurchID|InventTransId",$C576,$B576,$K576),"")</f>
        <v/>
      </c>
      <c r="M576" s="4" t="str">
        <f>IF(AtlasReport_1_Table_1[[#This Row],[Reference]]="Purchase order",_xll.AtlasFormulas.AtlasFunctions.AtlasTable("UAT",DataAreaId,"T.MarkupTrans","%CurrencyCode","","","","","","","MarkupCode|TransRecId|TransTableId","TPP",$L576,"492"),"")</f>
        <v/>
      </c>
      <c r="N576" s="4" t="str">
        <f>IF(AtlasReport_1_Table_1[[#This Row],[Reference]]="Purchase order",_xll.AtlasFormulas.AtlasFunctions.AtlasBalance("UAT",DataAreaId,"T.MarkupTrans","Sum|Posted|0","","","","","","","MarkupCode|TransTableId|TransRecId","TPP","492",$L576),"")</f>
        <v/>
      </c>
    </row>
    <row r="577" spans="1:14">
      <c r="A577" s="8" t="s">
        <v>1121</v>
      </c>
      <c r="B577" s="8" t="s">
        <v>752</v>
      </c>
      <c r="C577" s="8" t="s">
        <v>287</v>
      </c>
      <c r="D577" s="8" t="s">
        <v>457</v>
      </c>
      <c r="E577" s="8" t="s">
        <v>237</v>
      </c>
      <c r="F577" s="8" t="s">
        <v>238</v>
      </c>
      <c r="G577" s="6">
        <v>43140</v>
      </c>
      <c r="H577" s="6">
        <v>43140</v>
      </c>
      <c r="I577" s="4">
        <v>-37.851700000000001</v>
      </c>
      <c r="J577" s="8" t="s">
        <v>66</v>
      </c>
      <c r="K577" s="8" t="s">
        <v>1313</v>
      </c>
      <c r="L577" s="4" t="str">
        <f>IF(AtlasReport_1_Table_1[[#This Row],[Reference]]="Purchase order",_xll.AtlasFormulas.AtlasFunctions.AtlasTable("UAT",DataAreaId,"T.VendInvoiceTrans","%RecId","","","","","","","ItemId|PurchID|InventTransId",$C577,$B577,$K577),"")</f>
        <v/>
      </c>
      <c r="M577" s="4" t="str">
        <f>IF(AtlasReport_1_Table_1[[#This Row],[Reference]]="Purchase order",_xll.AtlasFormulas.AtlasFunctions.AtlasTable("UAT",DataAreaId,"T.MarkupTrans","%CurrencyCode","","","","","","","MarkupCode|TransRecId|TransTableId","TPP",$L577,"492"),"")</f>
        <v/>
      </c>
      <c r="N577" s="4" t="str">
        <f>IF(AtlasReport_1_Table_1[[#This Row],[Reference]]="Purchase order",_xll.AtlasFormulas.AtlasFunctions.AtlasBalance("UAT",DataAreaId,"T.MarkupTrans","Sum|Posted|0","","","","","","","MarkupCode|TransTableId|TransRecId","TPP","492",$L577),"")</f>
        <v/>
      </c>
    </row>
    <row r="578" spans="1:14">
      <c r="A578" s="8" t="s">
        <v>1121</v>
      </c>
      <c r="B578" s="8" t="s">
        <v>752</v>
      </c>
      <c r="C578" s="8" t="s">
        <v>500</v>
      </c>
      <c r="D578" s="8" t="s">
        <v>501</v>
      </c>
      <c r="E578" s="8" t="s">
        <v>237</v>
      </c>
      <c r="F578" s="8" t="s">
        <v>238</v>
      </c>
      <c r="G578" s="6">
        <v>43140</v>
      </c>
      <c r="H578" s="6">
        <v>43140</v>
      </c>
      <c r="I578" s="4">
        <v>-37</v>
      </c>
      <c r="J578" s="8" t="s">
        <v>22</v>
      </c>
      <c r="K578" s="8" t="s">
        <v>1314</v>
      </c>
      <c r="L578" s="4" t="str">
        <f>IF(AtlasReport_1_Table_1[[#This Row],[Reference]]="Purchase order",_xll.AtlasFormulas.AtlasFunctions.AtlasTable("UAT",DataAreaId,"T.VendInvoiceTrans","%RecId","","","","","","","ItemId|PurchID|InventTransId",$C578,$B578,$K578),"")</f>
        <v/>
      </c>
      <c r="M578" s="4" t="str">
        <f>IF(AtlasReport_1_Table_1[[#This Row],[Reference]]="Purchase order",_xll.AtlasFormulas.AtlasFunctions.AtlasTable("UAT",DataAreaId,"T.MarkupTrans","%CurrencyCode","","","","","","","MarkupCode|TransRecId|TransTableId","TPP",$L578,"492"),"")</f>
        <v/>
      </c>
      <c r="N578" s="4" t="str">
        <f>IF(AtlasReport_1_Table_1[[#This Row],[Reference]]="Purchase order",_xll.AtlasFormulas.AtlasFunctions.AtlasBalance("UAT",DataAreaId,"T.MarkupTrans","Sum|Posted|0","","","","","","","MarkupCode|TransTableId|TransRecId","TPP","492",$L578),"")</f>
        <v/>
      </c>
    </row>
    <row r="579" spans="1:14">
      <c r="A579" s="8" t="s">
        <v>1121</v>
      </c>
      <c r="B579" s="8" t="s">
        <v>752</v>
      </c>
      <c r="C579" s="8" t="s">
        <v>1085</v>
      </c>
      <c r="D579" s="8" t="s">
        <v>1086</v>
      </c>
      <c r="E579" s="8" t="s">
        <v>237</v>
      </c>
      <c r="F579" s="8" t="s">
        <v>238</v>
      </c>
      <c r="G579" s="6">
        <v>43140</v>
      </c>
      <c r="H579" s="6">
        <v>43140</v>
      </c>
      <c r="I579" s="4">
        <v>-37</v>
      </c>
      <c r="J579" s="8" t="s">
        <v>22</v>
      </c>
      <c r="K579" s="8" t="s">
        <v>1315</v>
      </c>
      <c r="L579" s="4" t="str">
        <f>IF(AtlasReport_1_Table_1[[#This Row],[Reference]]="Purchase order",_xll.AtlasFormulas.AtlasFunctions.AtlasTable("UAT",DataAreaId,"T.VendInvoiceTrans","%RecId","","","","","","","ItemId|PurchID|InventTransId",$C579,$B579,$K579),"")</f>
        <v/>
      </c>
      <c r="M579" s="4" t="str">
        <f>IF(AtlasReport_1_Table_1[[#This Row],[Reference]]="Purchase order",_xll.AtlasFormulas.AtlasFunctions.AtlasTable("UAT",DataAreaId,"T.MarkupTrans","%CurrencyCode","","","","","","","MarkupCode|TransRecId|TransTableId","TPP",$L579,"492"),"")</f>
        <v/>
      </c>
      <c r="N579" s="4" t="str">
        <f>IF(AtlasReport_1_Table_1[[#This Row],[Reference]]="Purchase order",_xll.AtlasFormulas.AtlasFunctions.AtlasBalance("UAT",DataAreaId,"T.MarkupTrans","Sum|Posted|0","","","","","","","MarkupCode|TransTableId|TransRecId","TPP","492",$L579),"")</f>
        <v/>
      </c>
    </row>
    <row r="580" spans="1:14">
      <c r="A580" s="8" t="s">
        <v>1121</v>
      </c>
      <c r="B580" s="8" t="s">
        <v>752</v>
      </c>
      <c r="C580" s="8" t="s">
        <v>288</v>
      </c>
      <c r="D580" s="8" t="s">
        <v>469</v>
      </c>
      <c r="E580" s="8" t="s">
        <v>237</v>
      </c>
      <c r="F580" s="8" t="s">
        <v>238</v>
      </c>
      <c r="G580" s="6">
        <v>43140</v>
      </c>
      <c r="H580" s="6">
        <v>43140</v>
      </c>
      <c r="I580" s="4">
        <v>-0.55200000000000005</v>
      </c>
      <c r="J580" s="8" t="s">
        <v>66</v>
      </c>
      <c r="K580" s="8" t="s">
        <v>1316</v>
      </c>
      <c r="L580" s="4" t="str">
        <f>IF(AtlasReport_1_Table_1[[#This Row],[Reference]]="Purchase order",_xll.AtlasFormulas.AtlasFunctions.AtlasTable("UAT",DataAreaId,"T.VendInvoiceTrans","%RecId","","","","","","","ItemId|PurchID|InventTransId",$C580,$B580,$K580),"")</f>
        <v/>
      </c>
      <c r="M580" s="4" t="str">
        <f>IF(AtlasReport_1_Table_1[[#This Row],[Reference]]="Purchase order",_xll.AtlasFormulas.AtlasFunctions.AtlasTable("UAT",DataAreaId,"T.MarkupTrans","%CurrencyCode","","","","","","","MarkupCode|TransRecId|TransTableId","TPP",$L580,"492"),"")</f>
        <v/>
      </c>
      <c r="N580" s="4" t="str">
        <f>IF(AtlasReport_1_Table_1[[#This Row],[Reference]]="Purchase order",_xll.AtlasFormulas.AtlasFunctions.AtlasBalance("UAT",DataAreaId,"T.MarkupTrans","Sum|Posted|0","","","","","","","MarkupCode|TransTableId|TransRecId","TPP","492",$L580),"")</f>
        <v/>
      </c>
    </row>
    <row r="581" spans="1:14">
      <c r="A581" s="8" t="s">
        <v>1121</v>
      </c>
      <c r="B581" s="8" t="s">
        <v>752</v>
      </c>
      <c r="C581" s="8" t="s">
        <v>289</v>
      </c>
      <c r="D581" s="8" t="s">
        <v>471</v>
      </c>
      <c r="E581" s="8" t="s">
        <v>237</v>
      </c>
      <c r="F581" s="8" t="s">
        <v>238</v>
      </c>
      <c r="G581" s="6">
        <v>43140</v>
      </c>
      <c r="H581" s="6">
        <v>43140</v>
      </c>
      <c r="I581" s="4">
        <v>-0.55200000000000005</v>
      </c>
      <c r="J581" s="8" t="s">
        <v>66</v>
      </c>
      <c r="K581" s="8" t="s">
        <v>1317</v>
      </c>
      <c r="L581" s="4" t="str">
        <f>IF(AtlasReport_1_Table_1[[#This Row],[Reference]]="Purchase order",_xll.AtlasFormulas.AtlasFunctions.AtlasTable("UAT",DataAreaId,"T.VendInvoiceTrans","%RecId","","","","","","","ItemId|PurchID|InventTransId",$C581,$B581,$K581),"")</f>
        <v/>
      </c>
      <c r="M581" s="4" t="str">
        <f>IF(AtlasReport_1_Table_1[[#This Row],[Reference]]="Purchase order",_xll.AtlasFormulas.AtlasFunctions.AtlasTable("UAT",DataAreaId,"T.MarkupTrans","%CurrencyCode","","","","","","","MarkupCode|TransRecId|TransTableId","TPP",$L581,"492"),"")</f>
        <v/>
      </c>
      <c r="N581" s="4" t="str">
        <f>IF(AtlasReport_1_Table_1[[#This Row],[Reference]]="Purchase order",_xll.AtlasFormulas.AtlasFunctions.AtlasBalance("UAT",DataAreaId,"T.MarkupTrans","Sum|Posted|0","","","","","","","MarkupCode|TransTableId|TransRecId","TPP","492",$L581),"")</f>
        <v/>
      </c>
    </row>
    <row r="582" spans="1:14">
      <c r="A582" s="8" t="s">
        <v>1121</v>
      </c>
      <c r="B582" s="8" t="s">
        <v>752</v>
      </c>
      <c r="C582" s="8" t="s">
        <v>298</v>
      </c>
      <c r="D582" s="8" t="s">
        <v>489</v>
      </c>
      <c r="E582" s="8" t="s">
        <v>237</v>
      </c>
      <c r="F582" s="8" t="s">
        <v>238</v>
      </c>
      <c r="G582" s="6">
        <v>43140</v>
      </c>
      <c r="H582" s="6">
        <v>43140</v>
      </c>
      <c r="I582" s="4">
        <v>-29.965900000000001</v>
      </c>
      <c r="J582" s="8" t="s">
        <v>66</v>
      </c>
      <c r="K582" s="8" t="s">
        <v>1318</v>
      </c>
      <c r="L582" s="4" t="str">
        <f>IF(AtlasReport_1_Table_1[[#This Row],[Reference]]="Purchase order",_xll.AtlasFormulas.AtlasFunctions.AtlasTable("UAT",DataAreaId,"T.VendInvoiceTrans","%RecId","","","","","","","ItemId|PurchID|InventTransId",$C582,$B582,$K582),"")</f>
        <v/>
      </c>
      <c r="M582" s="4" t="str">
        <f>IF(AtlasReport_1_Table_1[[#This Row],[Reference]]="Purchase order",_xll.AtlasFormulas.AtlasFunctions.AtlasTable("UAT",DataAreaId,"T.MarkupTrans","%CurrencyCode","","","","","","","MarkupCode|TransRecId|TransTableId","TPP",$L582,"492"),"")</f>
        <v/>
      </c>
      <c r="N582" s="4" t="str">
        <f>IF(AtlasReport_1_Table_1[[#This Row],[Reference]]="Purchase order",_xll.AtlasFormulas.AtlasFunctions.AtlasBalance("UAT",DataAreaId,"T.MarkupTrans","Sum|Posted|0","","","","","","","MarkupCode|TransTableId|TransRecId","TPP","492",$L582),"")</f>
        <v/>
      </c>
    </row>
    <row r="583" spans="1:14">
      <c r="A583" s="8" t="s">
        <v>1121</v>
      </c>
      <c r="B583" s="8" t="s">
        <v>754</v>
      </c>
      <c r="C583" s="8" t="s">
        <v>250</v>
      </c>
      <c r="D583" s="8" t="s">
        <v>329</v>
      </c>
      <c r="E583" s="8" t="s">
        <v>237</v>
      </c>
      <c r="F583" s="8" t="s">
        <v>249</v>
      </c>
      <c r="G583" s="6">
        <v>43145</v>
      </c>
      <c r="H583" s="6">
        <v>43145</v>
      </c>
      <c r="I583" s="4">
        <v>-360</v>
      </c>
      <c r="J583" s="8" t="s">
        <v>66</v>
      </c>
      <c r="K583" s="8" t="s">
        <v>1319</v>
      </c>
      <c r="L583" s="4" t="str">
        <f>IF(AtlasReport_1_Table_1[[#This Row],[Reference]]="Purchase order",_xll.AtlasFormulas.AtlasFunctions.AtlasTable("UAT",DataAreaId,"T.VendInvoiceTrans","%RecId","","","","","","","ItemId|PurchID|InventTransId",$C583,$B583,$K583),"")</f>
        <v/>
      </c>
      <c r="M583" s="4" t="str">
        <f>IF(AtlasReport_1_Table_1[[#This Row],[Reference]]="Purchase order",_xll.AtlasFormulas.AtlasFunctions.AtlasTable("UAT",DataAreaId,"T.MarkupTrans","%CurrencyCode","","","","","","","MarkupCode|TransRecId|TransTableId","TPP",$L583,"492"),"")</f>
        <v/>
      </c>
      <c r="N583" s="4" t="str">
        <f>IF(AtlasReport_1_Table_1[[#This Row],[Reference]]="Purchase order",_xll.AtlasFormulas.AtlasFunctions.AtlasBalance("UAT",DataAreaId,"T.MarkupTrans","Sum|Posted|0","","","","","","","MarkupCode|TransTableId|TransRecId","TPP","492",$L583),"")</f>
        <v/>
      </c>
    </row>
    <row r="584" spans="1:14">
      <c r="A584" s="8" t="s">
        <v>1121</v>
      </c>
      <c r="B584" s="8" t="s">
        <v>754</v>
      </c>
      <c r="C584" s="8" t="s">
        <v>256</v>
      </c>
      <c r="D584" s="8" t="s">
        <v>349</v>
      </c>
      <c r="E584" s="8" t="s">
        <v>237</v>
      </c>
      <c r="F584" s="8" t="s">
        <v>249</v>
      </c>
      <c r="G584" s="6">
        <v>43145</v>
      </c>
      <c r="H584" s="6">
        <v>43145</v>
      </c>
      <c r="I584" s="4">
        <v>-150</v>
      </c>
      <c r="J584" s="8" t="s">
        <v>66</v>
      </c>
      <c r="K584" s="8" t="s">
        <v>1320</v>
      </c>
      <c r="L584" s="4" t="str">
        <f>IF(AtlasReport_1_Table_1[[#This Row],[Reference]]="Purchase order",_xll.AtlasFormulas.AtlasFunctions.AtlasTable("UAT",DataAreaId,"T.VendInvoiceTrans","%RecId","","","","","","","ItemId|PurchID|InventTransId",$C584,$B584,$K584),"")</f>
        <v/>
      </c>
      <c r="M584" s="4" t="str">
        <f>IF(AtlasReport_1_Table_1[[#This Row],[Reference]]="Purchase order",_xll.AtlasFormulas.AtlasFunctions.AtlasTable("UAT",DataAreaId,"T.MarkupTrans","%CurrencyCode","","","","","","","MarkupCode|TransRecId|TransTableId","TPP",$L584,"492"),"")</f>
        <v/>
      </c>
      <c r="N584" s="4" t="str">
        <f>IF(AtlasReport_1_Table_1[[#This Row],[Reference]]="Purchase order",_xll.AtlasFormulas.AtlasFunctions.AtlasBalance("UAT",DataAreaId,"T.MarkupTrans","Sum|Posted|0","","","","","","","MarkupCode|TransTableId|TransRecId","TPP","492",$L584),"")</f>
        <v/>
      </c>
    </row>
    <row r="585" spans="1:14">
      <c r="A585" s="8" t="s">
        <v>1121</v>
      </c>
      <c r="B585" s="8" t="s">
        <v>754</v>
      </c>
      <c r="C585" s="8" t="s">
        <v>257</v>
      </c>
      <c r="D585" s="8" t="s">
        <v>350</v>
      </c>
      <c r="E585" s="8" t="s">
        <v>237</v>
      </c>
      <c r="F585" s="8" t="s">
        <v>249</v>
      </c>
      <c r="G585" s="6">
        <v>43145</v>
      </c>
      <c r="H585" s="6">
        <v>43145</v>
      </c>
      <c r="I585" s="4">
        <v>-150</v>
      </c>
      <c r="J585" s="8" t="s">
        <v>66</v>
      </c>
      <c r="K585" s="8" t="s">
        <v>1321</v>
      </c>
      <c r="L585" s="4" t="str">
        <f>IF(AtlasReport_1_Table_1[[#This Row],[Reference]]="Purchase order",_xll.AtlasFormulas.AtlasFunctions.AtlasTable("UAT",DataAreaId,"T.VendInvoiceTrans","%RecId","","","","","","","ItemId|PurchID|InventTransId",$C585,$B585,$K585),"")</f>
        <v/>
      </c>
      <c r="M585" s="4" t="str">
        <f>IF(AtlasReport_1_Table_1[[#This Row],[Reference]]="Purchase order",_xll.AtlasFormulas.AtlasFunctions.AtlasTable("UAT",DataAreaId,"T.MarkupTrans","%CurrencyCode","","","","","","","MarkupCode|TransRecId|TransTableId","TPP",$L585,"492"),"")</f>
        <v/>
      </c>
      <c r="N585" s="4" t="str">
        <f>IF(AtlasReport_1_Table_1[[#This Row],[Reference]]="Purchase order",_xll.AtlasFormulas.AtlasFunctions.AtlasBalance("UAT",DataAreaId,"T.MarkupTrans","Sum|Posted|0","","","","","","","MarkupCode|TransTableId|TransRecId","TPP","492",$L585),"")</f>
        <v/>
      </c>
    </row>
    <row r="586" spans="1:14">
      <c r="A586" s="8" t="s">
        <v>1121</v>
      </c>
      <c r="B586" s="8" t="s">
        <v>754</v>
      </c>
      <c r="C586" s="8" t="s">
        <v>258</v>
      </c>
      <c r="D586" s="8" t="s">
        <v>351</v>
      </c>
      <c r="E586" s="8" t="s">
        <v>237</v>
      </c>
      <c r="F586" s="8" t="s">
        <v>249</v>
      </c>
      <c r="G586" s="6">
        <v>43145</v>
      </c>
      <c r="H586" s="6">
        <v>43145</v>
      </c>
      <c r="I586" s="4">
        <v>-150</v>
      </c>
      <c r="J586" s="8" t="s">
        <v>66</v>
      </c>
      <c r="K586" s="8" t="s">
        <v>1322</v>
      </c>
      <c r="L586" s="4" t="str">
        <f>IF(AtlasReport_1_Table_1[[#This Row],[Reference]]="Purchase order",_xll.AtlasFormulas.AtlasFunctions.AtlasTable("UAT",DataAreaId,"T.VendInvoiceTrans","%RecId","","","","","","","ItemId|PurchID|InventTransId",$C586,$B586,$K586),"")</f>
        <v/>
      </c>
      <c r="M586" s="4" t="str">
        <f>IF(AtlasReport_1_Table_1[[#This Row],[Reference]]="Purchase order",_xll.AtlasFormulas.AtlasFunctions.AtlasTable("UAT",DataAreaId,"T.MarkupTrans","%CurrencyCode","","","","","","","MarkupCode|TransRecId|TransTableId","TPP",$L586,"492"),"")</f>
        <v/>
      </c>
      <c r="N586" s="4" t="str">
        <f>IF(AtlasReport_1_Table_1[[#This Row],[Reference]]="Purchase order",_xll.AtlasFormulas.AtlasFunctions.AtlasBalance("UAT",DataAreaId,"T.MarkupTrans","Sum|Posted|0","","","","","","","MarkupCode|TransTableId|TransRecId","TPP","492",$L586),"")</f>
        <v/>
      </c>
    </row>
    <row r="587" spans="1:14">
      <c r="A587" s="8" t="s">
        <v>1121</v>
      </c>
      <c r="B587" s="8" t="s">
        <v>754</v>
      </c>
      <c r="C587" s="8" t="s">
        <v>259</v>
      </c>
      <c r="D587" s="8" t="s">
        <v>352</v>
      </c>
      <c r="E587" s="8" t="s">
        <v>237</v>
      </c>
      <c r="F587" s="8" t="s">
        <v>249</v>
      </c>
      <c r="G587" s="6">
        <v>43145</v>
      </c>
      <c r="H587" s="6">
        <v>43145</v>
      </c>
      <c r="I587" s="4">
        <v>-200</v>
      </c>
      <c r="J587" s="8" t="s">
        <v>66</v>
      </c>
      <c r="K587" s="8" t="s">
        <v>1323</v>
      </c>
      <c r="L587" s="4" t="str">
        <f>IF(AtlasReport_1_Table_1[[#This Row],[Reference]]="Purchase order",_xll.AtlasFormulas.AtlasFunctions.AtlasTable("UAT",DataAreaId,"T.VendInvoiceTrans","%RecId","","","","","","","ItemId|PurchID|InventTransId",$C587,$B587,$K587),"")</f>
        <v/>
      </c>
      <c r="M587" s="4" t="str">
        <f>IF(AtlasReport_1_Table_1[[#This Row],[Reference]]="Purchase order",_xll.AtlasFormulas.AtlasFunctions.AtlasTable("UAT",DataAreaId,"T.MarkupTrans","%CurrencyCode","","","","","","","MarkupCode|TransRecId|TransTableId","TPP",$L587,"492"),"")</f>
        <v/>
      </c>
      <c r="N587" s="4" t="str">
        <f>IF(AtlasReport_1_Table_1[[#This Row],[Reference]]="Purchase order",_xll.AtlasFormulas.AtlasFunctions.AtlasBalance("UAT",DataAreaId,"T.MarkupTrans","Sum|Posted|0","","","","","","","MarkupCode|TransTableId|TransRecId","TPP","492",$L587),"")</f>
        <v/>
      </c>
    </row>
    <row r="588" spans="1:14">
      <c r="A588" s="8" t="s">
        <v>1121</v>
      </c>
      <c r="B588" s="8" t="s">
        <v>754</v>
      </c>
      <c r="C588" s="8" t="s">
        <v>290</v>
      </c>
      <c r="D588" s="8" t="s">
        <v>472</v>
      </c>
      <c r="E588" s="8" t="s">
        <v>237</v>
      </c>
      <c r="F588" s="8" t="s">
        <v>238</v>
      </c>
      <c r="G588" s="6">
        <v>43145</v>
      </c>
      <c r="H588" s="6">
        <v>43145</v>
      </c>
      <c r="I588" s="4">
        <v>-3.8</v>
      </c>
      <c r="J588" s="8" t="s">
        <v>66</v>
      </c>
      <c r="K588" s="8" t="s">
        <v>1324</v>
      </c>
      <c r="L588" s="4" t="str">
        <f>IF(AtlasReport_1_Table_1[[#This Row],[Reference]]="Purchase order",_xll.AtlasFormulas.AtlasFunctions.AtlasTable("UAT",DataAreaId,"T.VendInvoiceTrans","%RecId","","","","","","","ItemId|PurchID|InventTransId",$C588,$B588,$K588),"")</f>
        <v/>
      </c>
      <c r="M588" s="4" t="str">
        <f>IF(AtlasReport_1_Table_1[[#This Row],[Reference]]="Purchase order",_xll.AtlasFormulas.AtlasFunctions.AtlasTable("UAT",DataAreaId,"T.MarkupTrans","%CurrencyCode","","","","","","","MarkupCode|TransRecId|TransTableId","TPP",$L588,"492"),"")</f>
        <v/>
      </c>
      <c r="N588" s="4" t="str">
        <f>IF(AtlasReport_1_Table_1[[#This Row],[Reference]]="Purchase order",_xll.AtlasFormulas.AtlasFunctions.AtlasBalance("UAT",DataAreaId,"T.MarkupTrans","Sum|Posted|0","","","","","","","MarkupCode|TransTableId|TransRecId","TPP","492",$L588),"")</f>
        <v/>
      </c>
    </row>
    <row r="589" spans="1:14">
      <c r="A589" s="8" t="s">
        <v>1121</v>
      </c>
      <c r="B589" s="8" t="s">
        <v>756</v>
      </c>
      <c r="C589" s="8" t="s">
        <v>250</v>
      </c>
      <c r="D589" s="8" t="s">
        <v>329</v>
      </c>
      <c r="E589" s="8" t="s">
        <v>237</v>
      </c>
      <c r="F589" s="8" t="s">
        <v>249</v>
      </c>
      <c r="G589" s="6">
        <v>43145</v>
      </c>
      <c r="H589" s="6">
        <v>43145</v>
      </c>
      <c r="I589" s="4">
        <v>-3240</v>
      </c>
      <c r="J589" s="8" t="s">
        <v>66</v>
      </c>
      <c r="K589" s="8" t="s">
        <v>1325</v>
      </c>
      <c r="L589" s="4" t="str">
        <f>IF(AtlasReport_1_Table_1[[#This Row],[Reference]]="Purchase order",_xll.AtlasFormulas.AtlasFunctions.AtlasTable("UAT",DataAreaId,"T.VendInvoiceTrans","%RecId","","","","","","","ItemId|PurchID|InventTransId",$C589,$B589,$K589),"")</f>
        <v/>
      </c>
      <c r="M589" s="4" t="str">
        <f>IF(AtlasReport_1_Table_1[[#This Row],[Reference]]="Purchase order",_xll.AtlasFormulas.AtlasFunctions.AtlasTable("UAT",DataAreaId,"T.MarkupTrans","%CurrencyCode","","","","","","","MarkupCode|TransRecId|TransTableId","TPP",$L589,"492"),"")</f>
        <v/>
      </c>
      <c r="N589" s="4" t="str">
        <f>IF(AtlasReport_1_Table_1[[#This Row],[Reference]]="Purchase order",_xll.AtlasFormulas.AtlasFunctions.AtlasBalance("UAT",DataAreaId,"T.MarkupTrans","Sum|Posted|0","","","","","","","MarkupCode|TransTableId|TransRecId","TPP","492",$L589),"")</f>
        <v/>
      </c>
    </row>
    <row r="590" spans="1:14">
      <c r="A590" s="8" t="s">
        <v>1121</v>
      </c>
      <c r="B590" s="8" t="s">
        <v>756</v>
      </c>
      <c r="C590" s="8" t="s">
        <v>256</v>
      </c>
      <c r="D590" s="8" t="s">
        <v>349</v>
      </c>
      <c r="E590" s="8" t="s">
        <v>237</v>
      </c>
      <c r="F590" s="8" t="s">
        <v>249</v>
      </c>
      <c r="G590" s="6">
        <v>43145</v>
      </c>
      <c r="H590" s="6">
        <v>43145</v>
      </c>
      <c r="I590" s="4">
        <v>-1350</v>
      </c>
      <c r="J590" s="8" t="s">
        <v>66</v>
      </c>
      <c r="K590" s="8" t="s">
        <v>1326</v>
      </c>
      <c r="L590" s="4" t="str">
        <f>IF(AtlasReport_1_Table_1[[#This Row],[Reference]]="Purchase order",_xll.AtlasFormulas.AtlasFunctions.AtlasTable("UAT",DataAreaId,"T.VendInvoiceTrans","%RecId","","","","","","","ItemId|PurchID|InventTransId",$C590,$B590,$K590),"")</f>
        <v/>
      </c>
      <c r="M590" s="4" t="str">
        <f>IF(AtlasReport_1_Table_1[[#This Row],[Reference]]="Purchase order",_xll.AtlasFormulas.AtlasFunctions.AtlasTable("UAT",DataAreaId,"T.MarkupTrans","%CurrencyCode","","","","","","","MarkupCode|TransRecId|TransTableId","TPP",$L590,"492"),"")</f>
        <v/>
      </c>
      <c r="N590" s="4" t="str">
        <f>IF(AtlasReport_1_Table_1[[#This Row],[Reference]]="Purchase order",_xll.AtlasFormulas.AtlasFunctions.AtlasBalance("UAT",DataAreaId,"T.MarkupTrans","Sum|Posted|0","","","","","","","MarkupCode|TransTableId|TransRecId","TPP","492",$L590),"")</f>
        <v/>
      </c>
    </row>
    <row r="591" spans="1:14">
      <c r="A591" s="8" t="s">
        <v>1121</v>
      </c>
      <c r="B591" s="8" t="s">
        <v>756</v>
      </c>
      <c r="C591" s="8" t="s">
        <v>257</v>
      </c>
      <c r="D591" s="8" t="s">
        <v>350</v>
      </c>
      <c r="E591" s="8" t="s">
        <v>237</v>
      </c>
      <c r="F591" s="8" t="s">
        <v>249</v>
      </c>
      <c r="G591" s="6">
        <v>43145</v>
      </c>
      <c r="H591" s="6">
        <v>43145</v>
      </c>
      <c r="I591" s="4">
        <v>-1350</v>
      </c>
      <c r="J591" s="8" t="s">
        <v>66</v>
      </c>
      <c r="K591" s="8" t="s">
        <v>1327</v>
      </c>
      <c r="L591" s="4" t="str">
        <f>IF(AtlasReport_1_Table_1[[#This Row],[Reference]]="Purchase order",_xll.AtlasFormulas.AtlasFunctions.AtlasTable("UAT",DataAreaId,"T.VendInvoiceTrans","%RecId","","","","","","","ItemId|PurchID|InventTransId",$C591,$B591,$K591),"")</f>
        <v/>
      </c>
      <c r="M591" s="4" t="str">
        <f>IF(AtlasReport_1_Table_1[[#This Row],[Reference]]="Purchase order",_xll.AtlasFormulas.AtlasFunctions.AtlasTable("UAT",DataAreaId,"T.MarkupTrans","%CurrencyCode","","","","","","","MarkupCode|TransRecId|TransTableId","TPP",$L591,"492"),"")</f>
        <v/>
      </c>
      <c r="N591" s="4" t="str">
        <f>IF(AtlasReport_1_Table_1[[#This Row],[Reference]]="Purchase order",_xll.AtlasFormulas.AtlasFunctions.AtlasBalance("UAT",DataAreaId,"T.MarkupTrans","Sum|Posted|0","","","","","","","MarkupCode|TransTableId|TransRecId","TPP","492",$L591),"")</f>
        <v/>
      </c>
    </row>
    <row r="592" spans="1:14">
      <c r="A592" s="8" t="s">
        <v>1121</v>
      </c>
      <c r="B592" s="8" t="s">
        <v>756</v>
      </c>
      <c r="C592" s="8" t="s">
        <v>258</v>
      </c>
      <c r="D592" s="8" t="s">
        <v>351</v>
      </c>
      <c r="E592" s="8" t="s">
        <v>237</v>
      </c>
      <c r="F592" s="8" t="s">
        <v>249</v>
      </c>
      <c r="G592" s="6">
        <v>43145</v>
      </c>
      <c r="H592" s="6">
        <v>43145</v>
      </c>
      <c r="I592" s="4">
        <v>-1350</v>
      </c>
      <c r="J592" s="8" t="s">
        <v>66</v>
      </c>
      <c r="K592" s="8" t="s">
        <v>1328</v>
      </c>
      <c r="L592" s="4" t="str">
        <f>IF(AtlasReport_1_Table_1[[#This Row],[Reference]]="Purchase order",_xll.AtlasFormulas.AtlasFunctions.AtlasTable("UAT",DataAreaId,"T.VendInvoiceTrans","%RecId","","","","","","","ItemId|PurchID|InventTransId",$C592,$B592,$K592),"")</f>
        <v/>
      </c>
      <c r="M592" s="4" t="str">
        <f>IF(AtlasReport_1_Table_1[[#This Row],[Reference]]="Purchase order",_xll.AtlasFormulas.AtlasFunctions.AtlasTable("UAT",DataAreaId,"T.MarkupTrans","%CurrencyCode","","","","","","","MarkupCode|TransRecId|TransTableId","TPP",$L592,"492"),"")</f>
        <v/>
      </c>
      <c r="N592" s="4" t="str">
        <f>IF(AtlasReport_1_Table_1[[#This Row],[Reference]]="Purchase order",_xll.AtlasFormulas.AtlasFunctions.AtlasBalance("UAT",DataAreaId,"T.MarkupTrans","Sum|Posted|0","","","","","","","MarkupCode|TransTableId|TransRecId","TPP","492",$L592),"")</f>
        <v/>
      </c>
    </row>
    <row r="593" spans="1:14">
      <c r="A593" s="8" t="s">
        <v>1121</v>
      </c>
      <c r="B593" s="8" t="s">
        <v>756</v>
      </c>
      <c r="C593" s="8" t="s">
        <v>259</v>
      </c>
      <c r="D593" s="8" t="s">
        <v>352</v>
      </c>
      <c r="E593" s="8" t="s">
        <v>237</v>
      </c>
      <c r="F593" s="8" t="s">
        <v>249</v>
      </c>
      <c r="G593" s="6">
        <v>43145</v>
      </c>
      <c r="H593" s="6">
        <v>43145</v>
      </c>
      <c r="I593" s="4">
        <v>-1800</v>
      </c>
      <c r="J593" s="8" t="s">
        <v>66</v>
      </c>
      <c r="K593" s="8" t="s">
        <v>1329</v>
      </c>
      <c r="L593" s="4" t="str">
        <f>IF(AtlasReport_1_Table_1[[#This Row],[Reference]]="Purchase order",_xll.AtlasFormulas.AtlasFunctions.AtlasTable("UAT",DataAreaId,"T.VendInvoiceTrans","%RecId","","","","","","","ItemId|PurchID|InventTransId",$C593,$B593,$K593),"")</f>
        <v/>
      </c>
      <c r="M593" s="4" t="str">
        <f>IF(AtlasReport_1_Table_1[[#This Row],[Reference]]="Purchase order",_xll.AtlasFormulas.AtlasFunctions.AtlasTable("UAT",DataAreaId,"T.MarkupTrans","%CurrencyCode","","","","","","","MarkupCode|TransRecId|TransTableId","TPP",$L593,"492"),"")</f>
        <v/>
      </c>
      <c r="N593" s="4" t="str">
        <f>IF(AtlasReport_1_Table_1[[#This Row],[Reference]]="Purchase order",_xll.AtlasFormulas.AtlasFunctions.AtlasBalance("UAT",DataAreaId,"T.MarkupTrans","Sum|Posted|0","","","","","","","MarkupCode|TransTableId|TransRecId","TPP","492",$L593),"")</f>
        <v/>
      </c>
    </row>
    <row r="594" spans="1:14">
      <c r="A594" s="8" t="s">
        <v>1121</v>
      </c>
      <c r="B594" s="8" t="s">
        <v>756</v>
      </c>
      <c r="C594" s="8" t="s">
        <v>290</v>
      </c>
      <c r="D594" s="8" t="s">
        <v>472</v>
      </c>
      <c r="E594" s="8" t="s">
        <v>237</v>
      </c>
      <c r="F594" s="8" t="s">
        <v>238</v>
      </c>
      <c r="G594" s="6">
        <v>43145</v>
      </c>
      <c r="H594" s="6">
        <v>43145</v>
      </c>
      <c r="I594" s="4">
        <v>-34.200000000000003</v>
      </c>
      <c r="J594" s="8" t="s">
        <v>66</v>
      </c>
      <c r="K594" s="8" t="s">
        <v>1330</v>
      </c>
      <c r="L594" s="4" t="str">
        <f>IF(AtlasReport_1_Table_1[[#This Row],[Reference]]="Purchase order",_xll.AtlasFormulas.AtlasFunctions.AtlasTable("UAT",DataAreaId,"T.VendInvoiceTrans","%RecId","","","","","","","ItemId|PurchID|InventTransId",$C594,$B594,$K594),"")</f>
        <v/>
      </c>
      <c r="M594" s="4" t="str">
        <f>IF(AtlasReport_1_Table_1[[#This Row],[Reference]]="Purchase order",_xll.AtlasFormulas.AtlasFunctions.AtlasTable("UAT",DataAreaId,"T.MarkupTrans","%CurrencyCode","","","","","","","MarkupCode|TransRecId|TransTableId","TPP",$L594,"492"),"")</f>
        <v/>
      </c>
      <c r="N594" s="4" t="str">
        <f>IF(AtlasReport_1_Table_1[[#This Row],[Reference]]="Purchase order",_xll.AtlasFormulas.AtlasFunctions.AtlasBalance("UAT",DataAreaId,"T.MarkupTrans","Sum|Posted|0","","","","","","","MarkupCode|TransTableId|TransRecId","TPP","492",$L594),"")</f>
        <v/>
      </c>
    </row>
    <row r="595" spans="1:14">
      <c r="A595" s="8" t="s">
        <v>1121</v>
      </c>
      <c r="B595" s="8" t="s">
        <v>758</v>
      </c>
      <c r="C595" s="8" t="s">
        <v>369</v>
      </c>
      <c r="D595" s="8" t="s">
        <v>370</v>
      </c>
      <c r="E595" s="8" t="s">
        <v>237</v>
      </c>
      <c r="F595" s="8" t="s">
        <v>238</v>
      </c>
      <c r="G595" s="6">
        <v>43145</v>
      </c>
      <c r="H595" s="6">
        <v>43145</v>
      </c>
      <c r="I595" s="4">
        <v>-10125</v>
      </c>
      <c r="J595" s="8" t="s">
        <v>66</v>
      </c>
      <c r="K595" s="8" t="s">
        <v>1331</v>
      </c>
      <c r="L595" s="4" t="str">
        <f>IF(AtlasReport_1_Table_1[[#This Row],[Reference]]="Purchase order",_xll.AtlasFormulas.AtlasFunctions.AtlasTable("UAT",DataAreaId,"T.VendInvoiceTrans","%RecId","","","","","","","ItemId|PurchID|InventTransId",$C595,$B595,$K595),"")</f>
        <v/>
      </c>
      <c r="M595" s="4" t="str">
        <f>IF(AtlasReport_1_Table_1[[#This Row],[Reference]]="Purchase order",_xll.AtlasFormulas.AtlasFunctions.AtlasTable("UAT",DataAreaId,"T.MarkupTrans","%CurrencyCode","","","","","","","MarkupCode|TransRecId|TransTableId","TPP",$L595,"492"),"")</f>
        <v/>
      </c>
      <c r="N595" s="4" t="str">
        <f>IF(AtlasReport_1_Table_1[[#This Row],[Reference]]="Purchase order",_xll.AtlasFormulas.AtlasFunctions.AtlasBalance("UAT",DataAreaId,"T.MarkupTrans","Sum|Posted|0","","","","","","","MarkupCode|TransTableId|TransRecId","TPP","492",$L595),"")</f>
        <v/>
      </c>
    </row>
    <row r="596" spans="1:14">
      <c r="A596" s="8" t="s">
        <v>1121</v>
      </c>
      <c r="B596" s="8" t="s">
        <v>758</v>
      </c>
      <c r="C596" s="8" t="s">
        <v>856</v>
      </c>
      <c r="D596" s="8" t="s">
        <v>857</v>
      </c>
      <c r="E596" s="8" t="s">
        <v>237</v>
      </c>
      <c r="F596" s="8" t="s">
        <v>238</v>
      </c>
      <c r="G596" s="6">
        <v>43145</v>
      </c>
      <c r="H596" s="6">
        <v>43145</v>
      </c>
      <c r="I596" s="4">
        <v>-405</v>
      </c>
      <c r="J596" s="8" t="s">
        <v>22</v>
      </c>
      <c r="K596" s="8" t="s">
        <v>1332</v>
      </c>
      <c r="L596" s="4" t="str">
        <f>IF(AtlasReport_1_Table_1[[#This Row],[Reference]]="Purchase order",_xll.AtlasFormulas.AtlasFunctions.AtlasTable("UAT",DataAreaId,"T.VendInvoiceTrans","%RecId","","","","","","","ItemId|PurchID|InventTransId",$C596,$B596,$K596),"")</f>
        <v/>
      </c>
      <c r="M596" s="4" t="str">
        <f>IF(AtlasReport_1_Table_1[[#This Row],[Reference]]="Purchase order",_xll.AtlasFormulas.AtlasFunctions.AtlasTable("UAT",DataAreaId,"T.MarkupTrans","%CurrencyCode","","","","","","","MarkupCode|TransRecId|TransTableId","TPP",$L596,"492"),"")</f>
        <v/>
      </c>
      <c r="N596" s="4" t="str">
        <f>IF(AtlasReport_1_Table_1[[#This Row],[Reference]]="Purchase order",_xll.AtlasFormulas.AtlasFunctions.AtlasBalance("UAT",DataAreaId,"T.MarkupTrans","Sum|Posted|0","","","","","","","MarkupCode|TransTableId|TransRecId","TPP","492",$L596),"")</f>
        <v/>
      </c>
    </row>
    <row r="597" spans="1:14">
      <c r="A597" s="8" t="s">
        <v>1121</v>
      </c>
      <c r="B597" s="8" t="s">
        <v>760</v>
      </c>
      <c r="C597" s="8" t="s">
        <v>689</v>
      </c>
      <c r="D597" s="8" t="s">
        <v>690</v>
      </c>
      <c r="E597" s="8" t="s">
        <v>237</v>
      </c>
      <c r="F597" s="8" t="s">
        <v>238</v>
      </c>
      <c r="G597" s="6">
        <v>43145</v>
      </c>
      <c r="H597" s="6">
        <v>43145</v>
      </c>
      <c r="I597" s="4">
        <v>-4100</v>
      </c>
      <c r="J597" s="8" t="s">
        <v>66</v>
      </c>
      <c r="K597" s="8" t="s">
        <v>1333</v>
      </c>
      <c r="L597" s="4" t="str">
        <f>IF(AtlasReport_1_Table_1[[#This Row],[Reference]]="Purchase order",_xll.AtlasFormulas.AtlasFunctions.AtlasTable("UAT",DataAreaId,"T.VendInvoiceTrans","%RecId","","","","","","","ItemId|PurchID|InventTransId",$C597,$B597,$K597),"")</f>
        <v/>
      </c>
      <c r="M597" s="4" t="str">
        <f>IF(AtlasReport_1_Table_1[[#This Row],[Reference]]="Purchase order",_xll.AtlasFormulas.AtlasFunctions.AtlasTable("UAT",DataAreaId,"T.MarkupTrans","%CurrencyCode","","","","","","","MarkupCode|TransRecId|TransTableId","TPP",$L597,"492"),"")</f>
        <v/>
      </c>
      <c r="N597" s="4" t="str">
        <f>IF(AtlasReport_1_Table_1[[#This Row],[Reference]]="Purchase order",_xll.AtlasFormulas.AtlasFunctions.AtlasBalance("UAT",DataAreaId,"T.MarkupTrans","Sum|Posted|0","","","","","","","MarkupCode|TransTableId|TransRecId","TPP","492",$L597),"")</f>
        <v/>
      </c>
    </row>
    <row r="598" spans="1:14">
      <c r="A598" s="8" t="s">
        <v>1121</v>
      </c>
      <c r="B598" s="8" t="s">
        <v>760</v>
      </c>
      <c r="C598" s="8" t="s">
        <v>871</v>
      </c>
      <c r="D598" s="8" t="s">
        <v>872</v>
      </c>
      <c r="E598" s="8" t="s">
        <v>237</v>
      </c>
      <c r="F598" s="8" t="s">
        <v>238</v>
      </c>
      <c r="G598" s="6">
        <v>43145</v>
      </c>
      <c r="H598" s="6">
        <v>43145</v>
      </c>
      <c r="I598" s="4">
        <v>-164</v>
      </c>
      <c r="J598" s="8" t="s">
        <v>22</v>
      </c>
      <c r="K598" s="8" t="s">
        <v>1334</v>
      </c>
      <c r="L598" s="4" t="str">
        <f>IF(AtlasReport_1_Table_1[[#This Row],[Reference]]="Purchase order",_xll.AtlasFormulas.AtlasFunctions.AtlasTable("UAT",DataAreaId,"T.VendInvoiceTrans","%RecId","","","","","","","ItemId|PurchID|InventTransId",$C598,$B598,$K598),"")</f>
        <v/>
      </c>
      <c r="M598" s="4" t="str">
        <f>IF(AtlasReport_1_Table_1[[#This Row],[Reference]]="Purchase order",_xll.AtlasFormulas.AtlasFunctions.AtlasTable("UAT",DataAreaId,"T.MarkupTrans","%CurrencyCode","","","","","","","MarkupCode|TransRecId|TransTableId","TPP",$L598,"492"),"")</f>
        <v/>
      </c>
      <c r="N598" s="4" t="str">
        <f>IF(AtlasReport_1_Table_1[[#This Row],[Reference]]="Purchase order",_xll.AtlasFormulas.AtlasFunctions.AtlasBalance("UAT",DataAreaId,"T.MarkupTrans","Sum|Posted|0","","","","","","","MarkupCode|TransTableId|TransRecId","TPP","492",$L598),"")</f>
        <v/>
      </c>
    </row>
    <row r="599" spans="1:14">
      <c r="A599" s="8" t="s">
        <v>1121</v>
      </c>
      <c r="B599" s="8" t="s">
        <v>762</v>
      </c>
      <c r="C599" s="8" t="s">
        <v>250</v>
      </c>
      <c r="D599" s="8" t="s">
        <v>329</v>
      </c>
      <c r="E599" s="8" t="s">
        <v>237</v>
      </c>
      <c r="F599" s="8" t="s">
        <v>249</v>
      </c>
      <c r="G599" s="6">
        <v>43146</v>
      </c>
      <c r="H599" s="6">
        <v>43146</v>
      </c>
      <c r="I599" s="4">
        <v>-4320</v>
      </c>
      <c r="J599" s="8" t="s">
        <v>66</v>
      </c>
      <c r="K599" s="8" t="s">
        <v>1335</v>
      </c>
      <c r="L599" s="4" t="str">
        <f>IF(AtlasReport_1_Table_1[[#This Row],[Reference]]="Purchase order",_xll.AtlasFormulas.AtlasFunctions.AtlasTable("UAT",DataAreaId,"T.VendInvoiceTrans","%RecId","","","","","","","ItemId|PurchID|InventTransId",$C599,$B599,$K599),"")</f>
        <v/>
      </c>
      <c r="M599" s="4" t="str">
        <f>IF(AtlasReport_1_Table_1[[#This Row],[Reference]]="Purchase order",_xll.AtlasFormulas.AtlasFunctions.AtlasTable("UAT",DataAreaId,"T.MarkupTrans","%CurrencyCode","","","","","","","MarkupCode|TransRecId|TransTableId","TPP",$L599,"492"),"")</f>
        <v/>
      </c>
      <c r="N599" s="4" t="str">
        <f>IF(AtlasReport_1_Table_1[[#This Row],[Reference]]="Purchase order",_xll.AtlasFormulas.AtlasFunctions.AtlasBalance("UAT",DataAreaId,"T.MarkupTrans","Sum|Posted|0","","","","","","","MarkupCode|TransTableId|TransRecId","TPP","492",$L599),"")</f>
        <v/>
      </c>
    </row>
    <row r="600" spans="1:14">
      <c r="A600" s="8" t="s">
        <v>1121</v>
      </c>
      <c r="B600" s="8" t="s">
        <v>762</v>
      </c>
      <c r="C600" s="8" t="s">
        <v>256</v>
      </c>
      <c r="D600" s="8" t="s">
        <v>349</v>
      </c>
      <c r="E600" s="8" t="s">
        <v>237</v>
      </c>
      <c r="F600" s="8" t="s">
        <v>249</v>
      </c>
      <c r="G600" s="6">
        <v>43146</v>
      </c>
      <c r="H600" s="6">
        <v>43146</v>
      </c>
      <c r="I600" s="4">
        <v>-1800</v>
      </c>
      <c r="J600" s="8" t="s">
        <v>66</v>
      </c>
      <c r="K600" s="8" t="s">
        <v>1336</v>
      </c>
      <c r="L600" s="4" t="str">
        <f>IF(AtlasReport_1_Table_1[[#This Row],[Reference]]="Purchase order",_xll.AtlasFormulas.AtlasFunctions.AtlasTable("UAT",DataAreaId,"T.VendInvoiceTrans","%RecId","","","","","","","ItemId|PurchID|InventTransId",$C600,$B600,$K600),"")</f>
        <v/>
      </c>
      <c r="M600" s="4" t="str">
        <f>IF(AtlasReport_1_Table_1[[#This Row],[Reference]]="Purchase order",_xll.AtlasFormulas.AtlasFunctions.AtlasTable("UAT",DataAreaId,"T.MarkupTrans","%CurrencyCode","","","","","","","MarkupCode|TransRecId|TransTableId","TPP",$L600,"492"),"")</f>
        <v/>
      </c>
      <c r="N600" s="4" t="str">
        <f>IF(AtlasReport_1_Table_1[[#This Row],[Reference]]="Purchase order",_xll.AtlasFormulas.AtlasFunctions.AtlasBalance("UAT",DataAreaId,"T.MarkupTrans","Sum|Posted|0","","","","","","","MarkupCode|TransTableId|TransRecId","TPP","492",$L600),"")</f>
        <v/>
      </c>
    </row>
    <row r="601" spans="1:14">
      <c r="A601" s="8" t="s">
        <v>1121</v>
      </c>
      <c r="B601" s="8" t="s">
        <v>762</v>
      </c>
      <c r="C601" s="8" t="s">
        <v>257</v>
      </c>
      <c r="D601" s="8" t="s">
        <v>350</v>
      </c>
      <c r="E601" s="8" t="s">
        <v>237</v>
      </c>
      <c r="F601" s="8" t="s">
        <v>249</v>
      </c>
      <c r="G601" s="6">
        <v>43146</v>
      </c>
      <c r="H601" s="6">
        <v>43146</v>
      </c>
      <c r="I601" s="4">
        <v>-1800</v>
      </c>
      <c r="J601" s="8" t="s">
        <v>66</v>
      </c>
      <c r="K601" s="8" t="s">
        <v>1337</v>
      </c>
      <c r="L601" s="4" t="str">
        <f>IF(AtlasReport_1_Table_1[[#This Row],[Reference]]="Purchase order",_xll.AtlasFormulas.AtlasFunctions.AtlasTable("UAT",DataAreaId,"T.VendInvoiceTrans","%RecId","","","","","","","ItemId|PurchID|InventTransId",$C601,$B601,$K601),"")</f>
        <v/>
      </c>
      <c r="M601" s="4" t="str">
        <f>IF(AtlasReport_1_Table_1[[#This Row],[Reference]]="Purchase order",_xll.AtlasFormulas.AtlasFunctions.AtlasTable("UAT",DataAreaId,"T.MarkupTrans","%CurrencyCode","","","","","","","MarkupCode|TransRecId|TransTableId","TPP",$L601,"492"),"")</f>
        <v/>
      </c>
      <c r="N601" s="4" t="str">
        <f>IF(AtlasReport_1_Table_1[[#This Row],[Reference]]="Purchase order",_xll.AtlasFormulas.AtlasFunctions.AtlasBalance("UAT",DataAreaId,"T.MarkupTrans","Sum|Posted|0","","","","","","","MarkupCode|TransTableId|TransRecId","TPP","492",$L601),"")</f>
        <v/>
      </c>
    </row>
    <row r="602" spans="1:14">
      <c r="A602" s="8" t="s">
        <v>1121</v>
      </c>
      <c r="B602" s="8" t="s">
        <v>762</v>
      </c>
      <c r="C602" s="8" t="s">
        <v>258</v>
      </c>
      <c r="D602" s="8" t="s">
        <v>351</v>
      </c>
      <c r="E602" s="8" t="s">
        <v>237</v>
      </c>
      <c r="F602" s="8" t="s">
        <v>249</v>
      </c>
      <c r="G602" s="6">
        <v>43146</v>
      </c>
      <c r="H602" s="6">
        <v>43146</v>
      </c>
      <c r="I602" s="4">
        <v>-1800</v>
      </c>
      <c r="J602" s="8" t="s">
        <v>66</v>
      </c>
      <c r="K602" s="8" t="s">
        <v>1338</v>
      </c>
      <c r="L602" s="4" t="str">
        <f>IF(AtlasReport_1_Table_1[[#This Row],[Reference]]="Purchase order",_xll.AtlasFormulas.AtlasFunctions.AtlasTable("UAT",DataAreaId,"T.VendInvoiceTrans","%RecId","","","","","","","ItemId|PurchID|InventTransId",$C602,$B602,$K602),"")</f>
        <v/>
      </c>
      <c r="M602" s="4" t="str">
        <f>IF(AtlasReport_1_Table_1[[#This Row],[Reference]]="Purchase order",_xll.AtlasFormulas.AtlasFunctions.AtlasTable("UAT",DataAreaId,"T.MarkupTrans","%CurrencyCode","","","","","","","MarkupCode|TransRecId|TransTableId","TPP",$L602,"492"),"")</f>
        <v/>
      </c>
      <c r="N602" s="4" t="str">
        <f>IF(AtlasReport_1_Table_1[[#This Row],[Reference]]="Purchase order",_xll.AtlasFormulas.AtlasFunctions.AtlasBalance("UAT",DataAreaId,"T.MarkupTrans","Sum|Posted|0","","","","","","","MarkupCode|TransTableId|TransRecId","TPP","492",$L602),"")</f>
        <v/>
      </c>
    </row>
    <row r="603" spans="1:14">
      <c r="A603" s="8" t="s">
        <v>1121</v>
      </c>
      <c r="B603" s="8" t="s">
        <v>762</v>
      </c>
      <c r="C603" s="8" t="s">
        <v>259</v>
      </c>
      <c r="D603" s="8" t="s">
        <v>352</v>
      </c>
      <c r="E603" s="8" t="s">
        <v>237</v>
      </c>
      <c r="F603" s="8" t="s">
        <v>249</v>
      </c>
      <c r="G603" s="6">
        <v>43146</v>
      </c>
      <c r="H603" s="6">
        <v>43146</v>
      </c>
      <c r="I603" s="4">
        <v>-2400</v>
      </c>
      <c r="J603" s="8" t="s">
        <v>66</v>
      </c>
      <c r="K603" s="8" t="s">
        <v>1339</v>
      </c>
      <c r="L603" s="4" t="str">
        <f>IF(AtlasReport_1_Table_1[[#This Row],[Reference]]="Purchase order",_xll.AtlasFormulas.AtlasFunctions.AtlasTable("UAT",DataAreaId,"T.VendInvoiceTrans","%RecId","","","","","","","ItemId|PurchID|InventTransId",$C603,$B603,$K603),"")</f>
        <v/>
      </c>
      <c r="M603" s="4" t="str">
        <f>IF(AtlasReport_1_Table_1[[#This Row],[Reference]]="Purchase order",_xll.AtlasFormulas.AtlasFunctions.AtlasTable("UAT",DataAreaId,"T.MarkupTrans","%CurrencyCode","","","","","","","MarkupCode|TransRecId|TransTableId","TPP",$L603,"492"),"")</f>
        <v/>
      </c>
      <c r="N603" s="4" t="str">
        <f>IF(AtlasReport_1_Table_1[[#This Row],[Reference]]="Purchase order",_xll.AtlasFormulas.AtlasFunctions.AtlasBalance("UAT",DataAreaId,"T.MarkupTrans","Sum|Posted|0","","","","","","","MarkupCode|TransTableId|TransRecId","TPP","492",$L603),"")</f>
        <v/>
      </c>
    </row>
    <row r="604" spans="1:14">
      <c r="A604" s="8" t="s">
        <v>1121</v>
      </c>
      <c r="B604" s="8" t="s">
        <v>762</v>
      </c>
      <c r="C604" s="8" t="s">
        <v>290</v>
      </c>
      <c r="D604" s="8" t="s">
        <v>472</v>
      </c>
      <c r="E604" s="8" t="s">
        <v>237</v>
      </c>
      <c r="F604" s="8" t="s">
        <v>238</v>
      </c>
      <c r="G604" s="6">
        <v>43146</v>
      </c>
      <c r="H604" s="6">
        <v>43146</v>
      </c>
      <c r="I604" s="4">
        <v>-45.6</v>
      </c>
      <c r="J604" s="8" t="s">
        <v>66</v>
      </c>
      <c r="K604" s="8" t="s">
        <v>1340</v>
      </c>
      <c r="L604" s="4" t="str">
        <f>IF(AtlasReport_1_Table_1[[#This Row],[Reference]]="Purchase order",_xll.AtlasFormulas.AtlasFunctions.AtlasTable("UAT",DataAreaId,"T.VendInvoiceTrans","%RecId","","","","","","","ItemId|PurchID|InventTransId",$C604,$B604,$K604),"")</f>
        <v/>
      </c>
      <c r="M604" s="4" t="str">
        <f>IF(AtlasReport_1_Table_1[[#This Row],[Reference]]="Purchase order",_xll.AtlasFormulas.AtlasFunctions.AtlasTable("UAT",DataAreaId,"T.MarkupTrans","%CurrencyCode","","","","","","","MarkupCode|TransRecId|TransTableId","TPP",$L604,"492"),"")</f>
        <v/>
      </c>
      <c r="N604" s="4" t="str">
        <f>IF(AtlasReport_1_Table_1[[#This Row],[Reference]]="Purchase order",_xll.AtlasFormulas.AtlasFunctions.AtlasBalance("UAT",DataAreaId,"T.MarkupTrans","Sum|Posted|0","","","","","","","MarkupCode|TransTableId|TransRecId","TPP","492",$L604),"")</f>
        <v/>
      </c>
    </row>
    <row r="605" spans="1:14">
      <c r="A605" s="8" t="s">
        <v>1121</v>
      </c>
      <c r="B605" s="8" t="s">
        <v>764</v>
      </c>
      <c r="C605" s="8" t="s">
        <v>369</v>
      </c>
      <c r="D605" s="8" t="s">
        <v>370</v>
      </c>
      <c r="E605" s="8" t="s">
        <v>237</v>
      </c>
      <c r="F605" s="8" t="s">
        <v>238</v>
      </c>
      <c r="G605" s="6">
        <v>43146</v>
      </c>
      <c r="H605" s="6">
        <v>43146</v>
      </c>
      <c r="I605" s="4">
        <v>-12150</v>
      </c>
      <c r="J605" s="8" t="s">
        <v>66</v>
      </c>
      <c r="K605" s="8" t="s">
        <v>1341</v>
      </c>
      <c r="L605" s="4" t="str">
        <f>IF(AtlasReport_1_Table_1[[#This Row],[Reference]]="Purchase order",_xll.AtlasFormulas.AtlasFunctions.AtlasTable("UAT",DataAreaId,"T.VendInvoiceTrans","%RecId","","","","","","","ItemId|PurchID|InventTransId",$C605,$B605,$K605),"")</f>
        <v/>
      </c>
      <c r="M605" s="4" t="str">
        <f>IF(AtlasReport_1_Table_1[[#This Row],[Reference]]="Purchase order",_xll.AtlasFormulas.AtlasFunctions.AtlasTable("UAT",DataAreaId,"T.MarkupTrans","%CurrencyCode","","","","","","","MarkupCode|TransRecId|TransTableId","TPP",$L605,"492"),"")</f>
        <v/>
      </c>
      <c r="N605" s="4" t="str">
        <f>IF(AtlasReport_1_Table_1[[#This Row],[Reference]]="Purchase order",_xll.AtlasFormulas.AtlasFunctions.AtlasBalance("UAT",DataAreaId,"T.MarkupTrans","Sum|Posted|0","","","","","","","MarkupCode|TransTableId|TransRecId","TPP","492",$L605),"")</f>
        <v/>
      </c>
    </row>
    <row r="606" spans="1:14">
      <c r="A606" s="8" t="s">
        <v>1121</v>
      </c>
      <c r="B606" s="8" t="s">
        <v>764</v>
      </c>
      <c r="C606" s="8" t="s">
        <v>856</v>
      </c>
      <c r="D606" s="8" t="s">
        <v>857</v>
      </c>
      <c r="E606" s="8" t="s">
        <v>237</v>
      </c>
      <c r="F606" s="8" t="s">
        <v>238</v>
      </c>
      <c r="G606" s="6">
        <v>43146</v>
      </c>
      <c r="H606" s="6">
        <v>43146</v>
      </c>
      <c r="I606" s="4">
        <v>-486</v>
      </c>
      <c r="J606" s="8" t="s">
        <v>22</v>
      </c>
      <c r="K606" s="8" t="s">
        <v>1342</v>
      </c>
      <c r="L606" s="4" t="str">
        <f>IF(AtlasReport_1_Table_1[[#This Row],[Reference]]="Purchase order",_xll.AtlasFormulas.AtlasFunctions.AtlasTable("UAT",DataAreaId,"T.VendInvoiceTrans","%RecId","","","","","","","ItemId|PurchID|InventTransId",$C606,$B606,$K606),"")</f>
        <v/>
      </c>
      <c r="M606" s="4" t="str">
        <f>IF(AtlasReport_1_Table_1[[#This Row],[Reference]]="Purchase order",_xll.AtlasFormulas.AtlasFunctions.AtlasTable("UAT",DataAreaId,"T.MarkupTrans","%CurrencyCode","","","","","","","MarkupCode|TransRecId|TransTableId","TPP",$L606,"492"),"")</f>
        <v/>
      </c>
      <c r="N606" s="4" t="str">
        <f>IF(AtlasReport_1_Table_1[[#This Row],[Reference]]="Purchase order",_xll.AtlasFormulas.AtlasFunctions.AtlasBalance("UAT",DataAreaId,"T.MarkupTrans","Sum|Posted|0","","","","","","","MarkupCode|TransTableId|TransRecId","TPP","492",$L606),"")</f>
        <v/>
      </c>
    </row>
    <row r="607" spans="1:14">
      <c r="A607" s="8" t="s">
        <v>1121</v>
      </c>
      <c r="B607" s="8" t="s">
        <v>766</v>
      </c>
      <c r="C607" s="8" t="s">
        <v>826</v>
      </c>
      <c r="D607" s="8" t="s">
        <v>827</v>
      </c>
      <c r="E607" s="8" t="s">
        <v>237</v>
      </c>
      <c r="F607" s="8" t="s">
        <v>238</v>
      </c>
      <c r="G607" s="6">
        <v>43146</v>
      </c>
      <c r="H607" s="6">
        <v>43146</v>
      </c>
      <c r="I607" s="4">
        <v>-10</v>
      </c>
      <c r="J607" s="8" t="s">
        <v>22</v>
      </c>
      <c r="K607" s="8" t="s">
        <v>1343</v>
      </c>
      <c r="L607" s="4" t="str">
        <f>IF(AtlasReport_1_Table_1[[#This Row],[Reference]]="Purchase order",_xll.AtlasFormulas.AtlasFunctions.AtlasTable("UAT",DataAreaId,"T.VendInvoiceTrans","%RecId","","","","","","","ItemId|PurchID|InventTransId",$C607,$B607,$K607),"")</f>
        <v/>
      </c>
      <c r="M607" s="4" t="str">
        <f>IF(AtlasReport_1_Table_1[[#This Row],[Reference]]="Purchase order",_xll.AtlasFormulas.AtlasFunctions.AtlasTable("UAT",DataAreaId,"T.MarkupTrans","%CurrencyCode","","","","","","","MarkupCode|TransRecId|TransTableId","TPP",$L607,"492"),"")</f>
        <v/>
      </c>
      <c r="N607" s="4" t="str">
        <f>IF(AtlasReport_1_Table_1[[#This Row],[Reference]]="Purchase order",_xll.AtlasFormulas.AtlasFunctions.AtlasBalance("UAT",DataAreaId,"T.MarkupTrans","Sum|Posted|0","","","","","","","MarkupCode|TransTableId|TransRecId","TPP","492",$L607),"")</f>
        <v/>
      </c>
    </row>
    <row r="608" spans="1:14">
      <c r="A608" s="8" t="s">
        <v>1121</v>
      </c>
      <c r="B608" s="8" t="s">
        <v>768</v>
      </c>
      <c r="C608" s="8" t="s">
        <v>250</v>
      </c>
      <c r="D608" s="8" t="s">
        <v>329</v>
      </c>
      <c r="E608" s="8" t="s">
        <v>237</v>
      </c>
      <c r="F608" s="8" t="s">
        <v>249</v>
      </c>
      <c r="G608" s="6">
        <v>43151</v>
      </c>
      <c r="H608" s="6">
        <v>43151</v>
      </c>
      <c r="I608" s="4">
        <v>-3600</v>
      </c>
      <c r="J608" s="8" t="s">
        <v>66</v>
      </c>
      <c r="K608" s="8" t="s">
        <v>1344</v>
      </c>
      <c r="L608" s="4" t="str">
        <f>IF(AtlasReport_1_Table_1[[#This Row],[Reference]]="Purchase order",_xll.AtlasFormulas.AtlasFunctions.AtlasTable("UAT",DataAreaId,"T.VendInvoiceTrans","%RecId","","","","","","","ItemId|PurchID|InventTransId",$C608,$B608,$K608),"")</f>
        <v/>
      </c>
      <c r="M608" s="4" t="str">
        <f>IF(AtlasReport_1_Table_1[[#This Row],[Reference]]="Purchase order",_xll.AtlasFormulas.AtlasFunctions.AtlasTable("UAT",DataAreaId,"T.MarkupTrans","%CurrencyCode","","","","","","","MarkupCode|TransRecId|TransTableId","TPP",$L608,"492"),"")</f>
        <v/>
      </c>
      <c r="N608" s="4" t="str">
        <f>IF(AtlasReport_1_Table_1[[#This Row],[Reference]]="Purchase order",_xll.AtlasFormulas.AtlasFunctions.AtlasBalance("UAT",DataAreaId,"T.MarkupTrans","Sum|Posted|0","","","","","","","MarkupCode|TransTableId|TransRecId","TPP","492",$L608),"")</f>
        <v/>
      </c>
    </row>
    <row r="609" spans="1:14">
      <c r="A609" s="8" t="s">
        <v>1121</v>
      </c>
      <c r="B609" s="8" t="s">
        <v>768</v>
      </c>
      <c r="C609" s="8" t="s">
        <v>256</v>
      </c>
      <c r="D609" s="8" t="s">
        <v>349</v>
      </c>
      <c r="E609" s="8" t="s">
        <v>237</v>
      </c>
      <c r="F609" s="8" t="s">
        <v>249</v>
      </c>
      <c r="G609" s="6">
        <v>43151</v>
      </c>
      <c r="H609" s="6">
        <v>43151</v>
      </c>
      <c r="I609" s="4">
        <v>-1500</v>
      </c>
      <c r="J609" s="8" t="s">
        <v>66</v>
      </c>
      <c r="K609" s="8" t="s">
        <v>1345</v>
      </c>
      <c r="L609" s="4" t="str">
        <f>IF(AtlasReport_1_Table_1[[#This Row],[Reference]]="Purchase order",_xll.AtlasFormulas.AtlasFunctions.AtlasTable("UAT",DataAreaId,"T.VendInvoiceTrans","%RecId","","","","","","","ItemId|PurchID|InventTransId",$C609,$B609,$K609),"")</f>
        <v/>
      </c>
      <c r="M609" s="4" t="str">
        <f>IF(AtlasReport_1_Table_1[[#This Row],[Reference]]="Purchase order",_xll.AtlasFormulas.AtlasFunctions.AtlasTable("UAT",DataAreaId,"T.MarkupTrans","%CurrencyCode","","","","","","","MarkupCode|TransRecId|TransTableId","TPP",$L609,"492"),"")</f>
        <v/>
      </c>
      <c r="N609" s="4" t="str">
        <f>IF(AtlasReport_1_Table_1[[#This Row],[Reference]]="Purchase order",_xll.AtlasFormulas.AtlasFunctions.AtlasBalance("UAT",DataAreaId,"T.MarkupTrans","Sum|Posted|0","","","","","","","MarkupCode|TransTableId|TransRecId","TPP","492",$L609),"")</f>
        <v/>
      </c>
    </row>
    <row r="610" spans="1:14">
      <c r="A610" s="8" t="s">
        <v>1121</v>
      </c>
      <c r="B610" s="8" t="s">
        <v>768</v>
      </c>
      <c r="C610" s="8" t="s">
        <v>257</v>
      </c>
      <c r="D610" s="8" t="s">
        <v>350</v>
      </c>
      <c r="E610" s="8" t="s">
        <v>237</v>
      </c>
      <c r="F610" s="8" t="s">
        <v>249</v>
      </c>
      <c r="G610" s="6">
        <v>43151</v>
      </c>
      <c r="H610" s="6">
        <v>43151</v>
      </c>
      <c r="I610" s="4">
        <v>-1500</v>
      </c>
      <c r="J610" s="8" t="s">
        <v>66</v>
      </c>
      <c r="K610" s="8" t="s">
        <v>1346</v>
      </c>
      <c r="L610" s="4" t="str">
        <f>IF(AtlasReport_1_Table_1[[#This Row],[Reference]]="Purchase order",_xll.AtlasFormulas.AtlasFunctions.AtlasTable("UAT",DataAreaId,"T.VendInvoiceTrans","%RecId","","","","","","","ItemId|PurchID|InventTransId",$C610,$B610,$K610),"")</f>
        <v/>
      </c>
      <c r="M610" s="4" t="str">
        <f>IF(AtlasReport_1_Table_1[[#This Row],[Reference]]="Purchase order",_xll.AtlasFormulas.AtlasFunctions.AtlasTable("UAT",DataAreaId,"T.MarkupTrans","%CurrencyCode","","","","","","","MarkupCode|TransRecId|TransTableId","TPP",$L610,"492"),"")</f>
        <v/>
      </c>
      <c r="N610" s="4" t="str">
        <f>IF(AtlasReport_1_Table_1[[#This Row],[Reference]]="Purchase order",_xll.AtlasFormulas.AtlasFunctions.AtlasBalance("UAT",DataAreaId,"T.MarkupTrans","Sum|Posted|0","","","","","","","MarkupCode|TransTableId|TransRecId","TPP","492",$L610),"")</f>
        <v/>
      </c>
    </row>
    <row r="611" spans="1:14">
      <c r="A611" s="8" t="s">
        <v>1121</v>
      </c>
      <c r="B611" s="8" t="s">
        <v>768</v>
      </c>
      <c r="C611" s="8" t="s">
        <v>258</v>
      </c>
      <c r="D611" s="8" t="s">
        <v>351</v>
      </c>
      <c r="E611" s="8" t="s">
        <v>237</v>
      </c>
      <c r="F611" s="8" t="s">
        <v>249</v>
      </c>
      <c r="G611" s="6">
        <v>43151</v>
      </c>
      <c r="H611" s="6">
        <v>43151</v>
      </c>
      <c r="I611" s="4">
        <v>-1500</v>
      </c>
      <c r="J611" s="8" t="s">
        <v>66</v>
      </c>
      <c r="K611" s="8" t="s">
        <v>1347</v>
      </c>
      <c r="L611" s="4" t="str">
        <f>IF(AtlasReport_1_Table_1[[#This Row],[Reference]]="Purchase order",_xll.AtlasFormulas.AtlasFunctions.AtlasTable("UAT",DataAreaId,"T.VendInvoiceTrans","%RecId","","","","","","","ItemId|PurchID|InventTransId",$C611,$B611,$K611),"")</f>
        <v/>
      </c>
      <c r="M611" s="4" t="str">
        <f>IF(AtlasReport_1_Table_1[[#This Row],[Reference]]="Purchase order",_xll.AtlasFormulas.AtlasFunctions.AtlasTable("UAT",DataAreaId,"T.MarkupTrans","%CurrencyCode","","","","","","","MarkupCode|TransRecId|TransTableId","TPP",$L611,"492"),"")</f>
        <v/>
      </c>
      <c r="N611" s="4" t="str">
        <f>IF(AtlasReport_1_Table_1[[#This Row],[Reference]]="Purchase order",_xll.AtlasFormulas.AtlasFunctions.AtlasBalance("UAT",DataAreaId,"T.MarkupTrans","Sum|Posted|0","","","","","","","MarkupCode|TransTableId|TransRecId","TPP","492",$L611),"")</f>
        <v/>
      </c>
    </row>
    <row r="612" spans="1:14">
      <c r="A612" s="8" t="s">
        <v>1121</v>
      </c>
      <c r="B612" s="8" t="s">
        <v>768</v>
      </c>
      <c r="C612" s="8" t="s">
        <v>259</v>
      </c>
      <c r="D612" s="8" t="s">
        <v>352</v>
      </c>
      <c r="E612" s="8" t="s">
        <v>237</v>
      </c>
      <c r="F612" s="8" t="s">
        <v>249</v>
      </c>
      <c r="G612" s="6">
        <v>43151</v>
      </c>
      <c r="H612" s="6">
        <v>43151</v>
      </c>
      <c r="I612" s="4">
        <v>-2000</v>
      </c>
      <c r="J612" s="8" t="s">
        <v>66</v>
      </c>
      <c r="K612" s="8" t="s">
        <v>1348</v>
      </c>
      <c r="L612" s="4" t="str">
        <f>IF(AtlasReport_1_Table_1[[#This Row],[Reference]]="Purchase order",_xll.AtlasFormulas.AtlasFunctions.AtlasTable("UAT",DataAreaId,"T.VendInvoiceTrans","%RecId","","","","","","","ItemId|PurchID|InventTransId",$C612,$B612,$K612),"")</f>
        <v/>
      </c>
      <c r="M612" s="4" t="str">
        <f>IF(AtlasReport_1_Table_1[[#This Row],[Reference]]="Purchase order",_xll.AtlasFormulas.AtlasFunctions.AtlasTable("UAT",DataAreaId,"T.MarkupTrans","%CurrencyCode","","","","","","","MarkupCode|TransRecId|TransTableId","TPP",$L612,"492"),"")</f>
        <v/>
      </c>
      <c r="N612" s="4" t="str">
        <f>IF(AtlasReport_1_Table_1[[#This Row],[Reference]]="Purchase order",_xll.AtlasFormulas.AtlasFunctions.AtlasBalance("UAT",DataAreaId,"T.MarkupTrans","Sum|Posted|0","","","","","","","MarkupCode|TransTableId|TransRecId","TPP","492",$L612),"")</f>
        <v/>
      </c>
    </row>
    <row r="613" spans="1:14">
      <c r="A613" s="8" t="s">
        <v>1121</v>
      </c>
      <c r="B613" s="8" t="s">
        <v>768</v>
      </c>
      <c r="C613" s="8" t="s">
        <v>290</v>
      </c>
      <c r="D613" s="8" t="s">
        <v>472</v>
      </c>
      <c r="E613" s="8" t="s">
        <v>237</v>
      </c>
      <c r="F613" s="8" t="s">
        <v>238</v>
      </c>
      <c r="G613" s="6">
        <v>43151</v>
      </c>
      <c r="H613" s="6">
        <v>43151</v>
      </c>
      <c r="I613" s="4">
        <v>-38</v>
      </c>
      <c r="J613" s="8" t="s">
        <v>66</v>
      </c>
      <c r="K613" s="8" t="s">
        <v>1349</v>
      </c>
      <c r="L613" s="4" t="str">
        <f>IF(AtlasReport_1_Table_1[[#This Row],[Reference]]="Purchase order",_xll.AtlasFormulas.AtlasFunctions.AtlasTable("UAT",DataAreaId,"T.VendInvoiceTrans","%RecId","","","","","","","ItemId|PurchID|InventTransId",$C613,$B613,$K613),"")</f>
        <v/>
      </c>
      <c r="M613" s="4" t="str">
        <f>IF(AtlasReport_1_Table_1[[#This Row],[Reference]]="Purchase order",_xll.AtlasFormulas.AtlasFunctions.AtlasTable("UAT",DataAreaId,"T.MarkupTrans","%CurrencyCode","","","","","","","MarkupCode|TransRecId|TransTableId","TPP",$L613,"492"),"")</f>
        <v/>
      </c>
      <c r="N613" s="4" t="str">
        <f>IF(AtlasReport_1_Table_1[[#This Row],[Reference]]="Purchase order",_xll.AtlasFormulas.AtlasFunctions.AtlasBalance("UAT",DataAreaId,"T.MarkupTrans","Sum|Posted|0","","","","","","","MarkupCode|TransTableId|TransRecId","TPP","492",$L613),"")</f>
        <v/>
      </c>
    </row>
    <row r="614" spans="1:14">
      <c r="A614" s="8" t="s">
        <v>1121</v>
      </c>
      <c r="B614" s="8" t="s">
        <v>770</v>
      </c>
      <c r="C614" s="8" t="s">
        <v>369</v>
      </c>
      <c r="D614" s="8" t="s">
        <v>370</v>
      </c>
      <c r="E614" s="8" t="s">
        <v>237</v>
      </c>
      <c r="F614" s="8" t="s">
        <v>238</v>
      </c>
      <c r="G614" s="6">
        <v>43151</v>
      </c>
      <c r="H614" s="6">
        <v>43151</v>
      </c>
      <c r="I614" s="4">
        <v>-10125</v>
      </c>
      <c r="J614" s="8" t="s">
        <v>66</v>
      </c>
      <c r="K614" s="8" t="s">
        <v>1350</v>
      </c>
      <c r="L614" s="4" t="str">
        <f>IF(AtlasReport_1_Table_1[[#This Row],[Reference]]="Purchase order",_xll.AtlasFormulas.AtlasFunctions.AtlasTable("UAT",DataAreaId,"T.VendInvoiceTrans","%RecId","","","","","","","ItemId|PurchID|InventTransId",$C614,$B614,$K614),"")</f>
        <v/>
      </c>
      <c r="M614" s="4" t="str">
        <f>IF(AtlasReport_1_Table_1[[#This Row],[Reference]]="Purchase order",_xll.AtlasFormulas.AtlasFunctions.AtlasTable("UAT",DataAreaId,"T.MarkupTrans","%CurrencyCode","","","","","","","MarkupCode|TransRecId|TransTableId","TPP",$L614,"492"),"")</f>
        <v/>
      </c>
      <c r="N614" s="4" t="str">
        <f>IF(AtlasReport_1_Table_1[[#This Row],[Reference]]="Purchase order",_xll.AtlasFormulas.AtlasFunctions.AtlasBalance("UAT",DataAreaId,"T.MarkupTrans","Sum|Posted|0","","","","","","","MarkupCode|TransTableId|TransRecId","TPP","492",$L614),"")</f>
        <v/>
      </c>
    </row>
    <row r="615" spans="1:14">
      <c r="A615" s="8" t="s">
        <v>1121</v>
      </c>
      <c r="B615" s="8" t="s">
        <v>770</v>
      </c>
      <c r="C615" s="8" t="s">
        <v>856</v>
      </c>
      <c r="D615" s="8" t="s">
        <v>857</v>
      </c>
      <c r="E615" s="8" t="s">
        <v>237</v>
      </c>
      <c r="F615" s="8" t="s">
        <v>238</v>
      </c>
      <c r="G615" s="6">
        <v>43151</v>
      </c>
      <c r="H615" s="6">
        <v>43151</v>
      </c>
      <c r="I615" s="4">
        <v>-405</v>
      </c>
      <c r="J615" s="8" t="s">
        <v>22</v>
      </c>
      <c r="K615" s="8" t="s">
        <v>1351</v>
      </c>
      <c r="L615" s="4" t="str">
        <f>IF(AtlasReport_1_Table_1[[#This Row],[Reference]]="Purchase order",_xll.AtlasFormulas.AtlasFunctions.AtlasTable("UAT",DataAreaId,"T.VendInvoiceTrans","%RecId","","","","","","","ItemId|PurchID|InventTransId",$C615,$B615,$K615),"")</f>
        <v/>
      </c>
      <c r="M615" s="4" t="str">
        <f>IF(AtlasReport_1_Table_1[[#This Row],[Reference]]="Purchase order",_xll.AtlasFormulas.AtlasFunctions.AtlasTable("UAT",DataAreaId,"T.MarkupTrans","%CurrencyCode","","","","","","","MarkupCode|TransRecId|TransTableId","TPP",$L615,"492"),"")</f>
        <v/>
      </c>
      <c r="N615" s="4" t="str">
        <f>IF(AtlasReport_1_Table_1[[#This Row],[Reference]]="Purchase order",_xll.AtlasFormulas.AtlasFunctions.AtlasBalance("UAT",DataAreaId,"T.MarkupTrans","Sum|Posted|0","","","","","","","MarkupCode|TransTableId|TransRecId","TPP","492",$L615),"")</f>
        <v/>
      </c>
    </row>
    <row r="616" spans="1:14">
      <c r="A616" s="8" t="s">
        <v>1121</v>
      </c>
      <c r="B616" s="8" t="s">
        <v>772</v>
      </c>
      <c r="C616" s="8" t="s">
        <v>250</v>
      </c>
      <c r="D616" s="8" t="s">
        <v>329</v>
      </c>
      <c r="E616" s="8" t="s">
        <v>237</v>
      </c>
      <c r="F616" s="8" t="s">
        <v>249</v>
      </c>
      <c r="G616" s="6">
        <v>43151</v>
      </c>
      <c r="H616" s="6">
        <v>43151</v>
      </c>
      <c r="I616" s="4">
        <v>-720</v>
      </c>
      <c r="J616" s="8" t="s">
        <v>66</v>
      </c>
      <c r="K616" s="8" t="s">
        <v>1352</v>
      </c>
      <c r="L616" s="4" t="str">
        <f>IF(AtlasReport_1_Table_1[[#This Row],[Reference]]="Purchase order",_xll.AtlasFormulas.AtlasFunctions.AtlasTable("UAT",DataAreaId,"T.VendInvoiceTrans","%RecId","","","","","","","ItemId|PurchID|InventTransId",$C616,$B616,$K616),"")</f>
        <v/>
      </c>
      <c r="M616" s="4" t="str">
        <f>IF(AtlasReport_1_Table_1[[#This Row],[Reference]]="Purchase order",_xll.AtlasFormulas.AtlasFunctions.AtlasTable("UAT",DataAreaId,"T.MarkupTrans","%CurrencyCode","","","","","","","MarkupCode|TransRecId|TransTableId","TPP",$L616,"492"),"")</f>
        <v/>
      </c>
      <c r="N616" s="4" t="str">
        <f>IF(AtlasReport_1_Table_1[[#This Row],[Reference]]="Purchase order",_xll.AtlasFormulas.AtlasFunctions.AtlasBalance("UAT",DataAreaId,"T.MarkupTrans","Sum|Posted|0","","","","","","","MarkupCode|TransTableId|TransRecId","TPP","492",$L616),"")</f>
        <v/>
      </c>
    </row>
    <row r="617" spans="1:14">
      <c r="A617" s="8" t="s">
        <v>1121</v>
      </c>
      <c r="B617" s="8" t="s">
        <v>772</v>
      </c>
      <c r="C617" s="8" t="s">
        <v>256</v>
      </c>
      <c r="D617" s="8" t="s">
        <v>349</v>
      </c>
      <c r="E617" s="8" t="s">
        <v>237</v>
      </c>
      <c r="F617" s="8" t="s">
        <v>249</v>
      </c>
      <c r="G617" s="6">
        <v>43151</v>
      </c>
      <c r="H617" s="6">
        <v>43151</v>
      </c>
      <c r="I617" s="4">
        <v>-300</v>
      </c>
      <c r="J617" s="8" t="s">
        <v>66</v>
      </c>
      <c r="K617" s="8" t="s">
        <v>1353</v>
      </c>
      <c r="L617" s="4" t="str">
        <f>IF(AtlasReport_1_Table_1[[#This Row],[Reference]]="Purchase order",_xll.AtlasFormulas.AtlasFunctions.AtlasTable("UAT",DataAreaId,"T.VendInvoiceTrans","%RecId","","","","","","","ItemId|PurchID|InventTransId",$C617,$B617,$K617),"")</f>
        <v/>
      </c>
      <c r="M617" s="4" t="str">
        <f>IF(AtlasReport_1_Table_1[[#This Row],[Reference]]="Purchase order",_xll.AtlasFormulas.AtlasFunctions.AtlasTable("UAT",DataAreaId,"T.MarkupTrans","%CurrencyCode","","","","","","","MarkupCode|TransRecId|TransTableId","TPP",$L617,"492"),"")</f>
        <v/>
      </c>
      <c r="N617" s="4" t="str">
        <f>IF(AtlasReport_1_Table_1[[#This Row],[Reference]]="Purchase order",_xll.AtlasFormulas.AtlasFunctions.AtlasBalance("UAT",DataAreaId,"T.MarkupTrans","Sum|Posted|0","","","","","","","MarkupCode|TransTableId|TransRecId","TPP","492",$L617),"")</f>
        <v/>
      </c>
    </row>
    <row r="618" spans="1:14">
      <c r="A618" s="8" t="s">
        <v>1121</v>
      </c>
      <c r="B618" s="8" t="s">
        <v>772</v>
      </c>
      <c r="C618" s="8" t="s">
        <v>257</v>
      </c>
      <c r="D618" s="8" t="s">
        <v>350</v>
      </c>
      <c r="E618" s="8" t="s">
        <v>237</v>
      </c>
      <c r="F618" s="8" t="s">
        <v>249</v>
      </c>
      <c r="G618" s="6">
        <v>43151</v>
      </c>
      <c r="H618" s="6">
        <v>43151</v>
      </c>
      <c r="I618" s="4">
        <v>-300</v>
      </c>
      <c r="J618" s="8" t="s">
        <v>66</v>
      </c>
      <c r="K618" s="8" t="s">
        <v>1354</v>
      </c>
      <c r="L618" s="4" t="str">
        <f>IF(AtlasReport_1_Table_1[[#This Row],[Reference]]="Purchase order",_xll.AtlasFormulas.AtlasFunctions.AtlasTable("UAT",DataAreaId,"T.VendInvoiceTrans","%RecId","","","","","","","ItemId|PurchID|InventTransId",$C618,$B618,$K618),"")</f>
        <v/>
      </c>
      <c r="M618" s="4" t="str">
        <f>IF(AtlasReport_1_Table_1[[#This Row],[Reference]]="Purchase order",_xll.AtlasFormulas.AtlasFunctions.AtlasTable("UAT",DataAreaId,"T.MarkupTrans","%CurrencyCode","","","","","","","MarkupCode|TransRecId|TransTableId","TPP",$L618,"492"),"")</f>
        <v/>
      </c>
      <c r="N618" s="4" t="str">
        <f>IF(AtlasReport_1_Table_1[[#This Row],[Reference]]="Purchase order",_xll.AtlasFormulas.AtlasFunctions.AtlasBalance("UAT",DataAreaId,"T.MarkupTrans","Sum|Posted|0","","","","","","","MarkupCode|TransTableId|TransRecId","TPP","492",$L618),"")</f>
        <v/>
      </c>
    </row>
    <row r="619" spans="1:14">
      <c r="A619" s="8" t="s">
        <v>1121</v>
      </c>
      <c r="B619" s="8" t="s">
        <v>772</v>
      </c>
      <c r="C619" s="8" t="s">
        <v>258</v>
      </c>
      <c r="D619" s="8" t="s">
        <v>351</v>
      </c>
      <c r="E619" s="8" t="s">
        <v>237</v>
      </c>
      <c r="F619" s="8" t="s">
        <v>249</v>
      </c>
      <c r="G619" s="6">
        <v>43151</v>
      </c>
      <c r="H619" s="6">
        <v>43151</v>
      </c>
      <c r="I619" s="4">
        <v>-300</v>
      </c>
      <c r="J619" s="8" t="s">
        <v>66</v>
      </c>
      <c r="K619" s="8" t="s">
        <v>1355</v>
      </c>
      <c r="L619" s="4" t="str">
        <f>IF(AtlasReport_1_Table_1[[#This Row],[Reference]]="Purchase order",_xll.AtlasFormulas.AtlasFunctions.AtlasTable("UAT",DataAreaId,"T.VendInvoiceTrans","%RecId","","","","","","","ItemId|PurchID|InventTransId",$C619,$B619,$K619),"")</f>
        <v/>
      </c>
      <c r="M619" s="4" t="str">
        <f>IF(AtlasReport_1_Table_1[[#This Row],[Reference]]="Purchase order",_xll.AtlasFormulas.AtlasFunctions.AtlasTable("UAT",DataAreaId,"T.MarkupTrans","%CurrencyCode","","","","","","","MarkupCode|TransRecId|TransTableId","TPP",$L619,"492"),"")</f>
        <v/>
      </c>
      <c r="N619" s="4" t="str">
        <f>IF(AtlasReport_1_Table_1[[#This Row],[Reference]]="Purchase order",_xll.AtlasFormulas.AtlasFunctions.AtlasBalance("UAT",DataAreaId,"T.MarkupTrans","Sum|Posted|0","","","","","","","MarkupCode|TransTableId|TransRecId","TPP","492",$L619),"")</f>
        <v/>
      </c>
    </row>
    <row r="620" spans="1:14">
      <c r="A620" s="8" t="s">
        <v>1121</v>
      </c>
      <c r="B620" s="8" t="s">
        <v>772</v>
      </c>
      <c r="C620" s="8" t="s">
        <v>259</v>
      </c>
      <c r="D620" s="8" t="s">
        <v>352</v>
      </c>
      <c r="E620" s="8" t="s">
        <v>237</v>
      </c>
      <c r="F620" s="8" t="s">
        <v>249</v>
      </c>
      <c r="G620" s="6">
        <v>43151</v>
      </c>
      <c r="H620" s="6">
        <v>43151</v>
      </c>
      <c r="I620" s="4">
        <v>-400</v>
      </c>
      <c r="J620" s="8" t="s">
        <v>66</v>
      </c>
      <c r="K620" s="8" t="s">
        <v>1356</v>
      </c>
      <c r="L620" s="4" t="str">
        <f>IF(AtlasReport_1_Table_1[[#This Row],[Reference]]="Purchase order",_xll.AtlasFormulas.AtlasFunctions.AtlasTable("UAT",DataAreaId,"T.VendInvoiceTrans","%RecId","","","","","","","ItemId|PurchID|InventTransId",$C620,$B620,$K620),"")</f>
        <v/>
      </c>
      <c r="M620" s="4" t="str">
        <f>IF(AtlasReport_1_Table_1[[#This Row],[Reference]]="Purchase order",_xll.AtlasFormulas.AtlasFunctions.AtlasTable("UAT",DataAreaId,"T.MarkupTrans","%CurrencyCode","","","","","","","MarkupCode|TransRecId|TransTableId","TPP",$L620,"492"),"")</f>
        <v/>
      </c>
      <c r="N620" s="4" t="str">
        <f>IF(AtlasReport_1_Table_1[[#This Row],[Reference]]="Purchase order",_xll.AtlasFormulas.AtlasFunctions.AtlasBalance("UAT",DataAreaId,"T.MarkupTrans","Sum|Posted|0","","","","","","","MarkupCode|TransTableId|TransRecId","TPP","492",$L620),"")</f>
        <v/>
      </c>
    </row>
    <row r="621" spans="1:14">
      <c r="A621" s="8" t="s">
        <v>1121</v>
      </c>
      <c r="B621" s="8" t="s">
        <v>772</v>
      </c>
      <c r="C621" s="8" t="s">
        <v>290</v>
      </c>
      <c r="D621" s="8" t="s">
        <v>472</v>
      </c>
      <c r="E621" s="8" t="s">
        <v>237</v>
      </c>
      <c r="F621" s="8" t="s">
        <v>238</v>
      </c>
      <c r="G621" s="6">
        <v>43151</v>
      </c>
      <c r="H621" s="6">
        <v>43151</v>
      </c>
      <c r="I621" s="4">
        <v>-7.6</v>
      </c>
      <c r="J621" s="8" t="s">
        <v>66</v>
      </c>
      <c r="K621" s="8" t="s">
        <v>1357</v>
      </c>
      <c r="L621" s="4" t="str">
        <f>IF(AtlasReport_1_Table_1[[#This Row],[Reference]]="Purchase order",_xll.AtlasFormulas.AtlasFunctions.AtlasTable("UAT",DataAreaId,"T.VendInvoiceTrans","%RecId","","","","","","","ItemId|PurchID|InventTransId",$C621,$B621,$K621),"")</f>
        <v/>
      </c>
      <c r="M621" s="4" t="str">
        <f>IF(AtlasReport_1_Table_1[[#This Row],[Reference]]="Purchase order",_xll.AtlasFormulas.AtlasFunctions.AtlasTable("UAT",DataAreaId,"T.MarkupTrans","%CurrencyCode","","","","","","","MarkupCode|TransRecId|TransTableId","TPP",$L621,"492"),"")</f>
        <v/>
      </c>
      <c r="N621" s="4" t="str">
        <f>IF(AtlasReport_1_Table_1[[#This Row],[Reference]]="Purchase order",_xll.AtlasFormulas.AtlasFunctions.AtlasBalance("UAT",DataAreaId,"T.MarkupTrans","Sum|Posted|0","","","","","","","MarkupCode|TransTableId|TransRecId","TPP","492",$L621),"")</f>
        <v/>
      </c>
    </row>
    <row r="622" spans="1:14">
      <c r="A622" s="8" t="s">
        <v>1121</v>
      </c>
      <c r="B622" s="8" t="s">
        <v>774</v>
      </c>
      <c r="C622" s="8" t="s">
        <v>369</v>
      </c>
      <c r="D622" s="8" t="s">
        <v>370</v>
      </c>
      <c r="E622" s="8" t="s">
        <v>237</v>
      </c>
      <c r="F622" s="8" t="s">
        <v>238</v>
      </c>
      <c r="G622" s="6">
        <v>43151</v>
      </c>
      <c r="H622" s="6">
        <v>43151</v>
      </c>
      <c r="I622" s="4">
        <v>-2025</v>
      </c>
      <c r="J622" s="8" t="s">
        <v>66</v>
      </c>
      <c r="K622" s="8" t="s">
        <v>1358</v>
      </c>
      <c r="L622" s="4" t="str">
        <f>IF(AtlasReport_1_Table_1[[#This Row],[Reference]]="Purchase order",_xll.AtlasFormulas.AtlasFunctions.AtlasTable("UAT",DataAreaId,"T.VendInvoiceTrans","%RecId","","","","","","","ItemId|PurchID|InventTransId",$C622,$B622,$K622),"")</f>
        <v/>
      </c>
      <c r="M622" s="4" t="str">
        <f>IF(AtlasReport_1_Table_1[[#This Row],[Reference]]="Purchase order",_xll.AtlasFormulas.AtlasFunctions.AtlasTable("UAT",DataAreaId,"T.MarkupTrans","%CurrencyCode","","","","","","","MarkupCode|TransRecId|TransTableId","TPP",$L622,"492"),"")</f>
        <v/>
      </c>
      <c r="N622" s="4" t="str">
        <f>IF(AtlasReport_1_Table_1[[#This Row],[Reference]]="Purchase order",_xll.AtlasFormulas.AtlasFunctions.AtlasBalance("UAT",DataAreaId,"T.MarkupTrans","Sum|Posted|0","","","","","","","MarkupCode|TransTableId|TransRecId","TPP","492",$L622),"")</f>
        <v/>
      </c>
    </row>
    <row r="623" spans="1:14">
      <c r="A623" s="8" t="s">
        <v>1121</v>
      </c>
      <c r="B623" s="8" t="s">
        <v>774</v>
      </c>
      <c r="C623" s="8" t="s">
        <v>856</v>
      </c>
      <c r="D623" s="8" t="s">
        <v>857</v>
      </c>
      <c r="E623" s="8" t="s">
        <v>237</v>
      </c>
      <c r="F623" s="8" t="s">
        <v>238</v>
      </c>
      <c r="G623" s="6">
        <v>43151</v>
      </c>
      <c r="H623" s="6">
        <v>43151</v>
      </c>
      <c r="I623" s="4">
        <v>-81</v>
      </c>
      <c r="J623" s="8" t="s">
        <v>22</v>
      </c>
      <c r="K623" s="8" t="s">
        <v>1359</v>
      </c>
      <c r="L623" s="4" t="str">
        <f>IF(AtlasReport_1_Table_1[[#This Row],[Reference]]="Purchase order",_xll.AtlasFormulas.AtlasFunctions.AtlasTable("UAT",DataAreaId,"T.VendInvoiceTrans","%RecId","","","","","","","ItemId|PurchID|InventTransId",$C623,$B623,$K623),"")</f>
        <v/>
      </c>
      <c r="M623" s="4" t="str">
        <f>IF(AtlasReport_1_Table_1[[#This Row],[Reference]]="Purchase order",_xll.AtlasFormulas.AtlasFunctions.AtlasTable("UAT",DataAreaId,"T.MarkupTrans","%CurrencyCode","","","","","","","MarkupCode|TransRecId|TransTableId","TPP",$L623,"492"),"")</f>
        <v/>
      </c>
      <c r="N623" s="4" t="str">
        <f>IF(AtlasReport_1_Table_1[[#This Row],[Reference]]="Purchase order",_xll.AtlasFormulas.AtlasFunctions.AtlasBalance("UAT",DataAreaId,"T.MarkupTrans","Sum|Posted|0","","","","","","","MarkupCode|TransTableId|TransRecId","TPP","492",$L623),"")</f>
        <v/>
      </c>
    </row>
    <row r="624" spans="1:14">
      <c r="A624" s="8" t="s">
        <v>1121</v>
      </c>
      <c r="B624" s="8" t="s">
        <v>776</v>
      </c>
      <c r="C624" s="8" t="s">
        <v>823</v>
      </c>
      <c r="D624" s="8" t="s">
        <v>824</v>
      </c>
      <c r="E624" s="8" t="s">
        <v>237</v>
      </c>
      <c r="F624" s="8" t="s">
        <v>238</v>
      </c>
      <c r="G624" s="6">
        <v>43157</v>
      </c>
      <c r="H624" s="6">
        <v>43157</v>
      </c>
      <c r="I624" s="4">
        <v>-14</v>
      </c>
      <c r="J624" s="8" t="s">
        <v>22</v>
      </c>
      <c r="K624" s="8" t="s">
        <v>1360</v>
      </c>
      <c r="L624" s="4" t="str">
        <f>IF(AtlasReport_1_Table_1[[#This Row],[Reference]]="Purchase order",_xll.AtlasFormulas.AtlasFunctions.AtlasTable("UAT",DataAreaId,"T.VendInvoiceTrans","%RecId","","","","","","","ItemId|PurchID|InventTransId",$C624,$B624,$K624),"")</f>
        <v/>
      </c>
      <c r="M624" s="4" t="str">
        <f>IF(AtlasReport_1_Table_1[[#This Row],[Reference]]="Purchase order",_xll.AtlasFormulas.AtlasFunctions.AtlasTable("UAT",DataAreaId,"T.MarkupTrans","%CurrencyCode","","","","","","","MarkupCode|TransRecId|TransTableId","TPP",$L624,"492"),"")</f>
        <v/>
      </c>
      <c r="N624" s="4" t="str">
        <f>IF(AtlasReport_1_Table_1[[#This Row],[Reference]]="Purchase order",_xll.AtlasFormulas.AtlasFunctions.AtlasBalance("UAT",DataAreaId,"T.MarkupTrans","Sum|Posted|0","","","","","","","MarkupCode|TransTableId|TransRecId","TPP","492",$L624),"")</f>
        <v/>
      </c>
    </row>
    <row r="625" spans="1:14">
      <c r="A625" s="8" t="s">
        <v>1121</v>
      </c>
      <c r="B625" s="8" t="s">
        <v>778</v>
      </c>
      <c r="C625" s="8" t="s">
        <v>826</v>
      </c>
      <c r="D625" s="8" t="s">
        <v>827</v>
      </c>
      <c r="E625" s="8" t="s">
        <v>237</v>
      </c>
      <c r="F625" s="8" t="s">
        <v>238</v>
      </c>
      <c r="G625" s="6">
        <v>43157</v>
      </c>
      <c r="H625" s="6">
        <v>43157</v>
      </c>
      <c r="I625" s="4">
        <v>-20</v>
      </c>
      <c r="J625" s="8" t="s">
        <v>22</v>
      </c>
      <c r="K625" s="8" t="s">
        <v>1361</v>
      </c>
      <c r="L625" s="4" t="str">
        <f>IF(AtlasReport_1_Table_1[[#This Row],[Reference]]="Purchase order",_xll.AtlasFormulas.AtlasFunctions.AtlasTable("UAT",DataAreaId,"T.VendInvoiceTrans","%RecId","","","","","","","ItemId|PurchID|InventTransId",$C625,$B625,$K625),"")</f>
        <v/>
      </c>
      <c r="M625" s="4" t="str">
        <f>IF(AtlasReport_1_Table_1[[#This Row],[Reference]]="Purchase order",_xll.AtlasFormulas.AtlasFunctions.AtlasTable("UAT",DataAreaId,"T.MarkupTrans","%CurrencyCode","","","","","","","MarkupCode|TransRecId|TransTableId","TPP",$L625,"492"),"")</f>
        <v/>
      </c>
      <c r="N625" s="4" t="str">
        <f>IF(AtlasReport_1_Table_1[[#This Row],[Reference]]="Purchase order",_xll.AtlasFormulas.AtlasFunctions.AtlasBalance("UAT",DataAreaId,"T.MarkupTrans","Sum|Posted|0","","","","","","","MarkupCode|TransTableId|TransRecId","TPP","492",$L625),"")</f>
        <v/>
      </c>
    </row>
    <row r="626" spans="1:14">
      <c r="A626" s="8" t="s">
        <v>1121</v>
      </c>
      <c r="B626" s="8" t="s">
        <v>780</v>
      </c>
      <c r="C626" s="8" t="s">
        <v>248</v>
      </c>
      <c r="D626" s="8" t="s">
        <v>327</v>
      </c>
      <c r="E626" s="8" t="s">
        <v>237</v>
      </c>
      <c r="F626" s="8" t="s">
        <v>249</v>
      </c>
      <c r="G626" s="6">
        <v>43157</v>
      </c>
      <c r="H626" s="6">
        <v>43157</v>
      </c>
      <c r="I626" s="4">
        <v>-75</v>
      </c>
      <c r="J626" s="8" t="s">
        <v>66</v>
      </c>
      <c r="K626" s="8" t="s">
        <v>1362</v>
      </c>
      <c r="L626" s="4" t="str">
        <f>IF(AtlasReport_1_Table_1[[#This Row],[Reference]]="Purchase order",_xll.AtlasFormulas.AtlasFunctions.AtlasTable("UAT",DataAreaId,"T.VendInvoiceTrans","%RecId","","","","","","","ItemId|PurchID|InventTransId",$C626,$B626,$K626),"")</f>
        <v/>
      </c>
      <c r="M626" s="4" t="str">
        <f>IF(AtlasReport_1_Table_1[[#This Row],[Reference]]="Purchase order",_xll.AtlasFormulas.AtlasFunctions.AtlasTable("UAT",DataAreaId,"T.MarkupTrans","%CurrencyCode","","","","","","","MarkupCode|TransRecId|TransTableId","TPP",$L626,"492"),"")</f>
        <v/>
      </c>
      <c r="N626" s="4" t="str">
        <f>IF(AtlasReport_1_Table_1[[#This Row],[Reference]]="Purchase order",_xll.AtlasFormulas.AtlasFunctions.AtlasBalance("UAT",DataAreaId,"T.MarkupTrans","Sum|Posted|0","","","","","","","MarkupCode|TransTableId|TransRecId","TPP","492",$L626),"")</f>
        <v/>
      </c>
    </row>
    <row r="627" spans="1:14">
      <c r="A627" s="8" t="s">
        <v>1121</v>
      </c>
      <c r="B627" s="8" t="s">
        <v>780</v>
      </c>
      <c r="C627" s="8" t="s">
        <v>250</v>
      </c>
      <c r="D627" s="8" t="s">
        <v>329</v>
      </c>
      <c r="E627" s="8" t="s">
        <v>237</v>
      </c>
      <c r="F627" s="8" t="s">
        <v>249</v>
      </c>
      <c r="G627" s="6">
        <v>43157</v>
      </c>
      <c r="H627" s="6">
        <v>43157</v>
      </c>
      <c r="I627" s="4">
        <v>-200</v>
      </c>
      <c r="J627" s="8" t="s">
        <v>66</v>
      </c>
      <c r="K627" s="8" t="s">
        <v>1363</v>
      </c>
      <c r="L627" s="4" t="str">
        <f>IF(AtlasReport_1_Table_1[[#This Row],[Reference]]="Purchase order",_xll.AtlasFormulas.AtlasFunctions.AtlasTable("UAT",DataAreaId,"T.VendInvoiceTrans","%RecId","","","","","","","ItemId|PurchID|InventTransId",$C627,$B627,$K627),"")</f>
        <v/>
      </c>
      <c r="M627" s="4" t="str">
        <f>IF(AtlasReport_1_Table_1[[#This Row],[Reference]]="Purchase order",_xll.AtlasFormulas.AtlasFunctions.AtlasTable("UAT",DataAreaId,"T.MarkupTrans","%CurrencyCode","","","","","","","MarkupCode|TransRecId|TransTableId","TPP",$L627,"492"),"")</f>
        <v/>
      </c>
      <c r="N627" s="4" t="str">
        <f>IF(AtlasReport_1_Table_1[[#This Row],[Reference]]="Purchase order",_xll.AtlasFormulas.AtlasFunctions.AtlasBalance("UAT",DataAreaId,"T.MarkupTrans","Sum|Posted|0","","","","","","","MarkupCode|TransTableId|TransRecId","TPP","492",$L627),"")</f>
        <v/>
      </c>
    </row>
    <row r="628" spans="1:14">
      <c r="A628" s="8" t="s">
        <v>1121</v>
      </c>
      <c r="B628" s="8" t="s">
        <v>780</v>
      </c>
      <c r="C628" s="8" t="s">
        <v>252</v>
      </c>
      <c r="D628" s="8" t="s">
        <v>339</v>
      </c>
      <c r="E628" s="8" t="s">
        <v>237</v>
      </c>
      <c r="F628" s="8" t="s">
        <v>238</v>
      </c>
      <c r="G628" s="6">
        <v>43157</v>
      </c>
      <c r="H628" s="6">
        <v>43157</v>
      </c>
      <c r="I628" s="4">
        <v>-1</v>
      </c>
      <c r="J628" s="8" t="s">
        <v>22</v>
      </c>
      <c r="K628" s="8" t="s">
        <v>1364</v>
      </c>
      <c r="L628" s="4" t="str">
        <f>IF(AtlasReport_1_Table_1[[#This Row],[Reference]]="Purchase order",_xll.AtlasFormulas.AtlasFunctions.AtlasTable("UAT",DataAreaId,"T.VendInvoiceTrans","%RecId","","","","","","","ItemId|PurchID|InventTransId",$C628,$B628,$K628),"")</f>
        <v/>
      </c>
      <c r="M628" s="4" t="str">
        <f>IF(AtlasReport_1_Table_1[[#This Row],[Reference]]="Purchase order",_xll.AtlasFormulas.AtlasFunctions.AtlasTable("UAT",DataAreaId,"T.MarkupTrans","%CurrencyCode","","","","","","","MarkupCode|TransRecId|TransTableId","TPP",$L628,"492"),"")</f>
        <v/>
      </c>
      <c r="N628" s="4" t="str">
        <f>IF(AtlasReport_1_Table_1[[#This Row],[Reference]]="Purchase order",_xll.AtlasFormulas.AtlasFunctions.AtlasBalance("UAT",DataAreaId,"T.MarkupTrans","Sum|Posted|0","","","","","","","MarkupCode|TransTableId|TransRecId","TPP","492",$L628),"")</f>
        <v/>
      </c>
    </row>
    <row r="629" spans="1:14">
      <c r="A629" s="8" t="s">
        <v>1121</v>
      </c>
      <c r="B629" s="8" t="s">
        <v>780</v>
      </c>
      <c r="C629" s="8" t="s">
        <v>256</v>
      </c>
      <c r="D629" s="8" t="s">
        <v>349</v>
      </c>
      <c r="E629" s="8" t="s">
        <v>237</v>
      </c>
      <c r="F629" s="8" t="s">
        <v>249</v>
      </c>
      <c r="G629" s="6">
        <v>43157</v>
      </c>
      <c r="H629" s="6">
        <v>43157</v>
      </c>
      <c r="I629" s="4">
        <v>-100</v>
      </c>
      <c r="J629" s="8" t="s">
        <v>66</v>
      </c>
      <c r="K629" s="8" t="s">
        <v>1365</v>
      </c>
      <c r="L629" s="4" t="str">
        <f>IF(AtlasReport_1_Table_1[[#This Row],[Reference]]="Purchase order",_xll.AtlasFormulas.AtlasFunctions.AtlasTable("UAT",DataAreaId,"T.VendInvoiceTrans","%RecId","","","","","","","ItemId|PurchID|InventTransId",$C629,$B629,$K629),"")</f>
        <v/>
      </c>
      <c r="M629" s="4" t="str">
        <f>IF(AtlasReport_1_Table_1[[#This Row],[Reference]]="Purchase order",_xll.AtlasFormulas.AtlasFunctions.AtlasTable("UAT",DataAreaId,"T.MarkupTrans","%CurrencyCode","","","","","","","MarkupCode|TransRecId|TransTableId","TPP",$L629,"492"),"")</f>
        <v/>
      </c>
      <c r="N629" s="4" t="str">
        <f>IF(AtlasReport_1_Table_1[[#This Row],[Reference]]="Purchase order",_xll.AtlasFormulas.AtlasFunctions.AtlasBalance("UAT",DataAreaId,"T.MarkupTrans","Sum|Posted|0","","","","","","","MarkupCode|TransTableId|TransRecId","TPP","492",$L629),"")</f>
        <v/>
      </c>
    </row>
    <row r="630" spans="1:14">
      <c r="A630" s="8" t="s">
        <v>1121</v>
      </c>
      <c r="B630" s="8" t="s">
        <v>780</v>
      </c>
      <c r="C630" s="8" t="s">
        <v>257</v>
      </c>
      <c r="D630" s="8" t="s">
        <v>350</v>
      </c>
      <c r="E630" s="8" t="s">
        <v>237</v>
      </c>
      <c r="F630" s="8" t="s">
        <v>249</v>
      </c>
      <c r="G630" s="6">
        <v>43157</v>
      </c>
      <c r="H630" s="6">
        <v>43157</v>
      </c>
      <c r="I630" s="4">
        <v>-250</v>
      </c>
      <c r="J630" s="8" t="s">
        <v>66</v>
      </c>
      <c r="K630" s="8" t="s">
        <v>1366</v>
      </c>
      <c r="L630" s="4" t="str">
        <f>IF(AtlasReport_1_Table_1[[#This Row],[Reference]]="Purchase order",_xll.AtlasFormulas.AtlasFunctions.AtlasTable("UAT",DataAreaId,"T.VendInvoiceTrans","%RecId","","","","","","","ItemId|PurchID|InventTransId",$C630,$B630,$K630),"")</f>
        <v/>
      </c>
      <c r="M630" s="4" t="str">
        <f>IF(AtlasReport_1_Table_1[[#This Row],[Reference]]="Purchase order",_xll.AtlasFormulas.AtlasFunctions.AtlasTable("UAT",DataAreaId,"T.MarkupTrans","%CurrencyCode","","","","","","","MarkupCode|TransRecId|TransTableId","TPP",$L630,"492"),"")</f>
        <v/>
      </c>
      <c r="N630" s="4" t="str">
        <f>IF(AtlasReport_1_Table_1[[#This Row],[Reference]]="Purchase order",_xll.AtlasFormulas.AtlasFunctions.AtlasBalance("UAT",DataAreaId,"T.MarkupTrans","Sum|Posted|0","","","","","","","MarkupCode|TransTableId|TransRecId","TPP","492",$L630),"")</f>
        <v/>
      </c>
    </row>
    <row r="631" spans="1:14">
      <c r="A631" s="8" t="s">
        <v>1121</v>
      </c>
      <c r="B631" s="8" t="s">
        <v>780</v>
      </c>
      <c r="C631" s="8" t="s">
        <v>258</v>
      </c>
      <c r="D631" s="8" t="s">
        <v>351</v>
      </c>
      <c r="E631" s="8" t="s">
        <v>237</v>
      </c>
      <c r="F631" s="8" t="s">
        <v>249</v>
      </c>
      <c r="G631" s="6">
        <v>43157</v>
      </c>
      <c r="H631" s="6">
        <v>43157</v>
      </c>
      <c r="I631" s="4">
        <v>-225</v>
      </c>
      <c r="J631" s="8" t="s">
        <v>66</v>
      </c>
      <c r="K631" s="8" t="s">
        <v>1367</v>
      </c>
      <c r="L631" s="4" t="str">
        <f>IF(AtlasReport_1_Table_1[[#This Row],[Reference]]="Purchase order",_xll.AtlasFormulas.AtlasFunctions.AtlasTable("UAT",DataAreaId,"T.VendInvoiceTrans","%RecId","","","","","","","ItemId|PurchID|InventTransId",$C631,$B631,$K631),"")</f>
        <v/>
      </c>
      <c r="M631" s="4" t="str">
        <f>IF(AtlasReport_1_Table_1[[#This Row],[Reference]]="Purchase order",_xll.AtlasFormulas.AtlasFunctions.AtlasTable("UAT",DataAreaId,"T.MarkupTrans","%CurrencyCode","","","","","","","MarkupCode|TransRecId|TransTableId","TPP",$L631,"492"),"")</f>
        <v/>
      </c>
      <c r="N631" s="4" t="str">
        <f>IF(AtlasReport_1_Table_1[[#This Row],[Reference]]="Purchase order",_xll.AtlasFormulas.AtlasFunctions.AtlasBalance("UAT",DataAreaId,"T.MarkupTrans","Sum|Posted|0","","","","","","","MarkupCode|TransTableId|TransRecId","TPP","492",$L631),"")</f>
        <v/>
      </c>
    </row>
    <row r="632" spans="1:14">
      <c r="A632" s="8" t="s">
        <v>1121</v>
      </c>
      <c r="B632" s="8" t="s">
        <v>780</v>
      </c>
      <c r="C632" s="8" t="s">
        <v>259</v>
      </c>
      <c r="D632" s="8" t="s">
        <v>352</v>
      </c>
      <c r="E632" s="8" t="s">
        <v>237</v>
      </c>
      <c r="F632" s="8" t="s">
        <v>249</v>
      </c>
      <c r="G632" s="6">
        <v>43157</v>
      </c>
      <c r="H632" s="6">
        <v>43157</v>
      </c>
      <c r="I632" s="4">
        <v>-200</v>
      </c>
      <c r="J632" s="8" t="s">
        <v>66</v>
      </c>
      <c r="K632" s="8" t="s">
        <v>1368</v>
      </c>
      <c r="L632" s="4" t="str">
        <f>IF(AtlasReport_1_Table_1[[#This Row],[Reference]]="Purchase order",_xll.AtlasFormulas.AtlasFunctions.AtlasTable("UAT",DataAreaId,"T.VendInvoiceTrans","%RecId","","","","","","","ItemId|PurchID|InventTransId",$C632,$B632,$K632),"")</f>
        <v/>
      </c>
      <c r="M632" s="4" t="str">
        <f>IF(AtlasReport_1_Table_1[[#This Row],[Reference]]="Purchase order",_xll.AtlasFormulas.AtlasFunctions.AtlasTable("UAT",DataAreaId,"T.MarkupTrans","%CurrencyCode","","","","","","","MarkupCode|TransRecId|TransTableId","TPP",$L632,"492"),"")</f>
        <v/>
      </c>
      <c r="N632" s="4" t="str">
        <f>IF(AtlasReport_1_Table_1[[#This Row],[Reference]]="Purchase order",_xll.AtlasFormulas.AtlasFunctions.AtlasBalance("UAT",DataAreaId,"T.MarkupTrans","Sum|Posted|0","","","","","","","MarkupCode|TransTableId|TransRecId","TPP","492",$L632),"")</f>
        <v/>
      </c>
    </row>
    <row r="633" spans="1:14">
      <c r="A633" s="8" t="s">
        <v>1121</v>
      </c>
      <c r="B633" s="8" t="s">
        <v>780</v>
      </c>
      <c r="C633" s="8" t="s">
        <v>290</v>
      </c>
      <c r="D633" s="8" t="s">
        <v>472</v>
      </c>
      <c r="E633" s="8" t="s">
        <v>237</v>
      </c>
      <c r="F633" s="8" t="s">
        <v>238</v>
      </c>
      <c r="G633" s="6">
        <v>43157</v>
      </c>
      <c r="H633" s="6">
        <v>43157</v>
      </c>
      <c r="I633" s="4">
        <v>-2.7</v>
      </c>
      <c r="J633" s="8" t="s">
        <v>66</v>
      </c>
      <c r="K633" s="8" t="s">
        <v>1369</v>
      </c>
      <c r="L633" s="4" t="str">
        <f>IF(AtlasReport_1_Table_1[[#This Row],[Reference]]="Purchase order",_xll.AtlasFormulas.AtlasFunctions.AtlasTable("UAT",DataAreaId,"T.VendInvoiceTrans","%RecId","","","","","","","ItemId|PurchID|InventTransId",$C633,$B633,$K633),"")</f>
        <v/>
      </c>
      <c r="M633" s="4" t="str">
        <f>IF(AtlasReport_1_Table_1[[#This Row],[Reference]]="Purchase order",_xll.AtlasFormulas.AtlasFunctions.AtlasTable("UAT",DataAreaId,"T.MarkupTrans","%CurrencyCode","","","","","","","MarkupCode|TransRecId|TransTableId","TPP",$L633,"492"),"")</f>
        <v/>
      </c>
      <c r="N633" s="4" t="str">
        <f>IF(AtlasReport_1_Table_1[[#This Row],[Reference]]="Purchase order",_xll.AtlasFormulas.AtlasFunctions.AtlasBalance("UAT",DataAreaId,"T.MarkupTrans","Sum|Posted|0","","","","","","","MarkupCode|TransTableId|TransRecId","TPP","492",$L633),"")</f>
        <v/>
      </c>
    </row>
    <row r="634" spans="1:14">
      <c r="A634" s="8" t="s">
        <v>1121</v>
      </c>
      <c r="B634" s="8" t="s">
        <v>782</v>
      </c>
      <c r="C634" s="8" t="s">
        <v>394</v>
      </c>
      <c r="D634" s="8" t="s">
        <v>395</v>
      </c>
      <c r="E634" s="8" t="s">
        <v>237</v>
      </c>
      <c r="F634" s="8" t="s">
        <v>238</v>
      </c>
      <c r="G634" s="6">
        <v>43157</v>
      </c>
      <c r="H634" s="6">
        <v>43157</v>
      </c>
      <c r="I634" s="4">
        <v>-1050</v>
      </c>
      <c r="J634" s="8" t="s">
        <v>66</v>
      </c>
      <c r="K634" s="8" t="s">
        <v>1370</v>
      </c>
      <c r="L634" s="4" t="str">
        <f>IF(AtlasReport_1_Table_1[[#This Row],[Reference]]="Purchase order",_xll.AtlasFormulas.AtlasFunctions.AtlasTable("UAT",DataAreaId,"T.VendInvoiceTrans","%RecId","","","","","","","ItemId|PurchID|InventTransId",$C634,$B634,$K634),"")</f>
        <v/>
      </c>
      <c r="M634" s="4" t="str">
        <f>IF(AtlasReport_1_Table_1[[#This Row],[Reference]]="Purchase order",_xll.AtlasFormulas.AtlasFunctions.AtlasTable("UAT",DataAreaId,"T.MarkupTrans","%CurrencyCode","","","","","","","MarkupCode|TransRecId|TransTableId","TPP",$L634,"492"),"")</f>
        <v/>
      </c>
      <c r="N634" s="4" t="str">
        <f>IF(AtlasReport_1_Table_1[[#This Row],[Reference]]="Purchase order",_xll.AtlasFormulas.AtlasFunctions.AtlasBalance("UAT",DataAreaId,"T.MarkupTrans","Sum|Posted|0","","","","","","","MarkupCode|TransTableId|TransRecId","TPP","492",$L634),"")</f>
        <v/>
      </c>
    </row>
    <row r="635" spans="1:14">
      <c r="A635" s="8" t="s">
        <v>1121</v>
      </c>
      <c r="B635" s="8" t="s">
        <v>782</v>
      </c>
      <c r="C635" s="8" t="s">
        <v>1047</v>
      </c>
      <c r="D635" s="8" t="s">
        <v>1048</v>
      </c>
      <c r="E635" s="8" t="s">
        <v>237</v>
      </c>
      <c r="F635" s="8" t="s">
        <v>238</v>
      </c>
      <c r="G635" s="6">
        <v>43157</v>
      </c>
      <c r="H635" s="6">
        <v>43157</v>
      </c>
      <c r="I635" s="4">
        <v>-42</v>
      </c>
      <c r="J635" s="8" t="s">
        <v>22</v>
      </c>
      <c r="K635" s="8" t="s">
        <v>1371</v>
      </c>
      <c r="L635" s="4" t="str">
        <f>IF(AtlasReport_1_Table_1[[#This Row],[Reference]]="Purchase order",_xll.AtlasFormulas.AtlasFunctions.AtlasTable("UAT",DataAreaId,"T.VendInvoiceTrans","%RecId","","","","","","","ItemId|PurchID|InventTransId",$C635,$B635,$K635),"")</f>
        <v/>
      </c>
      <c r="M635" s="4" t="str">
        <f>IF(AtlasReport_1_Table_1[[#This Row],[Reference]]="Purchase order",_xll.AtlasFormulas.AtlasFunctions.AtlasTable("UAT",DataAreaId,"T.MarkupTrans","%CurrencyCode","","","","","","","MarkupCode|TransRecId|TransTableId","TPP",$L635,"492"),"")</f>
        <v/>
      </c>
      <c r="N635" s="4" t="str">
        <f>IF(AtlasReport_1_Table_1[[#This Row],[Reference]]="Purchase order",_xll.AtlasFormulas.AtlasFunctions.AtlasBalance("UAT",DataAreaId,"T.MarkupTrans","Sum|Posted|0","","","","","","","MarkupCode|TransTableId|TransRecId","TPP","492",$L635),"")</f>
        <v/>
      </c>
    </row>
    <row r="636" spans="1:14">
      <c r="A636" s="8" t="s">
        <v>1121</v>
      </c>
      <c r="B636" s="8" t="s">
        <v>784</v>
      </c>
      <c r="C636" s="8" t="s">
        <v>248</v>
      </c>
      <c r="D636" s="8" t="s">
        <v>327</v>
      </c>
      <c r="E636" s="8" t="s">
        <v>237</v>
      </c>
      <c r="F636" s="8" t="s">
        <v>249</v>
      </c>
      <c r="G636" s="6">
        <v>43157</v>
      </c>
      <c r="H636" s="6">
        <v>43157</v>
      </c>
      <c r="I636" s="4">
        <v>-375.03640000000001</v>
      </c>
      <c r="J636" s="8" t="s">
        <v>66</v>
      </c>
      <c r="K636" s="8" t="s">
        <v>1372</v>
      </c>
      <c r="L636" s="4" t="str">
        <f>IF(AtlasReport_1_Table_1[[#This Row],[Reference]]="Purchase order",_xll.AtlasFormulas.AtlasFunctions.AtlasTable("UAT",DataAreaId,"T.VendInvoiceTrans","%RecId","","","","","","","ItemId|PurchID|InventTransId",$C636,$B636,$K636),"")</f>
        <v/>
      </c>
      <c r="M636" s="4" t="str">
        <f>IF(AtlasReport_1_Table_1[[#This Row],[Reference]]="Purchase order",_xll.AtlasFormulas.AtlasFunctions.AtlasTable("UAT",DataAreaId,"T.MarkupTrans","%CurrencyCode","","","","","","","MarkupCode|TransRecId|TransTableId","TPP",$L636,"492"),"")</f>
        <v/>
      </c>
      <c r="N636" s="4" t="str">
        <f>IF(AtlasReport_1_Table_1[[#This Row],[Reference]]="Purchase order",_xll.AtlasFormulas.AtlasFunctions.AtlasBalance("UAT",DataAreaId,"T.MarkupTrans","Sum|Posted|0","","","","","","","MarkupCode|TransTableId|TransRecId","TPP","492",$L636),"")</f>
        <v/>
      </c>
    </row>
    <row r="637" spans="1:14">
      <c r="A637" s="8" t="s">
        <v>1121</v>
      </c>
      <c r="B637" s="8" t="s">
        <v>784</v>
      </c>
      <c r="C637" s="8" t="s">
        <v>256</v>
      </c>
      <c r="D637" s="8" t="s">
        <v>349</v>
      </c>
      <c r="E637" s="8" t="s">
        <v>237</v>
      </c>
      <c r="F637" s="8" t="s">
        <v>249</v>
      </c>
      <c r="G637" s="6">
        <v>43157</v>
      </c>
      <c r="H637" s="6">
        <v>43157</v>
      </c>
      <c r="I637" s="4">
        <v>-150.0146</v>
      </c>
      <c r="J637" s="8" t="s">
        <v>66</v>
      </c>
      <c r="K637" s="8" t="s">
        <v>1373</v>
      </c>
      <c r="L637" s="4" t="str">
        <f>IF(AtlasReport_1_Table_1[[#This Row],[Reference]]="Purchase order",_xll.AtlasFormulas.AtlasFunctions.AtlasTable("UAT",DataAreaId,"T.VendInvoiceTrans","%RecId","","","","","","","ItemId|PurchID|InventTransId",$C637,$B637,$K637),"")</f>
        <v/>
      </c>
      <c r="M637" s="4" t="str">
        <f>IF(AtlasReport_1_Table_1[[#This Row],[Reference]]="Purchase order",_xll.AtlasFormulas.AtlasFunctions.AtlasTable("UAT",DataAreaId,"T.MarkupTrans","%CurrencyCode","","","","","","","MarkupCode|TransRecId|TransTableId","TPP",$L637,"492"),"")</f>
        <v/>
      </c>
      <c r="N637" s="4" t="str">
        <f>IF(AtlasReport_1_Table_1[[#This Row],[Reference]]="Purchase order",_xll.AtlasFormulas.AtlasFunctions.AtlasBalance("UAT",DataAreaId,"T.MarkupTrans","Sum|Posted|0","","","","","","","MarkupCode|TransTableId|TransRecId","TPP","492",$L637),"")</f>
        <v/>
      </c>
    </row>
    <row r="638" spans="1:14">
      <c r="A638" s="8" t="s">
        <v>1121</v>
      </c>
      <c r="B638" s="8" t="s">
        <v>784</v>
      </c>
      <c r="C638" s="8" t="s">
        <v>257</v>
      </c>
      <c r="D638" s="8" t="s">
        <v>350</v>
      </c>
      <c r="E638" s="8" t="s">
        <v>237</v>
      </c>
      <c r="F638" s="8" t="s">
        <v>249</v>
      </c>
      <c r="G638" s="6">
        <v>43157</v>
      </c>
      <c r="H638" s="6">
        <v>43157</v>
      </c>
      <c r="I638" s="4">
        <v>-150.0146</v>
      </c>
      <c r="J638" s="8" t="s">
        <v>66</v>
      </c>
      <c r="K638" s="8" t="s">
        <v>1374</v>
      </c>
      <c r="L638" s="4" t="str">
        <f>IF(AtlasReport_1_Table_1[[#This Row],[Reference]]="Purchase order",_xll.AtlasFormulas.AtlasFunctions.AtlasTable("UAT",DataAreaId,"T.VendInvoiceTrans","%RecId","","","","","","","ItemId|PurchID|InventTransId",$C638,$B638,$K638),"")</f>
        <v/>
      </c>
      <c r="M638" s="4" t="str">
        <f>IF(AtlasReport_1_Table_1[[#This Row],[Reference]]="Purchase order",_xll.AtlasFormulas.AtlasFunctions.AtlasTable("UAT",DataAreaId,"T.MarkupTrans","%CurrencyCode","","","","","","","MarkupCode|TransRecId|TransTableId","TPP",$L638,"492"),"")</f>
        <v/>
      </c>
      <c r="N638" s="4" t="str">
        <f>IF(AtlasReport_1_Table_1[[#This Row],[Reference]]="Purchase order",_xll.AtlasFormulas.AtlasFunctions.AtlasBalance("UAT",DataAreaId,"T.MarkupTrans","Sum|Posted|0","","","","","","","MarkupCode|TransTableId|TransRecId","TPP","492",$L638),"")</f>
        <v/>
      </c>
    </row>
    <row r="639" spans="1:14">
      <c r="A639" s="8" t="s">
        <v>1121</v>
      </c>
      <c r="B639" s="8" t="s">
        <v>784</v>
      </c>
      <c r="C639" s="8" t="s">
        <v>258</v>
      </c>
      <c r="D639" s="8" t="s">
        <v>351</v>
      </c>
      <c r="E639" s="8" t="s">
        <v>237</v>
      </c>
      <c r="F639" s="8" t="s">
        <v>249</v>
      </c>
      <c r="G639" s="6">
        <v>43157</v>
      </c>
      <c r="H639" s="6">
        <v>43157</v>
      </c>
      <c r="I639" s="4">
        <v>-150.0146</v>
      </c>
      <c r="J639" s="8" t="s">
        <v>66</v>
      </c>
      <c r="K639" s="8" t="s">
        <v>1375</v>
      </c>
      <c r="L639" s="4" t="str">
        <f>IF(AtlasReport_1_Table_1[[#This Row],[Reference]]="Purchase order",_xll.AtlasFormulas.AtlasFunctions.AtlasTable("UAT",DataAreaId,"T.VendInvoiceTrans","%RecId","","","","","","","ItemId|PurchID|InventTransId",$C639,$B639,$K639),"")</f>
        <v/>
      </c>
      <c r="M639" s="4" t="str">
        <f>IF(AtlasReport_1_Table_1[[#This Row],[Reference]]="Purchase order",_xll.AtlasFormulas.AtlasFunctions.AtlasTable("UAT",DataAreaId,"T.MarkupTrans","%CurrencyCode","","","","","","","MarkupCode|TransRecId|TransTableId","TPP",$L639,"492"),"")</f>
        <v/>
      </c>
      <c r="N639" s="4" t="str">
        <f>IF(AtlasReport_1_Table_1[[#This Row],[Reference]]="Purchase order",_xll.AtlasFormulas.AtlasFunctions.AtlasBalance("UAT",DataAreaId,"T.MarkupTrans","Sum|Posted|0","","","","","","","MarkupCode|TransTableId|TransRecId","TPP","492",$L639),"")</f>
        <v/>
      </c>
    </row>
    <row r="640" spans="1:14">
      <c r="A640" s="8" t="s">
        <v>1121</v>
      </c>
      <c r="B640" s="8" t="s">
        <v>784</v>
      </c>
      <c r="C640" s="8" t="s">
        <v>259</v>
      </c>
      <c r="D640" s="8" t="s">
        <v>352</v>
      </c>
      <c r="E640" s="8" t="s">
        <v>237</v>
      </c>
      <c r="F640" s="8" t="s">
        <v>249</v>
      </c>
      <c r="G640" s="6">
        <v>43157</v>
      </c>
      <c r="H640" s="6">
        <v>43157</v>
      </c>
      <c r="I640" s="4">
        <v>-200.01939999999999</v>
      </c>
      <c r="J640" s="8" t="s">
        <v>66</v>
      </c>
      <c r="K640" s="8" t="s">
        <v>1376</v>
      </c>
      <c r="L640" s="4" t="str">
        <f>IF(AtlasReport_1_Table_1[[#This Row],[Reference]]="Purchase order",_xll.AtlasFormulas.AtlasFunctions.AtlasTable("UAT",DataAreaId,"T.VendInvoiceTrans","%RecId","","","","","","","ItemId|PurchID|InventTransId",$C640,$B640,$K640),"")</f>
        <v/>
      </c>
      <c r="M640" s="4" t="str">
        <f>IF(AtlasReport_1_Table_1[[#This Row],[Reference]]="Purchase order",_xll.AtlasFormulas.AtlasFunctions.AtlasTable("UAT",DataAreaId,"T.MarkupTrans","%CurrencyCode","","","","","","","MarkupCode|TransRecId|TransTableId","TPP",$L640,"492"),"")</f>
        <v/>
      </c>
      <c r="N640" s="4" t="str">
        <f>IF(AtlasReport_1_Table_1[[#This Row],[Reference]]="Purchase order",_xll.AtlasFormulas.AtlasFunctions.AtlasBalance("UAT",DataAreaId,"T.MarkupTrans","Sum|Posted|0","","","","","","","MarkupCode|TransTableId|TransRecId","TPP","492",$L640),"")</f>
        <v/>
      </c>
    </row>
    <row r="641" spans="1:14">
      <c r="A641" s="8" t="s">
        <v>1121</v>
      </c>
      <c r="B641" s="8" t="s">
        <v>784</v>
      </c>
      <c r="C641" s="8" t="s">
        <v>290</v>
      </c>
      <c r="D641" s="8" t="s">
        <v>472</v>
      </c>
      <c r="E641" s="8" t="s">
        <v>237</v>
      </c>
      <c r="F641" s="8" t="s">
        <v>238</v>
      </c>
      <c r="G641" s="6">
        <v>43157</v>
      </c>
      <c r="H641" s="6">
        <v>43157</v>
      </c>
      <c r="I641" s="4">
        <v>-4.1003999999999996</v>
      </c>
      <c r="J641" s="8" t="s">
        <v>66</v>
      </c>
      <c r="K641" s="8" t="s">
        <v>1377</v>
      </c>
      <c r="L641" s="4" t="str">
        <f>IF(AtlasReport_1_Table_1[[#This Row],[Reference]]="Purchase order",_xll.AtlasFormulas.AtlasFunctions.AtlasTable("UAT",DataAreaId,"T.VendInvoiceTrans","%RecId","","","","","","","ItemId|PurchID|InventTransId",$C641,$B641,$K641),"")</f>
        <v/>
      </c>
      <c r="M641" s="4" t="str">
        <f>IF(AtlasReport_1_Table_1[[#This Row],[Reference]]="Purchase order",_xll.AtlasFormulas.AtlasFunctions.AtlasTable("UAT",DataAreaId,"T.MarkupTrans","%CurrencyCode","","","","","","","MarkupCode|TransRecId|TransTableId","TPP",$L641,"492"),"")</f>
        <v/>
      </c>
      <c r="N641" s="4" t="str">
        <f>IF(AtlasReport_1_Table_1[[#This Row],[Reference]]="Purchase order",_xll.AtlasFormulas.AtlasFunctions.AtlasBalance("UAT",DataAreaId,"T.MarkupTrans","Sum|Posted|0","","","","","","","MarkupCode|TransTableId|TransRecId","TPP","492",$L641),"")</f>
        <v/>
      </c>
    </row>
    <row r="642" spans="1:14">
      <c r="A642" s="8" t="s">
        <v>1121</v>
      </c>
      <c r="B642" s="8" t="s">
        <v>786</v>
      </c>
      <c r="C642" s="8" t="s">
        <v>689</v>
      </c>
      <c r="D642" s="8" t="s">
        <v>690</v>
      </c>
      <c r="E642" s="8" t="s">
        <v>237</v>
      </c>
      <c r="F642" s="8" t="s">
        <v>238</v>
      </c>
      <c r="G642" s="6">
        <v>43157</v>
      </c>
      <c r="H642" s="6">
        <v>43157</v>
      </c>
      <c r="I642" s="4">
        <v>-1025</v>
      </c>
      <c r="J642" s="8" t="s">
        <v>66</v>
      </c>
      <c r="K642" s="8" t="s">
        <v>1378</v>
      </c>
      <c r="L642" s="4" t="str">
        <f>IF(AtlasReport_1_Table_1[[#This Row],[Reference]]="Purchase order",_xll.AtlasFormulas.AtlasFunctions.AtlasTable("UAT",DataAreaId,"T.VendInvoiceTrans","%RecId","","","","","","","ItemId|PurchID|InventTransId",$C642,$B642,$K642),"")</f>
        <v/>
      </c>
      <c r="M642" s="4" t="str">
        <f>IF(AtlasReport_1_Table_1[[#This Row],[Reference]]="Purchase order",_xll.AtlasFormulas.AtlasFunctions.AtlasTable("UAT",DataAreaId,"T.MarkupTrans","%CurrencyCode","","","","","","","MarkupCode|TransRecId|TransTableId","TPP",$L642,"492"),"")</f>
        <v/>
      </c>
      <c r="N642" s="4" t="str">
        <f>IF(AtlasReport_1_Table_1[[#This Row],[Reference]]="Purchase order",_xll.AtlasFormulas.AtlasFunctions.AtlasBalance("UAT",DataAreaId,"T.MarkupTrans","Sum|Posted|0","","","","","","","MarkupCode|TransTableId|TransRecId","TPP","492",$L642),"")</f>
        <v/>
      </c>
    </row>
    <row r="643" spans="1:14">
      <c r="A643" s="8" t="s">
        <v>1121</v>
      </c>
      <c r="B643" s="8" t="s">
        <v>786</v>
      </c>
      <c r="C643" s="8" t="s">
        <v>871</v>
      </c>
      <c r="D643" s="8" t="s">
        <v>872</v>
      </c>
      <c r="E643" s="8" t="s">
        <v>237</v>
      </c>
      <c r="F643" s="8" t="s">
        <v>238</v>
      </c>
      <c r="G643" s="6">
        <v>43157</v>
      </c>
      <c r="H643" s="6">
        <v>43157</v>
      </c>
      <c r="I643" s="4">
        <v>-41</v>
      </c>
      <c r="J643" s="8" t="s">
        <v>22</v>
      </c>
      <c r="K643" s="8" t="s">
        <v>1379</v>
      </c>
      <c r="L643" s="4" t="str">
        <f>IF(AtlasReport_1_Table_1[[#This Row],[Reference]]="Purchase order",_xll.AtlasFormulas.AtlasFunctions.AtlasTable("UAT",DataAreaId,"T.VendInvoiceTrans","%RecId","","","","","","","ItemId|PurchID|InventTransId",$C643,$B643,$K643),"")</f>
        <v/>
      </c>
      <c r="M643" s="4" t="str">
        <f>IF(AtlasReport_1_Table_1[[#This Row],[Reference]]="Purchase order",_xll.AtlasFormulas.AtlasFunctions.AtlasTable("UAT",DataAreaId,"T.MarkupTrans","%CurrencyCode","","","","","","","MarkupCode|TransRecId|TransTableId","TPP",$L643,"492"),"")</f>
        <v/>
      </c>
      <c r="N643" s="4" t="str">
        <f>IF(AtlasReport_1_Table_1[[#This Row],[Reference]]="Purchase order",_xll.AtlasFormulas.AtlasFunctions.AtlasBalance("UAT",DataAreaId,"T.MarkupTrans","Sum|Posted|0","","","","","","","MarkupCode|TransTableId|TransRecId","TPP","492",$L643),"")</f>
        <v/>
      </c>
    </row>
    <row r="644" spans="1:14">
      <c r="A644" s="8" t="s">
        <v>1121</v>
      </c>
      <c r="B644" s="8" t="s">
        <v>788</v>
      </c>
      <c r="C644" s="8" t="s">
        <v>250</v>
      </c>
      <c r="D644" s="8" t="s">
        <v>329</v>
      </c>
      <c r="E644" s="8" t="s">
        <v>237</v>
      </c>
      <c r="F644" s="8" t="s">
        <v>249</v>
      </c>
      <c r="G644" s="6">
        <v>43157</v>
      </c>
      <c r="H644" s="6">
        <v>43157</v>
      </c>
      <c r="I644" s="4">
        <v>-360</v>
      </c>
      <c r="J644" s="8" t="s">
        <v>66</v>
      </c>
      <c r="K644" s="8" t="s">
        <v>1380</v>
      </c>
      <c r="L644" s="4" t="str">
        <f>IF(AtlasReport_1_Table_1[[#This Row],[Reference]]="Purchase order",_xll.AtlasFormulas.AtlasFunctions.AtlasTable("UAT",DataAreaId,"T.VendInvoiceTrans","%RecId","","","","","","","ItemId|PurchID|InventTransId",$C644,$B644,$K644),"")</f>
        <v/>
      </c>
      <c r="M644" s="4" t="str">
        <f>IF(AtlasReport_1_Table_1[[#This Row],[Reference]]="Purchase order",_xll.AtlasFormulas.AtlasFunctions.AtlasTable("UAT",DataAreaId,"T.MarkupTrans","%CurrencyCode","","","","","","","MarkupCode|TransRecId|TransTableId","TPP",$L644,"492"),"")</f>
        <v/>
      </c>
      <c r="N644" s="4" t="str">
        <f>IF(AtlasReport_1_Table_1[[#This Row],[Reference]]="Purchase order",_xll.AtlasFormulas.AtlasFunctions.AtlasBalance("UAT",DataAreaId,"T.MarkupTrans","Sum|Posted|0","","","","","","","MarkupCode|TransTableId|TransRecId","TPP","492",$L644),"")</f>
        <v/>
      </c>
    </row>
    <row r="645" spans="1:14">
      <c r="A645" s="8" t="s">
        <v>1121</v>
      </c>
      <c r="B645" s="8" t="s">
        <v>788</v>
      </c>
      <c r="C645" s="8" t="s">
        <v>256</v>
      </c>
      <c r="D645" s="8" t="s">
        <v>349</v>
      </c>
      <c r="E645" s="8" t="s">
        <v>237</v>
      </c>
      <c r="F645" s="8" t="s">
        <v>249</v>
      </c>
      <c r="G645" s="6">
        <v>43157</v>
      </c>
      <c r="H645" s="6">
        <v>43157</v>
      </c>
      <c r="I645" s="4">
        <v>-150</v>
      </c>
      <c r="J645" s="8" t="s">
        <v>66</v>
      </c>
      <c r="K645" s="8" t="s">
        <v>1381</v>
      </c>
      <c r="L645" s="4" t="str">
        <f>IF(AtlasReport_1_Table_1[[#This Row],[Reference]]="Purchase order",_xll.AtlasFormulas.AtlasFunctions.AtlasTable("UAT",DataAreaId,"T.VendInvoiceTrans","%RecId","","","","","","","ItemId|PurchID|InventTransId",$C645,$B645,$K645),"")</f>
        <v/>
      </c>
      <c r="M645" s="4" t="str">
        <f>IF(AtlasReport_1_Table_1[[#This Row],[Reference]]="Purchase order",_xll.AtlasFormulas.AtlasFunctions.AtlasTable("UAT",DataAreaId,"T.MarkupTrans","%CurrencyCode","","","","","","","MarkupCode|TransRecId|TransTableId","TPP",$L645,"492"),"")</f>
        <v/>
      </c>
      <c r="N645" s="4" t="str">
        <f>IF(AtlasReport_1_Table_1[[#This Row],[Reference]]="Purchase order",_xll.AtlasFormulas.AtlasFunctions.AtlasBalance("UAT",DataAreaId,"T.MarkupTrans","Sum|Posted|0","","","","","","","MarkupCode|TransTableId|TransRecId","TPP","492",$L645),"")</f>
        <v/>
      </c>
    </row>
    <row r="646" spans="1:14">
      <c r="A646" s="8" t="s">
        <v>1121</v>
      </c>
      <c r="B646" s="8" t="s">
        <v>788</v>
      </c>
      <c r="C646" s="8" t="s">
        <v>257</v>
      </c>
      <c r="D646" s="8" t="s">
        <v>350</v>
      </c>
      <c r="E646" s="8" t="s">
        <v>237</v>
      </c>
      <c r="F646" s="8" t="s">
        <v>249</v>
      </c>
      <c r="G646" s="6">
        <v>43157</v>
      </c>
      <c r="H646" s="6">
        <v>43157</v>
      </c>
      <c r="I646" s="4">
        <v>-150</v>
      </c>
      <c r="J646" s="8" t="s">
        <v>66</v>
      </c>
      <c r="K646" s="8" t="s">
        <v>1382</v>
      </c>
      <c r="L646" s="4" t="str">
        <f>IF(AtlasReport_1_Table_1[[#This Row],[Reference]]="Purchase order",_xll.AtlasFormulas.AtlasFunctions.AtlasTable("UAT",DataAreaId,"T.VendInvoiceTrans","%RecId","","","","","","","ItemId|PurchID|InventTransId",$C646,$B646,$K646),"")</f>
        <v/>
      </c>
      <c r="M646" s="4" t="str">
        <f>IF(AtlasReport_1_Table_1[[#This Row],[Reference]]="Purchase order",_xll.AtlasFormulas.AtlasFunctions.AtlasTable("UAT",DataAreaId,"T.MarkupTrans","%CurrencyCode","","","","","","","MarkupCode|TransRecId|TransTableId","TPP",$L646,"492"),"")</f>
        <v/>
      </c>
      <c r="N646" s="4" t="str">
        <f>IF(AtlasReport_1_Table_1[[#This Row],[Reference]]="Purchase order",_xll.AtlasFormulas.AtlasFunctions.AtlasBalance("UAT",DataAreaId,"T.MarkupTrans","Sum|Posted|0","","","","","","","MarkupCode|TransTableId|TransRecId","TPP","492",$L646),"")</f>
        <v/>
      </c>
    </row>
    <row r="647" spans="1:14">
      <c r="A647" s="8" t="s">
        <v>1121</v>
      </c>
      <c r="B647" s="8" t="s">
        <v>788</v>
      </c>
      <c r="C647" s="8" t="s">
        <v>258</v>
      </c>
      <c r="D647" s="8" t="s">
        <v>351</v>
      </c>
      <c r="E647" s="8" t="s">
        <v>237</v>
      </c>
      <c r="F647" s="8" t="s">
        <v>249</v>
      </c>
      <c r="G647" s="6">
        <v>43157</v>
      </c>
      <c r="H647" s="6">
        <v>43157</v>
      </c>
      <c r="I647" s="4">
        <v>-150</v>
      </c>
      <c r="J647" s="8" t="s">
        <v>66</v>
      </c>
      <c r="K647" s="8" t="s">
        <v>1383</v>
      </c>
      <c r="L647" s="4" t="str">
        <f>IF(AtlasReport_1_Table_1[[#This Row],[Reference]]="Purchase order",_xll.AtlasFormulas.AtlasFunctions.AtlasTable("UAT",DataAreaId,"T.VendInvoiceTrans","%RecId","","","","","","","ItemId|PurchID|InventTransId",$C647,$B647,$K647),"")</f>
        <v/>
      </c>
      <c r="M647" s="4" t="str">
        <f>IF(AtlasReport_1_Table_1[[#This Row],[Reference]]="Purchase order",_xll.AtlasFormulas.AtlasFunctions.AtlasTable("UAT",DataAreaId,"T.MarkupTrans","%CurrencyCode","","","","","","","MarkupCode|TransRecId|TransTableId","TPP",$L647,"492"),"")</f>
        <v/>
      </c>
      <c r="N647" s="4" t="str">
        <f>IF(AtlasReport_1_Table_1[[#This Row],[Reference]]="Purchase order",_xll.AtlasFormulas.AtlasFunctions.AtlasBalance("UAT",DataAreaId,"T.MarkupTrans","Sum|Posted|0","","","","","","","MarkupCode|TransTableId|TransRecId","TPP","492",$L647),"")</f>
        <v/>
      </c>
    </row>
    <row r="648" spans="1:14">
      <c r="A648" s="8" t="s">
        <v>1121</v>
      </c>
      <c r="B648" s="8" t="s">
        <v>788</v>
      </c>
      <c r="C648" s="8" t="s">
        <v>259</v>
      </c>
      <c r="D648" s="8" t="s">
        <v>352</v>
      </c>
      <c r="E648" s="8" t="s">
        <v>237</v>
      </c>
      <c r="F648" s="8" t="s">
        <v>249</v>
      </c>
      <c r="G648" s="6">
        <v>43157</v>
      </c>
      <c r="H648" s="6">
        <v>43157</v>
      </c>
      <c r="I648" s="4">
        <v>-200</v>
      </c>
      <c r="J648" s="8" t="s">
        <v>66</v>
      </c>
      <c r="K648" s="8" t="s">
        <v>1384</v>
      </c>
      <c r="L648" s="4" t="str">
        <f>IF(AtlasReport_1_Table_1[[#This Row],[Reference]]="Purchase order",_xll.AtlasFormulas.AtlasFunctions.AtlasTable("UAT",DataAreaId,"T.VendInvoiceTrans","%RecId","","","","","","","ItemId|PurchID|InventTransId",$C648,$B648,$K648),"")</f>
        <v/>
      </c>
      <c r="M648" s="4" t="str">
        <f>IF(AtlasReport_1_Table_1[[#This Row],[Reference]]="Purchase order",_xll.AtlasFormulas.AtlasFunctions.AtlasTable("UAT",DataAreaId,"T.MarkupTrans","%CurrencyCode","","","","","","","MarkupCode|TransRecId|TransTableId","TPP",$L648,"492"),"")</f>
        <v/>
      </c>
      <c r="N648" s="4" t="str">
        <f>IF(AtlasReport_1_Table_1[[#This Row],[Reference]]="Purchase order",_xll.AtlasFormulas.AtlasFunctions.AtlasBalance("UAT",DataAreaId,"T.MarkupTrans","Sum|Posted|0","","","","","","","MarkupCode|TransTableId|TransRecId","TPP","492",$L648),"")</f>
        <v/>
      </c>
    </row>
    <row r="649" spans="1:14">
      <c r="A649" s="8" t="s">
        <v>1121</v>
      </c>
      <c r="B649" s="8" t="s">
        <v>788</v>
      </c>
      <c r="C649" s="8" t="s">
        <v>290</v>
      </c>
      <c r="D649" s="8" t="s">
        <v>472</v>
      </c>
      <c r="E649" s="8" t="s">
        <v>237</v>
      </c>
      <c r="F649" s="8" t="s">
        <v>238</v>
      </c>
      <c r="G649" s="6">
        <v>43157</v>
      </c>
      <c r="H649" s="6">
        <v>43157</v>
      </c>
      <c r="I649" s="4">
        <v>-3.8</v>
      </c>
      <c r="J649" s="8" t="s">
        <v>66</v>
      </c>
      <c r="K649" s="8" t="s">
        <v>1385</v>
      </c>
      <c r="L649" s="4" t="str">
        <f>IF(AtlasReport_1_Table_1[[#This Row],[Reference]]="Purchase order",_xll.AtlasFormulas.AtlasFunctions.AtlasTable("UAT",DataAreaId,"T.VendInvoiceTrans","%RecId","","","","","","","ItemId|PurchID|InventTransId",$C649,$B649,$K649),"")</f>
        <v/>
      </c>
      <c r="M649" s="4" t="str">
        <f>IF(AtlasReport_1_Table_1[[#This Row],[Reference]]="Purchase order",_xll.AtlasFormulas.AtlasFunctions.AtlasTable("UAT",DataAreaId,"T.MarkupTrans","%CurrencyCode","","","","","","","MarkupCode|TransRecId|TransTableId","TPP",$L649,"492"),"")</f>
        <v/>
      </c>
      <c r="N649" s="4" t="str">
        <f>IF(AtlasReport_1_Table_1[[#This Row],[Reference]]="Purchase order",_xll.AtlasFormulas.AtlasFunctions.AtlasBalance("UAT",DataAreaId,"T.MarkupTrans","Sum|Posted|0","","","","","","","MarkupCode|TransTableId|TransRecId","TPP","492",$L649),"")</f>
        <v/>
      </c>
    </row>
    <row r="650" spans="1:14">
      <c r="A650" s="8" t="s">
        <v>1121</v>
      </c>
      <c r="B650" s="8" t="s">
        <v>790</v>
      </c>
      <c r="C650" s="8" t="s">
        <v>369</v>
      </c>
      <c r="D650" s="8" t="s">
        <v>370</v>
      </c>
      <c r="E650" s="8" t="s">
        <v>237</v>
      </c>
      <c r="F650" s="8" t="s">
        <v>238</v>
      </c>
      <c r="G650" s="6">
        <v>43157</v>
      </c>
      <c r="H650" s="6">
        <v>43157</v>
      </c>
      <c r="I650" s="4">
        <v>-1000</v>
      </c>
      <c r="J650" s="8" t="s">
        <v>66</v>
      </c>
      <c r="K650" s="8" t="s">
        <v>1386</v>
      </c>
      <c r="L650" s="4" t="str">
        <f>IF(AtlasReport_1_Table_1[[#This Row],[Reference]]="Purchase order",_xll.AtlasFormulas.AtlasFunctions.AtlasTable("UAT",DataAreaId,"T.VendInvoiceTrans","%RecId","","","","","","","ItemId|PurchID|InventTransId",$C650,$B650,$K650),"")</f>
        <v/>
      </c>
      <c r="M650" s="4" t="str">
        <f>IF(AtlasReport_1_Table_1[[#This Row],[Reference]]="Purchase order",_xll.AtlasFormulas.AtlasFunctions.AtlasTable("UAT",DataAreaId,"T.MarkupTrans","%CurrencyCode","","","","","","","MarkupCode|TransRecId|TransTableId","TPP",$L650,"492"),"")</f>
        <v/>
      </c>
      <c r="N650" s="4" t="str">
        <f>IF(AtlasReport_1_Table_1[[#This Row],[Reference]]="Purchase order",_xll.AtlasFormulas.AtlasFunctions.AtlasBalance("UAT",DataAreaId,"T.MarkupTrans","Sum|Posted|0","","","","","","","MarkupCode|TransTableId|TransRecId","TPP","492",$L650),"")</f>
        <v/>
      </c>
    </row>
    <row r="651" spans="1:14">
      <c r="A651" s="8" t="s">
        <v>1121</v>
      </c>
      <c r="B651" s="8" t="s">
        <v>790</v>
      </c>
      <c r="C651" s="8" t="s">
        <v>856</v>
      </c>
      <c r="D651" s="8" t="s">
        <v>857</v>
      </c>
      <c r="E651" s="8" t="s">
        <v>237</v>
      </c>
      <c r="F651" s="8" t="s">
        <v>238</v>
      </c>
      <c r="G651" s="6">
        <v>43157</v>
      </c>
      <c r="H651" s="6">
        <v>43157</v>
      </c>
      <c r="I651" s="4">
        <v>-40</v>
      </c>
      <c r="J651" s="8" t="s">
        <v>22</v>
      </c>
      <c r="K651" s="8" t="s">
        <v>1387</v>
      </c>
      <c r="L651" s="4" t="str">
        <f>IF(AtlasReport_1_Table_1[[#This Row],[Reference]]="Purchase order",_xll.AtlasFormulas.AtlasFunctions.AtlasTable("UAT",DataAreaId,"T.VendInvoiceTrans","%RecId","","","","","","","ItemId|PurchID|InventTransId",$C651,$B651,$K651),"")</f>
        <v/>
      </c>
      <c r="M651" s="4" t="str">
        <f>IF(AtlasReport_1_Table_1[[#This Row],[Reference]]="Purchase order",_xll.AtlasFormulas.AtlasFunctions.AtlasTable("UAT",DataAreaId,"T.MarkupTrans","%CurrencyCode","","","","","","","MarkupCode|TransRecId|TransTableId","TPP",$L651,"492"),"")</f>
        <v/>
      </c>
      <c r="N651" s="4" t="str">
        <f>IF(AtlasReport_1_Table_1[[#This Row],[Reference]]="Purchase order",_xll.AtlasFormulas.AtlasFunctions.AtlasBalance("UAT",DataAreaId,"T.MarkupTrans","Sum|Posted|0","","","","","","","MarkupCode|TransTableId|TransRecId","TPP","492",$L651),"")</f>
        <v/>
      </c>
    </row>
    <row r="652" spans="1:14">
      <c r="A652" s="8" t="s">
        <v>1121</v>
      </c>
      <c r="B652" s="8" t="s">
        <v>792</v>
      </c>
      <c r="C652" s="8" t="s">
        <v>629</v>
      </c>
      <c r="D652" s="8" t="s">
        <v>630</v>
      </c>
      <c r="E652" s="8" t="s">
        <v>237</v>
      </c>
      <c r="F652" s="8" t="s">
        <v>238</v>
      </c>
      <c r="G652" s="6">
        <v>43158</v>
      </c>
      <c r="H652" s="6">
        <v>43158</v>
      </c>
      <c r="I652" s="4">
        <v>-2</v>
      </c>
      <c r="J652" s="8" t="s">
        <v>22</v>
      </c>
      <c r="K652" s="8" t="s">
        <v>1388</v>
      </c>
      <c r="L652" s="4" t="str">
        <f>IF(AtlasReport_1_Table_1[[#This Row],[Reference]]="Purchase order",_xll.AtlasFormulas.AtlasFunctions.AtlasTable("UAT",DataAreaId,"T.VendInvoiceTrans","%RecId","","","","","","","ItemId|PurchID|InventTransId",$C652,$B652,$K652),"")</f>
        <v/>
      </c>
      <c r="M652" s="4" t="str">
        <f>IF(AtlasReport_1_Table_1[[#This Row],[Reference]]="Purchase order",_xll.AtlasFormulas.AtlasFunctions.AtlasTable("UAT",DataAreaId,"T.MarkupTrans","%CurrencyCode","","","","","","","MarkupCode|TransRecId|TransTableId","TPP",$L652,"492"),"")</f>
        <v/>
      </c>
      <c r="N652" s="4" t="str">
        <f>IF(AtlasReport_1_Table_1[[#This Row],[Reference]]="Purchase order",_xll.AtlasFormulas.AtlasFunctions.AtlasBalance("UAT",DataAreaId,"T.MarkupTrans","Sum|Posted|0","","","","","","","MarkupCode|TransTableId|TransRecId","TPP","492",$L652),"")</f>
        <v/>
      </c>
    </row>
    <row r="653" spans="1:14">
      <c r="A653" s="8" t="s">
        <v>1121</v>
      </c>
      <c r="B653" s="8" t="s">
        <v>792</v>
      </c>
      <c r="C653" s="8" t="s">
        <v>296</v>
      </c>
      <c r="D653" s="8" t="s">
        <v>486</v>
      </c>
      <c r="E653" s="8" t="s">
        <v>237</v>
      </c>
      <c r="F653" s="8" t="s">
        <v>238</v>
      </c>
      <c r="G653" s="6">
        <v>43158</v>
      </c>
      <c r="H653" s="6">
        <v>43158</v>
      </c>
      <c r="I653" s="4">
        <v>-43.5</v>
      </c>
      <c r="J653" s="8" t="s">
        <v>66</v>
      </c>
      <c r="K653" s="8" t="s">
        <v>1389</v>
      </c>
      <c r="L653" s="4" t="str">
        <f>IF(AtlasReport_1_Table_1[[#This Row],[Reference]]="Purchase order",_xll.AtlasFormulas.AtlasFunctions.AtlasTable("UAT",DataAreaId,"T.VendInvoiceTrans","%RecId","","","","","","","ItemId|PurchID|InventTransId",$C653,$B653,$K653),"")</f>
        <v/>
      </c>
      <c r="M653" s="4" t="str">
        <f>IF(AtlasReport_1_Table_1[[#This Row],[Reference]]="Purchase order",_xll.AtlasFormulas.AtlasFunctions.AtlasTable("UAT",DataAreaId,"T.MarkupTrans","%CurrencyCode","","","","","","","MarkupCode|TransRecId|TransTableId","TPP",$L653,"492"),"")</f>
        <v/>
      </c>
      <c r="N653" s="4" t="str">
        <f>IF(AtlasReport_1_Table_1[[#This Row],[Reference]]="Purchase order",_xll.AtlasFormulas.AtlasFunctions.AtlasBalance("UAT",DataAreaId,"T.MarkupTrans","Sum|Posted|0","","","","","","","MarkupCode|TransTableId|TransRecId","TPP","492",$L653),"")</f>
        <v/>
      </c>
    </row>
    <row r="654" spans="1:14">
      <c r="A654" s="8" t="s">
        <v>1121</v>
      </c>
      <c r="B654" s="8" t="s">
        <v>794</v>
      </c>
      <c r="C654" s="8" t="s">
        <v>248</v>
      </c>
      <c r="D654" s="8" t="s">
        <v>327</v>
      </c>
      <c r="E654" s="8" t="s">
        <v>237</v>
      </c>
      <c r="F654" s="8" t="s">
        <v>249</v>
      </c>
      <c r="G654" s="6">
        <v>43159</v>
      </c>
      <c r="H654" s="6">
        <v>43159</v>
      </c>
      <c r="I654" s="4">
        <v>-255</v>
      </c>
      <c r="J654" s="8" t="s">
        <v>66</v>
      </c>
      <c r="K654" s="8" t="s">
        <v>1390</v>
      </c>
      <c r="L654" s="4" t="str">
        <f>IF(AtlasReport_1_Table_1[[#This Row],[Reference]]="Purchase order",_xll.AtlasFormulas.AtlasFunctions.AtlasTable("UAT",DataAreaId,"T.VendInvoiceTrans","%RecId","","","","","","","ItemId|PurchID|InventTransId",$C654,$B654,$K654),"")</f>
        <v/>
      </c>
      <c r="M654" s="4" t="str">
        <f>IF(AtlasReport_1_Table_1[[#This Row],[Reference]]="Purchase order",_xll.AtlasFormulas.AtlasFunctions.AtlasTable("UAT",DataAreaId,"T.MarkupTrans","%CurrencyCode","","","","","","","MarkupCode|TransRecId|TransTableId","TPP",$L654,"492"),"")</f>
        <v/>
      </c>
      <c r="N654" s="4" t="str">
        <f>IF(AtlasReport_1_Table_1[[#This Row],[Reference]]="Purchase order",_xll.AtlasFormulas.AtlasFunctions.AtlasBalance("UAT",DataAreaId,"T.MarkupTrans","Sum|Posted|0","","","","","","","MarkupCode|TransTableId|TransRecId","TPP","492",$L654),"")</f>
        <v/>
      </c>
    </row>
    <row r="655" spans="1:14">
      <c r="A655" s="8" t="s">
        <v>1121</v>
      </c>
      <c r="B655" s="8" t="s">
        <v>794</v>
      </c>
      <c r="C655" s="8" t="s">
        <v>250</v>
      </c>
      <c r="D655" s="8" t="s">
        <v>329</v>
      </c>
      <c r="E655" s="8" t="s">
        <v>237</v>
      </c>
      <c r="F655" s="8" t="s">
        <v>249</v>
      </c>
      <c r="G655" s="6">
        <v>43159</v>
      </c>
      <c r="H655" s="6">
        <v>43159</v>
      </c>
      <c r="I655" s="4">
        <v>-1525</v>
      </c>
      <c r="J655" s="8" t="s">
        <v>66</v>
      </c>
      <c r="K655" s="8" t="s">
        <v>1391</v>
      </c>
      <c r="L655" s="4" t="str">
        <f>IF(AtlasReport_1_Table_1[[#This Row],[Reference]]="Purchase order",_xll.AtlasFormulas.AtlasFunctions.AtlasTable("UAT",DataAreaId,"T.VendInvoiceTrans","%RecId","","","","","","","ItemId|PurchID|InventTransId",$C655,$B655,$K655),"")</f>
        <v/>
      </c>
      <c r="M655" s="4" t="str">
        <f>IF(AtlasReport_1_Table_1[[#This Row],[Reference]]="Purchase order",_xll.AtlasFormulas.AtlasFunctions.AtlasTable("UAT",DataAreaId,"T.MarkupTrans","%CurrencyCode","","","","","","","MarkupCode|TransRecId|TransTableId","TPP",$L655,"492"),"")</f>
        <v/>
      </c>
      <c r="N655" s="4" t="str">
        <f>IF(AtlasReport_1_Table_1[[#This Row],[Reference]]="Purchase order",_xll.AtlasFormulas.AtlasFunctions.AtlasBalance("UAT",DataAreaId,"T.MarkupTrans","Sum|Posted|0","","","","","","","MarkupCode|TransTableId|TransRecId","TPP","492",$L655),"")</f>
        <v/>
      </c>
    </row>
    <row r="656" spans="1:14">
      <c r="A656" s="8" t="s">
        <v>1121</v>
      </c>
      <c r="B656" s="8" t="s">
        <v>794</v>
      </c>
      <c r="C656" s="8" t="s">
        <v>256</v>
      </c>
      <c r="D656" s="8" t="s">
        <v>349</v>
      </c>
      <c r="E656" s="8" t="s">
        <v>237</v>
      </c>
      <c r="F656" s="8" t="s">
        <v>249</v>
      </c>
      <c r="G656" s="6">
        <v>43159</v>
      </c>
      <c r="H656" s="6">
        <v>43159</v>
      </c>
      <c r="I656" s="4">
        <v>-1525</v>
      </c>
      <c r="J656" s="8" t="s">
        <v>66</v>
      </c>
      <c r="K656" s="8" t="s">
        <v>1392</v>
      </c>
      <c r="L656" s="4" t="str">
        <f>IF(AtlasReport_1_Table_1[[#This Row],[Reference]]="Purchase order",_xll.AtlasFormulas.AtlasFunctions.AtlasTable("UAT",DataAreaId,"T.VendInvoiceTrans","%RecId","","","","","","","ItemId|PurchID|InventTransId",$C656,$B656,$K656),"")</f>
        <v/>
      </c>
      <c r="M656" s="4" t="str">
        <f>IF(AtlasReport_1_Table_1[[#This Row],[Reference]]="Purchase order",_xll.AtlasFormulas.AtlasFunctions.AtlasTable("UAT",DataAreaId,"T.MarkupTrans","%CurrencyCode","","","","","","","MarkupCode|TransRecId|TransTableId","TPP",$L656,"492"),"")</f>
        <v/>
      </c>
      <c r="N656" s="4" t="str">
        <f>IF(AtlasReport_1_Table_1[[#This Row],[Reference]]="Purchase order",_xll.AtlasFormulas.AtlasFunctions.AtlasBalance("UAT",DataAreaId,"T.MarkupTrans","Sum|Posted|0","","","","","","","MarkupCode|TransTableId|TransRecId","TPP","492",$L656),"")</f>
        <v/>
      </c>
    </row>
    <row r="657" spans="1:14">
      <c r="A657" s="8" t="s">
        <v>1121</v>
      </c>
      <c r="B657" s="8" t="s">
        <v>794</v>
      </c>
      <c r="C657" s="8" t="s">
        <v>257</v>
      </c>
      <c r="D657" s="8" t="s">
        <v>350</v>
      </c>
      <c r="E657" s="8" t="s">
        <v>237</v>
      </c>
      <c r="F657" s="8" t="s">
        <v>249</v>
      </c>
      <c r="G657" s="6">
        <v>43159</v>
      </c>
      <c r="H657" s="6">
        <v>43159</v>
      </c>
      <c r="I657" s="4">
        <v>-1780</v>
      </c>
      <c r="J657" s="8" t="s">
        <v>66</v>
      </c>
      <c r="K657" s="8" t="s">
        <v>1393</v>
      </c>
      <c r="L657" s="4" t="str">
        <f>IF(AtlasReport_1_Table_1[[#This Row],[Reference]]="Purchase order",_xll.AtlasFormulas.AtlasFunctions.AtlasTable("UAT",DataAreaId,"T.VendInvoiceTrans","%RecId","","","","","","","ItemId|PurchID|InventTransId",$C657,$B657,$K657),"")</f>
        <v/>
      </c>
      <c r="M657" s="4" t="str">
        <f>IF(AtlasReport_1_Table_1[[#This Row],[Reference]]="Purchase order",_xll.AtlasFormulas.AtlasFunctions.AtlasTable("UAT",DataAreaId,"T.MarkupTrans","%CurrencyCode","","","","","","","MarkupCode|TransRecId|TransTableId","TPP",$L657,"492"),"")</f>
        <v/>
      </c>
      <c r="N657" s="4" t="str">
        <f>IF(AtlasReport_1_Table_1[[#This Row],[Reference]]="Purchase order",_xll.AtlasFormulas.AtlasFunctions.AtlasBalance("UAT",DataAreaId,"T.MarkupTrans","Sum|Posted|0","","","","","","","MarkupCode|TransTableId|TransRecId","TPP","492",$L657),"")</f>
        <v/>
      </c>
    </row>
    <row r="658" spans="1:14">
      <c r="A658" s="8" t="s">
        <v>1121</v>
      </c>
      <c r="B658" s="8" t="s">
        <v>794</v>
      </c>
      <c r="C658" s="8" t="s">
        <v>290</v>
      </c>
      <c r="D658" s="8" t="s">
        <v>472</v>
      </c>
      <c r="E658" s="8" t="s">
        <v>237</v>
      </c>
      <c r="F658" s="8" t="s">
        <v>238</v>
      </c>
      <c r="G658" s="6">
        <v>43159</v>
      </c>
      <c r="H658" s="6">
        <v>43159</v>
      </c>
      <c r="I658" s="4">
        <v>-17.5</v>
      </c>
      <c r="J658" s="8" t="s">
        <v>66</v>
      </c>
      <c r="K658" s="8" t="s">
        <v>1394</v>
      </c>
      <c r="L658" s="4" t="str">
        <f>IF(AtlasReport_1_Table_1[[#This Row],[Reference]]="Purchase order",_xll.AtlasFormulas.AtlasFunctions.AtlasTable("UAT",DataAreaId,"T.VendInvoiceTrans","%RecId","","","","","","","ItemId|PurchID|InventTransId",$C658,$B658,$K658),"")</f>
        <v/>
      </c>
      <c r="M658" s="4" t="str">
        <f>IF(AtlasReport_1_Table_1[[#This Row],[Reference]]="Purchase order",_xll.AtlasFormulas.AtlasFunctions.AtlasTable("UAT",DataAreaId,"T.MarkupTrans","%CurrencyCode","","","","","","","MarkupCode|TransRecId|TransTableId","TPP",$L658,"492"),"")</f>
        <v/>
      </c>
      <c r="N658" s="4" t="str">
        <f>IF(AtlasReport_1_Table_1[[#This Row],[Reference]]="Purchase order",_xll.AtlasFormulas.AtlasFunctions.AtlasBalance("UAT",DataAreaId,"T.MarkupTrans","Sum|Posted|0","","","","","","","MarkupCode|TransTableId|TransRecId","TPP","492",$L658),"")</f>
        <v/>
      </c>
    </row>
    <row r="659" spans="1:14">
      <c r="A659" s="8" t="s">
        <v>1121</v>
      </c>
      <c r="B659" s="8" t="s">
        <v>796</v>
      </c>
      <c r="C659" s="8" t="s">
        <v>375</v>
      </c>
      <c r="D659" s="8" t="s">
        <v>376</v>
      </c>
      <c r="E659" s="8" t="s">
        <v>237</v>
      </c>
      <c r="F659" s="8" t="s">
        <v>238</v>
      </c>
      <c r="G659" s="6">
        <v>43159</v>
      </c>
      <c r="H659" s="6">
        <v>43159</v>
      </c>
      <c r="I659" s="4">
        <v>-5100</v>
      </c>
      <c r="J659" s="8" t="s">
        <v>66</v>
      </c>
      <c r="K659" s="8" t="s">
        <v>1395</v>
      </c>
      <c r="L659" s="4" t="str">
        <f>IF(AtlasReport_1_Table_1[[#This Row],[Reference]]="Purchase order",_xll.AtlasFormulas.AtlasFunctions.AtlasTable("UAT",DataAreaId,"T.VendInvoiceTrans","%RecId","","","","","","","ItemId|PurchID|InventTransId",$C659,$B659,$K659),"")</f>
        <v/>
      </c>
      <c r="M659" s="4" t="str">
        <f>IF(AtlasReport_1_Table_1[[#This Row],[Reference]]="Purchase order",_xll.AtlasFormulas.AtlasFunctions.AtlasTable("UAT",DataAreaId,"T.MarkupTrans","%CurrencyCode","","","","","","","MarkupCode|TransRecId|TransTableId","TPP",$L659,"492"),"")</f>
        <v/>
      </c>
      <c r="N659" s="4" t="str">
        <f>IF(AtlasReport_1_Table_1[[#This Row],[Reference]]="Purchase order",_xll.AtlasFormulas.AtlasFunctions.AtlasBalance("UAT",DataAreaId,"T.MarkupTrans","Sum|Posted|0","","","","","","","MarkupCode|TransTableId|TransRecId","TPP","492",$L659),"")</f>
        <v/>
      </c>
    </row>
    <row r="660" spans="1:14">
      <c r="A660" s="8" t="s">
        <v>1121</v>
      </c>
      <c r="B660" s="8" t="s">
        <v>796</v>
      </c>
      <c r="C660" s="8" t="s">
        <v>1044</v>
      </c>
      <c r="D660" s="8" t="s">
        <v>1045</v>
      </c>
      <c r="E660" s="8" t="s">
        <v>237</v>
      </c>
      <c r="F660" s="8" t="s">
        <v>238</v>
      </c>
      <c r="G660" s="6">
        <v>43159</v>
      </c>
      <c r="H660" s="6">
        <v>43159</v>
      </c>
      <c r="I660" s="4">
        <v>-204</v>
      </c>
      <c r="J660" s="8" t="s">
        <v>22</v>
      </c>
      <c r="K660" s="8" t="s">
        <v>1396</v>
      </c>
      <c r="L660" s="4" t="str">
        <f>IF(AtlasReport_1_Table_1[[#This Row],[Reference]]="Purchase order",_xll.AtlasFormulas.AtlasFunctions.AtlasTable("UAT",DataAreaId,"T.VendInvoiceTrans","%RecId","","","","","","","ItemId|PurchID|InventTransId",$C660,$B660,$K660),"")</f>
        <v/>
      </c>
      <c r="M660" s="4" t="str">
        <f>IF(AtlasReport_1_Table_1[[#This Row],[Reference]]="Purchase order",_xll.AtlasFormulas.AtlasFunctions.AtlasTable("UAT",DataAreaId,"T.MarkupTrans","%CurrencyCode","","","","","","","MarkupCode|TransRecId|TransTableId","TPP",$L660,"492"),"")</f>
        <v/>
      </c>
      <c r="N660" s="4" t="str">
        <f>IF(AtlasReport_1_Table_1[[#This Row],[Reference]]="Purchase order",_xll.AtlasFormulas.AtlasFunctions.AtlasBalance("UAT",DataAreaId,"T.MarkupTrans","Sum|Posted|0","","","","","","","MarkupCode|TransTableId|TransRecId","TPP","492",$L660),"")</f>
        <v/>
      </c>
    </row>
    <row r="661" spans="1:14">
      <c r="A661" s="3" t="s">
        <v>13</v>
      </c>
      <c r="B661" s="7"/>
      <c r="C661" s="7" t="s">
        <v>13</v>
      </c>
      <c r="D661" s="7"/>
      <c r="E661" s="7"/>
      <c r="F661" s="7"/>
      <c r="G661" s="5"/>
      <c r="H661" s="5"/>
      <c r="I661" s="3">
        <f>SUBTOTAL(109,AtlasReport_1_Table_1[Quantity])</f>
        <v>209621.4171000002</v>
      </c>
      <c r="J661" s="7"/>
      <c r="K661" s="7"/>
      <c r="L661" s="3"/>
      <c r="M661" s="3"/>
      <c r="N661" s="3"/>
    </row>
    <row r="662" spans="1:14">
      <c r="A662" s="3"/>
      <c r="B662" s="3"/>
      <c r="C662" s="3"/>
      <c r="D662" s="3"/>
      <c r="E662" s="3"/>
      <c r="F662" s="3"/>
      <c r="G662" s="5"/>
      <c r="H662" s="5"/>
      <c r="I662" s="3"/>
      <c r="J662" s="3"/>
      <c r="K662" s="3"/>
      <c r="L662" s="3"/>
      <c r="M662" s="3"/>
      <c r="N662" s="3"/>
    </row>
    <row r="663" spans="1:14">
      <c r="A663" s="3"/>
      <c r="B663" s="3"/>
      <c r="C663" s="3"/>
      <c r="D663" s="3"/>
      <c r="E663" s="3"/>
      <c r="F663" s="3"/>
      <c r="G663" s="5"/>
      <c r="H663" s="5"/>
      <c r="I663" s="3"/>
      <c r="J663" s="3"/>
      <c r="K663" s="3"/>
      <c r="L663" s="3"/>
      <c r="M663" s="3"/>
      <c r="N663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38"/>
  <sheetViews>
    <sheetView workbookViewId="0">
      <selection activeCell="C9" sqref="C9"/>
    </sheetView>
  </sheetViews>
  <sheetFormatPr defaultRowHeight="1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>
      <c r="A1" s="2" t="s">
        <v>25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3" t="s">
        <v>8</v>
      </c>
      <c r="B2" s="3" t="s">
        <v>9</v>
      </c>
      <c r="C2" s="3" t="s">
        <v>6</v>
      </c>
      <c r="D2" s="3" t="s">
        <v>18</v>
      </c>
      <c r="E2" s="5" t="s">
        <v>32</v>
      </c>
      <c r="F2" s="3" t="s">
        <v>34</v>
      </c>
      <c r="G2" s="3" t="s">
        <v>35</v>
      </c>
      <c r="H2" s="3" t="s">
        <v>12</v>
      </c>
      <c r="I2" s="3" t="s">
        <v>21</v>
      </c>
      <c r="J2" s="3" t="s">
        <v>26</v>
      </c>
      <c r="K2" s="3" t="s">
        <v>27</v>
      </c>
      <c r="L2" s="3" t="s">
        <v>30</v>
      </c>
      <c r="M2" s="3" t="s">
        <v>28</v>
      </c>
      <c r="N2" s="3" t="s">
        <v>29</v>
      </c>
      <c r="O2" s="3" t="s">
        <v>7</v>
      </c>
      <c r="P2" s="3" t="s">
        <v>31</v>
      </c>
      <c r="Q2" s="3" t="s">
        <v>33</v>
      </c>
    </row>
    <row r="3" spans="1:17">
      <c r="A3" s="8" t="s">
        <v>655</v>
      </c>
      <c r="B3" s="8" t="s">
        <v>736</v>
      </c>
      <c r="C3" s="8" t="s">
        <v>306</v>
      </c>
      <c r="D3" s="8" t="s">
        <v>307</v>
      </c>
      <c r="E3" s="6">
        <v>43108</v>
      </c>
      <c r="F3" s="8" t="s">
        <v>237</v>
      </c>
      <c r="G3" s="8" t="s">
        <v>238</v>
      </c>
      <c r="H3" s="4">
        <v>2</v>
      </c>
      <c r="I3" s="8" t="s">
        <v>22</v>
      </c>
      <c r="J3" s="4">
        <v>0</v>
      </c>
      <c r="K3" s="4">
        <v>0</v>
      </c>
      <c r="L3" s="8" t="s">
        <v>117</v>
      </c>
      <c r="M3" s="4">
        <v>0</v>
      </c>
      <c r="N3" s="8" t="s">
        <v>1397</v>
      </c>
      <c r="O3" s="8" t="s">
        <v>737</v>
      </c>
      <c r="P3" s="8" t="s">
        <v>218</v>
      </c>
      <c r="Q3" s="4">
        <v>5637707148</v>
      </c>
    </row>
    <row r="4" spans="1:17">
      <c r="A4" s="8" t="s">
        <v>1121</v>
      </c>
      <c r="B4" s="8" t="s">
        <v>674</v>
      </c>
      <c r="C4" s="8" t="s">
        <v>241</v>
      </c>
      <c r="D4" s="8" t="s">
        <v>313</v>
      </c>
      <c r="E4" s="6">
        <v>43108</v>
      </c>
      <c r="F4" s="8" t="s">
        <v>237</v>
      </c>
      <c r="G4" s="8" t="s">
        <v>238</v>
      </c>
      <c r="H4" s="4">
        <v>-4.4499999999999998E-2</v>
      </c>
      <c r="I4" s="8" t="s">
        <v>66</v>
      </c>
      <c r="J4" s="4">
        <v>0</v>
      </c>
      <c r="K4" s="4">
        <v>0</v>
      </c>
      <c r="L4" s="8" t="s">
        <v>117</v>
      </c>
      <c r="M4" s="4">
        <v>0</v>
      </c>
      <c r="N4" s="8" t="s">
        <v>1398</v>
      </c>
      <c r="O4" s="8" t="s">
        <v>1157</v>
      </c>
      <c r="P4" s="8" t="s">
        <v>218</v>
      </c>
      <c r="Q4" s="4">
        <v>5637706391</v>
      </c>
    </row>
    <row r="5" spans="1:17">
      <c r="A5" s="8" t="s">
        <v>1121</v>
      </c>
      <c r="B5" s="8" t="s">
        <v>752</v>
      </c>
      <c r="C5" s="8" t="s">
        <v>241</v>
      </c>
      <c r="D5" s="8" t="s">
        <v>313</v>
      </c>
      <c r="E5" s="6">
        <v>43140</v>
      </c>
      <c r="F5" s="8" t="s">
        <v>237</v>
      </c>
      <c r="G5" s="8" t="s">
        <v>238</v>
      </c>
      <c r="H5" s="4">
        <v>-0.15770000000000001</v>
      </c>
      <c r="I5" s="8" t="s">
        <v>66</v>
      </c>
      <c r="J5" s="4">
        <v>0</v>
      </c>
      <c r="K5" s="4">
        <v>0</v>
      </c>
      <c r="L5" s="8" t="s">
        <v>117</v>
      </c>
      <c r="M5" s="4">
        <v>0</v>
      </c>
      <c r="N5" s="8" t="s">
        <v>1399</v>
      </c>
      <c r="O5" s="8" t="s">
        <v>1306</v>
      </c>
      <c r="P5" s="8" t="s">
        <v>218</v>
      </c>
      <c r="Q5" s="4">
        <v>5637708341</v>
      </c>
    </row>
    <row r="6" spans="1:17">
      <c r="A6" s="8" t="s">
        <v>1121</v>
      </c>
      <c r="B6" s="8" t="s">
        <v>656</v>
      </c>
      <c r="C6" s="8" t="s">
        <v>242</v>
      </c>
      <c r="D6" s="8" t="s">
        <v>315</v>
      </c>
      <c r="E6" s="6">
        <v>43108</v>
      </c>
      <c r="F6" s="8" t="s">
        <v>237</v>
      </c>
      <c r="G6" s="8" t="s">
        <v>238</v>
      </c>
      <c r="H6" s="4">
        <v>-1.85</v>
      </c>
      <c r="I6" s="8" t="s">
        <v>66</v>
      </c>
      <c r="J6" s="4">
        <v>0</v>
      </c>
      <c r="K6" s="4">
        <v>0</v>
      </c>
      <c r="L6" s="8" t="s">
        <v>117</v>
      </c>
      <c r="M6" s="4">
        <v>0</v>
      </c>
      <c r="N6" s="8" t="s">
        <v>1400</v>
      </c>
      <c r="O6" s="8" t="s">
        <v>1122</v>
      </c>
      <c r="P6" s="8" t="s">
        <v>218</v>
      </c>
      <c r="Q6" s="4">
        <v>5637706338</v>
      </c>
    </row>
    <row r="7" spans="1:17">
      <c r="A7" s="8" t="s">
        <v>15</v>
      </c>
      <c r="B7" s="8" t="s">
        <v>845</v>
      </c>
      <c r="C7" s="8" t="s">
        <v>37</v>
      </c>
      <c r="D7" s="8" t="s">
        <v>57</v>
      </c>
      <c r="E7" s="6">
        <v>43147</v>
      </c>
      <c r="F7" s="8" t="s">
        <v>237</v>
      </c>
      <c r="G7" s="8" t="s">
        <v>238</v>
      </c>
      <c r="H7" s="4">
        <v>195</v>
      </c>
      <c r="I7" s="8" t="s">
        <v>23</v>
      </c>
      <c r="J7" s="4">
        <v>0</v>
      </c>
      <c r="K7" s="4">
        <v>0</v>
      </c>
      <c r="L7" s="8" t="s">
        <v>117</v>
      </c>
      <c r="M7" s="4">
        <v>0</v>
      </c>
      <c r="N7" s="8" t="s">
        <v>1401</v>
      </c>
      <c r="O7" s="8" t="s">
        <v>846</v>
      </c>
      <c r="P7" s="8" t="s">
        <v>218</v>
      </c>
      <c r="Q7" s="4">
        <v>5637713114</v>
      </c>
    </row>
    <row r="8" spans="1:17">
      <c r="A8" s="8" t="s">
        <v>15</v>
      </c>
      <c r="B8" s="8" t="s">
        <v>845</v>
      </c>
      <c r="C8" s="8" t="s">
        <v>71</v>
      </c>
      <c r="D8" s="8" t="s">
        <v>99</v>
      </c>
      <c r="E8" s="6">
        <v>43147</v>
      </c>
      <c r="F8" s="8" t="s">
        <v>237</v>
      </c>
      <c r="G8" s="8" t="s">
        <v>238</v>
      </c>
      <c r="H8" s="4">
        <v>195</v>
      </c>
      <c r="I8" s="8" t="s">
        <v>23</v>
      </c>
      <c r="J8" s="4">
        <v>0</v>
      </c>
      <c r="K8" s="4">
        <v>0</v>
      </c>
      <c r="L8" s="8" t="s">
        <v>117</v>
      </c>
      <c r="M8" s="4">
        <v>0</v>
      </c>
      <c r="N8" s="8" t="s">
        <v>1401</v>
      </c>
      <c r="O8" s="8" t="s">
        <v>847</v>
      </c>
      <c r="P8" s="8" t="s">
        <v>218</v>
      </c>
      <c r="Q8" s="4">
        <v>5637713112</v>
      </c>
    </row>
    <row r="9" spans="1:17">
      <c r="A9" s="8" t="s">
        <v>15</v>
      </c>
      <c r="B9" s="8" t="s">
        <v>845</v>
      </c>
      <c r="C9" s="8" t="s">
        <v>130</v>
      </c>
      <c r="D9" s="8" t="s">
        <v>133</v>
      </c>
      <c r="E9" s="6">
        <v>43147</v>
      </c>
      <c r="F9" s="8" t="s">
        <v>237</v>
      </c>
      <c r="G9" s="8" t="s">
        <v>238</v>
      </c>
      <c r="H9" s="4">
        <v>210</v>
      </c>
      <c r="I9" s="8" t="s">
        <v>23</v>
      </c>
      <c r="J9" s="4">
        <v>0</v>
      </c>
      <c r="K9" s="4">
        <v>0</v>
      </c>
      <c r="L9" s="8" t="s">
        <v>117</v>
      </c>
      <c r="M9" s="4">
        <v>0</v>
      </c>
      <c r="N9" s="8" t="s">
        <v>1401</v>
      </c>
      <c r="O9" s="8" t="s">
        <v>848</v>
      </c>
      <c r="P9" s="8" t="s">
        <v>218</v>
      </c>
      <c r="Q9" s="4">
        <v>5637713163</v>
      </c>
    </row>
    <row r="10" spans="1:17">
      <c r="A10" s="8" t="s">
        <v>122</v>
      </c>
      <c r="B10" s="8" t="s">
        <v>643</v>
      </c>
      <c r="C10" s="8" t="s">
        <v>130</v>
      </c>
      <c r="D10" s="8" t="s">
        <v>133</v>
      </c>
      <c r="E10" s="6">
        <v>43158</v>
      </c>
      <c r="F10" s="8" t="s">
        <v>237</v>
      </c>
      <c r="G10" s="8" t="s">
        <v>238</v>
      </c>
      <c r="H10" s="4">
        <v>-210</v>
      </c>
      <c r="I10" s="8" t="s">
        <v>23</v>
      </c>
      <c r="J10" s="4">
        <v>0</v>
      </c>
      <c r="K10" s="4">
        <v>0</v>
      </c>
      <c r="L10" s="8" t="s">
        <v>117</v>
      </c>
      <c r="M10" s="4">
        <v>0</v>
      </c>
      <c r="N10" s="8" t="s">
        <v>1402</v>
      </c>
      <c r="O10" s="8" t="s">
        <v>644</v>
      </c>
      <c r="P10" s="8" t="s">
        <v>218</v>
      </c>
      <c r="Q10" s="4">
        <v>5637715722</v>
      </c>
    </row>
    <row r="11" spans="1:17">
      <c r="A11" s="8" t="s">
        <v>1121</v>
      </c>
      <c r="B11" s="8" t="s">
        <v>688</v>
      </c>
      <c r="C11" s="8" t="s">
        <v>248</v>
      </c>
      <c r="D11" s="8" t="s">
        <v>327</v>
      </c>
      <c r="E11" s="6">
        <v>43108</v>
      </c>
      <c r="F11" s="8" t="s">
        <v>237</v>
      </c>
      <c r="G11" s="8" t="s">
        <v>249</v>
      </c>
      <c r="H11" s="4">
        <v>-1500</v>
      </c>
      <c r="I11" s="8" t="s">
        <v>66</v>
      </c>
      <c r="J11" s="4">
        <v>0</v>
      </c>
      <c r="K11" s="4">
        <v>0</v>
      </c>
      <c r="L11" s="8" t="s">
        <v>117</v>
      </c>
      <c r="M11" s="4">
        <v>0</v>
      </c>
      <c r="N11" s="8" t="s">
        <v>1403</v>
      </c>
      <c r="O11" s="8" t="s">
        <v>1193</v>
      </c>
      <c r="P11" s="8" t="s">
        <v>218</v>
      </c>
      <c r="Q11" s="4">
        <v>5637706435</v>
      </c>
    </row>
    <row r="12" spans="1:17">
      <c r="A12" s="8" t="s">
        <v>1121</v>
      </c>
      <c r="B12" s="8" t="s">
        <v>698</v>
      </c>
      <c r="C12" s="8" t="s">
        <v>248</v>
      </c>
      <c r="D12" s="8" t="s">
        <v>327</v>
      </c>
      <c r="E12" s="6">
        <v>43108</v>
      </c>
      <c r="F12" s="8" t="s">
        <v>237</v>
      </c>
      <c r="G12" s="8" t="s">
        <v>249</v>
      </c>
      <c r="H12" s="4">
        <v>-364.85669999999999</v>
      </c>
      <c r="I12" s="8" t="s">
        <v>66</v>
      </c>
      <c r="J12" s="4">
        <v>0</v>
      </c>
      <c r="K12" s="4">
        <v>0</v>
      </c>
      <c r="L12" s="8" t="s">
        <v>117</v>
      </c>
      <c r="M12" s="4">
        <v>0</v>
      </c>
      <c r="N12" s="8" t="s">
        <v>1404</v>
      </c>
      <c r="O12" s="8" t="s">
        <v>1211</v>
      </c>
      <c r="P12" s="8" t="s">
        <v>218</v>
      </c>
      <c r="Q12" s="4">
        <v>5637706460</v>
      </c>
    </row>
    <row r="13" spans="1:17">
      <c r="A13" s="8" t="s">
        <v>1121</v>
      </c>
      <c r="B13" s="8" t="s">
        <v>718</v>
      </c>
      <c r="C13" s="8" t="s">
        <v>248</v>
      </c>
      <c r="D13" s="8" t="s">
        <v>327</v>
      </c>
      <c r="E13" s="6">
        <v>43108</v>
      </c>
      <c r="F13" s="8" t="s">
        <v>237</v>
      </c>
      <c r="G13" s="8" t="s">
        <v>249</v>
      </c>
      <c r="H13" s="4">
        <v>-1925</v>
      </c>
      <c r="I13" s="8" t="s">
        <v>66</v>
      </c>
      <c r="J13" s="4">
        <v>0</v>
      </c>
      <c r="K13" s="4">
        <v>0</v>
      </c>
      <c r="L13" s="8" t="s">
        <v>117</v>
      </c>
      <c r="M13" s="4">
        <v>0</v>
      </c>
      <c r="N13" s="8" t="s">
        <v>1405</v>
      </c>
      <c r="O13" s="8" t="s">
        <v>1247</v>
      </c>
      <c r="P13" s="8" t="s">
        <v>218</v>
      </c>
      <c r="Q13" s="4">
        <v>5637706511</v>
      </c>
    </row>
    <row r="14" spans="1:17">
      <c r="A14" s="8" t="s">
        <v>1121</v>
      </c>
      <c r="B14" s="8" t="s">
        <v>672</v>
      </c>
      <c r="C14" s="8" t="s">
        <v>248</v>
      </c>
      <c r="D14" s="8" t="s">
        <v>327</v>
      </c>
      <c r="E14" s="6">
        <v>43110</v>
      </c>
      <c r="F14" s="8" t="s">
        <v>237</v>
      </c>
      <c r="G14" s="8" t="s">
        <v>249</v>
      </c>
      <c r="H14" s="4">
        <v>-414</v>
      </c>
      <c r="I14" s="8" t="s">
        <v>66</v>
      </c>
      <c r="J14" s="4">
        <v>0</v>
      </c>
      <c r="K14" s="4">
        <v>0</v>
      </c>
      <c r="L14" s="8" t="s">
        <v>117</v>
      </c>
      <c r="M14" s="4">
        <v>0</v>
      </c>
      <c r="N14" s="8" t="s">
        <v>1406</v>
      </c>
      <c r="O14" s="8" t="s">
        <v>1150</v>
      </c>
      <c r="P14" s="8" t="s">
        <v>218</v>
      </c>
      <c r="Q14" s="4">
        <v>5637706377</v>
      </c>
    </row>
    <row r="15" spans="1:17">
      <c r="A15" s="8" t="s">
        <v>1121</v>
      </c>
      <c r="B15" s="8" t="s">
        <v>742</v>
      </c>
      <c r="C15" s="8" t="s">
        <v>248</v>
      </c>
      <c r="D15" s="8" t="s">
        <v>327</v>
      </c>
      <c r="E15" s="6">
        <v>43132</v>
      </c>
      <c r="F15" s="8" t="s">
        <v>237</v>
      </c>
      <c r="G15" s="8" t="s">
        <v>249</v>
      </c>
      <c r="H15" s="4">
        <v>-1500.1458</v>
      </c>
      <c r="I15" s="8" t="s">
        <v>66</v>
      </c>
      <c r="J15" s="4">
        <v>0</v>
      </c>
      <c r="K15" s="4">
        <v>0</v>
      </c>
      <c r="L15" s="8" t="s">
        <v>117</v>
      </c>
      <c r="M15" s="4">
        <v>0</v>
      </c>
      <c r="N15" s="8" t="s">
        <v>1407</v>
      </c>
      <c r="O15" s="8" t="s">
        <v>1288</v>
      </c>
      <c r="P15" s="8" t="s">
        <v>218</v>
      </c>
      <c r="Q15" s="4">
        <v>5637707390</v>
      </c>
    </row>
    <row r="16" spans="1:17">
      <c r="A16" s="8" t="s">
        <v>1121</v>
      </c>
      <c r="B16" s="8" t="s">
        <v>780</v>
      </c>
      <c r="C16" s="8" t="s">
        <v>248</v>
      </c>
      <c r="D16" s="8" t="s">
        <v>327</v>
      </c>
      <c r="E16" s="6">
        <v>43157</v>
      </c>
      <c r="F16" s="8" t="s">
        <v>237</v>
      </c>
      <c r="G16" s="8" t="s">
        <v>249</v>
      </c>
      <c r="H16" s="4">
        <v>-75</v>
      </c>
      <c r="I16" s="8" t="s">
        <v>66</v>
      </c>
      <c r="J16" s="4">
        <v>0</v>
      </c>
      <c r="K16" s="4">
        <v>0</v>
      </c>
      <c r="L16" s="8" t="s">
        <v>117</v>
      </c>
      <c r="M16" s="4">
        <v>0</v>
      </c>
      <c r="N16" s="8" t="s">
        <v>1408</v>
      </c>
      <c r="O16" s="8" t="s">
        <v>1362</v>
      </c>
      <c r="P16" s="8" t="s">
        <v>218</v>
      </c>
      <c r="Q16" s="4">
        <v>5637715446</v>
      </c>
    </row>
    <row r="17" spans="1:17">
      <c r="A17" s="8" t="s">
        <v>1121</v>
      </c>
      <c r="B17" s="8" t="s">
        <v>784</v>
      </c>
      <c r="C17" s="8" t="s">
        <v>248</v>
      </c>
      <c r="D17" s="8" t="s">
        <v>327</v>
      </c>
      <c r="E17" s="6">
        <v>43157</v>
      </c>
      <c r="F17" s="8" t="s">
        <v>237</v>
      </c>
      <c r="G17" s="8" t="s">
        <v>249</v>
      </c>
      <c r="H17" s="4">
        <v>-375.03640000000001</v>
      </c>
      <c r="I17" s="8" t="s">
        <v>66</v>
      </c>
      <c r="J17" s="4">
        <v>0</v>
      </c>
      <c r="K17" s="4">
        <v>0</v>
      </c>
      <c r="L17" s="8" t="s">
        <v>117</v>
      </c>
      <c r="M17" s="4">
        <v>0</v>
      </c>
      <c r="N17" s="8" t="s">
        <v>1409</v>
      </c>
      <c r="O17" s="8" t="s">
        <v>1372</v>
      </c>
      <c r="P17" s="8" t="s">
        <v>218</v>
      </c>
      <c r="Q17" s="4">
        <v>5637715459</v>
      </c>
    </row>
    <row r="18" spans="1:17">
      <c r="A18" s="8" t="s">
        <v>1121</v>
      </c>
      <c r="B18" s="8" t="s">
        <v>794</v>
      </c>
      <c r="C18" s="8" t="s">
        <v>248</v>
      </c>
      <c r="D18" s="8" t="s">
        <v>327</v>
      </c>
      <c r="E18" s="6">
        <v>43159</v>
      </c>
      <c r="F18" s="8" t="s">
        <v>237</v>
      </c>
      <c r="G18" s="8" t="s">
        <v>249</v>
      </c>
      <c r="H18" s="4">
        <v>-255</v>
      </c>
      <c r="I18" s="8" t="s">
        <v>66</v>
      </c>
      <c r="J18" s="4">
        <v>0</v>
      </c>
      <c r="K18" s="4">
        <v>0</v>
      </c>
      <c r="L18" s="8" t="s">
        <v>117</v>
      </c>
      <c r="M18" s="4">
        <v>0</v>
      </c>
      <c r="N18" s="8" t="s">
        <v>1410</v>
      </c>
      <c r="O18" s="8" t="s">
        <v>1390</v>
      </c>
      <c r="P18" s="8" t="s">
        <v>218</v>
      </c>
      <c r="Q18" s="4">
        <v>5637716185</v>
      </c>
    </row>
    <row r="19" spans="1:17">
      <c r="A19" s="8" t="s">
        <v>1121</v>
      </c>
      <c r="B19" s="8" t="s">
        <v>658</v>
      </c>
      <c r="C19" s="8" t="s">
        <v>250</v>
      </c>
      <c r="D19" s="8" t="s">
        <v>329</v>
      </c>
      <c r="E19" s="6">
        <v>43108</v>
      </c>
      <c r="F19" s="8" t="s">
        <v>237</v>
      </c>
      <c r="G19" s="8" t="s">
        <v>249</v>
      </c>
      <c r="H19" s="4">
        <v>-720</v>
      </c>
      <c r="I19" s="8" t="s">
        <v>66</v>
      </c>
      <c r="J19" s="4">
        <v>0</v>
      </c>
      <c r="K19" s="4">
        <v>0</v>
      </c>
      <c r="L19" s="8" t="s">
        <v>117</v>
      </c>
      <c r="M19" s="4">
        <v>0</v>
      </c>
      <c r="N19" s="8" t="s">
        <v>1411</v>
      </c>
      <c r="O19" s="8" t="s">
        <v>1124</v>
      </c>
      <c r="P19" s="8" t="s">
        <v>218</v>
      </c>
      <c r="Q19" s="4">
        <v>5637706340</v>
      </c>
    </row>
    <row r="20" spans="1:17">
      <c r="A20" s="8" t="s">
        <v>1121</v>
      </c>
      <c r="B20" s="8" t="s">
        <v>662</v>
      </c>
      <c r="C20" s="8" t="s">
        <v>250</v>
      </c>
      <c r="D20" s="8" t="s">
        <v>329</v>
      </c>
      <c r="E20" s="6">
        <v>43108</v>
      </c>
      <c r="F20" s="8" t="s">
        <v>237</v>
      </c>
      <c r="G20" s="8" t="s">
        <v>249</v>
      </c>
      <c r="H20" s="4">
        <v>-360</v>
      </c>
      <c r="I20" s="8" t="s">
        <v>66</v>
      </c>
      <c r="J20" s="4">
        <v>0</v>
      </c>
      <c r="K20" s="4">
        <v>0</v>
      </c>
      <c r="L20" s="8" t="s">
        <v>117</v>
      </c>
      <c r="M20" s="4">
        <v>0</v>
      </c>
      <c r="N20" s="8" t="s">
        <v>1412</v>
      </c>
      <c r="O20" s="8" t="s">
        <v>1132</v>
      </c>
      <c r="P20" s="8" t="s">
        <v>218</v>
      </c>
      <c r="Q20" s="4">
        <v>5637706351</v>
      </c>
    </row>
    <row r="21" spans="1:17">
      <c r="A21" s="8" t="s">
        <v>1121</v>
      </c>
      <c r="B21" s="8" t="s">
        <v>714</v>
      </c>
      <c r="C21" s="8" t="s">
        <v>250</v>
      </c>
      <c r="D21" s="8" t="s">
        <v>329</v>
      </c>
      <c r="E21" s="6">
        <v>43108</v>
      </c>
      <c r="F21" s="8" t="s">
        <v>237</v>
      </c>
      <c r="G21" s="8" t="s">
        <v>249</v>
      </c>
      <c r="H21" s="4">
        <v>-720</v>
      </c>
      <c r="I21" s="8" t="s">
        <v>66</v>
      </c>
      <c r="J21" s="4">
        <v>0</v>
      </c>
      <c r="K21" s="4">
        <v>0</v>
      </c>
      <c r="L21" s="8" t="s">
        <v>117</v>
      </c>
      <c r="M21" s="4">
        <v>0</v>
      </c>
      <c r="N21" s="8" t="s">
        <v>1413</v>
      </c>
      <c r="O21" s="8" t="s">
        <v>1239</v>
      </c>
      <c r="P21" s="8" t="s">
        <v>218</v>
      </c>
      <c r="Q21" s="4">
        <v>5637706499</v>
      </c>
    </row>
    <row r="22" spans="1:17">
      <c r="A22" s="8" t="s">
        <v>1121</v>
      </c>
      <c r="B22" s="8" t="s">
        <v>708</v>
      </c>
      <c r="C22" s="8" t="s">
        <v>250</v>
      </c>
      <c r="D22" s="8" t="s">
        <v>329</v>
      </c>
      <c r="E22" s="6">
        <v>43108</v>
      </c>
      <c r="F22" s="8" t="s">
        <v>237</v>
      </c>
      <c r="G22" s="8" t="s">
        <v>249</v>
      </c>
      <c r="H22" s="4">
        <v>-3560</v>
      </c>
      <c r="I22" s="8" t="s">
        <v>66</v>
      </c>
      <c r="J22" s="4">
        <v>0</v>
      </c>
      <c r="K22" s="4">
        <v>0</v>
      </c>
      <c r="L22" s="8" t="s">
        <v>117</v>
      </c>
      <c r="M22" s="4">
        <v>0</v>
      </c>
      <c r="N22" s="8" t="s">
        <v>1414</v>
      </c>
      <c r="O22" s="8" t="s">
        <v>1225</v>
      </c>
      <c r="P22" s="8" t="s">
        <v>218</v>
      </c>
      <c r="Q22" s="4">
        <v>5637706480</v>
      </c>
    </row>
    <row r="23" spans="1:17">
      <c r="A23" s="8" t="s">
        <v>1121</v>
      </c>
      <c r="B23" s="8" t="s">
        <v>712</v>
      </c>
      <c r="C23" s="8" t="s">
        <v>250</v>
      </c>
      <c r="D23" s="8" t="s">
        <v>329</v>
      </c>
      <c r="E23" s="6">
        <v>43108</v>
      </c>
      <c r="F23" s="8" t="s">
        <v>237</v>
      </c>
      <c r="G23" s="8" t="s">
        <v>249</v>
      </c>
      <c r="H23" s="4">
        <v>-45</v>
      </c>
      <c r="I23" s="8" t="s">
        <v>66</v>
      </c>
      <c r="J23" s="4">
        <v>0</v>
      </c>
      <c r="K23" s="4">
        <v>0</v>
      </c>
      <c r="L23" s="8" t="s">
        <v>117</v>
      </c>
      <c r="M23" s="4">
        <v>0</v>
      </c>
      <c r="N23" s="8" t="s">
        <v>1415</v>
      </c>
      <c r="O23" s="8" t="s">
        <v>1233</v>
      </c>
      <c r="P23" s="8" t="s">
        <v>218</v>
      </c>
      <c r="Q23" s="4">
        <v>5637706491</v>
      </c>
    </row>
    <row r="24" spans="1:17">
      <c r="A24" s="8" t="s">
        <v>1121</v>
      </c>
      <c r="B24" s="8" t="s">
        <v>722</v>
      </c>
      <c r="C24" s="8" t="s">
        <v>250</v>
      </c>
      <c r="D24" s="8" t="s">
        <v>329</v>
      </c>
      <c r="E24" s="6">
        <v>43108</v>
      </c>
      <c r="F24" s="8" t="s">
        <v>237</v>
      </c>
      <c r="G24" s="8" t="s">
        <v>249</v>
      </c>
      <c r="H24" s="4">
        <v>-720</v>
      </c>
      <c r="I24" s="8" t="s">
        <v>66</v>
      </c>
      <c r="J24" s="4">
        <v>0</v>
      </c>
      <c r="K24" s="4">
        <v>0</v>
      </c>
      <c r="L24" s="8" t="s">
        <v>117</v>
      </c>
      <c r="M24" s="4">
        <v>0</v>
      </c>
      <c r="N24" s="8" t="s">
        <v>1416</v>
      </c>
      <c r="O24" s="8" t="s">
        <v>1256</v>
      </c>
      <c r="P24" s="8" t="s">
        <v>218</v>
      </c>
      <c r="Q24" s="4">
        <v>5637706522</v>
      </c>
    </row>
    <row r="25" spans="1:17">
      <c r="A25" s="8" t="s">
        <v>1121</v>
      </c>
      <c r="B25" s="8" t="s">
        <v>726</v>
      </c>
      <c r="C25" s="8" t="s">
        <v>250</v>
      </c>
      <c r="D25" s="8" t="s">
        <v>329</v>
      </c>
      <c r="E25" s="6">
        <v>43108</v>
      </c>
      <c r="F25" s="8" t="s">
        <v>237</v>
      </c>
      <c r="G25" s="8" t="s">
        <v>249</v>
      </c>
      <c r="H25" s="4">
        <v>-1800</v>
      </c>
      <c r="I25" s="8" t="s">
        <v>66</v>
      </c>
      <c r="J25" s="4">
        <v>0</v>
      </c>
      <c r="K25" s="4">
        <v>0</v>
      </c>
      <c r="L25" s="8" t="s">
        <v>117</v>
      </c>
      <c r="M25" s="4">
        <v>0</v>
      </c>
      <c r="N25" s="8" t="s">
        <v>1417</v>
      </c>
      <c r="O25" s="8" t="s">
        <v>1264</v>
      </c>
      <c r="P25" s="8" t="s">
        <v>218</v>
      </c>
      <c r="Q25" s="4">
        <v>5637706533</v>
      </c>
    </row>
    <row r="26" spans="1:17">
      <c r="A26" s="8" t="s">
        <v>1121</v>
      </c>
      <c r="B26" s="8" t="s">
        <v>718</v>
      </c>
      <c r="C26" s="8" t="s">
        <v>250</v>
      </c>
      <c r="D26" s="8" t="s">
        <v>329</v>
      </c>
      <c r="E26" s="6">
        <v>43108</v>
      </c>
      <c r="F26" s="8" t="s">
        <v>237</v>
      </c>
      <c r="G26" s="8" t="s">
        <v>249</v>
      </c>
      <c r="H26" s="4">
        <v>-350</v>
      </c>
      <c r="I26" s="8" t="s">
        <v>66</v>
      </c>
      <c r="J26" s="4">
        <v>0</v>
      </c>
      <c r="K26" s="4">
        <v>0</v>
      </c>
      <c r="L26" s="8" t="s">
        <v>117</v>
      </c>
      <c r="M26" s="4">
        <v>0</v>
      </c>
      <c r="N26" s="8" t="s">
        <v>1405</v>
      </c>
      <c r="O26" s="8" t="s">
        <v>1248</v>
      </c>
      <c r="P26" s="8" t="s">
        <v>218</v>
      </c>
      <c r="Q26" s="4">
        <v>5637706510</v>
      </c>
    </row>
    <row r="27" spans="1:17">
      <c r="A27" s="8" t="s">
        <v>1121</v>
      </c>
      <c r="B27" s="8" t="s">
        <v>730</v>
      </c>
      <c r="C27" s="8" t="s">
        <v>250</v>
      </c>
      <c r="D27" s="8" t="s">
        <v>329</v>
      </c>
      <c r="E27" s="6">
        <v>43108</v>
      </c>
      <c r="F27" s="8" t="s">
        <v>237</v>
      </c>
      <c r="G27" s="8" t="s">
        <v>249</v>
      </c>
      <c r="H27" s="4">
        <v>-3600</v>
      </c>
      <c r="I27" s="8" t="s">
        <v>66</v>
      </c>
      <c r="J27" s="4">
        <v>0</v>
      </c>
      <c r="K27" s="4">
        <v>0</v>
      </c>
      <c r="L27" s="8" t="s">
        <v>117</v>
      </c>
      <c r="M27" s="4">
        <v>0</v>
      </c>
      <c r="N27" s="8" t="s">
        <v>1418</v>
      </c>
      <c r="O27" s="8" t="s">
        <v>1272</v>
      </c>
      <c r="P27" s="8" t="s">
        <v>218</v>
      </c>
      <c r="Q27" s="4">
        <v>5637706544</v>
      </c>
    </row>
    <row r="28" spans="1:17">
      <c r="A28" s="8" t="s">
        <v>1121</v>
      </c>
      <c r="B28" s="8" t="s">
        <v>704</v>
      </c>
      <c r="C28" s="8" t="s">
        <v>250</v>
      </c>
      <c r="D28" s="8" t="s">
        <v>329</v>
      </c>
      <c r="E28" s="6">
        <v>43108</v>
      </c>
      <c r="F28" s="8" t="s">
        <v>237</v>
      </c>
      <c r="G28" s="8" t="s">
        <v>249</v>
      </c>
      <c r="H28" s="4">
        <v>-1440</v>
      </c>
      <c r="I28" s="8" t="s">
        <v>66</v>
      </c>
      <c r="J28" s="4">
        <v>0</v>
      </c>
      <c r="K28" s="4">
        <v>0</v>
      </c>
      <c r="L28" s="8" t="s">
        <v>117</v>
      </c>
      <c r="M28" s="4">
        <v>0</v>
      </c>
      <c r="N28" s="8" t="s">
        <v>1419</v>
      </c>
      <c r="O28" s="8" t="s">
        <v>1217</v>
      </c>
      <c r="P28" s="8" t="s">
        <v>218</v>
      </c>
      <c r="Q28" s="4">
        <v>5637706469</v>
      </c>
    </row>
    <row r="29" spans="1:17">
      <c r="A29" s="8" t="s">
        <v>1121</v>
      </c>
      <c r="B29" s="8" t="s">
        <v>684</v>
      </c>
      <c r="C29" s="8" t="s">
        <v>250</v>
      </c>
      <c r="D29" s="8" t="s">
        <v>329</v>
      </c>
      <c r="E29" s="6">
        <v>43108</v>
      </c>
      <c r="F29" s="8" t="s">
        <v>237</v>
      </c>
      <c r="G29" s="8" t="s">
        <v>249</v>
      </c>
      <c r="H29" s="4">
        <v>-3240</v>
      </c>
      <c r="I29" s="8" t="s">
        <v>66</v>
      </c>
      <c r="J29" s="4">
        <v>0</v>
      </c>
      <c r="K29" s="4">
        <v>0</v>
      </c>
      <c r="L29" s="8" t="s">
        <v>117</v>
      </c>
      <c r="M29" s="4">
        <v>0</v>
      </c>
      <c r="N29" s="8" t="s">
        <v>1420</v>
      </c>
      <c r="O29" s="8" t="s">
        <v>1185</v>
      </c>
      <c r="P29" s="8" t="s">
        <v>218</v>
      </c>
      <c r="Q29" s="4">
        <v>5637706424</v>
      </c>
    </row>
    <row r="30" spans="1:17">
      <c r="A30" s="8" t="s">
        <v>1121</v>
      </c>
      <c r="B30" s="8" t="s">
        <v>676</v>
      </c>
      <c r="C30" s="8" t="s">
        <v>250</v>
      </c>
      <c r="D30" s="8" t="s">
        <v>329</v>
      </c>
      <c r="E30" s="6">
        <v>43108</v>
      </c>
      <c r="F30" s="8" t="s">
        <v>237</v>
      </c>
      <c r="G30" s="8" t="s">
        <v>249</v>
      </c>
      <c r="H30" s="4">
        <v>-720</v>
      </c>
      <c r="I30" s="8" t="s">
        <v>66</v>
      </c>
      <c r="J30" s="4">
        <v>0</v>
      </c>
      <c r="K30" s="4">
        <v>0</v>
      </c>
      <c r="L30" s="8" t="s">
        <v>117</v>
      </c>
      <c r="M30" s="4">
        <v>0</v>
      </c>
      <c r="N30" s="8" t="s">
        <v>1421</v>
      </c>
      <c r="O30" s="8" t="s">
        <v>1169</v>
      </c>
      <c r="P30" s="8" t="s">
        <v>218</v>
      </c>
      <c r="Q30" s="4">
        <v>5637706402</v>
      </c>
    </row>
    <row r="31" spans="1:17">
      <c r="A31" s="8" t="s">
        <v>1121</v>
      </c>
      <c r="B31" s="8" t="s">
        <v>680</v>
      </c>
      <c r="C31" s="8" t="s">
        <v>250</v>
      </c>
      <c r="D31" s="8" t="s">
        <v>329</v>
      </c>
      <c r="E31" s="6">
        <v>43108</v>
      </c>
      <c r="F31" s="8" t="s">
        <v>237</v>
      </c>
      <c r="G31" s="8" t="s">
        <v>249</v>
      </c>
      <c r="H31" s="4">
        <v>-1080</v>
      </c>
      <c r="I31" s="8" t="s">
        <v>66</v>
      </c>
      <c r="J31" s="4">
        <v>0</v>
      </c>
      <c r="K31" s="4">
        <v>0</v>
      </c>
      <c r="L31" s="8" t="s">
        <v>117</v>
      </c>
      <c r="M31" s="4">
        <v>0</v>
      </c>
      <c r="N31" s="8" t="s">
        <v>1422</v>
      </c>
      <c r="O31" s="8" t="s">
        <v>1177</v>
      </c>
      <c r="P31" s="8" t="s">
        <v>218</v>
      </c>
      <c r="Q31" s="4">
        <v>5637706413</v>
      </c>
    </row>
    <row r="32" spans="1:17">
      <c r="A32" s="8" t="s">
        <v>1121</v>
      </c>
      <c r="B32" s="8" t="s">
        <v>666</v>
      </c>
      <c r="C32" s="8" t="s">
        <v>250</v>
      </c>
      <c r="D32" s="8" t="s">
        <v>329</v>
      </c>
      <c r="E32" s="6">
        <v>43108</v>
      </c>
      <c r="F32" s="8" t="s">
        <v>237</v>
      </c>
      <c r="G32" s="8" t="s">
        <v>249</v>
      </c>
      <c r="H32" s="4">
        <v>-1080</v>
      </c>
      <c r="I32" s="8" t="s">
        <v>66</v>
      </c>
      <c r="J32" s="4">
        <v>0</v>
      </c>
      <c r="K32" s="4">
        <v>0</v>
      </c>
      <c r="L32" s="8" t="s">
        <v>117</v>
      </c>
      <c r="M32" s="4">
        <v>0</v>
      </c>
      <c r="N32" s="8" t="s">
        <v>1423</v>
      </c>
      <c r="O32" s="8" t="s">
        <v>1140</v>
      </c>
      <c r="P32" s="8" t="s">
        <v>218</v>
      </c>
      <c r="Q32" s="4">
        <v>5637706362</v>
      </c>
    </row>
    <row r="33" spans="1:17">
      <c r="A33" s="8" t="s">
        <v>15</v>
      </c>
      <c r="B33" s="8" t="s">
        <v>806</v>
      </c>
      <c r="C33" s="8" t="s">
        <v>250</v>
      </c>
      <c r="D33" s="8" t="s">
        <v>329</v>
      </c>
      <c r="E33" s="6">
        <v>43131</v>
      </c>
      <c r="F33" s="8" t="s">
        <v>237</v>
      </c>
      <c r="G33" s="8" t="s">
        <v>249</v>
      </c>
      <c r="H33" s="4">
        <v>28360</v>
      </c>
      <c r="I33" s="8" t="s">
        <v>66</v>
      </c>
      <c r="J33" s="4">
        <v>0</v>
      </c>
      <c r="K33" s="4">
        <v>0</v>
      </c>
      <c r="L33" s="8" t="s">
        <v>117</v>
      </c>
      <c r="M33" s="4">
        <v>0</v>
      </c>
      <c r="N33" s="8" t="s">
        <v>1424</v>
      </c>
      <c r="O33" s="8" t="s">
        <v>807</v>
      </c>
      <c r="P33" s="8" t="s">
        <v>218</v>
      </c>
      <c r="Q33" s="4">
        <v>5637705477</v>
      </c>
    </row>
    <row r="34" spans="1:17">
      <c r="A34" s="8" t="s">
        <v>1121</v>
      </c>
      <c r="B34" s="8" t="s">
        <v>744</v>
      </c>
      <c r="C34" s="8" t="s">
        <v>250</v>
      </c>
      <c r="D34" s="8" t="s">
        <v>329</v>
      </c>
      <c r="E34" s="6">
        <v>43132</v>
      </c>
      <c r="F34" s="8" t="s">
        <v>237</v>
      </c>
      <c r="G34" s="8" t="s">
        <v>249</v>
      </c>
      <c r="H34" s="4">
        <v>-360</v>
      </c>
      <c r="I34" s="8" t="s">
        <v>66</v>
      </c>
      <c r="J34" s="4">
        <v>0</v>
      </c>
      <c r="K34" s="4">
        <v>0</v>
      </c>
      <c r="L34" s="8" t="s">
        <v>117</v>
      </c>
      <c r="M34" s="4">
        <v>0</v>
      </c>
      <c r="N34" s="8" t="s">
        <v>1425</v>
      </c>
      <c r="O34" s="8" t="s">
        <v>1295</v>
      </c>
      <c r="P34" s="8" t="s">
        <v>218</v>
      </c>
      <c r="Q34" s="4">
        <v>5637707399</v>
      </c>
    </row>
    <row r="35" spans="1:17">
      <c r="A35" s="8" t="s">
        <v>1121</v>
      </c>
      <c r="B35" s="8" t="s">
        <v>754</v>
      </c>
      <c r="C35" s="8" t="s">
        <v>250</v>
      </c>
      <c r="D35" s="8" t="s">
        <v>329</v>
      </c>
      <c r="E35" s="6">
        <v>43145</v>
      </c>
      <c r="F35" s="8" t="s">
        <v>237</v>
      </c>
      <c r="G35" s="8" t="s">
        <v>249</v>
      </c>
      <c r="H35" s="4">
        <v>-360</v>
      </c>
      <c r="I35" s="8" t="s">
        <v>66</v>
      </c>
      <c r="J35" s="4">
        <v>0</v>
      </c>
      <c r="K35" s="4">
        <v>0</v>
      </c>
      <c r="L35" s="8" t="s">
        <v>117</v>
      </c>
      <c r="M35" s="4">
        <v>0</v>
      </c>
      <c r="N35" s="8" t="s">
        <v>1426</v>
      </c>
      <c r="O35" s="8" t="s">
        <v>1319</v>
      </c>
      <c r="P35" s="8" t="s">
        <v>218</v>
      </c>
      <c r="Q35" s="4">
        <v>5637709226</v>
      </c>
    </row>
    <row r="36" spans="1:17">
      <c r="A36" s="8" t="s">
        <v>1121</v>
      </c>
      <c r="B36" s="8" t="s">
        <v>756</v>
      </c>
      <c r="C36" s="8" t="s">
        <v>250</v>
      </c>
      <c r="D36" s="8" t="s">
        <v>329</v>
      </c>
      <c r="E36" s="6">
        <v>43145</v>
      </c>
      <c r="F36" s="8" t="s">
        <v>237</v>
      </c>
      <c r="G36" s="8" t="s">
        <v>249</v>
      </c>
      <c r="H36" s="4">
        <v>-3240</v>
      </c>
      <c r="I36" s="8" t="s">
        <v>66</v>
      </c>
      <c r="J36" s="4">
        <v>0</v>
      </c>
      <c r="K36" s="4">
        <v>0</v>
      </c>
      <c r="L36" s="8" t="s">
        <v>117</v>
      </c>
      <c r="M36" s="4">
        <v>0</v>
      </c>
      <c r="N36" s="8" t="s">
        <v>1427</v>
      </c>
      <c r="O36" s="8" t="s">
        <v>1325</v>
      </c>
      <c r="P36" s="8" t="s">
        <v>218</v>
      </c>
      <c r="Q36" s="4">
        <v>5637709234</v>
      </c>
    </row>
    <row r="37" spans="1:17">
      <c r="A37" s="8" t="s">
        <v>1121</v>
      </c>
      <c r="B37" s="8" t="s">
        <v>762</v>
      </c>
      <c r="C37" s="8" t="s">
        <v>250</v>
      </c>
      <c r="D37" s="8" t="s">
        <v>329</v>
      </c>
      <c r="E37" s="6">
        <v>43146</v>
      </c>
      <c r="F37" s="8" t="s">
        <v>237</v>
      </c>
      <c r="G37" s="8" t="s">
        <v>249</v>
      </c>
      <c r="H37" s="4">
        <v>-4320</v>
      </c>
      <c r="I37" s="8" t="s">
        <v>66</v>
      </c>
      <c r="J37" s="4">
        <v>0</v>
      </c>
      <c r="K37" s="4">
        <v>0</v>
      </c>
      <c r="L37" s="8" t="s">
        <v>117</v>
      </c>
      <c r="M37" s="4">
        <v>0</v>
      </c>
      <c r="N37" s="8" t="s">
        <v>1428</v>
      </c>
      <c r="O37" s="8" t="s">
        <v>1335</v>
      </c>
      <c r="P37" s="8" t="s">
        <v>218</v>
      </c>
      <c r="Q37" s="4">
        <v>5637709507</v>
      </c>
    </row>
    <row r="38" spans="1:17">
      <c r="A38" s="8" t="s">
        <v>1121</v>
      </c>
      <c r="B38" s="8" t="s">
        <v>768</v>
      </c>
      <c r="C38" s="8" t="s">
        <v>250</v>
      </c>
      <c r="D38" s="8" t="s">
        <v>329</v>
      </c>
      <c r="E38" s="6">
        <v>43151</v>
      </c>
      <c r="F38" s="8" t="s">
        <v>237</v>
      </c>
      <c r="G38" s="8" t="s">
        <v>249</v>
      </c>
      <c r="H38" s="4">
        <v>-3600</v>
      </c>
      <c r="I38" s="8" t="s">
        <v>66</v>
      </c>
      <c r="J38" s="4">
        <v>0</v>
      </c>
      <c r="K38" s="4">
        <v>0</v>
      </c>
      <c r="L38" s="8" t="s">
        <v>117</v>
      </c>
      <c r="M38" s="4">
        <v>0</v>
      </c>
      <c r="N38" s="8" t="s">
        <v>1429</v>
      </c>
      <c r="O38" s="8" t="s">
        <v>1344</v>
      </c>
      <c r="P38" s="8" t="s">
        <v>218</v>
      </c>
      <c r="Q38" s="4">
        <v>5637713827</v>
      </c>
    </row>
    <row r="39" spans="1:17">
      <c r="A39" s="8" t="s">
        <v>1121</v>
      </c>
      <c r="B39" s="8" t="s">
        <v>772</v>
      </c>
      <c r="C39" s="8" t="s">
        <v>250</v>
      </c>
      <c r="D39" s="8" t="s">
        <v>329</v>
      </c>
      <c r="E39" s="6">
        <v>43151</v>
      </c>
      <c r="F39" s="8" t="s">
        <v>237</v>
      </c>
      <c r="G39" s="8" t="s">
        <v>249</v>
      </c>
      <c r="H39" s="4">
        <v>-720</v>
      </c>
      <c r="I39" s="8" t="s">
        <v>66</v>
      </c>
      <c r="J39" s="4">
        <v>0</v>
      </c>
      <c r="K39" s="4">
        <v>0</v>
      </c>
      <c r="L39" s="8" t="s">
        <v>117</v>
      </c>
      <c r="M39" s="4">
        <v>0</v>
      </c>
      <c r="N39" s="8" t="s">
        <v>1430</v>
      </c>
      <c r="O39" s="8" t="s">
        <v>1352</v>
      </c>
      <c r="P39" s="8" t="s">
        <v>218</v>
      </c>
      <c r="Q39" s="4">
        <v>5637714579</v>
      </c>
    </row>
    <row r="40" spans="1:17">
      <c r="A40" s="8" t="s">
        <v>1121</v>
      </c>
      <c r="B40" s="8" t="s">
        <v>780</v>
      </c>
      <c r="C40" s="8" t="s">
        <v>250</v>
      </c>
      <c r="D40" s="8" t="s">
        <v>329</v>
      </c>
      <c r="E40" s="6">
        <v>43157</v>
      </c>
      <c r="F40" s="8" t="s">
        <v>237</v>
      </c>
      <c r="G40" s="8" t="s">
        <v>249</v>
      </c>
      <c r="H40" s="4">
        <v>-200</v>
      </c>
      <c r="I40" s="8" t="s">
        <v>66</v>
      </c>
      <c r="J40" s="4">
        <v>0</v>
      </c>
      <c r="K40" s="4">
        <v>0</v>
      </c>
      <c r="L40" s="8" t="s">
        <v>117</v>
      </c>
      <c r="M40" s="4">
        <v>0</v>
      </c>
      <c r="N40" s="8" t="s">
        <v>1408</v>
      </c>
      <c r="O40" s="8" t="s">
        <v>1363</v>
      </c>
      <c r="P40" s="8" t="s">
        <v>218</v>
      </c>
      <c r="Q40" s="4">
        <v>5637715447</v>
      </c>
    </row>
    <row r="41" spans="1:17">
      <c r="A41" s="8" t="s">
        <v>1121</v>
      </c>
      <c r="B41" s="8" t="s">
        <v>788</v>
      </c>
      <c r="C41" s="8" t="s">
        <v>250</v>
      </c>
      <c r="D41" s="8" t="s">
        <v>329</v>
      </c>
      <c r="E41" s="6">
        <v>43157</v>
      </c>
      <c r="F41" s="8" t="s">
        <v>237</v>
      </c>
      <c r="G41" s="8" t="s">
        <v>249</v>
      </c>
      <c r="H41" s="4">
        <v>-360</v>
      </c>
      <c r="I41" s="8" t="s">
        <v>66</v>
      </c>
      <c r="J41" s="4">
        <v>0</v>
      </c>
      <c r="K41" s="4">
        <v>0</v>
      </c>
      <c r="L41" s="8" t="s">
        <v>117</v>
      </c>
      <c r="M41" s="4">
        <v>0</v>
      </c>
      <c r="N41" s="8" t="s">
        <v>1431</v>
      </c>
      <c r="O41" s="8" t="s">
        <v>1380</v>
      </c>
      <c r="P41" s="8" t="s">
        <v>218</v>
      </c>
      <c r="Q41" s="4">
        <v>5637715477</v>
      </c>
    </row>
    <row r="42" spans="1:17">
      <c r="A42" s="8" t="s">
        <v>1121</v>
      </c>
      <c r="B42" s="8" t="s">
        <v>794</v>
      </c>
      <c r="C42" s="8" t="s">
        <v>250</v>
      </c>
      <c r="D42" s="8" t="s">
        <v>329</v>
      </c>
      <c r="E42" s="6">
        <v>43159</v>
      </c>
      <c r="F42" s="8" t="s">
        <v>237</v>
      </c>
      <c r="G42" s="8" t="s">
        <v>249</v>
      </c>
      <c r="H42" s="4">
        <v>-1525</v>
      </c>
      <c r="I42" s="8" t="s">
        <v>66</v>
      </c>
      <c r="J42" s="4">
        <v>0</v>
      </c>
      <c r="K42" s="4">
        <v>0</v>
      </c>
      <c r="L42" s="8" t="s">
        <v>117</v>
      </c>
      <c r="M42" s="4">
        <v>0</v>
      </c>
      <c r="N42" s="8" t="s">
        <v>1410</v>
      </c>
      <c r="O42" s="8" t="s">
        <v>1391</v>
      </c>
      <c r="P42" s="8" t="s">
        <v>218</v>
      </c>
      <c r="Q42" s="4">
        <v>5637716186</v>
      </c>
    </row>
    <row r="43" spans="1:17">
      <c r="A43" s="8" t="s">
        <v>122</v>
      </c>
      <c r="B43" s="8" t="s">
        <v>620</v>
      </c>
      <c r="C43" s="8" t="s">
        <v>16</v>
      </c>
      <c r="D43" s="8" t="s">
        <v>19</v>
      </c>
      <c r="E43" s="6">
        <v>43154</v>
      </c>
      <c r="F43" s="8" t="s">
        <v>237</v>
      </c>
      <c r="G43" s="8" t="s">
        <v>238</v>
      </c>
      <c r="H43" s="4">
        <v>-30</v>
      </c>
      <c r="I43" s="8" t="s">
        <v>23</v>
      </c>
      <c r="J43" s="4">
        <v>0</v>
      </c>
      <c r="K43" s="4">
        <v>0</v>
      </c>
      <c r="L43" s="8" t="s">
        <v>117</v>
      </c>
      <c r="M43" s="4">
        <v>0</v>
      </c>
      <c r="N43" s="8" t="s">
        <v>1432</v>
      </c>
      <c r="O43" s="8" t="s">
        <v>621</v>
      </c>
      <c r="P43" s="8" t="s">
        <v>218</v>
      </c>
      <c r="Q43" s="4">
        <v>5637715072</v>
      </c>
    </row>
    <row r="44" spans="1:17">
      <c r="A44" s="8" t="s">
        <v>122</v>
      </c>
      <c r="B44" s="8" t="s">
        <v>620</v>
      </c>
      <c r="C44" s="8" t="s">
        <v>16</v>
      </c>
      <c r="D44" s="8" t="s">
        <v>19</v>
      </c>
      <c r="E44" s="6">
        <v>43154</v>
      </c>
      <c r="F44" s="8" t="s">
        <v>237</v>
      </c>
      <c r="G44" s="8" t="s">
        <v>238</v>
      </c>
      <c r="H44" s="4">
        <v>-30</v>
      </c>
      <c r="I44" s="8" t="s">
        <v>23</v>
      </c>
      <c r="J44" s="4">
        <v>0</v>
      </c>
      <c r="K44" s="4">
        <v>0</v>
      </c>
      <c r="L44" s="8" t="s">
        <v>117</v>
      </c>
      <c r="M44" s="4">
        <v>0</v>
      </c>
      <c r="N44" s="8" t="s">
        <v>1432</v>
      </c>
      <c r="O44" s="8" t="s">
        <v>621</v>
      </c>
      <c r="P44" s="8" t="s">
        <v>218</v>
      </c>
      <c r="Q44" s="4">
        <v>5637715056</v>
      </c>
    </row>
    <row r="45" spans="1:17">
      <c r="A45" s="8" t="s">
        <v>122</v>
      </c>
      <c r="B45" s="8" t="s">
        <v>620</v>
      </c>
      <c r="C45" s="8" t="s">
        <v>16</v>
      </c>
      <c r="D45" s="8" t="s">
        <v>19</v>
      </c>
      <c r="E45" s="6">
        <v>43154</v>
      </c>
      <c r="F45" s="8" t="s">
        <v>237</v>
      </c>
      <c r="G45" s="8" t="s">
        <v>238</v>
      </c>
      <c r="H45" s="4">
        <v>-30</v>
      </c>
      <c r="I45" s="8" t="s">
        <v>23</v>
      </c>
      <c r="J45" s="4">
        <v>0</v>
      </c>
      <c r="K45" s="4">
        <v>0</v>
      </c>
      <c r="L45" s="8" t="s">
        <v>117</v>
      </c>
      <c r="M45" s="4">
        <v>0</v>
      </c>
      <c r="N45" s="8" t="s">
        <v>1432</v>
      </c>
      <c r="O45" s="8" t="s">
        <v>621</v>
      </c>
      <c r="P45" s="8" t="s">
        <v>218</v>
      </c>
      <c r="Q45" s="4">
        <v>5637715063</v>
      </c>
    </row>
    <row r="46" spans="1:17">
      <c r="A46" s="8" t="s">
        <v>122</v>
      </c>
      <c r="B46" s="8" t="s">
        <v>620</v>
      </c>
      <c r="C46" s="8" t="s">
        <v>16</v>
      </c>
      <c r="D46" s="8" t="s">
        <v>19</v>
      </c>
      <c r="E46" s="6">
        <v>43154</v>
      </c>
      <c r="F46" s="8" t="s">
        <v>237</v>
      </c>
      <c r="G46" s="8" t="s">
        <v>238</v>
      </c>
      <c r="H46" s="4">
        <v>-30</v>
      </c>
      <c r="I46" s="8" t="s">
        <v>23</v>
      </c>
      <c r="J46" s="4">
        <v>0</v>
      </c>
      <c r="K46" s="4">
        <v>0</v>
      </c>
      <c r="L46" s="8" t="s">
        <v>117</v>
      </c>
      <c r="M46" s="4">
        <v>0</v>
      </c>
      <c r="N46" s="8" t="s">
        <v>1432</v>
      </c>
      <c r="O46" s="8" t="s">
        <v>621</v>
      </c>
      <c r="P46" s="8" t="s">
        <v>218</v>
      </c>
      <c r="Q46" s="4">
        <v>5637715070</v>
      </c>
    </row>
    <row r="47" spans="1:17">
      <c r="A47" s="8" t="s">
        <v>122</v>
      </c>
      <c r="B47" s="8" t="s">
        <v>620</v>
      </c>
      <c r="C47" s="8" t="s">
        <v>16</v>
      </c>
      <c r="D47" s="8" t="s">
        <v>19</v>
      </c>
      <c r="E47" s="6">
        <v>43154</v>
      </c>
      <c r="F47" s="8" t="s">
        <v>237</v>
      </c>
      <c r="G47" s="8" t="s">
        <v>238</v>
      </c>
      <c r="H47" s="4">
        <v>-30</v>
      </c>
      <c r="I47" s="8" t="s">
        <v>23</v>
      </c>
      <c r="J47" s="4">
        <v>0</v>
      </c>
      <c r="K47" s="4">
        <v>0</v>
      </c>
      <c r="L47" s="8" t="s">
        <v>117</v>
      </c>
      <c r="M47" s="4">
        <v>0</v>
      </c>
      <c r="N47" s="8" t="s">
        <v>1432</v>
      </c>
      <c r="O47" s="8" t="s">
        <v>621</v>
      </c>
      <c r="P47" s="8" t="s">
        <v>218</v>
      </c>
      <c r="Q47" s="4">
        <v>5637715064</v>
      </c>
    </row>
    <row r="48" spans="1:17">
      <c r="A48" s="8" t="s">
        <v>122</v>
      </c>
      <c r="B48" s="8" t="s">
        <v>529</v>
      </c>
      <c r="C48" s="8" t="s">
        <v>43</v>
      </c>
      <c r="D48" s="8" t="s">
        <v>67</v>
      </c>
      <c r="E48" s="6">
        <v>43122</v>
      </c>
      <c r="F48" s="8" t="s">
        <v>237</v>
      </c>
      <c r="G48" s="8" t="s">
        <v>238</v>
      </c>
      <c r="H48" s="4">
        <v>-30</v>
      </c>
      <c r="I48" s="8" t="s">
        <v>23</v>
      </c>
      <c r="J48" s="4">
        <v>0</v>
      </c>
      <c r="K48" s="4">
        <v>0</v>
      </c>
      <c r="L48" s="8" t="s">
        <v>117</v>
      </c>
      <c r="M48" s="4">
        <v>0</v>
      </c>
      <c r="N48" s="8" t="s">
        <v>1433</v>
      </c>
      <c r="O48" s="8" t="s">
        <v>530</v>
      </c>
      <c r="P48" s="8" t="s">
        <v>218</v>
      </c>
      <c r="Q48" s="4">
        <v>5637707301</v>
      </c>
    </row>
    <row r="49" spans="1:17">
      <c r="A49" s="8" t="s">
        <v>122</v>
      </c>
      <c r="B49" s="8" t="s">
        <v>605</v>
      </c>
      <c r="C49" s="8" t="s">
        <v>43</v>
      </c>
      <c r="D49" s="8" t="s">
        <v>67</v>
      </c>
      <c r="E49" s="6">
        <v>43147</v>
      </c>
      <c r="F49" s="8" t="s">
        <v>237</v>
      </c>
      <c r="G49" s="8" t="s">
        <v>238</v>
      </c>
      <c r="H49" s="4">
        <v>-30</v>
      </c>
      <c r="I49" s="8" t="s">
        <v>23</v>
      </c>
      <c r="J49" s="4">
        <v>0</v>
      </c>
      <c r="K49" s="4">
        <v>0</v>
      </c>
      <c r="L49" s="8" t="s">
        <v>117</v>
      </c>
      <c r="M49" s="4">
        <v>0</v>
      </c>
      <c r="N49" s="8" t="s">
        <v>1434</v>
      </c>
      <c r="O49" s="8" t="s">
        <v>606</v>
      </c>
      <c r="P49" s="8" t="s">
        <v>218</v>
      </c>
      <c r="Q49" s="4">
        <v>5637709488</v>
      </c>
    </row>
    <row r="50" spans="1:17">
      <c r="A50" s="8" t="s">
        <v>122</v>
      </c>
      <c r="B50" s="8" t="s">
        <v>605</v>
      </c>
      <c r="C50" s="8" t="s">
        <v>43</v>
      </c>
      <c r="D50" s="8" t="s">
        <v>67</v>
      </c>
      <c r="E50" s="6">
        <v>43147</v>
      </c>
      <c r="F50" s="8" t="s">
        <v>237</v>
      </c>
      <c r="G50" s="8" t="s">
        <v>238</v>
      </c>
      <c r="H50" s="4">
        <v>-30</v>
      </c>
      <c r="I50" s="8" t="s">
        <v>23</v>
      </c>
      <c r="J50" s="4">
        <v>0</v>
      </c>
      <c r="K50" s="4">
        <v>0</v>
      </c>
      <c r="L50" s="8" t="s">
        <v>117</v>
      </c>
      <c r="M50" s="4">
        <v>0</v>
      </c>
      <c r="N50" s="8" t="s">
        <v>1434</v>
      </c>
      <c r="O50" s="8" t="s">
        <v>606</v>
      </c>
      <c r="P50" s="8" t="s">
        <v>218</v>
      </c>
      <c r="Q50" s="4">
        <v>5637709480</v>
      </c>
    </row>
    <row r="51" spans="1:17">
      <c r="A51" s="8" t="s">
        <v>1121</v>
      </c>
      <c r="B51" s="8" t="s">
        <v>674</v>
      </c>
      <c r="C51" s="8" t="s">
        <v>251</v>
      </c>
      <c r="D51" s="8" t="s">
        <v>330</v>
      </c>
      <c r="E51" s="6">
        <v>43108</v>
      </c>
      <c r="F51" s="8" t="s">
        <v>237</v>
      </c>
      <c r="G51" s="8" t="s">
        <v>238</v>
      </c>
      <c r="H51" s="4">
        <v>-8.9047000000000018</v>
      </c>
      <c r="I51" s="8" t="s">
        <v>66</v>
      </c>
      <c r="J51" s="4">
        <v>0</v>
      </c>
      <c r="K51" s="4">
        <v>0</v>
      </c>
      <c r="L51" s="8" t="s">
        <v>117</v>
      </c>
      <c r="M51" s="4">
        <v>0</v>
      </c>
      <c r="N51" s="8" t="s">
        <v>1398</v>
      </c>
      <c r="O51" s="8" t="s">
        <v>1158</v>
      </c>
      <c r="P51" s="8" t="s">
        <v>218</v>
      </c>
      <c r="Q51" s="4">
        <v>5637706397</v>
      </c>
    </row>
    <row r="52" spans="1:17">
      <c r="A52" s="8" t="s">
        <v>1121</v>
      </c>
      <c r="B52" s="8" t="s">
        <v>696</v>
      </c>
      <c r="C52" s="8" t="s">
        <v>251</v>
      </c>
      <c r="D52" s="8" t="s">
        <v>330</v>
      </c>
      <c r="E52" s="6">
        <v>43108</v>
      </c>
      <c r="F52" s="8" t="s">
        <v>237</v>
      </c>
      <c r="G52" s="8" t="s">
        <v>238</v>
      </c>
      <c r="H52" s="4">
        <v>-0.75</v>
      </c>
      <c r="I52" s="8" t="s">
        <v>66</v>
      </c>
      <c r="J52" s="4">
        <v>0</v>
      </c>
      <c r="K52" s="4">
        <v>0</v>
      </c>
      <c r="L52" s="8" t="s">
        <v>117</v>
      </c>
      <c r="M52" s="4">
        <v>0</v>
      </c>
      <c r="N52" s="8" t="s">
        <v>1435</v>
      </c>
      <c r="O52" s="8" t="s">
        <v>1202</v>
      </c>
      <c r="P52" s="8" t="s">
        <v>218</v>
      </c>
      <c r="Q52" s="4">
        <v>5637706455</v>
      </c>
    </row>
    <row r="53" spans="1:17">
      <c r="A53" s="8" t="s">
        <v>1121</v>
      </c>
      <c r="B53" s="8" t="s">
        <v>752</v>
      </c>
      <c r="C53" s="8" t="s">
        <v>251</v>
      </c>
      <c r="D53" s="8" t="s">
        <v>330</v>
      </c>
      <c r="E53" s="6">
        <v>43140</v>
      </c>
      <c r="F53" s="8" t="s">
        <v>237</v>
      </c>
      <c r="G53" s="8" t="s">
        <v>238</v>
      </c>
      <c r="H53" s="4">
        <v>-31.543099999999999</v>
      </c>
      <c r="I53" s="8" t="s">
        <v>66</v>
      </c>
      <c r="J53" s="4">
        <v>0</v>
      </c>
      <c r="K53" s="4">
        <v>0</v>
      </c>
      <c r="L53" s="8" t="s">
        <v>117</v>
      </c>
      <c r="M53" s="4">
        <v>0</v>
      </c>
      <c r="N53" s="8" t="s">
        <v>1399</v>
      </c>
      <c r="O53" s="8" t="s">
        <v>1307</v>
      </c>
      <c r="P53" s="8" t="s">
        <v>218</v>
      </c>
      <c r="Q53" s="4">
        <v>5637708348</v>
      </c>
    </row>
    <row r="54" spans="1:17">
      <c r="A54" s="8" t="s">
        <v>122</v>
      </c>
      <c r="B54" s="8" t="s">
        <v>490</v>
      </c>
      <c r="C54" s="8" t="s">
        <v>333</v>
      </c>
      <c r="D54" s="8" t="s">
        <v>334</v>
      </c>
      <c r="E54" s="6">
        <v>43102</v>
      </c>
      <c r="F54" s="8" t="s">
        <v>237</v>
      </c>
      <c r="G54" s="8" t="s">
        <v>238</v>
      </c>
      <c r="H54" s="4">
        <v>-1</v>
      </c>
      <c r="I54" s="8" t="s">
        <v>22</v>
      </c>
      <c r="J54" s="4">
        <v>0</v>
      </c>
      <c r="K54" s="4">
        <v>0</v>
      </c>
      <c r="L54" s="8" t="s">
        <v>117</v>
      </c>
      <c r="M54" s="4">
        <v>0</v>
      </c>
      <c r="N54" s="8" t="s">
        <v>1436</v>
      </c>
      <c r="O54" s="8" t="s">
        <v>491</v>
      </c>
      <c r="P54" s="8" t="s">
        <v>218</v>
      </c>
      <c r="Q54" s="4">
        <v>5637707268</v>
      </c>
    </row>
    <row r="55" spans="1:17">
      <c r="A55" s="8" t="s">
        <v>655</v>
      </c>
      <c r="B55" s="8" t="s">
        <v>738</v>
      </c>
      <c r="C55" s="8" t="s">
        <v>333</v>
      </c>
      <c r="D55" s="8" t="s">
        <v>334</v>
      </c>
      <c r="E55" s="6">
        <v>43115</v>
      </c>
      <c r="F55" s="8" t="s">
        <v>237</v>
      </c>
      <c r="G55" s="8" t="s">
        <v>238</v>
      </c>
      <c r="H55" s="4">
        <v>1</v>
      </c>
      <c r="I55" s="8" t="s">
        <v>22</v>
      </c>
      <c r="J55" s="4">
        <v>0</v>
      </c>
      <c r="K55" s="4">
        <v>0</v>
      </c>
      <c r="L55" s="8" t="s">
        <v>117</v>
      </c>
      <c r="M55" s="4">
        <v>0</v>
      </c>
      <c r="N55" s="8" t="s">
        <v>1437</v>
      </c>
      <c r="O55" s="8" t="s">
        <v>739</v>
      </c>
      <c r="P55" s="8" t="s">
        <v>218</v>
      </c>
      <c r="Q55" s="4">
        <v>5637707272</v>
      </c>
    </row>
    <row r="56" spans="1:17">
      <c r="A56" s="8" t="s">
        <v>655</v>
      </c>
      <c r="B56" s="8" t="s">
        <v>750</v>
      </c>
      <c r="C56" s="8" t="s">
        <v>335</v>
      </c>
      <c r="D56" s="8" t="s">
        <v>336</v>
      </c>
      <c r="E56" s="6">
        <v>43138</v>
      </c>
      <c r="F56" s="8" t="s">
        <v>237</v>
      </c>
      <c r="G56" s="8" t="s">
        <v>238</v>
      </c>
      <c r="H56" s="4">
        <v>1</v>
      </c>
      <c r="I56" s="8" t="s">
        <v>22</v>
      </c>
      <c r="J56" s="4">
        <v>0</v>
      </c>
      <c r="K56" s="4">
        <v>0</v>
      </c>
      <c r="L56" s="8" t="s">
        <v>117</v>
      </c>
      <c r="M56" s="4">
        <v>0</v>
      </c>
      <c r="N56" s="8" t="s">
        <v>1438</v>
      </c>
      <c r="O56" s="8" t="s">
        <v>751</v>
      </c>
      <c r="P56" s="8" t="s">
        <v>218</v>
      </c>
      <c r="Q56" s="4">
        <v>5637707542</v>
      </c>
    </row>
    <row r="57" spans="1:17">
      <c r="A57" s="8" t="s">
        <v>122</v>
      </c>
      <c r="B57" s="8" t="s">
        <v>577</v>
      </c>
      <c r="C57" s="8" t="s">
        <v>335</v>
      </c>
      <c r="D57" s="8" t="s">
        <v>336</v>
      </c>
      <c r="E57" s="6">
        <v>43154</v>
      </c>
      <c r="F57" s="8" t="s">
        <v>237</v>
      </c>
      <c r="G57" s="8" t="s">
        <v>238</v>
      </c>
      <c r="H57" s="4">
        <v>-1</v>
      </c>
      <c r="I57" s="8" t="s">
        <v>22</v>
      </c>
      <c r="J57" s="4">
        <v>0</v>
      </c>
      <c r="K57" s="4">
        <v>0</v>
      </c>
      <c r="L57" s="8" t="s">
        <v>117</v>
      </c>
      <c r="M57" s="4">
        <v>0</v>
      </c>
      <c r="N57" s="8" t="s">
        <v>1439</v>
      </c>
      <c r="O57" s="8" t="s">
        <v>578</v>
      </c>
      <c r="P57" s="8" t="s">
        <v>218</v>
      </c>
      <c r="Q57" s="4">
        <v>5637707541</v>
      </c>
    </row>
    <row r="58" spans="1:17">
      <c r="A58" s="8" t="s">
        <v>122</v>
      </c>
      <c r="B58" s="8" t="s">
        <v>623</v>
      </c>
      <c r="C58" s="8" t="s">
        <v>337</v>
      </c>
      <c r="D58" s="8" t="s">
        <v>338</v>
      </c>
      <c r="E58" s="6">
        <v>43158</v>
      </c>
      <c r="F58" s="8" t="s">
        <v>237</v>
      </c>
      <c r="G58" s="8" t="s">
        <v>238</v>
      </c>
      <c r="H58" s="4">
        <v>-1</v>
      </c>
      <c r="I58" s="8" t="s">
        <v>22</v>
      </c>
      <c r="J58" s="4">
        <v>0</v>
      </c>
      <c r="K58" s="4">
        <v>0</v>
      </c>
      <c r="L58" s="8" t="s">
        <v>117</v>
      </c>
      <c r="M58" s="4">
        <v>0</v>
      </c>
      <c r="N58" s="8" t="s">
        <v>1440</v>
      </c>
      <c r="O58" s="8" t="s">
        <v>624</v>
      </c>
      <c r="P58" s="8" t="s">
        <v>218</v>
      </c>
      <c r="Q58" s="4">
        <v>5637715715</v>
      </c>
    </row>
    <row r="59" spans="1:17">
      <c r="A59" s="8" t="s">
        <v>122</v>
      </c>
      <c r="B59" s="8" t="s">
        <v>623</v>
      </c>
      <c r="C59" s="8" t="s">
        <v>337</v>
      </c>
      <c r="D59" s="8" t="s">
        <v>338</v>
      </c>
      <c r="E59" s="6">
        <v>43158</v>
      </c>
      <c r="F59" s="8" t="s">
        <v>237</v>
      </c>
      <c r="G59" s="8" t="s">
        <v>238</v>
      </c>
      <c r="H59" s="4">
        <v>-1</v>
      </c>
      <c r="I59" s="8" t="s">
        <v>22</v>
      </c>
      <c r="J59" s="4">
        <v>0</v>
      </c>
      <c r="K59" s="4">
        <v>0</v>
      </c>
      <c r="L59" s="8" t="s">
        <v>117</v>
      </c>
      <c r="M59" s="4">
        <v>0</v>
      </c>
      <c r="N59" s="8" t="s">
        <v>1440</v>
      </c>
      <c r="O59" s="8" t="s">
        <v>624</v>
      </c>
      <c r="P59" s="8" t="s">
        <v>218</v>
      </c>
      <c r="Q59" s="4">
        <v>5637715724</v>
      </c>
    </row>
    <row r="60" spans="1:17">
      <c r="A60" s="8" t="s">
        <v>655</v>
      </c>
      <c r="B60" s="8" t="s">
        <v>792</v>
      </c>
      <c r="C60" s="8" t="s">
        <v>337</v>
      </c>
      <c r="D60" s="8" t="s">
        <v>338</v>
      </c>
      <c r="E60" s="6">
        <v>43158</v>
      </c>
      <c r="F60" s="8" t="s">
        <v>237</v>
      </c>
      <c r="G60" s="8" t="s">
        <v>238</v>
      </c>
      <c r="H60" s="4">
        <v>2</v>
      </c>
      <c r="I60" s="8" t="s">
        <v>22</v>
      </c>
      <c r="J60" s="4">
        <v>0</v>
      </c>
      <c r="K60" s="4">
        <v>0</v>
      </c>
      <c r="L60" s="8" t="s">
        <v>117</v>
      </c>
      <c r="M60" s="4">
        <v>0</v>
      </c>
      <c r="N60" s="8" t="s">
        <v>1441</v>
      </c>
      <c r="O60" s="8" t="s">
        <v>793</v>
      </c>
      <c r="P60" s="8" t="s">
        <v>218</v>
      </c>
      <c r="Q60" s="4">
        <v>5637715563</v>
      </c>
    </row>
    <row r="61" spans="1:17">
      <c r="A61" s="8" t="s">
        <v>1121</v>
      </c>
      <c r="B61" s="8" t="s">
        <v>780</v>
      </c>
      <c r="C61" s="8" t="s">
        <v>252</v>
      </c>
      <c r="D61" s="8" t="s">
        <v>339</v>
      </c>
      <c r="E61" s="6">
        <v>43157</v>
      </c>
      <c r="F61" s="8" t="s">
        <v>237</v>
      </c>
      <c r="G61" s="8" t="s">
        <v>238</v>
      </c>
      <c r="H61" s="4">
        <v>-1</v>
      </c>
      <c r="I61" s="8" t="s">
        <v>22</v>
      </c>
      <c r="J61" s="4">
        <v>0</v>
      </c>
      <c r="K61" s="4">
        <v>0</v>
      </c>
      <c r="L61" s="8" t="s">
        <v>117</v>
      </c>
      <c r="M61" s="4">
        <v>0</v>
      </c>
      <c r="N61" s="8" t="s">
        <v>1408</v>
      </c>
      <c r="O61" s="8" t="s">
        <v>1364</v>
      </c>
      <c r="P61" s="8" t="s">
        <v>218</v>
      </c>
      <c r="Q61" s="4">
        <v>5637715452</v>
      </c>
    </row>
    <row r="62" spans="1:17">
      <c r="A62" s="8" t="s">
        <v>1121</v>
      </c>
      <c r="B62" s="8" t="s">
        <v>718</v>
      </c>
      <c r="C62" s="8" t="s">
        <v>254</v>
      </c>
      <c r="D62" s="8" t="s">
        <v>344</v>
      </c>
      <c r="E62" s="6">
        <v>43108</v>
      </c>
      <c r="F62" s="8" t="s">
        <v>237</v>
      </c>
      <c r="G62" s="8" t="s">
        <v>238</v>
      </c>
      <c r="H62" s="4">
        <v>-3.5</v>
      </c>
      <c r="I62" s="8" t="s">
        <v>66</v>
      </c>
      <c r="J62" s="4">
        <v>0</v>
      </c>
      <c r="K62" s="4">
        <v>0</v>
      </c>
      <c r="L62" s="8" t="s">
        <v>117</v>
      </c>
      <c r="M62" s="4">
        <v>0</v>
      </c>
      <c r="N62" s="8" t="s">
        <v>1405</v>
      </c>
      <c r="O62" s="8" t="s">
        <v>1249</v>
      </c>
      <c r="P62" s="8" t="s">
        <v>218</v>
      </c>
      <c r="Q62" s="4">
        <v>5637706515</v>
      </c>
    </row>
    <row r="63" spans="1:17">
      <c r="A63" s="8" t="s">
        <v>1121</v>
      </c>
      <c r="B63" s="8" t="s">
        <v>696</v>
      </c>
      <c r="C63" s="8" t="s">
        <v>255</v>
      </c>
      <c r="D63" s="8" t="s">
        <v>346</v>
      </c>
      <c r="E63" s="6">
        <v>43108</v>
      </c>
      <c r="F63" s="8" t="s">
        <v>237</v>
      </c>
      <c r="G63" s="8" t="s">
        <v>238</v>
      </c>
      <c r="H63" s="4">
        <v>-0.69</v>
      </c>
      <c r="I63" s="8" t="s">
        <v>66</v>
      </c>
      <c r="J63" s="4">
        <v>0</v>
      </c>
      <c r="K63" s="4">
        <v>0</v>
      </c>
      <c r="L63" s="8" t="s">
        <v>117</v>
      </c>
      <c r="M63" s="4">
        <v>0</v>
      </c>
      <c r="N63" s="8" t="s">
        <v>1435</v>
      </c>
      <c r="O63" s="8" t="s">
        <v>1203</v>
      </c>
      <c r="P63" s="8" t="s">
        <v>218</v>
      </c>
      <c r="Q63" s="4">
        <v>5637706452</v>
      </c>
    </row>
    <row r="64" spans="1:17">
      <c r="A64" s="8" t="s">
        <v>1121</v>
      </c>
      <c r="B64" s="8" t="s">
        <v>672</v>
      </c>
      <c r="C64" s="8" t="s">
        <v>255</v>
      </c>
      <c r="D64" s="8" t="s">
        <v>346</v>
      </c>
      <c r="E64" s="6">
        <v>43110</v>
      </c>
      <c r="F64" s="8" t="s">
        <v>237</v>
      </c>
      <c r="G64" s="8" t="s">
        <v>238</v>
      </c>
      <c r="H64" s="4">
        <v>-315</v>
      </c>
      <c r="I64" s="8" t="s">
        <v>66</v>
      </c>
      <c r="J64" s="4">
        <v>0</v>
      </c>
      <c r="K64" s="4">
        <v>0</v>
      </c>
      <c r="L64" s="8" t="s">
        <v>117</v>
      </c>
      <c r="M64" s="4">
        <v>0</v>
      </c>
      <c r="N64" s="8" t="s">
        <v>1406</v>
      </c>
      <c r="O64" s="8" t="s">
        <v>1151</v>
      </c>
      <c r="P64" s="8" t="s">
        <v>218</v>
      </c>
      <c r="Q64" s="4">
        <v>5637706378</v>
      </c>
    </row>
    <row r="65" spans="1:17">
      <c r="A65" s="8" t="s">
        <v>1121</v>
      </c>
      <c r="B65" s="8" t="s">
        <v>666</v>
      </c>
      <c r="C65" s="8" t="s">
        <v>256</v>
      </c>
      <c r="D65" s="8" t="s">
        <v>349</v>
      </c>
      <c r="E65" s="6">
        <v>43108</v>
      </c>
      <c r="F65" s="8" t="s">
        <v>237</v>
      </c>
      <c r="G65" s="8" t="s">
        <v>249</v>
      </c>
      <c r="H65" s="4">
        <v>-450</v>
      </c>
      <c r="I65" s="8" t="s">
        <v>66</v>
      </c>
      <c r="J65" s="4">
        <v>0</v>
      </c>
      <c r="K65" s="4">
        <v>0</v>
      </c>
      <c r="L65" s="8" t="s">
        <v>117</v>
      </c>
      <c r="M65" s="4">
        <v>0</v>
      </c>
      <c r="N65" s="8" t="s">
        <v>1423</v>
      </c>
      <c r="O65" s="8" t="s">
        <v>1141</v>
      </c>
      <c r="P65" s="8" t="s">
        <v>218</v>
      </c>
      <c r="Q65" s="4">
        <v>5637706363</v>
      </c>
    </row>
    <row r="66" spans="1:17">
      <c r="A66" s="8" t="s">
        <v>1121</v>
      </c>
      <c r="B66" s="8" t="s">
        <v>662</v>
      </c>
      <c r="C66" s="8" t="s">
        <v>256</v>
      </c>
      <c r="D66" s="8" t="s">
        <v>349</v>
      </c>
      <c r="E66" s="6">
        <v>43108</v>
      </c>
      <c r="F66" s="8" t="s">
        <v>237</v>
      </c>
      <c r="G66" s="8" t="s">
        <v>249</v>
      </c>
      <c r="H66" s="4">
        <v>-150</v>
      </c>
      <c r="I66" s="8" t="s">
        <v>66</v>
      </c>
      <c r="J66" s="4">
        <v>0</v>
      </c>
      <c r="K66" s="4">
        <v>0</v>
      </c>
      <c r="L66" s="8" t="s">
        <v>117</v>
      </c>
      <c r="M66" s="4">
        <v>0</v>
      </c>
      <c r="N66" s="8" t="s">
        <v>1412</v>
      </c>
      <c r="O66" s="8" t="s">
        <v>1133</v>
      </c>
      <c r="P66" s="8" t="s">
        <v>218</v>
      </c>
      <c r="Q66" s="4">
        <v>5637706352</v>
      </c>
    </row>
    <row r="67" spans="1:17">
      <c r="A67" s="8" t="s">
        <v>1121</v>
      </c>
      <c r="B67" s="8" t="s">
        <v>658</v>
      </c>
      <c r="C67" s="8" t="s">
        <v>256</v>
      </c>
      <c r="D67" s="8" t="s">
        <v>349</v>
      </c>
      <c r="E67" s="6">
        <v>43108</v>
      </c>
      <c r="F67" s="8" t="s">
        <v>237</v>
      </c>
      <c r="G67" s="8" t="s">
        <v>249</v>
      </c>
      <c r="H67" s="4">
        <v>-300</v>
      </c>
      <c r="I67" s="8" t="s">
        <v>66</v>
      </c>
      <c r="J67" s="4">
        <v>0</v>
      </c>
      <c r="K67" s="4">
        <v>0</v>
      </c>
      <c r="L67" s="8" t="s">
        <v>117</v>
      </c>
      <c r="M67" s="4">
        <v>0</v>
      </c>
      <c r="N67" s="8" t="s">
        <v>1411</v>
      </c>
      <c r="O67" s="8" t="s">
        <v>1125</v>
      </c>
      <c r="P67" s="8" t="s">
        <v>218</v>
      </c>
      <c r="Q67" s="4">
        <v>5637706341</v>
      </c>
    </row>
    <row r="68" spans="1:17">
      <c r="A68" s="8" t="s">
        <v>1121</v>
      </c>
      <c r="B68" s="8" t="s">
        <v>696</v>
      </c>
      <c r="C68" s="8" t="s">
        <v>256</v>
      </c>
      <c r="D68" s="8" t="s">
        <v>349</v>
      </c>
      <c r="E68" s="6">
        <v>43108</v>
      </c>
      <c r="F68" s="8" t="s">
        <v>237</v>
      </c>
      <c r="G68" s="8" t="s">
        <v>249</v>
      </c>
      <c r="H68" s="4">
        <v>-2.4750000000000001</v>
      </c>
      <c r="I68" s="8" t="s">
        <v>66</v>
      </c>
      <c r="J68" s="4">
        <v>0</v>
      </c>
      <c r="K68" s="4">
        <v>0</v>
      </c>
      <c r="L68" s="8" t="s">
        <v>117</v>
      </c>
      <c r="M68" s="4">
        <v>0</v>
      </c>
      <c r="N68" s="8" t="s">
        <v>1435</v>
      </c>
      <c r="O68" s="8" t="s">
        <v>1204</v>
      </c>
      <c r="P68" s="8" t="s">
        <v>218</v>
      </c>
      <c r="Q68" s="4">
        <v>5637706453</v>
      </c>
    </row>
    <row r="69" spans="1:17">
      <c r="A69" s="8" t="s">
        <v>1121</v>
      </c>
      <c r="B69" s="8" t="s">
        <v>704</v>
      </c>
      <c r="C69" s="8" t="s">
        <v>256</v>
      </c>
      <c r="D69" s="8" t="s">
        <v>349</v>
      </c>
      <c r="E69" s="6">
        <v>43108</v>
      </c>
      <c r="F69" s="8" t="s">
        <v>237</v>
      </c>
      <c r="G69" s="8" t="s">
        <v>249</v>
      </c>
      <c r="H69" s="4">
        <v>-600</v>
      </c>
      <c r="I69" s="8" t="s">
        <v>66</v>
      </c>
      <c r="J69" s="4">
        <v>0</v>
      </c>
      <c r="K69" s="4">
        <v>0</v>
      </c>
      <c r="L69" s="8" t="s">
        <v>117</v>
      </c>
      <c r="M69" s="4">
        <v>0</v>
      </c>
      <c r="N69" s="8" t="s">
        <v>1419</v>
      </c>
      <c r="O69" s="8" t="s">
        <v>1218</v>
      </c>
      <c r="P69" s="8" t="s">
        <v>218</v>
      </c>
      <c r="Q69" s="4">
        <v>5637706470</v>
      </c>
    </row>
    <row r="70" spans="1:17">
      <c r="A70" s="8" t="s">
        <v>1121</v>
      </c>
      <c r="B70" s="8" t="s">
        <v>698</v>
      </c>
      <c r="C70" s="8" t="s">
        <v>256</v>
      </c>
      <c r="D70" s="8" t="s">
        <v>349</v>
      </c>
      <c r="E70" s="6">
        <v>43108</v>
      </c>
      <c r="F70" s="8" t="s">
        <v>237</v>
      </c>
      <c r="G70" s="8" t="s">
        <v>249</v>
      </c>
      <c r="H70" s="4">
        <v>-299.88220000000001</v>
      </c>
      <c r="I70" s="8" t="s">
        <v>66</v>
      </c>
      <c r="J70" s="4">
        <v>0</v>
      </c>
      <c r="K70" s="4">
        <v>0</v>
      </c>
      <c r="L70" s="8" t="s">
        <v>117</v>
      </c>
      <c r="M70" s="4">
        <v>0</v>
      </c>
      <c r="N70" s="8" t="s">
        <v>1404</v>
      </c>
      <c r="O70" s="8" t="s">
        <v>1212</v>
      </c>
      <c r="P70" s="8" t="s">
        <v>218</v>
      </c>
      <c r="Q70" s="4">
        <v>5637706461</v>
      </c>
    </row>
    <row r="71" spans="1:17">
      <c r="A71" s="8" t="s">
        <v>1121</v>
      </c>
      <c r="B71" s="8" t="s">
        <v>680</v>
      </c>
      <c r="C71" s="8" t="s">
        <v>256</v>
      </c>
      <c r="D71" s="8" t="s">
        <v>349</v>
      </c>
      <c r="E71" s="6">
        <v>43108</v>
      </c>
      <c r="F71" s="8" t="s">
        <v>237</v>
      </c>
      <c r="G71" s="8" t="s">
        <v>249</v>
      </c>
      <c r="H71" s="4">
        <v>-450</v>
      </c>
      <c r="I71" s="8" t="s">
        <v>66</v>
      </c>
      <c r="J71" s="4">
        <v>0</v>
      </c>
      <c r="K71" s="4">
        <v>0</v>
      </c>
      <c r="L71" s="8" t="s">
        <v>117</v>
      </c>
      <c r="M71" s="4">
        <v>0</v>
      </c>
      <c r="N71" s="8" t="s">
        <v>1422</v>
      </c>
      <c r="O71" s="8" t="s">
        <v>1178</v>
      </c>
      <c r="P71" s="8" t="s">
        <v>218</v>
      </c>
      <c r="Q71" s="4">
        <v>5637706414</v>
      </c>
    </row>
    <row r="72" spans="1:17">
      <c r="A72" s="8" t="s">
        <v>1121</v>
      </c>
      <c r="B72" s="8" t="s">
        <v>676</v>
      </c>
      <c r="C72" s="8" t="s">
        <v>256</v>
      </c>
      <c r="D72" s="8" t="s">
        <v>349</v>
      </c>
      <c r="E72" s="6">
        <v>43108</v>
      </c>
      <c r="F72" s="8" t="s">
        <v>237</v>
      </c>
      <c r="G72" s="8" t="s">
        <v>249</v>
      </c>
      <c r="H72" s="4">
        <v>-300</v>
      </c>
      <c r="I72" s="8" t="s">
        <v>66</v>
      </c>
      <c r="J72" s="4">
        <v>0</v>
      </c>
      <c r="K72" s="4">
        <v>0</v>
      </c>
      <c r="L72" s="8" t="s">
        <v>117</v>
      </c>
      <c r="M72" s="4">
        <v>0</v>
      </c>
      <c r="N72" s="8" t="s">
        <v>1421</v>
      </c>
      <c r="O72" s="8" t="s">
        <v>1170</v>
      </c>
      <c r="P72" s="8" t="s">
        <v>218</v>
      </c>
      <c r="Q72" s="4">
        <v>5637706403</v>
      </c>
    </row>
    <row r="73" spans="1:17">
      <c r="A73" s="8" t="s">
        <v>1121</v>
      </c>
      <c r="B73" s="8" t="s">
        <v>684</v>
      </c>
      <c r="C73" s="8" t="s">
        <v>256</v>
      </c>
      <c r="D73" s="8" t="s">
        <v>349</v>
      </c>
      <c r="E73" s="6">
        <v>43108</v>
      </c>
      <c r="F73" s="8" t="s">
        <v>237</v>
      </c>
      <c r="G73" s="8" t="s">
        <v>249</v>
      </c>
      <c r="H73" s="4">
        <v>-1350</v>
      </c>
      <c r="I73" s="8" t="s">
        <v>66</v>
      </c>
      <c r="J73" s="4">
        <v>0</v>
      </c>
      <c r="K73" s="4">
        <v>0</v>
      </c>
      <c r="L73" s="8" t="s">
        <v>117</v>
      </c>
      <c r="M73" s="4">
        <v>0</v>
      </c>
      <c r="N73" s="8" t="s">
        <v>1420</v>
      </c>
      <c r="O73" s="8" t="s">
        <v>1186</v>
      </c>
      <c r="P73" s="8" t="s">
        <v>218</v>
      </c>
      <c r="Q73" s="4">
        <v>5637706425</v>
      </c>
    </row>
    <row r="74" spans="1:17">
      <c r="A74" s="8" t="s">
        <v>1121</v>
      </c>
      <c r="B74" s="8" t="s">
        <v>688</v>
      </c>
      <c r="C74" s="8" t="s">
        <v>256</v>
      </c>
      <c r="D74" s="8" t="s">
        <v>349</v>
      </c>
      <c r="E74" s="6">
        <v>43108</v>
      </c>
      <c r="F74" s="8" t="s">
        <v>237</v>
      </c>
      <c r="G74" s="8" t="s">
        <v>249</v>
      </c>
      <c r="H74" s="4">
        <v>-600</v>
      </c>
      <c r="I74" s="8" t="s">
        <v>66</v>
      </c>
      <c r="J74" s="4">
        <v>0</v>
      </c>
      <c r="K74" s="4">
        <v>0</v>
      </c>
      <c r="L74" s="8" t="s">
        <v>117</v>
      </c>
      <c r="M74" s="4">
        <v>0</v>
      </c>
      <c r="N74" s="8" t="s">
        <v>1403</v>
      </c>
      <c r="O74" s="8" t="s">
        <v>1194</v>
      </c>
      <c r="P74" s="8" t="s">
        <v>218</v>
      </c>
      <c r="Q74" s="4">
        <v>5637706436</v>
      </c>
    </row>
    <row r="75" spans="1:17">
      <c r="A75" s="8" t="s">
        <v>1121</v>
      </c>
      <c r="B75" s="8" t="s">
        <v>718</v>
      </c>
      <c r="C75" s="8" t="s">
        <v>256</v>
      </c>
      <c r="D75" s="8" t="s">
        <v>349</v>
      </c>
      <c r="E75" s="6">
        <v>43108</v>
      </c>
      <c r="F75" s="8" t="s">
        <v>237</v>
      </c>
      <c r="G75" s="8" t="s">
        <v>249</v>
      </c>
      <c r="H75" s="4">
        <v>-1575</v>
      </c>
      <c r="I75" s="8" t="s">
        <v>66</v>
      </c>
      <c r="J75" s="4">
        <v>0</v>
      </c>
      <c r="K75" s="4">
        <v>0</v>
      </c>
      <c r="L75" s="8" t="s">
        <v>117</v>
      </c>
      <c r="M75" s="4">
        <v>0</v>
      </c>
      <c r="N75" s="8" t="s">
        <v>1405</v>
      </c>
      <c r="O75" s="8" t="s">
        <v>1250</v>
      </c>
      <c r="P75" s="8" t="s">
        <v>218</v>
      </c>
      <c r="Q75" s="4">
        <v>5637706512</v>
      </c>
    </row>
    <row r="76" spans="1:17">
      <c r="A76" s="8" t="s">
        <v>1121</v>
      </c>
      <c r="B76" s="8" t="s">
        <v>714</v>
      </c>
      <c r="C76" s="8" t="s">
        <v>256</v>
      </c>
      <c r="D76" s="8" t="s">
        <v>349</v>
      </c>
      <c r="E76" s="6">
        <v>43108</v>
      </c>
      <c r="F76" s="8" t="s">
        <v>237</v>
      </c>
      <c r="G76" s="8" t="s">
        <v>249</v>
      </c>
      <c r="H76" s="4">
        <v>-300</v>
      </c>
      <c r="I76" s="8" t="s">
        <v>66</v>
      </c>
      <c r="J76" s="4">
        <v>0</v>
      </c>
      <c r="K76" s="4">
        <v>0</v>
      </c>
      <c r="L76" s="8" t="s">
        <v>117</v>
      </c>
      <c r="M76" s="4">
        <v>0</v>
      </c>
      <c r="N76" s="8" t="s">
        <v>1413</v>
      </c>
      <c r="O76" s="8" t="s">
        <v>1240</v>
      </c>
      <c r="P76" s="8" t="s">
        <v>218</v>
      </c>
      <c r="Q76" s="4">
        <v>5637706500</v>
      </c>
    </row>
    <row r="77" spans="1:17">
      <c r="A77" s="8" t="s">
        <v>1121</v>
      </c>
      <c r="B77" s="8" t="s">
        <v>712</v>
      </c>
      <c r="C77" s="8" t="s">
        <v>256</v>
      </c>
      <c r="D77" s="8" t="s">
        <v>349</v>
      </c>
      <c r="E77" s="6">
        <v>43108</v>
      </c>
      <c r="F77" s="8" t="s">
        <v>237</v>
      </c>
      <c r="G77" s="8" t="s">
        <v>249</v>
      </c>
      <c r="H77" s="4">
        <v>-20</v>
      </c>
      <c r="I77" s="8" t="s">
        <v>66</v>
      </c>
      <c r="J77" s="4">
        <v>0</v>
      </c>
      <c r="K77" s="4">
        <v>0</v>
      </c>
      <c r="L77" s="8" t="s">
        <v>117</v>
      </c>
      <c r="M77" s="4">
        <v>0</v>
      </c>
      <c r="N77" s="8" t="s">
        <v>1415</v>
      </c>
      <c r="O77" s="8" t="s">
        <v>1234</v>
      </c>
      <c r="P77" s="8" t="s">
        <v>218</v>
      </c>
      <c r="Q77" s="4">
        <v>5637706492</v>
      </c>
    </row>
    <row r="78" spans="1:17">
      <c r="A78" s="8" t="s">
        <v>1121</v>
      </c>
      <c r="B78" s="8" t="s">
        <v>708</v>
      </c>
      <c r="C78" s="8" t="s">
        <v>256</v>
      </c>
      <c r="D78" s="8" t="s">
        <v>349</v>
      </c>
      <c r="E78" s="6">
        <v>43108</v>
      </c>
      <c r="F78" s="8" t="s">
        <v>237</v>
      </c>
      <c r="G78" s="8" t="s">
        <v>249</v>
      </c>
      <c r="H78" s="4">
        <v>-1485</v>
      </c>
      <c r="I78" s="8" t="s">
        <v>66</v>
      </c>
      <c r="J78" s="4">
        <v>0</v>
      </c>
      <c r="K78" s="4">
        <v>0</v>
      </c>
      <c r="L78" s="8" t="s">
        <v>117</v>
      </c>
      <c r="M78" s="4">
        <v>0</v>
      </c>
      <c r="N78" s="8" t="s">
        <v>1414</v>
      </c>
      <c r="O78" s="8" t="s">
        <v>1226</v>
      </c>
      <c r="P78" s="8" t="s">
        <v>218</v>
      </c>
      <c r="Q78" s="4">
        <v>5637706481</v>
      </c>
    </row>
    <row r="79" spans="1:17">
      <c r="A79" s="8" t="s">
        <v>1121</v>
      </c>
      <c r="B79" s="8" t="s">
        <v>730</v>
      </c>
      <c r="C79" s="8" t="s">
        <v>256</v>
      </c>
      <c r="D79" s="8" t="s">
        <v>349</v>
      </c>
      <c r="E79" s="6">
        <v>43108</v>
      </c>
      <c r="F79" s="8" t="s">
        <v>237</v>
      </c>
      <c r="G79" s="8" t="s">
        <v>249</v>
      </c>
      <c r="H79" s="4">
        <v>-1500</v>
      </c>
      <c r="I79" s="8" t="s">
        <v>66</v>
      </c>
      <c r="J79" s="4">
        <v>0</v>
      </c>
      <c r="K79" s="4">
        <v>0</v>
      </c>
      <c r="L79" s="8" t="s">
        <v>117</v>
      </c>
      <c r="M79" s="4">
        <v>0</v>
      </c>
      <c r="N79" s="8" t="s">
        <v>1418</v>
      </c>
      <c r="O79" s="8" t="s">
        <v>1273</v>
      </c>
      <c r="P79" s="8" t="s">
        <v>218</v>
      </c>
      <c r="Q79" s="4">
        <v>5637706545</v>
      </c>
    </row>
    <row r="80" spans="1:17">
      <c r="A80" s="8" t="s">
        <v>1121</v>
      </c>
      <c r="B80" s="8" t="s">
        <v>726</v>
      </c>
      <c r="C80" s="8" t="s">
        <v>256</v>
      </c>
      <c r="D80" s="8" t="s">
        <v>349</v>
      </c>
      <c r="E80" s="6">
        <v>43108</v>
      </c>
      <c r="F80" s="8" t="s">
        <v>237</v>
      </c>
      <c r="G80" s="8" t="s">
        <v>249</v>
      </c>
      <c r="H80" s="4">
        <v>-750</v>
      </c>
      <c r="I80" s="8" t="s">
        <v>66</v>
      </c>
      <c r="J80" s="4">
        <v>0</v>
      </c>
      <c r="K80" s="4">
        <v>0</v>
      </c>
      <c r="L80" s="8" t="s">
        <v>117</v>
      </c>
      <c r="M80" s="4">
        <v>0</v>
      </c>
      <c r="N80" s="8" t="s">
        <v>1417</v>
      </c>
      <c r="O80" s="8" t="s">
        <v>1265</v>
      </c>
      <c r="P80" s="8" t="s">
        <v>218</v>
      </c>
      <c r="Q80" s="4">
        <v>5637706534</v>
      </c>
    </row>
    <row r="81" spans="1:17">
      <c r="A81" s="8" t="s">
        <v>1121</v>
      </c>
      <c r="B81" s="8" t="s">
        <v>722</v>
      </c>
      <c r="C81" s="8" t="s">
        <v>256</v>
      </c>
      <c r="D81" s="8" t="s">
        <v>349</v>
      </c>
      <c r="E81" s="6">
        <v>43108</v>
      </c>
      <c r="F81" s="8" t="s">
        <v>237</v>
      </c>
      <c r="G81" s="8" t="s">
        <v>249</v>
      </c>
      <c r="H81" s="4">
        <v>-300</v>
      </c>
      <c r="I81" s="8" t="s">
        <v>66</v>
      </c>
      <c r="J81" s="4">
        <v>0</v>
      </c>
      <c r="K81" s="4">
        <v>0</v>
      </c>
      <c r="L81" s="8" t="s">
        <v>117</v>
      </c>
      <c r="M81" s="4">
        <v>0</v>
      </c>
      <c r="N81" s="8" t="s">
        <v>1416</v>
      </c>
      <c r="O81" s="8" t="s">
        <v>1257</v>
      </c>
      <c r="P81" s="8" t="s">
        <v>218</v>
      </c>
      <c r="Q81" s="4">
        <v>5637706523</v>
      </c>
    </row>
    <row r="82" spans="1:17">
      <c r="A82" s="8" t="s">
        <v>1121</v>
      </c>
      <c r="B82" s="8" t="s">
        <v>672</v>
      </c>
      <c r="C82" s="8" t="s">
        <v>256</v>
      </c>
      <c r="D82" s="8" t="s">
        <v>349</v>
      </c>
      <c r="E82" s="6">
        <v>43110</v>
      </c>
      <c r="F82" s="8" t="s">
        <v>237</v>
      </c>
      <c r="G82" s="8" t="s">
        <v>249</v>
      </c>
      <c r="H82" s="4">
        <v>-103.5</v>
      </c>
      <c r="I82" s="8" t="s">
        <v>66</v>
      </c>
      <c r="J82" s="4">
        <v>0</v>
      </c>
      <c r="K82" s="4">
        <v>0</v>
      </c>
      <c r="L82" s="8" t="s">
        <v>117</v>
      </c>
      <c r="M82" s="4">
        <v>0</v>
      </c>
      <c r="N82" s="8" t="s">
        <v>1406</v>
      </c>
      <c r="O82" s="8" t="s">
        <v>1152</v>
      </c>
      <c r="P82" s="8" t="s">
        <v>218</v>
      </c>
      <c r="Q82" s="4">
        <v>5637706379</v>
      </c>
    </row>
    <row r="83" spans="1:17">
      <c r="A83" s="8" t="s">
        <v>1121</v>
      </c>
      <c r="B83" s="8" t="s">
        <v>744</v>
      </c>
      <c r="C83" s="8" t="s">
        <v>256</v>
      </c>
      <c r="D83" s="8" t="s">
        <v>349</v>
      </c>
      <c r="E83" s="6">
        <v>43132</v>
      </c>
      <c r="F83" s="8" t="s">
        <v>237</v>
      </c>
      <c r="G83" s="8" t="s">
        <v>249</v>
      </c>
      <c r="H83" s="4">
        <v>-150</v>
      </c>
      <c r="I83" s="8" t="s">
        <v>66</v>
      </c>
      <c r="J83" s="4">
        <v>0</v>
      </c>
      <c r="K83" s="4">
        <v>0</v>
      </c>
      <c r="L83" s="8" t="s">
        <v>117</v>
      </c>
      <c r="M83" s="4">
        <v>0</v>
      </c>
      <c r="N83" s="8" t="s">
        <v>1425</v>
      </c>
      <c r="O83" s="8" t="s">
        <v>1296</v>
      </c>
      <c r="P83" s="8" t="s">
        <v>218</v>
      </c>
      <c r="Q83" s="4">
        <v>5637707400</v>
      </c>
    </row>
    <row r="84" spans="1:17">
      <c r="A84" s="8" t="s">
        <v>1121</v>
      </c>
      <c r="B84" s="8" t="s">
        <v>742</v>
      </c>
      <c r="C84" s="8" t="s">
        <v>256</v>
      </c>
      <c r="D84" s="8" t="s">
        <v>349</v>
      </c>
      <c r="E84" s="6">
        <v>43132</v>
      </c>
      <c r="F84" s="8" t="s">
        <v>237</v>
      </c>
      <c r="G84" s="8" t="s">
        <v>249</v>
      </c>
      <c r="H84" s="4">
        <v>-600.05829999999992</v>
      </c>
      <c r="I84" s="8" t="s">
        <v>66</v>
      </c>
      <c r="J84" s="4">
        <v>0</v>
      </c>
      <c r="K84" s="4">
        <v>0</v>
      </c>
      <c r="L84" s="8" t="s">
        <v>117</v>
      </c>
      <c r="M84" s="4">
        <v>0</v>
      </c>
      <c r="N84" s="8" t="s">
        <v>1407</v>
      </c>
      <c r="O84" s="8" t="s">
        <v>1289</v>
      </c>
      <c r="P84" s="8" t="s">
        <v>218</v>
      </c>
      <c r="Q84" s="4">
        <v>5637707391</v>
      </c>
    </row>
    <row r="85" spans="1:17">
      <c r="A85" s="8" t="s">
        <v>1121</v>
      </c>
      <c r="B85" s="8" t="s">
        <v>756</v>
      </c>
      <c r="C85" s="8" t="s">
        <v>256</v>
      </c>
      <c r="D85" s="8" t="s">
        <v>349</v>
      </c>
      <c r="E85" s="6">
        <v>43145</v>
      </c>
      <c r="F85" s="8" t="s">
        <v>237</v>
      </c>
      <c r="G85" s="8" t="s">
        <v>249</v>
      </c>
      <c r="H85" s="4">
        <v>-1350</v>
      </c>
      <c r="I85" s="8" t="s">
        <v>66</v>
      </c>
      <c r="J85" s="4">
        <v>0</v>
      </c>
      <c r="K85" s="4">
        <v>0</v>
      </c>
      <c r="L85" s="8" t="s">
        <v>117</v>
      </c>
      <c r="M85" s="4">
        <v>0</v>
      </c>
      <c r="N85" s="8" t="s">
        <v>1427</v>
      </c>
      <c r="O85" s="8" t="s">
        <v>1326</v>
      </c>
      <c r="P85" s="8" t="s">
        <v>218</v>
      </c>
      <c r="Q85" s="4">
        <v>5637709235</v>
      </c>
    </row>
    <row r="86" spans="1:17">
      <c r="A86" s="8" t="s">
        <v>1121</v>
      </c>
      <c r="B86" s="8" t="s">
        <v>754</v>
      </c>
      <c r="C86" s="8" t="s">
        <v>256</v>
      </c>
      <c r="D86" s="8" t="s">
        <v>349</v>
      </c>
      <c r="E86" s="6">
        <v>43145</v>
      </c>
      <c r="F86" s="8" t="s">
        <v>237</v>
      </c>
      <c r="G86" s="8" t="s">
        <v>249</v>
      </c>
      <c r="H86" s="4">
        <v>-150</v>
      </c>
      <c r="I86" s="8" t="s">
        <v>66</v>
      </c>
      <c r="J86" s="4">
        <v>0</v>
      </c>
      <c r="K86" s="4">
        <v>0</v>
      </c>
      <c r="L86" s="8" t="s">
        <v>117</v>
      </c>
      <c r="M86" s="4">
        <v>0</v>
      </c>
      <c r="N86" s="8" t="s">
        <v>1426</v>
      </c>
      <c r="O86" s="8" t="s">
        <v>1320</v>
      </c>
      <c r="P86" s="8" t="s">
        <v>218</v>
      </c>
      <c r="Q86" s="4">
        <v>5637709227</v>
      </c>
    </row>
    <row r="87" spans="1:17">
      <c r="A87" s="8" t="s">
        <v>1121</v>
      </c>
      <c r="B87" s="8" t="s">
        <v>762</v>
      </c>
      <c r="C87" s="8" t="s">
        <v>256</v>
      </c>
      <c r="D87" s="8" t="s">
        <v>349</v>
      </c>
      <c r="E87" s="6">
        <v>43146</v>
      </c>
      <c r="F87" s="8" t="s">
        <v>237</v>
      </c>
      <c r="G87" s="8" t="s">
        <v>249</v>
      </c>
      <c r="H87" s="4">
        <v>-1800</v>
      </c>
      <c r="I87" s="8" t="s">
        <v>66</v>
      </c>
      <c r="J87" s="4">
        <v>0</v>
      </c>
      <c r="K87" s="4">
        <v>0</v>
      </c>
      <c r="L87" s="8" t="s">
        <v>117</v>
      </c>
      <c r="M87" s="4">
        <v>0</v>
      </c>
      <c r="N87" s="8" t="s">
        <v>1428</v>
      </c>
      <c r="O87" s="8" t="s">
        <v>1336</v>
      </c>
      <c r="P87" s="8" t="s">
        <v>218</v>
      </c>
      <c r="Q87" s="4">
        <v>5637709508</v>
      </c>
    </row>
    <row r="88" spans="1:17">
      <c r="A88" s="8" t="s">
        <v>1121</v>
      </c>
      <c r="B88" s="8" t="s">
        <v>772</v>
      </c>
      <c r="C88" s="8" t="s">
        <v>256</v>
      </c>
      <c r="D88" s="8" t="s">
        <v>349</v>
      </c>
      <c r="E88" s="6">
        <v>43151</v>
      </c>
      <c r="F88" s="8" t="s">
        <v>237</v>
      </c>
      <c r="G88" s="8" t="s">
        <v>249</v>
      </c>
      <c r="H88" s="4">
        <v>-300</v>
      </c>
      <c r="I88" s="8" t="s">
        <v>66</v>
      </c>
      <c r="J88" s="4">
        <v>0</v>
      </c>
      <c r="K88" s="4">
        <v>0</v>
      </c>
      <c r="L88" s="8" t="s">
        <v>117</v>
      </c>
      <c r="M88" s="4">
        <v>0</v>
      </c>
      <c r="N88" s="8" t="s">
        <v>1430</v>
      </c>
      <c r="O88" s="8" t="s">
        <v>1353</v>
      </c>
      <c r="P88" s="8" t="s">
        <v>218</v>
      </c>
      <c r="Q88" s="4">
        <v>5637714580</v>
      </c>
    </row>
    <row r="89" spans="1:17">
      <c r="A89" s="8" t="s">
        <v>1121</v>
      </c>
      <c r="B89" s="8" t="s">
        <v>768</v>
      </c>
      <c r="C89" s="8" t="s">
        <v>256</v>
      </c>
      <c r="D89" s="8" t="s">
        <v>349</v>
      </c>
      <c r="E89" s="6">
        <v>43151</v>
      </c>
      <c r="F89" s="8" t="s">
        <v>237</v>
      </c>
      <c r="G89" s="8" t="s">
        <v>249</v>
      </c>
      <c r="H89" s="4">
        <v>-1500</v>
      </c>
      <c r="I89" s="8" t="s">
        <v>66</v>
      </c>
      <c r="J89" s="4">
        <v>0</v>
      </c>
      <c r="K89" s="4">
        <v>0</v>
      </c>
      <c r="L89" s="8" t="s">
        <v>117</v>
      </c>
      <c r="M89" s="4">
        <v>0</v>
      </c>
      <c r="N89" s="8" t="s">
        <v>1429</v>
      </c>
      <c r="O89" s="8" t="s">
        <v>1345</v>
      </c>
      <c r="P89" s="8" t="s">
        <v>218</v>
      </c>
      <c r="Q89" s="4">
        <v>5637714078</v>
      </c>
    </row>
    <row r="90" spans="1:17">
      <c r="A90" s="8" t="s">
        <v>1121</v>
      </c>
      <c r="B90" s="8" t="s">
        <v>784</v>
      </c>
      <c r="C90" s="8" t="s">
        <v>256</v>
      </c>
      <c r="D90" s="8" t="s">
        <v>349</v>
      </c>
      <c r="E90" s="6">
        <v>43157</v>
      </c>
      <c r="F90" s="8" t="s">
        <v>237</v>
      </c>
      <c r="G90" s="8" t="s">
        <v>249</v>
      </c>
      <c r="H90" s="4">
        <v>-150.0146</v>
      </c>
      <c r="I90" s="8" t="s">
        <v>66</v>
      </c>
      <c r="J90" s="4">
        <v>0</v>
      </c>
      <c r="K90" s="4">
        <v>0</v>
      </c>
      <c r="L90" s="8" t="s">
        <v>117</v>
      </c>
      <c r="M90" s="4">
        <v>0</v>
      </c>
      <c r="N90" s="8" t="s">
        <v>1409</v>
      </c>
      <c r="O90" s="8" t="s">
        <v>1373</v>
      </c>
      <c r="P90" s="8" t="s">
        <v>218</v>
      </c>
      <c r="Q90" s="4">
        <v>5637715460</v>
      </c>
    </row>
    <row r="91" spans="1:17">
      <c r="A91" s="8" t="s">
        <v>1121</v>
      </c>
      <c r="B91" s="8" t="s">
        <v>780</v>
      </c>
      <c r="C91" s="8" t="s">
        <v>256</v>
      </c>
      <c r="D91" s="8" t="s">
        <v>349</v>
      </c>
      <c r="E91" s="6">
        <v>43157</v>
      </c>
      <c r="F91" s="8" t="s">
        <v>237</v>
      </c>
      <c r="G91" s="8" t="s">
        <v>249</v>
      </c>
      <c r="H91" s="4">
        <v>-100</v>
      </c>
      <c r="I91" s="8" t="s">
        <v>66</v>
      </c>
      <c r="J91" s="4">
        <v>0</v>
      </c>
      <c r="K91" s="4">
        <v>0</v>
      </c>
      <c r="L91" s="8" t="s">
        <v>117</v>
      </c>
      <c r="M91" s="4">
        <v>0</v>
      </c>
      <c r="N91" s="8" t="s">
        <v>1408</v>
      </c>
      <c r="O91" s="8" t="s">
        <v>1365</v>
      </c>
      <c r="P91" s="8" t="s">
        <v>218</v>
      </c>
      <c r="Q91" s="4">
        <v>5637715448</v>
      </c>
    </row>
    <row r="92" spans="1:17">
      <c r="A92" s="8" t="s">
        <v>1121</v>
      </c>
      <c r="B92" s="8" t="s">
        <v>788</v>
      </c>
      <c r="C92" s="8" t="s">
        <v>256</v>
      </c>
      <c r="D92" s="8" t="s">
        <v>349</v>
      </c>
      <c r="E92" s="6">
        <v>43157</v>
      </c>
      <c r="F92" s="8" t="s">
        <v>237</v>
      </c>
      <c r="G92" s="8" t="s">
        <v>249</v>
      </c>
      <c r="H92" s="4">
        <v>-150</v>
      </c>
      <c r="I92" s="8" t="s">
        <v>66</v>
      </c>
      <c r="J92" s="4">
        <v>0</v>
      </c>
      <c r="K92" s="4">
        <v>0</v>
      </c>
      <c r="L92" s="8" t="s">
        <v>117</v>
      </c>
      <c r="M92" s="4">
        <v>0</v>
      </c>
      <c r="N92" s="8" t="s">
        <v>1431</v>
      </c>
      <c r="O92" s="8" t="s">
        <v>1381</v>
      </c>
      <c r="P92" s="8" t="s">
        <v>218</v>
      </c>
      <c r="Q92" s="4">
        <v>5637715478</v>
      </c>
    </row>
    <row r="93" spans="1:17">
      <c r="A93" s="8" t="s">
        <v>1121</v>
      </c>
      <c r="B93" s="8" t="s">
        <v>794</v>
      </c>
      <c r="C93" s="8" t="s">
        <v>256</v>
      </c>
      <c r="D93" s="8" t="s">
        <v>349</v>
      </c>
      <c r="E93" s="6">
        <v>43159</v>
      </c>
      <c r="F93" s="8" t="s">
        <v>237</v>
      </c>
      <c r="G93" s="8" t="s">
        <v>249</v>
      </c>
      <c r="H93" s="4">
        <v>-1525</v>
      </c>
      <c r="I93" s="8" t="s">
        <v>66</v>
      </c>
      <c r="J93" s="4">
        <v>0</v>
      </c>
      <c r="K93" s="4">
        <v>0</v>
      </c>
      <c r="L93" s="8" t="s">
        <v>117</v>
      </c>
      <c r="M93" s="4">
        <v>0</v>
      </c>
      <c r="N93" s="8" t="s">
        <v>1410</v>
      </c>
      <c r="O93" s="8" t="s">
        <v>1392</v>
      </c>
      <c r="P93" s="8" t="s">
        <v>218</v>
      </c>
      <c r="Q93" s="4">
        <v>5637716187</v>
      </c>
    </row>
    <row r="94" spans="1:17">
      <c r="A94" s="8" t="s">
        <v>1121</v>
      </c>
      <c r="B94" s="8" t="s">
        <v>722</v>
      </c>
      <c r="C94" s="8" t="s">
        <v>257</v>
      </c>
      <c r="D94" s="8" t="s">
        <v>350</v>
      </c>
      <c r="E94" s="6">
        <v>43108</v>
      </c>
      <c r="F94" s="8" t="s">
        <v>237</v>
      </c>
      <c r="G94" s="8" t="s">
        <v>249</v>
      </c>
      <c r="H94" s="4">
        <v>-300</v>
      </c>
      <c r="I94" s="8" t="s">
        <v>66</v>
      </c>
      <c r="J94" s="4">
        <v>0</v>
      </c>
      <c r="K94" s="4">
        <v>0</v>
      </c>
      <c r="L94" s="8" t="s">
        <v>117</v>
      </c>
      <c r="M94" s="4">
        <v>0</v>
      </c>
      <c r="N94" s="8" t="s">
        <v>1416</v>
      </c>
      <c r="O94" s="8" t="s">
        <v>1258</v>
      </c>
      <c r="P94" s="8" t="s">
        <v>218</v>
      </c>
      <c r="Q94" s="4">
        <v>5637706524</v>
      </c>
    </row>
    <row r="95" spans="1:17">
      <c r="A95" s="8" t="s">
        <v>1121</v>
      </c>
      <c r="B95" s="8" t="s">
        <v>726</v>
      </c>
      <c r="C95" s="8" t="s">
        <v>257</v>
      </c>
      <c r="D95" s="8" t="s">
        <v>350</v>
      </c>
      <c r="E95" s="6">
        <v>43108</v>
      </c>
      <c r="F95" s="8" t="s">
        <v>237</v>
      </c>
      <c r="G95" s="8" t="s">
        <v>249</v>
      </c>
      <c r="H95" s="4">
        <v>-750</v>
      </c>
      <c r="I95" s="8" t="s">
        <v>66</v>
      </c>
      <c r="J95" s="4">
        <v>0</v>
      </c>
      <c r="K95" s="4">
        <v>0</v>
      </c>
      <c r="L95" s="8" t="s">
        <v>117</v>
      </c>
      <c r="M95" s="4">
        <v>0</v>
      </c>
      <c r="N95" s="8" t="s">
        <v>1417</v>
      </c>
      <c r="O95" s="8" t="s">
        <v>1266</v>
      </c>
      <c r="P95" s="8" t="s">
        <v>218</v>
      </c>
      <c r="Q95" s="4">
        <v>5637706535</v>
      </c>
    </row>
    <row r="96" spans="1:17">
      <c r="A96" s="8" t="s">
        <v>1121</v>
      </c>
      <c r="B96" s="8" t="s">
        <v>730</v>
      </c>
      <c r="C96" s="8" t="s">
        <v>257</v>
      </c>
      <c r="D96" s="8" t="s">
        <v>350</v>
      </c>
      <c r="E96" s="6">
        <v>43108</v>
      </c>
      <c r="F96" s="8" t="s">
        <v>237</v>
      </c>
      <c r="G96" s="8" t="s">
        <v>249</v>
      </c>
      <c r="H96" s="4">
        <v>-1500</v>
      </c>
      <c r="I96" s="8" t="s">
        <v>66</v>
      </c>
      <c r="J96" s="4">
        <v>0</v>
      </c>
      <c r="K96" s="4">
        <v>0</v>
      </c>
      <c r="L96" s="8" t="s">
        <v>117</v>
      </c>
      <c r="M96" s="4">
        <v>0</v>
      </c>
      <c r="N96" s="8" t="s">
        <v>1418</v>
      </c>
      <c r="O96" s="8" t="s">
        <v>1274</v>
      </c>
      <c r="P96" s="8" t="s">
        <v>218</v>
      </c>
      <c r="Q96" s="4">
        <v>5637706546</v>
      </c>
    </row>
    <row r="97" spans="1:17">
      <c r="A97" s="8" t="s">
        <v>1121</v>
      </c>
      <c r="B97" s="8" t="s">
        <v>708</v>
      </c>
      <c r="C97" s="8" t="s">
        <v>257</v>
      </c>
      <c r="D97" s="8" t="s">
        <v>350</v>
      </c>
      <c r="E97" s="6">
        <v>43108</v>
      </c>
      <c r="F97" s="8" t="s">
        <v>237</v>
      </c>
      <c r="G97" s="8" t="s">
        <v>249</v>
      </c>
      <c r="H97" s="4">
        <v>-1485</v>
      </c>
      <c r="I97" s="8" t="s">
        <v>66</v>
      </c>
      <c r="J97" s="4">
        <v>0</v>
      </c>
      <c r="K97" s="4">
        <v>0</v>
      </c>
      <c r="L97" s="8" t="s">
        <v>117</v>
      </c>
      <c r="M97" s="4">
        <v>0</v>
      </c>
      <c r="N97" s="8" t="s">
        <v>1414</v>
      </c>
      <c r="O97" s="8" t="s">
        <v>1227</v>
      </c>
      <c r="P97" s="8" t="s">
        <v>218</v>
      </c>
      <c r="Q97" s="4">
        <v>5637706482</v>
      </c>
    </row>
    <row r="98" spans="1:17">
      <c r="A98" s="8" t="s">
        <v>1121</v>
      </c>
      <c r="B98" s="8" t="s">
        <v>712</v>
      </c>
      <c r="C98" s="8" t="s">
        <v>257</v>
      </c>
      <c r="D98" s="8" t="s">
        <v>350</v>
      </c>
      <c r="E98" s="6">
        <v>43108</v>
      </c>
      <c r="F98" s="8" t="s">
        <v>237</v>
      </c>
      <c r="G98" s="8" t="s">
        <v>249</v>
      </c>
      <c r="H98" s="4">
        <v>-20</v>
      </c>
      <c r="I98" s="8" t="s">
        <v>66</v>
      </c>
      <c r="J98" s="4">
        <v>0</v>
      </c>
      <c r="K98" s="4">
        <v>0</v>
      </c>
      <c r="L98" s="8" t="s">
        <v>117</v>
      </c>
      <c r="M98" s="4">
        <v>0</v>
      </c>
      <c r="N98" s="8" t="s">
        <v>1415</v>
      </c>
      <c r="O98" s="8" t="s">
        <v>1235</v>
      </c>
      <c r="P98" s="8" t="s">
        <v>218</v>
      </c>
      <c r="Q98" s="4">
        <v>5637706493</v>
      </c>
    </row>
    <row r="99" spans="1:17">
      <c r="A99" s="8" t="s">
        <v>1121</v>
      </c>
      <c r="B99" s="8" t="s">
        <v>714</v>
      </c>
      <c r="C99" s="8" t="s">
        <v>257</v>
      </c>
      <c r="D99" s="8" t="s">
        <v>350</v>
      </c>
      <c r="E99" s="6">
        <v>43108</v>
      </c>
      <c r="F99" s="8" t="s">
        <v>237</v>
      </c>
      <c r="G99" s="8" t="s">
        <v>249</v>
      </c>
      <c r="H99" s="4">
        <v>-300</v>
      </c>
      <c r="I99" s="8" t="s">
        <v>66</v>
      </c>
      <c r="J99" s="4">
        <v>0</v>
      </c>
      <c r="K99" s="4">
        <v>0</v>
      </c>
      <c r="L99" s="8" t="s">
        <v>117</v>
      </c>
      <c r="M99" s="4">
        <v>0</v>
      </c>
      <c r="N99" s="8" t="s">
        <v>1413</v>
      </c>
      <c r="O99" s="8" t="s">
        <v>1241</v>
      </c>
      <c r="P99" s="8" t="s">
        <v>218</v>
      </c>
      <c r="Q99" s="4">
        <v>5637706501</v>
      </c>
    </row>
    <row r="100" spans="1:17">
      <c r="A100" s="8" t="s">
        <v>1121</v>
      </c>
      <c r="B100" s="8" t="s">
        <v>718</v>
      </c>
      <c r="C100" s="8" t="s">
        <v>257</v>
      </c>
      <c r="D100" s="8" t="s">
        <v>350</v>
      </c>
      <c r="E100" s="6">
        <v>43108</v>
      </c>
      <c r="F100" s="8" t="s">
        <v>237</v>
      </c>
      <c r="G100" s="8" t="s">
        <v>249</v>
      </c>
      <c r="H100" s="4">
        <v>-1575</v>
      </c>
      <c r="I100" s="8" t="s">
        <v>66</v>
      </c>
      <c r="J100" s="4">
        <v>0</v>
      </c>
      <c r="K100" s="4">
        <v>0</v>
      </c>
      <c r="L100" s="8" t="s">
        <v>117</v>
      </c>
      <c r="M100" s="4">
        <v>0</v>
      </c>
      <c r="N100" s="8" t="s">
        <v>1405</v>
      </c>
      <c r="O100" s="8" t="s">
        <v>1251</v>
      </c>
      <c r="P100" s="8" t="s">
        <v>218</v>
      </c>
      <c r="Q100" s="4">
        <v>5637706513</v>
      </c>
    </row>
    <row r="101" spans="1:17">
      <c r="A101" s="8" t="s">
        <v>1121</v>
      </c>
      <c r="B101" s="8" t="s">
        <v>688</v>
      </c>
      <c r="C101" s="8" t="s">
        <v>257</v>
      </c>
      <c r="D101" s="8" t="s">
        <v>350</v>
      </c>
      <c r="E101" s="6">
        <v>43108</v>
      </c>
      <c r="F101" s="8" t="s">
        <v>237</v>
      </c>
      <c r="G101" s="8" t="s">
        <v>249</v>
      </c>
      <c r="H101" s="4">
        <v>-600</v>
      </c>
      <c r="I101" s="8" t="s">
        <v>66</v>
      </c>
      <c r="J101" s="4">
        <v>0</v>
      </c>
      <c r="K101" s="4">
        <v>0</v>
      </c>
      <c r="L101" s="8" t="s">
        <v>117</v>
      </c>
      <c r="M101" s="4">
        <v>0</v>
      </c>
      <c r="N101" s="8" t="s">
        <v>1403</v>
      </c>
      <c r="O101" s="8" t="s">
        <v>1195</v>
      </c>
      <c r="P101" s="8" t="s">
        <v>218</v>
      </c>
      <c r="Q101" s="4">
        <v>5637706437</v>
      </c>
    </row>
    <row r="102" spans="1:17">
      <c r="A102" s="8" t="s">
        <v>1121</v>
      </c>
      <c r="B102" s="8" t="s">
        <v>684</v>
      </c>
      <c r="C102" s="8" t="s">
        <v>257</v>
      </c>
      <c r="D102" s="8" t="s">
        <v>350</v>
      </c>
      <c r="E102" s="6">
        <v>43108</v>
      </c>
      <c r="F102" s="8" t="s">
        <v>237</v>
      </c>
      <c r="G102" s="8" t="s">
        <v>249</v>
      </c>
      <c r="H102" s="4">
        <v>-1350</v>
      </c>
      <c r="I102" s="8" t="s">
        <v>66</v>
      </c>
      <c r="J102" s="4">
        <v>0</v>
      </c>
      <c r="K102" s="4">
        <v>0</v>
      </c>
      <c r="L102" s="8" t="s">
        <v>117</v>
      </c>
      <c r="M102" s="4">
        <v>0</v>
      </c>
      <c r="N102" s="8" t="s">
        <v>1420</v>
      </c>
      <c r="O102" s="8" t="s">
        <v>1187</v>
      </c>
      <c r="P102" s="8" t="s">
        <v>218</v>
      </c>
      <c r="Q102" s="4">
        <v>5637706426</v>
      </c>
    </row>
    <row r="103" spans="1:17">
      <c r="A103" s="8" t="s">
        <v>1121</v>
      </c>
      <c r="B103" s="8" t="s">
        <v>676</v>
      </c>
      <c r="C103" s="8" t="s">
        <v>257</v>
      </c>
      <c r="D103" s="8" t="s">
        <v>350</v>
      </c>
      <c r="E103" s="6">
        <v>43108</v>
      </c>
      <c r="F103" s="8" t="s">
        <v>237</v>
      </c>
      <c r="G103" s="8" t="s">
        <v>249</v>
      </c>
      <c r="H103" s="4">
        <v>-300</v>
      </c>
      <c r="I103" s="8" t="s">
        <v>66</v>
      </c>
      <c r="J103" s="4">
        <v>0</v>
      </c>
      <c r="K103" s="4">
        <v>0</v>
      </c>
      <c r="L103" s="8" t="s">
        <v>117</v>
      </c>
      <c r="M103" s="4">
        <v>0</v>
      </c>
      <c r="N103" s="8" t="s">
        <v>1421</v>
      </c>
      <c r="O103" s="8" t="s">
        <v>1171</v>
      </c>
      <c r="P103" s="8" t="s">
        <v>218</v>
      </c>
      <c r="Q103" s="4">
        <v>5637706404</v>
      </c>
    </row>
    <row r="104" spans="1:17">
      <c r="A104" s="8" t="s">
        <v>1121</v>
      </c>
      <c r="B104" s="8" t="s">
        <v>680</v>
      </c>
      <c r="C104" s="8" t="s">
        <v>257</v>
      </c>
      <c r="D104" s="8" t="s">
        <v>350</v>
      </c>
      <c r="E104" s="6">
        <v>43108</v>
      </c>
      <c r="F104" s="8" t="s">
        <v>237</v>
      </c>
      <c r="G104" s="8" t="s">
        <v>249</v>
      </c>
      <c r="H104" s="4">
        <v>-450</v>
      </c>
      <c r="I104" s="8" t="s">
        <v>66</v>
      </c>
      <c r="J104" s="4">
        <v>0</v>
      </c>
      <c r="K104" s="4">
        <v>0</v>
      </c>
      <c r="L104" s="8" t="s">
        <v>117</v>
      </c>
      <c r="M104" s="4">
        <v>0</v>
      </c>
      <c r="N104" s="8" t="s">
        <v>1422</v>
      </c>
      <c r="O104" s="8" t="s">
        <v>1179</v>
      </c>
      <c r="P104" s="8" t="s">
        <v>218</v>
      </c>
      <c r="Q104" s="4">
        <v>5637706415</v>
      </c>
    </row>
    <row r="105" spans="1:17">
      <c r="A105" s="8" t="s">
        <v>1121</v>
      </c>
      <c r="B105" s="8" t="s">
        <v>698</v>
      </c>
      <c r="C105" s="8" t="s">
        <v>257</v>
      </c>
      <c r="D105" s="8" t="s">
        <v>350</v>
      </c>
      <c r="E105" s="6">
        <v>43108</v>
      </c>
      <c r="F105" s="8" t="s">
        <v>237</v>
      </c>
      <c r="G105" s="8" t="s">
        <v>249</v>
      </c>
      <c r="H105" s="4">
        <v>-349.86260000000004</v>
      </c>
      <c r="I105" s="8" t="s">
        <v>66</v>
      </c>
      <c r="J105" s="4">
        <v>0</v>
      </c>
      <c r="K105" s="4">
        <v>0</v>
      </c>
      <c r="L105" s="8" t="s">
        <v>117</v>
      </c>
      <c r="M105" s="4">
        <v>0</v>
      </c>
      <c r="N105" s="8" t="s">
        <v>1404</v>
      </c>
      <c r="O105" s="8" t="s">
        <v>1213</v>
      </c>
      <c r="P105" s="8" t="s">
        <v>218</v>
      </c>
      <c r="Q105" s="4">
        <v>5637706462</v>
      </c>
    </row>
    <row r="106" spans="1:17">
      <c r="A106" s="8" t="s">
        <v>1121</v>
      </c>
      <c r="B106" s="8" t="s">
        <v>704</v>
      </c>
      <c r="C106" s="8" t="s">
        <v>257</v>
      </c>
      <c r="D106" s="8" t="s">
        <v>350</v>
      </c>
      <c r="E106" s="6">
        <v>43108</v>
      </c>
      <c r="F106" s="8" t="s">
        <v>237</v>
      </c>
      <c r="G106" s="8" t="s">
        <v>249</v>
      </c>
      <c r="H106" s="4">
        <v>-600</v>
      </c>
      <c r="I106" s="8" t="s">
        <v>66</v>
      </c>
      <c r="J106" s="4">
        <v>0</v>
      </c>
      <c r="K106" s="4">
        <v>0</v>
      </c>
      <c r="L106" s="8" t="s">
        <v>117</v>
      </c>
      <c r="M106" s="4">
        <v>0</v>
      </c>
      <c r="N106" s="8" t="s">
        <v>1419</v>
      </c>
      <c r="O106" s="8" t="s">
        <v>1219</v>
      </c>
      <c r="P106" s="8" t="s">
        <v>218</v>
      </c>
      <c r="Q106" s="4">
        <v>5637706471</v>
      </c>
    </row>
    <row r="107" spans="1:17">
      <c r="A107" s="8" t="s">
        <v>1121</v>
      </c>
      <c r="B107" s="8" t="s">
        <v>696</v>
      </c>
      <c r="C107" s="8" t="s">
        <v>257</v>
      </c>
      <c r="D107" s="8" t="s">
        <v>350</v>
      </c>
      <c r="E107" s="6">
        <v>43108</v>
      </c>
      <c r="F107" s="8" t="s">
        <v>237</v>
      </c>
      <c r="G107" s="8" t="s">
        <v>249</v>
      </c>
      <c r="H107" s="4">
        <v>-3.9899999999999998</v>
      </c>
      <c r="I107" s="8" t="s">
        <v>66</v>
      </c>
      <c r="J107" s="4">
        <v>0</v>
      </c>
      <c r="K107" s="4">
        <v>0</v>
      </c>
      <c r="L107" s="8" t="s">
        <v>117</v>
      </c>
      <c r="M107" s="4">
        <v>0</v>
      </c>
      <c r="N107" s="8" t="s">
        <v>1435</v>
      </c>
      <c r="O107" s="8" t="s">
        <v>1205</v>
      </c>
      <c r="P107" s="8" t="s">
        <v>218</v>
      </c>
      <c r="Q107" s="4">
        <v>5637706454</v>
      </c>
    </row>
    <row r="108" spans="1:17">
      <c r="A108" s="8" t="s">
        <v>1121</v>
      </c>
      <c r="B108" s="8" t="s">
        <v>658</v>
      </c>
      <c r="C108" s="8" t="s">
        <v>257</v>
      </c>
      <c r="D108" s="8" t="s">
        <v>350</v>
      </c>
      <c r="E108" s="6">
        <v>43108</v>
      </c>
      <c r="F108" s="8" t="s">
        <v>237</v>
      </c>
      <c r="G108" s="8" t="s">
        <v>249</v>
      </c>
      <c r="H108" s="4">
        <v>-300</v>
      </c>
      <c r="I108" s="8" t="s">
        <v>66</v>
      </c>
      <c r="J108" s="4">
        <v>0</v>
      </c>
      <c r="K108" s="4">
        <v>0</v>
      </c>
      <c r="L108" s="8" t="s">
        <v>117</v>
      </c>
      <c r="M108" s="4">
        <v>0</v>
      </c>
      <c r="N108" s="8" t="s">
        <v>1411</v>
      </c>
      <c r="O108" s="8" t="s">
        <v>1126</v>
      </c>
      <c r="P108" s="8" t="s">
        <v>218</v>
      </c>
      <c r="Q108" s="4">
        <v>5637706342</v>
      </c>
    </row>
    <row r="109" spans="1:17">
      <c r="A109" s="8" t="s">
        <v>1121</v>
      </c>
      <c r="B109" s="8" t="s">
        <v>662</v>
      </c>
      <c r="C109" s="8" t="s">
        <v>257</v>
      </c>
      <c r="D109" s="8" t="s">
        <v>350</v>
      </c>
      <c r="E109" s="6">
        <v>43108</v>
      </c>
      <c r="F109" s="8" t="s">
        <v>237</v>
      </c>
      <c r="G109" s="8" t="s">
        <v>249</v>
      </c>
      <c r="H109" s="4">
        <v>-150</v>
      </c>
      <c r="I109" s="8" t="s">
        <v>66</v>
      </c>
      <c r="J109" s="4">
        <v>0</v>
      </c>
      <c r="K109" s="4">
        <v>0</v>
      </c>
      <c r="L109" s="8" t="s">
        <v>117</v>
      </c>
      <c r="M109" s="4">
        <v>0</v>
      </c>
      <c r="N109" s="8" t="s">
        <v>1412</v>
      </c>
      <c r="O109" s="8" t="s">
        <v>1134</v>
      </c>
      <c r="P109" s="8" t="s">
        <v>218</v>
      </c>
      <c r="Q109" s="4">
        <v>5637706353</v>
      </c>
    </row>
    <row r="110" spans="1:17">
      <c r="A110" s="8" t="s">
        <v>1121</v>
      </c>
      <c r="B110" s="8" t="s">
        <v>666</v>
      </c>
      <c r="C110" s="8" t="s">
        <v>257</v>
      </c>
      <c r="D110" s="8" t="s">
        <v>350</v>
      </c>
      <c r="E110" s="6">
        <v>43108</v>
      </c>
      <c r="F110" s="8" t="s">
        <v>237</v>
      </c>
      <c r="G110" s="8" t="s">
        <v>249</v>
      </c>
      <c r="H110" s="4">
        <v>-450</v>
      </c>
      <c r="I110" s="8" t="s">
        <v>66</v>
      </c>
      <c r="J110" s="4">
        <v>0</v>
      </c>
      <c r="K110" s="4">
        <v>0</v>
      </c>
      <c r="L110" s="8" t="s">
        <v>117</v>
      </c>
      <c r="M110" s="4">
        <v>0</v>
      </c>
      <c r="N110" s="8" t="s">
        <v>1423</v>
      </c>
      <c r="O110" s="8" t="s">
        <v>1142</v>
      </c>
      <c r="P110" s="8" t="s">
        <v>218</v>
      </c>
      <c r="Q110" s="4">
        <v>5637706364</v>
      </c>
    </row>
    <row r="111" spans="1:17">
      <c r="A111" s="8" t="s">
        <v>1121</v>
      </c>
      <c r="B111" s="8" t="s">
        <v>742</v>
      </c>
      <c r="C111" s="8" t="s">
        <v>257</v>
      </c>
      <c r="D111" s="8" t="s">
        <v>350</v>
      </c>
      <c r="E111" s="6">
        <v>43132</v>
      </c>
      <c r="F111" s="8" t="s">
        <v>237</v>
      </c>
      <c r="G111" s="8" t="s">
        <v>249</v>
      </c>
      <c r="H111" s="4">
        <v>-600.05829999999992</v>
      </c>
      <c r="I111" s="8" t="s">
        <v>66</v>
      </c>
      <c r="J111" s="4">
        <v>0</v>
      </c>
      <c r="K111" s="4">
        <v>0</v>
      </c>
      <c r="L111" s="8" t="s">
        <v>117</v>
      </c>
      <c r="M111" s="4">
        <v>0</v>
      </c>
      <c r="N111" s="8" t="s">
        <v>1407</v>
      </c>
      <c r="O111" s="8" t="s">
        <v>1290</v>
      </c>
      <c r="P111" s="8" t="s">
        <v>218</v>
      </c>
      <c r="Q111" s="4">
        <v>5637707392</v>
      </c>
    </row>
    <row r="112" spans="1:17">
      <c r="A112" s="8" t="s">
        <v>1121</v>
      </c>
      <c r="B112" s="8" t="s">
        <v>744</v>
      </c>
      <c r="C112" s="8" t="s">
        <v>257</v>
      </c>
      <c r="D112" s="8" t="s">
        <v>350</v>
      </c>
      <c r="E112" s="6">
        <v>43132</v>
      </c>
      <c r="F112" s="8" t="s">
        <v>237</v>
      </c>
      <c r="G112" s="8" t="s">
        <v>249</v>
      </c>
      <c r="H112" s="4">
        <v>-150</v>
      </c>
      <c r="I112" s="8" t="s">
        <v>66</v>
      </c>
      <c r="J112" s="4">
        <v>0</v>
      </c>
      <c r="K112" s="4">
        <v>0</v>
      </c>
      <c r="L112" s="8" t="s">
        <v>117</v>
      </c>
      <c r="M112" s="4">
        <v>0</v>
      </c>
      <c r="N112" s="8" t="s">
        <v>1425</v>
      </c>
      <c r="O112" s="8" t="s">
        <v>1297</v>
      </c>
      <c r="P112" s="8" t="s">
        <v>218</v>
      </c>
      <c r="Q112" s="4">
        <v>5637707401</v>
      </c>
    </row>
    <row r="113" spans="1:17">
      <c r="A113" s="8" t="s">
        <v>1121</v>
      </c>
      <c r="B113" s="8" t="s">
        <v>754</v>
      </c>
      <c r="C113" s="8" t="s">
        <v>257</v>
      </c>
      <c r="D113" s="8" t="s">
        <v>350</v>
      </c>
      <c r="E113" s="6">
        <v>43145</v>
      </c>
      <c r="F113" s="8" t="s">
        <v>237</v>
      </c>
      <c r="G113" s="8" t="s">
        <v>249</v>
      </c>
      <c r="H113" s="4">
        <v>-150</v>
      </c>
      <c r="I113" s="8" t="s">
        <v>66</v>
      </c>
      <c r="J113" s="4">
        <v>0</v>
      </c>
      <c r="K113" s="4">
        <v>0</v>
      </c>
      <c r="L113" s="8" t="s">
        <v>117</v>
      </c>
      <c r="M113" s="4">
        <v>0</v>
      </c>
      <c r="N113" s="8" t="s">
        <v>1426</v>
      </c>
      <c r="O113" s="8" t="s">
        <v>1321</v>
      </c>
      <c r="P113" s="8" t="s">
        <v>218</v>
      </c>
      <c r="Q113" s="4">
        <v>5637709228</v>
      </c>
    </row>
    <row r="114" spans="1:17">
      <c r="A114" s="8" t="s">
        <v>1121</v>
      </c>
      <c r="B114" s="8" t="s">
        <v>756</v>
      </c>
      <c r="C114" s="8" t="s">
        <v>257</v>
      </c>
      <c r="D114" s="8" t="s">
        <v>350</v>
      </c>
      <c r="E114" s="6">
        <v>43145</v>
      </c>
      <c r="F114" s="8" t="s">
        <v>237</v>
      </c>
      <c r="G114" s="8" t="s">
        <v>249</v>
      </c>
      <c r="H114" s="4">
        <v>-1350</v>
      </c>
      <c r="I114" s="8" t="s">
        <v>66</v>
      </c>
      <c r="J114" s="4">
        <v>0</v>
      </c>
      <c r="K114" s="4">
        <v>0</v>
      </c>
      <c r="L114" s="8" t="s">
        <v>117</v>
      </c>
      <c r="M114" s="4">
        <v>0</v>
      </c>
      <c r="N114" s="8" t="s">
        <v>1427</v>
      </c>
      <c r="O114" s="8" t="s">
        <v>1327</v>
      </c>
      <c r="P114" s="8" t="s">
        <v>218</v>
      </c>
      <c r="Q114" s="4">
        <v>5637709236</v>
      </c>
    </row>
    <row r="115" spans="1:17">
      <c r="A115" s="8" t="s">
        <v>1121</v>
      </c>
      <c r="B115" s="8" t="s">
        <v>762</v>
      </c>
      <c r="C115" s="8" t="s">
        <v>257</v>
      </c>
      <c r="D115" s="8" t="s">
        <v>350</v>
      </c>
      <c r="E115" s="6">
        <v>43146</v>
      </c>
      <c r="F115" s="8" t="s">
        <v>237</v>
      </c>
      <c r="G115" s="8" t="s">
        <v>249</v>
      </c>
      <c r="H115" s="4">
        <v>-1800</v>
      </c>
      <c r="I115" s="8" t="s">
        <v>66</v>
      </c>
      <c r="J115" s="4">
        <v>0</v>
      </c>
      <c r="K115" s="4">
        <v>0</v>
      </c>
      <c r="L115" s="8" t="s">
        <v>117</v>
      </c>
      <c r="M115" s="4">
        <v>0</v>
      </c>
      <c r="N115" s="8" t="s">
        <v>1428</v>
      </c>
      <c r="O115" s="8" t="s">
        <v>1337</v>
      </c>
      <c r="P115" s="8" t="s">
        <v>218</v>
      </c>
      <c r="Q115" s="4">
        <v>5637709509</v>
      </c>
    </row>
    <row r="116" spans="1:17">
      <c r="A116" s="8" t="s">
        <v>1121</v>
      </c>
      <c r="B116" s="8" t="s">
        <v>768</v>
      </c>
      <c r="C116" s="8" t="s">
        <v>257</v>
      </c>
      <c r="D116" s="8" t="s">
        <v>350</v>
      </c>
      <c r="E116" s="6">
        <v>43151</v>
      </c>
      <c r="F116" s="8" t="s">
        <v>237</v>
      </c>
      <c r="G116" s="8" t="s">
        <v>249</v>
      </c>
      <c r="H116" s="4">
        <v>-1500</v>
      </c>
      <c r="I116" s="8" t="s">
        <v>66</v>
      </c>
      <c r="J116" s="4">
        <v>0</v>
      </c>
      <c r="K116" s="4">
        <v>0</v>
      </c>
      <c r="L116" s="8" t="s">
        <v>117</v>
      </c>
      <c r="M116" s="4">
        <v>0</v>
      </c>
      <c r="N116" s="8" t="s">
        <v>1429</v>
      </c>
      <c r="O116" s="8" t="s">
        <v>1346</v>
      </c>
      <c r="P116" s="8" t="s">
        <v>218</v>
      </c>
      <c r="Q116" s="4">
        <v>5637714079</v>
      </c>
    </row>
    <row r="117" spans="1:17">
      <c r="A117" s="8" t="s">
        <v>1121</v>
      </c>
      <c r="B117" s="8" t="s">
        <v>772</v>
      </c>
      <c r="C117" s="8" t="s">
        <v>257</v>
      </c>
      <c r="D117" s="8" t="s">
        <v>350</v>
      </c>
      <c r="E117" s="6">
        <v>43151</v>
      </c>
      <c r="F117" s="8" t="s">
        <v>237</v>
      </c>
      <c r="G117" s="8" t="s">
        <v>249</v>
      </c>
      <c r="H117" s="4">
        <v>-300</v>
      </c>
      <c r="I117" s="8" t="s">
        <v>66</v>
      </c>
      <c r="J117" s="4">
        <v>0</v>
      </c>
      <c r="K117" s="4">
        <v>0</v>
      </c>
      <c r="L117" s="8" t="s">
        <v>117</v>
      </c>
      <c r="M117" s="4">
        <v>0</v>
      </c>
      <c r="N117" s="8" t="s">
        <v>1430</v>
      </c>
      <c r="O117" s="8" t="s">
        <v>1354</v>
      </c>
      <c r="P117" s="8" t="s">
        <v>218</v>
      </c>
      <c r="Q117" s="4">
        <v>5637714581</v>
      </c>
    </row>
    <row r="118" spans="1:17">
      <c r="A118" s="8" t="s">
        <v>1121</v>
      </c>
      <c r="B118" s="8" t="s">
        <v>780</v>
      </c>
      <c r="C118" s="8" t="s">
        <v>257</v>
      </c>
      <c r="D118" s="8" t="s">
        <v>350</v>
      </c>
      <c r="E118" s="6">
        <v>43157</v>
      </c>
      <c r="F118" s="8" t="s">
        <v>237</v>
      </c>
      <c r="G118" s="8" t="s">
        <v>249</v>
      </c>
      <c r="H118" s="4">
        <v>-250</v>
      </c>
      <c r="I118" s="8" t="s">
        <v>66</v>
      </c>
      <c r="J118" s="4">
        <v>0</v>
      </c>
      <c r="K118" s="4">
        <v>0</v>
      </c>
      <c r="L118" s="8" t="s">
        <v>117</v>
      </c>
      <c r="M118" s="4">
        <v>0</v>
      </c>
      <c r="N118" s="8" t="s">
        <v>1408</v>
      </c>
      <c r="O118" s="8" t="s">
        <v>1366</v>
      </c>
      <c r="P118" s="8" t="s">
        <v>218</v>
      </c>
      <c r="Q118" s="4">
        <v>5637715449</v>
      </c>
    </row>
    <row r="119" spans="1:17">
      <c r="A119" s="8" t="s">
        <v>1121</v>
      </c>
      <c r="B119" s="8" t="s">
        <v>784</v>
      </c>
      <c r="C119" s="8" t="s">
        <v>257</v>
      </c>
      <c r="D119" s="8" t="s">
        <v>350</v>
      </c>
      <c r="E119" s="6">
        <v>43157</v>
      </c>
      <c r="F119" s="8" t="s">
        <v>237</v>
      </c>
      <c r="G119" s="8" t="s">
        <v>249</v>
      </c>
      <c r="H119" s="4">
        <v>-150.0146</v>
      </c>
      <c r="I119" s="8" t="s">
        <v>66</v>
      </c>
      <c r="J119" s="4">
        <v>0</v>
      </c>
      <c r="K119" s="4">
        <v>0</v>
      </c>
      <c r="L119" s="8" t="s">
        <v>117</v>
      </c>
      <c r="M119" s="4">
        <v>0</v>
      </c>
      <c r="N119" s="8" t="s">
        <v>1409</v>
      </c>
      <c r="O119" s="8" t="s">
        <v>1374</v>
      </c>
      <c r="P119" s="8" t="s">
        <v>218</v>
      </c>
      <c r="Q119" s="4">
        <v>5637715461</v>
      </c>
    </row>
    <row r="120" spans="1:17">
      <c r="A120" s="8" t="s">
        <v>1121</v>
      </c>
      <c r="B120" s="8" t="s">
        <v>788</v>
      </c>
      <c r="C120" s="8" t="s">
        <v>257</v>
      </c>
      <c r="D120" s="8" t="s">
        <v>350</v>
      </c>
      <c r="E120" s="6">
        <v>43157</v>
      </c>
      <c r="F120" s="8" t="s">
        <v>237</v>
      </c>
      <c r="G120" s="8" t="s">
        <v>249</v>
      </c>
      <c r="H120" s="4">
        <v>-150</v>
      </c>
      <c r="I120" s="8" t="s">
        <v>66</v>
      </c>
      <c r="J120" s="4">
        <v>0</v>
      </c>
      <c r="K120" s="4">
        <v>0</v>
      </c>
      <c r="L120" s="8" t="s">
        <v>117</v>
      </c>
      <c r="M120" s="4">
        <v>0</v>
      </c>
      <c r="N120" s="8" t="s">
        <v>1431</v>
      </c>
      <c r="O120" s="8" t="s">
        <v>1382</v>
      </c>
      <c r="P120" s="8" t="s">
        <v>218</v>
      </c>
      <c r="Q120" s="4">
        <v>5637715479</v>
      </c>
    </row>
    <row r="121" spans="1:17">
      <c r="A121" s="8" t="s">
        <v>1121</v>
      </c>
      <c r="B121" s="8" t="s">
        <v>794</v>
      </c>
      <c r="C121" s="8" t="s">
        <v>257</v>
      </c>
      <c r="D121" s="8" t="s">
        <v>350</v>
      </c>
      <c r="E121" s="6">
        <v>43159</v>
      </c>
      <c r="F121" s="8" t="s">
        <v>237</v>
      </c>
      <c r="G121" s="8" t="s">
        <v>249</v>
      </c>
      <c r="H121" s="4">
        <v>-1780</v>
      </c>
      <c r="I121" s="8" t="s">
        <v>66</v>
      </c>
      <c r="J121" s="4">
        <v>0</v>
      </c>
      <c r="K121" s="4">
        <v>0</v>
      </c>
      <c r="L121" s="8" t="s">
        <v>117</v>
      </c>
      <c r="M121" s="4">
        <v>0</v>
      </c>
      <c r="N121" s="8" t="s">
        <v>1410</v>
      </c>
      <c r="O121" s="8" t="s">
        <v>1393</v>
      </c>
      <c r="P121" s="8" t="s">
        <v>218</v>
      </c>
      <c r="Q121" s="4">
        <v>5637716188</v>
      </c>
    </row>
    <row r="122" spans="1:17">
      <c r="A122" s="8" t="s">
        <v>1121</v>
      </c>
      <c r="B122" s="8" t="s">
        <v>666</v>
      </c>
      <c r="C122" s="8" t="s">
        <v>258</v>
      </c>
      <c r="D122" s="8" t="s">
        <v>351</v>
      </c>
      <c r="E122" s="6">
        <v>43108</v>
      </c>
      <c r="F122" s="8" t="s">
        <v>237</v>
      </c>
      <c r="G122" s="8" t="s">
        <v>249</v>
      </c>
      <c r="H122" s="4">
        <v>-450</v>
      </c>
      <c r="I122" s="8" t="s">
        <v>66</v>
      </c>
      <c r="J122" s="4">
        <v>0</v>
      </c>
      <c r="K122" s="4">
        <v>0</v>
      </c>
      <c r="L122" s="8" t="s">
        <v>117</v>
      </c>
      <c r="M122" s="4">
        <v>0</v>
      </c>
      <c r="N122" s="8" t="s">
        <v>1423</v>
      </c>
      <c r="O122" s="8" t="s">
        <v>1143</v>
      </c>
      <c r="P122" s="8" t="s">
        <v>218</v>
      </c>
      <c r="Q122" s="4">
        <v>5637706365</v>
      </c>
    </row>
    <row r="123" spans="1:17">
      <c r="A123" s="8" t="s">
        <v>1121</v>
      </c>
      <c r="B123" s="8" t="s">
        <v>662</v>
      </c>
      <c r="C123" s="8" t="s">
        <v>258</v>
      </c>
      <c r="D123" s="8" t="s">
        <v>351</v>
      </c>
      <c r="E123" s="6">
        <v>43108</v>
      </c>
      <c r="F123" s="8" t="s">
        <v>237</v>
      </c>
      <c r="G123" s="8" t="s">
        <v>249</v>
      </c>
      <c r="H123" s="4">
        <v>-150</v>
      </c>
      <c r="I123" s="8" t="s">
        <v>66</v>
      </c>
      <c r="J123" s="4">
        <v>0</v>
      </c>
      <c r="K123" s="4">
        <v>0</v>
      </c>
      <c r="L123" s="8" t="s">
        <v>117</v>
      </c>
      <c r="M123" s="4">
        <v>0</v>
      </c>
      <c r="N123" s="8" t="s">
        <v>1412</v>
      </c>
      <c r="O123" s="8" t="s">
        <v>1135</v>
      </c>
      <c r="P123" s="8" t="s">
        <v>218</v>
      </c>
      <c r="Q123" s="4">
        <v>5637706354</v>
      </c>
    </row>
    <row r="124" spans="1:17">
      <c r="A124" s="8" t="s">
        <v>1121</v>
      </c>
      <c r="B124" s="8" t="s">
        <v>658</v>
      </c>
      <c r="C124" s="8" t="s">
        <v>258</v>
      </c>
      <c r="D124" s="8" t="s">
        <v>351</v>
      </c>
      <c r="E124" s="6">
        <v>43108</v>
      </c>
      <c r="F124" s="8" t="s">
        <v>237</v>
      </c>
      <c r="G124" s="8" t="s">
        <v>249</v>
      </c>
      <c r="H124" s="4">
        <v>-300</v>
      </c>
      <c r="I124" s="8" t="s">
        <v>66</v>
      </c>
      <c r="J124" s="4">
        <v>0</v>
      </c>
      <c r="K124" s="4">
        <v>0</v>
      </c>
      <c r="L124" s="8" t="s">
        <v>117</v>
      </c>
      <c r="M124" s="4">
        <v>0</v>
      </c>
      <c r="N124" s="8" t="s">
        <v>1411</v>
      </c>
      <c r="O124" s="8" t="s">
        <v>1127</v>
      </c>
      <c r="P124" s="8" t="s">
        <v>218</v>
      </c>
      <c r="Q124" s="4">
        <v>5637706343</v>
      </c>
    </row>
    <row r="125" spans="1:17">
      <c r="A125" s="8" t="s">
        <v>1121</v>
      </c>
      <c r="B125" s="8" t="s">
        <v>704</v>
      </c>
      <c r="C125" s="8" t="s">
        <v>258</v>
      </c>
      <c r="D125" s="8" t="s">
        <v>351</v>
      </c>
      <c r="E125" s="6">
        <v>43108</v>
      </c>
      <c r="F125" s="8" t="s">
        <v>237</v>
      </c>
      <c r="G125" s="8" t="s">
        <v>249</v>
      </c>
      <c r="H125" s="4">
        <v>-600</v>
      </c>
      <c r="I125" s="8" t="s">
        <v>66</v>
      </c>
      <c r="J125" s="4">
        <v>0</v>
      </c>
      <c r="K125" s="4">
        <v>0</v>
      </c>
      <c r="L125" s="8" t="s">
        <v>117</v>
      </c>
      <c r="M125" s="4">
        <v>0</v>
      </c>
      <c r="N125" s="8" t="s">
        <v>1419</v>
      </c>
      <c r="O125" s="8" t="s">
        <v>1220</v>
      </c>
      <c r="P125" s="8" t="s">
        <v>218</v>
      </c>
      <c r="Q125" s="4">
        <v>5637706472</v>
      </c>
    </row>
    <row r="126" spans="1:17">
      <c r="A126" s="8" t="s">
        <v>1121</v>
      </c>
      <c r="B126" s="8" t="s">
        <v>680</v>
      </c>
      <c r="C126" s="8" t="s">
        <v>258</v>
      </c>
      <c r="D126" s="8" t="s">
        <v>351</v>
      </c>
      <c r="E126" s="6">
        <v>43108</v>
      </c>
      <c r="F126" s="8" t="s">
        <v>237</v>
      </c>
      <c r="G126" s="8" t="s">
        <v>249</v>
      </c>
      <c r="H126" s="4">
        <v>-450</v>
      </c>
      <c r="I126" s="8" t="s">
        <v>66</v>
      </c>
      <c r="J126" s="4">
        <v>0</v>
      </c>
      <c r="K126" s="4">
        <v>0</v>
      </c>
      <c r="L126" s="8" t="s">
        <v>117</v>
      </c>
      <c r="M126" s="4">
        <v>0</v>
      </c>
      <c r="N126" s="8" t="s">
        <v>1422</v>
      </c>
      <c r="O126" s="8" t="s">
        <v>1180</v>
      </c>
      <c r="P126" s="8" t="s">
        <v>218</v>
      </c>
      <c r="Q126" s="4">
        <v>5637706416</v>
      </c>
    </row>
    <row r="127" spans="1:17">
      <c r="A127" s="8" t="s">
        <v>1121</v>
      </c>
      <c r="B127" s="8" t="s">
        <v>676</v>
      </c>
      <c r="C127" s="8" t="s">
        <v>258</v>
      </c>
      <c r="D127" s="8" t="s">
        <v>351</v>
      </c>
      <c r="E127" s="6">
        <v>43108</v>
      </c>
      <c r="F127" s="8" t="s">
        <v>237</v>
      </c>
      <c r="G127" s="8" t="s">
        <v>249</v>
      </c>
      <c r="H127" s="4">
        <v>-300</v>
      </c>
      <c r="I127" s="8" t="s">
        <v>66</v>
      </c>
      <c r="J127" s="4">
        <v>0</v>
      </c>
      <c r="K127" s="4">
        <v>0</v>
      </c>
      <c r="L127" s="8" t="s">
        <v>117</v>
      </c>
      <c r="M127" s="4">
        <v>0</v>
      </c>
      <c r="N127" s="8" t="s">
        <v>1421</v>
      </c>
      <c r="O127" s="8" t="s">
        <v>1172</v>
      </c>
      <c r="P127" s="8" t="s">
        <v>218</v>
      </c>
      <c r="Q127" s="4">
        <v>5637706405</v>
      </c>
    </row>
    <row r="128" spans="1:17">
      <c r="A128" s="8" t="s">
        <v>1121</v>
      </c>
      <c r="B128" s="8" t="s">
        <v>684</v>
      </c>
      <c r="C128" s="8" t="s">
        <v>258</v>
      </c>
      <c r="D128" s="8" t="s">
        <v>351</v>
      </c>
      <c r="E128" s="6">
        <v>43108</v>
      </c>
      <c r="F128" s="8" t="s">
        <v>237</v>
      </c>
      <c r="G128" s="8" t="s">
        <v>249</v>
      </c>
      <c r="H128" s="4">
        <v>-1350</v>
      </c>
      <c r="I128" s="8" t="s">
        <v>66</v>
      </c>
      <c r="J128" s="4">
        <v>0</v>
      </c>
      <c r="K128" s="4">
        <v>0</v>
      </c>
      <c r="L128" s="8" t="s">
        <v>117</v>
      </c>
      <c r="M128" s="4">
        <v>0</v>
      </c>
      <c r="N128" s="8" t="s">
        <v>1420</v>
      </c>
      <c r="O128" s="8" t="s">
        <v>1188</v>
      </c>
      <c r="P128" s="8" t="s">
        <v>218</v>
      </c>
      <c r="Q128" s="4">
        <v>5637706427</v>
      </c>
    </row>
    <row r="129" spans="1:17">
      <c r="A129" s="8" t="s">
        <v>1121</v>
      </c>
      <c r="B129" s="8" t="s">
        <v>688</v>
      </c>
      <c r="C129" s="8" t="s">
        <v>258</v>
      </c>
      <c r="D129" s="8" t="s">
        <v>351</v>
      </c>
      <c r="E129" s="6">
        <v>43108</v>
      </c>
      <c r="F129" s="8" t="s">
        <v>237</v>
      </c>
      <c r="G129" s="8" t="s">
        <v>249</v>
      </c>
      <c r="H129" s="4">
        <v>-600</v>
      </c>
      <c r="I129" s="8" t="s">
        <v>66</v>
      </c>
      <c r="J129" s="4">
        <v>0</v>
      </c>
      <c r="K129" s="4">
        <v>0</v>
      </c>
      <c r="L129" s="8" t="s">
        <v>117</v>
      </c>
      <c r="M129" s="4">
        <v>0</v>
      </c>
      <c r="N129" s="8" t="s">
        <v>1403</v>
      </c>
      <c r="O129" s="8" t="s">
        <v>1196</v>
      </c>
      <c r="P129" s="8" t="s">
        <v>218</v>
      </c>
      <c r="Q129" s="4">
        <v>5637706438</v>
      </c>
    </row>
    <row r="130" spans="1:17">
      <c r="A130" s="8" t="s">
        <v>1121</v>
      </c>
      <c r="B130" s="8" t="s">
        <v>718</v>
      </c>
      <c r="C130" s="8" t="s">
        <v>258</v>
      </c>
      <c r="D130" s="8" t="s">
        <v>351</v>
      </c>
      <c r="E130" s="6">
        <v>43108</v>
      </c>
      <c r="F130" s="8" t="s">
        <v>237</v>
      </c>
      <c r="G130" s="8" t="s">
        <v>249</v>
      </c>
      <c r="H130" s="4">
        <v>-1400</v>
      </c>
      <c r="I130" s="8" t="s">
        <v>66</v>
      </c>
      <c r="J130" s="4">
        <v>0</v>
      </c>
      <c r="K130" s="4">
        <v>0</v>
      </c>
      <c r="L130" s="8" t="s">
        <v>117</v>
      </c>
      <c r="M130" s="4">
        <v>0</v>
      </c>
      <c r="N130" s="8" t="s">
        <v>1405</v>
      </c>
      <c r="O130" s="8" t="s">
        <v>1252</v>
      </c>
      <c r="P130" s="8" t="s">
        <v>218</v>
      </c>
      <c r="Q130" s="4">
        <v>5637706514</v>
      </c>
    </row>
    <row r="131" spans="1:17">
      <c r="A131" s="8" t="s">
        <v>1121</v>
      </c>
      <c r="B131" s="8" t="s">
        <v>714</v>
      </c>
      <c r="C131" s="8" t="s">
        <v>258</v>
      </c>
      <c r="D131" s="8" t="s">
        <v>351</v>
      </c>
      <c r="E131" s="6">
        <v>43108</v>
      </c>
      <c r="F131" s="8" t="s">
        <v>237</v>
      </c>
      <c r="G131" s="8" t="s">
        <v>249</v>
      </c>
      <c r="H131" s="4">
        <v>-300</v>
      </c>
      <c r="I131" s="8" t="s">
        <v>66</v>
      </c>
      <c r="J131" s="4">
        <v>0</v>
      </c>
      <c r="K131" s="4">
        <v>0</v>
      </c>
      <c r="L131" s="8" t="s">
        <v>117</v>
      </c>
      <c r="M131" s="4">
        <v>0</v>
      </c>
      <c r="N131" s="8" t="s">
        <v>1413</v>
      </c>
      <c r="O131" s="8" t="s">
        <v>1242</v>
      </c>
      <c r="P131" s="8" t="s">
        <v>218</v>
      </c>
      <c r="Q131" s="4">
        <v>5637706502</v>
      </c>
    </row>
    <row r="132" spans="1:17">
      <c r="A132" s="8" t="s">
        <v>1121</v>
      </c>
      <c r="B132" s="8" t="s">
        <v>712</v>
      </c>
      <c r="C132" s="8" t="s">
        <v>258</v>
      </c>
      <c r="D132" s="8" t="s">
        <v>351</v>
      </c>
      <c r="E132" s="6">
        <v>43108</v>
      </c>
      <c r="F132" s="8" t="s">
        <v>237</v>
      </c>
      <c r="G132" s="8" t="s">
        <v>249</v>
      </c>
      <c r="H132" s="4">
        <v>-20</v>
      </c>
      <c r="I132" s="8" t="s">
        <v>66</v>
      </c>
      <c r="J132" s="4">
        <v>0</v>
      </c>
      <c r="K132" s="4">
        <v>0</v>
      </c>
      <c r="L132" s="8" t="s">
        <v>117</v>
      </c>
      <c r="M132" s="4">
        <v>0</v>
      </c>
      <c r="N132" s="8" t="s">
        <v>1415</v>
      </c>
      <c r="O132" s="8" t="s">
        <v>1236</v>
      </c>
      <c r="P132" s="8" t="s">
        <v>218</v>
      </c>
      <c r="Q132" s="4">
        <v>5637706494</v>
      </c>
    </row>
    <row r="133" spans="1:17">
      <c r="A133" s="8" t="s">
        <v>1121</v>
      </c>
      <c r="B133" s="8" t="s">
        <v>708</v>
      </c>
      <c r="C133" s="8" t="s">
        <v>258</v>
      </c>
      <c r="D133" s="8" t="s">
        <v>351</v>
      </c>
      <c r="E133" s="6">
        <v>43108</v>
      </c>
      <c r="F133" s="8" t="s">
        <v>237</v>
      </c>
      <c r="G133" s="8" t="s">
        <v>249</v>
      </c>
      <c r="H133" s="4">
        <v>-1485</v>
      </c>
      <c r="I133" s="8" t="s">
        <v>66</v>
      </c>
      <c r="J133" s="4">
        <v>0</v>
      </c>
      <c r="K133" s="4">
        <v>0</v>
      </c>
      <c r="L133" s="8" t="s">
        <v>117</v>
      </c>
      <c r="M133" s="4">
        <v>0</v>
      </c>
      <c r="N133" s="8" t="s">
        <v>1414</v>
      </c>
      <c r="O133" s="8" t="s">
        <v>1228</v>
      </c>
      <c r="P133" s="8" t="s">
        <v>218</v>
      </c>
      <c r="Q133" s="4">
        <v>5637706483</v>
      </c>
    </row>
    <row r="134" spans="1:17">
      <c r="A134" s="8" t="s">
        <v>1121</v>
      </c>
      <c r="B134" s="8" t="s">
        <v>730</v>
      </c>
      <c r="C134" s="8" t="s">
        <v>258</v>
      </c>
      <c r="D134" s="8" t="s">
        <v>351</v>
      </c>
      <c r="E134" s="6">
        <v>43108</v>
      </c>
      <c r="F134" s="8" t="s">
        <v>237</v>
      </c>
      <c r="G134" s="8" t="s">
        <v>249</v>
      </c>
      <c r="H134" s="4">
        <v>-1500</v>
      </c>
      <c r="I134" s="8" t="s">
        <v>66</v>
      </c>
      <c r="J134" s="4">
        <v>0</v>
      </c>
      <c r="K134" s="4">
        <v>0</v>
      </c>
      <c r="L134" s="8" t="s">
        <v>117</v>
      </c>
      <c r="M134" s="4">
        <v>0</v>
      </c>
      <c r="N134" s="8" t="s">
        <v>1418</v>
      </c>
      <c r="O134" s="8" t="s">
        <v>1275</v>
      </c>
      <c r="P134" s="8" t="s">
        <v>218</v>
      </c>
      <c r="Q134" s="4">
        <v>5637706547</v>
      </c>
    </row>
    <row r="135" spans="1:17">
      <c r="A135" s="8" t="s">
        <v>1121</v>
      </c>
      <c r="B135" s="8" t="s">
        <v>726</v>
      </c>
      <c r="C135" s="8" t="s">
        <v>258</v>
      </c>
      <c r="D135" s="8" t="s">
        <v>351</v>
      </c>
      <c r="E135" s="6">
        <v>43108</v>
      </c>
      <c r="F135" s="8" t="s">
        <v>237</v>
      </c>
      <c r="G135" s="8" t="s">
        <v>249</v>
      </c>
      <c r="H135" s="4">
        <v>-750</v>
      </c>
      <c r="I135" s="8" t="s">
        <v>66</v>
      </c>
      <c r="J135" s="4">
        <v>0</v>
      </c>
      <c r="K135" s="4">
        <v>0</v>
      </c>
      <c r="L135" s="8" t="s">
        <v>117</v>
      </c>
      <c r="M135" s="4">
        <v>0</v>
      </c>
      <c r="N135" s="8" t="s">
        <v>1417</v>
      </c>
      <c r="O135" s="8" t="s">
        <v>1267</v>
      </c>
      <c r="P135" s="8" t="s">
        <v>218</v>
      </c>
      <c r="Q135" s="4">
        <v>5637706536</v>
      </c>
    </row>
    <row r="136" spans="1:17">
      <c r="A136" s="8" t="s">
        <v>1121</v>
      </c>
      <c r="B136" s="8" t="s">
        <v>722</v>
      </c>
      <c r="C136" s="8" t="s">
        <v>258</v>
      </c>
      <c r="D136" s="8" t="s">
        <v>351</v>
      </c>
      <c r="E136" s="6">
        <v>43108</v>
      </c>
      <c r="F136" s="8" t="s">
        <v>237</v>
      </c>
      <c r="G136" s="8" t="s">
        <v>249</v>
      </c>
      <c r="H136" s="4">
        <v>-300</v>
      </c>
      <c r="I136" s="8" t="s">
        <v>66</v>
      </c>
      <c r="J136" s="4">
        <v>0</v>
      </c>
      <c r="K136" s="4">
        <v>0</v>
      </c>
      <c r="L136" s="8" t="s">
        <v>117</v>
      </c>
      <c r="M136" s="4">
        <v>0</v>
      </c>
      <c r="N136" s="8" t="s">
        <v>1416</v>
      </c>
      <c r="O136" s="8" t="s">
        <v>1259</v>
      </c>
      <c r="P136" s="8" t="s">
        <v>218</v>
      </c>
      <c r="Q136" s="4">
        <v>5637706525</v>
      </c>
    </row>
    <row r="137" spans="1:17">
      <c r="A137" s="8" t="s">
        <v>1121</v>
      </c>
      <c r="B137" s="8" t="s">
        <v>744</v>
      </c>
      <c r="C137" s="8" t="s">
        <v>258</v>
      </c>
      <c r="D137" s="8" t="s">
        <v>351</v>
      </c>
      <c r="E137" s="6">
        <v>43132</v>
      </c>
      <c r="F137" s="8" t="s">
        <v>237</v>
      </c>
      <c r="G137" s="8" t="s">
        <v>249</v>
      </c>
      <c r="H137" s="4">
        <v>-150</v>
      </c>
      <c r="I137" s="8" t="s">
        <v>66</v>
      </c>
      <c r="J137" s="4">
        <v>0</v>
      </c>
      <c r="K137" s="4">
        <v>0</v>
      </c>
      <c r="L137" s="8" t="s">
        <v>117</v>
      </c>
      <c r="M137" s="4">
        <v>0</v>
      </c>
      <c r="N137" s="8" t="s">
        <v>1425</v>
      </c>
      <c r="O137" s="8" t="s">
        <v>1298</v>
      </c>
      <c r="P137" s="8" t="s">
        <v>218</v>
      </c>
      <c r="Q137" s="4">
        <v>5637707402</v>
      </c>
    </row>
    <row r="138" spans="1:17">
      <c r="A138" s="8" t="s">
        <v>1121</v>
      </c>
      <c r="B138" s="8" t="s">
        <v>742</v>
      </c>
      <c r="C138" s="8" t="s">
        <v>258</v>
      </c>
      <c r="D138" s="8" t="s">
        <v>351</v>
      </c>
      <c r="E138" s="6">
        <v>43132</v>
      </c>
      <c r="F138" s="8" t="s">
        <v>237</v>
      </c>
      <c r="G138" s="8" t="s">
        <v>249</v>
      </c>
      <c r="H138" s="4">
        <v>-600.05829999999992</v>
      </c>
      <c r="I138" s="8" t="s">
        <v>66</v>
      </c>
      <c r="J138" s="4">
        <v>0</v>
      </c>
      <c r="K138" s="4">
        <v>0</v>
      </c>
      <c r="L138" s="8" t="s">
        <v>117</v>
      </c>
      <c r="M138" s="4">
        <v>0</v>
      </c>
      <c r="N138" s="8" t="s">
        <v>1407</v>
      </c>
      <c r="O138" s="8" t="s">
        <v>1291</v>
      </c>
      <c r="P138" s="8" t="s">
        <v>218</v>
      </c>
      <c r="Q138" s="4">
        <v>5637707393</v>
      </c>
    </row>
    <row r="139" spans="1:17">
      <c r="A139" s="8" t="s">
        <v>1121</v>
      </c>
      <c r="B139" s="8" t="s">
        <v>756</v>
      </c>
      <c r="C139" s="8" t="s">
        <v>258</v>
      </c>
      <c r="D139" s="8" t="s">
        <v>351</v>
      </c>
      <c r="E139" s="6">
        <v>43145</v>
      </c>
      <c r="F139" s="8" t="s">
        <v>237</v>
      </c>
      <c r="G139" s="8" t="s">
        <v>249</v>
      </c>
      <c r="H139" s="4">
        <v>-1350</v>
      </c>
      <c r="I139" s="8" t="s">
        <v>66</v>
      </c>
      <c r="J139" s="4">
        <v>0</v>
      </c>
      <c r="K139" s="4">
        <v>0</v>
      </c>
      <c r="L139" s="8" t="s">
        <v>117</v>
      </c>
      <c r="M139" s="4">
        <v>0</v>
      </c>
      <c r="N139" s="8" t="s">
        <v>1427</v>
      </c>
      <c r="O139" s="8" t="s">
        <v>1328</v>
      </c>
      <c r="P139" s="8" t="s">
        <v>218</v>
      </c>
      <c r="Q139" s="4">
        <v>5637709237</v>
      </c>
    </row>
    <row r="140" spans="1:17">
      <c r="A140" s="8" t="s">
        <v>1121</v>
      </c>
      <c r="B140" s="8" t="s">
        <v>754</v>
      </c>
      <c r="C140" s="8" t="s">
        <v>258</v>
      </c>
      <c r="D140" s="8" t="s">
        <v>351</v>
      </c>
      <c r="E140" s="6">
        <v>43145</v>
      </c>
      <c r="F140" s="8" t="s">
        <v>237</v>
      </c>
      <c r="G140" s="8" t="s">
        <v>249</v>
      </c>
      <c r="H140" s="4">
        <v>-150</v>
      </c>
      <c r="I140" s="8" t="s">
        <v>66</v>
      </c>
      <c r="J140" s="4">
        <v>0</v>
      </c>
      <c r="K140" s="4">
        <v>0</v>
      </c>
      <c r="L140" s="8" t="s">
        <v>117</v>
      </c>
      <c r="M140" s="4">
        <v>0</v>
      </c>
      <c r="N140" s="8" t="s">
        <v>1426</v>
      </c>
      <c r="O140" s="8" t="s">
        <v>1322</v>
      </c>
      <c r="P140" s="8" t="s">
        <v>218</v>
      </c>
      <c r="Q140" s="4">
        <v>5637709229</v>
      </c>
    </row>
    <row r="141" spans="1:17">
      <c r="A141" s="8" t="s">
        <v>1121</v>
      </c>
      <c r="B141" s="8" t="s">
        <v>762</v>
      </c>
      <c r="C141" s="8" t="s">
        <v>258</v>
      </c>
      <c r="D141" s="8" t="s">
        <v>351</v>
      </c>
      <c r="E141" s="6">
        <v>43146</v>
      </c>
      <c r="F141" s="8" t="s">
        <v>237</v>
      </c>
      <c r="G141" s="8" t="s">
        <v>249</v>
      </c>
      <c r="H141" s="4">
        <v>-1800</v>
      </c>
      <c r="I141" s="8" t="s">
        <v>66</v>
      </c>
      <c r="J141" s="4">
        <v>0</v>
      </c>
      <c r="K141" s="4">
        <v>0</v>
      </c>
      <c r="L141" s="8" t="s">
        <v>117</v>
      </c>
      <c r="M141" s="4">
        <v>0</v>
      </c>
      <c r="N141" s="8" t="s">
        <v>1428</v>
      </c>
      <c r="O141" s="8" t="s">
        <v>1338</v>
      </c>
      <c r="P141" s="8" t="s">
        <v>218</v>
      </c>
      <c r="Q141" s="4">
        <v>5637709510</v>
      </c>
    </row>
    <row r="142" spans="1:17">
      <c r="A142" s="8" t="s">
        <v>1121</v>
      </c>
      <c r="B142" s="8" t="s">
        <v>772</v>
      </c>
      <c r="C142" s="8" t="s">
        <v>258</v>
      </c>
      <c r="D142" s="8" t="s">
        <v>351</v>
      </c>
      <c r="E142" s="6">
        <v>43151</v>
      </c>
      <c r="F142" s="8" t="s">
        <v>237</v>
      </c>
      <c r="G142" s="8" t="s">
        <v>249</v>
      </c>
      <c r="H142" s="4">
        <v>-300</v>
      </c>
      <c r="I142" s="8" t="s">
        <v>66</v>
      </c>
      <c r="J142" s="4">
        <v>0</v>
      </c>
      <c r="K142" s="4">
        <v>0</v>
      </c>
      <c r="L142" s="8" t="s">
        <v>117</v>
      </c>
      <c r="M142" s="4">
        <v>0</v>
      </c>
      <c r="N142" s="8" t="s">
        <v>1430</v>
      </c>
      <c r="O142" s="8" t="s">
        <v>1355</v>
      </c>
      <c r="P142" s="8" t="s">
        <v>218</v>
      </c>
      <c r="Q142" s="4">
        <v>5637714582</v>
      </c>
    </row>
    <row r="143" spans="1:17">
      <c r="A143" s="8" t="s">
        <v>1121</v>
      </c>
      <c r="B143" s="8" t="s">
        <v>768</v>
      </c>
      <c r="C143" s="8" t="s">
        <v>258</v>
      </c>
      <c r="D143" s="8" t="s">
        <v>351</v>
      </c>
      <c r="E143" s="6">
        <v>43151</v>
      </c>
      <c r="F143" s="8" t="s">
        <v>237</v>
      </c>
      <c r="G143" s="8" t="s">
        <v>249</v>
      </c>
      <c r="H143" s="4">
        <v>-1500</v>
      </c>
      <c r="I143" s="8" t="s">
        <v>66</v>
      </c>
      <c r="J143" s="4">
        <v>0</v>
      </c>
      <c r="K143" s="4">
        <v>0</v>
      </c>
      <c r="L143" s="8" t="s">
        <v>117</v>
      </c>
      <c r="M143" s="4">
        <v>0</v>
      </c>
      <c r="N143" s="8" t="s">
        <v>1429</v>
      </c>
      <c r="O143" s="8" t="s">
        <v>1347</v>
      </c>
      <c r="P143" s="8" t="s">
        <v>218</v>
      </c>
      <c r="Q143" s="4">
        <v>5637714080</v>
      </c>
    </row>
    <row r="144" spans="1:17">
      <c r="A144" s="8" t="s">
        <v>1121</v>
      </c>
      <c r="B144" s="8" t="s">
        <v>788</v>
      </c>
      <c r="C144" s="8" t="s">
        <v>258</v>
      </c>
      <c r="D144" s="8" t="s">
        <v>351</v>
      </c>
      <c r="E144" s="6">
        <v>43157</v>
      </c>
      <c r="F144" s="8" t="s">
        <v>237</v>
      </c>
      <c r="G144" s="8" t="s">
        <v>249</v>
      </c>
      <c r="H144" s="4">
        <v>-150</v>
      </c>
      <c r="I144" s="8" t="s">
        <v>66</v>
      </c>
      <c r="J144" s="4">
        <v>0</v>
      </c>
      <c r="K144" s="4">
        <v>0</v>
      </c>
      <c r="L144" s="8" t="s">
        <v>117</v>
      </c>
      <c r="M144" s="4">
        <v>0</v>
      </c>
      <c r="N144" s="8" t="s">
        <v>1431</v>
      </c>
      <c r="O144" s="8" t="s">
        <v>1383</v>
      </c>
      <c r="P144" s="8" t="s">
        <v>218</v>
      </c>
      <c r="Q144" s="4">
        <v>5637715480</v>
      </c>
    </row>
    <row r="145" spans="1:17">
      <c r="A145" s="8" t="s">
        <v>1121</v>
      </c>
      <c r="B145" s="8" t="s">
        <v>784</v>
      </c>
      <c r="C145" s="8" t="s">
        <v>258</v>
      </c>
      <c r="D145" s="8" t="s">
        <v>351</v>
      </c>
      <c r="E145" s="6">
        <v>43157</v>
      </c>
      <c r="F145" s="8" t="s">
        <v>237</v>
      </c>
      <c r="G145" s="8" t="s">
        <v>249</v>
      </c>
      <c r="H145" s="4">
        <v>-150.0146</v>
      </c>
      <c r="I145" s="8" t="s">
        <v>66</v>
      </c>
      <c r="J145" s="4">
        <v>0</v>
      </c>
      <c r="K145" s="4">
        <v>0</v>
      </c>
      <c r="L145" s="8" t="s">
        <v>117</v>
      </c>
      <c r="M145" s="4">
        <v>0</v>
      </c>
      <c r="N145" s="8" t="s">
        <v>1409</v>
      </c>
      <c r="O145" s="8" t="s">
        <v>1375</v>
      </c>
      <c r="P145" s="8" t="s">
        <v>218</v>
      </c>
      <c r="Q145" s="4">
        <v>5637715462</v>
      </c>
    </row>
    <row r="146" spans="1:17">
      <c r="A146" s="8" t="s">
        <v>1121</v>
      </c>
      <c r="B146" s="8" t="s">
        <v>780</v>
      </c>
      <c r="C146" s="8" t="s">
        <v>258</v>
      </c>
      <c r="D146" s="8" t="s">
        <v>351</v>
      </c>
      <c r="E146" s="6">
        <v>43157</v>
      </c>
      <c r="F146" s="8" t="s">
        <v>237</v>
      </c>
      <c r="G146" s="8" t="s">
        <v>249</v>
      </c>
      <c r="H146" s="4">
        <v>-225</v>
      </c>
      <c r="I146" s="8" t="s">
        <v>66</v>
      </c>
      <c r="J146" s="4">
        <v>0</v>
      </c>
      <c r="K146" s="4">
        <v>0</v>
      </c>
      <c r="L146" s="8" t="s">
        <v>117</v>
      </c>
      <c r="M146" s="4">
        <v>0</v>
      </c>
      <c r="N146" s="8" t="s">
        <v>1408</v>
      </c>
      <c r="O146" s="8" t="s">
        <v>1367</v>
      </c>
      <c r="P146" s="8" t="s">
        <v>218</v>
      </c>
      <c r="Q146" s="4">
        <v>5637715450</v>
      </c>
    </row>
    <row r="147" spans="1:17">
      <c r="A147" s="8" t="s">
        <v>1121</v>
      </c>
      <c r="B147" s="8" t="s">
        <v>722</v>
      </c>
      <c r="C147" s="8" t="s">
        <v>259</v>
      </c>
      <c r="D147" s="8" t="s">
        <v>352</v>
      </c>
      <c r="E147" s="6">
        <v>43108</v>
      </c>
      <c r="F147" s="8" t="s">
        <v>237</v>
      </c>
      <c r="G147" s="8" t="s">
        <v>249</v>
      </c>
      <c r="H147" s="4">
        <v>-400</v>
      </c>
      <c r="I147" s="8" t="s">
        <v>66</v>
      </c>
      <c r="J147" s="4">
        <v>0</v>
      </c>
      <c r="K147" s="4">
        <v>0</v>
      </c>
      <c r="L147" s="8" t="s">
        <v>117</v>
      </c>
      <c r="M147" s="4">
        <v>0</v>
      </c>
      <c r="N147" s="8" t="s">
        <v>1416</v>
      </c>
      <c r="O147" s="8" t="s">
        <v>1260</v>
      </c>
      <c r="P147" s="8" t="s">
        <v>218</v>
      </c>
      <c r="Q147" s="4">
        <v>5637706526</v>
      </c>
    </row>
    <row r="148" spans="1:17">
      <c r="A148" s="8" t="s">
        <v>1121</v>
      </c>
      <c r="B148" s="8" t="s">
        <v>726</v>
      </c>
      <c r="C148" s="8" t="s">
        <v>259</v>
      </c>
      <c r="D148" s="8" t="s">
        <v>352</v>
      </c>
      <c r="E148" s="6">
        <v>43108</v>
      </c>
      <c r="F148" s="8" t="s">
        <v>237</v>
      </c>
      <c r="G148" s="8" t="s">
        <v>249</v>
      </c>
      <c r="H148" s="4">
        <v>-1000</v>
      </c>
      <c r="I148" s="8" t="s">
        <v>66</v>
      </c>
      <c r="J148" s="4">
        <v>0</v>
      </c>
      <c r="K148" s="4">
        <v>0</v>
      </c>
      <c r="L148" s="8" t="s">
        <v>117</v>
      </c>
      <c r="M148" s="4">
        <v>0</v>
      </c>
      <c r="N148" s="8" t="s">
        <v>1417</v>
      </c>
      <c r="O148" s="8" t="s">
        <v>1268</v>
      </c>
      <c r="P148" s="8" t="s">
        <v>218</v>
      </c>
      <c r="Q148" s="4">
        <v>5637706537</v>
      </c>
    </row>
    <row r="149" spans="1:17">
      <c r="A149" s="8" t="s">
        <v>1121</v>
      </c>
      <c r="B149" s="8" t="s">
        <v>730</v>
      </c>
      <c r="C149" s="8" t="s">
        <v>259</v>
      </c>
      <c r="D149" s="8" t="s">
        <v>352</v>
      </c>
      <c r="E149" s="6">
        <v>43108</v>
      </c>
      <c r="F149" s="8" t="s">
        <v>237</v>
      </c>
      <c r="G149" s="8" t="s">
        <v>249</v>
      </c>
      <c r="H149" s="4">
        <v>-2000</v>
      </c>
      <c r="I149" s="8" t="s">
        <v>66</v>
      </c>
      <c r="J149" s="4">
        <v>0</v>
      </c>
      <c r="K149" s="4">
        <v>0</v>
      </c>
      <c r="L149" s="8" t="s">
        <v>117</v>
      </c>
      <c r="M149" s="4">
        <v>0</v>
      </c>
      <c r="N149" s="8" t="s">
        <v>1418</v>
      </c>
      <c r="O149" s="8" t="s">
        <v>1276</v>
      </c>
      <c r="P149" s="8" t="s">
        <v>218</v>
      </c>
      <c r="Q149" s="4">
        <v>5637706548</v>
      </c>
    </row>
    <row r="150" spans="1:17">
      <c r="A150" s="8" t="s">
        <v>1121</v>
      </c>
      <c r="B150" s="8" t="s">
        <v>708</v>
      </c>
      <c r="C150" s="8" t="s">
        <v>259</v>
      </c>
      <c r="D150" s="8" t="s">
        <v>352</v>
      </c>
      <c r="E150" s="6">
        <v>43108</v>
      </c>
      <c r="F150" s="8" t="s">
        <v>237</v>
      </c>
      <c r="G150" s="8" t="s">
        <v>249</v>
      </c>
      <c r="H150" s="4">
        <v>-1980</v>
      </c>
      <c r="I150" s="8" t="s">
        <v>66</v>
      </c>
      <c r="J150" s="4">
        <v>0</v>
      </c>
      <c r="K150" s="4">
        <v>0</v>
      </c>
      <c r="L150" s="8" t="s">
        <v>117</v>
      </c>
      <c r="M150" s="4">
        <v>0</v>
      </c>
      <c r="N150" s="8" t="s">
        <v>1414</v>
      </c>
      <c r="O150" s="8" t="s">
        <v>1229</v>
      </c>
      <c r="P150" s="8" t="s">
        <v>218</v>
      </c>
      <c r="Q150" s="4">
        <v>5637706484</v>
      </c>
    </row>
    <row r="151" spans="1:17">
      <c r="A151" s="8" t="s">
        <v>1121</v>
      </c>
      <c r="B151" s="8" t="s">
        <v>712</v>
      </c>
      <c r="C151" s="8" t="s">
        <v>259</v>
      </c>
      <c r="D151" s="8" t="s">
        <v>352</v>
      </c>
      <c r="E151" s="6">
        <v>43108</v>
      </c>
      <c r="F151" s="8" t="s">
        <v>237</v>
      </c>
      <c r="G151" s="8" t="s">
        <v>249</v>
      </c>
      <c r="H151" s="4">
        <v>-25</v>
      </c>
      <c r="I151" s="8" t="s">
        <v>66</v>
      </c>
      <c r="J151" s="4">
        <v>0</v>
      </c>
      <c r="K151" s="4">
        <v>0</v>
      </c>
      <c r="L151" s="8" t="s">
        <v>117</v>
      </c>
      <c r="M151" s="4">
        <v>0</v>
      </c>
      <c r="N151" s="8" t="s">
        <v>1415</v>
      </c>
      <c r="O151" s="8" t="s">
        <v>1237</v>
      </c>
      <c r="P151" s="8" t="s">
        <v>218</v>
      </c>
      <c r="Q151" s="4">
        <v>5637706495</v>
      </c>
    </row>
    <row r="152" spans="1:17">
      <c r="A152" s="8" t="s">
        <v>1121</v>
      </c>
      <c r="B152" s="8" t="s">
        <v>714</v>
      </c>
      <c r="C152" s="8" t="s">
        <v>259</v>
      </c>
      <c r="D152" s="8" t="s">
        <v>352</v>
      </c>
      <c r="E152" s="6">
        <v>43108</v>
      </c>
      <c r="F152" s="8" t="s">
        <v>237</v>
      </c>
      <c r="G152" s="8" t="s">
        <v>249</v>
      </c>
      <c r="H152" s="4">
        <v>-400</v>
      </c>
      <c r="I152" s="8" t="s">
        <v>66</v>
      </c>
      <c r="J152" s="4">
        <v>0</v>
      </c>
      <c r="K152" s="4">
        <v>0</v>
      </c>
      <c r="L152" s="8" t="s">
        <v>117</v>
      </c>
      <c r="M152" s="4">
        <v>0</v>
      </c>
      <c r="N152" s="8" t="s">
        <v>1413</v>
      </c>
      <c r="O152" s="8" t="s">
        <v>1243</v>
      </c>
      <c r="P152" s="8" t="s">
        <v>218</v>
      </c>
      <c r="Q152" s="4">
        <v>5637706503</v>
      </c>
    </row>
    <row r="153" spans="1:17">
      <c r="A153" s="8" t="s">
        <v>1121</v>
      </c>
      <c r="B153" s="8" t="s">
        <v>688</v>
      </c>
      <c r="C153" s="8" t="s">
        <v>259</v>
      </c>
      <c r="D153" s="8" t="s">
        <v>352</v>
      </c>
      <c r="E153" s="6">
        <v>43108</v>
      </c>
      <c r="F153" s="8" t="s">
        <v>237</v>
      </c>
      <c r="G153" s="8" t="s">
        <v>249</v>
      </c>
      <c r="H153" s="4">
        <v>-800</v>
      </c>
      <c r="I153" s="8" t="s">
        <v>66</v>
      </c>
      <c r="J153" s="4">
        <v>0</v>
      </c>
      <c r="K153" s="4">
        <v>0</v>
      </c>
      <c r="L153" s="8" t="s">
        <v>117</v>
      </c>
      <c r="M153" s="4">
        <v>0</v>
      </c>
      <c r="N153" s="8" t="s">
        <v>1403</v>
      </c>
      <c r="O153" s="8" t="s">
        <v>1197</v>
      </c>
      <c r="P153" s="8" t="s">
        <v>218</v>
      </c>
      <c r="Q153" s="4">
        <v>5637706439</v>
      </c>
    </row>
    <row r="154" spans="1:17">
      <c r="A154" s="8" t="s">
        <v>1121</v>
      </c>
      <c r="B154" s="8" t="s">
        <v>684</v>
      </c>
      <c r="C154" s="8" t="s">
        <v>259</v>
      </c>
      <c r="D154" s="8" t="s">
        <v>352</v>
      </c>
      <c r="E154" s="6">
        <v>43108</v>
      </c>
      <c r="F154" s="8" t="s">
        <v>237</v>
      </c>
      <c r="G154" s="8" t="s">
        <v>249</v>
      </c>
      <c r="H154" s="4">
        <v>-1800</v>
      </c>
      <c r="I154" s="8" t="s">
        <v>66</v>
      </c>
      <c r="J154" s="4">
        <v>0</v>
      </c>
      <c r="K154" s="4">
        <v>0</v>
      </c>
      <c r="L154" s="8" t="s">
        <v>117</v>
      </c>
      <c r="M154" s="4">
        <v>0</v>
      </c>
      <c r="N154" s="8" t="s">
        <v>1420</v>
      </c>
      <c r="O154" s="8" t="s">
        <v>1189</v>
      </c>
      <c r="P154" s="8" t="s">
        <v>218</v>
      </c>
      <c r="Q154" s="4">
        <v>5637706428</v>
      </c>
    </row>
    <row r="155" spans="1:17">
      <c r="A155" s="8" t="s">
        <v>1121</v>
      </c>
      <c r="B155" s="8" t="s">
        <v>676</v>
      </c>
      <c r="C155" s="8" t="s">
        <v>259</v>
      </c>
      <c r="D155" s="8" t="s">
        <v>352</v>
      </c>
      <c r="E155" s="6">
        <v>43108</v>
      </c>
      <c r="F155" s="8" t="s">
        <v>237</v>
      </c>
      <c r="G155" s="8" t="s">
        <v>249</v>
      </c>
      <c r="H155" s="4">
        <v>-400</v>
      </c>
      <c r="I155" s="8" t="s">
        <v>66</v>
      </c>
      <c r="J155" s="4">
        <v>0</v>
      </c>
      <c r="K155" s="4">
        <v>0</v>
      </c>
      <c r="L155" s="8" t="s">
        <v>117</v>
      </c>
      <c r="M155" s="4">
        <v>0</v>
      </c>
      <c r="N155" s="8" t="s">
        <v>1421</v>
      </c>
      <c r="O155" s="8" t="s">
        <v>1173</v>
      </c>
      <c r="P155" s="8" t="s">
        <v>218</v>
      </c>
      <c r="Q155" s="4">
        <v>5637706406</v>
      </c>
    </row>
    <row r="156" spans="1:17">
      <c r="A156" s="8" t="s">
        <v>1121</v>
      </c>
      <c r="B156" s="8" t="s">
        <v>680</v>
      </c>
      <c r="C156" s="8" t="s">
        <v>259</v>
      </c>
      <c r="D156" s="8" t="s">
        <v>352</v>
      </c>
      <c r="E156" s="6">
        <v>43108</v>
      </c>
      <c r="F156" s="8" t="s">
        <v>237</v>
      </c>
      <c r="G156" s="8" t="s">
        <v>249</v>
      </c>
      <c r="H156" s="4">
        <v>-600</v>
      </c>
      <c r="I156" s="8" t="s">
        <v>66</v>
      </c>
      <c r="J156" s="4">
        <v>0</v>
      </c>
      <c r="K156" s="4">
        <v>0</v>
      </c>
      <c r="L156" s="8" t="s">
        <v>117</v>
      </c>
      <c r="M156" s="4">
        <v>0</v>
      </c>
      <c r="N156" s="8" t="s">
        <v>1422</v>
      </c>
      <c r="O156" s="8" t="s">
        <v>1181</v>
      </c>
      <c r="P156" s="8" t="s">
        <v>218</v>
      </c>
      <c r="Q156" s="4">
        <v>5637706417</v>
      </c>
    </row>
    <row r="157" spans="1:17">
      <c r="A157" s="8" t="s">
        <v>1121</v>
      </c>
      <c r="B157" s="8" t="s">
        <v>704</v>
      </c>
      <c r="C157" s="8" t="s">
        <v>259</v>
      </c>
      <c r="D157" s="8" t="s">
        <v>352</v>
      </c>
      <c r="E157" s="6">
        <v>43108</v>
      </c>
      <c r="F157" s="8" t="s">
        <v>237</v>
      </c>
      <c r="G157" s="8" t="s">
        <v>249</v>
      </c>
      <c r="H157" s="4">
        <v>-800</v>
      </c>
      <c r="I157" s="8" t="s">
        <v>66</v>
      </c>
      <c r="J157" s="4">
        <v>0</v>
      </c>
      <c r="K157" s="4">
        <v>0</v>
      </c>
      <c r="L157" s="8" t="s">
        <v>117</v>
      </c>
      <c r="M157" s="4">
        <v>0</v>
      </c>
      <c r="N157" s="8" t="s">
        <v>1419</v>
      </c>
      <c r="O157" s="8" t="s">
        <v>1221</v>
      </c>
      <c r="P157" s="8" t="s">
        <v>218</v>
      </c>
      <c r="Q157" s="4">
        <v>5637706473</v>
      </c>
    </row>
    <row r="158" spans="1:17">
      <c r="A158" s="8" t="s">
        <v>1121</v>
      </c>
      <c r="B158" s="8" t="s">
        <v>658</v>
      </c>
      <c r="C158" s="8" t="s">
        <v>259</v>
      </c>
      <c r="D158" s="8" t="s">
        <v>352</v>
      </c>
      <c r="E158" s="6">
        <v>43108</v>
      </c>
      <c r="F158" s="8" t="s">
        <v>237</v>
      </c>
      <c r="G158" s="8" t="s">
        <v>249</v>
      </c>
      <c r="H158" s="4">
        <v>-400</v>
      </c>
      <c r="I158" s="8" t="s">
        <v>66</v>
      </c>
      <c r="J158" s="4">
        <v>0</v>
      </c>
      <c r="K158" s="4">
        <v>0</v>
      </c>
      <c r="L158" s="8" t="s">
        <v>117</v>
      </c>
      <c r="M158" s="4">
        <v>0</v>
      </c>
      <c r="N158" s="8" t="s">
        <v>1411</v>
      </c>
      <c r="O158" s="8" t="s">
        <v>1128</v>
      </c>
      <c r="P158" s="8" t="s">
        <v>218</v>
      </c>
      <c r="Q158" s="4">
        <v>5637706344</v>
      </c>
    </row>
    <row r="159" spans="1:17">
      <c r="A159" s="8" t="s">
        <v>1121</v>
      </c>
      <c r="B159" s="8" t="s">
        <v>662</v>
      </c>
      <c r="C159" s="8" t="s">
        <v>259</v>
      </c>
      <c r="D159" s="8" t="s">
        <v>352</v>
      </c>
      <c r="E159" s="6">
        <v>43108</v>
      </c>
      <c r="F159" s="8" t="s">
        <v>237</v>
      </c>
      <c r="G159" s="8" t="s">
        <v>249</v>
      </c>
      <c r="H159" s="4">
        <v>-200</v>
      </c>
      <c r="I159" s="8" t="s">
        <v>66</v>
      </c>
      <c r="J159" s="4">
        <v>0</v>
      </c>
      <c r="K159" s="4">
        <v>0</v>
      </c>
      <c r="L159" s="8" t="s">
        <v>117</v>
      </c>
      <c r="M159" s="4">
        <v>0</v>
      </c>
      <c r="N159" s="8" t="s">
        <v>1412</v>
      </c>
      <c r="O159" s="8" t="s">
        <v>1136</v>
      </c>
      <c r="P159" s="8" t="s">
        <v>218</v>
      </c>
      <c r="Q159" s="4">
        <v>5637706355</v>
      </c>
    </row>
    <row r="160" spans="1:17">
      <c r="A160" s="8" t="s">
        <v>1121</v>
      </c>
      <c r="B160" s="8" t="s">
        <v>666</v>
      </c>
      <c r="C160" s="8" t="s">
        <v>259</v>
      </c>
      <c r="D160" s="8" t="s">
        <v>352</v>
      </c>
      <c r="E160" s="6">
        <v>43108</v>
      </c>
      <c r="F160" s="8" t="s">
        <v>237</v>
      </c>
      <c r="G160" s="8" t="s">
        <v>249</v>
      </c>
      <c r="H160" s="4">
        <v>-600</v>
      </c>
      <c r="I160" s="8" t="s">
        <v>66</v>
      </c>
      <c r="J160" s="4">
        <v>0</v>
      </c>
      <c r="K160" s="4">
        <v>0</v>
      </c>
      <c r="L160" s="8" t="s">
        <v>117</v>
      </c>
      <c r="M160" s="4">
        <v>0</v>
      </c>
      <c r="N160" s="8" t="s">
        <v>1423</v>
      </c>
      <c r="O160" s="8" t="s">
        <v>1144</v>
      </c>
      <c r="P160" s="8" t="s">
        <v>218</v>
      </c>
      <c r="Q160" s="4">
        <v>5637706366</v>
      </c>
    </row>
    <row r="161" spans="1:17">
      <c r="A161" s="8" t="s">
        <v>15</v>
      </c>
      <c r="B161" s="8" t="s">
        <v>829</v>
      </c>
      <c r="C161" s="8" t="s">
        <v>259</v>
      </c>
      <c r="D161" s="8" t="s">
        <v>352</v>
      </c>
      <c r="E161" s="6">
        <v>43115</v>
      </c>
      <c r="F161" s="8" t="s">
        <v>237</v>
      </c>
      <c r="G161" s="8" t="s">
        <v>238</v>
      </c>
      <c r="H161" s="4">
        <v>-27460</v>
      </c>
      <c r="I161" s="8" t="s">
        <v>66</v>
      </c>
      <c r="J161" s="4">
        <v>0</v>
      </c>
      <c r="K161" s="4">
        <v>0</v>
      </c>
      <c r="L161" s="8" t="s">
        <v>117</v>
      </c>
      <c r="M161" s="4">
        <v>0</v>
      </c>
      <c r="N161" s="8" t="s">
        <v>1442</v>
      </c>
      <c r="O161" s="8" t="s">
        <v>830</v>
      </c>
      <c r="P161" s="8" t="s">
        <v>218</v>
      </c>
      <c r="Q161" s="4">
        <v>5637707409</v>
      </c>
    </row>
    <row r="162" spans="1:17">
      <c r="A162" s="8" t="s">
        <v>15</v>
      </c>
      <c r="B162" s="8" t="s">
        <v>831</v>
      </c>
      <c r="C162" s="8" t="s">
        <v>259</v>
      </c>
      <c r="D162" s="8" t="s">
        <v>352</v>
      </c>
      <c r="E162" s="6">
        <v>43115</v>
      </c>
      <c r="F162" s="8" t="s">
        <v>237</v>
      </c>
      <c r="G162" s="8" t="s">
        <v>238</v>
      </c>
      <c r="H162" s="4">
        <v>27460</v>
      </c>
      <c r="I162" s="8" t="s">
        <v>66</v>
      </c>
      <c r="J162" s="4">
        <v>0</v>
      </c>
      <c r="K162" s="4">
        <v>0</v>
      </c>
      <c r="L162" s="8" t="s">
        <v>117</v>
      </c>
      <c r="M162" s="4">
        <v>0</v>
      </c>
      <c r="N162" s="8" t="s">
        <v>1443</v>
      </c>
      <c r="O162" s="8" t="s">
        <v>832</v>
      </c>
      <c r="P162" s="8" t="s">
        <v>218</v>
      </c>
      <c r="Q162" s="4">
        <v>5637707412</v>
      </c>
    </row>
    <row r="163" spans="1:17">
      <c r="A163" s="8" t="s">
        <v>15</v>
      </c>
      <c r="B163" s="8" t="s">
        <v>804</v>
      </c>
      <c r="C163" s="8" t="s">
        <v>259</v>
      </c>
      <c r="D163" s="8" t="s">
        <v>352</v>
      </c>
      <c r="E163" s="6">
        <v>43115</v>
      </c>
      <c r="F163" s="8" t="s">
        <v>237</v>
      </c>
      <c r="G163" s="8" t="s">
        <v>249</v>
      </c>
      <c r="H163" s="4">
        <v>27460</v>
      </c>
      <c r="I163" s="8" t="s">
        <v>66</v>
      </c>
      <c r="J163" s="4">
        <v>0</v>
      </c>
      <c r="K163" s="4">
        <v>0</v>
      </c>
      <c r="L163" s="8" t="s">
        <v>117</v>
      </c>
      <c r="M163" s="4">
        <v>0</v>
      </c>
      <c r="N163" s="8" t="s">
        <v>1444</v>
      </c>
      <c r="O163" s="8" t="s">
        <v>805</v>
      </c>
      <c r="P163" s="8" t="s">
        <v>218</v>
      </c>
      <c r="Q163" s="4">
        <v>5637705476</v>
      </c>
    </row>
    <row r="164" spans="1:17">
      <c r="A164" s="8" t="s">
        <v>1121</v>
      </c>
      <c r="B164" s="8" t="s">
        <v>742</v>
      </c>
      <c r="C164" s="8" t="s">
        <v>259</v>
      </c>
      <c r="D164" s="8" t="s">
        <v>352</v>
      </c>
      <c r="E164" s="6">
        <v>43132</v>
      </c>
      <c r="F164" s="8" t="s">
        <v>237</v>
      </c>
      <c r="G164" s="8" t="s">
        <v>249</v>
      </c>
      <c r="H164" s="4">
        <v>-800.07770000000005</v>
      </c>
      <c r="I164" s="8" t="s">
        <v>66</v>
      </c>
      <c r="J164" s="4">
        <v>0</v>
      </c>
      <c r="K164" s="4">
        <v>0</v>
      </c>
      <c r="L164" s="8" t="s">
        <v>117</v>
      </c>
      <c r="M164" s="4">
        <v>0</v>
      </c>
      <c r="N164" s="8" t="s">
        <v>1407</v>
      </c>
      <c r="O164" s="8" t="s">
        <v>1292</v>
      </c>
      <c r="P164" s="8" t="s">
        <v>218</v>
      </c>
      <c r="Q164" s="4">
        <v>5637707394</v>
      </c>
    </row>
    <row r="165" spans="1:17">
      <c r="A165" s="8" t="s">
        <v>1121</v>
      </c>
      <c r="B165" s="8" t="s">
        <v>744</v>
      </c>
      <c r="C165" s="8" t="s">
        <v>259</v>
      </c>
      <c r="D165" s="8" t="s">
        <v>352</v>
      </c>
      <c r="E165" s="6">
        <v>43132</v>
      </c>
      <c r="F165" s="8" t="s">
        <v>237</v>
      </c>
      <c r="G165" s="8" t="s">
        <v>249</v>
      </c>
      <c r="H165" s="4">
        <v>-200</v>
      </c>
      <c r="I165" s="8" t="s">
        <v>66</v>
      </c>
      <c r="J165" s="4">
        <v>0</v>
      </c>
      <c r="K165" s="4">
        <v>0</v>
      </c>
      <c r="L165" s="8" t="s">
        <v>117</v>
      </c>
      <c r="M165" s="4">
        <v>0</v>
      </c>
      <c r="N165" s="8" t="s">
        <v>1425</v>
      </c>
      <c r="O165" s="8" t="s">
        <v>1299</v>
      </c>
      <c r="P165" s="8" t="s">
        <v>218</v>
      </c>
      <c r="Q165" s="4">
        <v>5637707403</v>
      </c>
    </row>
    <row r="166" spans="1:17">
      <c r="A166" s="8" t="s">
        <v>1121</v>
      </c>
      <c r="B166" s="8" t="s">
        <v>754</v>
      </c>
      <c r="C166" s="8" t="s">
        <v>259</v>
      </c>
      <c r="D166" s="8" t="s">
        <v>352</v>
      </c>
      <c r="E166" s="6">
        <v>43145</v>
      </c>
      <c r="F166" s="8" t="s">
        <v>237</v>
      </c>
      <c r="G166" s="8" t="s">
        <v>249</v>
      </c>
      <c r="H166" s="4">
        <v>-200</v>
      </c>
      <c r="I166" s="8" t="s">
        <v>66</v>
      </c>
      <c r="J166" s="4">
        <v>0</v>
      </c>
      <c r="K166" s="4">
        <v>0</v>
      </c>
      <c r="L166" s="8" t="s">
        <v>117</v>
      </c>
      <c r="M166" s="4">
        <v>0</v>
      </c>
      <c r="N166" s="8" t="s">
        <v>1426</v>
      </c>
      <c r="O166" s="8" t="s">
        <v>1323</v>
      </c>
      <c r="P166" s="8" t="s">
        <v>218</v>
      </c>
      <c r="Q166" s="4">
        <v>5637709230</v>
      </c>
    </row>
    <row r="167" spans="1:17">
      <c r="A167" s="8" t="s">
        <v>1121</v>
      </c>
      <c r="B167" s="8" t="s">
        <v>756</v>
      </c>
      <c r="C167" s="8" t="s">
        <v>259</v>
      </c>
      <c r="D167" s="8" t="s">
        <v>352</v>
      </c>
      <c r="E167" s="6">
        <v>43145</v>
      </c>
      <c r="F167" s="8" t="s">
        <v>237</v>
      </c>
      <c r="G167" s="8" t="s">
        <v>249</v>
      </c>
      <c r="H167" s="4">
        <v>-1800</v>
      </c>
      <c r="I167" s="8" t="s">
        <v>66</v>
      </c>
      <c r="J167" s="4">
        <v>0</v>
      </c>
      <c r="K167" s="4">
        <v>0</v>
      </c>
      <c r="L167" s="8" t="s">
        <v>117</v>
      </c>
      <c r="M167" s="4">
        <v>0</v>
      </c>
      <c r="N167" s="8" t="s">
        <v>1427</v>
      </c>
      <c r="O167" s="8" t="s">
        <v>1329</v>
      </c>
      <c r="P167" s="8" t="s">
        <v>218</v>
      </c>
      <c r="Q167" s="4">
        <v>5637709238</v>
      </c>
    </row>
    <row r="168" spans="1:17">
      <c r="A168" s="8" t="s">
        <v>1121</v>
      </c>
      <c r="B168" s="8" t="s">
        <v>762</v>
      </c>
      <c r="C168" s="8" t="s">
        <v>259</v>
      </c>
      <c r="D168" s="8" t="s">
        <v>352</v>
      </c>
      <c r="E168" s="6">
        <v>43146</v>
      </c>
      <c r="F168" s="8" t="s">
        <v>237</v>
      </c>
      <c r="G168" s="8" t="s">
        <v>249</v>
      </c>
      <c r="H168" s="4">
        <v>-2400</v>
      </c>
      <c r="I168" s="8" t="s">
        <v>66</v>
      </c>
      <c r="J168" s="4">
        <v>0</v>
      </c>
      <c r="K168" s="4">
        <v>0</v>
      </c>
      <c r="L168" s="8" t="s">
        <v>117</v>
      </c>
      <c r="M168" s="4">
        <v>0</v>
      </c>
      <c r="N168" s="8" t="s">
        <v>1428</v>
      </c>
      <c r="O168" s="8" t="s">
        <v>1339</v>
      </c>
      <c r="P168" s="8" t="s">
        <v>218</v>
      </c>
      <c r="Q168" s="4">
        <v>5637709511</v>
      </c>
    </row>
    <row r="169" spans="1:17">
      <c r="A169" s="8" t="s">
        <v>1121</v>
      </c>
      <c r="B169" s="8" t="s">
        <v>768</v>
      </c>
      <c r="C169" s="8" t="s">
        <v>259</v>
      </c>
      <c r="D169" s="8" t="s">
        <v>352</v>
      </c>
      <c r="E169" s="6">
        <v>43151</v>
      </c>
      <c r="F169" s="8" t="s">
        <v>237</v>
      </c>
      <c r="G169" s="8" t="s">
        <v>249</v>
      </c>
      <c r="H169" s="4">
        <v>-2000</v>
      </c>
      <c r="I169" s="8" t="s">
        <v>66</v>
      </c>
      <c r="J169" s="4">
        <v>0</v>
      </c>
      <c r="K169" s="4">
        <v>0</v>
      </c>
      <c r="L169" s="8" t="s">
        <v>117</v>
      </c>
      <c r="M169" s="4">
        <v>0</v>
      </c>
      <c r="N169" s="8" t="s">
        <v>1429</v>
      </c>
      <c r="O169" s="8" t="s">
        <v>1348</v>
      </c>
      <c r="P169" s="8" t="s">
        <v>218</v>
      </c>
      <c r="Q169" s="4">
        <v>5637714081</v>
      </c>
    </row>
    <row r="170" spans="1:17">
      <c r="A170" s="8" t="s">
        <v>1121</v>
      </c>
      <c r="B170" s="8" t="s">
        <v>772</v>
      </c>
      <c r="C170" s="8" t="s">
        <v>259</v>
      </c>
      <c r="D170" s="8" t="s">
        <v>352</v>
      </c>
      <c r="E170" s="6">
        <v>43151</v>
      </c>
      <c r="F170" s="8" t="s">
        <v>237</v>
      </c>
      <c r="G170" s="8" t="s">
        <v>249</v>
      </c>
      <c r="H170" s="4">
        <v>-400</v>
      </c>
      <c r="I170" s="8" t="s">
        <v>66</v>
      </c>
      <c r="J170" s="4">
        <v>0</v>
      </c>
      <c r="K170" s="4">
        <v>0</v>
      </c>
      <c r="L170" s="8" t="s">
        <v>117</v>
      </c>
      <c r="M170" s="4">
        <v>0</v>
      </c>
      <c r="N170" s="8" t="s">
        <v>1430</v>
      </c>
      <c r="O170" s="8" t="s">
        <v>1356</v>
      </c>
      <c r="P170" s="8" t="s">
        <v>218</v>
      </c>
      <c r="Q170" s="4">
        <v>5637714583</v>
      </c>
    </row>
    <row r="171" spans="1:17">
      <c r="A171" s="8" t="s">
        <v>1121</v>
      </c>
      <c r="B171" s="8" t="s">
        <v>780</v>
      </c>
      <c r="C171" s="8" t="s">
        <v>259</v>
      </c>
      <c r="D171" s="8" t="s">
        <v>352</v>
      </c>
      <c r="E171" s="6">
        <v>43157</v>
      </c>
      <c r="F171" s="8" t="s">
        <v>237</v>
      </c>
      <c r="G171" s="8" t="s">
        <v>249</v>
      </c>
      <c r="H171" s="4">
        <v>-200</v>
      </c>
      <c r="I171" s="8" t="s">
        <v>66</v>
      </c>
      <c r="J171" s="4">
        <v>0</v>
      </c>
      <c r="K171" s="4">
        <v>0</v>
      </c>
      <c r="L171" s="8" t="s">
        <v>117</v>
      </c>
      <c r="M171" s="4">
        <v>0</v>
      </c>
      <c r="N171" s="8" t="s">
        <v>1408</v>
      </c>
      <c r="O171" s="8" t="s">
        <v>1368</v>
      </c>
      <c r="P171" s="8" t="s">
        <v>218</v>
      </c>
      <c r="Q171" s="4">
        <v>5637715451</v>
      </c>
    </row>
    <row r="172" spans="1:17">
      <c r="A172" s="8" t="s">
        <v>1121</v>
      </c>
      <c r="B172" s="8" t="s">
        <v>784</v>
      </c>
      <c r="C172" s="8" t="s">
        <v>259</v>
      </c>
      <c r="D172" s="8" t="s">
        <v>352</v>
      </c>
      <c r="E172" s="6">
        <v>43157</v>
      </c>
      <c r="F172" s="8" t="s">
        <v>237</v>
      </c>
      <c r="G172" s="8" t="s">
        <v>249</v>
      </c>
      <c r="H172" s="4">
        <v>-200.01939999999999</v>
      </c>
      <c r="I172" s="8" t="s">
        <v>66</v>
      </c>
      <c r="J172" s="4">
        <v>0</v>
      </c>
      <c r="K172" s="4">
        <v>0</v>
      </c>
      <c r="L172" s="8" t="s">
        <v>117</v>
      </c>
      <c r="M172" s="4">
        <v>0</v>
      </c>
      <c r="N172" s="8" t="s">
        <v>1409</v>
      </c>
      <c r="O172" s="8" t="s">
        <v>1376</v>
      </c>
      <c r="P172" s="8" t="s">
        <v>218</v>
      </c>
      <c r="Q172" s="4">
        <v>5637715463</v>
      </c>
    </row>
    <row r="173" spans="1:17">
      <c r="A173" s="8" t="s">
        <v>1121</v>
      </c>
      <c r="B173" s="8" t="s">
        <v>788</v>
      </c>
      <c r="C173" s="8" t="s">
        <v>259</v>
      </c>
      <c r="D173" s="8" t="s">
        <v>352</v>
      </c>
      <c r="E173" s="6">
        <v>43157</v>
      </c>
      <c r="F173" s="8" t="s">
        <v>237</v>
      </c>
      <c r="G173" s="8" t="s">
        <v>249</v>
      </c>
      <c r="H173" s="4">
        <v>-200</v>
      </c>
      <c r="I173" s="8" t="s">
        <v>66</v>
      </c>
      <c r="J173" s="4">
        <v>0</v>
      </c>
      <c r="K173" s="4">
        <v>0</v>
      </c>
      <c r="L173" s="8" t="s">
        <v>117</v>
      </c>
      <c r="M173" s="4">
        <v>0</v>
      </c>
      <c r="N173" s="8" t="s">
        <v>1431</v>
      </c>
      <c r="O173" s="8" t="s">
        <v>1384</v>
      </c>
      <c r="P173" s="8" t="s">
        <v>218</v>
      </c>
      <c r="Q173" s="4">
        <v>5637715481</v>
      </c>
    </row>
    <row r="174" spans="1:17">
      <c r="A174" s="8" t="s">
        <v>122</v>
      </c>
      <c r="B174" s="8" t="s">
        <v>598</v>
      </c>
      <c r="C174" s="8" t="s">
        <v>599</v>
      </c>
      <c r="D174" s="8" t="s">
        <v>600</v>
      </c>
      <c r="E174" s="6">
        <v>43154</v>
      </c>
      <c r="F174" s="8" t="s">
        <v>237</v>
      </c>
      <c r="G174" s="8" t="s">
        <v>238</v>
      </c>
      <c r="H174" s="4">
        <v>-50</v>
      </c>
      <c r="I174" s="8" t="s">
        <v>66</v>
      </c>
      <c r="J174" s="4">
        <v>0</v>
      </c>
      <c r="K174" s="4">
        <v>0</v>
      </c>
      <c r="L174" s="8" t="s">
        <v>117</v>
      </c>
      <c r="M174" s="4">
        <v>0</v>
      </c>
      <c r="N174" s="8" t="s">
        <v>1445</v>
      </c>
      <c r="O174" s="8" t="s">
        <v>601</v>
      </c>
      <c r="P174" s="8" t="s">
        <v>218</v>
      </c>
      <c r="Q174" s="4">
        <v>5637714450</v>
      </c>
    </row>
    <row r="175" spans="1:17">
      <c r="A175" s="8" t="s">
        <v>1121</v>
      </c>
      <c r="B175" s="8" t="s">
        <v>674</v>
      </c>
      <c r="C175" s="8" t="s">
        <v>261</v>
      </c>
      <c r="D175" s="8" t="s">
        <v>354</v>
      </c>
      <c r="E175" s="6">
        <v>43108</v>
      </c>
      <c r="F175" s="8" t="s">
        <v>237</v>
      </c>
      <c r="G175" s="8" t="s">
        <v>238</v>
      </c>
      <c r="H175" s="4">
        <v>-10.017799999999999</v>
      </c>
      <c r="I175" s="8" t="s">
        <v>66</v>
      </c>
      <c r="J175" s="4">
        <v>0</v>
      </c>
      <c r="K175" s="4">
        <v>0</v>
      </c>
      <c r="L175" s="8" t="s">
        <v>117</v>
      </c>
      <c r="M175" s="4">
        <v>0</v>
      </c>
      <c r="N175" s="8" t="s">
        <v>1398</v>
      </c>
      <c r="O175" s="8" t="s">
        <v>1159</v>
      </c>
      <c r="P175" s="8" t="s">
        <v>218</v>
      </c>
      <c r="Q175" s="4">
        <v>5637706396</v>
      </c>
    </row>
    <row r="176" spans="1:17">
      <c r="A176" s="8" t="s">
        <v>1121</v>
      </c>
      <c r="B176" s="8" t="s">
        <v>672</v>
      </c>
      <c r="C176" s="8" t="s">
        <v>261</v>
      </c>
      <c r="D176" s="8" t="s">
        <v>354</v>
      </c>
      <c r="E176" s="6">
        <v>43110</v>
      </c>
      <c r="F176" s="8" t="s">
        <v>237</v>
      </c>
      <c r="G176" s="8" t="s">
        <v>238</v>
      </c>
      <c r="H176" s="4">
        <v>-18</v>
      </c>
      <c r="I176" s="8" t="s">
        <v>66</v>
      </c>
      <c r="J176" s="4">
        <v>0</v>
      </c>
      <c r="K176" s="4">
        <v>0</v>
      </c>
      <c r="L176" s="8" t="s">
        <v>117</v>
      </c>
      <c r="M176" s="4">
        <v>0</v>
      </c>
      <c r="N176" s="8" t="s">
        <v>1406</v>
      </c>
      <c r="O176" s="8" t="s">
        <v>1153</v>
      </c>
      <c r="P176" s="8" t="s">
        <v>218</v>
      </c>
      <c r="Q176" s="4">
        <v>5637706382</v>
      </c>
    </row>
    <row r="177" spans="1:17">
      <c r="A177" s="8" t="s">
        <v>1121</v>
      </c>
      <c r="B177" s="8" t="s">
        <v>752</v>
      </c>
      <c r="C177" s="8" t="s">
        <v>261</v>
      </c>
      <c r="D177" s="8" t="s">
        <v>354</v>
      </c>
      <c r="E177" s="6">
        <v>43140</v>
      </c>
      <c r="F177" s="8" t="s">
        <v>237</v>
      </c>
      <c r="G177" s="8" t="s">
        <v>238</v>
      </c>
      <c r="H177" s="4">
        <v>-39.428800000000003</v>
      </c>
      <c r="I177" s="8" t="s">
        <v>66</v>
      </c>
      <c r="J177" s="4">
        <v>0</v>
      </c>
      <c r="K177" s="4">
        <v>0</v>
      </c>
      <c r="L177" s="8" t="s">
        <v>117</v>
      </c>
      <c r="M177" s="4">
        <v>0</v>
      </c>
      <c r="N177" s="8" t="s">
        <v>1399</v>
      </c>
      <c r="O177" s="8" t="s">
        <v>1308</v>
      </c>
      <c r="P177" s="8" t="s">
        <v>218</v>
      </c>
      <c r="Q177" s="4">
        <v>5637708346</v>
      </c>
    </row>
    <row r="178" spans="1:17">
      <c r="A178" s="8" t="s">
        <v>1121</v>
      </c>
      <c r="B178" s="8" t="s">
        <v>752</v>
      </c>
      <c r="C178" s="8" t="s">
        <v>262</v>
      </c>
      <c r="D178" s="8" t="s">
        <v>356</v>
      </c>
      <c r="E178" s="6">
        <v>43140</v>
      </c>
      <c r="F178" s="8" t="s">
        <v>237</v>
      </c>
      <c r="G178" s="8" t="s">
        <v>238</v>
      </c>
      <c r="H178" s="4">
        <v>-2.3656999999999995</v>
      </c>
      <c r="I178" s="8" t="s">
        <v>66</v>
      </c>
      <c r="J178" s="4">
        <v>0</v>
      </c>
      <c r="K178" s="4">
        <v>0</v>
      </c>
      <c r="L178" s="8" t="s">
        <v>117</v>
      </c>
      <c r="M178" s="4">
        <v>0</v>
      </c>
      <c r="N178" s="8" t="s">
        <v>1399</v>
      </c>
      <c r="O178" s="8" t="s">
        <v>1309</v>
      </c>
      <c r="P178" s="8" t="s">
        <v>218</v>
      </c>
      <c r="Q178" s="4">
        <v>5637708347</v>
      </c>
    </row>
    <row r="179" spans="1:17">
      <c r="A179" s="8" t="s">
        <v>122</v>
      </c>
      <c r="B179" s="8" t="s">
        <v>513</v>
      </c>
      <c r="C179" s="8" t="s">
        <v>212</v>
      </c>
      <c r="D179" s="8" t="s">
        <v>216</v>
      </c>
      <c r="E179" s="6">
        <v>43118</v>
      </c>
      <c r="F179" s="8" t="s">
        <v>237</v>
      </c>
      <c r="G179" s="8" t="s">
        <v>238</v>
      </c>
      <c r="H179" s="4">
        <v>-18</v>
      </c>
      <c r="I179" s="8" t="s">
        <v>22</v>
      </c>
      <c r="J179" s="4">
        <v>0</v>
      </c>
      <c r="K179" s="4">
        <v>0</v>
      </c>
      <c r="L179" s="8" t="s">
        <v>117</v>
      </c>
      <c r="M179" s="4">
        <v>0</v>
      </c>
      <c r="N179" s="8" t="s">
        <v>1446</v>
      </c>
      <c r="O179" s="8" t="s">
        <v>514</v>
      </c>
      <c r="P179" s="8" t="s">
        <v>218</v>
      </c>
      <c r="Q179" s="4">
        <v>5637707295</v>
      </c>
    </row>
    <row r="180" spans="1:17">
      <c r="A180" s="8" t="s">
        <v>122</v>
      </c>
      <c r="B180" s="8" t="s">
        <v>513</v>
      </c>
      <c r="C180" s="8" t="s">
        <v>212</v>
      </c>
      <c r="D180" s="8" t="s">
        <v>216</v>
      </c>
      <c r="E180" s="6">
        <v>43118</v>
      </c>
      <c r="F180" s="8" t="s">
        <v>237</v>
      </c>
      <c r="G180" s="8" t="s">
        <v>238</v>
      </c>
      <c r="H180" s="4">
        <v>-4</v>
      </c>
      <c r="I180" s="8" t="s">
        <v>22</v>
      </c>
      <c r="J180" s="4">
        <v>0</v>
      </c>
      <c r="K180" s="4">
        <v>0</v>
      </c>
      <c r="L180" s="8" t="s">
        <v>117</v>
      </c>
      <c r="M180" s="4">
        <v>0</v>
      </c>
      <c r="N180" s="8" t="s">
        <v>1446</v>
      </c>
      <c r="O180" s="8" t="s">
        <v>515</v>
      </c>
      <c r="P180" s="8" t="s">
        <v>218</v>
      </c>
      <c r="Q180" s="4">
        <v>5637707296</v>
      </c>
    </row>
    <row r="181" spans="1:17">
      <c r="A181" s="8" t="s">
        <v>122</v>
      </c>
      <c r="B181" s="8" t="s">
        <v>513</v>
      </c>
      <c r="C181" s="8" t="s">
        <v>212</v>
      </c>
      <c r="D181" s="8" t="s">
        <v>216</v>
      </c>
      <c r="E181" s="6">
        <v>43118</v>
      </c>
      <c r="F181" s="8" t="s">
        <v>237</v>
      </c>
      <c r="G181" s="8" t="s">
        <v>238</v>
      </c>
      <c r="H181" s="4">
        <v>-1</v>
      </c>
      <c r="I181" s="8" t="s">
        <v>22</v>
      </c>
      <c r="J181" s="4">
        <v>0</v>
      </c>
      <c r="K181" s="4">
        <v>0</v>
      </c>
      <c r="L181" s="8" t="s">
        <v>117</v>
      </c>
      <c r="M181" s="4">
        <v>0</v>
      </c>
      <c r="N181" s="8" t="s">
        <v>1446</v>
      </c>
      <c r="O181" s="8" t="s">
        <v>516</v>
      </c>
      <c r="P181" s="8" t="s">
        <v>218</v>
      </c>
      <c r="Q181" s="4">
        <v>5637707297</v>
      </c>
    </row>
    <row r="182" spans="1:17">
      <c r="A182" s="8" t="s">
        <v>122</v>
      </c>
      <c r="B182" s="8" t="s">
        <v>513</v>
      </c>
      <c r="C182" s="8" t="s">
        <v>212</v>
      </c>
      <c r="D182" s="8" t="s">
        <v>216</v>
      </c>
      <c r="E182" s="6">
        <v>43118</v>
      </c>
      <c r="F182" s="8" t="s">
        <v>237</v>
      </c>
      <c r="G182" s="8" t="s">
        <v>238</v>
      </c>
      <c r="H182" s="4">
        <v>-13</v>
      </c>
      <c r="I182" s="8" t="s">
        <v>22</v>
      </c>
      <c r="J182" s="4">
        <v>0</v>
      </c>
      <c r="K182" s="4">
        <v>0</v>
      </c>
      <c r="L182" s="8" t="s">
        <v>117</v>
      </c>
      <c r="M182" s="4">
        <v>0</v>
      </c>
      <c r="N182" s="8" t="s">
        <v>1446</v>
      </c>
      <c r="O182" s="8" t="s">
        <v>517</v>
      </c>
      <c r="P182" s="8" t="s">
        <v>218</v>
      </c>
      <c r="Q182" s="4">
        <v>5637707298</v>
      </c>
    </row>
    <row r="183" spans="1:17">
      <c r="A183" s="8" t="s">
        <v>122</v>
      </c>
      <c r="B183" s="8" t="s">
        <v>613</v>
      </c>
      <c r="C183" s="8" t="s">
        <v>212</v>
      </c>
      <c r="D183" s="8" t="s">
        <v>216</v>
      </c>
      <c r="E183" s="6">
        <v>43154</v>
      </c>
      <c r="F183" s="8" t="s">
        <v>237</v>
      </c>
      <c r="G183" s="8" t="s">
        <v>238</v>
      </c>
      <c r="H183" s="4">
        <v>-19</v>
      </c>
      <c r="I183" s="8" t="s">
        <v>22</v>
      </c>
      <c r="J183" s="4">
        <v>0</v>
      </c>
      <c r="K183" s="4">
        <v>0</v>
      </c>
      <c r="L183" s="8" t="s">
        <v>117</v>
      </c>
      <c r="M183" s="4">
        <v>0</v>
      </c>
      <c r="N183" s="8" t="s">
        <v>1447</v>
      </c>
      <c r="O183" s="8" t="s">
        <v>614</v>
      </c>
      <c r="P183" s="8" t="s">
        <v>218</v>
      </c>
      <c r="Q183" s="4">
        <v>5637713883</v>
      </c>
    </row>
    <row r="184" spans="1:17">
      <c r="A184" s="8" t="s">
        <v>122</v>
      </c>
      <c r="B184" s="8" t="s">
        <v>613</v>
      </c>
      <c r="C184" s="8" t="s">
        <v>212</v>
      </c>
      <c r="D184" s="8" t="s">
        <v>216</v>
      </c>
      <c r="E184" s="6">
        <v>43154</v>
      </c>
      <c r="F184" s="8" t="s">
        <v>237</v>
      </c>
      <c r="G184" s="8" t="s">
        <v>238</v>
      </c>
      <c r="H184" s="4">
        <v>-12</v>
      </c>
      <c r="I184" s="8" t="s">
        <v>22</v>
      </c>
      <c r="J184" s="4">
        <v>0</v>
      </c>
      <c r="K184" s="4">
        <v>0</v>
      </c>
      <c r="L184" s="8" t="s">
        <v>117</v>
      </c>
      <c r="M184" s="4">
        <v>0</v>
      </c>
      <c r="N184" s="8" t="s">
        <v>1447</v>
      </c>
      <c r="O184" s="8" t="s">
        <v>615</v>
      </c>
      <c r="P184" s="8" t="s">
        <v>218</v>
      </c>
      <c r="Q184" s="4">
        <v>5637713884</v>
      </c>
    </row>
    <row r="185" spans="1:17">
      <c r="A185" s="8" t="s">
        <v>122</v>
      </c>
      <c r="B185" s="8" t="s">
        <v>613</v>
      </c>
      <c r="C185" s="8" t="s">
        <v>212</v>
      </c>
      <c r="D185" s="8" t="s">
        <v>216</v>
      </c>
      <c r="E185" s="6">
        <v>43154</v>
      </c>
      <c r="F185" s="8" t="s">
        <v>237</v>
      </c>
      <c r="G185" s="8" t="s">
        <v>238</v>
      </c>
      <c r="H185" s="4">
        <v>-3</v>
      </c>
      <c r="I185" s="8" t="s">
        <v>22</v>
      </c>
      <c r="J185" s="4">
        <v>0</v>
      </c>
      <c r="K185" s="4">
        <v>0</v>
      </c>
      <c r="L185" s="8" t="s">
        <v>117</v>
      </c>
      <c r="M185" s="4">
        <v>0</v>
      </c>
      <c r="N185" s="8" t="s">
        <v>1447</v>
      </c>
      <c r="O185" s="8" t="s">
        <v>616</v>
      </c>
      <c r="P185" s="8" t="s">
        <v>218</v>
      </c>
      <c r="Q185" s="4">
        <v>5637713885</v>
      </c>
    </row>
    <row r="186" spans="1:17">
      <c r="A186" s="8" t="s">
        <v>122</v>
      </c>
      <c r="B186" s="8" t="s">
        <v>613</v>
      </c>
      <c r="C186" s="8" t="s">
        <v>212</v>
      </c>
      <c r="D186" s="8" t="s">
        <v>216</v>
      </c>
      <c r="E186" s="6">
        <v>43154</v>
      </c>
      <c r="F186" s="8" t="s">
        <v>237</v>
      </c>
      <c r="G186" s="8" t="s">
        <v>238</v>
      </c>
      <c r="H186" s="4">
        <v>-1</v>
      </c>
      <c r="I186" s="8" t="s">
        <v>22</v>
      </c>
      <c r="J186" s="4">
        <v>0</v>
      </c>
      <c r="K186" s="4">
        <v>0</v>
      </c>
      <c r="L186" s="8" t="s">
        <v>117</v>
      </c>
      <c r="M186" s="4">
        <v>0</v>
      </c>
      <c r="N186" s="8" t="s">
        <v>1447</v>
      </c>
      <c r="O186" s="8" t="s">
        <v>616</v>
      </c>
      <c r="P186" s="8" t="s">
        <v>218</v>
      </c>
      <c r="Q186" s="4">
        <v>5637713886</v>
      </c>
    </row>
    <row r="187" spans="1:17">
      <c r="A187" s="8" t="s">
        <v>122</v>
      </c>
      <c r="B187" s="8" t="s">
        <v>513</v>
      </c>
      <c r="C187" s="8" t="s">
        <v>518</v>
      </c>
      <c r="D187" s="8" t="s">
        <v>519</v>
      </c>
      <c r="E187" s="6">
        <v>43118</v>
      </c>
      <c r="F187" s="8" t="s">
        <v>237</v>
      </c>
      <c r="G187" s="8" t="s">
        <v>238</v>
      </c>
      <c r="H187" s="4">
        <v>-50</v>
      </c>
      <c r="I187" s="8" t="s">
        <v>22</v>
      </c>
      <c r="J187" s="4">
        <v>0</v>
      </c>
      <c r="K187" s="4">
        <v>0</v>
      </c>
      <c r="L187" s="8" t="s">
        <v>117</v>
      </c>
      <c r="M187" s="4">
        <v>0</v>
      </c>
      <c r="N187" s="8" t="s">
        <v>1446</v>
      </c>
      <c r="O187" s="8" t="s">
        <v>520</v>
      </c>
      <c r="P187" s="8" t="s">
        <v>218</v>
      </c>
      <c r="Q187" s="4">
        <v>5637707291</v>
      </c>
    </row>
    <row r="188" spans="1:17">
      <c r="A188" s="8" t="s">
        <v>655</v>
      </c>
      <c r="B188" s="8" t="s">
        <v>734</v>
      </c>
      <c r="C188" s="8" t="s">
        <v>263</v>
      </c>
      <c r="D188" s="8" t="s">
        <v>357</v>
      </c>
      <c r="E188" s="6">
        <v>43108</v>
      </c>
      <c r="F188" s="8" t="s">
        <v>237</v>
      </c>
      <c r="G188" s="8" t="s">
        <v>238</v>
      </c>
      <c r="H188" s="4">
        <v>45</v>
      </c>
      <c r="I188" s="8" t="s">
        <v>22</v>
      </c>
      <c r="J188" s="4">
        <v>0</v>
      </c>
      <c r="K188" s="4">
        <v>0</v>
      </c>
      <c r="L188" s="8" t="s">
        <v>117</v>
      </c>
      <c r="M188" s="4">
        <v>0</v>
      </c>
      <c r="N188" s="8" t="s">
        <v>1448</v>
      </c>
      <c r="O188" s="8" t="s">
        <v>735</v>
      </c>
      <c r="P188" s="8" t="s">
        <v>218</v>
      </c>
      <c r="Q188" s="4">
        <v>5637707144</v>
      </c>
    </row>
    <row r="189" spans="1:17">
      <c r="A189" s="8" t="s">
        <v>122</v>
      </c>
      <c r="B189" s="8" t="s">
        <v>591</v>
      </c>
      <c r="C189" s="8" t="s">
        <v>263</v>
      </c>
      <c r="D189" s="8" t="s">
        <v>357</v>
      </c>
      <c r="E189" s="6">
        <v>43147</v>
      </c>
      <c r="F189" s="8" t="s">
        <v>237</v>
      </c>
      <c r="G189" s="8" t="s">
        <v>238</v>
      </c>
      <c r="H189" s="4">
        <v>-2</v>
      </c>
      <c r="I189" s="8" t="s">
        <v>22</v>
      </c>
      <c r="J189" s="4">
        <v>0</v>
      </c>
      <c r="K189" s="4">
        <v>0</v>
      </c>
      <c r="L189" s="8" t="s">
        <v>117</v>
      </c>
      <c r="M189" s="4">
        <v>0</v>
      </c>
      <c r="N189" s="8" t="s">
        <v>1449</v>
      </c>
      <c r="O189" s="8" t="s">
        <v>592</v>
      </c>
      <c r="P189" s="8" t="s">
        <v>218</v>
      </c>
      <c r="Q189" s="4">
        <v>5637709056</v>
      </c>
    </row>
    <row r="190" spans="1:17">
      <c r="A190" s="8" t="s">
        <v>122</v>
      </c>
      <c r="B190" s="8" t="s">
        <v>610</v>
      </c>
      <c r="C190" s="8" t="s">
        <v>263</v>
      </c>
      <c r="D190" s="8" t="s">
        <v>357</v>
      </c>
      <c r="E190" s="6">
        <v>43154</v>
      </c>
      <c r="F190" s="8" t="s">
        <v>237</v>
      </c>
      <c r="G190" s="8" t="s">
        <v>238</v>
      </c>
      <c r="H190" s="4">
        <v>-5</v>
      </c>
      <c r="I190" s="8" t="s">
        <v>22</v>
      </c>
      <c r="J190" s="4">
        <v>0</v>
      </c>
      <c r="K190" s="4">
        <v>0</v>
      </c>
      <c r="L190" s="8" t="s">
        <v>117</v>
      </c>
      <c r="M190" s="4">
        <v>0</v>
      </c>
      <c r="N190" s="8" t="s">
        <v>1450</v>
      </c>
      <c r="O190" s="8" t="s">
        <v>611</v>
      </c>
      <c r="P190" s="8" t="s">
        <v>218</v>
      </c>
      <c r="Q190" s="4">
        <v>5637713881</v>
      </c>
    </row>
    <row r="191" spans="1:17">
      <c r="A191" s="8" t="s">
        <v>122</v>
      </c>
      <c r="B191" s="8" t="s">
        <v>598</v>
      </c>
      <c r="C191" s="8" t="s">
        <v>263</v>
      </c>
      <c r="D191" s="8" t="s">
        <v>357</v>
      </c>
      <c r="E191" s="6">
        <v>43154</v>
      </c>
      <c r="F191" s="8" t="s">
        <v>237</v>
      </c>
      <c r="G191" s="8" t="s">
        <v>238</v>
      </c>
      <c r="H191" s="4">
        <v>-2</v>
      </c>
      <c r="I191" s="8" t="s">
        <v>22</v>
      </c>
      <c r="J191" s="4">
        <v>0</v>
      </c>
      <c r="K191" s="4">
        <v>0</v>
      </c>
      <c r="L191" s="8" t="s">
        <v>117</v>
      </c>
      <c r="M191" s="4">
        <v>0</v>
      </c>
      <c r="N191" s="8" t="s">
        <v>1445</v>
      </c>
      <c r="O191" s="8" t="s">
        <v>602</v>
      </c>
      <c r="P191" s="8" t="s">
        <v>218</v>
      </c>
      <c r="Q191" s="4">
        <v>5637709453</v>
      </c>
    </row>
    <row r="192" spans="1:17">
      <c r="A192" s="8" t="s">
        <v>1121</v>
      </c>
      <c r="B192" s="8" t="s">
        <v>734</v>
      </c>
      <c r="C192" s="8" t="s">
        <v>358</v>
      </c>
      <c r="D192" s="8" t="s">
        <v>359</v>
      </c>
      <c r="E192" s="6">
        <v>43108</v>
      </c>
      <c r="F192" s="8" t="s">
        <v>237</v>
      </c>
      <c r="G192" s="8" t="s">
        <v>238</v>
      </c>
      <c r="H192" s="4">
        <v>-1278</v>
      </c>
      <c r="I192" s="8" t="s">
        <v>66</v>
      </c>
      <c r="J192" s="4">
        <v>0</v>
      </c>
      <c r="K192" s="4">
        <v>0</v>
      </c>
      <c r="L192" s="8" t="s">
        <v>117</v>
      </c>
      <c r="M192" s="4">
        <v>0</v>
      </c>
      <c r="N192" s="8" t="s">
        <v>1448</v>
      </c>
      <c r="O192" s="8" t="s">
        <v>1280</v>
      </c>
      <c r="P192" s="8" t="s">
        <v>218</v>
      </c>
      <c r="Q192" s="4">
        <v>5637707145</v>
      </c>
    </row>
    <row r="193" spans="1:17">
      <c r="A193" s="8" t="s">
        <v>655</v>
      </c>
      <c r="B193" s="8" t="s">
        <v>672</v>
      </c>
      <c r="C193" s="8" t="s">
        <v>358</v>
      </c>
      <c r="D193" s="8" t="s">
        <v>359</v>
      </c>
      <c r="E193" s="6">
        <v>43110</v>
      </c>
      <c r="F193" s="8" t="s">
        <v>237</v>
      </c>
      <c r="G193" s="8" t="s">
        <v>238</v>
      </c>
      <c r="H193" s="4">
        <v>1278</v>
      </c>
      <c r="I193" s="8" t="s">
        <v>66</v>
      </c>
      <c r="J193" s="4">
        <v>0</v>
      </c>
      <c r="K193" s="4">
        <v>0</v>
      </c>
      <c r="L193" s="8" t="s">
        <v>117</v>
      </c>
      <c r="M193" s="4">
        <v>0</v>
      </c>
      <c r="N193" s="8" t="s">
        <v>1406</v>
      </c>
      <c r="O193" s="8" t="s">
        <v>673</v>
      </c>
      <c r="P193" s="8" t="s">
        <v>218</v>
      </c>
      <c r="Q193" s="4">
        <v>5637706376</v>
      </c>
    </row>
    <row r="194" spans="1:17">
      <c r="A194" s="8" t="s">
        <v>1121</v>
      </c>
      <c r="B194" s="8" t="s">
        <v>734</v>
      </c>
      <c r="C194" s="8" t="s">
        <v>1040</v>
      </c>
      <c r="D194" s="8" t="s">
        <v>1041</v>
      </c>
      <c r="E194" s="6">
        <v>43108</v>
      </c>
      <c r="F194" s="8" t="s">
        <v>237</v>
      </c>
      <c r="G194" s="8" t="s">
        <v>238</v>
      </c>
      <c r="H194" s="4">
        <v>-45</v>
      </c>
      <c r="I194" s="8" t="s">
        <v>22</v>
      </c>
      <c r="J194" s="4">
        <v>0</v>
      </c>
      <c r="K194" s="4">
        <v>0</v>
      </c>
      <c r="L194" s="8" t="s">
        <v>117</v>
      </c>
      <c r="M194" s="4">
        <v>0</v>
      </c>
      <c r="N194" s="8" t="s">
        <v>1448</v>
      </c>
      <c r="O194" s="8" t="s">
        <v>1281</v>
      </c>
      <c r="P194" s="8" t="s">
        <v>218</v>
      </c>
      <c r="Q194" s="4">
        <v>5637707146</v>
      </c>
    </row>
    <row r="195" spans="1:17">
      <c r="A195" s="8" t="s">
        <v>1121</v>
      </c>
      <c r="B195" s="8" t="s">
        <v>736</v>
      </c>
      <c r="C195" s="8" t="s">
        <v>1040</v>
      </c>
      <c r="D195" s="8" t="s">
        <v>1041</v>
      </c>
      <c r="E195" s="6">
        <v>43108</v>
      </c>
      <c r="F195" s="8" t="s">
        <v>237</v>
      </c>
      <c r="G195" s="8" t="s">
        <v>238</v>
      </c>
      <c r="H195" s="4">
        <v>-2</v>
      </c>
      <c r="I195" s="8" t="s">
        <v>22</v>
      </c>
      <c r="J195" s="4">
        <v>0</v>
      </c>
      <c r="K195" s="4">
        <v>0</v>
      </c>
      <c r="L195" s="8" t="s">
        <v>117</v>
      </c>
      <c r="M195" s="4">
        <v>0</v>
      </c>
      <c r="N195" s="8" t="s">
        <v>1397</v>
      </c>
      <c r="O195" s="8" t="s">
        <v>1283</v>
      </c>
      <c r="P195" s="8" t="s">
        <v>218</v>
      </c>
      <c r="Q195" s="4">
        <v>5637707152</v>
      </c>
    </row>
    <row r="196" spans="1:17">
      <c r="A196" s="8" t="s">
        <v>1121</v>
      </c>
      <c r="B196" s="8" t="s">
        <v>750</v>
      </c>
      <c r="C196" s="8" t="s">
        <v>1040</v>
      </c>
      <c r="D196" s="8" t="s">
        <v>1041</v>
      </c>
      <c r="E196" s="6">
        <v>43138</v>
      </c>
      <c r="F196" s="8" t="s">
        <v>237</v>
      </c>
      <c r="G196" s="8" t="s">
        <v>238</v>
      </c>
      <c r="H196" s="4">
        <v>-1</v>
      </c>
      <c r="I196" s="8" t="s">
        <v>22</v>
      </c>
      <c r="J196" s="4">
        <v>0</v>
      </c>
      <c r="K196" s="4">
        <v>0</v>
      </c>
      <c r="L196" s="8" t="s">
        <v>117</v>
      </c>
      <c r="M196" s="4">
        <v>0</v>
      </c>
      <c r="N196" s="8" t="s">
        <v>1438</v>
      </c>
      <c r="O196" s="8" t="s">
        <v>1304</v>
      </c>
      <c r="P196" s="8" t="s">
        <v>218</v>
      </c>
      <c r="Q196" s="4">
        <v>5637707545</v>
      </c>
    </row>
    <row r="197" spans="1:17">
      <c r="A197" s="8" t="s">
        <v>122</v>
      </c>
      <c r="B197" s="8" t="s">
        <v>490</v>
      </c>
      <c r="C197" s="8" t="s">
        <v>64</v>
      </c>
      <c r="D197" s="8" t="s">
        <v>65</v>
      </c>
      <c r="E197" s="6">
        <v>43102</v>
      </c>
      <c r="F197" s="8" t="s">
        <v>237</v>
      </c>
      <c r="G197" s="8" t="s">
        <v>238</v>
      </c>
      <c r="H197" s="4">
        <v>-75</v>
      </c>
      <c r="I197" s="8" t="s">
        <v>24</v>
      </c>
      <c r="J197" s="4">
        <v>0</v>
      </c>
      <c r="K197" s="4">
        <v>0</v>
      </c>
      <c r="L197" s="8" t="s">
        <v>117</v>
      </c>
      <c r="M197" s="4">
        <v>0</v>
      </c>
      <c r="N197" s="8" t="s">
        <v>1436</v>
      </c>
      <c r="O197" s="8" t="s">
        <v>492</v>
      </c>
      <c r="P197" s="8" t="s">
        <v>218</v>
      </c>
      <c r="Q197" s="4">
        <v>5637707266</v>
      </c>
    </row>
    <row r="198" spans="1:17">
      <c r="A198" s="8" t="s">
        <v>122</v>
      </c>
      <c r="B198" s="8" t="s">
        <v>503</v>
      </c>
      <c r="C198" s="8" t="s">
        <v>64</v>
      </c>
      <c r="D198" s="8" t="s">
        <v>65</v>
      </c>
      <c r="E198" s="6">
        <v>43110</v>
      </c>
      <c r="F198" s="8" t="s">
        <v>237</v>
      </c>
      <c r="G198" s="8" t="s">
        <v>238</v>
      </c>
      <c r="H198" s="4">
        <v>-15</v>
      </c>
      <c r="I198" s="8" t="s">
        <v>24</v>
      </c>
      <c r="J198" s="4">
        <v>0</v>
      </c>
      <c r="K198" s="4">
        <v>0</v>
      </c>
      <c r="L198" s="8" t="s">
        <v>117</v>
      </c>
      <c r="M198" s="4">
        <v>0</v>
      </c>
      <c r="N198" s="8" t="s">
        <v>1451</v>
      </c>
      <c r="O198" s="8" t="s">
        <v>504</v>
      </c>
      <c r="P198" s="8" t="s">
        <v>218</v>
      </c>
      <c r="Q198" s="4">
        <v>5637707286</v>
      </c>
    </row>
    <row r="199" spans="1:17">
      <c r="A199" s="8" t="s">
        <v>15</v>
      </c>
      <c r="B199" s="8" t="s">
        <v>800</v>
      </c>
      <c r="C199" s="8" t="s">
        <v>64</v>
      </c>
      <c r="D199" s="8" t="s">
        <v>65</v>
      </c>
      <c r="E199" s="6">
        <v>43123</v>
      </c>
      <c r="F199" s="8" t="s">
        <v>237</v>
      </c>
      <c r="G199" s="8" t="s">
        <v>238</v>
      </c>
      <c r="H199" s="4">
        <v>100</v>
      </c>
      <c r="I199" s="8" t="s">
        <v>24</v>
      </c>
      <c r="J199" s="4">
        <v>0</v>
      </c>
      <c r="K199" s="4">
        <v>0</v>
      </c>
      <c r="L199" s="8" t="s">
        <v>117</v>
      </c>
      <c r="M199" s="4">
        <v>0</v>
      </c>
      <c r="N199" s="8" t="s">
        <v>1452</v>
      </c>
      <c r="O199" s="8" t="s">
        <v>801</v>
      </c>
      <c r="P199" s="8" t="s">
        <v>218</v>
      </c>
      <c r="Q199" s="4">
        <v>5637705560</v>
      </c>
    </row>
    <row r="200" spans="1:17">
      <c r="A200" s="8" t="s">
        <v>15</v>
      </c>
      <c r="B200" s="8" t="s">
        <v>800</v>
      </c>
      <c r="C200" s="8" t="s">
        <v>64</v>
      </c>
      <c r="D200" s="8" t="s">
        <v>65</v>
      </c>
      <c r="E200" s="6">
        <v>43123</v>
      </c>
      <c r="F200" s="8" t="s">
        <v>237</v>
      </c>
      <c r="G200" s="8" t="s">
        <v>238</v>
      </c>
      <c r="H200" s="4">
        <v>100</v>
      </c>
      <c r="I200" s="8" t="s">
        <v>24</v>
      </c>
      <c r="J200" s="4">
        <v>0</v>
      </c>
      <c r="K200" s="4">
        <v>0</v>
      </c>
      <c r="L200" s="8" t="s">
        <v>117</v>
      </c>
      <c r="M200" s="4">
        <v>0</v>
      </c>
      <c r="N200" s="8" t="s">
        <v>1452</v>
      </c>
      <c r="O200" s="8" t="s">
        <v>801</v>
      </c>
      <c r="P200" s="8" t="s">
        <v>218</v>
      </c>
      <c r="Q200" s="4">
        <v>5637705564</v>
      </c>
    </row>
    <row r="201" spans="1:17">
      <c r="A201" s="8" t="s">
        <v>15</v>
      </c>
      <c r="B201" s="8" t="s">
        <v>800</v>
      </c>
      <c r="C201" s="8" t="s">
        <v>64</v>
      </c>
      <c r="D201" s="8" t="s">
        <v>65</v>
      </c>
      <c r="E201" s="6">
        <v>43123</v>
      </c>
      <c r="F201" s="8" t="s">
        <v>237</v>
      </c>
      <c r="G201" s="8" t="s">
        <v>238</v>
      </c>
      <c r="H201" s="4">
        <v>100</v>
      </c>
      <c r="I201" s="8" t="s">
        <v>24</v>
      </c>
      <c r="J201" s="4">
        <v>0</v>
      </c>
      <c r="K201" s="4">
        <v>0</v>
      </c>
      <c r="L201" s="8" t="s">
        <v>117</v>
      </c>
      <c r="M201" s="4">
        <v>0</v>
      </c>
      <c r="N201" s="8" t="s">
        <v>1452</v>
      </c>
      <c r="O201" s="8" t="s">
        <v>801</v>
      </c>
      <c r="P201" s="8" t="s">
        <v>218</v>
      </c>
      <c r="Q201" s="4">
        <v>5637705565</v>
      </c>
    </row>
    <row r="202" spans="1:17">
      <c r="A202" s="8" t="s">
        <v>15</v>
      </c>
      <c r="B202" s="8" t="s">
        <v>800</v>
      </c>
      <c r="C202" s="8" t="s">
        <v>64</v>
      </c>
      <c r="D202" s="8" t="s">
        <v>65</v>
      </c>
      <c r="E202" s="6">
        <v>43123</v>
      </c>
      <c r="F202" s="8" t="s">
        <v>237</v>
      </c>
      <c r="G202" s="8" t="s">
        <v>238</v>
      </c>
      <c r="H202" s="4">
        <v>100</v>
      </c>
      <c r="I202" s="8" t="s">
        <v>24</v>
      </c>
      <c r="J202" s="4">
        <v>0</v>
      </c>
      <c r="K202" s="4">
        <v>0</v>
      </c>
      <c r="L202" s="8" t="s">
        <v>117</v>
      </c>
      <c r="M202" s="4">
        <v>0</v>
      </c>
      <c r="N202" s="8" t="s">
        <v>1452</v>
      </c>
      <c r="O202" s="8" t="s">
        <v>801</v>
      </c>
      <c r="P202" s="8" t="s">
        <v>218</v>
      </c>
      <c r="Q202" s="4">
        <v>5637705566</v>
      </c>
    </row>
    <row r="203" spans="1:17">
      <c r="A203" s="8" t="s">
        <v>122</v>
      </c>
      <c r="B203" s="8" t="s">
        <v>554</v>
      </c>
      <c r="C203" s="8" t="s">
        <v>64</v>
      </c>
      <c r="D203" s="8" t="s">
        <v>65</v>
      </c>
      <c r="E203" s="6">
        <v>43130</v>
      </c>
      <c r="F203" s="8" t="s">
        <v>237</v>
      </c>
      <c r="G203" s="8" t="s">
        <v>238</v>
      </c>
      <c r="H203" s="4">
        <v>-100</v>
      </c>
      <c r="I203" s="8" t="s">
        <v>24</v>
      </c>
      <c r="J203" s="4">
        <v>0</v>
      </c>
      <c r="K203" s="4">
        <v>0</v>
      </c>
      <c r="L203" s="8" t="s">
        <v>117</v>
      </c>
      <c r="M203" s="4">
        <v>0</v>
      </c>
      <c r="N203" s="8" t="s">
        <v>1453</v>
      </c>
      <c r="O203" s="8" t="s">
        <v>555</v>
      </c>
      <c r="P203" s="8" t="s">
        <v>218</v>
      </c>
      <c r="Q203" s="4">
        <v>5637707322</v>
      </c>
    </row>
    <row r="204" spans="1:17">
      <c r="A204" s="8" t="s">
        <v>122</v>
      </c>
      <c r="B204" s="8" t="s">
        <v>554</v>
      </c>
      <c r="C204" s="8" t="s">
        <v>64</v>
      </c>
      <c r="D204" s="8" t="s">
        <v>65</v>
      </c>
      <c r="E204" s="6">
        <v>43130</v>
      </c>
      <c r="F204" s="8" t="s">
        <v>237</v>
      </c>
      <c r="G204" s="8" t="s">
        <v>238</v>
      </c>
      <c r="H204" s="4">
        <v>-100</v>
      </c>
      <c r="I204" s="8" t="s">
        <v>24</v>
      </c>
      <c r="J204" s="4">
        <v>0</v>
      </c>
      <c r="K204" s="4">
        <v>0</v>
      </c>
      <c r="L204" s="8" t="s">
        <v>117</v>
      </c>
      <c r="M204" s="4">
        <v>0</v>
      </c>
      <c r="N204" s="8" t="s">
        <v>1453</v>
      </c>
      <c r="O204" s="8" t="s">
        <v>555</v>
      </c>
      <c r="P204" s="8" t="s">
        <v>218</v>
      </c>
      <c r="Q204" s="4">
        <v>5637707323</v>
      </c>
    </row>
    <row r="205" spans="1:17">
      <c r="A205" s="8" t="s">
        <v>122</v>
      </c>
      <c r="B205" s="8" t="s">
        <v>554</v>
      </c>
      <c r="C205" s="8" t="s">
        <v>64</v>
      </c>
      <c r="D205" s="8" t="s">
        <v>65</v>
      </c>
      <c r="E205" s="6">
        <v>43130</v>
      </c>
      <c r="F205" s="8" t="s">
        <v>237</v>
      </c>
      <c r="G205" s="8" t="s">
        <v>238</v>
      </c>
      <c r="H205" s="4">
        <v>-150</v>
      </c>
      <c r="I205" s="8" t="s">
        <v>24</v>
      </c>
      <c r="J205" s="4">
        <v>0</v>
      </c>
      <c r="K205" s="4">
        <v>0</v>
      </c>
      <c r="L205" s="8" t="s">
        <v>117</v>
      </c>
      <c r="M205" s="4">
        <v>0</v>
      </c>
      <c r="N205" s="8" t="s">
        <v>1453</v>
      </c>
      <c r="O205" s="8" t="s">
        <v>555</v>
      </c>
      <c r="P205" s="8" t="s">
        <v>218</v>
      </c>
      <c r="Q205" s="4">
        <v>5637707327</v>
      </c>
    </row>
    <row r="206" spans="1:17">
      <c r="A206" s="8" t="s">
        <v>122</v>
      </c>
      <c r="B206" s="8" t="s">
        <v>554</v>
      </c>
      <c r="C206" s="8" t="s">
        <v>64</v>
      </c>
      <c r="D206" s="8" t="s">
        <v>65</v>
      </c>
      <c r="E206" s="6">
        <v>43130</v>
      </c>
      <c r="F206" s="8" t="s">
        <v>237</v>
      </c>
      <c r="G206" s="8" t="s">
        <v>238</v>
      </c>
      <c r="H206" s="4">
        <v>-150</v>
      </c>
      <c r="I206" s="8" t="s">
        <v>24</v>
      </c>
      <c r="J206" s="4">
        <v>0</v>
      </c>
      <c r="K206" s="4">
        <v>0</v>
      </c>
      <c r="L206" s="8" t="s">
        <v>117</v>
      </c>
      <c r="M206" s="4">
        <v>0</v>
      </c>
      <c r="N206" s="8" t="s">
        <v>1453</v>
      </c>
      <c r="O206" s="8" t="s">
        <v>555</v>
      </c>
      <c r="P206" s="8" t="s">
        <v>218</v>
      </c>
      <c r="Q206" s="4">
        <v>5637707328</v>
      </c>
    </row>
    <row r="207" spans="1:17">
      <c r="A207" s="8" t="s">
        <v>122</v>
      </c>
      <c r="B207" s="8" t="s">
        <v>554</v>
      </c>
      <c r="C207" s="8" t="s">
        <v>64</v>
      </c>
      <c r="D207" s="8" t="s">
        <v>65</v>
      </c>
      <c r="E207" s="6">
        <v>43130</v>
      </c>
      <c r="F207" s="8" t="s">
        <v>237</v>
      </c>
      <c r="G207" s="8" t="s">
        <v>238</v>
      </c>
      <c r="H207" s="4">
        <v>-100</v>
      </c>
      <c r="I207" s="8" t="s">
        <v>24</v>
      </c>
      <c r="J207" s="4">
        <v>0</v>
      </c>
      <c r="K207" s="4">
        <v>0</v>
      </c>
      <c r="L207" s="8" t="s">
        <v>117</v>
      </c>
      <c r="M207" s="4">
        <v>0</v>
      </c>
      <c r="N207" s="8" t="s">
        <v>1453</v>
      </c>
      <c r="O207" s="8" t="s">
        <v>555</v>
      </c>
      <c r="P207" s="8" t="s">
        <v>218</v>
      </c>
      <c r="Q207" s="4">
        <v>5637707324</v>
      </c>
    </row>
    <row r="208" spans="1:17">
      <c r="A208" s="8" t="s">
        <v>122</v>
      </c>
      <c r="B208" s="8" t="s">
        <v>554</v>
      </c>
      <c r="C208" s="8" t="s">
        <v>64</v>
      </c>
      <c r="D208" s="8" t="s">
        <v>65</v>
      </c>
      <c r="E208" s="6">
        <v>43130</v>
      </c>
      <c r="F208" s="8" t="s">
        <v>237</v>
      </c>
      <c r="G208" s="8" t="s">
        <v>238</v>
      </c>
      <c r="H208" s="4">
        <v>-150</v>
      </c>
      <c r="I208" s="8" t="s">
        <v>24</v>
      </c>
      <c r="J208" s="4">
        <v>0</v>
      </c>
      <c r="K208" s="4">
        <v>0</v>
      </c>
      <c r="L208" s="8" t="s">
        <v>117</v>
      </c>
      <c r="M208" s="4">
        <v>0</v>
      </c>
      <c r="N208" s="8" t="s">
        <v>1453</v>
      </c>
      <c r="O208" s="8" t="s">
        <v>555</v>
      </c>
      <c r="P208" s="8" t="s">
        <v>218</v>
      </c>
      <c r="Q208" s="4">
        <v>5637707329</v>
      </c>
    </row>
    <row r="209" spans="1:17">
      <c r="A209" s="8" t="s">
        <v>122</v>
      </c>
      <c r="B209" s="8" t="s">
        <v>554</v>
      </c>
      <c r="C209" s="8" t="s">
        <v>64</v>
      </c>
      <c r="D209" s="8" t="s">
        <v>65</v>
      </c>
      <c r="E209" s="6">
        <v>43130</v>
      </c>
      <c r="F209" s="8" t="s">
        <v>237</v>
      </c>
      <c r="G209" s="8" t="s">
        <v>238</v>
      </c>
      <c r="H209" s="4">
        <v>-100</v>
      </c>
      <c r="I209" s="8" t="s">
        <v>24</v>
      </c>
      <c r="J209" s="4">
        <v>0</v>
      </c>
      <c r="K209" s="4">
        <v>0</v>
      </c>
      <c r="L209" s="8" t="s">
        <v>117</v>
      </c>
      <c r="M209" s="4">
        <v>0</v>
      </c>
      <c r="N209" s="8" t="s">
        <v>1453</v>
      </c>
      <c r="O209" s="8" t="s">
        <v>555</v>
      </c>
      <c r="P209" s="8" t="s">
        <v>218</v>
      </c>
      <c r="Q209" s="4">
        <v>5637707325</v>
      </c>
    </row>
    <row r="210" spans="1:17">
      <c r="A210" s="8" t="s">
        <v>122</v>
      </c>
      <c r="B210" s="8" t="s">
        <v>554</v>
      </c>
      <c r="C210" s="8" t="s">
        <v>64</v>
      </c>
      <c r="D210" s="8" t="s">
        <v>65</v>
      </c>
      <c r="E210" s="6">
        <v>43130</v>
      </c>
      <c r="F210" s="8" t="s">
        <v>237</v>
      </c>
      <c r="G210" s="8" t="s">
        <v>238</v>
      </c>
      <c r="H210" s="4">
        <v>-150</v>
      </c>
      <c r="I210" s="8" t="s">
        <v>24</v>
      </c>
      <c r="J210" s="4">
        <v>0</v>
      </c>
      <c r="K210" s="4">
        <v>0</v>
      </c>
      <c r="L210" s="8" t="s">
        <v>117</v>
      </c>
      <c r="M210" s="4">
        <v>0</v>
      </c>
      <c r="N210" s="8" t="s">
        <v>1453</v>
      </c>
      <c r="O210" s="8" t="s">
        <v>555</v>
      </c>
      <c r="P210" s="8" t="s">
        <v>218</v>
      </c>
      <c r="Q210" s="4">
        <v>5637707330</v>
      </c>
    </row>
    <row r="211" spans="1:17">
      <c r="A211" s="8" t="s">
        <v>122</v>
      </c>
      <c r="B211" s="8" t="s">
        <v>554</v>
      </c>
      <c r="C211" s="8" t="s">
        <v>64</v>
      </c>
      <c r="D211" s="8" t="s">
        <v>65</v>
      </c>
      <c r="E211" s="6">
        <v>43130</v>
      </c>
      <c r="F211" s="8" t="s">
        <v>237</v>
      </c>
      <c r="G211" s="8" t="s">
        <v>238</v>
      </c>
      <c r="H211" s="4">
        <v>-100</v>
      </c>
      <c r="I211" s="8" t="s">
        <v>24</v>
      </c>
      <c r="J211" s="4">
        <v>0</v>
      </c>
      <c r="K211" s="4">
        <v>0</v>
      </c>
      <c r="L211" s="8" t="s">
        <v>117</v>
      </c>
      <c r="M211" s="4">
        <v>0</v>
      </c>
      <c r="N211" s="8" t="s">
        <v>1453</v>
      </c>
      <c r="O211" s="8" t="s">
        <v>555</v>
      </c>
      <c r="P211" s="8" t="s">
        <v>218</v>
      </c>
      <c r="Q211" s="4">
        <v>5637707326</v>
      </c>
    </row>
    <row r="212" spans="1:17">
      <c r="A212" s="8" t="s">
        <v>122</v>
      </c>
      <c r="B212" s="8" t="s">
        <v>554</v>
      </c>
      <c r="C212" s="8" t="s">
        <v>64</v>
      </c>
      <c r="D212" s="8" t="s">
        <v>65</v>
      </c>
      <c r="E212" s="6">
        <v>43130</v>
      </c>
      <c r="F212" s="8" t="s">
        <v>237</v>
      </c>
      <c r="G212" s="8" t="s">
        <v>238</v>
      </c>
      <c r="H212" s="4">
        <v>-150</v>
      </c>
      <c r="I212" s="8" t="s">
        <v>24</v>
      </c>
      <c r="J212" s="4">
        <v>0</v>
      </c>
      <c r="K212" s="4">
        <v>0</v>
      </c>
      <c r="L212" s="8" t="s">
        <v>117</v>
      </c>
      <c r="M212" s="4">
        <v>0</v>
      </c>
      <c r="N212" s="8" t="s">
        <v>1453</v>
      </c>
      <c r="O212" s="8" t="s">
        <v>555</v>
      </c>
      <c r="P212" s="8" t="s">
        <v>218</v>
      </c>
      <c r="Q212" s="4">
        <v>5637707331</v>
      </c>
    </row>
    <row r="213" spans="1:17">
      <c r="A213" s="8" t="s">
        <v>122</v>
      </c>
      <c r="B213" s="8" t="s">
        <v>554</v>
      </c>
      <c r="C213" s="8" t="s">
        <v>64</v>
      </c>
      <c r="D213" s="8" t="s">
        <v>65</v>
      </c>
      <c r="E213" s="6">
        <v>43130</v>
      </c>
      <c r="F213" s="8" t="s">
        <v>237</v>
      </c>
      <c r="G213" s="8" t="s">
        <v>238</v>
      </c>
      <c r="H213" s="4">
        <v>-150</v>
      </c>
      <c r="I213" s="8" t="s">
        <v>24</v>
      </c>
      <c r="J213" s="4">
        <v>0</v>
      </c>
      <c r="K213" s="4">
        <v>0</v>
      </c>
      <c r="L213" s="8" t="s">
        <v>117</v>
      </c>
      <c r="M213" s="4">
        <v>0</v>
      </c>
      <c r="N213" s="8" t="s">
        <v>1453</v>
      </c>
      <c r="O213" s="8" t="s">
        <v>555</v>
      </c>
      <c r="P213" s="8" t="s">
        <v>218</v>
      </c>
      <c r="Q213" s="4">
        <v>5637707332</v>
      </c>
    </row>
    <row r="214" spans="1:17">
      <c r="A214" s="8" t="s">
        <v>122</v>
      </c>
      <c r="B214" s="8" t="s">
        <v>554</v>
      </c>
      <c r="C214" s="8" t="s">
        <v>64</v>
      </c>
      <c r="D214" s="8" t="s">
        <v>65</v>
      </c>
      <c r="E214" s="6">
        <v>43130</v>
      </c>
      <c r="F214" s="8" t="s">
        <v>237</v>
      </c>
      <c r="G214" s="8" t="s">
        <v>238</v>
      </c>
      <c r="H214" s="4">
        <v>-150</v>
      </c>
      <c r="I214" s="8" t="s">
        <v>24</v>
      </c>
      <c r="J214" s="4">
        <v>0</v>
      </c>
      <c r="K214" s="4">
        <v>0</v>
      </c>
      <c r="L214" s="8" t="s">
        <v>117</v>
      </c>
      <c r="M214" s="4">
        <v>0</v>
      </c>
      <c r="N214" s="8" t="s">
        <v>1453</v>
      </c>
      <c r="O214" s="8" t="s">
        <v>555</v>
      </c>
      <c r="P214" s="8" t="s">
        <v>218</v>
      </c>
      <c r="Q214" s="4">
        <v>5637707333</v>
      </c>
    </row>
    <row r="215" spans="1:17">
      <c r="A215" s="8" t="s">
        <v>122</v>
      </c>
      <c r="B215" s="8" t="s">
        <v>554</v>
      </c>
      <c r="C215" s="8" t="s">
        <v>64</v>
      </c>
      <c r="D215" s="8" t="s">
        <v>65</v>
      </c>
      <c r="E215" s="6">
        <v>43130</v>
      </c>
      <c r="F215" s="8" t="s">
        <v>237</v>
      </c>
      <c r="G215" s="8" t="s">
        <v>238</v>
      </c>
      <c r="H215" s="4">
        <v>-150</v>
      </c>
      <c r="I215" s="8" t="s">
        <v>24</v>
      </c>
      <c r="J215" s="4">
        <v>0</v>
      </c>
      <c r="K215" s="4">
        <v>0</v>
      </c>
      <c r="L215" s="8" t="s">
        <v>117</v>
      </c>
      <c r="M215" s="4">
        <v>0</v>
      </c>
      <c r="N215" s="8" t="s">
        <v>1453</v>
      </c>
      <c r="O215" s="8" t="s">
        <v>555</v>
      </c>
      <c r="P215" s="8" t="s">
        <v>218</v>
      </c>
      <c r="Q215" s="4">
        <v>5637707334</v>
      </c>
    </row>
    <row r="216" spans="1:17">
      <c r="A216" s="8" t="s">
        <v>122</v>
      </c>
      <c r="B216" s="8" t="s">
        <v>554</v>
      </c>
      <c r="C216" s="8" t="s">
        <v>64</v>
      </c>
      <c r="D216" s="8" t="s">
        <v>65</v>
      </c>
      <c r="E216" s="6">
        <v>43130</v>
      </c>
      <c r="F216" s="8" t="s">
        <v>237</v>
      </c>
      <c r="G216" s="8" t="s">
        <v>238</v>
      </c>
      <c r="H216" s="4">
        <v>-150</v>
      </c>
      <c r="I216" s="8" t="s">
        <v>24</v>
      </c>
      <c r="J216" s="4">
        <v>0</v>
      </c>
      <c r="K216" s="4">
        <v>0</v>
      </c>
      <c r="L216" s="8" t="s">
        <v>117</v>
      </c>
      <c r="M216" s="4">
        <v>0</v>
      </c>
      <c r="N216" s="8" t="s">
        <v>1453</v>
      </c>
      <c r="O216" s="8" t="s">
        <v>555</v>
      </c>
      <c r="P216" s="8" t="s">
        <v>218</v>
      </c>
      <c r="Q216" s="4">
        <v>5637707335</v>
      </c>
    </row>
    <row r="217" spans="1:17">
      <c r="A217" s="8" t="s">
        <v>122</v>
      </c>
      <c r="B217" s="8" t="s">
        <v>554</v>
      </c>
      <c r="C217" s="8" t="s">
        <v>64</v>
      </c>
      <c r="D217" s="8" t="s">
        <v>65</v>
      </c>
      <c r="E217" s="6">
        <v>43130</v>
      </c>
      <c r="F217" s="8" t="s">
        <v>237</v>
      </c>
      <c r="G217" s="8" t="s">
        <v>238</v>
      </c>
      <c r="H217" s="4">
        <v>-150</v>
      </c>
      <c r="I217" s="8" t="s">
        <v>24</v>
      </c>
      <c r="J217" s="4">
        <v>0</v>
      </c>
      <c r="K217" s="4">
        <v>0</v>
      </c>
      <c r="L217" s="8" t="s">
        <v>117</v>
      </c>
      <c r="M217" s="4">
        <v>0</v>
      </c>
      <c r="N217" s="8" t="s">
        <v>1453</v>
      </c>
      <c r="O217" s="8" t="s">
        <v>555</v>
      </c>
      <c r="P217" s="8" t="s">
        <v>218</v>
      </c>
      <c r="Q217" s="4">
        <v>5637707320</v>
      </c>
    </row>
    <row r="218" spans="1:17">
      <c r="A218" s="8" t="s">
        <v>15</v>
      </c>
      <c r="B218" s="8" t="s">
        <v>816</v>
      </c>
      <c r="C218" s="8" t="s">
        <v>64</v>
      </c>
      <c r="D218" s="8" t="s">
        <v>65</v>
      </c>
      <c r="E218" s="6">
        <v>43131</v>
      </c>
      <c r="F218" s="8" t="s">
        <v>237</v>
      </c>
      <c r="G218" s="8" t="s">
        <v>238</v>
      </c>
      <c r="H218" s="4">
        <v>100</v>
      </c>
      <c r="I218" s="8" t="s">
        <v>24</v>
      </c>
      <c r="J218" s="4">
        <v>0</v>
      </c>
      <c r="K218" s="4">
        <v>0</v>
      </c>
      <c r="L218" s="8" t="s">
        <v>117</v>
      </c>
      <c r="M218" s="4">
        <v>0</v>
      </c>
      <c r="N218" s="8" t="s">
        <v>1454</v>
      </c>
      <c r="O218" s="8" t="s">
        <v>817</v>
      </c>
      <c r="P218" s="8" t="s">
        <v>218</v>
      </c>
      <c r="Q218" s="4">
        <v>5637707164</v>
      </c>
    </row>
    <row r="219" spans="1:17">
      <c r="A219" s="8" t="s">
        <v>15</v>
      </c>
      <c r="B219" s="8" t="s">
        <v>816</v>
      </c>
      <c r="C219" s="8" t="s">
        <v>64</v>
      </c>
      <c r="D219" s="8" t="s">
        <v>65</v>
      </c>
      <c r="E219" s="6">
        <v>43131</v>
      </c>
      <c r="F219" s="8" t="s">
        <v>237</v>
      </c>
      <c r="G219" s="8" t="s">
        <v>238</v>
      </c>
      <c r="H219" s="4">
        <v>100</v>
      </c>
      <c r="I219" s="8" t="s">
        <v>24</v>
      </c>
      <c r="J219" s="4">
        <v>0</v>
      </c>
      <c r="K219" s="4">
        <v>0</v>
      </c>
      <c r="L219" s="8" t="s">
        <v>117</v>
      </c>
      <c r="M219" s="4">
        <v>0</v>
      </c>
      <c r="N219" s="8" t="s">
        <v>1454</v>
      </c>
      <c r="O219" s="8" t="s">
        <v>817</v>
      </c>
      <c r="P219" s="8" t="s">
        <v>218</v>
      </c>
      <c r="Q219" s="4">
        <v>5637707165</v>
      </c>
    </row>
    <row r="220" spans="1:17">
      <c r="A220" s="8" t="s">
        <v>15</v>
      </c>
      <c r="B220" s="8" t="s">
        <v>816</v>
      </c>
      <c r="C220" s="8" t="s">
        <v>64</v>
      </c>
      <c r="D220" s="8" t="s">
        <v>65</v>
      </c>
      <c r="E220" s="6">
        <v>43131</v>
      </c>
      <c r="F220" s="8" t="s">
        <v>237</v>
      </c>
      <c r="G220" s="8" t="s">
        <v>238</v>
      </c>
      <c r="H220" s="4">
        <v>150</v>
      </c>
      <c r="I220" s="8" t="s">
        <v>24</v>
      </c>
      <c r="J220" s="4">
        <v>0</v>
      </c>
      <c r="K220" s="4">
        <v>0</v>
      </c>
      <c r="L220" s="8" t="s">
        <v>117</v>
      </c>
      <c r="M220" s="4">
        <v>0</v>
      </c>
      <c r="N220" s="8" t="s">
        <v>1454</v>
      </c>
      <c r="O220" s="8" t="s">
        <v>817</v>
      </c>
      <c r="P220" s="8" t="s">
        <v>218</v>
      </c>
      <c r="Q220" s="4">
        <v>5637707166</v>
      </c>
    </row>
    <row r="221" spans="1:17">
      <c r="A221" s="8" t="s">
        <v>15</v>
      </c>
      <c r="B221" s="8" t="s">
        <v>816</v>
      </c>
      <c r="C221" s="8" t="s">
        <v>64</v>
      </c>
      <c r="D221" s="8" t="s">
        <v>65</v>
      </c>
      <c r="E221" s="6">
        <v>43131</v>
      </c>
      <c r="F221" s="8" t="s">
        <v>237</v>
      </c>
      <c r="G221" s="8" t="s">
        <v>238</v>
      </c>
      <c r="H221" s="4">
        <v>150</v>
      </c>
      <c r="I221" s="8" t="s">
        <v>24</v>
      </c>
      <c r="J221" s="4">
        <v>0</v>
      </c>
      <c r="K221" s="4">
        <v>0</v>
      </c>
      <c r="L221" s="8" t="s">
        <v>117</v>
      </c>
      <c r="M221" s="4">
        <v>0</v>
      </c>
      <c r="N221" s="8" t="s">
        <v>1454</v>
      </c>
      <c r="O221" s="8" t="s">
        <v>817</v>
      </c>
      <c r="P221" s="8" t="s">
        <v>218</v>
      </c>
      <c r="Q221" s="4">
        <v>5637707167</v>
      </c>
    </row>
    <row r="222" spans="1:17">
      <c r="A222" s="8" t="s">
        <v>15</v>
      </c>
      <c r="B222" s="8" t="s">
        <v>816</v>
      </c>
      <c r="C222" s="8" t="s">
        <v>64</v>
      </c>
      <c r="D222" s="8" t="s">
        <v>65</v>
      </c>
      <c r="E222" s="6">
        <v>43131</v>
      </c>
      <c r="F222" s="8" t="s">
        <v>237</v>
      </c>
      <c r="G222" s="8" t="s">
        <v>238</v>
      </c>
      <c r="H222" s="4">
        <v>100</v>
      </c>
      <c r="I222" s="8" t="s">
        <v>24</v>
      </c>
      <c r="J222" s="4">
        <v>0</v>
      </c>
      <c r="K222" s="4">
        <v>0</v>
      </c>
      <c r="L222" s="8" t="s">
        <v>117</v>
      </c>
      <c r="M222" s="4">
        <v>0</v>
      </c>
      <c r="N222" s="8" t="s">
        <v>1454</v>
      </c>
      <c r="O222" s="8" t="s">
        <v>817</v>
      </c>
      <c r="P222" s="8" t="s">
        <v>218</v>
      </c>
      <c r="Q222" s="4">
        <v>5637707168</v>
      </c>
    </row>
    <row r="223" spans="1:17">
      <c r="A223" s="8" t="s">
        <v>15</v>
      </c>
      <c r="B223" s="8" t="s">
        <v>816</v>
      </c>
      <c r="C223" s="8" t="s">
        <v>64</v>
      </c>
      <c r="D223" s="8" t="s">
        <v>65</v>
      </c>
      <c r="E223" s="6">
        <v>43131</v>
      </c>
      <c r="F223" s="8" t="s">
        <v>237</v>
      </c>
      <c r="G223" s="8" t="s">
        <v>238</v>
      </c>
      <c r="H223" s="4">
        <v>150</v>
      </c>
      <c r="I223" s="8" t="s">
        <v>24</v>
      </c>
      <c r="J223" s="4">
        <v>0</v>
      </c>
      <c r="K223" s="4">
        <v>0</v>
      </c>
      <c r="L223" s="8" t="s">
        <v>117</v>
      </c>
      <c r="M223" s="4">
        <v>0</v>
      </c>
      <c r="N223" s="8" t="s">
        <v>1454</v>
      </c>
      <c r="O223" s="8" t="s">
        <v>817</v>
      </c>
      <c r="P223" s="8" t="s">
        <v>218</v>
      </c>
      <c r="Q223" s="4">
        <v>5637707169</v>
      </c>
    </row>
    <row r="224" spans="1:17">
      <c r="A224" s="8" t="s">
        <v>15</v>
      </c>
      <c r="B224" s="8" t="s">
        <v>816</v>
      </c>
      <c r="C224" s="8" t="s">
        <v>64</v>
      </c>
      <c r="D224" s="8" t="s">
        <v>65</v>
      </c>
      <c r="E224" s="6">
        <v>43131</v>
      </c>
      <c r="F224" s="8" t="s">
        <v>237</v>
      </c>
      <c r="G224" s="8" t="s">
        <v>238</v>
      </c>
      <c r="H224" s="4">
        <v>100</v>
      </c>
      <c r="I224" s="8" t="s">
        <v>24</v>
      </c>
      <c r="J224" s="4">
        <v>0</v>
      </c>
      <c r="K224" s="4">
        <v>0</v>
      </c>
      <c r="L224" s="8" t="s">
        <v>117</v>
      </c>
      <c r="M224" s="4">
        <v>0</v>
      </c>
      <c r="N224" s="8" t="s">
        <v>1454</v>
      </c>
      <c r="O224" s="8" t="s">
        <v>817</v>
      </c>
      <c r="P224" s="8" t="s">
        <v>218</v>
      </c>
      <c r="Q224" s="4">
        <v>5637707170</v>
      </c>
    </row>
    <row r="225" spans="1:17">
      <c r="A225" s="8" t="s">
        <v>15</v>
      </c>
      <c r="B225" s="8" t="s">
        <v>816</v>
      </c>
      <c r="C225" s="8" t="s">
        <v>64</v>
      </c>
      <c r="D225" s="8" t="s">
        <v>65</v>
      </c>
      <c r="E225" s="6">
        <v>43131</v>
      </c>
      <c r="F225" s="8" t="s">
        <v>237</v>
      </c>
      <c r="G225" s="8" t="s">
        <v>238</v>
      </c>
      <c r="H225" s="4">
        <v>150</v>
      </c>
      <c r="I225" s="8" t="s">
        <v>24</v>
      </c>
      <c r="J225" s="4">
        <v>0</v>
      </c>
      <c r="K225" s="4">
        <v>0</v>
      </c>
      <c r="L225" s="8" t="s">
        <v>117</v>
      </c>
      <c r="M225" s="4">
        <v>0</v>
      </c>
      <c r="N225" s="8" t="s">
        <v>1454</v>
      </c>
      <c r="O225" s="8" t="s">
        <v>817</v>
      </c>
      <c r="P225" s="8" t="s">
        <v>218</v>
      </c>
      <c r="Q225" s="4">
        <v>5637707171</v>
      </c>
    </row>
    <row r="226" spans="1:17">
      <c r="A226" s="8" t="s">
        <v>15</v>
      </c>
      <c r="B226" s="8" t="s">
        <v>816</v>
      </c>
      <c r="C226" s="8" t="s">
        <v>64</v>
      </c>
      <c r="D226" s="8" t="s">
        <v>65</v>
      </c>
      <c r="E226" s="6">
        <v>43131</v>
      </c>
      <c r="F226" s="8" t="s">
        <v>237</v>
      </c>
      <c r="G226" s="8" t="s">
        <v>238</v>
      </c>
      <c r="H226" s="4">
        <v>100</v>
      </c>
      <c r="I226" s="8" t="s">
        <v>24</v>
      </c>
      <c r="J226" s="4">
        <v>0</v>
      </c>
      <c r="K226" s="4">
        <v>0</v>
      </c>
      <c r="L226" s="8" t="s">
        <v>117</v>
      </c>
      <c r="M226" s="4">
        <v>0</v>
      </c>
      <c r="N226" s="8" t="s">
        <v>1454</v>
      </c>
      <c r="O226" s="8" t="s">
        <v>817</v>
      </c>
      <c r="P226" s="8" t="s">
        <v>218</v>
      </c>
      <c r="Q226" s="4">
        <v>5637707172</v>
      </c>
    </row>
    <row r="227" spans="1:17">
      <c r="A227" s="8" t="s">
        <v>15</v>
      </c>
      <c r="B227" s="8" t="s">
        <v>816</v>
      </c>
      <c r="C227" s="8" t="s">
        <v>64</v>
      </c>
      <c r="D227" s="8" t="s">
        <v>65</v>
      </c>
      <c r="E227" s="6">
        <v>43131</v>
      </c>
      <c r="F227" s="8" t="s">
        <v>237</v>
      </c>
      <c r="G227" s="8" t="s">
        <v>238</v>
      </c>
      <c r="H227" s="4">
        <v>150</v>
      </c>
      <c r="I227" s="8" t="s">
        <v>24</v>
      </c>
      <c r="J227" s="4">
        <v>0</v>
      </c>
      <c r="K227" s="4">
        <v>0</v>
      </c>
      <c r="L227" s="8" t="s">
        <v>117</v>
      </c>
      <c r="M227" s="4">
        <v>0</v>
      </c>
      <c r="N227" s="8" t="s">
        <v>1454</v>
      </c>
      <c r="O227" s="8" t="s">
        <v>817</v>
      </c>
      <c r="P227" s="8" t="s">
        <v>218</v>
      </c>
      <c r="Q227" s="4">
        <v>5637707173</v>
      </c>
    </row>
    <row r="228" spans="1:17">
      <c r="A228" s="8" t="s">
        <v>15</v>
      </c>
      <c r="B228" s="8" t="s">
        <v>816</v>
      </c>
      <c r="C228" s="8" t="s">
        <v>64</v>
      </c>
      <c r="D228" s="8" t="s">
        <v>65</v>
      </c>
      <c r="E228" s="6">
        <v>43131</v>
      </c>
      <c r="F228" s="8" t="s">
        <v>237</v>
      </c>
      <c r="G228" s="8" t="s">
        <v>238</v>
      </c>
      <c r="H228" s="4">
        <v>150</v>
      </c>
      <c r="I228" s="8" t="s">
        <v>24</v>
      </c>
      <c r="J228" s="4">
        <v>0</v>
      </c>
      <c r="K228" s="4">
        <v>0</v>
      </c>
      <c r="L228" s="8" t="s">
        <v>117</v>
      </c>
      <c r="M228" s="4">
        <v>0</v>
      </c>
      <c r="N228" s="8" t="s">
        <v>1454</v>
      </c>
      <c r="O228" s="8" t="s">
        <v>817</v>
      </c>
      <c r="P228" s="8" t="s">
        <v>218</v>
      </c>
      <c r="Q228" s="4">
        <v>5637707174</v>
      </c>
    </row>
    <row r="229" spans="1:17">
      <c r="A229" s="8" t="s">
        <v>15</v>
      </c>
      <c r="B229" s="8" t="s">
        <v>816</v>
      </c>
      <c r="C229" s="8" t="s">
        <v>64</v>
      </c>
      <c r="D229" s="8" t="s">
        <v>65</v>
      </c>
      <c r="E229" s="6">
        <v>43131</v>
      </c>
      <c r="F229" s="8" t="s">
        <v>237</v>
      </c>
      <c r="G229" s="8" t="s">
        <v>238</v>
      </c>
      <c r="H229" s="4">
        <v>150</v>
      </c>
      <c r="I229" s="8" t="s">
        <v>24</v>
      </c>
      <c r="J229" s="4">
        <v>0</v>
      </c>
      <c r="K229" s="4">
        <v>0</v>
      </c>
      <c r="L229" s="8" t="s">
        <v>117</v>
      </c>
      <c r="M229" s="4">
        <v>0</v>
      </c>
      <c r="N229" s="8" t="s">
        <v>1454</v>
      </c>
      <c r="O229" s="8" t="s">
        <v>817</v>
      </c>
      <c r="P229" s="8" t="s">
        <v>218</v>
      </c>
      <c r="Q229" s="4">
        <v>5637707175</v>
      </c>
    </row>
    <row r="230" spans="1:17">
      <c r="A230" s="8" t="s">
        <v>15</v>
      </c>
      <c r="B230" s="8" t="s">
        <v>816</v>
      </c>
      <c r="C230" s="8" t="s">
        <v>64</v>
      </c>
      <c r="D230" s="8" t="s">
        <v>65</v>
      </c>
      <c r="E230" s="6">
        <v>43131</v>
      </c>
      <c r="F230" s="8" t="s">
        <v>237</v>
      </c>
      <c r="G230" s="8" t="s">
        <v>238</v>
      </c>
      <c r="H230" s="4">
        <v>150</v>
      </c>
      <c r="I230" s="8" t="s">
        <v>24</v>
      </c>
      <c r="J230" s="4">
        <v>0</v>
      </c>
      <c r="K230" s="4">
        <v>0</v>
      </c>
      <c r="L230" s="8" t="s">
        <v>117</v>
      </c>
      <c r="M230" s="4">
        <v>0</v>
      </c>
      <c r="N230" s="8" t="s">
        <v>1454</v>
      </c>
      <c r="O230" s="8" t="s">
        <v>817</v>
      </c>
      <c r="P230" s="8" t="s">
        <v>218</v>
      </c>
      <c r="Q230" s="4">
        <v>5637707176</v>
      </c>
    </row>
    <row r="231" spans="1:17">
      <c r="A231" s="8" t="s">
        <v>15</v>
      </c>
      <c r="B231" s="8" t="s">
        <v>816</v>
      </c>
      <c r="C231" s="8" t="s">
        <v>64</v>
      </c>
      <c r="D231" s="8" t="s">
        <v>65</v>
      </c>
      <c r="E231" s="6">
        <v>43131</v>
      </c>
      <c r="F231" s="8" t="s">
        <v>237</v>
      </c>
      <c r="G231" s="8" t="s">
        <v>238</v>
      </c>
      <c r="H231" s="4">
        <v>150</v>
      </c>
      <c r="I231" s="8" t="s">
        <v>24</v>
      </c>
      <c r="J231" s="4">
        <v>0</v>
      </c>
      <c r="K231" s="4">
        <v>0</v>
      </c>
      <c r="L231" s="8" t="s">
        <v>117</v>
      </c>
      <c r="M231" s="4">
        <v>0</v>
      </c>
      <c r="N231" s="8" t="s">
        <v>1454</v>
      </c>
      <c r="O231" s="8" t="s">
        <v>817</v>
      </c>
      <c r="P231" s="8" t="s">
        <v>218</v>
      </c>
      <c r="Q231" s="4">
        <v>5637707177</v>
      </c>
    </row>
    <row r="232" spans="1:17">
      <c r="A232" s="8" t="s">
        <v>15</v>
      </c>
      <c r="B232" s="8" t="s">
        <v>816</v>
      </c>
      <c r="C232" s="8" t="s">
        <v>64</v>
      </c>
      <c r="D232" s="8" t="s">
        <v>65</v>
      </c>
      <c r="E232" s="6">
        <v>43131</v>
      </c>
      <c r="F232" s="8" t="s">
        <v>237</v>
      </c>
      <c r="G232" s="8" t="s">
        <v>238</v>
      </c>
      <c r="H232" s="4">
        <v>150</v>
      </c>
      <c r="I232" s="8" t="s">
        <v>24</v>
      </c>
      <c r="J232" s="4">
        <v>0</v>
      </c>
      <c r="K232" s="4">
        <v>0</v>
      </c>
      <c r="L232" s="8" t="s">
        <v>117</v>
      </c>
      <c r="M232" s="4">
        <v>0</v>
      </c>
      <c r="N232" s="8" t="s">
        <v>1454</v>
      </c>
      <c r="O232" s="8" t="s">
        <v>817</v>
      </c>
      <c r="P232" s="8" t="s">
        <v>218</v>
      </c>
      <c r="Q232" s="4">
        <v>5637707178</v>
      </c>
    </row>
    <row r="233" spans="1:17">
      <c r="A233" s="8" t="s">
        <v>122</v>
      </c>
      <c r="B233" s="8" t="s">
        <v>567</v>
      </c>
      <c r="C233" s="8" t="s">
        <v>64</v>
      </c>
      <c r="D233" s="8" t="s">
        <v>65</v>
      </c>
      <c r="E233" s="6">
        <v>43143</v>
      </c>
      <c r="F233" s="8" t="s">
        <v>237</v>
      </c>
      <c r="G233" s="8" t="s">
        <v>238</v>
      </c>
      <c r="H233" s="4">
        <v>-100</v>
      </c>
      <c r="I233" s="8" t="s">
        <v>24</v>
      </c>
      <c r="J233" s="4">
        <v>0</v>
      </c>
      <c r="K233" s="4">
        <v>0</v>
      </c>
      <c r="L233" s="8" t="s">
        <v>117</v>
      </c>
      <c r="M233" s="4">
        <v>0</v>
      </c>
      <c r="N233" s="8" t="s">
        <v>1455</v>
      </c>
      <c r="O233" s="8" t="s">
        <v>568</v>
      </c>
      <c r="P233" s="8" t="s">
        <v>218</v>
      </c>
      <c r="Q233" s="4">
        <v>5637707508</v>
      </c>
    </row>
    <row r="234" spans="1:17">
      <c r="A234" s="8" t="s">
        <v>15</v>
      </c>
      <c r="B234" s="8" t="s">
        <v>835</v>
      </c>
      <c r="C234" s="8" t="s">
        <v>64</v>
      </c>
      <c r="D234" s="8" t="s">
        <v>65</v>
      </c>
      <c r="E234" s="6">
        <v>43143</v>
      </c>
      <c r="F234" s="8" t="s">
        <v>237</v>
      </c>
      <c r="G234" s="8" t="s">
        <v>238</v>
      </c>
      <c r="H234" s="4">
        <v>100</v>
      </c>
      <c r="I234" s="8" t="s">
        <v>24</v>
      </c>
      <c r="J234" s="4">
        <v>0</v>
      </c>
      <c r="K234" s="4">
        <v>0</v>
      </c>
      <c r="L234" s="8" t="s">
        <v>117</v>
      </c>
      <c r="M234" s="4">
        <v>0</v>
      </c>
      <c r="N234" s="8" t="s">
        <v>1456</v>
      </c>
      <c r="O234" s="8" t="s">
        <v>836</v>
      </c>
      <c r="P234" s="8" t="s">
        <v>218</v>
      </c>
      <c r="Q234" s="4">
        <v>5637708048</v>
      </c>
    </row>
    <row r="235" spans="1:17">
      <c r="A235" s="8" t="s">
        <v>15</v>
      </c>
      <c r="B235" s="8" t="s">
        <v>835</v>
      </c>
      <c r="C235" s="8" t="s">
        <v>64</v>
      </c>
      <c r="D235" s="8" t="s">
        <v>65</v>
      </c>
      <c r="E235" s="6">
        <v>43143</v>
      </c>
      <c r="F235" s="8" t="s">
        <v>237</v>
      </c>
      <c r="G235" s="8" t="s">
        <v>238</v>
      </c>
      <c r="H235" s="4">
        <v>150</v>
      </c>
      <c r="I235" s="8" t="s">
        <v>24</v>
      </c>
      <c r="J235" s="4">
        <v>0</v>
      </c>
      <c r="K235" s="4">
        <v>0</v>
      </c>
      <c r="L235" s="8" t="s">
        <v>117</v>
      </c>
      <c r="M235" s="4">
        <v>0</v>
      </c>
      <c r="N235" s="8" t="s">
        <v>1456</v>
      </c>
      <c r="O235" s="8" t="s">
        <v>836</v>
      </c>
      <c r="P235" s="8" t="s">
        <v>218</v>
      </c>
      <c r="Q235" s="4">
        <v>5637708049</v>
      </c>
    </row>
    <row r="236" spans="1:17">
      <c r="A236" s="8" t="s">
        <v>15</v>
      </c>
      <c r="B236" s="8" t="s">
        <v>835</v>
      </c>
      <c r="C236" s="8" t="s">
        <v>64</v>
      </c>
      <c r="D236" s="8" t="s">
        <v>65</v>
      </c>
      <c r="E236" s="6">
        <v>43143</v>
      </c>
      <c r="F236" s="8" t="s">
        <v>237</v>
      </c>
      <c r="G236" s="8" t="s">
        <v>238</v>
      </c>
      <c r="H236" s="4">
        <v>100</v>
      </c>
      <c r="I236" s="8" t="s">
        <v>24</v>
      </c>
      <c r="J236" s="4">
        <v>0</v>
      </c>
      <c r="K236" s="4">
        <v>0</v>
      </c>
      <c r="L236" s="8" t="s">
        <v>117</v>
      </c>
      <c r="M236" s="4">
        <v>0</v>
      </c>
      <c r="N236" s="8" t="s">
        <v>1456</v>
      </c>
      <c r="O236" s="8" t="s">
        <v>836</v>
      </c>
      <c r="P236" s="8" t="s">
        <v>218</v>
      </c>
      <c r="Q236" s="4">
        <v>5637708050</v>
      </c>
    </row>
    <row r="237" spans="1:17">
      <c r="A237" s="8" t="s">
        <v>15</v>
      </c>
      <c r="B237" s="8" t="s">
        <v>835</v>
      </c>
      <c r="C237" s="8" t="s">
        <v>64</v>
      </c>
      <c r="D237" s="8" t="s">
        <v>65</v>
      </c>
      <c r="E237" s="6">
        <v>43143</v>
      </c>
      <c r="F237" s="8" t="s">
        <v>237</v>
      </c>
      <c r="G237" s="8" t="s">
        <v>238</v>
      </c>
      <c r="H237" s="4">
        <v>100</v>
      </c>
      <c r="I237" s="8" t="s">
        <v>24</v>
      </c>
      <c r="J237" s="4">
        <v>0</v>
      </c>
      <c r="K237" s="4">
        <v>0</v>
      </c>
      <c r="L237" s="8" t="s">
        <v>117</v>
      </c>
      <c r="M237" s="4">
        <v>0</v>
      </c>
      <c r="N237" s="8" t="s">
        <v>1456</v>
      </c>
      <c r="O237" s="8" t="s">
        <v>836</v>
      </c>
      <c r="P237" s="8" t="s">
        <v>218</v>
      </c>
      <c r="Q237" s="4">
        <v>5637708051</v>
      </c>
    </row>
    <row r="238" spans="1:17">
      <c r="A238" s="8" t="s">
        <v>15</v>
      </c>
      <c r="B238" s="8" t="s">
        <v>835</v>
      </c>
      <c r="C238" s="8" t="s">
        <v>64</v>
      </c>
      <c r="D238" s="8" t="s">
        <v>65</v>
      </c>
      <c r="E238" s="6">
        <v>43143</v>
      </c>
      <c r="F238" s="8" t="s">
        <v>237</v>
      </c>
      <c r="G238" s="8" t="s">
        <v>238</v>
      </c>
      <c r="H238" s="4">
        <v>150</v>
      </c>
      <c r="I238" s="8" t="s">
        <v>24</v>
      </c>
      <c r="J238" s="4">
        <v>0</v>
      </c>
      <c r="K238" s="4">
        <v>0</v>
      </c>
      <c r="L238" s="8" t="s">
        <v>117</v>
      </c>
      <c r="M238" s="4">
        <v>0</v>
      </c>
      <c r="N238" s="8" t="s">
        <v>1456</v>
      </c>
      <c r="O238" s="8" t="s">
        <v>836</v>
      </c>
      <c r="P238" s="8" t="s">
        <v>218</v>
      </c>
      <c r="Q238" s="4">
        <v>5637708052</v>
      </c>
    </row>
    <row r="239" spans="1:17">
      <c r="A239" s="8" t="s">
        <v>15</v>
      </c>
      <c r="B239" s="8" t="s">
        <v>835</v>
      </c>
      <c r="C239" s="8" t="s">
        <v>64</v>
      </c>
      <c r="D239" s="8" t="s">
        <v>65</v>
      </c>
      <c r="E239" s="6">
        <v>43143</v>
      </c>
      <c r="F239" s="8" t="s">
        <v>237</v>
      </c>
      <c r="G239" s="8" t="s">
        <v>238</v>
      </c>
      <c r="H239" s="4">
        <v>150</v>
      </c>
      <c r="I239" s="8" t="s">
        <v>24</v>
      </c>
      <c r="J239" s="4">
        <v>0</v>
      </c>
      <c r="K239" s="4">
        <v>0</v>
      </c>
      <c r="L239" s="8" t="s">
        <v>117</v>
      </c>
      <c r="M239" s="4">
        <v>0</v>
      </c>
      <c r="N239" s="8" t="s">
        <v>1456</v>
      </c>
      <c r="O239" s="8" t="s">
        <v>836</v>
      </c>
      <c r="P239" s="8" t="s">
        <v>218</v>
      </c>
      <c r="Q239" s="4">
        <v>5637708053</v>
      </c>
    </row>
    <row r="240" spans="1:17">
      <c r="A240" s="8" t="s">
        <v>15</v>
      </c>
      <c r="B240" s="8" t="s">
        <v>835</v>
      </c>
      <c r="C240" s="8" t="s">
        <v>64</v>
      </c>
      <c r="D240" s="8" t="s">
        <v>65</v>
      </c>
      <c r="E240" s="6">
        <v>43143</v>
      </c>
      <c r="F240" s="8" t="s">
        <v>237</v>
      </c>
      <c r="G240" s="8" t="s">
        <v>238</v>
      </c>
      <c r="H240" s="4">
        <v>150</v>
      </c>
      <c r="I240" s="8" t="s">
        <v>24</v>
      </c>
      <c r="J240" s="4">
        <v>0</v>
      </c>
      <c r="K240" s="4">
        <v>0</v>
      </c>
      <c r="L240" s="8" t="s">
        <v>117</v>
      </c>
      <c r="M240" s="4">
        <v>0</v>
      </c>
      <c r="N240" s="8" t="s">
        <v>1456</v>
      </c>
      <c r="O240" s="8" t="s">
        <v>836</v>
      </c>
      <c r="P240" s="8" t="s">
        <v>218</v>
      </c>
      <c r="Q240" s="4">
        <v>5637708054</v>
      </c>
    </row>
    <row r="241" spans="1:17">
      <c r="A241" s="8" t="s">
        <v>15</v>
      </c>
      <c r="B241" s="8" t="s">
        <v>835</v>
      </c>
      <c r="C241" s="8" t="s">
        <v>64</v>
      </c>
      <c r="D241" s="8" t="s">
        <v>65</v>
      </c>
      <c r="E241" s="6">
        <v>43143</v>
      </c>
      <c r="F241" s="8" t="s">
        <v>237</v>
      </c>
      <c r="G241" s="8" t="s">
        <v>238</v>
      </c>
      <c r="H241" s="4">
        <v>150</v>
      </c>
      <c r="I241" s="8" t="s">
        <v>24</v>
      </c>
      <c r="J241" s="4">
        <v>0</v>
      </c>
      <c r="K241" s="4">
        <v>0</v>
      </c>
      <c r="L241" s="8" t="s">
        <v>117</v>
      </c>
      <c r="M241" s="4">
        <v>0</v>
      </c>
      <c r="N241" s="8" t="s">
        <v>1456</v>
      </c>
      <c r="O241" s="8" t="s">
        <v>836</v>
      </c>
      <c r="P241" s="8" t="s">
        <v>218</v>
      </c>
      <c r="Q241" s="4">
        <v>5637708055</v>
      </c>
    </row>
    <row r="242" spans="1:17">
      <c r="A242" s="8" t="s">
        <v>15</v>
      </c>
      <c r="B242" s="8" t="s">
        <v>835</v>
      </c>
      <c r="C242" s="8" t="s">
        <v>64</v>
      </c>
      <c r="D242" s="8" t="s">
        <v>65</v>
      </c>
      <c r="E242" s="6">
        <v>43143</v>
      </c>
      <c r="F242" s="8" t="s">
        <v>237</v>
      </c>
      <c r="G242" s="8" t="s">
        <v>238</v>
      </c>
      <c r="H242" s="4">
        <v>150</v>
      </c>
      <c r="I242" s="8" t="s">
        <v>24</v>
      </c>
      <c r="J242" s="4">
        <v>0</v>
      </c>
      <c r="K242" s="4">
        <v>0</v>
      </c>
      <c r="L242" s="8" t="s">
        <v>117</v>
      </c>
      <c r="M242" s="4">
        <v>0</v>
      </c>
      <c r="N242" s="8" t="s">
        <v>1456</v>
      </c>
      <c r="O242" s="8" t="s">
        <v>836</v>
      </c>
      <c r="P242" s="8" t="s">
        <v>218</v>
      </c>
      <c r="Q242" s="4">
        <v>5637708056</v>
      </c>
    </row>
    <row r="243" spans="1:17">
      <c r="A243" s="8" t="s">
        <v>15</v>
      </c>
      <c r="B243" s="8" t="s">
        <v>835</v>
      </c>
      <c r="C243" s="8" t="s">
        <v>64</v>
      </c>
      <c r="D243" s="8" t="s">
        <v>65</v>
      </c>
      <c r="E243" s="6">
        <v>43143</v>
      </c>
      <c r="F243" s="8" t="s">
        <v>237</v>
      </c>
      <c r="G243" s="8" t="s">
        <v>238</v>
      </c>
      <c r="H243" s="4">
        <v>150</v>
      </c>
      <c r="I243" s="8" t="s">
        <v>24</v>
      </c>
      <c r="J243" s="4">
        <v>0</v>
      </c>
      <c r="K243" s="4">
        <v>0</v>
      </c>
      <c r="L243" s="8" t="s">
        <v>117</v>
      </c>
      <c r="M243" s="4">
        <v>0</v>
      </c>
      <c r="N243" s="8" t="s">
        <v>1456</v>
      </c>
      <c r="O243" s="8" t="s">
        <v>836</v>
      </c>
      <c r="P243" s="8" t="s">
        <v>218</v>
      </c>
      <c r="Q243" s="4">
        <v>5637708057</v>
      </c>
    </row>
    <row r="244" spans="1:17">
      <c r="A244" s="8" t="s">
        <v>15</v>
      </c>
      <c r="B244" s="8" t="s">
        <v>835</v>
      </c>
      <c r="C244" s="8" t="s">
        <v>64</v>
      </c>
      <c r="D244" s="8" t="s">
        <v>65</v>
      </c>
      <c r="E244" s="6">
        <v>43143</v>
      </c>
      <c r="F244" s="8" t="s">
        <v>237</v>
      </c>
      <c r="G244" s="8" t="s">
        <v>238</v>
      </c>
      <c r="H244" s="4">
        <v>150</v>
      </c>
      <c r="I244" s="8" t="s">
        <v>24</v>
      </c>
      <c r="J244" s="4">
        <v>0</v>
      </c>
      <c r="K244" s="4">
        <v>0</v>
      </c>
      <c r="L244" s="8" t="s">
        <v>117</v>
      </c>
      <c r="M244" s="4">
        <v>0</v>
      </c>
      <c r="N244" s="8" t="s">
        <v>1456</v>
      </c>
      <c r="O244" s="8" t="s">
        <v>836</v>
      </c>
      <c r="P244" s="8" t="s">
        <v>218</v>
      </c>
      <c r="Q244" s="4">
        <v>5637708058</v>
      </c>
    </row>
    <row r="245" spans="1:17">
      <c r="A245" s="8" t="s">
        <v>15</v>
      </c>
      <c r="B245" s="8" t="s">
        <v>835</v>
      </c>
      <c r="C245" s="8" t="s">
        <v>64</v>
      </c>
      <c r="D245" s="8" t="s">
        <v>65</v>
      </c>
      <c r="E245" s="6">
        <v>43143</v>
      </c>
      <c r="F245" s="8" t="s">
        <v>237</v>
      </c>
      <c r="G245" s="8" t="s">
        <v>238</v>
      </c>
      <c r="H245" s="4">
        <v>150</v>
      </c>
      <c r="I245" s="8" t="s">
        <v>24</v>
      </c>
      <c r="J245" s="4">
        <v>0</v>
      </c>
      <c r="K245" s="4">
        <v>0</v>
      </c>
      <c r="L245" s="8" t="s">
        <v>117</v>
      </c>
      <c r="M245" s="4">
        <v>0</v>
      </c>
      <c r="N245" s="8" t="s">
        <v>1456</v>
      </c>
      <c r="O245" s="8" t="s">
        <v>836</v>
      </c>
      <c r="P245" s="8" t="s">
        <v>218</v>
      </c>
      <c r="Q245" s="4">
        <v>5637707552</v>
      </c>
    </row>
    <row r="246" spans="1:17">
      <c r="A246" s="8" t="s">
        <v>122</v>
      </c>
      <c r="B246" s="8" t="s">
        <v>595</v>
      </c>
      <c r="C246" s="8" t="s">
        <v>64</v>
      </c>
      <c r="D246" s="8" t="s">
        <v>65</v>
      </c>
      <c r="E246" s="6">
        <v>43147</v>
      </c>
      <c r="F246" s="8" t="s">
        <v>237</v>
      </c>
      <c r="G246" s="8" t="s">
        <v>238</v>
      </c>
      <c r="H246" s="4">
        <v>-100</v>
      </c>
      <c r="I246" s="8" t="s">
        <v>24</v>
      </c>
      <c r="J246" s="4">
        <v>0</v>
      </c>
      <c r="K246" s="4">
        <v>0</v>
      </c>
      <c r="L246" s="8" t="s">
        <v>117</v>
      </c>
      <c r="M246" s="4">
        <v>0</v>
      </c>
      <c r="N246" s="8" t="s">
        <v>1457</v>
      </c>
      <c r="O246" s="8" t="s">
        <v>596</v>
      </c>
      <c r="P246" s="8" t="s">
        <v>218</v>
      </c>
      <c r="Q246" s="4">
        <v>5637709069</v>
      </c>
    </row>
    <row r="247" spans="1:17">
      <c r="A247" s="8" t="s">
        <v>122</v>
      </c>
      <c r="B247" s="8" t="s">
        <v>595</v>
      </c>
      <c r="C247" s="8" t="s">
        <v>64</v>
      </c>
      <c r="D247" s="8" t="s">
        <v>65</v>
      </c>
      <c r="E247" s="6">
        <v>43147</v>
      </c>
      <c r="F247" s="8" t="s">
        <v>237</v>
      </c>
      <c r="G247" s="8" t="s">
        <v>238</v>
      </c>
      <c r="H247" s="4">
        <v>-100</v>
      </c>
      <c r="I247" s="8" t="s">
        <v>24</v>
      </c>
      <c r="J247" s="4">
        <v>0</v>
      </c>
      <c r="K247" s="4">
        <v>0</v>
      </c>
      <c r="L247" s="8" t="s">
        <v>117</v>
      </c>
      <c r="M247" s="4">
        <v>0</v>
      </c>
      <c r="N247" s="8" t="s">
        <v>1457</v>
      </c>
      <c r="O247" s="8" t="s">
        <v>596</v>
      </c>
      <c r="P247" s="8" t="s">
        <v>218</v>
      </c>
      <c r="Q247" s="4">
        <v>5637709072</v>
      </c>
    </row>
    <row r="248" spans="1:17">
      <c r="A248" s="8" t="s">
        <v>122</v>
      </c>
      <c r="B248" s="8" t="s">
        <v>595</v>
      </c>
      <c r="C248" s="8" t="s">
        <v>64</v>
      </c>
      <c r="D248" s="8" t="s">
        <v>65</v>
      </c>
      <c r="E248" s="6">
        <v>43147</v>
      </c>
      <c r="F248" s="8" t="s">
        <v>237</v>
      </c>
      <c r="G248" s="8" t="s">
        <v>238</v>
      </c>
      <c r="H248" s="4">
        <v>-100</v>
      </c>
      <c r="I248" s="8" t="s">
        <v>24</v>
      </c>
      <c r="J248" s="4">
        <v>0</v>
      </c>
      <c r="K248" s="4">
        <v>0</v>
      </c>
      <c r="L248" s="8" t="s">
        <v>117</v>
      </c>
      <c r="M248" s="4">
        <v>0</v>
      </c>
      <c r="N248" s="8" t="s">
        <v>1457</v>
      </c>
      <c r="O248" s="8" t="s">
        <v>596</v>
      </c>
      <c r="P248" s="8" t="s">
        <v>218</v>
      </c>
      <c r="Q248" s="4">
        <v>5637709073</v>
      </c>
    </row>
    <row r="249" spans="1:17">
      <c r="A249" s="8" t="s">
        <v>122</v>
      </c>
      <c r="B249" s="8" t="s">
        <v>595</v>
      </c>
      <c r="C249" s="8" t="s">
        <v>64</v>
      </c>
      <c r="D249" s="8" t="s">
        <v>65</v>
      </c>
      <c r="E249" s="6">
        <v>43147</v>
      </c>
      <c r="F249" s="8" t="s">
        <v>237</v>
      </c>
      <c r="G249" s="8" t="s">
        <v>238</v>
      </c>
      <c r="H249" s="4">
        <v>-150</v>
      </c>
      <c r="I249" s="8" t="s">
        <v>24</v>
      </c>
      <c r="J249" s="4">
        <v>0</v>
      </c>
      <c r="K249" s="4">
        <v>0</v>
      </c>
      <c r="L249" s="8" t="s">
        <v>117</v>
      </c>
      <c r="M249" s="4">
        <v>0</v>
      </c>
      <c r="N249" s="8" t="s">
        <v>1457</v>
      </c>
      <c r="O249" s="8" t="s">
        <v>596</v>
      </c>
      <c r="P249" s="8" t="s">
        <v>218</v>
      </c>
      <c r="Q249" s="4">
        <v>5637709075</v>
      </c>
    </row>
    <row r="250" spans="1:17">
      <c r="A250" s="8" t="s">
        <v>122</v>
      </c>
      <c r="B250" s="8" t="s">
        <v>595</v>
      </c>
      <c r="C250" s="8" t="s">
        <v>64</v>
      </c>
      <c r="D250" s="8" t="s">
        <v>65</v>
      </c>
      <c r="E250" s="6">
        <v>43147</v>
      </c>
      <c r="F250" s="8" t="s">
        <v>237</v>
      </c>
      <c r="G250" s="8" t="s">
        <v>238</v>
      </c>
      <c r="H250" s="4">
        <v>-150</v>
      </c>
      <c r="I250" s="8" t="s">
        <v>24</v>
      </c>
      <c r="J250" s="4">
        <v>0</v>
      </c>
      <c r="K250" s="4">
        <v>0</v>
      </c>
      <c r="L250" s="8" t="s">
        <v>117</v>
      </c>
      <c r="M250" s="4">
        <v>0</v>
      </c>
      <c r="N250" s="8" t="s">
        <v>1457</v>
      </c>
      <c r="O250" s="8" t="s">
        <v>596</v>
      </c>
      <c r="P250" s="8" t="s">
        <v>218</v>
      </c>
      <c r="Q250" s="4">
        <v>5637709076</v>
      </c>
    </row>
    <row r="251" spans="1:17">
      <c r="A251" s="8" t="s">
        <v>122</v>
      </c>
      <c r="B251" s="8" t="s">
        <v>595</v>
      </c>
      <c r="C251" s="8" t="s">
        <v>64</v>
      </c>
      <c r="D251" s="8" t="s">
        <v>65</v>
      </c>
      <c r="E251" s="6">
        <v>43147</v>
      </c>
      <c r="F251" s="8" t="s">
        <v>237</v>
      </c>
      <c r="G251" s="8" t="s">
        <v>238</v>
      </c>
      <c r="H251" s="4">
        <v>-150</v>
      </c>
      <c r="I251" s="8" t="s">
        <v>24</v>
      </c>
      <c r="J251" s="4">
        <v>0</v>
      </c>
      <c r="K251" s="4">
        <v>0</v>
      </c>
      <c r="L251" s="8" t="s">
        <v>117</v>
      </c>
      <c r="M251" s="4">
        <v>0</v>
      </c>
      <c r="N251" s="8" t="s">
        <v>1457</v>
      </c>
      <c r="O251" s="8" t="s">
        <v>596</v>
      </c>
      <c r="P251" s="8" t="s">
        <v>218</v>
      </c>
      <c r="Q251" s="4">
        <v>5637709328</v>
      </c>
    </row>
    <row r="252" spans="1:17">
      <c r="A252" s="8" t="s">
        <v>122</v>
      </c>
      <c r="B252" s="8" t="s">
        <v>595</v>
      </c>
      <c r="C252" s="8" t="s">
        <v>64</v>
      </c>
      <c r="D252" s="8" t="s">
        <v>65</v>
      </c>
      <c r="E252" s="6">
        <v>43147</v>
      </c>
      <c r="F252" s="8" t="s">
        <v>237</v>
      </c>
      <c r="G252" s="8" t="s">
        <v>238</v>
      </c>
      <c r="H252" s="4">
        <v>-150</v>
      </c>
      <c r="I252" s="8" t="s">
        <v>24</v>
      </c>
      <c r="J252" s="4">
        <v>0</v>
      </c>
      <c r="K252" s="4">
        <v>0</v>
      </c>
      <c r="L252" s="8" t="s">
        <v>117</v>
      </c>
      <c r="M252" s="4">
        <v>0</v>
      </c>
      <c r="N252" s="8" t="s">
        <v>1457</v>
      </c>
      <c r="O252" s="8" t="s">
        <v>596</v>
      </c>
      <c r="P252" s="8" t="s">
        <v>218</v>
      </c>
      <c r="Q252" s="4">
        <v>5637709329</v>
      </c>
    </row>
    <row r="253" spans="1:17">
      <c r="A253" s="8" t="s">
        <v>122</v>
      </c>
      <c r="B253" s="8" t="s">
        <v>595</v>
      </c>
      <c r="C253" s="8" t="s">
        <v>64</v>
      </c>
      <c r="D253" s="8" t="s">
        <v>65</v>
      </c>
      <c r="E253" s="6">
        <v>43147</v>
      </c>
      <c r="F253" s="8" t="s">
        <v>237</v>
      </c>
      <c r="G253" s="8" t="s">
        <v>238</v>
      </c>
      <c r="H253" s="4">
        <v>-150</v>
      </c>
      <c r="I253" s="8" t="s">
        <v>24</v>
      </c>
      <c r="J253" s="4">
        <v>0</v>
      </c>
      <c r="K253" s="4">
        <v>0</v>
      </c>
      <c r="L253" s="8" t="s">
        <v>117</v>
      </c>
      <c r="M253" s="4">
        <v>0</v>
      </c>
      <c r="N253" s="8" t="s">
        <v>1457</v>
      </c>
      <c r="O253" s="8" t="s">
        <v>596</v>
      </c>
      <c r="P253" s="8" t="s">
        <v>218</v>
      </c>
      <c r="Q253" s="4">
        <v>5637709331</v>
      </c>
    </row>
    <row r="254" spans="1:17">
      <c r="A254" s="8" t="s">
        <v>122</v>
      </c>
      <c r="B254" s="8" t="s">
        <v>595</v>
      </c>
      <c r="C254" s="8" t="s">
        <v>64</v>
      </c>
      <c r="D254" s="8" t="s">
        <v>65</v>
      </c>
      <c r="E254" s="6">
        <v>43147</v>
      </c>
      <c r="F254" s="8" t="s">
        <v>237</v>
      </c>
      <c r="G254" s="8" t="s">
        <v>238</v>
      </c>
      <c r="H254" s="4">
        <v>-150</v>
      </c>
      <c r="I254" s="8" t="s">
        <v>24</v>
      </c>
      <c r="J254" s="4">
        <v>0</v>
      </c>
      <c r="K254" s="4">
        <v>0</v>
      </c>
      <c r="L254" s="8" t="s">
        <v>117</v>
      </c>
      <c r="M254" s="4">
        <v>0</v>
      </c>
      <c r="N254" s="8" t="s">
        <v>1457</v>
      </c>
      <c r="O254" s="8" t="s">
        <v>596</v>
      </c>
      <c r="P254" s="8" t="s">
        <v>218</v>
      </c>
      <c r="Q254" s="4">
        <v>5637709332</v>
      </c>
    </row>
    <row r="255" spans="1:17">
      <c r="A255" s="8" t="s">
        <v>122</v>
      </c>
      <c r="B255" s="8" t="s">
        <v>595</v>
      </c>
      <c r="C255" s="8" t="s">
        <v>64</v>
      </c>
      <c r="D255" s="8" t="s">
        <v>65</v>
      </c>
      <c r="E255" s="6">
        <v>43147</v>
      </c>
      <c r="F255" s="8" t="s">
        <v>237</v>
      </c>
      <c r="G255" s="8" t="s">
        <v>238</v>
      </c>
      <c r="H255" s="4">
        <v>-150</v>
      </c>
      <c r="I255" s="8" t="s">
        <v>24</v>
      </c>
      <c r="J255" s="4">
        <v>0</v>
      </c>
      <c r="K255" s="4">
        <v>0</v>
      </c>
      <c r="L255" s="8" t="s">
        <v>117</v>
      </c>
      <c r="M255" s="4">
        <v>0</v>
      </c>
      <c r="N255" s="8" t="s">
        <v>1457</v>
      </c>
      <c r="O255" s="8" t="s">
        <v>596</v>
      </c>
      <c r="P255" s="8" t="s">
        <v>218</v>
      </c>
      <c r="Q255" s="4">
        <v>5637709060</v>
      </c>
    </row>
    <row r="256" spans="1:17">
      <c r="A256" s="8" t="s">
        <v>122</v>
      </c>
      <c r="B256" s="8" t="s">
        <v>595</v>
      </c>
      <c r="C256" s="8" t="s">
        <v>64</v>
      </c>
      <c r="D256" s="8" t="s">
        <v>65</v>
      </c>
      <c r="E256" s="6">
        <v>43147</v>
      </c>
      <c r="F256" s="8" t="s">
        <v>237</v>
      </c>
      <c r="G256" s="8" t="s">
        <v>238</v>
      </c>
      <c r="H256" s="4">
        <v>-150</v>
      </c>
      <c r="I256" s="8" t="s">
        <v>24</v>
      </c>
      <c r="J256" s="4">
        <v>0</v>
      </c>
      <c r="K256" s="4">
        <v>0</v>
      </c>
      <c r="L256" s="8" t="s">
        <v>117</v>
      </c>
      <c r="M256" s="4">
        <v>0</v>
      </c>
      <c r="N256" s="8" t="s">
        <v>1457</v>
      </c>
      <c r="O256" s="8" t="s">
        <v>596</v>
      </c>
      <c r="P256" s="8" t="s">
        <v>218</v>
      </c>
      <c r="Q256" s="4">
        <v>5637709070</v>
      </c>
    </row>
    <row r="257" spans="1:17">
      <c r="A257" s="8" t="s">
        <v>122</v>
      </c>
      <c r="B257" s="8" t="s">
        <v>591</v>
      </c>
      <c r="C257" s="8" t="s">
        <v>64</v>
      </c>
      <c r="D257" s="8" t="s">
        <v>65</v>
      </c>
      <c r="E257" s="6">
        <v>43147</v>
      </c>
      <c r="F257" s="8" t="s">
        <v>237</v>
      </c>
      <c r="G257" s="8" t="s">
        <v>238</v>
      </c>
      <c r="H257" s="4">
        <v>-6.6</v>
      </c>
      <c r="I257" s="8" t="s">
        <v>24</v>
      </c>
      <c r="J257" s="4">
        <v>0</v>
      </c>
      <c r="K257" s="4">
        <v>0</v>
      </c>
      <c r="L257" s="8" t="s">
        <v>117</v>
      </c>
      <c r="M257" s="4">
        <v>0</v>
      </c>
      <c r="N257" s="8" t="s">
        <v>1449</v>
      </c>
      <c r="O257" s="8" t="s">
        <v>593</v>
      </c>
      <c r="P257" s="8" t="s">
        <v>218</v>
      </c>
      <c r="Q257" s="4">
        <v>5637709048</v>
      </c>
    </row>
    <row r="258" spans="1:17">
      <c r="A258" s="8" t="s">
        <v>122</v>
      </c>
      <c r="B258" s="8" t="s">
        <v>584</v>
      </c>
      <c r="C258" s="8" t="s">
        <v>64</v>
      </c>
      <c r="D258" s="8" t="s">
        <v>65</v>
      </c>
      <c r="E258" s="6">
        <v>43154</v>
      </c>
      <c r="F258" s="8" t="s">
        <v>237</v>
      </c>
      <c r="G258" s="8" t="s">
        <v>238</v>
      </c>
      <c r="H258" s="4">
        <v>-61</v>
      </c>
      <c r="I258" s="8" t="s">
        <v>24</v>
      </c>
      <c r="J258" s="4">
        <v>0</v>
      </c>
      <c r="K258" s="4">
        <v>0</v>
      </c>
      <c r="L258" s="8" t="s">
        <v>117</v>
      </c>
      <c r="M258" s="4">
        <v>0</v>
      </c>
      <c r="N258" s="8" t="s">
        <v>1458</v>
      </c>
      <c r="O258" s="8" t="s">
        <v>585</v>
      </c>
      <c r="P258" s="8" t="s">
        <v>218</v>
      </c>
      <c r="Q258" s="4">
        <v>5637707764</v>
      </c>
    </row>
    <row r="259" spans="1:17">
      <c r="A259" s="8" t="s">
        <v>122</v>
      </c>
      <c r="B259" s="8" t="s">
        <v>584</v>
      </c>
      <c r="C259" s="8" t="s">
        <v>64</v>
      </c>
      <c r="D259" s="8" t="s">
        <v>65</v>
      </c>
      <c r="E259" s="6">
        <v>43154</v>
      </c>
      <c r="F259" s="8" t="s">
        <v>237</v>
      </c>
      <c r="G259" s="8" t="s">
        <v>238</v>
      </c>
      <c r="H259" s="4">
        <v>-12</v>
      </c>
      <c r="I259" s="8" t="s">
        <v>24</v>
      </c>
      <c r="J259" s="4">
        <v>0</v>
      </c>
      <c r="K259" s="4">
        <v>0</v>
      </c>
      <c r="L259" s="8" t="s">
        <v>117</v>
      </c>
      <c r="M259" s="4">
        <v>0</v>
      </c>
      <c r="N259" s="8" t="s">
        <v>1458</v>
      </c>
      <c r="O259" s="8" t="s">
        <v>586</v>
      </c>
      <c r="P259" s="8" t="s">
        <v>218</v>
      </c>
      <c r="Q259" s="4">
        <v>5637707765</v>
      </c>
    </row>
    <row r="260" spans="1:17">
      <c r="A260" s="8" t="s">
        <v>122</v>
      </c>
      <c r="B260" s="8" t="s">
        <v>577</v>
      </c>
      <c r="C260" s="8" t="s">
        <v>64</v>
      </c>
      <c r="D260" s="8" t="s">
        <v>65</v>
      </c>
      <c r="E260" s="6">
        <v>43154</v>
      </c>
      <c r="F260" s="8" t="s">
        <v>237</v>
      </c>
      <c r="G260" s="8" t="s">
        <v>238</v>
      </c>
      <c r="H260" s="4">
        <v>-100</v>
      </c>
      <c r="I260" s="8" t="s">
        <v>24</v>
      </c>
      <c r="J260" s="4">
        <v>0</v>
      </c>
      <c r="K260" s="4">
        <v>0</v>
      </c>
      <c r="L260" s="8" t="s">
        <v>117</v>
      </c>
      <c r="M260" s="4">
        <v>0</v>
      </c>
      <c r="N260" s="8" t="s">
        <v>1439</v>
      </c>
      <c r="O260" s="8" t="s">
        <v>579</v>
      </c>
      <c r="P260" s="8" t="s">
        <v>218</v>
      </c>
      <c r="Q260" s="4">
        <v>5637707538</v>
      </c>
    </row>
    <row r="261" spans="1:17">
      <c r="A261" s="8" t="s">
        <v>15</v>
      </c>
      <c r="B261" s="8" t="s">
        <v>800</v>
      </c>
      <c r="C261" s="8" t="s">
        <v>58</v>
      </c>
      <c r="D261" s="8" t="s">
        <v>59</v>
      </c>
      <c r="E261" s="6">
        <v>43123</v>
      </c>
      <c r="F261" s="8" t="s">
        <v>237</v>
      </c>
      <c r="G261" s="8" t="s">
        <v>238</v>
      </c>
      <c r="H261" s="4">
        <v>100</v>
      </c>
      <c r="I261" s="8" t="s">
        <v>24</v>
      </c>
      <c r="J261" s="4">
        <v>0</v>
      </c>
      <c r="K261" s="4">
        <v>0</v>
      </c>
      <c r="L261" s="8" t="s">
        <v>117</v>
      </c>
      <c r="M261" s="4">
        <v>0</v>
      </c>
      <c r="N261" s="8" t="s">
        <v>1452</v>
      </c>
      <c r="O261" s="8" t="s">
        <v>802</v>
      </c>
      <c r="P261" s="8" t="s">
        <v>218</v>
      </c>
      <c r="Q261" s="4">
        <v>5637705561</v>
      </c>
    </row>
    <row r="262" spans="1:17">
      <c r="A262" s="8" t="s">
        <v>15</v>
      </c>
      <c r="B262" s="8" t="s">
        <v>800</v>
      </c>
      <c r="C262" s="8" t="s">
        <v>58</v>
      </c>
      <c r="D262" s="8" t="s">
        <v>59</v>
      </c>
      <c r="E262" s="6">
        <v>43123</v>
      </c>
      <c r="F262" s="8" t="s">
        <v>237</v>
      </c>
      <c r="G262" s="8" t="s">
        <v>238</v>
      </c>
      <c r="H262" s="4">
        <v>100</v>
      </c>
      <c r="I262" s="8" t="s">
        <v>24</v>
      </c>
      <c r="J262" s="4">
        <v>0</v>
      </c>
      <c r="K262" s="4">
        <v>0</v>
      </c>
      <c r="L262" s="8" t="s">
        <v>117</v>
      </c>
      <c r="M262" s="4">
        <v>0</v>
      </c>
      <c r="N262" s="8" t="s">
        <v>1452</v>
      </c>
      <c r="O262" s="8" t="s">
        <v>802</v>
      </c>
      <c r="P262" s="8" t="s">
        <v>218</v>
      </c>
      <c r="Q262" s="4">
        <v>5637705567</v>
      </c>
    </row>
    <row r="263" spans="1:17">
      <c r="A263" s="8" t="s">
        <v>15</v>
      </c>
      <c r="B263" s="8" t="s">
        <v>800</v>
      </c>
      <c r="C263" s="8" t="s">
        <v>58</v>
      </c>
      <c r="D263" s="8" t="s">
        <v>59</v>
      </c>
      <c r="E263" s="6">
        <v>43123</v>
      </c>
      <c r="F263" s="8" t="s">
        <v>237</v>
      </c>
      <c r="G263" s="8" t="s">
        <v>238</v>
      </c>
      <c r="H263" s="4">
        <v>100</v>
      </c>
      <c r="I263" s="8" t="s">
        <v>24</v>
      </c>
      <c r="J263" s="4">
        <v>0</v>
      </c>
      <c r="K263" s="4">
        <v>0</v>
      </c>
      <c r="L263" s="8" t="s">
        <v>117</v>
      </c>
      <c r="M263" s="4">
        <v>0</v>
      </c>
      <c r="N263" s="8" t="s">
        <v>1452</v>
      </c>
      <c r="O263" s="8" t="s">
        <v>802</v>
      </c>
      <c r="P263" s="8" t="s">
        <v>218</v>
      </c>
      <c r="Q263" s="4">
        <v>5637705568</v>
      </c>
    </row>
    <row r="264" spans="1:17">
      <c r="A264" s="8" t="s">
        <v>15</v>
      </c>
      <c r="B264" s="8" t="s">
        <v>800</v>
      </c>
      <c r="C264" s="8" t="s">
        <v>58</v>
      </c>
      <c r="D264" s="8" t="s">
        <v>59</v>
      </c>
      <c r="E264" s="6">
        <v>43123</v>
      </c>
      <c r="F264" s="8" t="s">
        <v>237</v>
      </c>
      <c r="G264" s="8" t="s">
        <v>238</v>
      </c>
      <c r="H264" s="4">
        <v>100</v>
      </c>
      <c r="I264" s="8" t="s">
        <v>24</v>
      </c>
      <c r="J264" s="4">
        <v>0</v>
      </c>
      <c r="K264" s="4">
        <v>0</v>
      </c>
      <c r="L264" s="8" t="s">
        <v>117</v>
      </c>
      <c r="M264" s="4">
        <v>0</v>
      </c>
      <c r="N264" s="8" t="s">
        <v>1452</v>
      </c>
      <c r="O264" s="8" t="s">
        <v>802</v>
      </c>
      <c r="P264" s="8" t="s">
        <v>218</v>
      </c>
      <c r="Q264" s="4">
        <v>5637705569</v>
      </c>
    </row>
    <row r="265" spans="1:17">
      <c r="A265" s="8" t="s">
        <v>122</v>
      </c>
      <c r="B265" s="8" t="s">
        <v>541</v>
      </c>
      <c r="C265" s="8" t="s">
        <v>58</v>
      </c>
      <c r="D265" s="8" t="s">
        <v>59</v>
      </c>
      <c r="E265" s="6">
        <v>43125</v>
      </c>
      <c r="F265" s="8" t="s">
        <v>237</v>
      </c>
      <c r="G265" s="8" t="s">
        <v>238</v>
      </c>
      <c r="H265" s="4">
        <v>-20</v>
      </c>
      <c r="I265" s="8" t="s">
        <v>24</v>
      </c>
      <c r="J265" s="4">
        <v>0</v>
      </c>
      <c r="K265" s="4">
        <v>0</v>
      </c>
      <c r="L265" s="8" t="s">
        <v>117</v>
      </c>
      <c r="M265" s="4">
        <v>0</v>
      </c>
      <c r="N265" s="8" t="s">
        <v>1459</v>
      </c>
      <c r="O265" s="8" t="s">
        <v>542</v>
      </c>
      <c r="P265" s="8" t="s">
        <v>218</v>
      </c>
      <c r="Q265" s="4">
        <v>5637707310</v>
      </c>
    </row>
    <row r="266" spans="1:17">
      <c r="A266" s="8" t="s">
        <v>122</v>
      </c>
      <c r="B266" s="8" t="s">
        <v>582</v>
      </c>
      <c r="C266" s="8" t="s">
        <v>58</v>
      </c>
      <c r="D266" s="8" t="s">
        <v>59</v>
      </c>
      <c r="E266" s="6">
        <v>43141</v>
      </c>
      <c r="F266" s="8" t="s">
        <v>237</v>
      </c>
      <c r="G266" s="8" t="s">
        <v>238</v>
      </c>
      <c r="H266" s="4">
        <v>-50</v>
      </c>
      <c r="I266" s="8" t="s">
        <v>24</v>
      </c>
      <c r="J266" s="4">
        <v>0</v>
      </c>
      <c r="K266" s="4">
        <v>0</v>
      </c>
      <c r="L266" s="8" t="s">
        <v>117</v>
      </c>
      <c r="M266" s="4">
        <v>0</v>
      </c>
      <c r="N266" s="8" t="s">
        <v>1460</v>
      </c>
      <c r="O266" s="8" t="s">
        <v>583</v>
      </c>
      <c r="P266" s="8" t="s">
        <v>218</v>
      </c>
      <c r="Q266" s="4">
        <v>5637707664</v>
      </c>
    </row>
    <row r="267" spans="1:17">
      <c r="A267" s="8" t="s">
        <v>122</v>
      </c>
      <c r="B267" s="8" t="s">
        <v>651</v>
      </c>
      <c r="C267" s="8" t="s">
        <v>58</v>
      </c>
      <c r="D267" s="8" t="s">
        <v>59</v>
      </c>
      <c r="E267" s="6">
        <v>43159</v>
      </c>
      <c r="F267" s="8" t="s">
        <v>237</v>
      </c>
      <c r="G267" s="8" t="s">
        <v>238</v>
      </c>
      <c r="H267" s="4">
        <v>-24</v>
      </c>
      <c r="I267" s="8" t="s">
        <v>24</v>
      </c>
      <c r="J267" s="4">
        <v>0</v>
      </c>
      <c r="K267" s="4">
        <v>0</v>
      </c>
      <c r="L267" s="8" t="s">
        <v>117</v>
      </c>
      <c r="M267" s="4">
        <v>0</v>
      </c>
      <c r="N267" s="8" t="s">
        <v>1461</v>
      </c>
      <c r="O267" s="8" t="s">
        <v>652</v>
      </c>
      <c r="P267" s="8" t="s">
        <v>218</v>
      </c>
      <c r="Q267" s="4">
        <v>5637715848</v>
      </c>
    </row>
    <row r="268" spans="1:17">
      <c r="A268" s="8" t="s">
        <v>15</v>
      </c>
      <c r="B268" s="8" t="s">
        <v>835</v>
      </c>
      <c r="C268" s="8" t="s">
        <v>17</v>
      </c>
      <c r="D268" s="8" t="s">
        <v>20</v>
      </c>
      <c r="E268" s="6">
        <v>43143</v>
      </c>
      <c r="F268" s="8" t="s">
        <v>237</v>
      </c>
      <c r="G268" s="8" t="s">
        <v>238</v>
      </c>
      <c r="H268" s="4">
        <v>150</v>
      </c>
      <c r="I268" s="8" t="s">
        <v>24</v>
      </c>
      <c r="J268" s="4">
        <v>0</v>
      </c>
      <c r="K268" s="4">
        <v>0</v>
      </c>
      <c r="L268" s="8" t="s">
        <v>117</v>
      </c>
      <c r="M268" s="4">
        <v>0</v>
      </c>
      <c r="N268" s="8" t="s">
        <v>1456</v>
      </c>
      <c r="O268" s="8" t="s">
        <v>837</v>
      </c>
      <c r="P268" s="8" t="s">
        <v>218</v>
      </c>
      <c r="Q268" s="4">
        <v>5637707554</v>
      </c>
    </row>
    <row r="269" spans="1:17">
      <c r="A269" s="8" t="s">
        <v>122</v>
      </c>
      <c r="B269" s="8" t="s">
        <v>557</v>
      </c>
      <c r="C269" s="8" t="s">
        <v>62</v>
      </c>
      <c r="D269" s="8" t="s">
        <v>63</v>
      </c>
      <c r="E269" s="6">
        <v>43130</v>
      </c>
      <c r="F269" s="8" t="s">
        <v>237</v>
      </c>
      <c r="G269" s="8" t="s">
        <v>238</v>
      </c>
      <c r="H269" s="4">
        <v>-15</v>
      </c>
      <c r="I269" s="8" t="s">
        <v>24</v>
      </c>
      <c r="J269" s="4">
        <v>0</v>
      </c>
      <c r="K269" s="4">
        <v>0</v>
      </c>
      <c r="L269" s="8" t="s">
        <v>117</v>
      </c>
      <c r="M269" s="4">
        <v>0</v>
      </c>
      <c r="N269" s="8" t="s">
        <v>1462</v>
      </c>
      <c r="O269" s="8" t="s">
        <v>558</v>
      </c>
      <c r="P269" s="8" t="s">
        <v>218</v>
      </c>
      <c r="Q269" s="4">
        <v>5637707355</v>
      </c>
    </row>
    <row r="270" spans="1:17">
      <c r="A270" s="8" t="s">
        <v>122</v>
      </c>
      <c r="B270" s="8" t="s">
        <v>571</v>
      </c>
      <c r="C270" s="8" t="s">
        <v>62</v>
      </c>
      <c r="D270" s="8" t="s">
        <v>63</v>
      </c>
      <c r="E270" s="6">
        <v>43151</v>
      </c>
      <c r="F270" s="8" t="s">
        <v>237</v>
      </c>
      <c r="G270" s="8" t="s">
        <v>238</v>
      </c>
      <c r="H270" s="4">
        <v>-25</v>
      </c>
      <c r="I270" s="8" t="s">
        <v>24</v>
      </c>
      <c r="J270" s="4">
        <v>0</v>
      </c>
      <c r="K270" s="4">
        <v>0</v>
      </c>
      <c r="L270" s="8" t="s">
        <v>117</v>
      </c>
      <c r="M270" s="4">
        <v>0</v>
      </c>
      <c r="N270" s="8" t="s">
        <v>1463</v>
      </c>
      <c r="O270" s="8" t="s">
        <v>572</v>
      </c>
      <c r="P270" s="8" t="s">
        <v>218</v>
      </c>
      <c r="Q270" s="4">
        <v>5637707511</v>
      </c>
    </row>
    <row r="271" spans="1:17">
      <c r="A271" s="8" t="s">
        <v>122</v>
      </c>
      <c r="B271" s="8" t="s">
        <v>645</v>
      </c>
      <c r="C271" s="8" t="s">
        <v>62</v>
      </c>
      <c r="D271" s="8" t="s">
        <v>63</v>
      </c>
      <c r="E271" s="6">
        <v>43157</v>
      </c>
      <c r="F271" s="8" t="s">
        <v>237</v>
      </c>
      <c r="G271" s="8" t="s">
        <v>238</v>
      </c>
      <c r="H271" s="4">
        <v>15</v>
      </c>
      <c r="I271" s="8" t="s">
        <v>24</v>
      </c>
      <c r="J271" s="4">
        <v>0</v>
      </c>
      <c r="K271" s="4">
        <v>0</v>
      </c>
      <c r="L271" s="8" t="s">
        <v>117</v>
      </c>
      <c r="M271" s="4">
        <v>0</v>
      </c>
      <c r="N271" s="8" t="s">
        <v>1464</v>
      </c>
      <c r="O271" s="8" t="s">
        <v>646</v>
      </c>
      <c r="P271" s="8" t="s">
        <v>218</v>
      </c>
      <c r="Q271" s="4">
        <v>5637715499</v>
      </c>
    </row>
    <row r="272" spans="1:17">
      <c r="A272" s="8" t="s">
        <v>15</v>
      </c>
      <c r="B272" s="8" t="s">
        <v>800</v>
      </c>
      <c r="C272" s="8" t="s">
        <v>40</v>
      </c>
      <c r="D272" s="8" t="s">
        <v>69</v>
      </c>
      <c r="E272" s="6">
        <v>43123</v>
      </c>
      <c r="F272" s="8" t="s">
        <v>237</v>
      </c>
      <c r="G272" s="8" t="s">
        <v>238</v>
      </c>
      <c r="H272" s="4">
        <v>150</v>
      </c>
      <c r="I272" s="8" t="s">
        <v>24</v>
      </c>
      <c r="J272" s="4">
        <v>0</v>
      </c>
      <c r="K272" s="4">
        <v>0</v>
      </c>
      <c r="L272" s="8" t="s">
        <v>117</v>
      </c>
      <c r="M272" s="4">
        <v>0</v>
      </c>
      <c r="N272" s="8" t="s">
        <v>1452</v>
      </c>
      <c r="O272" s="8" t="s">
        <v>803</v>
      </c>
      <c r="P272" s="8" t="s">
        <v>218</v>
      </c>
      <c r="Q272" s="4">
        <v>5637705562</v>
      </c>
    </row>
    <row r="273" spans="1:17">
      <c r="A273" s="8" t="s">
        <v>15</v>
      </c>
      <c r="B273" s="8" t="s">
        <v>800</v>
      </c>
      <c r="C273" s="8" t="s">
        <v>40</v>
      </c>
      <c r="D273" s="8" t="s">
        <v>69</v>
      </c>
      <c r="E273" s="6">
        <v>43123</v>
      </c>
      <c r="F273" s="8" t="s">
        <v>237</v>
      </c>
      <c r="G273" s="8" t="s">
        <v>238</v>
      </c>
      <c r="H273" s="4">
        <v>100</v>
      </c>
      <c r="I273" s="8" t="s">
        <v>24</v>
      </c>
      <c r="J273" s="4">
        <v>0</v>
      </c>
      <c r="K273" s="4">
        <v>0</v>
      </c>
      <c r="L273" s="8" t="s">
        <v>117</v>
      </c>
      <c r="M273" s="4">
        <v>0</v>
      </c>
      <c r="N273" s="8" t="s">
        <v>1452</v>
      </c>
      <c r="O273" s="8" t="s">
        <v>803</v>
      </c>
      <c r="P273" s="8" t="s">
        <v>218</v>
      </c>
      <c r="Q273" s="4">
        <v>5637705576</v>
      </c>
    </row>
    <row r="274" spans="1:17">
      <c r="A274" s="8" t="s">
        <v>15</v>
      </c>
      <c r="B274" s="8" t="s">
        <v>800</v>
      </c>
      <c r="C274" s="8" t="s">
        <v>40</v>
      </c>
      <c r="D274" s="8" t="s">
        <v>69</v>
      </c>
      <c r="E274" s="6">
        <v>43123</v>
      </c>
      <c r="F274" s="8" t="s">
        <v>237</v>
      </c>
      <c r="G274" s="8" t="s">
        <v>238</v>
      </c>
      <c r="H274" s="4">
        <v>150</v>
      </c>
      <c r="I274" s="8" t="s">
        <v>24</v>
      </c>
      <c r="J274" s="4">
        <v>0</v>
      </c>
      <c r="K274" s="4">
        <v>0</v>
      </c>
      <c r="L274" s="8" t="s">
        <v>117</v>
      </c>
      <c r="M274" s="4">
        <v>0</v>
      </c>
      <c r="N274" s="8" t="s">
        <v>1452</v>
      </c>
      <c r="O274" s="8" t="s">
        <v>803</v>
      </c>
      <c r="P274" s="8" t="s">
        <v>218</v>
      </c>
      <c r="Q274" s="4">
        <v>5637705577</v>
      </c>
    </row>
    <row r="275" spans="1:17">
      <c r="A275" s="8" t="s">
        <v>122</v>
      </c>
      <c r="B275" s="8" t="s">
        <v>605</v>
      </c>
      <c r="C275" s="8" t="s">
        <v>40</v>
      </c>
      <c r="D275" s="8" t="s">
        <v>69</v>
      </c>
      <c r="E275" s="6">
        <v>43147</v>
      </c>
      <c r="F275" s="8" t="s">
        <v>237</v>
      </c>
      <c r="G275" s="8" t="s">
        <v>238</v>
      </c>
      <c r="H275" s="4">
        <v>-80</v>
      </c>
      <c r="I275" s="8" t="s">
        <v>24</v>
      </c>
      <c r="J275" s="4">
        <v>0</v>
      </c>
      <c r="K275" s="4">
        <v>0</v>
      </c>
      <c r="L275" s="8" t="s">
        <v>117</v>
      </c>
      <c r="M275" s="4">
        <v>0</v>
      </c>
      <c r="N275" s="8" t="s">
        <v>1434</v>
      </c>
      <c r="O275" s="8" t="s">
        <v>607</v>
      </c>
      <c r="P275" s="8" t="s">
        <v>218</v>
      </c>
      <c r="Q275" s="4">
        <v>5637709479</v>
      </c>
    </row>
    <row r="276" spans="1:17">
      <c r="A276" s="8" t="s">
        <v>122</v>
      </c>
      <c r="B276" s="8" t="s">
        <v>565</v>
      </c>
      <c r="C276" s="8" t="s">
        <v>60</v>
      </c>
      <c r="D276" s="8" t="s">
        <v>61</v>
      </c>
      <c r="E276" s="6">
        <v>43141</v>
      </c>
      <c r="F276" s="8" t="s">
        <v>237</v>
      </c>
      <c r="G276" s="8" t="s">
        <v>238</v>
      </c>
      <c r="H276" s="4">
        <v>-15</v>
      </c>
      <c r="I276" s="8" t="s">
        <v>24</v>
      </c>
      <c r="J276" s="4">
        <v>0</v>
      </c>
      <c r="K276" s="4">
        <v>0</v>
      </c>
      <c r="L276" s="8" t="s">
        <v>117</v>
      </c>
      <c r="M276" s="4">
        <v>0</v>
      </c>
      <c r="N276" s="8" t="s">
        <v>1465</v>
      </c>
      <c r="O276" s="8" t="s">
        <v>566</v>
      </c>
      <c r="P276" s="8" t="s">
        <v>218</v>
      </c>
      <c r="Q276" s="4">
        <v>5637707430</v>
      </c>
    </row>
    <row r="277" spans="1:17">
      <c r="A277" s="8" t="s">
        <v>122</v>
      </c>
      <c r="B277" s="8" t="s">
        <v>647</v>
      </c>
      <c r="C277" s="8" t="s">
        <v>60</v>
      </c>
      <c r="D277" s="8" t="s">
        <v>61</v>
      </c>
      <c r="E277" s="6">
        <v>43157</v>
      </c>
      <c r="F277" s="8" t="s">
        <v>237</v>
      </c>
      <c r="G277" s="8" t="s">
        <v>238</v>
      </c>
      <c r="H277" s="4">
        <v>15</v>
      </c>
      <c r="I277" s="8" t="s">
        <v>24</v>
      </c>
      <c r="J277" s="4">
        <v>0</v>
      </c>
      <c r="K277" s="4">
        <v>0</v>
      </c>
      <c r="L277" s="8" t="s">
        <v>117</v>
      </c>
      <c r="M277" s="4">
        <v>0</v>
      </c>
      <c r="N277" s="8" t="s">
        <v>1466</v>
      </c>
      <c r="O277" s="8" t="s">
        <v>648</v>
      </c>
      <c r="P277" s="8" t="s">
        <v>218</v>
      </c>
      <c r="Q277" s="4">
        <v>5637715500</v>
      </c>
    </row>
    <row r="278" spans="1:17">
      <c r="A278" s="8" t="s">
        <v>122</v>
      </c>
      <c r="B278" s="8" t="s">
        <v>649</v>
      </c>
      <c r="C278" s="8" t="s">
        <v>60</v>
      </c>
      <c r="D278" s="8" t="s">
        <v>61</v>
      </c>
      <c r="E278" s="6">
        <v>43158</v>
      </c>
      <c r="F278" s="8" t="s">
        <v>237</v>
      </c>
      <c r="G278" s="8" t="s">
        <v>238</v>
      </c>
      <c r="H278" s="4">
        <v>-15</v>
      </c>
      <c r="I278" s="8" t="s">
        <v>24</v>
      </c>
      <c r="J278" s="4">
        <v>0</v>
      </c>
      <c r="K278" s="4">
        <v>0</v>
      </c>
      <c r="L278" s="8" t="s">
        <v>117</v>
      </c>
      <c r="M278" s="4">
        <v>0</v>
      </c>
      <c r="N278" s="8" t="s">
        <v>1467</v>
      </c>
      <c r="O278" s="8" t="s">
        <v>650</v>
      </c>
      <c r="P278" s="8" t="s">
        <v>218</v>
      </c>
      <c r="Q278" s="4">
        <v>5637715833</v>
      </c>
    </row>
    <row r="279" spans="1:17">
      <c r="A279" s="8" t="s">
        <v>122</v>
      </c>
      <c r="B279" s="8" t="s">
        <v>571</v>
      </c>
      <c r="C279" s="8" t="s">
        <v>41</v>
      </c>
      <c r="D279" s="8" t="s">
        <v>56</v>
      </c>
      <c r="E279" s="6">
        <v>43151</v>
      </c>
      <c r="F279" s="8" t="s">
        <v>237</v>
      </c>
      <c r="G279" s="8" t="s">
        <v>238</v>
      </c>
      <c r="H279" s="4">
        <v>-25</v>
      </c>
      <c r="I279" s="8" t="s">
        <v>24</v>
      </c>
      <c r="J279" s="4">
        <v>0</v>
      </c>
      <c r="K279" s="4">
        <v>0</v>
      </c>
      <c r="L279" s="8" t="s">
        <v>117</v>
      </c>
      <c r="M279" s="4">
        <v>0</v>
      </c>
      <c r="N279" s="8" t="s">
        <v>1463</v>
      </c>
      <c r="O279" s="8" t="s">
        <v>573</v>
      </c>
      <c r="P279" s="8" t="s">
        <v>218</v>
      </c>
      <c r="Q279" s="4">
        <v>5637707510</v>
      </c>
    </row>
    <row r="280" spans="1:17">
      <c r="A280" s="8" t="s">
        <v>122</v>
      </c>
      <c r="B280" s="8" t="s">
        <v>541</v>
      </c>
      <c r="C280" s="8" t="s">
        <v>42</v>
      </c>
      <c r="D280" s="8" t="s">
        <v>363</v>
      </c>
      <c r="E280" s="6">
        <v>43125</v>
      </c>
      <c r="F280" s="8" t="s">
        <v>237</v>
      </c>
      <c r="G280" s="8" t="s">
        <v>238</v>
      </c>
      <c r="H280" s="4">
        <v>-1</v>
      </c>
      <c r="I280" s="8" t="s">
        <v>22</v>
      </c>
      <c r="J280" s="4">
        <v>0</v>
      </c>
      <c r="K280" s="4">
        <v>0</v>
      </c>
      <c r="L280" s="8" t="s">
        <v>117</v>
      </c>
      <c r="M280" s="4">
        <v>0</v>
      </c>
      <c r="N280" s="8" t="s">
        <v>1459</v>
      </c>
      <c r="O280" s="8" t="s">
        <v>543</v>
      </c>
      <c r="P280" s="8" t="s">
        <v>218</v>
      </c>
      <c r="Q280" s="4">
        <v>5637707311</v>
      </c>
    </row>
    <row r="281" spans="1:17">
      <c r="A281" s="8" t="s">
        <v>122</v>
      </c>
      <c r="B281" s="8" t="s">
        <v>554</v>
      </c>
      <c r="C281" s="8" t="s">
        <v>42</v>
      </c>
      <c r="D281" s="8" t="s">
        <v>363</v>
      </c>
      <c r="E281" s="6">
        <v>43130</v>
      </c>
      <c r="F281" s="8" t="s">
        <v>237</v>
      </c>
      <c r="G281" s="8" t="s">
        <v>238</v>
      </c>
      <c r="H281" s="4">
        <v>-34</v>
      </c>
      <c r="I281" s="8" t="s">
        <v>22</v>
      </c>
      <c r="J281" s="4">
        <v>0</v>
      </c>
      <c r="K281" s="4">
        <v>0</v>
      </c>
      <c r="L281" s="8" t="s">
        <v>117</v>
      </c>
      <c r="M281" s="4">
        <v>0</v>
      </c>
      <c r="N281" s="8" t="s">
        <v>1453</v>
      </c>
      <c r="O281" s="8" t="s">
        <v>556</v>
      </c>
      <c r="P281" s="8" t="s">
        <v>218</v>
      </c>
      <c r="Q281" s="4">
        <v>5637707321</v>
      </c>
    </row>
    <row r="282" spans="1:17">
      <c r="A282" s="8" t="s">
        <v>15</v>
      </c>
      <c r="B282" s="8" t="s">
        <v>808</v>
      </c>
      <c r="C282" s="8" t="s">
        <v>42</v>
      </c>
      <c r="D282" s="8" t="s">
        <v>363</v>
      </c>
      <c r="E282" s="6">
        <v>43130</v>
      </c>
      <c r="F282" s="8" t="s">
        <v>237</v>
      </c>
      <c r="G282" s="8" t="s">
        <v>238</v>
      </c>
      <c r="H282" s="4">
        <v>84</v>
      </c>
      <c r="I282" s="8" t="s">
        <v>22</v>
      </c>
      <c r="J282" s="4">
        <v>0</v>
      </c>
      <c r="K282" s="4">
        <v>0</v>
      </c>
      <c r="L282" s="8" t="s">
        <v>117</v>
      </c>
      <c r="M282" s="4">
        <v>0</v>
      </c>
      <c r="N282" s="8" t="s">
        <v>1468</v>
      </c>
      <c r="O282" s="8" t="s">
        <v>809</v>
      </c>
      <c r="P282" s="8" t="s">
        <v>218</v>
      </c>
      <c r="Q282" s="4">
        <v>5637705840</v>
      </c>
    </row>
    <row r="283" spans="1:17">
      <c r="A283" s="8" t="s">
        <v>15</v>
      </c>
      <c r="B283" s="8" t="s">
        <v>810</v>
      </c>
      <c r="C283" s="8" t="s">
        <v>42</v>
      </c>
      <c r="D283" s="8" t="s">
        <v>363</v>
      </c>
      <c r="E283" s="6">
        <v>43138</v>
      </c>
      <c r="F283" s="8" t="s">
        <v>237</v>
      </c>
      <c r="G283" s="8" t="s">
        <v>238</v>
      </c>
      <c r="H283" s="4">
        <v>112</v>
      </c>
      <c r="I283" s="8" t="s">
        <v>22</v>
      </c>
      <c r="J283" s="4">
        <v>0</v>
      </c>
      <c r="K283" s="4">
        <v>0</v>
      </c>
      <c r="L283" s="8" t="s">
        <v>117</v>
      </c>
      <c r="M283" s="4">
        <v>0</v>
      </c>
      <c r="N283" s="8" t="s">
        <v>1469</v>
      </c>
      <c r="O283" s="8" t="s">
        <v>811</v>
      </c>
      <c r="P283" s="8" t="s">
        <v>218</v>
      </c>
      <c r="Q283" s="4">
        <v>5637706040</v>
      </c>
    </row>
    <row r="284" spans="1:17">
      <c r="A284" s="8" t="s">
        <v>122</v>
      </c>
      <c r="B284" s="8" t="s">
        <v>605</v>
      </c>
      <c r="C284" s="8" t="s">
        <v>42</v>
      </c>
      <c r="D284" s="8" t="s">
        <v>363</v>
      </c>
      <c r="E284" s="6">
        <v>43147</v>
      </c>
      <c r="F284" s="8" t="s">
        <v>237</v>
      </c>
      <c r="G284" s="8" t="s">
        <v>238</v>
      </c>
      <c r="H284" s="4">
        <v>-4</v>
      </c>
      <c r="I284" s="8" t="s">
        <v>22</v>
      </c>
      <c r="J284" s="4">
        <v>0</v>
      </c>
      <c r="K284" s="4">
        <v>0</v>
      </c>
      <c r="L284" s="8" t="s">
        <v>117</v>
      </c>
      <c r="M284" s="4">
        <v>0</v>
      </c>
      <c r="N284" s="8" t="s">
        <v>1434</v>
      </c>
      <c r="O284" s="8" t="s">
        <v>608</v>
      </c>
      <c r="P284" s="8" t="s">
        <v>218</v>
      </c>
      <c r="Q284" s="4">
        <v>5637709482</v>
      </c>
    </row>
    <row r="285" spans="1:17">
      <c r="A285" s="8" t="s">
        <v>122</v>
      </c>
      <c r="B285" s="8" t="s">
        <v>595</v>
      </c>
      <c r="C285" s="8" t="s">
        <v>42</v>
      </c>
      <c r="D285" s="8" t="s">
        <v>363</v>
      </c>
      <c r="E285" s="6">
        <v>43147</v>
      </c>
      <c r="F285" s="8" t="s">
        <v>237</v>
      </c>
      <c r="G285" s="8" t="s">
        <v>238</v>
      </c>
      <c r="H285" s="4">
        <v>-10</v>
      </c>
      <c r="I285" s="8" t="s">
        <v>22</v>
      </c>
      <c r="J285" s="4">
        <v>0</v>
      </c>
      <c r="K285" s="4">
        <v>0</v>
      </c>
      <c r="L285" s="8" t="s">
        <v>117</v>
      </c>
      <c r="M285" s="4">
        <v>0</v>
      </c>
      <c r="N285" s="8" t="s">
        <v>1457</v>
      </c>
      <c r="O285" s="8" t="s">
        <v>597</v>
      </c>
      <c r="P285" s="8" t="s">
        <v>218</v>
      </c>
      <c r="Q285" s="4">
        <v>5637709061</v>
      </c>
    </row>
    <row r="286" spans="1:17">
      <c r="A286" s="8" t="s">
        <v>1121</v>
      </c>
      <c r="B286" s="8" t="s">
        <v>672</v>
      </c>
      <c r="C286" s="8" t="s">
        <v>265</v>
      </c>
      <c r="D286" s="8" t="s">
        <v>364</v>
      </c>
      <c r="E286" s="6">
        <v>43110</v>
      </c>
      <c r="F286" s="8" t="s">
        <v>237</v>
      </c>
      <c r="G286" s="8" t="s">
        <v>238</v>
      </c>
      <c r="H286" s="4">
        <v>-333</v>
      </c>
      <c r="I286" s="8" t="s">
        <v>66</v>
      </c>
      <c r="J286" s="4">
        <v>0</v>
      </c>
      <c r="K286" s="4">
        <v>0</v>
      </c>
      <c r="L286" s="8" t="s">
        <v>117</v>
      </c>
      <c r="M286" s="4">
        <v>0</v>
      </c>
      <c r="N286" s="8" t="s">
        <v>1406</v>
      </c>
      <c r="O286" s="8" t="s">
        <v>1154</v>
      </c>
      <c r="P286" s="8" t="s">
        <v>218</v>
      </c>
      <c r="Q286" s="4">
        <v>5637706384</v>
      </c>
    </row>
    <row r="287" spans="1:17">
      <c r="A287" s="8" t="s">
        <v>15</v>
      </c>
      <c r="B287" s="8" t="s">
        <v>798</v>
      </c>
      <c r="C287" s="8" t="s">
        <v>266</v>
      </c>
      <c r="D287" s="8" t="s">
        <v>367</v>
      </c>
      <c r="E287" s="6">
        <v>43105</v>
      </c>
      <c r="F287" s="8" t="s">
        <v>237</v>
      </c>
      <c r="G287" s="8" t="s">
        <v>238</v>
      </c>
      <c r="H287" s="4">
        <v>125</v>
      </c>
      <c r="I287" s="8" t="s">
        <v>66</v>
      </c>
      <c r="J287" s="4">
        <v>0</v>
      </c>
      <c r="K287" s="4">
        <v>0</v>
      </c>
      <c r="L287" s="8" t="s">
        <v>117</v>
      </c>
      <c r="M287" s="4">
        <v>0</v>
      </c>
      <c r="N287" s="8" t="s">
        <v>1470</v>
      </c>
      <c r="O287" s="8" t="s">
        <v>799</v>
      </c>
      <c r="P287" s="8" t="s">
        <v>218</v>
      </c>
      <c r="Q287" s="4">
        <v>5637705474</v>
      </c>
    </row>
    <row r="288" spans="1:17">
      <c r="A288" s="8" t="s">
        <v>1121</v>
      </c>
      <c r="B288" s="8" t="s">
        <v>736</v>
      </c>
      <c r="C288" s="8" t="s">
        <v>266</v>
      </c>
      <c r="D288" s="8" t="s">
        <v>367</v>
      </c>
      <c r="E288" s="6">
        <v>43108</v>
      </c>
      <c r="F288" s="8" t="s">
        <v>237</v>
      </c>
      <c r="G288" s="8" t="s">
        <v>238</v>
      </c>
      <c r="H288" s="4">
        <v>-4.0679999999999996</v>
      </c>
      <c r="I288" s="8" t="s">
        <v>66</v>
      </c>
      <c r="J288" s="4">
        <v>0</v>
      </c>
      <c r="K288" s="4">
        <v>0</v>
      </c>
      <c r="L288" s="8" t="s">
        <v>117</v>
      </c>
      <c r="M288" s="4">
        <v>0</v>
      </c>
      <c r="N288" s="8" t="s">
        <v>1397</v>
      </c>
      <c r="O288" s="8" t="s">
        <v>1284</v>
      </c>
      <c r="P288" s="8" t="s">
        <v>218</v>
      </c>
      <c r="Q288" s="4">
        <v>5637707149</v>
      </c>
    </row>
    <row r="289" spans="1:17">
      <c r="A289" s="8" t="s">
        <v>655</v>
      </c>
      <c r="B289" s="8" t="s">
        <v>692</v>
      </c>
      <c r="C289" s="8" t="s">
        <v>506</v>
      </c>
      <c r="D289" s="8" t="s">
        <v>507</v>
      </c>
      <c r="E289" s="6">
        <v>43108</v>
      </c>
      <c r="F289" s="8" t="s">
        <v>237</v>
      </c>
      <c r="G289" s="8" t="s">
        <v>238</v>
      </c>
      <c r="H289" s="4">
        <v>164</v>
      </c>
      <c r="I289" s="8" t="s">
        <v>22</v>
      </c>
      <c r="J289" s="4">
        <v>0</v>
      </c>
      <c r="K289" s="4">
        <v>0</v>
      </c>
      <c r="L289" s="8" t="s">
        <v>117</v>
      </c>
      <c r="M289" s="4">
        <v>0</v>
      </c>
      <c r="N289" s="8" t="s">
        <v>1471</v>
      </c>
      <c r="O289" s="8" t="s">
        <v>693</v>
      </c>
      <c r="P289" s="8" t="s">
        <v>218</v>
      </c>
      <c r="Q289" s="4">
        <v>5637706442</v>
      </c>
    </row>
    <row r="290" spans="1:17">
      <c r="A290" s="8" t="s">
        <v>122</v>
      </c>
      <c r="B290" s="8" t="s">
        <v>505</v>
      </c>
      <c r="C290" s="8" t="s">
        <v>506</v>
      </c>
      <c r="D290" s="8" t="s">
        <v>507</v>
      </c>
      <c r="E290" s="6">
        <v>43110</v>
      </c>
      <c r="F290" s="8" t="s">
        <v>237</v>
      </c>
      <c r="G290" s="8" t="s">
        <v>238</v>
      </c>
      <c r="H290" s="4">
        <v>-10</v>
      </c>
      <c r="I290" s="8" t="s">
        <v>22</v>
      </c>
      <c r="J290" s="4">
        <v>0</v>
      </c>
      <c r="K290" s="4">
        <v>0</v>
      </c>
      <c r="L290" s="8" t="s">
        <v>117</v>
      </c>
      <c r="M290" s="4">
        <v>0</v>
      </c>
      <c r="N290" s="8" t="s">
        <v>1472</v>
      </c>
      <c r="O290" s="8" t="s">
        <v>508</v>
      </c>
      <c r="P290" s="8" t="s">
        <v>218</v>
      </c>
      <c r="Q290" s="4">
        <v>5637707287</v>
      </c>
    </row>
    <row r="291" spans="1:17">
      <c r="A291" s="8" t="s">
        <v>122</v>
      </c>
      <c r="B291" s="8" t="s">
        <v>511</v>
      </c>
      <c r="C291" s="8" t="s">
        <v>506</v>
      </c>
      <c r="D291" s="8" t="s">
        <v>507</v>
      </c>
      <c r="E291" s="6">
        <v>43111</v>
      </c>
      <c r="F291" s="8" t="s">
        <v>237</v>
      </c>
      <c r="G291" s="8" t="s">
        <v>238</v>
      </c>
      <c r="H291" s="4">
        <v>-40</v>
      </c>
      <c r="I291" s="8" t="s">
        <v>22</v>
      </c>
      <c r="J291" s="4">
        <v>0</v>
      </c>
      <c r="K291" s="4">
        <v>0</v>
      </c>
      <c r="L291" s="8" t="s">
        <v>117</v>
      </c>
      <c r="M291" s="4">
        <v>0</v>
      </c>
      <c r="N291" s="8" t="s">
        <v>1473</v>
      </c>
      <c r="O291" s="8" t="s">
        <v>512</v>
      </c>
      <c r="P291" s="8" t="s">
        <v>218</v>
      </c>
      <c r="Q291" s="4">
        <v>5637707289</v>
      </c>
    </row>
    <row r="292" spans="1:17">
      <c r="A292" s="8" t="s">
        <v>122</v>
      </c>
      <c r="B292" s="8" t="s">
        <v>559</v>
      </c>
      <c r="C292" s="8" t="s">
        <v>506</v>
      </c>
      <c r="D292" s="8" t="s">
        <v>507</v>
      </c>
      <c r="E292" s="6">
        <v>43119</v>
      </c>
      <c r="F292" s="8" t="s">
        <v>237</v>
      </c>
      <c r="G292" s="8" t="s">
        <v>238</v>
      </c>
      <c r="H292" s="4">
        <v>-15</v>
      </c>
      <c r="I292" s="8" t="s">
        <v>22</v>
      </c>
      <c r="J292" s="4">
        <v>0</v>
      </c>
      <c r="K292" s="4">
        <v>0</v>
      </c>
      <c r="L292" s="8" t="s">
        <v>117</v>
      </c>
      <c r="M292" s="4">
        <v>0</v>
      </c>
      <c r="N292" s="8" t="s">
        <v>1474</v>
      </c>
      <c r="O292" s="8" t="s">
        <v>560</v>
      </c>
      <c r="P292" s="8" t="s">
        <v>218</v>
      </c>
      <c r="Q292" s="4">
        <v>5637707338</v>
      </c>
    </row>
    <row r="293" spans="1:17">
      <c r="A293" s="8" t="s">
        <v>122</v>
      </c>
      <c r="B293" s="8" t="s">
        <v>525</v>
      </c>
      <c r="C293" s="8" t="s">
        <v>506</v>
      </c>
      <c r="D293" s="8" t="s">
        <v>507</v>
      </c>
      <c r="E293" s="6">
        <v>43122</v>
      </c>
      <c r="F293" s="8" t="s">
        <v>237</v>
      </c>
      <c r="G293" s="8" t="s">
        <v>238</v>
      </c>
      <c r="H293" s="4">
        <v>-160</v>
      </c>
      <c r="I293" s="8" t="s">
        <v>22</v>
      </c>
      <c r="J293" s="4">
        <v>0</v>
      </c>
      <c r="K293" s="4">
        <v>0</v>
      </c>
      <c r="L293" s="8" t="s">
        <v>117</v>
      </c>
      <c r="M293" s="4">
        <v>0</v>
      </c>
      <c r="N293" s="8" t="s">
        <v>1475</v>
      </c>
      <c r="O293" s="8" t="s">
        <v>526</v>
      </c>
      <c r="P293" s="8" t="s">
        <v>218</v>
      </c>
      <c r="Q293" s="4">
        <v>5637707299</v>
      </c>
    </row>
    <row r="294" spans="1:17">
      <c r="A294" s="8" t="s">
        <v>122</v>
      </c>
      <c r="B294" s="8" t="s">
        <v>549</v>
      </c>
      <c r="C294" s="8" t="s">
        <v>506</v>
      </c>
      <c r="D294" s="8" t="s">
        <v>507</v>
      </c>
      <c r="E294" s="6">
        <v>43130</v>
      </c>
      <c r="F294" s="8" t="s">
        <v>237</v>
      </c>
      <c r="G294" s="8" t="s">
        <v>238</v>
      </c>
      <c r="H294" s="4">
        <v>-2</v>
      </c>
      <c r="I294" s="8" t="s">
        <v>22</v>
      </c>
      <c r="J294" s="4">
        <v>0</v>
      </c>
      <c r="K294" s="4">
        <v>0</v>
      </c>
      <c r="L294" s="8" t="s">
        <v>117</v>
      </c>
      <c r="M294" s="4">
        <v>0</v>
      </c>
      <c r="N294" s="8" t="s">
        <v>1476</v>
      </c>
      <c r="O294" s="8" t="s">
        <v>550</v>
      </c>
      <c r="P294" s="8" t="s">
        <v>218</v>
      </c>
      <c r="Q294" s="4">
        <v>5637707317</v>
      </c>
    </row>
    <row r="295" spans="1:17">
      <c r="A295" s="8" t="s">
        <v>122</v>
      </c>
      <c r="B295" s="8" t="s">
        <v>561</v>
      </c>
      <c r="C295" s="8" t="s">
        <v>506</v>
      </c>
      <c r="D295" s="8" t="s">
        <v>507</v>
      </c>
      <c r="E295" s="6">
        <v>43134</v>
      </c>
      <c r="F295" s="8" t="s">
        <v>237</v>
      </c>
      <c r="G295" s="8" t="s">
        <v>238</v>
      </c>
      <c r="H295" s="4">
        <v>-3</v>
      </c>
      <c r="I295" s="8" t="s">
        <v>22</v>
      </c>
      <c r="J295" s="4">
        <v>0</v>
      </c>
      <c r="K295" s="4">
        <v>0</v>
      </c>
      <c r="L295" s="8" t="s">
        <v>117</v>
      </c>
      <c r="M295" s="4">
        <v>0</v>
      </c>
      <c r="N295" s="8" t="s">
        <v>1477</v>
      </c>
      <c r="O295" s="8" t="s">
        <v>562</v>
      </c>
      <c r="P295" s="8" t="s">
        <v>218</v>
      </c>
      <c r="Q295" s="4">
        <v>5637707388</v>
      </c>
    </row>
    <row r="296" spans="1:17">
      <c r="A296" s="8" t="s">
        <v>655</v>
      </c>
      <c r="B296" s="8" t="s">
        <v>760</v>
      </c>
      <c r="C296" s="8" t="s">
        <v>506</v>
      </c>
      <c r="D296" s="8" t="s">
        <v>507</v>
      </c>
      <c r="E296" s="6">
        <v>43145</v>
      </c>
      <c r="F296" s="8" t="s">
        <v>237</v>
      </c>
      <c r="G296" s="8" t="s">
        <v>238</v>
      </c>
      <c r="H296" s="4">
        <v>164</v>
      </c>
      <c r="I296" s="8" t="s">
        <v>22</v>
      </c>
      <c r="J296" s="4">
        <v>0</v>
      </c>
      <c r="K296" s="4">
        <v>0</v>
      </c>
      <c r="L296" s="8" t="s">
        <v>117</v>
      </c>
      <c r="M296" s="4">
        <v>0</v>
      </c>
      <c r="N296" s="8" t="s">
        <v>1478</v>
      </c>
      <c r="O296" s="8" t="s">
        <v>761</v>
      </c>
      <c r="P296" s="8" t="s">
        <v>218</v>
      </c>
      <c r="Q296" s="4">
        <v>5637709254</v>
      </c>
    </row>
    <row r="297" spans="1:17">
      <c r="A297" s="8" t="s">
        <v>122</v>
      </c>
      <c r="B297" s="8" t="s">
        <v>575</v>
      </c>
      <c r="C297" s="8" t="s">
        <v>506</v>
      </c>
      <c r="D297" s="8" t="s">
        <v>507</v>
      </c>
      <c r="E297" s="6">
        <v>43147</v>
      </c>
      <c r="F297" s="8" t="s">
        <v>237</v>
      </c>
      <c r="G297" s="8" t="s">
        <v>238</v>
      </c>
      <c r="H297" s="4">
        <v>-160</v>
      </c>
      <c r="I297" s="8" t="s">
        <v>22</v>
      </c>
      <c r="J297" s="4">
        <v>0</v>
      </c>
      <c r="K297" s="4">
        <v>0</v>
      </c>
      <c r="L297" s="8" t="s">
        <v>117</v>
      </c>
      <c r="M297" s="4">
        <v>0</v>
      </c>
      <c r="N297" s="8" t="s">
        <v>1479</v>
      </c>
      <c r="O297" s="8" t="s">
        <v>576</v>
      </c>
      <c r="P297" s="8" t="s">
        <v>218</v>
      </c>
      <c r="Q297" s="4">
        <v>5637707536</v>
      </c>
    </row>
    <row r="298" spans="1:17">
      <c r="A298" s="8" t="s">
        <v>655</v>
      </c>
      <c r="B298" s="8" t="s">
        <v>786</v>
      </c>
      <c r="C298" s="8" t="s">
        <v>506</v>
      </c>
      <c r="D298" s="8" t="s">
        <v>507</v>
      </c>
      <c r="E298" s="6">
        <v>43157</v>
      </c>
      <c r="F298" s="8" t="s">
        <v>237</v>
      </c>
      <c r="G298" s="8" t="s">
        <v>238</v>
      </c>
      <c r="H298" s="4">
        <v>41</v>
      </c>
      <c r="I298" s="8" t="s">
        <v>22</v>
      </c>
      <c r="J298" s="4">
        <v>0</v>
      </c>
      <c r="K298" s="4">
        <v>0</v>
      </c>
      <c r="L298" s="8" t="s">
        <v>117</v>
      </c>
      <c r="M298" s="4">
        <v>0</v>
      </c>
      <c r="N298" s="8" t="s">
        <v>1480</v>
      </c>
      <c r="O298" s="8" t="s">
        <v>787</v>
      </c>
      <c r="P298" s="8" t="s">
        <v>218</v>
      </c>
      <c r="Q298" s="4">
        <v>5637715466</v>
      </c>
    </row>
    <row r="299" spans="1:17">
      <c r="A299" s="8" t="s">
        <v>122</v>
      </c>
      <c r="B299" s="8" t="s">
        <v>640</v>
      </c>
      <c r="C299" s="8" t="s">
        <v>506</v>
      </c>
      <c r="D299" s="8" t="s">
        <v>507</v>
      </c>
      <c r="E299" s="6">
        <v>43158</v>
      </c>
      <c r="F299" s="8" t="s">
        <v>237</v>
      </c>
      <c r="G299" s="8" t="s">
        <v>238</v>
      </c>
      <c r="H299" s="4">
        <v>-13</v>
      </c>
      <c r="I299" s="8" t="s">
        <v>22</v>
      </c>
      <c r="J299" s="4">
        <v>0</v>
      </c>
      <c r="K299" s="4">
        <v>0</v>
      </c>
      <c r="L299" s="8" t="s">
        <v>117</v>
      </c>
      <c r="M299" s="4">
        <v>0</v>
      </c>
      <c r="N299" s="8" t="s">
        <v>1481</v>
      </c>
      <c r="O299" s="8" t="s">
        <v>641</v>
      </c>
      <c r="P299" s="8" t="s">
        <v>218</v>
      </c>
      <c r="Q299" s="4">
        <v>5637715720</v>
      </c>
    </row>
    <row r="300" spans="1:17">
      <c r="A300" s="8" t="s">
        <v>1121</v>
      </c>
      <c r="B300" s="8" t="s">
        <v>692</v>
      </c>
      <c r="C300" s="8" t="s">
        <v>689</v>
      </c>
      <c r="D300" s="8" t="s">
        <v>690</v>
      </c>
      <c r="E300" s="6">
        <v>43108</v>
      </c>
      <c r="F300" s="8" t="s">
        <v>237</v>
      </c>
      <c r="G300" s="8" t="s">
        <v>238</v>
      </c>
      <c r="H300" s="4">
        <v>-4100</v>
      </c>
      <c r="I300" s="8" t="s">
        <v>66</v>
      </c>
      <c r="J300" s="4">
        <v>0</v>
      </c>
      <c r="K300" s="4">
        <v>0</v>
      </c>
      <c r="L300" s="8" t="s">
        <v>117</v>
      </c>
      <c r="M300" s="4">
        <v>0</v>
      </c>
      <c r="N300" s="8" t="s">
        <v>1471</v>
      </c>
      <c r="O300" s="8" t="s">
        <v>1199</v>
      </c>
      <c r="P300" s="8" t="s">
        <v>218</v>
      </c>
      <c r="Q300" s="4">
        <v>5637706444</v>
      </c>
    </row>
    <row r="301" spans="1:17">
      <c r="A301" s="8" t="s">
        <v>655</v>
      </c>
      <c r="B301" s="8" t="s">
        <v>688</v>
      </c>
      <c r="C301" s="8" t="s">
        <v>689</v>
      </c>
      <c r="D301" s="8" t="s">
        <v>690</v>
      </c>
      <c r="E301" s="6">
        <v>43108</v>
      </c>
      <c r="F301" s="8" t="s">
        <v>237</v>
      </c>
      <c r="G301" s="8" t="s">
        <v>238</v>
      </c>
      <c r="H301" s="4">
        <v>4116</v>
      </c>
      <c r="I301" s="8" t="s">
        <v>66</v>
      </c>
      <c r="J301" s="4">
        <v>0</v>
      </c>
      <c r="K301" s="4">
        <v>0</v>
      </c>
      <c r="L301" s="8" t="s">
        <v>117</v>
      </c>
      <c r="M301" s="4">
        <v>0</v>
      </c>
      <c r="N301" s="8" t="s">
        <v>1403</v>
      </c>
      <c r="O301" s="8" t="s">
        <v>691</v>
      </c>
      <c r="P301" s="8" t="s">
        <v>218</v>
      </c>
      <c r="Q301" s="4">
        <v>5637706434</v>
      </c>
    </row>
    <row r="302" spans="1:17">
      <c r="A302" s="8" t="s">
        <v>655</v>
      </c>
      <c r="B302" s="8" t="s">
        <v>742</v>
      </c>
      <c r="C302" s="8" t="s">
        <v>689</v>
      </c>
      <c r="D302" s="8" t="s">
        <v>690</v>
      </c>
      <c r="E302" s="6">
        <v>43132</v>
      </c>
      <c r="F302" s="8" t="s">
        <v>237</v>
      </c>
      <c r="G302" s="8" t="s">
        <v>238</v>
      </c>
      <c r="H302" s="4">
        <v>4116.3999999999996</v>
      </c>
      <c r="I302" s="8" t="s">
        <v>66</v>
      </c>
      <c r="J302" s="4">
        <v>0</v>
      </c>
      <c r="K302" s="4">
        <v>0</v>
      </c>
      <c r="L302" s="8" t="s">
        <v>117</v>
      </c>
      <c r="M302" s="4">
        <v>0</v>
      </c>
      <c r="N302" s="8" t="s">
        <v>1407</v>
      </c>
      <c r="O302" s="8" t="s">
        <v>743</v>
      </c>
      <c r="P302" s="8" t="s">
        <v>218</v>
      </c>
      <c r="Q302" s="4">
        <v>5637707389</v>
      </c>
    </row>
    <row r="303" spans="1:17">
      <c r="A303" s="8" t="s">
        <v>1121</v>
      </c>
      <c r="B303" s="8" t="s">
        <v>760</v>
      </c>
      <c r="C303" s="8" t="s">
        <v>689</v>
      </c>
      <c r="D303" s="8" t="s">
        <v>690</v>
      </c>
      <c r="E303" s="6">
        <v>43145</v>
      </c>
      <c r="F303" s="8" t="s">
        <v>237</v>
      </c>
      <c r="G303" s="8" t="s">
        <v>238</v>
      </c>
      <c r="H303" s="4">
        <v>-4100</v>
      </c>
      <c r="I303" s="8" t="s">
        <v>66</v>
      </c>
      <c r="J303" s="4">
        <v>0</v>
      </c>
      <c r="K303" s="4">
        <v>0</v>
      </c>
      <c r="L303" s="8" t="s">
        <v>117</v>
      </c>
      <c r="M303" s="4">
        <v>0</v>
      </c>
      <c r="N303" s="8" t="s">
        <v>1478</v>
      </c>
      <c r="O303" s="8" t="s">
        <v>1333</v>
      </c>
      <c r="P303" s="8" t="s">
        <v>218</v>
      </c>
      <c r="Q303" s="4">
        <v>5637709255</v>
      </c>
    </row>
    <row r="304" spans="1:17">
      <c r="A304" s="8" t="s">
        <v>655</v>
      </c>
      <c r="B304" s="8" t="s">
        <v>784</v>
      </c>
      <c r="C304" s="8" t="s">
        <v>689</v>
      </c>
      <c r="D304" s="8" t="s">
        <v>690</v>
      </c>
      <c r="E304" s="6">
        <v>43157</v>
      </c>
      <c r="F304" s="8" t="s">
        <v>237</v>
      </c>
      <c r="G304" s="8" t="s">
        <v>238</v>
      </c>
      <c r="H304" s="4">
        <v>1029.0999999999999</v>
      </c>
      <c r="I304" s="8" t="s">
        <v>66</v>
      </c>
      <c r="J304" s="4">
        <v>0</v>
      </c>
      <c r="K304" s="4">
        <v>0</v>
      </c>
      <c r="L304" s="8" t="s">
        <v>117</v>
      </c>
      <c r="M304" s="4">
        <v>0</v>
      </c>
      <c r="N304" s="8" t="s">
        <v>1409</v>
      </c>
      <c r="O304" s="8" t="s">
        <v>785</v>
      </c>
      <c r="P304" s="8" t="s">
        <v>218</v>
      </c>
      <c r="Q304" s="4">
        <v>5637715458</v>
      </c>
    </row>
    <row r="305" spans="1:17">
      <c r="A305" s="8" t="s">
        <v>1121</v>
      </c>
      <c r="B305" s="8" t="s">
        <v>786</v>
      </c>
      <c r="C305" s="8" t="s">
        <v>689</v>
      </c>
      <c r="D305" s="8" t="s">
        <v>690</v>
      </c>
      <c r="E305" s="6">
        <v>43157</v>
      </c>
      <c r="F305" s="8" t="s">
        <v>237</v>
      </c>
      <c r="G305" s="8" t="s">
        <v>238</v>
      </c>
      <c r="H305" s="4">
        <v>-1025</v>
      </c>
      <c r="I305" s="8" t="s">
        <v>66</v>
      </c>
      <c r="J305" s="4">
        <v>0</v>
      </c>
      <c r="K305" s="4">
        <v>0</v>
      </c>
      <c r="L305" s="8" t="s">
        <v>117</v>
      </c>
      <c r="M305" s="4">
        <v>0</v>
      </c>
      <c r="N305" s="8" t="s">
        <v>1480</v>
      </c>
      <c r="O305" s="8" t="s">
        <v>1378</v>
      </c>
      <c r="P305" s="8" t="s">
        <v>218</v>
      </c>
      <c r="Q305" s="4">
        <v>5637715467</v>
      </c>
    </row>
    <row r="306" spans="1:17">
      <c r="A306" s="8" t="s">
        <v>655</v>
      </c>
      <c r="B306" s="8" t="s">
        <v>702</v>
      </c>
      <c r="C306" s="8" t="s">
        <v>535</v>
      </c>
      <c r="D306" s="8" t="s">
        <v>536</v>
      </c>
      <c r="E306" s="6">
        <v>43108</v>
      </c>
      <c r="F306" s="8" t="s">
        <v>237</v>
      </c>
      <c r="G306" s="8" t="s">
        <v>238</v>
      </c>
      <c r="H306" s="4">
        <v>40</v>
      </c>
      <c r="I306" s="8" t="s">
        <v>22</v>
      </c>
      <c r="J306" s="4">
        <v>0</v>
      </c>
      <c r="K306" s="4">
        <v>0</v>
      </c>
      <c r="L306" s="8" t="s">
        <v>117</v>
      </c>
      <c r="M306" s="4">
        <v>0</v>
      </c>
      <c r="N306" s="8" t="s">
        <v>1482</v>
      </c>
      <c r="O306" s="8" t="s">
        <v>703</v>
      </c>
      <c r="P306" s="8" t="s">
        <v>218</v>
      </c>
      <c r="Q306" s="4">
        <v>5637706465</v>
      </c>
    </row>
    <row r="307" spans="1:17">
      <c r="A307" s="8" t="s">
        <v>122</v>
      </c>
      <c r="B307" s="8" t="s">
        <v>534</v>
      </c>
      <c r="C307" s="8" t="s">
        <v>535</v>
      </c>
      <c r="D307" s="8" t="s">
        <v>536</v>
      </c>
      <c r="E307" s="6">
        <v>43123</v>
      </c>
      <c r="F307" s="8" t="s">
        <v>237</v>
      </c>
      <c r="G307" s="8" t="s">
        <v>238</v>
      </c>
      <c r="H307" s="4">
        <v>-40</v>
      </c>
      <c r="I307" s="8" t="s">
        <v>22</v>
      </c>
      <c r="J307" s="4">
        <v>0</v>
      </c>
      <c r="K307" s="4">
        <v>0</v>
      </c>
      <c r="L307" s="8" t="s">
        <v>117</v>
      </c>
      <c r="M307" s="4">
        <v>0</v>
      </c>
      <c r="N307" s="8" t="s">
        <v>1483</v>
      </c>
      <c r="O307" s="8" t="s">
        <v>537</v>
      </c>
      <c r="P307" s="8" t="s">
        <v>218</v>
      </c>
      <c r="Q307" s="4">
        <v>5637707305</v>
      </c>
    </row>
    <row r="308" spans="1:17">
      <c r="A308" s="8" t="s">
        <v>1121</v>
      </c>
      <c r="B308" s="8" t="s">
        <v>702</v>
      </c>
      <c r="C308" s="8" t="s">
        <v>699</v>
      </c>
      <c r="D308" s="8" t="s">
        <v>700</v>
      </c>
      <c r="E308" s="6">
        <v>43108</v>
      </c>
      <c r="F308" s="8" t="s">
        <v>237</v>
      </c>
      <c r="G308" s="8" t="s">
        <v>238</v>
      </c>
      <c r="H308" s="4">
        <v>-1000</v>
      </c>
      <c r="I308" s="8" t="s">
        <v>66</v>
      </c>
      <c r="J308" s="4">
        <v>0</v>
      </c>
      <c r="K308" s="4">
        <v>0</v>
      </c>
      <c r="L308" s="8" t="s">
        <v>117</v>
      </c>
      <c r="M308" s="4">
        <v>0</v>
      </c>
      <c r="N308" s="8" t="s">
        <v>1482</v>
      </c>
      <c r="O308" s="8" t="s">
        <v>1215</v>
      </c>
      <c r="P308" s="8" t="s">
        <v>218</v>
      </c>
      <c r="Q308" s="4">
        <v>5637706466</v>
      </c>
    </row>
    <row r="309" spans="1:17">
      <c r="A309" s="8" t="s">
        <v>655</v>
      </c>
      <c r="B309" s="8" t="s">
        <v>698</v>
      </c>
      <c r="C309" s="8" t="s">
        <v>699</v>
      </c>
      <c r="D309" s="8" t="s">
        <v>700</v>
      </c>
      <c r="E309" s="6">
        <v>43108</v>
      </c>
      <c r="F309" s="8" t="s">
        <v>237</v>
      </c>
      <c r="G309" s="8" t="s">
        <v>238</v>
      </c>
      <c r="H309" s="4">
        <v>1018.6</v>
      </c>
      <c r="I309" s="8" t="s">
        <v>66</v>
      </c>
      <c r="J309" s="4">
        <v>0</v>
      </c>
      <c r="K309" s="4">
        <v>0</v>
      </c>
      <c r="L309" s="8" t="s">
        <v>117</v>
      </c>
      <c r="M309" s="4">
        <v>0</v>
      </c>
      <c r="N309" s="8" t="s">
        <v>1404</v>
      </c>
      <c r="O309" s="8" t="s">
        <v>701</v>
      </c>
      <c r="P309" s="8" t="s">
        <v>218</v>
      </c>
      <c r="Q309" s="4">
        <v>5637706459</v>
      </c>
    </row>
    <row r="310" spans="1:17">
      <c r="A310" s="8" t="s">
        <v>655</v>
      </c>
      <c r="B310" s="8" t="s">
        <v>706</v>
      </c>
      <c r="C310" s="8" t="s">
        <v>267</v>
      </c>
      <c r="D310" s="8" t="s">
        <v>368</v>
      </c>
      <c r="E310" s="6">
        <v>43108</v>
      </c>
      <c r="F310" s="8" t="s">
        <v>237</v>
      </c>
      <c r="G310" s="8" t="s">
        <v>238</v>
      </c>
      <c r="H310" s="4">
        <v>162</v>
      </c>
      <c r="I310" s="8" t="s">
        <v>22</v>
      </c>
      <c r="J310" s="4">
        <v>0</v>
      </c>
      <c r="K310" s="4">
        <v>0</v>
      </c>
      <c r="L310" s="8" t="s">
        <v>117</v>
      </c>
      <c r="M310" s="4">
        <v>0</v>
      </c>
      <c r="N310" s="8" t="s">
        <v>1484</v>
      </c>
      <c r="O310" s="8" t="s">
        <v>707</v>
      </c>
      <c r="P310" s="8" t="s">
        <v>218</v>
      </c>
      <c r="Q310" s="4">
        <v>5637706476</v>
      </c>
    </row>
    <row r="311" spans="1:17">
      <c r="A311" s="8" t="s">
        <v>655</v>
      </c>
      <c r="B311" s="8" t="s">
        <v>686</v>
      </c>
      <c r="C311" s="8" t="s">
        <v>267</v>
      </c>
      <c r="D311" s="8" t="s">
        <v>368</v>
      </c>
      <c r="E311" s="6">
        <v>43108</v>
      </c>
      <c r="F311" s="8" t="s">
        <v>237</v>
      </c>
      <c r="G311" s="8" t="s">
        <v>238</v>
      </c>
      <c r="H311" s="4">
        <v>364</v>
      </c>
      <c r="I311" s="8" t="s">
        <v>22</v>
      </c>
      <c r="J311" s="4">
        <v>0</v>
      </c>
      <c r="K311" s="4">
        <v>0</v>
      </c>
      <c r="L311" s="8" t="s">
        <v>117</v>
      </c>
      <c r="M311" s="4">
        <v>0</v>
      </c>
      <c r="N311" s="8" t="s">
        <v>1485</v>
      </c>
      <c r="O311" s="8" t="s">
        <v>687</v>
      </c>
      <c r="P311" s="8" t="s">
        <v>218</v>
      </c>
      <c r="Q311" s="4">
        <v>5637706431</v>
      </c>
    </row>
    <row r="312" spans="1:17">
      <c r="A312" s="8" t="s">
        <v>655</v>
      </c>
      <c r="B312" s="8" t="s">
        <v>678</v>
      </c>
      <c r="C312" s="8" t="s">
        <v>267</v>
      </c>
      <c r="D312" s="8" t="s">
        <v>368</v>
      </c>
      <c r="E312" s="6">
        <v>43108</v>
      </c>
      <c r="F312" s="8" t="s">
        <v>237</v>
      </c>
      <c r="G312" s="8" t="s">
        <v>238</v>
      </c>
      <c r="H312" s="4">
        <v>81</v>
      </c>
      <c r="I312" s="8" t="s">
        <v>22</v>
      </c>
      <c r="J312" s="4">
        <v>0</v>
      </c>
      <c r="K312" s="4">
        <v>0</v>
      </c>
      <c r="L312" s="8" t="s">
        <v>117</v>
      </c>
      <c r="M312" s="4">
        <v>0</v>
      </c>
      <c r="N312" s="8" t="s">
        <v>1486</v>
      </c>
      <c r="O312" s="8" t="s">
        <v>679</v>
      </c>
      <c r="P312" s="8" t="s">
        <v>218</v>
      </c>
      <c r="Q312" s="4">
        <v>5637706409</v>
      </c>
    </row>
    <row r="313" spans="1:17">
      <c r="A313" s="8" t="s">
        <v>655</v>
      </c>
      <c r="B313" s="8" t="s">
        <v>682</v>
      </c>
      <c r="C313" s="8" t="s">
        <v>267</v>
      </c>
      <c r="D313" s="8" t="s">
        <v>368</v>
      </c>
      <c r="E313" s="6">
        <v>43108</v>
      </c>
      <c r="F313" s="8" t="s">
        <v>237</v>
      </c>
      <c r="G313" s="8" t="s">
        <v>238</v>
      </c>
      <c r="H313" s="4">
        <v>121</v>
      </c>
      <c r="I313" s="8" t="s">
        <v>22</v>
      </c>
      <c r="J313" s="4">
        <v>0</v>
      </c>
      <c r="K313" s="4">
        <v>0</v>
      </c>
      <c r="L313" s="8" t="s">
        <v>117</v>
      </c>
      <c r="M313" s="4">
        <v>0</v>
      </c>
      <c r="N313" s="8" t="s">
        <v>1487</v>
      </c>
      <c r="O313" s="8" t="s">
        <v>683</v>
      </c>
      <c r="P313" s="8" t="s">
        <v>218</v>
      </c>
      <c r="Q313" s="4">
        <v>5637706420</v>
      </c>
    </row>
    <row r="314" spans="1:17">
      <c r="A314" s="8" t="s">
        <v>655</v>
      </c>
      <c r="B314" s="8" t="s">
        <v>660</v>
      </c>
      <c r="C314" s="8" t="s">
        <v>267</v>
      </c>
      <c r="D314" s="8" t="s">
        <v>368</v>
      </c>
      <c r="E314" s="6">
        <v>43108</v>
      </c>
      <c r="F314" s="8" t="s">
        <v>237</v>
      </c>
      <c r="G314" s="8" t="s">
        <v>238</v>
      </c>
      <c r="H314" s="4">
        <v>81</v>
      </c>
      <c r="I314" s="8" t="s">
        <v>22</v>
      </c>
      <c r="J314" s="4">
        <v>0</v>
      </c>
      <c r="K314" s="4">
        <v>0</v>
      </c>
      <c r="L314" s="8" t="s">
        <v>117</v>
      </c>
      <c r="M314" s="4">
        <v>0</v>
      </c>
      <c r="N314" s="8" t="s">
        <v>1488</v>
      </c>
      <c r="O314" s="8" t="s">
        <v>661</v>
      </c>
      <c r="P314" s="8" t="s">
        <v>218</v>
      </c>
      <c r="Q314" s="4">
        <v>5637706347</v>
      </c>
    </row>
    <row r="315" spans="1:17">
      <c r="A315" s="8" t="s">
        <v>655</v>
      </c>
      <c r="B315" s="8" t="s">
        <v>664</v>
      </c>
      <c r="C315" s="8" t="s">
        <v>267</v>
      </c>
      <c r="D315" s="8" t="s">
        <v>368</v>
      </c>
      <c r="E315" s="6">
        <v>43108</v>
      </c>
      <c r="F315" s="8" t="s">
        <v>237</v>
      </c>
      <c r="G315" s="8" t="s">
        <v>238</v>
      </c>
      <c r="H315" s="4">
        <v>40</v>
      </c>
      <c r="I315" s="8" t="s">
        <v>22</v>
      </c>
      <c r="J315" s="4">
        <v>0</v>
      </c>
      <c r="K315" s="4">
        <v>0</v>
      </c>
      <c r="L315" s="8" t="s">
        <v>117</v>
      </c>
      <c r="M315" s="4">
        <v>0</v>
      </c>
      <c r="N315" s="8" t="s">
        <v>1489</v>
      </c>
      <c r="O315" s="8" t="s">
        <v>665</v>
      </c>
      <c r="P315" s="8" t="s">
        <v>218</v>
      </c>
      <c r="Q315" s="4">
        <v>5637706358</v>
      </c>
    </row>
    <row r="316" spans="1:17">
      <c r="A316" s="8" t="s">
        <v>655</v>
      </c>
      <c r="B316" s="8" t="s">
        <v>668</v>
      </c>
      <c r="C316" s="8" t="s">
        <v>267</v>
      </c>
      <c r="D316" s="8" t="s">
        <v>368</v>
      </c>
      <c r="E316" s="6">
        <v>43108</v>
      </c>
      <c r="F316" s="8" t="s">
        <v>237</v>
      </c>
      <c r="G316" s="8" t="s">
        <v>238</v>
      </c>
      <c r="H316" s="4">
        <v>76</v>
      </c>
      <c r="I316" s="8" t="s">
        <v>22</v>
      </c>
      <c r="J316" s="4">
        <v>0</v>
      </c>
      <c r="K316" s="4">
        <v>0</v>
      </c>
      <c r="L316" s="8" t="s">
        <v>117</v>
      </c>
      <c r="M316" s="4">
        <v>0</v>
      </c>
      <c r="N316" s="8" t="s">
        <v>1490</v>
      </c>
      <c r="O316" s="8" t="s">
        <v>669</v>
      </c>
      <c r="P316" s="8" t="s">
        <v>218</v>
      </c>
      <c r="Q316" s="4">
        <v>5637706369</v>
      </c>
    </row>
    <row r="317" spans="1:17">
      <c r="A317" s="8" t="s">
        <v>655</v>
      </c>
      <c r="B317" s="8" t="s">
        <v>670</v>
      </c>
      <c r="C317" s="8" t="s">
        <v>267</v>
      </c>
      <c r="D317" s="8" t="s">
        <v>368</v>
      </c>
      <c r="E317" s="6">
        <v>43108</v>
      </c>
      <c r="F317" s="8" t="s">
        <v>237</v>
      </c>
      <c r="G317" s="8" t="s">
        <v>238</v>
      </c>
      <c r="H317" s="4">
        <v>45</v>
      </c>
      <c r="I317" s="8" t="s">
        <v>22</v>
      </c>
      <c r="J317" s="4">
        <v>0</v>
      </c>
      <c r="K317" s="4">
        <v>0</v>
      </c>
      <c r="L317" s="8" t="s">
        <v>117</v>
      </c>
      <c r="M317" s="4">
        <v>0</v>
      </c>
      <c r="N317" s="8" t="s">
        <v>1491</v>
      </c>
      <c r="O317" s="8" t="s">
        <v>671</v>
      </c>
      <c r="P317" s="8" t="s">
        <v>218</v>
      </c>
      <c r="Q317" s="4">
        <v>5637706372</v>
      </c>
    </row>
    <row r="318" spans="1:17">
      <c r="A318" s="8" t="s">
        <v>655</v>
      </c>
      <c r="B318" s="8" t="s">
        <v>724</v>
      </c>
      <c r="C318" s="8" t="s">
        <v>267</v>
      </c>
      <c r="D318" s="8" t="s">
        <v>368</v>
      </c>
      <c r="E318" s="6">
        <v>43108</v>
      </c>
      <c r="F318" s="8" t="s">
        <v>237</v>
      </c>
      <c r="G318" s="8" t="s">
        <v>238</v>
      </c>
      <c r="H318" s="4">
        <v>81</v>
      </c>
      <c r="I318" s="8" t="s">
        <v>22</v>
      </c>
      <c r="J318" s="4">
        <v>0</v>
      </c>
      <c r="K318" s="4">
        <v>0</v>
      </c>
      <c r="L318" s="8" t="s">
        <v>117</v>
      </c>
      <c r="M318" s="4">
        <v>0</v>
      </c>
      <c r="N318" s="8" t="s">
        <v>1492</v>
      </c>
      <c r="O318" s="8" t="s">
        <v>725</v>
      </c>
      <c r="P318" s="8" t="s">
        <v>218</v>
      </c>
      <c r="Q318" s="4">
        <v>5637706529</v>
      </c>
    </row>
    <row r="319" spans="1:17">
      <c r="A319" s="8" t="s">
        <v>655</v>
      </c>
      <c r="B319" s="8" t="s">
        <v>728</v>
      </c>
      <c r="C319" s="8" t="s">
        <v>267</v>
      </c>
      <c r="D319" s="8" t="s">
        <v>368</v>
      </c>
      <c r="E319" s="6">
        <v>43108</v>
      </c>
      <c r="F319" s="8" t="s">
        <v>237</v>
      </c>
      <c r="G319" s="8" t="s">
        <v>238</v>
      </c>
      <c r="H319" s="4">
        <v>202</v>
      </c>
      <c r="I319" s="8" t="s">
        <v>22</v>
      </c>
      <c r="J319" s="4">
        <v>0</v>
      </c>
      <c r="K319" s="4">
        <v>0</v>
      </c>
      <c r="L319" s="8" t="s">
        <v>117</v>
      </c>
      <c r="M319" s="4">
        <v>0</v>
      </c>
      <c r="N319" s="8" t="s">
        <v>1493</v>
      </c>
      <c r="O319" s="8" t="s">
        <v>729</v>
      </c>
      <c r="P319" s="8" t="s">
        <v>218</v>
      </c>
      <c r="Q319" s="4">
        <v>5637706540</v>
      </c>
    </row>
    <row r="320" spans="1:17">
      <c r="A320" s="8" t="s">
        <v>655</v>
      </c>
      <c r="B320" s="8" t="s">
        <v>732</v>
      </c>
      <c r="C320" s="8" t="s">
        <v>267</v>
      </c>
      <c r="D320" s="8" t="s">
        <v>368</v>
      </c>
      <c r="E320" s="6">
        <v>43108</v>
      </c>
      <c r="F320" s="8" t="s">
        <v>237</v>
      </c>
      <c r="G320" s="8" t="s">
        <v>238</v>
      </c>
      <c r="H320" s="4">
        <v>405</v>
      </c>
      <c r="I320" s="8" t="s">
        <v>22</v>
      </c>
      <c r="J320" s="4">
        <v>0</v>
      </c>
      <c r="K320" s="4">
        <v>0</v>
      </c>
      <c r="L320" s="8" t="s">
        <v>117</v>
      </c>
      <c r="M320" s="4">
        <v>0</v>
      </c>
      <c r="N320" s="8" t="s">
        <v>1494</v>
      </c>
      <c r="O320" s="8" t="s">
        <v>733</v>
      </c>
      <c r="P320" s="8" t="s">
        <v>218</v>
      </c>
      <c r="Q320" s="4">
        <v>5637706551</v>
      </c>
    </row>
    <row r="321" spans="1:17">
      <c r="A321" s="8" t="s">
        <v>655</v>
      </c>
      <c r="B321" s="8" t="s">
        <v>710</v>
      </c>
      <c r="C321" s="8" t="s">
        <v>267</v>
      </c>
      <c r="D321" s="8" t="s">
        <v>368</v>
      </c>
      <c r="E321" s="6">
        <v>43108</v>
      </c>
      <c r="F321" s="8" t="s">
        <v>237</v>
      </c>
      <c r="G321" s="8" t="s">
        <v>238</v>
      </c>
      <c r="H321" s="4">
        <v>405</v>
      </c>
      <c r="I321" s="8" t="s">
        <v>22</v>
      </c>
      <c r="J321" s="4">
        <v>0</v>
      </c>
      <c r="K321" s="4">
        <v>0</v>
      </c>
      <c r="L321" s="8" t="s">
        <v>117</v>
      </c>
      <c r="M321" s="4">
        <v>0</v>
      </c>
      <c r="N321" s="8" t="s">
        <v>1495</v>
      </c>
      <c r="O321" s="8" t="s">
        <v>711</v>
      </c>
      <c r="P321" s="8" t="s">
        <v>218</v>
      </c>
      <c r="Q321" s="4">
        <v>5637706487</v>
      </c>
    </row>
    <row r="322" spans="1:17">
      <c r="A322" s="8" t="s">
        <v>655</v>
      </c>
      <c r="B322" s="8" t="s">
        <v>716</v>
      </c>
      <c r="C322" s="8" t="s">
        <v>267</v>
      </c>
      <c r="D322" s="8" t="s">
        <v>368</v>
      </c>
      <c r="E322" s="6">
        <v>43108</v>
      </c>
      <c r="F322" s="8" t="s">
        <v>237</v>
      </c>
      <c r="G322" s="8" t="s">
        <v>238</v>
      </c>
      <c r="H322" s="4">
        <v>81</v>
      </c>
      <c r="I322" s="8" t="s">
        <v>22</v>
      </c>
      <c r="J322" s="4">
        <v>0</v>
      </c>
      <c r="K322" s="4">
        <v>0</v>
      </c>
      <c r="L322" s="8" t="s">
        <v>117</v>
      </c>
      <c r="M322" s="4">
        <v>0</v>
      </c>
      <c r="N322" s="8" t="s">
        <v>1496</v>
      </c>
      <c r="O322" s="8" t="s">
        <v>717</v>
      </c>
      <c r="P322" s="8" t="s">
        <v>218</v>
      </c>
      <c r="Q322" s="4">
        <v>5637706506</v>
      </c>
    </row>
    <row r="323" spans="1:17">
      <c r="A323" s="8" t="s">
        <v>122</v>
      </c>
      <c r="B323" s="8" t="s">
        <v>497</v>
      </c>
      <c r="C323" s="8" t="s">
        <v>267</v>
      </c>
      <c r="D323" s="8" t="s">
        <v>368</v>
      </c>
      <c r="E323" s="6">
        <v>43109</v>
      </c>
      <c r="F323" s="8" t="s">
        <v>237</v>
      </c>
      <c r="G323" s="8" t="s">
        <v>238</v>
      </c>
      <c r="H323" s="4">
        <v>-12</v>
      </c>
      <c r="I323" s="8" t="s">
        <v>22</v>
      </c>
      <c r="J323" s="4">
        <v>0</v>
      </c>
      <c r="K323" s="4">
        <v>0</v>
      </c>
      <c r="L323" s="8" t="s">
        <v>117</v>
      </c>
      <c r="M323" s="4">
        <v>0</v>
      </c>
      <c r="N323" s="8" t="s">
        <v>1497</v>
      </c>
      <c r="O323" s="8" t="s">
        <v>498</v>
      </c>
      <c r="P323" s="8" t="s">
        <v>218</v>
      </c>
      <c r="Q323" s="4">
        <v>5637707276</v>
      </c>
    </row>
    <row r="324" spans="1:17">
      <c r="A324" s="8" t="s">
        <v>122</v>
      </c>
      <c r="B324" s="8" t="s">
        <v>513</v>
      </c>
      <c r="C324" s="8" t="s">
        <v>267</v>
      </c>
      <c r="D324" s="8" t="s">
        <v>368</v>
      </c>
      <c r="E324" s="6">
        <v>43118</v>
      </c>
      <c r="F324" s="8" t="s">
        <v>237</v>
      </c>
      <c r="G324" s="8" t="s">
        <v>238</v>
      </c>
      <c r="H324" s="4">
        <v>-686</v>
      </c>
      <c r="I324" s="8" t="s">
        <v>22</v>
      </c>
      <c r="J324" s="4">
        <v>0</v>
      </c>
      <c r="K324" s="4">
        <v>0</v>
      </c>
      <c r="L324" s="8" t="s">
        <v>117</v>
      </c>
      <c r="M324" s="4">
        <v>0</v>
      </c>
      <c r="N324" s="8" t="s">
        <v>1446</v>
      </c>
      <c r="O324" s="8" t="s">
        <v>521</v>
      </c>
      <c r="P324" s="8" t="s">
        <v>218</v>
      </c>
      <c r="Q324" s="4">
        <v>5637707290</v>
      </c>
    </row>
    <row r="325" spans="1:17">
      <c r="A325" s="8" t="s">
        <v>122</v>
      </c>
      <c r="B325" s="8" t="s">
        <v>527</v>
      </c>
      <c r="C325" s="8" t="s">
        <v>267</v>
      </c>
      <c r="D325" s="8" t="s">
        <v>368</v>
      </c>
      <c r="E325" s="6">
        <v>43122</v>
      </c>
      <c r="F325" s="8" t="s">
        <v>237</v>
      </c>
      <c r="G325" s="8" t="s">
        <v>238</v>
      </c>
      <c r="H325" s="4">
        <v>-60</v>
      </c>
      <c r="I325" s="8" t="s">
        <v>22</v>
      </c>
      <c r="J325" s="4">
        <v>0</v>
      </c>
      <c r="K325" s="4">
        <v>0</v>
      </c>
      <c r="L325" s="8" t="s">
        <v>117</v>
      </c>
      <c r="M325" s="4">
        <v>0</v>
      </c>
      <c r="N325" s="8" t="s">
        <v>1498</v>
      </c>
      <c r="O325" s="8" t="s">
        <v>528</v>
      </c>
      <c r="P325" s="8" t="s">
        <v>218</v>
      </c>
      <c r="Q325" s="4">
        <v>5637707300</v>
      </c>
    </row>
    <row r="326" spans="1:17">
      <c r="A326" s="8" t="s">
        <v>122</v>
      </c>
      <c r="B326" s="8" t="s">
        <v>544</v>
      </c>
      <c r="C326" s="8" t="s">
        <v>267</v>
      </c>
      <c r="D326" s="8" t="s">
        <v>368</v>
      </c>
      <c r="E326" s="6">
        <v>43125</v>
      </c>
      <c r="F326" s="8" t="s">
        <v>237</v>
      </c>
      <c r="G326" s="8" t="s">
        <v>238</v>
      </c>
      <c r="H326" s="4">
        <v>-680</v>
      </c>
      <c r="I326" s="8" t="s">
        <v>22</v>
      </c>
      <c r="J326" s="4">
        <v>0</v>
      </c>
      <c r="K326" s="4">
        <v>0</v>
      </c>
      <c r="L326" s="8" t="s">
        <v>117</v>
      </c>
      <c r="M326" s="4">
        <v>0</v>
      </c>
      <c r="N326" s="8" t="s">
        <v>1499</v>
      </c>
      <c r="O326" s="8" t="s">
        <v>545</v>
      </c>
      <c r="P326" s="8" t="s">
        <v>218</v>
      </c>
      <c r="Q326" s="4">
        <v>5637707314</v>
      </c>
    </row>
    <row r="327" spans="1:17">
      <c r="A327" s="8" t="s">
        <v>122</v>
      </c>
      <c r="B327" s="8" t="s">
        <v>549</v>
      </c>
      <c r="C327" s="8" t="s">
        <v>267</v>
      </c>
      <c r="D327" s="8" t="s">
        <v>368</v>
      </c>
      <c r="E327" s="6">
        <v>43130</v>
      </c>
      <c r="F327" s="8" t="s">
        <v>237</v>
      </c>
      <c r="G327" s="8" t="s">
        <v>238</v>
      </c>
      <c r="H327" s="4">
        <v>-1</v>
      </c>
      <c r="I327" s="8" t="s">
        <v>22</v>
      </c>
      <c r="J327" s="4">
        <v>0</v>
      </c>
      <c r="K327" s="4">
        <v>0</v>
      </c>
      <c r="L327" s="8" t="s">
        <v>117</v>
      </c>
      <c r="M327" s="4">
        <v>0</v>
      </c>
      <c r="N327" s="8" t="s">
        <v>1476</v>
      </c>
      <c r="O327" s="8" t="s">
        <v>551</v>
      </c>
      <c r="P327" s="8" t="s">
        <v>218</v>
      </c>
      <c r="Q327" s="4">
        <v>5637707319</v>
      </c>
    </row>
    <row r="328" spans="1:17">
      <c r="A328" s="8" t="s">
        <v>655</v>
      </c>
      <c r="B328" s="8" t="s">
        <v>746</v>
      </c>
      <c r="C328" s="8" t="s">
        <v>267</v>
      </c>
      <c r="D328" s="8" t="s">
        <v>368</v>
      </c>
      <c r="E328" s="6">
        <v>43132</v>
      </c>
      <c r="F328" s="8" t="s">
        <v>237</v>
      </c>
      <c r="G328" s="8" t="s">
        <v>238</v>
      </c>
      <c r="H328" s="4">
        <v>40</v>
      </c>
      <c r="I328" s="8" t="s">
        <v>22</v>
      </c>
      <c r="J328" s="4">
        <v>0</v>
      </c>
      <c r="K328" s="4">
        <v>0</v>
      </c>
      <c r="L328" s="8" t="s">
        <v>117</v>
      </c>
      <c r="M328" s="4">
        <v>0</v>
      </c>
      <c r="N328" s="8" t="s">
        <v>1500</v>
      </c>
      <c r="O328" s="8" t="s">
        <v>747</v>
      </c>
      <c r="P328" s="8" t="s">
        <v>218</v>
      </c>
      <c r="Q328" s="4">
        <v>5637707406</v>
      </c>
    </row>
    <row r="329" spans="1:17">
      <c r="A329" s="8" t="s">
        <v>122</v>
      </c>
      <c r="B329" s="8" t="s">
        <v>552</v>
      </c>
      <c r="C329" s="8" t="s">
        <v>267</v>
      </c>
      <c r="D329" s="8" t="s">
        <v>368</v>
      </c>
      <c r="E329" s="6">
        <v>43133</v>
      </c>
      <c r="F329" s="8" t="s">
        <v>237</v>
      </c>
      <c r="G329" s="8" t="s">
        <v>238</v>
      </c>
      <c r="H329" s="4">
        <v>-600</v>
      </c>
      <c r="I329" s="8" t="s">
        <v>22</v>
      </c>
      <c r="J329" s="4">
        <v>0</v>
      </c>
      <c r="K329" s="4">
        <v>0</v>
      </c>
      <c r="L329" s="8" t="s">
        <v>117</v>
      </c>
      <c r="M329" s="4">
        <v>0</v>
      </c>
      <c r="N329" s="8" t="s">
        <v>1501</v>
      </c>
      <c r="O329" s="8" t="s">
        <v>553</v>
      </c>
      <c r="P329" s="8" t="s">
        <v>218</v>
      </c>
      <c r="Q329" s="4">
        <v>5637707387</v>
      </c>
    </row>
    <row r="330" spans="1:17">
      <c r="A330" s="8" t="s">
        <v>122</v>
      </c>
      <c r="B330" s="8" t="s">
        <v>569</v>
      </c>
      <c r="C330" s="8" t="s">
        <v>267</v>
      </c>
      <c r="D330" s="8" t="s">
        <v>368</v>
      </c>
      <c r="E330" s="6">
        <v>43143</v>
      </c>
      <c r="F330" s="8" t="s">
        <v>237</v>
      </c>
      <c r="G330" s="8" t="s">
        <v>238</v>
      </c>
      <c r="H330" s="4">
        <v>-60</v>
      </c>
      <c r="I330" s="8" t="s">
        <v>22</v>
      </c>
      <c r="J330" s="4">
        <v>0</v>
      </c>
      <c r="K330" s="4">
        <v>0</v>
      </c>
      <c r="L330" s="8" t="s">
        <v>117</v>
      </c>
      <c r="M330" s="4">
        <v>0</v>
      </c>
      <c r="N330" s="8" t="s">
        <v>1502</v>
      </c>
      <c r="O330" s="8" t="s">
        <v>570</v>
      </c>
      <c r="P330" s="8" t="s">
        <v>218</v>
      </c>
      <c r="Q330" s="4">
        <v>5637707509</v>
      </c>
    </row>
    <row r="331" spans="1:17">
      <c r="A331" s="8" t="s">
        <v>655</v>
      </c>
      <c r="B331" s="8" t="s">
        <v>758</v>
      </c>
      <c r="C331" s="8" t="s">
        <v>267</v>
      </c>
      <c r="D331" s="8" t="s">
        <v>368</v>
      </c>
      <c r="E331" s="6">
        <v>43145</v>
      </c>
      <c r="F331" s="8" t="s">
        <v>237</v>
      </c>
      <c r="G331" s="8" t="s">
        <v>238</v>
      </c>
      <c r="H331" s="4">
        <v>405</v>
      </c>
      <c r="I331" s="8" t="s">
        <v>22</v>
      </c>
      <c r="J331" s="4">
        <v>0</v>
      </c>
      <c r="K331" s="4">
        <v>0</v>
      </c>
      <c r="L331" s="8" t="s">
        <v>117</v>
      </c>
      <c r="M331" s="4">
        <v>0</v>
      </c>
      <c r="N331" s="8" t="s">
        <v>1503</v>
      </c>
      <c r="O331" s="8" t="s">
        <v>759</v>
      </c>
      <c r="P331" s="8" t="s">
        <v>218</v>
      </c>
      <c r="Q331" s="4">
        <v>5637709241</v>
      </c>
    </row>
    <row r="332" spans="1:17">
      <c r="A332" s="8" t="s">
        <v>655</v>
      </c>
      <c r="B332" s="8" t="s">
        <v>764</v>
      </c>
      <c r="C332" s="8" t="s">
        <v>267</v>
      </c>
      <c r="D332" s="8" t="s">
        <v>368</v>
      </c>
      <c r="E332" s="6">
        <v>43146</v>
      </c>
      <c r="F332" s="8" t="s">
        <v>237</v>
      </c>
      <c r="G332" s="8" t="s">
        <v>238</v>
      </c>
      <c r="H332" s="4">
        <v>486</v>
      </c>
      <c r="I332" s="8" t="s">
        <v>22</v>
      </c>
      <c r="J332" s="4">
        <v>0</v>
      </c>
      <c r="K332" s="4">
        <v>0</v>
      </c>
      <c r="L332" s="8" t="s">
        <v>117</v>
      </c>
      <c r="M332" s="4">
        <v>0</v>
      </c>
      <c r="N332" s="8" t="s">
        <v>1504</v>
      </c>
      <c r="O332" s="8" t="s">
        <v>765</v>
      </c>
      <c r="P332" s="8" t="s">
        <v>218</v>
      </c>
      <c r="Q332" s="4">
        <v>5637709514</v>
      </c>
    </row>
    <row r="333" spans="1:17">
      <c r="A333" s="8" t="s">
        <v>122</v>
      </c>
      <c r="B333" s="8" t="s">
        <v>589</v>
      </c>
      <c r="C333" s="8" t="s">
        <v>267</v>
      </c>
      <c r="D333" s="8" t="s">
        <v>368</v>
      </c>
      <c r="E333" s="6">
        <v>43147</v>
      </c>
      <c r="F333" s="8" t="s">
        <v>237</v>
      </c>
      <c r="G333" s="8" t="s">
        <v>238</v>
      </c>
      <c r="H333" s="4">
        <v>-400</v>
      </c>
      <c r="I333" s="8" t="s">
        <v>22</v>
      </c>
      <c r="J333" s="4">
        <v>0</v>
      </c>
      <c r="K333" s="4">
        <v>0</v>
      </c>
      <c r="L333" s="8" t="s">
        <v>117</v>
      </c>
      <c r="M333" s="4">
        <v>0</v>
      </c>
      <c r="N333" s="8" t="s">
        <v>1505</v>
      </c>
      <c r="O333" s="8" t="s">
        <v>590</v>
      </c>
      <c r="P333" s="8" t="s">
        <v>218</v>
      </c>
      <c r="Q333" s="4">
        <v>5637708851</v>
      </c>
    </row>
    <row r="334" spans="1:17">
      <c r="A334" s="8" t="s">
        <v>655</v>
      </c>
      <c r="B334" s="8" t="s">
        <v>770</v>
      </c>
      <c r="C334" s="8" t="s">
        <v>267</v>
      </c>
      <c r="D334" s="8" t="s">
        <v>368</v>
      </c>
      <c r="E334" s="6">
        <v>43151</v>
      </c>
      <c r="F334" s="8" t="s">
        <v>237</v>
      </c>
      <c r="G334" s="8" t="s">
        <v>238</v>
      </c>
      <c r="H334" s="4">
        <v>405</v>
      </c>
      <c r="I334" s="8" t="s">
        <v>22</v>
      </c>
      <c r="J334" s="4">
        <v>0</v>
      </c>
      <c r="K334" s="4">
        <v>0</v>
      </c>
      <c r="L334" s="8" t="s">
        <v>117</v>
      </c>
      <c r="M334" s="4">
        <v>0</v>
      </c>
      <c r="N334" s="8" t="s">
        <v>1506</v>
      </c>
      <c r="O334" s="8" t="s">
        <v>771</v>
      </c>
      <c r="P334" s="8" t="s">
        <v>218</v>
      </c>
      <c r="Q334" s="4">
        <v>5637714084</v>
      </c>
    </row>
    <row r="335" spans="1:17">
      <c r="A335" s="8" t="s">
        <v>655</v>
      </c>
      <c r="B335" s="8" t="s">
        <v>774</v>
      </c>
      <c r="C335" s="8" t="s">
        <v>267</v>
      </c>
      <c r="D335" s="8" t="s">
        <v>368</v>
      </c>
      <c r="E335" s="6">
        <v>43151</v>
      </c>
      <c r="F335" s="8" t="s">
        <v>237</v>
      </c>
      <c r="G335" s="8" t="s">
        <v>238</v>
      </c>
      <c r="H335" s="4">
        <v>81</v>
      </c>
      <c r="I335" s="8" t="s">
        <v>22</v>
      </c>
      <c r="J335" s="4">
        <v>0</v>
      </c>
      <c r="K335" s="4">
        <v>0</v>
      </c>
      <c r="L335" s="8" t="s">
        <v>117</v>
      </c>
      <c r="M335" s="4">
        <v>0</v>
      </c>
      <c r="N335" s="8" t="s">
        <v>1507</v>
      </c>
      <c r="O335" s="8" t="s">
        <v>775</v>
      </c>
      <c r="P335" s="8" t="s">
        <v>218</v>
      </c>
      <c r="Q335" s="4">
        <v>5637714586</v>
      </c>
    </row>
    <row r="336" spans="1:17">
      <c r="A336" s="8" t="s">
        <v>122</v>
      </c>
      <c r="B336" s="8" t="s">
        <v>613</v>
      </c>
      <c r="C336" s="8" t="s">
        <v>267</v>
      </c>
      <c r="D336" s="8" t="s">
        <v>368</v>
      </c>
      <c r="E336" s="6">
        <v>43154</v>
      </c>
      <c r="F336" s="8" t="s">
        <v>237</v>
      </c>
      <c r="G336" s="8" t="s">
        <v>238</v>
      </c>
      <c r="H336" s="4">
        <v>-920</v>
      </c>
      <c r="I336" s="8" t="s">
        <v>22</v>
      </c>
      <c r="J336" s="4">
        <v>0</v>
      </c>
      <c r="K336" s="4">
        <v>0</v>
      </c>
      <c r="L336" s="8" t="s">
        <v>117</v>
      </c>
      <c r="M336" s="4">
        <v>0</v>
      </c>
      <c r="N336" s="8" t="s">
        <v>1447</v>
      </c>
      <c r="O336" s="8" t="s">
        <v>617</v>
      </c>
      <c r="P336" s="8" t="s">
        <v>218</v>
      </c>
      <c r="Q336" s="4">
        <v>5637713882</v>
      </c>
    </row>
    <row r="337" spans="1:17">
      <c r="A337" s="8" t="s">
        <v>655</v>
      </c>
      <c r="B337" s="8" t="s">
        <v>790</v>
      </c>
      <c r="C337" s="8" t="s">
        <v>267</v>
      </c>
      <c r="D337" s="8" t="s">
        <v>368</v>
      </c>
      <c r="E337" s="6">
        <v>43157</v>
      </c>
      <c r="F337" s="8" t="s">
        <v>237</v>
      </c>
      <c r="G337" s="8" t="s">
        <v>238</v>
      </c>
      <c r="H337" s="4">
        <v>40</v>
      </c>
      <c r="I337" s="8" t="s">
        <v>22</v>
      </c>
      <c r="J337" s="4">
        <v>0</v>
      </c>
      <c r="K337" s="4">
        <v>0</v>
      </c>
      <c r="L337" s="8" t="s">
        <v>117</v>
      </c>
      <c r="M337" s="4">
        <v>0</v>
      </c>
      <c r="N337" s="8" t="s">
        <v>1508</v>
      </c>
      <c r="O337" s="8" t="s">
        <v>791</v>
      </c>
      <c r="P337" s="8" t="s">
        <v>218</v>
      </c>
      <c r="Q337" s="4">
        <v>5637715484</v>
      </c>
    </row>
    <row r="338" spans="1:17">
      <c r="A338" s="8" t="s">
        <v>1121</v>
      </c>
      <c r="B338" s="8" t="s">
        <v>716</v>
      </c>
      <c r="C338" s="8" t="s">
        <v>369</v>
      </c>
      <c r="D338" s="8" t="s">
        <v>370</v>
      </c>
      <c r="E338" s="6">
        <v>43108</v>
      </c>
      <c r="F338" s="8" t="s">
        <v>237</v>
      </c>
      <c r="G338" s="8" t="s">
        <v>238</v>
      </c>
      <c r="H338" s="4">
        <v>-2025</v>
      </c>
      <c r="I338" s="8" t="s">
        <v>66</v>
      </c>
      <c r="J338" s="4">
        <v>0</v>
      </c>
      <c r="K338" s="4">
        <v>0</v>
      </c>
      <c r="L338" s="8" t="s">
        <v>117</v>
      </c>
      <c r="M338" s="4">
        <v>0</v>
      </c>
      <c r="N338" s="8" t="s">
        <v>1496</v>
      </c>
      <c r="O338" s="8" t="s">
        <v>1245</v>
      </c>
      <c r="P338" s="8" t="s">
        <v>218</v>
      </c>
      <c r="Q338" s="4">
        <v>5637706507</v>
      </c>
    </row>
    <row r="339" spans="1:17">
      <c r="A339" s="8" t="s">
        <v>655</v>
      </c>
      <c r="B339" s="8" t="s">
        <v>712</v>
      </c>
      <c r="C339" s="8" t="s">
        <v>369</v>
      </c>
      <c r="D339" s="8" t="s">
        <v>370</v>
      </c>
      <c r="E339" s="6">
        <v>43108</v>
      </c>
      <c r="F339" s="8" t="s">
        <v>237</v>
      </c>
      <c r="G339" s="8" t="s">
        <v>238</v>
      </c>
      <c r="H339" s="4">
        <v>124.2</v>
      </c>
      <c r="I339" s="8" t="s">
        <v>66</v>
      </c>
      <c r="J339" s="4">
        <v>0</v>
      </c>
      <c r="K339" s="4">
        <v>0</v>
      </c>
      <c r="L339" s="8" t="s">
        <v>117</v>
      </c>
      <c r="M339" s="4">
        <v>0</v>
      </c>
      <c r="N339" s="8" t="s">
        <v>1415</v>
      </c>
      <c r="O339" s="8" t="s">
        <v>713</v>
      </c>
      <c r="P339" s="8" t="s">
        <v>218</v>
      </c>
      <c r="Q339" s="4">
        <v>5637706490</v>
      </c>
    </row>
    <row r="340" spans="1:17">
      <c r="A340" s="8" t="s">
        <v>1121</v>
      </c>
      <c r="B340" s="8" t="s">
        <v>710</v>
      </c>
      <c r="C340" s="8" t="s">
        <v>369</v>
      </c>
      <c r="D340" s="8" t="s">
        <v>370</v>
      </c>
      <c r="E340" s="6">
        <v>43108</v>
      </c>
      <c r="F340" s="8" t="s">
        <v>237</v>
      </c>
      <c r="G340" s="8" t="s">
        <v>238</v>
      </c>
      <c r="H340" s="4">
        <v>-10125</v>
      </c>
      <c r="I340" s="8" t="s">
        <v>66</v>
      </c>
      <c r="J340" s="4">
        <v>0</v>
      </c>
      <c r="K340" s="4">
        <v>0</v>
      </c>
      <c r="L340" s="8" t="s">
        <v>117</v>
      </c>
      <c r="M340" s="4">
        <v>0</v>
      </c>
      <c r="N340" s="8" t="s">
        <v>1495</v>
      </c>
      <c r="O340" s="8" t="s">
        <v>1231</v>
      </c>
      <c r="P340" s="8" t="s">
        <v>218</v>
      </c>
      <c r="Q340" s="4">
        <v>5637706488</v>
      </c>
    </row>
    <row r="341" spans="1:17">
      <c r="A341" s="8" t="s">
        <v>655</v>
      </c>
      <c r="B341" s="8" t="s">
        <v>714</v>
      </c>
      <c r="C341" s="8" t="s">
        <v>369</v>
      </c>
      <c r="D341" s="8" t="s">
        <v>370</v>
      </c>
      <c r="E341" s="6">
        <v>43108</v>
      </c>
      <c r="F341" s="8" t="s">
        <v>237</v>
      </c>
      <c r="G341" s="8" t="s">
        <v>238</v>
      </c>
      <c r="H341" s="4">
        <v>2027.6</v>
      </c>
      <c r="I341" s="8" t="s">
        <v>66</v>
      </c>
      <c r="J341" s="4">
        <v>0</v>
      </c>
      <c r="K341" s="4">
        <v>0</v>
      </c>
      <c r="L341" s="8" t="s">
        <v>117</v>
      </c>
      <c r="M341" s="4">
        <v>0</v>
      </c>
      <c r="N341" s="8" t="s">
        <v>1413</v>
      </c>
      <c r="O341" s="8" t="s">
        <v>715</v>
      </c>
      <c r="P341" s="8" t="s">
        <v>218</v>
      </c>
      <c r="Q341" s="4">
        <v>5637706498</v>
      </c>
    </row>
    <row r="342" spans="1:17">
      <c r="A342" s="8" t="s">
        <v>655</v>
      </c>
      <c r="B342" s="8" t="s">
        <v>704</v>
      </c>
      <c r="C342" s="8" t="s">
        <v>369</v>
      </c>
      <c r="D342" s="8" t="s">
        <v>370</v>
      </c>
      <c r="E342" s="6">
        <v>43108</v>
      </c>
      <c r="F342" s="8" t="s">
        <v>237</v>
      </c>
      <c r="G342" s="8" t="s">
        <v>238</v>
      </c>
      <c r="H342" s="4">
        <v>4055.2</v>
      </c>
      <c r="I342" s="8" t="s">
        <v>66</v>
      </c>
      <c r="J342" s="4">
        <v>0</v>
      </c>
      <c r="K342" s="4">
        <v>0</v>
      </c>
      <c r="L342" s="8" t="s">
        <v>117</v>
      </c>
      <c r="M342" s="4">
        <v>0</v>
      </c>
      <c r="N342" s="8" t="s">
        <v>1419</v>
      </c>
      <c r="O342" s="8" t="s">
        <v>705</v>
      </c>
      <c r="P342" s="8" t="s">
        <v>218</v>
      </c>
      <c r="Q342" s="4">
        <v>5637706468</v>
      </c>
    </row>
    <row r="343" spans="1:17">
      <c r="A343" s="8" t="s">
        <v>655</v>
      </c>
      <c r="B343" s="8" t="s">
        <v>708</v>
      </c>
      <c r="C343" s="8" t="s">
        <v>369</v>
      </c>
      <c r="D343" s="8" t="s">
        <v>370</v>
      </c>
      <c r="E343" s="6">
        <v>43108</v>
      </c>
      <c r="F343" s="8" t="s">
        <v>237</v>
      </c>
      <c r="G343" s="8" t="s">
        <v>238</v>
      </c>
      <c r="H343" s="4">
        <v>10013.799999999999</v>
      </c>
      <c r="I343" s="8" t="s">
        <v>66</v>
      </c>
      <c r="J343" s="4">
        <v>0</v>
      </c>
      <c r="K343" s="4">
        <v>0</v>
      </c>
      <c r="L343" s="8" t="s">
        <v>117</v>
      </c>
      <c r="M343" s="4">
        <v>0</v>
      </c>
      <c r="N343" s="8" t="s">
        <v>1414</v>
      </c>
      <c r="O343" s="8" t="s">
        <v>709</v>
      </c>
      <c r="P343" s="8" t="s">
        <v>218</v>
      </c>
      <c r="Q343" s="4">
        <v>5637706479</v>
      </c>
    </row>
    <row r="344" spans="1:17">
      <c r="A344" s="8" t="s">
        <v>1121</v>
      </c>
      <c r="B344" s="8" t="s">
        <v>732</v>
      </c>
      <c r="C344" s="8" t="s">
        <v>369</v>
      </c>
      <c r="D344" s="8" t="s">
        <v>370</v>
      </c>
      <c r="E344" s="6">
        <v>43108</v>
      </c>
      <c r="F344" s="8" t="s">
        <v>237</v>
      </c>
      <c r="G344" s="8" t="s">
        <v>238</v>
      </c>
      <c r="H344" s="4">
        <v>-10125</v>
      </c>
      <c r="I344" s="8" t="s">
        <v>66</v>
      </c>
      <c r="J344" s="4">
        <v>0</v>
      </c>
      <c r="K344" s="4">
        <v>0</v>
      </c>
      <c r="L344" s="8" t="s">
        <v>117</v>
      </c>
      <c r="M344" s="4">
        <v>0</v>
      </c>
      <c r="N344" s="8" t="s">
        <v>1494</v>
      </c>
      <c r="O344" s="8" t="s">
        <v>1278</v>
      </c>
      <c r="P344" s="8" t="s">
        <v>218</v>
      </c>
      <c r="Q344" s="4">
        <v>5637706552</v>
      </c>
    </row>
    <row r="345" spans="1:17">
      <c r="A345" s="8" t="s">
        <v>1121</v>
      </c>
      <c r="B345" s="8" t="s">
        <v>728</v>
      </c>
      <c r="C345" s="8" t="s">
        <v>369</v>
      </c>
      <c r="D345" s="8" t="s">
        <v>370</v>
      </c>
      <c r="E345" s="6">
        <v>43108</v>
      </c>
      <c r="F345" s="8" t="s">
        <v>237</v>
      </c>
      <c r="G345" s="8" t="s">
        <v>238</v>
      </c>
      <c r="H345" s="4">
        <v>-5050</v>
      </c>
      <c r="I345" s="8" t="s">
        <v>66</v>
      </c>
      <c r="J345" s="4">
        <v>0</v>
      </c>
      <c r="K345" s="4">
        <v>0</v>
      </c>
      <c r="L345" s="8" t="s">
        <v>117</v>
      </c>
      <c r="M345" s="4">
        <v>0</v>
      </c>
      <c r="N345" s="8" t="s">
        <v>1493</v>
      </c>
      <c r="O345" s="8" t="s">
        <v>1270</v>
      </c>
      <c r="P345" s="8" t="s">
        <v>218</v>
      </c>
      <c r="Q345" s="4">
        <v>5637706541</v>
      </c>
    </row>
    <row r="346" spans="1:17">
      <c r="A346" s="8" t="s">
        <v>655</v>
      </c>
      <c r="B346" s="8" t="s">
        <v>722</v>
      </c>
      <c r="C346" s="8" t="s">
        <v>369</v>
      </c>
      <c r="D346" s="8" t="s">
        <v>370</v>
      </c>
      <c r="E346" s="6">
        <v>43108</v>
      </c>
      <c r="F346" s="8" t="s">
        <v>237</v>
      </c>
      <c r="G346" s="8" t="s">
        <v>238</v>
      </c>
      <c r="H346" s="4">
        <v>2027.6</v>
      </c>
      <c r="I346" s="8" t="s">
        <v>66</v>
      </c>
      <c r="J346" s="4">
        <v>0</v>
      </c>
      <c r="K346" s="4">
        <v>0</v>
      </c>
      <c r="L346" s="8" t="s">
        <v>117</v>
      </c>
      <c r="M346" s="4">
        <v>0</v>
      </c>
      <c r="N346" s="8" t="s">
        <v>1416</v>
      </c>
      <c r="O346" s="8" t="s">
        <v>723</v>
      </c>
      <c r="P346" s="8" t="s">
        <v>218</v>
      </c>
      <c r="Q346" s="4">
        <v>5637706521</v>
      </c>
    </row>
    <row r="347" spans="1:17">
      <c r="A347" s="8" t="s">
        <v>655</v>
      </c>
      <c r="B347" s="8" t="s">
        <v>726</v>
      </c>
      <c r="C347" s="8" t="s">
        <v>369</v>
      </c>
      <c r="D347" s="8" t="s">
        <v>370</v>
      </c>
      <c r="E347" s="6">
        <v>43108</v>
      </c>
      <c r="F347" s="8" t="s">
        <v>237</v>
      </c>
      <c r="G347" s="8" t="s">
        <v>238</v>
      </c>
      <c r="H347" s="4">
        <v>5069</v>
      </c>
      <c r="I347" s="8" t="s">
        <v>66</v>
      </c>
      <c r="J347" s="4">
        <v>0</v>
      </c>
      <c r="K347" s="4">
        <v>0</v>
      </c>
      <c r="L347" s="8" t="s">
        <v>117</v>
      </c>
      <c r="M347" s="4">
        <v>0</v>
      </c>
      <c r="N347" s="8" t="s">
        <v>1417</v>
      </c>
      <c r="O347" s="8" t="s">
        <v>727</v>
      </c>
      <c r="P347" s="8" t="s">
        <v>218</v>
      </c>
      <c r="Q347" s="4">
        <v>5637706532</v>
      </c>
    </row>
    <row r="348" spans="1:17">
      <c r="A348" s="8" t="s">
        <v>655</v>
      </c>
      <c r="B348" s="8" t="s">
        <v>730</v>
      </c>
      <c r="C348" s="8" t="s">
        <v>369</v>
      </c>
      <c r="D348" s="8" t="s">
        <v>370</v>
      </c>
      <c r="E348" s="6">
        <v>43108</v>
      </c>
      <c r="F348" s="8" t="s">
        <v>237</v>
      </c>
      <c r="G348" s="8" t="s">
        <v>238</v>
      </c>
      <c r="H348" s="4">
        <v>10138</v>
      </c>
      <c r="I348" s="8" t="s">
        <v>66</v>
      </c>
      <c r="J348" s="4">
        <v>0</v>
      </c>
      <c r="K348" s="4">
        <v>0</v>
      </c>
      <c r="L348" s="8" t="s">
        <v>117</v>
      </c>
      <c r="M348" s="4">
        <v>0</v>
      </c>
      <c r="N348" s="8" t="s">
        <v>1418</v>
      </c>
      <c r="O348" s="8" t="s">
        <v>731</v>
      </c>
      <c r="P348" s="8" t="s">
        <v>218</v>
      </c>
      <c r="Q348" s="4">
        <v>5637706543</v>
      </c>
    </row>
    <row r="349" spans="1:17">
      <c r="A349" s="8" t="s">
        <v>1121</v>
      </c>
      <c r="B349" s="8" t="s">
        <v>724</v>
      </c>
      <c r="C349" s="8" t="s">
        <v>369</v>
      </c>
      <c r="D349" s="8" t="s">
        <v>370</v>
      </c>
      <c r="E349" s="6">
        <v>43108</v>
      </c>
      <c r="F349" s="8" t="s">
        <v>237</v>
      </c>
      <c r="G349" s="8" t="s">
        <v>238</v>
      </c>
      <c r="H349" s="4">
        <v>-2025</v>
      </c>
      <c r="I349" s="8" t="s">
        <v>66</v>
      </c>
      <c r="J349" s="4">
        <v>0</v>
      </c>
      <c r="K349" s="4">
        <v>0</v>
      </c>
      <c r="L349" s="8" t="s">
        <v>117</v>
      </c>
      <c r="M349" s="4">
        <v>0</v>
      </c>
      <c r="N349" s="8" t="s">
        <v>1492</v>
      </c>
      <c r="O349" s="8" t="s">
        <v>1262</v>
      </c>
      <c r="P349" s="8" t="s">
        <v>218</v>
      </c>
      <c r="Q349" s="4">
        <v>5637706530</v>
      </c>
    </row>
    <row r="350" spans="1:17">
      <c r="A350" s="8" t="s">
        <v>1121</v>
      </c>
      <c r="B350" s="8" t="s">
        <v>670</v>
      </c>
      <c r="C350" s="8" t="s">
        <v>369</v>
      </c>
      <c r="D350" s="8" t="s">
        <v>370</v>
      </c>
      <c r="E350" s="6">
        <v>43108</v>
      </c>
      <c r="F350" s="8" t="s">
        <v>237</v>
      </c>
      <c r="G350" s="8" t="s">
        <v>238</v>
      </c>
      <c r="H350" s="4">
        <v>-1125</v>
      </c>
      <c r="I350" s="8" t="s">
        <v>66</v>
      </c>
      <c r="J350" s="4">
        <v>0</v>
      </c>
      <c r="K350" s="4">
        <v>0</v>
      </c>
      <c r="L350" s="8" t="s">
        <v>117</v>
      </c>
      <c r="M350" s="4">
        <v>0</v>
      </c>
      <c r="N350" s="8" t="s">
        <v>1491</v>
      </c>
      <c r="O350" s="8" t="s">
        <v>1148</v>
      </c>
      <c r="P350" s="8" t="s">
        <v>218</v>
      </c>
      <c r="Q350" s="4">
        <v>5637706373</v>
      </c>
    </row>
    <row r="351" spans="1:17">
      <c r="A351" s="8" t="s">
        <v>655</v>
      </c>
      <c r="B351" s="8" t="s">
        <v>662</v>
      </c>
      <c r="C351" s="8" t="s">
        <v>369</v>
      </c>
      <c r="D351" s="8" t="s">
        <v>370</v>
      </c>
      <c r="E351" s="6">
        <v>43108</v>
      </c>
      <c r="F351" s="8" t="s">
        <v>237</v>
      </c>
      <c r="G351" s="8" t="s">
        <v>238</v>
      </c>
      <c r="H351" s="4">
        <v>1013.8</v>
      </c>
      <c r="I351" s="8" t="s">
        <v>66</v>
      </c>
      <c r="J351" s="4">
        <v>0</v>
      </c>
      <c r="K351" s="4">
        <v>0</v>
      </c>
      <c r="L351" s="8" t="s">
        <v>117</v>
      </c>
      <c r="M351" s="4">
        <v>0</v>
      </c>
      <c r="N351" s="8" t="s">
        <v>1412</v>
      </c>
      <c r="O351" s="8" t="s">
        <v>663</v>
      </c>
      <c r="P351" s="8" t="s">
        <v>218</v>
      </c>
      <c r="Q351" s="4">
        <v>5637706350</v>
      </c>
    </row>
    <row r="352" spans="1:17">
      <c r="A352" s="8" t="s">
        <v>655</v>
      </c>
      <c r="B352" s="8" t="s">
        <v>666</v>
      </c>
      <c r="C352" s="8" t="s">
        <v>369</v>
      </c>
      <c r="D352" s="8" t="s">
        <v>370</v>
      </c>
      <c r="E352" s="6">
        <v>43108</v>
      </c>
      <c r="F352" s="8" t="s">
        <v>237</v>
      </c>
      <c r="G352" s="8" t="s">
        <v>238</v>
      </c>
      <c r="H352" s="4">
        <v>3041.4</v>
      </c>
      <c r="I352" s="8" t="s">
        <v>66</v>
      </c>
      <c r="J352" s="4">
        <v>0</v>
      </c>
      <c r="K352" s="4">
        <v>0</v>
      </c>
      <c r="L352" s="8" t="s">
        <v>117</v>
      </c>
      <c r="M352" s="4">
        <v>0</v>
      </c>
      <c r="N352" s="8" t="s">
        <v>1423</v>
      </c>
      <c r="O352" s="8" t="s">
        <v>667</v>
      </c>
      <c r="P352" s="8" t="s">
        <v>218</v>
      </c>
      <c r="Q352" s="4">
        <v>5637706361</v>
      </c>
    </row>
    <row r="353" spans="1:17">
      <c r="A353" s="8" t="s">
        <v>1121</v>
      </c>
      <c r="B353" s="8" t="s">
        <v>668</v>
      </c>
      <c r="C353" s="8" t="s">
        <v>369</v>
      </c>
      <c r="D353" s="8" t="s">
        <v>370</v>
      </c>
      <c r="E353" s="6">
        <v>43108</v>
      </c>
      <c r="F353" s="8" t="s">
        <v>237</v>
      </c>
      <c r="G353" s="8" t="s">
        <v>238</v>
      </c>
      <c r="H353" s="4">
        <v>-1900</v>
      </c>
      <c r="I353" s="8" t="s">
        <v>66</v>
      </c>
      <c r="J353" s="4">
        <v>0</v>
      </c>
      <c r="K353" s="4">
        <v>0</v>
      </c>
      <c r="L353" s="8" t="s">
        <v>117</v>
      </c>
      <c r="M353" s="4">
        <v>0</v>
      </c>
      <c r="N353" s="8" t="s">
        <v>1490</v>
      </c>
      <c r="O353" s="8" t="s">
        <v>1146</v>
      </c>
      <c r="P353" s="8" t="s">
        <v>218</v>
      </c>
      <c r="Q353" s="4">
        <v>5637706371</v>
      </c>
    </row>
    <row r="354" spans="1:17">
      <c r="A354" s="8" t="s">
        <v>1121</v>
      </c>
      <c r="B354" s="8" t="s">
        <v>664</v>
      </c>
      <c r="C354" s="8" t="s">
        <v>369</v>
      </c>
      <c r="D354" s="8" t="s">
        <v>370</v>
      </c>
      <c r="E354" s="6">
        <v>43108</v>
      </c>
      <c r="F354" s="8" t="s">
        <v>237</v>
      </c>
      <c r="G354" s="8" t="s">
        <v>238</v>
      </c>
      <c r="H354" s="4">
        <v>-1000</v>
      </c>
      <c r="I354" s="8" t="s">
        <v>66</v>
      </c>
      <c r="J354" s="4">
        <v>0</v>
      </c>
      <c r="K354" s="4">
        <v>0</v>
      </c>
      <c r="L354" s="8" t="s">
        <v>117</v>
      </c>
      <c r="M354" s="4">
        <v>0</v>
      </c>
      <c r="N354" s="8" t="s">
        <v>1489</v>
      </c>
      <c r="O354" s="8" t="s">
        <v>1138</v>
      </c>
      <c r="P354" s="8" t="s">
        <v>218</v>
      </c>
      <c r="Q354" s="4">
        <v>5637706360</v>
      </c>
    </row>
    <row r="355" spans="1:17">
      <c r="A355" s="8" t="s">
        <v>1121</v>
      </c>
      <c r="B355" s="8" t="s">
        <v>660</v>
      </c>
      <c r="C355" s="8" t="s">
        <v>369</v>
      </c>
      <c r="D355" s="8" t="s">
        <v>370</v>
      </c>
      <c r="E355" s="6">
        <v>43108</v>
      </c>
      <c r="F355" s="8" t="s">
        <v>237</v>
      </c>
      <c r="G355" s="8" t="s">
        <v>238</v>
      </c>
      <c r="H355" s="4">
        <v>-2025</v>
      </c>
      <c r="I355" s="8" t="s">
        <v>66</v>
      </c>
      <c r="J355" s="4">
        <v>0</v>
      </c>
      <c r="K355" s="4">
        <v>0</v>
      </c>
      <c r="L355" s="8" t="s">
        <v>117</v>
      </c>
      <c r="M355" s="4">
        <v>0</v>
      </c>
      <c r="N355" s="8" t="s">
        <v>1488</v>
      </c>
      <c r="O355" s="8" t="s">
        <v>1130</v>
      </c>
      <c r="P355" s="8" t="s">
        <v>218</v>
      </c>
      <c r="Q355" s="4">
        <v>5637706348</v>
      </c>
    </row>
    <row r="356" spans="1:17">
      <c r="A356" s="8" t="s">
        <v>655</v>
      </c>
      <c r="B356" s="8" t="s">
        <v>658</v>
      </c>
      <c r="C356" s="8" t="s">
        <v>369</v>
      </c>
      <c r="D356" s="8" t="s">
        <v>370</v>
      </c>
      <c r="E356" s="6">
        <v>43108</v>
      </c>
      <c r="F356" s="8" t="s">
        <v>237</v>
      </c>
      <c r="G356" s="8" t="s">
        <v>238</v>
      </c>
      <c r="H356" s="4">
        <v>2027.6</v>
      </c>
      <c r="I356" s="8" t="s">
        <v>66</v>
      </c>
      <c r="J356" s="4">
        <v>0</v>
      </c>
      <c r="K356" s="4">
        <v>0</v>
      </c>
      <c r="L356" s="8" t="s">
        <v>117</v>
      </c>
      <c r="M356" s="4">
        <v>0</v>
      </c>
      <c r="N356" s="8" t="s">
        <v>1411</v>
      </c>
      <c r="O356" s="8" t="s">
        <v>659</v>
      </c>
      <c r="P356" s="8" t="s">
        <v>218</v>
      </c>
      <c r="Q356" s="4">
        <v>5637706339</v>
      </c>
    </row>
    <row r="357" spans="1:17">
      <c r="A357" s="8" t="s">
        <v>1121</v>
      </c>
      <c r="B357" s="8" t="s">
        <v>682</v>
      </c>
      <c r="C357" s="8" t="s">
        <v>369</v>
      </c>
      <c r="D357" s="8" t="s">
        <v>370</v>
      </c>
      <c r="E357" s="6">
        <v>43108</v>
      </c>
      <c r="F357" s="8" t="s">
        <v>237</v>
      </c>
      <c r="G357" s="8" t="s">
        <v>238</v>
      </c>
      <c r="H357" s="4">
        <v>-3025</v>
      </c>
      <c r="I357" s="8" t="s">
        <v>66</v>
      </c>
      <c r="J357" s="4">
        <v>0</v>
      </c>
      <c r="K357" s="4">
        <v>0</v>
      </c>
      <c r="L357" s="8" t="s">
        <v>117</v>
      </c>
      <c r="M357" s="4">
        <v>0</v>
      </c>
      <c r="N357" s="8" t="s">
        <v>1487</v>
      </c>
      <c r="O357" s="8" t="s">
        <v>1183</v>
      </c>
      <c r="P357" s="8" t="s">
        <v>218</v>
      </c>
      <c r="Q357" s="4">
        <v>5637706421</v>
      </c>
    </row>
    <row r="358" spans="1:17">
      <c r="A358" s="8" t="s">
        <v>1121</v>
      </c>
      <c r="B358" s="8" t="s">
        <v>678</v>
      </c>
      <c r="C358" s="8" t="s">
        <v>369</v>
      </c>
      <c r="D358" s="8" t="s">
        <v>370</v>
      </c>
      <c r="E358" s="6">
        <v>43108</v>
      </c>
      <c r="F358" s="8" t="s">
        <v>237</v>
      </c>
      <c r="G358" s="8" t="s">
        <v>238</v>
      </c>
      <c r="H358" s="4">
        <v>-2025</v>
      </c>
      <c r="I358" s="8" t="s">
        <v>66</v>
      </c>
      <c r="J358" s="4">
        <v>0</v>
      </c>
      <c r="K358" s="4">
        <v>0</v>
      </c>
      <c r="L358" s="8" t="s">
        <v>117</v>
      </c>
      <c r="M358" s="4">
        <v>0</v>
      </c>
      <c r="N358" s="8" t="s">
        <v>1486</v>
      </c>
      <c r="O358" s="8" t="s">
        <v>1175</v>
      </c>
      <c r="P358" s="8" t="s">
        <v>218</v>
      </c>
      <c r="Q358" s="4">
        <v>5637706410</v>
      </c>
    </row>
    <row r="359" spans="1:17">
      <c r="A359" s="8" t="s">
        <v>1121</v>
      </c>
      <c r="B359" s="8" t="s">
        <v>686</v>
      </c>
      <c r="C359" s="8" t="s">
        <v>369</v>
      </c>
      <c r="D359" s="8" t="s">
        <v>370</v>
      </c>
      <c r="E359" s="6">
        <v>43108</v>
      </c>
      <c r="F359" s="8" t="s">
        <v>237</v>
      </c>
      <c r="G359" s="8" t="s">
        <v>238</v>
      </c>
      <c r="H359" s="4">
        <v>-9100</v>
      </c>
      <c r="I359" s="8" t="s">
        <v>66</v>
      </c>
      <c r="J359" s="4">
        <v>0</v>
      </c>
      <c r="K359" s="4">
        <v>0</v>
      </c>
      <c r="L359" s="8" t="s">
        <v>117</v>
      </c>
      <c r="M359" s="4">
        <v>0</v>
      </c>
      <c r="N359" s="8" t="s">
        <v>1485</v>
      </c>
      <c r="O359" s="8" t="s">
        <v>1191</v>
      </c>
      <c r="P359" s="8" t="s">
        <v>218</v>
      </c>
      <c r="Q359" s="4">
        <v>5637706432</v>
      </c>
    </row>
    <row r="360" spans="1:17">
      <c r="A360" s="8" t="s">
        <v>655</v>
      </c>
      <c r="B360" s="8" t="s">
        <v>676</v>
      </c>
      <c r="C360" s="8" t="s">
        <v>369</v>
      </c>
      <c r="D360" s="8" t="s">
        <v>370</v>
      </c>
      <c r="E360" s="6">
        <v>43108</v>
      </c>
      <c r="F360" s="8" t="s">
        <v>237</v>
      </c>
      <c r="G360" s="8" t="s">
        <v>238</v>
      </c>
      <c r="H360" s="4">
        <v>2027.6</v>
      </c>
      <c r="I360" s="8" t="s">
        <v>66</v>
      </c>
      <c r="J360" s="4">
        <v>0</v>
      </c>
      <c r="K360" s="4">
        <v>0</v>
      </c>
      <c r="L360" s="8" t="s">
        <v>117</v>
      </c>
      <c r="M360" s="4">
        <v>0</v>
      </c>
      <c r="N360" s="8" t="s">
        <v>1421</v>
      </c>
      <c r="O360" s="8" t="s">
        <v>677</v>
      </c>
      <c r="P360" s="8" t="s">
        <v>218</v>
      </c>
      <c r="Q360" s="4">
        <v>5637706401</v>
      </c>
    </row>
    <row r="361" spans="1:17">
      <c r="A361" s="8" t="s">
        <v>655</v>
      </c>
      <c r="B361" s="8" t="s">
        <v>680</v>
      </c>
      <c r="C361" s="8" t="s">
        <v>369</v>
      </c>
      <c r="D361" s="8" t="s">
        <v>370</v>
      </c>
      <c r="E361" s="6">
        <v>43108</v>
      </c>
      <c r="F361" s="8" t="s">
        <v>237</v>
      </c>
      <c r="G361" s="8" t="s">
        <v>238</v>
      </c>
      <c r="H361" s="4">
        <v>3041.4</v>
      </c>
      <c r="I361" s="8" t="s">
        <v>66</v>
      </c>
      <c r="J361" s="4">
        <v>0</v>
      </c>
      <c r="K361" s="4">
        <v>0</v>
      </c>
      <c r="L361" s="8" t="s">
        <v>117</v>
      </c>
      <c r="M361" s="4">
        <v>0</v>
      </c>
      <c r="N361" s="8" t="s">
        <v>1422</v>
      </c>
      <c r="O361" s="8" t="s">
        <v>681</v>
      </c>
      <c r="P361" s="8" t="s">
        <v>218</v>
      </c>
      <c r="Q361" s="4">
        <v>5637706412</v>
      </c>
    </row>
    <row r="362" spans="1:17">
      <c r="A362" s="8" t="s">
        <v>655</v>
      </c>
      <c r="B362" s="8" t="s">
        <v>684</v>
      </c>
      <c r="C362" s="8" t="s">
        <v>369</v>
      </c>
      <c r="D362" s="8" t="s">
        <v>370</v>
      </c>
      <c r="E362" s="6">
        <v>43108</v>
      </c>
      <c r="F362" s="8" t="s">
        <v>237</v>
      </c>
      <c r="G362" s="8" t="s">
        <v>238</v>
      </c>
      <c r="H362" s="4">
        <v>9124.2000000000007</v>
      </c>
      <c r="I362" s="8" t="s">
        <v>66</v>
      </c>
      <c r="J362" s="4">
        <v>0</v>
      </c>
      <c r="K362" s="4">
        <v>0</v>
      </c>
      <c r="L362" s="8" t="s">
        <v>117</v>
      </c>
      <c r="M362" s="4">
        <v>0</v>
      </c>
      <c r="N362" s="8" t="s">
        <v>1420</v>
      </c>
      <c r="O362" s="8" t="s">
        <v>685</v>
      </c>
      <c r="P362" s="8" t="s">
        <v>218</v>
      </c>
      <c r="Q362" s="4">
        <v>5637706423</v>
      </c>
    </row>
    <row r="363" spans="1:17">
      <c r="A363" s="8" t="s">
        <v>1121</v>
      </c>
      <c r="B363" s="8" t="s">
        <v>706</v>
      </c>
      <c r="C363" s="8" t="s">
        <v>369</v>
      </c>
      <c r="D363" s="8" t="s">
        <v>370</v>
      </c>
      <c r="E363" s="6">
        <v>43108</v>
      </c>
      <c r="F363" s="8" t="s">
        <v>237</v>
      </c>
      <c r="G363" s="8" t="s">
        <v>238</v>
      </c>
      <c r="H363" s="4">
        <v>-4050</v>
      </c>
      <c r="I363" s="8" t="s">
        <v>66</v>
      </c>
      <c r="J363" s="4">
        <v>0</v>
      </c>
      <c r="K363" s="4">
        <v>0</v>
      </c>
      <c r="L363" s="8" t="s">
        <v>117</v>
      </c>
      <c r="M363" s="4">
        <v>0</v>
      </c>
      <c r="N363" s="8" t="s">
        <v>1484</v>
      </c>
      <c r="O363" s="8" t="s">
        <v>1223</v>
      </c>
      <c r="P363" s="8" t="s">
        <v>218</v>
      </c>
      <c r="Q363" s="4">
        <v>5637706477</v>
      </c>
    </row>
    <row r="364" spans="1:17">
      <c r="A364" s="8" t="s">
        <v>1121</v>
      </c>
      <c r="B364" s="8" t="s">
        <v>746</v>
      </c>
      <c r="C364" s="8" t="s">
        <v>369</v>
      </c>
      <c r="D364" s="8" t="s">
        <v>370</v>
      </c>
      <c r="E364" s="6">
        <v>43132</v>
      </c>
      <c r="F364" s="8" t="s">
        <v>237</v>
      </c>
      <c r="G364" s="8" t="s">
        <v>238</v>
      </c>
      <c r="H364" s="4">
        <v>-1000</v>
      </c>
      <c r="I364" s="8" t="s">
        <v>66</v>
      </c>
      <c r="J364" s="4">
        <v>0</v>
      </c>
      <c r="K364" s="4">
        <v>0</v>
      </c>
      <c r="L364" s="8" t="s">
        <v>117</v>
      </c>
      <c r="M364" s="4">
        <v>0</v>
      </c>
      <c r="N364" s="8" t="s">
        <v>1500</v>
      </c>
      <c r="O364" s="8" t="s">
        <v>1301</v>
      </c>
      <c r="P364" s="8" t="s">
        <v>218</v>
      </c>
      <c r="Q364" s="4">
        <v>5637707407</v>
      </c>
    </row>
    <row r="365" spans="1:17">
      <c r="A365" s="8" t="s">
        <v>655</v>
      </c>
      <c r="B365" s="8" t="s">
        <v>744</v>
      </c>
      <c r="C365" s="8" t="s">
        <v>369</v>
      </c>
      <c r="D365" s="8" t="s">
        <v>370</v>
      </c>
      <c r="E365" s="6">
        <v>43132</v>
      </c>
      <c r="F365" s="8" t="s">
        <v>237</v>
      </c>
      <c r="G365" s="8" t="s">
        <v>238</v>
      </c>
      <c r="H365" s="4">
        <v>1013.8</v>
      </c>
      <c r="I365" s="8" t="s">
        <v>66</v>
      </c>
      <c r="J365" s="4">
        <v>0</v>
      </c>
      <c r="K365" s="4">
        <v>0</v>
      </c>
      <c r="L365" s="8" t="s">
        <v>117</v>
      </c>
      <c r="M365" s="4">
        <v>0</v>
      </c>
      <c r="N365" s="8" t="s">
        <v>1425</v>
      </c>
      <c r="O365" s="8" t="s">
        <v>745</v>
      </c>
      <c r="P365" s="8" t="s">
        <v>218</v>
      </c>
      <c r="Q365" s="4">
        <v>5637707398</v>
      </c>
    </row>
    <row r="366" spans="1:17">
      <c r="A366" s="8" t="s">
        <v>655</v>
      </c>
      <c r="B366" s="8" t="s">
        <v>754</v>
      </c>
      <c r="C366" s="8" t="s">
        <v>369</v>
      </c>
      <c r="D366" s="8" t="s">
        <v>370</v>
      </c>
      <c r="E366" s="6">
        <v>43145</v>
      </c>
      <c r="F366" s="8" t="s">
        <v>237</v>
      </c>
      <c r="G366" s="8" t="s">
        <v>238</v>
      </c>
      <c r="H366" s="4">
        <v>1013.8</v>
      </c>
      <c r="I366" s="8" t="s">
        <v>66</v>
      </c>
      <c r="J366" s="4">
        <v>0</v>
      </c>
      <c r="K366" s="4">
        <v>0</v>
      </c>
      <c r="L366" s="8" t="s">
        <v>117</v>
      </c>
      <c r="M366" s="4">
        <v>0</v>
      </c>
      <c r="N366" s="8" t="s">
        <v>1426</v>
      </c>
      <c r="O366" s="8" t="s">
        <v>755</v>
      </c>
      <c r="P366" s="8" t="s">
        <v>218</v>
      </c>
      <c r="Q366" s="4">
        <v>5637709225</v>
      </c>
    </row>
    <row r="367" spans="1:17">
      <c r="A367" s="8" t="s">
        <v>1121</v>
      </c>
      <c r="B367" s="8" t="s">
        <v>758</v>
      </c>
      <c r="C367" s="8" t="s">
        <v>369</v>
      </c>
      <c r="D367" s="8" t="s">
        <v>370</v>
      </c>
      <c r="E367" s="6">
        <v>43145</v>
      </c>
      <c r="F367" s="8" t="s">
        <v>237</v>
      </c>
      <c r="G367" s="8" t="s">
        <v>238</v>
      </c>
      <c r="H367" s="4">
        <v>-10125</v>
      </c>
      <c r="I367" s="8" t="s">
        <v>66</v>
      </c>
      <c r="J367" s="4">
        <v>0</v>
      </c>
      <c r="K367" s="4">
        <v>0</v>
      </c>
      <c r="L367" s="8" t="s">
        <v>117</v>
      </c>
      <c r="M367" s="4">
        <v>0</v>
      </c>
      <c r="N367" s="8" t="s">
        <v>1503</v>
      </c>
      <c r="O367" s="8" t="s">
        <v>1331</v>
      </c>
      <c r="P367" s="8" t="s">
        <v>218</v>
      </c>
      <c r="Q367" s="4">
        <v>5637709242</v>
      </c>
    </row>
    <row r="368" spans="1:17">
      <c r="A368" s="8" t="s">
        <v>655</v>
      </c>
      <c r="B368" s="8" t="s">
        <v>756</v>
      </c>
      <c r="C368" s="8" t="s">
        <v>369</v>
      </c>
      <c r="D368" s="8" t="s">
        <v>370</v>
      </c>
      <c r="E368" s="6">
        <v>43145</v>
      </c>
      <c r="F368" s="8" t="s">
        <v>237</v>
      </c>
      <c r="G368" s="8" t="s">
        <v>238</v>
      </c>
      <c r="H368" s="4">
        <v>9124.2000000000007</v>
      </c>
      <c r="I368" s="8" t="s">
        <v>66</v>
      </c>
      <c r="J368" s="4">
        <v>0</v>
      </c>
      <c r="K368" s="4">
        <v>0</v>
      </c>
      <c r="L368" s="8" t="s">
        <v>117</v>
      </c>
      <c r="M368" s="4">
        <v>0</v>
      </c>
      <c r="N368" s="8" t="s">
        <v>1427</v>
      </c>
      <c r="O368" s="8" t="s">
        <v>757</v>
      </c>
      <c r="P368" s="8" t="s">
        <v>218</v>
      </c>
      <c r="Q368" s="4">
        <v>5637709233</v>
      </c>
    </row>
    <row r="369" spans="1:17">
      <c r="A369" s="8" t="s">
        <v>1121</v>
      </c>
      <c r="B369" s="8" t="s">
        <v>764</v>
      </c>
      <c r="C369" s="8" t="s">
        <v>369</v>
      </c>
      <c r="D369" s="8" t="s">
        <v>370</v>
      </c>
      <c r="E369" s="6">
        <v>43146</v>
      </c>
      <c r="F369" s="8" t="s">
        <v>237</v>
      </c>
      <c r="G369" s="8" t="s">
        <v>238</v>
      </c>
      <c r="H369" s="4">
        <v>-12150</v>
      </c>
      <c r="I369" s="8" t="s">
        <v>66</v>
      </c>
      <c r="J369" s="4">
        <v>0</v>
      </c>
      <c r="K369" s="4">
        <v>0</v>
      </c>
      <c r="L369" s="8" t="s">
        <v>117</v>
      </c>
      <c r="M369" s="4">
        <v>0</v>
      </c>
      <c r="N369" s="8" t="s">
        <v>1504</v>
      </c>
      <c r="O369" s="8" t="s">
        <v>1341</v>
      </c>
      <c r="P369" s="8" t="s">
        <v>218</v>
      </c>
      <c r="Q369" s="4">
        <v>5637709515</v>
      </c>
    </row>
    <row r="370" spans="1:17">
      <c r="A370" s="8" t="s">
        <v>655</v>
      </c>
      <c r="B370" s="8" t="s">
        <v>762</v>
      </c>
      <c r="C370" s="8" t="s">
        <v>369</v>
      </c>
      <c r="D370" s="8" t="s">
        <v>370</v>
      </c>
      <c r="E370" s="6">
        <v>43146</v>
      </c>
      <c r="F370" s="8" t="s">
        <v>237</v>
      </c>
      <c r="G370" s="8" t="s">
        <v>238</v>
      </c>
      <c r="H370" s="4">
        <v>12165.6</v>
      </c>
      <c r="I370" s="8" t="s">
        <v>66</v>
      </c>
      <c r="J370" s="4">
        <v>0</v>
      </c>
      <c r="K370" s="4">
        <v>0</v>
      </c>
      <c r="L370" s="8" t="s">
        <v>117</v>
      </c>
      <c r="M370" s="4">
        <v>0</v>
      </c>
      <c r="N370" s="8" t="s">
        <v>1428</v>
      </c>
      <c r="O370" s="8" t="s">
        <v>763</v>
      </c>
      <c r="P370" s="8" t="s">
        <v>218</v>
      </c>
      <c r="Q370" s="4">
        <v>5637709506</v>
      </c>
    </row>
    <row r="371" spans="1:17">
      <c r="A371" s="8" t="s">
        <v>655</v>
      </c>
      <c r="B371" s="8" t="s">
        <v>768</v>
      </c>
      <c r="C371" s="8" t="s">
        <v>369</v>
      </c>
      <c r="D371" s="8" t="s">
        <v>370</v>
      </c>
      <c r="E371" s="6">
        <v>43151</v>
      </c>
      <c r="F371" s="8" t="s">
        <v>237</v>
      </c>
      <c r="G371" s="8" t="s">
        <v>238</v>
      </c>
      <c r="H371" s="4">
        <v>10138</v>
      </c>
      <c r="I371" s="8" t="s">
        <v>66</v>
      </c>
      <c r="J371" s="4">
        <v>0</v>
      </c>
      <c r="K371" s="4">
        <v>0</v>
      </c>
      <c r="L371" s="8" t="s">
        <v>117</v>
      </c>
      <c r="M371" s="4">
        <v>0</v>
      </c>
      <c r="N371" s="8" t="s">
        <v>1429</v>
      </c>
      <c r="O371" s="8" t="s">
        <v>769</v>
      </c>
      <c r="P371" s="8" t="s">
        <v>218</v>
      </c>
      <c r="Q371" s="4">
        <v>5637713826</v>
      </c>
    </row>
    <row r="372" spans="1:17">
      <c r="A372" s="8" t="s">
        <v>1121</v>
      </c>
      <c r="B372" s="8" t="s">
        <v>774</v>
      </c>
      <c r="C372" s="8" t="s">
        <v>369</v>
      </c>
      <c r="D372" s="8" t="s">
        <v>370</v>
      </c>
      <c r="E372" s="6">
        <v>43151</v>
      </c>
      <c r="F372" s="8" t="s">
        <v>237</v>
      </c>
      <c r="G372" s="8" t="s">
        <v>238</v>
      </c>
      <c r="H372" s="4">
        <v>-2025</v>
      </c>
      <c r="I372" s="8" t="s">
        <v>66</v>
      </c>
      <c r="J372" s="4">
        <v>0</v>
      </c>
      <c r="K372" s="4">
        <v>0</v>
      </c>
      <c r="L372" s="8" t="s">
        <v>117</v>
      </c>
      <c r="M372" s="4">
        <v>0</v>
      </c>
      <c r="N372" s="8" t="s">
        <v>1507</v>
      </c>
      <c r="O372" s="8" t="s">
        <v>1358</v>
      </c>
      <c r="P372" s="8" t="s">
        <v>218</v>
      </c>
      <c r="Q372" s="4">
        <v>5637714587</v>
      </c>
    </row>
    <row r="373" spans="1:17">
      <c r="A373" s="8" t="s">
        <v>655</v>
      </c>
      <c r="B373" s="8" t="s">
        <v>772</v>
      </c>
      <c r="C373" s="8" t="s">
        <v>369</v>
      </c>
      <c r="D373" s="8" t="s">
        <v>370</v>
      </c>
      <c r="E373" s="6">
        <v>43151</v>
      </c>
      <c r="F373" s="8" t="s">
        <v>237</v>
      </c>
      <c r="G373" s="8" t="s">
        <v>238</v>
      </c>
      <c r="H373" s="4">
        <v>2027.6</v>
      </c>
      <c r="I373" s="8" t="s">
        <v>66</v>
      </c>
      <c r="J373" s="4">
        <v>0</v>
      </c>
      <c r="K373" s="4">
        <v>0</v>
      </c>
      <c r="L373" s="8" t="s">
        <v>117</v>
      </c>
      <c r="M373" s="4">
        <v>0</v>
      </c>
      <c r="N373" s="8" t="s">
        <v>1430</v>
      </c>
      <c r="O373" s="8" t="s">
        <v>773</v>
      </c>
      <c r="P373" s="8" t="s">
        <v>218</v>
      </c>
      <c r="Q373" s="4">
        <v>5637714578</v>
      </c>
    </row>
    <row r="374" spans="1:17">
      <c r="A374" s="8" t="s">
        <v>1121</v>
      </c>
      <c r="B374" s="8" t="s">
        <v>770</v>
      </c>
      <c r="C374" s="8" t="s">
        <v>369</v>
      </c>
      <c r="D374" s="8" t="s">
        <v>370</v>
      </c>
      <c r="E374" s="6">
        <v>43151</v>
      </c>
      <c r="F374" s="8" t="s">
        <v>237</v>
      </c>
      <c r="G374" s="8" t="s">
        <v>238</v>
      </c>
      <c r="H374" s="4">
        <v>-10125</v>
      </c>
      <c r="I374" s="8" t="s">
        <v>66</v>
      </c>
      <c r="J374" s="4">
        <v>0</v>
      </c>
      <c r="K374" s="4">
        <v>0</v>
      </c>
      <c r="L374" s="8" t="s">
        <v>117</v>
      </c>
      <c r="M374" s="4">
        <v>0</v>
      </c>
      <c r="N374" s="8" t="s">
        <v>1506</v>
      </c>
      <c r="O374" s="8" t="s">
        <v>1350</v>
      </c>
      <c r="P374" s="8" t="s">
        <v>218</v>
      </c>
      <c r="Q374" s="4">
        <v>5637714085</v>
      </c>
    </row>
    <row r="375" spans="1:17">
      <c r="A375" s="8" t="s">
        <v>1121</v>
      </c>
      <c r="B375" s="8" t="s">
        <v>790</v>
      </c>
      <c r="C375" s="8" t="s">
        <v>369</v>
      </c>
      <c r="D375" s="8" t="s">
        <v>370</v>
      </c>
      <c r="E375" s="6">
        <v>43157</v>
      </c>
      <c r="F375" s="8" t="s">
        <v>237</v>
      </c>
      <c r="G375" s="8" t="s">
        <v>238</v>
      </c>
      <c r="H375" s="4">
        <v>-1000</v>
      </c>
      <c r="I375" s="8" t="s">
        <v>66</v>
      </c>
      <c r="J375" s="4">
        <v>0</v>
      </c>
      <c r="K375" s="4">
        <v>0</v>
      </c>
      <c r="L375" s="8" t="s">
        <v>117</v>
      </c>
      <c r="M375" s="4">
        <v>0</v>
      </c>
      <c r="N375" s="8" t="s">
        <v>1508</v>
      </c>
      <c r="O375" s="8" t="s">
        <v>1386</v>
      </c>
      <c r="P375" s="8" t="s">
        <v>218</v>
      </c>
      <c r="Q375" s="4">
        <v>5637715485</v>
      </c>
    </row>
    <row r="376" spans="1:17">
      <c r="A376" s="8" t="s">
        <v>655</v>
      </c>
      <c r="B376" s="8" t="s">
        <v>788</v>
      </c>
      <c r="C376" s="8" t="s">
        <v>369</v>
      </c>
      <c r="D376" s="8" t="s">
        <v>370</v>
      </c>
      <c r="E376" s="6">
        <v>43157</v>
      </c>
      <c r="F376" s="8" t="s">
        <v>237</v>
      </c>
      <c r="G376" s="8" t="s">
        <v>238</v>
      </c>
      <c r="H376" s="4">
        <v>1013.8</v>
      </c>
      <c r="I376" s="8" t="s">
        <v>66</v>
      </c>
      <c r="J376" s="4">
        <v>0</v>
      </c>
      <c r="K376" s="4">
        <v>0</v>
      </c>
      <c r="L376" s="8" t="s">
        <v>117</v>
      </c>
      <c r="M376" s="4">
        <v>0</v>
      </c>
      <c r="N376" s="8" t="s">
        <v>1431</v>
      </c>
      <c r="O376" s="8" t="s">
        <v>789</v>
      </c>
      <c r="P376" s="8" t="s">
        <v>218</v>
      </c>
      <c r="Q376" s="4">
        <v>5637715476</v>
      </c>
    </row>
    <row r="377" spans="1:17">
      <c r="A377" s="8" t="s">
        <v>122</v>
      </c>
      <c r="B377" s="8" t="s">
        <v>653</v>
      </c>
      <c r="C377" s="8" t="s">
        <v>269</v>
      </c>
      <c r="D377" s="8" t="s">
        <v>374</v>
      </c>
      <c r="E377" s="6">
        <v>43159</v>
      </c>
      <c r="F377" s="8" t="s">
        <v>237</v>
      </c>
      <c r="G377" s="8" t="s">
        <v>238</v>
      </c>
      <c r="H377" s="4">
        <v>-210</v>
      </c>
      <c r="I377" s="8" t="s">
        <v>22</v>
      </c>
      <c r="J377" s="4">
        <v>0</v>
      </c>
      <c r="K377" s="4">
        <v>0</v>
      </c>
      <c r="L377" s="8" t="s">
        <v>117</v>
      </c>
      <c r="M377" s="4">
        <v>0</v>
      </c>
      <c r="N377" s="8" t="s">
        <v>1509</v>
      </c>
      <c r="O377" s="8" t="s">
        <v>654</v>
      </c>
      <c r="P377" s="8" t="s">
        <v>218</v>
      </c>
      <c r="Q377" s="4">
        <v>5637716007</v>
      </c>
    </row>
    <row r="378" spans="1:17">
      <c r="A378" s="8" t="s">
        <v>655</v>
      </c>
      <c r="B378" s="8" t="s">
        <v>796</v>
      </c>
      <c r="C378" s="8" t="s">
        <v>269</v>
      </c>
      <c r="D378" s="8" t="s">
        <v>374</v>
      </c>
      <c r="E378" s="6">
        <v>43159</v>
      </c>
      <c r="F378" s="8" t="s">
        <v>237</v>
      </c>
      <c r="G378" s="8" t="s">
        <v>238</v>
      </c>
      <c r="H378" s="4">
        <v>204</v>
      </c>
      <c r="I378" s="8" t="s">
        <v>22</v>
      </c>
      <c r="J378" s="4">
        <v>0</v>
      </c>
      <c r="K378" s="4">
        <v>0</v>
      </c>
      <c r="L378" s="8" t="s">
        <v>117</v>
      </c>
      <c r="M378" s="4">
        <v>0</v>
      </c>
      <c r="N378" s="8" t="s">
        <v>1510</v>
      </c>
      <c r="O378" s="8" t="s">
        <v>797</v>
      </c>
      <c r="P378" s="8" t="s">
        <v>218</v>
      </c>
      <c r="Q378" s="4">
        <v>5637716191</v>
      </c>
    </row>
    <row r="379" spans="1:17">
      <c r="A379" s="8" t="s">
        <v>1121</v>
      </c>
      <c r="B379" s="8" t="s">
        <v>796</v>
      </c>
      <c r="C379" s="8" t="s">
        <v>375</v>
      </c>
      <c r="D379" s="8" t="s">
        <v>376</v>
      </c>
      <c r="E379" s="6">
        <v>43159</v>
      </c>
      <c r="F379" s="8" t="s">
        <v>237</v>
      </c>
      <c r="G379" s="8" t="s">
        <v>238</v>
      </c>
      <c r="H379" s="4">
        <v>-5100</v>
      </c>
      <c r="I379" s="8" t="s">
        <v>66</v>
      </c>
      <c r="J379" s="4">
        <v>0</v>
      </c>
      <c r="K379" s="4">
        <v>0</v>
      </c>
      <c r="L379" s="8" t="s">
        <v>117</v>
      </c>
      <c r="M379" s="4">
        <v>0</v>
      </c>
      <c r="N379" s="8" t="s">
        <v>1510</v>
      </c>
      <c r="O379" s="8" t="s">
        <v>1395</v>
      </c>
      <c r="P379" s="8" t="s">
        <v>218</v>
      </c>
      <c r="Q379" s="4">
        <v>5637716192</v>
      </c>
    </row>
    <row r="380" spans="1:17">
      <c r="A380" s="8" t="s">
        <v>655</v>
      </c>
      <c r="B380" s="8" t="s">
        <v>794</v>
      </c>
      <c r="C380" s="8" t="s">
        <v>375</v>
      </c>
      <c r="D380" s="8" t="s">
        <v>376</v>
      </c>
      <c r="E380" s="6">
        <v>43159</v>
      </c>
      <c r="F380" s="8" t="s">
        <v>237</v>
      </c>
      <c r="G380" s="8" t="s">
        <v>238</v>
      </c>
      <c r="H380" s="4">
        <v>5100</v>
      </c>
      <c r="I380" s="8" t="s">
        <v>66</v>
      </c>
      <c r="J380" s="4">
        <v>0</v>
      </c>
      <c r="K380" s="4">
        <v>0</v>
      </c>
      <c r="L380" s="8" t="s">
        <v>117</v>
      </c>
      <c r="M380" s="4">
        <v>0</v>
      </c>
      <c r="N380" s="8" t="s">
        <v>1410</v>
      </c>
      <c r="O380" s="8" t="s">
        <v>795</v>
      </c>
      <c r="P380" s="8" t="s">
        <v>218</v>
      </c>
      <c r="Q380" s="4">
        <v>5637716184</v>
      </c>
    </row>
    <row r="381" spans="1:17">
      <c r="A381" s="8" t="s">
        <v>122</v>
      </c>
      <c r="B381" s="8" t="s">
        <v>538</v>
      </c>
      <c r="C381" s="8" t="s">
        <v>272</v>
      </c>
      <c r="D381" s="8" t="s">
        <v>387</v>
      </c>
      <c r="E381" s="6">
        <v>43125</v>
      </c>
      <c r="F381" s="8" t="s">
        <v>237</v>
      </c>
      <c r="G381" s="8" t="s">
        <v>238</v>
      </c>
      <c r="H381" s="4">
        <v>-2</v>
      </c>
      <c r="I381" s="8" t="s">
        <v>22</v>
      </c>
      <c r="J381" s="4">
        <v>0</v>
      </c>
      <c r="K381" s="4">
        <v>0</v>
      </c>
      <c r="L381" s="8" t="s">
        <v>117</v>
      </c>
      <c r="M381" s="4">
        <v>0</v>
      </c>
      <c r="N381" s="8" t="s">
        <v>1511</v>
      </c>
      <c r="O381" s="8" t="s">
        <v>539</v>
      </c>
      <c r="P381" s="8" t="s">
        <v>218</v>
      </c>
      <c r="Q381" s="4">
        <v>5637707308</v>
      </c>
    </row>
    <row r="382" spans="1:17">
      <c r="A382" s="8" t="s">
        <v>122</v>
      </c>
      <c r="B382" s="8" t="s">
        <v>640</v>
      </c>
      <c r="C382" s="8" t="s">
        <v>272</v>
      </c>
      <c r="D382" s="8" t="s">
        <v>387</v>
      </c>
      <c r="E382" s="6">
        <v>43158</v>
      </c>
      <c r="F382" s="8" t="s">
        <v>237</v>
      </c>
      <c r="G382" s="8" t="s">
        <v>238</v>
      </c>
      <c r="H382" s="4">
        <v>-1</v>
      </c>
      <c r="I382" s="8" t="s">
        <v>22</v>
      </c>
      <c r="J382" s="4">
        <v>0</v>
      </c>
      <c r="K382" s="4">
        <v>0</v>
      </c>
      <c r="L382" s="8" t="s">
        <v>117</v>
      </c>
      <c r="M382" s="4">
        <v>0</v>
      </c>
      <c r="N382" s="8" t="s">
        <v>1481</v>
      </c>
      <c r="O382" s="8" t="s">
        <v>642</v>
      </c>
      <c r="P382" s="8" t="s">
        <v>218</v>
      </c>
      <c r="Q382" s="4">
        <v>5637715721</v>
      </c>
    </row>
    <row r="383" spans="1:17">
      <c r="A383" s="8" t="s">
        <v>122</v>
      </c>
      <c r="B383" s="8" t="s">
        <v>623</v>
      </c>
      <c r="C383" s="8" t="s">
        <v>272</v>
      </c>
      <c r="D383" s="8" t="s">
        <v>387</v>
      </c>
      <c r="E383" s="6">
        <v>43158</v>
      </c>
      <c r="F383" s="8" t="s">
        <v>237</v>
      </c>
      <c r="G383" s="8" t="s">
        <v>238</v>
      </c>
      <c r="H383" s="4">
        <v>-6</v>
      </c>
      <c r="I383" s="8" t="s">
        <v>22</v>
      </c>
      <c r="J383" s="4">
        <v>0</v>
      </c>
      <c r="K383" s="4">
        <v>0</v>
      </c>
      <c r="L383" s="8" t="s">
        <v>117</v>
      </c>
      <c r="M383" s="4">
        <v>0</v>
      </c>
      <c r="N383" s="8" t="s">
        <v>1440</v>
      </c>
      <c r="O383" s="8" t="s">
        <v>625</v>
      </c>
      <c r="P383" s="8" t="s">
        <v>218</v>
      </c>
      <c r="Q383" s="4">
        <v>5637715716</v>
      </c>
    </row>
    <row r="384" spans="1:17">
      <c r="A384" s="8" t="s">
        <v>655</v>
      </c>
      <c r="B384" s="8" t="s">
        <v>720</v>
      </c>
      <c r="C384" s="8" t="s">
        <v>273</v>
      </c>
      <c r="D384" s="8" t="s">
        <v>390</v>
      </c>
      <c r="E384" s="6">
        <v>43108</v>
      </c>
      <c r="F384" s="8" t="s">
        <v>237</v>
      </c>
      <c r="G384" s="8" t="s">
        <v>238</v>
      </c>
      <c r="H384" s="4">
        <v>274</v>
      </c>
      <c r="I384" s="8" t="s">
        <v>22</v>
      </c>
      <c r="J384" s="4">
        <v>0</v>
      </c>
      <c r="K384" s="4">
        <v>0</v>
      </c>
      <c r="L384" s="8" t="s">
        <v>117</v>
      </c>
      <c r="M384" s="4">
        <v>0</v>
      </c>
      <c r="N384" s="8" t="s">
        <v>1512</v>
      </c>
      <c r="O384" s="8" t="s">
        <v>721</v>
      </c>
      <c r="P384" s="8" t="s">
        <v>218</v>
      </c>
      <c r="Q384" s="4">
        <v>5637706518</v>
      </c>
    </row>
    <row r="385" spans="1:17">
      <c r="A385" s="8" t="s">
        <v>122</v>
      </c>
      <c r="B385" s="8" t="s">
        <v>544</v>
      </c>
      <c r="C385" s="8" t="s">
        <v>273</v>
      </c>
      <c r="D385" s="8" t="s">
        <v>390</v>
      </c>
      <c r="E385" s="6">
        <v>43125</v>
      </c>
      <c r="F385" s="8" t="s">
        <v>237</v>
      </c>
      <c r="G385" s="8" t="s">
        <v>238</v>
      </c>
      <c r="H385" s="4">
        <v>-280</v>
      </c>
      <c r="I385" s="8" t="s">
        <v>22</v>
      </c>
      <c r="J385" s="4">
        <v>0</v>
      </c>
      <c r="K385" s="4">
        <v>0</v>
      </c>
      <c r="L385" s="8" t="s">
        <v>117</v>
      </c>
      <c r="M385" s="4">
        <v>0</v>
      </c>
      <c r="N385" s="8" t="s">
        <v>1499</v>
      </c>
      <c r="O385" s="8" t="s">
        <v>546</v>
      </c>
      <c r="P385" s="8" t="s">
        <v>218</v>
      </c>
      <c r="Q385" s="4">
        <v>5637707313</v>
      </c>
    </row>
    <row r="386" spans="1:17">
      <c r="A386" s="8" t="s">
        <v>122</v>
      </c>
      <c r="B386" s="8" t="s">
        <v>598</v>
      </c>
      <c r="C386" s="8" t="s">
        <v>273</v>
      </c>
      <c r="D386" s="8" t="s">
        <v>390</v>
      </c>
      <c r="E386" s="6">
        <v>43154</v>
      </c>
      <c r="F386" s="8" t="s">
        <v>237</v>
      </c>
      <c r="G386" s="8" t="s">
        <v>238</v>
      </c>
      <c r="H386" s="4">
        <v>-3</v>
      </c>
      <c r="I386" s="8" t="s">
        <v>22</v>
      </c>
      <c r="J386" s="4">
        <v>0</v>
      </c>
      <c r="K386" s="4">
        <v>0</v>
      </c>
      <c r="L386" s="8" t="s">
        <v>117</v>
      </c>
      <c r="M386" s="4">
        <v>0</v>
      </c>
      <c r="N386" s="8" t="s">
        <v>1445</v>
      </c>
      <c r="O386" s="8" t="s">
        <v>603</v>
      </c>
      <c r="P386" s="8" t="s">
        <v>218</v>
      </c>
      <c r="Q386" s="4">
        <v>5637709451</v>
      </c>
    </row>
    <row r="387" spans="1:17">
      <c r="A387" s="8" t="s">
        <v>122</v>
      </c>
      <c r="B387" s="8" t="s">
        <v>610</v>
      </c>
      <c r="C387" s="8" t="s">
        <v>273</v>
      </c>
      <c r="D387" s="8" t="s">
        <v>390</v>
      </c>
      <c r="E387" s="6">
        <v>43154</v>
      </c>
      <c r="F387" s="8" t="s">
        <v>237</v>
      </c>
      <c r="G387" s="8" t="s">
        <v>238</v>
      </c>
      <c r="H387" s="4">
        <v>-7</v>
      </c>
      <c r="I387" s="8" t="s">
        <v>22</v>
      </c>
      <c r="J387" s="4">
        <v>0</v>
      </c>
      <c r="K387" s="4">
        <v>0</v>
      </c>
      <c r="L387" s="8" t="s">
        <v>117</v>
      </c>
      <c r="M387" s="4">
        <v>0</v>
      </c>
      <c r="N387" s="8" t="s">
        <v>1450</v>
      </c>
      <c r="O387" s="8" t="s">
        <v>612</v>
      </c>
      <c r="P387" s="8" t="s">
        <v>218</v>
      </c>
      <c r="Q387" s="4">
        <v>5637713880</v>
      </c>
    </row>
    <row r="388" spans="1:17">
      <c r="A388" s="8" t="s">
        <v>1121</v>
      </c>
      <c r="B388" s="8" t="s">
        <v>720</v>
      </c>
      <c r="C388" s="8" t="s">
        <v>391</v>
      </c>
      <c r="D388" s="8" t="s">
        <v>392</v>
      </c>
      <c r="E388" s="6">
        <v>43108</v>
      </c>
      <c r="F388" s="8" t="s">
        <v>237</v>
      </c>
      <c r="G388" s="8" t="s">
        <v>238</v>
      </c>
      <c r="H388" s="4">
        <v>-6850</v>
      </c>
      <c r="I388" s="8" t="s">
        <v>66</v>
      </c>
      <c r="J388" s="4">
        <v>0</v>
      </c>
      <c r="K388" s="4">
        <v>0</v>
      </c>
      <c r="L388" s="8" t="s">
        <v>117</v>
      </c>
      <c r="M388" s="4">
        <v>0</v>
      </c>
      <c r="N388" s="8" t="s">
        <v>1512</v>
      </c>
      <c r="O388" s="8" t="s">
        <v>1254</v>
      </c>
      <c r="P388" s="8" t="s">
        <v>218</v>
      </c>
      <c r="Q388" s="4">
        <v>5637706519</v>
      </c>
    </row>
    <row r="389" spans="1:17">
      <c r="A389" s="8" t="s">
        <v>655</v>
      </c>
      <c r="B389" s="8" t="s">
        <v>718</v>
      </c>
      <c r="C389" s="8" t="s">
        <v>391</v>
      </c>
      <c r="D389" s="8" t="s">
        <v>392</v>
      </c>
      <c r="E389" s="6">
        <v>43108</v>
      </c>
      <c r="F389" s="8" t="s">
        <v>237</v>
      </c>
      <c r="G389" s="8" t="s">
        <v>238</v>
      </c>
      <c r="H389" s="4">
        <v>6865.6</v>
      </c>
      <c r="I389" s="8" t="s">
        <v>66</v>
      </c>
      <c r="J389" s="4">
        <v>0</v>
      </c>
      <c r="K389" s="4">
        <v>0</v>
      </c>
      <c r="L389" s="8" t="s">
        <v>117</v>
      </c>
      <c r="M389" s="4">
        <v>0</v>
      </c>
      <c r="N389" s="8" t="s">
        <v>1405</v>
      </c>
      <c r="O389" s="8" t="s">
        <v>719</v>
      </c>
      <c r="P389" s="8" t="s">
        <v>218</v>
      </c>
      <c r="Q389" s="4">
        <v>5637706509</v>
      </c>
    </row>
    <row r="390" spans="1:17">
      <c r="A390" s="8" t="s">
        <v>122</v>
      </c>
      <c r="B390" s="8" t="s">
        <v>509</v>
      </c>
      <c r="C390" s="8" t="s">
        <v>274</v>
      </c>
      <c r="D390" s="8" t="s">
        <v>393</v>
      </c>
      <c r="E390" s="6">
        <v>43110</v>
      </c>
      <c r="F390" s="8" t="s">
        <v>237</v>
      </c>
      <c r="G390" s="8" t="s">
        <v>238</v>
      </c>
      <c r="H390" s="4">
        <v>-40</v>
      </c>
      <c r="I390" s="8" t="s">
        <v>22</v>
      </c>
      <c r="J390" s="4">
        <v>0</v>
      </c>
      <c r="K390" s="4">
        <v>0</v>
      </c>
      <c r="L390" s="8" t="s">
        <v>117</v>
      </c>
      <c r="M390" s="4">
        <v>0</v>
      </c>
      <c r="N390" s="8" t="s">
        <v>1513</v>
      </c>
      <c r="O390" s="8" t="s">
        <v>510</v>
      </c>
      <c r="P390" s="8" t="s">
        <v>218</v>
      </c>
      <c r="Q390" s="4">
        <v>5637707288</v>
      </c>
    </row>
    <row r="391" spans="1:17">
      <c r="A391" s="8" t="s">
        <v>655</v>
      </c>
      <c r="B391" s="8" t="s">
        <v>782</v>
      </c>
      <c r="C391" s="8" t="s">
        <v>274</v>
      </c>
      <c r="D391" s="8" t="s">
        <v>393</v>
      </c>
      <c r="E391" s="6">
        <v>43157</v>
      </c>
      <c r="F391" s="8" t="s">
        <v>237</v>
      </c>
      <c r="G391" s="8" t="s">
        <v>238</v>
      </c>
      <c r="H391" s="4">
        <v>42</v>
      </c>
      <c r="I391" s="8" t="s">
        <v>22</v>
      </c>
      <c r="J391" s="4">
        <v>0</v>
      </c>
      <c r="K391" s="4">
        <v>0</v>
      </c>
      <c r="L391" s="8" t="s">
        <v>117</v>
      </c>
      <c r="M391" s="4">
        <v>0</v>
      </c>
      <c r="N391" s="8" t="s">
        <v>1514</v>
      </c>
      <c r="O391" s="8" t="s">
        <v>783</v>
      </c>
      <c r="P391" s="8" t="s">
        <v>218</v>
      </c>
      <c r="Q391" s="4">
        <v>5637715455</v>
      </c>
    </row>
    <row r="392" spans="1:17">
      <c r="A392" s="8" t="s">
        <v>122</v>
      </c>
      <c r="B392" s="8" t="s">
        <v>638</v>
      </c>
      <c r="C392" s="8" t="s">
        <v>274</v>
      </c>
      <c r="D392" s="8" t="s">
        <v>393</v>
      </c>
      <c r="E392" s="6">
        <v>43158</v>
      </c>
      <c r="F392" s="8" t="s">
        <v>237</v>
      </c>
      <c r="G392" s="8" t="s">
        <v>238</v>
      </c>
      <c r="H392" s="4">
        <v>-40</v>
      </c>
      <c r="I392" s="8" t="s">
        <v>22</v>
      </c>
      <c r="J392" s="4">
        <v>0</v>
      </c>
      <c r="K392" s="4">
        <v>0</v>
      </c>
      <c r="L392" s="8" t="s">
        <v>117</v>
      </c>
      <c r="M392" s="4">
        <v>0</v>
      </c>
      <c r="N392" s="8" t="s">
        <v>1515</v>
      </c>
      <c r="O392" s="8" t="s">
        <v>639</v>
      </c>
      <c r="P392" s="8" t="s">
        <v>218</v>
      </c>
      <c r="Q392" s="4">
        <v>5637715719</v>
      </c>
    </row>
    <row r="393" spans="1:17">
      <c r="A393" s="8" t="s">
        <v>1121</v>
      </c>
      <c r="B393" s="8" t="s">
        <v>782</v>
      </c>
      <c r="C393" s="8" t="s">
        <v>394</v>
      </c>
      <c r="D393" s="8" t="s">
        <v>395</v>
      </c>
      <c r="E393" s="6">
        <v>43157</v>
      </c>
      <c r="F393" s="8" t="s">
        <v>237</v>
      </c>
      <c r="G393" s="8" t="s">
        <v>238</v>
      </c>
      <c r="H393" s="4">
        <v>-1050</v>
      </c>
      <c r="I393" s="8" t="s">
        <v>66</v>
      </c>
      <c r="J393" s="4">
        <v>0</v>
      </c>
      <c r="K393" s="4">
        <v>0</v>
      </c>
      <c r="L393" s="8" t="s">
        <v>117</v>
      </c>
      <c r="M393" s="4">
        <v>0</v>
      </c>
      <c r="N393" s="8" t="s">
        <v>1514</v>
      </c>
      <c r="O393" s="8" t="s">
        <v>1370</v>
      </c>
      <c r="P393" s="8" t="s">
        <v>218</v>
      </c>
      <c r="Q393" s="4">
        <v>5637715456</v>
      </c>
    </row>
    <row r="394" spans="1:17">
      <c r="A394" s="8" t="s">
        <v>655</v>
      </c>
      <c r="B394" s="8" t="s">
        <v>780</v>
      </c>
      <c r="C394" s="8" t="s">
        <v>394</v>
      </c>
      <c r="D394" s="8" t="s">
        <v>395</v>
      </c>
      <c r="E394" s="6">
        <v>43157</v>
      </c>
      <c r="F394" s="8" t="s">
        <v>237</v>
      </c>
      <c r="G394" s="8" t="s">
        <v>238</v>
      </c>
      <c r="H394" s="4">
        <v>1072.7</v>
      </c>
      <c r="I394" s="8" t="s">
        <v>66</v>
      </c>
      <c r="J394" s="4">
        <v>0</v>
      </c>
      <c r="K394" s="4">
        <v>0</v>
      </c>
      <c r="L394" s="8" t="s">
        <v>117</v>
      </c>
      <c r="M394" s="4">
        <v>0</v>
      </c>
      <c r="N394" s="8" t="s">
        <v>1408</v>
      </c>
      <c r="O394" s="8" t="s">
        <v>781</v>
      </c>
      <c r="P394" s="8" t="s">
        <v>218</v>
      </c>
      <c r="Q394" s="4">
        <v>5637715445</v>
      </c>
    </row>
    <row r="395" spans="1:17">
      <c r="A395" s="8" t="s">
        <v>122</v>
      </c>
      <c r="B395" s="8" t="s">
        <v>497</v>
      </c>
      <c r="C395" s="8" t="s">
        <v>277</v>
      </c>
      <c r="D395" s="8" t="s">
        <v>406</v>
      </c>
      <c r="E395" s="6">
        <v>43109</v>
      </c>
      <c r="F395" s="8" t="s">
        <v>237</v>
      </c>
      <c r="G395" s="8" t="s">
        <v>238</v>
      </c>
      <c r="H395" s="4">
        <v>-1</v>
      </c>
      <c r="I395" s="8" t="s">
        <v>22</v>
      </c>
      <c r="J395" s="4">
        <v>0</v>
      </c>
      <c r="K395" s="4">
        <v>0</v>
      </c>
      <c r="L395" s="8" t="s">
        <v>117</v>
      </c>
      <c r="M395" s="4">
        <v>0</v>
      </c>
      <c r="N395" s="8" t="s">
        <v>1497</v>
      </c>
      <c r="O395" s="8" t="s">
        <v>499</v>
      </c>
      <c r="P395" s="8" t="s">
        <v>218</v>
      </c>
      <c r="Q395" s="4">
        <v>5637707277</v>
      </c>
    </row>
    <row r="396" spans="1:17">
      <c r="A396" s="8" t="s">
        <v>122</v>
      </c>
      <c r="B396" s="8" t="s">
        <v>598</v>
      </c>
      <c r="C396" s="8" t="s">
        <v>277</v>
      </c>
      <c r="D396" s="8" t="s">
        <v>406</v>
      </c>
      <c r="E396" s="6">
        <v>43154</v>
      </c>
      <c r="F396" s="8" t="s">
        <v>237</v>
      </c>
      <c r="G396" s="8" t="s">
        <v>238</v>
      </c>
      <c r="H396" s="4">
        <v>-3</v>
      </c>
      <c r="I396" s="8" t="s">
        <v>22</v>
      </c>
      <c r="J396" s="4">
        <v>0</v>
      </c>
      <c r="K396" s="4">
        <v>0</v>
      </c>
      <c r="L396" s="8" t="s">
        <v>117</v>
      </c>
      <c r="M396" s="4">
        <v>0</v>
      </c>
      <c r="N396" s="8" t="s">
        <v>1445</v>
      </c>
      <c r="O396" s="8" t="s">
        <v>604</v>
      </c>
      <c r="P396" s="8" t="s">
        <v>218</v>
      </c>
      <c r="Q396" s="4">
        <v>5637709452</v>
      </c>
    </row>
    <row r="397" spans="1:17">
      <c r="A397" s="8" t="s">
        <v>1121</v>
      </c>
      <c r="B397" s="8" t="s">
        <v>796</v>
      </c>
      <c r="C397" s="8" t="s">
        <v>1044</v>
      </c>
      <c r="D397" s="8" t="s">
        <v>1045</v>
      </c>
      <c r="E397" s="6">
        <v>43159</v>
      </c>
      <c r="F397" s="8" t="s">
        <v>237</v>
      </c>
      <c r="G397" s="8" t="s">
        <v>238</v>
      </c>
      <c r="H397" s="4">
        <v>-204</v>
      </c>
      <c r="I397" s="8" t="s">
        <v>22</v>
      </c>
      <c r="J397" s="4">
        <v>0</v>
      </c>
      <c r="K397" s="4">
        <v>0</v>
      </c>
      <c r="L397" s="8" t="s">
        <v>117</v>
      </c>
      <c r="M397" s="4">
        <v>0</v>
      </c>
      <c r="N397" s="8" t="s">
        <v>1510</v>
      </c>
      <c r="O397" s="8" t="s">
        <v>1396</v>
      </c>
      <c r="P397" s="8" t="s">
        <v>218</v>
      </c>
      <c r="Q397" s="4">
        <v>5637716193</v>
      </c>
    </row>
    <row r="398" spans="1:17">
      <c r="A398" s="8" t="s">
        <v>1121</v>
      </c>
      <c r="B398" s="8" t="s">
        <v>782</v>
      </c>
      <c r="C398" s="8" t="s">
        <v>1047</v>
      </c>
      <c r="D398" s="8" t="s">
        <v>1048</v>
      </c>
      <c r="E398" s="6">
        <v>43157</v>
      </c>
      <c r="F398" s="8" t="s">
        <v>237</v>
      </c>
      <c r="G398" s="8" t="s">
        <v>238</v>
      </c>
      <c r="H398" s="4">
        <v>-42</v>
      </c>
      <c r="I398" s="8" t="s">
        <v>22</v>
      </c>
      <c r="J398" s="4">
        <v>0</v>
      </c>
      <c r="K398" s="4">
        <v>0</v>
      </c>
      <c r="L398" s="8" t="s">
        <v>117</v>
      </c>
      <c r="M398" s="4">
        <v>0</v>
      </c>
      <c r="N398" s="8" t="s">
        <v>1514</v>
      </c>
      <c r="O398" s="8" t="s">
        <v>1371</v>
      </c>
      <c r="P398" s="8" t="s">
        <v>218</v>
      </c>
      <c r="Q398" s="4">
        <v>5637715457</v>
      </c>
    </row>
    <row r="399" spans="1:17">
      <c r="A399" s="8" t="s">
        <v>1121</v>
      </c>
      <c r="B399" s="8" t="s">
        <v>720</v>
      </c>
      <c r="C399" s="8" t="s">
        <v>850</v>
      </c>
      <c r="D399" s="8" t="s">
        <v>851</v>
      </c>
      <c r="E399" s="6">
        <v>43108</v>
      </c>
      <c r="F399" s="8" t="s">
        <v>237</v>
      </c>
      <c r="G399" s="8" t="s">
        <v>238</v>
      </c>
      <c r="H399" s="4">
        <v>-274</v>
      </c>
      <c r="I399" s="8" t="s">
        <v>22</v>
      </c>
      <c r="J399" s="4">
        <v>0</v>
      </c>
      <c r="K399" s="4">
        <v>0</v>
      </c>
      <c r="L399" s="8" t="s">
        <v>117</v>
      </c>
      <c r="M399" s="4">
        <v>0</v>
      </c>
      <c r="N399" s="8" t="s">
        <v>1512</v>
      </c>
      <c r="O399" s="8" t="s">
        <v>1255</v>
      </c>
      <c r="P399" s="8" t="s">
        <v>218</v>
      </c>
      <c r="Q399" s="4">
        <v>5637706520</v>
      </c>
    </row>
    <row r="400" spans="1:17">
      <c r="A400" s="8" t="s">
        <v>15</v>
      </c>
      <c r="B400" s="8" t="s">
        <v>859</v>
      </c>
      <c r="C400" s="8" t="s">
        <v>850</v>
      </c>
      <c r="D400" s="8" t="s">
        <v>851</v>
      </c>
      <c r="E400" s="6">
        <v>43157</v>
      </c>
      <c r="F400" s="8" t="s">
        <v>237</v>
      </c>
      <c r="G400" s="8" t="s">
        <v>238</v>
      </c>
      <c r="H400" s="4">
        <v>-10532</v>
      </c>
      <c r="I400" s="8" t="s">
        <v>22</v>
      </c>
      <c r="J400" s="4">
        <v>0</v>
      </c>
      <c r="K400" s="4">
        <v>0</v>
      </c>
      <c r="L400" s="8" t="s">
        <v>117</v>
      </c>
      <c r="M400" s="4">
        <v>0</v>
      </c>
      <c r="N400" s="8" t="s">
        <v>1516</v>
      </c>
      <c r="O400" s="8" t="s">
        <v>860</v>
      </c>
      <c r="P400" s="8" t="s">
        <v>218</v>
      </c>
      <c r="Q400" s="4">
        <v>5637715492</v>
      </c>
    </row>
    <row r="401" spans="1:17">
      <c r="A401" s="8" t="s">
        <v>15</v>
      </c>
      <c r="B401" s="8" t="s">
        <v>849</v>
      </c>
      <c r="C401" s="8" t="s">
        <v>850</v>
      </c>
      <c r="D401" s="8" t="s">
        <v>851</v>
      </c>
      <c r="E401" s="6">
        <v>43157</v>
      </c>
      <c r="F401" s="8" t="s">
        <v>237</v>
      </c>
      <c r="G401" s="8" t="s">
        <v>238</v>
      </c>
      <c r="H401" s="4">
        <v>10532</v>
      </c>
      <c r="I401" s="8" t="s">
        <v>22</v>
      </c>
      <c r="J401" s="4">
        <v>0</v>
      </c>
      <c r="K401" s="4">
        <v>0</v>
      </c>
      <c r="L401" s="8" t="s">
        <v>117</v>
      </c>
      <c r="M401" s="4">
        <v>0</v>
      </c>
      <c r="N401" s="8" t="s">
        <v>1517</v>
      </c>
      <c r="O401" s="8" t="s">
        <v>852</v>
      </c>
      <c r="P401" s="8" t="s">
        <v>218</v>
      </c>
      <c r="Q401" s="4">
        <v>5637715489</v>
      </c>
    </row>
    <row r="402" spans="1:17">
      <c r="A402" s="8" t="s">
        <v>15</v>
      </c>
      <c r="B402" s="8" t="s">
        <v>863</v>
      </c>
      <c r="C402" s="8" t="s">
        <v>850</v>
      </c>
      <c r="D402" s="8" t="s">
        <v>851</v>
      </c>
      <c r="E402" s="6">
        <v>43157</v>
      </c>
      <c r="F402" s="8" t="s">
        <v>237</v>
      </c>
      <c r="G402" s="8" t="s">
        <v>238</v>
      </c>
      <c r="H402" s="4">
        <v>10532</v>
      </c>
      <c r="I402" s="8" t="s">
        <v>22</v>
      </c>
      <c r="J402" s="4">
        <v>0</v>
      </c>
      <c r="K402" s="4">
        <v>0</v>
      </c>
      <c r="L402" s="8" t="s">
        <v>117</v>
      </c>
      <c r="M402" s="4">
        <v>0</v>
      </c>
      <c r="N402" s="8" t="s">
        <v>1518</v>
      </c>
      <c r="O402" s="8" t="s">
        <v>864</v>
      </c>
      <c r="P402" s="8" t="s">
        <v>218</v>
      </c>
      <c r="Q402" s="4">
        <v>5637715494</v>
      </c>
    </row>
    <row r="403" spans="1:17">
      <c r="A403" s="8" t="s">
        <v>15</v>
      </c>
      <c r="B403" s="8" t="s">
        <v>818</v>
      </c>
      <c r="C403" s="8" t="s">
        <v>819</v>
      </c>
      <c r="D403" s="8" t="s">
        <v>820</v>
      </c>
      <c r="E403" s="6">
        <v>43122</v>
      </c>
      <c r="F403" s="8" t="s">
        <v>237</v>
      </c>
      <c r="G403" s="8" t="s">
        <v>238</v>
      </c>
      <c r="H403" s="4">
        <v>5</v>
      </c>
      <c r="I403" s="8" t="s">
        <v>70</v>
      </c>
      <c r="J403" s="4">
        <v>0</v>
      </c>
      <c r="K403" s="4">
        <v>0</v>
      </c>
      <c r="L403" s="8" t="s">
        <v>117</v>
      </c>
      <c r="M403" s="4">
        <v>0</v>
      </c>
      <c r="N403" s="8" t="s">
        <v>1519</v>
      </c>
      <c r="O403" s="8" t="s">
        <v>821</v>
      </c>
      <c r="P403" s="8" t="s">
        <v>218</v>
      </c>
      <c r="Q403" s="4">
        <v>5637707224</v>
      </c>
    </row>
    <row r="404" spans="1:17">
      <c r="A404" s="8" t="s">
        <v>15</v>
      </c>
      <c r="B404" s="8" t="s">
        <v>833</v>
      </c>
      <c r="C404" s="8" t="s">
        <v>819</v>
      </c>
      <c r="D404" s="8" t="s">
        <v>820</v>
      </c>
      <c r="E404" s="6">
        <v>43123</v>
      </c>
      <c r="F404" s="8" t="s">
        <v>237</v>
      </c>
      <c r="G404" s="8" t="s">
        <v>238</v>
      </c>
      <c r="H404" s="4">
        <v>-5</v>
      </c>
      <c r="I404" s="8" t="s">
        <v>70</v>
      </c>
      <c r="J404" s="4">
        <v>0</v>
      </c>
      <c r="K404" s="4">
        <v>0</v>
      </c>
      <c r="L404" s="8" t="s">
        <v>117</v>
      </c>
      <c r="M404" s="4">
        <v>0</v>
      </c>
      <c r="N404" s="8" t="s">
        <v>1520</v>
      </c>
      <c r="O404" s="8" t="s">
        <v>834</v>
      </c>
      <c r="P404" s="8" t="s">
        <v>218</v>
      </c>
      <c r="Q404" s="4">
        <v>5637707537</v>
      </c>
    </row>
    <row r="405" spans="1:17">
      <c r="A405" s="8" t="s">
        <v>1121</v>
      </c>
      <c r="B405" s="8" t="s">
        <v>692</v>
      </c>
      <c r="C405" s="8" t="s">
        <v>871</v>
      </c>
      <c r="D405" s="8" t="s">
        <v>872</v>
      </c>
      <c r="E405" s="6">
        <v>43108</v>
      </c>
      <c r="F405" s="8" t="s">
        <v>237</v>
      </c>
      <c r="G405" s="8" t="s">
        <v>238</v>
      </c>
      <c r="H405" s="4">
        <v>-164</v>
      </c>
      <c r="I405" s="8" t="s">
        <v>22</v>
      </c>
      <c r="J405" s="4">
        <v>0</v>
      </c>
      <c r="K405" s="4">
        <v>0</v>
      </c>
      <c r="L405" s="8" t="s">
        <v>117</v>
      </c>
      <c r="M405" s="4">
        <v>0</v>
      </c>
      <c r="N405" s="8" t="s">
        <v>1471</v>
      </c>
      <c r="O405" s="8" t="s">
        <v>1200</v>
      </c>
      <c r="P405" s="8" t="s">
        <v>218</v>
      </c>
      <c r="Q405" s="4">
        <v>5637706443</v>
      </c>
    </row>
    <row r="406" spans="1:17">
      <c r="A406" s="8" t="s">
        <v>1121</v>
      </c>
      <c r="B406" s="8" t="s">
        <v>742</v>
      </c>
      <c r="C406" s="8" t="s">
        <v>871</v>
      </c>
      <c r="D406" s="8" t="s">
        <v>872</v>
      </c>
      <c r="E406" s="6">
        <v>43132</v>
      </c>
      <c r="F406" s="8" t="s">
        <v>237</v>
      </c>
      <c r="G406" s="8" t="s">
        <v>238</v>
      </c>
      <c r="H406" s="4">
        <v>-4116</v>
      </c>
      <c r="I406" s="8" t="s">
        <v>22</v>
      </c>
      <c r="J406" s="4">
        <v>0</v>
      </c>
      <c r="K406" s="4">
        <v>0</v>
      </c>
      <c r="L406" s="8" t="s">
        <v>117</v>
      </c>
      <c r="M406" s="4">
        <v>0</v>
      </c>
      <c r="N406" s="8" t="s">
        <v>1407</v>
      </c>
      <c r="O406" s="8" t="s">
        <v>1293</v>
      </c>
      <c r="P406" s="8" t="s">
        <v>218</v>
      </c>
      <c r="Q406" s="4">
        <v>5637707397</v>
      </c>
    </row>
    <row r="407" spans="1:17">
      <c r="A407" s="8" t="s">
        <v>1121</v>
      </c>
      <c r="B407" s="8" t="s">
        <v>760</v>
      </c>
      <c r="C407" s="8" t="s">
        <v>871</v>
      </c>
      <c r="D407" s="8" t="s">
        <v>872</v>
      </c>
      <c r="E407" s="6">
        <v>43145</v>
      </c>
      <c r="F407" s="8" t="s">
        <v>237</v>
      </c>
      <c r="G407" s="8" t="s">
        <v>238</v>
      </c>
      <c r="H407" s="4">
        <v>-164</v>
      </c>
      <c r="I407" s="8" t="s">
        <v>22</v>
      </c>
      <c r="J407" s="4">
        <v>0</v>
      </c>
      <c r="K407" s="4">
        <v>0</v>
      </c>
      <c r="L407" s="8" t="s">
        <v>117</v>
      </c>
      <c r="M407" s="4">
        <v>0</v>
      </c>
      <c r="N407" s="8" t="s">
        <v>1478</v>
      </c>
      <c r="O407" s="8" t="s">
        <v>1334</v>
      </c>
      <c r="P407" s="8" t="s">
        <v>218</v>
      </c>
      <c r="Q407" s="4">
        <v>5637709256</v>
      </c>
    </row>
    <row r="408" spans="1:17">
      <c r="A408" s="8" t="s">
        <v>1121</v>
      </c>
      <c r="B408" s="8" t="s">
        <v>786</v>
      </c>
      <c r="C408" s="8" t="s">
        <v>871</v>
      </c>
      <c r="D408" s="8" t="s">
        <v>872</v>
      </c>
      <c r="E408" s="6">
        <v>43157</v>
      </c>
      <c r="F408" s="8" t="s">
        <v>237</v>
      </c>
      <c r="G408" s="8" t="s">
        <v>238</v>
      </c>
      <c r="H408" s="4">
        <v>-41</v>
      </c>
      <c r="I408" s="8" t="s">
        <v>22</v>
      </c>
      <c r="J408" s="4">
        <v>0</v>
      </c>
      <c r="K408" s="4">
        <v>0</v>
      </c>
      <c r="L408" s="8" t="s">
        <v>117</v>
      </c>
      <c r="M408" s="4">
        <v>0</v>
      </c>
      <c r="N408" s="8" t="s">
        <v>1480</v>
      </c>
      <c r="O408" s="8" t="s">
        <v>1379</v>
      </c>
      <c r="P408" s="8" t="s">
        <v>218</v>
      </c>
      <c r="Q408" s="4">
        <v>5637715468</v>
      </c>
    </row>
    <row r="409" spans="1:17">
      <c r="A409" s="8" t="s">
        <v>15</v>
      </c>
      <c r="B409" s="8" t="s">
        <v>863</v>
      </c>
      <c r="C409" s="8" t="s">
        <v>853</v>
      </c>
      <c r="D409" s="8" t="s">
        <v>854</v>
      </c>
      <c r="E409" s="6">
        <v>43157</v>
      </c>
      <c r="F409" s="8" t="s">
        <v>237</v>
      </c>
      <c r="G409" s="8" t="s">
        <v>238</v>
      </c>
      <c r="H409" s="4">
        <v>10604</v>
      </c>
      <c r="I409" s="8" t="s">
        <v>22</v>
      </c>
      <c r="J409" s="4">
        <v>0</v>
      </c>
      <c r="K409" s="4">
        <v>0</v>
      </c>
      <c r="L409" s="8" t="s">
        <v>117</v>
      </c>
      <c r="M409" s="4">
        <v>0</v>
      </c>
      <c r="N409" s="8" t="s">
        <v>1518</v>
      </c>
      <c r="O409" s="8" t="s">
        <v>865</v>
      </c>
      <c r="P409" s="8" t="s">
        <v>218</v>
      </c>
      <c r="Q409" s="4">
        <v>5637715495</v>
      </c>
    </row>
    <row r="410" spans="1:17">
      <c r="A410" s="8" t="s">
        <v>15</v>
      </c>
      <c r="B410" s="8" t="s">
        <v>849</v>
      </c>
      <c r="C410" s="8" t="s">
        <v>853</v>
      </c>
      <c r="D410" s="8" t="s">
        <v>854</v>
      </c>
      <c r="E410" s="6">
        <v>43157</v>
      </c>
      <c r="F410" s="8" t="s">
        <v>237</v>
      </c>
      <c r="G410" s="8" t="s">
        <v>238</v>
      </c>
      <c r="H410" s="4">
        <v>10604</v>
      </c>
      <c r="I410" s="8" t="s">
        <v>22</v>
      </c>
      <c r="J410" s="4">
        <v>0</v>
      </c>
      <c r="K410" s="4">
        <v>0</v>
      </c>
      <c r="L410" s="8" t="s">
        <v>117</v>
      </c>
      <c r="M410" s="4">
        <v>0</v>
      </c>
      <c r="N410" s="8" t="s">
        <v>1517</v>
      </c>
      <c r="O410" s="8" t="s">
        <v>855</v>
      </c>
      <c r="P410" s="8" t="s">
        <v>218</v>
      </c>
      <c r="Q410" s="4">
        <v>5637715488</v>
      </c>
    </row>
    <row r="411" spans="1:17">
      <c r="A411" s="8" t="s">
        <v>15</v>
      </c>
      <c r="B411" s="8" t="s">
        <v>859</v>
      </c>
      <c r="C411" s="8" t="s">
        <v>853</v>
      </c>
      <c r="D411" s="8" t="s">
        <v>854</v>
      </c>
      <c r="E411" s="6">
        <v>43157</v>
      </c>
      <c r="F411" s="8" t="s">
        <v>237</v>
      </c>
      <c r="G411" s="8" t="s">
        <v>238</v>
      </c>
      <c r="H411" s="4">
        <v>-10604</v>
      </c>
      <c r="I411" s="8" t="s">
        <v>22</v>
      </c>
      <c r="J411" s="4">
        <v>0</v>
      </c>
      <c r="K411" s="4">
        <v>0</v>
      </c>
      <c r="L411" s="8" t="s">
        <v>117</v>
      </c>
      <c r="M411" s="4">
        <v>0</v>
      </c>
      <c r="N411" s="8" t="s">
        <v>1516</v>
      </c>
      <c r="O411" s="8" t="s">
        <v>861</v>
      </c>
      <c r="P411" s="8" t="s">
        <v>218</v>
      </c>
      <c r="Q411" s="4">
        <v>5637715491</v>
      </c>
    </row>
    <row r="412" spans="1:17">
      <c r="A412" s="8" t="s">
        <v>1121</v>
      </c>
      <c r="B412" s="8" t="s">
        <v>706</v>
      </c>
      <c r="C412" s="8" t="s">
        <v>856</v>
      </c>
      <c r="D412" s="8" t="s">
        <v>857</v>
      </c>
      <c r="E412" s="6">
        <v>43108</v>
      </c>
      <c r="F412" s="8" t="s">
        <v>237</v>
      </c>
      <c r="G412" s="8" t="s">
        <v>238</v>
      </c>
      <c r="H412" s="4">
        <v>-162</v>
      </c>
      <c r="I412" s="8" t="s">
        <v>22</v>
      </c>
      <c r="J412" s="4">
        <v>0</v>
      </c>
      <c r="K412" s="4">
        <v>0</v>
      </c>
      <c r="L412" s="8" t="s">
        <v>117</v>
      </c>
      <c r="M412" s="4">
        <v>0</v>
      </c>
      <c r="N412" s="8" t="s">
        <v>1484</v>
      </c>
      <c r="O412" s="8" t="s">
        <v>1224</v>
      </c>
      <c r="P412" s="8" t="s">
        <v>218</v>
      </c>
      <c r="Q412" s="4">
        <v>5637706478</v>
      </c>
    </row>
    <row r="413" spans="1:17">
      <c r="A413" s="8" t="s">
        <v>1121</v>
      </c>
      <c r="B413" s="8" t="s">
        <v>686</v>
      </c>
      <c r="C413" s="8" t="s">
        <v>856</v>
      </c>
      <c r="D413" s="8" t="s">
        <v>857</v>
      </c>
      <c r="E413" s="6">
        <v>43108</v>
      </c>
      <c r="F413" s="8" t="s">
        <v>237</v>
      </c>
      <c r="G413" s="8" t="s">
        <v>238</v>
      </c>
      <c r="H413" s="4">
        <v>-364</v>
      </c>
      <c r="I413" s="8" t="s">
        <v>22</v>
      </c>
      <c r="J413" s="4">
        <v>0</v>
      </c>
      <c r="K413" s="4">
        <v>0</v>
      </c>
      <c r="L413" s="8" t="s">
        <v>117</v>
      </c>
      <c r="M413" s="4">
        <v>0</v>
      </c>
      <c r="N413" s="8" t="s">
        <v>1485</v>
      </c>
      <c r="O413" s="8" t="s">
        <v>1192</v>
      </c>
      <c r="P413" s="8" t="s">
        <v>218</v>
      </c>
      <c r="Q413" s="4">
        <v>5637706433</v>
      </c>
    </row>
    <row r="414" spans="1:17">
      <c r="A414" s="8" t="s">
        <v>1121</v>
      </c>
      <c r="B414" s="8" t="s">
        <v>678</v>
      </c>
      <c r="C414" s="8" t="s">
        <v>856</v>
      </c>
      <c r="D414" s="8" t="s">
        <v>857</v>
      </c>
      <c r="E414" s="6">
        <v>43108</v>
      </c>
      <c r="F414" s="8" t="s">
        <v>237</v>
      </c>
      <c r="G414" s="8" t="s">
        <v>238</v>
      </c>
      <c r="H414" s="4">
        <v>-81</v>
      </c>
      <c r="I414" s="8" t="s">
        <v>22</v>
      </c>
      <c r="J414" s="4">
        <v>0</v>
      </c>
      <c r="K414" s="4">
        <v>0</v>
      </c>
      <c r="L414" s="8" t="s">
        <v>117</v>
      </c>
      <c r="M414" s="4">
        <v>0</v>
      </c>
      <c r="N414" s="8" t="s">
        <v>1486</v>
      </c>
      <c r="O414" s="8" t="s">
        <v>1176</v>
      </c>
      <c r="P414" s="8" t="s">
        <v>218</v>
      </c>
      <c r="Q414" s="4">
        <v>5637706411</v>
      </c>
    </row>
    <row r="415" spans="1:17">
      <c r="A415" s="8" t="s">
        <v>1121</v>
      </c>
      <c r="B415" s="8" t="s">
        <v>682</v>
      </c>
      <c r="C415" s="8" t="s">
        <v>856</v>
      </c>
      <c r="D415" s="8" t="s">
        <v>857</v>
      </c>
      <c r="E415" s="6">
        <v>43108</v>
      </c>
      <c r="F415" s="8" t="s">
        <v>237</v>
      </c>
      <c r="G415" s="8" t="s">
        <v>238</v>
      </c>
      <c r="H415" s="4">
        <v>-121</v>
      </c>
      <c r="I415" s="8" t="s">
        <v>22</v>
      </c>
      <c r="J415" s="4">
        <v>0</v>
      </c>
      <c r="K415" s="4">
        <v>0</v>
      </c>
      <c r="L415" s="8" t="s">
        <v>117</v>
      </c>
      <c r="M415" s="4">
        <v>0</v>
      </c>
      <c r="N415" s="8" t="s">
        <v>1487</v>
      </c>
      <c r="O415" s="8" t="s">
        <v>1184</v>
      </c>
      <c r="P415" s="8" t="s">
        <v>218</v>
      </c>
      <c r="Q415" s="4">
        <v>5637706422</v>
      </c>
    </row>
    <row r="416" spans="1:17">
      <c r="A416" s="8" t="s">
        <v>1121</v>
      </c>
      <c r="B416" s="8" t="s">
        <v>660</v>
      </c>
      <c r="C416" s="8" t="s">
        <v>856</v>
      </c>
      <c r="D416" s="8" t="s">
        <v>857</v>
      </c>
      <c r="E416" s="6">
        <v>43108</v>
      </c>
      <c r="F416" s="8" t="s">
        <v>237</v>
      </c>
      <c r="G416" s="8" t="s">
        <v>238</v>
      </c>
      <c r="H416" s="4">
        <v>-81</v>
      </c>
      <c r="I416" s="8" t="s">
        <v>22</v>
      </c>
      <c r="J416" s="4">
        <v>0</v>
      </c>
      <c r="K416" s="4">
        <v>0</v>
      </c>
      <c r="L416" s="8" t="s">
        <v>117</v>
      </c>
      <c r="M416" s="4">
        <v>0</v>
      </c>
      <c r="N416" s="8" t="s">
        <v>1488</v>
      </c>
      <c r="O416" s="8" t="s">
        <v>1131</v>
      </c>
      <c r="P416" s="8" t="s">
        <v>218</v>
      </c>
      <c r="Q416" s="4">
        <v>5637705086</v>
      </c>
    </row>
    <row r="417" spans="1:17">
      <c r="A417" s="8" t="s">
        <v>1121</v>
      </c>
      <c r="B417" s="8" t="s">
        <v>664</v>
      </c>
      <c r="C417" s="8" t="s">
        <v>856</v>
      </c>
      <c r="D417" s="8" t="s">
        <v>857</v>
      </c>
      <c r="E417" s="6">
        <v>43108</v>
      </c>
      <c r="F417" s="8" t="s">
        <v>237</v>
      </c>
      <c r="G417" s="8" t="s">
        <v>238</v>
      </c>
      <c r="H417" s="4">
        <v>-40</v>
      </c>
      <c r="I417" s="8" t="s">
        <v>22</v>
      </c>
      <c r="J417" s="4">
        <v>0</v>
      </c>
      <c r="K417" s="4">
        <v>0</v>
      </c>
      <c r="L417" s="8" t="s">
        <v>117</v>
      </c>
      <c r="M417" s="4">
        <v>0</v>
      </c>
      <c r="N417" s="8" t="s">
        <v>1489</v>
      </c>
      <c r="O417" s="8" t="s">
        <v>1139</v>
      </c>
      <c r="P417" s="8" t="s">
        <v>218</v>
      </c>
      <c r="Q417" s="4">
        <v>5637706359</v>
      </c>
    </row>
    <row r="418" spans="1:17">
      <c r="A418" s="8" t="s">
        <v>1121</v>
      </c>
      <c r="B418" s="8" t="s">
        <v>668</v>
      </c>
      <c r="C418" s="8" t="s">
        <v>856</v>
      </c>
      <c r="D418" s="8" t="s">
        <v>857</v>
      </c>
      <c r="E418" s="6">
        <v>43108</v>
      </c>
      <c r="F418" s="8" t="s">
        <v>237</v>
      </c>
      <c r="G418" s="8" t="s">
        <v>238</v>
      </c>
      <c r="H418" s="4">
        <v>-76</v>
      </c>
      <c r="I418" s="8" t="s">
        <v>22</v>
      </c>
      <c r="J418" s="4">
        <v>0</v>
      </c>
      <c r="K418" s="4">
        <v>0</v>
      </c>
      <c r="L418" s="8" t="s">
        <v>117</v>
      </c>
      <c r="M418" s="4">
        <v>0</v>
      </c>
      <c r="N418" s="8" t="s">
        <v>1490</v>
      </c>
      <c r="O418" s="8" t="s">
        <v>1147</v>
      </c>
      <c r="P418" s="8" t="s">
        <v>218</v>
      </c>
      <c r="Q418" s="4">
        <v>5637706370</v>
      </c>
    </row>
    <row r="419" spans="1:17">
      <c r="A419" s="8" t="s">
        <v>1121</v>
      </c>
      <c r="B419" s="8" t="s">
        <v>670</v>
      </c>
      <c r="C419" s="8" t="s">
        <v>856</v>
      </c>
      <c r="D419" s="8" t="s">
        <v>857</v>
      </c>
      <c r="E419" s="6">
        <v>43108</v>
      </c>
      <c r="F419" s="8" t="s">
        <v>237</v>
      </c>
      <c r="G419" s="8" t="s">
        <v>238</v>
      </c>
      <c r="H419" s="4">
        <v>-45</v>
      </c>
      <c r="I419" s="8" t="s">
        <v>22</v>
      </c>
      <c r="J419" s="4">
        <v>0</v>
      </c>
      <c r="K419" s="4">
        <v>0</v>
      </c>
      <c r="L419" s="8" t="s">
        <v>117</v>
      </c>
      <c r="M419" s="4">
        <v>0</v>
      </c>
      <c r="N419" s="8" t="s">
        <v>1491</v>
      </c>
      <c r="O419" s="8" t="s">
        <v>1149</v>
      </c>
      <c r="P419" s="8" t="s">
        <v>218</v>
      </c>
      <c r="Q419" s="4">
        <v>5637706375</v>
      </c>
    </row>
    <row r="420" spans="1:17">
      <c r="A420" s="8" t="s">
        <v>1121</v>
      </c>
      <c r="B420" s="8" t="s">
        <v>734</v>
      </c>
      <c r="C420" s="8" t="s">
        <v>856</v>
      </c>
      <c r="D420" s="8" t="s">
        <v>857</v>
      </c>
      <c r="E420" s="6">
        <v>43108</v>
      </c>
      <c r="F420" s="8" t="s">
        <v>237</v>
      </c>
      <c r="G420" s="8" t="s">
        <v>238</v>
      </c>
      <c r="H420" s="4">
        <v>-45</v>
      </c>
      <c r="I420" s="8" t="s">
        <v>22</v>
      </c>
      <c r="J420" s="4">
        <v>0</v>
      </c>
      <c r="K420" s="4">
        <v>0</v>
      </c>
      <c r="L420" s="8" t="s">
        <v>117</v>
      </c>
      <c r="M420" s="4">
        <v>0</v>
      </c>
      <c r="N420" s="8" t="s">
        <v>1448</v>
      </c>
      <c r="O420" s="8" t="s">
        <v>1282</v>
      </c>
      <c r="P420" s="8" t="s">
        <v>218</v>
      </c>
      <c r="Q420" s="4">
        <v>5637707147</v>
      </c>
    </row>
    <row r="421" spans="1:17">
      <c r="A421" s="8" t="s">
        <v>1121</v>
      </c>
      <c r="B421" s="8" t="s">
        <v>724</v>
      </c>
      <c r="C421" s="8" t="s">
        <v>856</v>
      </c>
      <c r="D421" s="8" t="s">
        <v>857</v>
      </c>
      <c r="E421" s="6">
        <v>43108</v>
      </c>
      <c r="F421" s="8" t="s">
        <v>237</v>
      </c>
      <c r="G421" s="8" t="s">
        <v>238</v>
      </c>
      <c r="H421" s="4">
        <v>-81</v>
      </c>
      <c r="I421" s="8" t="s">
        <v>22</v>
      </c>
      <c r="J421" s="4">
        <v>0</v>
      </c>
      <c r="K421" s="4">
        <v>0</v>
      </c>
      <c r="L421" s="8" t="s">
        <v>117</v>
      </c>
      <c r="M421" s="4">
        <v>0</v>
      </c>
      <c r="N421" s="8" t="s">
        <v>1492</v>
      </c>
      <c r="O421" s="8" t="s">
        <v>1263</v>
      </c>
      <c r="P421" s="8" t="s">
        <v>218</v>
      </c>
      <c r="Q421" s="4">
        <v>5637706531</v>
      </c>
    </row>
    <row r="422" spans="1:17">
      <c r="A422" s="8" t="s">
        <v>1121</v>
      </c>
      <c r="B422" s="8" t="s">
        <v>728</v>
      </c>
      <c r="C422" s="8" t="s">
        <v>856</v>
      </c>
      <c r="D422" s="8" t="s">
        <v>857</v>
      </c>
      <c r="E422" s="6">
        <v>43108</v>
      </c>
      <c r="F422" s="8" t="s">
        <v>237</v>
      </c>
      <c r="G422" s="8" t="s">
        <v>238</v>
      </c>
      <c r="H422" s="4">
        <v>-202</v>
      </c>
      <c r="I422" s="8" t="s">
        <v>22</v>
      </c>
      <c r="J422" s="4">
        <v>0</v>
      </c>
      <c r="K422" s="4">
        <v>0</v>
      </c>
      <c r="L422" s="8" t="s">
        <v>117</v>
      </c>
      <c r="M422" s="4">
        <v>0</v>
      </c>
      <c r="N422" s="8" t="s">
        <v>1493</v>
      </c>
      <c r="O422" s="8" t="s">
        <v>1271</v>
      </c>
      <c r="P422" s="8" t="s">
        <v>218</v>
      </c>
      <c r="Q422" s="4">
        <v>5637706542</v>
      </c>
    </row>
    <row r="423" spans="1:17">
      <c r="A423" s="8" t="s">
        <v>1121</v>
      </c>
      <c r="B423" s="8" t="s">
        <v>732</v>
      </c>
      <c r="C423" s="8" t="s">
        <v>856</v>
      </c>
      <c r="D423" s="8" t="s">
        <v>857</v>
      </c>
      <c r="E423" s="6">
        <v>43108</v>
      </c>
      <c r="F423" s="8" t="s">
        <v>237</v>
      </c>
      <c r="G423" s="8" t="s">
        <v>238</v>
      </c>
      <c r="H423" s="4">
        <v>-405</v>
      </c>
      <c r="I423" s="8" t="s">
        <v>22</v>
      </c>
      <c r="J423" s="4">
        <v>0</v>
      </c>
      <c r="K423" s="4">
        <v>0</v>
      </c>
      <c r="L423" s="8" t="s">
        <v>117</v>
      </c>
      <c r="M423" s="4">
        <v>0</v>
      </c>
      <c r="N423" s="8" t="s">
        <v>1494</v>
      </c>
      <c r="O423" s="8" t="s">
        <v>1279</v>
      </c>
      <c r="P423" s="8" t="s">
        <v>218</v>
      </c>
      <c r="Q423" s="4">
        <v>5637706553</v>
      </c>
    </row>
    <row r="424" spans="1:17">
      <c r="A424" s="8" t="s">
        <v>1121</v>
      </c>
      <c r="B424" s="8" t="s">
        <v>716</v>
      </c>
      <c r="C424" s="8" t="s">
        <v>856</v>
      </c>
      <c r="D424" s="8" t="s">
        <v>857</v>
      </c>
      <c r="E424" s="6">
        <v>43108</v>
      </c>
      <c r="F424" s="8" t="s">
        <v>237</v>
      </c>
      <c r="G424" s="8" t="s">
        <v>238</v>
      </c>
      <c r="H424" s="4">
        <v>-81</v>
      </c>
      <c r="I424" s="8" t="s">
        <v>22</v>
      </c>
      <c r="J424" s="4">
        <v>0</v>
      </c>
      <c r="K424" s="4">
        <v>0</v>
      </c>
      <c r="L424" s="8" t="s">
        <v>117</v>
      </c>
      <c r="M424" s="4">
        <v>0</v>
      </c>
      <c r="N424" s="8" t="s">
        <v>1496</v>
      </c>
      <c r="O424" s="8" t="s">
        <v>1246</v>
      </c>
      <c r="P424" s="8" t="s">
        <v>218</v>
      </c>
      <c r="Q424" s="4">
        <v>5637706508</v>
      </c>
    </row>
    <row r="425" spans="1:17">
      <c r="A425" s="8" t="s">
        <v>1121</v>
      </c>
      <c r="B425" s="8" t="s">
        <v>710</v>
      </c>
      <c r="C425" s="8" t="s">
        <v>856</v>
      </c>
      <c r="D425" s="8" t="s">
        <v>857</v>
      </c>
      <c r="E425" s="6">
        <v>43108</v>
      </c>
      <c r="F425" s="8" t="s">
        <v>237</v>
      </c>
      <c r="G425" s="8" t="s">
        <v>238</v>
      </c>
      <c r="H425" s="4">
        <v>-405</v>
      </c>
      <c r="I425" s="8" t="s">
        <v>22</v>
      </c>
      <c r="J425" s="4">
        <v>0</v>
      </c>
      <c r="K425" s="4">
        <v>0</v>
      </c>
      <c r="L425" s="8" t="s">
        <v>117</v>
      </c>
      <c r="M425" s="4">
        <v>0</v>
      </c>
      <c r="N425" s="8" t="s">
        <v>1495</v>
      </c>
      <c r="O425" s="8" t="s">
        <v>1232</v>
      </c>
      <c r="P425" s="8" t="s">
        <v>218</v>
      </c>
      <c r="Q425" s="4">
        <v>5637706489</v>
      </c>
    </row>
    <row r="426" spans="1:17">
      <c r="A426" s="8" t="s">
        <v>1121</v>
      </c>
      <c r="B426" s="8" t="s">
        <v>746</v>
      </c>
      <c r="C426" s="8" t="s">
        <v>856</v>
      </c>
      <c r="D426" s="8" t="s">
        <v>857</v>
      </c>
      <c r="E426" s="6">
        <v>43132</v>
      </c>
      <c r="F426" s="8" t="s">
        <v>237</v>
      </c>
      <c r="G426" s="8" t="s">
        <v>238</v>
      </c>
      <c r="H426" s="4">
        <v>-40</v>
      </c>
      <c r="I426" s="8" t="s">
        <v>22</v>
      </c>
      <c r="J426" s="4">
        <v>0</v>
      </c>
      <c r="K426" s="4">
        <v>0</v>
      </c>
      <c r="L426" s="8" t="s">
        <v>117</v>
      </c>
      <c r="M426" s="4">
        <v>0</v>
      </c>
      <c r="N426" s="8" t="s">
        <v>1500</v>
      </c>
      <c r="O426" s="8" t="s">
        <v>1302</v>
      </c>
      <c r="P426" s="8" t="s">
        <v>218</v>
      </c>
      <c r="Q426" s="4">
        <v>5637707408</v>
      </c>
    </row>
    <row r="427" spans="1:17">
      <c r="A427" s="8" t="s">
        <v>1121</v>
      </c>
      <c r="B427" s="8" t="s">
        <v>758</v>
      </c>
      <c r="C427" s="8" t="s">
        <v>856</v>
      </c>
      <c r="D427" s="8" t="s">
        <v>857</v>
      </c>
      <c r="E427" s="6">
        <v>43145</v>
      </c>
      <c r="F427" s="8" t="s">
        <v>237</v>
      </c>
      <c r="G427" s="8" t="s">
        <v>238</v>
      </c>
      <c r="H427" s="4">
        <v>-405</v>
      </c>
      <c r="I427" s="8" t="s">
        <v>22</v>
      </c>
      <c r="J427" s="4">
        <v>0</v>
      </c>
      <c r="K427" s="4">
        <v>0</v>
      </c>
      <c r="L427" s="8" t="s">
        <v>117</v>
      </c>
      <c r="M427" s="4">
        <v>0</v>
      </c>
      <c r="N427" s="8" t="s">
        <v>1503</v>
      </c>
      <c r="O427" s="8" t="s">
        <v>1332</v>
      </c>
      <c r="P427" s="8" t="s">
        <v>218</v>
      </c>
      <c r="Q427" s="4">
        <v>5637709243</v>
      </c>
    </row>
    <row r="428" spans="1:17">
      <c r="A428" s="8" t="s">
        <v>1121</v>
      </c>
      <c r="B428" s="8" t="s">
        <v>764</v>
      </c>
      <c r="C428" s="8" t="s">
        <v>856</v>
      </c>
      <c r="D428" s="8" t="s">
        <v>857</v>
      </c>
      <c r="E428" s="6">
        <v>43146</v>
      </c>
      <c r="F428" s="8" t="s">
        <v>237</v>
      </c>
      <c r="G428" s="8" t="s">
        <v>238</v>
      </c>
      <c r="H428" s="4">
        <v>-486</v>
      </c>
      <c r="I428" s="8" t="s">
        <v>22</v>
      </c>
      <c r="J428" s="4">
        <v>0</v>
      </c>
      <c r="K428" s="4">
        <v>0</v>
      </c>
      <c r="L428" s="8" t="s">
        <v>117</v>
      </c>
      <c r="M428" s="4">
        <v>0</v>
      </c>
      <c r="N428" s="8" t="s">
        <v>1504</v>
      </c>
      <c r="O428" s="8" t="s">
        <v>1342</v>
      </c>
      <c r="P428" s="8" t="s">
        <v>218</v>
      </c>
      <c r="Q428" s="4">
        <v>5637709516</v>
      </c>
    </row>
    <row r="429" spans="1:17">
      <c r="A429" s="8" t="s">
        <v>1121</v>
      </c>
      <c r="B429" s="8" t="s">
        <v>770</v>
      </c>
      <c r="C429" s="8" t="s">
        <v>856</v>
      </c>
      <c r="D429" s="8" t="s">
        <v>857</v>
      </c>
      <c r="E429" s="6">
        <v>43151</v>
      </c>
      <c r="F429" s="8" t="s">
        <v>237</v>
      </c>
      <c r="G429" s="8" t="s">
        <v>238</v>
      </c>
      <c r="H429" s="4">
        <v>-405</v>
      </c>
      <c r="I429" s="8" t="s">
        <v>22</v>
      </c>
      <c r="J429" s="4">
        <v>0</v>
      </c>
      <c r="K429" s="4">
        <v>0</v>
      </c>
      <c r="L429" s="8" t="s">
        <v>117</v>
      </c>
      <c r="M429" s="4">
        <v>0</v>
      </c>
      <c r="N429" s="8" t="s">
        <v>1506</v>
      </c>
      <c r="O429" s="8" t="s">
        <v>1351</v>
      </c>
      <c r="P429" s="8" t="s">
        <v>218</v>
      </c>
      <c r="Q429" s="4">
        <v>5637714086</v>
      </c>
    </row>
    <row r="430" spans="1:17">
      <c r="A430" s="8" t="s">
        <v>1121</v>
      </c>
      <c r="B430" s="8" t="s">
        <v>774</v>
      </c>
      <c r="C430" s="8" t="s">
        <v>856</v>
      </c>
      <c r="D430" s="8" t="s">
        <v>857</v>
      </c>
      <c r="E430" s="6">
        <v>43151</v>
      </c>
      <c r="F430" s="8" t="s">
        <v>237</v>
      </c>
      <c r="G430" s="8" t="s">
        <v>238</v>
      </c>
      <c r="H430" s="4">
        <v>-81</v>
      </c>
      <c r="I430" s="8" t="s">
        <v>22</v>
      </c>
      <c r="J430" s="4">
        <v>0</v>
      </c>
      <c r="K430" s="4">
        <v>0</v>
      </c>
      <c r="L430" s="8" t="s">
        <v>117</v>
      </c>
      <c r="M430" s="4">
        <v>0</v>
      </c>
      <c r="N430" s="8" t="s">
        <v>1507</v>
      </c>
      <c r="O430" s="8" t="s">
        <v>1359</v>
      </c>
      <c r="P430" s="8" t="s">
        <v>218</v>
      </c>
      <c r="Q430" s="4">
        <v>5637714588</v>
      </c>
    </row>
    <row r="431" spans="1:17">
      <c r="A431" s="8" t="s">
        <v>15</v>
      </c>
      <c r="B431" s="8" t="s">
        <v>849</v>
      </c>
      <c r="C431" s="8" t="s">
        <v>856</v>
      </c>
      <c r="D431" s="8" t="s">
        <v>857</v>
      </c>
      <c r="E431" s="6">
        <v>43157</v>
      </c>
      <c r="F431" s="8" t="s">
        <v>237</v>
      </c>
      <c r="G431" s="8" t="s">
        <v>238</v>
      </c>
      <c r="H431" s="4">
        <v>10420</v>
      </c>
      <c r="I431" s="8" t="s">
        <v>22</v>
      </c>
      <c r="J431" s="4">
        <v>0</v>
      </c>
      <c r="K431" s="4">
        <v>0</v>
      </c>
      <c r="L431" s="8" t="s">
        <v>117</v>
      </c>
      <c r="M431" s="4">
        <v>0</v>
      </c>
      <c r="N431" s="8" t="s">
        <v>1517</v>
      </c>
      <c r="O431" s="8" t="s">
        <v>858</v>
      </c>
      <c r="P431" s="8" t="s">
        <v>218</v>
      </c>
      <c r="Q431" s="4">
        <v>5637715490</v>
      </c>
    </row>
    <row r="432" spans="1:17">
      <c r="A432" s="8" t="s">
        <v>15</v>
      </c>
      <c r="B432" s="8" t="s">
        <v>863</v>
      </c>
      <c r="C432" s="8" t="s">
        <v>856</v>
      </c>
      <c r="D432" s="8" t="s">
        <v>857</v>
      </c>
      <c r="E432" s="6">
        <v>43157</v>
      </c>
      <c r="F432" s="8" t="s">
        <v>237</v>
      </c>
      <c r="G432" s="8" t="s">
        <v>238</v>
      </c>
      <c r="H432" s="4">
        <v>10420</v>
      </c>
      <c r="I432" s="8" t="s">
        <v>22</v>
      </c>
      <c r="J432" s="4">
        <v>0</v>
      </c>
      <c r="K432" s="4">
        <v>0</v>
      </c>
      <c r="L432" s="8" t="s">
        <v>117</v>
      </c>
      <c r="M432" s="4">
        <v>0</v>
      </c>
      <c r="N432" s="8" t="s">
        <v>1518</v>
      </c>
      <c r="O432" s="8" t="s">
        <v>866</v>
      </c>
      <c r="P432" s="8" t="s">
        <v>218</v>
      </c>
      <c r="Q432" s="4">
        <v>5637715496</v>
      </c>
    </row>
    <row r="433" spans="1:17">
      <c r="A433" s="8" t="s">
        <v>15</v>
      </c>
      <c r="B433" s="8" t="s">
        <v>859</v>
      </c>
      <c r="C433" s="8" t="s">
        <v>856</v>
      </c>
      <c r="D433" s="8" t="s">
        <v>857</v>
      </c>
      <c r="E433" s="6">
        <v>43157</v>
      </c>
      <c r="F433" s="8" t="s">
        <v>237</v>
      </c>
      <c r="G433" s="8" t="s">
        <v>238</v>
      </c>
      <c r="H433" s="4">
        <v>-10420</v>
      </c>
      <c r="I433" s="8" t="s">
        <v>22</v>
      </c>
      <c r="J433" s="4">
        <v>0</v>
      </c>
      <c r="K433" s="4">
        <v>0</v>
      </c>
      <c r="L433" s="8" t="s">
        <v>117</v>
      </c>
      <c r="M433" s="4">
        <v>0</v>
      </c>
      <c r="N433" s="8" t="s">
        <v>1516</v>
      </c>
      <c r="O433" s="8" t="s">
        <v>862</v>
      </c>
      <c r="P433" s="8" t="s">
        <v>218</v>
      </c>
      <c r="Q433" s="4">
        <v>5637715493</v>
      </c>
    </row>
    <row r="434" spans="1:17">
      <c r="A434" s="8" t="s">
        <v>1121</v>
      </c>
      <c r="B434" s="8" t="s">
        <v>790</v>
      </c>
      <c r="C434" s="8" t="s">
        <v>856</v>
      </c>
      <c r="D434" s="8" t="s">
        <v>857</v>
      </c>
      <c r="E434" s="6">
        <v>43157</v>
      </c>
      <c r="F434" s="8" t="s">
        <v>237</v>
      </c>
      <c r="G434" s="8" t="s">
        <v>238</v>
      </c>
      <c r="H434" s="4">
        <v>-40</v>
      </c>
      <c r="I434" s="8" t="s">
        <v>22</v>
      </c>
      <c r="J434" s="4">
        <v>0</v>
      </c>
      <c r="K434" s="4">
        <v>0</v>
      </c>
      <c r="L434" s="8" t="s">
        <v>117</v>
      </c>
      <c r="M434" s="4">
        <v>0</v>
      </c>
      <c r="N434" s="8" t="s">
        <v>1508</v>
      </c>
      <c r="O434" s="8" t="s">
        <v>1387</v>
      </c>
      <c r="P434" s="8" t="s">
        <v>218</v>
      </c>
      <c r="Q434" s="4">
        <v>5637715486</v>
      </c>
    </row>
    <row r="435" spans="1:17">
      <c r="A435" s="8" t="s">
        <v>1121</v>
      </c>
      <c r="B435" s="8" t="s">
        <v>702</v>
      </c>
      <c r="C435" s="8" t="s">
        <v>1065</v>
      </c>
      <c r="D435" s="8" t="s">
        <v>1066</v>
      </c>
      <c r="E435" s="6">
        <v>43108</v>
      </c>
      <c r="F435" s="8" t="s">
        <v>237</v>
      </c>
      <c r="G435" s="8" t="s">
        <v>238</v>
      </c>
      <c r="H435" s="4">
        <v>-40</v>
      </c>
      <c r="I435" s="8" t="s">
        <v>22</v>
      </c>
      <c r="J435" s="4">
        <v>0</v>
      </c>
      <c r="K435" s="4">
        <v>0</v>
      </c>
      <c r="L435" s="8" t="s">
        <v>117</v>
      </c>
      <c r="M435" s="4">
        <v>0</v>
      </c>
      <c r="N435" s="8" t="s">
        <v>1482</v>
      </c>
      <c r="O435" s="8" t="s">
        <v>1216</v>
      </c>
      <c r="P435" s="8" t="s">
        <v>218</v>
      </c>
      <c r="Q435" s="4">
        <v>5637706467</v>
      </c>
    </row>
    <row r="436" spans="1:17">
      <c r="A436" s="8" t="s">
        <v>1121</v>
      </c>
      <c r="B436" s="8" t="s">
        <v>694</v>
      </c>
      <c r="C436" s="8" t="s">
        <v>813</v>
      </c>
      <c r="D436" s="8" t="s">
        <v>814</v>
      </c>
      <c r="E436" s="6">
        <v>43108</v>
      </c>
      <c r="F436" s="8" t="s">
        <v>237</v>
      </c>
      <c r="G436" s="8" t="s">
        <v>238</v>
      </c>
      <c r="H436" s="4">
        <v>-10</v>
      </c>
      <c r="I436" s="8" t="s">
        <v>22</v>
      </c>
      <c r="J436" s="4">
        <v>0</v>
      </c>
      <c r="K436" s="4">
        <v>0</v>
      </c>
      <c r="L436" s="8" t="s">
        <v>117</v>
      </c>
      <c r="M436" s="4">
        <v>0</v>
      </c>
      <c r="N436" s="8" t="s">
        <v>1521</v>
      </c>
      <c r="O436" s="8" t="s">
        <v>1201</v>
      </c>
      <c r="P436" s="8" t="s">
        <v>218</v>
      </c>
      <c r="Q436" s="4">
        <v>5637706446</v>
      </c>
    </row>
    <row r="437" spans="1:17">
      <c r="A437" s="8" t="s">
        <v>15</v>
      </c>
      <c r="B437" s="8" t="s">
        <v>812</v>
      </c>
      <c r="C437" s="8" t="s">
        <v>813</v>
      </c>
      <c r="D437" s="8" t="s">
        <v>814</v>
      </c>
      <c r="E437" s="6">
        <v>43131</v>
      </c>
      <c r="F437" s="8" t="s">
        <v>237</v>
      </c>
      <c r="G437" s="8" t="s">
        <v>238</v>
      </c>
      <c r="H437" s="4">
        <v>10</v>
      </c>
      <c r="I437" s="8" t="s">
        <v>22</v>
      </c>
      <c r="J437" s="4">
        <v>0</v>
      </c>
      <c r="K437" s="4">
        <v>0</v>
      </c>
      <c r="L437" s="8" t="s">
        <v>117</v>
      </c>
      <c r="M437" s="4">
        <v>0</v>
      </c>
      <c r="N437" s="8" t="s">
        <v>1522</v>
      </c>
      <c r="O437" s="8" t="s">
        <v>815</v>
      </c>
      <c r="P437" s="8" t="s">
        <v>218</v>
      </c>
      <c r="Q437" s="4">
        <v>5637706554</v>
      </c>
    </row>
    <row r="438" spans="1:17">
      <c r="A438" s="8" t="s">
        <v>15</v>
      </c>
      <c r="B438" s="8" t="s">
        <v>822</v>
      </c>
      <c r="C438" s="8" t="s">
        <v>823</v>
      </c>
      <c r="D438" s="8" t="s">
        <v>824</v>
      </c>
      <c r="E438" s="6">
        <v>43143</v>
      </c>
      <c r="F438" s="8" t="s">
        <v>237</v>
      </c>
      <c r="G438" s="8" t="s">
        <v>238</v>
      </c>
      <c r="H438" s="4">
        <v>1</v>
      </c>
      <c r="I438" s="8" t="s">
        <v>22</v>
      </c>
      <c r="J438" s="4">
        <v>0</v>
      </c>
      <c r="K438" s="4">
        <v>0</v>
      </c>
      <c r="L438" s="8" t="s">
        <v>117</v>
      </c>
      <c r="M438" s="4">
        <v>0</v>
      </c>
      <c r="N438" s="8" t="s">
        <v>1523</v>
      </c>
      <c r="O438" s="8" t="s">
        <v>825</v>
      </c>
      <c r="P438" s="8" t="s">
        <v>218</v>
      </c>
      <c r="Q438" s="4">
        <v>5637707316</v>
      </c>
    </row>
    <row r="439" spans="1:17">
      <c r="A439" s="8" t="s">
        <v>1121</v>
      </c>
      <c r="B439" s="8" t="s">
        <v>748</v>
      </c>
      <c r="C439" s="8" t="s">
        <v>823</v>
      </c>
      <c r="D439" s="8" t="s">
        <v>824</v>
      </c>
      <c r="E439" s="6">
        <v>43146</v>
      </c>
      <c r="F439" s="8" t="s">
        <v>237</v>
      </c>
      <c r="G439" s="8" t="s">
        <v>238</v>
      </c>
      <c r="H439" s="4">
        <v>-10</v>
      </c>
      <c r="I439" s="8" t="s">
        <v>22</v>
      </c>
      <c r="J439" s="4">
        <v>0</v>
      </c>
      <c r="K439" s="4">
        <v>0</v>
      </c>
      <c r="L439" s="8" t="s">
        <v>117</v>
      </c>
      <c r="M439" s="4">
        <v>0</v>
      </c>
      <c r="N439" s="8" t="s">
        <v>1524</v>
      </c>
      <c r="O439" s="8" t="s">
        <v>1303</v>
      </c>
      <c r="P439" s="8" t="s">
        <v>218</v>
      </c>
      <c r="Q439" s="4">
        <v>5637707452</v>
      </c>
    </row>
    <row r="440" spans="1:17">
      <c r="A440" s="8" t="s">
        <v>15</v>
      </c>
      <c r="B440" s="8" t="s">
        <v>842</v>
      </c>
      <c r="C440" s="8" t="s">
        <v>823</v>
      </c>
      <c r="D440" s="8" t="s">
        <v>824</v>
      </c>
      <c r="E440" s="6">
        <v>43151</v>
      </c>
      <c r="F440" s="8" t="s">
        <v>237</v>
      </c>
      <c r="G440" s="8" t="s">
        <v>238</v>
      </c>
      <c r="H440" s="4">
        <v>14</v>
      </c>
      <c r="I440" s="8" t="s">
        <v>22</v>
      </c>
      <c r="J440" s="4">
        <v>0</v>
      </c>
      <c r="K440" s="4">
        <v>0</v>
      </c>
      <c r="L440" s="8" t="s">
        <v>117</v>
      </c>
      <c r="M440" s="4">
        <v>0</v>
      </c>
      <c r="N440" s="8" t="s">
        <v>1525</v>
      </c>
      <c r="O440" s="8" t="s">
        <v>843</v>
      </c>
      <c r="P440" s="8" t="s">
        <v>218</v>
      </c>
      <c r="Q440" s="4">
        <v>5637708834</v>
      </c>
    </row>
    <row r="441" spans="1:17">
      <c r="A441" s="8" t="s">
        <v>1121</v>
      </c>
      <c r="B441" s="8" t="s">
        <v>776</v>
      </c>
      <c r="C441" s="8" t="s">
        <v>823</v>
      </c>
      <c r="D441" s="8" t="s">
        <v>824</v>
      </c>
      <c r="E441" s="6">
        <v>43157</v>
      </c>
      <c r="F441" s="8" t="s">
        <v>237</v>
      </c>
      <c r="G441" s="8" t="s">
        <v>238</v>
      </c>
      <c r="H441" s="4">
        <v>-14</v>
      </c>
      <c r="I441" s="8" t="s">
        <v>22</v>
      </c>
      <c r="J441" s="4">
        <v>0</v>
      </c>
      <c r="K441" s="4">
        <v>0</v>
      </c>
      <c r="L441" s="8" t="s">
        <v>117</v>
      </c>
      <c r="M441" s="4">
        <v>0</v>
      </c>
      <c r="N441" s="8" t="s">
        <v>1526</v>
      </c>
      <c r="O441" s="8" t="s">
        <v>1360</v>
      </c>
      <c r="P441" s="8" t="s">
        <v>218</v>
      </c>
      <c r="Q441" s="4">
        <v>5637715440</v>
      </c>
    </row>
    <row r="442" spans="1:17">
      <c r="A442" s="8" t="s">
        <v>15</v>
      </c>
      <c r="B442" s="8" t="s">
        <v>822</v>
      </c>
      <c r="C442" s="8" t="s">
        <v>826</v>
      </c>
      <c r="D442" s="8" t="s">
        <v>827</v>
      </c>
      <c r="E442" s="6">
        <v>43143</v>
      </c>
      <c r="F442" s="8" t="s">
        <v>237</v>
      </c>
      <c r="G442" s="8" t="s">
        <v>238</v>
      </c>
      <c r="H442" s="4">
        <v>1</v>
      </c>
      <c r="I442" s="8" t="s">
        <v>22</v>
      </c>
      <c r="J442" s="4">
        <v>0</v>
      </c>
      <c r="K442" s="4">
        <v>0</v>
      </c>
      <c r="L442" s="8" t="s">
        <v>117</v>
      </c>
      <c r="M442" s="4">
        <v>0</v>
      </c>
      <c r="N442" s="8" t="s">
        <v>1523</v>
      </c>
      <c r="O442" s="8" t="s">
        <v>828</v>
      </c>
      <c r="P442" s="8" t="s">
        <v>218</v>
      </c>
      <c r="Q442" s="4">
        <v>5637707318</v>
      </c>
    </row>
    <row r="443" spans="1:17">
      <c r="A443" s="8" t="s">
        <v>1121</v>
      </c>
      <c r="B443" s="8" t="s">
        <v>766</v>
      </c>
      <c r="C443" s="8" t="s">
        <v>826</v>
      </c>
      <c r="D443" s="8" t="s">
        <v>827</v>
      </c>
      <c r="E443" s="6">
        <v>43146</v>
      </c>
      <c r="F443" s="8" t="s">
        <v>237</v>
      </c>
      <c r="G443" s="8" t="s">
        <v>238</v>
      </c>
      <c r="H443" s="4">
        <v>-10</v>
      </c>
      <c r="I443" s="8" t="s">
        <v>22</v>
      </c>
      <c r="J443" s="4">
        <v>0</v>
      </c>
      <c r="K443" s="4">
        <v>0</v>
      </c>
      <c r="L443" s="8" t="s">
        <v>117</v>
      </c>
      <c r="M443" s="4">
        <v>0</v>
      </c>
      <c r="N443" s="8" t="s">
        <v>1527</v>
      </c>
      <c r="O443" s="8" t="s">
        <v>1343</v>
      </c>
      <c r="P443" s="8" t="s">
        <v>218</v>
      </c>
      <c r="Q443" s="4">
        <v>5637709555</v>
      </c>
    </row>
    <row r="444" spans="1:17">
      <c r="A444" s="8" t="s">
        <v>15</v>
      </c>
      <c r="B444" s="8" t="s">
        <v>842</v>
      </c>
      <c r="C444" s="8" t="s">
        <v>826</v>
      </c>
      <c r="D444" s="8" t="s">
        <v>827</v>
      </c>
      <c r="E444" s="6">
        <v>43151</v>
      </c>
      <c r="F444" s="8" t="s">
        <v>237</v>
      </c>
      <c r="G444" s="8" t="s">
        <v>238</v>
      </c>
      <c r="H444" s="4">
        <v>20</v>
      </c>
      <c r="I444" s="8" t="s">
        <v>22</v>
      </c>
      <c r="J444" s="4">
        <v>0</v>
      </c>
      <c r="K444" s="4">
        <v>0</v>
      </c>
      <c r="L444" s="8" t="s">
        <v>117</v>
      </c>
      <c r="M444" s="4">
        <v>0</v>
      </c>
      <c r="N444" s="8" t="s">
        <v>1525</v>
      </c>
      <c r="O444" s="8" t="s">
        <v>844</v>
      </c>
      <c r="P444" s="8" t="s">
        <v>218</v>
      </c>
      <c r="Q444" s="4">
        <v>5637708835</v>
      </c>
    </row>
    <row r="445" spans="1:17">
      <c r="A445" s="8" t="s">
        <v>1121</v>
      </c>
      <c r="B445" s="8" t="s">
        <v>778</v>
      </c>
      <c r="C445" s="8" t="s">
        <v>826</v>
      </c>
      <c r="D445" s="8" t="s">
        <v>827</v>
      </c>
      <c r="E445" s="6">
        <v>43157</v>
      </c>
      <c r="F445" s="8" t="s">
        <v>237</v>
      </c>
      <c r="G445" s="8" t="s">
        <v>238</v>
      </c>
      <c r="H445" s="4">
        <v>-20</v>
      </c>
      <c r="I445" s="8" t="s">
        <v>22</v>
      </c>
      <c r="J445" s="4">
        <v>0</v>
      </c>
      <c r="K445" s="4">
        <v>0</v>
      </c>
      <c r="L445" s="8" t="s">
        <v>117</v>
      </c>
      <c r="M445" s="4">
        <v>0</v>
      </c>
      <c r="N445" s="8" t="s">
        <v>1528</v>
      </c>
      <c r="O445" s="8" t="s">
        <v>1361</v>
      </c>
      <c r="P445" s="8" t="s">
        <v>218</v>
      </c>
      <c r="Q445" s="4">
        <v>5637715443</v>
      </c>
    </row>
    <row r="446" spans="1:17">
      <c r="A446" s="8" t="s">
        <v>1121</v>
      </c>
      <c r="B446" s="8" t="s">
        <v>674</v>
      </c>
      <c r="C446" s="8" t="s">
        <v>279</v>
      </c>
      <c r="D446" s="8" t="s">
        <v>420</v>
      </c>
      <c r="E446" s="6">
        <v>43108</v>
      </c>
      <c r="F446" s="8" t="s">
        <v>237</v>
      </c>
      <c r="G446" s="8" t="s">
        <v>238</v>
      </c>
      <c r="H446" s="4">
        <v>-2.8405999999999998</v>
      </c>
      <c r="I446" s="8" t="s">
        <v>66</v>
      </c>
      <c r="J446" s="4">
        <v>0</v>
      </c>
      <c r="K446" s="4">
        <v>0</v>
      </c>
      <c r="L446" s="8" t="s">
        <v>117</v>
      </c>
      <c r="M446" s="4">
        <v>0</v>
      </c>
      <c r="N446" s="8" t="s">
        <v>1398</v>
      </c>
      <c r="O446" s="8" t="s">
        <v>1160</v>
      </c>
      <c r="P446" s="8" t="s">
        <v>218</v>
      </c>
      <c r="Q446" s="4">
        <v>5637706394</v>
      </c>
    </row>
    <row r="447" spans="1:17">
      <c r="A447" s="8" t="s">
        <v>1121</v>
      </c>
      <c r="B447" s="8" t="s">
        <v>752</v>
      </c>
      <c r="C447" s="8" t="s">
        <v>279</v>
      </c>
      <c r="D447" s="8" t="s">
        <v>420</v>
      </c>
      <c r="E447" s="6">
        <v>43140</v>
      </c>
      <c r="F447" s="8" t="s">
        <v>237</v>
      </c>
      <c r="G447" s="8" t="s">
        <v>238</v>
      </c>
      <c r="H447" s="4">
        <v>-10.062200000000001</v>
      </c>
      <c r="I447" s="8" t="s">
        <v>66</v>
      </c>
      <c r="J447" s="4">
        <v>0</v>
      </c>
      <c r="K447" s="4">
        <v>0</v>
      </c>
      <c r="L447" s="8" t="s">
        <v>117</v>
      </c>
      <c r="M447" s="4">
        <v>0</v>
      </c>
      <c r="N447" s="8" t="s">
        <v>1399</v>
      </c>
      <c r="O447" s="8" t="s">
        <v>1310</v>
      </c>
      <c r="P447" s="8" t="s">
        <v>218</v>
      </c>
      <c r="Q447" s="4">
        <v>5637708344</v>
      </c>
    </row>
    <row r="448" spans="1:17">
      <c r="A448" s="8" t="s">
        <v>1121</v>
      </c>
      <c r="B448" s="8" t="s">
        <v>674</v>
      </c>
      <c r="C448" s="8" t="s">
        <v>280</v>
      </c>
      <c r="D448" s="8" t="s">
        <v>423</v>
      </c>
      <c r="E448" s="6">
        <v>43108</v>
      </c>
      <c r="F448" s="8" t="s">
        <v>237</v>
      </c>
      <c r="G448" s="8" t="s">
        <v>238</v>
      </c>
      <c r="H448" s="4">
        <v>-0.27600000000000002</v>
      </c>
      <c r="I448" s="8" t="s">
        <v>66</v>
      </c>
      <c r="J448" s="4">
        <v>0</v>
      </c>
      <c r="K448" s="4">
        <v>0</v>
      </c>
      <c r="L448" s="8" t="s">
        <v>117</v>
      </c>
      <c r="M448" s="4">
        <v>0</v>
      </c>
      <c r="N448" s="8" t="s">
        <v>1398</v>
      </c>
      <c r="O448" s="8" t="s">
        <v>1161</v>
      </c>
      <c r="P448" s="8" t="s">
        <v>218</v>
      </c>
      <c r="Q448" s="4">
        <v>5637706393</v>
      </c>
    </row>
    <row r="449" spans="1:17">
      <c r="A449" s="8" t="s">
        <v>1121</v>
      </c>
      <c r="B449" s="8" t="s">
        <v>752</v>
      </c>
      <c r="C449" s="8" t="s">
        <v>280</v>
      </c>
      <c r="D449" s="8" t="s">
        <v>423</v>
      </c>
      <c r="E449" s="6">
        <v>43140</v>
      </c>
      <c r="F449" s="8" t="s">
        <v>237</v>
      </c>
      <c r="G449" s="8" t="s">
        <v>238</v>
      </c>
      <c r="H449" s="4">
        <v>-0.9778</v>
      </c>
      <c r="I449" s="8" t="s">
        <v>66</v>
      </c>
      <c r="J449" s="4">
        <v>0</v>
      </c>
      <c r="K449" s="4">
        <v>0</v>
      </c>
      <c r="L449" s="8" t="s">
        <v>117</v>
      </c>
      <c r="M449" s="4">
        <v>0</v>
      </c>
      <c r="N449" s="8" t="s">
        <v>1399</v>
      </c>
      <c r="O449" s="8" t="s">
        <v>1311</v>
      </c>
      <c r="P449" s="8" t="s">
        <v>218</v>
      </c>
      <c r="Q449" s="4">
        <v>5637708343</v>
      </c>
    </row>
    <row r="450" spans="1:17">
      <c r="A450" s="8" t="s">
        <v>655</v>
      </c>
      <c r="B450" s="8" t="s">
        <v>694</v>
      </c>
      <c r="C450" s="8" t="s">
        <v>522</v>
      </c>
      <c r="D450" s="8" t="s">
        <v>523</v>
      </c>
      <c r="E450" s="6">
        <v>43108</v>
      </c>
      <c r="F450" s="8" t="s">
        <v>237</v>
      </c>
      <c r="G450" s="8" t="s">
        <v>238</v>
      </c>
      <c r="H450" s="4">
        <v>10</v>
      </c>
      <c r="I450" s="8" t="s">
        <v>22</v>
      </c>
      <c r="J450" s="4">
        <v>0</v>
      </c>
      <c r="K450" s="4">
        <v>0</v>
      </c>
      <c r="L450" s="8" t="s">
        <v>117</v>
      </c>
      <c r="M450" s="4">
        <v>0</v>
      </c>
      <c r="N450" s="8" t="s">
        <v>1521</v>
      </c>
      <c r="O450" s="8" t="s">
        <v>695</v>
      </c>
      <c r="P450" s="8" t="s">
        <v>218</v>
      </c>
      <c r="Q450" s="4">
        <v>5637706445</v>
      </c>
    </row>
    <row r="451" spans="1:17">
      <c r="A451" s="8" t="s">
        <v>122</v>
      </c>
      <c r="B451" s="8" t="s">
        <v>513</v>
      </c>
      <c r="C451" s="8" t="s">
        <v>522</v>
      </c>
      <c r="D451" s="8" t="s">
        <v>523</v>
      </c>
      <c r="E451" s="6">
        <v>43118</v>
      </c>
      <c r="F451" s="8" t="s">
        <v>237</v>
      </c>
      <c r="G451" s="8" t="s">
        <v>238</v>
      </c>
      <c r="H451" s="4">
        <v>-5</v>
      </c>
      <c r="I451" s="8" t="s">
        <v>22</v>
      </c>
      <c r="J451" s="4">
        <v>0</v>
      </c>
      <c r="K451" s="4">
        <v>0</v>
      </c>
      <c r="L451" s="8" t="s">
        <v>117</v>
      </c>
      <c r="M451" s="4">
        <v>0</v>
      </c>
      <c r="N451" s="8" t="s">
        <v>1446</v>
      </c>
      <c r="O451" s="8" t="s">
        <v>524</v>
      </c>
      <c r="P451" s="8" t="s">
        <v>218</v>
      </c>
      <c r="Q451" s="4">
        <v>5637707292</v>
      </c>
    </row>
    <row r="452" spans="1:17">
      <c r="A452" s="8" t="s">
        <v>122</v>
      </c>
      <c r="B452" s="8" t="s">
        <v>623</v>
      </c>
      <c r="C452" s="8" t="s">
        <v>626</v>
      </c>
      <c r="D452" s="8" t="s">
        <v>627</v>
      </c>
      <c r="E452" s="6">
        <v>43158</v>
      </c>
      <c r="F452" s="8" t="s">
        <v>237</v>
      </c>
      <c r="G452" s="8" t="s">
        <v>238</v>
      </c>
      <c r="H452" s="4">
        <v>-40</v>
      </c>
      <c r="I452" s="8" t="s">
        <v>22</v>
      </c>
      <c r="J452" s="4">
        <v>0</v>
      </c>
      <c r="K452" s="4">
        <v>0</v>
      </c>
      <c r="L452" s="8" t="s">
        <v>117</v>
      </c>
      <c r="M452" s="4">
        <v>0</v>
      </c>
      <c r="N452" s="8" t="s">
        <v>1440</v>
      </c>
      <c r="O452" s="8" t="s">
        <v>628</v>
      </c>
      <c r="P452" s="8" t="s">
        <v>218</v>
      </c>
      <c r="Q452" s="4">
        <v>5637715717</v>
      </c>
    </row>
    <row r="453" spans="1:17">
      <c r="A453" s="8" t="s">
        <v>655</v>
      </c>
      <c r="B453" s="8" t="s">
        <v>696</v>
      </c>
      <c r="C453" s="8" t="s">
        <v>429</v>
      </c>
      <c r="D453" s="8" t="s">
        <v>430</v>
      </c>
      <c r="E453" s="6">
        <v>43108</v>
      </c>
      <c r="F453" s="8" t="s">
        <v>237</v>
      </c>
      <c r="G453" s="8" t="s">
        <v>238</v>
      </c>
      <c r="H453" s="4">
        <v>5</v>
      </c>
      <c r="I453" s="8" t="s">
        <v>22</v>
      </c>
      <c r="J453" s="4">
        <v>0</v>
      </c>
      <c r="K453" s="4">
        <v>0</v>
      </c>
      <c r="L453" s="8" t="s">
        <v>117</v>
      </c>
      <c r="M453" s="4">
        <v>0</v>
      </c>
      <c r="N453" s="8" t="s">
        <v>1435</v>
      </c>
      <c r="O453" s="8" t="s">
        <v>697</v>
      </c>
      <c r="P453" s="8" t="s">
        <v>218</v>
      </c>
      <c r="Q453" s="4">
        <v>5637706448</v>
      </c>
    </row>
    <row r="454" spans="1:17">
      <c r="A454" s="8" t="s">
        <v>655</v>
      </c>
      <c r="B454" s="8" t="s">
        <v>674</v>
      </c>
      <c r="C454" s="8" t="s">
        <v>437</v>
      </c>
      <c r="D454" s="8" t="s">
        <v>438</v>
      </c>
      <c r="E454" s="6">
        <v>43108</v>
      </c>
      <c r="F454" s="8" t="s">
        <v>237</v>
      </c>
      <c r="G454" s="8" t="s">
        <v>238</v>
      </c>
      <c r="H454" s="4">
        <v>10</v>
      </c>
      <c r="I454" s="8" t="s">
        <v>22</v>
      </c>
      <c r="J454" s="4">
        <v>0</v>
      </c>
      <c r="K454" s="4">
        <v>0</v>
      </c>
      <c r="L454" s="8" t="s">
        <v>117</v>
      </c>
      <c r="M454" s="4">
        <v>0</v>
      </c>
      <c r="N454" s="8" t="s">
        <v>1398</v>
      </c>
      <c r="O454" s="8" t="s">
        <v>675</v>
      </c>
      <c r="P454" s="8" t="s">
        <v>218</v>
      </c>
      <c r="Q454" s="4">
        <v>5637706387</v>
      </c>
    </row>
    <row r="455" spans="1:17">
      <c r="A455" s="8" t="s">
        <v>122</v>
      </c>
      <c r="B455" s="8" t="s">
        <v>538</v>
      </c>
      <c r="C455" s="8" t="s">
        <v>284</v>
      </c>
      <c r="D455" s="8" t="s">
        <v>446</v>
      </c>
      <c r="E455" s="6">
        <v>43125</v>
      </c>
      <c r="F455" s="8" t="s">
        <v>237</v>
      </c>
      <c r="G455" s="8" t="s">
        <v>238</v>
      </c>
      <c r="H455" s="4">
        <v>-1</v>
      </c>
      <c r="I455" s="8" t="s">
        <v>22</v>
      </c>
      <c r="J455" s="4">
        <v>0</v>
      </c>
      <c r="K455" s="4">
        <v>0</v>
      </c>
      <c r="L455" s="8" t="s">
        <v>117</v>
      </c>
      <c r="M455" s="4">
        <v>0</v>
      </c>
      <c r="N455" s="8" t="s">
        <v>1511</v>
      </c>
      <c r="O455" s="8" t="s">
        <v>540</v>
      </c>
      <c r="P455" s="8" t="s">
        <v>218</v>
      </c>
      <c r="Q455" s="4">
        <v>5637707309</v>
      </c>
    </row>
    <row r="456" spans="1:17">
      <c r="A456" s="8" t="s">
        <v>122</v>
      </c>
      <c r="B456" s="8" t="s">
        <v>490</v>
      </c>
      <c r="C456" s="8" t="s">
        <v>285</v>
      </c>
      <c r="D456" s="8" t="s">
        <v>451</v>
      </c>
      <c r="E456" s="6">
        <v>43102</v>
      </c>
      <c r="F456" s="8" t="s">
        <v>237</v>
      </c>
      <c r="G456" s="8" t="s">
        <v>238</v>
      </c>
      <c r="H456" s="4">
        <v>-8</v>
      </c>
      <c r="I456" s="8" t="s">
        <v>22</v>
      </c>
      <c r="J456" s="4">
        <v>0</v>
      </c>
      <c r="K456" s="4">
        <v>0</v>
      </c>
      <c r="L456" s="8" t="s">
        <v>117</v>
      </c>
      <c r="M456" s="4">
        <v>0</v>
      </c>
      <c r="N456" s="8" t="s">
        <v>1436</v>
      </c>
      <c r="O456" s="8" t="s">
        <v>493</v>
      </c>
      <c r="P456" s="8" t="s">
        <v>218</v>
      </c>
      <c r="Q456" s="4">
        <v>5637707267</v>
      </c>
    </row>
    <row r="457" spans="1:17">
      <c r="A457" s="8" t="s">
        <v>655</v>
      </c>
      <c r="B457" s="8" t="s">
        <v>752</v>
      </c>
      <c r="C457" s="8" t="s">
        <v>285</v>
      </c>
      <c r="D457" s="8" t="s">
        <v>451</v>
      </c>
      <c r="E457" s="6">
        <v>43140</v>
      </c>
      <c r="F457" s="8" t="s">
        <v>237</v>
      </c>
      <c r="G457" s="8" t="s">
        <v>238</v>
      </c>
      <c r="H457" s="4">
        <v>37</v>
      </c>
      <c r="I457" s="8" t="s">
        <v>22</v>
      </c>
      <c r="J457" s="4">
        <v>0</v>
      </c>
      <c r="K457" s="4">
        <v>0</v>
      </c>
      <c r="L457" s="8" t="s">
        <v>117</v>
      </c>
      <c r="M457" s="4">
        <v>0</v>
      </c>
      <c r="N457" s="8" t="s">
        <v>1399</v>
      </c>
      <c r="O457" s="8" t="s">
        <v>753</v>
      </c>
      <c r="P457" s="8" t="s">
        <v>218</v>
      </c>
      <c r="Q457" s="4">
        <v>5637708337</v>
      </c>
    </row>
    <row r="458" spans="1:17">
      <c r="A458" s="8" t="s">
        <v>122</v>
      </c>
      <c r="B458" s="8" t="s">
        <v>591</v>
      </c>
      <c r="C458" s="8" t="s">
        <v>285</v>
      </c>
      <c r="D458" s="8" t="s">
        <v>451</v>
      </c>
      <c r="E458" s="6">
        <v>43147</v>
      </c>
      <c r="F458" s="8" t="s">
        <v>237</v>
      </c>
      <c r="G458" s="8" t="s">
        <v>238</v>
      </c>
      <c r="H458" s="4">
        <v>-1</v>
      </c>
      <c r="I458" s="8" t="s">
        <v>22</v>
      </c>
      <c r="J458" s="4">
        <v>0</v>
      </c>
      <c r="K458" s="4">
        <v>0</v>
      </c>
      <c r="L458" s="8" t="s">
        <v>117</v>
      </c>
      <c r="M458" s="4">
        <v>0</v>
      </c>
      <c r="N458" s="8" t="s">
        <v>1449</v>
      </c>
      <c r="O458" s="8" t="s">
        <v>594</v>
      </c>
      <c r="P458" s="8" t="s">
        <v>218</v>
      </c>
      <c r="Q458" s="4">
        <v>5637709053</v>
      </c>
    </row>
    <row r="459" spans="1:17">
      <c r="A459" s="8" t="s">
        <v>122</v>
      </c>
      <c r="B459" s="8" t="s">
        <v>577</v>
      </c>
      <c r="C459" s="8" t="s">
        <v>285</v>
      </c>
      <c r="D459" s="8" t="s">
        <v>451</v>
      </c>
      <c r="E459" s="6">
        <v>43154</v>
      </c>
      <c r="F459" s="8" t="s">
        <v>237</v>
      </c>
      <c r="G459" s="8" t="s">
        <v>238</v>
      </c>
      <c r="H459" s="4">
        <v>-10</v>
      </c>
      <c r="I459" s="8" t="s">
        <v>22</v>
      </c>
      <c r="J459" s="4">
        <v>0</v>
      </c>
      <c r="K459" s="4">
        <v>0</v>
      </c>
      <c r="L459" s="8" t="s">
        <v>117</v>
      </c>
      <c r="M459" s="4">
        <v>0</v>
      </c>
      <c r="N459" s="8" t="s">
        <v>1439</v>
      </c>
      <c r="O459" s="8" t="s">
        <v>580</v>
      </c>
      <c r="P459" s="8" t="s">
        <v>218</v>
      </c>
      <c r="Q459" s="4">
        <v>5637707539</v>
      </c>
    </row>
    <row r="460" spans="1:17">
      <c r="A460" s="8" t="s">
        <v>122</v>
      </c>
      <c r="B460" s="8" t="s">
        <v>584</v>
      </c>
      <c r="C460" s="8" t="s">
        <v>285</v>
      </c>
      <c r="D460" s="8" t="s">
        <v>451</v>
      </c>
      <c r="E460" s="6">
        <v>43154</v>
      </c>
      <c r="F460" s="8" t="s">
        <v>237</v>
      </c>
      <c r="G460" s="8" t="s">
        <v>238</v>
      </c>
      <c r="H460" s="4">
        <v>-5</v>
      </c>
      <c r="I460" s="8" t="s">
        <v>22</v>
      </c>
      <c r="J460" s="4">
        <v>0</v>
      </c>
      <c r="K460" s="4">
        <v>0</v>
      </c>
      <c r="L460" s="8" t="s">
        <v>117</v>
      </c>
      <c r="M460" s="4">
        <v>0</v>
      </c>
      <c r="N460" s="8" t="s">
        <v>1458</v>
      </c>
      <c r="O460" s="8" t="s">
        <v>587</v>
      </c>
      <c r="P460" s="8" t="s">
        <v>218</v>
      </c>
      <c r="Q460" s="4">
        <v>5637707773</v>
      </c>
    </row>
    <row r="461" spans="1:17">
      <c r="A461" s="8" t="s">
        <v>1121</v>
      </c>
      <c r="B461" s="8" t="s">
        <v>674</v>
      </c>
      <c r="C461" s="8" t="s">
        <v>286</v>
      </c>
      <c r="D461" s="8" t="s">
        <v>456</v>
      </c>
      <c r="E461" s="6">
        <v>43108</v>
      </c>
      <c r="F461" s="8" t="s">
        <v>237</v>
      </c>
      <c r="G461" s="8" t="s">
        <v>238</v>
      </c>
      <c r="H461" s="4">
        <v>-8.9047000000000018</v>
      </c>
      <c r="I461" s="8" t="s">
        <v>66</v>
      </c>
      <c r="J461" s="4">
        <v>0</v>
      </c>
      <c r="K461" s="4">
        <v>0</v>
      </c>
      <c r="L461" s="8" t="s">
        <v>117</v>
      </c>
      <c r="M461" s="4">
        <v>0</v>
      </c>
      <c r="N461" s="8" t="s">
        <v>1398</v>
      </c>
      <c r="O461" s="8" t="s">
        <v>1162</v>
      </c>
      <c r="P461" s="8" t="s">
        <v>218</v>
      </c>
      <c r="Q461" s="4">
        <v>5637706388</v>
      </c>
    </row>
    <row r="462" spans="1:17">
      <c r="A462" s="8" t="s">
        <v>1121</v>
      </c>
      <c r="B462" s="8" t="s">
        <v>696</v>
      </c>
      <c r="C462" s="8" t="s">
        <v>286</v>
      </c>
      <c r="D462" s="8" t="s">
        <v>456</v>
      </c>
      <c r="E462" s="6">
        <v>43108</v>
      </c>
      <c r="F462" s="8" t="s">
        <v>237</v>
      </c>
      <c r="G462" s="8" t="s">
        <v>238</v>
      </c>
      <c r="H462" s="4">
        <v>-1.61</v>
      </c>
      <c r="I462" s="8" t="s">
        <v>66</v>
      </c>
      <c r="J462" s="4">
        <v>0</v>
      </c>
      <c r="K462" s="4">
        <v>0</v>
      </c>
      <c r="L462" s="8" t="s">
        <v>117</v>
      </c>
      <c r="M462" s="4">
        <v>0</v>
      </c>
      <c r="N462" s="8" t="s">
        <v>1435</v>
      </c>
      <c r="O462" s="8" t="s">
        <v>1206</v>
      </c>
      <c r="P462" s="8" t="s">
        <v>218</v>
      </c>
      <c r="Q462" s="4">
        <v>5637706449</v>
      </c>
    </row>
    <row r="463" spans="1:17">
      <c r="A463" s="8" t="s">
        <v>1121</v>
      </c>
      <c r="B463" s="8" t="s">
        <v>752</v>
      </c>
      <c r="C463" s="8" t="s">
        <v>286</v>
      </c>
      <c r="D463" s="8" t="s">
        <v>456</v>
      </c>
      <c r="E463" s="6">
        <v>43140</v>
      </c>
      <c r="F463" s="8" t="s">
        <v>237</v>
      </c>
      <c r="G463" s="8" t="s">
        <v>238</v>
      </c>
      <c r="H463" s="4">
        <v>-31.543099999999999</v>
      </c>
      <c r="I463" s="8" t="s">
        <v>66</v>
      </c>
      <c r="J463" s="4">
        <v>0</v>
      </c>
      <c r="K463" s="4">
        <v>0</v>
      </c>
      <c r="L463" s="8" t="s">
        <v>117</v>
      </c>
      <c r="M463" s="4">
        <v>0</v>
      </c>
      <c r="N463" s="8" t="s">
        <v>1399</v>
      </c>
      <c r="O463" s="8" t="s">
        <v>1312</v>
      </c>
      <c r="P463" s="8" t="s">
        <v>218</v>
      </c>
      <c r="Q463" s="4">
        <v>5637708338</v>
      </c>
    </row>
    <row r="464" spans="1:17">
      <c r="A464" s="8" t="s">
        <v>1121</v>
      </c>
      <c r="B464" s="8" t="s">
        <v>696</v>
      </c>
      <c r="C464" s="8" t="s">
        <v>287</v>
      </c>
      <c r="D464" s="8" t="s">
        <v>457</v>
      </c>
      <c r="E464" s="6">
        <v>43108</v>
      </c>
      <c r="F464" s="8" t="s">
        <v>237</v>
      </c>
      <c r="G464" s="8" t="s">
        <v>238</v>
      </c>
      <c r="H464" s="4">
        <v>-0.34499999999999997</v>
      </c>
      <c r="I464" s="8" t="s">
        <v>66</v>
      </c>
      <c r="J464" s="4">
        <v>0</v>
      </c>
      <c r="K464" s="4">
        <v>0</v>
      </c>
      <c r="L464" s="8" t="s">
        <v>117</v>
      </c>
      <c r="M464" s="4">
        <v>0</v>
      </c>
      <c r="N464" s="8" t="s">
        <v>1435</v>
      </c>
      <c r="O464" s="8" t="s">
        <v>1207</v>
      </c>
      <c r="P464" s="8" t="s">
        <v>218</v>
      </c>
      <c r="Q464" s="4">
        <v>5637706450</v>
      </c>
    </row>
    <row r="465" spans="1:17">
      <c r="A465" s="8" t="s">
        <v>1121</v>
      </c>
      <c r="B465" s="8" t="s">
        <v>674</v>
      </c>
      <c r="C465" s="8" t="s">
        <v>287</v>
      </c>
      <c r="D465" s="8" t="s">
        <v>457</v>
      </c>
      <c r="E465" s="6">
        <v>43108</v>
      </c>
      <c r="F465" s="8" t="s">
        <v>237</v>
      </c>
      <c r="G465" s="8" t="s">
        <v>238</v>
      </c>
      <c r="H465" s="4">
        <v>-10.685699999999999</v>
      </c>
      <c r="I465" s="8" t="s">
        <v>66</v>
      </c>
      <c r="J465" s="4">
        <v>0</v>
      </c>
      <c r="K465" s="4">
        <v>0</v>
      </c>
      <c r="L465" s="8" t="s">
        <v>117</v>
      </c>
      <c r="M465" s="4">
        <v>0</v>
      </c>
      <c r="N465" s="8" t="s">
        <v>1398</v>
      </c>
      <c r="O465" s="8" t="s">
        <v>1163</v>
      </c>
      <c r="P465" s="8" t="s">
        <v>218</v>
      </c>
      <c r="Q465" s="4">
        <v>5637706389</v>
      </c>
    </row>
    <row r="466" spans="1:17">
      <c r="A466" s="8" t="s">
        <v>1121</v>
      </c>
      <c r="B466" s="8" t="s">
        <v>752</v>
      </c>
      <c r="C466" s="8" t="s">
        <v>287</v>
      </c>
      <c r="D466" s="8" t="s">
        <v>457</v>
      </c>
      <c r="E466" s="6">
        <v>43140</v>
      </c>
      <c r="F466" s="8" t="s">
        <v>237</v>
      </c>
      <c r="G466" s="8" t="s">
        <v>238</v>
      </c>
      <c r="H466" s="4">
        <v>-37.851700000000001</v>
      </c>
      <c r="I466" s="8" t="s">
        <v>66</v>
      </c>
      <c r="J466" s="4">
        <v>0</v>
      </c>
      <c r="K466" s="4">
        <v>0</v>
      </c>
      <c r="L466" s="8" t="s">
        <v>117</v>
      </c>
      <c r="M466" s="4">
        <v>0</v>
      </c>
      <c r="N466" s="8" t="s">
        <v>1399</v>
      </c>
      <c r="O466" s="8" t="s">
        <v>1313</v>
      </c>
      <c r="P466" s="8" t="s">
        <v>218</v>
      </c>
      <c r="Q466" s="4">
        <v>5637708339</v>
      </c>
    </row>
    <row r="467" spans="1:17">
      <c r="A467" s="8" t="s">
        <v>122</v>
      </c>
      <c r="B467" s="8" t="s">
        <v>490</v>
      </c>
      <c r="C467" s="8" t="s">
        <v>494</v>
      </c>
      <c r="D467" s="8" t="s">
        <v>495</v>
      </c>
      <c r="E467" s="6">
        <v>43102</v>
      </c>
      <c r="F467" s="8" t="s">
        <v>237</v>
      </c>
      <c r="G467" s="8" t="s">
        <v>238</v>
      </c>
      <c r="H467" s="4">
        <v>-1</v>
      </c>
      <c r="I467" s="8" t="s">
        <v>22</v>
      </c>
      <c r="J467" s="4">
        <v>0</v>
      </c>
      <c r="K467" s="4">
        <v>0</v>
      </c>
      <c r="L467" s="8" t="s">
        <v>117</v>
      </c>
      <c r="M467" s="4">
        <v>0</v>
      </c>
      <c r="N467" s="8" t="s">
        <v>1436</v>
      </c>
      <c r="O467" s="8" t="s">
        <v>496</v>
      </c>
      <c r="P467" s="8" t="s">
        <v>218</v>
      </c>
      <c r="Q467" s="4">
        <v>5637707269</v>
      </c>
    </row>
    <row r="468" spans="1:17">
      <c r="A468" s="8" t="s">
        <v>655</v>
      </c>
      <c r="B468" s="8" t="s">
        <v>740</v>
      </c>
      <c r="C468" s="8" t="s">
        <v>494</v>
      </c>
      <c r="D468" s="8" t="s">
        <v>495</v>
      </c>
      <c r="E468" s="6">
        <v>43115</v>
      </c>
      <c r="F468" s="8" t="s">
        <v>237</v>
      </c>
      <c r="G468" s="8" t="s">
        <v>238</v>
      </c>
      <c r="H468" s="4">
        <v>25</v>
      </c>
      <c r="I468" s="8" t="s">
        <v>22</v>
      </c>
      <c r="J468" s="4">
        <v>0</v>
      </c>
      <c r="K468" s="4">
        <v>0</v>
      </c>
      <c r="L468" s="8" t="s">
        <v>117</v>
      </c>
      <c r="M468" s="4">
        <v>0</v>
      </c>
      <c r="N468" s="8" t="s">
        <v>1529</v>
      </c>
      <c r="O468" s="8" t="s">
        <v>741</v>
      </c>
      <c r="P468" s="8" t="s">
        <v>218</v>
      </c>
      <c r="Q468" s="4">
        <v>5637707285</v>
      </c>
    </row>
    <row r="469" spans="1:17">
      <c r="A469" s="8" t="s">
        <v>122</v>
      </c>
      <c r="B469" s="8" t="s">
        <v>571</v>
      </c>
      <c r="C469" s="8" t="s">
        <v>494</v>
      </c>
      <c r="D469" s="8" t="s">
        <v>495</v>
      </c>
      <c r="E469" s="6">
        <v>43151</v>
      </c>
      <c r="F469" s="8" t="s">
        <v>237</v>
      </c>
      <c r="G469" s="8" t="s">
        <v>238</v>
      </c>
      <c r="H469" s="4">
        <v>-3</v>
      </c>
      <c r="I469" s="8" t="s">
        <v>22</v>
      </c>
      <c r="J469" s="4">
        <v>0</v>
      </c>
      <c r="K469" s="4">
        <v>0</v>
      </c>
      <c r="L469" s="8" t="s">
        <v>117</v>
      </c>
      <c r="M469" s="4">
        <v>0</v>
      </c>
      <c r="N469" s="8" t="s">
        <v>1463</v>
      </c>
      <c r="O469" s="8" t="s">
        <v>574</v>
      </c>
      <c r="P469" s="8" t="s">
        <v>218</v>
      </c>
      <c r="Q469" s="4">
        <v>5637707512</v>
      </c>
    </row>
    <row r="470" spans="1:17">
      <c r="A470" s="8" t="s">
        <v>122</v>
      </c>
      <c r="B470" s="8" t="s">
        <v>584</v>
      </c>
      <c r="C470" s="8" t="s">
        <v>494</v>
      </c>
      <c r="D470" s="8" t="s">
        <v>495</v>
      </c>
      <c r="E470" s="6">
        <v>43154</v>
      </c>
      <c r="F470" s="8" t="s">
        <v>237</v>
      </c>
      <c r="G470" s="8" t="s">
        <v>238</v>
      </c>
      <c r="H470" s="4">
        <v>-1</v>
      </c>
      <c r="I470" s="8" t="s">
        <v>22</v>
      </c>
      <c r="J470" s="4">
        <v>0</v>
      </c>
      <c r="K470" s="4">
        <v>0</v>
      </c>
      <c r="L470" s="8" t="s">
        <v>117</v>
      </c>
      <c r="M470" s="4">
        <v>0</v>
      </c>
      <c r="N470" s="8" t="s">
        <v>1458</v>
      </c>
      <c r="O470" s="8" t="s">
        <v>588</v>
      </c>
      <c r="P470" s="8" t="s">
        <v>218</v>
      </c>
      <c r="Q470" s="4">
        <v>5637707766</v>
      </c>
    </row>
    <row r="471" spans="1:17">
      <c r="A471" s="8" t="s">
        <v>122</v>
      </c>
      <c r="B471" s="8" t="s">
        <v>577</v>
      </c>
      <c r="C471" s="8" t="s">
        <v>494</v>
      </c>
      <c r="D471" s="8" t="s">
        <v>495</v>
      </c>
      <c r="E471" s="6">
        <v>43154</v>
      </c>
      <c r="F471" s="8" t="s">
        <v>237</v>
      </c>
      <c r="G471" s="8" t="s">
        <v>238</v>
      </c>
      <c r="H471" s="4">
        <v>-2</v>
      </c>
      <c r="I471" s="8" t="s">
        <v>22</v>
      </c>
      <c r="J471" s="4">
        <v>0</v>
      </c>
      <c r="K471" s="4">
        <v>0</v>
      </c>
      <c r="L471" s="8" t="s">
        <v>117</v>
      </c>
      <c r="M471" s="4">
        <v>0</v>
      </c>
      <c r="N471" s="8" t="s">
        <v>1439</v>
      </c>
      <c r="O471" s="8" t="s">
        <v>581</v>
      </c>
      <c r="P471" s="8" t="s">
        <v>218</v>
      </c>
      <c r="Q471" s="4">
        <v>5637707540</v>
      </c>
    </row>
    <row r="472" spans="1:17">
      <c r="A472" s="8" t="s">
        <v>1121</v>
      </c>
      <c r="B472" s="8" t="s">
        <v>696</v>
      </c>
      <c r="C472" s="8" t="s">
        <v>1081</v>
      </c>
      <c r="D472" s="8" t="s">
        <v>1082</v>
      </c>
      <c r="E472" s="6">
        <v>43108</v>
      </c>
      <c r="F472" s="8" t="s">
        <v>237</v>
      </c>
      <c r="G472" s="8" t="s">
        <v>238</v>
      </c>
      <c r="H472" s="4">
        <v>-5</v>
      </c>
      <c r="I472" s="8" t="s">
        <v>22</v>
      </c>
      <c r="J472" s="4">
        <v>0</v>
      </c>
      <c r="K472" s="4">
        <v>0</v>
      </c>
      <c r="L472" s="8" t="s">
        <v>117</v>
      </c>
      <c r="M472" s="4">
        <v>0</v>
      </c>
      <c r="N472" s="8" t="s">
        <v>1435</v>
      </c>
      <c r="O472" s="8" t="s">
        <v>1208</v>
      </c>
      <c r="P472" s="8" t="s">
        <v>218</v>
      </c>
      <c r="Q472" s="4">
        <v>5637706458</v>
      </c>
    </row>
    <row r="473" spans="1:17">
      <c r="A473" s="8" t="s">
        <v>1121</v>
      </c>
      <c r="B473" s="8" t="s">
        <v>696</v>
      </c>
      <c r="C473" s="8" t="s">
        <v>500</v>
      </c>
      <c r="D473" s="8" t="s">
        <v>501</v>
      </c>
      <c r="E473" s="6">
        <v>43108</v>
      </c>
      <c r="F473" s="8" t="s">
        <v>237</v>
      </c>
      <c r="G473" s="8" t="s">
        <v>238</v>
      </c>
      <c r="H473" s="4">
        <v>-5</v>
      </c>
      <c r="I473" s="8" t="s">
        <v>22</v>
      </c>
      <c r="J473" s="4">
        <v>0</v>
      </c>
      <c r="K473" s="4">
        <v>0</v>
      </c>
      <c r="L473" s="8" t="s">
        <v>117</v>
      </c>
      <c r="M473" s="4">
        <v>0</v>
      </c>
      <c r="N473" s="8" t="s">
        <v>1435</v>
      </c>
      <c r="O473" s="8" t="s">
        <v>1209</v>
      </c>
      <c r="P473" s="8" t="s">
        <v>218</v>
      </c>
      <c r="Q473" s="4">
        <v>5637706457</v>
      </c>
    </row>
    <row r="474" spans="1:17">
      <c r="A474" s="8" t="s">
        <v>1121</v>
      </c>
      <c r="B474" s="8" t="s">
        <v>674</v>
      </c>
      <c r="C474" s="8" t="s">
        <v>500</v>
      </c>
      <c r="D474" s="8" t="s">
        <v>501</v>
      </c>
      <c r="E474" s="6">
        <v>43108</v>
      </c>
      <c r="F474" s="8" t="s">
        <v>237</v>
      </c>
      <c r="G474" s="8" t="s">
        <v>238</v>
      </c>
      <c r="H474" s="4">
        <v>-10</v>
      </c>
      <c r="I474" s="8" t="s">
        <v>22</v>
      </c>
      <c r="J474" s="4">
        <v>0</v>
      </c>
      <c r="K474" s="4">
        <v>0</v>
      </c>
      <c r="L474" s="8" t="s">
        <v>117</v>
      </c>
      <c r="M474" s="4">
        <v>0</v>
      </c>
      <c r="N474" s="8" t="s">
        <v>1398</v>
      </c>
      <c r="O474" s="8" t="s">
        <v>1164</v>
      </c>
      <c r="P474" s="8" t="s">
        <v>218</v>
      </c>
      <c r="Q474" s="4">
        <v>5637706400</v>
      </c>
    </row>
    <row r="475" spans="1:17">
      <c r="A475" s="8" t="s">
        <v>122</v>
      </c>
      <c r="B475" s="8" t="s">
        <v>497</v>
      </c>
      <c r="C475" s="8" t="s">
        <v>500</v>
      </c>
      <c r="D475" s="8" t="s">
        <v>501</v>
      </c>
      <c r="E475" s="6">
        <v>43109</v>
      </c>
      <c r="F475" s="8" t="s">
        <v>237</v>
      </c>
      <c r="G475" s="8" t="s">
        <v>238</v>
      </c>
      <c r="H475" s="4">
        <v>-2</v>
      </c>
      <c r="I475" s="8" t="s">
        <v>22</v>
      </c>
      <c r="J475" s="4">
        <v>0</v>
      </c>
      <c r="K475" s="4">
        <v>0</v>
      </c>
      <c r="L475" s="8" t="s">
        <v>117</v>
      </c>
      <c r="M475" s="4">
        <v>0</v>
      </c>
      <c r="N475" s="8" t="s">
        <v>1497</v>
      </c>
      <c r="O475" s="8" t="s">
        <v>502</v>
      </c>
      <c r="P475" s="8" t="s">
        <v>218</v>
      </c>
      <c r="Q475" s="4">
        <v>5637707278</v>
      </c>
    </row>
    <row r="476" spans="1:17">
      <c r="A476" s="8" t="s">
        <v>1121</v>
      </c>
      <c r="B476" s="8" t="s">
        <v>752</v>
      </c>
      <c r="C476" s="8" t="s">
        <v>500</v>
      </c>
      <c r="D476" s="8" t="s">
        <v>501</v>
      </c>
      <c r="E476" s="6">
        <v>43140</v>
      </c>
      <c r="F476" s="8" t="s">
        <v>237</v>
      </c>
      <c r="G476" s="8" t="s">
        <v>238</v>
      </c>
      <c r="H476" s="4">
        <v>-37</v>
      </c>
      <c r="I476" s="8" t="s">
        <v>22</v>
      </c>
      <c r="J476" s="4">
        <v>0</v>
      </c>
      <c r="K476" s="4">
        <v>0</v>
      </c>
      <c r="L476" s="8" t="s">
        <v>117</v>
      </c>
      <c r="M476" s="4">
        <v>0</v>
      </c>
      <c r="N476" s="8" t="s">
        <v>1399</v>
      </c>
      <c r="O476" s="8" t="s">
        <v>1314</v>
      </c>
      <c r="P476" s="8" t="s">
        <v>218</v>
      </c>
      <c r="Q476" s="4">
        <v>5637708351</v>
      </c>
    </row>
    <row r="477" spans="1:17">
      <c r="A477" s="8" t="s">
        <v>1121</v>
      </c>
      <c r="B477" s="8" t="s">
        <v>674</v>
      </c>
      <c r="C477" s="8" t="s">
        <v>1085</v>
      </c>
      <c r="D477" s="8" t="s">
        <v>1086</v>
      </c>
      <c r="E477" s="6">
        <v>43108</v>
      </c>
      <c r="F477" s="8" t="s">
        <v>237</v>
      </c>
      <c r="G477" s="8" t="s">
        <v>238</v>
      </c>
      <c r="H477" s="4">
        <v>-10</v>
      </c>
      <c r="I477" s="8" t="s">
        <v>22</v>
      </c>
      <c r="J477" s="4">
        <v>0</v>
      </c>
      <c r="K477" s="4">
        <v>0</v>
      </c>
      <c r="L477" s="8" t="s">
        <v>117</v>
      </c>
      <c r="M477" s="4">
        <v>0</v>
      </c>
      <c r="N477" s="8" t="s">
        <v>1398</v>
      </c>
      <c r="O477" s="8" t="s">
        <v>1165</v>
      </c>
      <c r="P477" s="8" t="s">
        <v>218</v>
      </c>
      <c r="Q477" s="4">
        <v>5637706399</v>
      </c>
    </row>
    <row r="478" spans="1:17">
      <c r="A478" s="8" t="s">
        <v>1121</v>
      </c>
      <c r="B478" s="8" t="s">
        <v>752</v>
      </c>
      <c r="C478" s="8" t="s">
        <v>1085</v>
      </c>
      <c r="D478" s="8" t="s">
        <v>1086</v>
      </c>
      <c r="E478" s="6">
        <v>43140</v>
      </c>
      <c r="F478" s="8" t="s">
        <v>237</v>
      </c>
      <c r="G478" s="8" t="s">
        <v>238</v>
      </c>
      <c r="H478" s="4">
        <v>-37</v>
      </c>
      <c r="I478" s="8" t="s">
        <v>22</v>
      </c>
      <c r="J478" s="4">
        <v>0</v>
      </c>
      <c r="K478" s="4">
        <v>0</v>
      </c>
      <c r="L478" s="8" t="s">
        <v>117</v>
      </c>
      <c r="M478" s="4">
        <v>0</v>
      </c>
      <c r="N478" s="8" t="s">
        <v>1399</v>
      </c>
      <c r="O478" s="8" t="s">
        <v>1315</v>
      </c>
      <c r="P478" s="8" t="s">
        <v>218</v>
      </c>
      <c r="Q478" s="4">
        <v>5637708350</v>
      </c>
    </row>
    <row r="479" spans="1:17">
      <c r="A479" s="8" t="s">
        <v>1121</v>
      </c>
      <c r="B479" s="8" t="s">
        <v>738</v>
      </c>
      <c r="C479" s="8" t="s">
        <v>1094</v>
      </c>
      <c r="D479" s="8" t="s">
        <v>1095</v>
      </c>
      <c r="E479" s="6">
        <v>43115</v>
      </c>
      <c r="F479" s="8" t="s">
        <v>237</v>
      </c>
      <c r="G479" s="8" t="s">
        <v>238</v>
      </c>
      <c r="H479" s="4">
        <v>-1</v>
      </c>
      <c r="I479" s="8" t="s">
        <v>22</v>
      </c>
      <c r="J479" s="4">
        <v>0</v>
      </c>
      <c r="K479" s="4">
        <v>0</v>
      </c>
      <c r="L479" s="8" t="s">
        <v>117</v>
      </c>
      <c r="M479" s="4">
        <v>0</v>
      </c>
      <c r="N479" s="8" t="s">
        <v>1437</v>
      </c>
      <c r="O479" s="8" t="s">
        <v>1285</v>
      </c>
      <c r="P479" s="8" t="s">
        <v>218</v>
      </c>
      <c r="Q479" s="4">
        <v>5637707275</v>
      </c>
    </row>
    <row r="480" spans="1:17">
      <c r="A480" s="8" t="s">
        <v>122</v>
      </c>
      <c r="B480" s="8" t="s">
        <v>623</v>
      </c>
      <c r="C480" s="8" t="s">
        <v>629</v>
      </c>
      <c r="D480" s="8" t="s">
        <v>630</v>
      </c>
      <c r="E480" s="6">
        <v>43158</v>
      </c>
      <c r="F480" s="8" t="s">
        <v>237</v>
      </c>
      <c r="G480" s="8" t="s">
        <v>238</v>
      </c>
      <c r="H480" s="4">
        <v>-4</v>
      </c>
      <c r="I480" s="8" t="s">
        <v>22</v>
      </c>
      <c r="J480" s="4">
        <v>0</v>
      </c>
      <c r="K480" s="4">
        <v>0</v>
      </c>
      <c r="L480" s="8" t="s">
        <v>117</v>
      </c>
      <c r="M480" s="4">
        <v>0</v>
      </c>
      <c r="N480" s="8" t="s">
        <v>1440</v>
      </c>
      <c r="O480" s="8" t="s">
        <v>631</v>
      </c>
      <c r="P480" s="8" t="s">
        <v>218</v>
      </c>
      <c r="Q480" s="4">
        <v>5637715718</v>
      </c>
    </row>
    <row r="481" spans="1:17">
      <c r="A481" s="8" t="s">
        <v>1121</v>
      </c>
      <c r="B481" s="8" t="s">
        <v>792</v>
      </c>
      <c r="C481" s="8" t="s">
        <v>629</v>
      </c>
      <c r="D481" s="8" t="s">
        <v>630</v>
      </c>
      <c r="E481" s="6">
        <v>43158</v>
      </c>
      <c r="F481" s="8" t="s">
        <v>237</v>
      </c>
      <c r="G481" s="8" t="s">
        <v>238</v>
      </c>
      <c r="H481" s="4">
        <v>-2</v>
      </c>
      <c r="I481" s="8" t="s">
        <v>22</v>
      </c>
      <c r="J481" s="4">
        <v>0</v>
      </c>
      <c r="K481" s="4">
        <v>0</v>
      </c>
      <c r="L481" s="8" t="s">
        <v>117</v>
      </c>
      <c r="M481" s="4">
        <v>0</v>
      </c>
      <c r="N481" s="8" t="s">
        <v>1441</v>
      </c>
      <c r="O481" s="8" t="s">
        <v>1388</v>
      </c>
      <c r="P481" s="8" t="s">
        <v>218</v>
      </c>
      <c r="Q481" s="4">
        <v>5637715566</v>
      </c>
    </row>
    <row r="482" spans="1:17">
      <c r="A482" s="8" t="s">
        <v>655</v>
      </c>
      <c r="B482" s="8" t="s">
        <v>748</v>
      </c>
      <c r="C482" s="8" t="s">
        <v>632</v>
      </c>
      <c r="D482" s="8" t="s">
        <v>633</v>
      </c>
      <c r="E482" s="6">
        <v>43146</v>
      </c>
      <c r="F482" s="8" t="s">
        <v>237</v>
      </c>
      <c r="G482" s="8" t="s">
        <v>238</v>
      </c>
      <c r="H482" s="4">
        <v>1</v>
      </c>
      <c r="I482" s="8" t="s">
        <v>22</v>
      </c>
      <c r="J482" s="4">
        <v>0</v>
      </c>
      <c r="K482" s="4">
        <v>0</v>
      </c>
      <c r="L482" s="8" t="s">
        <v>117</v>
      </c>
      <c r="M482" s="4">
        <v>0</v>
      </c>
      <c r="N482" s="8" t="s">
        <v>1524</v>
      </c>
      <c r="O482" s="8" t="s">
        <v>749</v>
      </c>
      <c r="P482" s="8" t="s">
        <v>218</v>
      </c>
      <c r="Q482" s="4">
        <v>5637707451</v>
      </c>
    </row>
    <row r="483" spans="1:17">
      <c r="A483" s="8" t="s">
        <v>655</v>
      </c>
      <c r="B483" s="8" t="s">
        <v>776</v>
      </c>
      <c r="C483" s="8" t="s">
        <v>632</v>
      </c>
      <c r="D483" s="8" t="s">
        <v>633</v>
      </c>
      <c r="E483" s="6">
        <v>43157</v>
      </c>
      <c r="F483" s="8" t="s">
        <v>237</v>
      </c>
      <c r="G483" s="8" t="s">
        <v>238</v>
      </c>
      <c r="H483" s="4">
        <v>14</v>
      </c>
      <c r="I483" s="8" t="s">
        <v>22</v>
      </c>
      <c r="J483" s="4">
        <v>0</v>
      </c>
      <c r="K483" s="4">
        <v>0</v>
      </c>
      <c r="L483" s="8" t="s">
        <v>117</v>
      </c>
      <c r="M483" s="4">
        <v>0</v>
      </c>
      <c r="N483" s="8" t="s">
        <v>1526</v>
      </c>
      <c r="O483" s="8" t="s">
        <v>777</v>
      </c>
      <c r="P483" s="8" t="s">
        <v>218</v>
      </c>
      <c r="Q483" s="4">
        <v>5637715439</v>
      </c>
    </row>
    <row r="484" spans="1:17">
      <c r="A484" s="8" t="s">
        <v>122</v>
      </c>
      <c r="B484" s="8" t="s">
        <v>623</v>
      </c>
      <c r="C484" s="8" t="s">
        <v>632</v>
      </c>
      <c r="D484" s="8" t="s">
        <v>633</v>
      </c>
      <c r="E484" s="6">
        <v>43158</v>
      </c>
      <c r="F484" s="8" t="s">
        <v>237</v>
      </c>
      <c r="G484" s="8" t="s">
        <v>238</v>
      </c>
      <c r="H484" s="4">
        <v>-14</v>
      </c>
      <c r="I484" s="8" t="s">
        <v>22</v>
      </c>
      <c r="J484" s="4">
        <v>0</v>
      </c>
      <c r="K484" s="4">
        <v>0</v>
      </c>
      <c r="L484" s="8" t="s">
        <v>117</v>
      </c>
      <c r="M484" s="4">
        <v>0</v>
      </c>
      <c r="N484" s="8" t="s">
        <v>1440</v>
      </c>
      <c r="O484" s="8" t="s">
        <v>634</v>
      </c>
      <c r="P484" s="8" t="s">
        <v>218</v>
      </c>
      <c r="Q484" s="4">
        <v>5637715712</v>
      </c>
    </row>
    <row r="485" spans="1:17">
      <c r="A485" s="8" t="s">
        <v>655</v>
      </c>
      <c r="B485" s="8" t="s">
        <v>766</v>
      </c>
      <c r="C485" s="8" t="s">
        <v>635</v>
      </c>
      <c r="D485" s="8" t="s">
        <v>636</v>
      </c>
      <c r="E485" s="6">
        <v>43146</v>
      </c>
      <c r="F485" s="8" t="s">
        <v>237</v>
      </c>
      <c r="G485" s="8" t="s">
        <v>238</v>
      </c>
      <c r="H485" s="4">
        <v>1</v>
      </c>
      <c r="I485" s="8" t="s">
        <v>22</v>
      </c>
      <c r="J485" s="4">
        <v>0</v>
      </c>
      <c r="K485" s="4">
        <v>0</v>
      </c>
      <c r="L485" s="8" t="s">
        <v>117</v>
      </c>
      <c r="M485" s="4">
        <v>0</v>
      </c>
      <c r="N485" s="8" t="s">
        <v>1527</v>
      </c>
      <c r="O485" s="8" t="s">
        <v>767</v>
      </c>
      <c r="P485" s="8" t="s">
        <v>218</v>
      </c>
      <c r="Q485" s="4">
        <v>5637709554</v>
      </c>
    </row>
    <row r="486" spans="1:17">
      <c r="A486" s="8" t="s">
        <v>655</v>
      </c>
      <c r="B486" s="8" t="s">
        <v>778</v>
      </c>
      <c r="C486" s="8" t="s">
        <v>635</v>
      </c>
      <c r="D486" s="8" t="s">
        <v>636</v>
      </c>
      <c r="E486" s="6">
        <v>43157</v>
      </c>
      <c r="F486" s="8" t="s">
        <v>237</v>
      </c>
      <c r="G486" s="8" t="s">
        <v>238</v>
      </c>
      <c r="H486" s="4">
        <v>20</v>
      </c>
      <c r="I486" s="8" t="s">
        <v>22</v>
      </c>
      <c r="J486" s="4">
        <v>0</v>
      </c>
      <c r="K486" s="4">
        <v>0</v>
      </c>
      <c r="L486" s="8" t="s">
        <v>117</v>
      </c>
      <c r="M486" s="4">
        <v>0</v>
      </c>
      <c r="N486" s="8" t="s">
        <v>1528</v>
      </c>
      <c r="O486" s="8" t="s">
        <v>779</v>
      </c>
      <c r="P486" s="8" t="s">
        <v>218</v>
      </c>
      <c r="Q486" s="4">
        <v>5637715442</v>
      </c>
    </row>
    <row r="487" spans="1:17">
      <c r="A487" s="8" t="s">
        <v>122</v>
      </c>
      <c r="B487" s="8" t="s">
        <v>623</v>
      </c>
      <c r="C487" s="8" t="s">
        <v>635</v>
      </c>
      <c r="D487" s="8" t="s">
        <v>636</v>
      </c>
      <c r="E487" s="6">
        <v>43158</v>
      </c>
      <c r="F487" s="8" t="s">
        <v>237</v>
      </c>
      <c r="G487" s="8" t="s">
        <v>238</v>
      </c>
      <c r="H487" s="4">
        <v>-20</v>
      </c>
      <c r="I487" s="8" t="s">
        <v>22</v>
      </c>
      <c r="J487" s="4">
        <v>0</v>
      </c>
      <c r="K487" s="4">
        <v>0</v>
      </c>
      <c r="L487" s="8" t="s">
        <v>117</v>
      </c>
      <c r="M487" s="4">
        <v>0</v>
      </c>
      <c r="N487" s="8" t="s">
        <v>1440</v>
      </c>
      <c r="O487" s="8" t="s">
        <v>637</v>
      </c>
      <c r="P487" s="8" t="s">
        <v>218</v>
      </c>
      <c r="Q487" s="4">
        <v>5637715714</v>
      </c>
    </row>
    <row r="488" spans="1:17">
      <c r="A488" s="8" t="s">
        <v>1121</v>
      </c>
      <c r="B488" s="8" t="s">
        <v>674</v>
      </c>
      <c r="C488" s="8" t="s">
        <v>288</v>
      </c>
      <c r="D488" s="8" t="s">
        <v>469</v>
      </c>
      <c r="E488" s="6">
        <v>43108</v>
      </c>
      <c r="F488" s="8" t="s">
        <v>237</v>
      </c>
      <c r="G488" s="8" t="s">
        <v>238</v>
      </c>
      <c r="H488" s="4">
        <v>-0.15579999999999999</v>
      </c>
      <c r="I488" s="8" t="s">
        <v>66</v>
      </c>
      <c r="J488" s="4">
        <v>0</v>
      </c>
      <c r="K488" s="4">
        <v>0</v>
      </c>
      <c r="L488" s="8" t="s">
        <v>117</v>
      </c>
      <c r="M488" s="4">
        <v>0</v>
      </c>
      <c r="N488" s="8" t="s">
        <v>1398</v>
      </c>
      <c r="O488" s="8" t="s">
        <v>1166</v>
      </c>
      <c r="P488" s="8" t="s">
        <v>218</v>
      </c>
      <c r="Q488" s="4">
        <v>5637706392</v>
      </c>
    </row>
    <row r="489" spans="1:17">
      <c r="A489" s="8" t="s">
        <v>1121</v>
      </c>
      <c r="B489" s="8" t="s">
        <v>752</v>
      </c>
      <c r="C489" s="8" t="s">
        <v>288</v>
      </c>
      <c r="D489" s="8" t="s">
        <v>469</v>
      </c>
      <c r="E489" s="6">
        <v>43140</v>
      </c>
      <c r="F489" s="8" t="s">
        <v>237</v>
      </c>
      <c r="G489" s="8" t="s">
        <v>238</v>
      </c>
      <c r="H489" s="4">
        <v>-0.55200000000000005</v>
      </c>
      <c r="I489" s="8" t="s">
        <v>66</v>
      </c>
      <c r="J489" s="4">
        <v>0</v>
      </c>
      <c r="K489" s="4">
        <v>0</v>
      </c>
      <c r="L489" s="8" t="s">
        <v>117</v>
      </c>
      <c r="M489" s="4">
        <v>0</v>
      </c>
      <c r="N489" s="8" t="s">
        <v>1399</v>
      </c>
      <c r="O489" s="8" t="s">
        <v>1316</v>
      </c>
      <c r="P489" s="8" t="s">
        <v>218</v>
      </c>
      <c r="Q489" s="4">
        <v>5637708342</v>
      </c>
    </row>
    <row r="490" spans="1:17">
      <c r="A490" s="8" t="s">
        <v>1121</v>
      </c>
      <c r="B490" s="8" t="s">
        <v>674</v>
      </c>
      <c r="C490" s="8" t="s">
        <v>289</v>
      </c>
      <c r="D490" s="8" t="s">
        <v>471</v>
      </c>
      <c r="E490" s="6">
        <v>43108</v>
      </c>
      <c r="F490" s="8" t="s">
        <v>237</v>
      </c>
      <c r="G490" s="8" t="s">
        <v>238</v>
      </c>
      <c r="H490" s="4">
        <v>-0.15579999999999999</v>
      </c>
      <c r="I490" s="8" t="s">
        <v>66</v>
      </c>
      <c r="J490" s="4">
        <v>0</v>
      </c>
      <c r="K490" s="4">
        <v>0</v>
      </c>
      <c r="L490" s="8" t="s">
        <v>117</v>
      </c>
      <c r="M490" s="4">
        <v>0</v>
      </c>
      <c r="N490" s="8" t="s">
        <v>1398</v>
      </c>
      <c r="O490" s="8" t="s">
        <v>1167</v>
      </c>
      <c r="P490" s="8" t="s">
        <v>218</v>
      </c>
      <c r="Q490" s="4">
        <v>5637706390</v>
      </c>
    </row>
    <row r="491" spans="1:17">
      <c r="A491" s="8" t="s">
        <v>1121</v>
      </c>
      <c r="B491" s="8" t="s">
        <v>752</v>
      </c>
      <c r="C491" s="8" t="s">
        <v>289</v>
      </c>
      <c r="D491" s="8" t="s">
        <v>471</v>
      </c>
      <c r="E491" s="6">
        <v>43140</v>
      </c>
      <c r="F491" s="8" t="s">
        <v>237</v>
      </c>
      <c r="G491" s="8" t="s">
        <v>238</v>
      </c>
      <c r="H491" s="4">
        <v>-0.55200000000000005</v>
      </c>
      <c r="I491" s="8" t="s">
        <v>66</v>
      </c>
      <c r="J491" s="4">
        <v>0</v>
      </c>
      <c r="K491" s="4">
        <v>0</v>
      </c>
      <c r="L491" s="8" t="s">
        <v>117</v>
      </c>
      <c r="M491" s="4">
        <v>0</v>
      </c>
      <c r="N491" s="8" t="s">
        <v>1399</v>
      </c>
      <c r="O491" s="8" t="s">
        <v>1317</v>
      </c>
      <c r="P491" s="8" t="s">
        <v>218</v>
      </c>
      <c r="Q491" s="4">
        <v>5637708340</v>
      </c>
    </row>
    <row r="492" spans="1:17" ht="30">
      <c r="A492" s="8" t="s">
        <v>122</v>
      </c>
      <c r="B492" s="8" t="s">
        <v>547</v>
      </c>
      <c r="C492" s="8" t="s">
        <v>115</v>
      </c>
      <c r="D492" s="11" t="s">
        <v>116</v>
      </c>
      <c r="E492" s="6">
        <v>43102</v>
      </c>
      <c r="F492" s="8" t="s">
        <v>237</v>
      </c>
      <c r="G492" s="8" t="s">
        <v>238</v>
      </c>
      <c r="H492" s="4">
        <v>-19</v>
      </c>
      <c r="I492" s="8" t="s">
        <v>22</v>
      </c>
      <c r="J492" s="4">
        <v>0</v>
      </c>
      <c r="K492" s="4">
        <v>0</v>
      </c>
      <c r="L492" s="8" t="s">
        <v>117</v>
      </c>
      <c r="M492" s="4">
        <v>0</v>
      </c>
      <c r="N492" s="8" t="s">
        <v>1530</v>
      </c>
      <c r="O492" s="8" t="s">
        <v>548</v>
      </c>
      <c r="P492" s="8" t="s">
        <v>218</v>
      </c>
      <c r="Q492" s="4">
        <v>5637707315</v>
      </c>
    </row>
    <row r="493" spans="1:17" ht="30">
      <c r="A493" s="8" t="s">
        <v>122</v>
      </c>
      <c r="B493" s="8" t="s">
        <v>529</v>
      </c>
      <c r="C493" s="8" t="s">
        <v>115</v>
      </c>
      <c r="D493" s="11" t="s">
        <v>116</v>
      </c>
      <c r="E493" s="6">
        <v>43122</v>
      </c>
      <c r="F493" s="8" t="s">
        <v>237</v>
      </c>
      <c r="G493" s="8" t="s">
        <v>238</v>
      </c>
      <c r="H493" s="4">
        <v>-9</v>
      </c>
      <c r="I493" s="8" t="s">
        <v>22</v>
      </c>
      <c r="J493" s="4">
        <v>0</v>
      </c>
      <c r="K493" s="4">
        <v>0</v>
      </c>
      <c r="L493" s="8" t="s">
        <v>117</v>
      </c>
      <c r="M493" s="4">
        <v>0</v>
      </c>
      <c r="N493" s="8" t="s">
        <v>1433</v>
      </c>
      <c r="O493" s="8" t="s">
        <v>531</v>
      </c>
      <c r="P493" s="8" t="s">
        <v>218</v>
      </c>
      <c r="Q493" s="4">
        <v>5637707302</v>
      </c>
    </row>
    <row r="494" spans="1:17" ht="30">
      <c r="A494" s="8" t="s">
        <v>122</v>
      </c>
      <c r="B494" s="8" t="s">
        <v>532</v>
      </c>
      <c r="C494" s="8" t="s">
        <v>115</v>
      </c>
      <c r="D494" s="11" t="s">
        <v>116</v>
      </c>
      <c r="E494" s="6">
        <v>43123</v>
      </c>
      <c r="F494" s="8" t="s">
        <v>237</v>
      </c>
      <c r="G494" s="8" t="s">
        <v>238</v>
      </c>
      <c r="H494" s="4">
        <v>-1</v>
      </c>
      <c r="I494" s="8" t="s">
        <v>22</v>
      </c>
      <c r="J494" s="4">
        <v>0</v>
      </c>
      <c r="K494" s="4">
        <v>0</v>
      </c>
      <c r="L494" s="8" t="s">
        <v>117</v>
      </c>
      <c r="M494" s="4">
        <v>0</v>
      </c>
      <c r="N494" s="8" t="s">
        <v>1531</v>
      </c>
      <c r="O494" s="8" t="s">
        <v>533</v>
      </c>
      <c r="P494" s="8" t="s">
        <v>218</v>
      </c>
      <c r="Q494" s="4">
        <v>5637707303</v>
      </c>
    </row>
    <row r="495" spans="1:17" ht="30">
      <c r="A495" s="8" t="s">
        <v>122</v>
      </c>
      <c r="B495" s="8" t="s">
        <v>605</v>
      </c>
      <c r="C495" s="8" t="s">
        <v>115</v>
      </c>
      <c r="D495" s="11" t="s">
        <v>116</v>
      </c>
      <c r="E495" s="6">
        <v>43147</v>
      </c>
      <c r="F495" s="8" t="s">
        <v>237</v>
      </c>
      <c r="G495" s="8" t="s">
        <v>238</v>
      </c>
      <c r="H495" s="4">
        <v>-7</v>
      </c>
      <c r="I495" s="8" t="s">
        <v>22</v>
      </c>
      <c r="J495" s="4">
        <v>0</v>
      </c>
      <c r="K495" s="4">
        <v>0</v>
      </c>
      <c r="L495" s="8" t="s">
        <v>117</v>
      </c>
      <c r="M495" s="4">
        <v>0</v>
      </c>
      <c r="N495" s="8" t="s">
        <v>1434</v>
      </c>
      <c r="O495" s="8" t="s">
        <v>609</v>
      </c>
      <c r="P495" s="8" t="s">
        <v>218</v>
      </c>
      <c r="Q495" s="4">
        <v>5637709481</v>
      </c>
    </row>
    <row r="496" spans="1:17" ht="30">
      <c r="A496" s="8" t="s">
        <v>122</v>
      </c>
      <c r="B496" s="8" t="s">
        <v>620</v>
      </c>
      <c r="C496" s="8" t="s">
        <v>115</v>
      </c>
      <c r="D496" s="11" t="s">
        <v>116</v>
      </c>
      <c r="E496" s="6">
        <v>43154</v>
      </c>
      <c r="F496" s="8" t="s">
        <v>237</v>
      </c>
      <c r="G496" s="8" t="s">
        <v>238</v>
      </c>
      <c r="H496" s="4">
        <v>-35</v>
      </c>
      <c r="I496" s="8" t="s">
        <v>22</v>
      </c>
      <c r="J496" s="4">
        <v>0</v>
      </c>
      <c r="K496" s="4">
        <v>0</v>
      </c>
      <c r="L496" s="8" t="s">
        <v>117</v>
      </c>
      <c r="M496" s="4">
        <v>0</v>
      </c>
      <c r="N496" s="8" t="s">
        <v>1432</v>
      </c>
      <c r="O496" s="8" t="s">
        <v>622</v>
      </c>
      <c r="P496" s="8" t="s">
        <v>218</v>
      </c>
      <c r="Q496" s="4">
        <v>5637715050</v>
      </c>
    </row>
    <row r="497" spans="1:17">
      <c r="A497" s="8" t="s">
        <v>1121</v>
      </c>
      <c r="B497" s="8" t="s">
        <v>730</v>
      </c>
      <c r="C497" s="8" t="s">
        <v>290</v>
      </c>
      <c r="D497" s="8" t="s">
        <v>472</v>
      </c>
      <c r="E497" s="6">
        <v>43108</v>
      </c>
      <c r="F497" s="8" t="s">
        <v>237</v>
      </c>
      <c r="G497" s="8" t="s">
        <v>238</v>
      </c>
      <c r="H497" s="4">
        <v>-38</v>
      </c>
      <c r="I497" s="8" t="s">
        <v>66</v>
      </c>
      <c r="J497" s="4">
        <v>0</v>
      </c>
      <c r="K497" s="4">
        <v>0</v>
      </c>
      <c r="L497" s="8" t="s">
        <v>117</v>
      </c>
      <c r="M497" s="4">
        <v>0</v>
      </c>
      <c r="N497" s="8" t="s">
        <v>1418</v>
      </c>
      <c r="O497" s="8" t="s">
        <v>1277</v>
      </c>
      <c r="P497" s="8" t="s">
        <v>218</v>
      </c>
      <c r="Q497" s="4">
        <v>5637706549</v>
      </c>
    </row>
    <row r="498" spans="1:17">
      <c r="A498" s="8" t="s">
        <v>1121</v>
      </c>
      <c r="B498" s="8" t="s">
        <v>726</v>
      </c>
      <c r="C498" s="8" t="s">
        <v>290</v>
      </c>
      <c r="D498" s="8" t="s">
        <v>472</v>
      </c>
      <c r="E498" s="6">
        <v>43108</v>
      </c>
      <c r="F498" s="8" t="s">
        <v>237</v>
      </c>
      <c r="G498" s="8" t="s">
        <v>238</v>
      </c>
      <c r="H498" s="4">
        <v>-19</v>
      </c>
      <c r="I498" s="8" t="s">
        <v>66</v>
      </c>
      <c r="J498" s="4">
        <v>0</v>
      </c>
      <c r="K498" s="4">
        <v>0</v>
      </c>
      <c r="L498" s="8" t="s">
        <v>117</v>
      </c>
      <c r="M498" s="4">
        <v>0</v>
      </c>
      <c r="N498" s="8" t="s">
        <v>1417</v>
      </c>
      <c r="O498" s="8" t="s">
        <v>1269</v>
      </c>
      <c r="P498" s="8" t="s">
        <v>218</v>
      </c>
      <c r="Q498" s="4">
        <v>5637706538</v>
      </c>
    </row>
    <row r="499" spans="1:17">
      <c r="A499" s="8" t="s">
        <v>1121</v>
      </c>
      <c r="B499" s="8" t="s">
        <v>722</v>
      </c>
      <c r="C499" s="8" t="s">
        <v>290</v>
      </c>
      <c r="D499" s="8" t="s">
        <v>472</v>
      </c>
      <c r="E499" s="6">
        <v>43108</v>
      </c>
      <c r="F499" s="8" t="s">
        <v>237</v>
      </c>
      <c r="G499" s="8" t="s">
        <v>238</v>
      </c>
      <c r="H499" s="4">
        <v>-7.6</v>
      </c>
      <c r="I499" s="8" t="s">
        <v>66</v>
      </c>
      <c r="J499" s="4">
        <v>0</v>
      </c>
      <c r="K499" s="4">
        <v>0</v>
      </c>
      <c r="L499" s="8" t="s">
        <v>117</v>
      </c>
      <c r="M499" s="4">
        <v>0</v>
      </c>
      <c r="N499" s="8" t="s">
        <v>1416</v>
      </c>
      <c r="O499" s="8" t="s">
        <v>1261</v>
      </c>
      <c r="P499" s="8" t="s">
        <v>218</v>
      </c>
      <c r="Q499" s="4">
        <v>5637706527</v>
      </c>
    </row>
    <row r="500" spans="1:17">
      <c r="A500" s="8" t="s">
        <v>1121</v>
      </c>
      <c r="B500" s="8" t="s">
        <v>708</v>
      </c>
      <c r="C500" s="8" t="s">
        <v>290</v>
      </c>
      <c r="D500" s="8" t="s">
        <v>472</v>
      </c>
      <c r="E500" s="6">
        <v>43108</v>
      </c>
      <c r="F500" s="8" t="s">
        <v>237</v>
      </c>
      <c r="G500" s="8" t="s">
        <v>238</v>
      </c>
      <c r="H500" s="4">
        <v>-37.6</v>
      </c>
      <c r="I500" s="8" t="s">
        <v>66</v>
      </c>
      <c r="J500" s="4">
        <v>0</v>
      </c>
      <c r="K500" s="4">
        <v>0</v>
      </c>
      <c r="L500" s="8" t="s">
        <v>117</v>
      </c>
      <c r="M500" s="4">
        <v>0</v>
      </c>
      <c r="N500" s="8" t="s">
        <v>1414</v>
      </c>
      <c r="O500" s="8" t="s">
        <v>1230</v>
      </c>
      <c r="P500" s="8" t="s">
        <v>218</v>
      </c>
      <c r="Q500" s="4">
        <v>5637706485</v>
      </c>
    </row>
    <row r="501" spans="1:17">
      <c r="A501" s="8" t="s">
        <v>1121</v>
      </c>
      <c r="B501" s="8" t="s">
        <v>712</v>
      </c>
      <c r="C501" s="8" t="s">
        <v>290</v>
      </c>
      <c r="D501" s="8" t="s">
        <v>472</v>
      </c>
      <c r="E501" s="6">
        <v>43108</v>
      </c>
      <c r="F501" s="8" t="s">
        <v>237</v>
      </c>
      <c r="G501" s="8" t="s">
        <v>238</v>
      </c>
      <c r="H501" s="4">
        <v>-0.5</v>
      </c>
      <c r="I501" s="8" t="s">
        <v>66</v>
      </c>
      <c r="J501" s="4">
        <v>0</v>
      </c>
      <c r="K501" s="4">
        <v>0</v>
      </c>
      <c r="L501" s="8" t="s">
        <v>117</v>
      </c>
      <c r="M501" s="4">
        <v>0</v>
      </c>
      <c r="N501" s="8" t="s">
        <v>1415</v>
      </c>
      <c r="O501" s="8" t="s">
        <v>1238</v>
      </c>
      <c r="P501" s="8" t="s">
        <v>218</v>
      </c>
      <c r="Q501" s="4">
        <v>5637706496</v>
      </c>
    </row>
    <row r="502" spans="1:17">
      <c r="A502" s="8" t="s">
        <v>1121</v>
      </c>
      <c r="B502" s="8" t="s">
        <v>714</v>
      </c>
      <c r="C502" s="8" t="s">
        <v>290</v>
      </c>
      <c r="D502" s="8" t="s">
        <v>472</v>
      </c>
      <c r="E502" s="6">
        <v>43108</v>
      </c>
      <c r="F502" s="8" t="s">
        <v>237</v>
      </c>
      <c r="G502" s="8" t="s">
        <v>238</v>
      </c>
      <c r="H502" s="4">
        <v>-7.6</v>
      </c>
      <c r="I502" s="8" t="s">
        <v>66</v>
      </c>
      <c r="J502" s="4">
        <v>0</v>
      </c>
      <c r="K502" s="4">
        <v>0</v>
      </c>
      <c r="L502" s="8" t="s">
        <v>117</v>
      </c>
      <c r="M502" s="4">
        <v>0</v>
      </c>
      <c r="N502" s="8" t="s">
        <v>1413</v>
      </c>
      <c r="O502" s="8" t="s">
        <v>1244</v>
      </c>
      <c r="P502" s="8" t="s">
        <v>218</v>
      </c>
      <c r="Q502" s="4">
        <v>5637706504</v>
      </c>
    </row>
    <row r="503" spans="1:17">
      <c r="A503" s="8" t="s">
        <v>1121</v>
      </c>
      <c r="B503" s="8" t="s">
        <v>666</v>
      </c>
      <c r="C503" s="8" t="s">
        <v>290</v>
      </c>
      <c r="D503" s="8" t="s">
        <v>472</v>
      </c>
      <c r="E503" s="6">
        <v>43108</v>
      </c>
      <c r="F503" s="8" t="s">
        <v>237</v>
      </c>
      <c r="G503" s="8" t="s">
        <v>238</v>
      </c>
      <c r="H503" s="4">
        <v>-11.4</v>
      </c>
      <c r="I503" s="8" t="s">
        <v>66</v>
      </c>
      <c r="J503" s="4">
        <v>0</v>
      </c>
      <c r="K503" s="4">
        <v>0</v>
      </c>
      <c r="L503" s="8" t="s">
        <v>117</v>
      </c>
      <c r="M503" s="4">
        <v>0</v>
      </c>
      <c r="N503" s="8" t="s">
        <v>1423</v>
      </c>
      <c r="O503" s="8" t="s">
        <v>1145</v>
      </c>
      <c r="P503" s="8" t="s">
        <v>218</v>
      </c>
      <c r="Q503" s="4">
        <v>5637706367</v>
      </c>
    </row>
    <row r="504" spans="1:17">
      <c r="A504" s="8" t="s">
        <v>1121</v>
      </c>
      <c r="B504" s="8" t="s">
        <v>662</v>
      </c>
      <c r="C504" s="8" t="s">
        <v>290</v>
      </c>
      <c r="D504" s="8" t="s">
        <v>472</v>
      </c>
      <c r="E504" s="6">
        <v>43108</v>
      </c>
      <c r="F504" s="8" t="s">
        <v>237</v>
      </c>
      <c r="G504" s="8" t="s">
        <v>238</v>
      </c>
      <c r="H504" s="4">
        <v>-3.8</v>
      </c>
      <c r="I504" s="8" t="s">
        <v>66</v>
      </c>
      <c r="J504" s="4">
        <v>0</v>
      </c>
      <c r="K504" s="4">
        <v>0</v>
      </c>
      <c r="L504" s="8" t="s">
        <v>117</v>
      </c>
      <c r="M504" s="4">
        <v>0</v>
      </c>
      <c r="N504" s="8" t="s">
        <v>1412</v>
      </c>
      <c r="O504" s="8" t="s">
        <v>1137</v>
      </c>
      <c r="P504" s="8" t="s">
        <v>218</v>
      </c>
      <c r="Q504" s="4">
        <v>5637706356</v>
      </c>
    </row>
    <row r="505" spans="1:17">
      <c r="A505" s="8" t="s">
        <v>1121</v>
      </c>
      <c r="B505" s="8" t="s">
        <v>658</v>
      </c>
      <c r="C505" s="8" t="s">
        <v>290</v>
      </c>
      <c r="D505" s="8" t="s">
        <v>472</v>
      </c>
      <c r="E505" s="6">
        <v>43108</v>
      </c>
      <c r="F505" s="8" t="s">
        <v>237</v>
      </c>
      <c r="G505" s="8" t="s">
        <v>238</v>
      </c>
      <c r="H505" s="4">
        <v>-7.6</v>
      </c>
      <c r="I505" s="8" t="s">
        <v>66</v>
      </c>
      <c r="J505" s="4">
        <v>0</v>
      </c>
      <c r="K505" s="4">
        <v>0</v>
      </c>
      <c r="L505" s="8" t="s">
        <v>117</v>
      </c>
      <c r="M505" s="4">
        <v>0</v>
      </c>
      <c r="N505" s="8" t="s">
        <v>1411</v>
      </c>
      <c r="O505" s="8" t="s">
        <v>1129</v>
      </c>
      <c r="P505" s="8" t="s">
        <v>218</v>
      </c>
      <c r="Q505" s="4">
        <v>5637706345</v>
      </c>
    </row>
    <row r="506" spans="1:17">
      <c r="A506" s="8" t="s">
        <v>655</v>
      </c>
      <c r="B506" s="8" t="s">
        <v>656</v>
      </c>
      <c r="C506" s="8" t="s">
        <v>290</v>
      </c>
      <c r="D506" s="8" t="s">
        <v>472</v>
      </c>
      <c r="E506" s="6">
        <v>43108</v>
      </c>
      <c r="F506" s="8" t="s">
        <v>237</v>
      </c>
      <c r="G506" s="8" t="s">
        <v>238</v>
      </c>
      <c r="H506" s="4">
        <v>451.85</v>
      </c>
      <c r="I506" s="8" t="s">
        <v>66</v>
      </c>
      <c r="J506" s="4">
        <v>0</v>
      </c>
      <c r="K506" s="4">
        <v>0</v>
      </c>
      <c r="L506" s="8" t="s">
        <v>117</v>
      </c>
      <c r="M506" s="4">
        <v>0</v>
      </c>
      <c r="N506" s="8" t="s">
        <v>1400</v>
      </c>
      <c r="O506" s="8" t="s">
        <v>657</v>
      </c>
      <c r="P506" s="8" t="s">
        <v>218</v>
      </c>
      <c r="Q506" s="4">
        <v>5637706336</v>
      </c>
    </row>
    <row r="507" spans="1:17">
      <c r="A507" s="8" t="s">
        <v>1121</v>
      </c>
      <c r="B507" s="8" t="s">
        <v>684</v>
      </c>
      <c r="C507" s="8" t="s">
        <v>290</v>
      </c>
      <c r="D507" s="8" t="s">
        <v>472</v>
      </c>
      <c r="E507" s="6">
        <v>43108</v>
      </c>
      <c r="F507" s="8" t="s">
        <v>237</v>
      </c>
      <c r="G507" s="8" t="s">
        <v>238</v>
      </c>
      <c r="H507" s="4">
        <v>-34.200000000000003</v>
      </c>
      <c r="I507" s="8" t="s">
        <v>66</v>
      </c>
      <c r="J507" s="4">
        <v>0</v>
      </c>
      <c r="K507" s="4">
        <v>0</v>
      </c>
      <c r="L507" s="8" t="s">
        <v>117</v>
      </c>
      <c r="M507" s="4">
        <v>0</v>
      </c>
      <c r="N507" s="8" t="s">
        <v>1420</v>
      </c>
      <c r="O507" s="8" t="s">
        <v>1190</v>
      </c>
      <c r="P507" s="8" t="s">
        <v>218</v>
      </c>
      <c r="Q507" s="4">
        <v>5637706429</v>
      </c>
    </row>
    <row r="508" spans="1:17">
      <c r="A508" s="8" t="s">
        <v>1121</v>
      </c>
      <c r="B508" s="8" t="s">
        <v>688</v>
      </c>
      <c r="C508" s="8" t="s">
        <v>290</v>
      </c>
      <c r="D508" s="8" t="s">
        <v>472</v>
      </c>
      <c r="E508" s="6">
        <v>43108</v>
      </c>
      <c r="F508" s="8" t="s">
        <v>237</v>
      </c>
      <c r="G508" s="8" t="s">
        <v>238</v>
      </c>
      <c r="H508" s="4">
        <v>-16.399999999999999</v>
      </c>
      <c r="I508" s="8" t="s">
        <v>66</v>
      </c>
      <c r="J508" s="4">
        <v>0</v>
      </c>
      <c r="K508" s="4">
        <v>0</v>
      </c>
      <c r="L508" s="8" t="s">
        <v>117</v>
      </c>
      <c r="M508" s="4">
        <v>0</v>
      </c>
      <c r="N508" s="8" t="s">
        <v>1403</v>
      </c>
      <c r="O508" s="8" t="s">
        <v>1198</v>
      </c>
      <c r="P508" s="8" t="s">
        <v>218</v>
      </c>
      <c r="Q508" s="4">
        <v>5637706440</v>
      </c>
    </row>
    <row r="509" spans="1:17">
      <c r="A509" s="8" t="s">
        <v>1121</v>
      </c>
      <c r="B509" s="8" t="s">
        <v>680</v>
      </c>
      <c r="C509" s="8" t="s">
        <v>290</v>
      </c>
      <c r="D509" s="8" t="s">
        <v>472</v>
      </c>
      <c r="E509" s="6">
        <v>43108</v>
      </c>
      <c r="F509" s="8" t="s">
        <v>237</v>
      </c>
      <c r="G509" s="8" t="s">
        <v>238</v>
      </c>
      <c r="H509" s="4">
        <v>-11.4</v>
      </c>
      <c r="I509" s="8" t="s">
        <v>66</v>
      </c>
      <c r="J509" s="4">
        <v>0</v>
      </c>
      <c r="K509" s="4">
        <v>0</v>
      </c>
      <c r="L509" s="8" t="s">
        <v>117</v>
      </c>
      <c r="M509" s="4">
        <v>0</v>
      </c>
      <c r="N509" s="8" t="s">
        <v>1422</v>
      </c>
      <c r="O509" s="8" t="s">
        <v>1182</v>
      </c>
      <c r="P509" s="8" t="s">
        <v>218</v>
      </c>
      <c r="Q509" s="4">
        <v>5637706418</v>
      </c>
    </row>
    <row r="510" spans="1:17">
      <c r="A510" s="8" t="s">
        <v>1121</v>
      </c>
      <c r="B510" s="8" t="s">
        <v>676</v>
      </c>
      <c r="C510" s="8" t="s">
        <v>290</v>
      </c>
      <c r="D510" s="8" t="s">
        <v>472</v>
      </c>
      <c r="E510" s="6">
        <v>43108</v>
      </c>
      <c r="F510" s="8" t="s">
        <v>237</v>
      </c>
      <c r="G510" s="8" t="s">
        <v>238</v>
      </c>
      <c r="H510" s="4">
        <v>-7.6</v>
      </c>
      <c r="I510" s="8" t="s">
        <v>66</v>
      </c>
      <c r="J510" s="4">
        <v>0</v>
      </c>
      <c r="K510" s="4">
        <v>0</v>
      </c>
      <c r="L510" s="8" t="s">
        <v>117</v>
      </c>
      <c r="M510" s="4">
        <v>0</v>
      </c>
      <c r="N510" s="8" t="s">
        <v>1421</v>
      </c>
      <c r="O510" s="8" t="s">
        <v>1174</v>
      </c>
      <c r="P510" s="8" t="s">
        <v>218</v>
      </c>
      <c r="Q510" s="4">
        <v>5637706407</v>
      </c>
    </row>
    <row r="511" spans="1:17">
      <c r="A511" s="8" t="s">
        <v>1121</v>
      </c>
      <c r="B511" s="8" t="s">
        <v>698</v>
      </c>
      <c r="C511" s="8" t="s">
        <v>290</v>
      </c>
      <c r="D511" s="8" t="s">
        <v>472</v>
      </c>
      <c r="E511" s="6">
        <v>43108</v>
      </c>
      <c r="F511" s="8" t="s">
        <v>237</v>
      </c>
      <c r="G511" s="8" t="s">
        <v>238</v>
      </c>
      <c r="H511" s="4">
        <v>-3.5985999999999998</v>
      </c>
      <c r="I511" s="8" t="s">
        <v>66</v>
      </c>
      <c r="J511" s="4">
        <v>0</v>
      </c>
      <c r="K511" s="4">
        <v>0</v>
      </c>
      <c r="L511" s="8" t="s">
        <v>117</v>
      </c>
      <c r="M511" s="4">
        <v>0</v>
      </c>
      <c r="N511" s="8" t="s">
        <v>1404</v>
      </c>
      <c r="O511" s="8" t="s">
        <v>1214</v>
      </c>
      <c r="P511" s="8" t="s">
        <v>218</v>
      </c>
      <c r="Q511" s="4">
        <v>5637706463</v>
      </c>
    </row>
    <row r="512" spans="1:17">
      <c r="A512" s="8" t="s">
        <v>1121</v>
      </c>
      <c r="B512" s="8" t="s">
        <v>704</v>
      </c>
      <c r="C512" s="8" t="s">
        <v>290</v>
      </c>
      <c r="D512" s="8" t="s">
        <v>472</v>
      </c>
      <c r="E512" s="6">
        <v>43108</v>
      </c>
      <c r="F512" s="8" t="s">
        <v>237</v>
      </c>
      <c r="G512" s="8" t="s">
        <v>238</v>
      </c>
      <c r="H512" s="4">
        <v>-15.2</v>
      </c>
      <c r="I512" s="8" t="s">
        <v>66</v>
      </c>
      <c r="J512" s="4">
        <v>0</v>
      </c>
      <c r="K512" s="4">
        <v>0</v>
      </c>
      <c r="L512" s="8" t="s">
        <v>117</v>
      </c>
      <c r="M512" s="4">
        <v>0</v>
      </c>
      <c r="N512" s="8" t="s">
        <v>1419</v>
      </c>
      <c r="O512" s="8" t="s">
        <v>1222</v>
      </c>
      <c r="P512" s="8" t="s">
        <v>218</v>
      </c>
      <c r="Q512" s="4">
        <v>5637706474</v>
      </c>
    </row>
    <row r="513" spans="1:17">
      <c r="A513" s="8" t="s">
        <v>1121</v>
      </c>
      <c r="B513" s="8" t="s">
        <v>744</v>
      </c>
      <c r="C513" s="8" t="s">
        <v>290</v>
      </c>
      <c r="D513" s="8" t="s">
        <v>472</v>
      </c>
      <c r="E513" s="6">
        <v>43132</v>
      </c>
      <c r="F513" s="8" t="s">
        <v>237</v>
      </c>
      <c r="G513" s="8" t="s">
        <v>238</v>
      </c>
      <c r="H513" s="4">
        <v>-3.8</v>
      </c>
      <c r="I513" s="8" t="s">
        <v>66</v>
      </c>
      <c r="J513" s="4">
        <v>0</v>
      </c>
      <c r="K513" s="4">
        <v>0</v>
      </c>
      <c r="L513" s="8" t="s">
        <v>117</v>
      </c>
      <c r="M513" s="4">
        <v>0</v>
      </c>
      <c r="N513" s="8" t="s">
        <v>1425</v>
      </c>
      <c r="O513" s="8" t="s">
        <v>1300</v>
      </c>
      <c r="P513" s="8" t="s">
        <v>218</v>
      </c>
      <c r="Q513" s="4">
        <v>5637707404</v>
      </c>
    </row>
    <row r="514" spans="1:17">
      <c r="A514" s="8" t="s">
        <v>1121</v>
      </c>
      <c r="B514" s="8" t="s">
        <v>742</v>
      </c>
      <c r="C514" s="8" t="s">
        <v>290</v>
      </c>
      <c r="D514" s="8" t="s">
        <v>472</v>
      </c>
      <c r="E514" s="6">
        <v>43132</v>
      </c>
      <c r="F514" s="8" t="s">
        <v>237</v>
      </c>
      <c r="G514" s="8" t="s">
        <v>238</v>
      </c>
      <c r="H514" s="4">
        <v>-16.401600000000002</v>
      </c>
      <c r="I514" s="8" t="s">
        <v>66</v>
      </c>
      <c r="J514" s="4">
        <v>0</v>
      </c>
      <c r="K514" s="4">
        <v>0</v>
      </c>
      <c r="L514" s="8" t="s">
        <v>117</v>
      </c>
      <c r="M514" s="4">
        <v>0</v>
      </c>
      <c r="N514" s="8" t="s">
        <v>1407</v>
      </c>
      <c r="O514" s="8" t="s">
        <v>1294</v>
      </c>
      <c r="P514" s="8" t="s">
        <v>218</v>
      </c>
      <c r="Q514" s="4">
        <v>5637707395</v>
      </c>
    </row>
    <row r="515" spans="1:17">
      <c r="A515" s="8" t="s">
        <v>1121</v>
      </c>
      <c r="B515" s="8" t="s">
        <v>756</v>
      </c>
      <c r="C515" s="8" t="s">
        <v>290</v>
      </c>
      <c r="D515" s="8" t="s">
        <v>472</v>
      </c>
      <c r="E515" s="6">
        <v>43145</v>
      </c>
      <c r="F515" s="8" t="s">
        <v>237</v>
      </c>
      <c r="G515" s="8" t="s">
        <v>238</v>
      </c>
      <c r="H515" s="4">
        <v>-34.200000000000003</v>
      </c>
      <c r="I515" s="8" t="s">
        <v>66</v>
      </c>
      <c r="J515" s="4">
        <v>0</v>
      </c>
      <c r="K515" s="4">
        <v>0</v>
      </c>
      <c r="L515" s="8" t="s">
        <v>117</v>
      </c>
      <c r="M515" s="4">
        <v>0</v>
      </c>
      <c r="N515" s="8" t="s">
        <v>1427</v>
      </c>
      <c r="O515" s="8" t="s">
        <v>1330</v>
      </c>
      <c r="P515" s="8" t="s">
        <v>218</v>
      </c>
      <c r="Q515" s="4">
        <v>5637709239</v>
      </c>
    </row>
    <row r="516" spans="1:17">
      <c r="A516" s="8" t="s">
        <v>1121</v>
      </c>
      <c r="B516" s="8" t="s">
        <v>754</v>
      </c>
      <c r="C516" s="8" t="s">
        <v>290</v>
      </c>
      <c r="D516" s="8" t="s">
        <v>472</v>
      </c>
      <c r="E516" s="6">
        <v>43145</v>
      </c>
      <c r="F516" s="8" t="s">
        <v>237</v>
      </c>
      <c r="G516" s="8" t="s">
        <v>238</v>
      </c>
      <c r="H516" s="4">
        <v>-3.8</v>
      </c>
      <c r="I516" s="8" t="s">
        <v>66</v>
      </c>
      <c r="J516" s="4">
        <v>0</v>
      </c>
      <c r="K516" s="4">
        <v>0</v>
      </c>
      <c r="L516" s="8" t="s">
        <v>117</v>
      </c>
      <c r="M516" s="4">
        <v>0</v>
      </c>
      <c r="N516" s="8" t="s">
        <v>1426</v>
      </c>
      <c r="O516" s="8" t="s">
        <v>1324</v>
      </c>
      <c r="P516" s="8" t="s">
        <v>218</v>
      </c>
      <c r="Q516" s="4">
        <v>5637709231</v>
      </c>
    </row>
    <row r="517" spans="1:17">
      <c r="A517" s="8" t="s">
        <v>1121</v>
      </c>
      <c r="B517" s="8" t="s">
        <v>762</v>
      </c>
      <c r="C517" s="8" t="s">
        <v>290</v>
      </c>
      <c r="D517" s="8" t="s">
        <v>472</v>
      </c>
      <c r="E517" s="6">
        <v>43146</v>
      </c>
      <c r="F517" s="8" t="s">
        <v>237</v>
      </c>
      <c r="G517" s="8" t="s">
        <v>238</v>
      </c>
      <c r="H517" s="4">
        <v>-45.6</v>
      </c>
      <c r="I517" s="8" t="s">
        <v>66</v>
      </c>
      <c r="J517" s="4">
        <v>0</v>
      </c>
      <c r="K517" s="4">
        <v>0</v>
      </c>
      <c r="L517" s="8" t="s">
        <v>117</v>
      </c>
      <c r="M517" s="4">
        <v>0</v>
      </c>
      <c r="N517" s="8" t="s">
        <v>1428</v>
      </c>
      <c r="O517" s="8" t="s">
        <v>1340</v>
      </c>
      <c r="P517" s="8" t="s">
        <v>218</v>
      </c>
      <c r="Q517" s="4">
        <v>5637709512</v>
      </c>
    </row>
    <row r="518" spans="1:17">
      <c r="A518" s="8" t="s">
        <v>1121</v>
      </c>
      <c r="B518" s="8" t="s">
        <v>772</v>
      </c>
      <c r="C518" s="8" t="s">
        <v>290</v>
      </c>
      <c r="D518" s="8" t="s">
        <v>472</v>
      </c>
      <c r="E518" s="6">
        <v>43151</v>
      </c>
      <c r="F518" s="8" t="s">
        <v>237</v>
      </c>
      <c r="G518" s="8" t="s">
        <v>238</v>
      </c>
      <c r="H518" s="4">
        <v>-7.6</v>
      </c>
      <c r="I518" s="8" t="s">
        <v>66</v>
      </c>
      <c r="J518" s="4">
        <v>0</v>
      </c>
      <c r="K518" s="4">
        <v>0</v>
      </c>
      <c r="L518" s="8" t="s">
        <v>117</v>
      </c>
      <c r="M518" s="4">
        <v>0</v>
      </c>
      <c r="N518" s="8" t="s">
        <v>1430</v>
      </c>
      <c r="O518" s="8" t="s">
        <v>1357</v>
      </c>
      <c r="P518" s="8" t="s">
        <v>218</v>
      </c>
      <c r="Q518" s="4">
        <v>5637714584</v>
      </c>
    </row>
    <row r="519" spans="1:17">
      <c r="A519" s="8" t="s">
        <v>1121</v>
      </c>
      <c r="B519" s="8" t="s">
        <v>768</v>
      </c>
      <c r="C519" s="8" t="s">
        <v>290</v>
      </c>
      <c r="D519" s="8" t="s">
        <v>472</v>
      </c>
      <c r="E519" s="6">
        <v>43151</v>
      </c>
      <c r="F519" s="8" t="s">
        <v>237</v>
      </c>
      <c r="G519" s="8" t="s">
        <v>238</v>
      </c>
      <c r="H519" s="4">
        <v>-38</v>
      </c>
      <c r="I519" s="8" t="s">
        <v>66</v>
      </c>
      <c r="J519" s="4">
        <v>0</v>
      </c>
      <c r="K519" s="4">
        <v>0</v>
      </c>
      <c r="L519" s="8" t="s">
        <v>117</v>
      </c>
      <c r="M519" s="4">
        <v>0</v>
      </c>
      <c r="N519" s="8" t="s">
        <v>1429</v>
      </c>
      <c r="O519" s="8" t="s">
        <v>1349</v>
      </c>
      <c r="P519" s="8" t="s">
        <v>218</v>
      </c>
      <c r="Q519" s="4">
        <v>5637714082</v>
      </c>
    </row>
    <row r="520" spans="1:17">
      <c r="A520" s="8" t="s">
        <v>1121</v>
      </c>
      <c r="B520" s="8" t="s">
        <v>780</v>
      </c>
      <c r="C520" s="8" t="s">
        <v>290</v>
      </c>
      <c r="D520" s="8" t="s">
        <v>472</v>
      </c>
      <c r="E520" s="6">
        <v>43157</v>
      </c>
      <c r="F520" s="8" t="s">
        <v>237</v>
      </c>
      <c r="G520" s="8" t="s">
        <v>238</v>
      </c>
      <c r="H520" s="4">
        <v>-2.7</v>
      </c>
      <c r="I520" s="8" t="s">
        <v>66</v>
      </c>
      <c r="J520" s="4">
        <v>0</v>
      </c>
      <c r="K520" s="4">
        <v>0</v>
      </c>
      <c r="L520" s="8" t="s">
        <v>117</v>
      </c>
      <c r="M520" s="4">
        <v>0</v>
      </c>
      <c r="N520" s="8" t="s">
        <v>1408</v>
      </c>
      <c r="O520" s="8" t="s">
        <v>1369</v>
      </c>
      <c r="P520" s="8" t="s">
        <v>218</v>
      </c>
      <c r="Q520" s="4">
        <v>5637715453</v>
      </c>
    </row>
    <row r="521" spans="1:17">
      <c r="A521" s="8" t="s">
        <v>1121</v>
      </c>
      <c r="B521" s="8" t="s">
        <v>784</v>
      </c>
      <c r="C521" s="8" t="s">
        <v>290</v>
      </c>
      <c r="D521" s="8" t="s">
        <v>472</v>
      </c>
      <c r="E521" s="6">
        <v>43157</v>
      </c>
      <c r="F521" s="8" t="s">
        <v>237</v>
      </c>
      <c r="G521" s="8" t="s">
        <v>238</v>
      </c>
      <c r="H521" s="4">
        <v>-4.1003999999999996</v>
      </c>
      <c r="I521" s="8" t="s">
        <v>66</v>
      </c>
      <c r="J521" s="4">
        <v>0</v>
      </c>
      <c r="K521" s="4">
        <v>0</v>
      </c>
      <c r="L521" s="8" t="s">
        <v>117</v>
      </c>
      <c r="M521" s="4">
        <v>0</v>
      </c>
      <c r="N521" s="8" t="s">
        <v>1409</v>
      </c>
      <c r="O521" s="8" t="s">
        <v>1377</v>
      </c>
      <c r="P521" s="8" t="s">
        <v>218</v>
      </c>
      <c r="Q521" s="4">
        <v>5637715464</v>
      </c>
    </row>
    <row r="522" spans="1:17">
      <c r="A522" s="8" t="s">
        <v>1121</v>
      </c>
      <c r="B522" s="8" t="s">
        <v>788</v>
      </c>
      <c r="C522" s="8" t="s">
        <v>290</v>
      </c>
      <c r="D522" s="8" t="s">
        <v>472</v>
      </c>
      <c r="E522" s="6">
        <v>43157</v>
      </c>
      <c r="F522" s="8" t="s">
        <v>237</v>
      </c>
      <c r="G522" s="8" t="s">
        <v>238</v>
      </c>
      <c r="H522" s="4">
        <v>-3.8</v>
      </c>
      <c r="I522" s="8" t="s">
        <v>66</v>
      </c>
      <c r="J522" s="4">
        <v>0</v>
      </c>
      <c r="K522" s="4">
        <v>0</v>
      </c>
      <c r="L522" s="8" t="s">
        <v>117</v>
      </c>
      <c r="M522" s="4">
        <v>0</v>
      </c>
      <c r="N522" s="8" t="s">
        <v>1431</v>
      </c>
      <c r="O522" s="8" t="s">
        <v>1385</v>
      </c>
      <c r="P522" s="8" t="s">
        <v>218</v>
      </c>
      <c r="Q522" s="4">
        <v>5637715482</v>
      </c>
    </row>
    <row r="523" spans="1:17">
      <c r="A523" s="8" t="s">
        <v>1121</v>
      </c>
      <c r="B523" s="8" t="s">
        <v>794</v>
      </c>
      <c r="C523" s="8" t="s">
        <v>290</v>
      </c>
      <c r="D523" s="8" t="s">
        <v>472</v>
      </c>
      <c r="E523" s="6">
        <v>43159</v>
      </c>
      <c r="F523" s="8" t="s">
        <v>237</v>
      </c>
      <c r="G523" s="8" t="s">
        <v>238</v>
      </c>
      <c r="H523" s="4">
        <v>-17.5</v>
      </c>
      <c r="I523" s="8" t="s">
        <v>66</v>
      </c>
      <c r="J523" s="4">
        <v>0</v>
      </c>
      <c r="K523" s="4">
        <v>0</v>
      </c>
      <c r="L523" s="8" t="s">
        <v>117</v>
      </c>
      <c r="M523" s="4">
        <v>0</v>
      </c>
      <c r="N523" s="8" t="s">
        <v>1410</v>
      </c>
      <c r="O523" s="8" t="s">
        <v>1394</v>
      </c>
      <c r="P523" s="8" t="s">
        <v>218</v>
      </c>
      <c r="Q523" s="4">
        <v>5637716189</v>
      </c>
    </row>
    <row r="524" spans="1:17">
      <c r="A524" s="8" t="s">
        <v>1121</v>
      </c>
      <c r="B524" s="8" t="s">
        <v>718</v>
      </c>
      <c r="C524" s="8" t="s">
        <v>291</v>
      </c>
      <c r="D524" s="8" t="s">
        <v>473</v>
      </c>
      <c r="E524" s="6">
        <v>43108</v>
      </c>
      <c r="F524" s="8" t="s">
        <v>237</v>
      </c>
      <c r="G524" s="8" t="s">
        <v>238</v>
      </c>
      <c r="H524" s="4">
        <v>-37.1</v>
      </c>
      <c r="I524" s="8" t="s">
        <v>66</v>
      </c>
      <c r="J524" s="4">
        <v>0</v>
      </c>
      <c r="K524" s="4">
        <v>0</v>
      </c>
      <c r="L524" s="8" t="s">
        <v>117</v>
      </c>
      <c r="M524" s="4">
        <v>0</v>
      </c>
      <c r="N524" s="8" t="s">
        <v>1405</v>
      </c>
      <c r="O524" s="8" t="s">
        <v>1253</v>
      </c>
      <c r="P524" s="8" t="s">
        <v>218</v>
      </c>
      <c r="Q524" s="4">
        <v>5637706516</v>
      </c>
    </row>
    <row r="525" spans="1:17">
      <c r="A525" s="8" t="s">
        <v>1121</v>
      </c>
      <c r="B525" s="8" t="s">
        <v>656</v>
      </c>
      <c r="C525" s="8" t="s">
        <v>293</v>
      </c>
      <c r="D525" s="8" t="s">
        <v>482</v>
      </c>
      <c r="E525" s="6">
        <v>43108</v>
      </c>
      <c r="F525" s="8" t="s">
        <v>237</v>
      </c>
      <c r="G525" s="8" t="s">
        <v>238</v>
      </c>
      <c r="H525" s="4">
        <v>-450</v>
      </c>
      <c r="I525" s="8" t="s">
        <v>66</v>
      </c>
      <c r="J525" s="4">
        <v>0</v>
      </c>
      <c r="K525" s="4">
        <v>0</v>
      </c>
      <c r="L525" s="8" t="s">
        <v>117</v>
      </c>
      <c r="M525" s="4">
        <v>0</v>
      </c>
      <c r="N525" s="8" t="s">
        <v>1400</v>
      </c>
      <c r="O525" s="8" t="s">
        <v>1123</v>
      </c>
      <c r="P525" s="8" t="s">
        <v>218</v>
      </c>
      <c r="Q525" s="4">
        <v>5637706337</v>
      </c>
    </row>
    <row r="526" spans="1:17">
      <c r="A526" s="8" t="s">
        <v>1121</v>
      </c>
      <c r="B526" s="8" t="s">
        <v>672</v>
      </c>
      <c r="C526" s="8" t="s">
        <v>293</v>
      </c>
      <c r="D526" s="8" t="s">
        <v>482</v>
      </c>
      <c r="E526" s="6">
        <v>43110</v>
      </c>
      <c r="F526" s="8" t="s">
        <v>237</v>
      </c>
      <c r="G526" s="8" t="s">
        <v>238</v>
      </c>
      <c r="H526" s="4">
        <v>-4.5</v>
      </c>
      <c r="I526" s="8" t="s">
        <v>66</v>
      </c>
      <c r="J526" s="4">
        <v>0</v>
      </c>
      <c r="K526" s="4">
        <v>0</v>
      </c>
      <c r="L526" s="8" t="s">
        <v>117</v>
      </c>
      <c r="M526" s="4">
        <v>0</v>
      </c>
      <c r="N526" s="8" t="s">
        <v>1406</v>
      </c>
      <c r="O526" s="8" t="s">
        <v>1155</v>
      </c>
      <c r="P526" s="8" t="s">
        <v>218</v>
      </c>
      <c r="Q526" s="4">
        <v>5637706381</v>
      </c>
    </row>
    <row r="527" spans="1:17">
      <c r="A527" s="8" t="s">
        <v>1121</v>
      </c>
      <c r="B527" s="8" t="s">
        <v>696</v>
      </c>
      <c r="C527" s="8" t="s">
        <v>295</v>
      </c>
      <c r="D527" s="8" t="s">
        <v>485</v>
      </c>
      <c r="E527" s="6">
        <v>43108</v>
      </c>
      <c r="F527" s="8" t="s">
        <v>237</v>
      </c>
      <c r="G527" s="8" t="s">
        <v>238</v>
      </c>
      <c r="H527" s="4">
        <v>-0.14499999999999999</v>
      </c>
      <c r="I527" s="8" t="s">
        <v>66</v>
      </c>
      <c r="J527" s="4">
        <v>0</v>
      </c>
      <c r="K527" s="4">
        <v>0</v>
      </c>
      <c r="L527" s="8" t="s">
        <v>117</v>
      </c>
      <c r="M527" s="4">
        <v>0</v>
      </c>
      <c r="N527" s="8" t="s">
        <v>1435</v>
      </c>
      <c r="O527" s="8" t="s">
        <v>1210</v>
      </c>
      <c r="P527" s="8" t="s">
        <v>218</v>
      </c>
      <c r="Q527" s="4">
        <v>5637706451</v>
      </c>
    </row>
    <row r="528" spans="1:17">
      <c r="A528" s="8" t="s">
        <v>1121</v>
      </c>
      <c r="B528" s="8" t="s">
        <v>738</v>
      </c>
      <c r="C528" s="8" t="s">
        <v>296</v>
      </c>
      <c r="D528" s="8" t="s">
        <v>486</v>
      </c>
      <c r="E528" s="6">
        <v>43115</v>
      </c>
      <c r="F528" s="8" t="s">
        <v>237</v>
      </c>
      <c r="G528" s="8" t="s">
        <v>238</v>
      </c>
      <c r="H528" s="4">
        <v>-4.3499999999999996</v>
      </c>
      <c r="I528" s="8" t="s">
        <v>66</v>
      </c>
      <c r="J528" s="4">
        <v>0</v>
      </c>
      <c r="K528" s="4">
        <v>0</v>
      </c>
      <c r="L528" s="8" t="s">
        <v>117</v>
      </c>
      <c r="M528" s="4">
        <v>0</v>
      </c>
      <c r="N528" s="8" t="s">
        <v>1437</v>
      </c>
      <c r="O528" s="8" t="s">
        <v>1286</v>
      </c>
      <c r="P528" s="8" t="s">
        <v>218</v>
      </c>
      <c r="Q528" s="4">
        <v>5637707273</v>
      </c>
    </row>
    <row r="529" spans="1:17">
      <c r="A529" s="8" t="s">
        <v>1121</v>
      </c>
      <c r="B529" s="8" t="s">
        <v>750</v>
      </c>
      <c r="C529" s="8" t="s">
        <v>296</v>
      </c>
      <c r="D529" s="8" t="s">
        <v>486</v>
      </c>
      <c r="E529" s="6">
        <v>43138</v>
      </c>
      <c r="F529" s="8" t="s">
        <v>237</v>
      </c>
      <c r="G529" s="8" t="s">
        <v>238</v>
      </c>
      <c r="H529" s="4">
        <v>-8.6999999999999993</v>
      </c>
      <c r="I529" s="8" t="s">
        <v>66</v>
      </c>
      <c r="J529" s="4">
        <v>0</v>
      </c>
      <c r="K529" s="4">
        <v>0</v>
      </c>
      <c r="L529" s="8" t="s">
        <v>117</v>
      </c>
      <c r="M529" s="4">
        <v>0</v>
      </c>
      <c r="N529" s="8" t="s">
        <v>1438</v>
      </c>
      <c r="O529" s="8" t="s">
        <v>1305</v>
      </c>
      <c r="P529" s="8" t="s">
        <v>218</v>
      </c>
      <c r="Q529" s="4">
        <v>5637707543</v>
      </c>
    </row>
    <row r="530" spans="1:17">
      <c r="A530" s="8" t="s">
        <v>1121</v>
      </c>
      <c r="B530" s="8" t="s">
        <v>792</v>
      </c>
      <c r="C530" s="8" t="s">
        <v>296</v>
      </c>
      <c r="D530" s="8" t="s">
        <v>486</v>
      </c>
      <c r="E530" s="6">
        <v>43158</v>
      </c>
      <c r="F530" s="8" t="s">
        <v>237</v>
      </c>
      <c r="G530" s="8" t="s">
        <v>238</v>
      </c>
      <c r="H530" s="4">
        <v>-43.5</v>
      </c>
      <c r="I530" s="8" t="s">
        <v>66</v>
      </c>
      <c r="J530" s="4">
        <v>0</v>
      </c>
      <c r="K530" s="4">
        <v>0</v>
      </c>
      <c r="L530" s="8" t="s">
        <v>117</v>
      </c>
      <c r="M530" s="4">
        <v>0</v>
      </c>
      <c r="N530" s="8" t="s">
        <v>1441</v>
      </c>
      <c r="O530" s="8" t="s">
        <v>1389</v>
      </c>
      <c r="P530" s="8" t="s">
        <v>218</v>
      </c>
      <c r="Q530" s="4">
        <v>5637715564</v>
      </c>
    </row>
    <row r="531" spans="1:17">
      <c r="A531" s="8" t="s">
        <v>15</v>
      </c>
      <c r="B531" s="8" t="s">
        <v>838</v>
      </c>
      <c r="C531" s="8" t="s">
        <v>839</v>
      </c>
      <c r="D531" s="8" t="s">
        <v>840</v>
      </c>
      <c r="E531" s="6">
        <v>43136</v>
      </c>
      <c r="F531" s="8" t="s">
        <v>237</v>
      </c>
      <c r="G531" s="8" t="s">
        <v>238</v>
      </c>
      <c r="H531" s="4">
        <v>150</v>
      </c>
      <c r="I531" s="8" t="s">
        <v>22</v>
      </c>
      <c r="J531" s="4">
        <v>0</v>
      </c>
      <c r="K531" s="4">
        <v>0</v>
      </c>
      <c r="L531" s="8" t="s">
        <v>117</v>
      </c>
      <c r="M531" s="4">
        <v>0</v>
      </c>
      <c r="N531" s="8" t="s">
        <v>1532</v>
      </c>
      <c r="O531" s="8" t="s">
        <v>841</v>
      </c>
      <c r="P531" s="8" t="s">
        <v>218</v>
      </c>
      <c r="Q531" s="4">
        <v>5637707632</v>
      </c>
    </row>
    <row r="532" spans="1:17">
      <c r="A532" s="8" t="s">
        <v>1121</v>
      </c>
      <c r="B532" s="8" t="s">
        <v>674</v>
      </c>
      <c r="C532" s="8" t="s">
        <v>298</v>
      </c>
      <c r="D532" s="8" t="s">
        <v>489</v>
      </c>
      <c r="E532" s="6">
        <v>43108</v>
      </c>
      <c r="F532" s="8" t="s">
        <v>237</v>
      </c>
      <c r="G532" s="8" t="s">
        <v>238</v>
      </c>
      <c r="H532" s="4">
        <v>-8.0141999999999989</v>
      </c>
      <c r="I532" s="8" t="s">
        <v>66</v>
      </c>
      <c r="J532" s="4">
        <v>0</v>
      </c>
      <c r="K532" s="4">
        <v>0</v>
      </c>
      <c r="L532" s="8" t="s">
        <v>117</v>
      </c>
      <c r="M532" s="4">
        <v>0</v>
      </c>
      <c r="N532" s="8" t="s">
        <v>1398</v>
      </c>
      <c r="O532" s="8" t="s">
        <v>1168</v>
      </c>
      <c r="P532" s="8" t="s">
        <v>218</v>
      </c>
      <c r="Q532" s="4">
        <v>5637706395</v>
      </c>
    </row>
    <row r="533" spans="1:17">
      <c r="A533" s="8" t="s">
        <v>1121</v>
      </c>
      <c r="B533" s="8" t="s">
        <v>672</v>
      </c>
      <c r="C533" s="8" t="s">
        <v>298</v>
      </c>
      <c r="D533" s="8" t="s">
        <v>489</v>
      </c>
      <c r="E533" s="6">
        <v>43110</v>
      </c>
      <c r="F533" s="8" t="s">
        <v>237</v>
      </c>
      <c r="G533" s="8" t="s">
        <v>238</v>
      </c>
      <c r="H533" s="4">
        <v>-45</v>
      </c>
      <c r="I533" s="8" t="s">
        <v>66</v>
      </c>
      <c r="J533" s="4">
        <v>0</v>
      </c>
      <c r="K533" s="4">
        <v>0</v>
      </c>
      <c r="L533" s="8" t="s">
        <v>117</v>
      </c>
      <c r="M533" s="4">
        <v>0</v>
      </c>
      <c r="N533" s="8" t="s">
        <v>1406</v>
      </c>
      <c r="O533" s="8" t="s">
        <v>1156</v>
      </c>
      <c r="P533" s="8" t="s">
        <v>218</v>
      </c>
      <c r="Q533" s="4">
        <v>5637706380</v>
      </c>
    </row>
    <row r="534" spans="1:17">
      <c r="A534" s="8" t="s">
        <v>1121</v>
      </c>
      <c r="B534" s="8" t="s">
        <v>740</v>
      </c>
      <c r="C534" s="8" t="s">
        <v>298</v>
      </c>
      <c r="D534" s="8" t="s">
        <v>489</v>
      </c>
      <c r="E534" s="6">
        <v>43115</v>
      </c>
      <c r="F534" s="8" t="s">
        <v>237</v>
      </c>
      <c r="G534" s="8" t="s">
        <v>238</v>
      </c>
      <c r="H534" s="4">
        <v>-625</v>
      </c>
      <c r="I534" s="8" t="s">
        <v>66</v>
      </c>
      <c r="J534" s="4">
        <v>0</v>
      </c>
      <c r="K534" s="4">
        <v>0</v>
      </c>
      <c r="L534" s="8" t="s">
        <v>117</v>
      </c>
      <c r="M534" s="4">
        <v>0</v>
      </c>
      <c r="N534" s="8" t="s">
        <v>1529</v>
      </c>
      <c r="O534" s="8" t="s">
        <v>1287</v>
      </c>
      <c r="P534" s="8" t="s">
        <v>218</v>
      </c>
      <c r="Q534" s="4">
        <v>5637707283</v>
      </c>
    </row>
    <row r="535" spans="1:17">
      <c r="A535" s="8" t="s">
        <v>1121</v>
      </c>
      <c r="B535" s="8" t="s">
        <v>752</v>
      </c>
      <c r="C535" s="8" t="s">
        <v>298</v>
      </c>
      <c r="D535" s="8" t="s">
        <v>489</v>
      </c>
      <c r="E535" s="6">
        <v>43140</v>
      </c>
      <c r="F535" s="8" t="s">
        <v>237</v>
      </c>
      <c r="G535" s="8" t="s">
        <v>238</v>
      </c>
      <c r="H535" s="4">
        <v>-29.965900000000001</v>
      </c>
      <c r="I535" s="8" t="s">
        <v>66</v>
      </c>
      <c r="J535" s="4">
        <v>0</v>
      </c>
      <c r="K535" s="4">
        <v>0</v>
      </c>
      <c r="L535" s="8" t="s">
        <v>117</v>
      </c>
      <c r="M535" s="4">
        <v>0</v>
      </c>
      <c r="N535" s="8" t="s">
        <v>1399</v>
      </c>
      <c r="O535" s="8" t="s">
        <v>1318</v>
      </c>
      <c r="P535" s="8" t="s">
        <v>218</v>
      </c>
      <c r="Q535" s="4">
        <v>5637708345</v>
      </c>
    </row>
    <row r="536" spans="1:17">
      <c r="A536" s="3" t="s">
        <v>13</v>
      </c>
      <c r="B536" s="7"/>
      <c r="C536" s="7"/>
      <c r="D536" s="7"/>
      <c r="E536" s="5"/>
      <c r="F536" s="7"/>
      <c r="G536" s="7"/>
      <c r="H536" s="3">
        <f>SUBTOTAL(109,AtlasReport_2_Table_1[Quantity])</f>
        <v>-35570.322899999999</v>
      </c>
      <c r="I536" s="7"/>
      <c r="J536" s="3">
        <f>SUBTOTAL(109,AtlasReport_2_Table_1[TPP cost price])</f>
        <v>0</v>
      </c>
      <c r="K536" s="3">
        <f>SUBTOTAL(109,AtlasReport_2_Table_1[TPP cost amount])</f>
        <v>0</v>
      </c>
      <c r="L536" s="7"/>
      <c r="M536" s="3">
        <f>SUBTOTAL(109,AtlasReport_2_Table_1[TPP cost amount currency])</f>
        <v>0</v>
      </c>
      <c r="N536" s="7"/>
      <c r="O536" s="7"/>
      <c r="P536" s="7"/>
      <c r="Q536" s="3">
        <f>SUBTOTAL(109,AtlasReport_2_Table_1[InventTransRecId])</f>
        <v>3004898803275</v>
      </c>
    </row>
    <row r="537" spans="1:17">
      <c r="A537" s="3"/>
      <c r="B537" s="3"/>
      <c r="C537" s="3"/>
      <c r="D537" s="3"/>
      <c r="E537" s="5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5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9"/>
  <sheetViews>
    <sheetView workbookViewId="0">
      <selection activeCell="A7" sqref="A7"/>
    </sheetView>
  </sheetViews>
  <sheetFormatPr defaultRowHeight="1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>
      <c r="A1" s="2" t="s">
        <v>36</v>
      </c>
      <c r="B1" s="2"/>
      <c r="C1" s="2"/>
      <c r="D1" s="2"/>
      <c r="E1" s="2"/>
      <c r="F1" s="2"/>
      <c r="G1" s="2"/>
      <c r="H1" s="2"/>
    </row>
    <row r="2" spans="1:8">
      <c r="A2" s="3" t="s">
        <v>6</v>
      </c>
      <c r="B2" s="3" t="s">
        <v>34</v>
      </c>
      <c r="C2" s="3" t="s">
        <v>35</v>
      </c>
      <c r="D2" s="9" t="s">
        <v>45</v>
      </c>
      <c r="E2" s="9" t="s">
        <v>50</v>
      </c>
      <c r="F2" s="9" t="s">
        <v>51</v>
      </c>
      <c r="G2" s="9" t="s">
        <v>46</v>
      </c>
      <c r="H2" s="9" t="s">
        <v>47</v>
      </c>
    </row>
    <row r="3" spans="1:8">
      <c r="A3" s="8" t="s">
        <v>236</v>
      </c>
      <c r="B3" s="8" t="s">
        <v>237</v>
      </c>
      <c r="C3" s="8" t="s">
        <v>238</v>
      </c>
      <c r="D3" s="10">
        <v>56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56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56</v>
      </c>
    </row>
    <row r="4" spans="1:8">
      <c r="A4" s="8" t="s">
        <v>239</v>
      </c>
      <c r="B4" s="8" t="s">
        <v>237</v>
      </c>
      <c r="C4" s="8" t="s">
        <v>238</v>
      </c>
      <c r="D4" s="10">
        <v>54.5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54.5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54.5</v>
      </c>
    </row>
    <row r="5" spans="1:8">
      <c r="A5" s="8" t="s">
        <v>240</v>
      </c>
      <c r="B5" s="8" t="s">
        <v>237</v>
      </c>
      <c r="C5" s="8" t="s">
        <v>238</v>
      </c>
      <c r="D5" s="10">
        <v>300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300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300</v>
      </c>
    </row>
    <row r="6" spans="1:8">
      <c r="A6" s="8" t="s">
        <v>1014</v>
      </c>
      <c r="B6" s="8" t="s">
        <v>237</v>
      </c>
      <c r="C6" s="8" t="s">
        <v>238</v>
      </c>
      <c r="D6" s="10">
        <v>20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20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20</v>
      </c>
    </row>
    <row r="7" spans="1:8">
      <c r="A7" s="8" t="s">
        <v>128</v>
      </c>
      <c r="B7" s="8" t="s">
        <v>237</v>
      </c>
      <c r="C7" s="8" t="s">
        <v>238</v>
      </c>
      <c r="D7" s="10">
        <v>4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4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4</v>
      </c>
    </row>
    <row r="8" spans="1:8">
      <c r="A8" s="8" t="s">
        <v>306</v>
      </c>
      <c r="B8" s="8" t="s">
        <v>237</v>
      </c>
      <c r="C8" s="8" t="s">
        <v>44</v>
      </c>
      <c r="D8" s="10">
        <v>0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0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>
      <c r="A9" s="8" t="s">
        <v>306</v>
      </c>
      <c r="B9" s="8" t="s">
        <v>237</v>
      </c>
      <c r="C9" s="8" t="s">
        <v>238</v>
      </c>
      <c r="D9" s="10">
        <v>0</v>
      </c>
      <c r="E9" s="10">
        <f>_xll.AtlasFormulas.AtlasFunctions.AtlasBalance("PROD",DataAreaId,"T.InventTrans|inventDimId~inventDimId@T.InventDim","Sum|Qty|0","","","","","","","DateFinancial|ItemId|T2.InventSiteId|T2.InventLocationId",PeriodBeginning,$A9,$B9,$C9)</f>
        <v>0</v>
      </c>
      <c r="F9" s="10">
        <f>_xll.AtlasFormulas.AtlasFunctions.AtlasBalance("PROD",DataAreaId,"T.InventTrans|inventDimId~inventDimId@T.InventDim","Sum|Qty|0","","","","","","","DateFinancial|ItemId|T2.InventSiteId|T2.InventLocationId",PeriodEnding,$A9,$B9,$C9)</f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>
      <c r="A10" s="8" t="s">
        <v>241</v>
      </c>
      <c r="B10" s="8" t="s">
        <v>237</v>
      </c>
      <c r="C10" s="8" t="s">
        <v>238</v>
      </c>
      <c r="D10" s="10">
        <v>13.347799999999999</v>
      </c>
      <c r="E10" s="10">
        <f>_xll.AtlasFormulas.AtlasFunctions.AtlasBalance("PROD",DataAreaId,"T.InventTrans|inventDimId~inventDimId@T.InventDim","Sum|Qty|0","","","","","","","DateFinancial|ItemId|T2.InventSiteId|T2.InventLocationId",PeriodBeginning,$A10,$B10,$C10)</f>
        <v>13.347799999999999</v>
      </c>
      <c r="F10" s="10">
        <f>_xll.AtlasFormulas.AtlasFunctions.AtlasBalance("PROD",DataAreaId,"T.InventTrans|inventDimId~inventDimId@T.InventDim","Sum|Qty|0","","","","","","","DateFinancial|ItemId|T2.InventSiteId|T2.InventLocationId",PeriodEnding,$A10,$B10,$C10)</f>
        <v>0</v>
      </c>
      <c r="G10" s="10">
        <f>AtlasReport_3_Table_1[[#This Row],[Current On-hand]]-AtlasReport_3_Table_1[[#This Row],[Trans backwords (Beginning)]]</f>
        <v>0</v>
      </c>
      <c r="H10" s="10">
        <f>AtlasReport_3_Table_1[[#This Row],[Current On-hand]]-AtlasReport_3_Table_1[[#This Row],[Trans backwords (Ending)]]</f>
        <v>13.347799999999999</v>
      </c>
    </row>
    <row r="11" spans="1:8">
      <c r="A11" s="8" t="s">
        <v>1018</v>
      </c>
      <c r="B11" s="8" t="s">
        <v>237</v>
      </c>
      <c r="C11" s="8" t="s">
        <v>238</v>
      </c>
      <c r="D11" s="10">
        <v>24.5</v>
      </c>
      <c r="E11" s="10">
        <f>_xll.AtlasFormulas.AtlasFunctions.AtlasBalance("PROD",DataAreaId,"T.InventTrans|inventDimId~inventDimId@T.InventDim","Sum|Qty|0","","","","","","","DateFinancial|ItemId|T2.InventSiteId|T2.InventLocationId",PeriodBeginning,$A11,$B11,$C11)</f>
        <v>24.5</v>
      </c>
      <c r="F11" s="10">
        <f>_xll.AtlasFormulas.AtlasFunctions.AtlasBalance("PROD",DataAreaId,"T.InventTrans|inventDimId~inventDimId@T.InventDim","Sum|Qty|0","","","","","","","DateFinancial|ItemId|T2.InventSiteId|T2.InventLocationId",PeriodEnding,$A11,$B11,$C11)</f>
        <v>0</v>
      </c>
      <c r="G11" s="10">
        <f>AtlasReport_3_Table_1[[#This Row],[Current On-hand]]-AtlasReport_3_Table_1[[#This Row],[Trans backwords (Beginning)]]</f>
        <v>0</v>
      </c>
      <c r="H11" s="10">
        <f>AtlasReport_3_Table_1[[#This Row],[Current On-hand]]-AtlasReport_3_Table_1[[#This Row],[Trans backwords (Ending)]]</f>
        <v>24.5</v>
      </c>
    </row>
    <row r="12" spans="1:8">
      <c r="A12" s="8" t="s">
        <v>242</v>
      </c>
      <c r="B12" s="8" t="s">
        <v>237</v>
      </c>
      <c r="C12" s="8" t="s">
        <v>238</v>
      </c>
      <c r="D12" s="10">
        <v>24.897500000000001</v>
      </c>
      <c r="E12" s="10">
        <f>_xll.AtlasFormulas.AtlasFunctions.AtlasBalance("PROD",DataAreaId,"T.InventTrans|inventDimId~inventDimId@T.InventDim","Sum|Qty|0","","","","","","","DateFinancial|ItemId|T2.InventSiteId|T2.InventLocationId",PeriodBeginning,$A12,$B12,$C12)</f>
        <v>24.897500000000001</v>
      </c>
      <c r="F12" s="10">
        <f>_xll.AtlasFormulas.AtlasFunctions.AtlasBalance("PROD",DataAreaId,"T.InventTrans|inventDimId~inventDimId@T.InventDim","Sum|Qty|0","","","","","","","DateFinancial|ItemId|T2.InventSiteId|T2.InventLocationId",PeriodEnding,$A12,$B12,$C12)</f>
        <v>-1.2024999999999999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26.1</v>
      </c>
    </row>
    <row r="13" spans="1:8">
      <c r="A13" s="8" t="s">
        <v>37</v>
      </c>
      <c r="B13" s="8" t="s">
        <v>237</v>
      </c>
      <c r="C13" s="8" t="s">
        <v>238</v>
      </c>
      <c r="D13" s="10">
        <v>195</v>
      </c>
      <c r="E13" s="10">
        <f>_xll.AtlasFormulas.AtlasFunctions.AtlasBalance("PROD",DataAreaId,"T.InventTrans|inventDimId~inventDimId@T.InventDim","Sum|Qty|0","","","","","","","DateFinancial|ItemId|T2.InventSiteId|T2.InventLocationId",PeriodBeginning,$A13,$B13,$C13)</f>
        <v>195</v>
      </c>
      <c r="F13" s="10">
        <f>_xll.AtlasFormulas.AtlasFunctions.AtlasBalance("PROD",DataAreaId,"T.InventTrans|inventDimId~inventDimId@T.InventDim","Sum|Qty|0","","","","","","","DateFinancial|ItemId|T2.InventSiteId|T2.InventLocationId",PeriodEnding,$A13,$B13,$C13)</f>
        <v>0</v>
      </c>
      <c r="G13" s="10">
        <f>AtlasReport_3_Table_1[[#This Row],[Current On-hand]]-AtlasReport_3_Table_1[[#This Row],[Trans backwords (Beginning)]]</f>
        <v>0</v>
      </c>
      <c r="H13" s="10">
        <f>AtlasReport_3_Table_1[[#This Row],[Current On-hand]]-AtlasReport_3_Table_1[[#This Row],[Trans backwords (Ending)]]</f>
        <v>195</v>
      </c>
    </row>
    <row r="14" spans="1:8">
      <c r="A14" s="8" t="s">
        <v>71</v>
      </c>
      <c r="B14" s="8" t="s">
        <v>237</v>
      </c>
      <c r="C14" s="8" t="s">
        <v>238</v>
      </c>
      <c r="D14" s="10">
        <v>195</v>
      </c>
      <c r="E14" s="10">
        <f>_xll.AtlasFormulas.AtlasFunctions.AtlasBalance("PROD",DataAreaId,"T.InventTrans|inventDimId~inventDimId@T.InventDim","Sum|Qty|0","","","","","","","DateFinancial|ItemId|T2.InventSiteId|T2.InventLocationId",PeriodBeginning,$A14,$B14,$C14)</f>
        <v>195</v>
      </c>
      <c r="F14" s="10">
        <f>_xll.AtlasFormulas.AtlasFunctions.AtlasBalance("PROD",DataAreaId,"T.InventTrans|inventDimId~inventDimId@T.InventDim","Sum|Qty|0","","","","","","","DateFinancial|ItemId|T2.InventSiteId|T2.InventLocationId",PeriodEnding,$A14,$B14,$C14)</f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195</v>
      </c>
    </row>
    <row r="15" spans="1:8">
      <c r="A15" s="8" t="s">
        <v>130</v>
      </c>
      <c r="B15" s="8" t="s">
        <v>237</v>
      </c>
      <c r="C15" s="8" t="s">
        <v>238</v>
      </c>
      <c r="D15" s="10">
        <v>0</v>
      </c>
      <c r="E15" s="10">
        <f>_xll.AtlasFormulas.AtlasFunctions.AtlasBalance("PROD",DataAreaId,"T.InventTrans|inventDimId~inventDimId@T.InventDim","Sum|Qty|0","","","","","","","DateFinancial|ItemId|T2.InventSiteId|T2.InventLocationId",PeriodBeginning,$A15,$B15,$C15)</f>
        <v>0</v>
      </c>
      <c r="F15" s="10">
        <f>_xll.AtlasFormulas.AtlasFunctions.AtlasBalance("PROD",DataAreaId,"T.InventTrans|inventDimId~inventDimId@T.InventDim","Sum|Qty|0","","","","","","","DateFinancial|ItemId|T2.InventSiteId|T2.InventLocationId",PeriodEnding,$A15,$B15,$C15)</f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>
      <c r="A16" s="8" t="s">
        <v>228</v>
      </c>
      <c r="B16" s="8" t="s">
        <v>237</v>
      </c>
      <c r="C16" s="8" t="s">
        <v>238</v>
      </c>
      <c r="D16" s="10">
        <v>0</v>
      </c>
      <c r="E16" s="10">
        <f>_xll.AtlasFormulas.AtlasFunctions.AtlasBalance("PROD",DataAreaId,"T.InventTrans|inventDimId~inventDimId@T.InventDim","Sum|Qty|0","","","","","","","DateFinancial|ItemId|T2.InventSiteId|T2.InventLocationId",PeriodBeginning,$A16,$B16,$C16)</f>
        <v>0</v>
      </c>
      <c r="F16" s="10">
        <f>_xll.AtlasFormulas.AtlasFunctions.AtlasBalance("PROD",DataAreaId,"T.InventTrans|inventDimId~inventDimId@T.InventDim","Sum|Qty|0","","","","","","","DateFinancial|ItemId|T2.InventSiteId|T2.InventLocationId",PeriodEnding,$A16,$B16,$C16)</f>
        <v>0</v>
      </c>
      <c r="G16" s="10">
        <f>AtlasReport_3_Table_1[[#This Row],[Current On-hand]]-AtlasReport_3_Table_1[[#This Row],[Trans backwords (Beginning)]]</f>
        <v>0</v>
      </c>
      <c r="H16" s="10">
        <f>AtlasReport_3_Table_1[[#This Row],[Current On-hand]]-AtlasReport_3_Table_1[[#This Row],[Trans backwords (Ending)]]</f>
        <v>0</v>
      </c>
    </row>
    <row r="17" spans="1:8">
      <c r="A17" s="8" t="s">
        <v>243</v>
      </c>
      <c r="B17" s="8" t="s">
        <v>237</v>
      </c>
      <c r="C17" s="8" t="s">
        <v>238</v>
      </c>
      <c r="D17" s="10">
        <v>182.55</v>
      </c>
      <c r="E17" s="10">
        <f>_xll.AtlasFormulas.AtlasFunctions.AtlasBalance("PROD",DataAreaId,"T.InventTrans|inventDimId~inventDimId@T.InventDim","Sum|Qty|0","","","","","","","DateFinancial|ItemId|T2.InventSiteId|T2.InventLocationId",PeriodBeginning,$A17,$B17,$C17)</f>
        <v>182.55</v>
      </c>
      <c r="F17" s="10">
        <f>_xll.AtlasFormulas.AtlasFunctions.AtlasBalance("PROD",DataAreaId,"T.InventTrans|inventDimId~inventDimId@T.InventDim","Sum|Qty|0","","","","","","","DateFinancial|ItemId|T2.InventSiteId|T2.InventLocationId",PeriodEnding,$A17,$B17,$C17)</f>
        <v>0</v>
      </c>
      <c r="G17" s="10">
        <f>AtlasReport_3_Table_1[[#This Row],[Current On-hand]]-AtlasReport_3_Table_1[[#This Row],[Trans backwords (Beginning)]]</f>
        <v>0</v>
      </c>
      <c r="H17" s="10">
        <f>AtlasReport_3_Table_1[[#This Row],[Current On-hand]]-AtlasReport_3_Table_1[[#This Row],[Trans backwords (Ending)]]</f>
        <v>182.55</v>
      </c>
    </row>
    <row r="18" spans="1:8">
      <c r="A18" s="8" t="s">
        <v>244</v>
      </c>
      <c r="B18" s="8" t="s">
        <v>237</v>
      </c>
      <c r="C18" s="8" t="s">
        <v>238</v>
      </c>
      <c r="D18" s="10">
        <v>27.9</v>
      </c>
      <c r="E18" s="10">
        <f>_xll.AtlasFormulas.AtlasFunctions.AtlasBalance("PROD",DataAreaId,"T.InventTrans|inventDimId~inventDimId@T.InventDim","Sum|Qty|0","","","","","","","DateFinancial|ItemId|T2.InventSiteId|T2.InventLocationId",PeriodBeginning,$A18,$B18,$C18)</f>
        <v>27.9</v>
      </c>
      <c r="F18" s="10">
        <f>_xll.AtlasFormulas.AtlasFunctions.AtlasBalance("PROD",DataAreaId,"T.InventTrans|inventDimId~inventDimId@T.InventDim","Sum|Qty|0","","","","","","","DateFinancial|ItemId|T2.InventSiteId|T2.InventLocationId",PeriodEnding,$A18,$B18,$C18)</f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27.9</v>
      </c>
    </row>
    <row r="19" spans="1:8">
      <c r="A19" s="8" t="s">
        <v>72</v>
      </c>
      <c r="B19" s="8" t="s">
        <v>237</v>
      </c>
      <c r="C19" s="8" t="s">
        <v>238</v>
      </c>
      <c r="D19" s="10">
        <v>1</v>
      </c>
      <c r="E19" s="10">
        <f>_xll.AtlasFormulas.AtlasFunctions.AtlasBalance("PROD",DataAreaId,"T.InventTrans|inventDimId~inventDimId@T.InventDim","Sum|Qty|0","","","","","","","DateFinancial|ItemId|T2.InventSiteId|T2.InventLocationId",PeriodBeginning,$A19,$B19,$C19)</f>
        <v>1</v>
      </c>
      <c r="F19" s="10">
        <f>_xll.AtlasFormulas.AtlasFunctions.AtlasBalance("PROD",DataAreaId,"T.InventTrans|inventDimId~inventDimId@T.InventDim","Sum|Qty|0","","","","","","","DateFinancial|ItemId|T2.InventSiteId|T2.InventLocationId",PeriodEnding,$A19,$B19,$C19)</f>
        <v>0</v>
      </c>
      <c r="G19" s="10">
        <f>AtlasReport_3_Table_1[[#This Row],[Current On-hand]]-AtlasReport_3_Table_1[[#This Row],[Trans backwords (Beginning)]]</f>
        <v>0</v>
      </c>
      <c r="H19" s="10">
        <f>AtlasReport_3_Table_1[[#This Row],[Current On-hand]]-AtlasReport_3_Table_1[[#This Row],[Trans backwords (Ending)]]</f>
        <v>1</v>
      </c>
    </row>
    <row r="20" spans="1:8">
      <c r="A20" s="8" t="s">
        <v>189</v>
      </c>
      <c r="B20" s="8" t="s">
        <v>237</v>
      </c>
      <c r="C20" s="8" t="s">
        <v>44</v>
      </c>
      <c r="D20" s="10">
        <v>0</v>
      </c>
      <c r="E20" s="10">
        <f>_xll.AtlasFormulas.AtlasFunctions.AtlasBalance("PROD",DataAreaId,"T.InventTrans|inventDimId~inventDimId@T.InventDim","Sum|Qty|0","","","","","","","DateFinancial|ItemId|T2.InventSiteId|T2.InventLocationId",PeriodBeginning,$A20,$B20,$C20)</f>
        <v>0</v>
      </c>
      <c r="F20" s="10">
        <f>_xll.AtlasFormulas.AtlasFunctions.AtlasBalance("PROD",DataAreaId,"T.InventTrans|inventDimId~inventDimId@T.InventDim","Sum|Qty|0","","","","","","","DateFinancial|ItemId|T2.InventSiteId|T2.InventLocationId",PeriodEnding,$A20,$B20,$C20)</f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>
      <c r="A21" s="8" t="s">
        <v>189</v>
      </c>
      <c r="B21" s="8" t="s">
        <v>237</v>
      </c>
      <c r="C21" s="8" t="s">
        <v>238</v>
      </c>
      <c r="D21" s="10">
        <v>56</v>
      </c>
      <c r="E21" s="10">
        <f>_xll.AtlasFormulas.AtlasFunctions.AtlasBalance("PROD",DataAreaId,"T.InventTrans|inventDimId~inventDimId@T.InventDim","Sum|Qty|0","","","","","","","DateFinancial|ItemId|T2.InventSiteId|T2.InventLocationId",PeriodBeginning,$A21,$B21,$C21)</f>
        <v>56</v>
      </c>
      <c r="F21" s="10">
        <f>_xll.AtlasFormulas.AtlasFunctions.AtlasBalance("PROD",DataAreaId,"T.InventTrans|inventDimId~inventDimId@T.InventDim","Sum|Qty|0","","","","","","","DateFinancial|ItemId|T2.InventSiteId|T2.InventLocationId",PeriodEnding,$A21,$B21,$C21)</f>
        <v>0</v>
      </c>
      <c r="G21" s="10">
        <f>AtlasReport_3_Table_1[[#This Row],[Current On-hand]]-AtlasReport_3_Table_1[[#This Row],[Trans backwords (Beginning)]]</f>
        <v>0</v>
      </c>
      <c r="H21" s="10">
        <f>AtlasReport_3_Table_1[[#This Row],[Current On-hand]]-AtlasReport_3_Table_1[[#This Row],[Trans backwords (Ending)]]</f>
        <v>56</v>
      </c>
    </row>
    <row r="22" spans="1:8">
      <c r="A22" s="8" t="s">
        <v>245</v>
      </c>
      <c r="B22" s="8" t="s">
        <v>237</v>
      </c>
      <c r="C22" s="8" t="s">
        <v>238</v>
      </c>
      <c r="D22" s="10">
        <v>34.200000000000003</v>
      </c>
      <c r="E22" s="10">
        <f>_xll.AtlasFormulas.AtlasFunctions.AtlasBalance("PROD",DataAreaId,"T.InventTrans|inventDimId~inventDimId@T.InventDim","Sum|Qty|0","","","","","","","DateFinancial|ItemId|T2.InventSiteId|T2.InventLocationId",PeriodBeginning,$A22,$B22,$C22)</f>
        <v>34.200000000000003</v>
      </c>
      <c r="F22" s="10">
        <f>_xll.AtlasFormulas.AtlasFunctions.AtlasBalance("PROD",DataAreaId,"T.InventTrans|inventDimId~inventDimId@T.InventDim","Sum|Qty|0","","","","","","","DateFinancial|ItemId|T2.InventSiteId|T2.InventLocationId",PeriodEnding,$A22,$B22,$C22)</f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34.200000000000003</v>
      </c>
    </row>
    <row r="23" spans="1:8">
      <c r="A23" s="8" t="s">
        <v>246</v>
      </c>
      <c r="B23" s="8" t="s">
        <v>237</v>
      </c>
      <c r="C23" s="8" t="s">
        <v>238</v>
      </c>
      <c r="D23" s="10">
        <v>2</v>
      </c>
      <c r="E23" s="10">
        <f>_xll.AtlasFormulas.AtlasFunctions.AtlasBalance("PROD",DataAreaId,"T.InventTrans|inventDimId~inventDimId@T.InventDim","Sum|Qty|0","","","","","","","DateFinancial|ItemId|T2.InventSiteId|T2.InventLocationId",PeriodBeginning,$A23,$B23,$C23)</f>
        <v>2</v>
      </c>
      <c r="F23" s="10">
        <f>_xll.AtlasFormulas.AtlasFunctions.AtlasBalance("PROD",DataAreaId,"T.InventTrans|inventDimId~inventDimId@T.InventDim","Sum|Qty|0","","","","","","","DateFinancial|ItemId|T2.InventSiteId|T2.InventLocationId",PeriodEnding,$A23,$B23,$C23)</f>
        <v>0</v>
      </c>
      <c r="G23" s="10">
        <f>AtlasReport_3_Table_1[[#This Row],[Current On-hand]]-AtlasReport_3_Table_1[[#This Row],[Trans backwords (Beginning)]]</f>
        <v>0</v>
      </c>
      <c r="H23" s="10">
        <f>AtlasReport_3_Table_1[[#This Row],[Current On-hand]]-AtlasReport_3_Table_1[[#This Row],[Trans backwords (Ending)]]</f>
        <v>2</v>
      </c>
    </row>
    <row r="24" spans="1:8">
      <c r="A24" s="8" t="s">
        <v>247</v>
      </c>
      <c r="B24" s="8" t="s">
        <v>237</v>
      </c>
      <c r="C24" s="8" t="s">
        <v>238</v>
      </c>
      <c r="D24" s="10">
        <v>53</v>
      </c>
      <c r="E24" s="10">
        <f>_xll.AtlasFormulas.AtlasFunctions.AtlasBalance("PROD",DataAreaId,"T.InventTrans|inventDimId~inventDimId@T.InventDim","Sum|Qty|0","","","","","","","DateFinancial|ItemId|T2.InventSiteId|T2.InventLocationId",PeriodBeginning,$A24,$B24,$C24)</f>
        <v>53</v>
      </c>
      <c r="F24" s="10">
        <f>_xll.AtlasFormulas.AtlasFunctions.AtlasBalance("PROD",DataAreaId,"T.InventTrans|inventDimId~inventDimId@T.InventDim","Sum|Qty|0","","","","","","","DateFinancial|ItemId|T2.InventSiteId|T2.InventLocationId",PeriodEnding,$A24,$B24,$C24)</f>
        <v>0</v>
      </c>
      <c r="G24" s="10">
        <f>AtlasReport_3_Table_1[[#This Row],[Current On-hand]]-AtlasReport_3_Table_1[[#This Row],[Trans backwords (Beginning)]]</f>
        <v>0</v>
      </c>
      <c r="H24" s="10">
        <f>AtlasReport_3_Table_1[[#This Row],[Current On-hand]]-AtlasReport_3_Table_1[[#This Row],[Trans backwords (Ending)]]</f>
        <v>53</v>
      </c>
    </row>
    <row r="25" spans="1:8">
      <c r="A25" s="8" t="s">
        <v>248</v>
      </c>
      <c r="B25" s="8" t="s">
        <v>237</v>
      </c>
      <c r="C25" s="8" t="s">
        <v>249</v>
      </c>
      <c r="D25" s="10">
        <v>15083.9611</v>
      </c>
      <c r="E25" s="10">
        <f>_xll.AtlasFormulas.AtlasFunctions.AtlasBalance("PROD",DataAreaId,"T.InventTrans|inventDimId~inventDimId@T.InventDim","Sum|Qty|0","","","","","","","DateFinancial|ItemId|T2.InventSiteId|T2.InventLocationId",PeriodBeginning,$A25,$B25,$C25)</f>
        <v>15083.9611</v>
      </c>
      <c r="F25" s="10">
        <f>_xll.AtlasFormulas.AtlasFunctions.AtlasBalance("PROD",DataAreaId,"T.InventTrans|inventDimId~inventDimId@T.InventDim","Sum|Qty|0","","","","","","","DateFinancial|ItemId|T2.InventSiteId|T2.InventLocationId",PeriodEnding,$A25,$B25,$C25)</f>
        <v>-825</v>
      </c>
      <c r="G25" s="10">
        <f>AtlasReport_3_Table_1[[#This Row],[Current On-hand]]-AtlasReport_3_Table_1[[#This Row],[Trans backwords (Beginning)]]</f>
        <v>0</v>
      </c>
      <c r="H25" s="10">
        <f>AtlasReport_3_Table_1[[#This Row],[Current On-hand]]-AtlasReport_3_Table_1[[#This Row],[Trans backwords (Ending)]]</f>
        <v>15908.9611</v>
      </c>
    </row>
    <row r="26" spans="1:8">
      <c r="A26" s="8" t="s">
        <v>250</v>
      </c>
      <c r="B26" s="8" t="s">
        <v>237</v>
      </c>
      <c r="C26" s="8" t="s">
        <v>249</v>
      </c>
      <c r="D26" s="10">
        <v>9156</v>
      </c>
      <c r="E26" s="10">
        <f>_xll.AtlasFormulas.AtlasFunctions.AtlasBalance("PROD",DataAreaId,"T.InventTrans|inventDimId~inventDimId@T.InventDim","Sum|Qty|0","","","","","","","DateFinancial|ItemId|T2.InventSiteId|T2.InventLocationId",PeriodBeginning,$A26,$B26,$C26)</f>
        <v>9156</v>
      </c>
      <c r="F26" s="10">
        <f>_xll.AtlasFormulas.AtlasFunctions.AtlasBalance("PROD",DataAreaId,"T.InventTrans|inventDimId~inventDimId@T.InventDim","Sum|Qty|0","","","","","","","DateFinancial|ItemId|T2.InventSiteId|T2.InventLocationId",PeriodEnding,$A26,$B26,$C26)</f>
        <v>-510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9666</v>
      </c>
    </row>
    <row r="27" spans="1:8">
      <c r="A27" s="8" t="s">
        <v>1022</v>
      </c>
      <c r="B27" s="8" t="s">
        <v>237</v>
      </c>
      <c r="C27" s="8" t="s">
        <v>238</v>
      </c>
      <c r="D27" s="10">
        <v>23.5</v>
      </c>
      <c r="E27" s="10">
        <f>_xll.AtlasFormulas.AtlasFunctions.AtlasBalance("PROD",DataAreaId,"T.InventTrans|inventDimId~inventDimId@T.InventDim","Sum|Qty|0","","","","","","","DateFinancial|ItemId|T2.InventSiteId|T2.InventLocationId",PeriodBeginning,$A27,$B27,$C27)</f>
        <v>23.5</v>
      </c>
      <c r="F27" s="10">
        <f>_xll.AtlasFormulas.AtlasFunctions.AtlasBalance("PROD",DataAreaId,"T.InventTrans|inventDimId~inventDimId@T.InventDim","Sum|Qty|0","","","","","","","DateFinancial|ItemId|T2.InventSiteId|T2.InventLocationId",PeriodEnding,$A27,$B27,$C27)</f>
        <v>0</v>
      </c>
      <c r="G27" s="10">
        <f>AtlasReport_3_Table_1[[#This Row],[Current On-hand]]-AtlasReport_3_Table_1[[#This Row],[Trans backwords (Beginning)]]</f>
        <v>0</v>
      </c>
      <c r="H27" s="10">
        <f>AtlasReport_3_Table_1[[#This Row],[Current On-hand]]-AtlasReport_3_Table_1[[#This Row],[Trans backwords (Ending)]]</f>
        <v>23.5</v>
      </c>
    </row>
    <row r="28" spans="1:8">
      <c r="A28" s="8" t="s">
        <v>38</v>
      </c>
      <c r="B28" s="8" t="s">
        <v>237</v>
      </c>
      <c r="C28" s="8" t="s">
        <v>238</v>
      </c>
      <c r="D28" s="10">
        <v>300</v>
      </c>
      <c r="E28" s="10">
        <f>_xll.AtlasFormulas.AtlasFunctions.AtlasBalance("PROD",DataAreaId,"T.InventTrans|inventDimId~inventDimId@T.InventDim","Sum|Qty|0","","","","","","","DateFinancial|ItemId|T2.InventSiteId|T2.InventLocationId",PeriodBeginning,$A28,$B28,$C28)</f>
        <v>300</v>
      </c>
      <c r="F28" s="10">
        <f>_xll.AtlasFormulas.AtlasFunctions.AtlasBalance("PROD",DataAreaId,"T.InventTrans|inventDimId~inventDimId@T.InventDim","Sum|Qty|0","","","","","","","DateFinancial|ItemId|T2.InventSiteId|T2.InventLocationId",PeriodEnding,$A28,$B28,$C28)</f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300</v>
      </c>
    </row>
    <row r="29" spans="1:8">
      <c r="A29" s="8" t="s">
        <v>16</v>
      </c>
      <c r="B29" s="8" t="s">
        <v>237</v>
      </c>
      <c r="C29" s="8" t="s">
        <v>44</v>
      </c>
      <c r="D29" s="10">
        <v>0</v>
      </c>
      <c r="E29" s="10">
        <f>_xll.AtlasFormulas.AtlasFunctions.AtlasBalance("PROD",DataAreaId,"T.InventTrans|inventDimId~inventDimId@T.InventDim","Sum|Qty|0","","","","","","","DateFinancial|ItemId|T2.InventSiteId|T2.InventLocationId",PeriodBeginning,$A29,$B29,$C29)</f>
        <v>0</v>
      </c>
      <c r="F29" s="10">
        <f>_xll.AtlasFormulas.AtlasFunctions.AtlasBalance("PROD",DataAreaId,"T.InventTrans|inventDimId~inventDimId@T.InventDim","Sum|Qty|0","","","","","","","DateFinancial|ItemId|T2.InventSiteId|T2.InventLocationId",PeriodEnding,$A29,$B29,$C29)</f>
        <v>0</v>
      </c>
      <c r="G29" s="10">
        <f>AtlasReport_3_Table_1[[#This Row],[Current On-hand]]-AtlasReport_3_Table_1[[#This Row],[Trans backwords (Beginning)]]</f>
        <v>0</v>
      </c>
      <c r="H29" s="10">
        <f>AtlasReport_3_Table_1[[#This Row],[Current On-hand]]-AtlasReport_3_Table_1[[#This Row],[Trans backwords (Ending)]]</f>
        <v>0</v>
      </c>
    </row>
    <row r="30" spans="1:8">
      <c r="A30" s="8" t="s">
        <v>16</v>
      </c>
      <c r="B30" s="8" t="s">
        <v>237</v>
      </c>
      <c r="C30" s="8" t="s">
        <v>238</v>
      </c>
      <c r="D30" s="10">
        <v>120</v>
      </c>
      <c r="E30" s="10">
        <f>_xll.AtlasFormulas.AtlasFunctions.AtlasBalance("PROD",DataAreaId,"T.InventTrans|inventDimId~inventDimId@T.InventDim","Sum|Qty|0","","","","","","","DateFinancial|ItemId|T2.InventSiteId|T2.InventLocationId",PeriodBeginning,$A30,$B30,$C30)</f>
        <v>120</v>
      </c>
      <c r="F30" s="10">
        <f>_xll.AtlasFormulas.AtlasFunctions.AtlasBalance("PROD",DataAreaId,"T.InventTrans|inventDimId~inventDimId@T.InventDim","Sum|Qty|0","","","","","","","DateFinancial|ItemId|T2.InventSiteId|T2.InventLocationId",PeriodEnding,$A30,$B30,$C30)</f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120</v>
      </c>
    </row>
    <row r="31" spans="1:8">
      <c r="A31" s="8" t="s">
        <v>43</v>
      </c>
      <c r="B31" s="8" t="s">
        <v>237</v>
      </c>
      <c r="C31" s="8" t="s">
        <v>44</v>
      </c>
      <c r="D31" s="10">
        <v>0</v>
      </c>
      <c r="E31" s="10">
        <f>_xll.AtlasFormulas.AtlasFunctions.AtlasBalance("PROD",DataAreaId,"T.InventTrans|inventDimId~inventDimId@T.InventDim","Sum|Qty|0","","","","","","","DateFinancial|ItemId|T2.InventSiteId|T2.InventLocationId",PeriodBeginning,$A31,$B31,$C31)</f>
        <v>0</v>
      </c>
      <c r="F31" s="10">
        <f>_xll.AtlasFormulas.AtlasFunctions.AtlasBalance("PROD",DataAreaId,"T.InventTrans|inventDimId~inventDimId@T.InventDim","Sum|Qty|0","","","","","","","DateFinancial|ItemId|T2.InventSiteId|T2.InventLocationId",PeriodEnding,$A31,$B31,$C31)</f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>
      <c r="A32" s="8" t="s">
        <v>43</v>
      </c>
      <c r="B32" s="8" t="s">
        <v>237</v>
      </c>
      <c r="C32" s="8" t="s">
        <v>238</v>
      </c>
      <c r="D32" s="10">
        <v>150</v>
      </c>
      <c r="E32" s="10">
        <f>_xll.AtlasFormulas.AtlasFunctions.AtlasBalance("PROD",DataAreaId,"T.InventTrans|inventDimId~inventDimId@T.InventDim","Sum|Qty|0","","","","","","","DateFinancial|ItemId|T2.InventSiteId|T2.InventLocationId",PeriodBeginning,$A32,$B32,$C32)</f>
        <v>150</v>
      </c>
      <c r="F32" s="10">
        <f>_xll.AtlasFormulas.AtlasFunctions.AtlasBalance("PROD",DataAreaId,"T.InventTrans|inventDimId~inventDimId@T.InventDim","Sum|Qty|0","","","","","","","DateFinancial|ItemId|T2.InventSiteId|T2.InventLocationId",PeriodEnding,$A32,$B32,$C32)</f>
        <v>0</v>
      </c>
      <c r="G32" s="10">
        <f>AtlasReport_3_Table_1[[#This Row],[Current On-hand]]-AtlasReport_3_Table_1[[#This Row],[Trans backwords (Beginning)]]</f>
        <v>0</v>
      </c>
      <c r="H32" s="10">
        <f>AtlasReport_3_Table_1[[#This Row],[Current On-hand]]-AtlasReport_3_Table_1[[#This Row],[Trans backwords (Ending)]]</f>
        <v>150</v>
      </c>
    </row>
    <row r="33" spans="1:8">
      <c r="A33" s="8" t="s">
        <v>73</v>
      </c>
      <c r="B33" s="8" t="s">
        <v>237</v>
      </c>
      <c r="C33" s="8" t="s">
        <v>238</v>
      </c>
      <c r="D33" s="10">
        <v>30</v>
      </c>
      <c r="E33" s="10">
        <f>_xll.AtlasFormulas.AtlasFunctions.AtlasBalance("PROD",DataAreaId,"T.InventTrans|inventDimId~inventDimId@T.InventDim","Sum|Qty|0","","","","","","","DateFinancial|ItemId|T2.InventSiteId|T2.InventLocationId",PeriodBeginning,$A33,$B33,$C33)</f>
        <v>30</v>
      </c>
      <c r="F33" s="10">
        <f>_xll.AtlasFormulas.AtlasFunctions.AtlasBalance("PROD",DataAreaId,"T.InventTrans|inventDimId~inventDimId@T.InventDim","Sum|Qty|0","","","","","","","DateFinancial|ItemId|T2.InventSiteId|T2.InventLocationId",PeriodEnding,$A33,$B33,$C33)</f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30</v>
      </c>
    </row>
    <row r="34" spans="1:8">
      <c r="A34" s="8" t="s">
        <v>251</v>
      </c>
      <c r="B34" s="8" t="s">
        <v>237</v>
      </c>
      <c r="C34" s="8" t="s">
        <v>238</v>
      </c>
      <c r="D34" s="10">
        <v>132.75219999999999</v>
      </c>
      <c r="E34" s="10">
        <f>_xll.AtlasFormulas.AtlasFunctions.AtlasBalance("PROD",DataAreaId,"T.InventTrans|inventDimId~inventDimId@T.InventDim","Sum|Qty|0","","","","","","","DateFinancial|ItemId|T2.InventSiteId|T2.InventLocationId",PeriodBeginning,$A34,$B34,$C34)</f>
        <v>132.75219999999999</v>
      </c>
      <c r="F34" s="10">
        <f>_xll.AtlasFormulas.AtlasFunctions.AtlasBalance("PROD",DataAreaId,"T.InventTrans|inventDimId~inventDimId@T.InventDim","Sum|Qty|0","","","","","","","DateFinancial|ItemId|T2.InventSiteId|T2.InventLocationId",PeriodEnding,$A34,$B34,$C34)</f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132.75219999999999</v>
      </c>
    </row>
    <row r="35" spans="1:8">
      <c r="A35" s="8" t="s">
        <v>333</v>
      </c>
      <c r="B35" s="8" t="s">
        <v>237</v>
      </c>
      <c r="C35" s="8" t="s">
        <v>44</v>
      </c>
      <c r="D35" s="10">
        <v>0</v>
      </c>
      <c r="E35" s="10">
        <f>_xll.AtlasFormulas.AtlasFunctions.AtlasBalance("PROD",DataAreaId,"T.InventTrans|inventDimId~inventDimId@T.InventDim","Sum|Qty|0","","","","","","","DateFinancial|ItemId|T2.InventSiteId|T2.InventLocationId",PeriodBeginning,$A35,$B35,$C35)</f>
        <v>0</v>
      </c>
      <c r="F35" s="10">
        <f>_xll.AtlasFormulas.AtlasFunctions.AtlasBalance("PROD",DataAreaId,"T.InventTrans|inventDimId~inventDimId@T.InventDim","Sum|Qty|0","","","","","","","DateFinancial|ItemId|T2.InventSiteId|T2.InventLocationId",PeriodEnding,$A35,$B35,$C35)</f>
        <v>0</v>
      </c>
      <c r="G35" s="10">
        <f>AtlasReport_3_Table_1[[#This Row],[Current On-hand]]-AtlasReport_3_Table_1[[#This Row],[Trans backwords (Beginning)]]</f>
        <v>0</v>
      </c>
      <c r="H35" s="10">
        <f>AtlasReport_3_Table_1[[#This Row],[Current On-hand]]-AtlasReport_3_Table_1[[#This Row],[Trans backwords (Ending)]]</f>
        <v>0</v>
      </c>
    </row>
    <row r="36" spans="1:8">
      <c r="A36" s="8" t="s">
        <v>333</v>
      </c>
      <c r="B36" s="8" t="s">
        <v>237</v>
      </c>
      <c r="C36" s="8" t="s">
        <v>238</v>
      </c>
      <c r="D36" s="10">
        <v>0</v>
      </c>
      <c r="E36" s="10">
        <f>_xll.AtlasFormulas.AtlasFunctions.AtlasBalance("PROD",DataAreaId,"T.InventTrans|inventDimId~inventDimId@T.InventDim","Sum|Qty|0","","","","","","","DateFinancial|ItemId|T2.InventSiteId|T2.InventLocationId",PeriodBeginning,$A36,$B36,$C36)</f>
        <v>0</v>
      </c>
      <c r="F36" s="10">
        <f>_xll.AtlasFormulas.AtlasFunctions.AtlasBalance("PROD",DataAreaId,"T.InventTrans|inventDimId~inventDimId@T.InventDim","Sum|Qty|0","","","","","","","DateFinancial|ItemId|T2.InventSiteId|T2.InventLocationId",PeriodEnding,$A36,$B36,$C36)</f>
        <v>0</v>
      </c>
      <c r="G36" s="10">
        <f>AtlasReport_3_Table_1[[#This Row],[Current On-hand]]-AtlasReport_3_Table_1[[#This Row],[Trans backwords (Beginning)]]</f>
        <v>0</v>
      </c>
      <c r="H36" s="10">
        <f>AtlasReport_3_Table_1[[#This Row],[Current On-hand]]-AtlasReport_3_Table_1[[#This Row],[Trans backwords (Ending)]]</f>
        <v>0</v>
      </c>
    </row>
    <row r="37" spans="1:8">
      <c r="A37" s="8" t="s">
        <v>335</v>
      </c>
      <c r="B37" s="8" t="s">
        <v>237</v>
      </c>
      <c r="C37" s="8" t="s">
        <v>44</v>
      </c>
      <c r="D37" s="10">
        <v>0</v>
      </c>
      <c r="E37" s="10">
        <f>_xll.AtlasFormulas.AtlasFunctions.AtlasBalance("PROD",DataAreaId,"T.InventTrans|inventDimId~inventDimId@T.InventDim","Sum|Qty|0","","","","","","","DateFinancial|ItemId|T2.InventSiteId|T2.InventLocationId",PeriodBeginning,$A37,$B37,$C37)</f>
        <v>0</v>
      </c>
      <c r="F37" s="10">
        <f>_xll.AtlasFormulas.AtlasFunctions.AtlasBalance("PROD",DataAreaId,"T.InventTrans|inventDimId~inventDimId@T.InventDim","Sum|Qty|0","","","","","","","DateFinancial|ItemId|T2.InventSiteId|T2.InventLocationId",PeriodEnding,$A37,$B37,$C37)</f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>
      <c r="A38" s="8" t="s">
        <v>335</v>
      </c>
      <c r="B38" s="8" t="s">
        <v>237</v>
      </c>
      <c r="C38" s="8" t="s">
        <v>238</v>
      </c>
      <c r="D38" s="10">
        <v>0</v>
      </c>
      <c r="E38" s="10">
        <f>_xll.AtlasFormulas.AtlasFunctions.AtlasBalance("PROD",DataAreaId,"T.InventTrans|inventDimId~inventDimId@T.InventDim","Sum|Qty|0","","","","","","","DateFinancial|ItemId|T2.InventSiteId|T2.InventLocationId",PeriodBeginning,$A38,$B38,$C38)</f>
        <v>0</v>
      </c>
      <c r="F38" s="10">
        <f>_xll.AtlasFormulas.AtlasFunctions.AtlasBalance("PROD",DataAreaId,"T.InventTrans|inventDimId~inventDimId@T.InventDim","Sum|Qty|0","","","","","","","DateFinancial|ItemId|T2.InventSiteId|T2.InventLocationId",PeriodEnding,$A38,$B38,$C38)</f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>
      <c r="A39" s="8" t="s">
        <v>337</v>
      </c>
      <c r="B39" s="8" t="s">
        <v>237</v>
      </c>
      <c r="C39" s="8" t="s">
        <v>44</v>
      </c>
      <c r="D39" s="10">
        <v>0</v>
      </c>
      <c r="E39" s="10">
        <f>_xll.AtlasFormulas.AtlasFunctions.AtlasBalance("PROD",DataAreaId,"T.InventTrans|inventDimId~inventDimId@T.InventDim","Sum|Qty|0","","","","","","","DateFinancial|ItemId|T2.InventSiteId|T2.InventLocationId",PeriodBeginning,$A39,$B39,$C39)</f>
        <v>0</v>
      </c>
      <c r="F39" s="10">
        <f>_xll.AtlasFormulas.AtlasFunctions.AtlasBalance("PROD",DataAreaId,"T.InventTrans|inventDimId~inventDimId@T.InventDim","Sum|Qty|0","","","","","","","DateFinancial|ItemId|T2.InventSiteId|T2.InventLocationId",PeriodEnding,$A39,$B39,$C39)</f>
        <v>0</v>
      </c>
      <c r="G39" s="10">
        <f>AtlasReport_3_Table_1[[#This Row],[Current On-hand]]-AtlasReport_3_Table_1[[#This Row],[Trans backwords (Beginning)]]</f>
        <v>0</v>
      </c>
      <c r="H39" s="10">
        <f>AtlasReport_3_Table_1[[#This Row],[Current On-hand]]-AtlasReport_3_Table_1[[#This Row],[Trans backwords (Ending)]]</f>
        <v>0</v>
      </c>
    </row>
    <row r="40" spans="1:8">
      <c r="A40" s="8" t="s">
        <v>337</v>
      </c>
      <c r="B40" s="8" t="s">
        <v>237</v>
      </c>
      <c r="C40" s="8" t="s">
        <v>238</v>
      </c>
      <c r="D40" s="10">
        <v>0</v>
      </c>
      <c r="E40" s="10">
        <f>_xll.AtlasFormulas.AtlasFunctions.AtlasBalance("PROD",DataAreaId,"T.InventTrans|inventDimId~inventDimId@T.InventDim","Sum|Qty|0","","","","","","","DateFinancial|ItemId|T2.InventSiteId|T2.InventLocationId",PeriodBeginning,$A40,$B40,$C40)</f>
        <v>0</v>
      </c>
      <c r="F40" s="10">
        <f>_xll.AtlasFormulas.AtlasFunctions.AtlasBalance("PROD",DataAreaId,"T.InventTrans|inventDimId~inventDimId@T.InventDim","Sum|Qty|0","","","","","","","DateFinancial|ItemId|T2.InventSiteId|T2.InventLocationId",PeriodEnding,$A40,$B40,$C40)</f>
        <v>0</v>
      </c>
      <c r="G40" s="10">
        <f>AtlasReport_3_Table_1[[#This Row],[Current On-hand]]-AtlasReport_3_Table_1[[#This Row],[Trans backwords (Beginning)]]</f>
        <v>0</v>
      </c>
      <c r="H40" s="10">
        <f>AtlasReport_3_Table_1[[#This Row],[Current On-hand]]-AtlasReport_3_Table_1[[#This Row],[Trans backwords (Ending)]]</f>
        <v>0</v>
      </c>
    </row>
    <row r="41" spans="1:8">
      <c r="A41" s="8" t="s">
        <v>252</v>
      </c>
      <c r="B41" s="8" t="s">
        <v>237</v>
      </c>
      <c r="C41" s="8" t="s">
        <v>238</v>
      </c>
      <c r="D41" s="10">
        <v>23</v>
      </c>
      <c r="E41" s="10">
        <f>_xll.AtlasFormulas.AtlasFunctions.AtlasBalance("PROD",DataAreaId,"T.InventTrans|inventDimId~inventDimId@T.InventDim","Sum|Qty|0","","","","","","","DateFinancial|ItemId|T2.InventSiteId|T2.InventLocationId",PeriodBeginning,$A41,$B41,$C41)</f>
        <v>23</v>
      </c>
      <c r="F41" s="10">
        <f>_xll.AtlasFormulas.AtlasFunctions.AtlasBalance("PROD",DataAreaId,"T.InventTrans|inventDimId~inventDimId@T.InventDim","Sum|Qty|0","","","","","","","DateFinancial|ItemId|T2.InventSiteId|T2.InventLocationId",PeriodEnding,$A41,$B41,$C41)</f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23</v>
      </c>
    </row>
    <row r="42" spans="1:8">
      <c r="A42" s="8" t="s">
        <v>253</v>
      </c>
      <c r="B42" s="8" t="s">
        <v>237</v>
      </c>
      <c r="C42" s="8" t="s">
        <v>238</v>
      </c>
      <c r="D42" s="10">
        <v>60.7</v>
      </c>
      <c r="E42" s="10">
        <f>_xll.AtlasFormulas.AtlasFunctions.AtlasBalance("PROD",DataAreaId,"T.InventTrans|inventDimId~inventDimId@T.InventDim","Sum|Qty|0","","","","","","","DateFinancial|ItemId|T2.InventSiteId|T2.InventLocationId",PeriodBeginning,$A42,$B42,$C42)</f>
        <v>60.7</v>
      </c>
      <c r="F42" s="10">
        <f>_xll.AtlasFormulas.AtlasFunctions.AtlasBalance("PROD",DataAreaId,"T.InventTrans|inventDimId~inventDimId@T.InventDim","Sum|Qty|0","","","","","","","DateFinancial|ItemId|T2.InventSiteId|T2.InventLocationId",PeriodEnding,$A42,$B42,$C42)</f>
        <v>0</v>
      </c>
      <c r="G42" s="10">
        <f>AtlasReport_3_Table_1[[#This Row],[Current On-hand]]-AtlasReport_3_Table_1[[#This Row],[Trans backwords (Beginning)]]</f>
        <v>0</v>
      </c>
      <c r="H42" s="10">
        <f>AtlasReport_3_Table_1[[#This Row],[Current On-hand]]-AtlasReport_3_Table_1[[#This Row],[Trans backwords (Ending)]]</f>
        <v>60.7</v>
      </c>
    </row>
    <row r="43" spans="1:8">
      <c r="A43" s="8" t="s">
        <v>1025</v>
      </c>
      <c r="B43" s="8" t="s">
        <v>237</v>
      </c>
      <c r="C43" s="8" t="s">
        <v>238</v>
      </c>
      <c r="D43" s="10">
        <v>30</v>
      </c>
      <c r="E43" s="10">
        <f>_xll.AtlasFormulas.AtlasFunctions.AtlasBalance("PROD",DataAreaId,"T.InventTrans|inventDimId~inventDimId@T.InventDim","Sum|Qty|0","","","","","","","DateFinancial|ItemId|T2.InventSiteId|T2.InventLocationId",PeriodBeginning,$A43,$B43,$C43)</f>
        <v>30</v>
      </c>
      <c r="F43" s="10">
        <f>_xll.AtlasFormulas.AtlasFunctions.AtlasBalance("PROD",DataAreaId,"T.InventTrans|inventDimId~inventDimId@T.InventDim","Sum|Qty|0","","","","","","","DateFinancial|ItemId|T2.InventSiteId|T2.InventLocationId",PeriodEnding,$A43,$B43,$C43)</f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30</v>
      </c>
    </row>
    <row r="44" spans="1:8">
      <c r="A44" s="8" t="s">
        <v>254</v>
      </c>
      <c r="B44" s="8" t="s">
        <v>237</v>
      </c>
      <c r="C44" s="8" t="s">
        <v>238</v>
      </c>
      <c r="D44" s="10">
        <v>19.3</v>
      </c>
      <c r="E44" s="10">
        <f>_xll.AtlasFormulas.AtlasFunctions.AtlasBalance("PROD",DataAreaId,"T.InventTrans|inventDimId~inventDimId@T.InventDim","Sum|Qty|0","","","","","","","DateFinancial|ItemId|T2.InventSiteId|T2.InventLocationId",PeriodBeginning,$A44,$B44,$C44)</f>
        <v>19.3</v>
      </c>
      <c r="F44" s="10">
        <f>_xll.AtlasFormulas.AtlasFunctions.AtlasBalance("PROD",DataAreaId,"T.InventTrans|inventDimId~inventDimId@T.InventDim","Sum|Qty|0","","","","","","","DateFinancial|ItemId|T2.InventSiteId|T2.InventLocationId",PeriodEnding,$A44,$B44,$C44)</f>
        <v>-1.5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20.8</v>
      </c>
    </row>
    <row r="45" spans="1:8">
      <c r="A45" s="8" t="s">
        <v>255</v>
      </c>
      <c r="B45" s="8" t="s">
        <v>237</v>
      </c>
      <c r="C45" s="8" t="s">
        <v>238</v>
      </c>
      <c r="D45" s="10">
        <v>2284.31</v>
      </c>
      <c r="E45" s="10">
        <f>_xll.AtlasFormulas.AtlasFunctions.AtlasBalance("PROD",DataAreaId,"T.InventTrans|inventDimId~inventDimId@T.InventDim","Sum|Qty|0","","","","","","","DateFinancial|ItemId|T2.InventSiteId|T2.InventLocationId",PeriodBeginning,$A45,$B45,$C45)</f>
        <v>2284.31</v>
      </c>
      <c r="F45" s="10">
        <f>_xll.AtlasFormulas.AtlasFunctions.AtlasBalance("PROD",DataAreaId,"T.InventTrans|inventDimId~inventDimId@T.InventDim","Sum|Qty|0","","","","","","","DateFinancial|ItemId|T2.InventSiteId|T2.InventLocationId",PeriodEnding,$A45,$B45,$C45)</f>
        <v>0</v>
      </c>
      <c r="G45" s="10">
        <f>AtlasReport_3_Table_1[[#This Row],[Current On-hand]]-AtlasReport_3_Table_1[[#This Row],[Trans backwords (Beginning)]]</f>
        <v>0</v>
      </c>
      <c r="H45" s="10">
        <f>AtlasReport_3_Table_1[[#This Row],[Current On-hand]]-AtlasReport_3_Table_1[[#This Row],[Trans backwords (Ending)]]</f>
        <v>2284.31</v>
      </c>
    </row>
    <row r="46" spans="1:8">
      <c r="A46" s="8" t="s">
        <v>256</v>
      </c>
      <c r="B46" s="8" t="s">
        <v>237</v>
      </c>
      <c r="C46" s="8" t="s">
        <v>249</v>
      </c>
      <c r="D46" s="10">
        <v>3539.0699</v>
      </c>
      <c r="E46" s="10">
        <f>_xll.AtlasFormulas.AtlasFunctions.AtlasBalance("PROD",DataAreaId,"T.InventTrans|inventDimId~inventDimId@T.InventDim","Sum|Qty|0","","","","","","","DateFinancial|ItemId|T2.InventSiteId|T2.InventLocationId",PeriodBeginning,$A46,$B46,$C46)</f>
        <v>3539.0699</v>
      </c>
      <c r="F46" s="10">
        <f>_xll.AtlasFormulas.AtlasFunctions.AtlasBalance("PROD",DataAreaId,"T.InventTrans|inventDimId~inventDimId@T.InventDim","Sum|Qty|0","","","","","","","DateFinancial|ItemId|T2.InventSiteId|T2.InventLocationId",PeriodEnding,$A46,$B46,$C46)</f>
        <v>-825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4364.0699000000004</v>
      </c>
    </row>
    <row r="47" spans="1:8">
      <c r="A47" s="8" t="s">
        <v>256</v>
      </c>
      <c r="B47" s="8" t="s">
        <v>237</v>
      </c>
      <c r="C47" s="8" t="s">
        <v>238</v>
      </c>
      <c r="D47" s="10">
        <v>0</v>
      </c>
      <c r="E47" s="10">
        <f>_xll.AtlasFormulas.AtlasFunctions.AtlasBalance("PROD",DataAreaId,"T.InventTrans|inventDimId~inventDimId@T.InventDim","Sum|Qty|0","","","","","","","DateFinancial|ItemId|T2.InventSiteId|T2.InventLocationId",PeriodBeginning,$A47,$B47,$C47)</f>
        <v>0</v>
      </c>
      <c r="F47" s="10">
        <f>_xll.AtlasFormulas.AtlasFunctions.AtlasBalance("PROD",DataAreaId,"T.InventTrans|inventDimId~inventDimId@T.InventDim","Sum|Qty|0","","","","","","","DateFinancial|ItemId|T2.InventSiteId|T2.InventLocationId",PeriodEnding,$A47,$B47,$C47)</f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>
      <c r="A48" s="8" t="s">
        <v>257</v>
      </c>
      <c r="B48" s="8" t="s">
        <v>237</v>
      </c>
      <c r="C48" s="8" t="s">
        <v>249</v>
      </c>
      <c r="D48" s="10">
        <v>4928.0744999999997</v>
      </c>
      <c r="E48" s="10">
        <f>_xll.AtlasFormulas.AtlasFunctions.AtlasBalance("PROD",DataAreaId,"T.InventTrans|inventDimId~inventDimId@T.InventDim","Sum|Qty|0","","","","","","","DateFinancial|ItemId|T2.InventSiteId|T2.InventLocationId",PeriodBeginning,$A48,$B48,$C48)</f>
        <v>4928.0744999999997</v>
      </c>
      <c r="F48" s="10">
        <f>_xll.AtlasFormulas.AtlasFunctions.AtlasBalance("PROD",DataAreaId,"T.InventTrans|inventDimId~inventDimId@T.InventDim","Sum|Qty|0","","","","","","","DateFinancial|ItemId|T2.InventSiteId|T2.InventLocationId",PeriodEnding,$A48,$B48,$C48)</f>
        <v>-825</v>
      </c>
      <c r="G48" s="10">
        <f>AtlasReport_3_Table_1[[#This Row],[Current On-hand]]-AtlasReport_3_Table_1[[#This Row],[Trans backwords (Beginning)]]</f>
        <v>0</v>
      </c>
      <c r="H48" s="10">
        <f>AtlasReport_3_Table_1[[#This Row],[Current On-hand]]-AtlasReport_3_Table_1[[#This Row],[Trans backwords (Ending)]]</f>
        <v>5753.0744999999997</v>
      </c>
    </row>
    <row r="49" spans="1:8">
      <c r="A49" s="8" t="s">
        <v>257</v>
      </c>
      <c r="B49" s="8" t="s">
        <v>237</v>
      </c>
      <c r="C49" s="8" t="s">
        <v>238</v>
      </c>
      <c r="D49" s="10">
        <v>0</v>
      </c>
      <c r="E49" s="10">
        <f>_xll.AtlasFormulas.AtlasFunctions.AtlasBalance("PROD",DataAreaId,"T.InventTrans|inventDimId~inventDimId@T.InventDim","Sum|Qty|0","","","","","","","DateFinancial|ItemId|T2.InventSiteId|T2.InventLocationId",PeriodBeginning,$A49,$B49,$C49)</f>
        <v>0</v>
      </c>
      <c r="F49" s="10">
        <f>_xll.AtlasFormulas.AtlasFunctions.AtlasBalance("PROD",DataAreaId,"T.InventTrans|inventDimId~inventDimId@T.InventDim","Sum|Qty|0","","","","","","","DateFinancial|ItemId|T2.InventSiteId|T2.InventLocationId",PeriodEnding,$A49,$B49,$C49)</f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>
      <c r="A50" s="8" t="s">
        <v>258</v>
      </c>
      <c r="B50" s="8" t="s">
        <v>237</v>
      </c>
      <c r="C50" s="8" t="s">
        <v>249</v>
      </c>
      <c r="D50" s="10">
        <v>11811.927099999999</v>
      </c>
      <c r="E50" s="10">
        <f>_xll.AtlasFormulas.AtlasFunctions.AtlasBalance("PROD",DataAreaId,"T.InventTrans|inventDimId~inventDimId@T.InventDim","Sum|Qty|0","","","","","","","DateFinancial|ItemId|T2.InventSiteId|T2.InventLocationId",PeriodBeginning,$A50,$B50,$C50)</f>
        <v>11811.927100000001</v>
      </c>
      <c r="F50" s="10">
        <f>_xll.AtlasFormulas.AtlasFunctions.AtlasBalance("PROD",DataAreaId,"T.InventTrans|inventDimId~inventDimId@T.InventDim","Sum|Qty|0","","","","","","","DateFinancial|ItemId|T2.InventSiteId|T2.InventLocationId",PeriodEnding,$A50,$B50,$C50)</f>
        <v>-750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12561.927099999999</v>
      </c>
    </row>
    <row r="51" spans="1:8">
      <c r="A51" s="8" t="s">
        <v>258</v>
      </c>
      <c r="B51" s="8" t="s">
        <v>237</v>
      </c>
      <c r="C51" s="8" t="s">
        <v>238</v>
      </c>
      <c r="D51" s="10">
        <v>0</v>
      </c>
      <c r="E51" s="10">
        <f>_xll.AtlasFormulas.AtlasFunctions.AtlasBalance("PROD",DataAreaId,"T.InventTrans|inventDimId~inventDimId@T.InventDim","Sum|Qty|0","","","","","","","DateFinancial|ItemId|T2.InventSiteId|T2.InventLocationId",PeriodBeginning,$A51,$B51,$C51)</f>
        <v>0</v>
      </c>
      <c r="F51" s="10">
        <f>_xll.AtlasFormulas.AtlasFunctions.AtlasBalance("PROD",DataAreaId,"T.InventTrans|inventDimId~inventDimId@T.InventDim","Sum|Qty|0","","","","","","","DateFinancial|ItemId|T2.InventSiteId|T2.InventLocationId",PeriodEnding,$A51,$B51,$C51)</f>
        <v>0</v>
      </c>
      <c r="G51" s="10">
        <f>AtlasReport_3_Table_1[[#This Row],[Current On-hand]]-AtlasReport_3_Table_1[[#This Row],[Trans backwords (Beginning)]]</f>
        <v>0</v>
      </c>
      <c r="H51" s="10">
        <f>AtlasReport_3_Table_1[[#This Row],[Current On-hand]]-AtlasReport_3_Table_1[[#This Row],[Trans backwords (Ending)]]</f>
        <v>0</v>
      </c>
    </row>
    <row r="52" spans="1:8">
      <c r="A52" s="8" t="s">
        <v>259</v>
      </c>
      <c r="B52" s="8" t="s">
        <v>237</v>
      </c>
      <c r="C52" s="8" t="s">
        <v>249</v>
      </c>
      <c r="D52" s="10">
        <v>14861.902900000001</v>
      </c>
      <c r="E52" s="10">
        <f>_xll.AtlasFormulas.AtlasFunctions.AtlasBalance("PROD",DataAreaId,"T.InventTrans|inventDimId~inventDimId@T.InventDim","Sum|Qty|0","","","","","","","DateFinancial|ItemId|T2.InventSiteId|T2.InventLocationId",PeriodBeginning,$A52,$B52,$C52)</f>
        <v>14861.902899999999</v>
      </c>
      <c r="F52" s="10">
        <f>_xll.AtlasFormulas.AtlasFunctions.AtlasBalance("PROD",DataAreaId,"T.InventTrans|inventDimId~inventDimId@T.InventDim","Sum|Qty|0","","","","","","","DateFinancial|ItemId|T2.InventSiteId|T2.InventLocationId",PeriodEnding,$A52,$B52,$C52)</f>
        <v>-200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15061.902900000001</v>
      </c>
    </row>
    <row r="53" spans="1:8">
      <c r="A53" s="8" t="s">
        <v>259</v>
      </c>
      <c r="B53" s="8" t="s">
        <v>237</v>
      </c>
      <c r="C53" s="8" t="s">
        <v>238</v>
      </c>
      <c r="D53" s="10">
        <v>0</v>
      </c>
      <c r="E53" s="10">
        <f>_xll.AtlasFormulas.AtlasFunctions.AtlasBalance("PROD",DataAreaId,"T.InventTrans|inventDimId~inventDimId@T.InventDim","Sum|Qty|0","","","","","","","DateFinancial|ItemId|T2.InventSiteId|T2.InventLocationId",PeriodBeginning,$A53,$B53,$C53)</f>
        <v>0</v>
      </c>
      <c r="F53" s="10">
        <f>_xll.AtlasFormulas.AtlasFunctions.AtlasBalance("PROD",DataAreaId,"T.InventTrans|inventDimId~inventDimId@T.InventDim","Sum|Qty|0","","","","","","","DateFinancial|ItemId|T2.InventSiteId|T2.InventLocationId",PeriodEnding,$A53,$B53,$C53)</f>
        <v>0</v>
      </c>
      <c r="G53" s="10">
        <f>AtlasReport_3_Table_1[[#This Row],[Current On-hand]]-AtlasReport_3_Table_1[[#This Row],[Trans backwords (Beginning)]]</f>
        <v>0</v>
      </c>
      <c r="H53" s="10">
        <f>AtlasReport_3_Table_1[[#This Row],[Current On-hand]]-AtlasReport_3_Table_1[[#This Row],[Trans backwords (Ending)]]</f>
        <v>0</v>
      </c>
    </row>
    <row r="54" spans="1:8">
      <c r="A54" s="8" t="s">
        <v>260</v>
      </c>
      <c r="B54" s="8" t="s">
        <v>237</v>
      </c>
      <c r="C54" s="8" t="s">
        <v>238</v>
      </c>
      <c r="D54" s="10">
        <v>2200</v>
      </c>
      <c r="E54" s="10">
        <f>_xll.AtlasFormulas.AtlasFunctions.AtlasBalance("PROD",DataAreaId,"T.InventTrans|inventDimId~inventDimId@T.InventDim","Sum|Qty|0","","","","","","","DateFinancial|ItemId|T2.InventSiteId|T2.InventLocationId",PeriodBeginning,$A54,$B54,$C54)</f>
        <v>2200</v>
      </c>
      <c r="F54" s="10">
        <f>_xll.AtlasFormulas.AtlasFunctions.AtlasBalance("PROD",DataAreaId,"T.InventTrans|inventDimId~inventDimId@T.InventDim","Sum|Qty|0","","","","","","","DateFinancial|ItemId|T2.InventSiteId|T2.InventLocationId",PeriodEnding,$A54,$B54,$C54)</f>
        <v>0</v>
      </c>
      <c r="G54" s="10">
        <f>AtlasReport_3_Table_1[[#This Row],[Current On-hand]]-AtlasReport_3_Table_1[[#This Row],[Trans backwords (Beginning)]]</f>
        <v>0</v>
      </c>
      <c r="H54" s="10">
        <f>AtlasReport_3_Table_1[[#This Row],[Current On-hand]]-AtlasReport_3_Table_1[[#This Row],[Trans backwords (Ending)]]</f>
        <v>2200</v>
      </c>
    </row>
    <row r="55" spans="1:8">
      <c r="A55" s="8" t="s">
        <v>599</v>
      </c>
      <c r="B55" s="8" t="s">
        <v>237</v>
      </c>
      <c r="C55" s="8" t="s">
        <v>238</v>
      </c>
      <c r="D55" s="10">
        <v>28842</v>
      </c>
      <c r="E55" s="10">
        <f>_xll.AtlasFormulas.AtlasFunctions.AtlasBalance("PROD",DataAreaId,"T.InventTrans|inventDimId~inventDimId@T.InventDim","Sum|Qty|0","","","","","","","DateFinancial|ItemId|T2.InventSiteId|T2.InventLocationId",PeriodBeginning,$A55,$B55,$C55)</f>
        <v>28842</v>
      </c>
      <c r="F55" s="10">
        <f>_xll.AtlasFormulas.AtlasFunctions.AtlasBalance("PROD",DataAreaId,"T.InventTrans|inventDimId~inventDimId@T.InventDim","Sum|Qty|0","","","","","","","DateFinancial|ItemId|T2.InventSiteId|T2.InventLocationId",PeriodEnding,$A55,$B55,$C55)</f>
        <v>0</v>
      </c>
      <c r="G55" s="10">
        <f>AtlasReport_3_Table_1[[#This Row],[Current On-hand]]-AtlasReport_3_Table_1[[#This Row],[Trans backwords (Beginning)]]</f>
        <v>0</v>
      </c>
      <c r="H55" s="10">
        <f>AtlasReport_3_Table_1[[#This Row],[Current On-hand]]-AtlasReport_3_Table_1[[#This Row],[Trans backwords (Ending)]]</f>
        <v>28842</v>
      </c>
    </row>
    <row r="56" spans="1:8">
      <c r="A56" s="8" t="s">
        <v>261</v>
      </c>
      <c r="B56" s="8" t="s">
        <v>237</v>
      </c>
      <c r="C56" s="8" t="s">
        <v>238</v>
      </c>
      <c r="D56" s="10">
        <v>928.70339999999999</v>
      </c>
      <c r="E56" s="10">
        <f>_xll.AtlasFormulas.AtlasFunctions.AtlasBalance("PROD",DataAreaId,"T.InventTrans|inventDimId~inventDimId@T.InventDim","Sum|Qty|0","","","","","","","DateFinancial|ItemId|T2.InventSiteId|T2.InventLocationId",PeriodBeginning,$A56,$B56,$C56)</f>
        <v>928.70339999999999</v>
      </c>
      <c r="F56" s="10">
        <f>_xll.AtlasFormulas.AtlasFunctions.AtlasBalance("PROD",DataAreaId,"T.InventTrans|inventDimId~inventDimId@T.InventDim","Sum|Qty|0","","","","","","","DateFinancial|ItemId|T2.InventSiteId|T2.InventLocationId",PeriodEnding,$A56,$B56,$C56)</f>
        <v>0</v>
      </c>
      <c r="G56" s="10">
        <f>AtlasReport_3_Table_1[[#This Row],[Current On-hand]]-AtlasReport_3_Table_1[[#This Row],[Trans backwords (Beginning)]]</f>
        <v>0</v>
      </c>
      <c r="H56" s="10">
        <f>AtlasReport_3_Table_1[[#This Row],[Current On-hand]]-AtlasReport_3_Table_1[[#This Row],[Trans backwords (Ending)]]</f>
        <v>928.70339999999999</v>
      </c>
    </row>
    <row r="57" spans="1:8">
      <c r="A57" s="8" t="s">
        <v>262</v>
      </c>
      <c r="B57" s="8" t="s">
        <v>237</v>
      </c>
      <c r="C57" s="8" t="s">
        <v>238</v>
      </c>
      <c r="D57" s="10">
        <v>25.434299999999997</v>
      </c>
      <c r="E57" s="10">
        <f>_xll.AtlasFormulas.AtlasFunctions.AtlasBalance("PROD",DataAreaId,"T.InventTrans|inventDimId~inventDimId@T.InventDim","Sum|Qty|0","","","","","","","DateFinancial|ItemId|T2.InventSiteId|T2.InventLocationId",PeriodBeginning,$A57,$B57,$C57)</f>
        <v>25.4343</v>
      </c>
      <c r="F57" s="10">
        <f>_xll.AtlasFormulas.AtlasFunctions.AtlasBalance("PROD",DataAreaId,"T.InventTrans|inventDimId~inventDimId@T.InventDim","Sum|Qty|0","","","","","","","DateFinancial|ItemId|T2.InventSiteId|T2.InventLocationId",PeriodEnding,$A57,$B57,$C57)</f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25.434299999999997</v>
      </c>
    </row>
    <row r="58" spans="1:8">
      <c r="A58" s="8" t="s">
        <v>1029</v>
      </c>
      <c r="B58" s="8" t="s">
        <v>237</v>
      </c>
      <c r="C58" s="8" t="s">
        <v>238</v>
      </c>
      <c r="D58" s="10">
        <v>14</v>
      </c>
      <c r="E58" s="10">
        <f>_xll.AtlasFormulas.AtlasFunctions.AtlasBalance("PROD",DataAreaId,"T.InventTrans|inventDimId~inventDimId@T.InventDim","Sum|Qty|0","","","","","","","DateFinancial|ItemId|T2.InventSiteId|T2.InventLocationId",PeriodBeginning,$A58,$B58,$C58)</f>
        <v>14</v>
      </c>
      <c r="F58" s="10">
        <f>_xll.AtlasFormulas.AtlasFunctions.AtlasBalance("PROD",DataAreaId,"T.InventTrans|inventDimId~inventDimId@T.InventDim","Sum|Qty|0","","","","","","","DateFinancial|ItemId|T2.InventSiteId|T2.InventLocationId",PeriodEnding,$A58,$B58,$C58)</f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14</v>
      </c>
    </row>
    <row r="59" spans="1:8">
      <c r="A59" s="8" t="s">
        <v>1032</v>
      </c>
      <c r="B59" s="8" t="s">
        <v>237</v>
      </c>
      <c r="C59" s="8" t="s">
        <v>238</v>
      </c>
      <c r="D59" s="10">
        <v>153</v>
      </c>
      <c r="E59" s="10">
        <f>_xll.AtlasFormulas.AtlasFunctions.AtlasBalance("PROD",DataAreaId,"T.InventTrans|inventDimId~inventDimId@T.InventDim","Sum|Qty|0","","","","","","","DateFinancial|ItemId|T2.InventSiteId|T2.InventLocationId",PeriodBeginning,$A59,$B59,$C59)</f>
        <v>153</v>
      </c>
      <c r="F59" s="10">
        <f>_xll.AtlasFormulas.AtlasFunctions.AtlasBalance("PROD",DataAreaId,"T.InventTrans|inventDimId~inventDimId@T.InventDim","Sum|Qty|0","","","","","","","DateFinancial|ItemId|T2.InventSiteId|T2.InventLocationId",PeriodEnding,$A59,$B59,$C59)</f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153</v>
      </c>
    </row>
    <row r="60" spans="1:8">
      <c r="A60" s="8" t="s">
        <v>230</v>
      </c>
      <c r="B60" s="8" t="s">
        <v>237</v>
      </c>
      <c r="C60" s="8" t="s">
        <v>44</v>
      </c>
      <c r="D60" s="10">
        <v>0</v>
      </c>
      <c r="E60" s="10">
        <f>_xll.AtlasFormulas.AtlasFunctions.AtlasBalance("PROD",DataAreaId,"T.InventTrans|inventDimId~inventDimId@T.InventDim","Sum|Qty|0","","","","","","","DateFinancial|ItemId|T2.InventSiteId|T2.InventLocationId",PeriodBeginning,$A60,$B60,$C60)</f>
        <v>0</v>
      </c>
      <c r="F60" s="10">
        <f>_xll.AtlasFormulas.AtlasFunctions.AtlasBalance("PROD",DataAreaId,"T.InventTrans|inventDimId~inventDimId@T.InventDim","Sum|Qty|0","","","","","","","DateFinancial|ItemId|T2.InventSiteId|T2.InventLocationId",PeriodEnding,$A60,$B60,$C60)</f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>
      <c r="A61" s="8" t="s">
        <v>230</v>
      </c>
      <c r="B61" s="8" t="s">
        <v>237</v>
      </c>
      <c r="C61" s="8" t="s">
        <v>238</v>
      </c>
      <c r="D61" s="10">
        <v>152</v>
      </c>
      <c r="E61" s="10">
        <f>_xll.AtlasFormulas.AtlasFunctions.AtlasBalance("PROD",DataAreaId,"T.InventTrans|inventDimId~inventDimId@T.InventDim","Sum|Qty|0","","","","","","","DateFinancial|ItemId|T2.InventSiteId|T2.InventLocationId",PeriodBeginning,$A61,$B61,$C61)</f>
        <v>152</v>
      </c>
      <c r="F61" s="10">
        <f>_xll.AtlasFormulas.AtlasFunctions.AtlasBalance("PROD",DataAreaId,"T.InventTrans|inventDimId~inventDimId@T.InventDim","Sum|Qty|0","","","","","","","DateFinancial|ItemId|T2.InventSiteId|T2.InventLocationId",PeriodEnding,$A61,$B61,$C61)</f>
        <v>0</v>
      </c>
      <c r="G61" s="10">
        <f>AtlasReport_3_Table_1[[#This Row],[Current On-hand]]-AtlasReport_3_Table_1[[#This Row],[Trans backwords (Beginning)]]</f>
        <v>0</v>
      </c>
      <c r="H61" s="10">
        <f>AtlasReport_3_Table_1[[#This Row],[Current On-hand]]-AtlasReport_3_Table_1[[#This Row],[Trans backwords (Ending)]]</f>
        <v>152</v>
      </c>
    </row>
    <row r="62" spans="1:8">
      <c r="A62" s="8" t="s">
        <v>1035</v>
      </c>
      <c r="B62" s="8" t="s">
        <v>237</v>
      </c>
      <c r="C62" s="8" t="s">
        <v>238</v>
      </c>
      <c r="D62" s="10">
        <v>7</v>
      </c>
      <c r="E62" s="10">
        <f>_xll.AtlasFormulas.AtlasFunctions.AtlasBalance("PROD",DataAreaId,"T.InventTrans|inventDimId~inventDimId@T.InventDim","Sum|Qty|0","","","","","","","DateFinancial|ItemId|T2.InventSiteId|T2.InventLocationId",PeriodBeginning,$A62,$B62,$C62)</f>
        <v>7</v>
      </c>
      <c r="F62" s="10">
        <f>_xll.AtlasFormulas.AtlasFunctions.AtlasBalance("PROD",DataAreaId,"T.InventTrans|inventDimId~inventDimId@T.InventDim","Sum|Qty|0","","","","","","","DateFinancial|ItemId|T2.InventSiteId|T2.InventLocationId",PeriodEnding,$A62,$B62,$C62)</f>
        <v>0</v>
      </c>
      <c r="G62" s="10">
        <f>AtlasReport_3_Table_1[[#This Row],[Current On-hand]]-AtlasReport_3_Table_1[[#This Row],[Trans backwords (Beginning)]]</f>
        <v>0</v>
      </c>
      <c r="H62" s="10">
        <f>AtlasReport_3_Table_1[[#This Row],[Current On-hand]]-AtlasReport_3_Table_1[[#This Row],[Trans backwords (Ending)]]</f>
        <v>7</v>
      </c>
    </row>
    <row r="63" spans="1:8">
      <c r="A63" s="8" t="s">
        <v>212</v>
      </c>
      <c r="B63" s="8" t="s">
        <v>237</v>
      </c>
      <c r="C63" s="8" t="s">
        <v>238</v>
      </c>
      <c r="D63" s="10">
        <v>0</v>
      </c>
      <c r="E63" s="10">
        <f>_xll.AtlasFormulas.AtlasFunctions.AtlasBalance("PROD",DataAreaId,"T.InventTrans|inventDimId~inventDimId@T.InventDim","Sum|Qty|0","","","","","","","DateFinancial|ItemId|T2.InventSiteId|T2.InventLocationId",PeriodBeginning,$A63,$B63,$C63)</f>
        <v>0</v>
      </c>
      <c r="F63" s="10">
        <f>_xll.AtlasFormulas.AtlasFunctions.AtlasBalance("PROD",DataAreaId,"T.InventTrans|inventDimId~inventDimId@T.InventDim","Sum|Qty|0","","","","","","","DateFinancial|ItemId|T2.InventSiteId|T2.InventLocationId",PeriodEnding,$A63,$B63,$C63)</f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>
      <c r="A64" s="8" t="s">
        <v>518</v>
      </c>
      <c r="B64" s="8" t="s">
        <v>237</v>
      </c>
      <c r="C64" s="8" t="s">
        <v>238</v>
      </c>
      <c r="D64" s="10">
        <v>50</v>
      </c>
      <c r="E64" s="10">
        <f>_xll.AtlasFormulas.AtlasFunctions.AtlasBalance("PROD",DataAreaId,"T.InventTrans|inventDimId~inventDimId@T.InventDim","Sum|Qty|0","","","","","","","DateFinancial|ItemId|T2.InventSiteId|T2.InventLocationId",PeriodBeginning,$A64,$B64,$C64)</f>
        <v>50</v>
      </c>
      <c r="F64" s="10">
        <f>_xll.AtlasFormulas.AtlasFunctions.AtlasBalance("PROD",DataAreaId,"T.InventTrans|inventDimId~inventDimId@T.InventDim","Sum|Qty|0","","","","","","","DateFinancial|ItemId|T2.InventSiteId|T2.InventLocationId",PeriodEnding,$A64,$B64,$C64)</f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50</v>
      </c>
    </row>
    <row r="65" spans="1:8">
      <c r="A65" s="8" t="s">
        <v>263</v>
      </c>
      <c r="B65" s="8" t="s">
        <v>237</v>
      </c>
      <c r="C65" s="8" t="s">
        <v>44</v>
      </c>
      <c r="D65" s="10">
        <v>0</v>
      </c>
      <c r="E65" s="10">
        <f>_xll.AtlasFormulas.AtlasFunctions.AtlasBalance("PROD",DataAreaId,"T.InventTrans|inventDimId~inventDimId@T.InventDim","Sum|Qty|0","","","","","","","DateFinancial|ItemId|T2.InventSiteId|T2.InventLocationId",PeriodBeginning,$A65,$B65,$C65)</f>
        <v>0</v>
      </c>
      <c r="F65" s="10">
        <f>_xll.AtlasFormulas.AtlasFunctions.AtlasBalance("PROD",DataAreaId,"T.InventTrans|inventDimId~inventDimId@T.InventDim","Sum|Qty|0","","","","","","","DateFinancial|ItemId|T2.InventSiteId|T2.InventLocationId",PeriodEnding,$A65,$B65,$C65)</f>
        <v>0</v>
      </c>
      <c r="G65" s="10">
        <f>AtlasReport_3_Table_1[[#This Row],[Current On-hand]]-AtlasReport_3_Table_1[[#This Row],[Trans backwords (Beginning)]]</f>
        <v>0</v>
      </c>
      <c r="H65" s="10">
        <f>AtlasReport_3_Table_1[[#This Row],[Current On-hand]]-AtlasReport_3_Table_1[[#This Row],[Trans backwords (Ending)]]</f>
        <v>0</v>
      </c>
    </row>
    <row r="66" spans="1:8">
      <c r="A66" s="8" t="s">
        <v>263</v>
      </c>
      <c r="B66" s="8" t="s">
        <v>237</v>
      </c>
      <c r="C66" s="8" t="s">
        <v>238</v>
      </c>
      <c r="D66" s="10">
        <v>52</v>
      </c>
      <c r="E66" s="10">
        <f>_xll.AtlasFormulas.AtlasFunctions.AtlasBalance("PROD",DataAreaId,"T.InventTrans|inventDimId~inventDimId@T.InventDim","Sum|Qty|0","","","","","","","DateFinancial|ItemId|T2.InventSiteId|T2.InventLocationId",PeriodBeginning,$A66,$B66,$C66)</f>
        <v>52</v>
      </c>
      <c r="F66" s="10">
        <f>_xll.AtlasFormulas.AtlasFunctions.AtlasBalance("PROD",DataAreaId,"T.InventTrans|inventDimId~inventDimId@T.InventDim","Sum|Qty|0","","","","","","","DateFinancial|ItemId|T2.InventSiteId|T2.InventLocationId",PeriodEnding,$A66,$B66,$C66)</f>
        <v>0</v>
      </c>
      <c r="G66" s="10">
        <f>AtlasReport_3_Table_1[[#This Row],[Current On-hand]]-AtlasReport_3_Table_1[[#This Row],[Trans backwords (Beginning)]]</f>
        <v>0</v>
      </c>
      <c r="H66" s="10">
        <f>AtlasReport_3_Table_1[[#This Row],[Current On-hand]]-AtlasReport_3_Table_1[[#This Row],[Trans backwords (Ending)]]</f>
        <v>52</v>
      </c>
    </row>
    <row r="67" spans="1:8">
      <c r="A67" s="8" t="s">
        <v>358</v>
      </c>
      <c r="B67" s="8" t="s">
        <v>237</v>
      </c>
      <c r="C67" s="8" t="s">
        <v>44</v>
      </c>
      <c r="D67" s="10">
        <v>0</v>
      </c>
      <c r="E67" s="10">
        <f>_xll.AtlasFormulas.AtlasFunctions.AtlasBalance("PROD",DataAreaId,"T.InventTrans|inventDimId~inventDimId@T.InventDim","Sum|Qty|0","","","","","","","DateFinancial|ItemId|T2.InventSiteId|T2.InventLocationId",PeriodBeginning,$A67,$B67,$C67)</f>
        <v>0</v>
      </c>
      <c r="F67" s="10">
        <f>_xll.AtlasFormulas.AtlasFunctions.AtlasBalance("PROD",DataAreaId,"T.InventTrans|inventDimId~inventDimId@T.InventDim","Sum|Qty|0","","","","","","","DateFinancial|ItemId|T2.InventSiteId|T2.InventLocationId",PeriodEnding,$A67,$B67,$C67)</f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>
      <c r="A68" s="8" t="s">
        <v>358</v>
      </c>
      <c r="B68" s="8" t="s">
        <v>237</v>
      </c>
      <c r="C68" s="8" t="s">
        <v>238</v>
      </c>
      <c r="D68" s="10">
        <v>0</v>
      </c>
      <c r="E68" s="10">
        <f>_xll.AtlasFormulas.AtlasFunctions.AtlasBalance("PROD",DataAreaId,"T.InventTrans|inventDimId~inventDimId@T.InventDim","Sum|Qty|0","","","","","","","DateFinancial|ItemId|T2.InventSiteId|T2.InventLocationId",PeriodBeginning,$A68,$B68,$C68)</f>
        <v>0</v>
      </c>
      <c r="F68" s="10">
        <f>_xll.AtlasFormulas.AtlasFunctions.AtlasBalance("PROD",DataAreaId,"T.InventTrans|inventDimId~inventDimId@T.InventDim","Sum|Qty|0","","","","","","","DateFinancial|ItemId|T2.InventSiteId|T2.InventLocationId",PeriodEnding,$A68,$B68,$C68)</f>
        <v>0</v>
      </c>
      <c r="G68" s="10">
        <f>AtlasReport_3_Table_1[[#This Row],[Current On-hand]]-AtlasReport_3_Table_1[[#This Row],[Trans backwords (Beginning)]]</f>
        <v>0</v>
      </c>
      <c r="H68" s="10">
        <f>AtlasReport_3_Table_1[[#This Row],[Current On-hand]]-AtlasReport_3_Table_1[[#This Row],[Trans backwords (Ending)]]</f>
        <v>0</v>
      </c>
    </row>
    <row r="69" spans="1:8">
      <c r="A69" s="8" t="s">
        <v>264</v>
      </c>
      <c r="B69" s="8" t="s">
        <v>237</v>
      </c>
      <c r="C69" s="8" t="s">
        <v>44</v>
      </c>
      <c r="D69" s="10">
        <v>0</v>
      </c>
      <c r="E69" s="10">
        <f>_xll.AtlasFormulas.AtlasFunctions.AtlasBalance("PROD",DataAreaId,"T.InventTrans|inventDimId~inventDimId@T.InventDim","Sum|Qty|0","","","","","","","DateFinancial|ItemId|T2.InventSiteId|T2.InventLocationId",PeriodBeginning,$A69,$B69,$C69)</f>
        <v>0</v>
      </c>
      <c r="F69" s="10">
        <f>_xll.AtlasFormulas.AtlasFunctions.AtlasBalance("PROD",DataAreaId,"T.InventTrans|inventDimId~inventDimId@T.InventDim","Sum|Qty|0","","","","","","","DateFinancial|ItemId|T2.InventSiteId|T2.InventLocationId",PeriodEnding,$A69,$B69,$C69)</f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>
      <c r="A70" s="8" t="s">
        <v>264</v>
      </c>
      <c r="B70" s="8" t="s">
        <v>237</v>
      </c>
      <c r="C70" s="8" t="s">
        <v>238</v>
      </c>
      <c r="D70" s="10">
        <v>24</v>
      </c>
      <c r="E70" s="10">
        <f>_xll.AtlasFormulas.AtlasFunctions.AtlasBalance("PROD",DataAreaId,"T.InventTrans|inventDimId~inventDimId@T.InventDim","Sum|Qty|0","","","","","","","DateFinancial|ItemId|T2.InventSiteId|T2.InventLocationId",PeriodBeginning,$A70,$B70,$C70)</f>
        <v>24</v>
      </c>
      <c r="F70" s="10">
        <f>_xll.AtlasFormulas.AtlasFunctions.AtlasBalance("PROD",DataAreaId,"T.InventTrans|inventDimId~inventDimId@T.InventDim","Sum|Qty|0","","","","","","","DateFinancial|ItemId|T2.InventSiteId|T2.InventLocationId",PeriodEnding,$A70,$B70,$C70)</f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24</v>
      </c>
    </row>
    <row r="71" spans="1:8">
      <c r="A71" s="8" t="s">
        <v>1040</v>
      </c>
      <c r="B71" s="8" t="s">
        <v>237</v>
      </c>
      <c r="C71" s="8" t="s">
        <v>238</v>
      </c>
      <c r="D71" s="10">
        <v>98</v>
      </c>
      <c r="E71" s="10">
        <f>_xll.AtlasFormulas.AtlasFunctions.AtlasBalance("PROD",DataAreaId,"T.InventTrans|inventDimId~inventDimId@T.InventDim","Sum|Qty|0","","","","","","","DateFinancial|ItemId|T2.InventSiteId|T2.InventLocationId",PeriodBeginning,$A71,$B71,$C71)</f>
        <v>98</v>
      </c>
      <c r="F71" s="10">
        <f>_xll.AtlasFormulas.AtlasFunctions.AtlasBalance("PROD",DataAreaId,"T.InventTrans|inventDimId~inventDimId@T.InventDim","Sum|Qty|0","","","","","","","DateFinancial|ItemId|T2.InventSiteId|T2.InventLocationId",PeriodEnding,$A71,$B71,$C71)</f>
        <v>0</v>
      </c>
      <c r="G71" s="10">
        <f>AtlasReport_3_Table_1[[#This Row],[Current On-hand]]-AtlasReport_3_Table_1[[#This Row],[Trans backwords (Beginning)]]</f>
        <v>0</v>
      </c>
      <c r="H71" s="10">
        <f>AtlasReport_3_Table_1[[#This Row],[Current On-hand]]-AtlasReport_3_Table_1[[#This Row],[Trans backwords (Ending)]]</f>
        <v>98</v>
      </c>
    </row>
    <row r="72" spans="1:8">
      <c r="A72" s="8" t="s">
        <v>64</v>
      </c>
      <c r="B72" s="8" t="s">
        <v>237</v>
      </c>
      <c r="C72" s="8" t="s">
        <v>44</v>
      </c>
      <c r="D72" s="10">
        <v>0</v>
      </c>
      <c r="E72" s="10">
        <f>_xll.AtlasFormulas.AtlasFunctions.AtlasBalance("PROD",DataAreaId,"T.InventTrans|inventDimId~inventDimId@T.InventDim","Sum|Qty|0","","","","","","","DateFinancial|ItemId|T2.InventSiteId|T2.InventLocationId",PeriodBeginning,$A72,$B72,$C72)</f>
        <v>0</v>
      </c>
      <c r="F72" s="10">
        <f>_xll.AtlasFormulas.AtlasFunctions.AtlasBalance("PROD",DataAreaId,"T.InventTrans|inventDimId~inventDimId@T.InventDim","Sum|Qty|0","","","","","","","DateFinancial|ItemId|T2.InventSiteId|T2.InventLocationId",PeriodEnding,$A72,$B72,$C72)</f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>
      <c r="A73" s="8" t="s">
        <v>64</v>
      </c>
      <c r="B73" s="8" t="s">
        <v>237</v>
      </c>
      <c r="C73" s="8" t="s">
        <v>238</v>
      </c>
      <c r="D73" s="10">
        <v>292.39999999999998</v>
      </c>
      <c r="E73" s="10">
        <f>_xll.AtlasFormulas.AtlasFunctions.AtlasBalance("PROD",DataAreaId,"T.InventTrans|inventDimId~inventDimId@T.InventDim","Sum|Qty|0","","","","","","","DateFinancial|ItemId|T2.InventSiteId|T2.InventLocationId",PeriodBeginning,$A73,$B73,$C73)</f>
        <v>292.39999999999998</v>
      </c>
      <c r="F73" s="10">
        <f>_xll.AtlasFormulas.AtlasFunctions.AtlasBalance("PROD",DataAreaId,"T.InventTrans|inventDimId~inventDimId@T.InventDim","Sum|Qty|0","","","","","","","DateFinancial|ItemId|T2.InventSiteId|T2.InventLocationId",PeriodEnding,$A73,$B73,$C73)</f>
        <v>0</v>
      </c>
      <c r="G73" s="10">
        <f>AtlasReport_3_Table_1[[#This Row],[Current On-hand]]-AtlasReport_3_Table_1[[#This Row],[Trans backwords (Beginning)]]</f>
        <v>0</v>
      </c>
      <c r="H73" s="10">
        <f>AtlasReport_3_Table_1[[#This Row],[Current On-hand]]-AtlasReport_3_Table_1[[#This Row],[Trans backwords (Ending)]]</f>
        <v>292.39999999999998</v>
      </c>
    </row>
    <row r="74" spans="1:8">
      <c r="A74" s="8" t="s">
        <v>39</v>
      </c>
      <c r="B74" s="8" t="s">
        <v>237</v>
      </c>
      <c r="C74" s="8" t="s">
        <v>238</v>
      </c>
      <c r="D74" s="10">
        <v>150</v>
      </c>
      <c r="E74" s="10">
        <f>_xll.AtlasFormulas.AtlasFunctions.AtlasBalance("PROD",DataAreaId,"T.InventTrans|inventDimId~inventDimId@T.InventDim","Sum|Qty|0","","","","","","","DateFinancial|ItemId|T2.InventSiteId|T2.InventLocationId",PeriodBeginning,$A74,$B74,$C74)</f>
        <v>150</v>
      </c>
      <c r="F74" s="10">
        <f>_xll.AtlasFormulas.AtlasFunctions.AtlasBalance("PROD",DataAreaId,"T.InventTrans|inventDimId~inventDimId@T.InventDim","Sum|Qty|0","","","","","","","DateFinancial|ItemId|T2.InventSiteId|T2.InventLocationId",PeriodEnding,$A74,$B74,$C74)</f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150</v>
      </c>
    </row>
    <row r="75" spans="1:8">
      <c r="A75" s="8" t="s">
        <v>58</v>
      </c>
      <c r="B75" s="8" t="s">
        <v>237</v>
      </c>
      <c r="C75" s="8" t="s">
        <v>44</v>
      </c>
      <c r="D75" s="10">
        <v>0</v>
      </c>
      <c r="E75" s="10">
        <f>_xll.AtlasFormulas.AtlasFunctions.AtlasBalance("PROD",DataAreaId,"T.InventTrans|inventDimId~inventDimId@T.InventDim","Sum|Qty|0","","","","","","","DateFinancial|ItemId|T2.InventSiteId|T2.InventLocationId",PeriodBeginning,$A75,$B75,$C75)</f>
        <v>0</v>
      </c>
      <c r="F75" s="10">
        <f>_xll.AtlasFormulas.AtlasFunctions.AtlasBalance("PROD",DataAreaId,"T.InventTrans|inventDimId~inventDimId@T.InventDim","Sum|Qty|0","","","","","","","DateFinancial|ItemId|T2.InventSiteId|T2.InventLocationId",PeriodEnding,$A75,$B75,$C75)</f>
        <v>0</v>
      </c>
      <c r="G75" s="10">
        <f>AtlasReport_3_Table_1[[#This Row],[Current On-hand]]-AtlasReport_3_Table_1[[#This Row],[Trans backwords (Beginning)]]</f>
        <v>0</v>
      </c>
      <c r="H75" s="10">
        <f>AtlasReport_3_Table_1[[#This Row],[Current On-hand]]-AtlasReport_3_Table_1[[#This Row],[Trans backwords (Ending)]]</f>
        <v>0</v>
      </c>
    </row>
    <row r="76" spans="1:8">
      <c r="A76" s="8" t="s">
        <v>58</v>
      </c>
      <c r="B76" s="8" t="s">
        <v>237</v>
      </c>
      <c r="C76" s="8" t="s">
        <v>238</v>
      </c>
      <c r="D76" s="10">
        <v>306</v>
      </c>
      <c r="E76" s="10">
        <f>_xll.AtlasFormulas.AtlasFunctions.AtlasBalance("PROD",DataAreaId,"T.InventTrans|inventDimId~inventDimId@T.InventDim","Sum|Qty|0","","","","","","","DateFinancial|ItemId|T2.InventSiteId|T2.InventLocationId",PeriodBeginning,$A76,$B76,$C76)</f>
        <v>306</v>
      </c>
      <c r="F76" s="10">
        <f>_xll.AtlasFormulas.AtlasFunctions.AtlasBalance("PROD",DataAreaId,"T.InventTrans|inventDimId~inventDimId@T.InventDim","Sum|Qty|0","","","","","","","DateFinancial|ItemId|T2.InventSiteId|T2.InventLocationId",PeriodEnding,$A76,$B76,$C76)</f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306</v>
      </c>
    </row>
    <row r="77" spans="1:8">
      <c r="A77" s="8" t="s">
        <v>17</v>
      </c>
      <c r="B77" s="8" t="s">
        <v>237</v>
      </c>
      <c r="C77" s="8" t="s">
        <v>238</v>
      </c>
      <c r="D77" s="10">
        <v>275</v>
      </c>
      <c r="E77" s="10">
        <f>_xll.AtlasFormulas.AtlasFunctions.AtlasBalance("PROD",DataAreaId,"T.InventTrans|inventDimId~inventDimId@T.InventDim","Sum|Qty|0","","","","","","","DateFinancial|ItemId|T2.InventSiteId|T2.InventLocationId",PeriodBeginning,$A77,$B77,$C77)</f>
        <v>275</v>
      </c>
      <c r="F77" s="10">
        <f>_xll.AtlasFormulas.AtlasFunctions.AtlasBalance("PROD",DataAreaId,"T.InventTrans|inventDimId~inventDimId@T.InventDim","Sum|Qty|0","","","","","","","DateFinancial|ItemId|T2.InventSiteId|T2.InventLocationId",PeriodEnding,$A77,$B77,$C77)</f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275</v>
      </c>
    </row>
    <row r="78" spans="1:8">
      <c r="A78" s="8" t="s">
        <v>62</v>
      </c>
      <c r="B78" s="8" t="s">
        <v>237</v>
      </c>
      <c r="C78" s="8" t="s">
        <v>44</v>
      </c>
      <c r="D78" s="10">
        <v>0</v>
      </c>
      <c r="E78" s="10">
        <f>_xll.AtlasFormulas.AtlasFunctions.AtlasBalance("PROD",DataAreaId,"T.InventTrans|inventDimId~inventDimId@T.InventDim","Sum|Qty|0","","","","","","","DateFinancial|ItemId|T2.InventSiteId|T2.InventLocationId",PeriodBeginning,$A78,$B78,$C78)</f>
        <v>0</v>
      </c>
      <c r="F78" s="10">
        <f>_xll.AtlasFormulas.AtlasFunctions.AtlasBalance("PROD",DataAreaId,"T.InventTrans|inventDimId~inventDimId@T.InventDim","Sum|Qty|0","","","","","","","DateFinancial|ItemId|T2.InventSiteId|T2.InventLocationId",PeriodEnding,$A78,$B78,$C78)</f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>
      <c r="A79" s="8" t="s">
        <v>62</v>
      </c>
      <c r="B79" s="8" t="s">
        <v>237</v>
      </c>
      <c r="C79" s="8" t="s">
        <v>238</v>
      </c>
      <c r="D79" s="10">
        <v>245</v>
      </c>
      <c r="E79" s="10">
        <f>_xll.AtlasFormulas.AtlasFunctions.AtlasBalance("PROD",DataAreaId,"T.InventTrans|inventDimId~inventDimId@T.InventDim","Sum|Qty|0","","","","","","","DateFinancial|ItemId|T2.InventSiteId|T2.InventLocationId",PeriodBeginning,$A79,$B79,$C79)</f>
        <v>245</v>
      </c>
      <c r="F79" s="10">
        <f>_xll.AtlasFormulas.AtlasFunctions.AtlasBalance("PROD",DataAreaId,"T.InventTrans|inventDimId~inventDimId@T.InventDim","Sum|Qty|0","","","","","","","DateFinancial|ItemId|T2.InventSiteId|T2.InventLocationId",PeriodEnding,$A79,$B79,$C79)</f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245</v>
      </c>
    </row>
    <row r="80" spans="1:8">
      <c r="A80" s="8" t="s">
        <v>40</v>
      </c>
      <c r="B80" s="8" t="s">
        <v>237</v>
      </c>
      <c r="C80" s="8" t="s">
        <v>44</v>
      </c>
      <c r="D80" s="10">
        <v>0</v>
      </c>
      <c r="E80" s="10">
        <f>_xll.AtlasFormulas.AtlasFunctions.AtlasBalance("PROD",DataAreaId,"T.InventTrans|inventDimId~inventDimId@T.InventDim","Sum|Qty|0","","","","","","","DateFinancial|ItemId|T2.InventSiteId|T2.InventLocationId",PeriodBeginning,$A80,$B80,$C80)</f>
        <v>0</v>
      </c>
      <c r="F80" s="10">
        <f>_xll.AtlasFormulas.AtlasFunctions.AtlasBalance("PROD",DataAreaId,"T.InventTrans|inventDimId~inventDimId@T.InventDim","Sum|Qty|0","","","","","","","DateFinancial|ItemId|T2.InventSiteId|T2.InventLocationId",PeriodEnding,$A80,$B80,$C80)</f>
        <v>0</v>
      </c>
      <c r="G80" s="10">
        <f>AtlasReport_3_Table_1[[#This Row],[Current On-hand]]-AtlasReport_3_Table_1[[#This Row],[Trans backwords (Beginning)]]</f>
        <v>0</v>
      </c>
      <c r="H80" s="10">
        <f>AtlasReport_3_Table_1[[#This Row],[Current On-hand]]-AtlasReport_3_Table_1[[#This Row],[Trans backwords (Ending)]]</f>
        <v>0</v>
      </c>
    </row>
    <row r="81" spans="1:8">
      <c r="A81" s="8" t="s">
        <v>40</v>
      </c>
      <c r="B81" s="8" t="s">
        <v>237</v>
      </c>
      <c r="C81" s="8" t="s">
        <v>238</v>
      </c>
      <c r="D81" s="10">
        <v>333</v>
      </c>
      <c r="E81" s="10">
        <f>_xll.AtlasFormulas.AtlasFunctions.AtlasBalance("PROD",DataAreaId,"T.InventTrans|inventDimId~inventDimId@T.InventDim","Sum|Qty|0","","","","","","","DateFinancial|ItemId|T2.InventSiteId|T2.InventLocationId",PeriodBeginning,$A81,$B81,$C81)</f>
        <v>333</v>
      </c>
      <c r="F81" s="10">
        <f>_xll.AtlasFormulas.AtlasFunctions.AtlasBalance("PROD",DataAreaId,"T.InventTrans|inventDimId~inventDimId@T.InventDim","Sum|Qty|0","","","","","","","DateFinancial|ItemId|T2.InventSiteId|T2.InventLocationId",PeriodEnding,$A81,$B81,$C81)</f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333</v>
      </c>
    </row>
    <row r="82" spans="1:8">
      <c r="A82" s="8" t="s">
        <v>60</v>
      </c>
      <c r="B82" s="8" t="s">
        <v>237</v>
      </c>
      <c r="C82" s="8" t="s">
        <v>44</v>
      </c>
      <c r="D82" s="10">
        <v>0</v>
      </c>
      <c r="E82" s="10">
        <f>_xll.AtlasFormulas.AtlasFunctions.AtlasBalance("PROD",DataAreaId,"T.InventTrans|inventDimId~inventDimId@T.InventDim","Sum|Qty|0","","","","","","","DateFinancial|ItemId|T2.InventSiteId|T2.InventLocationId",PeriodBeginning,$A82,$B82,$C82)</f>
        <v>0</v>
      </c>
      <c r="F82" s="10">
        <f>_xll.AtlasFormulas.AtlasFunctions.AtlasBalance("PROD",DataAreaId,"T.InventTrans|inventDimId~inventDimId@T.InventDim","Sum|Qty|0","","","","","","","DateFinancial|ItemId|T2.InventSiteId|T2.InventLocationId",PeriodEnding,$A82,$B82,$C82)</f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>
      <c r="A83" s="8" t="s">
        <v>60</v>
      </c>
      <c r="B83" s="8" t="s">
        <v>237</v>
      </c>
      <c r="C83" s="8" t="s">
        <v>238</v>
      </c>
      <c r="D83" s="10">
        <v>385</v>
      </c>
      <c r="E83" s="10">
        <f>_xll.AtlasFormulas.AtlasFunctions.AtlasBalance("PROD",DataAreaId,"T.InventTrans|inventDimId~inventDimId@T.InventDim","Sum|Qty|0","","","","","","","DateFinancial|ItemId|T2.InventSiteId|T2.InventLocationId",PeriodBeginning,$A83,$B83,$C83)</f>
        <v>385</v>
      </c>
      <c r="F83" s="10">
        <f>_xll.AtlasFormulas.AtlasFunctions.AtlasBalance("PROD",DataAreaId,"T.InventTrans|inventDimId~inventDimId@T.InventDim","Sum|Qty|0","","","","","","","DateFinancial|ItemId|T2.InventSiteId|T2.InventLocationId",PeriodEnding,$A83,$B83,$C83)</f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385</v>
      </c>
    </row>
    <row r="84" spans="1:8">
      <c r="A84" s="8" t="s">
        <v>41</v>
      </c>
      <c r="B84" s="8" t="s">
        <v>237</v>
      </c>
      <c r="C84" s="8" t="s">
        <v>44</v>
      </c>
      <c r="D84" s="10">
        <v>0</v>
      </c>
      <c r="E84" s="10">
        <f>_xll.AtlasFormulas.AtlasFunctions.AtlasBalance("PROD",DataAreaId,"T.InventTrans|inventDimId~inventDimId@T.InventDim","Sum|Qty|0","","","","","","","DateFinancial|ItemId|T2.InventSiteId|T2.InventLocationId",PeriodBeginning,$A84,$B84,$C84)</f>
        <v>0</v>
      </c>
      <c r="F84" s="10">
        <f>_xll.AtlasFormulas.AtlasFunctions.AtlasBalance("PROD",DataAreaId,"T.InventTrans|inventDimId~inventDimId@T.InventDim","Sum|Qty|0","","","","","","","DateFinancial|ItemId|T2.InventSiteId|T2.InventLocationId",PeriodEnding,$A84,$B84,$C84)</f>
        <v>0</v>
      </c>
      <c r="G84" s="10">
        <f>AtlasReport_3_Table_1[[#This Row],[Current On-hand]]-AtlasReport_3_Table_1[[#This Row],[Trans backwords (Beginning)]]</f>
        <v>0</v>
      </c>
      <c r="H84" s="10">
        <f>AtlasReport_3_Table_1[[#This Row],[Current On-hand]]-AtlasReport_3_Table_1[[#This Row],[Trans backwords (Ending)]]</f>
        <v>0</v>
      </c>
    </row>
    <row r="85" spans="1:8">
      <c r="A85" s="8" t="s">
        <v>41</v>
      </c>
      <c r="B85" s="8" t="s">
        <v>237</v>
      </c>
      <c r="C85" s="8" t="s">
        <v>238</v>
      </c>
      <c r="D85" s="10">
        <v>355</v>
      </c>
      <c r="E85" s="10">
        <f>_xll.AtlasFormulas.AtlasFunctions.AtlasBalance("PROD",DataAreaId,"T.InventTrans|inventDimId~inventDimId@T.InventDim","Sum|Qty|0","","","","","","","DateFinancial|ItemId|T2.InventSiteId|T2.InventLocationId",PeriodBeginning,$A85,$B85,$C85)</f>
        <v>355</v>
      </c>
      <c r="F85" s="10">
        <f>_xll.AtlasFormulas.AtlasFunctions.AtlasBalance("PROD",DataAreaId,"T.InventTrans|inventDimId~inventDimId@T.InventDim","Sum|Qty|0","","","","","","","DateFinancial|ItemId|T2.InventSiteId|T2.InventLocationId",PeriodEnding,$A85,$B85,$C85)</f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355</v>
      </c>
    </row>
    <row r="86" spans="1:8">
      <c r="A86" s="8" t="s">
        <v>42</v>
      </c>
      <c r="B86" s="8" t="s">
        <v>237</v>
      </c>
      <c r="C86" s="8" t="s">
        <v>44</v>
      </c>
      <c r="D86" s="10">
        <v>0</v>
      </c>
      <c r="E86" s="10">
        <f>_xll.AtlasFormulas.AtlasFunctions.AtlasBalance("PROD",DataAreaId,"T.InventTrans|inventDimId~inventDimId@T.InventDim","Sum|Qty|0","","","","","","","DateFinancial|ItemId|T2.InventSiteId|T2.InventLocationId",PeriodBeginning,$A86,$B86,$C86)</f>
        <v>0</v>
      </c>
      <c r="F86" s="10">
        <f>_xll.AtlasFormulas.AtlasFunctions.AtlasBalance("PROD",DataAreaId,"T.InventTrans|inventDimId~inventDimId@T.InventDim","Sum|Qty|0","","","","","","","DateFinancial|ItemId|T2.InventSiteId|T2.InventLocationId",PeriodEnding,$A86,$B86,$C86)</f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>
      <c r="A87" s="8" t="s">
        <v>42</v>
      </c>
      <c r="B87" s="8" t="s">
        <v>237</v>
      </c>
      <c r="C87" s="8" t="s">
        <v>238</v>
      </c>
      <c r="D87" s="10">
        <v>152</v>
      </c>
      <c r="E87" s="10">
        <f>_xll.AtlasFormulas.AtlasFunctions.AtlasBalance("PROD",DataAreaId,"T.InventTrans|inventDimId~inventDimId@T.InventDim","Sum|Qty|0","","","","","","","DateFinancial|ItemId|T2.InventSiteId|T2.InventLocationId",PeriodBeginning,$A87,$B87,$C87)</f>
        <v>152</v>
      </c>
      <c r="F87" s="10">
        <f>_xll.AtlasFormulas.AtlasFunctions.AtlasBalance("PROD",DataAreaId,"T.InventTrans|inventDimId~inventDimId@T.InventDim","Sum|Qty|0","","","","","","","DateFinancial|ItemId|T2.InventSiteId|T2.InventLocationId",PeriodEnding,$A87,$B87,$C87)</f>
        <v>0</v>
      </c>
      <c r="G87" s="10">
        <f>AtlasReport_3_Table_1[[#This Row],[Current On-hand]]-AtlasReport_3_Table_1[[#This Row],[Trans backwords (Beginning)]]</f>
        <v>0</v>
      </c>
      <c r="H87" s="10">
        <f>AtlasReport_3_Table_1[[#This Row],[Current On-hand]]-AtlasReport_3_Table_1[[#This Row],[Trans backwords (Ending)]]</f>
        <v>152</v>
      </c>
    </row>
    <row r="88" spans="1:8">
      <c r="A88" s="8" t="s">
        <v>265</v>
      </c>
      <c r="B88" s="8" t="s">
        <v>237</v>
      </c>
      <c r="C88" s="8" t="s">
        <v>238</v>
      </c>
      <c r="D88" s="10">
        <v>292</v>
      </c>
      <c r="E88" s="10">
        <f>_xll.AtlasFormulas.AtlasFunctions.AtlasBalance("PROD",DataAreaId,"T.InventTrans|inventDimId~inventDimId@T.InventDim","Sum|Qty|0","","","","","","","DateFinancial|ItemId|T2.InventSiteId|T2.InventLocationId",PeriodBeginning,$A88,$B88,$C88)</f>
        <v>292</v>
      </c>
      <c r="F88" s="10">
        <f>_xll.AtlasFormulas.AtlasFunctions.AtlasBalance("PROD",DataAreaId,"T.InventTrans|inventDimId~inventDimId@T.InventDim","Sum|Qty|0","","","","","","","DateFinancial|ItemId|T2.InventSiteId|T2.InventLocationId",PeriodEnding,$A88,$B88,$C88)</f>
        <v>0</v>
      </c>
      <c r="G88" s="10">
        <f>AtlasReport_3_Table_1[[#This Row],[Current On-hand]]-AtlasReport_3_Table_1[[#This Row],[Trans backwords (Beginning)]]</f>
        <v>0</v>
      </c>
      <c r="H88" s="10">
        <f>AtlasReport_3_Table_1[[#This Row],[Current On-hand]]-AtlasReport_3_Table_1[[#This Row],[Trans backwords (Ending)]]</f>
        <v>292</v>
      </c>
    </row>
    <row r="89" spans="1:8">
      <c r="A89" s="8" t="s">
        <v>266</v>
      </c>
      <c r="B89" s="8" t="s">
        <v>237</v>
      </c>
      <c r="C89" s="8" t="s">
        <v>238</v>
      </c>
      <c r="D89" s="10">
        <v>120.93199999999999</v>
      </c>
      <c r="E89" s="10">
        <f>_xll.AtlasFormulas.AtlasFunctions.AtlasBalance("PROD",DataAreaId,"T.InventTrans|inventDimId~inventDimId@T.InventDim","Sum|Qty|0","","","","","","","DateFinancial|ItemId|T2.InventSiteId|T2.InventLocationId",PeriodBeginning,$A89,$B89,$C89)</f>
        <v>120.932</v>
      </c>
      <c r="F89" s="10">
        <f>_xll.AtlasFormulas.AtlasFunctions.AtlasBalance("PROD",DataAreaId,"T.InventTrans|inventDimId~inventDimId@T.InventDim","Sum|Qty|0","","","","","","","DateFinancial|ItemId|T2.InventSiteId|T2.InventLocationId",PeriodEnding,$A89,$B89,$C89)</f>
        <v>0</v>
      </c>
      <c r="G89" s="10">
        <f>AtlasReport_3_Table_1[[#This Row],[Current On-hand]]-AtlasReport_3_Table_1[[#This Row],[Trans backwords (Beginning)]]</f>
        <v>0</v>
      </c>
      <c r="H89" s="10">
        <f>AtlasReport_3_Table_1[[#This Row],[Current On-hand]]-AtlasReport_3_Table_1[[#This Row],[Trans backwords (Ending)]]</f>
        <v>120.93199999999999</v>
      </c>
    </row>
    <row r="90" spans="1:8">
      <c r="A90" s="8" t="s">
        <v>506</v>
      </c>
      <c r="B90" s="8" t="s">
        <v>237</v>
      </c>
      <c r="C90" s="8" t="s">
        <v>44</v>
      </c>
      <c r="D90" s="10">
        <v>0</v>
      </c>
      <c r="E90" s="10">
        <f>_xll.AtlasFormulas.AtlasFunctions.AtlasBalance("PROD",DataAreaId,"T.InventTrans|inventDimId~inventDimId@T.InventDim","Sum|Qty|0","","","","","","","DateFinancial|ItemId|T2.InventSiteId|T2.InventLocationId",PeriodBeginning,$A90,$B90,$C90)</f>
        <v>0</v>
      </c>
      <c r="F90" s="10">
        <f>_xll.AtlasFormulas.AtlasFunctions.AtlasBalance("PROD",DataAreaId,"T.InventTrans|inventDimId~inventDimId@T.InventDim","Sum|Qty|0","","","","","","","DateFinancial|ItemId|T2.InventSiteId|T2.InventLocationId",PeriodEnding,$A90,$B90,$C90)</f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>
      <c r="A91" s="8" t="s">
        <v>506</v>
      </c>
      <c r="B91" s="8" t="s">
        <v>237</v>
      </c>
      <c r="C91" s="8" t="s">
        <v>238</v>
      </c>
      <c r="D91" s="10">
        <v>31</v>
      </c>
      <c r="E91" s="10">
        <f>_xll.AtlasFormulas.AtlasFunctions.AtlasBalance("PROD",DataAreaId,"T.InventTrans|inventDimId~inventDimId@T.InventDim","Sum|Qty|0","","","","","","","DateFinancial|ItemId|T2.InventSiteId|T2.InventLocationId",PeriodBeginning,$A91,$B91,$C91)</f>
        <v>31</v>
      </c>
      <c r="F91" s="10">
        <f>_xll.AtlasFormulas.AtlasFunctions.AtlasBalance("PROD",DataAreaId,"T.InventTrans|inventDimId~inventDimId@T.InventDim","Sum|Qty|0","","","","","","","DateFinancial|ItemId|T2.InventSiteId|T2.InventLocationId",PeriodEnding,$A91,$B91,$C91)</f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31</v>
      </c>
    </row>
    <row r="92" spans="1:8">
      <c r="A92" s="8" t="s">
        <v>689</v>
      </c>
      <c r="B92" s="8" t="s">
        <v>237</v>
      </c>
      <c r="C92" s="8" t="s">
        <v>44</v>
      </c>
      <c r="D92" s="10">
        <v>0</v>
      </c>
      <c r="E92" s="10">
        <f>_xll.AtlasFormulas.AtlasFunctions.AtlasBalance("PROD",DataAreaId,"T.InventTrans|inventDimId~inventDimId@T.InventDim","Sum|Qty|0","","","","","","","DateFinancial|ItemId|T2.InventSiteId|T2.InventLocationId",PeriodBeginning,$A92,$B92,$C92)</f>
        <v>0</v>
      </c>
      <c r="F92" s="10">
        <f>_xll.AtlasFormulas.AtlasFunctions.AtlasBalance("PROD",DataAreaId,"T.InventTrans|inventDimId~inventDimId@T.InventDim","Sum|Qty|0","","","","","","","DateFinancial|ItemId|T2.InventSiteId|T2.InventLocationId",PeriodEnding,$A92,$B92,$C92)</f>
        <v>0</v>
      </c>
      <c r="G92" s="10">
        <f>AtlasReport_3_Table_1[[#This Row],[Current On-hand]]-AtlasReport_3_Table_1[[#This Row],[Trans backwords (Beginning)]]</f>
        <v>0</v>
      </c>
      <c r="H92" s="10">
        <f>AtlasReport_3_Table_1[[#This Row],[Current On-hand]]-AtlasReport_3_Table_1[[#This Row],[Trans backwords (Ending)]]</f>
        <v>0</v>
      </c>
    </row>
    <row r="93" spans="1:8">
      <c r="A93" s="8" t="s">
        <v>689</v>
      </c>
      <c r="B93" s="8" t="s">
        <v>237</v>
      </c>
      <c r="C93" s="8" t="s">
        <v>238</v>
      </c>
      <c r="D93" s="10">
        <v>36.5</v>
      </c>
      <c r="E93" s="10">
        <f>_xll.AtlasFormulas.AtlasFunctions.AtlasBalance("PROD",DataAreaId,"T.InventTrans|inventDimId~inventDimId@T.InventDim","Sum|Qty|0","","","","","","","DateFinancial|ItemId|T2.InventSiteId|T2.InventLocationId",PeriodBeginning,$A93,$B93,$C93)</f>
        <v>36.5</v>
      </c>
      <c r="F93" s="10">
        <f>_xll.AtlasFormulas.AtlasFunctions.AtlasBalance("PROD",DataAreaId,"T.InventTrans|inventDimId~inventDimId@T.InventDim","Sum|Qty|0","","","","","","","DateFinancial|ItemId|T2.InventSiteId|T2.InventLocationId",PeriodEnding,$A93,$B93,$C93)</f>
        <v>0</v>
      </c>
      <c r="G93" s="10">
        <f>AtlasReport_3_Table_1[[#This Row],[Current On-hand]]-AtlasReport_3_Table_1[[#This Row],[Trans backwords (Beginning)]]</f>
        <v>0</v>
      </c>
      <c r="H93" s="10">
        <f>AtlasReport_3_Table_1[[#This Row],[Current On-hand]]-AtlasReport_3_Table_1[[#This Row],[Trans backwords (Ending)]]</f>
        <v>36.5</v>
      </c>
    </row>
    <row r="94" spans="1:8">
      <c r="A94" s="8" t="s">
        <v>535</v>
      </c>
      <c r="B94" s="8" t="s">
        <v>237</v>
      </c>
      <c r="C94" s="8" t="s">
        <v>44</v>
      </c>
      <c r="D94" s="10">
        <v>0</v>
      </c>
      <c r="E94" s="10">
        <f>_xll.AtlasFormulas.AtlasFunctions.AtlasBalance("PROD",DataAreaId,"T.InventTrans|inventDimId~inventDimId@T.InventDim","Sum|Qty|0","","","","","","","DateFinancial|ItemId|T2.InventSiteId|T2.InventLocationId",PeriodBeginning,$A94,$B94,$C94)</f>
        <v>0</v>
      </c>
      <c r="F94" s="10">
        <f>_xll.AtlasFormulas.AtlasFunctions.AtlasBalance("PROD",DataAreaId,"T.InventTrans|inventDimId~inventDimId@T.InventDim","Sum|Qty|0","","","","","","","DateFinancial|ItemId|T2.InventSiteId|T2.InventLocationId",PeriodEnding,$A94,$B94,$C94)</f>
        <v>0</v>
      </c>
      <c r="G94" s="10">
        <f>AtlasReport_3_Table_1[[#This Row],[Current On-hand]]-AtlasReport_3_Table_1[[#This Row],[Trans backwords (Beginning)]]</f>
        <v>0</v>
      </c>
      <c r="H94" s="10">
        <f>AtlasReport_3_Table_1[[#This Row],[Current On-hand]]-AtlasReport_3_Table_1[[#This Row],[Trans backwords (Ending)]]</f>
        <v>0</v>
      </c>
    </row>
    <row r="95" spans="1:8">
      <c r="A95" s="8" t="s">
        <v>535</v>
      </c>
      <c r="B95" s="8" t="s">
        <v>237</v>
      </c>
      <c r="C95" s="8" t="s">
        <v>238</v>
      </c>
      <c r="D95" s="10">
        <v>0</v>
      </c>
      <c r="E95" s="10">
        <f>_xll.AtlasFormulas.AtlasFunctions.AtlasBalance("PROD",DataAreaId,"T.InventTrans|inventDimId~inventDimId@T.InventDim","Sum|Qty|0","","","","","","","DateFinancial|ItemId|T2.InventSiteId|T2.InventLocationId",PeriodBeginning,$A95,$B95,$C95)</f>
        <v>0</v>
      </c>
      <c r="F95" s="10">
        <f>_xll.AtlasFormulas.AtlasFunctions.AtlasBalance("PROD",DataAreaId,"T.InventTrans|inventDimId~inventDimId@T.InventDim","Sum|Qty|0","","","","","","","DateFinancial|ItemId|T2.InventSiteId|T2.InventLocationId",PeriodEnding,$A95,$B95,$C95)</f>
        <v>0</v>
      </c>
      <c r="G95" s="10">
        <f>AtlasReport_3_Table_1[[#This Row],[Current On-hand]]-AtlasReport_3_Table_1[[#This Row],[Trans backwords (Beginning)]]</f>
        <v>0</v>
      </c>
      <c r="H95" s="10">
        <f>AtlasReport_3_Table_1[[#This Row],[Current On-hand]]-AtlasReport_3_Table_1[[#This Row],[Trans backwords (Ending)]]</f>
        <v>0</v>
      </c>
    </row>
    <row r="96" spans="1:8">
      <c r="A96" s="8" t="s">
        <v>699</v>
      </c>
      <c r="B96" s="8" t="s">
        <v>237</v>
      </c>
      <c r="C96" s="8" t="s">
        <v>44</v>
      </c>
      <c r="D96" s="10">
        <v>0</v>
      </c>
      <c r="E96" s="10">
        <f>_xll.AtlasFormulas.AtlasFunctions.AtlasBalance("PROD",DataAreaId,"T.InventTrans|inventDimId~inventDimId@T.InventDim","Sum|Qty|0","","","","","","","DateFinancial|ItemId|T2.InventSiteId|T2.InventLocationId",PeriodBeginning,$A96,$B96,$C96)</f>
        <v>0</v>
      </c>
      <c r="F96" s="10">
        <f>_xll.AtlasFormulas.AtlasFunctions.AtlasBalance("PROD",DataAreaId,"T.InventTrans|inventDimId~inventDimId@T.InventDim","Sum|Qty|0","","","","","","","DateFinancial|ItemId|T2.InventSiteId|T2.InventLocationId",PeriodEnding,$A96,$B96,$C96)</f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>
      <c r="A97" s="8" t="s">
        <v>699</v>
      </c>
      <c r="B97" s="8" t="s">
        <v>237</v>
      </c>
      <c r="C97" s="8" t="s">
        <v>238</v>
      </c>
      <c r="D97" s="10">
        <v>18.600000000000001</v>
      </c>
      <c r="E97" s="10">
        <f>_xll.AtlasFormulas.AtlasFunctions.AtlasBalance("PROD",DataAreaId,"T.InventTrans|inventDimId~inventDimId@T.InventDim","Sum|Qty|0","","","","","","","DateFinancial|ItemId|T2.InventSiteId|T2.InventLocationId",PeriodBeginning,$A97,$B97,$C97)</f>
        <v>18.600000000000001</v>
      </c>
      <c r="F97" s="10">
        <f>_xll.AtlasFormulas.AtlasFunctions.AtlasBalance("PROD",DataAreaId,"T.InventTrans|inventDimId~inventDimId@T.InventDim","Sum|Qty|0","","","","","","","DateFinancial|ItemId|T2.InventSiteId|T2.InventLocationId",PeriodEnding,$A97,$B97,$C97)</f>
        <v>0</v>
      </c>
      <c r="G97" s="10">
        <f>AtlasReport_3_Table_1[[#This Row],[Current On-hand]]-AtlasReport_3_Table_1[[#This Row],[Trans backwords (Beginning)]]</f>
        <v>0</v>
      </c>
      <c r="H97" s="10">
        <f>AtlasReport_3_Table_1[[#This Row],[Current On-hand]]-AtlasReport_3_Table_1[[#This Row],[Trans backwords (Ending)]]</f>
        <v>18.600000000000001</v>
      </c>
    </row>
    <row r="98" spans="1:8">
      <c r="A98" s="8" t="s">
        <v>267</v>
      </c>
      <c r="B98" s="8" t="s">
        <v>237</v>
      </c>
      <c r="C98" s="8" t="s">
        <v>44</v>
      </c>
      <c r="D98" s="10">
        <v>0</v>
      </c>
      <c r="E98" s="10">
        <f>_xll.AtlasFormulas.AtlasFunctions.AtlasBalance("PROD",DataAreaId,"T.InventTrans|inventDimId~inventDimId@T.InventDim","Sum|Qty|0","","","","","","","DateFinancial|ItemId|T2.InventSiteId|T2.InventLocationId",PeriodBeginning,$A98,$B98,$C98)</f>
        <v>0</v>
      </c>
      <c r="F98" s="10">
        <f>_xll.AtlasFormulas.AtlasFunctions.AtlasBalance("PROD",DataAreaId,"T.InventTrans|inventDimId~inventDimId@T.InventDim","Sum|Qty|0","","","","","","","DateFinancial|ItemId|T2.InventSiteId|T2.InventLocationId",PeriodEnding,$A98,$B98,$C98)</f>
        <v>0</v>
      </c>
      <c r="G98" s="10">
        <f>AtlasReport_3_Table_1[[#This Row],[Current On-hand]]-AtlasReport_3_Table_1[[#This Row],[Trans backwords (Beginning)]]</f>
        <v>0</v>
      </c>
      <c r="H98" s="10">
        <f>AtlasReport_3_Table_1[[#This Row],[Current On-hand]]-AtlasReport_3_Table_1[[#This Row],[Trans backwords (Ending)]]</f>
        <v>0</v>
      </c>
    </row>
    <row r="99" spans="1:8">
      <c r="A99" s="8" t="s">
        <v>267</v>
      </c>
      <c r="B99" s="8" t="s">
        <v>237</v>
      </c>
      <c r="C99" s="8" t="s">
        <v>238</v>
      </c>
      <c r="D99" s="10">
        <v>266</v>
      </c>
      <c r="E99" s="10">
        <f>_xll.AtlasFormulas.AtlasFunctions.AtlasBalance("PROD",DataAreaId,"T.InventTrans|inventDimId~inventDimId@T.InventDim","Sum|Qty|0","","","","","","","DateFinancial|ItemId|T2.InventSiteId|T2.InventLocationId",PeriodBeginning,$A99,$B99,$C99)</f>
        <v>266</v>
      </c>
      <c r="F99" s="10">
        <f>_xll.AtlasFormulas.AtlasFunctions.AtlasBalance("PROD",DataAreaId,"T.InventTrans|inventDimId~inventDimId@T.InventDim","Sum|Qty|0","","","","","","","DateFinancial|ItemId|T2.InventSiteId|T2.InventLocationId",PeriodEnding,$A99,$B99,$C99)</f>
        <v>40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226</v>
      </c>
    </row>
    <row r="100" spans="1:8">
      <c r="A100" s="8" t="s">
        <v>369</v>
      </c>
      <c r="B100" s="8" t="s">
        <v>237</v>
      </c>
      <c r="C100" s="8" t="s">
        <v>44</v>
      </c>
      <c r="D100" s="10">
        <v>0</v>
      </c>
      <c r="E100" s="10">
        <f>_xll.AtlasFormulas.AtlasFunctions.AtlasBalance("PROD",DataAreaId,"T.InventTrans|inventDimId~inventDimId@T.InventDim","Sum|Qty|0","","","","","","","DateFinancial|ItemId|T2.InventSiteId|T2.InventLocationId",PeriodBeginning,$A100,$B100,$C100)</f>
        <v>0</v>
      </c>
      <c r="F100" s="10">
        <f>_xll.AtlasFormulas.AtlasFunctions.AtlasBalance("PROD",DataAreaId,"T.InventTrans|inventDimId~inventDimId@T.InventDim","Sum|Qty|0","","","","","","","DateFinancial|ItemId|T2.InventSiteId|T2.InventLocationId",PeriodEnding,$A100,$B100,$C100)</f>
        <v>0</v>
      </c>
      <c r="G100" s="10">
        <f>AtlasReport_3_Table_1[[#This Row],[Current On-hand]]-AtlasReport_3_Table_1[[#This Row],[Trans backwords (Beginning)]]</f>
        <v>0</v>
      </c>
      <c r="H100" s="10">
        <f>AtlasReport_3_Table_1[[#This Row],[Current On-hand]]-AtlasReport_3_Table_1[[#This Row],[Trans backwords (Ending)]]</f>
        <v>0</v>
      </c>
    </row>
    <row r="101" spans="1:8">
      <c r="A101" s="8" t="s">
        <v>369</v>
      </c>
      <c r="B101" s="8" t="s">
        <v>237</v>
      </c>
      <c r="C101" s="8" t="s">
        <v>238</v>
      </c>
      <c r="D101" s="10">
        <v>217</v>
      </c>
      <c r="E101" s="10">
        <f>_xll.AtlasFormulas.AtlasFunctions.AtlasBalance("PROD",DataAreaId,"T.InventTrans|inventDimId~inventDimId@T.InventDim","Sum|Qty|0","","","","","","","DateFinancial|ItemId|T2.InventSiteId|T2.InventLocationId",PeriodBeginning,$A101,$B101,$C101)</f>
        <v>217</v>
      </c>
      <c r="F101" s="10">
        <f>_xll.AtlasFormulas.AtlasFunctions.AtlasBalance("PROD",DataAreaId,"T.InventTrans|inventDimId~inventDimId@T.InventDim","Sum|Qty|0","","","","","","","DateFinancial|ItemId|T2.InventSiteId|T2.InventLocationId",PeriodEnding,$A101,$B101,$C101)</f>
        <v>13.8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203.2</v>
      </c>
    </row>
    <row r="102" spans="1:8">
      <c r="A102" s="8" t="s">
        <v>268</v>
      </c>
      <c r="B102" s="8" t="s">
        <v>237</v>
      </c>
      <c r="C102" s="8" t="s">
        <v>44</v>
      </c>
      <c r="D102" s="10">
        <v>0</v>
      </c>
      <c r="E102" s="10">
        <f>_xll.AtlasFormulas.AtlasFunctions.AtlasBalance("PROD",DataAreaId,"T.InventTrans|inventDimId~inventDimId@T.InventDim","Sum|Qty|0","","","","","","","DateFinancial|ItemId|T2.InventSiteId|T2.InventLocationId",PeriodBeginning,$A102,$B102,$C102)</f>
        <v>0</v>
      </c>
      <c r="F102" s="10">
        <f>_xll.AtlasFormulas.AtlasFunctions.AtlasBalance("PROD",DataAreaId,"T.InventTrans|inventDimId~inventDimId@T.InventDim","Sum|Qty|0","","","","","","","DateFinancial|ItemId|T2.InventSiteId|T2.InventLocationId",PeriodEnding,$A102,$B102,$C102)</f>
        <v>0</v>
      </c>
      <c r="G102" s="10">
        <f>AtlasReport_3_Table_1[[#This Row],[Current On-hand]]-AtlasReport_3_Table_1[[#This Row],[Trans backwords (Beginning)]]</f>
        <v>0</v>
      </c>
      <c r="H102" s="10">
        <f>AtlasReport_3_Table_1[[#This Row],[Current On-hand]]-AtlasReport_3_Table_1[[#This Row],[Trans backwords (Ending)]]</f>
        <v>0</v>
      </c>
    </row>
    <row r="103" spans="1:8">
      <c r="A103" s="8" t="s">
        <v>268</v>
      </c>
      <c r="B103" s="8" t="s">
        <v>237</v>
      </c>
      <c r="C103" s="8" t="s">
        <v>238</v>
      </c>
      <c r="D103" s="10">
        <v>16</v>
      </c>
      <c r="E103" s="10">
        <f>_xll.AtlasFormulas.AtlasFunctions.AtlasBalance("PROD",DataAreaId,"T.InventTrans|inventDimId~inventDimId@T.InventDim","Sum|Qty|0","","","","","","","DateFinancial|ItemId|T2.InventSiteId|T2.InventLocationId",PeriodBeginning,$A103,$B103,$C103)</f>
        <v>16</v>
      </c>
      <c r="F103" s="10">
        <f>_xll.AtlasFormulas.AtlasFunctions.AtlasBalance("PROD",DataAreaId,"T.InventTrans|inventDimId~inventDimId@T.InventDim","Sum|Qty|0","","","","","","","DateFinancial|ItemId|T2.InventSiteId|T2.InventLocationId",PeriodEnding,$A103,$B103,$C103)</f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16</v>
      </c>
    </row>
    <row r="104" spans="1:8">
      <c r="A104" s="8" t="s">
        <v>269</v>
      </c>
      <c r="B104" s="8" t="s">
        <v>237</v>
      </c>
      <c r="C104" s="8" t="s">
        <v>44</v>
      </c>
      <c r="D104" s="10">
        <v>0</v>
      </c>
      <c r="E104" s="10">
        <f>_xll.AtlasFormulas.AtlasFunctions.AtlasBalance("PROD",DataAreaId,"T.InventTrans|inventDimId~inventDimId@T.InventDim","Sum|Qty|0","","","","","","","DateFinancial|ItemId|T2.InventSiteId|T2.InventLocationId",PeriodBeginning,$A104,$B104,$C104)</f>
        <v>0</v>
      </c>
      <c r="F104" s="10">
        <f>_xll.AtlasFormulas.AtlasFunctions.AtlasBalance("PROD",DataAreaId,"T.InventTrans|inventDimId~inventDimId@T.InventDim","Sum|Qty|0","","","","","","","DateFinancial|ItemId|T2.InventSiteId|T2.InventLocationId",PeriodEnding,$A104,$B104,$C104)</f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>
      <c r="A105" s="8" t="s">
        <v>269</v>
      </c>
      <c r="B105" s="8" t="s">
        <v>237</v>
      </c>
      <c r="C105" s="8" t="s">
        <v>238</v>
      </c>
      <c r="D105" s="10">
        <v>28</v>
      </c>
      <c r="E105" s="10">
        <f>_xll.AtlasFormulas.AtlasFunctions.AtlasBalance("PROD",DataAreaId,"T.InventTrans|inventDimId~inventDimId@T.InventDim","Sum|Qty|0","","","","","","","DateFinancial|ItemId|T2.InventSiteId|T2.InventLocationId",PeriodBeginning,$A105,$B105,$C105)</f>
        <v>28</v>
      </c>
      <c r="F105" s="10">
        <f>_xll.AtlasFormulas.AtlasFunctions.AtlasBalance("PROD",DataAreaId,"T.InventTrans|inventDimId~inventDimId@T.InventDim","Sum|Qty|0","","","","","","","DateFinancial|ItemId|T2.InventSiteId|T2.InventLocationId",PeriodEnding,$A105,$B105,$C105)</f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28</v>
      </c>
    </row>
    <row r="106" spans="1:8">
      <c r="A106" s="8" t="s">
        <v>375</v>
      </c>
      <c r="B106" s="8" t="s">
        <v>237</v>
      </c>
      <c r="C106" s="8" t="s">
        <v>44</v>
      </c>
      <c r="D106" s="10">
        <v>0</v>
      </c>
      <c r="E106" s="10">
        <f>_xll.AtlasFormulas.AtlasFunctions.AtlasBalance("PROD",DataAreaId,"T.InventTrans|inventDimId~inventDimId@T.InventDim","Sum|Qty|0","","","","","","","DateFinancial|ItemId|T2.InventSiteId|T2.InventLocationId",PeriodBeginning,$A106,$B106,$C106)</f>
        <v>0</v>
      </c>
      <c r="F106" s="10">
        <f>_xll.AtlasFormulas.AtlasFunctions.AtlasBalance("PROD",DataAreaId,"T.InventTrans|inventDimId~inventDimId@T.InventDim","Sum|Qty|0","","","","","","","DateFinancial|ItemId|T2.InventSiteId|T2.InventLocationId",PeriodEnding,$A106,$B106,$C106)</f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>
      <c r="A107" s="8" t="s">
        <v>375</v>
      </c>
      <c r="B107" s="8" t="s">
        <v>237</v>
      </c>
      <c r="C107" s="8" t="s">
        <v>238</v>
      </c>
      <c r="D107" s="10">
        <v>0</v>
      </c>
      <c r="E107" s="10">
        <f>_xll.AtlasFormulas.AtlasFunctions.AtlasBalance("PROD",DataAreaId,"T.InventTrans|inventDimId~inventDimId@T.InventDim","Sum|Qty|0","","","","","","","DateFinancial|ItemId|T2.InventSiteId|T2.InventLocationId",PeriodBeginning,$A107,$B107,$C107)</f>
        <v>0</v>
      </c>
      <c r="F107" s="10">
        <f>_xll.AtlasFormulas.AtlasFunctions.AtlasBalance("PROD",DataAreaId,"T.InventTrans|inventDimId~inventDimId@T.InventDim","Sum|Qty|0","","","","","","","DateFinancial|ItemId|T2.InventSiteId|T2.InventLocationId",PeriodEnding,$A107,$B107,$C107)</f>
        <v>0</v>
      </c>
      <c r="G107" s="10">
        <f>AtlasReport_3_Table_1[[#This Row],[Current On-hand]]-AtlasReport_3_Table_1[[#This Row],[Trans backwords (Beginning)]]</f>
        <v>0</v>
      </c>
      <c r="H107" s="10">
        <f>AtlasReport_3_Table_1[[#This Row],[Current On-hand]]-AtlasReport_3_Table_1[[#This Row],[Trans backwords (Ending)]]</f>
        <v>0</v>
      </c>
    </row>
    <row r="108" spans="1:8">
      <c r="A108" s="8" t="s">
        <v>270</v>
      </c>
      <c r="B108" s="8" t="s">
        <v>237</v>
      </c>
      <c r="C108" s="8" t="s">
        <v>44</v>
      </c>
      <c r="D108" s="10">
        <v>0</v>
      </c>
      <c r="E108" s="10">
        <f>_xll.AtlasFormulas.AtlasFunctions.AtlasBalance("PROD",DataAreaId,"T.InventTrans|inventDimId~inventDimId@T.InventDim","Sum|Qty|0","","","","","","","DateFinancial|ItemId|T2.InventSiteId|T2.InventLocationId",PeriodBeginning,$A108,$B108,$C108)</f>
        <v>0</v>
      </c>
      <c r="F108" s="10">
        <f>_xll.AtlasFormulas.AtlasFunctions.AtlasBalance("PROD",DataAreaId,"T.InventTrans|inventDimId~inventDimId@T.InventDim","Sum|Qty|0","","","","","","","DateFinancial|ItemId|T2.InventSiteId|T2.InventLocationId",PeriodEnding,$A108,$B108,$C108)</f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>
      <c r="A109" s="8" t="s">
        <v>270</v>
      </c>
      <c r="B109" s="8" t="s">
        <v>237</v>
      </c>
      <c r="C109" s="8" t="s">
        <v>238</v>
      </c>
      <c r="D109" s="10">
        <v>18</v>
      </c>
      <c r="E109" s="10">
        <f>_xll.AtlasFormulas.AtlasFunctions.AtlasBalance("PROD",DataAreaId,"T.InventTrans|inventDimId~inventDimId@T.InventDim","Sum|Qty|0","","","","","","","DateFinancial|ItemId|T2.InventSiteId|T2.InventLocationId",PeriodBeginning,$A109,$B109,$C109)</f>
        <v>18</v>
      </c>
      <c r="F109" s="10">
        <f>_xll.AtlasFormulas.AtlasFunctions.AtlasBalance("PROD",DataAreaId,"T.InventTrans|inventDimId~inventDimId@T.InventDim","Sum|Qty|0","","","","","","","DateFinancial|ItemId|T2.InventSiteId|T2.InventLocationId",PeriodEnding,$A109,$B109,$C109)</f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18</v>
      </c>
    </row>
    <row r="110" spans="1:8">
      <c r="A110" s="8" t="s">
        <v>271</v>
      </c>
      <c r="B110" s="8" t="s">
        <v>237</v>
      </c>
      <c r="C110" s="8" t="s">
        <v>44</v>
      </c>
      <c r="D110" s="10">
        <v>0</v>
      </c>
      <c r="E110" s="10">
        <f>_xll.AtlasFormulas.AtlasFunctions.AtlasBalance("PROD",DataAreaId,"T.InventTrans|inventDimId~inventDimId@T.InventDim","Sum|Qty|0","","","","","","","DateFinancial|ItemId|T2.InventSiteId|T2.InventLocationId",PeriodBeginning,$A110,$B110,$C110)</f>
        <v>0</v>
      </c>
      <c r="F110" s="10">
        <f>_xll.AtlasFormulas.AtlasFunctions.AtlasBalance("PROD",DataAreaId,"T.InventTrans|inventDimId~inventDimId@T.InventDim","Sum|Qty|0","","","","","","","DateFinancial|ItemId|T2.InventSiteId|T2.InventLocationId",PeriodEnding,$A110,$B110,$C110)</f>
        <v>0</v>
      </c>
      <c r="G110" s="10">
        <f>AtlasReport_3_Table_1[[#This Row],[Current On-hand]]-AtlasReport_3_Table_1[[#This Row],[Trans backwords (Beginning)]]</f>
        <v>0</v>
      </c>
      <c r="H110" s="10">
        <f>AtlasReport_3_Table_1[[#This Row],[Current On-hand]]-AtlasReport_3_Table_1[[#This Row],[Trans backwords (Ending)]]</f>
        <v>0</v>
      </c>
    </row>
    <row r="111" spans="1:8">
      <c r="A111" s="8" t="s">
        <v>271</v>
      </c>
      <c r="B111" s="8" t="s">
        <v>237</v>
      </c>
      <c r="C111" s="8" t="s">
        <v>238</v>
      </c>
      <c r="D111" s="10">
        <v>30</v>
      </c>
      <c r="E111" s="10">
        <f>_xll.AtlasFormulas.AtlasFunctions.AtlasBalance("PROD",DataAreaId,"T.InventTrans|inventDimId~inventDimId@T.InventDim","Sum|Qty|0","","","","","","","DateFinancial|ItemId|T2.InventSiteId|T2.InventLocationId",PeriodBeginning,$A111,$B111,$C111)</f>
        <v>30</v>
      </c>
      <c r="F111" s="10">
        <f>_xll.AtlasFormulas.AtlasFunctions.AtlasBalance("PROD",DataAreaId,"T.InventTrans|inventDimId~inventDimId@T.InventDim","Sum|Qty|0","","","","","","","DateFinancial|ItemId|T2.InventSiteId|T2.InventLocationId",PeriodEnding,$A111,$B111,$C111)</f>
        <v>0</v>
      </c>
      <c r="G111" s="10">
        <f>AtlasReport_3_Table_1[[#This Row],[Current On-hand]]-AtlasReport_3_Table_1[[#This Row],[Trans backwords (Beginning)]]</f>
        <v>0</v>
      </c>
      <c r="H111" s="10">
        <f>AtlasReport_3_Table_1[[#This Row],[Current On-hand]]-AtlasReport_3_Table_1[[#This Row],[Trans backwords (Ending)]]</f>
        <v>30</v>
      </c>
    </row>
    <row r="112" spans="1:8">
      <c r="A112" s="8" t="s">
        <v>272</v>
      </c>
      <c r="B112" s="8" t="s">
        <v>237</v>
      </c>
      <c r="C112" s="8" t="s">
        <v>44</v>
      </c>
      <c r="D112" s="10">
        <v>0</v>
      </c>
      <c r="E112" s="10">
        <f>_xll.AtlasFormulas.AtlasFunctions.AtlasBalance("PROD",DataAreaId,"T.InventTrans|inventDimId~inventDimId@T.InventDim","Sum|Qty|0","","","","","","","DateFinancial|ItemId|T2.InventSiteId|T2.InventLocationId",PeriodBeginning,$A112,$B112,$C112)</f>
        <v>0</v>
      </c>
      <c r="F112" s="10">
        <f>_xll.AtlasFormulas.AtlasFunctions.AtlasBalance("PROD",DataAreaId,"T.InventTrans|inventDimId~inventDimId@T.InventDim","Sum|Qty|0","","","","","","","DateFinancial|ItemId|T2.InventSiteId|T2.InventLocationId",PeriodEnding,$A112,$B112,$C112)</f>
        <v>0</v>
      </c>
      <c r="G112" s="10">
        <f>AtlasReport_3_Table_1[[#This Row],[Current On-hand]]-AtlasReport_3_Table_1[[#This Row],[Trans backwords (Beginning)]]</f>
        <v>0</v>
      </c>
      <c r="H112" s="10">
        <f>AtlasReport_3_Table_1[[#This Row],[Current On-hand]]-AtlasReport_3_Table_1[[#This Row],[Trans backwords (Ending)]]</f>
        <v>0</v>
      </c>
    </row>
    <row r="113" spans="1:8">
      <c r="A113" s="8" t="s">
        <v>272</v>
      </c>
      <c r="B113" s="8" t="s">
        <v>237</v>
      </c>
      <c r="C113" s="8" t="s">
        <v>238</v>
      </c>
      <c r="D113" s="10">
        <v>172</v>
      </c>
      <c r="E113" s="10">
        <f>_xll.AtlasFormulas.AtlasFunctions.AtlasBalance("PROD",DataAreaId,"T.InventTrans|inventDimId~inventDimId@T.InventDim","Sum|Qty|0","","","","","","","DateFinancial|ItemId|T2.InventSiteId|T2.InventLocationId",PeriodBeginning,$A113,$B113,$C113)</f>
        <v>172</v>
      </c>
      <c r="F113" s="10">
        <f>_xll.AtlasFormulas.AtlasFunctions.AtlasBalance("PROD",DataAreaId,"T.InventTrans|inventDimId~inventDimId@T.InventDim","Sum|Qty|0","","","","","","","DateFinancial|ItemId|T2.InventSiteId|T2.InventLocationId",PeriodEnding,$A113,$B113,$C113)</f>
        <v>0</v>
      </c>
      <c r="G113" s="10">
        <f>AtlasReport_3_Table_1[[#This Row],[Current On-hand]]-AtlasReport_3_Table_1[[#This Row],[Trans backwords (Beginning)]]</f>
        <v>0</v>
      </c>
      <c r="H113" s="10">
        <f>AtlasReport_3_Table_1[[#This Row],[Current On-hand]]-AtlasReport_3_Table_1[[#This Row],[Trans backwords (Ending)]]</f>
        <v>172</v>
      </c>
    </row>
    <row r="114" spans="1:8">
      <c r="A114" s="8" t="s">
        <v>273</v>
      </c>
      <c r="B114" s="8" t="s">
        <v>237</v>
      </c>
      <c r="C114" s="8" t="s">
        <v>44</v>
      </c>
      <c r="D114" s="10">
        <v>0</v>
      </c>
      <c r="E114" s="10">
        <f>_xll.AtlasFormulas.AtlasFunctions.AtlasBalance("PROD",DataAreaId,"T.InventTrans|inventDimId~inventDimId@T.InventDim","Sum|Qty|0","","","","","","","DateFinancial|ItemId|T2.InventSiteId|T2.InventLocationId",PeriodBeginning,$A114,$B114,$C114)</f>
        <v>0</v>
      </c>
      <c r="F114" s="10">
        <f>_xll.AtlasFormulas.AtlasFunctions.AtlasBalance("PROD",DataAreaId,"T.InventTrans|inventDimId~inventDimId@T.InventDim","Sum|Qty|0","","","","","","","DateFinancial|ItemId|T2.InventSiteId|T2.InventLocationId",PeriodEnding,$A114,$B114,$C114)</f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>
      <c r="A115" s="8" t="s">
        <v>273</v>
      </c>
      <c r="B115" s="8" t="s">
        <v>237</v>
      </c>
      <c r="C115" s="8" t="s">
        <v>238</v>
      </c>
      <c r="D115" s="10">
        <v>137</v>
      </c>
      <c r="E115" s="10">
        <f>_xll.AtlasFormulas.AtlasFunctions.AtlasBalance("PROD",DataAreaId,"T.InventTrans|inventDimId~inventDimId@T.InventDim","Sum|Qty|0","","","","","","","DateFinancial|ItemId|T2.InventSiteId|T2.InventLocationId",PeriodBeginning,$A115,$B115,$C115)</f>
        <v>137</v>
      </c>
      <c r="F115" s="10">
        <f>_xll.AtlasFormulas.AtlasFunctions.AtlasBalance("PROD",DataAreaId,"T.InventTrans|inventDimId~inventDimId@T.InventDim","Sum|Qty|0","","","","","","","DateFinancial|ItemId|T2.InventSiteId|T2.InventLocationId",PeriodEnding,$A115,$B115,$C115)</f>
        <v>117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20</v>
      </c>
    </row>
    <row r="116" spans="1:8">
      <c r="A116" s="8" t="s">
        <v>391</v>
      </c>
      <c r="B116" s="8" t="s">
        <v>237</v>
      </c>
      <c r="C116" s="8" t="s">
        <v>44</v>
      </c>
      <c r="D116" s="10">
        <v>0</v>
      </c>
      <c r="E116" s="10">
        <f>_xll.AtlasFormulas.AtlasFunctions.AtlasBalance("PROD",DataAreaId,"T.InventTrans|inventDimId~inventDimId@T.InventDim","Sum|Qty|0","","","","","","","DateFinancial|ItemId|T2.InventSiteId|T2.InventLocationId",PeriodBeginning,$A116,$B116,$C116)</f>
        <v>0</v>
      </c>
      <c r="F116" s="10">
        <f>_xll.AtlasFormulas.AtlasFunctions.AtlasBalance("PROD",DataAreaId,"T.InventTrans|inventDimId~inventDimId@T.InventDim","Sum|Qty|0","","","","","","","DateFinancial|ItemId|T2.InventSiteId|T2.InventLocationId",PeriodEnding,$A116,$B116,$C116)</f>
        <v>0</v>
      </c>
      <c r="G116" s="10">
        <f>AtlasReport_3_Table_1[[#This Row],[Current On-hand]]-AtlasReport_3_Table_1[[#This Row],[Trans backwords (Beginning)]]</f>
        <v>0</v>
      </c>
      <c r="H116" s="10">
        <f>AtlasReport_3_Table_1[[#This Row],[Current On-hand]]-AtlasReport_3_Table_1[[#This Row],[Trans backwords (Ending)]]</f>
        <v>0</v>
      </c>
    </row>
    <row r="117" spans="1:8">
      <c r="A117" s="8" t="s">
        <v>391</v>
      </c>
      <c r="B117" s="8" t="s">
        <v>237</v>
      </c>
      <c r="C117" s="8" t="s">
        <v>238</v>
      </c>
      <c r="D117" s="10">
        <v>15.6</v>
      </c>
      <c r="E117" s="10">
        <f>_xll.AtlasFormulas.AtlasFunctions.AtlasBalance("PROD",DataAreaId,"T.InventTrans|inventDimId~inventDimId@T.InventDim","Sum|Qty|0","","","","","","","DateFinancial|ItemId|T2.InventSiteId|T2.InventLocationId",PeriodBeginning,$A117,$B117,$C117)</f>
        <v>15.6</v>
      </c>
      <c r="F117" s="10">
        <f>_xll.AtlasFormulas.AtlasFunctions.AtlasBalance("PROD",DataAreaId,"T.InventTrans|inventDimId~inventDimId@T.InventDim","Sum|Qty|0","","","","","","","DateFinancial|ItemId|T2.InventSiteId|T2.InventLocationId",PeriodEnding,$A117,$B117,$C117)</f>
        <v>0</v>
      </c>
      <c r="G117" s="10">
        <f>AtlasReport_3_Table_1[[#This Row],[Current On-hand]]-AtlasReport_3_Table_1[[#This Row],[Trans backwords (Beginning)]]</f>
        <v>0</v>
      </c>
      <c r="H117" s="10">
        <f>AtlasReport_3_Table_1[[#This Row],[Current On-hand]]-AtlasReport_3_Table_1[[#This Row],[Trans backwords (Ending)]]</f>
        <v>15.6</v>
      </c>
    </row>
    <row r="118" spans="1:8">
      <c r="A118" s="8" t="s">
        <v>274</v>
      </c>
      <c r="B118" s="8" t="s">
        <v>237</v>
      </c>
      <c r="C118" s="8" t="s">
        <v>44</v>
      </c>
      <c r="D118" s="10">
        <v>0</v>
      </c>
      <c r="E118" s="10">
        <f>_xll.AtlasFormulas.AtlasFunctions.AtlasBalance("PROD",DataAreaId,"T.InventTrans|inventDimId~inventDimId@T.InventDim","Sum|Qty|0","","","","","","","DateFinancial|ItemId|T2.InventSiteId|T2.InventLocationId",PeriodBeginning,$A118,$B118,$C118)</f>
        <v>0</v>
      </c>
      <c r="F118" s="10">
        <f>_xll.AtlasFormulas.AtlasFunctions.AtlasBalance("PROD",DataAreaId,"T.InventTrans|inventDimId~inventDimId@T.InventDim","Sum|Qty|0","","","","","","","DateFinancial|ItemId|T2.InventSiteId|T2.InventLocationId",PeriodEnding,$A118,$B118,$C118)</f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>
      <c r="A119" s="8" t="s">
        <v>274</v>
      </c>
      <c r="B119" s="8" t="s">
        <v>237</v>
      </c>
      <c r="C119" s="8" t="s">
        <v>238</v>
      </c>
      <c r="D119" s="10">
        <v>27</v>
      </c>
      <c r="E119" s="10">
        <f>_xll.AtlasFormulas.AtlasFunctions.AtlasBalance("PROD",DataAreaId,"T.InventTrans|inventDimId~inventDimId@T.InventDim","Sum|Qty|0","","","","","","","DateFinancial|ItemId|T2.InventSiteId|T2.InventLocationId",PeriodBeginning,$A119,$B119,$C119)</f>
        <v>27</v>
      </c>
      <c r="F119" s="10">
        <f>_xll.AtlasFormulas.AtlasFunctions.AtlasBalance("PROD",DataAreaId,"T.InventTrans|inventDimId~inventDimId@T.InventDim","Sum|Qty|0","","","","","","","DateFinancial|ItemId|T2.InventSiteId|T2.InventLocationId",PeriodEnding,$A119,$B119,$C119)</f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27</v>
      </c>
    </row>
    <row r="120" spans="1:8">
      <c r="A120" s="8" t="s">
        <v>394</v>
      </c>
      <c r="B120" s="8" t="s">
        <v>237</v>
      </c>
      <c r="C120" s="8" t="s">
        <v>44</v>
      </c>
      <c r="D120" s="10">
        <v>0</v>
      </c>
      <c r="E120" s="10">
        <f>_xll.AtlasFormulas.AtlasFunctions.AtlasBalance("PROD",DataAreaId,"T.InventTrans|inventDimId~inventDimId@T.InventDim","Sum|Qty|0","","","","","","","DateFinancial|ItemId|T2.InventSiteId|T2.InventLocationId",PeriodBeginning,$A120,$B120,$C120)</f>
        <v>0</v>
      </c>
      <c r="F120" s="10">
        <f>_xll.AtlasFormulas.AtlasFunctions.AtlasBalance("PROD",DataAreaId,"T.InventTrans|inventDimId~inventDimId@T.InventDim","Sum|Qty|0","","","","","","","DateFinancial|ItemId|T2.InventSiteId|T2.InventLocationId",PeriodEnding,$A120,$B120,$C120)</f>
        <v>0</v>
      </c>
      <c r="G120" s="10">
        <f>AtlasReport_3_Table_1[[#This Row],[Current On-hand]]-AtlasReport_3_Table_1[[#This Row],[Trans backwords (Beginning)]]</f>
        <v>0</v>
      </c>
      <c r="H120" s="10">
        <f>AtlasReport_3_Table_1[[#This Row],[Current On-hand]]-AtlasReport_3_Table_1[[#This Row],[Trans backwords (Ending)]]</f>
        <v>0</v>
      </c>
    </row>
    <row r="121" spans="1:8">
      <c r="A121" s="8" t="s">
        <v>394</v>
      </c>
      <c r="B121" s="8" t="s">
        <v>237</v>
      </c>
      <c r="C121" s="8" t="s">
        <v>238</v>
      </c>
      <c r="D121" s="10">
        <v>22.7</v>
      </c>
      <c r="E121" s="10">
        <f>_xll.AtlasFormulas.AtlasFunctions.AtlasBalance("PROD",DataAreaId,"T.InventTrans|inventDimId~inventDimId@T.InventDim","Sum|Qty|0","","","","","","","DateFinancial|ItemId|T2.InventSiteId|T2.InventLocationId",PeriodBeginning,$A121,$B121,$C121)</f>
        <v>22.7</v>
      </c>
      <c r="F121" s="10">
        <f>_xll.AtlasFormulas.AtlasFunctions.AtlasBalance("PROD",DataAreaId,"T.InventTrans|inventDimId~inventDimId@T.InventDim","Sum|Qty|0","","","","","","","DateFinancial|ItemId|T2.InventSiteId|T2.InventLocationId",PeriodEnding,$A121,$B121,$C121)</f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22.7</v>
      </c>
    </row>
    <row r="122" spans="1:8">
      <c r="A122" s="8" t="s">
        <v>275</v>
      </c>
      <c r="B122" s="8" t="s">
        <v>237</v>
      </c>
      <c r="C122" s="8" t="s">
        <v>44</v>
      </c>
      <c r="D122" s="10">
        <v>0</v>
      </c>
      <c r="E122" s="10">
        <f>_xll.AtlasFormulas.AtlasFunctions.AtlasBalance("PROD",DataAreaId,"T.InventTrans|inventDimId~inventDimId@T.InventDim","Sum|Qty|0","","","","","","","DateFinancial|ItemId|T2.InventSiteId|T2.InventLocationId",PeriodBeginning,$A122,$B122,$C122)</f>
        <v>0</v>
      </c>
      <c r="F122" s="10">
        <f>_xll.AtlasFormulas.AtlasFunctions.AtlasBalance("PROD",DataAreaId,"T.InventTrans|inventDimId~inventDimId@T.InventDim","Sum|Qty|0","","","","","","","DateFinancial|ItemId|T2.InventSiteId|T2.InventLocationId",PeriodEnding,$A122,$B122,$C122)</f>
        <v>0</v>
      </c>
      <c r="G122" s="10">
        <f>AtlasReport_3_Table_1[[#This Row],[Current On-hand]]-AtlasReport_3_Table_1[[#This Row],[Trans backwords (Beginning)]]</f>
        <v>0</v>
      </c>
      <c r="H122" s="10">
        <f>AtlasReport_3_Table_1[[#This Row],[Current On-hand]]-AtlasReport_3_Table_1[[#This Row],[Trans backwords (Ending)]]</f>
        <v>0</v>
      </c>
    </row>
    <row r="123" spans="1:8">
      <c r="A123" s="8" t="s">
        <v>275</v>
      </c>
      <c r="B123" s="8" t="s">
        <v>237</v>
      </c>
      <c r="C123" s="8" t="s">
        <v>238</v>
      </c>
      <c r="D123" s="10">
        <v>40</v>
      </c>
      <c r="E123" s="10">
        <f>_xll.AtlasFormulas.AtlasFunctions.AtlasBalance("PROD",DataAreaId,"T.InventTrans|inventDimId~inventDimId@T.InventDim","Sum|Qty|0","","","","","","","DateFinancial|ItemId|T2.InventSiteId|T2.InventLocationId",PeriodBeginning,$A123,$B123,$C123)</f>
        <v>40</v>
      </c>
      <c r="F123" s="10">
        <f>_xll.AtlasFormulas.AtlasFunctions.AtlasBalance("PROD",DataAreaId,"T.InventTrans|inventDimId~inventDimId@T.InventDim","Sum|Qty|0","","","","","","","DateFinancial|ItemId|T2.InventSiteId|T2.InventLocationId",PeriodEnding,$A123,$B123,$C123)</f>
        <v>0</v>
      </c>
      <c r="G123" s="10">
        <f>AtlasReport_3_Table_1[[#This Row],[Current On-hand]]-AtlasReport_3_Table_1[[#This Row],[Trans backwords (Beginning)]]</f>
        <v>0</v>
      </c>
      <c r="H123" s="10">
        <f>AtlasReport_3_Table_1[[#This Row],[Current On-hand]]-AtlasReport_3_Table_1[[#This Row],[Trans backwords (Ending)]]</f>
        <v>40</v>
      </c>
    </row>
    <row r="124" spans="1:8">
      <c r="A124" s="8" t="s">
        <v>276</v>
      </c>
      <c r="B124" s="8" t="s">
        <v>237</v>
      </c>
      <c r="C124" s="8" t="s">
        <v>44</v>
      </c>
      <c r="D124" s="10">
        <v>0</v>
      </c>
      <c r="E124" s="10">
        <f>_xll.AtlasFormulas.AtlasFunctions.AtlasBalance("PROD",DataAreaId,"T.InventTrans|inventDimId~inventDimId@T.InventDim","Sum|Qty|0","","","","","","","DateFinancial|ItemId|T2.InventSiteId|T2.InventLocationId",PeriodBeginning,$A124,$B124,$C124)</f>
        <v>0</v>
      </c>
      <c r="F124" s="10">
        <f>_xll.AtlasFormulas.AtlasFunctions.AtlasBalance("PROD",DataAreaId,"T.InventTrans|inventDimId~inventDimId@T.InventDim","Sum|Qty|0","","","","","","","DateFinancial|ItemId|T2.InventSiteId|T2.InventLocationId",PeriodEnding,$A124,$B124,$C124)</f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>
      <c r="A125" s="8" t="s">
        <v>276</v>
      </c>
      <c r="B125" s="8" t="s">
        <v>237</v>
      </c>
      <c r="C125" s="8" t="s">
        <v>238</v>
      </c>
      <c r="D125" s="10">
        <v>34</v>
      </c>
      <c r="E125" s="10">
        <f>_xll.AtlasFormulas.AtlasFunctions.AtlasBalance("PROD",DataAreaId,"T.InventTrans|inventDimId~inventDimId@T.InventDim","Sum|Qty|0","","","","","","","DateFinancial|ItemId|T2.InventSiteId|T2.InventLocationId",PeriodBeginning,$A125,$B125,$C125)</f>
        <v>34</v>
      </c>
      <c r="F125" s="10">
        <f>_xll.AtlasFormulas.AtlasFunctions.AtlasBalance("PROD",DataAreaId,"T.InventTrans|inventDimId~inventDimId@T.InventDim","Sum|Qty|0","","","","","","","DateFinancial|ItemId|T2.InventSiteId|T2.InventLocationId",PeriodEnding,$A125,$B125,$C125)</f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34</v>
      </c>
    </row>
    <row r="126" spans="1:8">
      <c r="A126" s="8" t="s">
        <v>277</v>
      </c>
      <c r="B126" s="8" t="s">
        <v>237</v>
      </c>
      <c r="C126" s="8" t="s">
        <v>44</v>
      </c>
      <c r="D126" s="10">
        <v>0</v>
      </c>
      <c r="E126" s="10">
        <f>_xll.AtlasFormulas.AtlasFunctions.AtlasBalance("PROD",DataAreaId,"T.InventTrans|inventDimId~inventDimId@T.InventDim","Sum|Qty|0","","","","","","","DateFinancial|ItemId|T2.InventSiteId|T2.InventLocationId",PeriodBeginning,$A126,$B126,$C126)</f>
        <v>0</v>
      </c>
      <c r="F126" s="10">
        <f>_xll.AtlasFormulas.AtlasFunctions.AtlasBalance("PROD",DataAreaId,"T.InventTrans|inventDimId~inventDimId@T.InventDim","Sum|Qty|0","","","","","","","DateFinancial|ItemId|T2.InventSiteId|T2.InventLocationId",PeriodEnding,$A126,$B126,$C126)</f>
        <v>0</v>
      </c>
      <c r="G126" s="10">
        <f>AtlasReport_3_Table_1[[#This Row],[Current On-hand]]-AtlasReport_3_Table_1[[#This Row],[Trans backwords (Beginning)]]</f>
        <v>0</v>
      </c>
      <c r="H126" s="10">
        <f>AtlasReport_3_Table_1[[#This Row],[Current On-hand]]-AtlasReport_3_Table_1[[#This Row],[Trans backwords (Ending)]]</f>
        <v>0</v>
      </c>
    </row>
    <row r="127" spans="1:8">
      <c r="A127" s="8" t="s">
        <v>277</v>
      </c>
      <c r="B127" s="8" t="s">
        <v>237</v>
      </c>
      <c r="C127" s="8" t="s">
        <v>238</v>
      </c>
      <c r="D127" s="10">
        <v>26</v>
      </c>
      <c r="E127" s="10">
        <f>_xll.AtlasFormulas.AtlasFunctions.AtlasBalance("PROD",DataAreaId,"T.InventTrans|inventDimId~inventDimId@T.InventDim","Sum|Qty|0","","","","","","","DateFinancial|ItemId|T2.InventSiteId|T2.InventLocationId",PeriodBeginning,$A127,$B127,$C127)</f>
        <v>26</v>
      </c>
      <c r="F127" s="10">
        <f>_xll.AtlasFormulas.AtlasFunctions.AtlasBalance("PROD",DataAreaId,"T.InventTrans|inventDimId~inventDimId@T.InventDim","Sum|Qty|0","","","","","","","DateFinancial|ItemId|T2.InventSiteId|T2.InventLocationId",PeriodEnding,$A127,$B127,$C127)</f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26</v>
      </c>
    </row>
    <row r="128" spans="1:8">
      <c r="A128" s="8" t="s">
        <v>278</v>
      </c>
      <c r="B128" s="8" t="s">
        <v>237</v>
      </c>
      <c r="C128" s="8" t="s">
        <v>44</v>
      </c>
      <c r="D128" s="10">
        <v>0</v>
      </c>
      <c r="E128" s="10">
        <f>_xll.AtlasFormulas.AtlasFunctions.AtlasBalance("PROD",DataAreaId,"T.InventTrans|inventDimId~inventDimId@T.InventDim","Sum|Qty|0","","","","","","","DateFinancial|ItemId|T2.InventSiteId|T2.InventLocationId",PeriodBeginning,$A128,$B128,$C128)</f>
        <v>0</v>
      </c>
      <c r="F128" s="10">
        <f>_xll.AtlasFormulas.AtlasFunctions.AtlasBalance("PROD",DataAreaId,"T.InventTrans|inventDimId~inventDimId@T.InventDim","Sum|Qty|0","","","","","","","DateFinancial|ItemId|T2.InventSiteId|T2.InventLocationId",PeriodEnding,$A128,$B128,$C128)</f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>
      <c r="A129" s="8" t="s">
        <v>278</v>
      </c>
      <c r="B129" s="8" t="s">
        <v>237</v>
      </c>
      <c r="C129" s="8" t="s">
        <v>238</v>
      </c>
      <c r="D129" s="10">
        <v>24</v>
      </c>
      <c r="E129" s="10">
        <f>_xll.AtlasFormulas.AtlasFunctions.AtlasBalance("PROD",DataAreaId,"T.InventTrans|inventDimId~inventDimId@T.InventDim","Sum|Qty|0","","","","","","","DateFinancial|ItemId|T2.InventSiteId|T2.InventLocationId",PeriodBeginning,$A129,$B129,$C129)</f>
        <v>24</v>
      </c>
      <c r="F129" s="10">
        <f>_xll.AtlasFormulas.AtlasFunctions.AtlasBalance("PROD",DataAreaId,"T.InventTrans|inventDimId~inventDimId@T.InventDim","Sum|Qty|0","","","","","","","DateFinancial|ItemId|T2.InventSiteId|T2.InventLocationId",PeriodEnding,$A129,$B129,$C129)</f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24</v>
      </c>
    </row>
    <row r="130" spans="1:8">
      <c r="A130" s="8" t="s">
        <v>1044</v>
      </c>
      <c r="B130" s="8" t="s">
        <v>237</v>
      </c>
      <c r="C130" s="8" t="s">
        <v>238</v>
      </c>
      <c r="D130" s="10">
        <v>2691</v>
      </c>
      <c r="E130" s="10">
        <f>_xll.AtlasFormulas.AtlasFunctions.AtlasBalance("PROD",DataAreaId,"T.InventTrans|inventDimId~inventDimId@T.InventDim","Sum|Qty|0","","","","","","","DateFinancial|ItemId|T2.InventSiteId|T2.InventLocationId",PeriodBeginning,$A130,$B130,$C130)</f>
        <v>2691</v>
      </c>
      <c r="F130" s="10">
        <f>_xll.AtlasFormulas.AtlasFunctions.AtlasBalance("PROD",DataAreaId,"T.InventTrans|inventDimId~inventDimId@T.InventDim","Sum|Qty|0","","","","","","","DateFinancial|ItemId|T2.InventSiteId|T2.InventLocationId",PeriodEnding,$A130,$B130,$C130)</f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2691</v>
      </c>
    </row>
    <row r="131" spans="1:8">
      <c r="A131" s="8" t="s">
        <v>1047</v>
      </c>
      <c r="B131" s="8" t="s">
        <v>237</v>
      </c>
      <c r="C131" s="8" t="s">
        <v>238</v>
      </c>
      <c r="D131" s="10">
        <v>2793</v>
      </c>
      <c r="E131" s="10">
        <f>_xll.AtlasFormulas.AtlasFunctions.AtlasBalance("PROD",DataAreaId,"T.InventTrans|inventDimId~inventDimId@T.InventDim","Sum|Qty|0","","","","","","","DateFinancial|ItemId|T2.InventSiteId|T2.InventLocationId",PeriodBeginning,$A131,$B131,$C131)</f>
        <v>2793</v>
      </c>
      <c r="F131" s="10">
        <f>_xll.AtlasFormulas.AtlasFunctions.AtlasBalance("PROD",DataAreaId,"T.InventTrans|inventDimId~inventDimId@T.InventDim","Sum|Qty|0","","","","","","","DateFinancial|ItemId|T2.InventSiteId|T2.InventLocationId",PeriodEnding,$A131,$B131,$C131)</f>
        <v>0</v>
      </c>
      <c r="G131" s="10">
        <f>AtlasReport_3_Table_1[[#This Row],[Current On-hand]]-AtlasReport_3_Table_1[[#This Row],[Trans backwords (Beginning)]]</f>
        <v>0</v>
      </c>
      <c r="H131" s="10">
        <f>AtlasReport_3_Table_1[[#This Row],[Current On-hand]]-AtlasReport_3_Table_1[[#This Row],[Trans backwords (Ending)]]</f>
        <v>2793</v>
      </c>
    </row>
    <row r="132" spans="1:8">
      <c r="A132" s="8" t="s">
        <v>850</v>
      </c>
      <c r="B132" s="8" t="s">
        <v>237</v>
      </c>
      <c r="C132" s="8" t="s">
        <v>238</v>
      </c>
      <c r="D132" s="10">
        <v>13201</v>
      </c>
      <c r="E132" s="10">
        <f>_xll.AtlasFormulas.AtlasFunctions.AtlasBalance("PROD",DataAreaId,"T.InventTrans|inventDimId~inventDimId@T.InventDim","Sum|Qty|0","","","","","","","DateFinancial|ItemId|T2.InventSiteId|T2.InventLocationId",PeriodBeginning,$A132,$B132,$C132)</f>
        <v>13201</v>
      </c>
      <c r="F132" s="10">
        <f>_xll.AtlasFormulas.AtlasFunctions.AtlasBalance("PROD",DataAreaId,"T.InventTrans|inventDimId~inventDimId@T.InventDim","Sum|Qty|0","","","","","","","DateFinancial|ItemId|T2.InventSiteId|T2.InventLocationId",PeriodEnding,$A132,$B132,$C132)</f>
        <v>-117</v>
      </c>
      <c r="G132" s="10">
        <f>AtlasReport_3_Table_1[[#This Row],[Current On-hand]]-AtlasReport_3_Table_1[[#This Row],[Trans backwords (Beginning)]]</f>
        <v>0</v>
      </c>
      <c r="H132" s="10">
        <f>AtlasReport_3_Table_1[[#This Row],[Current On-hand]]-AtlasReport_3_Table_1[[#This Row],[Trans backwords (Ending)]]</f>
        <v>13318</v>
      </c>
    </row>
    <row r="133" spans="1:8">
      <c r="A133" s="8" t="s">
        <v>1051</v>
      </c>
      <c r="B133" s="8" t="s">
        <v>237</v>
      </c>
      <c r="C133" s="8" t="s">
        <v>238</v>
      </c>
      <c r="D133" s="10">
        <v>4420</v>
      </c>
      <c r="E133" s="10">
        <f>_xll.AtlasFormulas.AtlasFunctions.AtlasBalance("PROD",DataAreaId,"T.InventTrans|inventDimId~inventDimId@T.InventDim","Sum|Qty|0","","","","","","","DateFinancial|ItemId|T2.InventSiteId|T2.InventLocationId",PeriodBeginning,$A133,$B133,$C133)</f>
        <v>4420</v>
      </c>
      <c r="F133" s="10">
        <f>_xll.AtlasFormulas.AtlasFunctions.AtlasBalance("PROD",DataAreaId,"T.InventTrans|inventDimId~inventDimId@T.InventDim","Sum|Qty|0","","","","","","","DateFinancial|ItemId|T2.InventSiteId|T2.InventLocationId",PeriodEnding,$A133,$B133,$C133)</f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4420</v>
      </c>
    </row>
    <row r="134" spans="1:8">
      <c r="A134" s="8" t="s">
        <v>819</v>
      </c>
      <c r="B134" s="8" t="s">
        <v>237</v>
      </c>
      <c r="C134" s="8" t="s">
        <v>238</v>
      </c>
      <c r="D134" s="10">
        <v>0</v>
      </c>
      <c r="E134" s="10">
        <f>_xll.AtlasFormulas.AtlasFunctions.AtlasBalance("PROD",DataAreaId,"T.InventTrans|inventDimId~inventDimId@T.InventDim","Sum|Qty|0","","","","","","","DateFinancial|ItemId|T2.InventSiteId|T2.InventLocationId",PeriodBeginning,$A134,$B134,$C134)</f>
        <v>0</v>
      </c>
      <c r="F134" s="10">
        <f>_xll.AtlasFormulas.AtlasFunctions.AtlasBalance("PROD",DataAreaId,"T.InventTrans|inventDimId~inventDimId@T.InventDim","Sum|Qty|0","","","","","","","DateFinancial|ItemId|T2.InventSiteId|T2.InventLocationId",PeriodEnding,$A134,$B134,$C134)</f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>
      <c r="A135" s="8" t="s">
        <v>1054</v>
      </c>
      <c r="B135" s="8" t="s">
        <v>237</v>
      </c>
      <c r="C135" s="8" t="s">
        <v>238</v>
      </c>
      <c r="D135" s="10">
        <v>2340</v>
      </c>
      <c r="E135" s="10">
        <f>_xll.AtlasFormulas.AtlasFunctions.AtlasBalance("PROD",DataAreaId,"T.InventTrans|inventDimId~inventDimId@T.InventDim","Sum|Qty|0","","","","","","","DateFinancial|ItemId|T2.InventSiteId|T2.InventLocationId",PeriodBeginning,$A135,$B135,$C135)</f>
        <v>2340</v>
      </c>
      <c r="F135" s="10">
        <f>_xll.AtlasFormulas.AtlasFunctions.AtlasBalance("PROD",DataAreaId,"T.InventTrans|inventDimId~inventDimId@T.InventDim","Sum|Qty|0","","","","","","","DateFinancial|ItemId|T2.InventSiteId|T2.InventLocationId",PeriodEnding,$A135,$B135,$C135)</f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2340</v>
      </c>
    </row>
    <row r="136" spans="1:8">
      <c r="A136" s="8" t="s">
        <v>871</v>
      </c>
      <c r="B136" s="8" t="s">
        <v>237</v>
      </c>
      <c r="C136" s="8" t="s">
        <v>44</v>
      </c>
      <c r="D136" s="10">
        <v>0</v>
      </c>
      <c r="E136" s="10">
        <f>_xll.AtlasFormulas.AtlasFunctions.AtlasBalance("PROD",DataAreaId,"T.InventTrans|inventDimId~inventDimId@T.InventDim","Sum|Qty|0","","","","","","","DateFinancial|ItemId|T2.InventSiteId|T2.InventLocationId",PeriodBeginning,$A136,$B136,$C136)</f>
        <v>0</v>
      </c>
      <c r="F136" s="10">
        <f>_xll.AtlasFormulas.AtlasFunctions.AtlasBalance("PROD",DataAreaId,"T.InventTrans|inventDimId~inventDimId@T.InventDim","Sum|Qty|0","","","","","","","DateFinancial|ItemId|T2.InventSiteId|T2.InventLocationId",PeriodEnding,$A136,$B136,$C136)</f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>
      <c r="A137" s="8" t="s">
        <v>871</v>
      </c>
      <c r="B137" s="8" t="s">
        <v>237</v>
      </c>
      <c r="C137" s="8" t="s">
        <v>238</v>
      </c>
      <c r="D137" s="10">
        <v>6131</v>
      </c>
      <c r="E137" s="10">
        <f>_xll.AtlasFormulas.AtlasFunctions.AtlasBalance("PROD",DataAreaId,"T.InventTrans|inventDimId~inventDimId@T.InventDim","Sum|Qty|0","","","","","","","DateFinancial|ItemId|T2.InventSiteId|T2.InventLocationId",PeriodBeginning,$A137,$B137,$C137)</f>
        <v>6131</v>
      </c>
      <c r="F137" s="10">
        <f>_xll.AtlasFormulas.AtlasFunctions.AtlasBalance("PROD",DataAreaId,"T.InventTrans|inventDimId~inventDimId@T.InventDim","Sum|Qty|0","","","","","","","DateFinancial|ItemId|T2.InventSiteId|T2.InventLocationId",PeriodEnding,$A137,$B137,$C137)</f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6131</v>
      </c>
    </row>
    <row r="138" spans="1:8">
      <c r="A138" s="8" t="s">
        <v>853</v>
      </c>
      <c r="B138" s="8" t="s">
        <v>237</v>
      </c>
      <c r="C138" s="8" t="s">
        <v>238</v>
      </c>
      <c r="D138" s="10">
        <v>10604</v>
      </c>
      <c r="E138" s="10">
        <f>_xll.AtlasFormulas.AtlasFunctions.AtlasBalance("PROD",DataAreaId,"T.InventTrans|inventDimId~inventDimId@T.InventDim","Sum|Qty|0","","","","","","","DateFinancial|ItemId|T2.InventSiteId|T2.InventLocationId",PeriodBeginning,$A138,$B138,$C138)</f>
        <v>10604</v>
      </c>
      <c r="F138" s="10">
        <f>_xll.AtlasFormulas.AtlasFunctions.AtlasBalance("PROD",DataAreaId,"T.InventTrans|inventDimId~inventDimId@T.InventDim","Sum|Qty|0","","","","","","","DateFinancial|ItemId|T2.InventSiteId|T2.InventLocationId",PeriodEnding,$A138,$B138,$C138)</f>
        <v>0</v>
      </c>
      <c r="G138" s="10">
        <f>AtlasReport_3_Table_1[[#This Row],[Current On-hand]]-AtlasReport_3_Table_1[[#This Row],[Trans backwords (Beginning)]]</f>
        <v>0</v>
      </c>
      <c r="H138" s="10">
        <f>AtlasReport_3_Table_1[[#This Row],[Current On-hand]]-AtlasReport_3_Table_1[[#This Row],[Trans backwords (Ending)]]</f>
        <v>10604</v>
      </c>
    </row>
    <row r="139" spans="1:8">
      <c r="A139" s="8" t="s">
        <v>856</v>
      </c>
      <c r="B139" s="8" t="s">
        <v>237</v>
      </c>
      <c r="C139" s="8" t="s">
        <v>44</v>
      </c>
      <c r="D139" s="10">
        <v>0</v>
      </c>
      <c r="E139" s="10">
        <f>_xll.AtlasFormulas.AtlasFunctions.AtlasBalance("PROD",DataAreaId,"T.InventTrans|inventDimId~inventDimId@T.InventDim","Sum|Qty|0","","","","","","","DateFinancial|ItemId|T2.InventSiteId|T2.InventLocationId",PeriodBeginning,$A139,$B139,$C139)</f>
        <v>0</v>
      </c>
      <c r="F139" s="10">
        <f>_xll.AtlasFormulas.AtlasFunctions.AtlasBalance("PROD",DataAreaId,"T.InventTrans|inventDimId~inventDimId@T.InventDim","Sum|Qty|0","","","","","","","DateFinancial|ItemId|T2.InventSiteId|T2.InventLocationId",PeriodEnding,$A139,$B139,$C139)</f>
        <v>0</v>
      </c>
      <c r="G139" s="10">
        <f>AtlasReport_3_Table_1[[#This Row],[Current On-hand]]-AtlasReport_3_Table_1[[#This Row],[Trans backwords (Beginning)]]</f>
        <v>0</v>
      </c>
      <c r="H139" s="10">
        <f>AtlasReport_3_Table_1[[#This Row],[Current On-hand]]-AtlasReport_3_Table_1[[#This Row],[Trans backwords (Ending)]]</f>
        <v>0</v>
      </c>
    </row>
    <row r="140" spans="1:8">
      <c r="A140" s="8" t="s">
        <v>856</v>
      </c>
      <c r="B140" s="8" t="s">
        <v>237</v>
      </c>
      <c r="C140" s="8" t="s">
        <v>238</v>
      </c>
      <c r="D140" s="10">
        <v>10394</v>
      </c>
      <c r="E140" s="10">
        <f>_xll.AtlasFormulas.AtlasFunctions.AtlasBalance("PROD",DataAreaId,"T.InventTrans|inventDimId~inventDimId@T.InventDim","Sum|Qty|0","","","","","","","DateFinancial|ItemId|T2.InventSiteId|T2.InventLocationId",PeriodBeginning,$A140,$B140,$C140)</f>
        <v>10394</v>
      </c>
      <c r="F140" s="10">
        <f>_xll.AtlasFormulas.AtlasFunctions.AtlasBalance("PROD",DataAreaId,"T.InventTrans|inventDimId~inventDimId@T.InventDim","Sum|Qty|0","","","","","","","DateFinancial|ItemId|T2.InventSiteId|T2.InventLocationId",PeriodEnding,$A140,$B140,$C140)</f>
        <v>-40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10434</v>
      </c>
    </row>
    <row r="141" spans="1:8">
      <c r="A141" s="8" t="s">
        <v>1059</v>
      </c>
      <c r="B141" s="8" t="s">
        <v>237</v>
      </c>
      <c r="C141" s="8" t="s">
        <v>238</v>
      </c>
      <c r="D141" s="10">
        <v>3360</v>
      </c>
      <c r="E141" s="10">
        <f>_xll.AtlasFormulas.AtlasFunctions.AtlasBalance("PROD",DataAreaId,"T.InventTrans|inventDimId~inventDimId@T.InventDim","Sum|Qty|0","","","","","","","DateFinancial|ItemId|T2.InventSiteId|T2.InventLocationId",PeriodBeginning,$A141,$B141,$C141)</f>
        <v>3360</v>
      </c>
      <c r="F141" s="10">
        <f>_xll.AtlasFormulas.AtlasFunctions.AtlasBalance("PROD",DataAreaId,"T.InventTrans|inventDimId~inventDimId@T.InventDim","Sum|Qty|0","","","","","","","DateFinancial|ItemId|T2.InventSiteId|T2.InventLocationId",PeriodEnding,$A141,$B141,$C141)</f>
        <v>0</v>
      </c>
      <c r="G141" s="10">
        <f>AtlasReport_3_Table_1[[#This Row],[Current On-hand]]-AtlasReport_3_Table_1[[#This Row],[Trans backwords (Beginning)]]</f>
        <v>0</v>
      </c>
      <c r="H141" s="10">
        <f>AtlasReport_3_Table_1[[#This Row],[Current On-hand]]-AtlasReport_3_Table_1[[#This Row],[Trans backwords (Ending)]]</f>
        <v>3360</v>
      </c>
    </row>
    <row r="142" spans="1:8">
      <c r="A142" s="8" t="s">
        <v>1062</v>
      </c>
      <c r="B142" s="8" t="s">
        <v>237</v>
      </c>
      <c r="C142" s="8" t="s">
        <v>238</v>
      </c>
      <c r="D142" s="10">
        <v>2700</v>
      </c>
      <c r="E142" s="10">
        <f>_xll.AtlasFormulas.AtlasFunctions.AtlasBalance("PROD",DataAreaId,"T.InventTrans|inventDimId~inventDimId@T.InventDim","Sum|Qty|0","","","","","","","DateFinancial|ItemId|T2.InventSiteId|T2.InventLocationId",PeriodBeginning,$A142,$B142,$C142)</f>
        <v>2700</v>
      </c>
      <c r="F142" s="10">
        <f>_xll.AtlasFormulas.AtlasFunctions.AtlasBalance("PROD",DataAreaId,"T.InventTrans|inventDimId~inventDimId@T.InventDim","Sum|Qty|0","","","","","","","DateFinancial|ItemId|T2.InventSiteId|T2.InventLocationId",PeriodEnding,$A142,$B142,$C142)</f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2700</v>
      </c>
    </row>
    <row r="143" spans="1:8">
      <c r="A143" s="8" t="s">
        <v>1065</v>
      </c>
      <c r="B143" s="8" t="s">
        <v>237</v>
      </c>
      <c r="C143" s="8" t="s">
        <v>238</v>
      </c>
      <c r="D143" s="10">
        <v>23880</v>
      </c>
      <c r="E143" s="10">
        <f>_xll.AtlasFormulas.AtlasFunctions.AtlasBalance("PROD",DataAreaId,"T.InventTrans|inventDimId~inventDimId@T.InventDim","Sum|Qty|0","","","","","","","DateFinancial|ItemId|T2.InventSiteId|T2.InventLocationId",PeriodBeginning,$A143,$B143,$C143)</f>
        <v>23880</v>
      </c>
      <c r="F143" s="10">
        <f>_xll.AtlasFormulas.AtlasFunctions.AtlasBalance("PROD",DataAreaId,"T.InventTrans|inventDimId~inventDimId@T.InventDim","Sum|Qty|0","","","","","","","DateFinancial|ItemId|T2.InventSiteId|T2.InventLocationId",PeriodEnding,$A143,$B143,$C143)</f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23880</v>
      </c>
    </row>
    <row r="144" spans="1:8">
      <c r="A144" s="8" t="s">
        <v>1068</v>
      </c>
      <c r="B144" s="8" t="s">
        <v>237</v>
      </c>
      <c r="C144" s="8" t="s">
        <v>238</v>
      </c>
      <c r="D144" s="10">
        <v>14220</v>
      </c>
      <c r="E144" s="10">
        <f>_xll.AtlasFormulas.AtlasFunctions.AtlasBalance("PROD",DataAreaId,"T.InventTrans|inventDimId~inventDimId@T.InventDim","Sum|Qty|0","","","","","","","DateFinancial|ItemId|T2.InventSiteId|T2.InventLocationId",PeriodBeginning,$A144,$B144,$C144)</f>
        <v>14220</v>
      </c>
      <c r="F144" s="10">
        <f>_xll.AtlasFormulas.AtlasFunctions.AtlasBalance("PROD",DataAreaId,"T.InventTrans|inventDimId~inventDimId@T.InventDim","Sum|Qty|0","","","","","","","DateFinancial|ItemId|T2.InventSiteId|T2.InventLocationId",PeriodEnding,$A144,$B144,$C144)</f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14220</v>
      </c>
    </row>
    <row r="145" spans="1:8">
      <c r="A145" s="8" t="s">
        <v>1071</v>
      </c>
      <c r="B145" s="8" t="s">
        <v>237</v>
      </c>
      <c r="C145" s="8" t="s">
        <v>238</v>
      </c>
      <c r="D145" s="10">
        <v>3870</v>
      </c>
      <c r="E145" s="10">
        <f>_xll.AtlasFormulas.AtlasFunctions.AtlasBalance("PROD",DataAreaId,"T.InventTrans|inventDimId~inventDimId@T.InventDim","Sum|Qty|0","","","","","","","DateFinancial|ItemId|T2.InventSiteId|T2.InventLocationId",PeriodBeginning,$A145,$B145,$C145)</f>
        <v>3870</v>
      </c>
      <c r="F145" s="10">
        <f>_xll.AtlasFormulas.AtlasFunctions.AtlasBalance("PROD",DataAreaId,"T.InventTrans|inventDimId~inventDimId@T.InventDim","Sum|Qty|0","","","","","","","DateFinancial|ItemId|T2.InventSiteId|T2.InventLocationId",PeriodEnding,$A145,$B145,$C145)</f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3870</v>
      </c>
    </row>
    <row r="146" spans="1:8">
      <c r="A146" s="8" t="s">
        <v>813</v>
      </c>
      <c r="B146" s="8" t="s">
        <v>237</v>
      </c>
      <c r="C146" s="8" t="s">
        <v>238</v>
      </c>
      <c r="D146" s="10">
        <v>0</v>
      </c>
      <c r="E146" s="10">
        <f>_xll.AtlasFormulas.AtlasFunctions.AtlasBalance("PROD",DataAreaId,"T.InventTrans|inventDimId~inventDimId@T.InventDim","Sum|Qty|0","","","","","","","DateFinancial|ItemId|T2.InventSiteId|T2.InventLocationId",PeriodBeginning,$A146,$B146,$C146)</f>
        <v>0</v>
      </c>
      <c r="F146" s="10">
        <f>_xll.AtlasFormulas.AtlasFunctions.AtlasBalance("PROD",DataAreaId,"T.InventTrans|inventDimId~inventDimId@T.InventDim","Sum|Qty|0","","","","","","","DateFinancial|ItemId|T2.InventSiteId|T2.InventLocationId",PeriodEnding,$A146,$B146,$C146)</f>
        <v>0</v>
      </c>
      <c r="G146" s="10">
        <f>AtlasReport_3_Table_1[[#This Row],[Current On-hand]]-AtlasReport_3_Table_1[[#This Row],[Trans backwords (Beginning)]]</f>
        <v>0</v>
      </c>
      <c r="H146" s="10">
        <f>AtlasReport_3_Table_1[[#This Row],[Current On-hand]]-AtlasReport_3_Table_1[[#This Row],[Trans backwords (Ending)]]</f>
        <v>0</v>
      </c>
    </row>
    <row r="147" spans="1:8">
      <c r="A147" s="8" t="s">
        <v>823</v>
      </c>
      <c r="B147" s="8" t="s">
        <v>237</v>
      </c>
      <c r="C147" s="8" t="s">
        <v>44</v>
      </c>
      <c r="D147" s="10">
        <v>0</v>
      </c>
      <c r="E147" s="10">
        <f>_xll.AtlasFormulas.AtlasFunctions.AtlasBalance("PROD",DataAreaId,"T.InventTrans|inventDimId~inventDimId@T.InventDim","Sum|Qty|0","","","","","","","DateFinancial|ItemId|T2.InventSiteId|T2.InventLocationId",PeriodBeginning,$A147,$B147,$C147)</f>
        <v>0</v>
      </c>
      <c r="F147" s="10">
        <f>_xll.AtlasFormulas.AtlasFunctions.AtlasBalance("PROD",DataAreaId,"T.InventTrans|inventDimId~inventDimId@T.InventDim","Sum|Qty|0","","","","","","","DateFinancial|ItemId|T2.InventSiteId|T2.InventLocationId",PeriodEnding,$A147,$B147,$C147)</f>
        <v>0</v>
      </c>
      <c r="G147" s="10">
        <f>AtlasReport_3_Table_1[[#This Row],[Current On-hand]]-AtlasReport_3_Table_1[[#This Row],[Trans backwords (Beginning)]]</f>
        <v>0</v>
      </c>
      <c r="H147" s="10">
        <f>AtlasReport_3_Table_1[[#This Row],[Current On-hand]]-AtlasReport_3_Table_1[[#This Row],[Trans backwords (Ending)]]</f>
        <v>0</v>
      </c>
    </row>
    <row r="148" spans="1:8">
      <c r="A148" s="8" t="s">
        <v>823</v>
      </c>
      <c r="B148" s="8" t="s">
        <v>237</v>
      </c>
      <c r="C148" s="8" t="s">
        <v>238</v>
      </c>
      <c r="D148" s="10">
        <v>0</v>
      </c>
      <c r="E148" s="10">
        <f>_xll.AtlasFormulas.AtlasFunctions.AtlasBalance("PROD",DataAreaId,"T.InventTrans|inventDimId~inventDimId@T.InventDim","Sum|Qty|0","","","","","","","DateFinancial|ItemId|T2.InventSiteId|T2.InventLocationId",PeriodBeginning,$A148,$B148,$C148)</f>
        <v>0</v>
      </c>
      <c r="F148" s="10">
        <f>_xll.AtlasFormulas.AtlasFunctions.AtlasBalance("PROD",DataAreaId,"T.InventTrans|inventDimId~inventDimId@T.InventDim","Sum|Qty|0","","","","","","","DateFinancial|ItemId|T2.InventSiteId|T2.InventLocationId",PeriodEnding,$A148,$B148,$C148)</f>
        <v>0</v>
      </c>
      <c r="G148" s="10">
        <f>AtlasReport_3_Table_1[[#This Row],[Current On-hand]]-AtlasReport_3_Table_1[[#This Row],[Trans backwords (Beginning)]]</f>
        <v>0</v>
      </c>
      <c r="H148" s="10">
        <f>AtlasReport_3_Table_1[[#This Row],[Current On-hand]]-AtlasReport_3_Table_1[[#This Row],[Trans backwords (Ending)]]</f>
        <v>0</v>
      </c>
    </row>
    <row r="149" spans="1:8">
      <c r="A149" s="8" t="s">
        <v>826</v>
      </c>
      <c r="B149" s="8" t="s">
        <v>237</v>
      </c>
      <c r="C149" s="8" t="s">
        <v>44</v>
      </c>
      <c r="D149" s="10">
        <v>0</v>
      </c>
      <c r="E149" s="10">
        <f>_xll.AtlasFormulas.AtlasFunctions.AtlasBalance("PROD",DataAreaId,"T.InventTrans|inventDimId~inventDimId@T.InventDim","Sum|Qty|0","","","","","","","DateFinancial|ItemId|T2.InventSiteId|T2.InventLocationId",PeriodBeginning,$A149,$B149,$C149)</f>
        <v>0</v>
      </c>
      <c r="F149" s="10">
        <f>_xll.AtlasFormulas.AtlasFunctions.AtlasBalance("PROD",DataAreaId,"T.InventTrans|inventDimId~inventDimId@T.InventDim","Sum|Qty|0","","","","","","","DateFinancial|ItemId|T2.InventSiteId|T2.InventLocationId",PeriodEnding,$A149,$B149,$C149)</f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>
      <c r="A150" s="8" t="s">
        <v>826</v>
      </c>
      <c r="B150" s="8" t="s">
        <v>237</v>
      </c>
      <c r="C150" s="8" t="s">
        <v>238</v>
      </c>
      <c r="D150" s="10">
        <v>0</v>
      </c>
      <c r="E150" s="10">
        <f>_xll.AtlasFormulas.AtlasFunctions.AtlasBalance("PROD",DataAreaId,"T.InventTrans|inventDimId~inventDimId@T.InventDim","Sum|Qty|0","","","","","","","DateFinancial|ItemId|T2.InventSiteId|T2.InventLocationId",PeriodBeginning,$A150,$B150,$C150)</f>
        <v>0</v>
      </c>
      <c r="F150" s="10">
        <f>_xll.AtlasFormulas.AtlasFunctions.AtlasBalance("PROD",DataAreaId,"T.InventTrans|inventDimId~inventDimId@T.InventDim","Sum|Qty|0","","","","","","","DateFinancial|ItemId|T2.InventSiteId|T2.InventLocationId",PeriodEnding,$A150,$B150,$C150)</f>
        <v>0</v>
      </c>
      <c r="G150" s="10">
        <f>AtlasReport_3_Table_1[[#This Row],[Current On-hand]]-AtlasReport_3_Table_1[[#This Row],[Trans backwords (Beginning)]]</f>
        <v>0</v>
      </c>
      <c r="H150" s="10">
        <f>AtlasReport_3_Table_1[[#This Row],[Current On-hand]]-AtlasReport_3_Table_1[[#This Row],[Trans backwords (Ending)]]</f>
        <v>0</v>
      </c>
    </row>
    <row r="151" spans="1:8">
      <c r="A151" s="8" t="s">
        <v>279</v>
      </c>
      <c r="B151" s="8" t="s">
        <v>237</v>
      </c>
      <c r="C151" s="8" t="s">
        <v>238</v>
      </c>
      <c r="D151" s="10">
        <v>1.7972000000000001</v>
      </c>
      <c r="E151" s="10">
        <f>_xll.AtlasFormulas.AtlasFunctions.AtlasBalance("PROD",DataAreaId,"T.InventTrans|inventDimId~inventDimId@T.InventDim","Sum|Qty|0","","","","","","","DateFinancial|ItemId|T2.InventSiteId|T2.InventLocationId",PeriodBeginning,$A151,$B151,$C151)</f>
        <v>1.7971999999999999</v>
      </c>
      <c r="F151" s="10">
        <f>_xll.AtlasFormulas.AtlasFunctions.AtlasBalance("PROD",DataAreaId,"T.InventTrans|inventDimId~inventDimId@T.InventDim","Sum|Qty|0","","","","","","","DateFinancial|ItemId|T2.InventSiteId|T2.InventLocationId",PeriodEnding,$A151,$B151,$C151)</f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1.7972000000000001</v>
      </c>
    </row>
    <row r="152" spans="1:8">
      <c r="A152" s="8" t="s">
        <v>280</v>
      </c>
      <c r="B152" s="8" t="s">
        <v>237</v>
      </c>
      <c r="C152" s="8" t="s">
        <v>238</v>
      </c>
      <c r="D152" s="10">
        <v>145.84620000000001</v>
      </c>
      <c r="E152" s="10">
        <f>_xll.AtlasFormulas.AtlasFunctions.AtlasBalance("PROD",DataAreaId,"T.InventTrans|inventDimId~inventDimId@T.InventDim","Sum|Qty|0","","","","","","","DateFinancial|ItemId|T2.InventSiteId|T2.InventLocationId",PeriodBeginning,$A152,$B152,$C152)</f>
        <v>145.84620000000001</v>
      </c>
      <c r="F152" s="10">
        <f>_xll.AtlasFormulas.AtlasFunctions.AtlasBalance("PROD",DataAreaId,"T.InventTrans|inventDimId~inventDimId@T.InventDim","Sum|Qty|0","","","","","","","DateFinancial|ItemId|T2.InventSiteId|T2.InventLocationId",PeriodEnding,$A152,$B152,$C152)</f>
        <v>0</v>
      </c>
      <c r="G152" s="10">
        <f>AtlasReport_3_Table_1[[#This Row],[Current On-hand]]-AtlasReport_3_Table_1[[#This Row],[Trans backwords (Beginning)]]</f>
        <v>0</v>
      </c>
      <c r="H152" s="10">
        <f>AtlasReport_3_Table_1[[#This Row],[Current On-hand]]-AtlasReport_3_Table_1[[#This Row],[Trans backwords (Ending)]]</f>
        <v>145.84620000000001</v>
      </c>
    </row>
    <row r="153" spans="1:8">
      <c r="A153" s="8" t="s">
        <v>281</v>
      </c>
      <c r="B153" s="8" t="s">
        <v>237</v>
      </c>
      <c r="C153" s="8" t="s">
        <v>44</v>
      </c>
      <c r="D153" s="10">
        <v>0</v>
      </c>
      <c r="E153" s="10">
        <f>_xll.AtlasFormulas.AtlasFunctions.AtlasBalance("PROD",DataAreaId,"T.InventTrans|inventDimId~inventDimId@T.InventDim","Sum|Qty|0","","","","","","","DateFinancial|ItemId|T2.InventSiteId|T2.InventLocationId",PeriodBeginning,$A153,$B153,$C153)</f>
        <v>0</v>
      </c>
      <c r="F153" s="10">
        <f>_xll.AtlasFormulas.AtlasFunctions.AtlasBalance("PROD",DataAreaId,"T.InventTrans|inventDimId~inventDimId@T.InventDim","Sum|Qty|0","","","","","","","DateFinancial|ItemId|T2.InventSiteId|T2.InventLocationId",PeriodEnding,$A153,$B153,$C153)</f>
        <v>0</v>
      </c>
      <c r="G153" s="10">
        <f>AtlasReport_3_Table_1[[#This Row],[Current On-hand]]-AtlasReport_3_Table_1[[#This Row],[Trans backwords (Beginning)]]</f>
        <v>0</v>
      </c>
      <c r="H153" s="10">
        <f>AtlasReport_3_Table_1[[#This Row],[Current On-hand]]-AtlasReport_3_Table_1[[#This Row],[Trans backwords (Ending)]]</f>
        <v>0</v>
      </c>
    </row>
    <row r="154" spans="1:8">
      <c r="A154" s="8" t="s">
        <v>281</v>
      </c>
      <c r="B154" s="8" t="s">
        <v>237</v>
      </c>
      <c r="C154" s="8" t="s">
        <v>238</v>
      </c>
      <c r="D154" s="10">
        <v>10</v>
      </c>
      <c r="E154" s="10">
        <f>_xll.AtlasFormulas.AtlasFunctions.AtlasBalance("PROD",DataAreaId,"T.InventTrans|inventDimId~inventDimId@T.InventDim","Sum|Qty|0","","","","","","","DateFinancial|ItemId|T2.InventSiteId|T2.InventLocationId",PeriodBeginning,$A154,$B154,$C154)</f>
        <v>10</v>
      </c>
      <c r="F154" s="10">
        <f>_xll.AtlasFormulas.AtlasFunctions.AtlasBalance("PROD",DataAreaId,"T.InventTrans|inventDimId~inventDimId@T.InventDim","Sum|Qty|0","","","","","","","DateFinancial|ItemId|T2.InventSiteId|T2.InventLocationId",PeriodEnding,$A154,$B154,$C154)</f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10</v>
      </c>
    </row>
    <row r="155" spans="1:8">
      <c r="A155" s="8" t="s">
        <v>522</v>
      </c>
      <c r="B155" s="8" t="s">
        <v>237</v>
      </c>
      <c r="C155" s="8" t="s">
        <v>44</v>
      </c>
      <c r="D155" s="10">
        <v>0</v>
      </c>
      <c r="E155" s="10">
        <f>_xll.AtlasFormulas.AtlasFunctions.AtlasBalance("PROD",DataAreaId,"T.InventTrans|inventDimId~inventDimId@T.InventDim","Sum|Qty|0","","","","","","","DateFinancial|ItemId|T2.InventSiteId|T2.InventLocationId",PeriodBeginning,$A155,$B155,$C155)</f>
        <v>0</v>
      </c>
      <c r="F155" s="10">
        <f>_xll.AtlasFormulas.AtlasFunctions.AtlasBalance("PROD",DataAreaId,"T.InventTrans|inventDimId~inventDimId@T.InventDim","Sum|Qty|0","","","","","","","DateFinancial|ItemId|T2.InventSiteId|T2.InventLocationId",PeriodEnding,$A155,$B155,$C155)</f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>
      <c r="A156" s="8" t="s">
        <v>522</v>
      </c>
      <c r="B156" s="8" t="s">
        <v>237</v>
      </c>
      <c r="C156" s="8" t="s">
        <v>238</v>
      </c>
      <c r="D156" s="10">
        <v>5</v>
      </c>
      <c r="E156" s="10">
        <f>_xll.AtlasFormulas.AtlasFunctions.AtlasBalance("PROD",DataAreaId,"T.InventTrans|inventDimId~inventDimId@T.InventDim","Sum|Qty|0","","","","","","","DateFinancial|ItemId|T2.InventSiteId|T2.InventLocationId",PeriodBeginning,$A156,$B156,$C156)</f>
        <v>5</v>
      </c>
      <c r="F156" s="10">
        <f>_xll.AtlasFormulas.AtlasFunctions.AtlasBalance("PROD",DataAreaId,"T.InventTrans|inventDimId~inventDimId@T.InventDim","Sum|Qty|0","","","","","","","DateFinancial|ItemId|T2.InventSiteId|T2.InventLocationId",PeriodEnding,$A156,$B156,$C156)</f>
        <v>0</v>
      </c>
      <c r="G156" s="10">
        <f>AtlasReport_3_Table_1[[#This Row],[Current On-hand]]-AtlasReport_3_Table_1[[#This Row],[Trans backwords (Beginning)]]</f>
        <v>0</v>
      </c>
      <c r="H156" s="10">
        <f>AtlasReport_3_Table_1[[#This Row],[Current On-hand]]-AtlasReport_3_Table_1[[#This Row],[Trans backwords (Ending)]]</f>
        <v>5</v>
      </c>
    </row>
    <row r="157" spans="1:8">
      <c r="A157" s="8" t="s">
        <v>1074</v>
      </c>
      <c r="B157" s="8" t="s">
        <v>237</v>
      </c>
      <c r="C157" s="8" t="s">
        <v>44</v>
      </c>
      <c r="D157" s="10">
        <v>0</v>
      </c>
      <c r="E157" s="10">
        <f>_xll.AtlasFormulas.AtlasFunctions.AtlasBalance("PROD",DataAreaId,"T.InventTrans|inventDimId~inventDimId@T.InventDim","Sum|Qty|0","","","","","","","DateFinancial|ItemId|T2.InventSiteId|T2.InventLocationId",PeriodBeginning,$A157,$B157,$C157)</f>
        <v>0</v>
      </c>
      <c r="F157" s="10">
        <f>_xll.AtlasFormulas.AtlasFunctions.AtlasBalance("PROD",DataAreaId,"T.InventTrans|inventDimId~inventDimId@T.InventDim","Sum|Qty|0","","","","","","","DateFinancial|ItemId|T2.InventSiteId|T2.InventLocationId",PeriodEnding,$A157,$B157,$C157)</f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>
      <c r="A158" s="8" t="s">
        <v>1074</v>
      </c>
      <c r="B158" s="8" t="s">
        <v>237</v>
      </c>
      <c r="C158" s="8" t="s">
        <v>238</v>
      </c>
      <c r="D158" s="10">
        <v>10</v>
      </c>
      <c r="E158" s="10">
        <f>_xll.AtlasFormulas.AtlasFunctions.AtlasBalance("PROD",DataAreaId,"T.InventTrans|inventDimId~inventDimId@T.InventDim","Sum|Qty|0","","","","","","","DateFinancial|ItemId|T2.InventSiteId|T2.InventLocationId",PeriodBeginning,$A158,$B158,$C158)</f>
        <v>10</v>
      </c>
      <c r="F158" s="10">
        <f>_xll.AtlasFormulas.AtlasFunctions.AtlasBalance("PROD",DataAreaId,"T.InventTrans|inventDimId~inventDimId@T.InventDim","Sum|Qty|0","","","","","","","DateFinancial|ItemId|T2.InventSiteId|T2.InventLocationId",PeriodEnding,$A158,$B158,$C158)</f>
        <v>0</v>
      </c>
      <c r="G158" s="10">
        <f>AtlasReport_3_Table_1[[#This Row],[Current On-hand]]-AtlasReport_3_Table_1[[#This Row],[Trans backwords (Beginning)]]</f>
        <v>0</v>
      </c>
      <c r="H158" s="10">
        <f>AtlasReport_3_Table_1[[#This Row],[Current On-hand]]-AtlasReport_3_Table_1[[#This Row],[Trans backwords (Ending)]]</f>
        <v>10</v>
      </c>
    </row>
    <row r="159" spans="1:8">
      <c r="A159" s="8" t="s">
        <v>282</v>
      </c>
      <c r="B159" s="8" t="s">
        <v>237</v>
      </c>
      <c r="C159" s="8" t="s">
        <v>238</v>
      </c>
      <c r="D159" s="10">
        <v>42.9</v>
      </c>
      <c r="E159" s="10">
        <f>_xll.AtlasFormulas.AtlasFunctions.AtlasBalance("PROD",DataAreaId,"T.InventTrans|inventDimId~inventDimId@T.InventDim","Sum|Qty|0","","","","","","","DateFinancial|ItemId|T2.InventSiteId|T2.InventLocationId",PeriodBeginning,$A159,$B159,$C159)</f>
        <v>42.9</v>
      </c>
      <c r="F159" s="10">
        <f>_xll.AtlasFormulas.AtlasFunctions.AtlasBalance("PROD",DataAreaId,"T.InventTrans|inventDimId~inventDimId@T.InventDim","Sum|Qty|0","","","","","","","DateFinancial|ItemId|T2.InventSiteId|T2.InventLocationId",PeriodEnding,$A159,$B159,$C159)</f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42.9</v>
      </c>
    </row>
    <row r="160" spans="1:8">
      <c r="A160" s="8" t="s">
        <v>626</v>
      </c>
      <c r="B160" s="8" t="s">
        <v>237</v>
      </c>
      <c r="C160" s="8" t="s">
        <v>44</v>
      </c>
      <c r="D160" s="10">
        <v>0</v>
      </c>
      <c r="E160" s="10">
        <f>_xll.AtlasFormulas.AtlasFunctions.AtlasBalance("PROD",DataAreaId,"T.InventTrans|inventDimId~inventDimId@T.InventDim","Sum|Qty|0","","","","","","","DateFinancial|ItemId|T2.InventSiteId|T2.InventLocationId",PeriodBeginning,$A160,$B160,$C160)</f>
        <v>0</v>
      </c>
      <c r="F160" s="10">
        <f>_xll.AtlasFormulas.AtlasFunctions.AtlasBalance("PROD",DataAreaId,"T.InventTrans|inventDimId~inventDimId@T.InventDim","Sum|Qty|0","","","","","","","DateFinancial|ItemId|T2.InventSiteId|T2.InventLocationId",PeriodEnding,$A160,$B160,$C160)</f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>
      <c r="A161" s="8" t="s">
        <v>626</v>
      </c>
      <c r="B161" s="8" t="s">
        <v>237</v>
      </c>
      <c r="C161" s="8" t="s">
        <v>238</v>
      </c>
      <c r="D161" s="10">
        <v>47</v>
      </c>
      <c r="E161" s="10">
        <f>_xll.AtlasFormulas.AtlasFunctions.AtlasBalance("PROD",DataAreaId,"T.InventTrans|inventDimId~inventDimId@T.InventDim","Sum|Qty|0","","","","","","","DateFinancial|ItemId|T2.InventSiteId|T2.InventLocationId",PeriodBeginning,$A161,$B161,$C161)</f>
        <v>47</v>
      </c>
      <c r="F161" s="10">
        <f>_xll.AtlasFormulas.AtlasFunctions.AtlasBalance("PROD",DataAreaId,"T.InventTrans|inventDimId~inventDimId@T.InventDim","Sum|Qty|0","","","","","","","DateFinancial|ItemId|T2.InventSiteId|T2.InventLocationId",PeriodEnding,$A161,$B161,$C161)</f>
        <v>0</v>
      </c>
      <c r="G161" s="10">
        <f>AtlasReport_3_Table_1[[#This Row],[Current On-hand]]-AtlasReport_3_Table_1[[#This Row],[Trans backwords (Beginning)]]</f>
        <v>0</v>
      </c>
      <c r="H161" s="10">
        <f>AtlasReport_3_Table_1[[#This Row],[Current On-hand]]-AtlasReport_3_Table_1[[#This Row],[Trans backwords (Ending)]]</f>
        <v>47</v>
      </c>
    </row>
    <row r="162" spans="1:8">
      <c r="A162" s="8" t="s">
        <v>429</v>
      </c>
      <c r="B162" s="8" t="s">
        <v>237</v>
      </c>
      <c r="C162" s="8" t="s">
        <v>44</v>
      </c>
      <c r="D162" s="10">
        <v>0</v>
      </c>
      <c r="E162" s="10">
        <f>_xll.AtlasFormulas.AtlasFunctions.AtlasBalance("PROD",DataAreaId,"T.InventTrans|inventDimId~inventDimId@T.InventDim","Sum|Qty|0","","","","","","","DateFinancial|ItemId|T2.InventSiteId|T2.InventLocationId",PeriodBeginning,$A162,$B162,$C162)</f>
        <v>0</v>
      </c>
      <c r="F162" s="10">
        <f>_xll.AtlasFormulas.AtlasFunctions.AtlasBalance("PROD",DataAreaId,"T.InventTrans|inventDimId~inventDimId@T.InventDim","Sum|Qty|0","","","","","","","DateFinancial|ItemId|T2.InventSiteId|T2.InventLocationId",PeriodEnding,$A162,$B162,$C162)</f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>
      <c r="A163" s="8" t="s">
        <v>429</v>
      </c>
      <c r="B163" s="8" t="s">
        <v>237</v>
      </c>
      <c r="C163" s="8" t="s">
        <v>238</v>
      </c>
      <c r="D163" s="10">
        <v>1</v>
      </c>
      <c r="E163" s="10">
        <f>_xll.AtlasFormulas.AtlasFunctions.AtlasBalance("PROD",DataAreaId,"T.InventTrans|inventDimId~inventDimId@T.InventDim","Sum|Qty|0","","","","","","","DateFinancial|ItemId|T2.InventSiteId|T2.InventLocationId",PeriodBeginning,$A163,$B163,$C163)</f>
        <v>1</v>
      </c>
      <c r="F163" s="10">
        <f>_xll.AtlasFormulas.AtlasFunctions.AtlasBalance("PROD",DataAreaId,"T.InventTrans|inventDimId~inventDimId@T.InventDim","Sum|Qty|0","","","","","","","DateFinancial|ItemId|T2.InventSiteId|T2.InventLocationId",PeriodEnding,$A163,$B163,$C163)</f>
        <v>0</v>
      </c>
      <c r="G163" s="10">
        <f>AtlasReport_3_Table_1[[#This Row],[Current On-hand]]-AtlasReport_3_Table_1[[#This Row],[Trans backwords (Beginning)]]</f>
        <v>0</v>
      </c>
      <c r="H163" s="10">
        <f>AtlasReport_3_Table_1[[#This Row],[Current On-hand]]-AtlasReport_3_Table_1[[#This Row],[Trans backwords (Ending)]]</f>
        <v>1</v>
      </c>
    </row>
    <row r="164" spans="1:8">
      <c r="A164" s="8" t="s">
        <v>431</v>
      </c>
      <c r="B164" s="8" t="s">
        <v>237</v>
      </c>
      <c r="C164" s="8" t="s">
        <v>238</v>
      </c>
      <c r="D164" s="10">
        <v>0</v>
      </c>
      <c r="E164" s="10">
        <f>_xll.AtlasFormulas.AtlasFunctions.AtlasBalance("PROD",DataAreaId,"T.InventTrans|inventDimId~inventDimId@T.InventDim","Sum|Qty|0","","","","","","","DateFinancial|ItemId|T2.InventSiteId|T2.InventLocationId",PeriodBeginning,$A164,$B164,$C164)</f>
        <v>0</v>
      </c>
      <c r="F164" s="10">
        <f>_xll.AtlasFormulas.AtlasFunctions.AtlasBalance("PROD",DataAreaId,"T.InventTrans|inventDimId~inventDimId@T.InventDim","Sum|Qty|0","","","","","","","DateFinancial|ItemId|T2.InventSiteId|T2.InventLocationId",PeriodEnding,$A164,$B164,$C164)</f>
        <v>0</v>
      </c>
      <c r="G164" s="10">
        <f>AtlasReport_3_Table_1[[#This Row],[Current On-hand]]-AtlasReport_3_Table_1[[#This Row],[Trans backwords (Beginning)]]</f>
        <v>0</v>
      </c>
      <c r="H164" s="10">
        <f>AtlasReport_3_Table_1[[#This Row],[Current On-hand]]-AtlasReport_3_Table_1[[#This Row],[Trans backwords (Ending)]]</f>
        <v>0</v>
      </c>
    </row>
    <row r="165" spans="1:8">
      <c r="A165" s="8" t="s">
        <v>437</v>
      </c>
      <c r="B165" s="8" t="s">
        <v>237</v>
      </c>
      <c r="C165" s="8" t="s">
        <v>44</v>
      </c>
      <c r="D165" s="10">
        <v>0</v>
      </c>
      <c r="E165" s="10">
        <f>_xll.AtlasFormulas.AtlasFunctions.AtlasBalance("PROD",DataAreaId,"T.InventTrans|inventDimId~inventDimId@T.InventDim","Sum|Qty|0","","","","","","","DateFinancial|ItemId|T2.InventSiteId|T2.InventLocationId",PeriodBeginning,$A165,$B165,$C165)</f>
        <v>0</v>
      </c>
      <c r="F165" s="10">
        <f>_xll.AtlasFormulas.AtlasFunctions.AtlasBalance("PROD",DataAreaId,"T.InventTrans|inventDimId~inventDimId@T.InventDim","Sum|Qty|0","","","","","","","DateFinancial|ItemId|T2.InventSiteId|T2.InventLocationId",PeriodEnding,$A165,$B165,$C165)</f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>
      <c r="A166" s="8" t="s">
        <v>437</v>
      </c>
      <c r="B166" s="8" t="s">
        <v>237</v>
      </c>
      <c r="C166" s="8" t="s">
        <v>238</v>
      </c>
      <c r="D166" s="10">
        <v>0</v>
      </c>
      <c r="E166" s="10">
        <f>_xll.AtlasFormulas.AtlasFunctions.AtlasBalance("PROD",DataAreaId,"T.InventTrans|inventDimId~inventDimId@T.InventDim","Sum|Qty|0","","","","","","","DateFinancial|ItemId|T2.InventSiteId|T2.InventLocationId",PeriodBeginning,$A166,$B166,$C166)</f>
        <v>0</v>
      </c>
      <c r="F166" s="10">
        <f>_xll.AtlasFormulas.AtlasFunctions.AtlasBalance("PROD",DataAreaId,"T.InventTrans|inventDimId~inventDimId@T.InventDim","Sum|Qty|0","","","","","","","DateFinancial|ItemId|T2.InventSiteId|T2.InventLocationId",PeriodEnding,$A166,$B166,$C166)</f>
        <v>0</v>
      </c>
      <c r="G166" s="10">
        <f>AtlasReport_3_Table_1[[#This Row],[Current On-hand]]-AtlasReport_3_Table_1[[#This Row],[Trans backwords (Beginning)]]</f>
        <v>0</v>
      </c>
      <c r="H166" s="10">
        <f>AtlasReport_3_Table_1[[#This Row],[Current On-hand]]-AtlasReport_3_Table_1[[#This Row],[Trans backwords (Ending)]]</f>
        <v>0</v>
      </c>
    </row>
    <row r="167" spans="1:8">
      <c r="A167" s="8" t="s">
        <v>283</v>
      </c>
      <c r="B167" s="8" t="s">
        <v>237</v>
      </c>
      <c r="C167" s="8" t="s">
        <v>44</v>
      </c>
      <c r="D167" s="10">
        <v>0</v>
      </c>
      <c r="E167" s="10">
        <f>_xll.AtlasFormulas.AtlasFunctions.AtlasBalance("PROD",DataAreaId,"T.InventTrans|inventDimId~inventDimId@T.InventDim","Sum|Qty|0","","","","","","","DateFinancial|ItemId|T2.InventSiteId|T2.InventLocationId",PeriodBeginning,$A167,$B167,$C167)</f>
        <v>0</v>
      </c>
      <c r="F167" s="10">
        <f>_xll.AtlasFormulas.AtlasFunctions.AtlasBalance("PROD",DataAreaId,"T.InventTrans|inventDimId~inventDimId@T.InventDim","Sum|Qty|0","","","","","","","DateFinancial|ItemId|T2.InventSiteId|T2.InventLocationId",PeriodEnding,$A167,$B167,$C167)</f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>
      <c r="A168" s="8" t="s">
        <v>283</v>
      </c>
      <c r="B168" s="8" t="s">
        <v>237</v>
      </c>
      <c r="C168" s="8" t="s">
        <v>238</v>
      </c>
      <c r="D168" s="10">
        <v>6</v>
      </c>
      <c r="E168" s="10">
        <f>_xll.AtlasFormulas.AtlasFunctions.AtlasBalance("PROD",DataAreaId,"T.InventTrans|inventDimId~inventDimId@T.InventDim","Sum|Qty|0","","","","","","","DateFinancial|ItemId|T2.InventSiteId|T2.InventLocationId",PeriodBeginning,$A168,$B168,$C168)</f>
        <v>6</v>
      </c>
      <c r="F168" s="10">
        <f>_xll.AtlasFormulas.AtlasFunctions.AtlasBalance("PROD",DataAreaId,"T.InventTrans|inventDimId~inventDimId@T.InventDim","Sum|Qty|0","","","","","","","DateFinancial|ItemId|T2.InventSiteId|T2.InventLocationId",PeriodEnding,$A168,$B168,$C168)</f>
        <v>0</v>
      </c>
      <c r="G168" s="10">
        <f>AtlasReport_3_Table_1[[#This Row],[Current On-hand]]-AtlasReport_3_Table_1[[#This Row],[Trans backwords (Beginning)]]</f>
        <v>0</v>
      </c>
      <c r="H168" s="10">
        <f>AtlasReport_3_Table_1[[#This Row],[Current On-hand]]-AtlasReport_3_Table_1[[#This Row],[Trans backwords (Ending)]]</f>
        <v>6</v>
      </c>
    </row>
    <row r="169" spans="1:8">
      <c r="A169" s="8" t="s">
        <v>284</v>
      </c>
      <c r="B169" s="8" t="s">
        <v>237</v>
      </c>
      <c r="C169" s="8" t="s">
        <v>44</v>
      </c>
      <c r="D169" s="10">
        <v>0</v>
      </c>
      <c r="E169" s="10">
        <f>_xll.AtlasFormulas.AtlasFunctions.AtlasBalance("PROD",DataAreaId,"T.InventTrans|inventDimId~inventDimId@T.InventDim","Sum|Qty|0","","","","","","","DateFinancial|ItemId|T2.InventSiteId|T2.InventLocationId",PeriodBeginning,$A169,$B169,$C169)</f>
        <v>0</v>
      </c>
      <c r="F169" s="10">
        <f>_xll.AtlasFormulas.AtlasFunctions.AtlasBalance("PROD",DataAreaId,"T.InventTrans|inventDimId~inventDimId@T.InventDim","Sum|Qty|0","","","","","","","DateFinancial|ItemId|T2.InventSiteId|T2.InventLocationId",PeriodEnding,$A169,$B169,$C169)</f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>
      <c r="A170" s="8" t="s">
        <v>284</v>
      </c>
      <c r="B170" s="8" t="s">
        <v>237</v>
      </c>
      <c r="C170" s="8" t="s">
        <v>238</v>
      </c>
      <c r="D170" s="10">
        <v>32</v>
      </c>
      <c r="E170" s="10">
        <f>_xll.AtlasFormulas.AtlasFunctions.AtlasBalance("PROD",DataAreaId,"T.InventTrans|inventDimId~inventDimId@T.InventDim","Sum|Qty|0","","","","","","","DateFinancial|ItemId|T2.InventSiteId|T2.InventLocationId",PeriodBeginning,$A170,$B170,$C170)</f>
        <v>32</v>
      </c>
      <c r="F170" s="10">
        <f>_xll.AtlasFormulas.AtlasFunctions.AtlasBalance("PROD",DataAreaId,"T.InventTrans|inventDimId~inventDimId@T.InventDim","Sum|Qty|0","","","","","","","DateFinancial|ItemId|T2.InventSiteId|T2.InventLocationId",PeriodEnding,$A170,$B170,$C170)</f>
        <v>0</v>
      </c>
      <c r="G170" s="10">
        <f>AtlasReport_3_Table_1[[#This Row],[Current On-hand]]-AtlasReport_3_Table_1[[#This Row],[Trans backwords (Beginning)]]</f>
        <v>0</v>
      </c>
      <c r="H170" s="10">
        <f>AtlasReport_3_Table_1[[#This Row],[Current On-hand]]-AtlasReport_3_Table_1[[#This Row],[Trans backwords (Ending)]]</f>
        <v>32</v>
      </c>
    </row>
    <row r="171" spans="1:8">
      <c r="A171" s="8" t="s">
        <v>285</v>
      </c>
      <c r="B171" s="8" t="s">
        <v>237</v>
      </c>
      <c r="C171" s="8" t="s">
        <v>44</v>
      </c>
      <c r="D171" s="10">
        <v>0</v>
      </c>
      <c r="E171" s="10">
        <f>_xll.AtlasFormulas.AtlasFunctions.AtlasBalance("PROD",DataAreaId,"T.InventTrans|inventDimId~inventDimId@T.InventDim","Sum|Qty|0","","","","","","","DateFinancial|ItemId|T2.InventSiteId|T2.InventLocationId",PeriodBeginning,$A171,$B171,$C171)</f>
        <v>0</v>
      </c>
      <c r="F171" s="10">
        <f>_xll.AtlasFormulas.AtlasFunctions.AtlasBalance("PROD",DataAreaId,"T.InventTrans|inventDimId~inventDimId@T.InventDim","Sum|Qty|0","","","","","","","DateFinancial|ItemId|T2.InventSiteId|T2.InventLocationId",PeriodEnding,$A171,$B171,$C171)</f>
        <v>0</v>
      </c>
      <c r="G171" s="10">
        <f>AtlasReport_3_Table_1[[#This Row],[Current On-hand]]-AtlasReport_3_Table_1[[#This Row],[Trans backwords (Beginning)]]</f>
        <v>0</v>
      </c>
      <c r="H171" s="10">
        <f>AtlasReport_3_Table_1[[#This Row],[Current On-hand]]-AtlasReport_3_Table_1[[#This Row],[Trans backwords (Ending)]]</f>
        <v>0</v>
      </c>
    </row>
    <row r="172" spans="1:8">
      <c r="A172" s="8" t="s">
        <v>285</v>
      </c>
      <c r="B172" s="8" t="s">
        <v>237</v>
      </c>
      <c r="C172" s="8" t="s">
        <v>238</v>
      </c>
      <c r="D172" s="10">
        <v>38</v>
      </c>
      <c r="E172" s="10">
        <f>_xll.AtlasFormulas.AtlasFunctions.AtlasBalance("PROD",DataAreaId,"T.InventTrans|inventDimId~inventDimId@T.InventDim","Sum|Qty|0","","","","","","","DateFinancial|ItemId|T2.InventSiteId|T2.InventLocationId",PeriodBeginning,$A172,$B172,$C172)</f>
        <v>38</v>
      </c>
      <c r="F172" s="10">
        <f>_xll.AtlasFormulas.AtlasFunctions.AtlasBalance("PROD",DataAreaId,"T.InventTrans|inventDimId~inventDimId@T.InventDim","Sum|Qty|0","","","","","","","DateFinancial|ItemId|T2.InventSiteId|T2.InventLocationId",PeriodEnding,$A172,$B172,$C172)</f>
        <v>0</v>
      </c>
      <c r="G172" s="10">
        <f>AtlasReport_3_Table_1[[#This Row],[Current On-hand]]-AtlasReport_3_Table_1[[#This Row],[Trans backwords (Beginning)]]</f>
        <v>0</v>
      </c>
      <c r="H172" s="10">
        <f>AtlasReport_3_Table_1[[#This Row],[Current On-hand]]-AtlasReport_3_Table_1[[#This Row],[Trans backwords (Ending)]]</f>
        <v>38</v>
      </c>
    </row>
    <row r="173" spans="1:8">
      <c r="A173" s="8" t="s">
        <v>286</v>
      </c>
      <c r="B173" s="8" t="s">
        <v>237</v>
      </c>
      <c r="C173" s="8" t="s">
        <v>238</v>
      </c>
      <c r="D173" s="10">
        <v>259.1422</v>
      </c>
      <c r="E173" s="10">
        <f>_xll.AtlasFormulas.AtlasFunctions.AtlasBalance("PROD",DataAreaId,"T.InventTrans|inventDimId~inventDimId@T.InventDim","Sum|Qty|0","","","","","","","DateFinancial|ItemId|T2.InventSiteId|T2.InventLocationId",PeriodBeginning,$A173,$B173,$C173)</f>
        <v>259.1422</v>
      </c>
      <c r="F173" s="10">
        <f>_xll.AtlasFormulas.AtlasFunctions.AtlasBalance("PROD",DataAreaId,"T.InventTrans|inventDimId~inventDimId@T.InventDim","Sum|Qty|0","","","","","","","DateFinancial|ItemId|T2.InventSiteId|T2.InventLocationId",PeriodEnding,$A173,$B173,$C173)</f>
        <v>0</v>
      </c>
      <c r="G173" s="10">
        <f>AtlasReport_3_Table_1[[#This Row],[Current On-hand]]-AtlasReport_3_Table_1[[#This Row],[Trans backwords (Beginning)]]</f>
        <v>0</v>
      </c>
      <c r="H173" s="10">
        <f>AtlasReport_3_Table_1[[#This Row],[Current On-hand]]-AtlasReport_3_Table_1[[#This Row],[Trans backwords (Ending)]]</f>
        <v>259.1422</v>
      </c>
    </row>
    <row r="174" spans="1:8">
      <c r="A174" s="8" t="s">
        <v>287</v>
      </c>
      <c r="B174" s="8" t="s">
        <v>237</v>
      </c>
      <c r="C174" s="8" t="s">
        <v>238</v>
      </c>
      <c r="D174" s="10">
        <v>108.3676</v>
      </c>
      <c r="E174" s="10">
        <f>_xll.AtlasFormulas.AtlasFunctions.AtlasBalance("PROD",DataAreaId,"T.InventTrans|inventDimId~inventDimId@T.InventDim","Sum|Qty|0","","","","","","","DateFinancial|ItemId|T2.InventSiteId|T2.InventLocationId",PeriodBeginning,$A174,$B174,$C174)</f>
        <v>108.3676</v>
      </c>
      <c r="F174" s="10">
        <f>_xll.AtlasFormulas.AtlasFunctions.AtlasBalance("PROD",DataAreaId,"T.InventTrans|inventDimId~inventDimId@T.InventDim","Sum|Qty|0","","","","","","","DateFinancial|ItemId|T2.InventSiteId|T2.InventLocationId",PeriodEnding,$A174,$B174,$C174)</f>
        <v>0</v>
      </c>
      <c r="G174" s="10">
        <f>AtlasReport_3_Table_1[[#This Row],[Current On-hand]]-AtlasReport_3_Table_1[[#This Row],[Trans backwords (Beginning)]]</f>
        <v>0</v>
      </c>
      <c r="H174" s="10">
        <f>AtlasReport_3_Table_1[[#This Row],[Current On-hand]]-AtlasReport_3_Table_1[[#This Row],[Trans backwords (Ending)]]</f>
        <v>108.3676</v>
      </c>
    </row>
    <row r="175" spans="1:8">
      <c r="A175" s="8" t="s">
        <v>494</v>
      </c>
      <c r="B175" s="8" t="s">
        <v>237</v>
      </c>
      <c r="C175" s="8" t="s">
        <v>44</v>
      </c>
      <c r="D175" s="10">
        <v>0</v>
      </c>
      <c r="E175" s="10">
        <f>_xll.AtlasFormulas.AtlasFunctions.AtlasBalance("PROD",DataAreaId,"T.InventTrans|inventDimId~inventDimId@T.InventDim","Sum|Qty|0","","","","","","","DateFinancial|ItemId|T2.InventSiteId|T2.InventLocationId",PeriodBeginning,$A175,$B175,$C175)</f>
        <v>0</v>
      </c>
      <c r="F175" s="10">
        <f>_xll.AtlasFormulas.AtlasFunctions.AtlasBalance("PROD",DataAreaId,"T.InventTrans|inventDimId~inventDimId@T.InventDim","Sum|Qty|0","","","","","","","DateFinancial|ItemId|T2.InventSiteId|T2.InventLocationId",PeriodEnding,$A175,$B175,$C175)</f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>
      <c r="A176" s="8" t="s">
        <v>494</v>
      </c>
      <c r="B176" s="8" t="s">
        <v>237</v>
      </c>
      <c r="C176" s="8" t="s">
        <v>238</v>
      </c>
      <c r="D176" s="10">
        <v>19</v>
      </c>
      <c r="E176" s="10">
        <f>_xll.AtlasFormulas.AtlasFunctions.AtlasBalance("PROD",DataAreaId,"T.InventTrans|inventDimId~inventDimId@T.InventDim","Sum|Qty|0","","","","","","","DateFinancial|ItemId|T2.InventSiteId|T2.InventLocationId",PeriodBeginning,$A176,$B176,$C176)</f>
        <v>19</v>
      </c>
      <c r="F176" s="10">
        <f>_xll.AtlasFormulas.AtlasFunctions.AtlasBalance("PROD",DataAreaId,"T.InventTrans|inventDimId~inventDimId@T.InventDim","Sum|Qty|0","","","","","","","DateFinancial|ItemId|T2.InventSiteId|T2.InventLocationId",PeriodEnding,$A176,$B176,$C176)</f>
        <v>0</v>
      </c>
      <c r="G176" s="10">
        <f>AtlasReport_3_Table_1[[#This Row],[Current On-hand]]-AtlasReport_3_Table_1[[#This Row],[Trans backwords (Beginning)]]</f>
        <v>0</v>
      </c>
      <c r="H176" s="10">
        <f>AtlasReport_3_Table_1[[#This Row],[Current On-hand]]-AtlasReport_3_Table_1[[#This Row],[Trans backwords (Ending)]]</f>
        <v>19</v>
      </c>
    </row>
    <row r="177" spans="1:8">
      <c r="A177" s="8" t="s">
        <v>1078</v>
      </c>
      <c r="B177" s="8" t="s">
        <v>237</v>
      </c>
      <c r="C177" s="8" t="s">
        <v>238</v>
      </c>
      <c r="D177" s="10">
        <v>320</v>
      </c>
      <c r="E177" s="10">
        <f>_xll.AtlasFormulas.AtlasFunctions.AtlasBalance("PROD",DataAreaId,"T.InventTrans|inventDimId~inventDimId@T.InventDim","Sum|Qty|0","","","","","","","DateFinancial|ItemId|T2.InventSiteId|T2.InventLocationId",PeriodBeginning,$A177,$B177,$C177)</f>
        <v>320</v>
      </c>
      <c r="F177" s="10">
        <f>_xll.AtlasFormulas.AtlasFunctions.AtlasBalance("PROD",DataAreaId,"T.InventTrans|inventDimId~inventDimId@T.InventDim","Sum|Qty|0","","","","","","","DateFinancial|ItemId|T2.InventSiteId|T2.InventLocationId",PeriodEnding,$A177,$B177,$C177)</f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320</v>
      </c>
    </row>
    <row r="178" spans="1:8">
      <c r="A178" s="8" t="s">
        <v>1081</v>
      </c>
      <c r="B178" s="8" t="s">
        <v>237</v>
      </c>
      <c r="C178" s="8" t="s">
        <v>238</v>
      </c>
      <c r="D178" s="10">
        <v>295</v>
      </c>
      <c r="E178" s="10">
        <f>_xll.AtlasFormulas.AtlasFunctions.AtlasBalance("PROD",DataAreaId,"T.InventTrans|inventDimId~inventDimId@T.InventDim","Sum|Qty|0","","","","","","","DateFinancial|ItemId|T2.InventSiteId|T2.InventLocationId",PeriodBeginning,$A178,$B178,$C178)</f>
        <v>295</v>
      </c>
      <c r="F178" s="10">
        <f>_xll.AtlasFormulas.AtlasFunctions.AtlasBalance("PROD",DataAreaId,"T.InventTrans|inventDimId~inventDimId@T.InventDim","Sum|Qty|0","","","","","","","DateFinancial|ItemId|T2.InventSiteId|T2.InventLocationId",PeriodEnding,$A178,$B178,$C178)</f>
        <v>0</v>
      </c>
      <c r="G178" s="10">
        <f>AtlasReport_3_Table_1[[#This Row],[Current On-hand]]-AtlasReport_3_Table_1[[#This Row],[Trans backwords (Beginning)]]</f>
        <v>0</v>
      </c>
      <c r="H178" s="10">
        <f>AtlasReport_3_Table_1[[#This Row],[Current On-hand]]-AtlasReport_3_Table_1[[#This Row],[Trans backwords (Ending)]]</f>
        <v>295</v>
      </c>
    </row>
    <row r="179" spans="1:8">
      <c r="A179" s="8" t="s">
        <v>500</v>
      </c>
      <c r="B179" s="8" t="s">
        <v>237</v>
      </c>
      <c r="C179" s="8" t="s">
        <v>238</v>
      </c>
      <c r="D179" s="10">
        <v>107</v>
      </c>
      <c r="E179" s="10">
        <f>_xll.AtlasFormulas.AtlasFunctions.AtlasBalance("PROD",DataAreaId,"T.InventTrans|inventDimId~inventDimId@T.InventDim","Sum|Qty|0","","","","","","","DateFinancial|ItemId|T2.InventSiteId|T2.InventLocationId",PeriodBeginning,$A179,$B179,$C179)</f>
        <v>107</v>
      </c>
      <c r="F179" s="10">
        <f>_xll.AtlasFormulas.AtlasFunctions.AtlasBalance("PROD",DataAreaId,"T.InventTrans|inventDimId~inventDimId@T.InventDim","Sum|Qty|0","","","","","","","DateFinancial|ItemId|T2.InventSiteId|T2.InventLocationId",PeriodEnding,$A179,$B179,$C179)</f>
        <v>0</v>
      </c>
      <c r="G179" s="10">
        <f>AtlasReport_3_Table_1[[#This Row],[Current On-hand]]-AtlasReport_3_Table_1[[#This Row],[Trans backwords (Beginning)]]</f>
        <v>0</v>
      </c>
      <c r="H179" s="10">
        <f>AtlasReport_3_Table_1[[#This Row],[Current On-hand]]-AtlasReport_3_Table_1[[#This Row],[Trans backwords (Ending)]]</f>
        <v>107</v>
      </c>
    </row>
    <row r="180" spans="1:8">
      <c r="A180" s="8" t="s">
        <v>1085</v>
      </c>
      <c r="B180" s="8" t="s">
        <v>237</v>
      </c>
      <c r="C180" s="8" t="s">
        <v>238</v>
      </c>
      <c r="D180" s="10">
        <v>203</v>
      </c>
      <c r="E180" s="10">
        <f>_xll.AtlasFormulas.AtlasFunctions.AtlasBalance("PROD",DataAreaId,"T.InventTrans|inventDimId~inventDimId@T.InventDim","Sum|Qty|0","","","","","","","DateFinancial|ItemId|T2.InventSiteId|T2.InventLocationId",PeriodBeginning,$A180,$B180,$C180)</f>
        <v>203</v>
      </c>
      <c r="F180" s="10">
        <f>_xll.AtlasFormulas.AtlasFunctions.AtlasBalance("PROD",DataAreaId,"T.InventTrans|inventDimId~inventDimId@T.InventDim","Sum|Qty|0","","","","","","","DateFinancial|ItemId|T2.InventSiteId|T2.InventLocationId",PeriodEnding,$A180,$B180,$C180)</f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203</v>
      </c>
    </row>
    <row r="181" spans="1:8">
      <c r="A181" s="8" t="s">
        <v>1088</v>
      </c>
      <c r="B181" s="8" t="s">
        <v>237</v>
      </c>
      <c r="C181" s="8" t="s">
        <v>238</v>
      </c>
      <c r="D181" s="10">
        <v>132</v>
      </c>
      <c r="E181" s="10">
        <f>_xll.AtlasFormulas.AtlasFunctions.AtlasBalance("PROD",DataAreaId,"T.InventTrans|inventDimId~inventDimId@T.InventDim","Sum|Qty|0","","","","","","","DateFinancial|ItemId|T2.InventSiteId|T2.InventLocationId",PeriodBeginning,$A181,$B181,$C181)</f>
        <v>132</v>
      </c>
      <c r="F181" s="10">
        <f>_xll.AtlasFormulas.AtlasFunctions.AtlasBalance("PROD",DataAreaId,"T.InventTrans|inventDimId~inventDimId@T.InventDim","Sum|Qty|0","","","","","","","DateFinancial|ItemId|T2.InventSiteId|T2.InventLocationId",PeriodEnding,$A181,$B181,$C181)</f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132</v>
      </c>
    </row>
    <row r="182" spans="1:8">
      <c r="A182" s="8" t="s">
        <v>1091</v>
      </c>
      <c r="B182" s="8" t="s">
        <v>237</v>
      </c>
      <c r="C182" s="8" t="s">
        <v>238</v>
      </c>
      <c r="D182" s="10">
        <v>12</v>
      </c>
      <c r="E182" s="10">
        <f>_xll.AtlasFormulas.AtlasFunctions.AtlasBalance("PROD",DataAreaId,"T.InventTrans|inventDimId~inventDimId@T.InventDim","Sum|Qty|0","","","","","","","DateFinancial|ItemId|T2.InventSiteId|T2.InventLocationId",PeriodBeginning,$A182,$B182,$C182)</f>
        <v>12</v>
      </c>
      <c r="F182" s="10">
        <f>_xll.AtlasFormulas.AtlasFunctions.AtlasBalance("PROD",DataAreaId,"T.InventTrans|inventDimId~inventDimId@T.InventDim","Sum|Qty|0","","","","","","","DateFinancial|ItemId|T2.InventSiteId|T2.InventLocationId",PeriodEnding,$A182,$B182,$C182)</f>
        <v>0</v>
      </c>
      <c r="G182" s="10">
        <f>AtlasReport_3_Table_1[[#This Row],[Current On-hand]]-AtlasReport_3_Table_1[[#This Row],[Trans backwords (Beginning)]]</f>
        <v>0</v>
      </c>
      <c r="H182" s="10">
        <f>AtlasReport_3_Table_1[[#This Row],[Current On-hand]]-AtlasReport_3_Table_1[[#This Row],[Trans backwords (Ending)]]</f>
        <v>12</v>
      </c>
    </row>
    <row r="183" spans="1:8">
      <c r="A183" s="8" t="s">
        <v>1094</v>
      </c>
      <c r="B183" s="8" t="s">
        <v>237</v>
      </c>
      <c r="C183" s="8" t="s">
        <v>238</v>
      </c>
      <c r="D183" s="10">
        <v>184</v>
      </c>
      <c r="E183" s="10">
        <f>_xll.AtlasFormulas.AtlasFunctions.AtlasBalance("PROD",DataAreaId,"T.InventTrans|inventDimId~inventDimId@T.InventDim","Sum|Qty|0","","","","","","","DateFinancial|ItemId|T2.InventSiteId|T2.InventLocationId",PeriodBeginning,$A183,$B183,$C183)</f>
        <v>184</v>
      </c>
      <c r="F183" s="10">
        <f>_xll.AtlasFormulas.AtlasFunctions.AtlasBalance("PROD",DataAreaId,"T.InventTrans|inventDimId~inventDimId@T.InventDim","Sum|Qty|0","","","","","","","DateFinancial|ItemId|T2.InventSiteId|T2.InventLocationId",PeriodEnding,$A183,$B183,$C183)</f>
        <v>0</v>
      </c>
      <c r="G183" s="10">
        <f>AtlasReport_3_Table_1[[#This Row],[Current On-hand]]-AtlasReport_3_Table_1[[#This Row],[Trans backwords (Beginning)]]</f>
        <v>0</v>
      </c>
      <c r="H183" s="10">
        <f>AtlasReport_3_Table_1[[#This Row],[Current On-hand]]-AtlasReport_3_Table_1[[#This Row],[Trans backwords (Ending)]]</f>
        <v>184</v>
      </c>
    </row>
    <row r="184" spans="1:8">
      <c r="A184" s="8" t="s">
        <v>629</v>
      </c>
      <c r="B184" s="8" t="s">
        <v>237</v>
      </c>
      <c r="C184" s="8" t="s">
        <v>238</v>
      </c>
      <c r="D184" s="10">
        <v>240</v>
      </c>
      <c r="E184" s="10">
        <f>_xll.AtlasFormulas.AtlasFunctions.AtlasBalance("PROD",DataAreaId,"T.InventTrans|inventDimId~inventDimId@T.InventDim","Sum|Qty|0","","","","","","","DateFinancial|ItemId|T2.InventSiteId|T2.InventLocationId",PeriodBeginning,$A184,$B184,$C184)</f>
        <v>240</v>
      </c>
      <c r="F184" s="10">
        <f>_xll.AtlasFormulas.AtlasFunctions.AtlasBalance("PROD",DataAreaId,"T.InventTrans|inventDimId~inventDimId@T.InventDim","Sum|Qty|0","","","","","","","DateFinancial|ItemId|T2.InventSiteId|T2.InventLocationId",PeriodEnding,$A184,$B184,$C184)</f>
        <v>0</v>
      </c>
      <c r="G184" s="10">
        <f>AtlasReport_3_Table_1[[#This Row],[Current On-hand]]-AtlasReport_3_Table_1[[#This Row],[Trans backwords (Beginning)]]</f>
        <v>0</v>
      </c>
      <c r="H184" s="10">
        <f>AtlasReport_3_Table_1[[#This Row],[Current On-hand]]-AtlasReport_3_Table_1[[#This Row],[Trans backwords (Ending)]]</f>
        <v>240</v>
      </c>
    </row>
    <row r="185" spans="1:8">
      <c r="A185" s="8" t="s">
        <v>1533</v>
      </c>
      <c r="B185" s="8" t="s">
        <v>237</v>
      </c>
      <c r="C185" s="8" t="s">
        <v>238</v>
      </c>
      <c r="D185" s="10">
        <v>0</v>
      </c>
      <c r="E185" s="10">
        <f>_xll.AtlasFormulas.AtlasFunctions.AtlasBalance("PROD",DataAreaId,"T.InventTrans|inventDimId~inventDimId@T.InventDim","Sum|Qty|0","","","","","","","DateFinancial|ItemId|T2.InventSiteId|T2.InventLocationId",PeriodBeginning,$A185,$B185,$C185)</f>
        <v>0</v>
      </c>
      <c r="F185" s="10">
        <f>_xll.AtlasFormulas.AtlasFunctions.AtlasBalance("PROD",DataAreaId,"T.InventTrans|inventDimId~inventDimId@T.InventDim","Sum|Qty|0","","","","","","","DateFinancial|ItemId|T2.InventSiteId|T2.InventLocationId",PeriodEnding,$A185,$B185,$C185)</f>
        <v>0</v>
      </c>
      <c r="G185" s="10">
        <f>AtlasReport_3_Table_1[[#This Row],[Current On-hand]]-AtlasReport_3_Table_1[[#This Row],[Trans backwords (Beginning)]]</f>
        <v>0</v>
      </c>
      <c r="H185" s="10">
        <f>AtlasReport_3_Table_1[[#This Row],[Current On-hand]]-AtlasReport_3_Table_1[[#This Row],[Trans backwords (Ending)]]</f>
        <v>0</v>
      </c>
    </row>
    <row r="186" spans="1:8">
      <c r="A186" s="8" t="s">
        <v>632</v>
      </c>
      <c r="B186" s="8" t="s">
        <v>237</v>
      </c>
      <c r="C186" s="8" t="s">
        <v>44</v>
      </c>
      <c r="D186" s="10">
        <v>0</v>
      </c>
      <c r="E186" s="10">
        <f>_xll.AtlasFormulas.AtlasFunctions.AtlasBalance("PROD",DataAreaId,"T.InventTrans|inventDimId~inventDimId@T.InventDim","Sum|Qty|0","","","","","","","DateFinancial|ItemId|T2.InventSiteId|T2.InventLocationId",PeriodBeginning,$A186,$B186,$C186)</f>
        <v>0</v>
      </c>
      <c r="F186" s="10">
        <f>_xll.AtlasFormulas.AtlasFunctions.AtlasBalance("PROD",DataAreaId,"T.InventTrans|inventDimId~inventDimId@T.InventDim","Sum|Qty|0","","","","","","","DateFinancial|ItemId|T2.InventSiteId|T2.InventLocationId",PeriodEnding,$A186,$B186,$C186)</f>
        <v>0</v>
      </c>
      <c r="G186" s="10">
        <f>AtlasReport_3_Table_1[[#This Row],[Current On-hand]]-AtlasReport_3_Table_1[[#This Row],[Trans backwords (Beginning)]]</f>
        <v>0</v>
      </c>
      <c r="H186" s="10">
        <f>AtlasReport_3_Table_1[[#This Row],[Current On-hand]]-AtlasReport_3_Table_1[[#This Row],[Trans backwords (Ending)]]</f>
        <v>0</v>
      </c>
    </row>
    <row r="187" spans="1:8">
      <c r="A187" s="8" t="s">
        <v>632</v>
      </c>
      <c r="B187" s="8" t="s">
        <v>237</v>
      </c>
      <c r="C187" s="8" t="s">
        <v>238</v>
      </c>
      <c r="D187" s="10">
        <v>0</v>
      </c>
      <c r="E187" s="10">
        <f>_xll.AtlasFormulas.AtlasFunctions.AtlasBalance("PROD",DataAreaId,"T.InventTrans|inventDimId~inventDimId@T.InventDim","Sum|Qty|0","","","","","","","DateFinancial|ItemId|T2.InventSiteId|T2.InventLocationId",PeriodBeginning,$A187,$B187,$C187)</f>
        <v>0</v>
      </c>
      <c r="F187" s="10">
        <f>_xll.AtlasFormulas.AtlasFunctions.AtlasBalance("PROD",DataAreaId,"T.InventTrans|inventDimId~inventDimId@T.InventDim","Sum|Qty|0","","","","","","","DateFinancial|ItemId|T2.InventSiteId|T2.InventLocationId",PeriodEnding,$A187,$B187,$C187)</f>
        <v>0</v>
      </c>
      <c r="G187" s="10">
        <f>AtlasReport_3_Table_1[[#This Row],[Current On-hand]]-AtlasReport_3_Table_1[[#This Row],[Trans backwords (Beginning)]]</f>
        <v>0</v>
      </c>
      <c r="H187" s="10">
        <f>AtlasReport_3_Table_1[[#This Row],[Current On-hand]]-AtlasReport_3_Table_1[[#This Row],[Trans backwords (Ending)]]</f>
        <v>0</v>
      </c>
    </row>
    <row r="188" spans="1:8">
      <c r="A188" s="8" t="s">
        <v>635</v>
      </c>
      <c r="B188" s="8" t="s">
        <v>237</v>
      </c>
      <c r="C188" s="8" t="s">
        <v>44</v>
      </c>
      <c r="D188" s="10">
        <v>0</v>
      </c>
      <c r="E188" s="10">
        <f>_xll.AtlasFormulas.AtlasFunctions.AtlasBalance("PROD",DataAreaId,"T.InventTrans|inventDimId~inventDimId@T.InventDim","Sum|Qty|0","","","","","","","DateFinancial|ItemId|T2.InventSiteId|T2.InventLocationId",PeriodBeginning,$A188,$B188,$C188)</f>
        <v>0</v>
      </c>
      <c r="F188" s="10">
        <f>_xll.AtlasFormulas.AtlasFunctions.AtlasBalance("PROD",DataAreaId,"T.InventTrans|inventDimId~inventDimId@T.InventDim","Sum|Qty|0","","","","","","","DateFinancial|ItemId|T2.InventSiteId|T2.InventLocationId",PeriodEnding,$A188,$B188,$C188)</f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>
      <c r="A189" s="8" t="s">
        <v>635</v>
      </c>
      <c r="B189" s="8" t="s">
        <v>237</v>
      </c>
      <c r="C189" s="8" t="s">
        <v>238</v>
      </c>
      <c r="D189" s="10">
        <v>0</v>
      </c>
      <c r="E189" s="10">
        <f>_xll.AtlasFormulas.AtlasFunctions.AtlasBalance("PROD",DataAreaId,"T.InventTrans|inventDimId~inventDimId@T.InventDim","Sum|Qty|0","","","","","","","DateFinancial|ItemId|T2.InventSiteId|T2.InventLocationId",PeriodBeginning,$A189,$B189,$C189)</f>
        <v>0</v>
      </c>
      <c r="F189" s="10">
        <f>_xll.AtlasFormulas.AtlasFunctions.AtlasBalance("PROD",DataAreaId,"T.InventTrans|inventDimId~inventDimId@T.InventDim","Sum|Qty|0","","","","","","","DateFinancial|ItemId|T2.InventSiteId|T2.InventLocationId",PeriodEnding,$A189,$B189,$C189)</f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>
      <c r="A190" s="8" t="s">
        <v>466</v>
      </c>
      <c r="B190" s="8" t="s">
        <v>237</v>
      </c>
      <c r="C190" s="8" t="s">
        <v>238</v>
      </c>
      <c r="D190" s="10">
        <v>0</v>
      </c>
      <c r="E190" s="10">
        <f>_xll.AtlasFormulas.AtlasFunctions.AtlasBalance("PROD",DataAreaId,"T.InventTrans|inventDimId~inventDimId@T.InventDim","Sum|Qty|0","","","","","","","DateFinancial|ItemId|T2.InventSiteId|T2.InventLocationId",PeriodBeginning,$A190,$B190,$C190)</f>
        <v>0</v>
      </c>
      <c r="F190" s="10">
        <f>_xll.AtlasFormulas.AtlasFunctions.AtlasBalance("PROD",DataAreaId,"T.InventTrans|inventDimId~inventDimId@T.InventDim","Sum|Qty|0","","","","","","","DateFinancial|ItemId|T2.InventSiteId|T2.InventLocationId",PeriodEnding,$A190,$B190,$C190)</f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>
      <c r="A191" s="8" t="s">
        <v>288</v>
      </c>
      <c r="B191" s="8" t="s">
        <v>237</v>
      </c>
      <c r="C191" s="8" t="s">
        <v>238</v>
      </c>
      <c r="D191" s="10">
        <v>22.992199999999997</v>
      </c>
      <c r="E191" s="10">
        <f>_xll.AtlasFormulas.AtlasFunctions.AtlasBalance("PROD",DataAreaId,"T.InventTrans|inventDimId~inventDimId@T.InventDim","Sum|Qty|0","","","","","","","DateFinancial|ItemId|T2.InventSiteId|T2.InventLocationId",PeriodBeginning,$A191,$B191,$C191)</f>
        <v>22.9922</v>
      </c>
      <c r="F191" s="10">
        <f>_xll.AtlasFormulas.AtlasFunctions.AtlasBalance("PROD",DataAreaId,"T.InventTrans|inventDimId~inventDimId@T.InventDim","Sum|Qty|0","","","","","","","DateFinancial|ItemId|T2.InventSiteId|T2.InventLocationId",PeriodEnding,$A191,$B191,$C191)</f>
        <v>0</v>
      </c>
      <c r="G191" s="10">
        <f>AtlasReport_3_Table_1[[#This Row],[Current On-hand]]-AtlasReport_3_Table_1[[#This Row],[Trans backwords (Beginning)]]</f>
        <v>0</v>
      </c>
      <c r="H191" s="10">
        <f>AtlasReport_3_Table_1[[#This Row],[Current On-hand]]-AtlasReport_3_Table_1[[#This Row],[Trans backwords (Ending)]]</f>
        <v>22.992199999999997</v>
      </c>
    </row>
    <row r="192" spans="1:8">
      <c r="A192" s="8" t="s">
        <v>289</v>
      </c>
      <c r="B192" s="8" t="s">
        <v>237</v>
      </c>
      <c r="C192" s="8" t="s">
        <v>238</v>
      </c>
      <c r="D192" s="10">
        <v>8.7922000000000011</v>
      </c>
      <c r="E192" s="10">
        <f>_xll.AtlasFormulas.AtlasFunctions.AtlasBalance("PROD",DataAreaId,"T.InventTrans|inventDimId~inventDimId@T.InventDim","Sum|Qty|0","","","","","","","DateFinancial|ItemId|T2.InventSiteId|T2.InventLocationId",PeriodBeginning,$A192,$B192,$C192)</f>
        <v>8.7921999999999993</v>
      </c>
      <c r="F192" s="10">
        <f>_xll.AtlasFormulas.AtlasFunctions.AtlasBalance("PROD",DataAreaId,"T.InventTrans|inventDimId~inventDimId@T.InventDim","Sum|Qty|0","","","","","","","DateFinancial|ItemId|T2.InventSiteId|T2.InventLocationId",PeriodEnding,$A192,$B192,$C192)</f>
        <v>0</v>
      </c>
      <c r="G192" s="10">
        <f>AtlasReport_3_Table_1[[#This Row],[Current On-hand]]-AtlasReport_3_Table_1[[#This Row],[Trans backwords (Beginning)]]</f>
        <v>0</v>
      </c>
      <c r="H192" s="10">
        <f>AtlasReport_3_Table_1[[#This Row],[Current On-hand]]-AtlasReport_3_Table_1[[#This Row],[Trans backwords (Ending)]]</f>
        <v>8.7922000000000011</v>
      </c>
    </row>
    <row r="193" spans="1:8">
      <c r="A193" s="8" t="s">
        <v>115</v>
      </c>
      <c r="B193" s="8" t="s">
        <v>237</v>
      </c>
      <c r="C193" s="8" t="s">
        <v>238</v>
      </c>
      <c r="D193" s="10">
        <v>7</v>
      </c>
      <c r="E193" s="10">
        <f>_xll.AtlasFormulas.AtlasFunctions.AtlasBalance("PROD",DataAreaId,"T.InventTrans|inventDimId~inventDimId@T.InventDim","Sum|Qty|0","","","","","","","DateFinancial|ItemId|T2.InventSiteId|T2.InventLocationId",PeriodBeginning,$A193,$B193,$C193)</f>
        <v>7</v>
      </c>
      <c r="F193" s="10">
        <f>_xll.AtlasFormulas.AtlasFunctions.AtlasBalance("PROD",DataAreaId,"T.InventTrans|inventDimId~inventDimId@T.InventDim","Sum|Qty|0","","","","","","","DateFinancial|ItemId|T2.InventSiteId|T2.InventLocationId",PeriodEnding,$A193,$B193,$C193)</f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7</v>
      </c>
    </row>
    <row r="194" spans="1:8">
      <c r="A194" s="8" t="s">
        <v>290</v>
      </c>
      <c r="B194" s="8" t="s">
        <v>237</v>
      </c>
      <c r="C194" s="8" t="s">
        <v>44</v>
      </c>
      <c r="D194" s="10">
        <v>0</v>
      </c>
      <c r="E194" s="10">
        <f>_xll.AtlasFormulas.AtlasFunctions.AtlasBalance("PROD",DataAreaId,"T.InventTrans|inventDimId~inventDimId@T.InventDim","Sum|Qty|0","","","","","","","DateFinancial|ItemId|T2.InventSiteId|T2.InventLocationId",PeriodBeginning,$A194,$B194,$C194)</f>
        <v>0</v>
      </c>
      <c r="F194" s="10">
        <f>_xll.AtlasFormulas.AtlasFunctions.AtlasBalance("PROD",DataAreaId,"T.InventTrans|inventDimId~inventDimId@T.InventDim","Sum|Qty|0","","","","","","","DateFinancial|ItemId|T2.InventSiteId|T2.InventLocationId",PeriodEnding,$A194,$B194,$C194)</f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0</v>
      </c>
    </row>
    <row r="195" spans="1:8">
      <c r="A195" s="8" t="s">
        <v>290</v>
      </c>
      <c r="B195" s="8" t="s">
        <v>237</v>
      </c>
      <c r="C195" s="8" t="s">
        <v>238</v>
      </c>
      <c r="D195" s="10">
        <v>388.74940000000004</v>
      </c>
      <c r="E195" s="10">
        <f>_xll.AtlasFormulas.AtlasFunctions.AtlasBalance("PROD",DataAreaId,"T.InventTrans|inventDimId~inventDimId@T.InventDim","Sum|Qty|0","","","","","","","DateFinancial|ItemId|T2.InventSiteId|T2.InventLocationId",PeriodBeginning,$A195,$B195,$C195)</f>
        <v>388.74939999999998</v>
      </c>
      <c r="F195" s="10">
        <f>_xll.AtlasFormulas.AtlasFunctions.AtlasBalance("PROD",DataAreaId,"T.InventTrans|inventDimId~inventDimId@T.InventDim","Sum|Qty|0","","","","","","","DateFinancial|ItemId|T2.InventSiteId|T2.InventLocationId",PeriodEnding,$A195,$B195,$C195)</f>
        <v>289.89999999999998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98.84940000000006</v>
      </c>
    </row>
    <row r="196" spans="1:8">
      <c r="A196" s="8" t="s">
        <v>291</v>
      </c>
      <c r="B196" s="8" t="s">
        <v>237</v>
      </c>
      <c r="C196" s="8" t="s">
        <v>44</v>
      </c>
      <c r="D196" s="10">
        <v>0</v>
      </c>
      <c r="E196" s="10">
        <f>_xll.AtlasFormulas.AtlasFunctions.AtlasBalance("PROD",DataAreaId,"T.InventTrans|inventDimId~inventDimId@T.InventDim","Sum|Qty|0","","","","","","","DateFinancial|ItemId|T2.InventSiteId|T2.InventLocationId",PeriodBeginning,$A196,$B196,$C196)</f>
        <v>0</v>
      </c>
      <c r="F196" s="10">
        <f>_xll.AtlasFormulas.AtlasFunctions.AtlasBalance("PROD",DataAreaId,"T.InventTrans|inventDimId~inventDimId@T.InventDim","Sum|Qty|0","","","","","","","DateFinancial|ItemId|T2.InventSiteId|T2.InventLocationId",PeriodEnding,$A196,$B196,$C196)</f>
        <v>0</v>
      </c>
      <c r="G196" s="10">
        <f>AtlasReport_3_Table_1[[#This Row],[Current On-hand]]-AtlasReport_3_Table_1[[#This Row],[Trans backwords (Beginning)]]</f>
        <v>0</v>
      </c>
      <c r="H196" s="10">
        <f>AtlasReport_3_Table_1[[#This Row],[Current On-hand]]-AtlasReport_3_Table_1[[#This Row],[Trans backwords (Ending)]]</f>
        <v>0</v>
      </c>
    </row>
    <row r="197" spans="1:8">
      <c r="A197" s="8" t="s">
        <v>291</v>
      </c>
      <c r="B197" s="8" t="s">
        <v>237</v>
      </c>
      <c r="C197" s="8" t="s">
        <v>238</v>
      </c>
      <c r="D197" s="10">
        <v>95</v>
      </c>
      <c r="E197" s="10">
        <f>_xll.AtlasFormulas.AtlasFunctions.AtlasBalance("PROD",DataAreaId,"T.InventTrans|inventDimId~inventDimId@T.InventDim","Sum|Qty|0","","","","","","","DateFinancial|ItemId|T2.InventSiteId|T2.InventLocationId",PeriodBeginning,$A197,$B197,$C197)</f>
        <v>95</v>
      </c>
      <c r="F197" s="10">
        <f>_xll.AtlasFormulas.AtlasFunctions.AtlasBalance("PROD",DataAreaId,"T.InventTrans|inventDimId~inventDimId@T.InventDim","Sum|Qty|0","","","","","","","DateFinancial|ItemId|T2.InventSiteId|T2.InventLocationId",PeriodEnding,$A197,$B197,$C197)</f>
        <v>-15.9</v>
      </c>
      <c r="G197" s="10">
        <f>AtlasReport_3_Table_1[[#This Row],[Current On-hand]]-AtlasReport_3_Table_1[[#This Row],[Trans backwords (Beginning)]]</f>
        <v>0</v>
      </c>
      <c r="H197" s="10">
        <f>AtlasReport_3_Table_1[[#This Row],[Current On-hand]]-AtlasReport_3_Table_1[[#This Row],[Trans backwords (Ending)]]</f>
        <v>110.9</v>
      </c>
    </row>
    <row r="198" spans="1:8">
      <c r="A198" s="8" t="s">
        <v>1098</v>
      </c>
      <c r="B198" s="8" t="s">
        <v>237</v>
      </c>
      <c r="C198" s="8" t="s">
        <v>238</v>
      </c>
      <c r="D198" s="10">
        <v>28.35</v>
      </c>
      <c r="E198" s="10">
        <f>_xll.AtlasFormulas.AtlasFunctions.AtlasBalance("PROD",DataAreaId,"T.InventTrans|inventDimId~inventDimId@T.InventDim","Sum|Qty|0","","","","","","","DateFinancial|ItemId|T2.InventSiteId|T2.InventLocationId",PeriodBeginning,$A198,$B198,$C198)</f>
        <v>28.35</v>
      </c>
      <c r="F198" s="10">
        <f>_xll.AtlasFormulas.AtlasFunctions.AtlasBalance("PROD",DataAreaId,"T.InventTrans|inventDimId~inventDimId@T.InventDim","Sum|Qty|0","","","","","","","DateFinancial|ItemId|T2.InventSiteId|T2.InventLocationId",PeriodEnding,$A198,$B198,$C198)</f>
        <v>0</v>
      </c>
      <c r="G198" s="10">
        <f>AtlasReport_3_Table_1[[#This Row],[Current On-hand]]-AtlasReport_3_Table_1[[#This Row],[Trans backwords (Beginning)]]</f>
        <v>0</v>
      </c>
      <c r="H198" s="10">
        <f>AtlasReport_3_Table_1[[#This Row],[Current On-hand]]-AtlasReport_3_Table_1[[#This Row],[Trans backwords (Ending)]]</f>
        <v>28.35</v>
      </c>
    </row>
    <row r="199" spans="1:8">
      <c r="A199" s="8" t="s">
        <v>292</v>
      </c>
      <c r="B199" s="8" t="s">
        <v>237</v>
      </c>
      <c r="C199" s="8" t="s">
        <v>238</v>
      </c>
      <c r="D199" s="10">
        <v>171.35</v>
      </c>
      <c r="E199" s="10">
        <f>_xll.AtlasFormulas.AtlasFunctions.AtlasBalance("PROD",DataAreaId,"T.InventTrans|inventDimId~inventDimId@T.InventDim","Sum|Qty|0","","","","","","","DateFinancial|ItemId|T2.InventSiteId|T2.InventLocationId",PeriodBeginning,$A199,$B199,$C199)</f>
        <v>171.35</v>
      </c>
      <c r="F199" s="10">
        <f>_xll.AtlasFormulas.AtlasFunctions.AtlasBalance("PROD",DataAreaId,"T.InventTrans|inventDimId~inventDimId@T.InventDim","Sum|Qty|0","","","","","","","DateFinancial|ItemId|T2.InventSiteId|T2.InventLocationId",PeriodEnding,$A199,$B199,$C199)</f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171.35</v>
      </c>
    </row>
    <row r="200" spans="1:8">
      <c r="A200" s="8" t="s">
        <v>293</v>
      </c>
      <c r="B200" s="8" t="s">
        <v>237</v>
      </c>
      <c r="C200" s="8" t="s">
        <v>238</v>
      </c>
      <c r="D200" s="10">
        <v>127.5625</v>
      </c>
      <c r="E200" s="10">
        <f>_xll.AtlasFormulas.AtlasFunctions.AtlasBalance("PROD",DataAreaId,"T.InventTrans|inventDimId~inventDimId@T.InventDim","Sum|Qty|0","","","","","","","DateFinancial|ItemId|T2.InventSiteId|T2.InventLocationId",PeriodBeginning,$A200,$B200,$C200)</f>
        <v>127.5625</v>
      </c>
      <c r="F200" s="10">
        <f>_xll.AtlasFormulas.AtlasFunctions.AtlasBalance("PROD",DataAreaId,"T.InventTrans|inventDimId~inventDimId@T.InventDim","Sum|Qty|0","","","","","","","DateFinancial|ItemId|T2.InventSiteId|T2.InventLocationId",PeriodEnding,$A200,$B200,$C200)</f>
        <v>-292.4975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420.06</v>
      </c>
    </row>
    <row r="201" spans="1:8">
      <c r="A201" s="8" t="s">
        <v>294</v>
      </c>
      <c r="B201" s="8" t="s">
        <v>237</v>
      </c>
      <c r="C201" s="8" t="s">
        <v>238</v>
      </c>
      <c r="D201" s="10">
        <v>144</v>
      </c>
      <c r="E201" s="10">
        <f>_xll.AtlasFormulas.AtlasFunctions.AtlasBalance("PROD",DataAreaId,"T.InventTrans|inventDimId~inventDimId@T.InventDim","Sum|Qty|0","","","","","","","DateFinancial|ItemId|T2.InventSiteId|T2.InventLocationId",PeriodBeginning,$A201,$B201,$C201)</f>
        <v>144</v>
      </c>
      <c r="F201" s="10">
        <f>_xll.AtlasFormulas.AtlasFunctions.AtlasBalance("PROD",DataAreaId,"T.InventTrans|inventDimId~inventDimId@T.InventDim","Sum|Qty|0","","","","","","","DateFinancial|ItemId|T2.InventSiteId|T2.InventLocationId",PeriodEnding,$A201,$B201,$C201)</f>
        <v>0</v>
      </c>
      <c r="G201" s="10">
        <f>AtlasReport_3_Table_1[[#This Row],[Current On-hand]]-AtlasReport_3_Table_1[[#This Row],[Trans backwords (Beginning)]]</f>
        <v>0</v>
      </c>
      <c r="H201" s="10">
        <f>AtlasReport_3_Table_1[[#This Row],[Current On-hand]]-AtlasReport_3_Table_1[[#This Row],[Trans backwords (Ending)]]</f>
        <v>144</v>
      </c>
    </row>
    <row r="202" spans="1:8">
      <c r="A202" s="8" t="s">
        <v>295</v>
      </c>
      <c r="B202" s="8" t="s">
        <v>237</v>
      </c>
      <c r="C202" s="8" t="s">
        <v>238</v>
      </c>
      <c r="D202" s="10">
        <v>168.435</v>
      </c>
      <c r="E202" s="10">
        <f>_xll.AtlasFormulas.AtlasFunctions.AtlasBalance("PROD",DataAreaId,"T.InventTrans|inventDimId~inventDimId@T.InventDim","Sum|Qty|0","","","","","","","DateFinancial|ItemId|T2.InventSiteId|T2.InventLocationId",PeriodBeginning,$A202,$B202,$C202)</f>
        <v>168.435</v>
      </c>
      <c r="F202" s="10">
        <f>_xll.AtlasFormulas.AtlasFunctions.AtlasBalance("PROD",DataAreaId,"T.InventTrans|inventDimId~inventDimId@T.InventDim","Sum|Qty|0","","","","","","","DateFinancial|ItemId|T2.InventSiteId|T2.InventLocationId",PeriodEnding,$A202,$B202,$C202)</f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168.435</v>
      </c>
    </row>
    <row r="203" spans="1:8">
      <c r="A203" s="8" t="s">
        <v>296</v>
      </c>
      <c r="B203" s="8" t="s">
        <v>237</v>
      </c>
      <c r="C203" s="8" t="s">
        <v>238</v>
      </c>
      <c r="D203" s="10">
        <v>568.45000000000005</v>
      </c>
      <c r="E203" s="10">
        <f>_xll.AtlasFormulas.AtlasFunctions.AtlasBalance("PROD",DataAreaId,"T.InventTrans|inventDimId~inventDimId@T.InventDim","Sum|Qty|0","","","","","","","DateFinancial|ItemId|T2.InventSiteId|T2.InventLocationId",PeriodBeginning,$A203,$B203,$C203)</f>
        <v>568.45000000000005</v>
      </c>
      <c r="F203" s="10">
        <f>_xll.AtlasFormulas.AtlasFunctions.AtlasBalance("PROD",DataAreaId,"T.InventTrans|inventDimId~inventDimId@T.InventDim","Sum|Qty|0","","","","","","","DateFinancial|ItemId|T2.InventSiteId|T2.InventLocationId",PeriodEnding,$A203,$B203,$C203)</f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568.45000000000005</v>
      </c>
    </row>
    <row r="204" spans="1:8">
      <c r="A204" s="8" t="s">
        <v>297</v>
      </c>
      <c r="B204" s="8" t="s">
        <v>237</v>
      </c>
      <c r="C204" s="8" t="s">
        <v>238</v>
      </c>
      <c r="D204" s="10">
        <v>48</v>
      </c>
      <c r="E204" s="10">
        <f>_xll.AtlasFormulas.AtlasFunctions.AtlasBalance("PROD",DataAreaId,"T.InventTrans|inventDimId~inventDimId@T.InventDim","Sum|Qty|0","","","","","","","DateFinancial|ItemId|T2.InventSiteId|T2.InventLocationId",PeriodBeginning,$A204,$B204,$C204)</f>
        <v>48</v>
      </c>
      <c r="F204" s="10">
        <f>_xll.AtlasFormulas.AtlasFunctions.AtlasBalance("PROD",DataAreaId,"T.InventTrans|inventDimId~inventDimId@T.InventDim","Sum|Qty|0","","","","","","","DateFinancial|ItemId|T2.InventSiteId|T2.InventLocationId",PeriodEnding,$A204,$B204,$C204)</f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48</v>
      </c>
    </row>
    <row r="205" spans="1:8">
      <c r="A205" s="8" t="s">
        <v>839</v>
      </c>
      <c r="B205" s="8" t="s">
        <v>237</v>
      </c>
      <c r="C205" s="8" t="s">
        <v>238</v>
      </c>
      <c r="D205" s="10">
        <v>150</v>
      </c>
      <c r="E205" s="10">
        <f>_xll.AtlasFormulas.AtlasFunctions.AtlasBalance("PROD",DataAreaId,"T.InventTrans|inventDimId~inventDimId@T.InventDim","Sum|Qty|0","","","","","","","DateFinancial|ItemId|T2.InventSiteId|T2.InventLocationId",PeriodBeginning,$A205,$B205,$C205)</f>
        <v>150</v>
      </c>
      <c r="F205" s="10">
        <f>_xll.AtlasFormulas.AtlasFunctions.AtlasBalance("PROD",DataAreaId,"T.InventTrans|inventDimId~inventDimId@T.InventDim","Sum|Qty|0","","","","","","","DateFinancial|ItemId|T2.InventSiteId|T2.InventLocationId",PeriodEnding,$A205,$B205,$C205)</f>
        <v>0</v>
      </c>
      <c r="G205" s="10">
        <f>AtlasReport_3_Table_1[[#This Row],[Current On-hand]]-AtlasReport_3_Table_1[[#This Row],[Trans backwords (Beginning)]]</f>
        <v>0</v>
      </c>
      <c r="H205" s="10">
        <f>AtlasReport_3_Table_1[[#This Row],[Current On-hand]]-AtlasReport_3_Table_1[[#This Row],[Trans backwords (Ending)]]</f>
        <v>150</v>
      </c>
    </row>
    <row r="206" spans="1:8">
      <c r="A206" s="8" t="s">
        <v>298</v>
      </c>
      <c r="B206" s="8" t="s">
        <v>237</v>
      </c>
      <c r="C206" s="8" t="s">
        <v>238</v>
      </c>
      <c r="D206" s="10">
        <v>517.01990000000001</v>
      </c>
      <c r="E206" s="10">
        <f>_xll.AtlasFormulas.AtlasFunctions.AtlasBalance("PROD",DataAreaId,"T.InventTrans|inventDimId~inventDimId@T.InventDim","Sum|Qty|0","","","","","","","DateFinancial|ItemId|T2.InventSiteId|T2.InventLocationId",PeriodBeginning,$A206,$B206,$C206)</f>
        <v>517.01990000000001</v>
      </c>
      <c r="F206" s="10">
        <f>_xll.AtlasFormulas.AtlasFunctions.AtlasBalance("PROD",DataAreaId,"T.InventTrans|inventDimId~inventDimId@T.InventDim","Sum|Qty|0","","","","","","","DateFinancial|ItemId|T2.InventSiteId|T2.InventLocationId",PeriodEnding,$A206,$B206,$C206)</f>
        <v>0</v>
      </c>
      <c r="G206" s="10">
        <f>AtlasReport_3_Table_1[[#This Row],[Current On-hand]]-AtlasReport_3_Table_1[[#This Row],[Trans backwords (Beginning)]]</f>
        <v>0</v>
      </c>
      <c r="H206" s="10">
        <f>AtlasReport_3_Table_1[[#This Row],[Current On-hand]]-AtlasReport_3_Table_1[[#This Row],[Trans backwords (Ending)]]</f>
        <v>517.01990000000001</v>
      </c>
    </row>
    <row r="207" spans="1:8">
      <c r="A207" s="3" t="s">
        <v>13</v>
      </c>
      <c r="B207" s="7"/>
      <c r="C207" s="7"/>
      <c r="D207" s="9">
        <f>SUBTOTAL(109,AtlasReport_3_Table_1[Current On-hand])</f>
        <v>205679.01710000006</v>
      </c>
      <c r="E207" s="9">
        <f>SUBTOTAL(109,AtlasReport_3_Table_1[Trans backwords (Beginning)])</f>
        <v>205679.01710000006</v>
      </c>
      <c r="F207" s="9">
        <f>SUBTOTAL(109,AtlasReport_3_Table_1[Trans backwords (Ending)])</f>
        <v>-3942.3999999999996</v>
      </c>
      <c r="G207" s="9">
        <f>SUBTOTAL(109,AtlasReport_3_Table_1[Beginning On-hand])</f>
        <v>0</v>
      </c>
      <c r="H207" s="9">
        <f>SUBTOTAL(109,AtlasReport_3_Table_1[Ending On-hand])</f>
        <v>209621.41710000002</v>
      </c>
    </row>
    <row r="208" spans="1:8">
      <c r="A208" s="3"/>
      <c r="B208" s="3"/>
      <c r="C208" s="3"/>
      <c r="D208" s="9"/>
      <c r="E208" s="9"/>
      <c r="F208" s="9"/>
      <c r="G208" s="9"/>
      <c r="H208" s="9"/>
    </row>
    <row r="209" spans="1:8">
      <c r="A209" s="3"/>
      <c r="B209" s="3"/>
      <c r="C209" s="3"/>
      <c r="D209" s="9"/>
      <c r="E209" s="9"/>
      <c r="F209" s="9"/>
      <c r="G209" s="9"/>
      <c r="H209" s="9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5"/>
  <sheetViews>
    <sheetView topLeftCell="D1" workbookViewId="0">
      <selection activeCell="M4" sqref="M4"/>
    </sheetView>
  </sheetViews>
  <sheetFormatPr defaultRowHeight="1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>
      <c r="A1" s="2" t="s">
        <v>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>
      <c r="A2" s="3" t="s">
        <v>6</v>
      </c>
      <c r="B2" s="3" t="s">
        <v>34</v>
      </c>
      <c r="C2" s="3" t="s">
        <v>35</v>
      </c>
      <c r="D2" s="3" t="s">
        <v>12</v>
      </c>
      <c r="E2" s="3" t="s">
        <v>27</v>
      </c>
      <c r="F2" s="3" t="s">
        <v>77</v>
      </c>
      <c r="G2" s="3" t="s">
        <v>78</v>
      </c>
      <c r="H2" s="3" t="s">
        <v>53</v>
      </c>
      <c r="I2" s="3" t="s">
        <v>54</v>
      </c>
      <c r="J2" s="3" t="s">
        <v>79</v>
      </c>
      <c r="K2" s="3" t="s">
        <v>80</v>
      </c>
      <c r="L2" s="3" t="s">
        <v>75</v>
      </c>
      <c r="M2" s="3" t="s">
        <v>76</v>
      </c>
    </row>
    <row r="3" spans="1:13">
      <c r="A3" s="8" t="s">
        <v>236</v>
      </c>
      <c r="B3" s="8" t="s">
        <v>237</v>
      </c>
      <c r="C3" s="8" t="s">
        <v>238</v>
      </c>
      <c r="D3" s="4">
        <v>56</v>
      </c>
      <c r="E3" s="4">
        <v>0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0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56</v>
      </c>
      <c r="I3" s="4">
        <f>AtlasReport_4_Table_1[[#This Row],[Quantity]]-AtlasReport_4_Table_1[[#This Row],[TPP trans backwards (Ending)]]</f>
        <v>56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0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trans backwards balance (Ending)]]</f>
        <v>0</v>
      </c>
    </row>
    <row r="4" spans="1:13">
      <c r="A4" s="8" t="s">
        <v>239</v>
      </c>
      <c r="B4" s="8" t="s">
        <v>237</v>
      </c>
      <c r="C4" s="8" t="s">
        <v>238</v>
      </c>
      <c r="D4" s="4">
        <v>54.5</v>
      </c>
      <c r="E4" s="4">
        <v>0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54.5</v>
      </c>
      <c r="I4" s="4">
        <f>AtlasReport_4_Table_1[[#This Row],[Quantity]]-AtlasReport_4_Table_1[[#This Row],[TPP trans backwards (Ending)]]</f>
        <v>54.5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trans backwards balance (Ending)]]</f>
        <v>0</v>
      </c>
    </row>
    <row r="5" spans="1:13">
      <c r="A5" s="8" t="s">
        <v>240</v>
      </c>
      <c r="B5" s="8" t="s">
        <v>237</v>
      </c>
      <c r="C5" s="8" t="s">
        <v>238</v>
      </c>
      <c r="D5" s="4">
        <v>300</v>
      </c>
      <c r="E5" s="4">
        <v>0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0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300</v>
      </c>
      <c r="I5" s="4">
        <f>AtlasReport_4_Table_1[[#This Row],[Quantity]]-AtlasReport_4_Table_1[[#This Row],[TPP trans backwards (Ending)]]</f>
        <v>300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0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trans backwards balance (Ending)]]</f>
        <v>0</v>
      </c>
    </row>
    <row r="6" spans="1:13">
      <c r="A6" s="8" t="s">
        <v>306</v>
      </c>
      <c r="B6" s="8" t="s">
        <v>237</v>
      </c>
      <c r="C6" s="8" t="s">
        <v>238</v>
      </c>
      <c r="D6" s="4">
        <v>2</v>
      </c>
      <c r="E6" s="4">
        <v>0</v>
      </c>
      <c r="F6" s="4">
        <f>_xll.AtlasFormulas.AtlasFunctions.AtlasBalance("PROD",DataAreaId,"T.TPPTrans_sst|InventDimId~inventDimId@T.InventDim","Sum|Qty|0","","","","","","","ItemId|TransDate|T2.InventSiteId|T2.InventLocationId",$A6,PeriodBeginning,$B6,$C6)</f>
        <v>2</v>
      </c>
      <c r="G6" s="4">
        <f>_xll.AtlasFormulas.AtlasFunctions.AtlasBalance("PROD",DataAreaId,"T.TPPTrans_sst|InventDimId~inventDimId@T.InventDim","Sum|Qty|0","","","","","","","ItemId|TransDate|T2.InventSiteId|T2.InventLocationId",$A6,PeriodEnding,$B6,$C6)</f>
        <v>0</v>
      </c>
      <c r="H6" s="4">
        <f>AtlasReport_4_Table_1[[#This Row],[Quantity]]-AtlasReport_4_Table_1[[#This Row],[TPP trans backwards (Beginning)]]</f>
        <v>0</v>
      </c>
      <c r="I6" s="4">
        <f>AtlasReport_4_Table_1[[#This Row],[Quantity]]-AtlasReport_4_Table_1[[#This Row],[TPP trans backwards (Ending)]]</f>
        <v>2</v>
      </c>
      <c r="J6" s="4">
        <f>_xll.AtlasFormulas.AtlasFunctions.AtlasBalance("PROD",DataAreaId,"T.TPPTrans_sst|InventDimId~inventDimId@T.InventDim","Sum|CostAmount|0","","","","","","","ItemId|TransDate|T2.InventSiteId|T2.InventLocationId",$A6,PeriodBeginning,$B6,$C6)</f>
        <v>0</v>
      </c>
      <c r="K6" s="4">
        <f>_xll.AtlasFormulas.AtlasFunctions.AtlasBalance("PROD",DataAreaId,"T.TPPTrans_sst|InventDimId~inventDimId@T.InventDim","Sum|CostAmount|0","","","","","","","ItemId|TransDate|T2.InventSiteId|T2.InventLocationId",$A6,PeriodEnding,$B6,$C6)</f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trans backwards balance (Ending)]]</f>
        <v>0</v>
      </c>
    </row>
    <row r="7" spans="1:13">
      <c r="A7" s="8" t="s">
        <v>241</v>
      </c>
      <c r="B7" s="8" t="s">
        <v>237</v>
      </c>
      <c r="C7" s="8" t="s">
        <v>238</v>
      </c>
      <c r="D7" s="4">
        <v>13.347799999999999</v>
      </c>
      <c r="E7" s="4">
        <v>0</v>
      </c>
      <c r="F7" s="4">
        <f>_xll.AtlasFormulas.AtlasFunctions.AtlasBalance("PROD",DataAreaId,"T.TPPTrans_sst|InventDimId~inventDimId@T.InventDim","Sum|Qty|0","","","","","","","ItemId|TransDate|T2.InventSiteId|T2.InventLocationId",$A7,PeriodBeginning,$B7,$C7)</f>
        <v>-0.20219999999999999</v>
      </c>
      <c r="G7" s="4">
        <f>_xll.AtlasFormulas.AtlasFunctions.AtlasBalance("PROD",DataAreaId,"T.TPPTrans_sst|InventDimId~inventDimId@T.InventDim","Sum|Qty|0","","","","","","","ItemId|TransDate|T2.InventSiteId|T2.InventLocationId",$A7,PeriodEnding,$B7,$C7)</f>
        <v>0</v>
      </c>
      <c r="H7" s="4">
        <f>AtlasReport_4_Table_1[[#This Row],[Quantity]]-AtlasReport_4_Table_1[[#This Row],[TPP trans backwards (Beginning)]]</f>
        <v>13.549999999999999</v>
      </c>
      <c r="I7" s="4">
        <f>AtlasReport_4_Table_1[[#This Row],[Quantity]]-AtlasReport_4_Table_1[[#This Row],[TPP trans backwards (Ending)]]</f>
        <v>13.347799999999999</v>
      </c>
      <c r="J7" s="4">
        <f>_xll.AtlasFormulas.AtlasFunctions.AtlasBalance("PROD",DataAreaId,"T.TPPTrans_sst|InventDimId~inventDimId@T.InventDim","Sum|CostAmount|0","","","","","","","ItemId|TransDate|T2.InventSiteId|T2.InventLocationId",$A7,PeriodBeginning,$B7,$C7)</f>
        <v>0</v>
      </c>
      <c r="K7" s="4">
        <f>_xll.AtlasFormulas.AtlasFunctions.AtlasBalance("PROD",DataAreaId,"T.TPPTrans_sst|InventDimId~inventDimId@T.InventDim","Sum|CostAmount|0","","","","","","","ItemId|TransDate|T2.InventSiteId|T2.InventLocationId",$A7,PeriodEnding,$B7,$C7)</f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trans backwards balance (Ending)]]</f>
        <v>0</v>
      </c>
    </row>
    <row r="8" spans="1:13">
      <c r="A8" s="8" t="s">
        <v>242</v>
      </c>
      <c r="B8" s="8" t="s">
        <v>237</v>
      </c>
      <c r="C8" s="8" t="s">
        <v>238</v>
      </c>
      <c r="D8" s="4">
        <v>24.897500000000001</v>
      </c>
      <c r="E8" s="4">
        <v>0</v>
      </c>
      <c r="F8" s="4">
        <f>_xll.AtlasFormulas.AtlasFunctions.AtlasBalance("PROD",DataAreaId,"T.TPPTrans_sst|InventDimId~inventDimId@T.InventDim","Sum|Qty|0","","","","","","","ItemId|TransDate|T2.InventSiteId|T2.InventLocationId",$A8,PeriodBeginning,$B8,$C8)</f>
        <v>-3.0525000000000002</v>
      </c>
      <c r="G8" s="4">
        <f>_xll.AtlasFormulas.AtlasFunctions.AtlasBalance("PROD",DataAreaId,"T.TPPTrans_sst|InventDimId~inventDimId@T.InventDim","Sum|Qty|0","","","","","","","ItemId|TransDate|T2.InventSiteId|T2.InventLocationId",$A8,PeriodEnding,$B8,$C8)</f>
        <v>-1.2024999999999999</v>
      </c>
      <c r="H8" s="4">
        <f>AtlasReport_4_Table_1[[#This Row],[Quantity]]-AtlasReport_4_Table_1[[#This Row],[TPP trans backwards (Beginning)]]</f>
        <v>27.950000000000003</v>
      </c>
      <c r="I8" s="4">
        <f>AtlasReport_4_Table_1[[#This Row],[Quantity]]-AtlasReport_4_Table_1[[#This Row],[TPP trans backwards (Ending)]]</f>
        <v>26.1</v>
      </c>
      <c r="J8" s="4">
        <f>_xll.AtlasFormulas.AtlasFunctions.AtlasBalance("PROD",DataAreaId,"T.TPPTrans_sst|InventDimId~inventDimId@T.InventDim","Sum|CostAmount|0","","","","","","","ItemId|TransDate|T2.InventSiteId|T2.InventLocationId",$A8,PeriodBeginning,$B8,$C8)</f>
        <v>0</v>
      </c>
      <c r="K8" s="4">
        <f>_xll.AtlasFormulas.AtlasFunctions.AtlasBalance("PROD",DataAreaId,"T.TPPTrans_sst|InventDimId~inventDimId@T.InventDim","Sum|CostAmount|0","","","","","","","ItemId|TransDate|T2.InventSiteId|T2.InventLocationId",$A8,PeriodEnding,$B8,$C8)</f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trans backwards balance (Ending)]]</f>
        <v>0</v>
      </c>
    </row>
    <row r="9" spans="1:13">
      <c r="A9" s="8" t="s">
        <v>37</v>
      </c>
      <c r="B9" s="8" t="s">
        <v>237</v>
      </c>
      <c r="C9" s="8" t="s">
        <v>238</v>
      </c>
      <c r="D9" s="4">
        <v>195</v>
      </c>
      <c r="E9" s="4">
        <v>0</v>
      </c>
      <c r="F9" s="4">
        <f>_xll.AtlasFormulas.AtlasFunctions.AtlasBalance("PROD",DataAreaId,"T.TPPTrans_sst|InventDimId~inventDimId@T.InventDim","Sum|Qty|0","","","","","","","ItemId|TransDate|T2.InventSiteId|T2.InventLocationId",$A9,PeriodBeginning,$B9,$C9)</f>
        <v>195</v>
      </c>
      <c r="G9" s="4">
        <f>_xll.AtlasFormulas.AtlasFunctions.AtlasBalance("PROD",DataAreaId,"T.TPPTrans_sst|InventDimId~inventDimId@T.InventDim","Sum|Qty|0","","","","","","","ItemId|TransDate|T2.InventSiteId|T2.InventLocationId",$A9,PeriodEnding,$B9,$C9)</f>
        <v>0</v>
      </c>
      <c r="H9" s="4">
        <f>AtlasReport_4_Table_1[[#This Row],[Quantity]]-AtlasReport_4_Table_1[[#This Row],[TPP trans backwards (Beginning)]]</f>
        <v>0</v>
      </c>
      <c r="I9" s="4">
        <f>AtlasReport_4_Table_1[[#This Row],[Quantity]]-AtlasReport_4_Table_1[[#This Row],[TPP trans backwards (Ending)]]</f>
        <v>195</v>
      </c>
      <c r="J9" s="4">
        <f>_xll.AtlasFormulas.AtlasFunctions.AtlasBalance("PROD",DataAreaId,"T.TPPTrans_sst|InventDimId~inventDimId@T.InventDim","Sum|CostAmount|0","","","","","","","ItemId|TransDate|T2.InventSiteId|T2.InventLocationId",$A9,PeriodBeginning,$B9,$C9)</f>
        <v>0</v>
      </c>
      <c r="K9" s="4">
        <f>_xll.AtlasFormulas.AtlasFunctions.AtlasBalance("PROD",DataAreaId,"T.TPPTrans_sst|InventDimId~inventDimId@T.InventDim","Sum|CostAmount|0","","","","","","","ItemId|TransDate|T2.InventSiteId|T2.InventLocationId",$A9,PeriodEnding,$B9,$C9)</f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trans backwards balance (Ending)]]</f>
        <v>0</v>
      </c>
    </row>
    <row r="10" spans="1:13">
      <c r="A10" s="8" t="s">
        <v>71</v>
      </c>
      <c r="B10" s="8" t="s">
        <v>237</v>
      </c>
      <c r="C10" s="8" t="s">
        <v>238</v>
      </c>
      <c r="D10" s="4">
        <v>195</v>
      </c>
      <c r="E10" s="4">
        <v>0</v>
      </c>
      <c r="F10" s="4">
        <f>_xll.AtlasFormulas.AtlasFunctions.AtlasBalance("PROD",DataAreaId,"T.TPPTrans_sst|InventDimId~inventDimId@T.InventDim","Sum|Qty|0","","","","","","","ItemId|TransDate|T2.InventSiteId|T2.InventLocationId",$A10,PeriodBeginning,$B10,$C10)</f>
        <v>195</v>
      </c>
      <c r="G10" s="4">
        <f>_xll.AtlasFormulas.AtlasFunctions.AtlasBalance("PROD",DataAreaId,"T.TPPTrans_sst|InventDimId~inventDimId@T.InventDim","Sum|Qty|0","","","","","","","ItemId|TransDate|T2.InventSiteId|T2.InventLocationId",$A10,PeriodEnding,$B10,$C10)</f>
        <v>0</v>
      </c>
      <c r="H10" s="4">
        <f>AtlasReport_4_Table_1[[#This Row],[Quantity]]-AtlasReport_4_Table_1[[#This Row],[TPP trans backwards (Beginning)]]</f>
        <v>0</v>
      </c>
      <c r="I10" s="4">
        <f>AtlasReport_4_Table_1[[#This Row],[Quantity]]-AtlasReport_4_Table_1[[#This Row],[TPP trans backwards (Ending)]]</f>
        <v>195</v>
      </c>
      <c r="J10" s="4">
        <f>_xll.AtlasFormulas.AtlasFunctions.AtlasBalance("PROD",DataAreaId,"T.TPPTrans_sst|InventDimId~inventDimId@T.InventDim","Sum|CostAmount|0","","","","","","","ItemId|TransDate|T2.InventSiteId|T2.InventLocationId",$A10,PeriodBeginning,$B10,$C10)</f>
        <v>0</v>
      </c>
      <c r="K10" s="4">
        <f>_xll.AtlasFormulas.AtlasFunctions.AtlasBalance("PROD",DataAreaId,"T.TPPTrans_sst|InventDimId~inventDimId@T.InventDim","Sum|CostAmount|0","","","","","","","ItemId|TransDate|T2.InventSiteId|T2.InventLocationId",$A10,PeriodEnding,$B10,$C10)</f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trans backwards balance (Ending)]]</f>
        <v>0</v>
      </c>
    </row>
    <row r="11" spans="1:13">
      <c r="A11" s="8" t="s">
        <v>130</v>
      </c>
      <c r="B11" s="8" t="s">
        <v>237</v>
      </c>
      <c r="C11" s="8" t="s">
        <v>238</v>
      </c>
      <c r="D11" s="4">
        <v>0</v>
      </c>
      <c r="E11" s="4">
        <v>0</v>
      </c>
      <c r="F11" s="4">
        <f>_xll.AtlasFormulas.AtlasFunctions.AtlasBalance("PROD",DataAreaId,"T.TPPTrans_sst|InventDimId~inventDimId@T.InventDim","Sum|Qty|0","","","","","","","ItemId|TransDate|T2.InventSiteId|T2.InventLocationId",$A11,PeriodBeginning,$B11,$C11)</f>
        <v>0</v>
      </c>
      <c r="G11" s="4">
        <f>_xll.AtlasFormulas.AtlasFunctions.AtlasBalance("PROD",DataAreaId,"T.TPPTrans_sst|InventDimId~inventDimId@T.InventDim","Sum|Qty|0","","","","","","","ItemId|TransDate|T2.InventSiteId|T2.InventLocationId",$A11,PeriodEnding,$B11,$C11)</f>
        <v>0</v>
      </c>
      <c r="H11" s="4">
        <f>AtlasReport_4_Table_1[[#This Row],[Quantity]]-AtlasReport_4_Table_1[[#This Row],[TPP trans backwards (Beginning)]]</f>
        <v>0</v>
      </c>
      <c r="I11" s="4">
        <f>AtlasReport_4_Table_1[[#This Row],[Quantity]]-AtlasReport_4_Table_1[[#This Row],[TPP trans backwards (Ending)]]</f>
        <v>0</v>
      </c>
      <c r="J11" s="4">
        <f>_xll.AtlasFormulas.AtlasFunctions.AtlasBalance("PROD",DataAreaId,"T.TPPTrans_sst|InventDimId~inventDimId@T.InventDim","Sum|CostAmount|0","","","","","","","ItemId|TransDate|T2.InventSiteId|T2.InventLocationId",$A11,PeriodBeginning,$B11,$C11)</f>
        <v>0</v>
      </c>
      <c r="K11" s="4">
        <f>_xll.AtlasFormulas.AtlasFunctions.AtlasBalance("PROD",DataAreaId,"T.TPPTrans_sst|InventDimId~inventDimId@T.InventDim","Sum|CostAmount|0","","","","","","","ItemId|TransDate|T2.InventSiteId|T2.InventLocationId",$A11,PeriodEnding,$B11,$C11)</f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trans backwards balance (Ending)]]</f>
        <v>0</v>
      </c>
    </row>
    <row r="12" spans="1:13">
      <c r="A12" s="8" t="s">
        <v>243</v>
      </c>
      <c r="B12" s="8" t="s">
        <v>237</v>
      </c>
      <c r="C12" s="8" t="s">
        <v>238</v>
      </c>
      <c r="D12" s="4">
        <v>182.55</v>
      </c>
      <c r="E12" s="4">
        <v>0</v>
      </c>
      <c r="F12" s="4">
        <f>_xll.AtlasFormulas.AtlasFunctions.AtlasBalance("PROD",DataAreaId,"T.TPPTrans_sst|InventDimId~inventDimId@T.InventDim","Sum|Qty|0","","","","","","","ItemId|TransDate|T2.InventSiteId|T2.InventLocationId",$A12,PeriodBeginning,$B12,$C12)</f>
        <v>0</v>
      </c>
      <c r="G12" s="4">
        <f>_xll.AtlasFormulas.AtlasFunctions.AtlasBalance("PROD",DataAreaId,"T.TPPTrans_sst|InventDimId~inventDimId@T.InventDim","Sum|Qty|0","","","","","","","ItemId|TransDate|T2.InventSiteId|T2.InventLocationId",$A12,PeriodEnding,$B12,$C12)</f>
        <v>0</v>
      </c>
      <c r="H12" s="4">
        <f>AtlasReport_4_Table_1[[#This Row],[Quantity]]-AtlasReport_4_Table_1[[#This Row],[TPP trans backwards (Beginning)]]</f>
        <v>182.55</v>
      </c>
      <c r="I12" s="4">
        <f>AtlasReport_4_Table_1[[#This Row],[Quantity]]-AtlasReport_4_Table_1[[#This Row],[TPP trans backwards (Ending)]]</f>
        <v>182.55</v>
      </c>
      <c r="J12" s="4">
        <f>_xll.AtlasFormulas.AtlasFunctions.AtlasBalance("PROD",DataAreaId,"T.TPPTrans_sst|InventDimId~inventDimId@T.InventDim","Sum|CostAmount|0","","","","","","","ItemId|TransDate|T2.InventSiteId|T2.InventLocationId",$A12,PeriodBeginning,$B12,$C12)</f>
        <v>0</v>
      </c>
      <c r="K12" s="4">
        <f>_xll.AtlasFormulas.AtlasFunctions.AtlasBalance("PROD",DataAreaId,"T.TPPTrans_sst|InventDimId~inventDimId@T.InventDim","Sum|CostAmount|0","","","","","","","ItemId|TransDate|T2.InventSiteId|T2.InventLocationId",$A12,PeriodEnding,$B12,$C12)</f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trans backwards balance (Ending)]]</f>
        <v>0</v>
      </c>
    </row>
    <row r="13" spans="1:13">
      <c r="A13" s="8" t="s">
        <v>244</v>
      </c>
      <c r="B13" s="8" t="s">
        <v>237</v>
      </c>
      <c r="C13" s="8" t="s">
        <v>238</v>
      </c>
      <c r="D13" s="4">
        <v>27.9</v>
      </c>
      <c r="E13" s="4">
        <v>0</v>
      </c>
      <c r="F13" s="4">
        <f>_xll.AtlasFormulas.AtlasFunctions.AtlasBalance("PROD",DataAreaId,"T.TPPTrans_sst|InventDimId~inventDimId@T.InventDim","Sum|Qty|0","","","","","","","ItemId|TransDate|T2.InventSiteId|T2.InventLocationId",$A13,PeriodBeginning,$B13,$C13)</f>
        <v>0</v>
      </c>
      <c r="G13" s="4">
        <f>_xll.AtlasFormulas.AtlasFunctions.AtlasBalance("PROD",DataAreaId,"T.TPPTrans_sst|InventDimId~inventDimId@T.InventDim","Sum|Qty|0","","","","","","","ItemId|TransDate|T2.InventSiteId|T2.InventLocationId",$A13,PeriodEnding,$B13,$C13)</f>
        <v>0</v>
      </c>
      <c r="H13" s="4">
        <f>AtlasReport_4_Table_1[[#This Row],[Quantity]]-AtlasReport_4_Table_1[[#This Row],[TPP trans backwards (Beginning)]]</f>
        <v>27.9</v>
      </c>
      <c r="I13" s="4">
        <f>AtlasReport_4_Table_1[[#This Row],[Quantity]]-AtlasReport_4_Table_1[[#This Row],[TPP trans backwards (Ending)]]</f>
        <v>27.9</v>
      </c>
      <c r="J13" s="4">
        <f>_xll.AtlasFormulas.AtlasFunctions.AtlasBalance("PROD",DataAreaId,"T.TPPTrans_sst|InventDimId~inventDimId@T.InventDim","Sum|CostAmount|0","","","","","","","ItemId|TransDate|T2.InventSiteId|T2.InventLocationId",$A13,PeriodBeginning,$B13,$C13)</f>
        <v>0</v>
      </c>
      <c r="K13" s="4">
        <f>_xll.AtlasFormulas.AtlasFunctions.AtlasBalance("PROD",DataAreaId,"T.TPPTrans_sst|InventDimId~inventDimId@T.InventDim","Sum|CostAmount|0","","","","","","","ItemId|TransDate|T2.InventSiteId|T2.InventLocationId",$A13,PeriodEnding,$B13,$C13)</f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trans backwards balance (Ending)]]</f>
        <v>0</v>
      </c>
    </row>
    <row r="14" spans="1:13">
      <c r="A14" s="8" t="s">
        <v>245</v>
      </c>
      <c r="B14" s="8" t="s">
        <v>237</v>
      </c>
      <c r="C14" s="8" t="s">
        <v>238</v>
      </c>
      <c r="D14" s="4">
        <v>34.200000000000003</v>
      </c>
      <c r="E14" s="4">
        <v>0</v>
      </c>
      <c r="F14" s="4">
        <f>_xll.AtlasFormulas.AtlasFunctions.AtlasBalance("PROD",DataAreaId,"T.TPPTrans_sst|InventDimId~inventDimId@T.InventDim","Sum|Qty|0","","","","","","","ItemId|TransDate|T2.InventSiteId|T2.InventLocationId",$A14,PeriodBeginning,$B14,$C14)</f>
        <v>0</v>
      </c>
      <c r="G14" s="4">
        <f>_xll.AtlasFormulas.AtlasFunctions.AtlasBalance("PROD",DataAreaId,"T.TPPTrans_sst|InventDimId~inventDimId@T.InventDim","Sum|Qty|0","","","","","","","ItemId|TransDate|T2.InventSiteId|T2.InventLocationId",$A14,PeriodEnding,$B14,$C14)</f>
        <v>0</v>
      </c>
      <c r="H14" s="4">
        <f>AtlasReport_4_Table_1[[#This Row],[Quantity]]-AtlasReport_4_Table_1[[#This Row],[TPP trans backwards (Beginning)]]</f>
        <v>34.200000000000003</v>
      </c>
      <c r="I14" s="4">
        <f>AtlasReport_4_Table_1[[#This Row],[Quantity]]-AtlasReport_4_Table_1[[#This Row],[TPP trans backwards (Ending)]]</f>
        <v>34.200000000000003</v>
      </c>
      <c r="J14" s="4">
        <f>_xll.AtlasFormulas.AtlasFunctions.AtlasBalance("PROD",DataAreaId,"T.TPPTrans_sst|InventDimId~inventDimId@T.InventDim","Sum|CostAmount|0","","","","","","","ItemId|TransDate|T2.InventSiteId|T2.InventLocationId",$A14,PeriodBeginning,$B14,$C14)</f>
        <v>0</v>
      </c>
      <c r="K14" s="4">
        <f>_xll.AtlasFormulas.AtlasFunctions.AtlasBalance("PROD",DataAreaId,"T.TPPTrans_sst|InventDimId~inventDimId@T.InventDim","Sum|CostAmount|0","","","","","","","ItemId|TransDate|T2.InventSiteId|T2.InventLocationId",$A14,PeriodEnding,$B14,$C14)</f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trans backwards balance (Ending)]]</f>
        <v>0</v>
      </c>
    </row>
    <row r="15" spans="1:13">
      <c r="A15" s="8" t="s">
        <v>246</v>
      </c>
      <c r="B15" s="8" t="s">
        <v>237</v>
      </c>
      <c r="C15" s="8" t="s">
        <v>238</v>
      </c>
      <c r="D15" s="4">
        <v>2</v>
      </c>
      <c r="E15" s="4">
        <v>0</v>
      </c>
      <c r="F15" s="4">
        <f>_xll.AtlasFormulas.AtlasFunctions.AtlasBalance("PROD",DataAreaId,"T.TPPTrans_sst|InventDimId~inventDimId@T.InventDim","Sum|Qty|0","","","","","","","ItemId|TransDate|T2.InventSiteId|T2.InventLocationId",$A15,PeriodBeginning,$B15,$C15)</f>
        <v>0</v>
      </c>
      <c r="G15" s="4">
        <f>_xll.AtlasFormulas.AtlasFunctions.AtlasBalance("PROD",DataAreaId,"T.TPPTrans_sst|InventDimId~inventDimId@T.InventDim","Sum|Qty|0","","","","","","","ItemId|TransDate|T2.InventSiteId|T2.InventLocationId",$A15,PeriodEnding,$B15,$C15)</f>
        <v>0</v>
      </c>
      <c r="H15" s="4">
        <f>AtlasReport_4_Table_1[[#This Row],[Quantity]]-AtlasReport_4_Table_1[[#This Row],[TPP trans backwards (Beginning)]]</f>
        <v>2</v>
      </c>
      <c r="I15" s="4">
        <f>AtlasReport_4_Table_1[[#This Row],[Quantity]]-AtlasReport_4_Table_1[[#This Row],[TPP trans backwards (Ending)]]</f>
        <v>2</v>
      </c>
      <c r="J15" s="4">
        <f>_xll.AtlasFormulas.AtlasFunctions.AtlasBalance("PROD",DataAreaId,"T.TPPTrans_sst|InventDimId~inventDimId@T.InventDim","Sum|CostAmount|0","","","","","","","ItemId|TransDate|T2.InventSiteId|T2.InventLocationId",$A15,PeriodBeginning,$B15,$C15)</f>
        <v>0</v>
      </c>
      <c r="K15" s="4">
        <f>_xll.AtlasFormulas.AtlasFunctions.AtlasBalance("PROD",DataAreaId,"T.TPPTrans_sst|InventDimId~inventDimId@T.InventDim","Sum|CostAmount|0","","","","","","","ItemId|TransDate|T2.InventSiteId|T2.InventLocationId",$A15,PeriodEnding,$B15,$C15)</f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trans backwards balance (Ending)]]</f>
        <v>0</v>
      </c>
    </row>
    <row r="16" spans="1:13">
      <c r="A16" s="8" t="s">
        <v>247</v>
      </c>
      <c r="B16" s="8" t="s">
        <v>237</v>
      </c>
      <c r="C16" s="8" t="s">
        <v>238</v>
      </c>
      <c r="D16" s="4">
        <v>53</v>
      </c>
      <c r="E16" s="4">
        <v>0</v>
      </c>
      <c r="F16" s="4">
        <f>_xll.AtlasFormulas.AtlasFunctions.AtlasBalance("PROD",DataAreaId,"T.TPPTrans_sst|InventDimId~inventDimId@T.InventDim","Sum|Qty|0","","","","","","","ItemId|TransDate|T2.InventSiteId|T2.InventLocationId",$A16,PeriodBeginning,$B16,$C16)</f>
        <v>0</v>
      </c>
      <c r="G16" s="4">
        <f>_xll.AtlasFormulas.AtlasFunctions.AtlasBalance("PROD",DataAreaId,"T.TPPTrans_sst|InventDimId~inventDimId@T.InventDim","Sum|Qty|0","","","","","","","ItemId|TransDate|T2.InventSiteId|T2.InventLocationId",$A16,PeriodEnding,$B16,$C16)</f>
        <v>0</v>
      </c>
      <c r="H16" s="4">
        <f>AtlasReport_4_Table_1[[#This Row],[Quantity]]-AtlasReport_4_Table_1[[#This Row],[TPP trans backwards (Beginning)]]</f>
        <v>53</v>
      </c>
      <c r="I16" s="4">
        <f>AtlasReport_4_Table_1[[#This Row],[Quantity]]-AtlasReport_4_Table_1[[#This Row],[TPP trans backwards (Ending)]]</f>
        <v>53</v>
      </c>
      <c r="J16" s="4">
        <f>_xll.AtlasFormulas.AtlasFunctions.AtlasBalance("PROD",DataAreaId,"T.TPPTrans_sst|InventDimId~inventDimId@T.InventDim","Sum|CostAmount|0","","","","","","","ItemId|TransDate|T2.InventSiteId|T2.InventLocationId",$A16,PeriodBeginning,$B16,$C16)</f>
        <v>0</v>
      </c>
      <c r="K16" s="4">
        <f>_xll.AtlasFormulas.AtlasFunctions.AtlasBalance("PROD",DataAreaId,"T.TPPTrans_sst|InventDimId~inventDimId@T.InventDim","Sum|CostAmount|0","","","","","","","ItemId|TransDate|T2.InventSiteId|T2.InventLocationId",$A16,PeriodEnding,$B16,$C16)</f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trans backwards balance (Ending)]]</f>
        <v>0</v>
      </c>
    </row>
    <row r="17" spans="1:13">
      <c r="A17" s="8" t="s">
        <v>248</v>
      </c>
      <c r="B17" s="8" t="s">
        <v>237</v>
      </c>
      <c r="C17" s="8" t="s">
        <v>249</v>
      </c>
      <c r="D17" s="4">
        <v>15083.9611</v>
      </c>
      <c r="E17" s="4">
        <v>0</v>
      </c>
      <c r="F17" s="4">
        <f>_xll.AtlasFormulas.AtlasFunctions.AtlasBalance("PROD",DataAreaId,"T.TPPTrans_sst|InventDimId~inventDimId@T.InventDim","Sum|Qty|0","","","","","","","ItemId|TransDate|T2.InventSiteId|T2.InventLocationId",$A17,PeriodBeginning,$B17,$C17)</f>
        <v>-7234.0388999999996</v>
      </c>
      <c r="G17" s="4">
        <f>_xll.AtlasFormulas.AtlasFunctions.AtlasBalance("PROD",DataAreaId,"T.TPPTrans_sst|InventDimId~inventDimId@T.InventDim","Sum|Qty|0","","","","","","","ItemId|TransDate|T2.InventSiteId|T2.InventLocationId",$A17,PeriodEnding,$B17,$C17)</f>
        <v>-825</v>
      </c>
      <c r="H17" s="4">
        <f>AtlasReport_4_Table_1[[#This Row],[Quantity]]-AtlasReport_4_Table_1[[#This Row],[TPP trans backwards (Beginning)]]</f>
        <v>22318</v>
      </c>
      <c r="I17" s="4">
        <f>AtlasReport_4_Table_1[[#This Row],[Quantity]]-AtlasReport_4_Table_1[[#This Row],[TPP trans backwards (Ending)]]</f>
        <v>15908.9611</v>
      </c>
      <c r="J17" s="4">
        <f>_xll.AtlasFormulas.AtlasFunctions.AtlasBalance("PROD",DataAreaId,"T.TPPTrans_sst|InventDimId~inventDimId@T.InventDim","Sum|CostAmount|0","","","","","","","ItemId|TransDate|T2.InventSiteId|T2.InventLocationId",$A17,PeriodBeginning,$B17,$C17)</f>
        <v>0</v>
      </c>
      <c r="K17" s="4">
        <f>_xll.AtlasFormulas.AtlasFunctions.AtlasBalance("PROD",DataAreaId,"T.TPPTrans_sst|InventDimId~inventDimId@T.InventDim","Sum|CostAmount|0","","","","","","","ItemId|TransDate|T2.InventSiteId|T2.InventLocationId",$A17,PeriodEnding,$B17,$C17)</f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trans backwards balance (Ending)]]</f>
        <v>0</v>
      </c>
    </row>
    <row r="18" spans="1:13">
      <c r="A18" s="8" t="s">
        <v>250</v>
      </c>
      <c r="B18" s="8" t="s">
        <v>237</v>
      </c>
      <c r="C18" s="8" t="s">
        <v>249</v>
      </c>
      <c r="D18" s="4">
        <v>9156</v>
      </c>
      <c r="E18" s="4">
        <v>0</v>
      </c>
      <c r="F18" s="4">
        <f>_xll.AtlasFormulas.AtlasFunctions.AtlasBalance("PROD",DataAreaId,"T.TPPTrans_sst|InventDimId~inventDimId@T.InventDim","Sum|Qty|0","","","","","","","ItemId|TransDate|T2.InventSiteId|T2.InventLocationId",$A18,PeriodBeginning,$B18,$C18)</f>
        <v>-6270</v>
      </c>
      <c r="G18" s="4">
        <f>_xll.AtlasFormulas.AtlasFunctions.AtlasBalance("PROD",DataAreaId,"T.TPPTrans_sst|InventDimId~inventDimId@T.InventDim","Sum|Qty|0","","","","","","","ItemId|TransDate|T2.InventSiteId|T2.InventLocationId",$A18,PeriodEnding,$B18,$C18)</f>
        <v>-510</v>
      </c>
      <c r="H18" s="4">
        <f>AtlasReport_4_Table_1[[#This Row],[Quantity]]-AtlasReport_4_Table_1[[#This Row],[TPP trans backwards (Beginning)]]</f>
        <v>15426</v>
      </c>
      <c r="I18" s="4">
        <f>AtlasReport_4_Table_1[[#This Row],[Quantity]]-AtlasReport_4_Table_1[[#This Row],[TPP trans backwards (Ending)]]</f>
        <v>9666</v>
      </c>
      <c r="J18" s="4">
        <f>_xll.AtlasFormulas.AtlasFunctions.AtlasBalance("PROD",DataAreaId,"T.TPPTrans_sst|InventDimId~inventDimId@T.InventDim","Sum|CostAmount|0","","","","","","","ItemId|TransDate|T2.InventSiteId|T2.InventLocationId",$A18,PeriodBeginning,$B18,$C18)</f>
        <v>0</v>
      </c>
      <c r="K18" s="4">
        <f>_xll.AtlasFormulas.AtlasFunctions.AtlasBalance("PROD",DataAreaId,"T.TPPTrans_sst|InventDimId~inventDimId@T.InventDim","Sum|CostAmount|0","","","","","","","ItemId|TransDate|T2.InventSiteId|T2.InventLocationId",$A18,PeriodEnding,$B18,$C18)</f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trans backwards balance (Ending)]]</f>
        <v>0</v>
      </c>
    </row>
    <row r="19" spans="1:13">
      <c r="A19" s="8" t="s">
        <v>38</v>
      </c>
      <c r="B19" s="8" t="s">
        <v>237</v>
      </c>
      <c r="C19" s="8" t="s">
        <v>238</v>
      </c>
      <c r="D19" s="4">
        <v>300</v>
      </c>
      <c r="E19" s="4">
        <v>0</v>
      </c>
      <c r="F19" s="4">
        <f>_xll.AtlasFormulas.AtlasFunctions.AtlasBalance("PROD",DataAreaId,"T.TPPTrans_sst|InventDimId~inventDimId@T.InventDim","Sum|Qty|0","","","","","","","ItemId|TransDate|T2.InventSiteId|T2.InventLocationId",$A19,PeriodBeginning,$B19,$C19)</f>
        <v>0</v>
      </c>
      <c r="G19" s="4">
        <f>_xll.AtlasFormulas.AtlasFunctions.AtlasBalance("PROD",DataAreaId,"T.TPPTrans_sst|InventDimId~inventDimId@T.InventDim","Sum|Qty|0","","","","","","","ItemId|TransDate|T2.InventSiteId|T2.InventLocationId",$A19,PeriodEnding,$B19,$C19)</f>
        <v>0</v>
      </c>
      <c r="H19" s="4">
        <f>AtlasReport_4_Table_1[[#This Row],[Quantity]]-AtlasReport_4_Table_1[[#This Row],[TPP trans backwards (Beginning)]]</f>
        <v>300</v>
      </c>
      <c r="I19" s="4">
        <f>AtlasReport_4_Table_1[[#This Row],[Quantity]]-AtlasReport_4_Table_1[[#This Row],[TPP trans backwards (Ending)]]</f>
        <v>300</v>
      </c>
      <c r="J19" s="4">
        <f>_xll.AtlasFormulas.AtlasFunctions.AtlasBalance("PROD",DataAreaId,"T.TPPTrans_sst|InventDimId~inventDimId@T.InventDim","Sum|CostAmount|0","","","","","","","ItemId|TransDate|T2.InventSiteId|T2.InventLocationId",$A19,PeriodBeginning,$B19,$C19)</f>
        <v>0</v>
      </c>
      <c r="K19" s="4">
        <f>_xll.AtlasFormulas.AtlasFunctions.AtlasBalance("PROD",DataAreaId,"T.TPPTrans_sst|InventDimId~inventDimId@T.InventDim","Sum|CostAmount|0","","","","","","","ItemId|TransDate|T2.InventSiteId|T2.InventLocationId",$A19,PeriodEnding,$B19,$C19)</f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trans backwards balance (Ending)]]</f>
        <v>0</v>
      </c>
    </row>
    <row r="20" spans="1:13">
      <c r="A20" s="8" t="s">
        <v>16</v>
      </c>
      <c r="B20" s="8" t="s">
        <v>237</v>
      </c>
      <c r="C20" s="8" t="s">
        <v>238</v>
      </c>
      <c r="D20" s="4">
        <v>120</v>
      </c>
      <c r="E20" s="4">
        <v>0</v>
      </c>
      <c r="F20" s="4">
        <f>_xll.AtlasFormulas.AtlasFunctions.AtlasBalance("PROD",DataAreaId,"T.TPPTrans_sst|InventDimId~inventDimId@T.InventDim","Sum|Qty|0","","","","","","","ItemId|TransDate|T2.InventSiteId|T2.InventLocationId",$A20,PeriodBeginning,$B20,$C20)</f>
        <v>-150</v>
      </c>
      <c r="G20" s="4">
        <f>_xll.AtlasFormulas.AtlasFunctions.AtlasBalance("PROD",DataAreaId,"T.TPPTrans_sst|InventDimId~inventDimId@T.InventDim","Sum|Qty|0","","","","","","","ItemId|TransDate|T2.InventSiteId|T2.InventLocationId",$A20,PeriodEnding,$B20,$C20)</f>
        <v>0</v>
      </c>
      <c r="H20" s="4">
        <f>AtlasReport_4_Table_1[[#This Row],[Quantity]]-AtlasReport_4_Table_1[[#This Row],[TPP trans backwards (Beginning)]]</f>
        <v>270</v>
      </c>
      <c r="I20" s="4">
        <f>AtlasReport_4_Table_1[[#This Row],[Quantity]]-AtlasReport_4_Table_1[[#This Row],[TPP trans backwards (Ending)]]</f>
        <v>120</v>
      </c>
      <c r="J20" s="4">
        <f>_xll.AtlasFormulas.AtlasFunctions.AtlasBalance("PROD",DataAreaId,"T.TPPTrans_sst|InventDimId~inventDimId@T.InventDim","Sum|CostAmount|0","","","","","","","ItemId|TransDate|T2.InventSiteId|T2.InventLocationId",$A20,PeriodBeginning,$B20,$C20)</f>
        <v>0</v>
      </c>
      <c r="K20" s="4">
        <f>_xll.AtlasFormulas.AtlasFunctions.AtlasBalance("PROD",DataAreaId,"T.TPPTrans_sst|InventDimId~inventDimId@T.InventDim","Sum|CostAmount|0","","","","","","","ItemId|TransDate|T2.InventSiteId|T2.InventLocationId",$A20,PeriodEnding,$B20,$C20)</f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trans backwards balance (Ending)]]</f>
        <v>0</v>
      </c>
    </row>
    <row r="21" spans="1:13">
      <c r="A21" s="8" t="s">
        <v>43</v>
      </c>
      <c r="B21" s="8" t="s">
        <v>237</v>
      </c>
      <c r="C21" s="8" t="s">
        <v>238</v>
      </c>
      <c r="D21" s="4">
        <v>150</v>
      </c>
      <c r="E21" s="4">
        <v>0</v>
      </c>
      <c r="F21" s="4">
        <f>_xll.AtlasFormulas.AtlasFunctions.AtlasBalance("PROD",DataAreaId,"T.TPPTrans_sst|InventDimId~inventDimId@T.InventDim","Sum|Qty|0","","","","","","","ItemId|TransDate|T2.InventSiteId|T2.InventLocationId",$A21,PeriodBeginning,$B21,$C21)</f>
        <v>-90</v>
      </c>
      <c r="G21" s="4">
        <f>_xll.AtlasFormulas.AtlasFunctions.AtlasBalance("PROD",DataAreaId,"T.TPPTrans_sst|InventDimId~inventDimId@T.InventDim","Sum|Qty|0","","","","","","","ItemId|TransDate|T2.InventSiteId|T2.InventLocationId",$A21,PeriodEnding,$B21,$C21)</f>
        <v>0</v>
      </c>
      <c r="H21" s="4">
        <f>AtlasReport_4_Table_1[[#This Row],[Quantity]]-AtlasReport_4_Table_1[[#This Row],[TPP trans backwards (Beginning)]]</f>
        <v>240</v>
      </c>
      <c r="I21" s="4">
        <f>AtlasReport_4_Table_1[[#This Row],[Quantity]]-AtlasReport_4_Table_1[[#This Row],[TPP trans backwards (Ending)]]</f>
        <v>150</v>
      </c>
      <c r="J21" s="4">
        <f>_xll.AtlasFormulas.AtlasFunctions.AtlasBalance("PROD",DataAreaId,"T.TPPTrans_sst|InventDimId~inventDimId@T.InventDim","Sum|CostAmount|0","","","","","","","ItemId|TransDate|T2.InventSiteId|T2.InventLocationId",$A21,PeriodBeginning,$B21,$C21)</f>
        <v>0</v>
      </c>
      <c r="K21" s="4">
        <f>_xll.AtlasFormulas.AtlasFunctions.AtlasBalance("PROD",DataAreaId,"T.TPPTrans_sst|InventDimId~inventDimId@T.InventDim","Sum|CostAmount|0","","","","","","","ItemId|TransDate|T2.InventSiteId|T2.InventLocationId",$A21,PeriodEnding,$B21,$C21)</f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trans backwards balance (Ending)]]</f>
        <v>0</v>
      </c>
    </row>
    <row r="22" spans="1:13">
      <c r="A22" s="8" t="s">
        <v>73</v>
      </c>
      <c r="B22" s="8" t="s">
        <v>237</v>
      </c>
      <c r="C22" s="8" t="s">
        <v>238</v>
      </c>
      <c r="D22" s="4">
        <v>30</v>
      </c>
      <c r="E22" s="4">
        <v>0</v>
      </c>
      <c r="F22" s="4">
        <f>_xll.AtlasFormulas.AtlasFunctions.AtlasBalance("PROD",DataAreaId,"T.TPPTrans_sst|InventDimId~inventDimId@T.InventDim","Sum|Qty|0","","","","","","","ItemId|TransDate|T2.InventSiteId|T2.InventLocationId",$A22,PeriodBeginning,$B22,$C22)</f>
        <v>0</v>
      </c>
      <c r="G22" s="4">
        <f>_xll.AtlasFormulas.AtlasFunctions.AtlasBalance("PROD",DataAreaId,"T.TPPTrans_sst|InventDimId~inventDimId@T.InventDim","Sum|Qty|0","","","","","","","ItemId|TransDate|T2.InventSiteId|T2.InventLocationId",$A22,PeriodEnding,$B22,$C22)</f>
        <v>0</v>
      </c>
      <c r="H22" s="4">
        <f>AtlasReport_4_Table_1[[#This Row],[Quantity]]-AtlasReport_4_Table_1[[#This Row],[TPP trans backwards (Beginning)]]</f>
        <v>30</v>
      </c>
      <c r="I22" s="4">
        <f>AtlasReport_4_Table_1[[#This Row],[Quantity]]-AtlasReport_4_Table_1[[#This Row],[TPP trans backwards (Ending)]]</f>
        <v>30</v>
      </c>
      <c r="J22" s="4">
        <f>_xll.AtlasFormulas.AtlasFunctions.AtlasBalance("PROD",DataAreaId,"T.TPPTrans_sst|InventDimId~inventDimId@T.InventDim","Sum|CostAmount|0","","","","","","","ItemId|TransDate|T2.InventSiteId|T2.InventLocationId",$A22,PeriodBeginning,$B22,$C22)</f>
        <v>0</v>
      </c>
      <c r="K22" s="4">
        <f>_xll.AtlasFormulas.AtlasFunctions.AtlasBalance("PROD",DataAreaId,"T.TPPTrans_sst|InventDimId~inventDimId@T.InventDim","Sum|CostAmount|0","","","","","","","ItemId|TransDate|T2.InventSiteId|T2.InventLocationId",$A22,PeriodEnding,$B22,$C22)</f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trans backwards balance (Ending)]]</f>
        <v>0</v>
      </c>
    </row>
    <row r="23" spans="1:13">
      <c r="A23" s="8" t="s">
        <v>251</v>
      </c>
      <c r="B23" s="8" t="s">
        <v>237</v>
      </c>
      <c r="C23" s="8" t="s">
        <v>238</v>
      </c>
      <c r="D23" s="4">
        <v>132.75219999999999</v>
      </c>
      <c r="E23" s="4">
        <v>0</v>
      </c>
      <c r="F23" s="4">
        <f>_xll.AtlasFormulas.AtlasFunctions.AtlasBalance("PROD",DataAreaId,"T.TPPTrans_sst|InventDimId~inventDimId@T.InventDim","Sum|Qty|0","","","","","","","ItemId|TransDate|T2.InventSiteId|T2.InventLocationId",$A23,PeriodBeginning,$B23,$C23)</f>
        <v>-41.197800000000001</v>
      </c>
      <c r="G23" s="4">
        <f>_xll.AtlasFormulas.AtlasFunctions.AtlasBalance("PROD",DataAreaId,"T.TPPTrans_sst|InventDimId~inventDimId@T.InventDim","Sum|Qty|0","","","","","","","ItemId|TransDate|T2.InventSiteId|T2.InventLocationId",$A23,PeriodEnding,$B23,$C23)</f>
        <v>0</v>
      </c>
      <c r="H23" s="4">
        <f>AtlasReport_4_Table_1[[#This Row],[Quantity]]-AtlasReport_4_Table_1[[#This Row],[TPP trans backwards (Beginning)]]</f>
        <v>173.95</v>
      </c>
      <c r="I23" s="4">
        <f>AtlasReport_4_Table_1[[#This Row],[Quantity]]-AtlasReport_4_Table_1[[#This Row],[TPP trans backwards (Ending)]]</f>
        <v>132.75219999999999</v>
      </c>
      <c r="J23" s="4">
        <f>_xll.AtlasFormulas.AtlasFunctions.AtlasBalance("PROD",DataAreaId,"T.TPPTrans_sst|InventDimId~inventDimId@T.InventDim","Sum|CostAmount|0","","","","","","","ItemId|TransDate|T2.InventSiteId|T2.InventLocationId",$A23,PeriodBeginning,$B23,$C23)</f>
        <v>0</v>
      </c>
      <c r="K23" s="4">
        <f>_xll.AtlasFormulas.AtlasFunctions.AtlasBalance("PROD",DataAreaId,"T.TPPTrans_sst|InventDimId~inventDimId@T.InventDim","Sum|CostAmount|0","","","","","","","ItemId|TransDate|T2.InventSiteId|T2.InventLocationId",$A23,PeriodEnding,$B23,$C23)</f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trans backwards balance (Ending)]]</f>
        <v>0</v>
      </c>
    </row>
    <row r="24" spans="1:13">
      <c r="A24" s="8" t="s">
        <v>333</v>
      </c>
      <c r="B24" s="8" t="s">
        <v>237</v>
      </c>
      <c r="C24" s="8" t="s">
        <v>238</v>
      </c>
      <c r="D24" s="4">
        <v>0</v>
      </c>
      <c r="E24" s="4">
        <v>0</v>
      </c>
      <c r="F24" s="4">
        <f>_xll.AtlasFormulas.AtlasFunctions.AtlasBalance("PROD",DataAreaId,"T.TPPTrans_sst|InventDimId~inventDimId@T.InventDim","Sum|Qty|0","","","","","","","ItemId|TransDate|T2.InventSiteId|T2.InventLocationId",$A24,PeriodBeginning,$B24,$C24)</f>
        <v>0</v>
      </c>
      <c r="G24" s="4">
        <f>_xll.AtlasFormulas.AtlasFunctions.AtlasBalance("PROD",DataAreaId,"T.TPPTrans_sst|InventDimId~inventDimId@T.InventDim","Sum|Qty|0","","","","","","","ItemId|TransDate|T2.InventSiteId|T2.InventLocationId",$A24,PeriodEnding,$B24,$C24)</f>
        <v>0</v>
      </c>
      <c r="H24" s="4">
        <f>AtlasReport_4_Table_1[[#This Row],[Quantity]]-AtlasReport_4_Table_1[[#This Row],[TPP trans backwards (Beginning)]]</f>
        <v>0</v>
      </c>
      <c r="I24" s="4">
        <f>AtlasReport_4_Table_1[[#This Row],[Quantity]]-AtlasReport_4_Table_1[[#This Row],[TPP trans backwards (Ending)]]</f>
        <v>0</v>
      </c>
      <c r="J24" s="4">
        <f>_xll.AtlasFormulas.AtlasFunctions.AtlasBalance("PROD",DataAreaId,"T.TPPTrans_sst|InventDimId~inventDimId@T.InventDim","Sum|CostAmount|0","","","","","","","ItemId|TransDate|T2.InventSiteId|T2.InventLocationId",$A24,PeriodBeginning,$B24,$C24)</f>
        <v>0</v>
      </c>
      <c r="K24" s="4">
        <f>_xll.AtlasFormulas.AtlasFunctions.AtlasBalance("PROD",DataAreaId,"T.TPPTrans_sst|InventDimId~inventDimId@T.InventDim","Sum|CostAmount|0","","","","","","","ItemId|TransDate|T2.InventSiteId|T2.InventLocationId",$A24,PeriodEnding,$B24,$C24)</f>
        <v>0</v>
      </c>
      <c r="L24" s="4">
        <f>AtlasReport_4_Table_1[[#This Row],[TPP cost amount]]-AtlasReport_4_Table_1[[#This Row],[TPP trans backwards balance (Beginning)]]</f>
        <v>0</v>
      </c>
      <c r="M24" s="4">
        <f>AtlasReport_4_Table_1[[#This Row],[TPP cost amount]]-AtlasReport_4_Table_1[[#This Row],[TPP trans backwards balance (Ending)]]</f>
        <v>0</v>
      </c>
    </row>
    <row r="25" spans="1:13">
      <c r="A25" s="8" t="s">
        <v>335</v>
      </c>
      <c r="B25" s="8" t="s">
        <v>237</v>
      </c>
      <c r="C25" s="8" t="s">
        <v>238</v>
      </c>
      <c r="D25" s="4">
        <v>0</v>
      </c>
      <c r="E25" s="4">
        <v>0</v>
      </c>
      <c r="F25" s="4">
        <f>_xll.AtlasFormulas.AtlasFunctions.AtlasBalance("PROD",DataAreaId,"T.TPPTrans_sst|InventDimId~inventDimId@T.InventDim","Sum|Qty|0","","","","","","","ItemId|TransDate|T2.InventSiteId|T2.InventLocationId",$A25,PeriodBeginning,$B25,$C25)</f>
        <v>0</v>
      </c>
      <c r="G25" s="4">
        <f>_xll.AtlasFormulas.AtlasFunctions.AtlasBalance("PROD",DataAreaId,"T.TPPTrans_sst|InventDimId~inventDimId@T.InventDim","Sum|Qty|0","","","","","","","ItemId|TransDate|T2.InventSiteId|T2.InventLocationId",$A25,PeriodEnding,$B25,$C25)</f>
        <v>0</v>
      </c>
      <c r="H25" s="4">
        <f>AtlasReport_4_Table_1[[#This Row],[Quantity]]-AtlasReport_4_Table_1[[#This Row],[TPP trans backwards (Beginning)]]</f>
        <v>0</v>
      </c>
      <c r="I25" s="4">
        <f>AtlasReport_4_Table_1[[#This Row],[Quantity]]-AtlasReport_4_Table_1[[#This Row],[TPP trans backwards (Ending)]]</f>
        <v>0</v>
      </c>
      <c r="J25" s="4">
        <f>_xll.AtlasFormulas.AtlasFunctions.AtlasBalance("PROD",DataAreaId,"T.TPPTrans_sst|InventDimId~inventDimId@T.InventDim","Sum|CostAmount|0","","","","","","","ItemId|TransDate|T2.InventSiteId|T2.InventLocationId",$A25,PeriodBeginning,$B25,$C25)</f>
        <v>0</v>
      </c>
      <c r="K25" s="4">
        <f>_xll.AtlasFormulas.AtlasFunctions.AtlasBalance("PROD",DataAreaId,"T.TPPTrans_sst|InventDimId~inventDimId@T.InventDim","Sum|CostAmount|0","","","","","","","ItemId|TransDate|T2.InventSiteId|T2.InventLocationId",$A25,PeriodEnding,$B25,$C25)</f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trans backwards balance (Ending)]]</f>
        <v>0</v>
      </c>
    </row>
    <row r="26" spans="1:13">
      <c r="A26" s="8" t="s">
        <v>337</v>
      </c>
      <c r="B26" s="8" t="s">
        <v>237</v>
      </c>
      <c r="C26" s="8" t="s">
        <v>238</v>
      </c>
      <c r="D26" s="4">
        <v>0</v>
      </c>
      <c r="E26" s="4">
        <v>0</v>
      </c>
      <c r="F26" s="4">
        <f>_xll.AtlasFormulas.AtlasFunctions.AtlasBalance("PROD",DataAreaId,"T.TPPTrans_sst|InventDimId~inventDimId@T.InventDim","Sum|Qty|0","","","","","","","ItemId|TransDate|T2.InventSiteId|T2.InventLocationId",$A26,PeriodBeginning,$B26,$C26)</f>
        <v>0</v>
      </c>
      <c r="G26" s="4">
        <f>_xll.AtlasFormulas.AtlasFunctions.AtlasBalance("PROD",DataAreaId,"T.TPPTrans_sst|InventDimId~inventDimId@T.InventDim","Sum|Qty|0","","","","","","","ItemId|TransDate|T2.InventSiteId|T2.InventLocationId",$A26,PeriodEnding,$B26,$C26)</f>
        <v>0</v>
      </c>
      <c r="H26" s="4">
        <f>AtlasReport_4_Table_1[[#This Row],[Quantity]]-AtlasReport_4_Table_1[[#This Row],[TPP trans backwards (Beginning)]]</f>
        <v>0</v>
      </c>
      <c r="I26" s="4">
        <f>AtlasReport_4_Table_1[[#This Row],[Quantity]]-AtlasReport_4_Table_1[[#This Row],[TPP trans backwards (Ending)]]</f>
        <v>0</v>
      </c>
      <c r="J26" s="4">
        <f>_xll.AtlasFormulas.AtlasFunctions.AtlasBalance("PROD",DataAreaId,"T.TPPTrans_sst|InventDimId~inventDimId@T.InventDim","Sum|CostAmount|0","","","","","","","ItemId|TransDate|T2.InventSiteId|T2.InventLocationId",$A26,PeriodBeginning,$B26,$C26)</f>
        <v>0</v>
      </c>
      <c r="K26" s="4">
        <f>_xll.AtlasFormulas.AtlasFunctions.AtlasBalance("PROD",DataAreaId,"T.TPPTrans_sst|InventDimId~inventDimId@T.InventDim","Sum|CostAmount|0","","","","","","","ItemId|TransDate|T2.InventSiteId|T2.InventLocationId",$A26,PeriodEnding,$B26,$C26)</f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trans backwards balance (Ending)]]</f>
        <v>0</v>
      </c>
    </row>
    <row r="27" spans="1:13">
      <c r="A27" s="8" t="s">
        <v>252</v>
      </c>
      <c r="B27" s="8" t="s">
        <v>237</v>
      </c>
      <c r="C27" s="8" t="s">
        <v>238</v>
      </c>
      <c r="D27" s="4">
        <v>23</v>
      </c>
      <c r="E27" s="4">
        <v>0</v>
      </c>
      <c r="F27" s="4">
        <f>_xll.AtlasFormulas.AtlasFunctions.AtlasBalance("PROD",DataAreaId,"T.TPPTrans_sst|InventDimId~inventDimId@T.InventDim","Sum|Qty|0","","","","","","","ItemId|TransDate|T2.InventSiteId|T2.InventLocationId",$A27,PeriodBeginning,$B27,$C27)</f>
        <v>-1</v>
      </c>
      <c r="G27" s="4">
        <f>_xll.AtlasFormulas.AtlasFunctions.AtlasBalance("PROD",DataAreaId,"T.TPPTrans_sst|InventDimId~inventDimId@T.InventDim","Sum|Qty|0","","","","","","","ItemId|TransDate|T2.InventSiteId|T2.InventLocationId",$A27,PeriodEnding,$B27,$C27)</f>
        <v>0</v>
      </c>
      <c r="H27" s="4">
        <f>AtlasReport_4_Table_1[[#This Row],[Quantity]]-AtlasReport_4_Table_1[[#This Row],[TPP trans backwards (Beginning)]]</f>
        <v>24</v>
      </c>
      <c r="I27" s="4">
        <f>AtlasReport_4_Table_1[[#This Row],[Quantity]]-AtlasReport_4_Table_1[[#This Row],[TPP trans backwards (Ending)]]</f>
        <v>23</v>
      </c>
      <c r="J27" s="4">
        <f>_xll.AtlasFormulas.AtlasFunctions.AtlasBalance("PROD",DataAreaId,"T.TPPTrans_sst|InventDimId~inventDimId@T.InventDim","Sum|CostAmount|0","","","","","","","ItemId|TransDate|T2.InventSiteId|T2.InventLocationId",$A27,PeriodBeginning,$B27,$C27)</f>
        <v>0</v>
      </c>
      <c r="K27" s="4">
        <f>_xll.AtlasFormulas.AtlasFunctions.AtlasBalance("PROD",DataAreaId,"T.TPPTrans_sst|InventDimId~inventDimId@T.InventDim","Sum|CostAmount|0","","","","","","","ItemId|TransDate|T2.InventSiteId|T2.InventLocationId",$A27,PeriodEnding,$B27,$C27)</f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trans backwards balance (Ending)]]</f>
        <v>0</v>
      </c>
    </row>
    <row r="28" spans="1:13">
      <c r="A28" s="8" t="s">
        <v>253</v>
      </c>
      <c r="B28" s="8" t="s">
        <v>237</v>
      </c>
      <c r="C28" s="8" t="s">
        <v>238</v>
      </c>
      <c r="D28" s="4">
        <v>60.7</v>
      </c>
      <c r="E28" s="4">
        <v>0</v>
      </c>
      <c r="F28" s="4">
        <f>_xll.AtlasFormulas.AtlasFunctions.AtlasBalance("PROD",DataAreaId,"T.TPPTrans_sst|InventDimId~inventDimId@T.InventDim","Sum|Qty|0","","","","","","","ItemId|TransDate|T2.InventSiteId|T2.InventLocationId",$A28,PeriodBeginning,$B28,$C28)</f>
        <v>0</v>
      </c>
      <c r="G28" s="4">
        <f>_xll.AtlasFormulas.AtlasFunctions.AtlasBalance("PROD",DataAreaId,"T.TPPTrans_sst|InventDimId~inventDimId@T.InventDim","Sum|Qty|0","","","","","","","ItemId|TransDate|T2.InventSiteId|T2.InventLocationId",$A28,PeriodEnding,$B28,$C28)</f>
        <v>0</v>
      </c>
      <c r="H28" s="4">
        <f>AtlasReport_4_Table_1[[#This Row],[Quantity]]-AtlasReport_4_Table_1[[#This Row],[TPP trans backwards (Beginning)]]</f>
        <v>60.7</v>
      </c>
      <c r="I28" s="4">
        <f>AtlasReport_4_Table_1[[#This Row],[Quantity]]-AtlasReport_4_Table_1[[#This Row],[TPP trans backwards (Ending)]]</f>
        <v>60.7</v>
      </c>
      <c r="J28" s="4">
        <f>_xll.AtlasFormulas.AtlasFunctions.AtlasBalance("PROD",DataAreaId,"T.TPPTrans_sst|InventDimId~inventDimId@T.InventDim","Sum|CostAmount|0","","","","","","","ItemId|TransDate|T2.InventSiteId|T2.InventLocationId",$A28,PeriodBeginning,$B28,$C28)</f>
        <v>0</v>
      </c>
      <c r="K28" s="4">
        <f>_xll.AtlasFormulas.AtlasFunctions.AtlasBalance("PROD",DataAreaId,"T.TPPTrans_sst|InventDimId~inventDimId@T.InventDim","Sum|CostAmount|0","","","","","","","ItemId|TransDate|T2.InventSiteId|T2.InventLocationId",$A28,PeriodEnding,$B28,$C28)</f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trans backwards balance (Ending)]]</f>
        <v>0</v>
      </c>
    </row>
    <row r="29" spans="1:13">
      <c r="A29" s="8" t="s">
        <v>254</v>
      </c>
      <c r="B29" s="8" t="s">
        <v>237</v>
      </c>
      <c r="C29" s="8" t="s">
        <v>238</v>
      </c>
      <c r="D29" s="4">
        <v>19.3</v>
      </c>
      <c r="E29" s="4">
        <v>0</v>
      </c>
      <c r="F29" s="4">
        <f>_xll.AtlasFormulas.AtlasFunctions.AtlasBalance("PROD",DataAreaId,"T.TPPTrans_sst|InventDimId~inventDimId@T.InventDim","Sum|Qty|0","","","","","","","ItemId|TransDate|T2.InventSiteId|T2.InventLocationId",$A29,PeriodBeginning,$B29,$C29)</f>
        <v>-5</v>
      </c>
      <c r="G29" s="4">
        <f>_xll.AtlasFormulas.AtlasFunctions.AtlasBalance("PROD",DataAreaId,"T.TPPTrans_sst|InventDimId~inventDimId@T.InventDim","Sum|Qty|0","","","","","","","ItemId|TransDate|T2.InventSiteId|T2.InventLocationId",$A29,PeriodEnding,$B29,$C29)</f>
        <v>-1.5</v>
      </c>
      <c r="H29" s="4">
        <f>AtlasReport_4_Table_1[[#This Row],[Quantity]]-AtlasReport_4_Table_1[[#This Row],[TPP trans backwards (Beginning)]]</f>
        <v>24.3</v>
      </c>
      <c r="I29" s="4">
        <f>AtlasReport_4_Table_1[[#This Row],[Quantity]]-AtlasReport_4_Table_1[[#This Row],[TPP trans backwards (Ending)]]</f>
        <v>20.8</v>
      </c>
      <c r="J29" s="4">
        <f>_xll.AtlasFormulas.AtlasFunctions.AtlasBalance("PROD",DataAreaId,"T.TPPTrans_sst|InventDimId~inventDimId@T.InventDim","Sum|CostAmount|0","","","","","","","ItemId|TransDate|T2.InventSiteId|T2.InventLocationId",$A29,PeriodBeginning,$B29,$C29)</f>
        <v>0</v>
      </c>
      <c r="K29" s="4">
        <f>_xll.AtlasFormulas.AtlasFunctions.AtlasBalance("PROD",DataAreaId,"T.TPPTrans_sst|InventDimId~inventDimId@T.InventDim","Sum|CostAmount|0","","","","","","","ItemId|TransDate|T2.InventSiteId|T2.InventLocationId",$A29,PeriodEnding,$B29,$C29)</f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trans backwards balance (Ending)]]</f>
        <v>0</v>
      </c>
    </row>
    <row r="30" spans="1:13">
      <c r="A30" s="8" t="s">
        <v>255</v>
      </c>
      <c r="B30" s="8" t="s">
        <v>237</v>
      </c>
      <c r="C30" s="8" t="s">
        <v>238</v>
      </c>
      <c r="D30" s="4">
        <v>2284.31</v>
      </c>
      <c r="E30" s="4">
        <v>0</v>
      </c>
      <c r="F30" s="4">
        <f>_xll.AtlasFormulas.AtlasFunctions.AtlasBalance("PROD",DataAreaId,"T.TPPTrans_sst|InventDimId~inventDimId@T.InventDim","Sum|Qty|0","","","","","","","ItemId|TransDate|T2.InventSiteId|T2.InventLocationId",$A30,PeriodBeginning,$B30,$C30)</f>
        <v>-315.69</v>
      </c>
      <c r="G30" s="4">
        <f>_xll.AtlasFormulas.AtlasFunctions.AtlasBalance("PROD",DataAreaId,"T.TPPTrans_sst|InventDimId~inventDimId@T.InventDim","Sum|Qty|0","","","","","","","ItemId|TransDate|T2.InventSiteId|T2.InventLocationId",$A30,PeriodEnding,$B30,$C30)</f>
        <v>0</v>
      </c>
      <c r="H30" s="4">
        <f>AtlasReport_4_Table_1[[#This Row],[Quantity]]-AtlasReport_4_Table_1[[#This Row],[TPP trans backwards (Beginning)]]</f>
        <v>2600</v>
      </c>
      <c r="I30" s="4">
        <f>AtlasReport_4_Table_1[[#This Row],[Quantity]]-AtlasReport_4_Table_1[[#This Row],[TPP trans backwards (Ending)]]</f>
        <v>2284.31</v>
      </c>
      <c r="J30" s="4">
        <f>_xll.AtlasFormulas.AtlasFunctions.AtlasBalance("PROD",DataAreaId,"T.TPPTrans_sst|InventDimId~inventDimId@T.InventDim","Sum|CostAmount|0","","","","","","","ItemId|TransDate|T2.InventSiteId|T2.InventLocationId",$A30,PeriodBeginning,$B30,$C30)</f>
        <v>0</v>
      </c>
      <c r="K30" s="4">
        <f>_xll.AtlasFormulas.AtlasFunctions.AtlasBalance("PROD",DataAreaId,"T.TPPTrans_sst|InventDimId~inventDimId@T.InventDim","Sum|CostAmount|0","","","","","","","ItemId|TransDate|T2.InventSiteId|T2.InventLocationId",$A30,PeriodEnding,$B30,$C30)</f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trans backwards balance (Ending)]]</f>
        <v>0</v>
      </c>
    </row>
    <row r="31" spans="1:13">
      <c r="A31" s="8" t="s">
        <v>256</v>
      </c>
      <c r="B31" s="8" t="s">
        <v>237</v>
      </c>
      <c r="C31" s="8" t="s">
        <v>249</v>
      </c>
      <c r="D31" s="4">
        <v>3539.0699</v>
      </c>
      <c r="E31" s="4">
        <v>0</v>
      </c>
      <c r="F31" s="4">
        <f>_xll.AtlasFormulas.AtlasFunctions.AtlasBalance("PROD",DataAreaId,"T.TPPTrans_sst|InventDimId~inventDimId@T.InventDim","Sum|Qty|0","","","","","","","ItemId|TransDate|T2.InventSiteId|T2.InventLocationId",$A31,PeriodBeginning,$B31,$C31)</f>
        <v>-19135.930100000001</v>
      </c>
      <c r="G31" s="4">
        <f>_xll.AtlasFormulas.AtlasFunctions.AtlasBalance("PROD",DataAreaId,"T.TPPTrans_sst|InventDimId~inventDimId@T.InventDim","Sum|Qty|0","","","","","","","ItemId|TransDate|T2.InventSiteId|T2.InventLocationId",$A31,PeriodEnding,$B31,$C31)</f>
        <v>-825</v>
      </c>
      <c r="H31" s="4">
        <f>AtlasReport_4_Table_1[[#This Row],[Quantity]]-AtlasReport_4_Table_1[[#This Row],[TPP trans backwards (Beginning)]]</f>
        <v>22675</v>
      </c>
      <c r="I31" s="4">
        <f>AtlasReport_4_Table_1[[#This Row],[Quantity]]-AtlasReport_4_Table_1[[#This Row],[TPP trans backwards (Ending)]]</f>
        <v>4364.0699000000004</v>
      </c>
      <c r="J31" s="4">
        <f>_xll.AtlasFormulas.AtlasFunctions.AtlasBalance("PROD",DataAreaId,"T.TPPTrans_sst|InventDimId~inventDimId@T.InventDim","Sum|CostAmount|0","","","","","","","ItemId|TransDate|T2.InventSiteId|T2.InventLocationId",$A31,PeriodBeginning,$B31,$C31)</f>
        <v>0</v>
      </c>
      <c r="K31" s="4">
        <f>_xll.AtlasFormulas.AtlasFunctions.AtlasBalance("PROD",DataAreaId,"T.TPPTrans_sst|InventDimId~inventDimId@T.InventDim","Sum|CostAmount|0","","","","","","","ItemId|TransDate|T2.InventSiteId|T2.InventLocationId",$A31,PeriodEnding,$B31,$C31)</f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trans backwards balance (Ending)]]</f>
        <v>0</v>
      </c>
    </row>
    <row r="32" spans="1:13">
      <c r="A32" s="8" t="s">
        <v>257</v>
      </c>
      <c r="B32" s="8" t="s">
        <v>237</v>
      </c>
      <c r="C32" s="8" t="s">
        <v>249</v>
      </c>
      <c r="D32" s="4">
        <v>4928.0744999999997</v>
      </c>
      <c r="E32" s="4">
        <v>0</v>
      </c>
      <c r="F32" s="4">
        <f>_xll.AtlasFormulas.AtlasFunctions.AtlasBalance("PROD",DataAreaId,"T.TPPTrans_sst|InventDimId~inventDimId@T.InventDim","Sum|Qty|0","","","","","","","ItemId|TransDate|T2.InventSiteId|T2.InventLocationId",$A32,PeriodBeginning,$B32,$C32)</f>
        <v>-19488.925500000001</v>
      </c>
      <c r="G32" s="4">
        <f>_xll.AtlasFormulas.AtlasFunctions.AtlasBalance("PROD",DataAreaId,"T.TPPTrans_sst|InventDimId~inventDimId@T.InventDim","Sum|Qty|0","","","","","","","ItemId|TransDate|T2.InventSiteId|T2.InventLocationId",$A32,PeriodEnding,$B32,$C32)</f>
        <v>-825</v>
      </c>
      <c r="H32" s="4">
        <f>AtlasReport_4_Table_1[[#This Row],[Quantity]]-AtlasReport_4_Table_1[[#This Row],[TPP trans backwards (Beginning)]]</f>
        <v>24417</v>
      </c>
      <c r="I32" s="4">
        <f>AtlasReport_4_Table_1[[#This Row],[Quantity]]-AtlasReport_4_Table_1[[#This Row],[TPP trans backwards (Ending)]]</f>
        <v>5753.0744999999997</v>
      </c>
      <c r="J32" s="4">
        <f>_xll.AtlasFormulas.AtlasFunctions.AtlasBalance("PROD",DataAreaId,"T.TPPTrans_sst|InventDimId~inventDimId@T.InventDim","Sum|CostAmount|0","","","","","","","ItemId|TransDate|T2.InventSiteId|T2.InventLocationId",$A32,PeriodBeginning,$B32,$C32)</f>
        <v>0</v>
      </c>
      <c r="K32" s="4">
        <f>_xll.AtlasFormulas.AtlasFunctions.AtlasBalance("PROD",DataAreaId,"T.TPPTrans_sst|InventDimId~inventDimId@T.InventDim","Sum|CostAmount|0","","","","","","","ItemId|TransDate|T2.InventSiteId|T2.InventLocationId",$A32,PeriodEnding,$B32,$C32)</f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trans backwards balance (Ending)]]</f>
        <v>0</v>
      </c>
    </row>
    <row r="33" spans="1:13">
      <c r="A33" s="8" t="s">
        <v>258</v>
      </c>
      <c r="B33" s="8" t="s">
        <v>237</v>
      </c>
      <c r="C33" s="8" t="s">
        <v>249</v>
      </c>
      <c r="D33" s="4">
        <v>11811.927099999999</v>
      </c>
      <c r="E33" s="4">
        <v>0</v>
      </c>
      <c r="F33" s="4">
        <f>_xll.AtlasFormulas.AtlasFunctions.AtlasBalance("PROD",DataAreaId,"T.TPPTrans_sst|InventDimId~inventDimId@T.InventDim","Sum|Qty|0","","","","","","","ItemId|TransDate|T2.InventSiteId|T2.InventLocationId",$A33,PeriodBeginning,$B33,$C33)</f>
        <v>-17080.072899999999</v>
      </c>
      <c r="G33" s="4">
        <f>_xll.AtlasFormulas.AtlasFunctions.AtlasBalance("PROD",DataAreaId,"T.TPPTrans_sst|InventDimId~inventDimId@T.InventDim","Sum|Qty|0","","","","","","","ItemId|TransDate|T2.InventSiteId|T2.InventLocationId",$A33,PeriodEnding,$B33,$C33)</f>
        <v>-750</v>
      </c>
      <c r="H33" s="4">
        <f>AtlasReport_4_Table_1[[#This Row],[Quantity]]-AtlasReport_4_Table_1[[#This Row],[TPP trans backwards (Beginning)]]</f>
        <v>28892</v>
      </c>
      <c r="I33" s="4">
        <f>AtlasReport_4_Table_1[[#This Row],[Quantity]]-AtlasReport_4_Table_1[[#This Row],[TPP trans backwards (Ending)]]</f>
        <v>12561.927099999999</v>
      </c>
      <c r="J33" s="4">
        <f>_xll.AtlasFormulas.AtlasFunctions.AtlasBalance("PROD",DataAreaId,"T.TPPTrans_sst|InventDimId~inventDimId@T.InventDim","Sum|CostAmount|0","","","","","","","ItemId|TransDate|T2.InventSiteId|T2.InventLocationId",$A33,PeriodBeginning,$B33,$C33)</f>
        <v>0</v>
      </c>
      <c r="K33" s="4">
        <f>_xll.AtlasFormulas.AtlasFunctions.AtlasBalance("PROD",DataAreaId,"T.TPPTrans_sst|InventDimId~inventDimId@T.InventDim","Sum|CostAmount|0","","","","","","","ItemId|TransDate|T2.InventSiteId|T2.InventLocationId",$A33,PeriodEnding,$B33,$C33)</f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trans backwards balance (Ending)]]</f>
        <v>0</v>
      </c>
    </row>
    <row r="34" spans="1:13">
      <c r="A34" s="8" t="s">
        <v>259</v>
      </c>
      <c r="B34" s="8" t="s">
        <v>237</v>
      </c>
      <c r="C34" s="8" t="s">
        <v>249</v>
      </c>
      <c r="D34" s="4">
        <v>14861.902900000001</v>
      </c>
      <c r="E34" s="4">
        <v>0</v>
      </c>
      <c r="F34" s="4">
        <f>_xll.AtlasFormulas.AtlasFunctions.AtlasBalance("PROD",DataAreaId,"T.TPPTrans_sst|InventDimId~inventDimId@T.InventDim","Sum|Qty|0","","","","","","","ItemId|TransDate|T2.InventSiteId|T2.InventLocationId",$A34,PeriodBeginning,$B34,$C34)</f>
        <v>7454.9029</v>
      </c>
      <c r="G34" s="4">
        <f>_xll.AtlasFormulas.AtlasFunctions.AtlasBalance("PROD",DataAreaId,"T.TPPTrans_sst|InventDimId~inventDimId@T.InventDim","Sum|Qty|0","","","","","","","ItemId|TransDate|T2.InventSiteId|T2.InventLocationId",$A34,PeriodEnding,$B34,$C34)</f>
        <v>-200</v>
      </c>
      <c r="H34" s="4">
        <f>AtlasReport_4_Table_1[[#This Row],[Quantity]]-AtlasReport_4_Table_1[[#This Row],[TPP trans backwards (Beginning)]]</f>
        <v>7407.0000000000009</v>
      </c>
      <c r="I34" s="4">
        <f>AtlasReport_4_Table_1[[#This Row],[Quantity]]-AtlasReport_4_Table_1[[#This Row],[TPP trans backwards (Ending)]]</f>
        <v>15061.902900000001</v>
      </c>
      <c r="J34" s="4">
        <f>_xll.AtlasFormulas.AtlasFunctions.AtlasBalance("PROD",DataAreaId,"T.TPPTrans_sst|InventDimId~inventDimId@T.InventDim","Sum|CostAmount|0","","","","","","","ItemId|TransDate|T2.InventSiteId|T2.InventLocationId",$A34,PeriodBeginning,$B34,$C34)</f>
        <v>0</v>
      </c>
      <c r="K34" s="4">
        <f>_xll.AtlasFormulas.AtlasFunctions.AtlasBalance("PROD",DataAreaId,"T.TPPTrans_sst|InventDimId~inventDimId@T.InventDim","Sum|CostAmount|0","","","","","","","ItemId|TransDate|T2.InventSiteId|T2.InventLocationId",$A34,PeriodEnding,$B34,$C34)</f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trans backwards balance (Ending)]]</f>
        <v>0</v>
      </c>
    </row>
    <row r="35" spans="1:13">
      <c r="A35" s="8" t="s">
        <v>259</v>
      </c>
      <c r="B35" s="8" t="s">
        <v>237</v>
      </c>
      <c r="C35" s="8" t="s">
        <v>238</v>
      </c>
      <c r="D35" s="4">
        <v>0</v>
      </c>
      <c r="E35" s="4">
        <v>0</v>
      </c>
      <c r="F35" s="4">
        <f>_xll.AtlasFormulas.AtlasFunctions.AtlasBalance("PROD",DataAreaId,"T.TPPTrans_sst|InventDimId~inventDimId@T.InventDim","Sum|Qty|0","","","","","","","ItemId|TransDate|T2.InventSiteId|T2.InventLocationId",$A35,PeriodBeginning,$B35,$C35)</f>
        <v>0</v>
      </c>
      <c r="G35" s="4">
        <f>_xll.AtlasFormulas.AtlasFunctions.AtlasBalance("PROD",DataAreaId,"T.TPPTrans_sst|InventDimId~inventDimId@T.InventDim","Sum|Qty|0","","","","","","","ItemId|TransDate|T2.InventSiteId|T2.InventLocationId",$A35,PeriodEnding,$B35,$C35)</f>
        <v>0</v>
      </c>
      <c r="H35" s="4">
        <f>AtlasReport_4_Table_1[[#This Row],[Quantity]]-AtlasReport_4_Table_1[[#This Row],[TPP trans backwards (Beginning)]]</f>
        <v>0</v>
      </c>
      <c r="I35" s="4">
        <f>AtlasReport_4_Table_1[[#This Row],[Quantity]]-AtlasReport_4_Table_1[[#This Row],[TPP trans backwards (Ending)]]</f>
        <v>0</v>
      </c>
      <c r="J35" s="4">
        <f>_xll.AtlasFormulas.AtlasFunctions.AtlasBalance("PROD",DataAreaId,"T.TPPTrans_sst|InventDimId~inventDimId@T.InventDim","Sum|CostAmount|0","","","","","","","ItemId|TransDate|T2.InventSiteId|T2.InventLocationId",$A35,PeriodBeginning,$B35,$C35)</f>
        <v>0</v>
      </c>
      <c r="K35" s="4">
        <f>_xll.AtlasFormulas.AtlasFunctions.AtlasBalance("PROD",DataAreaId,"T.TPPTrans_sst|InventDimId~inventDimId@T.InventDim","Sum|CostAmount|0","","","","","","","ItemId|TransDate|T2.InventSiteId|T2.InventLocationId",$A35,PeriodEnding,$B35,$C35)</f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trans backwards balance (Ending)]]</f>
        <v>0</v>
      </c>
    </row>
    <row r="36" spans="1:13">
      <c r="A36" s="8" t="s">
        <v>260</v>
      </c>
      <c r="B36" s="8" t="s">
        <v>237</v>
      </c>
      <c r="C36" s="8" t="s">
        <v>238</v>
      </c>
      <c r="D36" s="4">
        <v>2200</v>
      </c>
      <c r="E36" s="4">
        <v>0</v>
      </c>
      <c r="F36" s="4">
        <f>_xll.AtlasFormulas.AtlasFunctions.AtlasBalance("PROD",DataAreaId,"T.TPPTrans_sst|InventDimId~inventDimId@T.InventDim","Sum|Qty|0","","","","","","","ItemId|TransDate|T2.InventSiteId|T2.InventLocationId",$A36,PeriodBeginning,$B36,$C36)</f>
        <v>0</v>
      </c>
      <c r="G36" s="4">
        <f>_xll.AtlasFormulas.AtlasFunctions.AtlasBalance("PROD",DataAreaId,"T.TPPTrans_sst|InventDimId~inventDimId@T.InventDim","Sum|Qty|0","","","","","","","ItemId|TransDate|T2.InventSiteId|T2.InventLocationId",$A36,PeriodEnding,$B36,$C36)</f>
        <v>0</v>
      </c>
      <c r="H36" s="4">
        <f>AtlasReport_4_Table_1[[#This Row],[Quantity]]-AtlasReport_4_Table_1[[#This Row],[TPP trans backwards (Beginning)]]</f>
        <v>2200</v>
      </c>
      <c r="I36" s="4">
        <f>AtlasReport_4_Table_1[[#This Row],[Quantity]]-AtlasReport_4_Table_1[[#This Row],[TPP trans backwards (Ending)]]</f>
        <v>2200</v>
      </c>
      <c r="J36" s="4">
        <f>_xll.AtlasFormulas.AtlasFunctions.AtlasBalance("PROD",DataAreaId,"T.TPPTrans_sst|InventDimId~inventDimId@T.InventDim","Sum|CostAmount|0","","","","","","","ItemId|TransDate|T2.InventSiteId|T2.InventLocationId",$A36,PeriodBeginning,$B36,$C36)</f>
        <v>0</v>
      </c>
      <c r="K36" s="4">
        <f>_xll.AtlasFormulas.AtlasFunctions.AtlasBalance("PROD",DataAreaId,"T.TPPTrans_sst|InventDimId~inventDimId@T.InventDim","Sum|CostAmount|0","","","","","","","ItemId|TransDate|T2.InventSiteId|T2.InventLocationId",$A36,PeriodEnding,$B36,$C36)</f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trans backwards balance (Ending)]]</f>
        <v>0</v>
      </c>
    </row>
    <row r="37" spans="1:13">
      <c r="A37" s="8" t="s">
        <v>599</v>
      </c>
      <c r="B37" s="8" t="s">
        <v>237</v>
      </c>
      <c r="C37" s="8" t="s">
        <v>238</v>
      </c>
      <c r="D37" s="4">
        <v>-50</v>
      </c>
      <c r="E37" s="4">
        <v>0</v>
      </c>
      <c r="F37" s="4">
        <f>_xll.AtlasFormulas.AtlasFunctions.AtlasBalance("PROD",DataAreaId,"T.TPPTrans_sst|InventDimId~inventDimId@T.InventDim","Sum|Qty|0","","","","","","","ItemId|TransDate|T2.InventSiteId|T2.InventLocationId",$A37,PeriodBeginning,$B37,$C37)</f>
        <v>-50</v>
      </c>
      <c r="G37" s="4">
        <f>_xll.AtlasFormulas.AtlasFunctions.AtlasBalance("PROD",DataAreaId,"T.TPPTrans_sst|InventDimId~inventDimId@T.InventDim","Sum|Qty|0","","","","","","","ItemId|TransDate|T2.InventSiteId|T2.InventLocationId",$A37,PeriodEnding,$B37,$C37)</f>
        <v>0</v>
      </c>
      <c r="H37" s="4">
        <f>AtlasReport_4_Table_1[[#This Row],[Quantity]]-AtlasReport_4_Table_1[[#This Row],[TPP trans backwards (Beginning)]]</f>
        <v>0</v>
      </c>
      <c r="I37" s="4">
        <f>AtlasReport_4_Table_1[[#This Row],[Quantity]]-AtlasReport_4_Table_1[[#This Row],[TPP trans backwards (Ending)]]</f>
        <v>-50</v>
      </c>
      <c r="J37" s="4">
        <f>_xll.AtlasFormulas.AtlasFunctions.AtlasBalance("PROD",DataAreaId,"T.TPPTrans_sst|InventDimId~inventDimId@T.InventDim","Sum|CostAmount|0","","","","","","","ItemId|TransDate|T2.InventSiteId|T2.InventLocationId",$A37,PeriodBeginning,$B37,$C37)</f>
        <v>0</v>
      </c>
      <c r="K37" s="4">
        <f>_xll.AtlasFormulas.AtlasFunctions.AtlasBalance("PROD",DataAreaId,"T.TPPTrans_sst|InventDimId~inventDimId@T.InventDim","Sum|CostAmount|0","","","","","","","ItemId|TransDate|T2.InventSiteId|T2.InventLocationId",$A37,PeriodEnding,$B37,$C37)</f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trans backwards balance (Ending)]]</f>
        <v>0</v>
      </c>
    </row>
    <row r="38" spans="1:13">
      <c r="A38" s="8" t="s">
        <v>261</v>
      </c>
      <c r="B38" s="8" t="s">
        <v>237</v>
      </c>
      <c r="C38" s="8" t="s">
        <v>238</v>
      </c>
      <c r="D38" s="4">
        <v>928.70339999999999</v>
      </c>
      <c r="E38" s="4">
        <v>0</v>
      </c>
      <c r="F38" s="4">
        <f>_xll.AtlasFormulas.AtlasFunctions.AtlasBalance("PROD",DataAreaId,"T.TPPTrans_sst|InventDimId~inventDimId@T.InventDim","Sum|Qty|0","","","","","","","ItemId|TransDate|T2.InventSiteId|T2.InventLocationId",$A38,PeriodBeginning,$B38,$C38)</f>
        <v>-67.446600000000004</v>
      </c>
      <c r="G38" s="4">
        <f>_xll.AtlasFormulas.AtlasFunctions.AtlasBalance("PROD",DataAreaId,"T.TPPTrans_sst|InventDimId~inventDimId@T.InventDim","Sum|Qty|0","","","","","","","ItemId|TransDate|T2.InventSiteId|T2.InventLocationId",$A38,PeriodEnding,$B38,$C38)</f>
        <v>0</v>
      </c>
      <c r="H38" s="4">
        <f>AtlasReport_4_Table_1[[#This Row],[Quantity]]-AtlasReport_4_Table_1[[#This Row],[TPP trans backwards (Beginning)]]</f>
        <v>996.15</v>
      </c>
      <c r="I38" s="4">
        <f>AtlasReport_4_Table_1[[#This Row],[Quantity]]-AtlasReport_4_Table_1[[#This Row],[TPP trans backwards (Ending)]]</f>
        <v>928.70339999999999</v>
      </c>
      <c r="J38" s="4">
        <f>_xll.AtlasFormulas.AtlasFunctions.AtlasBalance("PROD",DataAreaId,"T.TPPTrans_sst|InventDimId~inventDimId@T.InventDim","Sum|CostAmount|0","","","","","","","ItemId|TransDate|T2.InventSiteId|T2.InventLocationId",$A38,PeriodBeginning,$B38,$C38)</f>
        <v>0</v>
      </c>
      <c r="K38" s="4">
        <f>_xll.AtlasFormulas.AtlasFunctions.AtlasBalance("PROD",DataAreaId,"T.TPPTrans_sst|InventDimId~inventDimId@T.InventDim","Sum|CostAmount|0","","","","","","","ItemId|TransDate|T2.InventSiteId|T2.InventLocationId",$A38,PeriodEnding,$B38,$C38)</f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trans backwards balance (Ending)]]</f>
        <v>0</v>
      </c>
    </row>
    <row r="39" spans="1:13">
      <c r="A39" s="8" t="s">
        <v>262</v>
      </c>
      <c r="B39" s="8" t="s">
        <v>237</v>
      </c>
      <c r="C39" s="8" t="s">
        <v>238</v>
      </c>
      <c r="D39" s="4">
        <v>25.434299999999997</v>
      </c>
      <c r="E39" s="4">
        <v>0</v>
      </c>
      <c r="F39" s="4">
        <f>_xll.AtlasFormulas.AtlasFunctions.AtlasBalance("PROD",DataAreaId,"T.TPPTrans_sst|InventDimId~inventDimId@T.InventDim","Sum|Qty|0","","","","","","","ItemId|TransDate|T2.InventSiteId|T2.InventLocationId",$A39,PeriodBeginning,$B39,$C39)</f>
        <v>-2.3656999999999999</v>
      </c>
      <c r="G39" s="4">
        <f>_xll.AtlasFormulas.AtlasFunctions.AtlasBalance("PROD",DataAreaId,"T.TPPTrans_sst|InventDimId~inventDimId@T.InventDim","Sum|Qty|0","","","","","","","ItemId|TransDate|T2.InventSiteId|T2.InventLocationId",$A39,PeriodEnding,$B39,$C39)</f>
        <v>0</v>
      </c>
      <c r="H39" s="4">
        <f>AtlasReport_4_Table_1[[#This Row],[Quantity]]-AtlasReport_4_Table_1[[#This Row],[TPP trans backwards (Beginning)]]</f>
        <v>27.799999999999997</v>
      </c>
      <c r="I39" s="4">
        <f>AtlasReport_4_Table_1[[#This Row],[Quantity]]-AtlasReport_4_Table_1[[#This Row],[TPP trans backwards (Ending)]]</f>
        <v>25.434299999999997</v>
      </c>
      <c r="J39" s="4">
        <f>_xll.AtlasFormulas.AtlasFunctions.AtlasBalance("PROD",DataAreaId,"T.TPPTrans_sst|InventDimId~inventDimId@T.InventDim","Sum|CostAmount|0","","","","","","","ItemId|TransDate|T2.InventSiteId|T2.InventLocationId",$A39,PeriodBeginning,$B39,$C39)</f>
        <v>0</v>
      </c>
      <c r="K39" s="4">
        <f>_xll.AtlasFormulas.AtlasFunctions.AtlasBalance("PROD",DataAreaId,"T.TPPTrans_sst|InventDimId~inventDimId@T.InventDim","Sum|CostAmount|0","","","","","","","ItemId|TransDate|T2.InventSiteId|T2.InventLocationId",$A39,PeriodEnding,$B39,$C39)</f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trans backwards balance (Ending)]]</f>
        <v>0</v>
      </c>
    </row>
    <row r="40" spans="1:13">
      <c r="A40" s="8" t="s">
        <v>212</v>
      </c>
      <c r="B40" s="8" t="s">
        <v>237</v>
      </c>
      <c r="C40" s="8" t="s">
        <v>238</v>
      </c>
      <c r="D40" s="4">
        <v>-71</v>
      </c>
      <c r="E40" s="4">
        <v>0</v>
      </c>
      <c r="F40" s="4">
        <f>_xll.AtlasFormulas.AtlasFunctions.AtlasBalance("PROD",DataAreaId,"T.TPPTrans_sst|InventDimId~inventDimId@T.InventDim","Sum|Qty|0","","","","","","","ItemId|TransDate|T2.InventSiteId|T2.InventLocationId",$A40,PeriodBeginning,$B40,$C40)</f>
        <v>-71</v>
      </c>
      <c r="G40" s="4">
        <f>_xll.AtlasFormulas.AtlasFunctions.AtlasBalance("PROD",DataAreaId,"T.TPPTrans_sst|InventDimId~inventDimId@T.InventDim","Sum|Qty|0","","","","","","","ItemId|TransDate|T2.InventSiteId|T2.InventLocationId",$A40,PeriodEnding,$B40,$C40)</f>
        <v>0</v>
      </c>
      <c r="H40" s="4">
        <f>AtlasReport_4_Table_1[[#This Row],[Quantity]]-AtlasReport_4_Table_1[[#This Row],[TPP trans backwards (Beginning)]]</f>
        <v>0</v>
      </c>
      <c r="I40" s="4">
        <f>AtlasReport_4_Table_1[[#This Row],[Quantity]]-AtlasReport_4_Table_1[[#This Row],[TPP trans backwards (Ending)]]</f>
        <v>-71</v>
      </c>
      <c r="J40" s="4">
        <f>_xll.AtlasFormulas.AtlasFunctions.AtlasBalance("PROD",DataAreaId,"T.TPPTrans_sst|InventDimId~inventDimId@T.InventDim","Sum|CostAmount|0","","","","","","","ItemId|TransDate|T2.InventSiteId|T2.InventLocationId",$A40,PeriodBeginning,$B40,$C40)</f>
        <v>0</v>
      </c>
      <c r="K40" s="4">
        <f>_xll.AtlasFormulas.AtlasFunctions.AtlasBalance("PROD",DataAreaId,"T.TPPTrans_sst|InventDimId~inventDimId@T.InventDim","Sum|CostAmount|0","","","","","","","ItemId|TransDate|T2.InventSiteId|T2.InventLocationId",$A40,PeriodEnding,$B40,$C40)</f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trans backwards balance (Ending)]]</f>
        <v>0</v>
      </c>
    </row>
    <row r="41" spans="1:13">
      <c r="A41" s="8" t="s">
        <v>518</v>
      </c>
      <c r="B41" s="8" t="s">
        <v>237</v>
      </c>
      <c r="C41" s="8" t="s">
        <v>238</v>
      </c>
      <c r="D41" s="4">
        <v>-50</v>
      </c>
      <c r="E41" s="4">
        <v>0</v>
      </c>
      <c r="F41" s="4">
        <f>_xll.AtlasFormulas.AtlasFunctions.AtlasBalance("PROD",DataAreaId,"T.TPPTrans_sst|InventDimId~inventDimId@T.InventDim","Sum|Qty|0","","","","","","","ItemId|TransDate|T2.InventSiteId|T2.InventLocationId",$A41,PeriodBeginning,$B41,$C41)</f>
        <v>-50</v>
      </c>
      <c r="G41" s="4">
        <f>_xll.AtlasFormulas.AtlasFunctions.AtlasBalance("PROD",DataAreaId,"T.TPPTrans_sst|InventDimId~inventDimId@T.InventDim","Sum|Qty|0","","","","","","","ItemId|TransDate|T2.InventSiteId|T2.InventLocationId",$A41,PeriodEnding,$B41,$C41)</f>
        <v>0</v>
      </c>
      <c r="H41" s="4">
        <f>AtlasReport_4_Table_1[[#This Row],[Quantity]]-AtlasReport_4_Table_1[[#This Row],[TPP trans backwards (Beginning)]]</f>
        <v>0</v>
      </c>
      <c r="I41" s="4">
        <f>AtlasReport_4_Table_1[[#This Row],[Quantity]]-AtlasReport_4_Table_1[[#This Row],[TPP trans backwards (Ending)]]</f>
        <v>-50</v>
      </c>
      <c r="J41" s="4">
        <f>_xll.AtlasFormulas.AtlasFunctions.AtlasBalance("PROD",DataAreaId,"T.TPPTrans_sst|InventDimId~inventDimId@T.InventDim","Sum|CostAmount|0","","","","","","","ItemId|TransDate|T2.InventSiteId|T2.InventLocationId",$A41,PeriodBeginning,$B41,$C41)</f>
        <v>0</v>
      </c>
      <c r="K41" s="4">
        <f>_xll.AtlasFormulas.AtlasFunctions.AtlasBalance("PROD",DataAreaId,"T.TPPTrans_sst|InventDimId~inventDimId@T.InventDim","Sum|CostAmount|0","","","","","","","ItemId|TransDate|T2.InventSiteId|T2.InventLocationId",$A41,PeriodEnding,$B41,$C41)</f>
        <v>0</v>
      </c>
      <c r="L41" s="4">
        <f>AtlasReport_4_Table_1[[#This Row],[TPP cost amount]]-AtlasReport_4_Table_1[[#This Row],[TPP trans backwards balance (Beginning)]]</f>
        <v>0</v>
      </c>
      <c r="M41" s="4">
        <f>AtlasReport_4_Table_1[[#This Row],[TPP cost amount]]-AtlasReport_4_Table_1[[#This Row],[TPP trans backwards balance (Ending)]]</f>
        <v>0</v>
      </c>
    </row>
    <row r="42" spans="1:13">
      <c r="A42" s="8" t="s">
        <v>263</v>
      </c>
      <c r="B42" s="8" t="s">
        <v>237</v>
      </c>
      <c r="C42" s="8" t="s">
        <v>238</v>
      </c>
      <c r="D42" s="4">
        <v>36</v>
      </c>
      <c r="E42" s="4">
        <v>0</v>
      </c>
      <c r="F42" s="4">
        <f>_xll.AtlasFormulas.AtlasFunctions.AtlasBalance("PROD",DataAreaId,"T.TPPTrans_sst|InventDimId~inventDimId@T.InventDim","Sum|Qty|0","","","","","","","ItemId|TransDate|T2.InventSiteId|T2.InventLocationId",$A42,PeriodBeginning,$B42,$C42)</f>
        <v>36</v>
      </c>
      <c r="G42" s="4">
        <f>_xll.AtlasFormulas.AtlasFunctions.AtlasBalance("PROD",DataAreaId,"T.TPPTrans_sst|InventDimId~inventDimId@T.InventDim","Sum|Qty|0","","","","","","","ItemId|TransDate|T2.InventSiteId|T2.InventLocationId",$A42,PeriodEnding,$B42,$C42)</f>
        <v>0</v>
      </c>
      <c r="H42" s="4">
        <f>AtlasReport_4_Table_1[[#This Row],[Quantity]]-AtlasReport_4_Table_1[[#This Row],[TPP trans backwards (Beginning)]]</f>
        <v>0</v>
      </c>
      <c r="I42" s="4">
        <f>AtlasReport_4_Table_1[[#This Row],[Quantity]]-AtlasReport_4_Table_1[[#This Row],[TPP trans backwards (Ending)]]</f>
        <v>36</v>
      </c>
      <c r="J42" s="4">
        <f>_xll.AtlasFormulas.AtlasFunctions.AtlasBalance("PROD",DataAreaId,"T.TPPTrans_sst|InventDimId~inventDimId@T.InventDim","Sum|CostAmount|0","","","","","","","ItemId|TransDate|T2.InventSiteId|T2.InventLocationId",$A42,PeriodBeginning,$B42,$C42)</f>
        <v>0</v>
      </c>
      <c r="K42" s="4">
        <f>_xll.AtlasFormulas.AtlasFunctions.AtlasBalance("PROD",DataAreaId,"T.TPPTrans_sst|InventDimId~inventDimId@T.InventDim","Sum|CostAmount|0","","","","","","","ItemId|TransDate|T2.InventSiteId|T2.InventLocationId",$A42,PeriodEnding,$B42,$C42)</f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trans backwards balance (Ending)]]</f>
        <v>0</v>
      </c>
    </row>
    <row r="43" spans="1:13">
      <c r="A43" s="8" t="s">
        <v>358</v>
      </c>
      <c r="B43" s="8" t="s">
        <v>237</v>
      </c>
      <c r="C43" s="8" t="s">
        <v>238</v>
      </c>
      <c r="D43" s="4">
        <v>0</v>
      </c>
      <c r="E43" s="4">
        <v>0</v>
      </c>
      <c r="F43" s="4">
        <f>_xll.AtlasFormulas.AtlasFunctions.AtlasBalance("PROD",DataAreaId,"T.TPPTrans_sst|InventDimId~inventDimId@T.InventDim","Sum|Qty|0","","","","","","","ItemId|TransDate|T2.InventSiteId|T2.InventLocationId",$A43,PeriodBeginning,$B43,$C43)</f>
        <v>0</v>
      </c>
      <c r="G43" s="4">
        <f>_xll.AtlasFormulas.AtlasFunctions.AtlasBalance("PROD",DataAreaId,"T.TPPTrans_sst|InventDimId~inventDimId@T.InventDim","Sum|Qty|0","","","","","","","ItemId|TransDate|T2.InventSiteId|T2.InventLocationId",$A43,PeriodEnding,$B43,$C43)</f>
        <v>0</v>
      </c>
      <c r="H43" s="4">
        <f>AtlasReport_4_Table_1[[#This Row],[Quantity]]-AtlasReport_4_Table_1[[#This Row],[TPP trans backwards (Beginning)]]</f>
        <v>0</v>
      </c>
      <c r="I43" s="4">
        <f>AtlasReport_4_Table_1[[#This Row],[Quantity]]-AtlasReport_4_Table_1[[#This Row],[TPP trans backwards (Ending)]]</f>
        <v>0</v>
      </c>
      <c r="J43" s="4">
        <f>_xll.AtlasFormulas.AtlasFunctions.AtlasBalance("PROD",DataAreaId,"T.TPPTrans_sst|InventDimId~inventDimId@T.InventDim","Sum|CostAmount|0","","","","","","","ItemId|TransDate|T2.InventSiteId|T2.InventLocationId",$A43,PeriodBeginning,$B43,$C43)</f>
        <v>0</v>
      </c>
      <c r="K43" s="4">
        <f>_xll.AtlasFormulas.AtlasFunctions.AtlasBalance("PROD",DataAreaId,"T.TPPTrans_sst|InventDimId~inventDimId@T.InventDim","Sum|CostAmount|0","","","","","","","ItemId|TransDate|T2.InventSiteId|T2.InventLocationId",$A43,PeriodEnding,$B43,$C43)</f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trans backwards balance (Ending)]]</f>
        <v>0</v>
      </c>
    </row>
    <row r="44" spans="1:13">
      <c r="A44" s="8" t="s">
        <v>1040</v>
      </c>
      <c r="B44" s="8" t="s">
        <v>237</v>
      </c>
      <c r="C44" s="8" t="s">
        <v>238</v>
      </c>
      <c r="D44" s="4">
        <v>-48</v>
      </c>
      <c r="E44" s="4">
        <v>0</v>
      </c>
      <c r="F44" s="4">
        <f>_xll.AtlasFormulas.AtlasFunctions.AtlasBalance("PROD",DataAreaId,"T.TPPTrans_sst|InventDimId~inventDimId@T.InventDim","Sum|Qty|0","","","","","","","ItemId|TransDate|T2.InventSiteId|T2.InventLocationId",$A44,PeriodBeginning,$B44,$C44)</f>
        <v>-48</v>
      </c>
      <c r="G44" s="4">
        <f>_xll.AtlasFormulas.AtlasFunctions.AtlasBalance("PROD",DataAreaId,"T.TPPTrans_sst|InventDimId~inventDimId@T.InventDim","Sum|Qty|0","","","","","","","ItemId|TransDate|T2.InventSiteId|T2.InventLocationId",$A44,PeriodEnding,$B44,$C44)</f>
        <v>0</v>
      </c>
      <c r="H44" s="4">
        <f>AtlasReport_4_Table_1[[#This Row],[Quantity]]-AtlasReport_4_Table_1[[#This Row],[TPP trans backwards (Beginning)]]</f>
        <v>0</v>
      </c>
      <c r="I44" s="4">
        <f>AtlasReport_4_Table_1[[#This Row],[Quantity]]-AtlasReport_4_Table_1[[#This Row],[TPP trans backwards (Ending)]]</f>
        <v>-48</v>
      </c>
      <c r="J44" s="4">
        <f>_xll.AtlasFormulas.AtlasFunctions.AtlasBalance("PROD",DataAreaId,"T.TPPTrans_sst|InventDimId~inventDimId@T.InventDim","Sum|CostAmount|0","","","","","","","ItemId|TransDate|T2.InventSiteId|T2.InventLocationId",$A44,PeriodBeginning,$B44,$C44)</f>
        <v>0</v>
      </c>
      <c r="K44" s="4">
        <f>_xll.AtlasFormulas.AtlasFunctions.AtlasBalance("PROD",DataAreaId,"T.TPPTrans_sst|InventDimId~inventDimId@T.InventDim","Sum|CostAmount|0","","","","","","","ItemId|TransDate|T2.InventSiteId|T2.InventLocationId",$A44,PeriodEnding,$B44,$C44)</f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trans backwards balance (Ending)]]</f>
        <v>0</v>
      </c>
    </row>
    <row r="45" spans="1:13">
      <c r="A45" s="8" t="s">
        <v>64</v>
      </c>
      <c r="B45" s="8" t="s">
        <v>237</v>
      </c>
      <c r="C45" s="8" t="s">
        <v>238</v>
      </c>
      <c r="D45" s="4">
        <v>292.39999999999998</v>
      </c>
      <c r="E45" s="4">
        <v>0</v>
      </c>
      <c r="F45" s="4">
        <f>_xll.AtlasFormulas.AtlasFunctions.AtlasBalance("PROD",DataAreaId,"T.TPPTrans_sst|InventDimId~inventDimId@T.InventDim","Sum|Qty|0","","","","","","","ItemId|TransDate|T2.InventSiteId|T2.InventLocationId",$A45,PeriodBeginning,$B45,$C45)</f>
        <v>180.4</v>
      </c>
      <c r="G45" s="4">
        <f>_xll.AtlasFormulas.AtlasFunctions.AtlasBalance("PROD",DataAreaId,"T.TPPTrans_sst|InventDimId~inventDimId@T.InventDim","Sum|Qty|0","","","","","","","ItemId|TransDate|T2.InventSiteId|T2.InventLocationId",$A45,PeriodEnding,$B45,$C45)</f>
        <v>0</v>
      </c>
      <c r="H45" s="4">
        <f>AtlasReport_4_Table_1[[#This Row],[Quantity]]-AtlasReport_4_Table_1[[#This Row],[TPP trans backwards (Beginning)]]</f>
        <v>111.99999999999997</v>
      </c>
      <c r="I45" s="4">
        <f>AtlasReport_4_Table_1[[#This Row],[Quantity]]-AtlasReport_4_Table_1[[#This Row],[TPP trans backwards (Ending)]]</f>
        <v>292.39999999999998</v>
      </c>
      <c r="J45" s="4">
        <f>_xll.AtlasFormulas.AtlasFunctions.AtlasBalance("PROD",DataAreaId,"T.TPPTrans_sst|InventDimId~inventDimId@T.InventDim","Sum|CostAmount|0","","","","","","","ItemId|TransDate|T2.InventSiteId|T2.InventLocationId",$A45,PeriodBeginning,$B45,$C45)</f>
        <v>0</v>
      </c>
      <c r="K45" s="4">
        <f>_xll.AtlasFormulas.AtlasFunctions.AtlasBalance("PROD",DataAreaId,"T.TPPTrans_sst|InventDimId~inventDimId@T.InventDim","Sum|CostAmount|0","","","","","","","ItemId|TransDate|T2.InventSiteId|T2.InventLocationId",$A45,PeriodEnding,$B45,$C45)</f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trans backwards balance (Ending)]]</f>
        <v>0</v>
      </c>
    </row>
    <row r="46" spans="1:13">
      <c r="A46" s="8" t="s">
        <v>39</v>
      </c>
      <c r="B46" s="8" t="s">
        <v>237</v>
      </c>
      <c r="C46" s="8" t="s">
        <v>238</v>
      </c>
      <c r="D46" s="4">
        <v>150</v>
      </c>
      <c r="E46" s="4">
        <v>0</v>
      </c>
      <c r="F46" s="4">
        <f>_xll.AtlasFormulas.AtlasFunctions.AtlasBalance("PROD",DataAreaId,"T.TPPTrans_sst|InventDimId~inventDimId@T.InventDim","Sum|Qty|0","","","","","","","ItemId|TransDate|T2.InventSiteId|T2.InventLocationId",$A46,PeriodBeginning,$B46,$C46)</f>
        <v>0</v>
      </c>
      <c r="G46" s="4">
        <f>_xll.AtlasFormulas.AtlasFunctions.AtlasBalance("PROD",DataAreaId,"T.TPPTrans_sst|InventDimId~inventDimId@T.InventDim","Sum|Qty|0","","","","","","","ItemId|TransDate|T2.InventSiteId|T2.InventLocationId",$A46,PeriodEnding,$B46,$C46)</f>
        <v>0</v>
      </c>
      <c r="H46" s="4">
        <f>AtlasReport_4_Table_1[[#This Row],[Quantity]]-AtlasReport_4_Table_1[[#This Row],[TPP trans backwards (Beginning)]]</f>
        <v>150</v>
      </c>
      <c r="I46" s="4">
        <f>AtlasReport_4_Table_1[[#This Row],[Quantity]]-AtlasReport_4_Table_1[[#This Row],[TPP trans backwards (Ending)]]</f>
        <v>150</v>
      </c>
      <c r="J46" s="4">
        <f>_xll.AtlasFormulas.AtlasFunctions.AtlasBalance("PROD",DataAreaId,"T.TPPTrans_sst|InventDimId~inventDimId@T.InventDim","Sum|CostAmount|0","","","","","","","ItemId|TransDate|T2.InventSiteId|T2.InventLocationId",$A46,PeriodBeginning,$B46,$C46)</f>
        <v>0</v>
      </c>
      <c r="K46" s="4">
        <f>_xll.AtlasFormulas.AtlasFunctions.AtlasBalance("PROD",DataAreaId,"T.TPPTrans_sst|InventDimId~inventDimId@T.InventDim","Sum|CostAmount|0","","","","","","","ItemId|TransDate|T2.InventSiteId|T2.InventLocationId",$A46,PeriodEnding,$B46,$C46)</f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trans backwards balance (Ending)]]</f>
        <v>0</v>
      </c>
    </row>
    <row r="47" spans="1:13">
      <c r="A47" s="8" t="s">
        <v>58</v>
      </c>
      <c r="B47" s="8" t="s">
        <v>237</v>
      </c>
      <c r="C47" s="8" t="s">
        <v>238</v>
      </c>
      <c r="D47" s="4">
        <v>306</v>
      </c>
      <c r="E47" s="4">
        <v>0</v>
      </c>
      <c r="F47" s="4">
        <f>_xll.AtlasFormulas.AtlasFunctions.AtlasBalance("PROD",DataAreaId,"T.TPPTrans_sst|InventDimId~inventDimId@T.InventDim","Sum|Qty|0","","","","","","","ItemId|TransDate|T2.InventSiteId|T2.InventLocationId",$A47,PeriodBeginning,$B47,$C47)</f>
        <v>306</v>
      </c>
      <c r="G47" s="4">
        <f>_xll.AtlasFormulas.AtlasFunctions.AtlasBalance("PROD",DataAreaId,"T.TPPTrans_sst|InventDimId~inventDimId@T.InventDim","Sum|Qty|0","","","","","","","ItemId|TransDate|T2.InventSiteId|T2.InventLocationId",$A47,PeriodEnding,$B47,$C47)</f>
        <v>0</v>
      </c>
      <c r="H47" s="4">
        <f>AtlasReport_4_Table_1[[#This Row],[Quantity]]-AtlasReport_4_Table_1[[#This Row],[TPP trans backwards (Beginning)]]</f>
        <v>0</v>
      </c>
      <c r="I47" s="4">
        <f>AtlasReport_4_Table_1[[#This Row],[Quantity]]-AtlasReport_4_Table_1[[#This Row],[TPP trans backwards (Ending)]]</f>
        <v>306</v>
      </c>
      <c r="J47" s="4">
        <f>_xll.AtlasFormulas.AtlasFunctions.AtlasBalance("PROD",DataAreaId,"T.TPPTrans_sst|InventDimId~inventDimId@T.InventDim","Sum|CostAmount|0","","","","","","","ItemId|TransDate|T2.InventSiteId|T2.InventLocationId",$A47,PeriodBeginning,$B47,$C47)</f>
        <v>0</v>
      </c>
      <c r="K47" s="4">
        <f>_xll.AtlasFormulas.AtlasFunctions.AtlasBalance("PROD",DataAreaId,"T.TPPTrans_sst|InventDimId~inventDimId@T.InventDim","Sum|CostAmount|0","","","","","","","ItemId|TransDate|T2.InventSiteId|T2.InventLocationId",$A47,PeriodEnding,$B47,$C47)</f>
        <v>0</v>
      </c>
      <c r="L47" s="4">
        <f>AtlasReport_4_Table_1[[#This Row],[TPP cost amount]]-AtlasReport_4_Table_1[[#This Row],[TPP trans backwards balance (Beginning)]]</f>
        <v>0</v>
      </c>
      <c r="M47" s="4">
        <f>AtlasReport_4_Table_1[[#This Row],[TPP cost amount]]-AtlasReport_4_Table_1[[#This Row],[TPP trans backwards balance (Ending)]]</f>
        <v>0</v>
      </c>
    </row>
    <row r="48" spans="1:13">
      <c r="A48" s="8" t="s">
        <v>17</v>
      </c>
      <c r="B48" s="8" t="s">
        <v>237</v>
      </c>
      <c r="C48" s="8" t="s">
        <v>238</v>
      </c>
      <c r="D48" s="4">
        <v>275</v>
      </c>
      <c r="E48" s="4">
        <v>0</v>
      </c>
      <c r="F48" s="4">
        <f>_xll.AtlasFormulas.AtlasFunctions.AtlasBalance("PROD",DataAreaId,"T.TPPTrans_sst|InventDimId~inventDimId@T.InventDim","Sum|Qty|0","","","","","","","ItemId|TransDate|T2.InventSiteId|T2.InventLocationId",$A48,PeriodBeginning,$B48,$C48)</f>
        <v>150</v>
      </c>
      <c r="G48" s="4">
        <f>_xll.AtlasFormulas.AtlasFunctions.AtlasBalance("PROD",DataAreaId,"T.TPPTrans_sst|InventDimId~inventDimId@T.InventDim","Sum|Qty|0","","","","","","","ItemId|TransDate|T2.InventSiteId|T2.InventLocationId",$A48,PeriodEnding,$B48,$C48)</f>
        <v>0</v>
      </c>
      <c r="H48" s="4">
        <f>AtlasReport_4_Table_1[[#This Row],[Quantity]]-AtlasReport_4_Table_1[[#This Row],[TPP trans backwards (Beginning)]]</f>
        <v>125</v>
      </c>
      <c r="I48" s="4">
        <f>AtlasReport_4_Table_1[[#This Row],[Quantity]]-AtlasReport_4_Table_1[[#This Row],[TPP trans backwards (Ending)]]</f>
        <v>275</v>
      </c>
      <c r="J48" s="4">
        <f>_xll.AtlasFormulas.AtlasFunctions.AtlasBalance("PROD",DataAreaId,"T.TPPTrans_sst|InventDimId~inventDimId@T.InventDim","Sum|CostAmount|0","","","","","","","ItemId|TransDate|T2.InventSiteId|T2.InventLocationId",$A48,PeriodBeginning,$B48,$C48)</f>
        <v>0</v>
      </c>
      <c r="K48" s="4">
        <f>_xll.AtlasFormulas.AtlasFunctions.AtlasBalance("PROD",DataAreaId,"T.TPPTrans_sst|InventDimId~inventDimId@T.InventDim","Sum|CostAmount|0","","","","","","","ItemId|TransDate|T2.InventSiteId|T2.InventLocationId",$A48,PeriodEnding,$B48,$C48)</f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trans backwards balance (Ending)]]</f>
        <v>0</v>
      </c>
    </row>
    <row r="49" spans="1:13">
      <c r="A49" s="8" t="s">
        <v>62</v>
      </c>
      <c r="B49" s="8" t="s">
        <v>237</v>
      </c>
      <c r="C49" s="8" t="s">
        <v>238</v>
      </c>
      <c r="D49" s="4">
        <v>245</v>
      </c>
      <c r="E49" s="4">
        <v>0</v>
      </c>
      <c r="F49" s="4">
        <f>_xll.AtlasFormulas.AtlasFunctions.AtlasBalance("PROD",DataAreaId,"T.TPPTrans_sst|InventDimId~inventDimId@T.InventDim","Sum|Qty|0","","","","","","","ItemId|TransDate|T2.InventSiteId|T2.InventLocationId",$A49,PeriodBeginning,$B49,$C49)</f>
        <v>-25</v>
      </c>
      <c r="G49" s="4">
        <f>_xll.AtlasFormulas.AtlasFunctions.AtlasBalance("PROD",DataAreaId,"T.TPPTrans_sst|InventDimId~inventDimId@T.InventDim","Sum|Qty|0","","","","","","","ItemId|TransDate|T2.InventSiteId|T2.InventLocationId",$A49,PeriodEnding,$B49,$C49)</f>
        <v>0</v>
      </c>
      <c r="H49" s="4">
        <f>AtlasReport_4_Table_1[[#This Row],[Quantity]]-AtlasReport_4_Table_1[[#This Row],[TPP trans backwards (Beginning)]]</f>
        <v>270</v>
      </c>
      <c r="I49" s="4">
        <f>AtlasReport_4_Table_1[[#This Row],[Quantity]]-AtlasReport_4_Table_1[[#This Row],[TPP trans backwards (Ending)]]</f>
        <v>245</v>
      </c>
      <c r="J49" s="4">
        <f>_xll.AtlasFormulas.AtlasFunctions.AtlasBalance("PROD",DataAreaId,"T.TPPTrans_sst|InventDimId~inventDimId@T.InventDim","Sum|CostAmount|0","","","","","","","ItemId|TransDate|T2.InventSiteId|T2.InventLocationId",$A49,PeriodBeginning,$B49,$C49)</f>
        <v>0</v>
      </c>
      <c r="K49" s="4">
        <f>_xll.AtlasFormulas.AtlasFunctions.AtlasBalance("PROD",DataAreaId,"T.TPPTrans_sst|InventDimId~inventDimId@T.InventDim","Sum|CostAmount|0","","","","","","","ItemId|TransDate|T2.InventSiteId|T2.InventLocationId",$A49,PeriodEnding,$B49,$C49)</f>
        <v>0</v>
      </c>
      <c r="L49" s="4">
        <f>AtlasReport_4_Table_1[[#This Row],[TPP cost amount]]-AtlasReport_4_Table_1[[#This Row],[TPP trans backwards balance (Beginning)]]</f>
        <v>0</v>
      </c>
      <c r="M49" s="4">
        <f>AtlasReport_4_Table_1[[#This Row],[TPP cost amount]]-AtlasReport_4_Table_1[[#This Row],[TPP trans backwards balance (Ending)]]</f>
        <v>0</v>
      </c>
    </row>
    <row r="50" spans="1:13">
      <c r="A50" s="8" t="s">
        <v>40</v>
      </c>
      <c r="B50" s="8" t="s">
        <v>237</v>
      </c>
      <c r="C50" s="8" t="s">
        <v>238</v>
      </c>
      <c r="D50" s="4">
        <v>333</v>
      </c>
      <c r="E50" s="4">
        <v>0</v>
      </c>
      <c r="F50" s="4">
        <f>_xll.AtlasFormulas.AtlasFunctions.AtlasBalance("PROD",DataAreaId,"T.TPPTrans_sst|InventDimId~inventDimId@T.InventDim","Sum|Qty|0","","","","","","","ItemId|TransDate|T2.InventSiteId|T2.InventLocationId",$A50,PeriodBeginning,$B50,$C50)</f>
        <v>320</v>
      </c>
      <c r="G50" s="4">
        <f>_xll.AtlasFormulas.AtlasFunctions.AtlasBalance("PROD",DataAreaId,"T.TPPTrans_sst|InventDimId~inventDimId@T.InventDim","Sum|Qty|0","","","","","","","ItemId|TransDate|T2.InventSiteId|T2.InventLocationId",$A50,PeriodEnding,$B50,$C50)</f>
        <v>0</v>
      </c>
      <c r="H50" s="4">
        <f>AtlasReport_4_Table_1[[#This Row],[Quantity]]-AtlasReport_4_Table_1[[#This Row],[TPP trans backwards (Beginning)]]</f>
        <v>13</v>
      </c>
      <c r="I50" s="4">
        <f>AtlasReport_4_Table_1[[#This Row],[Quantity]]-AtlasReport_4_Table_1[[#This Row],[TPP trans backwards (Ending)]]</f>
        <v>333</v>
      </c>
      <c r="J50" s="4">
        <f>_xll.AtlasFormulas.AtlasFunctions.AtlasBalance("PROD",DataAreaId,"T.TPPTrans_sst|InventDimId~inventDimId@T.InventDim","Sum|CostAmount|0","","","","","","","ItemId|TransDate|T2.InventSiteId|T2.InventLocationId",$A50,PeriodBeginning,$B50,$C50)</f>
        <v>0</v>
      </c>
      <c r="K50" s="4">
        <f>_xll.AtlasFormulas.AtlasFunctions.AtlasBalance("PROD",DataAreaId,"T.TPPTrans_sst|InventDimId~inventDimId@T.InventDim","Sum|CostAmount|0","","","","","","","ItemId|TransDate|T2.InventSiteId|T2.InventLocationId",$A50,PeriodEnding,$B50,$C50)</f>
        <v>0</v>
      </c>
      <c r="L50" s="4">
        <f>AtlasReport_4_Table_1[[#This Row],[TPP cost amount]]-AtlasReport_4_Table_1[[#This Row],[TPP trans backwards balance (Beginning)]]</f>
        <v>0</v>
      </c>
      <c r="M50" s="4">
        <f>AtlasReport_4_Table_1[[#This Row],[TPP cost amount]]-AtlasReport_4_Table_1[[#This Row],[TPP trans backwards balance (Ending)]]</f>
        <v>0</v>
      </c>
    </row>
    <row r="51" spans="1:13">
      <c r="A51" s="8" t="s">
        <v>60</v>
      </c>
      <c r="B51" s="8" t="s">
        <v>237</v>
      </c>
      <c r="C51" s="8" t="s">
        <v>238</v>
      </c>
      <c r="D51" s="4">
        <v>385</v>
      </c>
      <c r="E51" s="4">
        <v>0</v>
      </c>
      <c r="F51" s="4">
        <f>_xll.AtlasFormulas.AtlasFunctions.AtlasBalance("PROD",DataAreaId,"T.TPPTrans_sst|InventDimId~inventDimId@T.InventDim","Sum|Qty|0","","","","","","","ItemId|TransDate|T2.InventSiteId|T2.InventLocationId",$A51,PeriodBeginning,$B51,$C51)</f>
        <v>-15</v>
      </c>
      <c r="G51" s="4">
        <f>_xll.AtlasFormulas.AtlasFunctions.AtlasBalance("PROD",DataAreaId,"T.TPPTrans_sst|InventDimId~inventDimId@T.InventDim","Sum|Qty|0","","","","","","","ItemId|TransDate|T2.InventSiteId|T2.InventLocationId",$A51,PeriodEnding,$B51,$C51)</f>
        <v>0</v>
      </c>
      <c r="H51" s="4">
        <f>AtlasReport_4_Table_1[[#This Row],[Quantity]]-AtlasReport_4_Table_1[[#This Row],[TPP trans backwards (Beginning)]]</f>
        <v>400</v>
      </c>
      <c r="I51" s="4">
        <f>AtlasReport_4_Table_1[[#This Row],[Quantity]]-AtlasReport_4_Table_1[[#This Row],[TPP trans backwards (Ending)]]</f>
        <v>385</v>
      </c>
      <c r="J51" s="4">
        <f>_xll.AtlasFormulas.AtlasFunctions.AtlasBalance("PROD",DataAreaId,"T.TPPTrans_sst|InventDimId~inventDimId@T.InventDim","Sum|CostAmount|0","","","","","","","ItemId|TransDate|T2.InventSiteId|T2.InventLocationId",$A51,PeriodBeginning,$B51,$C51)</f>
        <v>0</v>
      </c>
      <c r="K51" s="4">
        <f>_xll.AtlasFormulas.AtlasFunctions.AtlasBalance("PROD",DataAreaId,"T.TPPTrans_sst|InventDimId~inventDimId@T.InventDim","Sum|CostAmount|0","","","","","","","ItemId|TransDate|T2.InventSiteId|T2.InventLocationId",$A51,PeriodEnding,$B51,$C51)</f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trans backwards balance (Ending)]]</f>
        <v>0</v>
      </c>
    </row>
    <row r="52" spans="1:13">
      <c r="A52" s="8" t="s">
        <v>41</v>
      </c>
      <c r="B52" s="8" t="s">
        <v>237</v>
      </c>
      <c r="C52" s="8" t="s">
        <v>238</v>
      </c>
      <c r="D52" s="4">
        <v>355</v>
      </c>
      <c r="E52" s="4">
        <v>0</v>
      </c>
      <c r="F52" s="4">
        <f>_xll.AtlasFormulas.AtlasFunctions.AtlasBalance("PROD",DataAreaId,"T.TPPTrans_sst|InventDimId~inventDimId@T.InventDim","Sum|Qty|0","","","","","","","ItemId|TransDate|T2.InventSiteId|T2.InventLocationId",$A52,PeriodBeginning,$B52,$C52)</f>
        <v>-25</v>
      </c>
      <c r="G52" s="4">
        <f>_xll.AtlasFormulas.AtlasFunctions.AtlasBalance("PROD",DataAreaId,"T.TPPTrans_sst|InventDimId~inventDimId@T.InventDim","Sum|Qty|0","","","","","","","ItemId|TransDate|T2.InventSiteId|T2.InventLocationId",$A52,PeriodEnding,$B52,$C52)</f>
        <v>0</v>
      </c>
      <c r="H52" s="4">
        <f>AtlasReport_4_Table_1[[#This Row],[Quantity]]-AtlasReport_4_Table_1[[#This Row],[TPP trans backwards (Beginning)]]</f>
        <v>380</v>
      </c>
      <c r="I52" s="4">
        <f>AtlasReport_4_Table_1[[#This Row],[Quantity]]-AtlasReport_4_Table_1[[#This Row],[TPP trans backwards (Ending)]]</f>
        <v>355</v>
      </c>
      <c r="J52" s="4">
        <f>_xll.AtlasFormulas.AtlasFunctions.AtlasBalance("PROD",DataAreaId,"T.TPPTrans_sst|InventDimId~inventDimId@T.InventDim","Sum|CostAmount|0","","","","","","","ItemId|TransDate|T2.InventSiteId|T2.InventLocationId",$A52,PeriodBeginning,$B52,$C52)</f>
        <v>0</v>
      </c>
      <c r="K52" s="4">
        <f>_xll.AtlasFormulas.AtlasFunctions.AtlasBalance("PROD",DataAreaId,"T.TPPTrans_sst|InventDimId~inventDimId@T.InventDim","Sum|CostAmount|0","","","","","","","ItemId|TransDate|T2.InventSiteId|T2.InventLocationId",$A52,PeriodEnding,$B52,$C52)</f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trans backwards balance (Ending)]]</f>
        <v>0</v>
      </c>
    </row>
    <row r="53" spans="1:13">
      <c r="A53" s="8" t="s">
        <v>42</v>
      </c>
      <c r="B53" s="8" t="s">
        <v>237</v>
      </c>
      <c r="C53" s="8" t="s">
        <v>238</v>
      </c>
      <c r="D53" s="4">
        <v>147</v>
      </c>
      <c r="E53" s="4">
        <v>0</v>
      </c>
      <c r="F53" s="4">
        <f>_xll.AtlasFormulas.AtlasFunctions.AtlasBalance("PROD",DataAreaId,"T.TPPTrans_sst|InventDimId~inventDimId@T.InventDim","Sum|Qty|0","","","","","","","ItemId|TransDate|T2.InventSiteId|T2.InventLocationId",$A53,PeriodBeginning,$B53,$C53)</f>
        <v>147</v>
      </c>
      <c r="G53" s="4">
        <f>_xll.AtlasFormulas.AtlasFunctions.AtlasBalance("PROD",DataAreaId,"T.TPPTrans_sst|InventDimId~inventDimId@T.InventDim","Sum|Qty|0","","","","","","","ItemId|TransDate|T2.InventSiteId|T2.InventLocationId",$A53,PeriodEnding,$B53,$C53)</f>
        <v>0</v>
      </c>
      <c r="H53" s="4">
        <f>AtlasReport_4_Table_1[[#This Row],[Quantity]]-AtlasReport_4_Table_1[[#This Row],[TPP trans backwards (Beginning)]]</f>
        <v>0</v>
      </c>
      <c r="I53" s="4">
        <f>AtlasReport_4_Table_1[[#This Row],[Quantity]]-AtlasReport_4_Table_1[[#This Row],[TPP trans backwards (Ending)]]</f>
        <v>147</v>
      </c>
      <c r="J53" s="4">
        <f>_xll.AtlasFormulas.AtlasFunctions.AtlasBalance("PROD",DataAreaId,"T.TPPTrans_sst|InventDimId~inventDimId@T.InventDim","Sum|CostAmount|0","","","","","","","ItemId|TransDate|T2.InventSiteId|T2.InventLocationId",$A53,PeriodBeginning,$B53,$C53)</f>
        <v>0</v>
      </c>
      <c r="K53" s="4">
        <f>_xll.AtlasFormulas.AtlasFunctions.AtlasBalance("PROD",DataAreaId,"T.TPPTrans_sst|InventDimId~inventDimId@T.InventDim","Sum|CostAmount|0","","","","","","","ItemId|TransDate|T2.InventSiteId|T2.InventLocationId",$A53,PeriodEnding,$B53,$C53)</f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trans backwards balance (Ending)]]</f>
        <v>0</v>
      </c>
    </row>
    <row r="54" spans="1:13">
      <c r="A54" s="8" t="s">
        <v>265</v>
      </c>
      <c r="B54" s="8" t="s">
        <v>237</v>
      </c>
      <c r="C54" s="8" t="s">
        <v>238</v>
      </c>
      <c r="D54" s="4">
        <v>292</v>
      </c>
      <c r="E54" s="4">
        <v>0</v>
      </c>
      <c r="F54" s="4">
        <f>_xll.AtlasFormulas.AtlasFunctions.AtlasBalance("PROD",DataAreaId,"T.TPPTrans_sst|InventDimId~inventDimId@T.InventDim","Sum|Qty|0","","","","","","","ItemId|TransDate|T2.InventSiteId|T2.InventLocationId",$A54,PeriodBeginning,$B54,$C54)</f>
        <v>-333</v>
      </c>
      <c r="G54" s="4">
        <f>_xll.AtlasFormulas.AtlasFunctions.AtlasBalance("PROD",DataAreaId,"T.TPPTrans_sst|InventDimId~inventDimId@T.InventDim","Sum|Qty|0","","","","","","","ItemId|TransDate|T2.InventSiteId|T2.InventLocationId",$A54,PeriodEnding,$B54,$C54)</f>
        <v>0</v>
      </c>
      <c r="H54" s="4">
        <f>AtlasReport_4_Table_1[[#This Row],[Quantity]]-AtlasReport_4_Table_1[[#This Row],[TPP trans backwards (Beginning)]]</f>
        <v>625</v>
      </c>
      <c r="I54" s="4">
        <f>AtlasReport_4_Table_1[[#This Row],[Quantity]]-AtlasReport_4_Table_1[[#This Row],[TPP trans backwards (Ending)]]</f>
        <v>292</v>
      </c>
      <c r="J54" s="4">
        <f>_xll.AtlasFormulas.AtlasFunctions.AtlasBalance("PROD",DataAreaId,"T.TPPTrans_sst|InventDimId~inventDimId@T.InventDim","Sum|CostAmount|0","","","","","","","ItemId|TransDate|T2.InventSiteId|T2.InventLocationId",$A54,PeriodBeginning,$B54,$C54)</f>
        <v>0</v>
      </c>
      <c r="K54" s="4">
        <f>_xll.AtlasFormulas.AtlasFunctions.AtlasBalance("PROD",DataAreaId,"T.TPPTrans_sst|InventDimId~inventDimId@T.InventDim","Sum|CostAmount|0","","","","","","","ItemId|TransDate|T2.InventSiteId|T2.InventLocationId",$A54,PeriodEnding,$B54,$C54)</f>
        <v>0</v>
      </c>
      <c r="L54" s="4">
        <f>AtlasReport_4_Table_1[[#This Row],[TPP cost amount]]-AtlasReport_4_Table_1[[#This Row],[TPP trans backwards balance (Beginning)]]</f>
        <v>0</v>
      </c>
      <c r="M54" s="4">
        <f>AtlasReport_4_Table_1[[#This Row],[TPP cost amount]]-AtlasReport_4_Table_1[[#This Row],[TPP trans backwards balance (Ending)]]</f>
        <v>0</v>
      </c>
    </row>
    <row r="55" spans="1:13">
      <c r="A55" s="8" t="s">
        <v>266</v>
      </c>
      <c r="B55" s="8" t="s">
        <v>237</v>
      </c>
      <c r="C55" s="8" t="s">
        <v>238</v>
      </c>
      <c r="D55" s="4">
        <v>120.93199999999999</v>
      </c>
      <c r="E55" s="4">
        <v>0</v>
      </c>
      <c r="F55" s="4">
        <f>_xll.AtlasFormulas.AtlasFunctions.AtlasBalance("PROD",DataAreaId,"T.TPPTrans_sst|InventDimId~inventDimId@T.InventDim","Sum|Qty|0","","","","","","","ItemId|TransDate|T2.InventSiteId|T2.InventLocationId",$A55,PeriodBeginning,$B55,$C55)</f>
        <v>120.932</v>
      </c>
      <c r="G55" s="4">
        <f>_xll.AtlasFormulas.AtlasFunctions.AtlasBalance("PROD",DataAreaId,"T.TPPTrans_sst|InventDimId~inventDimId@T.InventDim","Sum|Qty|0","","","","","","","ItemId|TransDate|T2.InventSiteId|T2.InventLocationId",$A55,PeriodEnding,$B55,$C55)</f>
        <v>0</v>
      </c>
      <c r="H55" s="4">
        <f>AtlasReport_4_Table_1[[#This Row],[Quantity]]-AtlasReport_4_Table_1[[#This Row],[TPP trans backwards (Beginning)]]</f>
        <v>0</v>
      </c>
      <c r="I55" s="4">
        <f>AtlasReport_4_Table_1[[#This Row],[Quantity]]-AtlasReport_4_Table_1[[#This Row],[TPP trans backwards (Ending)]]</f>
        <v>120.93199999999999</v>
      </c>
      <c r="J55" s="4">
        <f>_xll.AtlasFormulas.AtlasFunctions.AtlasBalance("PROD",DataAreaId,"T.TPPTrans_sst|InventDimId~inventDimId@T.InventDim","Sum|CostAmount|0","","","","","","","ItemId|TransDate|T2.InventSiteId|T2.InventLocationId",$A55,PeriodBeginning,$B55,$C55)</f>
        <v>0</v>
      </c>
      <c r="K55" s="4">
        <f>_xll.AtlasFormulas.AtlasFunctions.AtlasBalance("PROD",DataAreaId,"T.TPPTrans_sst|InventDimId~inventDimId@T.InventDim","Sum|CostAmount|0","","","","","","","ItemId|TransDate|T2.InventSiteId|T2.InventLocationId",$A55,PeriodEnding,$B55,$C55)</f>
        <v>0</v>
      </c>
      <c r="L55" s="4">
        <f>AtlasReport_4_Table_1[[#This Row],[TPP cost amount]]-AtlasReport_4_Table_1[[#This Row],[TPP trans backwards balance (Beginning)]]</f>
        <v>0</v>
      </c>
      <c r="M55" s="4">
        <f>AtlasReport_4_Table_1[[#This Row],[TPP cost amount]]-AtlasReport_4_Table_1[[#This Row],[TPP trans backwards balance (Ending)]]</f>
        <v>0</v>
      </c>
    </row>
    <row r="56" spans="1:13">
      <c r="A56" s="8" t="s">
        <v>506</v>
      </c>
      <c r="B56" s="8" t="s">
        <v>237</v>
      </c>
      <c r="C56" s="8" t="s">
        <v>238</v>
      </c>
      <c r="D56" s="4">
        <v>-34</v>
      </c>
      <c r="E56" s="4">
        <v>0</v>
      </c>
      <c r="F56" s="4">
        <f>_xll.AtlasFormulas.AtlasFunctions.AtlasBalance("PROD",DataAreaId,"T.TPPTrans_sst|InventDimId~inventDimId@T.InventDim","Sum|Qty|0","","","","","","","ItemId|TransDate|T2.InventSiteId|T2.InventLocationId",$A56,PeriodBeginning,$B56,$C56)</f>
        <v>-34</v>
      </c>
      <c r="G56" s="4">
        <f>_xll.AtlasFormulas.AtlasFunctions.AtlasBalance("PROD",DataAreaId,"T.TPPTrans_sst|InventDimId~inventDimId@T.InventDim","Sum|Qty|0","","","","","","","ItemId|TransDate|T2.InventSiteId|T2.InventLocationId",$A56,PeriodEnding,$B56,$C56)</f>
        <v>0</v>
      </c>
      <c r="H56" s="4">
        <f>AtlasReport_4_Table_1[[#This Row],[Quantity]]-AtlasReport_4_Table_1[[#This Row],[TPP trans backwards (Beginning)]]</f>
        <v>0</v>
      </c>
      <c r="I56" s="4">
        <f>AtlasReport_4_Table_1[[#This Row],[Quantity]]-AtlasReport_4_Table_1[[#This Row],[TPP trans backwards (Ending)]]</f>
        <v>-34</v>
      </c>
      <c r="J56" s="4">
        <f>_xll.AtlasFormulas.AtlasFunctions.AtlasBalance("PROD",DataAreaId,"T.TPPTrans_sst|InventDimId~inventDimId@T.InventDim","Sum|CostAmount|0","","","","","","","ItemId|TransDate|T2.InventSiteId|T2.InventLocationId",$A56,PeriodBeginning,$B56,$C56)</f>
        <v>0</v>
      </c>
      <c r="K56" s="4">
        <f>_xll.AtlasFormulas.AtlasFunctions.AtlasBalance("PROD",DataAreaId,"T.TPPTrans_sst|InventDimId~inventDimId@T.InventDim","Sum|CostAmount|0","","","","","","","ItemId|TransDate|T2.InventSiteId|T2.InventLocationId",$A56,PeriodEnding,$B56,$C56)</f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trans backwards balance (Ending)]]</f>
        <v>0</v>
      </c>
    </row>
    <row r="57" spans="1:13">
      <c r="A57" s="8" t="s">
        <v>689</v>
      </c>
      <c r="B57" s="8" t="s">
        <v>237</v>
      </c>
      <c r="C57" s="8" t="s">
        <v>238</v>
      </c>
      <c r="D57" s="4">
        <v>36.5</v>
      </c>
      <c r="E57" s="4">
        <v>0</v>
      </c>
      <c r="F57" s="4">
        <f>_xll.AtlasFormulas.AtlasFunctions.AtlasBalance("PROD",DataAreaId,"T.TPPTrans_sst|InventDimId~inventDimId@T.InventDim","Sum|Qty|0","","","","","","","ItemId|TransDate|T2.InventSiteId|T2.InventLocationId",$A57,PeriodBeginning,$B57,$C57)</f>
        <v>36.5</v>
      </c>
      <c r="G57" s="4">
        <f>_xll.AtlasFormulas.AtlasFunctions.AtlasBalance("PROD",DataAreaId,"T.TPPTrans_sst|InventDimId~inventDimId@T.InventDim","Sum|Qty|0","","","","","","","ItemId|TransDate|T2.InventSiteId|T2.InventLocationId",$A57,PeriodEnding,$B57,$C57)</f>
        <v>0</v>
      </c>
      <c r="H57" s="4">
        <f>AtlasReport_4_Table_1[[#This Row],[Quantity]]-AtlasReport_4_Table_1[[#This Row],[TPP trans backwards (Beginning)]]</f>
        <v>0</v>
      </c>
      <c r="I57" s="4">
        <f>AtlasReport_4_Table_1[[#This Row],[Quantity]]-AtlasReport_4_Table_1[[#This Row],[TPP trans backwards (Ending)]]</f>
        <v>36.5</v>
      </c>
      <c r="J57" s="4">
        <f>_xll.AtlasFormulas.AtlasFunctions.AtlasBalance("PROD",DataAreaId,"T.TPPTrans_sst|InventDimId~inventDimId@T.InventDim","Sum|CostAmount|0","","","","","","","ItemId|TransDate|T2.InventSiteId|T2.InventLocationId",$A57,PeriodBeginning,$B57,$C57)</f>
        <v>0</v>
      </c>
      <c r="K57" s="4">
        <f>_xll.AtlasFormulas.AtlasFunctions.AtlasBalance("PROD",DataAreaId,"T.TPPTrans_sst|InventDimId~inventDimId@T.InventDim","Sum|CostAmount|0","","","","","","","ItemId|TransDate|T2.InventSiteId|T2.InventLocationId",$A57,PeriodEnding,$B57,$C57)</f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trans backwards balance (Ending)]]</f>
        <v>0</v>
      </c>
    </row>
    <row r="58" spans="1:13">
      <c r="A58" s="8" t="s">
        <v>535</v>
      </c>
      <c r="B58" s="8" t="s">
        <v>237</v>
      </c>
      <c r="C58" s="8" t="s">
        <v>238</v>
      </c>
      <c r="D58" s="4">
        <v>0</v>
      </c>
      <c r="E58" s="4">
        <v>0</v>
      </c>
      <c r="F58" s="4">
        <f>_xll.AtlasFormulas.AtlasFunctions.AtlasBalance("PROD",DataAreaId,"T.TPPTrans_sst|InventDimId~inventDimId@T.InventDim","Sum|Qty|0","","","","","","","ItemId|TransDate|T2.InventSiteId|T2.InventLocationId",$A58,PeriodBeginning,$B58,$C58)</f>
        <v>0</v>
      </c>
      <c r="G58" s="4">
        <f>_xll.AtlasFormulas.AtlasFunctions.AtlasBalance("PROD",DataAreaId,"T.TPPTrans_sst|InventDimId~inventDimId@T.InventDim","Sum|Qty|0","","","","","","","ItemId|TransDate|T2.InventSiteId|T2.InventLocationId",$A58,PeriodEnding,$B58,$C58)</f>
        <v>0</v>
      </c>
      <c r="H58" s="4">
        <f>AtlasReport_4_Table_1[[#This Row],[Quantity]]-AtlasReport_4_Table_1[[#This Row],[TPP trans backwards (Beginning)]]</f>
        <v>0</v>
      </c>
      <c r="I58" s="4">
        <f>AtlasReport_4_Table_1[[#This Row],[Quantity]]-AtlasReport_4_Table_1[[#This Row],[TPP trans backwards (Ending)]]</f>
        <v>0</v>
      </c>
      <c r="J58" s="4">
        <f>_xll.AtlasFormulas.AtlasFunctions.AtlasBalance("PROD",DataAreaId,"T.TPPTrans_sst|InventDimId~inventDimId@T.InventDim","Sum|CostAmount|0","","","","","","","ItemId|TransDate|T2.InventSiteId|T2.InventLocationId",$A58,PeriodBeginning,$B58,$C58)</f>
        <v>0</v>
      </c>
      <c r="K58" s="4">
        <f>_xll.AtlasFormulas.AtlasFunctions.AtlasBalance("PROD",DataAreaId,"T.TPPTrans_sst|InventDimId~inventDimId@T.InventDim","Sum|CostAmount|0","","","","","","","ItemId|TransDate|T2.InventSiteId|T2.InventLocationId",$A58,PeriodEnding,$B58,$C58)</f>
        <v>0</v>
      </c>
      <c r="L58" s="4">
        <f>AtlasReport_4_Table_1[[#This Row],[TPP cost amount]]-AtlasReport_4_Table_1[[#This Row],[TPP trans backwards balance (Beginning)]]</f>
        <v>0</v>
      </c>
      <c r="M58" s="4">
        <f>AtlasReport_4_Table_1[[#This Row],[TPP cost amount]]-AtlasReport_4_Table_1[[#This Row],[TPP trans backwards balance (Ending)]]</f>
        <v>0</v>
      </c>
    </row>
    <row r="59" spans="1:13">
      <c r="A59" s="8" t="s">
        <v>699</v>
      </c>
      <c r="B59" s="8" t="s">
        <v>237</v>
      </c>
      <c r="C59" s="8" t="s">
        <v>238</v>
      </c>
      <c r="D59" s="4">
        <v>18.600000000000001</v>
      </c>
      <c r="E59" s="4">
        <v>0</v>
      </c>
      <c r="F59" s="4">
        <f>_xll.AtlasFormulas.AtlasFunctions.AtlasBalance("PROD",DataAreaId,"T.TPPTrans_sst|InventDimId~inventDimId@T.InventDim","Sum|Qty|0","","","","","","","ItemId|TransDate|T2.InventSiteId|T2.InventLocationId",$A59,PeriodBeginning,$B59,$C59)</f>
        <v>18.600000000000001</v>
      </c>
      <c r="G59" s="4">
        <f>_xll.AtlasFormulas.AtlasFunctions.AtlasBalance("PROD",DataAreaId,"T.TPPTrans_sst|InventDimId~inventDimId@T.InventDim","Sum|Qty|0","","","","","","","ItemId|TransDate|T2.InventSiteId|T2.InventLocationId",$A59,PeriodEnding,$B59,$C59)</f>
        <v>0</v>
      </c>
      <c r="H59" s="4">
        <f>AtlasReport_4_Table_1[[#This Row],[Quantity]]-AtlasReport_4_Table_1[[#This Row],[TPP trans backwards (Beginning)]]</f>
        <v>0</v>
      </c>
      <c r="I59" s="4">
        <f>AtlasReport_4_Table_1[[#This Row],[Quantity]]-AtlasReport_4_Table_1[[#This Row],[TPP trans backwards (Ending)]]</f>
        <v>18.600000000000001</v>
      </c>
      <c r="J59" s="4">
        <f>_xll.AtlasFormulas.AtlasFunctions.AtlasBalance("PROD",DataAreaId,"T.TPPTrans_sst|InventDimId~inventDimId@T.InventDim","Sum|CostAmount|0","","","","","","","ItemId|TransDate|T2.InventSiteId|T2.InventLocationId",$A59,PeriodBeginning,$B59,$C59)</f>
        <v>0</v>
      </c>
      <c r="K59" s="4">
        <f>_xll.AtlasFormulas.AtlasFunctions.AtlasBalance("PROD",DataAreaId,"T.TPPTrans_sst|InventDimId~inventDimId@T.InventDim","Sum|CostAmount|0","","","","","","","ItemId|TransDate|T2.InventSiteId|T2.InventLocationId",$A59,PeriodEnding,$B59,$C59)</f>
        <v>0</v>
      </c>
      <c r="L59" s="4">
        <f>AtlasReport_4_Table_1[[#This Row],[TPP cost amount]]-AtlasReport_4_Table_1[[#This Row],[TPP trans backwards balance (Beginning)]]</f>
        <v>0</v>
      </c>
      <c r="M59" s="4">
        <f>AtlasReport_4_Table_1[[#This Row],[TPP cost amount]]-AtlasReport_4_Table_1[[#This Row],[TPP trans backwards balance (Ending)]]</f>
        <v>0</v>
      </c>
    </row>
    <row r="60" spans="1:13">
      <c r="A60" s="8" t="s">
        <v>267</v>
      </c>
      <c r="B60" s="8" t="s">
        <v>237</v>
      </c>
      <c r="C60" s="8" t="s">
        <v>238</v>
      </c>
      <c r="D60" s="4">
        <v>222</v>
      </c>
      <c r="E60" s="4">
        <v>0</v>
      </c>
      <c r="F60" s="4">
        <f>_xll.AtlasFormulas.AtlasFunctions.AtlasBalance("PROD",DataAreaId,"T.TPPTrans_sst|InventDimId~inventDimId@T.InventDim","Sum|Qty|0","","","","","","","ItemId|TransDate|T2.InventSiteId|T2.InventLocationId",$A60,PeriodBeginning,$B60,$C60)</f>
        <v>222</v>
      </c>
      <c r="G60" s="4">
        <f>_xll.AtlasFormulas.AtlasFunctions.AtlasBalance("PROD",DataAreaId,"T.TPPTrans_sst|InventDimId~inventDimId@T.InventDim","Sum|Qty|0","","","","","","","ItemId|TransDate|T2.InventSiteId|T2.InventLocationId",$A60,PeriodEnding,$B60,$C60)</f>
        <v>40</v>
      </c>
      <c r="H60" s="4">
        <f>AtlasReport_4_Table_1[[#This Row],[Quantity]]-AtlasReport_4_Table_1[[#This Row],[TPP trans backwards (Beginning)]]</f>
        <v>0</v>
      </c>
      <c r="I60" s="4">
        <f>AtlasReport_4_Table_1[[#This Row],[Quantity]]-AtlasReport_4_Table_1[[#This Row],[TPP trans backwards (Ending)]]</f>
        <v>182</v>
      </c>
      <c r="J60" s="4">
        <f>_xll.AtlasFormulas.AtlasFunctions.AtlasBalance("PROD",DataAreaId,"T.TPPTrans_sst|InventDimId~inventDimId@T.InventDim","Sum|CostAmount|0","","","","","","","ItemId|TransDate|T2.InventSiteId|T2.InventLocationId",$A60,PeriodBeginning,$B60,$C60)</f>
        <v>0</v>
      </c>
      <c r="K60" s="4">
        <f>_xll.AtlasFormulas.AtlasFunctions.AtlasBalance("PROD",DataAreaId,"T.TPPTrans_sst|InventDimId~inventDimId@T.InventDim","Sum|CostAmount|0","","","","","","","ItemId|TransDate|T2.InventSiteId|T2.InventLocationId",$A60,PeriodEnding,$B60,$C60)</f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trans backwards balance (Ending)]]</f>
        <v>0</v>
      </c>
    </row>
    <row r="61" spans="1:13">
      <c r="A61" s="8" t="s">
        <v>369</v>
      </c>
      <c r="B61" s="8" t="s">
        <v>237</v>
      </c>
      <c r="C61" s="8" t="s">
        <v>238</v>
      </c>
      <c r="D61" s="4">
        <v>217</v>
      </c>
      <c r="E61" s="4">
        <v>0</v>
      </c>
      <c r="F61" s="4">
        <f>_xll.AtlasFormulas.AtlasFunctions.AtlasBalance("PROD",DataAreaId,"T.TPPTrans_sst|InventDimId~inventDimId@T.InventDim","Sum|Qty|0","","","","","","","ItemId|TransDate|T2.InventSiteId|T2.InventLocationId",$A61,PeriodBeginning,$B61,$C61)</f>
        <v>217</v>
      </c>
      <c r="G61" s="4">
        <f>_xll.AtlasFormulas.AtlasFunctions.AtlasBalance("PROD",DataAreaId,"T.TPPTrans_sst|InventDimId~inventDimId@T.InventDim","Sum|Qty|0","","","","","","","ItemId|TransDate|T2.InventSiteId|T2.InventLocationId",$A61,PeriodEnding,$B61,$C61)</f>
        <v>13.8</v>
      </c>
      <c r="H61" s="4">
        <f>AtlasReport_4_Table_1[[#This Row],[Quantity]]-AtlasReport_4_Table_1[[#This Row],[TPP trans backwards (Beginning)]]</f>
        <v>0</v>
      </c>
      <c r="I61" s="4">
        <f>AtlasReport_4_Table_1[[#This Row],[Quantity]]-AtlasReport_4_Table_1[[#This Row],[TPP trans backwards (Ending)]]</f>
        <v>203.2</v>
      </c>
      <c r="J61" s="4">
        <f>_xll.AtlasFormulas.AtlasFunctions.AtlasBalance("PROD",DataAreaId,"T.TPPTrans_sst|InventDimId~inventDimId@T.InventDim","Sum|CostAmount|0","","","","","","","ItemId|TransDate|T2.InventSiteId|T2.InventLocationId",$A61,PeriodBeginning,$B61,$C61)</f>
        <v>0</v>
      </c>
      <c r="K61" s="4">
        <f>_xll.AtlasFormulas.AtlasFunctions.AtlasBalance("PROD",DataAreaId,"T.TPPTrans_sst|InventDimId~inventDimId@T.InventDim","Sum|CostAmount|0","","","","","","","ItemId|TransDate|T2.InventSiteId|T2.InventLocationId",$A61,PeriodEnding,$B61,$C61)</f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trans backwards balance (Ending)]]</f>
        <v>0</v>
      </c>
    </row>
    <row r="62" spans="1:13">
      <c r="A62" s="8" t="s">
        <v>269</v>
      </c>
      <c r="B62" s="8" t="s">
        <v>237</v>
      </c>
      <c r="C62" s="8" t="s">
        <v>238</v>
      </c>
      <c r="D62" s="4">
        <v>-6</v>
      </c>
      <c r="E62" s="4">
        <v>0</v>
      </c>
      <c r="F62" s="4">
        <f>_xll.AtlasFormulas.AtlasFunctions.AtlasBalance("PROD",DataAreaId,"T.TPPTrans_sst|InventDimId~inventDimId@T.InventDim","Sum|Qty|0","","","","","","","ItemId|TransDate|T2.InventSiteId|T2.InventLocationId",$A62,PeriodBeginning,$B62,$C62)</f>
        <v>-6</v>
      </c>
      <c r="G62" s="4">
        <f>_xll.AtlasFormulas.AtlasFunctions.AtlasBalance("PROD",DataAreaId,"T.TPPTrans_sst|InventDimId~inventDimId@T.InventDim","Sum|Qty|0","","","","","","","ItemId|TransDate|T2.InventSiteId|T2.InventLocationId",$A62,PeriodEnding,$B62,$C62)</f>
        <v>0</v>
      </c>
      <c r="H62" s="4">
        <f>AtlasReport_4_Table_1[[#This Row],[Quantity]]-AtlasReport_4_Table_1[[#This Row],[TPP trans backwards (Beginning)]]</f>
        <v>0</v>
      </c>
      <c r="I62" s="4">
        <f>AtlasReport_4_Table_1[[#This Row],[Quantity]]-AtlasReport_4_Table_1[[#This Row],[TPP trans backwards (Ending)]]</f>
        <v>-6</v>
      </c>
      <c r="J62" s="4">
        <f>_xll.AtlasFormulas.AtlasFunctions.AtlasBalance("PROD",DataAreaId,"T.TPPTrans_sst|InventDimId~inventDimId@T.InventDim","Sum|CostAmount|0","","","","","","","ItemId|TransDate|T2.InventSiteId|T2.InventLocationId",$A62,PeriodBeginning,$B62,$C62)</f>
        <v>0</v>
      </c>
      <c r="K62" s="4">
        <f>_xll.AtlasFormulas.AtlasFunctions.AtlasBalance("PROD",DataAreaId,"T.TPPTrans_sst|InventDimId~inventDimId@T.InventDim","Sum|CostAmount|0","","","","","","","ItemId|TransDate|T2.InventSiteId|T2.InventLocationId",$A62,PeriodEnding,$B62,$C62)</f>
        <v>0</v>
      </c>
      <c r="L62" s="4">
        <f>AtlasReport_4_Table_1[[#This Row],[TPP cost amount]]-AtlasReport_4_Table_1[[#This Row],[TPP trans backwards balance (Beginning)]]</f>
        <v>0</v>
      </c>
      <c r="M62" s="4">
        <f>AtlasReport_4_Table_1[[#This Row],[TPP cost amount]]-AtlasReport_4_Table_1[[#This Row],[TPP trans backwards balance (Ending)]]</f>
        <v>0</v>
      </c>
    </row>
    <row r="63" spans="1:13">
      <c r="A63" s="8" t="s">
        <v>375</v>
      </c>
      <c r="B63" s="8" t="s">
        <v>237</v>
      </c>
      <c r="C63" s="8" t="s">
        <v>238</v>
      </c>
      <c r="D63" s="4">
        <v>0</v>
      </c>
      <c r="E63" s="4">
        <v>0</v>
      </c>
      <c r="F63" s="4">
        <f>_xll.AtlasFormulas.AtlasFunctions.AtlasBalance("PROD",DataAreaId,"T.TPPTrans_sst|InventDimId~inventDimId@T.InventDim","Sum|Qty|0","","","","","","","ItemId|TransDate|T2.InventSiteId|T2.InventLocationId",$A63,PeriodBeginning,$B63,$C63)</f>
        <v>0</v>
      </c>
      <c r="G63" s="4">
        <f>_xll.AtlasFormulas.AtlasFunctions.AtlasBalance("PROD",DataAreaId,"T.TPPTrans_sst|InventDimId~inventDimId@T.InventDim","Sum|Qty|0","","","","","","","ItemId|TransDate|T2.InventSiteId|T2.InventLocationId",$A63,PeriodEnding,$B63,$C63)</f>
        <v>0</v>
      </c>
      <c r="H63" s="4">
        <f>AtlasReport_4_Table_1[[#This Row],[Quantity]]-AtlasReport_4_Table_1[[#This Row],[TPP trans backwards (Beginning)]]</f>
        <v>0</v>
      </c>
      <c r="I63" s="4">
        <f>AtlasReport_4_Table_1[[#This Row],[Quantity]]-AtlasReport_4_Table_1[[#This Row],[TPP trans backwards (Ending)]]</f>
        <v>0</v>
      </c>
      <c r="J63" s="4">
        <f>_xll.AtlasFormulas.AtlasFunctions.AtlasBalance("PROD",DataAreaId,"T.TPPTrans_sst|InventDimId~inventDimId@T.InventDim","Sum|CostAmount|0","","","","","","","ItemId|TransDate|T2.InventSiteId|T2.InventLocationId",$A63,PeriodBeginning,$B63,$C63)</f>
        <v>0</v>
      </c>
      <c r="K63" s="4">
        <f>_xll.AtlasFormulas.AtlasFunctions.AtlasBalance("PROD",DataAreaId,"T.TPPTrans_sst|InventDimId~inventDimId@T.InventDim","Sum|CostAmount|0","","","","","","","ItemId|TransDate|T2.InventSiteId|T2.InventLocationId",$A63,PeriodEnding,$B63,$C63)</f>
        <v>0</v>
      </c>
      <c r="L63" s="4">
        <f>AtlasReport_4_Table_1[[#This Row],[TPP cost amount]]-AtlasReport_4_Table_1[[#This Row],[TPP trans backwards balance (Beginning)]]</f>
        <v>0</v>
      </c>
      <c r="M63" s="4">
        <f>AtlasReport_4_Table_1[[#This Row],[TPP cost amount]]-AtlasReport_4_Table_1[[#This Row],[TPP trans backwards balance (Ending)]]</f>
        <v>0</v>
      </c>
    </row>
    <row r="64" spans="1:13">
      <c r="A64" s="8" t="s">
        <v>272</v>
      </c>
      <c r="B64" s="8" t="s">
        <v>237</v>
      </c>
      <c r="C64" s="8" t="s">
        <v>238</v>
      </c>
      <c r="D64" s="4">
        <v>-9</v>
      </c>
      <c r="E64" s="4">
        <v>0</v>
      </c>
      <c r="F64" s="4">
        <f>_xll.AtlasFormulas.AtlasFunctions.AtlasBalance("PROD",DataAreaId,"T.TPPTrans_sst|InventDimId~inventDimId@T.InventDim","Sum|Qty|0","","","","","","","ItemId|TransDate|T2.InventSiteId|T2.InventLocationId",$A64,PeriodBeginning,$B64,$C64)</f>
        <v>-9</v>
      </c>
      <c r="G64" s="4">
        <f>_xll.AtlasFormulas.AtlasFunctions.AtlasBalance("PROD",DataAreaId,"T.TPPTrans_sst|InventDimId~inventDimId@T.InventDim","Sum|Qty|0","","","","","","","ItemId|TransDate|T2.InventSiteId|T2.InventLocationId",$A64,PeriodEnding,$B64,$C64)</f>
        <v>0</v>
      </c>
      <c r="H64" s="4">
        <f>AtlasReport_4_Table_1[[#This Row],[Quantity]]-AtlasReport_4_Table_1[[#This Row],[TPP trans backwards (Beginning)]]</f>
        <v>0</v>
      </c>
      <c r="I64" s="4">
        <f>AtlasReport_4_Table_1[[#This Row],[Quantity]]-AtlasReport_4_Table_1[[#This Row],[TPP trans backwards (Ending)]]</f>
        <v>-9</v>
      </c>
      <c r="J64" s="4">
        <f>_xll.AtlasFormulas.AtlasFunctions.AtlasBalance("PROD",DataAreaId,"T.TPPTrans_sst|InventDimId~inventDimId@T.InventDim","Sum|CostAmount|0","","","","","","","ItemId|TransDate|T2.InventSiteId|T2.InventLocationId",$A64,PeriodBeginning,$B64,$C64)</f>
        <v>0</v>
      </c>
      <c r="K64" s="4">
        <f>_xll.AtlasFormulas.AtlasFunctions.AtlasBalance("PROD",DataAreaId,"T.TPPTrans_sst|InventDimId~inventDimId@T.InventDim","Sum|CostAmount|0","","","","","","","ItemId|TransDate|T2.InventSiteId|T2.InventLocationId",$A64,PeriodEnding,$B64,$C64)</f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trans backwards balance (Ending)]]</f>
        <v>0</v>
      </c>
    </row>
    <row r="65" spans="1:13">
      <c r="A65" s="8" t="s">
        <v>273</v>
      </c>
      <c r="B65" s="8" t="s">
        <v>237</v>
      </c>
      <c r="C65" s="8" t="s">
        <v>238</v>
      </c>
      <c r="D65" s="4">
        <v>101</v>
      </c>
      <c r="E65" s="4">
        <v>0</v>
      </c>
      <c r="F65" s="4">
        <f>_xll.AtlasFormulas.AtlasFunctions.AtlasBalance("PROD",DataAreaId,"T.TPPTrans_sst|InventDimId~inventDimId@T.InventDim","Sum|Qty|0","","","","","","","ItemId|TransDate|T2.InventSiteId|T2.InventLocationId",$A65,PeriodBeginning,$B65,$C65)</f>
        <v>101</v>
      </c>
      <c r="G65" s="4">
        <f>_xll.AtlasFormulas.AtlasFunctions.AtlasBalance("PROD",DataAreaId,"T.TPPTrans_sst|InventDimId~inventDimId@T.InventDim","Sum|Qty|0","","","","","","","ItemId|TransDate|T2.InventSiteId|T2.InventLocationId",$A65,PeriodEnding,$B65,$C65)</f>
        <v>117</v>
      </c>
      <c r="H65" s="4">
        <f>AtlasReport_4_Table_1[[#This Row],[Quantity]]-AtlasReport_4_Table_1[[#This Row],[TPP trans backwards (Beginning)]]</f>
        <v>0</v>
      </c>
      <c r="I65" s="4">
        <f>AtlasReport_4_Table_1[[#This Row],[Quantity]]-AtlasReport_4_Table_1[[#This Row],[TPP trans backwards (Ending)]]</f>
        <v>-16</v>
      </c>
      <c r="J65" s="4">
        <f>_xll.AtlasFormulas.AtlasFunctions.AtlasBalance("PROD",DataAreaId,"T.TPPTrans_sst|InventDimId~inventDimId@T.InventDim","Sum|CostAmount|0","","","","","","","ItemId|TransDate|T2.InventSiteId|T2.InventLocationId",$A65,PeriodBeginning,$B65,$C65)</f>
        <v>0</v>
      </c>
      <c r="K65" s="4">
        <f>_xll.AtlasFormulas.AtlasFunctions.AtlasBalance("PROD",DataAreaId,"T.TPPTrans_sst|InventDimId~inventDimId@T.InventDim","Sum|CostAmount|0","","","","","","","ItemId|TransDate|T2.InventSiteId|T2.InventLocationId",$A65,PeriodEnding,$B65,$C65)</f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trans backwards balance (Ending)]]</f>
        <v>0</v>
      </c>
    </row>
    <row r="66" spans="1:13">
      <c r="A66" s="8" t="s">
        <v>391</v>
      </c>
      <c r="B66" s="8" t="s">
        <v>237</v>
      </c>
      <c r="C66" s="8" t="s">
        <v>238</v>
      </c>
      <c r="D66" s="4">
        <v>15.6</v>
      </c>
      <c r="E66" s="4">
        <v>0</v>
      </c>
      <c r="F66" s="4">
        <f>_xll.AtlasFormulas.AtlasFunctions.AtlasBalance("PROD",DataAreaId,"T.TPPTrans_sst|InventDimId~inventDimId@T.InventDim","Sum|Qty|0","","","","","","","ItemId|TransDate|T2.InventSiteId|T2.InventLocationId",$A66,PeriodBeginning,$B66,$C66)</f>
        <v>15.6</v>
      </c>
      <c r="G66" s="4">
        <f>_xll.AtlasFormulas.AtlasFunctions.AtlasBalance("PROD",DataAreaId,"T.TPPTrans_sst|InventDimId~inventDimId@T.InventDim","Sum|Qty|0","","","","","","","ItemId|TransDate|T2.InventSiteId|T2.InventLocationId",$A66,PeriodEnding,$B66,$C66)</f>
        <v>0</v>
      </c>
      <c r="H66" s="4">
        <f>AtlasReport_4_Table_1[[#This Row],[Quantity]]-AtlasReport_4_Table_1[[#This Row],[TPP trans backwards (Beginning)]]</f>
        <v>0</v>
      </c>
      <c r="I66" s="4">
        <f>AtlasReport_4_Table_1[[#This Row],[Quantity]]-AtlasReport_4_Table_1[[#This Row],[TPP trans backwards (Ending)]]</f>
        <v>15.6</v>
      </c>
      <c r="J66" s="4">
        <f>_xll.AtlasFormulas.AtlasFunctions.AtlasBalance("PROD",DataAreaId,"T.TPPTrans_sst|InventDimId~inventDimId@T.InventDim","Sum|CostAmount|0","","","","","","","ItemId|TransDate|T2.InventSiteId|T2.InventLocationId",$A66,PeriodBeginning,$B66,$C66)</f>
        <v>0</v>
      </c>
      <c r="K66" s="4">
        <f>_xll.AtlasFormulas.AtlasFunctions.AtlasBalance("PROD",DataAreaId,"T.TPPTrans_sst|InventDimId~inventDimId@T.InventDim","Sum|CostAmount|0","","","","","","","ItemId|TransDate|T2.InventSiteId|T2.InventLocationId",$A66,PeriodEnding,$B66,$C66)</f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trans backwards balance (Ending)]]</f>
        <v>0</v>
      </c>
    </row>
    <row r="67" spans="1:13">
      <c r="A67" s="8" t="s">
        <v>274</v>
      </c>
      <c r="B67" s="8" t="s">
        <v>237</v>
      </c>
      <c r="C67" s="8" t="s">
        <v>238</v>
      </c>
      <c r="D67" s="4">
        <v>-38</v>
      </c>
      <c r="E67" s="4">
        <v>0</v>
      </c>
      <c r="F67" s="4">
        <f>_xll.AtlasFormulas.AtlasFunctions.AtlasBalance("PROD",DataAreaId,"T.TPPTrans_sst|InventDimId~inventDimId@T.InventDim","Sum|Qty|0","","","","","","","ItemId|TransDate|T2.InventSiteId|T2.InventLocationId",$A67,PeriodBeginning,$B67,$C67)</f>
        <v>-38</v>
      </c>
      <c r="G67" s="4">
        <f>_xll.AtlasFormulas.AtlasFunctions.AtlasBalance("PROD",DataAreaId,"T.TPPTrans_sst|InventDimId~inventDimId@T.InventDim","Sum|Qty|0","","","","","","","ItemId|TransDate|T2.InventSiteId|T2.InventLocationId",$A67,PeriodEnding,$B67,$C67)</f>
        <v>0</v>
      </c>
      <c r="H67" s="4">
        <f>AtlasReport_4_Table_1[[#This Row],[Quantity]]-AtlasReport_4_Table_1[[#This Row],[TPP trans backwards (Beginning)]]</f>
        <v>0</v>
      </c>
      <c r="I67" s="4">
        <f>AtlasReport_4_Table_1[[#This Row],[Quantity]]-AtlasReport_4_Table_1[[#This Row],[TPP trans backwards (Ending)]]</f>
        <v>-38</v>
      </c>
      <c r="J67" s="4">
        <f>_xll.AtlasFormulas.AtlasFunctions.AtlasBalance("PROD",DataAreaId,"T.TPPTrans_sst|InventDimId~inventDimId@T.InventDim","Sum|CostAmount|0","","","","","","","ItemId|TransDate|T2.InventSiteId|T2.InventLocationId",$A67,PeriodBeginning,$B67,$C67)</f>
        <v>0</v>
      </c>
      <c r="K67" s="4">
        <f>_xll.AtlasFormulas.AtlasFunctions.AtlasBalance("PROD",DataAreaId,"T.TPPTrans_sst|InventDimId~inventDimId@T.InventDim","Sum|CostAmount|0","","","","","","","ItemId|TransDate|T2.InventSiteId|T2.InventLocationId",$A67,PeriodEnding,$B67,$C67)</f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trans backwards balance (Ending)]]</f>
        <v>0</v>
      </c>
    </row>
    <row r="68" spans="1:13">
      <c r="A68" s="8" t="s">
        <v>394</v>
      </c>
      <c r="B68" s="8" t="s">
        <v>237</v>
      </c>
      <c r="C68" s="8" t="s">
        <v>238</v>
      </c>
      <c r="D68" s="4">
        <v>22.7</v>
      </c>
      <c r="E68" s="4">
        <v>0</v>
      </c>
      <c r="F68" s="4">
        <f>_xll.AtlasFormulas.AtlasFunctions.AtlasBalance("PROD",DataAreaId,"T.TPPTrans_sst|InventDimId~inventDimId@T.InventDim","Sum|Qty|0","","","","","","","ItemId|TransDate|T2.InventSiteId|T2.InventLocationId",$A68,PeriodBeginning,$B68,$C68)</f>
        <v>22.7</v>
      </c>
      <c r="G68" s="4">
        <f>_xll.AtlasFormulas.AtlasFunctions.AtlasBalance("PROD",DataAreaId,"T.TPPTrans_sst|InventDimId~inventDimId@T.InventDim","Sum|Qty|0","","","","","","","ItemId|TransDate|T2.InventSiteId|T2.InventLocationId",$A68,PeriodEnding,$B68,$C68)</f>
        <v>0</v>
      </c>
      <c r="H68" s="4">
        <f>AtlasReport_4_Table_1[[#This Row],[Quantity]]-AtlasReport_4_Table_1[[#This Row],[TPP trans backwards (Beginning)]]</f>
        <v>0</v>
      </c>
      <c r="I68" s="4">
        <f>AtlasReport_4_Table_1[[#This Row],[Quantity]]-AtlasReport_4_Table_1[[#This Row],[TPP trans backwards (Ending)]]</f>
        <v>22.7</v>
      </c>
      <c r="J68" s="4">
        <f>_xll.AtlasFormulas.AtlasFunctions.AtlasBalance("PROD",DataAreaId,"T.TPPTrans_sst|InventDimId~inventDimId@T.InventDim","Sum|CostAmount|0","","","","","","","ItemId|TransDate|T2.InventSiteId|T2.InventLocationId",$A68,PeriodBeginning,$B68,$C68)</f>
        <v>0</v>
      </c>
      <c r="K68" s="4">
        <f>_xll.AtlasFormulas.AtlasFunctions.AtlasBalance("PROD",DataAreaId,"T.TPPTrans_sst|InventDimId~inventDimId@T.InventDim","Sum|CostAmount|0","","","","","","","ItemId|TransDate|T2.InventSiteId|T2.InventLocationId",$A68,PeriodEnding,$B68,$C68)</f>
        <v>0</v>
      </c>
      <c r="L68" s="4">
        <f>AtlasReport_4_Table_1[[#This Row],[TPP cost amount]]-AtlasReport_4_Table_1[[#This Row],[TPP trans backwards balance (Beginning)]]</f>
        <v>0</v>
      </c>
      <c r="M68" s="4">
        <f>AtlasReport_4_Table_1[[#This Row],[TPP cost amount]]-AtlasReport_4_Table_1[[#This Row],[TPP trans backwards balance (Ending)]]</f>
        <v>0</v>
      </c>
    </row>
    <row r="69" spans="1:13">
      <c r="A69" s="8" t="s">
        <v>277</v>
      </c>
      <c r="B69" s="8" t="s">
        <v>237</v>
      </c>
      <c r="C69" s="8" t="s">
        <v>238</v>
      </c>
      <c r="D69" s="4">
        <v>-4</v>
      </c>
      <c r="E69" s="4">
        <v>0</v>
      </c>
      <c r="F69" s="4">
        <f>_xll.AtlasFormulas.AtlasFunctions.AtlasBalance("PROD",DataAreaId,"T.TPPTrans_sst|InventDimId~inventDimId@T.InventDim","Sum|Qty|0","","","","","","","ItemId|TransDate|T2.InventSiteId|T2.InventLocationId",$A69,PeriodBeginning,$B69,$C69)</f>
        <v>-4</v>
      </c>
      <c r="G69" s="4">
        <f>_xll.AtlasFormulas.AtlasFunctions.AtlasBalance("PROD",DataAreaId,"T.TPPTrans_sst|InventDimId~inventDimId@T.InventDim","Sum|Qty|0","","","","","","","ItemId|TransDate|T2.InventSiteId|T2.InventLocationId",$A69,PeriodEnding,$B69,$C69)</f>
        <v>0</v>
      </c>
      <c r="H69" s="4">
        <f>AtlasReport_4_Table_1[[#This Row],[Quantity]]-AtlasReport_4_Table_1[[#This Row],[TPP trans backwards (Beginning)]]</f>
        <v>0</v>
      </c>
      <c r="I69" s="4">
        <f>AtlasReport_4_Table_1[[#This Row],[Quantity]]-AtlasReport_4_Table_1[[#This Row],[TPP trans backwards (Ending)]]</f>
        <v>-4</v>
      </c>
      <c r="J69" s="4">
        <f>_xll.AtlasFormulas.AtlasFunctions.AtlasBalance("PROD",DataAreaId,"T.TPPTrans_sst|InventDimId~inventDimId@T.InventDim","Sum|CostAmount|0","","","","","","","ItemId|TransDate|T2.InventSiteId|T2.InventLocationId",$A69,PeriodBeginning,$B69,$C69)</f>
        <v>0</v>
      </c>
      <c r="K69" s="4">
        <f>_xll.AtlasFormulas.AtlasFunctions.AtlasBalance("PROD",DataAreaId,"T.TPPTrans_sst|InventDimId~inventDimId@T.InventDim","Sum|CostAmount|0","","","","","","","ItemId|TransDate|T2.InventSiteId|T2.InventLocationId",$A69,PeriodEnding,$B69,$C69)</f>
        <v>0</v>
      </c>
      <c r="L69" s="4">
        <f>AtlasReport_4_Table_1[[#This Row],[TPP cost amount]]-AtlasReport_4_Table_1[[#This Row],[TPP trans backwards balance (Beginning)]]</f>
        <v>0</v>
      </c>
      <c r="M69" s="4">
        <f>AtlasReport_4_Table_1[[#This Row],[TPP cost amount]]-AtlasReport_4_Table_1[[#This Row],[TPP trans backwards balance (Ending)]]</f>
        <v>0</v>
      </c>
    </row>
    <row r="70" spans="1:13">
      <c r="A70" s="8" t="s">
        <v>1044</v>
      </c>
      <c r="B70" s="8" t="s">
        <v>237</v>
      </c>
      <c r="C70" s="8" t="s">
        <v>238</v>
      </c>
      <c r="D70" s="4">
        <v>-204</v>
      </c>
      <c r="E70" s="4">
        <v>0</v>
      </c>
      <c r="F70" s="4">
        <f>_xll.AtlasFormulas.AtlasFunctions.AtlasBalance("PROD",DataAreaId,"T.TPPTrans_sst|InventDimId~inventDimId@T.InventDim","Sum|Qty|0","","","","","","","ItemId|TransDate|T2.InventSiteId|T2.InventLocationId",$A70,PeriodBeginning,$B70,$C70)</f>
        <v>-204</v>
      </c>
      <c r="G70" s="4">
        <f>_xll.AtlasFormulas.AtlasFunctions.AtlasBalance("PROD",DataAreaId,"T.TPPTrans_sst|InventDimId~inventDimId@T.InventDim","Sum|Qty|0","","","","","","","ItemId|TransDate|T2.InventSiteId|T2.InventLocationId",$A70,PeriodEnding,$B70,$C70)</f>
        <v>0</v>
      </c>
      <c r="H70" s="4">
        <f>AtlasReport_4_Table_1[[#This Row],[Quantity]]-AtlasReport_4_Table_1[[#This Row],[TPP trans backwards (Beginning)]]</f>
        <v>0</v>
      </c>
      <c r="I70" s="4">
        <f>AtlasReport_4_Table_1[[#This Row],[Quantity]]-AtlasReport_4_Table_1[[#This Row],[TPP trans backwards (Ending)]]</f>
        <v>-204</v>
      </c>
      <c r="J70" s="4">
        <f>_xll.AtlasFormulas.AtlasFunctions.AtlasBalance("PROD",DataAreaId,"T.TPPTrans_sst|InventDimId~inventDimId@T.InventDim","Sum|CostAmount|0","","","","","","","ItemId|TransDate|T2.InventSiteId|T2.InventLocationId",$A70,PeriodBeginning,$B70,$C70)</f>
        <v>0</v>
      </c>
      <c r="K70" s="4">
        <f>_xll.AtlasFormulas.AtlasFunctions.AtlasBalance("PROD",DataAreaId,"T.TPPTrans_sst|InventDimId~inventDimId@T.InventDim","Sum|CostAmount|0","","","","","","","ItemId|TransDate|T2.InventSiteId|T2.InventLocationId",$A70,PeriodEnding,$B70,$C70)</f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trans backwards balance (Ending)]]</f>
        <v>0</v>
      </c>
    </row>
    <row r="71" spans="1:13">
      <c r="A71" s="8" t="s">
        <v>1047</v>
      </c>
      <c r="B71" s="8" t="s">
        <v>237</v>
      </c>
      <c r="C71" s="8" t="s">
        <v>238</v>
      </c>
      <c r="D71" s="4">
        <v>-42</v>
      </c>
      <c r="E71" s="4">
        <v>0</v>
      </c>
      <c r="F71" s="4">
        <f>_xll.AtlasFormulas.AtlasFunctions.AtlasBalance("PROD",DataAreaId,"T.TPPTrans_sst|InventDimId~inventDimId@T.InventDim","Sum|Qty|0","","","","","","","ItemId|TransDate|T2.InventSiteId|T2.InventLocationId",$A71,PeriodBeginning,$B71,$C71)</f>
        <v>-42</v>
      </c>
      <c r="G71" s="4">
        <f>_xll.AtlasFormulas.AtlasFunctions.AtlasBalance("PROD",DataAreaId,"T.TPPTrans_sst|InventDimId~inventDimId@T.InventDim","Sum|Qty|0","","","","","","","ItemId|TransDate|T2.InventSiteId|T2.InventLocationId",$A71,PeriodEnding,$B71,$C71)</f>
        <v>0</v>
      </c>
      <c r="H71" s="4">
        <f>AtlasReport_4_Table_1[[#This Row],[Quantity]]-AtlasReport_4_Table_1[[#This Row],[TPP trans backwards (Beginning)]]</f>
        <v>0</v>
      </c>
      <c r="I71" s="4">
        <f>AtlasReport_4_Table_1[[#This Row],[Quantity]]-AtlasReport_4_Table_1[[#This Row],[TPP trans backwards (Ending)]]</f>
        <v>-42</v>
      </c>
      <c r="J71" s="4">
        <f>_xll.AtlasFormulas.AtlasFunctions.AtlasBalance("PROD",DataAreaId,"T.TPPTrans_sst|InventDimId~inventDimId@T.InventDim","Sum|CostAmount|0","","","","","","","ItemId|TransDate|T2.InventSiteId|T2.InventLocationId",$A71,PeriodBeginning,$B71,$C71)</f>
        <v>0</v>
      </c>
      <c r="K71" s="4">
        <f>_xll.AtlasFormulas.AtlasFunctions.AtlasBalance("PROD",DataAreaId,"T.TPPTrans_sst|InventDimId~inventDimId@T.InventDim","Sum|CostAmount|0","","","","","","","ItemId|TransDate|T2.InventSiteId|T2.InventLocationId",$A71,PeriodEnding,$B71,$C71)</f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trans backwards balance (Ending)]]</f>
        <v>0</v>
      </c>
    </row>
    <row r="72" spans="1:13">
      <c r="A72" s="8" t="s">
        <v>850</v>
      </c>
      <c r="B72" s="8" t="s">
        <v>237</v>
      </c>
      <c r="C72" s="8" t="s">
        <v>238</v>
      </c>
      <c r="D72" s="4">
        <v>10141</v>
      </c>
      <c r="E72" s="4">
        <v>0</v>
      </c>
      <c r="F72" s="4">
        <f>_xll.AtlasFormulas.AtlasFunctions.AtlasBalance("PROD",DataAreaId,"T.TPPTrans_sst|InventDimId~inventDimId@T.InventDim","Sum|Qty|0","","","","","","","ItemId|TransDate|T2.InventSiteId|T2.InventLocationId",$A72,PeriodBeginning,$B72,$C72)</f>
        <v>10141</v>
      </c>
      <c r="G72" s="4">
        <f>_xll.AtlasFormulas.AtlasFunctions.AtlasBalance("PROD",DataAreaId,"T.TPPTrans_sst|InventDimId~inventDimId@T.InventDim","Sum|Qty|0","","","","","","","ItemId|TransDate|T2.InventSiteId|T2.InventLocationId",$A72,PeriodEnding,$B72,$C72)</f>
        <v>-117</v>
      </c>
      <c r="H72" s="4">
        <f>AtlasReport_4_Table_1[[#This Row],[Quantity]]-AtlasReport_4_Table_1[[#This Row],[TPP trans backwards (Beginning)]]</f>
        <v>0</v>
      </c>
      <c r="I72" s="4">
        <f>AtlasReport_4_Table_1[[#This Row],[Quantity]]-AtlasReport_4_Table_1[[#This Row],[TPP trans backwards (Ending)]]</f>
        <v>10258</v>
      </c>
      <c r="J72" s="4">
        <f>_xll.AtlasFormulas.AtlasFunctions.AtlasBalance("PROD",DataAreaId,"T.TPPTrans_sst|InventDimId~inventDimId@T.InventDim","Sum|CostAmount|0","","","","","","","ItemId|TransDate|T2.InventSiteId|T2.InventLocationId",$A72,PeriodBeginning,$B72,$C72)</f>
        <v>0</v>
      </c>
      <c r="K72" s="4">
        <f>_xll.AtlasFormulas.AtlasFunctions.AtlasBalance("PROD",DataAreaId,"T.TPPTrans_sst|InventDimId~inventDimId@T.InventDim","Sum|CostAmount|0","","","","","","","ItemId|TransDate|T2.InventSiteId|T2.InventLocationId",$A72,PeriodEnding,$B72,$C72)</f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trans backwards balance (Ending)]]</f>
        <v>0</v>
      </c>
    </row>
    <row r="73" spans="1:13">
      <c r="A73" s="8" t="s">
        <v>819</v>
      </c>
      <c r="B73" s="8" t="s">
        <v>237</v>
      </c>
      <c r="C73" s="8" t="s">
        <v>238</v>
      </c>
      <c r="D73" s="4">
        <v>0</v>
      </c>
      <c r="E73" s="4">
        <v>0</v>
      </c>
      <c r="F73" s="4">
        <f>_xll.AtlasFormulas.AtlasFunctions.AtlasBalance("PROD",DataAreaId,"T.TPPTrans_sst|InventDimId~inventDimId@T.InventDim","Sum|Qty|0","","","","","","","ItemId|TransDate|T2.InventSiteId|T2.InventLocationId",$A73,PeriodBeginning,$B73,$C73)</f>
        <v>0</v>
      </c>
      <c r="G73" s="4">
        <f>_xll.AtlasFormulas.AtlasFunctions.AtlasBalance("PROD",DataAreaId,"T.TPPTrans_sst|InventDimId~inventDimId@T.InventDim","Sum|Qty|0","","","","","","","ItemId|TransDate|T2.InventSiteId|T2.InventLocationId",$A73,PeriodEnding,$B73,$C73)</f>
        <v>0</v>
      </c>
      <c r="H73" s="4">
        <f>AtlasReport_4_Table_1[[#This Row],[Quantity]]-AtlasReport_4_Table_1[[#This Row],[TPP trans backwards (Beginning)]]</f>
        <v>0</v>
      </c>
      <c r="I73" s="4">
        <f>AtlasReport_4_Table_1[[#This Row],[Quantity]]-AtlasReport_4_Table_1[[#This Row],[TPP trans backwards (Ending)]]</f>
        <v>0</v>
      </c>
      <c r="J73" s="4">
        <f>_xll.AtlasFormulas.AtlasFunctions.AtlasBalance("PROD",DataAreaId,"T.TPPTrans_sst|InventDimId~inventDimId@T.InventDim","Sum|CostAmount|0","","","","","","","ItemId|TransDate|T2.InventSiteId|T2.InventLocationId",$A73,PeriodBeginning,$B73,$C73)</f>
        <v>0</v>
      </c>
      <c r="K73" s="4">
        <f>_xll.AtlasFormulas.AtlasFunctions.AtlasBalance("PROD",DataAreaId,"T.TPPTrans_sst|InventDimId~inventDimId@T.InventDim","Sum|CostAmount|0","","","","","","","ItemId|TransDate|T2.InventSiteId|T2.InventLocationId",$A73,PeriodEnding,$B73,$C73)</f>
        <v>0</v>
      </c>
      <c r="L73" s="4">
        <f>AtlasReport_4_Table_1[[#This Row],[TPP cost amount]]-AtlasReport_4_Table_1[[#This Row],[TPP trans backwards balance (Beginning)]]</f>
        <v>0</v>
      </c>
      <c r="M73" s="4">
        <f>AtlasReport_4_Table_1[[#This Row],[TPP cost amount]]-AtlasReport_4_Table_1[[#This Row],[TPP trans backwards balance (Ending)]]</f>
        <v>0</v>
      </c>
    </row>
    <row r="74" spans="1:13">
      <c r="A74" s="8" t="s">
        <v>871</v>
      </c>
      <c r="B74" s="8" t="s">
        <v>237</v>
      </c>
      <c r="C74" s="8" t="s">
        <v>238</v>
      </c>
      <c r="D74" s="4">
        <v>-4485</v>
      </c>
      <c r="E74" s="4">
        <v>0</v>
      </c>
      <c r="F74" s="4">
        <f>_xll.AtlasFormulas.AtlasFunctions.AtlasBalance("PROD",DataAreaId,"T.TPPTrans_sst|InventDimId~inventDimId@T.InventDim","Sum|Qty|0","","","","","","","ItemId|TransDate|T2.InventSiteId|T2.InventLocationId",$A74,PeriodBeginning,$B74,$C74)</f>
        <v>-4485</v>
      </c>
      <c r="G74" s="4">
        <f>_xll.AtlasFormulas.AtlasFunctions.AtlasBalance("PROD",DataAreaId,"T.TPPTrans_sst|InventDimId~inventDimId@T.InventDim","Sum|Qty|0","","","","","","","ItemId|TransDate|T2.InventSiteId|T2.InventLocationId",$A74,PeriodEnding,$B74,$C74)</f>
        <v>0</v>
      </c>
      <c r="H74" s="4">
        <f>AtlasReport_4_Table_1[[#This Row],[Quantity]]-AtlasReport_4_Table_1[[#This Row],[TPP trans backwards (Beginning)]]</f>
        <v>0</v>
      </c>
      <c r="I74" s="4">
        <f>AtlasReport_4_Table_1[[#This Row],[Quantity]]-AtlasReport_4_Table_1[[#This Row],[TPP trans backwards (Ending)]]</f>
        <v>-4485</v>
      </c>
      <c r="J74" s="4">
        <f>_xll.AtlasFormulas.AtlasFunctions.AtlasBalance("PROD",DataAreaId,"T.TPPTrans_sst|InventDimId~inventDimId@T.InventDim","Sum|CostAmount|0","","","","","","","ItemId|TransDate|T2.InventSiteId|T2.InventLocationId",$A74,PeriodBeginning,$B74,$C74)</f>
        <v>0</v>
      </c>
      <c r="K74" s="4">
        <f>_xll.AtlasFormulas.AtlasFunctions.AtlasBalance("PROD",DataAreaId,"T.TPPTrans_sst|InventDimId~inventDimId@T.InventDim","Sum|CostAmount|0","","","","","","","ItemId|TransDate|T2.InventSiteId|T2.InventLocationId",$A74,PeriodEnding,$B74,$C74)</f>
        <v>0</v>
      </c>
      <c r="L74" s="4">
        <f>AtlasReport_4_Table_1[[#This Row],[TPP cost amount]]-AtlasReport_4_Table_1[[#This Row],[TPP trans backwards balance (Beginning)]]</f>
        <v>0</v>
      </c>
      <c r="M74" s="4">
        <f>AtlasReport_4_Table_1[[#This Row],[TPP cost amount]]-AtlasReport_4_Table_1[[#This Row],[TPP trans backwards balance (Ending)]]</f>
        <v>0</v>
      </c>
    </row>
    <row r="75" spans="1:13">
      <c r="A75" s="8" t="s">
        <v>853</v>
      </c>
      <c r="B75" s="8" t="s">
        <v>237</v>
      </c>
      <c r="C75" s="8" t="s">
        <v>238</v>
      </c>
      <c r="D75" s="4">
        <v>10604</v>
      </c>
      <c r="E75" s="4">
        <v>0</v>
      </c>
      <c r="F75" s="4">
        <f>_xll.AtlasFormulas.AtlasFunctions.AtlasBalance("PROD",DataAreaId,"T.TPPTrans_sst|InventDimId~inventDimId@T.InventDim","Sum|Qty|0","","","","","","","ItemId|TransDate|T2.InventSiteId|T2.InventLocationId",$A75,PeriodBeginning,$B75,$C75)</f>
        <v>10604</v>
      </c>
      <c r="G75" s="4">
        <f>_xll.AtlasFormulas.AtlasFunctions.AtlasBalance("PROD",DataAreaId,"T.TPPTrans_sst|InventDimId~inventDimId@T.InventDim","Sum|Qty|0","","","","","","","ItemId|TransDate|T2.InventSiteId|T2.InventLocationId",$A75,PeriodEnding,$B75,$C75)</f>
        <v>0</v>
      </c>
      <c r="H75" s="4">
        <f>AtlasReport_4_Table_1[[#This Row],[Quantity]]-AtlasReport_4_Table_1[[#This Row],[TPP trans backwards (Beginning)]]</f>
        <v>0</v>
      </c>
      <c r="I75" s="4">
        <f>AtlasReport_4_Table_1[[#This Row],[Quantity]]-AtlasReport_4_Table_1[[#This Row],[TPP trans backwards (Ending)]]</f>
        <v>10604</v>
      </c>
      <c r="J75" s="4">
        <f>_xll.AtlasFormulas.AtlasFunctions.AtlasBalance("PROD",DataAreaId,"T.TPPTrans_sst|InventDimId~inventDimId@T.InventDim","Sum|CostAmount|0","","","","","","","ItemId|TransDate|T2.InventSiteId|T2.InventLocationId",$A75,PeriodBeginning,$B75,$C75)</f>
        <v>0</v>
      </c>
      <c r="K75" s="4">
        <f>_xll.AtlasFormulas.AtlasFunctions.AtlasBalance("PROD",DataAreaId,"T.TPPTrans_sst|InventDimId~inventDimId@T.InventDim","Sum|CostAmount|0","","","","","","","ItemId|TransDate|T2.InventSiteId|T2.InventLocationId",$A75,PeriodEnding,$B75,$C75)</f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trans backwards balance (Ending)]]</f>
        <v>0</v>
      </c>
    </row>
    <row r="76" spans="1:13">
      <c r="A76" s="8" t="s">
        <v>856</v>
      </c>
      <c r="B76" s="8" t="s">
        <v>237</v>
      </c>
      <c r="C76" s="8" t="s">
        <v>238</v>
      </c>
      <c r="D76" s="4">
        <v>6734</v>
      </c>
      <c r="E76" s="4">
        <v>0</v>
      </c>
      <c r="F76" s="4">
        <f>_xll.AtlasFormulas.AtlasFunctions.AtlasBalance("PROD",DataAreaId,"T.TPPTrans_sst|InventDimId~inventDimId@T.InventDim","Sum|Qty|0","","","","","","","ItemId|TransDate|T2.InventSiteId|T2.InventLocationId",$A76,PeriodBeginning,$B76,$C76)</f>
        <v>6734</v>
      </c>
      <c r="G76" s="4">
        <f>_xll.AtlasFormulas.AtlasFunctions.AtlasBalance("PROD",DataAreaId,"T.TPPTrans_sst|InventDimId~inventDimId@T.InventDim","Sum|Qty|0","","","","","","","ItemId|TransDate|T2.InventSiteId|T2.InventLocationId",$A76,PeriodEnding,$B76,$C76)</f>
        <v>-40</v>
      </c>
      <c r="H76" s="4">
        <f>AtlasReport_4_Table_1[[#This Row],[Quantity]]-AtlasReport_4_Table_1[[#This Row],[TPP trans backwards (Beginning)]]</f>
        <v>0</v>
      </c>
      <c r="I76" s="4">
        <f>AtlasReport_4_Table_1[[#This Row],[Quantity]]-AtlasReport_4_Table_1[[#This Row],[TPP trans backwards (Ending)]]</f>
        <v>6774</v>
      </c>
      <c r="J76" s="4">
        <f>_xll.AtlasFormulas.AtlasFunctions.AtlasBalance("PROD",DataAreaId,"T.TPPTrans_sst|InventDimId~inventDimId@T.InventDim","Sum|CostAmount|0","","","","","","","ItemId|TransDate|T2.InventSiteId|T2.InventLocationId",$A76,PeriodBeginning,$B76,$C76)</f>
        <v>0</v>
      </c>
      <c r="K76" s="4">
        <f>_xll.AtlasFormulas.AtlasFunctions.AtlasBalance("PROD",DataAreaId,"T.TPPTrans_sst|InventDimId~inventDimId@T.InventDim","Sum|CostAmount|0","","","","","","","ItemId|TransDate|T2.InventSiteId|T2.InventLocationId",$A76,PeriodEnding,$B76,$C76)</f>
        <v>0</v>
      </c>
      <c r="L76" s="4">
        <f>AtlasReport_4_Table_1[[#This Row],[TPP cost amount]]-AtlasReport_4_Table_1[[#This Row],[TPP trans backwards balance (Beginning)]]</f>
        <v>0</v>
      </c>
      <c r="M76" s="4">
        <f>AtlasReport_4_Table_1[[#This Row],[TPP cost amount]]-AtlasReport_4_Table_1[[#This Row],[TPP trans backwards balance (Ending)]]</f>
        <v>0</v>
      </c>
    </row>
    <row r="77" spans="1:13">
      <c r="A77" s="8" t="s">
        <v>1065</v>
      </c>
      <c r="B77" s="8" t="s">
        <v>237</v>
      </c>
      <c r="C77" s="8" t="s">
        <v>238</v>
      </c>
      <c r="D77" s="4">
        <v>-40</v>
      </c>
      <c r="E77" s="4">
        <v>0</v>
      </c>
      <c r="F77" s="4">
        <f>_xll.AtlasFormulas.AtlasFunctions.AtlasBalance("PROD",DataAreaId,"T.TPPTrans_sst|InventDimId~inventDimId@T.InventDim","Sum|Qty|0","","","","","","","ItemId|TransDate|T2.InventSiteId|T2.InventLocationId",$A77,PeriodBeginning,$B77,$C77)</f>
        <v>-40</v>
      </c>
      <c r="G77" s="4">
        <f>_xll.AtlasFormulas.AtlasFunctions.AtlasBalance("PROD",DataAreaId,"T.TPPTrans_sst|InventDimId~inventDimId@T.InventDim","Sum|Qty|0","","","","","","","ItemId|TransDate|T2.InventSiteId|T2.InventLocationId",$A77,PeriodEnding,$B77,$C77)</f>
        <v>0</v>
      </c>
      <c r="H77" s="4">
        <f>AtlasReport_4_Table_1[[#This Row],[Quantity]]-AtlasReport_4_Table_1[[#This Row],[TPP trans backwards (Beginning)]]</f>
        <v>0</v>
      </c>
      <c r="I77" s="4">
        <f>AtlasReport_4_Table_1[[#This Row],[Quantity]]-AtlasReport_4_Table_1[[#This Row],[TPP trans backwards (Ending)]]</f>
        <v>-40</v>
      </c>
      <c r="J77" s="4">
        <f>_xll.AtlasFormulas.AtlasFunctions.AtlasBalance("PROD",DataAreaId,"T.TPPTrans_sst|InventDimId~inventDimId@T.InventDim","Sum|CostAmount|0","","","","","","","ItemId|TransDate|T2.InventSiteId|T2.InventLocationId",$A77,PeriodBeginning,$B77,$C77)</f>
        <v>0</v>
      </c>
      <c r="K77" s="4">
        <f>_xll.AtlasFormulas.AtlasFunctions.AtlasBalance("PROD",DataAreaId,"T.TPPTrans_sst|InventDimId~inventDimId@T.InventDim","Sum|CostAmount|0","","","","","","","ItemId|TransDate|T2.InventSiteId|T2.InventLocationId",$A77,PeriodEnding,$B77,$C77)</f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trans backwards balance (Ending)]]</f>
        <v>0</v>
      </c>
    </row>
    <row r="78" spans="1:13">
      <c r="A78" s="8" t="s">
        <v>813</v>
      </c>
      <c r="B78" s="8" t="s">
        <v>237</v>
      </c>
      <c r="C78" s="8" t="s">
        <v>238</v>
      </c>
      <c r="D78" s="4">
        <v>0</v>
      </c>
      <c r="E78" s="4">
        <v>0</v>
      </c>
      <c r="F78" s="4">
        <f>_xll.AtlasFormulas.AtlasFunctions.AtlasBalance("PROD",DataAreaId,"T.TPPTrans_sst|InventDimId~inventDimId@T.InventDim","Sum|Qty|0","","","","","","","ItemId|TransDate|T2.InventSiteId|T2.InventLocationId",$A78,PeriodBeginning,$B78,$C78)</f>
        <v>0</v>
      </c>
      <c r="G78" s="4">
        <f>_xll.AtlasFormulas.AtlasFunctions.AtlasBalance("PROD",DataAreaId,"T.TPPTrans_sst|InventDimId~inventDimId@T.InventDim","Sum|Qty|0","","","","","","","ItemId|TransDate|T2.InventSiteId|T2.InventLocationId",$A78,PeriodEnding,$B78,$C78)</f>
        <v>0</v>
      </c>
      <c r="H78" s="4">
        <f>AtlasReport_4_Table_1[[#This Row],[Quantity]]-AtlasReport_4_Table_1[[#This Row],[TPP trans backwards (Beginning)]]</f>
        <v>0</v>
      </c>
      <c r="I78" s="4">
        <f>AtlasReport_4_Table_1[[#This Row],[Quantity]]-AtlasReport_4_Table_1[[#This Row],[TPP trans backwards (Ending)]]</f>
        <v>0</v>
      </c>
      <c r="J78" s="4">
        <f>_xll.AtlasFormulas.AtlasFunctions.AtlasBalance("PROD",DataAreaId,"T.TPPTrans_sst|InventDimId~inventDimId@T.InventDim","Sum|CostAmount|0","","","","","","","ItemId|TransDate|T2.InventSiteId|T2.InventLocationId",$A78,PeriodBeginning,$B78,$C78)</f>
        <v>0</v>
      </c>
      <c r="K78" s="4">
        <f>_xll.AtlasFormulas.AtlasFunctions.AtlasBalance("PROD",DataAreaId,"T.TPPTrans_sst|InventDimId~inventDimId@T.InventDim","Sum|CostAmount|0","","","","","","","ItemId|TransDate|T2.InventSiteId|T2.InventLocationId",$A78,PeriodEnding,$B78,$C78)</f>
        <v>0</v>
      </c>
      <c r="L78" s="4">
        <f>AtlasReport_4_Table_1[[#This Row],[TPP cost amount]]-AtlasReport_4_Table_1[[#This Row],[TPP trans backwards balance (Beginning)]]</f>
        <v>0</v>
      </c>
      <c r="M78" s="4">
        <f>AtlasReport_4_Table_1[[#This Row],[TPP cost amount]]-AtlasReport_4_Table_1[[#This Row],[TPP trans backwards balance (Ending)]]</f>
        <v>0</v>
      </c>
    </row>
    <row r="79" spans="1:13">
      <c r="A79" s="8" t="s">
        <v>823</v>
      </c>
      <c r="B79" s="8" t="s">
        <v>237</v>
      </c>
      <c r="C79" s="8" t="s">
        <v>238</v>
      </c>
      <c r="D79" s="4">
        <v>-9</v>
      </c>
      <c r="E79" s="4">
        <v>0</v>
      </c>
      <c r="F79" s="4">
        <f>_xll.AtlasFormulas.AtlasFunctions.AtlasBalance("PROD",DataAreaId,"T.TPPTrans_sst|InventDimId~inventDimId@T.InventDim","Sum|Qty|0","","","","","","","ItemId|TransDate|T2.InventSiteId|T2.InventLocationId",$A79,PeriodBeginning,$B79,$C79)</f>
        <v>-9</v>
      </c>
      <c r="G79" s="4">
        <f>_xll.AtlasFormulas.AtlasFunctions.AtlasBalance("PROD",DataAreaId,"T.TPPTrans_sst|InventDimId~inventDimId@T.InventDim","Sum|Qty|0","","","","","","","ItemId|TransDate|T2.InventSiteId|T2.InventLocationId",$A79,PeriodEnding,$B79,$C79)</f>
        <v>0</v>
      </c>
      <c r="H79" s="4">
        <f>AtlasReport_4_Table_1[[#This Row],[Quantity]]-AtlasReport_4_Table_1[[#This Row],[TPP trans backwards (Beginning)]]</f>
        <v>0</v>
      </c>
      <c r="I79" s="4">
        <f>AtlasReport_4_Table_1[[#This Row],[Quantity]]-AtlasReport_4_Table_1[[#This Row],[TPP trans backwards (Ending)]]</f>
        <v>-9</v>
      </c>
      <c r="J79" s="4">
        <f>_xll.AtlasFormulas.AtlasFunctions.AtlasBalance("PROD",DataAreaId,"T.TPPTrans_sst|InventDimId~inventDimId@T.InventDim","Sum|CostAmount|0","","","","","","","ItemId|TransDate|T2.InventSiteId|T2.InventLocationId",$A79,PeriodBeginning,$B79,$C79)</f>
        <v>0</v>
      </c>
      <c r="K79" s="4">
        <f>_xll.AtlasFormulas.AtlasFunctions.AtlasBalance("PROD",DataAreaId,"T.TPPTrans_sst|InventDimId~inventDimId@T.InventDim","Sum|CostAmount|0","","","","","","","ItemId|TransDate|T2.InventSiteId|T2.InventLocationId",$A79,PeriodEnding,$B79,$C79)</f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trans backwards balance (Ending)]]</f>
        <v>0</v>
      </c>
    </row>
    <row r="80" spans="1:13">
      <c r="A80" s="8" t="s">
        <v>826</v>
      </c>
      <c r="B80" s="8" t="s">
        <v>237</v>
      </c>
      <c r="C80" s="8" t="s">
        <v>238</v>
      </c>
      <c r="D80" s="4">
        <v>-9</v>
      </c>
      <c r="E80" s="4">
        <v>0</v>
      </c>
      <c r="F80" s="4">
        <f>_xll.AtlasFormulas.AtlasFunctions.AtlasBalance("PROD",DataAreaId,"T.TPPTrans_sst|InventDimId~inventDimId@T.InventDim","Sum|Qty|0","","","","","","","ItemId|TransDate|T2.InventSiteId|T2.InventLocationId",$A80,PeriodBeginning,$B80,$C80)</f>
        <v>-9</v>
      </c>
      <c r="G80" s="4">
        <f>_xll.AtlasFormulas.AtlasFunctions.AtlasBalance("PROD",DataAreaId,"T.TPPTrans_sst|InventDimId~inventDimId@T.InventDim","Sum|Qty|0","","","","","","","ItemId|TransDate|T2.InventSiteId|T2.InventLocationId",$A80,PeriodEnding,$B80,$C80)</f>
        <v>0</v>
      </c>
      <c r="H80" s="4">
        <f>AtlasReport_4_Table_1[[#This Row],[Quantity]]-AtlasReport_4_Table_1[[#This Row],[TPP trans backwards (Beginning)]]</f>
        <v>0</v>
      </c>
      <c r="I80" s="4">
        <f>AtlasReport_4_Table_1[[#This Row],[Quantity]]-AtlasReport_4_Table_1[[#This Row],[TPP trans backwards (Ending)]]</f>
        <v>-9</v>
      </c>
      <c r="J80" s="4">
        <f>_xll.AtlasFormulas.AtlasFunctions.AtlasBalance("PROD",DataAreaId,"T.TPPTrans_sst|InventDimId~inventDimId@T.InventDim","Sum|CostAmount|0","","","","","","","ItemId|TransDate|T2.InventSiteId|T2.InventLocationId",$A80,PeriodBeginning,$B80,$C80)</f>
        <v>0</v>
      </c>
      <c r="K80" s="4">
        <f>_xll.AtlasFormulas.AtlasFunctions.AtlasBalance("PROD",DataAreaId,"T.TPPTrans_sst|InventDimId~inventDimId@T.InventDim","Sum|CostAmount|0","","","","","","","ItemId|TransDate|T2.InventSiteId|T2.InventLocationId",$A80,PeriodEnding,$B80,$C80)</f>
        <v>0</v>
      </c>
      <c r="L80" s="4">
        <f>AtlasReport_4_Table_1[[#This Row],[TPP cost amount]]-AtlasReport_4_Table_1[[#This Row],[TPP trans backwards balance (Beginning)]]</f>
        <v>0</v>
      </c>
      <c r="M80" s="4">
        <f>AtlasReport_4_Table_1[[#This Row],[TPP cost amount]]-AtlasReport_4_Table_1[[#This Row],[TPP trans backwards balance (Ending)]]</f>
        <v>0</v>
      </c>
    </row>
    <row r="81" spans="1:13">
      <c r="A81" s="8" t="s">
        <v>279</v>
      </c>
      <c r="B81" s="8" t="s">
        <v>237</v>
      </c>
      <c r="C81" s="8" t="s">
        <v>238</v>
      </c>
      <c r="D81" s="4">
        <v>1.7972000000000001</v>
      </c>
      <c r="E81" s="4">
        <v>0</v>
      </c>
      <c r="F81" s="4">
        <f>_xll.AtlasFormulas.AtlasFunctions.AtlasBalance("PROD",DataAreaId,"T.TPPTrans_sst|InventDimId~inventDimId@T.InventDim","Sum|Qty|0","","","","","","","ItemId|TransDate|T2.InventSiteId|T2.InventLocationId",$A81,PeriodBeginning,$B81,$C81)</f>
        <v>-12.902799999999999</v>
      </c>
      <c r="G81" s="4">
        <f>_xll.AtlasFormulas.AtlasFunctions.AtlasBalance("PROD",DataAreaId,"T.TPPTrans_sst|InventDimId~inventDimId@T.InventDim","Sum|Qty|0","","","","","","","ItemId|TransDate|T2.InventSiteId|T2.InventLocationId",$A81,PeriodEnding,$B81,$C81)</f>
        <v>0</v>
      </c>
      <c r="H81" s="4">
        <f>AtlasReport_4_Table_1[[#This Row],[Quantity]]-AtlasReport_4_Table_1[[#This Row],[TPP trans backwards (Beginning)]]</f>
        <v>14.7</v>
      </c>
      <c r="I81" s="4">
        <f>AtlasReport_4_Table_1[[#This Row],[Quantity]]-AtlasReport_4_Table_1[[#This Row],[TPP trans backwards (Ending)]]</f>
        <v>1.7972000000000001</v>
      </c>
      <c r="J81" s="4">
        <f>_xll.AtlasFormulas.AtlasFunctions.AtlasBalance("PROD",DataAreaId,"T.TPPTrans_sst|InventDimId~inventDimId@T.InventDim","Sum|CostAmount|0","","","","","","","ItemId|TransDate|T2.InventSiteId|T2.InventLocationId",$A81,PeriodBeginning,$B81,$C81)</f>
        <v>0</v>
      </c>
      <c r="K81" s="4">
        <f>_xll.AtlasFormulas.AtlasFunctions.AtlasBalance("PROD",DataAreaId,"T.TPPTrans_sst|InventDimId~inventDimId@T.InventDim","Sum|CostAmount|0","","","","","","","ItemId|TransDate|T2.InventSiteId|T2.InventLocationId",$A81,PeriodEnding,$B81,$C81)</f>
        <v>0</v>
      </c>
      <c r="L81" s="4">
        <f>AtlasReport_4_Table_1[[#This Row],[TPP cost amount]]-AtlasReport_4_Table_1[[#This Row],[TPP trans backwards balance (Beginning)]]</f>
        <v>0</v>
      </c>
      <c r="M81" s="4">
        <f>AtlasReport_4_Table_1[[#This Row],[TPP cost amount]]-AtlasReport_4_Table_1[[#This Row],[TPP trans backwards balance (Ending)]]</f>
        <v>0</v>
      </c>
    </row>
    <row r="82" spans="1:13">
      <c r="A82" s="8" t="s">
        <v>280</v>
      </c>
      <c r="B82" s="8" t="s">
        <v>237</v>
      </c>
      <c r="C82" s="8" t="s">
        <v>238</v>
      </c>
      <c r="D82" s="4">
        <v>145.84620000000001</v>
      </c>
      <c r="E82" s="4">
        <v>0</v>
      </c>
      <c r="F82" s="4">
        <f>_xll.AtlasFormulas.AtlasFunctions.AtlasBalance("PROD",DataAreaId,"T.TPPTrans_sst|InventDimId~inventDimId@T.InventDim","Sum|Qty|0","","","","","","","ItemId|TransDate|T2.InventSiteId|T2.InventLocationId",$A82,PeriodBeginning,$B82,$C82)</f>
        <v>-1.2538</v>
      </c>
      <c r="G82" s="4">
        <f>_xll.AtlasFormulas.AtlasFunctions.AtlasBalance("PROD",DataAreaId,"T.TPPTrans_sst|InventDimId~inventDimId@T.InventDim","Sum|Qty|0","","","","","","","ItemId|TransDate|T2.InventSiteId|T2.InventLocationId",$A82,PeriodEnding,$B82,$C82)</f>
        <v>0</v>
      </c>
      <c r="H82" s="4">
        <f>AtlasReport_4_Table_1[[#This Row],[Quantity]]-AtlasReport_4_Table_1[[#This Row],[TPP trans backwards (Beginning)]]</f>
        <v>147.10000000000002</v>
      </c>
      <c r="I82" s="4">
        <f>AtlasReport_4_Table_1[[#This Row],[Quantity]]-AtlasReport_4_Table_1[[#This Row],[TPP trans backwards (Ending)]]</f>
        <v>145.84620000000001</v>
      </c>
      <c r="J82" s="4">
        <f>_xll.AtlasFormulas.AtlasFunctions.AtlasBalance("PROD",DataAreaId,"T.TPPTrans_sst|InventDimId~inventDimId@T.InventDim","Sum|CostAmount|0","","","","","","","ItemId|TransDate|T2.InventSiteId|T2.InventLocationId",$A82,PeriodBeginning,$B82,$C82)</f>
        <v>0</v>
      </c>
      <c r="K82" s="4">
        <f>_xll.AtlasFormulas.AtlasFunctions.AtlasBalance("PROD",DataAreaId,"T.TPPTrans_sst|InventDimId~inventDimId@T.InventDim","Sum|CostAmount|0","","","","","","","ItemId|TransDate|T2.InventSiteId|T2.InventLocationId",$A82,PeriodEnding,$B82,$C82)</f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trans backwards balance (Ending)]]</f>
        <v>0</v>
      </c>
    </row>
    <row r="83" spans="1:13">
      <c r="A83" s="8" t="s">
        <v>522</v>
      </c>
      <c r="B83" s="8" t="s">
        <v>237</v>
      </c>
      <c r="C83" s="8" t="s">
        <v>238</v>
      </c>
      <c r="D83" s="4">
        <v>5</v>
      </c>
      <c r="E83" s="4">
        <v>0</v>
      </c>
      <c r="F83" s="4">
        <f>_xll.AtlasFormulas.AtlasFunctions.AtlasBalance("PROD",DataAreaId,"T.TPPTrans_sst|InventDimId~inventDimId@T.InventDim","Sum|Qty|0","","","","","","","ItemId|TransDate|T2.InventSiteId|T2.InventLocationId",$A83,PeriodBeginning,$B83,$C83)</f>
        <v>5</v>
      </c>
      <c r="G83" s="4">
        <f>_xll.AtlasFormulas.AtlasFunctions.AtlasBalance("PROD",DataAreaId,"T.TPPTrans_sst|InventDimId~inventDimId@T.InventDim","Sum|Qty|0","","","","","","","ItemId|TransDate|T2.InventSiteId|T2.InventLocationId",$A83,PeriodEnding,$B83,$C83)</f>
        <v>0</v>
      </c>
      <c r="H83" s="4">
        <f>AtlasReport_4_Table_1[[#This Row],[Quantity]]-AtlasReport_4_Table_1[[#This Row],[TPP trans backwards (Beginning)]]</f>
        <v>0</v>
      </c>
      <c r="I83" s="4">
        <f>AtlasReport_4_Table_1[[#This Row],[Quantity]]-AtlasReport_4_Table_1[[#This Row],[TPP trans backwards (Ending)]]</f>
        <v>5</v>
      </c>
      <c r="J83" s="4">
        <f>_xll.AtlasFormulas.AtlasFunctions.AtlasBalance("PROD",DataAreaId,"T.TPPTrans_sst|InventDimId~inventDimId@T.InventDim","Sum|CostAmount|0","","","","","","","ItemId|TransDate|T2.InventSiteId|T2.InventLocationId",$A83,PeriodBeginning,$B83,$C83)</f>
        <v>0</v>
      </c>
      <c r="K83" s="4">
        <f>_xll.AtlasFormulas.AtlasFunctions.AtlasBalance("PROD",DataAreaId,"T.TPPTrans_sst|InventDimId~inventDimId@T.InventDim","Sum|CostAmount|0","","","","","","","ItemId|TransDate|T2.InventSiteId|T2.InventLocationId",$A83,PeriodEnding,$B83,$C83)</f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trans backwards balance (Ending)]]</f>
        <v>0</v>
      </c>
    </row>
    <row r="84" spans="1:13">
      <c r="A84" s="8" t="s">
        <v>282</v>
      </c>
      <c r="B84" s="8" t="s">
        <v>237</v>
      </c>
      <c r="C84" s="8" t="s">
        <v>238</v>
      </c>
      <c r="D84" s="4">
        <v>42.9</v>
      </c>
      <c r="E84" s="4">
        <v>0</v>
      </c>
      <c r="F84" s="4">
        <f>_xll.AtlasFormulas.AtlasFunctions.AtlasBalance("PROD",DataAreaId,"T.TPPTrans_sst|InventDimId~inventDimId@T.InventDim","Sum|Qty|0","","","","","","","ItemId|TransDate|T2.InventSiteId|T2.InventLocationId",$A84,PeriodBeginning,$B84,$C84)</f>
        <v>0</v>
      </c>
      <c r="G84" s="4">
        <f>_xll.AtlasFormulas.AtlasFunctions.AtlasBalance("PROD",DataAreaId,"T.TPPTrans_sst|InventDimId~inventDimId@T.InventDim","Sum|Qty|0","","","","","","","ItemId|TransDate|T2.InventSiteId|T2.InventLocationId",$A84,PeriodEnding,$B84,$C84)</f>
        <v>0</v>
      </c>
      <c r="H84" s="4">
        <f>AtlasReport_4_Table_1[[#This Row],[Quantity]]-AtlasReport_4_Table_1[[#This Row],[TPP trans backwards (Beginning)]]</f>
        <v>42.9</v>
      </c>
      <c r="I84" s="4">
        <f>AtlasReport_4_Table_1[[#This Row],[Quantity]]-AtlasReport_4_Table_1[[#This Row],[TPP trans backwards (Ending)]]</f>
        <v>42.9</v>
      </c>
      <c r="J84" s="4">
        <f>_xll.AtlasFormulas.AtlasFunctions.AtlasBalance("PROD",DataAreaId,"T.TPPTrans_sst|InventDimId~inventDimId@T.InventDim","Sum|CostAmount|0","","","","","","","ItemId|TransDate|T2.InventSiteId|T2.InventLocationId",$A84,PeriodBeginning,$B84,$C84)</f>
        <v>0</v>
      </c>
      <c r="K84" s="4">
        <f>_xll.AtlasFormulas.AtlasFunctions.AtlasBalance("PROD",DataAreaId,"T.TPPTrans_sst|InventDimId~inventDimId@T.InventDim","Sum|CostAmount|0","","","","","","","ItemId|TransDate|T2.InventSiteId|T2.InventLocationId",$A84,PeriodEnding,$B84,$C84)</f>
        <v>0</v>
      </c>
      <c r="L84" s="4">
        <f>AtlasReport_4_Table_1[[#This Row],[TPP cost amount]]-AtlasReport_4_Table_1[[#This Row],[TPP trans backwards balance (Beginning)]]</f>
        <v>0</v>
      </c>
      <c r="M84" s="4">
        <f>AtlasReport_4_Table_1[[#This Row],[TPP cost amount]]-AtlasReport_4_Table_1[[#This Row],[TPP trans backwards balance (Ending)]]</f>
        <v>0</v>
      </c>
    </row>
    <row r="85" spans="1:13">
      <c r="A85" s="8" t="s">
        <v>626</v>
      </c>
      <c r="B85" s="8" t="s">
        <v>237</v>
      </c>
      <c r="C85" s="8" t="s">
        <v>238</v>
      </c>
      <c r="D85" s="4">
        <v>-40</v>
      </c>
      <c r="E85" s="4">
        <v>0</v>
      </c>
      <c r="F85" s="4">
        <f>_xll.AtlasFormulas.AtlasFunctions.AtlasBalance("PROD",DataAreaId,"T.TPPTrans_sst|InventDimId~inventDimId@T.InventDim","Sum|Qty|0","","","","","","","ItemId|TransDate|T2.InventSiteId|T2.InventLocationId",$A85,PeriodBeginning,$B85,$C85)</f>
        <v>-40</v>
      </c>
      <c r="G85" s="4">
        <f>_xll.AtlasFormulas.AtlasFunctions.AtlasBalance("PROD",DataAreaId,"T.TPPTrans_sst|InventDimId~inventDimId@T.InventDim","Sum|Qty|0","","","","","","","ItemId|TransDate|T2.InventSiteId|T2.InventLocationId",$A85,PeriodEnding,$B85,$C85)</f>
        <v>0</v>
      </c>
      <c r="H85" s="4">
        <f>AtlasReport_4_Table_1[[#This Row],[Quantity]]-AtlasReport_4_Table_1[[#This Row],[TPP trans backwards (Beginning)]]</f>
        <v>0</v>
      </c>
      <c r="I85" s="4">
        <f>AtlasReport_4_Table_1[[#This Row],[Quantity]]-AtlasReport_4_Table_1[[#This Row],[TPP trans backwards (Ending)]]</f>
        <v>-40</v>
      </c>
      <c r="J85" s="4">
        <f>_xll.AtlasFormulas.AtlasFunctions.AtlasBalance("PROD",DataAreaId,"T.TPPTrans_sst|InventDimId~inventDimId@T.InventDim","Sum|CostAmount|0","","","","","","","ItemId|TransDate|T2.InventSiteId|T2.InventLocationId",$A85,PeriodBeginning,$B85,$C85)</f>
        <v>0</v>
      </c>
      <c r="K85" s="4">
        <f>_xll.AtlasFormulas.AtlasFunctions.AtlasBalance("PROD",DataAreaId,"T.TPPTrans_sst|InventDimId~inventDimId@T.InventDim","Sum|CostAmount|0","","","","","","","ItemId|TransDate|T2.InventSiteId|T2.InventLocationId",$A85,PeriodEnding,$B85,$C85)</f>
        <v>0</v>
      </c>
      <c r="L85" s="4">
        <f>AtlasReport_4_Table_1[[#This Row],[TPP cost amount]]-AtlasReport_4_Table_1[[#This Row],[TPP trans backwards balance (Beginning)]]</f>
        <v>0</v>
      </c>
      <c r="M85" s="4">
        <f>AtlasReport_4_Table_1[[#This Row],[TPP cost amount]]-AtlasReport_4_Table_1[[#This Row],[TPP trans backwards balance (Ending)]]</f>
        <v>0</v>
      </c>
    </row>
    <row r="86" spans="1:13">
      <c r="A86" s="8" t="s">
        <v>429</v>
      </c>
      <c r="B86" s="8" t="s">
        <v>237</v>
      </c>
      <c r="C86" s="8" t="s">
        <v>238</v>
      </c>
      <c r="D86" s="4">
        <v>5</v>
      </c>
      <c r="E86" s="4">
        <v>0</v>
      </c>
      <c r="F86" s="4">
        <f>_xll.AtlasFormulas.AtlasFunctions.AtlasBalance("PROD",DataAreaId,"T.TPPTrans_sst|InventDimId~inventDimId@T.InventDim","Sum|Qty|0","","","","","","","ItemId|TransDate|T2.InventSiteId|T2.InventLocationId",$A86,PeriodBeginning,$B86,$C86)</f>
        <v>5</v>
      </c>
      <c r="G86" s="4">
        <f>_xll.AtlasFormulas.AtlasFunctions.AtlasBalance("PROD",DataAreaId,"T.TPPTrans_sst|InventDimId~inventDimId@T.InventDim","Sum|Qty|0","","","","","","","ItemId|TransDate|T2.InventSiteId|T2.InventLocationId",$A86,PeriodEnding,$B86,$C86)</f>
        <v>0</v>
      </c>
      <c r="H86" s="4">
        <f>AtlasReport_4_Table_1[[#This Row],[Quantity]]-AtlasReport_4_Table_1[[#This Row],[TPP trans backwards (Beginning)]]</f>
        <v>0</v>
      </c>
      <c r="I86" s="4">
        <f>AtlasReport_4_Table_1[[#This Row],[Quantity]]-AtlasReport_4_Table_1[[#This Row],[TPP trans backwards (Ending)]]</f>
        <v>5</v>
      </c>
      <c r="J86" s="4">
        <f>_xll.AtlasFormulas.AtlasFunctions.AtlasBalance("PROD",DataAreaId,"T.TPPTrans_sst|InventDimId~inventDimId@T.InventDim","Sum|CostAmount|0","","","","","","","ItemId|TransDate|T2.InventSiteId|T2.InventLocationId",$A86,PeriodBeginning,$B86,$C86)</f>
        <v>0</v>
      </c>
      <c r="K86" s="4">
        <f>_xll.AtlasFormulas.AtlasFunctions.AtlasBalance("PROD",DataAreaId,"T.TPPTrans_sst|InventDimId~inventDimId@T.InventDim","Sum|CostAmount|0","","","","","","","ItemId|TransDate|T2.InventSiteId|T2.InventLocationId",$A86,PeriodEnding,$B86,$C86)</f>
        <v>0</v>
      </c>
      <c r="L86" s="4">
        <f>AtlasReport_4_Table_1[[#This Row],[TPP cost amount]]-AtlasReport_4_Table_1[[#This Row],[TPP trans backwards balance (Beginning)]]</f>
        <v>0</v>
      </c>
      <c r="M86" s="4">
        <f>AtlasReport_4_Table_1[[#This Row],[TPP cost amount]]-AtlasReport_4_Table_1[[#This Row],[TPP trans backwards balance (Ending)]]</f>
        <v>0</v>
      </c>
    </row>
    <row r="87" spans="1:13">
      <c r="A87" s="8" t="s">
        <v>437</v>
      </c>
      <c r="B87" s="8" t="s">
        <v>237</v>
      </c>
      <c r="C87" s="8" t="s">
        <v>238</v>
      </c>
      <c r="D87" s="4">
        <v>10</v>
      </c>
      <c r="E87" s="4">
        <v>0</v>
      </c>
      <c r="F87" s="4">
        <f>_xll.AtlasFormulas.AtlasFunctions.AtlasBalance("PROD",DataAreaId,"T.TPPTrans_sst|InventDimId~inventDimId@T.InventDim","Sum|Qty|0","","","","","","","ItemId|TransDate|T2.InventSiteId|T2.InventLocationId",$A87,PeriodBeginning,$B87,$C87)</f>
        <v>10</v>
      </c>
      <c r="G87" s="4">
        <f>_xll.AtlasFormulas.AtlasFunctions.AtlasBalance("PROD",DataAreaId,"T.TPPTrans_sst|InventDimId~inventDimId@T.InventDim","Sum|Qty|0","","","","","","","ItemId|TransDate|T2.InventSiteId|T2.InventLocationId",$A87,PeriodEnding,$B87,$C87)</f>
        <v>0</v>
      </c>
      <c r="H87" s="4">
        <f>AtlasReport_4_Table_1[[#This Row],[Quantity]]-AtlasReport_4_Table_1[[#This Row],[TPP trans backwards (Beginning)]]</f>
        <v>0</v>
      </c>
      <c r="I87" s="4">
        <f>AtlasReport_4_Table_1[[#This Row],[Quantity]]-AtlasReport_4_Table_1[[#This Row],[TPP trans backwards (Ending)]]</f>
        <v>10</v>
      </c>
      <c r="J87" s="4">
        <f>_xll.AtlasFormulas.AtlasFunctions.AtlasBalance("PROD",DataAreaId,"T.TPPTrans_sst|InventDimId~inventDimId@T.InventDim","Sum|CostAmount|0","","","","","","","ItemId|TransDate|T2.InventSiteId|T2.InventLocationId",$A87,PeriodBeginning,$B87,$C87)</f>
        <v>0</v>
      </c>
      <c r="K87" s="4">
        <f>_xll.AtlasFormulas.AtlasFunctions.AtlasBalance("PROD",DataAreaId,"T.TPPTrans_sst|InventDimId~inventDimId@T.InventDim","Sum|CostAmount|0","","","","","","","ItemId|TransDate|T2.InventSiteId|T2.InventLocationId",$A87,PeriodEnding,$B87,$C87)</f>
        <v>0</v>
      </c>
      <c r="L87" s="4">
        <f>AtlasReport_4_Table_1[[#This Row],[TPP cost amount]]-AtlasReport_4_Table_1[[#This Row],[TPP trans backwards balance (Beginning)]]</f>
        <v>0</v>
      </c>
      <c r="M87" s="4">
        <f>AtlasReport_4_Table_1[[#This Row],[TPP cost amount]]-AtlasReport_4_Table_1[[#This Row],[TPP trans backwards balance (Ending)]]</f>
        <v>0</v>
      </c>
    </row>
    <row r="88" spans="1:13">
      <c r="A88" s="8" t="s">
        <v>284</v>
      </c>
      <c r="B88" s="8" t="s">
        <v>237</v>
      </c>
      <c r="C88" s="8" t="s">
        <v>238</v>
      </c>
      <c r="D88" s="4">
        <v>-1</v>
      </c>
      <c r="E88" s="4">
        <v>0</v>
      </c>
      <c r="F88" s="4">
        <f>_xll.AtlasFormulas.AtlasFunctions.AtlasBalance("PROD",DataAreaId,"T.TPPTrans_sst|InventDimId~inventDimId@T.InventDim","Sum|Qty|0","","","","","","","ItemId|TransDate|T2.InventSiteId|T2.InventLocationId",$A88,PeriodBeginning,$B88,$C88)</f>
        <v>-1</v>
      </c>
      <c r="G88" s="4">
        <f>_xll.AtlasFormulas.AtlasFunctions.AtlasBalance("PROD",DataAreaId,"T.TPPTrans_sst|InventDimId~inventDimId@T.InventDim","Sum|Qty|0","","","","","","","ItemId|TransDate|T2.InventSiteId|T2.InventLocationId",$A88,PeriodEnding,$B88,$C88)</f>
        <v>0</v>
      </c>
      <c r="H88" s="4">
        <f>AtlasReport_4_Table_1[[#This Row],[Quantity]]-AtlasReport_4_Table_1[[#This Row],[TPP trans backwards (Beginning)]]</f>
        <v>0</v>
      </c>
      <c r="I88" s="4">
        <f>AtlasReport_4_Table_1[[#This Row],[Quantity]]-AtlasReport_4_Table_1[[#This Row],[TPP trans backwards (Ending)]]</f>
        <v>-1</v>
      </c>
      <c r="J88" s="4">
        <f>_xll.AtlasFormulas.AtlasFunctions.AtlasBalance("PROD",DataAreaId,"T.TPPTrans_sst|InventDimId~inventDimId@T.InventDim","Sum|CostAmount|0","","","","","","","ItemId|TransDate|T2.InventSiteId|T2.InventLocationId",$A88,PeriodBeginning,$B88,$C88)</f>
        <v>0</v>
      </c>
      <c r="K88" s="4">
        <f>_xll.AtlasFormulas.AtlasFunctions.AtlasBalance("PROD",DataAreaId,"T.TPPTrans_sst|InventDimId~inventDimId@T.InventDim","Sum|CostAmount|0","","","","","","","ItemId|TransDate|T2.InventSiteId|T2.InventLocationId",$A88,PeriodEnding,$B88,$C88)</f>
        <v>0</v>
      </c>
      <c r="L88" s="4">
        <f>AtlasReport_4_Table_1[[#This Row],[TPP cost amount]]-AtlasReport_4_Table_1[[#This Row],[TPP trans backwards balance (Beginning)]]</f>
        <v>0</v>
      </c>
      <c r="M88" s="4">
        <f>AtlasReport_4_Table_1[[#This Row],[TPP cost amount]]-AtlasReport_4_Table_1[[#This Row],[TPP trans backwards balance (Ending)]]</f>
        <v>0</v>
      </c>
    </row>
    <row r="89" spans="1:13">
      <c r="A89" s="8" t="s">
        <v>285</v>
      </c>
      <c r="B89" s="8" t="s">
        <v>237</v>
      </c>
      <c r="C89" s="8" t="s">
        <v>238</v>
      </c>
      <c r="D89" s="4">
        <v>13</v>
      </c>
      <c r="E89" s="4">
        <v>0</v>
      </c>
      <c r="F89" s="4">
        <f>_xll.AtlasFormulas.AtlasFunctions.AtlasBalance("PROD",DataAreaId,"T.TPPTrans_sst|InventDimId~inventDimId@T.InventDim","Sum|Qty|0","","","","","","","ItemId|TransDate|T2.InventSiteId|T2.InventLocationId",$A89,PeriodBeginning,$B89,$C89)</f>
        <v>13</v>
      </c>
      <c r="G89" s="4">
        <f>_xll.AtlasFormulas.AtlasFunctions.AtlasBalance("PROD",DataAreaId,"T.TPPTrans_sst|InventDimId~inventDimId@T.InventDim","Sum|Qty|0","","","","","","","ItemId|TransDate|T2.InventSiteId|T2.InventLocationId",$A89,PeriodEnding,$B89,$C89)</f>
        <v>0</v>
      </c>
      <c r="H89" s="4">
        <f>AtlasReport_4_Table_1[[#This Row],[Quantity]]-AtlasReport_4_Table_1[[#This Row],[TPP trans backwards (Beginning)]]</f>
        <v>0</v>
      </c>
      <c r="I89" s="4">
        <f>AtlasReport_4_Table_1[[#This Row],[Quantity]]-AtlasReport_4_Table_1[[#This Row],[TPP trans backwards (Ending)]]</f>
        <v>13</v>
      </c>
      <c r="J89" s="4">
        <f>_xll.AtlasFormulas.AtlasFunctions.AtlasBalance("PROD",DataAreaId,"T.TPPTrans_sst|InventDimId~inventDimId@T.InventDim","Sum|CostAmount|0","","","","","","","ItemId|TransDate|T2.InventSiteId|T2.InventLocationId",$A89,PeriodBeginning,$B89,$C89)</f>
        <v>0</v>
      </c>
      <c r="K89" s="4">
        <f>_xll.AtlasFormulas.AtlasFunctions.AtlasBalance("PROD",DataAreaId,"T.TPPTrans_sst|InventDimId~inventDimId@T.InventDim","Sum|CostAmount|0","","","","","","","ItemId|TransDate|T2.InventSiteId|T2.InventLocationId",$A89,PeriodEnding,$B89,$C89)</f>
        <v>0</v>
      </c>
      <c r="L89" s="4">
        <f>AtlasReport_4_Table_1[[#This Row],[TPP cost amount]]-AtlasReport_4_Table_1[[#This Row],[TPP trans backwards balance (Beginning)]]</f>
        <v>0</v>
      </c>
      <c r="M89" s="4">
        <f>AtlasReport_4_Table_1[[#This Row],[TPP cost amount]]-AtlasReport_4_Table_1[[#This Row],[TPP trans backwards balance (Ending)]]</f>
        <v>0</v>
      </c>
    </row>
    <row r="90" spans="1:13">
      <c r="A90" s="8" t="s">
        <v>286</v>
      </c>
      <c r="B90" s="8" t="s">
        <v>237</v>
      </c>
      <c r="C90" s="8" t="s">
        <v>238</v>
      </c>
      <c r="D90" s="4">
        <v>259.1422</v>
      </c>
      <c r="E90" s="4">
        <v>0</v>
      </c>
      <c r="F90" s="4">
        <f>_xll.AtlasFormulas.AtlasFunctions.AtlasBalance("PROD",DataAreaId,"T.TPPTrans_sst|InventDimId~inventDimId@T.InventDim","Sum|Qty|0","","","","","","","ItemId|TransDate|T2.InventSiteId|T2.InventLocationId",$A90,PeriodBeginning,$B90,$C90)</f>
        <v>-42.0578</v>
      </c>
      <c r="G90" s="4">
        <f>_xll.AtlasFormulas.AtlasFunctions.AtlasBalance("PROD",DataAreaId,"T.TPPTrans_sst|InventDimId~inventDimId@T.InventDim","Sum|Qty|0","","","","","","","ItemId|TransDate|T2.InventSiteId|T2.InventLocationId",$A90,PeriodEnding,$B90,$C90)</f>
        <v>0</v>
      </c>
      <c r="H90" s="4">
        <f>AtlasReport_4_Table_1[[#This Row],[Quantity]]-AtlasReport_4_Table_1[[#This Row],[TPP trans backwards (Beginning)]]</f>
        <v>301.2</v>
      </c>
      <c r="I90" s="4">
        <f>AtlasReport_4_Table_1[[#This Row],[Quantity]]-AtlasReport_4_Table_1[[#This Row],[TPP trans backwards (Ending)]]</f>
        <v>259.1422</v>
      </c>
      <c r="J90" s="4">
        <f>_xll.AtlasFormulas.AtlasFunctions.AtlasBalance("PROD",DataAreaId,"T.TPPTrans_sst|InventDimId~inventDimId@T.InventDim","Sum|CostAmount|0","","","","","","","ItemId|TransDate|T2.InventSiteId|T2.InventLocationId",$A90,PeriodBeginning,$B90,$C90)</f>
        <v>0</v>
      </c>
      <c r="K90" s="4">
        <f>_xll.AtlasFormulas.AtlasFunctions.AtlasBalance("PROD",DataAreaId,"T.TPPTrans_sst|InventDimId~inventDimId@T.InventDim","Sum|CostAmount|0","","","","","","","ItemId|TransDate|T2.InventSiteId|T2.InventLocationId",$A90,PeriodEnding,$B90,$C90)</f>
        <v>0</v>
      </c>
      <c r="L90" s="4">
        <f>AtlasReport_4_Table_1[[#This Row],[TPP cost amount]]-AtlasReport_4_Table_1[[#This Row],[TPP trans backwards balance (Beginning)]]</f>
        <v>0</v>
      </c>
      <c r="M90" s="4">
        <f>AtlasReport_4_Table_1[[#This Row],[TPP cost amount]]-AtlasReport_4_Table_1[[#This Row],[TPP trans backwards balance (Ending)]]</f>
        <v>0</v>
      </c>
    </row>
    <row r="91" spans="1:13">
      <c r="A91" s="8" t="s">
        <v>287</v>
      </c>
      <c r="B91" s="8" t="s">
        <v>237</v>
      </c>
      <c r="C91" s="8" t="s">
        <v>238</v>
      </c>
      <c r="D91" s="4">
        <v>108.3676</v>
      </c>
      <c r="E91" s="4">
        <v>0</v>
      </c>
      <c r="F91" s="4">
        <f>_xll.AtlasFormulas.AtlasFunctions.AtlasBalance("PROD",DataAreaId,"T.TPPTrans_sst|InventDimId~inventDimId@T.InventDim","Sum|Qty|0","","","","","","","ItemId|TransDate|T2.InventSiteId|T2.InventLocationId",$A91,PeriodBeginning,$B91,$C91)</f>
        <v>-48.882399999999997</v>
      </c>
      <c r="G91" s="4">
        <f>_xll.AtlasFormulas.AtlasFunctions.AtlasBalance("PROD",DataAreaId,"T.TPPTrans_sst|InventDimId~inventDimId@T.InventDim","Sum|Qty|0","","","","","","","ItemId|TransDate|T2.InventSiteId|T2.InventLocationId",$A91,PeriodEnding,$B91,$C91)</f>
        <v>0</v>
      </c>
      <c r="H91" s="4">
        <f>AtlasReport_4_Table_1[[#This Row],[Quantity]]-AtlasReport_4_Table_1[[#This Row],[TPP trans backwards (Beginning)]]</f>
        <v>157.25</v>
      </c>
      <c r="I91" s="4">
        <f>AtlasReport_4_Table_1[[#This Row],[Quantity]]-AtlasReport_4_Table_1[[#This Row],[TPP trans backwards (Ending)]]</f>
        <v>108.3676</v>
      </c>
      <c r="J91" s="4">
        <f>_xll.AtlasFormulas.AtlasFunctions.AtlasBalance("PROD",DataAreaId,"T.TPPTrans_sst|InventDimId~inventDimId@T.InventDim","Sum|CostAmount|0","","","","","","","ItemId|TransDate|T2.InventSiteId|T2.InventLocationId",$A91,PeriodBeginning,$B91,$C91)</f>
        <v>0</v>
      </c>
      <c r="K91" s="4">
        <f>_xll.AtlasFormulas.AtlasFunctions.AtlasBalance("PROD",DataAreaId,"T.TPPTrans_sst|InventDimId~inventDimId@T.InventDim","Sum|CostAmount|0","","","","","","","ItemId|TransDate|T2.InventSiteId|T2.InventLocationId",$A91,PeriodEnding,$B91,$C91)</f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trans backwards balance (Ending)]]</f>
        <v>0</v>
      </c>
    </row>
    <row r="92" spans="1:13">
      <c r="A92" s="8" t="s">
        <v>494</v>
      </c>
      <c r="B92" s="8" t="s">
        <v>237</v>
      </c>
      <c r="C92" s="8" t="s">
        <v>238</v>
      </c>
      <c r="D92" s="4">
        <v>18</v>
      </c>
      <c r="E92" s="4">
        <v>0</v>
      </c>
      <c r="F92" s="4">
        <f>_xll.AtlasFormulas.AtlasFunctions.AtlasBalance("PROD",DataAreaId,"T.TPPTrans_sst|InventDimId~inventDimId@T.InventDim","Sum|Qty|0","","","","","","","ItemId|TransDate|T2.InventSiteId|T2.InventLocationId",$A92,PeriodBeginning,$B92,$C92)</f>
        <v>18</v>
      </c>
      <c r="G92" s="4">
        <f>_xll.AtlasFormulas.AtlasFunctions.AtlasBalance("PROD",DataAreaId,"T.TPPTrans_sst|InventDimId~inventDimId@T.InventDim","Sum|Qty|0","","","","","","","ItemId|TransDate|T2.InventSiteId|T2.InventLocationId",$A92,PeriodEnding,$B92,$C92)</f>
        <v>0</v>
      </c>
      <c r="H92" s="4">
        <f>AtlasReport_4_Table_1[[#This Row],[Quantity]]-AtlasReport_4_Table_1[[#This Row],[TPP trans backwards (Beginning)]]</f>
        <v>0</v>
      </c>
      <c r="I92" s="4">
        <f>AtlasReport_4_Table_1[[#This Row],[Quantity]]-AtlasReport_4_Table_1[[#This Row],[TPP trans backwards (Ending)]]</f>
        <v>18</v>
      </c>
      <c r="J92" s="4">
        <f>_xll.AtlasFormulas.AtlasFunctions.AtlasBalance("PROD",DataAreaId,"T.TPPTrans_sst|InventDimId~inventDimId@T.InventDim","Sum|CostAmount|0","","","","","","","ItemId|TransDate|T2.InventSiteId|T2.InventLocationId",$A92,PeriodBeginning,$B92,$C92)</f>
        <v>0</v>
      </c>
      <c r="K92" s="4">
        <f>_xll.AtlasFormulas.AtlasFunctions.AtlasBalance("PROD",DataAreaId,"T.TPPTrans_sst|InventDimId~inventDimId@T.InventDim","Sum|CostAmount|0","","","","","","","ItemId|TransDate|T2.InventSiteId|T2.InventLocationId",$A92,PeriodEnding,$B92,$C92)</f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trans backwards balance (Ending)]]</f>
        <v>0</v>
      </c>
    </row>
    <row r="93" spans="1:13">
      <c r="A93" s="8" t="s">
        <v>1081</v>
      </c>
      <c r="B93" s="8" t="s">
        <v>237</v>
      </c>
      <c r="C93" s="8" t="s">
        <v>238</v>
      </c>
      <c r="D93" s="4">
        <v>-5</v>
      </c>
      <c r="E93" s="4">
        <v>0</v>
      </c>
      <c r="F93" s="4">
        <f>_xll.AtlasFormulas.AtlasFunctions.AtlasBalance("PROD",DataAreaId,"T.TPPTrans_sst|InventDimId~inventDimId@T.InventDim","Sum|Qty|0","","","","","","","ItemId|TransDate|T2.InventSiteId|T2.InventLocationId",$A93,PeriodBeginning,$B93,$C93)</f>
        <v>-5</v>
      </c>
      <c r="G93" s="4">
        <f>_xll.AtlasFormulas.AtlasFunctions.AtlasBalance("PROD",DataAreaId,"T.TPPTrans_sst|InventDimId~inventDimId@T.InventDim","Sum|Qty|0","","","","","","","ItemId|TransDate|T2.InventSiteId|T2.InventLocationId",$A93,PeriodEnding,$B93,$C93)</f>
        <v>0</v>
      </c>
      <c r="H93" s="4">
        <f>AtlasReport_4_Table_1[[#This Row],[Quantity]]-AtlasReport_4_Table_1[[#This Row],[TPP trans backwards (Beginning)]]</f>
        <v>0</v>
      </c>
      <c r="I93" s="4">
        <f>AtlasReport_4_Table_1[[#This Row],[Quantity]]-AtlasReport_4_Table_1[[#This Row],[TPP trans backwards (Ending)]]</f>
        <v>-5</v>
      </c>
      <c r="J93" s="4">
        <f>_xll.AtlasFormulas.AtlasFunctions.AtlasBalance("PROD",DataAreaId,"T.TPPTrans_sst|InventDimId~inventDimId@T.InventDim","Sum|CostAmount|0","","","","","","","ItemId|TransDate|T2.InventSiteId|T2.InventLocationId",$A93,PeriodBeginning,$B93,$C93)</f>
        <v>0</v>
      </c>
      <c r="K93" s="4">
        <f>_xll.AtlasFormulas.AtlasFunctions.AtlasBalance("PROD",DataAreaId,"T.TPPTrans_sst|InventDimId~inventDimId@T.InventDim","Sum|CostAmount|0","","","","","","","ItemId|TransDate|T2.InventSiteId|T2.InventLocationId",$A93,PeriodEnding,$B93,$C93)</f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trans backwards balance (Ending)]]</f>
        <v>0</v>
      </c>
    </row>
    <row r="94" spans="1:13">
      <c r="A94" s="8" t="s">
        <v>500</v>
      </c>
      <c r="B94" s="8" t="s">
        <v>237</v>
      </c>
      <c r="C94" s="8" t="s">
        <v>238</v>
      </c>
      <c r="D94" s="4">
        <v>-54</v>
      </c>
      <c r="E94" s="4">
        <v>0</v>
      </c>
      <c r="F94" s="4">
        <f>_xll.AtlasFormulas.AtlasFunctions.AtlasBalance("PROD",DataAreaId,"T.TPPTrans_sst|InventDimId~inventDimId@T.InventDim","Sum|Qty|0","","","","","","","ItemId|TransDate|T2.InventSiteId|T2.InventLocationId",$A94,PeriodBeginning,$B94,$C94)</f>
        <v>-54</v>
      </c>
      <c r="G94" s="4">
        <f>_xll.AtlasFormulas.AtlasFunctions.AtlasBalance("PROD",DataAreaId,"T.TPPTrans_sst|InventDimId~inventDimId@T.InventDim","Sum|Qty|0","","","","","","","ItemId|TransDate|T2.InventSiteId|T2.InventLocationId",$A94,PeriodEnding,$B94,$C94)</f>
        <v>0</v>
      </c>
      <c r="H94" s="4">
        <f>AtlasReport_4_Table_1[[#This Row],[Quantity]]-AtlasReport_4_Table_1[[#This Row],[TPP trans backwards (Beginning)]]</f>
        <v>0</v>
      </c>
      <c r="I94" s="4">
        <f>AtlasReport_4_Table_1[[#This Row],[Quantity]]-AtlasReport_4_Table_1[[#This Row],[TPP trans backwards (Ending)]]</f>
        <v>-54</v>
      </c>
      <c r="J94" s="4">
        <f>_xll.AtlasFormulas.AtlasFunctions.AtlasBalance("PROD",DataAreaId,"T.TPPTrans_sst|InventDimId~inventDimId@T.InventDim","Sum|CostAmount|0","","","","","","","ItemId|TransDate|T2.InventSiteId|T2.InventLocationId",$A94,PeriodBeginning,$B94,$C94)</f>
        <v>0</v>
      </c>
      <c r="K94" s="4">
        <f>_xll.AtlasFormulas.AtlasFunctions.AtlasBalance("PROD",DataAreaId,"T.TPPTrans_sst|InventDimId~inventDimId@T.InventDim","Sum|CostAmount|0","","","","","","","ItemId|TransDate|T2.InventSiteId|T2.InventLocationId",$A94,PeriodEnding,$B94,$C94)</f>
        <v>0</v>
      </c>
      <c r="L94" s="4">
        <f>AtlasReport_4_Table_1[[#This Row],[TPP cost amount]]-AtlasReport_4_Table_1[[#This Row],[TPP trans backwards balance (Beginning)]]</f>
        <v>0</v>
      </c>
      <c r="M94" s="4">
        <f>AtlasReport_4_Table_1[[#This Row],[TPP cost amount]]-AtlasReport_4_Table_1[[#This Row],[TPP trans backwards balance (Ending)]]</f>
        <v>0</v>
      </c>
    </row>
    <row r="95" spans="1:13">
      <c r="A95" s="8" t="s">
        <v>1085</v>
      </c>
      <c r="B95" s="8" t="s">
        <v>237</v>
      </c>
      <c r="C95" s="8" t="s">
        <v>238</v>
      </c>
      <c r="D95" s="4">
        <v>-47</v>
      </c>
      <c r="E95" s="4">
        <v>0</v>
      </c>
      <c r="F95" s="4">
        <f>_xll.AtlasFormulas.AtlasFunctions.AtlasBalance("PROD",DataAreaId,"T.TPPTrans_sst|InventDimId~inventDimId@T.InventDim","Sum|Qty|0","","","","","","","ItemId|TransDate|T2.InventSiteId|T2.InventLocationId",$A95,PeriodBeginning,$B95,$C95)</f>
        <v>-47</v>
      </c>
      <c r="G95" s="4">
        <f>_xll.AtlasFormulas.AtlasFunctions.AtlasBalance("PROD",DataAreaId,"T.TPPTrans_sst|InventDimId~inventDimId@T.InventDim","Sum|Qty|0","","","","","","","ItemId|TransDate|T2.InventSiteId|T2.InventLocationId",$A95,PeriodEnding,$B95,$C95)</f>
        <v>0</v>
      </c>
      <c r="H95" s="4">
        <f>AtlasReport_4_Table_1[[#This Row],[Quantity]]-AtlasReport_4_Table_1[[#This Row],[TPP trans backwards (Beginning)]]</f>
        <v>0</v>
      </c>
      <c r="I95" s="4">
        <f>AtlasReport_4_Table_1[[#This Row],[Quantity]]-AtlasReport_4_Table_1[[#This Row],[TPP trans backwards (Ending)]]</f>
        <v>-47</v>
      </c>
      <c r="J95" s="4">
        <f>_xll.AtlasFormulas.AtlasFunctions.AtlasBalance("PROD",DataAreaId,"T.TPPTrans_sst|InventDimId~inventDimId@T.InventDim","Sum|CostAmount|0","","","","","","","ItemId|TransDate|T2.InventSiteId|T2.InventLocationId",$A95,PeriodBeginning,$B95,$C95)</f>
        <v>0</v>
      </c>
      <c r="K95" s="4">
        <f>_xll.AtlasFormulas.AtlasFunctions.AtlasBalance("PROD",DataAreaId,"T.TPPTrans_sst|InventDimId~inventDimId@T.InventDim","Sum|CostAmount|0","","","","","","","ItemId|TransDate|T2.InventSiteId|T2.InventLocationId",$A95,PeriodEnding,$B95,$C95)</f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trans backwards balance (Ending)]]</f>
        <v>0</v>
      </c>
    </row>
    <row r="96" spans="1:13">
      <c r="A96" s="8" t="s">
        <v>1094</v>
      </c>
      <c r="B96" s="8" t="s">
        <v>237</v>
      </c>
      <c r="C96" s="8" t="s">
        <v>238</v>
      </c>
      <c r="D96" s="4">
        <v>-1</v>
      </c>
      <c r="E96" s="4">
        <v>0</v>
      </c>
      <c r="F96" s="4">
        <f>_xll.AtlasFormulas.AtlasFunctions.AtlasBalance("PROD",DataAreaId,"T.TPPTrans_sst|InventDimId~inventDimId@T.InventDim","Sum|Qty|0","","","","","","","ItemId|TransDate|T2.InventSiteId|T2.InventLocationId",$A96,PeriodBeginning,$B96,$C96)</f>
        <v>-1</v>
      </c>
      <c r="G96" s="4">
        <f>_xll.AtlasFormulas.AtlasFunctions.AtlasBalance("PROD",DataAreaId,"T.TPPTrans_sst|InventDimId~inventDimId@T.InventDim","Sum|Qty|0","","","","","","","ItemId|TransDate|T2.InventSiteId|T2.InventLocationId",$A96,PeriodEnding,$B96,$C96)</f>
        <v>0</v>
      </c>
      <c r="H96" s="4">
        <f>AtlasReport_4_Table_1[[#This Row],[Quantity]]-AtlasReport_4_Table_1[[#This Row],[TPP trans backwards (Beginning)]]</f>
        <v>0</v>
      </c>
      <c r="I96" s="4">
        <f>AtlasReport_4_Table_1[[#This Row],[Quantity]]-AtlasReport_4_Table_1[[#This Row],[TPP trans backwards (Ending)]]</f>
        <v>-1</v>
      </c>
      <c r="J96" s="4">
        <f>_xll.AtlasFormulas.AtlasFunctions.AtlasBalance("PROD",DataAreaId,"T.TPPTrans_sst|InventDimId~inventDimId@T.InventDim","Sum|CostAmount|0","","","","","","","ItemId|TransDate|T2.InventSiteId|T2.InventLocationId",$A96,PeriodBeginning,$B96,$C96)</f>
        <v>0</v>
      </c>
      <c r="K96" s="4">
        <f>_xll.AtlasFormulas.AtlasFunctions.AtlasBalance("PROD",DataAreaId,"T.TPPTrans_sst|InventDimId~inventDimId@T.InventDim","Sum|CostAmount|0","","","","","","","ItemId|TransDate|T2.InventSiteId|T2.InventLocationId",$A96,PeriodEnding,$B96,$C96)</f>
        <v>0</v>
      </c>
      <c r="L96" s="4">
        <f>AtlasReport_4_Table_1[[#This Row],[TPP cost amount]]-AtlasReport_4_Table_1[[#This Row],[TPP trans backwards balance (Beginning)]]</f>
        <v>0</v>
      </c>
      <c r="M96" s="4">
        <f>AtlasReport_4_Table_1[[#This Row],[TPP cost amount]]-AtlasReport_4_Table_1[[#This Row],[TPP trans backwards balance (Ending)]]</f>
        <v>0</v>
      </c>
    </row>
    <row r="97" spans="1:13">
      <c r="A97" s="8" t="s">
        <v>629</v>
      </c>
      <c r="B97" s="8" t="s">
        <v>237</v>
      </c>
      <c r="C97" s="8" t="s">
        <v>238</v>
      </c>
      <c r="D97" s="4">
        <v>-6</v>
      </c>
      <c r="E97" s="4">
        <v>0</v>
      </c>
      <c r="F97" s="4">
        <f>_xll.AtlasFormulas.AtlasFunctions.AtlasBalance("PROD",DataAreaId,"T.TPPTrans_sst|InventDimId~inventDimId@T.InventDim","Sum|Qty|0","","","","","","","ItemId|TransDate|T2.InventSiteId|T2.InventLocationId",$A97,PeriodBeginning,$B97,$C97)</f>
        <v>-6</v>
      </c>
      <c r="G97" s="4">
        <f>_xll.AtlasFormulas.AtlasFunctions.AtlasBalance("PROD",DataAreaId,"T.TPPTrans_sst|InventDimId~inventDimId@T.InventDim","Sum|Qty|0","","","","","","","ItemId|TransDate|T2.InventSiteId|T2.InventLocationId",$A97,PeriodEnding,$B97,$C97)</f>
        <v>0</v>
      </c>
      <c r="H97" s="4">
        <f>AtlasReport_4_Table_1[[#This Row],[Quantity]]-AtlasReport_4_Table_1[[#This Row],[TPP trans backwards (Beginning)]]</f>
        <v>0</v>
      </c>
      <c r="I97" s="4">
        <f>AtlasReport_4_Table_1[[#This Row],[Quantity]]-AtlasReport_4_Table_1[[#This Row],[TPP trans backwards (Ending)]]</f>
        <v>-6</v>
      </c>
      <c r="J97" s="4">
        <f>_xll.AtlasFormulas.AtlasFunctions.AtlasBalance("PROD",DataAreaId,"T.TPPTrans_sst|InventDimId~inventDimId@T.InventDim","Sum|CostAmount|0","","","","","","","ItemId|TransDate|T2.InventSiteId|T2.InventLocationId",$A97,PeriodBeginning,$B97,$C97)</f>
        <v>0</v>
      </c>
      <c r="K97" s="4">
        <f>_xll.AtlasFormulas.AtlasFunctions.AtlasBalance("PROD",DataAreaId,"T.TPPTrans_sst|InventDimId~inventDimId@T.InventDim","Sum|CostAmount|0","","","","","","","ItemId|TransDate|T2.InventSiteId|T2.InventLocationId",$A97,PeriodEnding,$B97,$C97)</f>
        <v>0</v>
      </c>
      <c r="L97" s="4">
        <f>AtlasReport_4_Table_1[[#This Row],[TPP cost amount]]-AtlasReport_4_Table_1[[#This Row],[TPP trans backwards balance (Beginning)]]</f>
        <v>0</v>
      </c>
      <c r="M97" s="4">
        <f>AtlasReport_4_Table_1[[#This Row],[TPP cost amount]]-AtlasReport_4_Table_1[[#This Row],[TPP trans backwards balance (Ending)]]</f>
        <v>0</v>
      </c>
    </row>
    <row r="98" spans="1:13">
      <c r="A98" s="8" t="s">
        <v>632</v>
      </c>
      <c r="B98" s="8" t="s">
        <v>237</v>
      </c>
      <c r="C98" s="8" t="s">
        <v>238</v>
      </c>
      <c r="D98" s="4">
        <v>1</v>
      </c>
      <c r="E98" s="4">
        <v>0</v>
      </c>
      <c r="F98" s="4">
        <f>_xll.AtlasFormulas.AtlasFunctions.AtlasBalance("PROD",DataAreaId,"T.TPPTrans_sst|InventDimId~inventDimId@T.InventDim","Sum|Qty|0","","","","","","","ItemId|TransDate|T2.InventSiteId|T2.InventLocationId",$A98,PeriodBeginning,$B98,$C98)</f>
        <v>1</v>
      </c>
      <c r="G98" s="4">
        <f>_xll.AtlasFormulas.AtlasFunctions.AtlasBalance("PROD",DataAreaId,"T.TPPTrans_sst|InventDimId~inventDimId@T.InventDim","Sum|Qty|0","","","","","","","ItemId|TransDate|T2.InventSiteId|T2.InventLocationId",$A98,PeriodEnding,$B98,$C98)</f>
        <v>0</v>
      </c>
      <c r="H98" s="4">
        <f>AtlasReport_4_Table_1[[#This Row],[Quantity]]-AtlasReport_4_Table_1[[#This Row],[TPP trans backwards (Beginning)]]</f>
        <v>0</v>
      </c>
      <c r="I98" s="4">
        <f>AtlasReport_4_Table_1[[#This Row],[Quantity]]-AtlasReport_4_Table_1[[#This Row],[TPP trans backwards (Ending)]]</f>
        <v>1</v>
      </c>
      <c r="J98" s="4">
        <f>_xll.AtlasFormulas.AtlasFunctions.AtlasBalance("PROD",DataAreaId,"T.TPPTrans_sst|InventDimId~inventDimId@T.InventDim","Sum|CostAmount|0","","","","","","","ItemId|TransDate|T2.InventSiteId|T2.InventLocationId",$A98,PeriodBeginning,$B98,$C98)</f>
        <v>0</v>
      </c>
      <c r="K98" s="4">
        <f>_xll.AtlasFormulas.AtlasFunctions.AtlasBalance("PROD",DataAreaId,"T.TPPTrans_sst|InventDimId~inventDimId@T.InventDim","Sum|CostAmount|0","","","","","","","ItemId|TransDate|T2.InventSiteId|T2.InventLocationId",$A98,PeriodEnding,$B98,$C98)</f>
        <v>0</v>
      </c>
      <c r="L98" s="4">
        <f>AtlasReport_4_Table_1[[#This Row],[TPP cost amount]]-AtlasReport_4_Table_1[[#This Row],[TPP trans backwards balance (Beginning)]]</f>
        <v>0</v>
      </c>
      <c r="M98" s="4">
        <f>AtlasReport_4_Table_1[[#This Row],[TPP cost amount]]-AtlasReport_4_Table_1[[#This Row],[TPP trans backwards balance (Ending)]]</f>
        <v>0</v>
      </c>
    </row>
    <row r="99" spans="1:13">
      <c r="A99" s="8" t="s">
        <v>635</v>
      </c>
      <c r="B99" s="8" t="s">
        <v>237</v>
      </c>
      <c r="C99" s="8" t="s">
        <v>238</v>
      </c>
      <c r="D99" s="4">
        <v>1</v>
      </c>
      <c r="E99" s="4">
        <v>0</v>
      </c>
      <c r="F99" s="4">
        <f>_xll.AtlasFormulas.AtlasFunctions.AtlasBalance("PROD",DataAreaId,"T.TPPTrans_sst|InventDimId~inventDimId@T.InventDim","Sum|Qty|0","","","","","","","ItemId|TransDate|T2.InventSiteId|T2.InventLocationId",$A99,PeriodBeginning,$B99,$C99)</f>
        <v>1</v>
      </c>
      <c r="G99" s="4">
        <f>_xll.AtlasFormulas.AtlasFunctions.AtlasBalance("PROD",DataAreaId,"T.TPPTrans_sst|InventDimId~inventDimId@T.InventDim","Sum|Qty|0","","","","","","","ItemId|TransDate|T2.InventSiteId|T2.InventLocationId",$A99,PeriodEnding,$B99,$C99)</f>
        <v>0</v>
      </c>
      <c r="H99" s="4">
        <f>AtlasReport_4_Table_1[[#This Row],[Quantity]]-AtlasReport_4_Table_1[[#This Row],[TPP trans backwards (Beginning)]]</f>
        <v>0</v>
      </c>
      <c r="I99" s="4">
        <f>AtlasReport_4_Table_1[[#This Row],[Quantity]]-AtlasReport_4_Table_1[[#This Row],[TPP trans backwards (Ending)]]</f>
        <v>1</v>
      </c>
      <c r="J99" s="4">
        <f>_xll.AtlasFormulas.AtlasFunctions.AtlasBalance("PROD",DataAreaId,"T.TPPTrans_sst|InventDimId~inventDimId@T.InventDim","Sum|CostAmount|0","","","","","","","ItemId|TransDate|T2.InventSiteId|T2.InventLocationId",$A99,PeriodBeginning,$B99,$C99)</f>
        <v>0</v>
      </c>
      <c r="K99" s="4">
        <f>_xll.AtlasFormulas.AtlasFunctions.AtlasBalance("PROD",DataAreaId,"T.TPPTrans_sst|InventDimId~inventDimId@T.InventDim","Sum|CostAmount|0","","","","","","","ItemId|TransDate|T2.InventSiteId|T2.InventLocationId",$A99,PeriodEnding,$B99,$C99)</f>
        <v>0</v>
      </c>
      <c r="L99" s="4">
        <f>AtlasReport_4_Table_1[[#This Row],[TPP cost amount]]-AtlasReport_4_Table_1[[#This Row],[TPP trans backwards balance (Beginning)]]</f>
        <v>0</v>
      </c>
      <c r="M99" s="4">
        <f>AtlasReport_4_Table_1[[#This Row],[TPP cost amount]]-AtlasReport_4_Table_1[[#This Row],[TPP trans backwards balance (Ending)]]</f>
        <v>0</v>
      </c>
    </row>
    <row r="100" spans="1:13">
      <c r="A100" s="8" t="s">
        <v>288</v>
      </c>
      <c r="B100" s="8" t="s">
        <v>237</v>
      </c>
      <c r="C100" s="8" t="s">
        <v>238</v>
      </c>
      <c r="D100" s="4">
        <v>22.992199999999997</v>
      </c>
      <c r="E100" s="4">
        <v>0</v>
      </c>
      <c r="F100" s="4">
        <f>_xll.AtlasFormulas.AtlasFunctions.AtlasBalance("PROD",DataAreaId,"T.TPPTrans_sst|InventDimId~inventDimId@T.InventDim","Sum|Qty|0","","","","","","","ItemId|TransDate|T2.InventSiteId|T2.InventLocationId",$A100,PeriodBeginning,$B100,$C100)</f>
        <v>-0.70779999999999998</v>
      </c>
      <c r="G100" s="4">
        <f>_xll.AtlasFormulas.AtlasFunctions.AtlasBalance("PROD",DataAreaId,"T.TPPTrans_sst|InventDimId~inventDimId@T.InventDim","Sum|Qty|0","","","","","","","ItemId|TransDate|T2.InventSiteId|T2.InventLocationId",$A100,PeriodEnding,$B100,$C100)</f>
        <v>0</v>
      </c>
      <c r="H100" s="4">
        <f>AtlasReport_4_Table_1[[#This Row],[Quantity]]-AtlasReport_4_Table_1[[#This Row],[TPP trans backwards (Beginning)]]</f>
        <v>23.699999999999996</v>
      </c>
      <c r="I100" s="4">
        <f>AtlasReport_4_Table_1[[#This Row],[Quantity]]-AtlasReport_4_Table_1[[#This Row],[TPP trans backwards (Ending)]]</f>
        <v>22.992199999999997</v>
      </c>
      <c r="J100" s="4">
        <f>_xll.AtlasFormulas.AtlasFunctions.AtlasBalance("PROD",DataAreaId,"T.TPPTrans_sst|InventDimId~inventDimId@T.InventDim","Sum|CostAmount|0","","","","","","","ItemId|TransDate|T2.InventSiteId|T2.InventLocationId",$A100,PeriodBeginning,$B100,$C100)</f>
        <v>0</v>
      </c>
      <c r="K100" s="4">
        <f>_xll.AtlasFormulas.AtlasFunctions.AtlasBalance("PROD",DataAreaId,"T.TPPTrans_sst|InventDimId~inventDimId@T.InventDim","Sum|CostAmount|0","","","","","","","ItemId|TransDate|T2.InventSiteId|T2.InventLocationId",$A100,PeriodEnding,$B100,$C100)</f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trans backwards balance (Ending)]]</f>
        <v>0</v>
      </c>
    </row>
    <row r="101" spans="1:13">
      <c r="A101" s="8" t="s">
        <v>289</v>
      </c>
      <c r="B101" s="8" t="s">
        <v>237</v>
      </c>
      <c r="C101" s="8" t="s">
        <v>238</v>
      </c>
      <c r="D101" s="4">
        <v>8.7922000000000011</v>
      </c>
      <c r="E101" s="4">
        <v>0</v>
      </c>
      <c r="F101" s="4">
        <f>_xll.AtlasFormulas.AtlasFunctions.AtlasBalance("PROD",DataAreaId,"T.TPPTrans_sst|InventDimId~inventDimId@T.InventDim","Sum|Qty|0","","","","","","","ItemId|TransDate|T2.InventSiteId|T2.InventLocationId",$A101,PeriodBeginning,$B101,$C101)</f>
        <v>-0.70779999999999998</v>
      </c>
      <c r="G101" s="4">
        <f>_xll.AtlasFormulas.AtlasFunctions.AtlasBalance("PROD",DataAreaId,"T.TPPTrans_sst|InventDimId~inventDimId@T.InventDim","Sum|Qty|0","","","","","","","ItemId|TransDate|T2.InventSiteId|T2.InventLocationId",$A101,PeriodEnding,$B101,$C101)</f>
        <v>0</v>
      </c>
      <c r="H101" s="4">
        <f>AtlasReport_4_Table_1[[#This Row],[Quantity]]-AtlasReport_4_Table_1[[#This Row],[TPP trans backwards (Beginning)]]</f>
        <v>9.5000000000000018</v>
      </c>
      <c r="I101" s="4">
        <f>AtlasReport_4_Table_1[[#This Row],[Quantity]]-AtlasReport_4_Table_1[[#This Row],[TPP trans backwards (Ending)]]</f>
        <v>8.7922000000000011</v>
      </c>
      <c r="J101" s="4">
        <f>_xll.AtlasFormulas.AtlasFunctions.AtlasBalance("PROD",DataAreaId,"T.TPPTrans_sst|InventDimId~inventDimId@T.InventDim","Sum|CostAmount|0","","","","","","","ItemId|TransDate|T2.InventSiteId|T2.InventLocationId",$A101,PeriodBeginning,$B101,$C101)</f>
        <v>0</v>
      </c>
      <c r="K101" s="4">
        <f>_xll.AtlasFormulas.AtlasFunctions.AtlasBalance("PROD",DataAreaId,"T.TPPTrans_sst|InventDimId~inventDimId@T.InventDim","Sum|CostAmount|0","","","","","","","ItemId|TransDate|T2.InventSiteId|T2.InventLocationId",$A101,PeriodEnding,$B101,$C101)</f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trans backwards balance (Ending)]]</f>
        <v>0</v>
      </c>
    </row>
    <row r="102" spans="1:13">
      <c r="A102" s="8" t="s">
        <v>115</v>
      </c>
      <c r="B102" s="8" t="s">
        <v>237</v>
      </c>
      <c r="C102" s="8" t="s">
        <v>238</v>
      </c>
      <c r="D102" s="4">
        <v>-71</v>
      </c>
      <c r="E102" s="4">
        <v>0</v>
      </c>
      <c r="F102" s="4">
        <f>_xll.AtlasFormulas.AtlasFunctions.AtlasBalance("PROD",DataAreaId,"T.TPPTrans_sst|InventDimId~inventDimId@T.InventDim","Sum|Qty|0","","","","","","","ItemId|TransDate|T2.InventSiteId|T2.InventLocationId",$A102,PeriodBeginning,$B102,$C102)</f>
        <v>-71</v>
      </c>
      <c r="G102" s="4">
        <f>_xll.AtlasFormulas.AtlasFunctions.AtlasBalance("PROD",DataAreaId,"T.TPPTrans_sst|InventDimId~inventDimId@T.InventDim","Sum|Qty|0","","","","","","","ItemId|TransDate|T2.InventSiteId|T2.InventLocationId",$A102,PeriodEnding,$B102,$C102)</f>
        <v>0</v>
      </c>
      <c r="H102" s="4">
        <f>AtlasReport_4_Table_1[[#This Row],[Quantity]]-AtlasReport_4_Table_1[[#This Row],[TPP trans backwards (Beginning)]]</f>
        <v>0</v>
      </c>
      <c r="I102" s="4">
        <f>AtlasReport_4_Table_1[[#This Row],[Quantity]]-AtlasReport_4_Table_1[[#This Row],[TPP trans backwards (Ending)]]</f>
        <v>-71</v>
      </c>
      <c r="J102" s="4">
        <f>_xll.AtlasFormulas.AtlasFunctions.AtlasBalance("PROD",DataAreaId,"T.TPPTrans_sst|InventDimId~inventDimId@T.InventDim","Sum|CostAmount|0","","","","","","","ItemId|TransDate|T2.InventSiteId|T2.InventLocationId",$A102,PeriodBeginning,$B102,$C102)</f>
        <v>0</v>
      </c>
      <c r="K102" s="4">
        <f>_xll.AtlasFormulas.AtlasFunctions.AtlasBalance("PROD",DataAreaId,"T.TPPTrans_sst|InventDimId~inventDimId@T.InventDim","Sum|CostAmount|0","","","","","","","ItemId|TransDate|T2.InventSiteId|T2.InventLocationId",$A102,PeriodEnding,$B102,$C102)</f>
        <v>0</v>
      </c>
      <c r="L102" s="4">
        <f>AtlasReport_4_Table_1[[#This Row],[TPP cost amount]]-AtlasReport_4_Table_1[[#This Row],[TPP trans backwards balance (Beginning)]]</f>
        <v>0</v>
      </c>
      <c r="M102" s="4">
        <f>AtlasReport_4_Table_1[[#This Row],[TPP cost amount]]-AtlasReport_4_Table_1[[#This Row],[TPP trans backwards balance (Ending)]]</f>
        <v>0</v>
      </c>
    </row>
    <row r="103" spans="1:13">
      <c r="A103" s="8" t="s">
        <v>290</v>
      </c>
      <c r="B103" s="8" t="s">
        <v>237</v>
      </c>
      <c r="C103" s="8" t="s">
        <v>238</v>
      </c>
      <c r="D103" s="4">
        <v>388.74940000000004</v>
      </c>
      <c r="E103" s="4">
        <v>0</v>
      </c>
      <c r="F103" s="4">
        <f>_xll.AtlasFormulas.AtlasFunctions.AtlasBalance("PROD",DataAreaId,"T.TPPTrans_sst|InventDimId~inventDimId@T.InventDim","Sum|Qty|0","","","","","","","ItemId|TransDate|T2.InventSiteId|T2.InventLocationId",$A103,PeriodBeginning,$B103,$C103)</f>
        <v>342.74939999999998</v>
      </c>
      <c r="G103" s="4">
        <f>_xll.AtlasFormulas.AtlasFunctions.AtlasBalance("PROD",DataAreaId,"T.TPPTrans_sst|InventDimId~inventDimId@T.InventDim","Sum|Qty|0","","","","","","","ItemId|TransDate|T2.InventSiteId|T2.InventLocationId",$A103,PeriodEnding,$B103,$C103)</f>
        <v>289.89999999999998</v>
      </c>
      <c r="H103" s="4">
        <f>AtlasReport_4_Table_1[[#This Row],[Quantity]]-AtlasReport_4_Table_1[[#This Row],[TPP trans backwards (Beginning)]]</f>
        <v>46.000000000000057</v>
      </c>
      <c r="I103" s="4">
        <f>AtlasReport_4_Table_1[[#This Row],[Quantity]]-AtlasReport_4_Table_1[[#This Row],[TPP trans backwards (Ending)]]</f>
        <v>98.84940000000006</v>
      </c>
      <c r="J103" s="4">
        <f>_xll.AtlasFormulas.AtlasFunctions.AtlasBalance("PROD",DataAreaId,"T.TPPTrans_sst|InventDimId~inventDimId@T.InventDim","Sum|CostAmount|0","","","","","","","ItemId|TransDate|T2.InventSiteId|T2.InventLocationId",$A103,PeriodBeginning,$B103,$C103)</f>
        <v>0</v>
      </c>
      <c r="K103" s="4">
        <f>_xll.AtlasFormulas.AtlasFunctions.AtlasBalance("PROD",DataAreaId,"T.TPPTrans_sst|InventDimId~inventDimId@T.InventDim","Sum|CostAmount|0","","","","","","","ItemId|TransDate|T2.InventSiteId|T2.InventLocationId",$A103,PeriodEnding,$B103,$C103)</f>
        <v>0</v>
      </c>
      <c r="L103" s="4">
        <f>AtlasReport_4_Table_1[[#This Row],[TPP cost amount]]-AtlasReport_4_Table_1[[#This Row],[TPP trans backwards balance (Beginning)]]</f>
        <v>0</v>
      </c>
      <c r="M103" s="4">
        <f>AtlasReport_4_Table_1[[#This Row],[TPP cost amount]]-AtlasReport_4_Table_1[[#This Row],[TPP trans backwards balance (Ending)]]</f>
        <v>0</v>
      </c>
    </row>
    <row r="104" spans="1:13">
      <c r="A104" s="8" t="s">
        <v>291</v>
      </c>
      <c r="B104" s="8" t="s">
        <v>237</v>
      </c>
      <c r="C104" s="8" t="s">
        <v>238</v>
      </c>
      <c r="D104" s="4">
        <v>95</v>
      </c>
      <c r="E104" s="4">
        <v>0</v>
      </c>
      <c r="F104" s="4">
        <f>_xll.AtlasFormulas.AtlasFunctions.AtlasBalance("PROD",DataAreaId,"T.TPPTrans_sst|InventDimId~inventDimId@T.InventDim","Sum|Qty|0","","","","","","","ItemId|TransDate|T2.InventSiteId|T2.InventLocationId",$A104,PeriodBeginning,$B104,$C104)</f>
        <v>-53</v>
      </c>
      <c r="G104" s="4">
        <f>_xll.AtlasFormulas.AtlasFunctions.AtlasBalance("PROD",DataAreaId,"T.TPPTrans_sst|InventDimId~inventDimId@T.InventDim","Sum|Qty|0","","","","","","","ItemId|TransDate|T2.InventSiteId|T2.InventLocationId",$A104,PeriodEnding,$B104,$C104)</f>
        <v>-15.9</v>
      </c>
      <c r="H104" s="4">
        <f>AtlasReport_4_Table_1[[#This Row],[Quantity]]-AtlasReport_4_Table_1[[#This Row],[TPP trans backwards (Beginning)]]</f>
        <v>148</v>
      </c>
      <c r="I104" s="4">
        <f>AtlasReport_4_Table_1[[#This Row],[Quantity]]-AtlasReport_4_Table_1[[#This Row],[TPP trans backwards (Ending)]]</f>
        <v>110.9</v>
      </c>
      <c r="J104" s="4">
        <f>_xll.AtlasFormulas.AtlasFunctions.AtlasBalance("PROD",DataAreaId,"T.TPPTrans_sst|InventDimId~inventDimId@T.InventDim","Sum|CostAmount|0","","","","","","","ItemId|TransDate|T2.InventSiteId|T2.InventLocationId",$A104,PeriodBeginning,$B104,$C104)</f>
        <v>0</v>
      </c>
      <c r="K104" s="4">
        <f>_xll.AtlasFormulas.AtlasFunctions.AtlasBalance("PROD",DataAreaId,"T.TPPTrans_sst|InventDimId~inventDimId@T.InventDim","Sum|CostAmount|0","","","","","","","ItemId|TransDate|T2.InventSiteId|T2.InventLocationId",$A104,PeriodEnding,$B104,$C104)</f>
        <v>0</v>
      </c>
      <c r="L104" s="4">
        <f>AtlasReport_4_Table_1[[#This Row],[TPP cost amount]]-AtlasReport_4_Table_1[[#This Row],[TPP trans backwards balance (Beginning)]]</f>
        <v>0</v>
      </c>
      <c r="M104" s="4">
        <f>AtlasReport_4_Table_1[[#This Row],[TPP cost amount]]-AtlasReport_4_Table_1[[#This Row],[TPP trans backwards balance (Ending)]]</f>
        <v>0</v>
      </c>
    </row>
    <row r="105" spans="1:13">
      <c r="A105" s="8" t="s">
        <v>292</v>
      </c>
      <c r="B105" s="8" t="s">
        <v>237</v>
      </c>
      <c r="C105" s="8" t="s">
        <v>238</v>
      </c>
      <c r="D105" s="4">
        <v>171.35</v>
      </c>
      <c r="E105" s="4">
        <v>0</v>
      </c>
      <c r="F105" s="4">
        <f>_xll.AtlasFormulas.AtlasFunctions.AtlasBalance("PROD",DataAreaId,"T.TPPTrans_sst|InventDimId~inventDimId@T.InventDim","Sum|Qty|0","","","","","","","ItemId|TransDate|T2.InventSiteId|T2.InventLocationId",$A105,PeriodBeginning,$B105,$C105)</f>
        <v>0</v>
      </c>
      <c r="G105" s="4">
        <f>_xll.AtlasFormulas.AtlasFunctions.AtlasBalance("PROD",DataAreaId,"T.TPPTrans_sst|InventDimId~inventDimId@T.InventDim","Sum|Qty|0","","","","","","","ItemId|TransDate|T2.InventSiteId|T2.InventLocationId",$A105,PeriodEnding,$B105,$C105)</f>
        <v>0</v>
      </c>
      <c r="H105" s="4">
        <f>AtlasReport_4_Table_1[[#This Row],[Quantity]]-AtlasReport_4_Table_1[[#This Row],[TPP trans backwards (Beginning)]]</f>
        <v>171.35</v>
      </c>
      <c r="I105" s="4">
        <f>AtlasReport_4_Table_1[[#This Row],[Quantity]]-AtlasReport_4_Table_1[[#This Row],[TPP trans backwards (Ending)]]</f>
        <v>171.35</v>
      </c>
      <c r="J105" s="4">
        <f>_xll.AtlasFormulas.AtlasFunctions.AtlasBalance("PROD",DataAreaId,"T.TPPTrans_sst|InventDimId~inventDimId@T.InventDim","Sum|CostAmount|0","","","","","","","ItemId|TransDate|T2.InventSiteId|T2.InventLocationId",$A105,PeriodBeginning,$B105,$C105)</f>
        <v>0</v>
      </c>
      <c r="K105" s="4">
        <f>_xll.AtlasFormulas.AtlasFunctions.AtlasBalance("PROD",DataAreaId,"T.TPPTrans_sst|InventDimId~inventDimId@T.InventDim","Sum|CostAmount|0","","","","","","","ItemId|TransDate|T2.InventSiteId|T2.InventLocationId",$A105,PeriodEnding,$B105,$C105)</f>
        <v>0</v>
      </c>
      <c r="L105" s="4">
        <f>AtlasReport_4_Table_1[[#This Row],[TPP cost amount]]-AtlasReport_4_Table_1[[#This Row],[TPP trans backwards balance (Beginning)]]</f>
        <v>0</v>
      </c>
      <c r="M105" s="4">
        <f>AtlasReport_4_Table_1[[#This Row],[TPP cost amount]]-AtlasReport_4_Table_1[[#This Row],[TPP trans backwards balance (Ending)]]</f>
        <v>0</v>
      </c>
    </row>
    <row r="106" spans="1:13">
      <c r="A106" s="8" t="s">
        <v>293</v>
      </c>
      <c r="B106" s="8" t="s">
        <v>237</v>
      </c>
      <c r="C106" s="8" t="s">
        <v>238</v>
      </c>
      <c r="D106" s="4">
        <v>127.5625</v>
      </c>
      <c r="E106" s="4">
        <v>0</v>
      </c>
      <c r="F106" s="4">
        <f>_xll.AtlasFormulas.AtlasFunctions.AtlasBalance("PROD",DataAreaId,"T.TPPTrans_sst|InventDimId~inventDimId@T.InventDim","Sum|Qty|0","","","","","","","ItemId|TransDate|T2.InventSiteId|T2.InventLocationId",$A106,PeriodBeginning,$B106,$C106)</f>
        <v>-746.99749999999995</v>
      </c>
      <c r="G106" s="4">
        <f>_xll.AtlasFormulas.AtlasFunctions.AtlasBalance("PROD",DataAreaId,"T.TPPTrans_sst|InventDimId~inventDimId@T.InventDim","Sum|Qty|0","","","","","","","ItemId|TransDate|T2.InventSiteId|T2.InventLocationId",$A106,PeriodEnding,$B106,$C106)</f>
        <v>-292.4975</v>
      </c>
      <c r="H106" s="4">
        <f>AtlasReport_4_Table_1[[#This Row],[Quantity]]-AtlasReport_4_Table_1[[#This Row],[TPP trans backwards (Beginning)]]</f>
        <v>874.56</v>
      </c>
      <c r="I106" s="4">
        <f>AtlasReport_4_Table_1[[#This Row],[Quantity]]-AtlasReport_4_Table_1[[#This Row],[TPP trans backwards (Ending)]]</f>
        <v>420.06</v>
      </c>
      <c r="J106" s="4">
        <f>_xll.AtlasFormulas.AtlasFunctions.AtlasBalance("PROD",DataAreaId,"T.TPPTrans_sst|InventDimId~inventDimId@T.InventDim","Sum|CostAmount|0","","","","","","","ItemId|TransDate|T2.InventSiteId|T2.InventLocationId",$A106,PeriodBeginning,$B106,$C106)</f>
        <v>0</v>
      </c>
      <c r="K106" s="4">
        <f>_xll.AtlasFormulas.AtlasFunctions.AtlasBalance("PROD",DataAreaId,"T.TPPTrans_sst|InventDimId~inventDimId@T.InventDim","Sum|CostAmount|0","","","","","","","ItemId|TransDate|T2.InventSiteId|T2.InventLocationId",$A106,PeriodEnding,$B106,$C106)</f>
        <v>0</v>
      </c>
      <c r="L106" s="4">
        <f>AtlasReport_4_Table_1[[#This Row],[TPP cost amount]]-AtlasReport_4_Table_1[[#This Row],[TPP trans backwards balance (Beginning)]]</f>
        <v>0</v>
      </c>
      <c r="M106" s="4">
        <f>AtlasReport_4_Table_1[[#This Row],[TPP cost amount]]-AtlasReport_4_Table_1[[#This Row],[TPP trans backwards balance (Ending)]]</f>
        <v>0</v>
      </c>
    </row>
    <row r="107" spans="1:13">
      <c r="A107" s="8" t="s">
        <v>294</v>
      </c>
      <c r="B107" s="8" t="s">
        <v>237</v>
      </c>
      <c r="C107" s="8" t="s">
        <v>238</v>
      </c>
      <c r="D107" s="4">
        <v>144</v>
      </c>
      <c r="E107" s="4">
        <v>0</v>
      </c>
      <c r="F107" s="4">
        <f>_xll.AtlasFormulas.AtlasFunctions.AtlasBalance("PROD",DataAreaId,"T.TPPTrans_sst|InventDimId~inventDimId@T.InventDim","Sum|Qty|0","","","","","","","ItemId|TransDate|T2.InventSiteId|T2.InventLocationId",$A107,PeriodBeginning,$B107,$C107)</f>
        <v>0</v>
      </c>
      <c r="G107" s="4">
        <f>_xll.AtlasFormulas.AtlasFunctions.AtlasBalance("PROD",DataAreaId,"T.TPPTrans_sst|InventDimId~inventDimId@T.InventDim","Sum|Qty|0","","","","","","","ItemId|TransDate|T2.InventSiteId|T2.InventLocationId",$A107,PeriodEnding,$B107,$C107)</f>
        <v>0</v>
      </c>
      <c r="H107" s="4">
        <f>AtlasReport_4_Table_1[[#This Row],[Quantity]]-AtlasReport_4_Table_1[[#This Row],[TPP trans backwards (Beginning)]]</f>
        <v>144</v>
      </c>
      <c r="I107" s="4">
        <f>AtlasReport_4_Table_1[[#This Row],[Quantity]]-AtlasReport_4_Table_1[[#This Row],[TPP trans backwards (Ending)]]</f>
        <v>144</v>
      </c>
      <c r="J107" s="4">
        <f>_xll.AtlasFormulas.AtlasFunctions.AtlasBalance("PROD",DataAreaId,"T.TPPTrans_sst|InventDimId~inventDimId@T.InventDim","Sum|CostAmount|0","","","","","","","ItemId|TransDate|T2.InventSiteId|T2.InventLocationId",$A107,PeriodBeginning,$B107,$C107)</f>
        <v>0</v>
      </c>
      <c r="K107" s="4">
        <f>_xll.AtlasFormulas.AtlasFunctions.AtlasBalance("PROD",DataAreaId,"T.TPPTrans_sst|InventDimId~inventDimId@T.InventDim","Sum|CostAmount|0","","","","","","","ItemId|TransDate|T2.InventSiteId|T2.InventLocationId",$A107,PeriodEnding,$B107,$C107)</f>
        <v>0</v>
      </c>
      <c r="L107" s="4">
        <f>AtlasReport_4_Table_1[[#This Row],[TPP cost amount]]-AtlasReport_4_Table_1[[#This Row],[TPP trans backwards balance (Beginning)]]</f>
        <v>0</v>
      </c>
      <c r="M107" s="4">
        <f>AtlasReport_4_Table_1[[#This Row],[TPP cost amount]]-AtlasReport_4_Table_1[[#This Row],[TPP trans backwards balance (Ending)]]</f>
        <v>0</v>
      </c>
    </row>
    <row r="108" spans="1:13">
      <c r="A108" s="8" t="s">
        <v>295</v>
      </c>
      <c r="B108" s="8" t="s">
        <v>237</v>
      </c>
      <c r="C108" s="8" t="s">
        <v>238</v>
      </c>
      <c r="D108" s="4">
        <v>168.43</v>
      </c>
      <c r="E108" s="4">
        <v>0</v>
      </c>
      <c r="F108" s="4">
        <f>_xll.AtlasFormulas.AtlasFunctions.AtlasBalance("PROD",DataAreaId,"T.TPPTrans_sst|InventDimId~inventDimId@T.InventDim","Sum|Qty|0","","","","","","","ItemId|TransDate|T2.InventSiteId|T2.InventLocationId",$A108,PeriodBeginning,$B108,$C108)</f>
        <v>-0.14499999999999999</v>
      </c>
      <c r="G108" s="4">
        <f>_xll.AtlasFormulas.AtlasFunctions.AtlasBalance("PROD",DataAreaId,"T.TPPTrans_sst|InventDimId~inventDimId@T.InventDim","Sum|Qty|0","","","","","","","ItemId|TransDate|T2.InventSiteId|T2.InventLocationId",$A108,PeriodEnding,$B108,$C108)</f>
        <v>0</v>
      </c>
      <c r="H108" s="4">
        <f>AtlasReport_4_Table_1[[#This Row],[Quantity]]-AtlasReport_4_Table_1[[#This Row],[TPP trans backwards (Beginning)]]</f>
        <v>168.57500000000002</v>
      </c>
      <c r="I108" s="4">
        <f>AtlasReport_4_Table_1[[#This Row],[Quantity]]-AtlasReport_4_Table_1[[#This Row],[TPP trans backwards (Ending)]]</f>
        <v>168.43</v>
      </c>
      <c r="J108" s="4">
        <f>_xll.AtlasFormulas.AtlasFunctions.AtlasBalance("PROD",DataAreaId,"T.TPPTrans_sst|InventDimId~inventDimId@T.InventDim","Sum|CostAmount|0","","","","","","","ItemId|TransDate|T2.InventSiteId|T2.InventLocationId",$A108,PeriodBeginning,$B108,$C108)</f>
        <v>0</v>
      </c>
      <c r="K108" s="4">
        <f>_xll.AtlasFormulas.AtlasFunctions.AtlasBalance("PROD",DataAreaId,"T.TPPTrans_sst|InventDimId~inventDimId@T.InventDim","Sum|CostAmount|0","","","","","","","ItemId|TransDate|T2.InventSiteId|T2.InventLocationId",$A108,PeriodEnding,$B108,$C108)</f>
        <v>0</v>
      </c>
      <c r="L108" s="4">
        <f>AtlasReport_4_Table_1[[#This Row],[TPP cost amount]]-AtlasReport_4_Table_1[[#This Row],[TPP trans backwards balance (Beginning)]]</f>
        <v>0</v>
      </c>
      <c r="M108" s="4">
        <f>AtlasReport_4_Table_1[[#This Row],[TPP cost amount]]-AtlasReport_4_Table_1[[#This Row],[TPP trans backwards balance (Ending)]]</f>
        <v>0</v>
      </c>
    </row>
    <row r="109" spans="1:13">
      <c r="A109" s="8" t="s">
        <v>296</v>
      </c>
      <c r="B109" s="8" t="s">
        <v>237</v>
      </c>
      <c r="C109" s="8" t="s">
        <v>238</v>
      </c>
      <c r="D109" s="4">
        <v>568.45000000000005</v>
      </c>
      <c r="E109" s="4">
        <v>0</v>
      </c>
      <c r="F109" s="4">
        <f>_xll.AtlasFormulas.AtlasFunctions.AtlasBalance("PROD",DataAreaId,"T.TPPTrans_sst|InventDimId~inventDimId@T.InventDim","Sum|Qty|0","","","","","","","ItemId|TransDate|T2.InventSiteId|T2.InventLocationId",$A109,PeriodBeginning,$B109,$C109)</f>
        <v>-56.55</v>
      </c>
      <c r="G109" s="4">
        <f>_xll.AtlasFormulas.AtlasFunctions.AtlasBalance("PROD",DataAreaId,"T.TPPTrans_sst|InventDimId~inventDimId@T.InventDim","Sum|Qty|0","","","","","","","ItemId|TransDate|T2.InventSiteId|T2.InventLocationId",$A109,PeriodEnding,$B109,$C109)</f>
        <v>0</v>
      </c>
      <c r="H109" s="4">
        <f>AtlasReport_4_Table_1[[#This Row],[Quantity]]-AtlasReport_4_Table_1[[#This Row],[TPP trans backwards (Beginning)]]</f>
        <v>625</v>
      </c>
      <c r="I109" s="4">
        <f>AtlasReport_4_Table_1[[#This Row],[Quantity]]-AtlasReport_4_Table_1[[#This Row],[TPP trans backwards (Ending)]]</f>
        <v>568.45000000000005</v>
      </c>
      <c r="J109" s="4">
        <f>_xll.AtlasFormulas.AtlasFunctions.AtlasBalance("PROD",DataAreaId,"T.TPPTrans_sst|InventDimId~inventDimId@T.InventDim","Sum|CostAmount|0","","","","","","","ItemId|TransDate|T2.InventSiteId|T2.InventLocationId",$A109,PeriodBeginning,$B109,$C109)</f>
        <v>0</v>
      </c>
      <c r="K109" s="4">
        <f>_xll.AtlasFormulas.AtlasFunctions.AtlasBalance("PROD",DataAreaId,"T.TPPTrans_sst|InventDimId~inventDimId@T.InventDim","Sum|CostAmount|0","","","","","","","ItemId|TransDate|T2.InventSiteId|T2.InventLocationId",$A109,PeriodEnding,$B109,$C109)</f>
        <v>0</v>
      </c>
      <c r="L109" s="4">
        <f>AtlasReport_4_Table_1[[#This Row],[TPP cost amount]]-AtlasReport_4_Table_1[[#This Row],[TPP trans backwards balance (Beginning)]]</f>
        <v>0</v>
      </c>
      <c r="M109" s="4">
        <f>AtlasReport_4_Table_1[[#This Row],[TPP cost amount]]-AtlasReport_4_Table_1[[#This Row],[TPP trans backwards balance (Ending)]]</f>
        <v>0</v>
      </c>
    </row>
    <row r="110" spans="1:13">
      <c r="A110" s="8" t="s">
        <v>297</v>
      </c>
      <c r="B110" s="8" t="s">
        <v>237</v>
      </c>
      <c r="C110" s="8" t="s">
        <v>238</v>
      </c>
      <c r="D110" s="4">
        <v>48</v>
      </c>
      <c r="E110" s="4">
        <v>0</v>
      </c>
      <c r="F110" s="4">
        <f>_xll.AtlasFormulas.AtlasFunctions.AtlasBalance("PROD",DataAreaId,"T.TPPTrans_sst|InventDimId~inventDimId@T.InventDim","Sum|Qty|0","","","","","","","ItemId|TransDate|T2.InventSiteId|T2.InventLocationId",$A110,PeriodBeginning,$B110,$C110)</f>
        <v>0</v>
      </c>
      <c r="G110" s="4">
        <f>_xll.AtlasFormulas.AtlasFunctions.AtlasBalance("PROD",DataAreaId,"T.TPPTrans_sst|InventDimId~inventDimId@T.InventDim","Sum|Qty|0","","","","","","","ItemId|TransDate|T2.InventSiteId|T2.InventLocationId",$A110,PeriodEnding,$B110,$C110)</f>
        <v>0</v>
      </c>
      <c r="H110" s="4">
        <f>AtlasReport_4_Table_1[[#This Row],[Quantity]]-AtlasReport_4_Table_1[[#This Row],[TPP trans backwards (Beginning)]]</f>
        <v>48</v>
      </c>
      <c r="I110" s="4">
        <f>AtlasReport_4_Table_1[[#This Row],[Quantity]]-AtlasReport_4_Table_1[[#This Row],[TPP trans backwards (Ending)]]</f>
        <v>48</v>
      </c>
      <c r="J110" s="4">
        <f>_xll.AtlasFormulas.AtlasFunctions.AtlasBalance("PROD",DataAreaId,"T.TPPTrans_sst|InventDimId~inventDimId@T.InventDim","Sum|CostAmount|0","","","","","","","ItemId|TransDate|T2.InventSiteId|T2.InventLocationId",$A110,PeriodBeginning,$B110,$C110)</f>
        <v>0</v>
      </c>
      <c r="K110" s="4">
        <f>_xll.AtlasFormulas.AtlasFunctions.AtlasBalance("PROD",DataAreaId,"T.TPPTrans_sst|InventDimId~inventDimId@T.InventDim","Sum|CostAmount|0","","","","","","","ItemId|TransDate|T2.InventSiteId|T2.InventLocationId",$A110,PeriodEnding,$B110,$C110)</f>
        <v>0</v>
      </c>
      <c r="L110" s="4">
        <f>AtlasReport_4_Table_1[[#This Row],[TPP cost amount]]-AtlasReport_4_Table_1[[#This Row],[TPP trans backwards balance (Beginning)]]</f>
        <v>0</v>
      </c>
      <c r="M110" s="4">
        <f>AtlasReport_4_Table_1[[#This Row],[TPP cost amount]]-AtlasReport_4_Table_1[[#This Row],[TPP trans backwards balance (Ending)]]</f>
        <v>0</v>
      </c>
    </row>
    <row r="111" spans="1:13">
      <c r="A111" s="8" t="s">
        <v>839</v>
      </c>
      <c r="B111" s="8" t="s">
        <v>237</v>
      </c>
      <c r="C111" s="8" t="s">
        <v>238</v>
      </c>
      <c r="D111" s="4">
        <v>150</v>
      </c>
      <c r="E111" s="4">
        <v>0</v>
      </c>
      <c r="F111" s="4">
        <f>_xll.AtlasFormulas.AtlasFunctions.AtlasBalance("PROD",DataAreaId,"T.TPPTrans_sst|InventDimId~inventDimId@T.InventDim","Sum|Qty|0","","","","","","","ItemId|TransDate|T2.InventSiteId|T2.InventLocationId",$A111,PeriodBeginning,$B111,$C111)</f>
        <v>150</v>
      </c>
      <c r="G111" s="4">
        <f>_xll.AtlasFormulas.AtlasFunctions.AtlasBalance("PROD",DataAreaId,"T.TPPTrans_sst|InventDimId~inventDimId@T.InventDim","Sum|Qty|0","","","","","","","ItemId|TransDate|T2.InventSiteId|T2.InventLocationId",$A111,PeriodEnding,$B111,$C111)</f>
        <v>0</v>
      </c>
      <c r="H111" s="4">
        <f>AtlasReport_4_Table_1[[#This Row],[Quantity]]-AtlasReport_4_Table_1[[#This Row],[TPP trans backwards (Beginning)]]</f>
        <v>0</v>
      </c>
      <c r="I111" s="4">
        <f>AtlasReport_4_Table_1[[#This Row],[Quantity]]-AtlasReport_4_Table_1[[#This Row],[TPP trans backwards (Ending)]]</f>
        <v>150</v>
      </c>
      <c r="J111" s="4">
        <f>_xll.AtlasFormulas.AtlasFunctions.AtlasBalance("PROD",DataAreaId,"T.TPPTrans_sst|InventDimId~inventDimId@T.InventDim","Sum|CostAmount|0","","","","","","","ItemId|TransDate|T2.InventSiteId|T2.InventLocationId",$A111,PeriodBeginning,$B111,$C111)</f>
        <v>0</v>
      </c>
      <c r="K111" s="4">
        <f>_xll.AtlasFormulas.AtlasFunctions.AtlasBalance("PROD",DataAreaId,"T.TPPTrans_sst|InventDimId~inventDimId@T.InventDim","Sum|CostAmount|0","","","","","","","ItemId|TransDate|T2.InventSiteId|T2.InventLocationId",$A111,PeriodEnding,$B111,$C111)</f>
        <v>0</v>
      </c>
      <c r="L111" s="4">
        <f>AtlasReport_4_Table_1[[#This Row],[TPP cost amount]]-AtlasReport_4_Table_1[[#This Row],[TPP trans backwards balance (Beginning)]]</f>
        <v>0</v>
      </c>
      <c r="M111" s="4">
        <f>AtlasReport_4_Table_1[[#This Row],[TPP cost amount]]-AtlasReport_4_Table_1[[#This Row],[TPP trans backwards balance (Ending)]]</f>
        <v>0</v>
      </c>
    </row>
    <row r="112" spans="1:13">
      <c r="A112" s="8" t="s">
        <v>298</v>
      </c>
      <c r="B112" s="8" t="s">
        <v>237</v>
      </c>
      <c r="C112" s="8" t="s">
        <v>238</v>
      </c>
      <c r="D112" s="4">
        <v>517.01990000000001</v>
      </c>
      <c r="E112" s="4">
        <v>0</v>
      </c>
      <c r="F112" s="4">
        <f>_xll.AtlasFormulas.AtlasFunctions.AtlasBalance("PROD",DataAreaId,"T.TPPTrans_sst|InventDimId~inventDimId@T.InventDim","Sum|Qty|0","","","","","","","ItemId|TransDate|T2.InventSiteId|T2.InventLocationId",$A112,PeriodBeginning,$B112,$C112)</f>
        <v>-707.98009999999999</v>
      </c>
      <c r="G112" s="4">
        <f>_xll.AtlasFormulas.AtlasFunctions.AtlasBalance("PROD",DataAreaId,"T.TPPTrans_sst|InventDimId~inventDimId@T.InventDim","Sum|Qty|0","","","","","","","ItemId|TransDate|T2.InventSiteId|T2.InventLocationId",$A112,PeriodEnding,$B112,$C112)</f>
        <v>0</v>
      </c>
      <c r="H112" s="4">
        <f>AtlasReport_4_Table_1[[#This Row],[Quantity]]-AtlasReport_4_Table_1[[#This Row],[TPP trans backwards (Beginning)]]</f>
        <v>1225</v>
      </c>
      <c r="I112" s="4">
        <f>AtlasReport_4_Table_1[[#This Row],[Quantity]]-AtlasReport_4_Table_1[[#This Row],[TPP trans backwards (Ending)]]</f>
        <v>517.01990000000001</v>
      </c>
      <c r="J112" s="4">
        <f>_xll.AtlasFormulas.AtlasFunctions.AtlasBalance("PROD",DataAreaId,"T.TPPTrans_sst|InventDimId~inventDimId@T.InventDim","Sum|CostAmount|0","","","","","","","ItemId|TransDate|T2.InventSiteId|T2.InventLocationId",$A112,PeriodBeginning,$B112,$C112)</f>
        <v>0</v>
      </c>
      <c r="K112" s="4">
        <f>_xll.AtlasFormulas.AtlasFunctions.AtlasBalance("PROD",DataAreaId,"T.TPPTrans_sst|InventDimId~inventDimId@T.InventDim","Sum|CostAmount|0","","","","","","","ItemId|TransDate|T2.InventSiteId|T2.InventLocationId",$A112,PeriodEnding,$B112,$C112)</f>
        <v>0</v>
      </c>
      <c r="L112" s="4">
        <f>AtlasReport_4_Table_1[[#This Row],[TPP cost amount]]-AtlasReport_4_Table_1[[#This Row],[TPP trans backwards balance (Beginning)]]</f>
        <v>0</v>
      </c>
      <c r="M112" s="4">
        <f>AtlasReport_4_Table_1[[#This Row],[TPP cost amount]]-AtlasReport_4_Table_1[[#This Row],[TPP trans backwards balance (Ending)]]</f>
        <v>0</v>
      </c>
    </row>
    <row r="113" spans="1:13">
      <c r="A113" s="3" t="s">
        <v>13</v>
      </c>
      <c r="B113" s="7"/>
      <c r="C113" s="7"/>
      <c r="D113" s="3">
        <f>SUBTOTAL(109,AtlasReport_4_Table_1[Quantity])</f>
        <v>95542.662099999987</v>
      </c>
      <c r="E113" s="3">
        <f>SUBTOTAL(109,AtlasReport_4_Table_1[TPP cost amount])</f>
        <v>0</v>
      </c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</sheetData>
  <phoneticPr fontId="6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8"/>
  <sheetViews>
    <sheetView workbookViewId="0">
      <selection activeCell="B4" sqref="B4"/>
    </sheetView>
  </sheetViews>
  <sheetFormatPr defaultRowHeight="1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  <col min="6" max="6" width="9.28515625" customWidth="1"/>
    <col min="7" max="7" width="14" customWidth="1"/>
    <col min="8" max="8" width="13.5703125" customWidth="1"/>
    <col min="9" max="9" width="10.5703125" customWidth="1"/>
    <col min="10" max="10" width="12.28515625" customWidth="1"/>
    <col min="11" max="11" width="11.140625" customWidth="1"/>
    <col min="12" max="13" width="24.5703125" customWidth="1"/>
    <col min="14" max="14" width="11.42578125" customWidth="1"/>
    <col min="15" max="15" width="10.5703125" customWidth="1"/>
  </cols>
  <sheetData>
    <row r="1" spans="1:15" ht="22.5">
      <c r="A1" s="2" t="s">
        <v>94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>
      <c r="A2" s="3" t="s">
        <v>6</v>
      </c>
      <c r="B2" s="3" t="s">
        <v>18</v>
      </c>
      <c r="C2" s="3" t="s">
        <v>95</v>
      </c>
      <c r="D2" s="3" t="s">
        <v>96</v>
      </c>
      <c r="E2" s="3" t="s">
        <v>21</v>
      </c>
      <c r="F2" s="3" t="s">
        <v>191</v>
      </c>
      <c r="G2" s="3" t="s">
        <v>192</v>
      </c>
      <c r="H2" s="3" t="s">
        <v>193</v>
      </c>
      <c r="I2" s="3" t="s">
        <v>194</v>
      </c>
      <c r="J2" s="3" t="s">
        <v>195</v>
      </c>
      <c r="K2" s="3" t="s">
        <v>196</v>
      </c>
      <c r="L2" s="3" t="s">
        <v>197</v>
      </c>
      <c r="M2" s="3" t="s">
        <v>198</v>
      </c>
      <c r="N2" s="3" t="s">
        <v>199</v>
      </c>
      <c r="O2" s="3" t="s">
        <v>200</v>
      </c>
    </row>
    <row r="3" spans="1:15">
      <c r="A3" s="8" t="s">
        <v>236</v>
      </c>
      <c r="B3" s="8" t="s">
        <v>299</v>
      </c>
      <c r="C3" s="8" t="s">
        <v>186</v>
      </c>
      <c r="D3" s="8" t="s">
        <v>98</v>
      </c>
      <c r="E3" s="8" t="s">
        <v>66</v>
      </c>
      <c r="F3" s="8" t="s">
        <v>237</v>
      </c>
      <c r="G3" s="8" t="s">
        <v>300</v>
      </c>
      <c r="H3" s="8" t="s">
        <v>44</v>
      </c>
      <c r="I3" s="8" t="s">
        <v>202</v>
      </c>
      <c r="J3" s="8" t="s">
        <v>301</v>
      </c>
      <c r="K3" s="8" t="s">
        <v>203</v>
      </c>
      <c r="L3" s="8" t="s">
        <v>302</v>
      </c>
      <c r="M3" s="8" t="s">
        <v>303</v>
      </c>
      <c r="N3" s="8" t="s">
        <v>44</v>
      </c>
      <c r="O3" s="8" t="s">
        <v>44</v>
      </c>
    </row>
    <row r="4" spans="1:15">
      <c r="A4" s="8" t="s">
        <v>239</v>
      </c>
      <c r="B4" s="8" t="s">
        <v>304</v>
      </c>
      <c r="C4" s="8" t="s">
        <v>186</v>
      </c>
      <c r="D4" s="8" t="s">
        <v>98</v>
      </c>
      <c r="E4" s="8" t="s">
        <v>66</v>
      </c>
      <c r="F4" s="8" t="s">
        <v>237</v>
      </c>
      <c r="G4" s="8" t="s">
        <v>300</v>
      </c>
      <c r="H4" s="8" t="s">
        <v>44</v>
      </c>
      <c r="I4" s="8" t="s">
        <v>202</v>
      </c>
      <c r="J4" s="8" t="s">
        <v>301</v>
      </c>
      <c r="K4" s="8" t="s">
        <v>203</v>
      </c>
      <c r="L4" s="8" t="s">
        <v>302</v>
      </c>
      <c r="M4" s="8" t="s">
        <v>303</v>
      </c>
      <c r="N4" s="8" t="s">
        <v>44</v>
      </c>
      <c r="O4" s="8" t="s">
        <v>44</v>
      </c>
    </row>
    <row r="5" spans="1:15">
      <c r="A5" s="8" t="s">
        <v>240</v>
      </c>
      <c r="B5" s="8" t="s">
        <v>305</v>
      </c>
      <c r="C5" s="8" t="s">
        <v>186</v>
      </c>
      <c r="D5" s="8" t="s">
        <v>98</v>
      </c>
      <c r="E5" s="8" t="s">
        <v>66</v>
      </c>
      <c r="F5" s="8" t="s">
        <v>237</v>
      </c>
      <c r="G5" s="8" t="s">
        <v>300</v>
      </c>
      <c r="H5" s="8" t="s">
        <v>44</v>
      </c>
      <c r="I5" s="8" t="s">
        <v>202</v>
      </c>
      <c r="J5" s="8" t="s">
        <v>301</v>
      </c>
      <c r="K5" s="8" t="s">
        <v>203</v>
      </c>
      <c r="L5" s="8" t="s">
        <v>302</v>
      </c>
      <c r="M5" s="8" t="s">
        <v>303</v>
      </c>
      <c r="N5" s="8" t="s">
        <v>44</v>
      </c>
      <c r="O5" s="8" t="s">
        <v>44</v>
      </c>
    </row>
    <row r="6" spans="1:15">
      <c r="A6" s="8" t="s">
        <v>1014</v>
      </c>
      <c r="B6" s="8" t="s">
        <v>1015</v>
      </c>
      <c r="C6" s="8" t="s">
        <v>186</v>
      </c>
      <c r="D6" s="8" t="s">
        <v>98</v>
      </c>
      <c r="E6" s="8" t="s">
        <v>66</v>
      </c>
      <c r="F6" s="8" t="s">
        <v>237</v>
      </c>
      <c r="G6" s="8" t="s">
        <v>300</v>
      </c>
      <c r="H6" s="8" t="s">
        <v>44</v>
      </c>
      <c r="I6" s="8" t="s">
        <v>202</v>
      </c>
      <c r="J6" s="8" t="s">
        <v>301</v>
      </c>
      <c r="K6" s="8" t="s">
        <v>203</v>
      </c>
      <c r="L6" s="8" t="s">
        <v>302</v>
      </c>
      <c r="M6" s="8" t="s">
        <v>303</v>
      </c>
      <c r="N6" s="8" t="s">
        <v>44</v>
      </c>
      <c r="O6" s="8" t="s">
        <v>44</v>
      </c>
    </row>
    <row r="7" spans="1:15">
      <c r="A7" s="8" t="s">
        <v>128</v>
      </c>
      <c r="B7" s="8" t="s">
        <v>131</v>
      </c>
      <c r="C7" s="8" t="s">
        <v>97</v>
      </c>
      <c r="D7" s="8" t="s">
        <v>98</v>
      </c>
      <c r="E7" s="8" t="s">
        <v>22</v>
      </c>
      <c r="F7" s="8" t="s">
        <v>237</v>
      </c>
      <c r="G7" s="8" t="s">
        <v>201</v>
      </c>
      <c r="H7" s="8" t="s">
        <v>44</v>
      </c>
      <c r="I7" s="8" t="s">
        <v>202</v>
      </c>
      <c r="J7" s="8" t="s">
        <v>301</v>
      </c>
      <c r="K7" s="8" t="s">
        <v>203</v>
      </c>
      <c r="L7" s="8" t="s">
        <v>204</v>
      </c>
      <c r="M7" s="8" t="s">
        <v>213</v>
      </c>
      <c r="N7" s="8" t="s">
        <v>44</v>
      </c>
      <c r="O7" s="8" t="s">
        <v>44</v>
      </c>
    </row>
    <row r="8" spans="1:15">
      <c r="A8" s="8" t="s">
        <v>306</v>
      </c>
      <c r="B8" s="8" t="s">
        <v>307</v>
      </c>
      <c r="C8" s="8" t="s">
        <v>97</v>
      </c>
      <c r="D8" s="8" t="s">
        <v>82</v>
      </c>
      <c r="E8" s="8" t="s">
        <v>22</v>
      </c>
      <c r="F8" s="8" t="s">
        <v>237</v>
      </c>
      <c r="G8" s="8" t="s">
        <v>201</v>
      </c>
      <c r="H8" s="8" t="s">
        <v>44</v>
      </c>
      <c r="I8" s="8" t="s">
        <v>202</v>
      </c>
      <c r="J8" s="8" t="s">
        <v>301</v>
      </c>
      <c r="K8" s="8" t="s">
        <v>203</v>
      </c>
      <c r="L8" s="8" t="s">
        <v>214</v>
      </c>
      <c r="M8" s="8" t="s">
        <v>308</v>
      </c>
      <c r="N8" s="8" t="s">
        <v>44</v>
      </c>
      <c r="O8" s="8" t="s">
        <v>44</v>
      </c>
    </row>
    <row r="9" spans="1:15">
      <c r="A9" s="8" t="s">
        <v>309</v>
      </c>
      <c r="B9" s="8" t="s">
        <v>310</v>
      </c>
      <c r="C9" s="8" t="s">
        <v>97</v>
      </c>
      <c r="D9" s="8" t="s">
        <v>82</v>
      </c>
      <c r="E9" s="8" t="s">
        <v>22</v>
      </c>
      <c r="F9" s="8" t="s">
        <v>237</v>
      </c>
      <c r="G9" s="8" t="s">
        <v>201</v>
      </c>
      <c r="H9" s="8" t="s">
        <v>44</v>
      </c>
      <c r="I9" s="8" t="s">
        <v>202</v>
      </c>
      <c r="J9" s="8" t="s">
        <v>301</v>
      </c>
      <c r="K9" s="8" t="s">
        <v>203</v>
      </c>
      <c r="L9" s="8" t="s">
        <v>214</v>
      </c>
      <c r="M9" s="8" t="s">
        <v>308</v>
      </c>
      <c r="N9" s="8" t="s">
        <v>44</v>
      </c>
      <c r="O9" s="8" t="s">
        <v>44</v>
      </c>
    </row>
    <row r="10" spans="1:15">
      <c r="A10" s="8" t="s">
        <v>311</v>
      </c>
      <c r="B10" s="8" t="s">
        <v>312</v>
      </c>
      <c r="C10" s="8" t="s">
        <v>97</v>
      </c>
      <c r="D10" s="8" t="s">
        <v>82</v>
      </c>
      <c r="E10" s="8" t="s">
        <v>22</v>
      </c>
      <c r="F10" s="8" t="s">
        <v>237</v>
      </c>
      <c r="G10" s="8" t="s">
        <v>201</v>
      </c>
      <c r="H10" s="8" t="s">
        <v>44</v>
      </c>
      <c r="I10" s="8" t="s">
        <v>202</v>
      </c>
      <c r="J10" s="8" t="s">
        <v>301</v>
      </c>
      <c r="K10" s="8" t="s">
        <v>203</v>
      </c>
      <c r="L10" s="8" t="s">
        <v>214</v>
      </c>
      <c r="M10" s="8" t="s">
        <v>308</v>
      </c>
      <c r="N10" s="8" t="s">
        <v>44</v>
      </c>
      <c r="O10" s="8" t="s">
        <v>44</v>
      </c>
    </row>
    <row r="11" spans="1:15">
      <c r="A11" s="8" t="s">
        <v>241</v>
      </c>
      <c r="B11" s="8" t="s">
        <v>313</v>
      </c>
      <c r="C11" s="8" t="s">
        <v>186</v>
      </c>
      <c r="D11" s="8" t="s">
        <v>98</v>
      </c>
      <c r="E11" s="8" t="s">
        <v>66</v>
      </c>
      <c r="F11" s="8" t="s">
        <v>237</v>
      </c>
      <c r="G11" s="8" t="s">
        <v>300</v>
      </c>
      <c r="H11" s="8" t="s">
        <v>44</v>
      </c>
      <c r="I11" s="8" t="s">
        <v>202</v>
      </c>
      <c r="J11" s="8" t="s">
        <v>301</v>
      </c>
      <c r="K11" s="8" t="s">
        <v>203</v>
      </c>
      <c r="L11" s="8" t="s">
        <v>302</v>
      </c>
      <c r="M11" s="8" t="s">
        <v>314</v>
      </c>
      <c r="N11" s="8" t="s">
        <v>44</v>
      </c>
      <c r="O11" s="8" t="s">
        <v>44</v>
      </c>
    </row>
    <row r="12" spans="1:15">
      <c r="A12" s="8" t="s">
        <v>1018</v>
      </c>
      <c r="B12" s="8" t="s">
        <v>1019</v>
      </c>
      <c r="C12" s="8" t="s">
        <v>186</v>
      </c>
      <c r="D12" s="8" t="s">
        <v>98</v>
      </c>
      <c r="E12" s="8" t="s">
        <v>66</v>
      </c>
      <c r="F12" s="8" t="s">
        <v>237</v>
      </c>
      <c r="G12" s="8" t="s">
        <v>300</v>
      </c>
      <c r="H12" s="8" t="s">
        <v>44</v>
      </c>
      <c r="I12" s="8" t="s">
        <v>202</v>
      </c>
      <c r="J12" s="8" t="s">
        <v>301</v>
      </c>
      <c r="K12" s="8" t="s">
        <v>203</v>
      </c>
      <c r="L12" s="8" t="s">
        <v>302</v>
      </c>
      <c r="M12" s="8" t="s">
        <v>314</v>
      </c>
      <c r="N12" s="8" t="s">
        <v>44</v>
      </c>
      <c r="O12" s="8" t="s">
        <v>44</v>
      </c>
    </row>
    <row r="13" spans="1:15">
      <c r="A13" s="8" t="s">
        <v>242</v>
      </c>
      <c r="B13" s="8" t="s">
        <v>315</v>
      </c>
      <c r="C13" s="8" t="s">
        <v>186</v>
      </c>
      <c r="D13" s="8" t="s">
        <v>98</v>
      </c>
      <c r="E13" s="8" t="s">
        <v>66</v>
      </c>
      <c r="F13" s="8" t="s">
        <v>237</v>
      </c>
      <c r="G13" s="8" t="s">
        <v>300</v>
      </c>
      <c r="H13" s="8" t="s">
        <v>44</v>
      </c>
      <c r="I13" s="8" t="s">
        <v>202</v>
      </c>
      <c r="J13" s="8" t="s">
        <v>301</v>
      </c>
      <c r="K13" s="8" t="s">
        <v>203</v>
      </c>
      <c r="L13" s="8" t="s">
        <v>302</v>
      </c>
      <c r="M13" s="8" t="s">
        <v>316</v>
      </c>
      <c r="N13" s="8" t="s">
        <v>44</v>
      </c>
      <c r="O13" s="8" t="s">
        <v>44</v>
      </c>
    </row>
    <row r="14" spans="1:15">
      <c r="A14" s="8" t="s">
        <v>37</v>
      </c>
      <c r="B14" s="8" t="s">
        <v>57</v>
      </c>
      <c r="C14" s="8" t="s">
        <v>97</v>
      </c>
      <c r="D14" s="8" t="s">
        <v>98</v>
      </c>
      <c r="E14" s="8" t="s">
        <v>23</v>
      </c>
      <c r="F14" s="8" t="s">
        <v>237</v>
      </c>
      <c r="G14" s="8" t="s">
        <v>201</v>
      </c>
      <c r="H14" s="8" t="s">
        <v>44</v>
      </c>
      <c r="I14" s="8" t="s">
        <v>202</v>
      </c>
      <c r="J14" s="8" t="s">
        <v>301</v>
      </c>
      <c r="K14" s="8" t="s">
        <v>203</v>
      </c>
      <c r="L14" s="8" t="s">
        <v>204</v>
      </c>
      <c r="M14" s="8" t="s">
        <v>205</v>
      </c>
      <c r="N14" s="8" t="s">
        <v>44</v>
      </c>
      <c r="O14" s="8" t="s">
        <v>44</v>
      </c>
    </row>
    <row r="15" spans="1:15">
      <c r="A15" s="8" t="s">
        <v>129</v>
      </c>
      <c r="B15" s="8" t="s">
        <v>132</v>
      </c>
      <c r="C15" s="8" t="s">
        <v>97</v>
      </c>
      <c r="D15" s="8" t="s">
        <v>98</v>
      </c>
      <c r="E15" s="8" t="s">
        <v>23</v>
      </c>
      <c r="F15" s="8" t="s">
        <v>237</v>
      </c>
      <c r="G15" s="8" t="s">
        <v>201</v>
      </c>
      <c r="H15" s="8" t="s">
        <v>44</v>
      </c>
      <c r="I15" s="8" t="s">
        <v>202</v>
      </c>
      <c r="J15" s="8" t="s">
        <v>301</v>
      </c>
      <c r="K15" s="8" t="s">
        <v>203</v>
      </c>
      <c r="L15" s="8" t="s">
        <v>204</v>
      </c>
      <c r="M15" s="8" t="s">
        <v>205</v>
      </c>
      <c r="N15" s="8" t="s">
        <v>44</v>
      </c>
      <c r="O15" s="8" t="s">
        <v>44</v>
      </c>
    </row>
    <row r="16" spans="1:15">
      <c r="A16" s="8" t="s">
        <v>71</v>
      </c>
      <c r="B16" s="8" t="s">
        <v>99</v>
      </c>
      <c r="C16" s="8" t="s">
        <v>97</v>
      </c>
      <c r="D16" s="8" t="s">
        <v>98</v>
      </c>
      <c r="E16" s="8" t="s">
        <v>23</v>
      </c>
      <c r="F16" s="8" t="s">
        <v>237</v>
      </c>
      <c r="G16" s="8" t="s">
        <v>201</v>
      </c>
      <c r="H16" s="8" t="s">
        <v>44</v>
      </c>
      <c r="I16" s="8" t="s">
        <v>202</v>
      </c>
      <c r="J16" s="8" t="s">
        <v>301</v>
      </c>
      <c r="K16" s="8" t="s">
        <v>203</v>
      </c>
      <c r="L16" s="8" t="s">
        <v>204</v>
      </c>
      <c r="M16" s="8" t="s">
        <v>205</v>
      </c>
      <c r="N16" s="8" t="s">
        <v>44</v>
      </c>
      <c r="O16" s="8" t="s">
        <v>44</v>
      </c>
    </row>
    <row r="17" spans="1:15">
      <c r="A17" s="8" t="s">
        <v>130</v>
      </c>
      <c r="B17" s="8" t="s">
        <v>133</v>
      </c>
      <c r="C17" s="8" t="s">
        <v>97</v>
      </c>
      <c r="D17" s="8" t="s">
        <v>98</v>
      </c>
      <c r="E17" s="8" t="s">
        <v>23</v>
      </c>
      <c r="F17" s="8" t="s">
        <v>237</v>
      </c>
      <c r="G17" s="8" t="s">
        <v>201</v>
      </c>
      <c r="H17" s="8" t="s">
        <v>44</v>
      </c>
      <c r="I17" s="8" t="s">
        <v>202</v>
      </c>
      <c r="J17" s="8" t="s">
        <v>301</v>
      </c>
      <c r="K17" s="8" t="s">
        <v>203</v>
      </c>
      <c r="L17" s="8" t="s">
        <v>204</v>
      </c>
      <c r="M17" s="8" t="s">
        <v>205</v>
      </c>
      <c r="N17" s="8" t="s">
        <v>44</v>
      </c>
      <c r="O17" s="8" t="s">
        <v>44</v>
      </c>
    </row>
    <row r="18" spans="1:15">
      <c r="A18" s="8" t="s">
        <v>228</v>
      </c>
      <c r="B18" s="8" t="s">
        <v>133</v>
      </c>
      <c r="C18" s="8" t="s">
        <v>97</v>
      </c>
      <c r="D18" s="8" t="s">
        <v>98</v>
      </c>
      <c r="E18" s="8" t="s">
        <v>23</v>
      </c>
      <c r="F18" s="8" t="s">
        <v>237</v>
      </c>
      <c r="G18" s="8" t="s">
        <v>201</v>
      </c>
      <c r="H18" s="8" t="s">
        <v>44</v>
      </c>
      <c r="I18" s="8" t="s">
        <v>202</v>
      </c>
      <c r="J18" s="8" t="s">
        <v>301</v>
      </c>
      <c r="K18" s="8" t="s">
        <v>203</v>
      </c>
      <c r="L18" s="8" t="s">
        <v>204</v>
      </c>
      <c r="M18" s="8" t="s">
        <v>205</v>
      </c>
      <c r="N18" s="8" t="s">
        <v>44</v>
      </c>
      <c r="O18" s="8" t="s">
        <v>44</v>
      </c>
    </row>
    <row r="19" spans="1:15">
      <c r="A19" s="8" t="s">
        <v>243</v>
      </c>
      <c r="B19" s="8" t="s">
        <v>317</v>
      </c>
      <c r="C19" s="8" t="s">
        <v>186</v>
      </c>
      <c r="D19" s="8" t="s">
        <v>98</v>
      </c>
      <c r="E19" s="8" t="s">
        <v>66</v>
      </c>
      <c r="F19" s="8" t="s">
        <v>237</v>
      </c>
      <c r="G19" s="8" t="s">
        <v>300</v>
      </c>
      <c r="H19" s="8" t="s">
        <v>44</v>
      </c>
      <c r="I19" s="8" t="s">
        <v>202</v>
      </c>
      <c r="J19" s="8" t="s">
        <v>301</v>
      </c>
      <c r="K19" s="8" t="s">
        <v>203</v>
      </c>
      <c r="L19" s="8" t="s">
        <v>302</v>
      </c>
      <c r="M19" s="8" t="s">
        <v>318</v>
      </c>
      <c r="N19" s="8" t="s">
        <v>44</v>
      </c>
      <c r="O19" s="8" t="s">
        <v>44</v>
      </c>
    </row>
    <row r="20" spans="1:15">
      <c r="A20" s="8" t="s">
        <v>244</v>
      </c>
      <c r="B20" s="8" t="s">
        <v>319</v>
      </c>
      <c r="C20" s="8" t="s">
        <v>186</v>
      </c>
      <c r="D20" s="8" t="s">
        <v>98</v>
      </c>
      <c r="E20" s="8" t="s">
        <v>66</v>
      </c>
      <c r="F20" s="8" t="s">
        <v>237</v>
      </c>
      <c r="G20" s="8" t="s">
        <v>300</v>
      </c>
      <c r="H20" s="8" t="s">
        <v>44</v>
      </c>
      <c r="I20" s="8" t="s">
        <v>202</v>
      </c>
      <c r="J20" s="8" t="s">
        <v>301</v>
      </c>
      <c r="K20" s="8" t="s">
        <v>203</v>
      </c>
      <c r="L20" s="8" t="s">
        <v>302</v>
      </c>
      <c r="M20" s="8" t="s">
        <v>320</v>
      </c>
      <c r="N20" s="8" t="s">
        <v>44</v>
      </c>
      <c r="O20" s="8" t="s">
        <v>44</v>
      </c>
    </row>
    <row r="21" spans="1:15">
      <c r="A21" s="8" t="s">
        <v>72</v>
      </c>
      <c r="B21" s="8" t="s">
        <v>100</v>
      </c>
      <c r="C21" s="8" t="s">
        <v>97</v>
      </c>
      <c r="D21" s="8" t="s">
        <v>98</v>
      </c>
      <c r="E21" s="8" t="s">
        <v>22</v>
      </c>
      <c r="F21" s="8" t="s">
        <v>237</v>
      </c>
      <c r="G21" s="8" t="s">
        <v>201</v>
      </c>
      <c r="H21" s="8" t="s">
        <v>44</v>
      </c>
      <c r="I21" s="8" t="s">
        <v>202</v>
      </c>
      <c r="J21" s="8" t="s">
        <v>301</v>
      </c>
      <c r="K21" s="8" t="s">
        <v>203</v>
      </c>
      <c r="L21" s="8" t="s">
        <v>204</v>
      </c>
      <c r="M21" s="8" t="s">
        <v>206</v>
      </c>
      <c r="N21" s="8" t="s">
        <v>44</v>
      </c>
      <c r="O21" s="8" t="s">
        <v>44</v>
      </c>
    </row>
    <row r="22" spans="1:15">
      <c r="A22" s="8" t="s">
        <v>189</v>
      </c>
      <c r="B22" s="8" t="s">
        <v>190</v>
      </c>
      <c r="C22" s="8" t="s">
        <v>97</v>
      </c>
      <c r="D22" s="8" t="s">
        <v>98</v>
      </c>
      <c r="E22" s="8" t="s">
        <v>22</v>
      </c>
      <c r="F22" s="8" t="s">
        <v>237</v>
      </c>
      <c r="G22" s="8" t="s">
        <v>201</v>
      </c>
      <c r="H22" s="8" t="s">
        <v>44</v>
      </c>
      <c r="I22" s="8" t="s">
        <v>202</v>
      </c>
      <c r="J22" s="8" t="s">
        <v>301</v>
      </c>
      <c r="K22" s="8" t="s">
        <v>203</v>
      </c>
      <c r="L22" s="8" t="s">
        <v>204</v>
      </c>
      <c r="M22" s="8" t="s">
        <v>206</v>
      </c>
      <c r="N22" s="8" t="s">
        <v>44</v>
      </c>
      <c r="O22" s="8" t="s">
        <v>44</v>
      </c>
    </row>
    <row r="23" spans="1:15">
      <c r="A23" s="8" t="s">
        <v>245</v>
      </c>
      <c r="B23" s="8" t="s">
        <v>321</v>
      </c>
      <c r="C23" s="8" t="s">
        <v>186</v>
      </c>
      <c r="D23" s="8" t="s">
        <v>98</v>
      </c>
      <c r="E23" s="8" t="s">
        <v>66</v>
      </c>
      <c r="F23" s="8" t="s">
        <v>237</v>
      </c>
      <c r="G23" s="8" t="s">
        <v>300</v>
      </c>
      <c r="H23" s="8" t="s">
        <v>44</v>
      </c>
      <c r="I23" s="8" t="s">
        <v>202</v>
      </c>
      <c r="J23" s="8" t="s">
        <v>301</v>
      </c>
      <c r="K23" s="8" t="s">
        <v>203</v>
      </c>
      <c r="L23" s="8" t="s">
        <v>302</v>
      </c>
      <c r="M23" s="8" t="s">
        <v>322</v>
      </c>
      <c r="N23" s="8" t="s">
        <v>44</v>
      </c>
      <c r="O23" s="8" t="s">
        <v>44</v>
      </c>
    </row>
    <row r="24" spans="1:15">
      <c r="A24" s="8" t="s">
        <v>246</v>
      </c>
      <c r="B24" s="8" t="s">
        <v>323</v>
      </c>
      <c r="C24" s="8" t="s">
        <v>186</v>
      </c>
      <c r="D24" s="8" t="s">
        <v>98</v>
      </c>
      <c r="E24" s="8" t="s">
        <v>22</v>
      </c>
      <c r="F24" s="8" t="s">
        <v>237</v>
      </c>
      <c r="G24" s="8" t="s">
        <v>300</v>
      </c>
      <c r="H24" s="8" t="s">
        <v>44</v>
      </c>
      <c r="I24" s="8" t="s">
        <v>202</v>
      </c>
      <c r="J24" s="8" t="s">
        <v>301</v>
      </c>
      <c r="K24" s="8" t="s">
        <v>203</v>
      </c>
      <c r="L24" s="8" t="s">
        <v>324</v>
      </c>
      <c r="M24" s="8" t="s">
        <v>325</v>
      </c>
      <c r="N24" s="8" t="s">
        <v>44</v>
      </c>
      <c r="O24" s="8" t="s">
        <v>44</v>
      </c>
    </row>
    <row r="25" spans="1:15">
      <c r="A25" s="8" t="s">
        <v>247</v>
      </c>
      <c r="B25" s="8" t="s">
        <v>326</v>
      </c>
      <c r="C25" s="8" t="s">
        <v>186</v>
      </c>
      <c r="D25" s="8" t="s">
        <v>98</v>
      </c>
      <c r="E25" s="8" t="s">
        <v>22</v>
      </c>
      <c r="F25" s="8" t="s">
        <v>237</v>
      </c>
      <c r="G25" s="8" t="s">
        <v>300</v>
      </c>
      <c r="H25" s="8" t="s">
        <v>44</v>
      </c>
      <c r="I25" s="8" t="s">
        <v>202</v>
      </c>
      <c r="J25" s="8" t="s">
        <v>301</v>
      </c>
      <c r="K25" s="8" t="s">
        <v>203</v>
      </c>
      <c r="L25" s="8" t="s">
        <v>324</v>
      </c>
      <c r="M25" s="8" t="s">
        <v>325</v>
      </c>
      <c r="N25" s="8" t="s">
        <v>44</v>
      </c>
      <c r="O25" s="8" t="s">
        <v>44</v>
      </c>
    </row>
    <row r="26" spans="1:15">
      <c r="A26" s="8" t="s">
        <v>248</v>
      </c>
      <c r="B26" s="8" t="s">
        <v>327</v>
      </c>
      <c r="C26" s="8" t="s">
        <v>186</v>
      </c>
      <c r="D26" s="8" t="s">
        <v>98</v>
      </c>
      <c r="E26" s="8" t="s">
        <v>66</v>
      </c>
      <c r="F26" s="8" t="s">
        <v>237</v>
      </c>
      <c r="G26" s="8" t="s">
        <v>300</v>
      </c>
      <c r="H26" s="8" t="s">
        <v>44</v>
      </c>
      <c r="I26" s="8" t="s">
        <v>202</v>
      </c>
      <c r="J26" s="8" t="s">
        <v>301</v>
      </c>
      <c r="K26" s="8" t="s">
        <v>203</v>
      </c>
      <c r="L26" s="8" t="s">
        <v>324</v>
      </c>
      <c r="M26" s="8" t="s">
        <v>328</v>
      </c>
      <c r="N26" s="8" t="s">
        <v>44</v>
      </c>
      <c r="O26" s="8" t="s">
        <v>44</v>
      </c>
    </row>
    <row r="27" spans="1:15">
      <c r="A27" s="8" t="s">
        <v>250</v>
      </c>
      <c r="B27" s="8" t="s">
        <v>329</v>
      </c>
      <c r="C27" s="8" t="s">
        <v>186</v>
      </c>
      <c r="D27" s="8" t="s">
        <v>98</v>
      </c>
      <c r="E27" s="8" t="s">
        <v>66</v>
      </c>
      <c r="F27" s="8" t="s">
        <v>237</v>
      </c>
      <c r="G27" s="8" t="s">
        <v>300</v>
      </c>
      <c r="H27" s="8" t="s">
        <v>44</v>
      </c>
      <c r="I27" s="8" t="s">
        <v>202</v>
      </c>
      <c r="J27" s="8" t="s">
        <v>301</v>
      </c>
      <c r="K27" s="8" t="s">
        <v>203</v>
      </c>
      <c r="L27" s="8" t="s">
        <v>324</v>
      </c>
      <c r="M27" s="8" t="s">
        <v>328</v>
      </c>
      <c r="N27" s="8" t="s">
        <v>44</v>
      </c>
      <c r="O27" s="8" t="s">
        <v>44</v>
      </c>
    </row>
    <row r="28" spans="1:15">
      <c r="A28" s="8" t="s">
        <v>1022</v>
      </c>
      <c r="B28" s="8" t="s">
        <v>1023</v>
      </c>
      <c r="C28" s="8" t="s">
        <v>186</v>
      </c>
      <c r="D28" s="8" t="s">
        <v>98</v>
      </c>
      <c r="E28" s="8" t="s">
        <v>66</v>
      </c>
      <c r="F28" s="8" t="s">
        <v>237</v>
      </c>
      <c r="G28" s="8" t="s">
        <v>300</v>
      </c>
      <c r="H28" s="8" t="s">
        <v>44</v>
      </c>
      <c r="I28" s="8" t="s">
        <v>202</v>
      </c>
      <c r="J28" s="8" t="s">
        <v>301</v>
      </c>
      <c r="K28" s="8" t="s">
        <v>203</v>
      </c>
      <c r="L28" s="8" t="s">
        <v>324</v>
      </c>
      <c r="M28" s="8" t="s">
        <v>325</v>
      </c>
      <c r="N28" s="8" t="s">
        <v>44</v>
      </c>
      <c r="O28" s="8" t="s">
        <v>44</v>
      </c>
    </row>
    <row r="29" spans="1:15">
      <c r="A29" s="8" t="s">
        <v>38</v>
      </c>
      <c r="B29" s="8" t="s">
        <v>81</v>
      </c>
      <c r="C29" s="8" t="s">
        <v>97</v>
      </c>
      <c r="D29" s="8" t="s">
        <v>98</v>
      </c>
      <c r="E29" s="8" t="s">
        <v>23</v>
      </c>
      <c r="F29" s="8" t="s">
        <v>237</v>
      </c>
      <c r="G29" s="8" t="s">
        <v>201</v>
      </c>
      <c r="H29" s="8" t="s">
        <v>44</v>
      </c>
      <c r="I29" s="8" t="s">
        <v>202</v>
      </c>
      <c r="J29" s="8" t="s">
        <v>301</v>
      </c>
      <c r="K29" s="8" t="s">
        <v>203</v>
      </c>
      <c r="L29" s="8" t="s">
        <v>207</v>
      </c>
      <c r="M29" s="8" t="s">
        <v>209</v>
      </c>
      <c r="N29" s="8" t="s">
        <v>44</v>
      </c>
      <c r="O29" s="8" t="s">
        <v>44</v>
      </c>
    </row>
    <row r="30" spans="1:15">
      <c r="A30" s="8" t="s">
        <v>16</v>
      </c>
      <c r="B30" s="8" t="s">
        <v>19</v>
      </c>
      <c r="C30" s="8" t="s">
        <v>97</v>
      </c>
      <c r="D30" s="8" t="s">
        <v>98</v>
      </c>
      <c r="E30" s="8" t="s">
        <v>23</v>
      </c>
      <c r="F30" s="8" t="s">
        <v>237</v>
      </c>
      <c r="G30" s="8" t="s">
        <v>201</v>
      </c>
      <c r="H30" s="8" t="s">
        <v>44</v>
      </c>
      <c r="I30" s="8" t="s">
        <v>202</v>
      </c>
      <c r="J30" s="8" t="s">
        <v>301</v>
      </c>
      <c r="K30" s="8" t="s">
        <v>203</v>
      </c>
      <c r="L30" s="8" t="s">
        <v>207</v>
      </c>
      <c r="M30" s="8" t="s">
        <v>209</v>
      </c>
      <c r="N30" s="8" t="s">
        <v>44</v>
      </c>
      <c r="O30" s="8" t="s">
        <v>44</v>
      </c>
    </row>
    <row r="31" spans="1:15">
      <c r="A31" s="8" t="s">
        <v>43</v>
      </c>
      <c r="B31" s="8" t="s">
        <v>67</v>
      </c>
      <c r="C31" s="8" t="s">
        <v>97</v>
      </c>
      <c r="D31" s="8" t="s">
        <v>98</v>
      </c>
      <c r="E31" s="8" t="s">
        <v>23</v>
      </c>
      <c r="F31" s="8" t="s">
        <v>237</v>
      </c>
      <c r="G31" s="8" t="s">
        <v>201</v>
      </c>
      <c r="H31" s="8" t="s">
        <v>44</v>
      </c>
      <c r="I31" s="8" t="s">
        <v>202</v>
      </c>
      <c r="J31" s="8" t="s">
        <v>301</v>
      </c>
      <c r="K31" s="8" t="s">
        <v>203</v>
      </c>
      <c r="L31" s="8" t="s">
        <v>207</v>
      </c>
      <c r="M31" s="8" t="s">
        <v>209</v>
      </c>
      <c r="N31" s="8" t="s">
        <v>44</v>
      </c>
      <c r="O31" s="8" t="s">
        <v>44</v>
      </c>
    </row>
    <row r="32" spans="1:15">
      <c r="A32" s="8" t="s">
        <v>73</v>
      </c>
      <c r="B32" s="8" t="s">
        <v>83</v>
      </c>
      <c r="C32" s="8" t="s">
        <v>97</v>
      </c>
      <c r="D32" s="8" t="s">
        <v>98</v>
      </c>
      <c r="E32" s="8" t="s">
        <v>23</v>
      </c>
      <c r="F32" s="8" t="s">
        <v>237</v>
      </c>
      <c r="G32" s="8" t="s">
        <v>201</v>
      </c>
      <c r="H32" s="8" t="s">
        <v>44</v>
      </c>
      <c r="I32" s="8" t="s">
        <v>202</v>
      </c>
      <c r="J32" s="8" t="s">
        <v>301</v>
      </c>
      <c r="K32" s="8" t="s">
        <v>203</v>
      </c>
      <c r="L32" s="8" t="s">
        <v>207</v>
      </c>
      <c r="M32" s="8" t="s">
        <v>209</v>
      </c>
      <c r="N32" s="8" t="s">
        <v>44</v>
      </c>
      <c r="O32" s="8" t="s">
        <v>44</v>
      </c>
    </row>
    <row r="33" spans="1:15">
      <c r="A33" s="8" t="s">
        <v>251</v>
      </c>
      <c r="B33" s="8" t="s">
        <v>330</v>
      </c>
      <c r="C33" s="8" t="s">
        <v>186</v>
      </c>
      <c r="D33" s="8" t="s">
        <v>98</v>
      </c>
      <c r="E33" s="8" t="s">
        <v>66</v>
      </c>
      <c r="F33" s="8" t="s">
        <v>237</v>
      </c>
      <c r="G33" s="8" t="s">
        <v>300</v>
      </c>
      <c r="H33" s="8" t="s">
        <v>44</v>
      </c>
      <c r="I33" s="8" t="s">
        <v>202</v>
      </c>
      <c r="J33" s="8" t="s">
        <v>301</v>
      </c>
      <c r="K33" s="8" t="s">
        <v>203</v>
      </c>
      <c r="L33" s="8" t="s">
        <v>331</v>
      </c>
      <c r="M33" s="8" t="s">
        <v>332</v>
      </c>
      <c r="N33" s="8" t="s">
        <v>44</v>
      </c>
      <c r="O33" s="8" t="s">
        <v>44</v>
      </c>
    </row>
    <row r="34" spans="1:15">
      <c r="A34" s="8" t="s">
        <v>333</v>
      </c>
      <c r="B34" s="8" t="s">
        <v>334</v>
      </c>
      <c r="C34" s="8" t="s">
        <v>97</v>
      </c>
      <c r="D34" s="8" t="s">
        <v>82</v>
      </c>
      <c r="E34" s="8" t="s">
        <v>22</v>
      </c>
      <c r="F34" s="8" t="s">
        <v>237</v>
      </c>
      <c r="G34" s="8" t="s">
        <v>201</v>
      </c>
      <c r="H34" s="8" t="s">
        <v>44</v>
      </c>
      <c r="I34" s="8" t="s">
        <v>202</v>
      </c>
      <c r="J34" s="8" t="s">
        <v>301</v>
      </c>
      <c r="K34" s="8" t="s">
        <v>203</v>
      </c>
      <c r="L34" s="8" t="s">
        <v>214</v>
      </c>
      <c r="M34" s="8" t="s">
        <v>211</v>
      </c>
      <c r="N34" s="8" t="s">
        <v>44</v>
      </c>
      <c r="O34" s="8" t="s">
        <v>44</v>
      </c>
    </row>
    <row r="35" spans="1:15">
      <c r="A35" s="8" t="s">
        <v>335</v>
      </c>
      <c r="B35" s="8" t="s">
        <v>336</v>
      </c>
      <c r="C35" s="8" t="s">
        <v>97</v>
      </c>
      <c r="D35" s="8" t="s">
        <v>82</v>
      </c>
      <c r="E35" s="8" t="s">
        <v>22</v>
      </c>
      <c r="F35" s="8" t="s">
        <v>237</v>
      </c>
      <c r="G35" s="8" t="s">
        <v>201</v>
      </c>
      <c r="H35" s="8" t="s">
        <v>44</v>
      </c>
      <c r="I35" s="8" t="s">
        <v>202</v>
      </c>
      <c r="J35" s="8" t="s">
        <v>301</v>
      </c>
      <c r="K35" s="8" t="s">
        <v>203</v>
      </c>
      <c r="L35" s="8" t="s">
        <v>214</v>
      </c>
      <c r="M35" s="8" t="s">
        <v>211</v>
      </c>
      <c r="N35" s="8" t="s">
        <v>44</v>
      </c>
      <c r="O35" s="8" t="s">
        <v>44</v>
      </c>
    </row>
    <row r="36" spans="1:15">
      <c r="A36" s="8" t="s">
        <v>337</v>
      </c>
      <c r="B36" s="8" t="s">
        <v>338</v>
      </c>
      <c r="C36" s="8" t="s">
        <v>97</v>
      </c>
      <c r="D36" s="8" t="s">
        <v>82</v>
      </c>
      <c r="E36" s="8" t="s">
        <v>22</v>
      </c>
      <c r="F36" s="8" t="s">
        <v>237</v>
      </c>
      <c r="G36" s="8" t="s">
        <v>201</v>
      </c>
      <c r="H36" s="8" t="s">
        <v>44</v>
      </c>
      <c r="I36" s="8" t="s">
        <v>202</v>
      </c>
      <c r="J36" s="8" t="s">
        <v>301</v>
      </c>
      <c r="K36" s="8" t="s">
        <v>203</v>
      </c>
      <c r="L36" s="8" t="s">
        <v>214</v>
      </c>
      <c r="M36" s="8" t="s">
        <v>211</v>
      </c>
      <c r="N36" s="8" t="s">
        <v>44</v>
      </c>
      <c r="O36" s="8" t="s">
        <v>44</v>
      </c>
    </row>
    <row r="37" spans="1:15">
      <c r="A37" s="8" t="s">
        <v>252</v>
      </c>
      <c r="B37" s="8" t="s">
        <v>339</v>
      </c>
      <c r="C37" s="8" t="s">
        <v>186</v>
      </c>
      <c r="D37" s="8" t="s">
        <v>98</v>
      </c>
      <c r="E37" s="8" t="s">
        <v>22</v>
      </c>
      <c r="F37" s="8" t="s">
        <v>237</v>
      </c>
      <c r="G37" s="8" t="s">
        <v>300</v>
      </c>
      <c r="H37" s="8" t="s">
        <v>44</v>
      </c>
      <c r="I37" s="8" t="s">
        <v>202</v>
      </c>
      <c r="J37" s="8" t="s">
        <v>301</v>
      </c>
      <c r="K37" s="8" t="s">
        <v>203</v>
      </c>
      <c r="L37" s="8" t="s">
        <v>340</v>
      </c>
      <c r="M37" s="8" t="s">
        <v>341</v>
      </c>
      <c r="N37" s="8" t="s">
        <v>44</v>
      </c>
      <c r="O37" s="8" t="s">
        <v>44</v>
      </c>
    </row>
    <row r="38" spans="1:15">
      <c r="A38" s="8" t="s">
        <v>253</v>
      </c>
      <c r="B38" s="8" t="s">
        <v>342</v>
      </c>
      <c r="C38" s="8" t="s">
        <v>186</v>
      </c>
      <c r="D38" s="8" t="s">
        <v>98</v>
      </c>
      <c r="E38" s="8" t="s">
        <v>66</v>
      </c>
      <c r="F38" s="8" t="s">
        <v>237</v>
      </c>
      <c r="G38" s="8" t="s">
        <v>300</v>
      </c>
      <c r="H38" s="8" t="s">
        <v>44</v>
      </c>
      <c r="I38" s="8" t="s">
        <v>202</v>
      </c>
      <c r="J38" s="8" t="s">
        <v>301</v>
      </c>
      <c r="K38" s="8" t="s">
        <v>203</v>
      </c>
      <c r="L38" s="8" t="s">
        <v>340</v>
      </c>
      <c r="M38" s="8" t="s">
        <v>343</v>
      </c>
      <c r="N38" s="8" t="s">
        <v>44</v>
      </c>
      <c r="O38" s="8" t="s">
        <v>44</v>
      </c>
    </row>
    <row r="39" spans="1:15">
      <c r="A39" s="8" t="s">
        <v>1025</v>
      </c>
      <c r="B39" s="8" t="s">
        <v>1026</v>
      </c>
      <c r="C39" s="8" t="s">
        <v>186</v>
      </c>
      <c r="D39" s="8" t="s">
        <v>98</v>
      </c>
      <c r="E39" s="8" t="s">
        <v>66</v>
      </c>
      <c r="F39" s="8" t="s">
        <v>237</v>
      </c>
      <c r="G39" s="8" t="s">
        <v>300</v>
      </c>
      <c r="H39" s="8" t="s">
        <v>44</v>
      </c>
      <c r="I39" s="8" t="s">
        <v>202</v>
      </c>
      <c r="J39" s="8" t="s">
        <v>301</v>
      </c>
      <c r="K39" s="8" t="s">
        <v>203</v>
      </c>
      <c r="L39" s="8" t="s">
        <v>348</v>
      </c>
      <c r="M39" s="8" t="s">
        <v>348</v>
      </c>
      <c r="N39" s="8" t="s">
        <v>44</v>
      </c>
      <c r="O39" s="8" t="s">
        <v>44</v>
      </c>
    </row>
    <row r="40" spans="1:15">
      <c r="A40" s="8" t="s">
        <v>254</v>
      </c>
      <c r="B40" s="8" t="s">
        <v>344</v>
      </c>
      <c r="C40" s="8" t="s">
        <v>186</v>
      </c>
      <c r="D40" s="8" t="s">
        <v>98</v>
      </c>
      <c r="E40" s="8" t="s">
        <v>66</v>
      </c>
      <c r="F40" s="8" t="s">
        <v>237</v>
      </c>
      <c r="G40" s="8" t="s">
        <v>300</v>
      </c>
      <c r="H40" s="8" t="s">
        <v>44</v>
      </c>
      <c r="I40" s="8" t="s">
        <v>202</v>
      </c>
      <c r="J40" s="8" t="s">
        <v>301</v>
      </c>
      <c r="K40" s="8" t="s">
        <v>203</v>
      </c>
      <c r="L40" s="8" t="s">
        <v>340</v>
      </c>
      <c r="M40" s="8" t="s">
        <v>345</v>
      </c>
      <c r="N40" s="8" t="s">
        <v>44</v>
      </c>
      <c r="O40" s="8" t="s">
        <v>44</v>
      </c>
    </row>
    <row r="41" spans="1:15">
      <c r="A41" s="8" t="s">
        <v>255</v>
      </c>
      <c r="B41" s="8" t="s">
        <v>346</v>
      </c>
      <c r="C41" s="8" t="s">
        <v>186</v>
      </c>
      <c r="D41" s="8" t="s">
        <v>98</v>
      </c>
      <c r="E41" s="8" t="s">
        <v>66</v>
      </c>
      <c r="F41" s="8" t="s">
        <v>237</v>
      </c>
      <c r="G41" s="8" t="s">
        <v>300</v>
      </c>
      <c r="H41" s="8" t="s">
        <v>44</v>
      </c>
      <c r="I41" s="8" t="s">
        <v>202</v>
      </c>
      <c r="J41" s="8" t="s">
        <v>301</v>
      </c>
      <c r="K41" s="8" t="s">
        <v>203</v>
      </c>
      <c r="L41" s="8" t="s">
        <v>347</v>
      </c>
      <c r="M41" s="8" t="s">
        <v>348</v>
      </c>
      <c r="N41" s="8" t="s">
        <v>44</v>
      </c>
      <c r="O41" s="8" t="s">
        <v>44</v>
      </c>
    </row>
    <row r="42" spans="1:15">
      <c r="A42" s="8" t="s">
        <v>256</v>
      </c>
      <c r="B42" s="8" t="s">
        <v>349</v>
      </c>
      <c r="C42" s="8" t="s">
        <v>186</v>
      </c>
      <c r="D42" s="8" t="s">
        <v>98</v>
      </c>
      <c r="E42" s="8" t="s">
        <v>66</v>
      </c>
      <c r="F42" s="8" t="s">
        <v>237</v>
      </c>
      <c r="G42" s="8" t="s">
        <v>300</v>
      </c>
      <c r="H42" s="8" t="s">
        <v>44</v>
      </c>
      <c r="I42" s="8" t="s">
        <v>202</v>
      </c>
      <c r="J42" s="8" t="s">
        <v>301</v>
      </c>
      <c r="K42" s="8" t="s">
        <v>203</v>
      </c>
      <c r="L42" s="8" t="s">
        <v>347</v>
      </c>
      <c r="M42" s="8" t="s">
        <v>348</v>
      </c>
      <c r="N42" s="8" t="s">
        <v>44</v>
      </c>
      <c r="O42" s="8" t="s">
        <v>44</v>
      </c>
    </row>
    <row r="43" spans="1:15">
      <c r="A43" s="8" t="s">
        <v>257</v>
      </c>
      <c r="B43" s="8" t="s">
        <v>350</v>
      </c>
      <c r="C43" s="8" t="s">
        <v>186</v>
      </c>
      <c r="D43" s="8" t="s">
        <v>98</v>
      </c>
      <c r="E43" s="8" t="s">
        <v>66</v>
      </c>
      <c r="F43" s="8" t="s">
        <v>237</v>
      </c>
      <c r="G43" s="8" t="s">
        <v>300</v>
      </c>
      <c r="H43" s="8" t="s">
        <v>44</v>
      </c>
      <c r="I43" s="8" t="s">
        <v>202</v>
      </c>
      <c r="J43" s="8" t="s">
        <v>301</v>
      </c>
      <c r="K43" s="8" t="s">
        <v>203</v>
      </c>
      <c r="L43" s="8" t="s">
        <v>347</v>
      </c>
      <c r="M43" s="8" t="s">
        <v>348</v>
      </c>
      <c r="N43" s="8" t="s">
        <v>44</v>
      </c>
      <c r="O43" s="8" t="s">
        <v>44</v>
      </c>
    </row>
    <row r="44" spans="1:15">
      <c r="A44" s="8" t="s">
        <v>258</v>
      </c>
      <c r="B44" s="8" t="s">
        <v>351</v>
      </c>
      <c r="C44" s="8" t="s">
        <v>186</v>
      </c>
      <c r="D44" s="8" t="s">
        <v>98</v>
      </c>
      <c r="E44" s="8" t="s">
        <v>66</v>
      </c>
      <c r="F44" s="8" t="s">
        <v>237</v>
      </c>
      <c r="G44" s="8" t="s">
        <v>300</v>
      </c>
      <c r="H44" s="8" t="s">
        <v>44</v>
      </c>
      <c r="I44" s="8" t="s">
        <v>202</v>
      </c>
      <c r="J44" s="8" t="s">
        <v>301</v>
      </c>
      <c r="K44" s="8" t="s">
        <v>203</v>
      </c>
      <c r="L44" s="8" t="s">
        <v>347</v>
      </c>
      <c r="M44" s="8" t="s">
        <v>348</v>
      </c>
      <c r="N44" s="8" t="s">
        <v>44</v>
      </c>
      <c r="O44" s="8" t="s">
        <v>44</v>
      </c>
    </row>
    <row r="45" spans="1:15">
      <c r="A45" s="8" t="s">
        <v>259</v>
      </c>
      <c r="B45" s="8" t="s">
        <v>352</v>
      </c>
      <c r="C45" s="8" t="s">
        <v>186</v>
      </c>
      <c r="D45" s="8" t="s">
        <v>98</v>
      </c>
      <c r="E45" s="8" t="s">
        <v>66</v>
      </c>
      <c r="F45" s="8" t="s">
        <v>237</v>
      </c>
      <c r="G45" s="8" t="s">
        <v>300</v>
      </c>
      <c r="H45" s="8" t="s">
        <v>44</v>
      </c>
      <c r="I45" s="8" t="s">
        <v>202</v>
      </c>
      <c r="J45" s="8" t="s">
        <v>301</v>
      </c>
      <c r="K45" s="8" t="s">
        <v>203</v>
      </c>
      <c r="L45" s="8" t="s">
        <v>347</v>
      </c>
      <c r="M45" s="8" t="s">
        <v>348</v>
      </c>
      <c r="N45" s="8" t="s">
        <v>44</v>
      </c>
      <c r="O45" s="8" t="s">
        <v>44</v>
      </c>
    </row>
    <row r="46" spans="1:15">
      <c r="A46" s="8" t="s">
        <v>260</v>
      </c>
      <c r="B46" s="8" t="s">
        <v>353</v>
      </c>
      <c r="C46" s="8" t="s">
        <v>186</v>
      </c>
      <c r="D46" s="8" t="s">
        <v>98</v>
      </c>
      <c r="E46" s="8" t="s">
        <v>66</v>
      </c>
      <c r="F46" s="8" t="s">
        <v>237</v>
      </c>
      <c r="G46" s="8" t="s">
        <v>300</v>
      </c>
      <c r="H46" s="8" t="s">
        <v>44</v>
      </c>
      <c r="I46" s="8" t="s">
        <v>202</v>
      </c>
      <c r="J46" s="8" t="s">
        <v>301</v>
      </c>
      <c r="K46" s="8" t="s">
        <v>203</v>
      </c>
      <c r="L46" s="8" t="s">
        <v>347</v>
      </c>
      <c r="M46" s="8" t="s">
        <v>348</v>
      </c>
      <c r="N46" s="8" t="s">
        <v>44</v>
      </c>
      <c r="O46" s="8" t="s">
        <v>44</v>
      </c>
    </row>
    <row r="47" spans="1:15">
      <c r="A47" s="8" t="s">
        <v>599</v>
      </c>
      <c r="B47" s="8" t="s">
        <v>600</v>
      </c>
      <c r="C47" s="8" t="s">
        <v>186</v>
      </c>
      <c r="D47" s="8" t="s">
        <v>98</v>
      </c>
      <c r="E47" s="8" t="s">
        <v>66</v>
      </c>
      <c r="F47" s="8" t="s">
        <v>237</v>
      </c>
      <c r="G47" s="8" t="s">
        <v>300</v>
      </c>
      <c r="H47" s="8" t="s">
        <v>44</v>
      </c>
      <c r="I47" s="8" t="s">
        <v>202</v>
      </c>
      <c r="J47" s="8" t="s">
        <v>301</v>
      </c>
      <c r="K47" s="8" t="s">
        <v>203</v>
      </c>
      <c r="L47" s="8" t="s">
        <v>347</v>
      </c>
      <c r="M47" s="8" t="s">
        <v>348</v>
      </c>
      <c r="N47" s="8" t="s">
        <v>44</v>
      </c>
      <c r="O47" s="8" t="s">
        <v>44</v>
      </c>
    </row>
    <row r="48" spans="1:15">
      <c r="A48" s="8" t="s">
        <v>261</v>
      </c>
      <c r="B48" s="8" t="s">
        <v>354</v>
      </c>
      <c r="C48" s="8" t="s">
        <v>186</v>
      </c>
      <c r="D48" s="8" t="s">
        <v>98</v>
      </c>
      <c r="E48" s="8" t="s">
        <v>66</v>
      </c>
      <c r="F48" s="8" t="s">
        <v>237</v>
      </c>
      <c r="G48" s="8" t="s">
        <v>300</v>
      </c>
      <c r="H48" s="8" t="s">
        <v>44</v>
      </c>
      <c r="I48" s="8" t="s">
        <v>202</v>
      </c>
      <c r="J48" s="8" t="s">
        <v>301</v>
      </c>
      <c r="K48" s="8" t="s">
        <v>203</v>
      </c>
      <c r="L48" s="8" t="s">
        <v>347</v>
      </c>
      <c r="M48" s="8" t="s">
        <v>355</v>
      </c>
      <c r="N48" s="8" t="s">
        <v>44</v>
      </c>
      <c r="O48" s="8" t="s">
        <v>44</v>
      </c>
    </row>
    <row r="49" spans="1:15">
      <c r="A49" s="8" t="s">
        <v>262</v>
      </c>
      <c r="B49" s="8" t="s">
        <v>356</v>
      </c>
      <c r="C49" s="8" t="s">
        <v>186</v>
      </c>
      <c r="D49" s="8" t="s">
        <v>98</v>
      </c>
      <c r="E49" s="8" t="s">
        <v>66</v>
      </c>
      <c r="F49" s="8" t="s">
        <v>237</v>
      </c>
      <c r="G49" s="8" t="s">
        <v>300</v>
      </c>
      <c r="H49" s="8" t="s">
        <v>44</v>
      </c>
      <c r="I49" s="8" t="s">
        <v>202</v>
      </c>
      <c r="J49" s="8" t="s">
        <v>301</v>
      </c>
      <c r="K49" s="8" t="s">
        <v>203</v>
      </c>
      <c r="L49" s="8" t="s">
        <v>347</v>
      </c>
      <c r="M49" s="8" t="s">
        <v>355</v>
      </c>
      <c r="N49" s="8" t="s">
        <v>44</v>
      </c>
      <c r="O49" s="8" t="s">
        <v>44</v>
      </c>
    </row>
    <row r="50" spans="1:15">
      <c r="A50" s="8" t="s">
        <v>1029</v>
      </c>
      <c r="B50" s="8" t="s">
        <v>1030</v>
      </c>
      <c r="C50" s="8" t="s">
        <v>186</v>
      </c>
      <c r="D50" s="8" t="s">
        <v>98</v>
      </c>
      <c r="E50" s="8" t="s">
        <v>66</v>
      </c>
      <c r="F50" s="8" t="s">
        <v>237</v>
      </c>
      <c r="G50" s="8" t="s">
        <v>300</v>
      </c>
      <c r="H50" s="8" t="s">
        <v>44</v>
      </c>
      <c r="I50" s="8" t="s">
        <v>202</v>
      </c>
      <c r="J50" s="8" t="s">
        <v>301</v>
      </c>
      <c r="K50" s="8" t="s">
        <v>203</v>
      </c>
      <c r="L50" s="8" t="s">
        <v>355</v>
      </c>
      <c r="M50" s="8" t="s">
        <v>355</v>
      </c>
      <c r="N50" s="8" t="s">
        <v>44</v>
      </c>
      <c r="O50" s="8" t="s">
        <v>44</v>
      </c>
    </row>
    <row r="51" spans="1:15">
      <c r="A51" s="8" t="s">
        <v>1032</v>
      </c>
      <c r="B51" s="8" t="s">
        <v>1033</v>
      </c>
      <c r="C51" s="8" t="s">
        <v>97</v>
      </c>
      <c r="D51" s="8" t="s">
        <v>98</v>
      </c>
      <c r="E51" s="8" t="s">
        <v>22</v>
      </c>
      <c r="F51" s="8" t="s">
        <v>237</v>
      </c>
      <c r="G51" s="8" t="s">
        <v>201</v>
      </c>
      <c r="H51" s="8" t="s">
        <v>44</v>
      </c>
      <c r="I51" s="8" t="s">
        <v>202</v>
      </c>
      <c r="J51" s="8" t="s">
        <v>301</v>
      </c>
      <c r="K51" s="8" t="s">
        <v>203</v>
      </c>
      <c r="L51" s="8" t="s">
        <v>214</v>
      </c>
      <c r="M51" s="8" t="s">
        <v>215</v>
      </c>
      <c r="N51" s="8" t="s">
        <v>44</v>
      </c>
      <c r="O51" s="8" t="s">
        <v>44</v>
      </c>
    </row>
    <row r="52" spans="1:15">
      <c r="A52" s="8" t="s">
        <v>230</v>
      </c>
      <c r="B52" s="8" t="s">
        <v>231</v>
      </c>
      <c r="C52" s="8" t="s">
        <v>97</v>
      </c>
      <c r="D52" s="8" t="s">
        <v>98</v>
      </c>
      <c r="E52" s="8" t="s">
        <v>22</v>
      </c>
      <c r="F52" s="8" t="s">
        <v>237</v>
      </c>
      <c r="G52" s="8" t="s">
        <v>201</v>
      </c>
      <c r="H52" s="8" t="s">
        <v>44</v>
      </c>
      <c r="I52" s="8" t="s">
        <v>202</v>
      </c>
      <c r="J52" s="8" t="s">
        <v>301</v>
      </c>
      <c r="K52" s="8" t="s">
        <v>203</v>
      </c>
      <c r="L52" s="8" t="s">
        <v>214</v>
      </c>
      <c r="M52" s="8" t="s">
        <v>215</v>
      </c>
      <c r="N52" s="8" t="s">
        <v>44</v>
      </c>
      <c r="O52" s="8" t="s">
        <v>44</v>
      </c>
    </row>
    <row r="53" spans="1:15">
      <c r="A53" s="8" t="s">
        <v>1035</v>
      </c>
      <c r="B53" s="8" t="s">
        <v>1036</v>
      </c>
      <c r="C53" s="8" t="s">
        <v>97</v>
      </c>
      <c r="D53" s="8" t="s">
        <v>98</v>
      </c>
      <c r="E53" s="8" t="s">
        <v>22</v>
      </c>
      <c r="F53" s="8" t="s">
        <v>237</v>
      </c>
      <c r="G53" s="8" t="s">
        <v>201</v>
      </c>
      <c r="H53" s="8" t="s">
        <v>44</v>
      </c>
      <c r="I53" s="8" t="s">
        <v>202</v>
      </c>
      <c r="J53" s="8" t="s">
        <v>301</v>
      </c>
      <c r="K53" s="8" t="s">
        <v>203</v>
      </c>
      <c r="L53" s="8" t="s">
        <v>214</v>
      </c>
      <c r="M53" s="8" t="s">
        <v>215</v>
      </c>
      <c r="N53" s="8" t="s">
        <v>44</v>
      </c>
      <c r="O53" s="8" t="s">
        <v>44</v>
      </c>
    </row>
    <row r="54" spans="1:15">
      <c r="A54" s="8" t="s">
        <v>212</v>
      </c>
      <c r="B54" s="8" t="s">
        <v>216</v>
      </c>
      <c r="C54" s="8" t="s">
        <v>97</v>
      </c>
      <c r="D54" s="8" t="s">
        <v>98</v>
      </c>
      <c r="E54" s="8" t="s">
        <v>22</v>
      </c>
      <c r="F54" s="8" t="s">
        <v>237</v>
      </c>
      <c r="G54" s="8" t="s">
        <v>201</v>
      </c>
      <c r="H54" s="8" t="s">
        <v>44</v>
      </c>
      <c r="I54" s="8" t="s">
        <v>202</v>
      </c>
      <c r="J54" s="8" t="s">
        <v>301</v>
      </c>
      <c r="K54" s="8" t="s">
        <v>203</v>
      </c>
      <c r="L54" s="8" t="s">
        <v>214</v>
      </c>
      <c r="M54" s="8" t="s">
        <v>217</v>
      </c>
      <c r="N54" s="8" t="s">
        <v>44</v>
      </c>
      <c r="O54" s="8" t="s">
        <v>44</v>
      </c>
    </row>
    <row r="55" spans="1:15">
      <c r="A55" s="8" t="s">
        <v>518</v>
      </c>
      <c r="B55" s="8" t="s">
        <v>519</v>
      </c>
      <c r="C55" s="8" t="s">
        <v>97</v>
      </c>
      <c r="D55" s="8" t="s">
        <v>98</v>
      </c>
      <c r="E55" s="8" t="s">
        <v>22</v>
      </c>
      <c r="F55" s="8" t="s">
        <v>237</v>
      </c>
      <c r="G55" s="8" t="s">
        <v>201</v>
      </c>
      <c r="H55" s="8" t="s">
        <v>44</v>
      </c>
      <c r="I55" s="8" t="s">
        <v>202</v>
      </c>
      <c r="J55" s="8" t="s">
        <v>301</v>
      </c>
      <c r="K55" s="8" t="s">
        <v>203</v>
      </c>
      <c r="L55" s="8" t="s">
        <v>214</v>
      </c>
      <c r="M55" s="8" t="s">
        <v>232</v>
      </c>
      <c r="N55" s="8" t="s">
        <v>44</v>
      </c>
      <c r="O55" s="8" t="s">
        <v>44</v>
      </c>
    </row>
    <row r="56" spans="1:15">
      <c r="A56" s="8" t="s">
        <v>263</v>
      </c>
      <c r="B56" s="8" t="s">
        <v>357</v>
      </c>
      <c r="C56" s="8" t="s">
        <v>97</v>
      </c>
      <c r="D56" s="8" t="s">
        <v>82</v>
      </c>
      <c r="E56" s="8" t="s">
        <v>22</v>
      </c>
      <c r="F56" s="8" t="s">
        <v>237</v>
      </c>
      <c r="G56" s="8" t="s">
        <v>201</v>
      </c>
      <c r="H56" s="8" t="s">
        <v>44</v>
      </c>
      <c r="I56" s="8" t="s">
        <v>202</v>
      </c>
      <c r="J56" s="8" t="s">
        <v>301</v>
      </c>
      <c r="K56" s="8" t="s">
        <v>203</v>
      </c>
      <c r="L56" s="8" t="s">
        <v>214</v>
      </c>
      <c r="M56" s="8" t="s">
        <v>229</v>
      </c>
      <c r="N56" s="8" t="s">
        <v>44</v>
      </c>
      <c r="O56" s="8" t="s">
        <v>44</v>
      </c>
    </row>
    <row r="57" spans="1:15">
      <c r="A57" s="8" t="s">
        <v>358</v>
      </c>
      <c r="B57" s="8" t="s">
        <v>359</v>
      </c>
      <c r="C57" s="8" t="s">
        <v>225</v>
      </c>
      <c r="D57" s="8" t="s">
        <v>82</v>
      </c>
      <c r="E57" s="8" t="s">
        <v>66</v>
      </c>
      <c r="F57" s="8" t="s">
        <v>237</v>
      </c>
      <c r="G57" s="8" t="s">
        <v>201</v>
      </c>
      <c r="H57" s="8" t="s">
        <v>44</v>
      </c>
      <c r="I57" s="8" t="s">
        <v>202</v>
      </c>
      <c r="J57" s="8" t="s">
        <v>301</v>
      </c>
      <c r="K57" s="8" t="s">
        <v>203</v>
      </c>
      <c r="L57" s="8" t="s">
        <v>214</v>
      </c>
      <c r="M57" s="8" t="s">
        <v>229</v>
      </c>
      <c r="N57" s="8" t="s">
        <v>44</v>
      </c>
      <c r="O57" s="8" t="s">
        <v>44</v>
      </c>
    </row>
    <row r="58" spans="1:15">
      <c r="A58" s="8" t="s">
        <v>264</v>
      </c>
      <c r="B58" s="8" t="s">
        <v>360</v>
      </c>
      <c r="C58" s="8" t="s">
        <v>97</v>
      </c>
      <c r="D58" s="8" t="s">
        <v>82</v>
      </c>
      <c r="E58" s="8" t="s">
        <v>22</v>
      </c>
      <c r="F58" s="8" t="s">
        <v>237</v>
      </c>
      <c r="G58" s="8" t="s">
        <v>201</v>
      </c>
      <c r="H58" s="8" t="s">
        <v>44</v>
      </c>
      <c r="I58" s="8" t="s">
        <v>202</v>
      </c>
      <c r="J58" s="8" t="s">
        <v>301</v>
      </c>
      <c r="K58" s="8" t="s">
        <v>203</v>
      </c>
      <c r="L58" s="8" t="s">
        <v>214</v>
      </c>
      <c r="M58" s="8" t="s">
        <v>229</v>
      </c>
      <c r="N58" s="8" t="s">
        <v>44</v>
      </c>
      <c r="O58" s="8" t="s">
        <v>44</v>
      </c>
    </row>
    <row r="59" spans="1:15">
      <c r="A59" s="8" t="s">
        <v>361</v>
      </c>
      <c r="B59" s="8" t="s">
        <v>362</v>
      </c>
      <c r="C59" s="8" t="s">
        <v>225</v>
      </c>
      <c r="D59" s="8" t="s">
        <v>82</v>
      </c>
      <c r="E59" s="8" t="s">
        <v>66</v>
      </c>
      <c r="F59" s="8" t="s">
        <v>237</v>
      </c>
      <c r="G59" s="8" t="s">
        <v>201</v>
      </c>
      <c r="H59" s="8" t="s">
        <v>44</v>
      </c>
      <c r="I59" s="8" t="s">
        <v>202</v>
      </c>
      <c r="J59" s="8" t="s">
        <v>301</v>
      </c>
      <c r="K59" s="8" t="s">
        <v>203</v>
      </c>
      <c r="L59" s="8" t="s">
        <v>214</v>
      </c>
      <c r="M59" s="8" t="s">
        <v>229</v>
      </c>
      <c r="N59" s="8" t="s">
        <v>44</v>
      </c>
      <c r="O59" s="8" t="s">
        <v>44</v>
      </c>
    </row>
    <row r="60" spans="1:15">
      <c r="A60" s="8" t="s">
        <v>1040</v>
      </c>
      <c r="B60" s="8" t="s">
        <v>1041</v>
      </c>
      <c r="C60" s="8" t="s">
        <v>225</v>
      </c>
      <c r="D60" s="8" t="s">
        <v>98</v>
      </c>
      <c r="E60" s="8" t="s">
        <v>22</v>
      </c>
      <c r="F60" s="8" t="s">
        <v>237</v>
      </c>
      <c r="G60" s="8" t="s">
        <v>201</v>
      </c>
      <c r="H60" s="8" t="s">
        <v>44</v>
      </c>
      <c r="I60" s="8" t="s">
        <v>202</v>
      </c>
      <c r="J60" s="8" t="s">
        <v>301</v>
      </c>
      <c r="K60" s="8" t="s">
        <v>203</v>
      </c>
      <c r="L60" s="8" t="s">
        <v>214</v>
      </c>
      <c r="M60" s="8" t="s">
        <v>186</v>
      </c>
      <c r="N60" s="8" t="s">
        <v>44</v>
      </c>
      <c r="O60" s="8" t="s">
        <v>44</v>
      </c>
    </row>
    <row r="61" spans="1:15">
      <c r="A61" s="8" t="s">
        <v>64</v>
      </c>
      <c r="B61" s="8" t="s">
        <v>65</v>
      </c>
      <c r="C61" s="8" t="s">
        <v>97</v>
      </c>
      <c r="D61" s="8" t="s">
        <v>98</v>
      </c>
      <c r="E61" s="8" t="s">
        <v>24</v>
      </c>
      <c r="F61" s="8" t="s">
        <v>237</v>
      </c>
      <c r="G61" s="8" t="s">
        <v>201</v>
      </c>
      <c r="H61" s="8" t="s">
        <v>44</v>
      </c>
      <c r="I61" s="8" t="s">
        <v>202</v>
      </c>
      <c r="J61" s="8" t="s">
        <v>301</v>
      </c>
      <c r="K61" s="8" t="s">
        <v>203</v>
      </c>
      <c r="L61" s="8" t="s">
        <v>207</v>
      </c>
      <c r="M61" s="8" t="s">
        <v>210</v>
      </c>
      <c r="N61" s="8" t="s">
        <v>44</v>
      </c>
      <c r="O61" s="8" t="s">
        <v>44</v>
      </c>
    </row>
    <row r="62" spans="1:15">
      <c r="A62" s="8" t="s">
        <v>39</v>
      </c>
      <c r="B62" s="8" t="s">
        <v>68</v>
      </c>
      <c r="C62" s="8" t="s">
        <v>97</v>
      </c>
      <c r="D62" s="8" t="s">
        <v>98</v>
      </c>
      <c r="E62" s="8" t="s">
        <v>24</v>
      </c>
      <c r="F62" s="8" t="s">
        <v>237</v>
      </c>
      <c r="G62" s="8" t="s">
        <v>201</v>
      </c>
      <c r="H62" s="8" t="s">
        <v>44</v>
      </c>
      <c r="I62" s="8" t="s">
        <v>202</v>
      </c>
      <c r="J62" s="8" t="s">
        <v>301</v>
      </c>
      <c r="K62" s="8" t="s">
        <v>203</v>
      </c>
      <c r="L62" s="8" t="s">
        <v>207</v>
      </c>
      <c r="M62" s="8" t="s">
        <v>210</v>
      </c>
      <c r="N62" s="8" t="s">
        <v>44</v>
      </c>
      <c r="O62" s="8" t="s">
        <v>44</v>
      </c>
    </row>
    <row r="63" spans="1:15">
      <c r="A63" s="8" t="s">
        <v>58</v>
      </c>
      <c r="B63" s="8" t="s">
        <v>59</v>
      </c>
      <c r="C63" s="8" t="s">
        <v>97</v>
      </c>
      <c r="D63" s="8" t="s">
        <v>98</v>
      </c>
      <c r="E63" s="8" t="s">
        <v>24</v>
      </c>
      <c r="F63" s="8" t="s">
        <v>237</v>
      </c>
      <c r="G63" s="8" t="s">
        <v>201</v>
      </c>
      <c r="H63" s="8" t="s">
        <v>44</v>
      </c>
      <c r="I63" s="8" t="s">
        <v>202</v>
      </c>
      <c r="J63" s="8" t="s">
        <v>301</v>
      </c>
      <c r="K63" s="8" t="s">
        <v>203</v>
      </c>
      <c r="L63" s="8" t="s">
        <v>207</v>
      </c>
      <c r="M63" s="8" t="s">
        <v>210</v>
      </c>
      <c r="N63" s="8" t="s">
        <v>44</v>
      </c>
      <c r="O63" s="8" t="s">
        <v>44</v>
      </c>
    </row>
    <row r="64" spans="1:15">
      <c r="A64" s="8" t="s">
        <v>17</v>
      </c>
      <c r="B64" s="8" t="s">
        <v>20</v>
      </c>
      <c r="C64" s="8" t="s">
        <v>97</v>
      </c>
      <c r="D64" s="8" t="s">
        <v>98</v>
      </c>
      <c r="E64" s="8" t="s">
        <v>24</v>
      </c>
      <c r="F64" s="8" t="s">
        <v>237</v>
      </c>
      <c r="G64" s="8" t="s">
        <v>201</v>
      </c>
      <c r="H64" s="8" t="s">
        <v>44</v>
      </c>
      <c r="I64" s="8" t="s">
        <v>202</v>
      </c>
      <c r="J64" s="8" t="s">
        <v>301</v>
      </c>
      <c r="K64" s="8" t="s">
        <v>203</v>
      </c>
      <c r="L64" s="8" t="s">
        <v>207</v>
      </c>
      <c r="M64" s="8" t="s">
        <v>210</v>
      </c>
      <c r="N64" s="8" t="s">
        <v>44</v>
      </c>
      <c r="O64" s="8" t="s">
        <v>44</v>
      </c>
    </row>
    <row r="65" spans="1:15">
      <c r="A65" s="8" t="s">
        <v>62</v>
      </c>
      <c r="B65" s="8" t="s">
        <v>63</v>
      </c>
      <c r="C65" s="8" t="s">
        <v>97</v>
      </c>
      <c r="D65" s="8" t="s">
        <v>98</v>
      </c>
      <c r="E65" s="8" t="s">
        <v>24</v>
      </c>
      <c r="F65" s="8" t="s">
        <v>237</v>
      </c>
      <c r="G65" s="8" t="s">
        <v>201</v>
      </c>
      <c r="H65" s="8" t="s">
        <v>44</v>
      </c>
      <c r="I65" s="8" t="s">
        <v>202</v>
      </c>
      <c r="J65" s="8" t="s">
        <v>301</v>
      </c>
      <c r="K65" s="8" t="s">
        <v>203</v>
      </c>
      <c r="L65" s="8" t="s">
        <v>207</v>
      </c>
      <c r="M65" s="8" t="s">
        <v>210</v>
      </c>
      <c r="N65" s="8" t="s">
        <v>44</v>
      </c>
      <c r="O65" s="8" t="s">
        <v>44</v>
      </c>
    </row>
    <row r="66" spans="1:15">
      <c r="A66" s="8" t="s">
        <v>40</v>
      </c>
      <c r="B66" s="8" t="s">
        <v>69</v>
      </c>
      <c r="C66" s="8" t="s">
        <v>97</v>
      </c>
      <c r="D66" s="8" t="s">
        <v>98</v>
      </c>
      <c r="E66" s="8" t="s">
        <v>24</v>
      </c>
      <c r="F66" s="8" t="s">
        <v>237</v>
      </c>
      <c r="G66" s="8" t="s">
        <v>201</v>
      </c>
      <c r="H66" s="8" t="s">
        <v>44</v>
      </c>
      <c r="I66" s="8" t="s">
        <v>202</v>
      </c>
      <c r="J66" s="8" t="s">
        <v>301</v>
      </c>
      <c r="K66" s="8" t="s">
        <v>203</v>
      </c>
      <c r="L66" s="8" t="s">
        <v>207</v>
      </c>
      <c r="M66" s="8" t="s">
        <v>210</v>
      </c>
      <c r="N66" s="8" t="s">
        <v>44</v>
      </c>
      <c r="O66" s="8" t="s">
        <v>44</v>
      </c>
    </row>
    <row r="67" spans="1:15">
      <c r="A67" s="8" t="s">
        <v>60</v>
      </c>
      <c r="B67" s="8" t="s">
        <v>61</v>
      </c>
      <c r="C67" s="8" t="s">
        <v>97</v>
      </c>
      <c r="D67" s="8" t="s">
        <v>98</v>
      </c>
      <c r="E67" s="8" t="s">
        <v>24</v>
      </c>
      <c r="F67" s="8" t="s">
        <v>237</v>
      </c>
      <c r="G67" s="8" t="s">
        <v>201</v>
      </c>
      <c r="H67" s="8" t="s">
        <v>44</v>
      </c>
      <c r="I67" s="8" t="s">
        <v>202</v>
      </c>
      <c r="J67" s="8" t="s">
        <v>301</v>
      </c>
      <c r="K67" s="8" t="s">
        <v>203</v>
      </c>
      <c r="L67" s="8" t="s">
        <v>207</v>
      </c>
      <c r="M67" s="8" t="s">
        <v>210</v>
      </c>
      <c r="N67" s="8" t="s">
        <v>44</v>
      </c>
      <c r="O67" s="8" t="s">
        <v>44</v>
      </c>
    </row>
    <row r="68" spans="1:15">
      <c r="A68" s="8" t="s">
        <v>41</v>
      </c>
      <c r="B68" s="8" t="s">
        <v>56</v>
      </c>
      <c r="C68" s="8" t="s">
        <v>97</v>
      </c>
      <c r="D68" s="8" t="s">
        <v>98</v>
      </c>
      <c r="E68" s="8" t="s">
        <v>24</v>
      </c>
      <c r="F68" s="8" t="s">
        <v>237</v>
      </c>
      <c r="G68" s="8" t="s">
        <v>201</v>
      </c>
      <c r="H68" s="8" t="s">
        <v>44</v>
      </c>
      <c r="I68" s="8" t="s">
        <v>202</v>
      </c>
      <c r="J68" s="8" t="s">
        <v>301</v>
      </c>
      <c r="K68" s="8" t="s">
        <v>203</v>
      </c>
      <c r="L68" s="8" t="s">
        <v>207</v>
      </c>
      <c r="M68" s="8" t="s">
        <v>210</v>
      </c>
      <c r="N68" s="8" t="s">
        <v>44</v>
      </c>
      <c r="O68" s="8" t="s">
        <v>44</v>
      </c>
    </row>
    <row r="69" spans="1:15">
      <c r="A69" s="8" t="s">
        <v>42</v>
      </c>
      <c r="B69" s="8" t="s">
        <v>363</v>
      </c>
      <c r="C69" s="8" t="s">
        <v>97</v>
      </c>
      <c r="D69" s="8" t="s">
        <v>98</v>
      </c>
      <c r="E69" s="8" t="s">
        <v>22</v>
      </c>
      <c r="F69" s="8" t="s">
        <v>237</v>
      </c>
      <c r="G69" s="8" t="s">
        <v>201</v>
      </c>
      <c r="H69" s="8" t="s">
        <v>44</v>
      </c>
      <c r="I69" s="8" t="s">
        <v>202</v>
      </c>
      <c r="J69" s="8" t="s">
        <v>301</v>
      </c>
      <c r="K69" s="8" t="s">
        <v>203</v>
      </c>
      <c r="L69" s="8" t="s">
        <v>207</v>
      </c>
      <c r="M69" s="8" t="s">
        <v>208</v>
      </c>
      <c r="N69" s="8" t="s">
        <v>44</v>
      </c>
      <c r="O69" s="8" t="s">
        <v>44</v>
      </c>
    </row>
    <row r="70" spans="1:15">
      <c r="A70" s="8" t="s">
        <v>265</v>
      </c>
      <c r="B70" s="8" t="s">
        <v>364</v>
      </c>
      <c r="C70" s="8" t="s">
        <v>186</v>
      </c>
      <c r="D70" s="8" t="s">
        <v>98</v>
      </c>
      <c r="E70" s="8" t="s">
        <v>66</v>
      </c>
      <c r="F70" s="8" t="s">
        <v>237</v>
      </c>
      <c r="G70" s="8" t="s">
        <v>300</v>
      </c>
      <c r="H70" s="8" t="s">
        <v>44</v>
      </c>
      <c r="I70" s="8" t="s">
        <v>202</v>
      </c>
      <c r="J70" s="8" t="s">
        <v>301</v>
      </c>
      <c r="K70" s="8" t="s">
        <v>203</v>
      </c>
      <c r="L70" s="8" t="s">
        <v>365</v>
      </c>
      <c r="M70" s="8" t="s">
        <v>366</v>
      </c>
      <c r="N70" s="8" t="s">
        <v>44</v>
      </c>
      <c r="O70" s="8" t="s">
        <v>44</v>
      </c>
    </row>
    <row r="71" spans="1:15">
      <c r="A71" s="8" t="s">
        <v>266</v>
      </c>
      <c r="B71" s="8" t="s">
        <v>367</v>
      </c>
      <c r="C71" s="8" t="s">
        <v>186</v>
      </c>
      <c r="D71" s="8" t="s">
        <v>98</v>
      </c>
      <c r="E71" s="8" t="s">
        <v>66</v>
      </c>
      <c r="F71" s="8" t="s">
        <v>237</v>
      </c>
      <c r="G71" s="8" t="s">
        <v>300</v>
      </c>
      <c r="H71" s="8" t="s">
        <v>44</v>
      </c>
      <c r="I71" s="8" t="s">
        <v>202</v>
      </c>
      <c r="J71" s="8" t="s">
        <v>301</v>
      </c>
      <c r="K71" s="8" t="s">
        <v>203</v>
      </c>
      <c r="L71" s="8" t="s">
        <v>365</v>
      </c>
      <c r="M71" s="8" t="s">
        <v>366</v>
      </c>
      <c r="N71" s="8" t="s">
        <v>44</v>
      </c>
      <c r="O71" s="8" t="s">
        <v>44</v>
      </c>
    </row>
    <row r="72" spans="1:15">
      <c r="A72" s="8" t="s">
        <v>506</v>
      </c>
      <c r="B72" s="8" t="s">
        <v>507</v>
      </c>
      <c r="C72" s="8" t="s">
        <v>97</v>
      </c>
      <c r="D72" s="8" t="s">
        <v>82</v>
      </c>
      <c r="E72" s="8" t="s">
        <v>22</v>
      </c>
      <c r="F72" s="8" t="s">
        <v>237</v>
      </c>
      <c r="G72" s="8" t="s">
        <v>201</v>
      </c>
      <c r="H72" s="8" t="s">
        <v>44</v>
      </c>
      <c r="I72" s="8" t="s">
        <v>202</v>
      </c>
      <c r="J72" s="8" t="s">
        <v>301</v>
      </c>
      <c r="K72" s="8" t="s">
        <v>203</v>
      </c>
      <c r="L72" s="8" t="s">
        <v>214</v>
      </c>
      <c r="M72" s="8" t="s">
        <v>206</v>
      </c>
      <c r="N72" s="8" t="s">
        <v>44</v>
      </c>
      <c r="O72" s="8" t="s">
        <v>44</v>
      </c>
    </row>
    <row r="73" spans="1:15">
      <c r="A73" s="8" t="s">
        <v>689</v>
      </c>
      <c r="B73" s="8" t="s">
        <v>690</v>
      </c>
      <c r="C73" s="8" t="s">
        <v>225</v>
      </c>
      <c r="D73" s="8" t="s">
        <v>82</v>
      </c>
      <c r="E73" s="8" t="s">
        <v>66</v>
      </c>
      <c r="F73" s="8" t="s">
        <v>237</v>
      </c>
      <c r="G73" s="8" t="s">
        <v>201</v>
      </c>
      <c r="H73" s="8" t="s">
        <v>44</v>
      </c>
      <c r="I73" s="8" t="s">
        <v>202</v>
      </c>
      <c r="J73" s="8" t="s">
        <v>301</v>
      </c>
      <c r="K73" s="8" t="s">
        <v>203</v>
      </c>
      <c r="L73" s="8" t="s">
        <v>214</v>
      </c>
      <c r="M73" s="8" t="s">
        <v>206</v>
      </c>
      <c r="N73" s="8" t="s">
        <v>44</v>
      </c>
      <c r="O73" s="8" t="s">
        <v>44</v>
      </c>
    </row>
    <row r="74" spans="1:15">
      <c r="A74" s="8" t="s">
        <v>535</v>
      </c>
      <c r="B74" s="8" t="s">
        <v>536</v>
      </c>
      <c r="C74" s="8" t="s">
        <v>97</v>
      </c>
      <c r="D74" s="8" t="s">
        <v>82</v>
      </c>
      <c r="E74" s="8" t="s">
        <v>22</v>
      </c>
      <c r="F74" s="8" t="s">
        <v>237</v>
      </c>
      <c r="G74" s="8" t="s">
        <v>201</v>
      </c>
      <c r="H74" s="8" t="s">
        <v>44</v>
      </c>
      <c r="I74" s="8" t="s">
        <v>202</v>
      </c>
      <c r="J74" s="8" t="s">
        <v>301</v>
      </c>
      <c r="K74" s="8" t="s">
        <v>203</v>
      </c>
      <c r="L74" s="8" t="s">
        <v>214</v>
      </c>
      <c r="M74" s="8" t="s">
        <v>206</v>
      </c>
      <c r="N74" s="8" t="s">
        <v>44</v>
      </c>
      <c r="O74" s="8" t="s">
        <v>44</v>
      </c>
    </row>
    <row r="75" spans="1:15">
      <c r="A75" s="8" t="s">
        <v>699</v>
      </c>
      <c r="B75" s="8" t="s">
        <v>700</v>
      </c>
      <c r="C75" s="8" t="s">
        <v>225</v>
      </c>
      <c r="D75" s="8" t="s">
        <v>82</v>
      </c>
      <c r="E75" s="8" t="s">
        <v>66</v>
      </c>
      <c r="F75" s="8" t="s">
        <v>237</v>
      </c>
      <c r="G75" s="8" t="s">
        <v>201</v>
      </c>
      <c r="H75" s="8" t="s">
        <v>44</v>
      </c>
      <c r="I75" s="8" t="s">
        <v>202</v>
      </c>
      <c r="J75" s="8" t="s">
        <v>301</v>
      </c>
      <c r="K75" s="8" t="s">
        <v>203</v>
      </c>
      <c r="L75" s="8" t="s">
        <v>214</v>
      </c>
      <c r="M75" s="8" t="s">
        <v>206</v>
      </c>
      <c r="N75" s="8" t="s">
        <v>44</v>
      </c>
      <c r="O75" s="8" t="s">
        <v>44</v>
      </c>
    </row>
    <row r="76" spans="1:15">
      <c r="A76" s="8" t="s">
        <v>267</v>
      </c>
      <c r="B76" s="8" t="s">
        <v>368</v>
      </c>
      <c r="C76" s="8" t="s">
        <v>97</v>
      </c>
      <c r="D76" s="8" t="s">
        <v>82</v>
      </c>
      <c r="E76" s="8" t="s">
        <v>22</v>
      </c>
      <c r="F76" s="8" t="s">
        <v>237</v>
      </c>
      <c r="G76" s="8" t="s">
        <v>201</v>
      </c>
      <c r="H76" s="8" t="s">
        <v>44</v>
      </c>
      <c r="I76" s="8" t="s">
        <v>202</v>
      </c>
      <c r="J76" s="8" t="s">
        <v>301</v>
      </c>
      <c r="K76" s="8" t="s">
        <v>203</v>
      </c>
      <c r="L76" s="8" t="s">
        <v>214</v>
      </c>
      <c r="M76" s="8" t="s">
        <v>229</v>
      </c>
      <c r="N76" s="8" t="s">
        <v>44</v>
      </c>
      <c r="O76" s="8" t="s">
        <v>44</v>
      </c>
    </row>
    <row r="77" spans="1:15">
      <c r="A77" s="8" t="s">
        <v>369</v>
      </c>
      <c r="B77" s="8" t="s">
        <v>370</v>
      </c>
      <c r="C77" s="8" t="s">
        <v>225</v>
      </c>
      <c r="D77" s="8" t="s">
        <v>82</v>
      </c>
      <c r="E77" s="8" t="s">
        <v>66</v>
      </c>
      <c r="F77" s="8" t="s">
        <v>237</v>
      </c>
      <c r="G77" s="8" t="s">
        <v>201</v>
      </c>
      <c r="H77" s="8" t="s">
        <v>44</v>
      </c>
      <c r="I77" s="8" t="s">
        <v>202</v>
      </c>
      <c r="J77" s="8" t="s">
        <v>301</v>
      </c>
      <c r="K77" s="8" t="s">
        <v>203</v>
      </c>
      <c r="L77" s="8" t="s">
        <v>214</v>
      </c>
      <c r="M77" s="8" t="s">
        <v>229</v>
      </c>
      <c r="N77" s="8" t="s">
        <v>44</v>
      </c>
      <c r="O77" s="8" t="s">
        <v>44</v>
      </c>
    </row>
    <row r="78" spans="1:15">
      <c r="A78" s="8" t="s">
        <v>268</v>
      </c>
      <c r="B78" s="8" t="s">
        <v>371</v>
      </c>
      <c r="C78" s="8" t="s">
        <v>97</v>
      </c>
      <c r="D78" s="8" t="s">
        <v>82</v>
      </c>
      <c r="E78" s="8" t="s">
        <v>22</v>
      </c>
      <c r="F78" s="8" t="s">
        <v>237</v>
      </c>
      <c r="G78" s="8" t="s">
        <v>201</v>
      </c>
      <c r="H78" s="8" t="s">
        <v>44</v>
      </c>
      <c r="I78" s="8" t="s">
        <v>202</v>
      </c>
      <c r="J78" s="8" t="s">
        <v>301</v>
      </c>
      <c r="K78" s="8" t="s">
        <v>203</v>
      </c>
      <c r="L78" s="8" t="s">
        <v>214</v>
      </c>
      <c r="M78" s="8" t="s">
        <v>229</v>
      </c>
      <c r="N78" s="8" t="s">
        <v>44</v>
      </c>
      <c r="O78" s="8" t="s">
        <v>44</v>
      </c>
    </row>
    <row r="79" spans="1:15">
      <c r="A79" s="8" t="s">
        <v>372</v>
      </c>
      <c r="B79" s="8" t="s">
        <v>373</v>
      </c>
      <c r="C79" s="8" t="s">
        <v>225</v>
      </c>
      <c r="D79" s="8" t="s">
        <v>82</v>
      </c>
      <c r="E79" s="8" t="s">
        <v>66</v>
      </c>
      <c r="F79" s="8" t="s">
        <v>237</v>
      </c>
      <c r="G79" s="8" t="s">
        <v>201</v>
      </c>
      <c r="H79" s="8" t="s">
        <v>44</v>
      </c>
      <c r="I79" s="8" t="s">
        <v>202</v>
      </c>
      <c r="J79" s="8" t="s">
        <v>301</v>
      </c>
      <c r="K79" s="8" t="s">
        <v>203</v>
      </c>
      <c r="L79" s="8" t="s">
        <v>214</v>
      </c>
      <c r="M79" s="8" t="s">
        <v>229</v>
      </c>
      <c r="N79" s="8" t="s">
        <v>44</v>
      </c>
      <c r="O79" s="8" t="s">
        <v>44</v>
      </c>
    </row>
    <row r="80" spans="1:15">
      <c r="A80" s="8" t="s">
        <v>269</v>
      </c>
      <c r="B80" s="8" t="s">
        <v>374</v>
      </c>
      <c r="C80" s="8" t="s">
        <v>97</v>
      </c>
      <c r="D80" s="8" t="s">
        <v>82</v>
      </c>
      <c r="E80" s="8" t="s">
        <v>22</v>
      </c>
      <c r="F80" s="8" t="s">
        <v>237</v>
      </c>
      <c r="G80" s="8" t="s">
        <v>201</v>
      </c>
      <c r="H80" s="8" t="s">
        <v>44</v>
      </c>
      <c r="I80" s="8" t="s">
        <v>202</v>
      </c>
      <c r="J80" s="8" t="s">
        <v>301</v>
      </c>
      <c r="K80" s="8" t="s">
        <v>203</v>
      </c>
      <c r="L80" s="8" t="s">
        <v>214</v>
      </c>
      <c r="M80" s="8" t="s">
        <v>229</v>
      </c>
      <c r="N80" s="8" t="s">
        <v>44</v>
      </c>
      <c r="O80" s="8" t="s">
        <v>44</v>
      </c>
    </row>
    <row r="81" spans="1:15">
      <c r="A81" s="8" t="s">
        <v>375</v>
      </c>
      <c r="B81" s="8" t="s">
        <v>376</v>
      </c>
      <c r="C81" s="8" t="s">
        <v>225</v>
      </c>
      <c r="D81" s="8" t="s">
        <v>82</v>
      </c>
      <c r="E81" s="8" t="s">
        <v>66</v>
      </c>
      <c r="F81" s="8" t="s">
        <v>237</v>
      </c>
      <c r="G81" s="8" t="s">
        <v>201</v>
      </c>
      <c r="H81" s="8" t="s">
        <v>44</v>
      </c>
      <c r="I81" s="8" t="s">
        <v>202</v>
      </c>
      <c r="J81" s="8" t="s">
        <v>301</v>
      </c>
      <c r="K81" s="8" t="s">
        <v>203</v>
      </c>
      <c r="L81" s="8" t="s">
        <v>214</v>
      </c>
      <c r="M81" s="8" t="s">
        <v>229</v>
      </c>
      <c r="N81" s="8" t="s">
        <v>44</v>
      </c>
      <c r="O81" s="8" t="s">
        <v>44</v>
      </c>
    </row>
    <row r="82" spans="1:15">
      <c r="A82" s="8" t="s">
        <v>270</v>
      </c>
      <c r="B82" s="8" t="s">
        <v>377</v>
      </c>
      <c r="C82" s="8" t="s">
        <v>97</v>
      </c>
      <c r="D82" s="8" t="s">
        <v>82</v>
      </c>
      <c r="E82" s="8" t="s">
        <v>22</v>
      </c>
      <c r="F82" s="8" t="s">
        <v>237</v>
      </c>
      <c r="G82" s="8" t="s">
        <v>201</v>
      </c>
      <c r="H82" s="8" t="s">
        <v>44</v>
      </c>
      <c r="I82" s="8" t="s">
        <v>202</v>
      </c>
      <c r="J82" s="8" t="s">
        <v>301</v>
      </c>
      <c r="K82" s="8" t="s">
        <v>203</v>
      </c>
      <c r="L82" s="8" t="s">
        <v>214</v>
      </c>
      <c r="M82" s="8" t="s">
        <v>229</v>
      </c>
      <c r="N82" s="8" t="s">
        <v>44</v>
      </c>
      <c r="O82" s="8" t="s">
        <v>44</v>
      </c>
    </row>
    <row r="83" spans="1:15">
      <c r="A83" s="8" t="s">
        <v>378</v>
      </c>
      <c r="B83" s="8" t="s">
        <v>379</v>
      </c>
      <c r="C83" s="8" t="s">
        <v>225</v>
      </c>
      <c r="D83" s="8" t="s">
        <v>82</v>
      </c>
      <c r="E83" s="8" t="s">
        <v>66</v>
      </c>
      <c r="F83" s="8" t="s">
        <v>237</v>
      </c>
      <c r="G83" s="8" t="s">
        <v>201</v>
      </c>
      <c r="H83" s="8" t="s">
        <v>44</v>
      </c>
      <c r="I83" s="8" t="s">
        <v>202</v>
      </c>
      <c r="J83" s="8" t="s">
        <v>301</v>
      </c>
      <c r="K83" s="8" t="s">
        <v>203</v>
      </c>
      <c r="L83" s="8" t="s">
        <v>214</v>
      </c>
      <c r="M83" s="8" t="s">
        <v>229</v>
      </c>
      <c r="N83" s="8" t="s">
        <v>44</v>
      </c>
      <c r="O83" s="8" t="s">
        <v>44</v>
      </c>
    </row>
    <row r="84" spans="1:15">
      <c r="A84" s="8" t="s">
        <v>271</v>
      </c>
      <c r="B84" s="8" t="s">
        <v>380</v>
      </c>
      <c r="C84" s="8" t="s">
        <v>97</v>
      </c>
      <c r="D84" s="8" t="s">
        <v>82</v>
      </c>
      <c r="E84" s="8" t="s">
        <v>22</v>
      </c>
      <c r="F84" s="8" t="s">
        <v>237</v>
      </c>
      <c r="G84" s="8" t="s">
        <v>201</v>
      </c>
      <c r="H84" s="8" t="s">
        <v>44</v>
      </c>
      <c r="I84" s="8" t="s">
        <v>202</v>
      </c>
      <c r="J84" s="8" t="s">
        <v>301</v>
      </c>
      <c r="K84" s="8" t="s">
        <v>203</v>
      </c>
      <c r="L84" s="8" t="s">
        <v>214</v>
      </c>
      <c r="M84" s="8" t="s">
        <v>229</v>
      </c>
      <c r="N84" s="8" t="s">
        <v>44</v>
      </c>
      <c r="O84" s="8" t="s">
        <v>44</v>
      </c>
    </row>
    <row r="85" spans="1:15">
      <c r="A85" s="8" t="s">
        <v>381</v>
      </c>
      <c r="B85" s="8" t="s">
        <v>382</v>
      </c>
      <c r="C85" s="8" t="s">
        <v>225</v>
      </c>
      <c r="D85" s="8" t="s">
        <v>82</v>
      </c>
      <c r="E85" s="8" t="s">
        <v>66</v>
      </c>
      <c r="F85" s="8" t="s">
        <v>237</v>
      </c>
      <c r="G85" s="8" t="s">
        <v>201</v>
      </c>
      <c r="H85" s="8" t="s">
        <v>44</v>
      </c>
      <c r="I85" s="8" t="s">
        <v>202</v>
      </c>
      <c r="J85" s="8" t="s">
        <v>301</v>
      </c>
      <c r="K85" s="8" t="s">
        <v>203</v>
      </c>
      <c r="L85" s="8" t="s">
        <v>214</v>
      </c>
      <c r="M85" s="8" t="s">
        <v>229</v>
      </c>
      <c r="N85" s="8" t="s">
        <v>44</v>
      </c>
      <c r="O85" s="8" t="s">
        <v>44</v>
      </c>
    </row>
    <row r="86" spans="1:15">
      <c r="A86" s="8" t="s">
        <v>383</v>
      </c>
      <c r="B86" s="8" t="s">
        <v>384</v>
      </c>
      <c r="C86" s="8" t="s">
        <v>97</v>
      </c>
      <c r="D86" s="8" t="s">
        <v>82</v>
      </c>
      <c r="E86" s="8" t="s">
        <v>22</v>
      </c>
      <c r="F86" s="8" t="s">
        <v>237</v>
      </c>
      <c r="G86" s="8" t="s">
        <v>201</v>
      </c>
      <c r="H86" s="8" t="s">
        <v>44</v>
      </c>
      <c r="I86" s="8" t="s">
        <v>202</v>
      </c>
      <c r="J86" s="8" t="s">
        <v>301</v>
      </c>
      <c r="K86" s="8" t="s">
        <v>203</v>
      </c>
      <c r="L86" s="8" t="s">
        <v>214</v>
      </c>
      <c r="M86" s="8" t="s">
        <v>229</v>
      </c>
      <c r="N86" s="8" t="s">
        <v>44</v>
      </c>
      <c r="O86" s="8" t="s">
        <v>44</v>
      </c>
    </row>
    <row r="87" spans="1:15">
      <c r="A87" s="8" t="s">
        <v>385</v>
      </c>
      <c r="B87" s="8" t="s">
        <v>386</v>
      </c>
      <c r="C87" s="8" t="s">
        <v>225</v>
      </c>
      <c r="D87" s="8" t="s">
        <v>82</v>
      </c>
      <c r="E87" s="8" t="s">
        <v>66</v>
      </c>
      <c r="F87" s="8" t="s">
        <v>237</v>
      </c>
      <c r="G87" s="8" t="s">
        <v>201</v>
      </c>
      <c r="H87" s="8" t="s">
        <v>44</v>
      </c>
      <c r="I87" s="8" t="s">
        <v>202</v>
      </c>
      <c r="J87" s="8" t="s">
        <v>301</v>
      </c>
      <c r="K87" s="8" t="s">
        <v>203</v>
      </c>
      <c r="L87" s="8" t="s">
        <v>214</v>
      </c>
      <c r="M87" s="8" t="s">
        <v>229</v>
      </c>
      <c r="N87" s="8" t="s">
        <v>44</v>
      </c>
      <c r="O87" s="8" t="s">
        <v>44</v>
      </c>
    </row>
    <row r="88" spans="1:15">
      <c r="A88" s="8" t="s">
        <v>272</v>
      </c>
      <c r="B88" s="8" t="s">
        <v>387</v>
      </c>
      <c r="C88" s="8" t="s">
        <v>97</v>
      </c>
      <c r="D88" s="8" t="s">
        <v>82</v>
      </c>
      <c r="E88" s="8" t="s">
        <v>22</v>
      </c>
      <c r="F88" s="8" t="s">
        <v>237</v>
      </c>
      <c r="G88" s="8" t="s">
        <v>201</v>
      </c>
      <c r="H88" s="8" t="s">
        <v>44</v>
      </c>
      <c r="I88" s="8" t="s">
        <v>202</v>
      </c>
      <c r="J88" s="8" t="s">
        <v>301</v>
      </c>
      <c r="K88" s="8" t="s">
        <v>203</v>
      </c>
      <c r="L88" s="8" t="s">
        <v>214</v>
      </c>
      <c r="M88" s="8" t="s">
        <v>229</v>
      </c>
      <c r="N88" s="8" t="s">
        <v>44</v>
      </c>
      <c r="O88" s="8" t="s">
        <v>44</v>
      </c>
    </row>
    <row r="89" spans="1:15">
      <c r="A89" s="8" t="s">
        <v>388</v>
      </c>
      <c r="B89" s="8" t="s">
        <v>389</v>
      </c>
      <c r="C89" s="8" t="s">
        <v>225</v>
      </c>
      <c r="D89" s="8" t="s">
        <v>82</v>
      </c>
      <c r="E89" s="8" t="s">
        <v>66</v>
      </c>
      <c r="F89" s="8" t="s">
        <v>237</v>
      </c>
      <c r="G89" s="8" t="s">
        <v>201</v>
      </c>
      <c r="H89" s="8" t="s">
        <v>44</v>
      </c>
      <c r="I89" s="8" t="s">
        <v>202</v>
      </c>
      <c r="J89" s="8" t="s">
        <v>301</v>
      </c>
      <c r="K89" s="8" t="s">
        <v>203</v>
      </c>
      <c r="L89" s="8" t="s">
        <v>214</v>
      </c>
      <c r="M89" s="8" t="s">
        <v>229</v>
      </c>
      <c r="N89" s="8" t="s">
        <v>44</v>
      </c>
      <c r="O89" s="8" t="s">
        <v>44</v>
      </c>
    </row>
    <row r="90" spans="1:15">
      <c r="A90" s="8" t="s">
        <v>273</v>
      </c>
      <c r="B90" s="8" t="s">
        <v>390</v>
      </c>
      <c r="C90" s="8" t="s">
        <v>97</v>
      </c>
      <c r="D90" s="8" t="s">
        <v>82</v>
      </c>
      <c r="E90" s="8" t="s">
        <v>22</v>
      </c>
      <c r="F90" s="8" t="s">
        <v>237</v>
      </c>
      <c r="G90" s="8" t="s">
        <v>201</v>
      </c>
      <c r="H90" s="8" t="s">
        <v>44</v>
      </c>
      <c r="I90" s="8" t="s">
        <v>202</v>
      </c>
      <c r="J90" s="8" t="s">
        <v>301</v>
      </c>
      <c r="K90" s="8" t="s">
        <v>203</v>
      </c>
      <c r="L90" s="8" t="s">
        <v>214</v>
      </c>
      <c r="M90" s="8" t="s">
        <v>229</v>
      </c>
      <c r="N90" s="8" t="s">
        <v>44</v>
      </c>
      <c r="O90" s="8" t="s">
        <v>44</v>
      </c>
    </row>
    <row r="91" spans="1:15">
      <c r="A91" s="8" t="s">
        <v>391</v>
      </c>
      <c r="B91" s="8" t="s">
        <v>392</v>
      </c>
      <c r="C91" s="8" t="s">
        <v>225</v>
      </c>
      <c r="D91" s="8" t="s">
        <v>82</v>
      </c>
      <c r="E91" s="8" t="s">
        <v>66</v>
      </c>
      <c r="F91" s="8" t="s">
        <v>237</v>
      </c>
      <c r="G91" s="8" t="s">
        <v>201</v>
      </c>
      <c r="H91" s="8" t="s">
        <v>44</v>
      </c>
      <c r="I91" s="8" t="s">
        <v>202</v>
      </c>
      <c r="J91" s="8" t="s">
        <v>301</v>
      </c>
      <c r="K91" s="8" t="s">
        <v>203</v>
      </c>
      <c r="L91" s="8" t="s">
        <v>214</v>
      </c>
      <c r="M91" s="8" t="s">
        <v>229</v>
      </c>
      <c r="N91" s="8" t="s">
        <v>44</v>
      </c>
      <c r="O91" s="8" t="s">
        <v>44</v>
      </c>
    </row>
    <row r="92" spans="1:15">
      <c r="A92" s="8" t="s">
        <v>274</v>
      </c>
      <c r="B92" s="8" t="s">
        <v>393</v>
      </c>
      <c r="C92" s="8" t="s">
        <v>97</v>
      </c>
      <c r="D92" s="8" t="s">
        <v>82</v>
      </c>
      <c r="E92" s="8" t="s">
        <v>22</v>
      </c>
      <c r="F92" s="8" t="s">
        <v>237</v>
      </c>
      <c r="G92" s="8" t="s">
        <v>201</v>
      </c>
      <c r="H92" s="8" t="s">
        <v>44</v>
      </c>
      <c r="I92" s="8" t="s">
        <v>202</v>
      </c>
      <c r="J92" s="8" t="s">
        <v>301</v>
      </c>
      <c r="K92" s="8" t="s">
        <v>203</v>
      </c>
      <c r="L92" s="8" t="s">
        <v>214</v>
      </c>
      <c r="M92" s="8" t="s">
        <v>229</v>
      </c>
      <c r="N92" s="8" t="s">
        <v>44</v>
      </c>
      <c r="O92" s="8" t="s">
        <v>44</v>
      </c>
    </row>
    <row r="93" spans="1:15">
      <c r="A93" s="8" t="s">
        <v>394</v>
      </c>
      <c r="B93" s="8" t="s">
        <v>395</v>
      </c>
      <c r="C93" s="8" t="s">
        <v>225</v>
      </c>
      <c r="D93" s="8" t="s">
        <v>82</v>
      </c>
      <c r="E93" s="8" t="s">
        <v>66</v>
      </c>
      <c r="F93" s="8" t="s">
        <v>237</v>
      </c>
      <c r="G93" s="8" t="s">
        <v>201</v>
      </c>
      <c r="H93" s="8" t="s">
        <v>44</v>
      </c>
      <c r="I93" s="8" t="s">
        <v>202</v>
      </c>
      <c r="J93" s="8" t="s">
        <v>301</v>
      </c>
      <c r="K93" s="8" t="s">
        <v>203</v>
      </c>
      <c r="L93" s="8" t="s">
        <v>214</v>
      </c>
      <c r="M93" s="8" t="s">
        <v>229</v>
      </c>
      <c r="N93" s="8" t="s">
        <v>44</v>
      </c>
      <c r="O93" s="8" t="s">
        <v>44</v>
      </c>
    </row>
    <row r="94" spans="1:15">
      <c r="A94" s="8" t="s">
        <v>275</v>
      </c>
      <c r="B94" s="8" t="s">
        <v>396</v>
      </c>
      <c r="C94" s="8" t="s">
        <v>97</v>
      </c>
      <c r="D94" s="8" t="s">
        <v>82</v>
      </c>
      <c r="E94" s="8" t="s">
        <v>22</v>
      </c>
      <c r="F94" s="8" t="s">
        <v>237</v>
      </c>
      <c r="G94" s="8" t="s">
        <v>201</v>
      </c>
      <c r="H94" s="8" t="s">
        <v>44</v>
      </c>
      <c r="I94" s="8" t="s">
        <v>202</v>
      </c>
      <c r="J94" s="8" t="s">
        <v>301</v>
      </c>
      <c r="K94" s="8" t="s">
        <v>203</v>
      </c>
      <c r="L94" s="8" t="s">
        <v>214</v>
      </c>
      <c r="M94" s="8" t="s">
        <v>229</v>
      </c>
      <c r="N94" s="8" t="s">
        <v>44</v>
      </c>
      <c r="O94" s="8" t="s">
        <v>44</v>
      </c>
    </row>
    <row r="95" spans="1:15">
      <c r="A95" s="8" t="s">
        <v>397</v>
      </c>
      <c r="B95" s="8" t="s">
        <v>398</v>
      </c>
      <c r="C95" s="8" t="s">
        <v>225</v>
      </c>
      <c r="D95" s="8" t="s">
        <v>82</v>
      </c>
      <c r="E95" s="8" t="s">
        <v>66</v>
      </c>
      <c r="F95" s="8" t="s">
        <v>237</v>
      </c>
      <c r="G95" s="8" t="s">
        <v>201</v>
      </c>
      <c r="H95" s="8" t="s">
        <v>44</v>
      </c>
      <c r="I95" s="8" t="s">
        <v>202</v>
      </c>
      <c r="J95" s="8" t="s">
        <v>301</v>
      </c>
      <c r="K95" s="8" t="s">
        <v>203</v>
      </c>
      <c r="L95" s="8" t="s">
        <v>214</v>
      </c>
      <c r="M95" s="8" t="s">
        <v>229</v>
      </c>
      <c r="N95" s="8" t="s">
        <v>44</v>
      </c>
      <c r="O95" s="8" t="s">
        <v>44</v>
      </c>
    </row>
    <row r="96" spans="1:15">
      <c r="A96" s="8" t="s">
        <v>276</v>
      </c>
      <c r="B96" s="8" t="s">
        <v>399</v>
      </c>
      <c r="C96" s="8" t="s">
        <v>97</v>
      </c>
      <c r="D96" s="8" t="s">
        <v>82</v>
      </c>
      <c r="E96" s="8" t="s">
        <v>22</v>
      </c>
      <c r="F96" s="8" t="s">
        <v>237</v>
      </c>
      <c r="G96" s="8" t="s">
        <v>201</v>
      </c>
      <c r="H96" s="8" t="s">
        <v>44</v>
      </c>
      <c r="I96" s="8" t="s">
        <v>202</v>
      </c>
      <c r="J96" s="8" t="s">
        <v>301</v>
      </c>
      <c r="K96" s="8" t="s">
        <v>203</v>
      </c>
      <c r="L96" s="8" t="s">
        <v>214</v>
      </c>
      <c r="M96" s="8" t="s">
        <v>229</v>
      </c>
      <c r="N96" s="8" t="s">
        <v>44</v>
      </c>
      <c r="O96" s="8" t="s">
        <v>44</v>
      </c>
    </row>
    <row r="97" spans="1:15">
      <c r="A97" s="8" t="s">
        <v>400</v>
      </c>
      <c r="B97" s="8" t="s">
        <v>401</v>
      </c>
      <c r="C97" s="8" t="s">
        <v>225</v>
      </c>
      <c r="D97" s="8" t="s">
        <v>82</v>
      </c>
      <c r="E97" s="8" t="s">
        <v>66</v>
      </c>
      <c r="F97" s="8" t="s">
        <v>237</v>
      </c>
      <c r="G97" s="8" t="s">
        <v>201</v>
      </c>
      <c r="H97" s="8" t="s">
        <v>44</v>
      </c>
      <c r="I97" s="8" t="s">
        <v>202</v>
      </c>
      <c r="J97" s="8" t="s">
        <v>301</v>
      </c>
      <c r="K97" s="8" t="s">
        <v>203</v>
      </c>
      <c r="L97" s="8" t="s">
        <v>214</v>
      </c>
      <c r="M97" s="8" t="s">
        <v>229</v>
      </c>
      <c r="N97" s="8" t="s">
        <v>44</v>
      </c>
      <c r="O97" s="8" t="s">
        <v>44</v>
      </c>
    </row>
    <row r="98" spans="1:15">
      <c r="A98" s="8" t="s">
        <v>402</v>
      </c>
      <c r="B98" s="8" t="s">
        <v>403</v>
      </c>
      <c r="C98" s="8" t="s">
        <v>97</v>
      </c>
      <c r="D98" s="8" t="s">
        <v>82</v>
      </c>
      <c r="E98" s="8" t="s">
        <v>22</v>
      </c>
      <c r="F98" s="8" t="s">
        <v>237</v>
      </c>
      <c r="G98" s="8" t="s">
        <v>201</v>
      </c>
      <c r="H98" s="8" t="s">
        <v>44</v>
      </c>
      <c r="I98" s="8" t="s">
        <v>202</v>
      </c>
      <c r="J98" s="8" t="s">
        <v>301</v>
      </c>
      <c r="K98" s="8" t="s">
        <v>203</v>
      </c>
      <c r="L98" s="8" t="s">
        <v>214</v>
      </c>
      <c r="M98" s="8" t="s">
        <v>229</v>
      </c>
      <c r="N98" s="8" t="s">
        <v>44</v>
      </c>
      <c r="O98" s="8" t="s">
        <v>44</v>
      </c>
    </row>
    <row r="99" spans="1:15">
      <c r="A99" s="8" t="s">
        <v>404</v>
      </c>
      <c r="B99" s="8" t="s">
        <v>405</v>
      </c>
      <c r="C99" s="8" t="s">
        <v>225</v>
      </c>
      <c r="D99" s="8" t="s">
        <v>82</v>
      </c>
      <c r="E99" s="8" t="s">
        <v>66</v>
      </c>
      <c r="F99" s="8" t="s">
        <v>237</v>
      </c>
      <c r="G99" s="8" t="s">
        <v>201</v>
      </c>
      <c r="H99" s="8" t="s">
        <v>44</v>
      </c>
      <c r="I99" s="8" t="s">
        <v>202</v>
      </c>
      <c r="J99" s="8" t="s">
        <v>301</v>
      </c>
      <c r="K99" s="8" t="s">
        <v>203</v>
      </c>
      <c r="L99" s="8" t="s">
        <v>214</v>
      </c>
      <c r="M99" s="8" t="s">
        <v>229</v>
      </c>
      <c r="N99" s="8" t="s">
        <v>44</v>
      </c>
      <c r="O99" s="8" t="s">
        <v>44</v>
      </c>
    </row>
    <row r="100" spans="1:15">
      <c r="A100" s="8" t="s">
        <v>277</v>
      </c>
      <c r="B100" s="8" t="s">
        <v>406</v>
      </c>
      <c r="C100" s="8" t="s">
        <v>97</v>
      </c>
      <c r="D100" s="8" t="s">
        <v>82</v>
      </c>
      <c r="E100" s="8" t="s">
        <v>22</v>
      </c>
      <c r="F100" s="8" t="s">
        <v>237</v>
      </c>
      <c r="G100" s="8" t="s">
        <v>201</v>
      </c>
      <c r="H100" s="8" t="s">
        <v>44</v>
      </c>
      <c r="I100" s="8" t="s">
        <v>202</v>
      </c>
      <c r="J100" s="8" t="s">
        <v>301</v>
      </c>
      <c r="K100" s="8" t="s">
        <v>203</v>
      </c>
      <c r="L100" s="8" t="s">
        <v>214</v>
      </c>
      <c r="M100" s="8" t="s">
        <v>229</v>
      </c>
      <c r="N100" s="8" t="s">
        <v>44</v>
      </c>
      <c r="O100" s="8" t="s">
        <v>44</v>
      </c>
    </row>
    <row r="101" spans="1:15">
      <c r="A101" s="8" t="s">
        <v>407</v>
      </c>
      <c r="B101" s="8" t="s">
        <v>408</v>
      </c>
      <c r="C101" s="8" t="s">
        <v>225</v>
      </c>
      <c r="D101" s="8" t="s">
        <v>82</v>
      </c>
      <c r="E101" s="8" t="s">
        <v>66</v>
      </c>
      <c r="F101" s="8" t="s">
        <v>237</v>
      </c>
      <c r="G101" s="8" t="s">
        <v>201</v>
      </c>
      <c r="H101" s="8" t="s">
        <v>44</v>
      </c>
      <c r="I101" s="8" t="s">
        <v>202</v>
      </c>
      <c r="J101" s="8" t="s">
        <v>301</v>
      </c>
      <c r="K101" s="8" t="s">
        <v>203</v>
      </c>
      <c r="L101" s="8" t="s">
        <v>214</v>
      </c>
      <c r="M101" s="8" t="s">
        <v>229</v>
      </c>
      <c r="N101" s="8" t="s">
        <v>44</v>
      </c>
      <c r="O101" s="8" t="s">
        <v>44</v>
      </c>
    </row>
    <row r="102" spans="1:15">
      <c r="A102" s="8" t="s">
        <v>278</v>
      </c>
      <c r="B102" s="8" t="s">
        <v>409</v>
      </c>
      <c r="C102" s="8" t="s">
        <v>97</v>
      </c>
      <c r="D102" s="8" t="s">
        <v>82</v>
      </c>
      <c r="E102" s="8" t="s">
        <v>22</v>
      </c>
      <c r="F102" s="8" t="s">
        <v>237</v>
      </c>
      <c r="G102" s="8" t="s">
        <v>201</v>
      </c>
      <c r="H102" s="8" t="s">
        <v>44</v>
      </c>
      <c r="I102" s="8" t="s">
        <v>202</v>
      </c>
      <c r="J102" s="8" t="s">
        <v>301</v>
      </c>
      <c r="K102" s="8" t="s">
        <v>203</v>
      </c>
      <c r="L102" s="8" t="s">
        <v>214</v>
      </c>
      <c r="M102" s="8" t="s">
        <v>229</v>
      </c>
      <c r="N102" s="8" t="s">
        <v>44</v>
      </c>
      <c r="O102" s="8" t="s">
        <v>44</v>
      </c>
    </row>
    <row r="103" spans="1:15">
      <c r="A103" s="8" t="s">
        <v>410</v>
      </c>
      <c r="B103" s="8" t="s">
        <v>411</v>
      </c>
      <c r="C103" s="8" t="s">
        <v>225</v>
      </c>
      <c r="D103" s="8" t="s">
        <v>82</v>
      </c>
      <c r="E103" s="8" t="s">
        <v>66</v>
      </c>
      <c r="F103" s="8" t="s">
        <v>237</v>
      </c>
      <c r="G103" s="8" t="s">
        <v>201</v>
      </c>
      <c r="H103" s="8" t="s">
        <v>44</v>
      </c>
      <c r="I103" s="8" t="s">
        <v>202</v>
      </c>
      <c r="J103" s="8" t="s">
        <v>301</v>
      </c>
      <c r="K103" s="8" t="s">
        <v>203</v>
      </c>
      <c r="L103" s="8" t="s">
        <v>214</v>
      </c>
      <c r="M103" s="8" t="s">
        <v>229</v>
      </c>
      <c r="N103" s="8" t="s">
        <v>44</v>
      </c>
      <c r="O103" s="8" t="s">
        <v>44</v>
      </c>
    </row>
    <row r="104" spans="1:15">
      <c r="A104" s="8" t="s">
        <v>1044</v>
      </c>
      <c r="B104" s="8" t="s">
        <v>1045</v>
      </c>
      <c r="C104" s="8" t="s">
        <v>225</v>
      </c>
      <c r="D104" s="8" t="s">
        <v>98</v>
      </c>
      <c r="E104" s="8" t="s">
        <v>22</v>
      </c>
      <c r="F104" s="8" t="s">
        <v>237</v>
      </c>
      <c r="G104" s="8" t="s">
        <v>201</v>
      </c>
      <c r="H104" s="8" t="s">
        <v>44</v>
      </c>
      <c r="I104" s="8" t="s">
        <v>202</v>
      </c>
      <c r="J104" s="8" t="s">
        <v>301</v>
      </c>
      <c r="K104" s="8" t="s">
        <v>203</v>
      </c>
      <c r="L104" s="8" t="s">
        <v>214</v>
      </c>
      <c r="M104" s="8" t="s">
        <v>186</v>
      </c>
      <c r="N104" s="8" t="s">
        <v>44</v>
      </c>
      <c r="O104" s="8" t="s">
        <v>44</v>
      </c>
    </row>
    <row r="105" spans="1:15">
      <c r="A105" s="8" t="s">
        <v>1047</v>
      </c>
      <c r="B105" s="8" t="s">
        <v>1048</v>
      </c>
      <c r="C105" s="8" t="s">
        <v>225</v>
      </c>
      <c r="D105" s="8" t="s">
        <v>98</v>
      </c>
      <c r="E105" s="8" t="s">
        <v>22</v>
      </c>
      <c r="F105" s="8" t="s">
        <v>237</v>
      </c>
      <c r="G105" s="8" t="s">
        <v>201</v>
      </c>
      <c r="H105" s="8" t="s">
        <v>44</v>
      </c>
      <c r="I105" s="8" t="s">
        <v>202</v>
      </c>
      <c r="J105" s="8" t="s">
        <v>301</v>
      </c>
      <c r="K105" s="8" t="s">
        <v>203</v>
      </c>
      <c r="L105" s="8" t="s">
        <v>214</v>
      </c>
      <c r="M105" s="8" t="s">
        <v>186</v>
      </c>
      <c r="N105" s="8" t="s">
        <v>44</v>
      </c>
      <c r="O105" s="8" t="s">
        <v>44</v>
      </c>
    </row>
    <row r="106" spans="1:15">
      <c r="A106" s="8" t="s">
        <v>850</v>
      </c>
      <c r="B106" s="8" t="s">
        <v>851</v>
      </c>
      <c r="C106" s="8" t="s">
        <v>225</v>
      </c>
      <c r="D106" s="8" t="s">
        <v>98</v>
      </c>
      <c r="E106" s="8" t="s">
        <v>22</v>
      </c>
      <c r="F106" s="8" t="s">
        <v>237</v>
      </c>
      <c r="G106" s="8" t="s">
        <v>201</v>
      </c>
      <c r="H106" s="8" t="s">
        <v>44</v>
      </c>
      <c r="I106" s="8" t="s">
        <v>202</v>
      </c>
      <c r="J106" s="8" t="s">
        <v>301</v>
      </c>
      <c r="K106" s="8" t="s">
        <v>203</v>
      </c>
      <c r="L106" s="8" t="s">
        <v>214</v>
      </c>
      <c r="M106" s="8" t="s">
        <v>186</v>
      </c>
      <c r="N106" s="8" t="s">
        <v>44</v>
      </c>
      <c r="O106" s="8" t="s">
        <v>44</v>
      </c>
    </row>
    <row r="107" spans="1:15">
      <c r="A107" s="8" t="s">
        <v>1051</v>
      </c>
      <c r="B107" s="8" t="s">
        <v>1052</v>
      </c>
      <c r="C107" s="8" t="s">
        <v>225</v>
      </c>
      <c r="D107" s="8" t="s">
        <v>98</v>
      </c>
      <c r="E107" s="8" t="s">
        <v>22</v>
      </c>
      <c r="F107" s="8" t="s">
        <v>237</v>
      </c>
      <c r="G107" s="8" t="s">
        <v>201</v>
      </c>
      <c r="H107" s="8" t="s">
        <v>44</v>
      </c>
      <c r="I107" s="8" t="s">
        <v>202</v>
      </c>
      <c r="J107" s="8" t="s">
        <v>301</v>
      </c>
      <c r="K107" s="8" t="s">
        <v>203</v>
      </c>
      <c r="L107" s="8" t="s">
        <v>214</v>
      </c>
      <c r="M107" s="8" t="s">
        <v>186</v>
      </c>
      <c r="N107" s="8" t="s">
        <v>44</v>
      </c>
      <c r="O107" s="8" t="s">
        <v>44</v>
      </c>
    </row>
    <row r="108" spans="1:15">
      <c r="A108" s="8" t="s">
        <v>819</v>
      </c>
      <c r="B108" s="8" t="s">
        <v>820</v>
      </c>
      <c r="C108" s="8" t="s">
        <v>226</v>
      </c>
      <c r="D108" s="8" t="s">
        <v>98</v>
      </c>
      <c r="E108" s="8" t="s">
        <v>70</v>
      </c>
      <c r="F108" s="8" t="s">
        <v>237</v>
      </c>
      <c r="G108" s="8" t="s">
        <v>227</v>
      </c>
      <c r="H108" s="8" t="s">
        <v>44</v>
      </c>
      <c r="I108" s="8" t="s">
        <v>202</v>
      </c>
      <c r="J108" s="8" t="s">
        <v>301</v>
      </c>
      <c r="K108" s="8" t="s">
        <v>203</v>
      </c>
      <c r="L108" s="8" t="s">
        <v>214</v>
      </c>
      <c r="M108" s="8" t="s">
        <v>235</v>
      </c>
      <c r="N108" s="8" t="s">
        <v>44</v>
      </c>
      <c r="O108" s="8" t="s">
        <v>44</v>
      </c>
    </row>
    <row r="109" spans="1:15">
      <c r="A109" s="8" t="s">
        <v>1054</v>
      </c>
      <c r="B109" s="8" t="s">
        <v>1055</v>
      </c>
      <c r="C109" s="8" t="s">
        <v>225</v>
      </c>
      <c r="D109" s="8" t="s">
        <v>98</v>
      </c>
      <c r="E109" s="8" t="s">
        <v>22</v>
      </c>
      <c r="F109" s="8" t="s">
        <v>237</v>
      </c>
      <c r="G109" s="8" t="s">
        <v>201</v>
      </c>
      <c r="H109" s="8" t="s">
        <v>44</v>
      </c>
      <c r="I109" s="8" t="s">
        <v>202</v>
      </c>
      <c r="J109" s="8" t="s">
        <v>301</v>
      </c>
      <c r="K109" s="8" t="s">
        <v>203</v>
      </c>
      <c r="L109" s="8" t="s">
        <v>214</v>
      </c>
      <c r="M109" s="8" t="s">
        <v>186</v>
      </c>
      <c r="N109" s="8" t="s">
        <v>44</v>
      </c>
      <c r="O109" s="8" t="s">
        <v>44</v>
      </c>
    </row>
    <row r="110" spans="1:15">
      <c r="A110" s="8" t="s">
        <v>871</v>
      </c>
      <c r="B110" s="8" t="s">
        <v>872</v>
      </c>
      <c r="C110" s="8" t="s">
        <v>225</v>
      </c>
      <c r="D110" s="8" t="s">
        <v>98</v>
      </c>
      <c r="E110" s="8" t="s">
        <v>22</v>
      </c>
      <c r="F110" s="8" t="s">
        <v>237</v>
      </c>
      <c r="G110" s="8" t="s">
        <v>201</v>
      </c>
      <c r="H110" s="8" t="s">
        <v>44</v>
      </c>
      <c r="I110" s="8" t="s">
        <v>202</v>
      </c>
      <c r="J110" s="8" t="s">
        <v>301</v>
      </c>
      <c r="K110" s="8" t="s">
        <v>203</v>
      </c>
      <c r="L110" s="8" t="s">
        <v>214</v>
      </c>
      <c r="M110" s="8" t="s">
        <v>186</v>
      </c>
      <c r="N110" s="8" t="s">
        <v>44</v>
      </c>
      <c r="O110" s="8" t="s">
        <v>44</v>
      </c>
    </row>
    <row r="111" spans="1:15">
      <c r="A111" s="8" t="s">
        <v>853</v>
      </c>
      <c r="B111" s="8" t="s">
        <v>854</v>
      </c>
      <c r="C111" s="8" t="s">
        <v>225</v>
      </c>
      <c r="D111" s="8" t="s">
        <v>98</v>
      </c>
      <c r="E111" s="8" t="s">
        <v>22</v>
      </c>
      <c r="F111" s="8" t="s">
        <v>237</v>
      </c>
      <c r="G111" s="8" t="s">
        <v>201</v>
      </c>
      <c r="H111" s="8" t="s">
        <v>44</v>
      </c>
      <c r="I111" s="8" t="s">
        <v>202</v>
      </c>
      <c r="J111" s="8" t="s">
        <v>301</v>
      </c>
      <c r="K111" s="8" t="s">
        <v>203</v>
      </c>
      <c r="L111" s="8" t="s">
        <v>214</v>
      </c>
      <c r="M111" s="8" t="s">
        <v>186</v>
      </c>
      <c r="N111" s="8" t="s">
        <v>44</v>
      </c>
      <c r="O111" s="8" t="s">
        <v>44</v>
      </c>
    </row>
    <row r="112" spans="1:15">
      <c r="A112" s="8" t="s">
        <v>856</v>
      </c>
      <c r="B112" s="8" t="s">
        <v>857</v>
      </c>
      <c r="C112" s="8" t="s">
        <v>225</v>
      </c>
      <c r="D112" s="8" t="s">
        <v>98</v>
      </c>
      <c r="E112" s="8" t="s">
        <v>22</v>
      </c>
      <c r="F112" s="8" t="s">
        <v>237</v>
      </c>
      <c r="G112" s="8" t="s">
        <v>201</v>
      </c>
      <c r="H112" s="8" t="s">
        <v>44</v>
      </c>
      <c r="I112" s="8" t="s">
        <v>202</v>
      </c>
      <c r="J112" s="8" t="s">
        <v>301</v>
      </c>
      <c r="K112" s="8" t="s">
        <v>203</v>
      </c>
      <c r="L112" s="8" t="s">
        <v>214</v>
      </c>
      <c r="M112" s="8" t="s">
        <v>186</v>
      </c>
      <c r="N112" s="8" t="s">
        <v>44</v>
      </c>
      <c r="O112" s="8" t="s">
        <v>44</v>
      </c>
    </row>
    <row r="113" spans="1:15">
      <c r="A113" s="8" t="s">
        <v>1059</v>
      </c>
      <c r="B113" s="8" t="s">
        <v>1060</v>
      </c>
      <c r="C113" s="8" t="s">
        <v>225</v>
      </c>
      <c r="D113" s="8" t="s">
        <v>98</v>
      </c>
      <c r="E113" s="8" t="s">
        <v>22</v>
      </c>
      <c r="F113" s="8" t="s">
        <v>237</v>
      </c>
      <c r="G113" s="8" t="s">
        <v>201</v>
      </c>
      <c r="H113" s="8" t="s">
        <v>44</v>
      </c>
      <c r="I113" s="8" t="s">
        <v>202</v>
      </c>
      <c r="J113" s="8" t="s">
        <v>301</v>
      </c>
      <c r="K113" s="8" t="s">
        <v>203</v>
      </c>
      <c r="L113" s="8" t="s">
        <v>214</v>
      </c>
      <c r="M113" s="8" t="s">
        <v>186</v>
      </c>
      <c r="N113" s="8" t="s">
        <v>44</v>
      </c>
      <c r="O113" s="8" t="s">
        <v>44</v>
      </c>
    </row>
    <row r="114" spans="1:15">
      <c r="A114" s="8" t="s">
        <v>1062</v>
      </c>
      <c r="B114" s="8" t="s">
        <v>1063</v>
      </c>
      <c r="C114" s="8" t="s">
        <v>225</v>
      </c>
      <c r="D114" s="8" t="s">
        <v>98</v>
      </c>
      <c r="E114" s="8" t="s">
        <v>22</v>
      </c>
      <c r="F114" s="8" t="s">
        <v>237</v>
      </c>
      <c r="G114" s="8" t="s">
        <v>201</v>
      </c>
      <c r="H114" s="8" t="s">
        <v>44</v>
      </c>
      <c r="I114" s="8" t="s">
        <v>202</v>
      </c>
      <c r="J114" s="8" t="s">
        <v>301</v>
      </c>
      <c r="K114" s="8" t="s">
        <v>203</v>
      </c>
      <c r="L114" s="8" t="s">
        <v>214</v>
      </c>
      <c r="M114" s="8" t="s">
        <v>186</v>
      </c>
      <c r="N114" s="8" t="s">
        <v>44</v>
      </c>
      <c r="O114" s="8" t="s">
        <v>44</v>
      </c>
    </row>
    <row r="115" spans="1:15">
      <c r="A115" s="8" t="s">
        <v>1065</v>
      </c>
      <c r="B115" s="8" t="s">
        <v>1066</v>
      </c>
      <c r="C115" s="8" t="s">
        <v>225</v>
      </c>
      <c r="D115" s="8" t="s">
        <v>98</v>
      </c>
      <c r="E115" s="8" t="s">
        <v>22</v>
      </c>
      <c r="F115" s="8" t="s">
        <v>237</v>
      </c>
      <c r="G115" s="8" t="s">
        <v>201</v>
      </c>
      <c r="H115" s="8" t="s">
        <v>44</v>
      </c>
      <c r="I115" s="8" t="s">
        <v>202</v>
      </c>
      <c r="J115" s="8" t="s">
        <v>301</v>
      </c>
      <c r="K115" s="8" t="s">
        <v>203</v>
      </c>
      <c r="L115" s="8" t="s">
        <v>214</v>
      </c>
      <c r="M115" s="8" t="s">
        <v>186</v>
      </c>
      <c r="N115" s="8" t="s">
        <v>44</v>
      </c>
      <c r="O115" s="8" t="s">
        <v>44</v>
      </c>
    </row>
    <row r="116" spans="1:15">
      <c r="A116" s="8" t="s">
        <v>1068</v>
      </c>
      <c r="B116" s="8" t="s">
        <v>1069</v>
      </c>
      <c r="C116" s="8" t="s">
        <v>225</v>
      </c>
      <c r="D116" s="8" t="s">
        <v>98</v>
      </c>
      <c r="E116" s="8" t="s">
        <v>22</v>
      </c>
      <c r="F116" s="8" t="s">
        <v>237</v>
      </c>
      <c r="G116" s="8" t="s">
        <v>201</v>
      </c>
      <c r="H116" s="8" t="s">
        <v>44</v>
      </c>
      <c r="I116" s="8" t="s">
        <v>202</v>
      </c>
      <c r="J116" s="8" t="s">
        <v>301</v>
      </c>
      <c r="K116" s="8" t="s">
        <v>203</v>
      </c>
      <c r="L116" s="8" t="s">
        <v>214</v>
      </c>
      <c r="M116" s="8" t="s">
        <v>186</v>
      </c>
      <c r="N116" s="8" t="s">
        <v>44</v>
      </c>
      <c r="O116" s="8" t="s">
        <v>44</v>
      </c>
    </row>
    <row r="117" spans="1:15">
      <c r="A117" s="8" t="s">
        <v>1071</v>
      </c>
      <c r="B117" s="8" t="s">
        <v>1072</v>
      </c>
      <c r="C117" s="8" t="s">
        <v>225</v>
      </c>
      <c r="D117" s="8" t="s">
        <v>98</v>
      </c>
      <c r="E117" s="8" t="s">
        <v>22</v>
      </c>
      <c r="F117" s="8" t="s">
        <v>237</v>
      </c>
      <c r="G117" s="8" t="s">
        <v>201</v>
      </c>
      <c r="H117" s="8" t="s">
        <v>44</v>
      </c>
      <c r="I117" s="8" t="s">
        <v>202</v>
      </c>
      <c r="J117" s="8" t="s">
        <v>301</v>
      </c>
      <c r="K117" s="8" t="s">
        <v>203</v>
      </c>
      <c r="L117" s="8" t="s">
        <v>214</v>
      </c>
      <c r="M117" s="8" t="s">
        <v>186</v>
      </c>
      <c r="N117" s="8" t="s">
        <v>44</v>
      </c>
      <c r="O117" s="8" t="s">
        <v>44</v>
      </c>
    </row>
    <row r="118" spans="1:15">
      <c r="A118" s="8" t="s">
        <v>1534</v>
      </c>
      <c r="B118" s="8" t="s">
        <v>1535</v>
      </c>
      <c r="C118" s="8" t="s">
        <v>186</v>
      </c>
      <c r="D118" s="8" t="s">
        <v>98</v>
      </c>
      <c r="E118" s="8" t="s">
        <v>22</v>
      </c>
      <c r="F118" s="8" t="s">
        <v>237</v>
      </c>
      <c r="G118" s="8" t="s">
        <v>300</v>
      </c>
      <c r="H118" s="8" t="s">
        <v>44</v>
      </c>
      <c r="I118" s="8" t="s">
        <v>202</v>
      </c>
      <c r="J118" s="8" t="s">
        <v>301</v>
      </c>
      <c r="K118" s="8" t="s">
        <v>203</v>
      </c>
      <c r="L118" s="8" t="s">
        <v>302</v>
      </c>
      <c r="M118" s="8" t="s">
        <v>1536</v>
      </c>
      <c r="N118" s="8" t="s">
        <v>44</v>
      </c>
      <c r="O118" s="8" t="s">
        <v>44</v>
      </c>
    </row>
    <row r="119" spans="1:15">
      <c r="A119" s="8" t="s">
        <v>1537</v>
      </c>
      <c r="B119" s="8" t="s">
        <v>1538</v>
      </c>
      <c r="C119" s="8" t="s">
        <v>186</v>
      </c>
      <c r="D119" s="8" t="s">
        <v>98</v>
      </c>
      <c r="E119" s="8" t="s">
        <v>22</v>
      </c>
      <c r="F119" s="8" t="s">
        <v>237</v>
      </c>
      <c r="G119" s="8" t="s">
        <v>300</v>
      </c>
      <c r="H119" s="8" t="s">
        <v>44</v>
      </c>
      <c r="I119" s="8" t="s">
        <v>202</v>
      </c>
      <c r="J119" s="8" t="s">
        <v>301</v>
      </c>
      <c r="K119" s="8" t="s">
        <v>203</v>
      </c>
      <c r="L119" s="8" t="s">
        <v>365</v>
      </c>
      <c r="M119" s="8" t="s">
        <v>1539</v>
      </c>
      <c r="N119" s="8" t="s">
        <v>44</v>
      </c>
      <c r="O119" s="8" t="s">
        <v>44</v>
      </c>
    </row>
    <row r="120" spans="1:15">
      <c r="A120" s="8" t="s">
        <v>412</v>
      </c>
      <c r="B120" s="8" t="s">
        <v>413</v>
      </c>
      <c r="C120" s="8" t="s">
        <v>186</v>
      </c>
      <c r="D120" s="8" t="s">
        <v>98</v>
      </c>
      <c r="E120" s="8" t="s">
        <v>22</v>
      </c>
      <c r="F120" s="8" t="s">
        <v>237</v>
      </c>
      <c r="G120" s="8" t="s">
        <v>300</v>
      </c>
      <c r="H120" s="8" t="s">
        <v>44</v>
      </c>
      <c r="I120" s="8" t="s">
        <v>202</v>
      </c>
      <c r="J120" s="8" t="s">
        <v>301</v>
      </c>
      <c r="K120" s="8" t="s">
        <v>203</v>
      </c>
      <c r="L120" s="8" t="s">
        <v>365</v>
      </c>
      <c r="M120" s="8" t="s">
        <v>208</v>
      </c>
      <c r="N120" s="8" t="s">
        <v>44</v>
      </c>
      <c r="O120" s="8" t="s">
        <v>44</v>
      </c>
    </row>
    <row r="121" spans="1:15">
      <c r="A121" s="8" t="s">
        <v>414</v>
      </c>
      <c r="B121" s="8" t="s">
        <v>415</v>
      </c>
      <c r="C121" s="8" t="s">
        <v>186</v>
      </c>
      <c r="D121" s="8" t="s">
        <v>98</v>
      </c>
      <c r="E121" s="8" t="s">
        <v>22</v>
      </c>
      <c r="F121" s="8" t="s">
        <v>237</v>
      </c>
      <c r="G121" s="8" t="s">
        <v>300</v>
      </c>
      <c r="H121" s="8" t="s">
        <v>44</v>
      </c>
      <c r="I121" s="8" t="s">
        <v>202</v>
      </c>
      <c r="J121" s="8" t="s">
        <v>301</v>
      </c>
      <c r="K121" s="8" t="s">
        <v>203</v>
      </c>
      <c r="L121" s="8" t="s">
        <v>365</v>
      </c>
      <c r="M121" s="8" t="s">
        <v>208</v>
      </c>
      <c r="N121" s="8" t="s">
        <v>44</v>
      </c>
      <c r="O121" s="8" t="s">
        <v>44</v>
      </c>
    </row>
    <row r="122" spans="1:15">
      <c r="A122" s="8" t="s">
        <v>416</v>
      </c>
      <c r="B122" s="8" t="s">
        <v>417</v>
      </c>
      <c r="C122" s="8" t="s">
        <v>186</v>
      </c>
      <c r="D122" s="8" t="s">
        <v>98</v>
      </c>
      <c r="E122" s="8" t="s">
        <v>22</v>
      </c>
      <c r="F122" s="8" t="s">
        <v>237</v>
      </c>
      <c r="G122" s="8" t="s">
        <v>300</v>
      </c>
      <c r="H122" s="8" t="s">
        <v>44</v>
      </c>
      <c r="I122" s="8" t="s">
        <v>202</v>
      </c>
      <c r="J122" s="8" t="s">
        <v>301</v>
      </c>
      <c r="K122" s="8" t="s">
        <v>203</v>
      </c>
      <c r="L122" s="8" t="s">
        <v>365</v>
      </c>
      <c r="M122" s="8" t="s">
        <v>208</v>
      </c>
      <c r="N122" s="8" t="s">
        <v>44</v>
      </c>
      <c r="O122" s="8" t="s">
        <v>44</v>
      </c>
    </row>
    <row r="123" spans="1:15">
      <c r="A123" s="8" t="s">
        <v>418</v>
      </c>
      <c r="B123" s="8" t="s">
        <v>419</v>
      </c>
      <c r="C123" s="8" t="s">
        <v>186</v>
      </c>
      <c r="D123" s="8" t="s">
        <v>98</v>
      </c>
      <c r="E123" s="8" t="s">
        <v>22</v>
      </c>
      <c r="F123" s="8" t="s">
        <v>237</v>
      </c>
      <c r="G123" s="8" t="s">
        <v>300</v>
      </c>
      <c r="H123" s="8" t="s">
        <v>44</v>
      </c>
      <c r="I123" s="8" t="s">
        <v>202</v>
      </c>
      <c r="J123" s="8" t="s">
        <v>301</v>
      </c>
      <c r="K123" s="8" t="s">
        <v>203</v>
      </c>
      <c r="L123" s="8" t="s">
        <v>365</v>
      </c>
      <c r="M123" s="8" t="s">
        <v>366</v>
      </c>
      <c r="N123" s="8" t="s">
        <v>44</v>
      </c>
      <c r="O123" s="8" t="s">
        <v>44</v>
      </c>
    </row>
    <row r="124" spans="1:15">
      <c r="A124" s="8" t="s">
        <v>813</v>
      </c>
      <c r="B124" s="8" t="s">
        <v>814</v>
      </c>
      <c r="C124" s="8" t="s">
        <v>186</v>
      </c>
      <c r="D124" s="8" t="s">
        <v>98</v>
      </c>
      <c r="E124" s="8" t="s">
        <v>22</v>
      </c>
      <c r="F124" s="8" t="s">
        <v>237</v>
      </c>
      <c r="G124" s="8" t="s">
        <v>300</v>
      </c>
      <c r="H124" s="8" t="s">
        <v>44</v>
      </c>
      <c r="I124" s="8" t="s">
        <v>202</v>
      </c>
      <c r="J124" s="8" t="s">
        <v>301</v>
      </c>
      <c r="K124" s="8" t="s">
        <v>203</v>
      </c>
      <c r="L124" s="8" t="s">
        <v>365</v>
      </c>
      <c r="M124" s="8" t="s">
        <v>1540</v>
      </c>
      <c r="N124" s="8" t="s">
        <v>44</v>
      </c>
      <c r="O124" s="8" t="s">
        <v>44</v>
      </c>
    </row>
    <row r="125" spans="1:15">
      <c r="A125" s="8" t="s">
        <v>823</v>
      </c>
      <c r="B125" s="8" t="s">
        <v>824</v>
      </c>
      <c r="C125" s="8" t="s">
        <v>186</v>
      </c>
      <c r="D125" s="8" t="s">
        <v>98</v>
      </c>
      <c r="E125" s="8" t="s">
        <v>22</v>
      </c>
      <c r="F125" s="8" t="s">
        <v>237</v>
      </c>
      <c r="G125" s="8" t="s">
        <v>300</v>
      </c>
      <c r="H125" s="8" t="s">
        <v>44</v>
      </c>
      <c r="I125" s="8" t="s">
        <v>202</v>
      </c>
      <c r="J125" s="8" t="s">
        <v>301</v>
      </c>
      <c r="K125" s="8" t="s">
        <v>203</v>
      </c>
      <c r="L125" s="8" t="s">
        <v>470</v>
      </c>
      <c r="M125" s="8" t="s">
        <v>481</v>
      </c>
      <c r="N125" s="8" t="s">
        <v>44</v>
      </c>
      <c r="O125" s="8" t="s">
        <v>44</v>
      </c>
    </row>
    <row r="126" spans="1:15">
      <c r="A126" s="8" t="s">
        <v>826</v>
      </c>
      <c r="B126" s="8" t="s">
        <v>827</v>
      </c>
      <c r="C126" s="8" t="s">
        <v>186</v>
      </c>
      <c r="D126" s="8" t="s">
        <v>98</v>
      </c>
      <c r="E126" s="8" t="s">
        <v>22</v>
      </c>
      <c r="F126" s="8" t="s">
        <v>237</v>
      </c>
      <c r="G126" s="8" t="s">
        <v>300</v>
      </c>
      <c r="H126" s="8" t="s">
        <v>44</v>
      </c>
      <c r="I126" s="8" t="s">
        <v>202</v>
      </c>
      <c r="J126" s="8" t="s">
        <v>301</v>
      </c>
      <c r="K126" s="8" t="s">
        <v>203</v>
      </c>
      <c r="L126" s="8" t="s">
        <v>365</v>
      </c>
      <c r="M126" s="8" t="s">
        <v>1539</v>
      </c>
      <c r="N126" s="8" t="s">
        <v>44</v>
      </c>
      <c r="O126" s="8" t="s">
        <v>44</v>
      </c>
    </row>
    <row r="127" spans="1:15">
      <c r="A127" s="8" t="s">
        <v>279</v>
      </c>
      <c r="B127" s="8" t="s">
        <v>420</v>
      </c>
      <c r="C127" s="8" t="s">
        <v>186</v>
      </c>
      <c r="D127" s="8" t="s">
        <v>98</v>
      </c>
      <c r="E127" s="8" t="s">
        <v>66</v>
      </c>
      <c r="F127" s="8" t="s">
        <v>237</v>
      </c>
      <c r="G127" s="8" t="s">
        <v>300</v>
      </c>
      <c r="H127" s="8" t="s">
        <v>44</v>
      </c>
      <c r="I127" s="8" t="s">
        <v>202</v>
      </c>
      <c r="J127" s="8" t="s">
        <v>301</v>
      </c>
      <c r="K127" s="8" t="s">
        <v>203</v>
      </c>
      <c r="L127" s="8" t="s">
        <v>421</v>
      </c>
      <c r="M127" s="8" t="s">
        <v>422</v>
      </c>
      <c r="N127" s="8" t="s">
        <v>44</v>
      </c>
      <c r="O127" s="8" t="s">
        <v>44</v>
      </c>
    </row>
    <row r="128" spans="1:15">
      <c r="A128" s="8" t="s">
        <v>280</v>
      </c>
      <c r="B128" s="8" t="s">
        <v>423</v>
      </c>
      <c r="C128" s="8" t="s">
        <v>186</v>
      </c>
      <c r="D128" s="8" t="s">
        <v>98</v>
      </c>
      <c r="E128" s="8" t="s">
        <v>66</v>
      </c>
      <c r="F128" s="8" t="s">
        <v>237</v>
      </c>
      <c r="G128" s="8" t="s">
        <v>300</v>
      </c>
      <c r="H128" s="8" t="s">
        <v>44</v>
      </c>
      <c r="I128" s="8" t="s">
        <v>202</v>
      </c>
      <c r="J128" s="8" t="s">
        <v>301</v>
      </c>
      <c r="K128" s="8" t="s">
        <v>203</v>
      </c>
      <c r="L128" s="8" t="s">
        <v>421</v>
      </c>
      <c r="M128" s="8" t="s">
        <v>422</v>
      </c>
      <c r="N128" s="8" t="s">
        <v>44</v>
      </c>
      <c r="O128" s="8" t="s">
        <v>44</v>
      </c>
    </row>
    <row r="129" spans="1:15">
      <c r="A129" s="8" t="s">
        <v>281</v>
      </c>
      <c r="B129" s="8" t="s">
        <v>424</v>
      </c>
      <c r="C129" s="8" t="s">
        <v>97</v>
      </c>
      <c r="D129" s="8" t="s">
        <v>82</v>
      </c>
      <c r="E129" s="8" t="s">
        <v>22</v>
      </c>
      <c r="F129" s="8" t="s">
        <v>237</v>
      </c>
      <c r="G129" s="8" t="s">
        <v>201</v>
      </c>
      <c r="H129" s="8" t="s">
        <v>44</v>
      </c>
      <c r="I129" s="8" t="s">
        <v>202</v>
      </c>
      <c r="J129" s="8" t="s">
        <v>301</v>
      </c>
      <c r="K129" s="8" t="s">
        <v>203</v>
      </c>
      <c r="L129" s="8" t="s">
        <v>214</v>
      </c>
      <c r="M129" s="8" t="s">
        <v>425</v>
      </c>
      <c r="N129" s="8" t="s">
        <v>44</v>
      </c>
      <c r="O129" s="8" t="s">
        <v>44</v>
      </c>
    </row>
    <row r="130" spans="1:15">
      <c r="A130" s="8" t="s">
        <v>522</v>
      </c>
      <c r="B130" s="8" t="s">
        <v>523</v>
      </c>
      <c r="C130" s="8" t="s">
        <v>97</v>
      </c>
      <c r="D130" s="8" t="s">
        <v>82</v>
      </c>
      <c r="E130" s="8" t="s">
        <v>22</v>
      </c>
      <c r="F130" s="8" t="s">
        <v>237</v>
      </c>
      <c r="G130" s="8" t="s">
        <v>201</v>
      </c>
      <c r="H130" s="8" t="s">
        <v>44</v>
      </c>
      <c r="I130" s="8" t="s">
        <v>202</v>
      </c>
      <c r="J130" s="8" t="s">
        <v>301</v>
      </c>
      <c r="K130" s="8" t="s">
        <v>203</v>
      </c>
      <c r="L130" s="8" t="s">
        <v>214</v>
      </c>
      <c r="M130" s="8" t="s">
        <v>425</v>
      </c>
      <c r="N130" s="8" t="s">
        <v>44</v>
      </c>
      <c r="O130" s="8" t="s">
        <v>44</v>
      </c>
    </row>
    <row r="131" spans="1:15">
      <c r="A131" s="8" t="s">
        <v>1074</v>
      </c>
      <c r="B131" s="8" t="s">
        <v>1075</v>
      </c>
      <c r="C131" s="8" t="s">
        <v>97</v>
      </c>
      <c r="D131" s="8" t="s">
        <v>82</v>
      </c>
      <c r="E131" s="8" t="s">
        <v>22</v>
      </c>
      <c r="F131" s="8" t="s">
        <v>237</v>
      </c>
      <c r="G131" s="8" t="s">
        <v>201</v>
      </c>
      <c r="H131" s="8" t="s">
        <v>44</v>
      </c>
      <c r="I131" s="8" t="s">
        <v>202</v>
      </c>
      <c r="J131" s="8" t="s">
        <v>301</v>
      </c>
      <c r="K131" s="8" t="s">
        <v>203</v>
      </c>
      <c r="L131" s="8" t="s">
        <v>214</v>
      </c>
      <c r="M131" s="8" t="s">
        <v>211</v>
      </c>
      <c r="N131" s="8" t="s">
        <v>44</v>
      </c>
      <c r="O131" s="8" t="s">
        <v>44</v>
      </c>
    </row>
    <row r="132" spans="1:15">
      <c r="A132" s="8" t="s">
        <v>282</v>
      </c>
      <c r="B132" s="8" t="s">
        <v>426</v>
      </c>
      <c r="C132" s="8" t="s">
        <v>186</v>
      </c>
      <c r="D132" s="8" t="s">
        <v>98</v>
      </c>
      <c r="E132" s="8" t="s">
        <v>66</v>
      </c>
      <c r="F132" s="8" t="s">
        <v>237</v>
      </c>
      <c r="G132" s="8" t="s">
        <v>300</v>
      </c>
      <c r="H132" s="8" t="s">
        <v>44</v>
      </c>
      <c r="I132" s="8" t="s">
        <v>202</v>
      </c>
      <c r="J132" s="8" t="s">
        <v>301</v>
      </c>
      <c r="K132" s="8" t="s">
        <v>203</v>
      </c>
      <c r="L132" s="8" t="s">
        <v>421</v>
      </c>
      <c r="M132" s="8" t="s">
        <v>422</v>
      </c>
      <c r="N132" s="8" t="s">
        <v>44</v>
      </c>
      <c r="O132" s="8" t="s">
        <v>44</v>
      </c>
    </row>
    <row r="133" spans="1:15">
      <c r="A133" s="8" t="s">
        <v>427</v>
      </c>
      <c r="B133" s="8" t="s">
        <v>428</v>
      </c>
      <c r="C133" s="8" t="s">
        <v>186</v>
      </c>
      <c r="D133" s="8" t="s">
        <v>98</v>
      </c>
      <c r="E133" s="8" t="s">
        <v>66</v>
      </c>
      <c r="F133" s="8" t="s">
        <v>237</v>
      </c>
      <c r="G133" s="8" t="s">
        <v>300</v>
      </c>
      <c r="H133" s="8" t="s">
        <v>44</v>
      </c>
      <c r="I133" s="8" t="s">
        <v>202</v>
      </c>
      <c r="J133" s="8" t="s">
        <v>301</v>
      </c>
      <c r="K133" s="8" t="s">
        <v>203</v>
      </c>
      <c r="L133" s="8" t="s">
        <v>421</v>
      </c>
      <c r="M133" s="8" t="s">
        <v>422</v>
      </c>
      <c r="N133" s="8" t="s">
        <v>44</v>
      </c>
      <c r="O133" s="8" t="s">
        <v>44</v>
      </c>
    </row>
    <row r="134" spans="1:15">
      <c r="A134" s="8" t="s">
        <v>626</v>
      </c>
      <c r="B134" s="8" t="s">
        <v>627</v>
      </c>
      <c r="C134" s="8" t="s">
        <v>97</v>
      </c>
      <c r="D134" s="8" t="s">
        <v>82</v>
      </c>
      <c r="E134" s="8" t="s">
        <v>22</v>
      </c>
      <c r="F134" s="8" t="s">
        <v>237</v>
      </c>
      <c r="G134" s="8" t="s">
        <v>201</v>
      </c>
      <c r="H134" s="8" t="s">
        <v>44</v>
      </c>
      <c r="I134" s="8" t="s">
        <v>202</v>
      </c>
      <c r="J134" s="8" t="s">
        <v>301</v>
      </c>
      <c r="K134" s="8" t="s">
        <v>203</v>
      </c>
      <c r="L134" s="8" t="s">
        <v>214</v>
      </c>
      <c r="M134" s="8" t="s">
        <v>1539</v>
      </c>
      <c r="N134" s="8" t="s">
        <v>44</v>
      </c>
      <c r="O134" s="8" t="s">
        <v>44</v>
      </c>
    </row>
    <row r="135" spans="1:15">
      <c r="A135" s="8" t="s">
        <v>429</v>
      </c>
      <c r="B135" s="8" t="s">
        <v>430</v>
      </c>
      <c r="C135" s="8" t="s">
        <v>97</v>
      </c>
      <c r="D135" s="8" t="s">
        <v>82</v>
      </c>
      <c r="E135" s="8" t="s">
        <v>22</v>
      </c>
      <c r="F135" s="8" t="s">
        <v>237</v>
      </c>
      <c r="G135" s="8" t="s">
        <v>201</v>
      </c>
      <c r="H135" s="8" t="s">
        <v>44</v>
      </c>
      <c r="I135" s="8" t="s">
        <v>202</v>
      </c>
      <c r="J135" s="8" t="s">
        <v>301</v>
      </c>
      <c r="K135" s="8" t="s">
        <v>203</v>
      </c>
      <c r="L135" s="8" t="s">
        <v>214</v>
      </c>
      <c r="M135" s="8" t="s">
        <v>232</v>
      </c>
      <c r="N135" s="8" t="s">
        <v>44</v>
      </c>
      <c r="O135" s="8" t="s">
        <v>44</v>
      </c>
    </row>
    <row r="136" spans="1:15">
      <c r="A136" s="8" t="s">
        <v>431</v>
      </c>
      <c r="B136" s="8" t="s">
        <v>432</v>
      </c>
      <c r="C136" s="8" t="s">
        <v>97</v>
      </c>
      <c r="D136" s="8" t="s">
        <v>82</v>
      </c>
      <c r="E136" s="8" t="s">
        <v>22</v>
      </c>
      <c r="F136" s="8" t="s">
        <v>237</v>
      </c>
      <c r="G136" s="8" t="s">
        <v>201</v>
      </c>
      <c r="H136" s="8" t="s">
        <v>44</v>
      </c>
      <c r="I136" s="8" t="s">
        <v>202</v>
      </c>
      <c r="J136" s="8" t="s">
        <v>301</v>
      </c>
      <c r="K136" s="8" t="s">
        <v>203</v>
      </c>
      <c r="L136" s="8" t="s">
        <v>214</v>
      </c>
      <c r="M136" s="8" t="s">
        <v>232</v>
      </c>
      <c r="N136" s="8" t="s">
        <v>44</v>
      </c>
      <c r="O136" s="8" t="s">
        <v>44</v>
      </c>
    </row>
    <row r="137" spans="1:15">
      <c r="A137" s="8" t="s">
        <v>433</v>
      </c>
      <c r="B137" s="8" t="s">
        <v>434</v>
      </c>
      <c r="C137" s="8" t="s">
        <v>97</v>
      </c>
      <c r="D137" s="8" t="s">
        <v>82</v>
      </c>
      <c r="E137" s="8" t="s">
        <v>22</v>
      </c>
      <c r="F137" s="8" t="s">
        <v>237</v>
      </c>
      <c r="G137" s="8" t="s">
        <v>201</v>
      </c>
      <c r="H137" s="8" t="s">
        <v>44</v>
      </c>
      <c r="I137" s="8" t="s">
        <v>202</v>
      </c>
      <c r="J137" s="8" t="s">
        <v>301</v>
      </c>
      <c r="K137" s="8" t="s">
        <v>203</v>
      </c>
      <c r="L137" s="8" t="s">
        <v>214</v>
      </c>
      <c r="M137" s="8" t="s">
        <v>232</v>
      </c>
      <c r="N137" s="8" t="s">
        <v>44</v>
      </c>
      <c r="O137" s="8" t="s">
        <v>44</v>
      </c>
    </row>
    <row r="138" spans="1:15">
      <c r="A138" s="8" t="s">
        <v>435</v>
      </c>
      <c r="B138" s="8" t="s">
        <v>436</v>
      </c>
      <c r="C138" s="8" t="s">
        <v>97</v>
      </c>
      <c r="D138" s="8" t="s">
        <v>82</v>
      </c>
      <c r="E138" s="8" t="s">
        <v>22</v>
      </c>
      <c r="F138" s="8" t="s">
        <v>237</v>
      </c>
      <c r="G138" s="8" t="s">
        <v>201</v>
      </c>
      <c r="H138" s="8" t="s">
        <v>44</v>
      </c>
      <c r="I138" s="8" t="s">
        <v>202</v>
      </c>
      <c r="J138" s="8" t="s">
        <v>301</v>
      </c>
      <c r="K138" s="8" t="s">
        <v>203</v>
      </c>
      <c r="L138" s="8" t="s">
        <v>214</v>
      </c>
      <c r="M138" s="8" t="s">
        <v>232</v>
      </c>
      <c r="N138" s="8" t="s">
        <v>44</v>
      </c>
      <c r="O138" s="8" t="s">
        <v>44</v>
      </c>
    </row>
    <row r="139" spans="1:15">
      <c r="A139" s="8" t="s">
        <v>437</v>
      </c>
      <c r="B139" s="8" t="s">
        <v>438</v>
      </c>
      <c r="C139" s="8" t="s">
        <v>97</v>
      </c>
      <c r="D139" s="8" t="s">
        <v>82</v>
      </c>
      <c r="E139" s="8" t="s">
        <v>22</v>
      </c>
      <c r="F139" s="8" t="s">
        <v>237</v>
      </c>
      <c r="G139" s="8" t="s">
        <v>201</v>
      </c>
      <c r="H139" s="8" t="s">
        <v>44</v>
      </c>
      <c r="I139" s="8" t="s">
        <v>202</v>
      </c>
      <c r="J139" s="8" t="s">
        <v>301</v>
      </c>
      <c r="K139" s="8" t="s">
        <v>203</v>
      </c>
      <c r="L139" s="8" t="s">
        <v>214</v>
      </c>
      <c r="M139" s="8" t="s">
        <v>232</v>
      </c>
      <c r="N139" s="8" t="s">
        <v>44</v>
      </c>
      <c r="O139" s="8" t="s">
        <v>44</v>
      </c>
    </row>
    <row r="140" spans="1:15">
      <c r="A140" s="8" t="s">
        <v>439</v>
      </c>
      <c r="B140" s="8" t="s">
        <v>440</v>
      </c>
      <c r="C140" s="8" t="s">
        <v>97</v>
      </c>
      <c r="D140" s="8" t="s">
        <v>82</v>
      </c>
      <c r="E140" s="8" t="s">
        <v>22</v>
      </c>
      <c r="F140" s="8" t="s">
        <v>237</v>
      </c>
      <c r="G140" s="8" t="s">
        <v>201</v>
      </c>
      <c r="H140" s="8" t="s">
        <v>44</v>
      </c>
      <c r="I140" s="8" t="s">
        <v>202</v>
      </c>
      <c r="J140" s="8" t="s">
        <v>301</v>
      </c>
      <c r="K140" s="8" t="s">
        <v>203</v>
      </c>
      <c r="L140" s="8" t="s">
        <v>214</v>
      </c>
      <c r="M140" s="8" t="s">
        <v>232</v>
      </c>
      <c r="N140" s="8" t="s">
        <v>44</v>
      </c>
      <c r="O140" s="8" t="s">
        <v>44</v>
      </c>
    </row>
    <row r="141" spans="1:15">
      <c r="A141" s="8" t="s">
        <v>441</v>
      </c>
      <c r="B141" s="8" t="s">
        <v>442</v>
      </c>
      <c r="C141" s="8" t="s">
        <v>97</v>
      </c>
      <c r="D141" s="8" t="s">
        <v>82</v>
      </c>
      <c r="E141" s="8" t="s">
        <v>22</v>
      </c>
      <c r="F141" s="8" t="s">
        <v>237</v>
      </c>
      <c r="G141" s="8" t="s">
        <v>201</v>
      </c>
      <c r="H141" s="8" t="s">
        <v>44</v>
      </c>
      <c r="I141" s="8" t="s">
        <v>202</v>
      </c>
      <c r="J141" s="8" t="s">
        <v>301</v>
      </c>
      <c r="K141" s="8" t="s">
        <v>203</v>
      </c>
      <c r="L141" s="8" t="s">
        <v>214</v>
      </c>
      <c r="M141" s="8" t="s">
        <v>232</v>
      </c>
      <c r="N141" s="8" t="s">
        <v>44</v>
      </c>
      <c r="O141" s="8" t="s">
        <v>44</v>
      </c>
    </row>
    <row r="142" spans="1:15">
      <c r="A142" s="8" t="s">
        <v>443</v>
      </c>
      <c r="B142" s="8" t="s">
        <v>444</v>
      </c>
      <c r="C142" s="8" t="s">
        <v>97</v>
      </c>
      <c r="D142" s="8" t="s">
        <v>82</v>
      </c>
      <c r="E142" s="8" t="s">
        <v>22</v>
      </c>
      <c r="F142" s="8" t="s">
        <v>237</v>
      </c>
      <c r="G142" s="8" t="s">
        <v>201</v>
      </c>
      <c r="H142" s="8" t="s">
        <v>44</v>
      </c>
      <c r="I142" s="8" t="s">
        <v>202</v>
      </c>
      <c r="J142" s="8" t="s">
        <v>301</v>
      </c>
      <c r="K142" s="8" t="s">
        <v>203</v>
      </c>
      <c r="L142" s="8" t="s">
        <v>214</v>
      </c>
      <c r="M142" s="8" t="s">
        <v>232</v>
      </c>
      <c r="N142" s="8" t="s">
        <v>44</v>
      </c>
      <c r="O142" s="8" t="s">
        <v>44</v>
      </c>
    </row>
    <row r="143" spans="1:15">
      <c r="A143" s="8" t="s">
        <v>283</v>
      </c>
      <c r="B143" s="8" t="s">
        <v>445</v>
      </c>
      <c r="C143" s="8" t="s">
        <v>97</v>
      </c>
      <c r="D143" s="8" t="s">
        <v>82</v>
      </c>
      <c r="E143" s="8" t="s">
        <v>22</v>
      </c>
      <c r="F143" s="8" t="s">
        <v>237</v>
      </c>
      <c r="G143" s="8" t="s">
        <v>201</v>
      </c>
      <c r="H143" s="8" t="s">
        <v>44</v>
      </c>
      <c r="I143" s="8" t="s">
        <v>202</v>
      </c>
      <c r="J143" s="8" t="s">
        <v>301</v>
      </c>
      <c r="K143" s="8" t="s">
        <v>203</v>
      </c>
      <c r="L143" s="8" t="s">
        <v>214</v>
      </c>
      <c r="M143" s="8" t="s">
        <v>232</v>
      </c>
      <c r="N143" s="8" t="s">
        <v>44</v>
      </c>
      <c r="O143" s="8" t="s">
        <v>44</v>
      </c>
    </row>
    <row r="144" spans="1:15">
      <c r="A144" s="8" t="s">
        <v>284</v>
      </c>
      <c r="B144" s="8" t="s">
        <v>446</v>
      </c>
      <c r="C144" s="8" t="s">
        <v>97</v>
      </c>
      <c r="D144" s="8" t="s">
        <v>82</v>
      </c>
      <c r="E144" s="8" t="s">
        <v>22</v>
      </c>
      <c r="F144" s="8" t="s">
        <v>237</v>
      </c>
      <c r="G144" s="8" t="s">
        <v>201</v>
      </c>
      <c r="H144" s="8" t="s">
        <v>44</v>
      </c>
      <c r="I144" s="8" t="s">
        <v>202</v>
      </c>
      <c r="J144" s="8" t="s">
        <v>301</v>
      </c>
      <c r="K144" s="8" t="s">
        <v>203</v>
      </c>
      <c r="L144" s="8" t="s">
        <v>214</v>
      </c>
      <c r="M144" s="8" t="s">
        <v>232</v>
      </c>
      <c r="N144" s="8" t="s">
        <v>44</v>
      </c>
      <c r="O144" s="8" t="s">
        <v>44</v>
      </c>
    </row>
    <row r="145" spans="1:15">
      <c r="A145" s="8" t="s">
        <v>447</v>
      </c>
      <c r="B145" s="8" t="s">
        <v>448</v>
      </c>
      <c r="C145" s="8" t="s">
        <v>97</v>
      </c>
      <c r="D145" s="8" t="s">
        <v>82</v>
      </c>
      <c r="E145" s="8" t="s">
        <v>22</v>
      </c>
      <c r="F145" s="8" t="s">
        <v>237</v>
      </c>
      <c r="G145" s="8" t="s">
        <v>201</v>
      </c>
      <c r="H145" s="8" t="s">
        <v>44</v>
      </c>
      <c r="I145" s="8" t="s">
        <v>202</v>
      </c>
      <c r="J145" s="8" t="s">
        <v>301</v>
      </c>
      <c r="K145" s="8" t="s">
        <v>203</v>
      </c>
      <c r="L145" s="8" t="s">
        <v>214</v>
      </c>
      <c r="M145" s="8" t="s">
        <v>232</v>
      </c>
      <c r="N145" s="8" t="s">
        <v>44</v>
      </c>
      <c r="O145" s="8" t="s">
        <v>44</v>
      </c>
    </row>
    <row r="146" spans="1:15">
      <c r="A146" s="8" t="s">
        <v>449</v>
      </c>
      <c r="B146" s="8" t="s">
        <v>450</v>
      </c>
      <c r="C146" s="8" t="s">
        <v>97</v>
      </c>
      <c r="D146" s="8" t="s">
        <v>82</v>
      </c>
      <c r="E146" s="8" t="s">
        <v>22</v>
      </c>
      <c r="F146" s="8" t="s">
        <v>237</v>
      </c>
      <c r="G146" s="8" t="s">
        <v>201</v>
      </c>
      <c r="H146" s="8" t="s">
        <v>44</v>
      </c>
      <c r="I146" s="8" t="s">
        <v>202</v>
      </c>
      <c r="J146" s="8" t="s">
        <v>301</v>
      </c>
      <c r="K146" s="8" t="s">
        <v>203</v>
      </c>
      <c r="L146" s="8" t="s">
        <v>214</v>
      </c>
      <c r="M146" s="8" t="s">
        <v>232</v>
      </c>
      <c r="N146" s="8" t="s">
        <v>44</v>
      </c>
      <c r="O146" s="8" t="s">
        <v>44</v>
      </c>
    </row>
    <row r="147" spans="1:15">
      <c r="A147" s="8" t="s">
        <v>285</v>
      </c>
      <c r="B147" s="8" t="s">
        <v>451</v>
      </c>
      <c r="C147" s="8" t="s">
        <v>97</v>
      </c>
      <c r="D147" s="8" t="s">
        <v>82</v>
      </c>
      <c r="E147" s="8" t="s">
        <v>22</v>
      </c>
      <c r="F147" s="8" t="s">
        <v>237</v>
      </c>
      <c r="G147" s="8" t="s">
        <v>201</v>
      </c>
      <c r="H147" s="8" t="s">
        <v>44</v>
      </c>
      <c r="I147" s="8" t="s">
        <v>202</v>
      </c>
      <c r="J147" s="8" t="s">
        <v>301</v>
      </c>
      <c r="K147" s="8" t="s">
        <v>203</v>
      </c>
      <c r="L147" s="8" t="s">
        <v>214</v>
      </c>
      <c r="M147" s="8" t="s">
        <v>232</v>
      </c>
      <c r="N147" s="8" t="s">
        <v>44</v>
      </c>
      <c r="O147" s="8" t="s">
        <v>44</v>
      </c>
    </row>
    <row r="148" spans="1:15">
      <c r="A148" s="8" t="s">
        <v>452</v>
      </c>
      <c r="B148" s="8" t="s">
        <v>453</v>
      </c>
      <c r="C148" s="8" t="s">
        <v>97</v>
      </c>
      <c r="D148" s="8" t="s">
        <v>82</v>
      </c>
      <c r="E148" s="8" t="s">
        <v>22</v>
      </c>
      <c r="F148" s="8" t="s">
        <v>237</v>
      </c>
      <c r="G148" s="8" t="s">
        <v>201</v>
      </c>
      <c r="H148" s="8" t="s">
        <v>44</v>
      </c>
      <c r="I148" s="8" t="s">
        <v>202</v>
      </c>
      <c r="J148" s="8" t="s">
        <v>301</v>
      </c>
      <c r="K148" s="8" t="s">
        <v>203</v>
      </c>
      <c r="L148" s="8" t="s">
        <v>214</v>
      </c>
      <c r="M148" s="8" t="s">
        <v>232</v>
      </c>
      <c r="N148" s="8" t="s">
        <v>44</v>
      </c>
      <c r="O148" s="8" t="s">
        <v>44</v>
      </c>
    </row>
    <row r="149" spans="1:15">
      <c r="A149" s="8" t="s">
        <v>454</v>
      </c>
      <c r="B149" s="8" t="s">
        <v>455</v>
      </c>
      <c r="C149" s="8" t="s">
        <v>97</v>
      </c>
      <c r="D149" s="8" t="s">
        <v>82</v>
      </c>
      <c r="E149" s="8" t="s">
        <v>22</v>
      </c>
      <c r="F149" s="8" t="s">
        <v>237</v>
      </c>
      <c r="G149" s="8" t="s">
        <v>201</v>
      </c>
      <c r="H149" s="8" t="s">
        <v>44</v>
      </c>
      <c r="I149" s="8" t="s">
        <v>202</v>
      </c>
      <c r="J149" s="8" t="s">
        <v>301</v>
      </c>
      <c r="K149" s="8" t="s">
        <v>203</v>
      </c>
      <c r="L149" s="8" t="s">
        <v>214</v>
      </c>
      <c r="M149" s="8" t="s">
        <v>232</v>
      </c>
      <c r="N149" s="8" t="s">
        <v>44</v>
      </c>
      <c r="O149" s="8" t="s">
        <v>44</v>
      </c>
    </row>
    <row r="150" spans="1:15">
      <c r="A150" s="8" t="s">
        <v>286</v>
      </c>
      <c r="B150" s="8" t="s">
        <v>456</v>
      </c>
      <c r="C150" s="8" t="s">
        <v>186</v>
      </c>
      <c r="D150" s="8" t="s">
        <v>98</v>
      </c>
      <c r="E150" s="8" t="s">
        <v>66</v>
      </c>
      <c r="F150" s="8" t="s">
        <v>237</v>
      </c>
      <c r="G150" s="8" t="s">
        <v>300</v>
      </c>
      <c r="H150" s="8" t="s">
        <v>44</v>
      </c>
      <c r="I150" s="8" t="s">
        <v>202</v>
      </c>
      <c r="J150" s="8" t="s">
        <v>301</v>
      </c>
      <c r="K150" s="8" t="s">
        <v>203</v>
      </c>
      <c r="L150" s="8" t="s">
        <v>365</v>
      </c>
      <c r="M150" s="8" t="s">
        <v>208</v>
      </c>
      <c r="N150" s="8" t="s">
        <v>44</v>
      </c>
      <c r="O150" s="8" t="s">
        <v>44</v>
      </c>
    </row>
    <row r="151" spans="1:15">
      <c r="A151" s="8" t="s">
        <v>287</v>
      </c>
      <c r="B151" s="8" t="s">
        <v>457</v>
      </c>
      <c r="C151" s="8" t="s">
        <v>186</v>
      </c>
      <c r="D151" s="8" t="s">
        <v>98</v>
      </c>
      <c r="E151" s="8" t="s">
        <v>66</v>
      </c>
      <c r="F151" s="8" t="s">
        <v>237</v>
      </c>
      <c r="G151" s="8" t="s">
        <v>300</v>
      </c>
      <c r="H151" s="8" t="s">
        <v>44</v>
      </c>
      <c r="I151" s="8" t="s">
        <v>202</v>
      </c>
      <c r="J151" s="8" t="s">
        <v>301</v>
      </c>
      <c r="K151" s="8" t="s">
        <v>203</v>
      </c>
      <c r="L151" s="8" t="s">
        <v>365</v>
      </c>
      <c r="M151" s="8" t="s">
        <v>208</v>
      </c>
      <c r="N151" s="8" t="s">
        <v>44</v>
      </c>
      <c r="O151" s="8" t="s">
        <v>44</v>
      </c>
    </row>
    <row r="152" spans="1:15">
      <c r="A152" s="8" t="s">
        <v>458</v>
      </c>
      <c r="B152" s="8" t="s">
        <v>459</v>
      </c>
      <c r="C152" s="8" t="s">
        <v>97</v>
      </c>
      <c r="D152" s="8" t="s">
        <v>82</v>
      </c>
      <c r="E152" s="8" t="s">
        <v>22</v>
      </c>
      <c r="F152" s="8" t="s">
        <v>237</v>
      </c>
      <c r="G152" s="8" t="s">
        <v>201</v>
      </c>
      <c r="H152" s="8" t="s">
        <v>44</v>
      </c>
      <c r="I152" s="8" t="s">
        <v>202</v>
      </c>
      <c r="J152" s="8" t="s">
        <v>301</v>
      </c>
      <c r="K152" s="8" t="s">
        <v>203</v>
      </c>
      <c r="L152" s="8" t="s">
        <v>214</v>
      </c>
      <c r="M152" s="8" t="s">
        <v>232</v>
      </c>
      <c r="N152" s="8" t="s">
        <v>44</v>
      </c>
      <c r="O152" s="8" t="s">
        <v>44</v>
      </c>
    </row>
    <row r="153" spans="1:15">
      <c r="A153" s="8" t="s">
        <v>460</v>
      </c>
      <c r="B153" s="8" t="s">
        <v>461</v>
      </c>
      <c r="C153" s="8" t="s">
        <v>97</v>
      </c>
      <c r="D153" s="8" t="s">
        <v>82</v>
      </c>
      <c r="E153" s="8" t="s">
        <v>22</v>
      </c>
      <c r="F153" s="8" t="s">
        <v>237</v>
      </c>
      <c r="G153" s="8" t="s">
        <v>201</v>
      </c>
      <c r="H153" s="8" t="s">
        <v>44</v>
      </c>
      <c r="I153" s="8" t="s">
        <v>202</v>
      </c>
      <c r="J153" s="8" t="s">
        <v>301</v>
      </c>
      <c r="K153" s="8" t="s">
        <v>203</v>
      </c>
      <c r="L153" s="8" t="s">
        <v>214</v>
      </c>
      <c r="M153" s="8" t="s">
        <v>232</v>
      </c>
      <c r="N153" s="8" t="s">
        <v>44</v>
      </c>
      <c r="O153" s="8" t="s">
        <v>44</v>
      </c>
    </row>
    <row r="154" spans="1:15">
      <c r="A154" s="8" t="s">
        <v>494</v>
      </c>
      <c r="B154" s="8" t="s">
        <v>495</v>
      </c>
      <c r="C154" s="8" t="s">
        <v>97</v>
      </c>
      <c r="D154" s="8" t="s">
        <v>82</v>
      </c>
      <c r="E154" s="8" t="s">
        <v>22</v>
      </c>
      <c r="F154" s="8" t="s">
        <v>237</v>
      </c>
      <c r="G154" s="8" t="s">
        <v>201</v>
      </c>
      <c r="H154" s="8" t="s">
        <v>44</v>
      </c>
      <c r="I154" s="8" t="s">
        <v>202</v>
      </c>
      <c r="J154" s="8" t="s">
        <v>301</v>
      </c>
      <c r="K154" s="8" t="s">
        <v>203</v>
      </c>
      <c r="L154" s="8" t="s">
        <v>214</v>
      </c>
      <c r="M154" s="8" t="s">
        <v>208</v>
      </c>
      <c r="N154" s="8" t="s">
        <v>44</v>
      </c>
      <c r="O154" s="8" t="s">
        <v>44</v>
      </c>
    </row>
    <row r="155" spans="1:15">
      <c r="A155" s="8" t="s">
        <v>462</v>
      </c>
      <c r="B155" s="8" t="s">
        <v>463</v>
      </c>
      <c r="C155" s="8" t="s">
        <v>97</v>
      </c>
      <c r="D155" s="8" t="s">
        <v>82</v>
      </c>
      <c r="E155" s="8" t="s">
        <v>22</v>
      </c>
      <c r="F155" s="8" t="s">
        <v>237</v>
      </c>
      <c r="G155" s="8" t="s">
        <v>201</v>
      </c>
      <c r="H155" s="8" t="s">
        <v>44</v>
      </c>
      <c r="I155" s="8" t="s">
        <v>202</v>
      </c>
      <c r="J155" s="8" t="s">
        <v>301</v>
      </c>
      <c r="K155" s="8" t="s">
        <v>203</v>
      </c>
      <c r="L155" s="8" t="s">
        <v>214</v>
      </c>
      <c r="M155" s="8" t="s">
        <v>232</v>
      </c>
      <c r="N155" s="8" t="s">
        <v>44</v>
      </c>
      <c r="O155" s="8" t="s">
        <v>44</v>
      </c>
    </row>
    <row r="156" spans="1:15">
      <c r="A156" s="8" t="s">
        <v>464</v>
      </c>
      <c r="B156" s="8" t="s">
        <v>465</v>
      </c>
      <c r="C156" s="8" t="s">
        <v>97</v>
      </c>
      <c r="D156" s="8" t="s">
        <v>82</v>
      </c>
      <c r="E156" s="8" t="s">
        <v>22</v>
      </c>
      <c r="F156" s="8" t="s">
        <v>237</v>
      </c>
      <c r="G156" s="8" t="s">
        <v>201</v>
      </c>
      <c r="H156" s="8" t="s">
        <v>44</v>
      </c>
      <c r="I156" s="8" t="s">
        <v>202</v>
      </c>
      <c r="J156" s="8" t="s">
        <v>301</v>
      </c>
      <c r="K156" s="8" t="s">
        <v>203</v>
      </c>
      <c r="L156" s="8" t="s">
        <v>214</v>
      </c>
      <c r="M156" s="8" t="s">
        <v>232</v>
      </c>
      <c r="N156" s="8" t="s">
        <v>44</v>
      </c>
      <c r="O156" s="8" t="s">
        <v>44</v>
      </c>
    </row>
    <row r="157" spans="1:15">
      <c r="A157" s="8" t="s">
        <v>1078</v>
      </c>
      <c r="B157" s="8" t="s">
        <v>1079</v>
      </c>
      <c r="C157" s="8" t="s">
        <v>225</v>
      </c>
      <c r="D157" s="8" t="s">
        <v>98</v>
      </c>
      <c r="E157" s="8" t="s">
        <v>22</v>
      </c>
      <c r="F157" s="8" t="s">
        <v>237</v>
      </c>
      <c r="G157" s="8" t="s">
        <v>201</v>
      </c>
      <c r="H157" s="8" t="s">
        <v>44</v>
      </c>
      <c r="I157" s="8" t="s">
        <v>202</v>
      </c>
      <c r="J157" s="8" t="s">
        <v>301</v>
      </c>
      <c r="K157" s="8" t="s">
        <v>203</v>
      </c>
      <c r="L157" s="8" t="s">
        <v>214</v>
      </c>
      <c r="M157" s="8" t="s">
        <v>186</v>
      </c>
      <c r="N157" s="8" t="s">
        <v>44</v>
      </c>
      <c r="O157" s="8" t="s">
        <v>44</v>
      </c>
    </row>
    <row r="158" spans="1:15">
      <c r="A158" s="8" t="s">
        <v>1081</v>
      </c>
      <c r="B158" s="8" t="s">
        <v>1082</v>
      </c>
      <c r="C158" s="8" t="s">
        <v>225</v>
      </c>
      <c r="D158" s="8" t="s">
        <v>98</v>
      </c>
      <c r="E158" s="8" t="s">
        <v>22</v>
      </c>
      <c r="F158" s="8" t="s">
        <v>237</v>
      </c>
      <c r="G158" s="8" t="s">
        <v>201</v>
      </c>
      <c r="H158" s="8" t="s">
        <v>44</v>
      </c>
      <c r="I158" s="8" t="s">
        <v>202</v>
      </c>
      <c r="J158" s="8" t="s">
        <v>301</v>
      </c>
      <c r="K158" s="8" t="s">
        <v>203</v>
      </c>
      <c r="L158" s="8" t="s">
        <v>214</v>
      </c>
      <c r="M158" s="8" t="s">
        <v>186</v>
      </c>
      <c r="N158" s="8" t="s">
        <v>44</v>
      </c>
      <c r="O158" s="8" t="s">
        <v>44</v>
      </c>
    </row>
    <row r="159" spans="1:15">
      <c r="A159" s="8" t="s">
        <v>500</v>
      </c>
      <c r="B159" s="8" t="s">
        <v>501</v>
      </c>
      <c r="C159" s="8" t="s">
        <v>225</v>
      </c>
      <c r="D159" s="8" t="s">
        <v>98</v>
      </c>
      <c r="E159" s="8" t="s">
        <v>22</v>
      </c>
      <c r="F159" s="8" t="s">
        <v>237</v>
      </c>
      <c r="G159" s="8" t="s">
        <v>201</v>
      </c>
      <c r="H159" s="8" t="s">
        <v>44</v>
      </c>
      <c r="I159" s="8" t="s">
        <v>202</v>
      </c>
      <c r="J159" s="8" t="s">
        <v>301</v>
      </c>
      <c r="K159" s="8" t="s">
        <v>203</v>
      </c>
      <c r="L159" s="8" t="s">
        <v>214</v>
      </c>
      <c r="M159" s="8" t="s">
        <v>186</v>
      </c>
      <c r="N159" s="8" t="s">
        <v>44</v>
      </c>
      <c r="O159" s="8" t="s">
        <v>44</v>
      </c>
    </row>
    <row r="160" spans="1:15">
      <c r="A160" s="8" t="s">
        <v>1085</v>
      </c>
      <c r="B160" s="8" t="s">
        <v>1086</v>
      </c>
      <c r="C160" s="8" t="s">
        <v>225</v>
      </c>
      <c r="D160" s="8" t="s">
        <v>98</v>
      </c>
      <c r="E160" s="8" t="s">
        <v>22</v>
      </c>
      <c r="F160" s="8" t="s">
        <v>237</v>
      </c>
      <c r="G160" s="8" t="s">
        <v>201</v>
      </c>
      <c r="H160" s="8" t="s">
        <v>44</v>
      </c>
      <c r="I160" s="8" t="s">
        <v>202</v>
      </c>
      <c r="J160" s="8" t="s">
        <v>301</v>
      </c>
      <c r="K160" s="8" t="s">
        <v>203</v>
      </c>
      <c r="L160" s="8" t="s">
        <v>214</v>
      </c>
      <c r="M160" s="8" t="s">
        <v>186</v>
      </c>
      <c r="N160" s="8" t="s">
        <v>44</v>
      </c>
      <c r="O160" s="8" t="s">
        <v>44</v>
      </c>
    </row>
    <row r="161" spans="1:15">
      <c r="A161" s="8" t="s">
        <v>1088</v>
      </c>
      <c r="B161" s="8" t="s">
        <v>1089</v>
      </c>
      <c r="C161" s="8" t="s">
        <v>225</v>
      </c>
      <c r="D161" s="8" t="s">
        <v>98</v>
      </c>
      <c r="E161" s="8" t="s">
        <v>22</v>
      </c>
      <c r="F161" s="8" t="s">
        <v>237</v>
      </c>
      <c r="G161" s="8" t="s">
        <v>201</v>
      </c>
      <c r="H161" s="8" t="s">
        <v>44</v>
      </c>
      <c r="I161" s="8" t="s">
        <v>202</v>
      </c>
      <c r="J161" s="8" t="s">
        <v>301</v>
      </c>
      <c r="K161" s="8" t="s">
        <v>203</v>
      </c>
      <c r="L161" s="8" t="s">
        <v>214</v>
      </c>
      <c r="M161" s="8" t="s">
        <v>186</v>
      </c>
      <c r="N161" s="8" t="s">
        <v>44</v>
      </c>
      <c r="O161" s="8" t="s">
        <v>44</v>
      </c>
    </row>
    <row r="162" spans="1:15">
      <c r="A162" s="8" t="s">
        <v>1091</v>
      </c>
      <c r="B162" s="8" t="s">
        <v>1092</v>
      </c>
      <c r="C162" s="8" t="s">
        <v>225</v>
      </c>
      <c r="D162" s="8" t="s">
        <v>98</v>
      </c>
      <c r="E162" s="8" t="s">
        <v>22</v>
      </c>
      <c r="F162" s="8" t="s">
        <v>237</v>
      </c>
      <c r="G162" s="8" t="s">
        <v>201</v>
      </c>
      <c r="H162" s="8" t="s">
        <v>44</v>
      </c>
      <c r="I162" s="8" t="s">
        <v>202</v>
      </c>
      <c r="J162" s="8" t="s">
        <v>301</v>
      </c>
      <c r="K162" s="8" t="s">
        <v>203</v>
      </c>
      <c r="L162" s="8" t="s">
        <v>214</v>
      </c>
      <c r="M162" s="8" t="s">
        <v>186</v>
      </c>
      <c r="N162" s="8" t="s">
        <v>44</v>
      </c>
      <c r="O162" s="8" t="s">
        <v>44</v>
      </c>
    </row>
    <row r="163" spans="1:15">
      <c r="A163" s="8" t="s">
        <v>1094</v>
      </c>
      <c r="B163" s="8" t="s">
        <v>1095</v>
      </c>
      <c r="C163" s="8" t="s">
        <v>225</v>
      </c>
      <c r="D163" s="8" t="s">
        <v>98</v>
      </c>
      <c r="E163" s="8" t="s">
        <v>22</v>
      </c>
      <c r="F163" s="8" t="s">
        <v>237</v>
      </c>
      <c r="G163" s="8" t="s">
        <v>201</v>
      </c>
      <c r="H163" s="8" t="s">
        <v>44</v>
      </c>
      <c r="I163" s="8" t="s">
        <v>202</v>
      </c>
      <c r="J163" s="8" t="s">
        <v>301</v>
      </c>
      <c r="K163" s="8" t="s">
        <v>203</v>
      </c>
      <c r="L163" s="8" t="s">
        <v>214</v>
      </c>
      <c r="M163" s="8" t="s">
        <v>186</v>
      </c>
      <c r="N163" s="8" t="s">
        <v>44</v>
      </c>
      <c r="O163" s="8" t="s">
        <v>44</v>
      </c>
    </row>
    <row r="164" spans="1:15">
      <c r="A164" s="8" t="s">
        <v>629</v>
      </c>
      <c r="B164" s="8" t="s">
        <v>630</v>
      </c>
      <c r="C164" s="8" t="s">
        <v>225</v>
      </c>
      <c r="D164" s="8" t="s">
        <v>98</v>
      </c>
      <c r="E164" s="8" t="s">
        <v>22</v>
      </c>
      <c r="F164" s="8" t="s">
        <v>237</v>
      </c>
      <c r="G164" s="8" t="s">
        <v>201</v>
      </c>
      <c r="H164" s="8" t="s">
        <v>44</v>
      </c>
      <c r="I164" s="8" t="s">
        <v>202</v>
      </c>
      <c r="J164" s="8" t="s">
        <v>301</v>
      </c>
      <c r="K164" s="8" t="s">
        <v>203</v>
      </c>
      <c r="L164" s="8" t="s">
        <v>214</v>
      </c>
      <c r="M164" s="8" t="s">
        <v>186</v>
      </c>
      <c r="N164" s="8" t="s">
        <v>44</v>
      </c>
      <c r="O164" s="8" t="s">
        <v>44</v>
      </c>
    </row>
    <row r="165" spans="1:15">
      <c r="A165" s="8" t="s">
        <v>1533</v>
      </c>
      <c r="B165" s="8" t="s">
        <v>1541</v>
      </c>
      <c r="C165" s="8" t="s">
        <v>186</v>
      </c>
      <c r="D165" s="8" t="s">
        <v>98</v>
      </c>
      <c r="E165" s="8" t="s">
        <v>22</v>
      </c>
      <c r="F165" s="8" t="s">
        <v>237</v>
      </c>
      <c r="G165" s="8" t="s">
        <v>300</v>
      </c>
      <c r="H165" s="8" t="s">
        <v>44</v>
      </c>
      <c r="I165" s="8" t="s">
        <v>202</v>
      </c>
      <c r="J165" s="8" t="s">
        <v>301</v>
      </c>
      <c r="K165" s="8" t="s">
        <v>203</v>
      </c>
      <c r="L165" s="8" t="s">
        <v>214</v>
      </c>
      <c r="M165" s="8" t="s">
        <v>186</v>
      </c>
      <c r="N165" s="8" t="s">
        <v>44</v>
      </c>
      <c r="O165" s="8" t="s">
        <v>44</v>
      </c>
    </row>
    <row r="166" spans="1:15">
      <c r="A166" s="8" t="s">
        <v>632</v>
      </c>
      <c r="B166" s="8" t="s">
        <v>633</v>
      </c>
      <c r="C166" s="8" t="s">
        <v>97</v>
      </c>
      <c r="D166" s="8" t="s">
        <v>82</v>
      </c>
      <c r="E166" s="8" t="s">
        <v>22</v>
      </c>
      <c r="F166" s="8" t="s">
        <v>237</v>
      </c>
      <c r="G166" s="8" t="s">
        <v>201</v>
      </c>
      <c r="H166" s="8" t="s">
        <v>44</v>
      </c>
      <c r="I166" s="8" t="s">
        <v>202</v>
      </c>
      <c r="J166" s="8" t="s">
        <v>301</v>
      </c>
      <c r="K166" s="8" t="s">
        <v>203</v>
      </c>
      <c r="L166" s="8" t="s">
        <v>214</v>
      </c>
      <c r="M166" s="8" t="s">
        <v>425</v>
      </c>
      <c r="N166" s="8" t="s">
        <v>44</v>
      </c>
      <c r="O166" s="8" t="s">
        <v>44</v>
      </c>
    </row>
    <row r="167" spans="1:15">
      <c r="A167" s="8" t="s">
        <v>635</v>
      </c>
      <c r="B167" s="8" t="s">
        <v>636</v>
      </c>
      <c r="C167" s="8" t="s">
        <v>97</v>
      </c>
      <c r="D167" s="8" t="s">
        <v>82</v>
      </c>
      <c r="E167" s="8" t="s">
        <v>22</v>
      </c>
      <c r="F167" s="8" t="s">
        <v>237</v>
      </c>
      <c r="G167" s="8" t="s">
        <v>201</v>
      </c>
      <c r="H167" s="8" t="s">
        <v>44</v>
      </c>
      <c r="I167" s="8" t="s">
        <v>202</v>
      </c>
      <c r="J167" s="8" t="s">
        <v>301</v>
      </c>
      <c r="K167" s="8" t="s">
        <v>203</v>
      </c>
      <c r="L167" s="8" t="s">
        <v>214</v>
      </c>
      <c r="M167" s="8" t="s">
        <v>425</v>
      </c>
      <c r="N167" s="8" t="s">
        <v>44</v>
      </c>
      <c r="O167" s="8" t="s">
        <v>44</v>
      </c>
    </row>
    <row r="168" spans="1:15">
      <c r="A168" s="8" t="s">
        <v>466</v>
      </c>
      <c r="B168" s="8" t="s">
        <v>467</v>
      </c>
      <c r="C168" s="8" t="s">
        <v>186</v>
      </c>
      <c r="D168" s="8" t="s">
        <v>98</v>
      </c>
      <c r="E168" s="8" t="s">
        <v>66</v>
      </c>
      <c r="F168" s="8" t="s">
        <v>237</v>
      </c>
      <c r="G168" s="8" t="s">
        <v>300</v>
      </c>
      <c r="H168" s="8" t="s">
        <v>44</v>
      </c>
      <c r="I168" s="8" t="s">
        <v>202</v>
      </c>
      <c r="J168" s="8" t="s">
        <v>301</v>
      </c>
      <c r="K168" s="8" t="s">
        <v>203</v>
      </c>
      <c r="L168" s="8" t="s">
        <v>468</v>
      </c>
      <c r="M168" s="8" t="s">
        <v>467</v>
      </c>
      <c r="N168" s="8" t="s">
        <v>44</v>
      </c>
      <c r="O168" s="8" t="s">
        <v>44</v>
      </c>
    </row>
    <row r="169" spans="1:15">
      <c r="A169" s="8" t="s">
        <v>288</v>
      </c>
      <c r="B169" s="8" t="s">
        <v>469</v>
      </c>
      <c r="C169" s="8" t="s">
        <v>186</v>
      </c>
      <c r="D169" s="8" t="s">
        <v>98</v>
      </c>
      <c r="E169" s="8" t="s">
        <v>66</v>
      </c>
      <c r="F169" s="8" t="s">
        <v>237</v>
      </c>
      <c r="G169" s="8" t="s">
        <v>300</v>
      </c>
      <c r="H169" s="8" t="s">
        <v>44</v>
      </c>
      <c r="I169" s="8" t="s">
        <v>202</v>
      </c>
      <c r="J169" s="8" t="s">
        <v>301</v>
      </c>
      <c r="K169" s="8" t="s">
        <v>203</v>
      </c>
      <c r="L169" s="8" t="s">
        <v>470</v>
      </c>
      <c r="M169" s="8" t="s">
        <v>470</v>
      </c>
      <c r="N169" s="8" t="s">
        <v>44</v>
      </c>
      <c r="O169" s="8" t="s">
        <v>44</v>
      </c>
    </row>
    <row r="170" spans="1:15">
      <c r="A170" s="8" t="s">
        <v>289</v>
      </c>
      <c r="B170" s="8" t="s">
        <v>471</v>
      </c>
      <c r="C170" s="8" t="s">
        <v>186</v>
      </c>
      <c r="D170" s="8" t="s">
        <v>98</v>
      </c>
      <c r="E170" s="8" t="s">
        <v>66</v>
      </c>
      <c r="F170" s="8" t="s">
        <v>237</v>
      </c>
      <c r="G170" s="8" t="s">
        <v>300</v>
      </c>
      <c r="H170" s="8" t="s">
        <v>44</v>
      </c>
      <c r="I170" s="8" t="s">
        <v>202</v>
      </c>
      <c r="J170" s="8" t="s">
        <v>301</v>
      </c>
      <c r="K170" s="8" t="s">
        <v>203</v>
      </c>
      <c r="L170" s="8" t="s">
        <v>470</v>
      </c>
      <c r="M170" s="8" t="s">
        <v>470</v>
      </c>
      <c r="N170" s="8" t="s">
        <v>44</v>
      </c>
      <c r="O170" s="8" t="s">
        <v>44</v>
      </c>
    </row>
    <row r="171" spans="1:15" ht="30">
      <c r="A171" s="8" t="s">
        <v>115</v>
      </c>
      <c r="B171" s="11" t="s">
        <v>116</v>
      </c>
      <c r="C171" s="8" t="s">
        <v>97</v>
      </c>
      <c r="D171" s="8" t="s">
        <v>98</v>
      </c>
      <c r="E171" s="8" t="s">
        <v>22</v>
      </c>
      <c r="F171" s="8" t="s">
        <v>237</v>
      </c>
      <c r="G171" s="8" t="s">
        <v>201</v>
      </c>
      <c r="H171" s="8" t="s">
        <v>44</v>
      </c>
      <c r="I171" s="8" t="s">
        <v>202</v>
      </c>
      <c r="J171" s="8" t="s">
        <v>301</v>
      </c>
      <c r="K171" s="8" t="s">
        <v>203</v>
      </c>
      <c r="L171" s="8" t="s">
        <v>207</v>
      </c>
      <c r="M171" s="8" t="s">
        <v>208</v>
      </c>
      <c r="N171" s="8" t="s">
        <v>44</v>
      </c>
      <c r="O171" s="8" t="s">
        <v>44</v>
      </c>
    </row>
    <row r="172" spans="1:15">
      <c r="A172" s="8" t="s">
        <v>290</v>
      </c>
      <c r="B172" s="8" t="s">
        <v>472</v>
      </c>
      <c r="C172" s="8" t="s">
        <v>225</v>
      </c>
      <c r="D172" s="8" t="s">
        <v>82</v>
      </c>
      <c r="E172" s="8" t="s">
        <v>66</v>
      </c>
      <c r="F172" s="8" t="s">
        <v>237</v>
      </c>
      <c r="G172" s="8" t="s">
        <v>201</v>
      </c>
      <c r="H172" s="8" t="s">
        <v>44</v>
      </c>
      <c r="I172" s="8" t="s">
        <v>202</v>
      </c>
      <c r="J172" s="8" t="s">
        <v>301</v>
      </c>
      <c r="K172" s="8" t="s">
        <v>203</v>
      </c>
      <c r="L172" s="8" t="s">
        <v>44</v>
      </c>
      <c r="M172" s="8" t="s">
        <v>44</v>
      </c>
      <c r="N172" s="8" t="s">
        <v>44</v>
      </c>
      <c r="O172" s="8" t="s">
        <v>44</v>
      </c>
    </row>
    <row r="173" spans="1:15">
      <c r="A173" s="8" t="s">
        <v>291</v>
      </c>
      <c r="B173" s="8" t="s">
        <v>473</v>
      </c>
      <c r="C173" s="8" t="s">
        <v>225</v>
      </c>
      <c r="D173" s="8" t="s">
        <v>82</v>
      </c>
      <c r="E173" s="8" t="s">
        <v>66</v>
      </c>
      <c r="F173" s="8" t="s">
        <v>237</v>
      </c>
      <c r="G173" s="8" t="s">
        <v>201</v>
      </c>
      <c r="H173" s="8" t="s">
        <v>44</v>
      </c>
      <c r="I173" s="8" t="s">
        <v>202</v>
      </c>
      <c r="J173" s="8" t="s">
        <v>301</v>
      </c>
      <c r="K173" s="8" t="s">
        <v>203</v>
      </c>
      <c r="L173" s="8" t="s">
        <v>44</v>
      </c>
      <c r="M173" s="8" t="s">
        <v>44</v>
      </c>
      <c r="N173" s="8" t="s">
        <v>44</v>
      </c>
      <c r="O173" s="8" t="s">
        <v>44</v>
      </c>
    </row>
    <row r="174" spans="1:15">
      <c r="A174" s="8" t="s">
        <v>474</v>
      </c>
      <c r="B174" s="8" t="s">
        <v>475</v>
      </c>
      <c r="C174" s="8" t="s">
        <v>225</v>
      </c>
      <c r="D174" s="8" t="s">
        <v>82</v>
      </c>
      <c r="E174" s="8" t="s">
        <v>66</v>
      </c>
      <c r="F174" s="8" t="s">
        <v>237</v>
      </c>
      <c r="G174" s="8" t="s">
        <v>201</v>
      </c>
      <c r="H174" s="8" t="s">
        <v>44</v>
      </c>
      <c r="I174" s="8" t="s">
        <v>202</v>
      </c>
      <c r="J174" s="8" t="s">
        <v>301</v>
      </c>
      <c r="K174" s="8" t="s">
        <v>203</v>
      </c>
      <c r="L174" s="8" t="s">
        <v>44</v>
      </c>
      <c r="M174" s="8" t="s">
        <v>44</v>
      </c>
      <c r="N174" s="8" t="s">
        <v>44</v>
      </c>
      <c r="O174" s="8" t="s">
        <v>44</v>
      </c>
    </row>
    <row r="175" spans="1:15">
      <c r="A175" s="8" t="s">
        <v>476</v>
      </c>
      <c r="B175" s="8" t="s">
        <v>477</v>
      </c>
      <c r="C175" s="8" t="s">
        <v>225</v>
      </c>
      <c r="D175" s="8" t="s">
        <v>82</v>
      </c>
      <c r="E175" s="8" t="s">
        <v>66</v>
      </c>
      <c r="F175" s="8" t="s">
        <v>237</v>
      </c>
      <c r="G175" s="8" t="s">
        <v>201</v>
      </c>
      <c r="H175" s="8" t="s">
        <v>44</v>
      </c>
      <c r="I175" s="8" t="s">
        <v>202</v>
      </c>
      <c r="J175" s="8" t="s">
        <v>301</v>
      </c>
      <c r="K175" s="8" t="s">
        <v>203</v>
      </c>
      <c r="L175" s="8" t="s">
        <v>44</v>
      </c>
      <c r="M175" s="8" t="s">
        <v>44</v>
      </c>
      <c r="N175" s="8" t="s">
        <v>44</v>
      </c>
      <c r="O175" s="8" t="s">
        <v>44</v>
      </c>
    </row>
    <row r="176" spans="1:15">
      <c r="A176" s="8" t="s">
        <v>478</v>
      </c>
      <c r="B176" s="8" t="s">
        <v>479</v>
      </c>
      <c r="C176" s="8" t="s">
        <v>225</v>
      </c>
      <c r="D176" s="8" t="s">
        <v>82</v>
      </c>
      <c r="E176" s="8" t="s">
        <v>66</v>
      </c>
      <c r="F176" s="8" t="s">
        <v>237</v>
      </c>
      <c r="G176" s="8" t="s">
        <v>201</v>
      </c>
      <c r="H176" s="8" t="s">
        <v>44</v>
      </c>
      <c r="I176" s="8" t="s">
        <v>202</v>
      </c>
      <c r="J176" s="8" t="s">
        <v>301</v>
      </c>
      <c r="K176" s="8" t="s">
        <v>203</v>
      </c>
      <c r="L176" s="8" t="s">
        <v>44</v>
      </c>
      <c r="M176" s="8" t="s">
        <v>44</v>
      </c>
      <c r="N176" s="8" t="s">
        <v>44</v>
      </c>
      <c r="O176" s="8" t="s">
        <v>44</v>
      </c>
    </row>
    <row r="177" spans="1:15">
      <c r="A177" s="8" t="s">
        <v>1098</v>
      </c>
      <c r="B177" s="8" t="s">
        <v>1099</v>
      </c>
      <c r="C177" s="8" t="s">
        <v>186</v>
      </c>
      <c r="D177" s="8" t="s">
        <v>98</v>
      </c>
      <c r="E177" s="8" t="s">
        <v>66</v>
      </c>
      <c r="F177" s="8" t="s">
        <v>237</v>
      </c>
      <c r="G177" s="8" t="s">
        <v>300</v>
      </c>
      <c r="H177" s="8" t="s">
        <v>44</v>
      </c>
      <c r="I177" s="8" t="s">
        <v>202</v>
      </c>
      <c r="J177" s="8" t="s">
        <v>301</v>
      </c>
      <c r="K177" s="8" t="s">
        <v>203</v>
      </c>
      <c r="L177" s="8" t="s">
        <v>470</v>
      </c>
      <c r="M177" s="8" t="s">
        <v>481</v>
      </c>
      <c r="N177" s="8" t="s">
        <v>44</v>
      </c>
      <c r="O177" s="8" t="s">
        <v>44</v>
      </c>
    </row>
    <row r="178" spans="1:15">
      <c r="A178" s="8" t="s">
        <v>292</v>
      </c>
      <c r="B178" s="8" t="s">
        <v>480</v>
      </c>
      <c r="C178" s="8" t="s">
        <v>186</v>
      </c>
      <c r="D178" s="8" t="s">
        <v>98</v>
      </c>
      <c r="E178" s="8" t="s">
        <v>66</v>
      </c>
      <c r="F178" s="8" t="s">
        <v>237</v>
      </c>
      <c r="G178" s="8" t="s">
        <v>300</v>
      </c>
      <c r="H178" s="8" t="s">
        <v>44</v>
      </c>
      <c r="I178" s="8" t="s">
        <v>202</v>
      </c>
      <c r="J178" s="8" t="s">
        <v>301</v>
      </c>
      <c r="K178" s="8" t="s">
        <v>203</v>
      </c>
      <c r="L178" s="8" t="s">
        <v>470</v>
      </c>
      <c r="M178" s="8" t="s">
        <v>481</v>
      </c>
      <c r="N178" s="8" t="s">
        <v>44</v>
      </c>
      <c r="O178" s="8" t="s">
        <v>44</v>
      </c>
    </row>
    <row r="179" spans="1:15">
      <c r="A179" s="8" t="s">
        <v>293</v>
      </c>
      <c r="B179" s="8" t="s">
        <v>482</v>
      </c>
      <c r="C179" s="8" t="s">
        <v>186</v>
      </c>
      <c r="D179" s="8" t="s">
        <v>98</v>
      </c>
      <c r="E179" s="8" t="s">
        <v>66</v>
      </c>
      <c r="F179" s="8" t="s">
        <v>237</v>
      </c>
      <c r="G179" s="8" t="s">
        <v>300</v>
      </c>
      <c r="H179" s="8" t="s">
        <v>44</v>
      </c>
      <c r="I179" s="8" t="s">
        <v>202</v>
      </c>
      <c r="J179" s="8" t="s">
        <v>301</v>
      </c>
      <c r="K179" s="8" t="s">
        <v>203</v>
      </c>
      <c r="L179" s="8" t="s">
        <v>470</v>
      </c>
      <c r="M179" s="8" t="s">
        <v>481</v>
      </c>
      <c r="N179" s="8" t="s">
        <v>44</v>
      </c>
      <c r="O179" s="8" t="s">
        <v>44</v>
      </c>
    </row>
    <row r="180" spans="1:15">
      <c r="A180" s="8" t="s">
        <v>294</v>
      </c>
      <c r="B180" s="8" t="s">
        <v>483</v>
      </c>
      <c r="C180" s="8" t="s">
        <v>186</v>
      </c>
      <c r="D180" s="8" t="s">
        <v>98</v>
      </c>
      <c r="E180" s="8" t="s">
        <v>66</v>
      </c>
      <c r="F180" s="8" t="s">
        <v>237</v>
      </c>
      <c r="G180" s="8" t="s">
        <v>300</v>
      </c>
      <c r="H180" s="8" t="s">
        <v>44</v>
      </c>
      <c r="I180" s="8" t="s">
        <v>202</v>
      </c>
      <c r="J180" s="8" t="s">
        <v>301</v>
      </c>
      <c r="K180" s="8" t="s">
        <v>203</v>
      </c>
      <c r="L180" s="8" t="s">
        <v>468</v>
      </c>
      <c r="M180" s="8" t="s">
        <v>484</v>
      </c>
      <c r="N180" s="8" t="s">
        <v>44</v>
      </c>
      <c r="O180" s="8" t="s">
        <v>44</v>
      </c>
    </row>
    <row r="181" spans="1:15">
      <c r="A181" s="8" t="s">
        <v>295</v>
      </c>
      <c r="B181" s="8" t="s">
        <v>485</v>
      </c>
      <c r="C181" s="8" t="s">
        <v>186</v>
      </c>
      <c r="D181" s="8" t="s">
        <v>98</v>
      </c>
      <c r="E181" s="8" t="s">
        <v>66</v>
      </c>
      <c r="F181" s="8" t="s">
        <v>237</v>
      </c>
      <c r="G181" s="8" t="s">
        <v>300</v>
      </c>
      <c r="H181" s="8" t="s">
        <v>44</v>
      </c>
      <c r="I181" s="8" t="s">
        <v>202</v>
      </c>
      <c r="J181" s="8" t="s">
        <v>301</v>
      </c>
      <c r="K181" s="8" t="s">
        <v>203</v>
      </c>
      <c r="L181" s="8" t="s">
        <v>468</v>
      </c>
      <c r="M181" s="8" t="s">
        <v>484</v>
      </c>
      <c r="N181" s="8" t="s">
        <v>44</v>
      </c>
      <c r="O181" s="8" t="s">
        <v>44</v>
      </c>
    </row>
    <row r="182" spans="1:15">
      <c r="A182" s="8" t="s">
        <v>296</v>
      </c>
      <c r="B182" s="8" t="s">
        <v>486</v>
      </c>
      <c r="C182" s="8" t="s">
        <v>186</v>
      </c>
      <c r="D182" s="8" t="s">
        <v>98</v>
      </c>
      <c r="E182" s="8" t="s">
        <v>66</v>
      </c>
      <c r="F182" s="8" t="s">
        <v>237</v>
      </c>
      <c r="G182" s="8" t="s">
        <v>300</v>
      </c>
      <c r="H182" s="8" t="s">
        <v>44</v>
      </c>
      <c r="I182" s="8" t="s">
        <v>202</v>
      </c>
      <c r="J182" s="8" t="s">
        <v>301</v>
      </c>
      <c r="K182" s="8" t="s">
        <v>203</v>
      </c>
      <c r="L182" s="8" t="s">
        <v>468</v>
      </c>
      <c r="M182" s="8" t="s">
        <v>484</v>
      </c>
      <c r="N182" s="8" t="s">
        <v>44</v>
      </c>
      <c r="O182" s="8" t="s">
        <v>44</v>
      </c>
    </row>
    <row r="183" spans="1:15">
      <c r="A183" s="8" t="s">
        <v>1542</v>
      </c>
      <c r="B183" s="8" t="s">
        <v>1543</v>
      </c>
      <c r="C183" s="8" t="s">
        <v>186</v>
      </c>
      <c r="D183" s="8" t="s">
        <v>98</v>
      </c>
      <c r="E183" s="8" t="s">
        <v>66</v>
      </c>
      <c r="F183" s="8" t="s">
        <v>237</v>
      </c>
      <c r="G183" s="8" t="s">
        <v>300</v>
      </c>
      <c r="H183" s="8" t="s">
        <v>44</v>
      </c>
      <c r="I183" s="8" t="s">
        <v>202</v>
      </c>
      <c r="J183" s="8" t="s">
        <v>301</v>
      </c>
      <c r="K183" s="8" t="s">
        <v>203</v>
      </c>
      <c r="L183" s="8" t="s">
        <v>468</v>
      </c>
      <c r="M183" s="8" t="s">
        <v>1544</v>
      </c>
      <c r="N183" s="8" t="s">
        <v>44</v>
      </c>
      <c r="O183" s="8" t="s">
        <v>44</v>
      </c>
    </row>
    <row r="184" spans="1:15">
      <c r="A184" s="8" t="s">
        <v>297</v>
      </c>
      <c r="B184" s="8" t="s">
        <v>487</v>
      </c>
      <c r="C184" s="8" t="s">
        <v>186</v>
      </c>
      <c r="D184" s="8" t="s">
        <v>98</v>
      </c>
      <c r="E184" s="8" t="s">
        <v>66</v>
      </c>
      <c r="F184" s="8" t="s">
        <v>237</v>
      </c>
      <c r="G184" s="8" t="s">
        <v>300</v>
      </c>
      <c r="H184" s="8" t="s">
        <v>44</v>
      </c>
      <c r="I184" s="8" t="s">
        <v>202</v>
      </c>
      <c r="J184" s="8" t="s">
        <v>301</v>
      </c>
      <c r="K184" s="8" t="s">
        <v>203</v>
      </c>
      <c r="L184" s="8" t="s">
        <v>355</v>
      </c>
      <c r="M184" s="8" t="s">
        <v>488</v>
      </c>
      <c r="N184" s="8" t="s">
        <v>44</v>
      </c>
      <c r="O184" s="8" t="s">
        <v>44</v>
      </c>
    </row>
    <row r="185" spans="1:15">
      <c r="A185" s="8" t="s">
        <v>839</v>
      </c>
      <c r="B185" s="8" t="s">
        <v>840</v>
      </c>
      <c r="C185" s="8" t="s">
        <v>226</v>
      </c>
      <c r="D185" s="8" t="s">
        <v>98</v>
      </c>
      <c r="E185" s="8" t="s">
        <v>22</v>
      </c>
      <c r="F185" s="8" t="s">
        <v>237</v>
      </c>
      <c r="G185" s="8" t="s">
        <v>233</v>
      </c>
      <c r="H185" s="8" t="s">
        <v>44</v>
      </c>
      <c r="I185" s="8" t="s">
        <v>202</v>
      </c>
      <c r="J185" s="8" t="s">
        <v>301</v>
      </c>
      <c r="K185" s="8" t="s">
        <v>203</v>
      </c>
      <c r="L185" s="8" t="s">
        <v>234</v>
      </c>
      <c r="M185" s="8" t="s">
        <v>235</v>
      </c>
      <c r="N185" s="8" t="s">
        <v>44</v>
      </c>
      <c r="O185" s="8" t="s">
        <v>44</v>
      </c>
    </row>
    <row r="186" spans="1:15">
      <c r="A186" s="8" t="s">
        <v>1545</v>
      </c>
      <c r="B186" s="8" t="s">
        <v>1546</v>
      </c>
      <c r="C186" s="8" t="s">
        <v>226</v>
      </c>
      <c r="D186" s="8" t="s">
        <v>98</v>
      </c>
      <c r="E186" s="8" t="s">
        <v>22</v>
      </c>
      <c r="F186" s="8" t="s">
        <v>237</v>
      </c>
      <c r="G186" s="8" t="s">
        <v>233</v>
      </c>
      <c r="H186" s="8" t="s">
        <v>44</v>
      </c>
      <c r="I186" s="8" t="s">
        <v>202</v>
      </c>
      <c r="J186" s="8" t="s">
        <v>301</v>
      </c>
      <c r="K186" s="8" t="s">
        <v>203</v>
      </c>
      <c r="L186" s="8" t="s">
        <v>234</v>
      </c>
      <c r="M186" s="8" t="s">
        <v>235</v>
      </c>
      <c r="N186" s="8" t="s">
        <v>44</v>
      </c>
      <c r="O186" s="8" t="s">
        <v>44</v>
      </c>
    </row>
    <row r="187" spans="1:15">
      <c r="A187" s="8" t="s">
        <v>298</v>
      </c>
      <c r="B187" s="8" t="s">
        <v>489</v>
      </c>
      <c r="C187" s="8" t="s">
        <v>186</v>
      </c>
      <c r="D187" s="8" t="s">
        <v>98</v>
      </c>
      <c r="E187" s="8" t="s">
        <v>66</v>
      </c>
      <c r="F187" s="8" t="s">
        <v>237</v>
      </c>
      <c r="G187" s="8" t="s">
        <v>300</v>
      </c>
      <c r="H187" s="8" t="s">
        <v>44</v>
      </c>
      <c r="I187" s="8" t="s">
        <v>202</v>
      </c>
      <c r="J187" s="8" t="s">
        <v>301</v>
      </c>
      <c r="K187" s="8" t="s">
        <v>203</v>
      </c>
      <c r="L187" s="8" t="s">
        <v>347</v>
      </c>
      <c r="M187" s="8" t="s">
        <v>348</v>
      </c>
      <c r="N187" s="8" t="s">
        <v>44</v>
      </c>
      <c r="O187" s="8" t="s">
        <v>44</v>
      </c>
    </row>
    <row r="188" spans="1:1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7"/>
  <sheetViews>
    <sheetView workbookViewId="0">
      <pane ySplit="10" topLeftCell="A59" activePane="bottomLeft" state="frozen"/>
      <selection pane="bottomLeft" activeCell="B78" sqref="B78"/>
    </sheetView>
  </sheetViews>
  <sheetFormatPr defaultRowHeight="15"/>
  <cols>
    <col min="1" max="1" width="11.42578125" bestFit="1" customWidth="1"/>
    <col min="2" max="3" width="26.85546875" bestFit="1" customWidth="1"/>
  </cols>
  <sheetData>
    <row r="1" spans="1:3">
      <c r="A1" t="s">
        <v>84</v>
      </c>
    </row>
    <row r="2" spans="1:3">
      <c r="A2" t="s">
        <v>90</v>
      </c>
      <c r="B2" t="s">
        <v>91</v>
      </c>
    </row>
    <row r="3" spans="1:3">
      <c r="A3" t="s">
        <v>85</v>
      </c>
      <c r="B3" t="s">
        <v>85</v>
      </c>
    </row>
    <row r="4" spans="1:3">
      <c r="A4" t="s">
        <v>86</v>
      </c>
      <c r="B4" t="s">
        <v>86</v>
      </c>
    </row>
    <row r="5" spans="1:3">
      <c r="A5" t="s">
        <v>87</v>
      </c>
      <c r="B5" t="s">
        <v>87</v>
      </c>
    </row>
    <row r="6" spans="1:3">
      <c r="A6" t="s">
        <v>88</v>
      </c>
      <c r="B6" t="s">
        <v>88</v>
      </c>
    </row>
    <row r="7" spans="1:3">
      <c r="A7" t="s">
        <v>101</v>
      </c>
      <c r="B7" t="s">
        <v>101</v>
      </c>
    </row>
    <row r="9" spans="1:3">
      <c r="A9" t="s">
        <v>89</v>
      </c>
    </row>
    <row r="10" spans="1:3">
      <c r="A10" t="s">
        <v>90</v>
      </c>
      <c r="B10" t="s">
        <v>92</v>
      </c>
      <c r="C10" t="s">
        <v>93</v>
      </c>
    </row>
    <row r="11" spans="1:3">
      <c r="A11" t="s">
        <v>85</v>
      </c>
      <c r="B11" t="s">
        <v>6</v>
      </c>
      <c r="C11" t="s">
        <v>6</v>
      </c>
    </row>
    <row r="12" spans="1:3">
      <c r="A12" t="s">
        <v>85</v>
      </c>
      <c r="B12" t="s">
        <v>34</v>
      </c>
      <c r="C12" t="s">
        <v>34</v>
      </c>
    </row>
    <row r="13" spans="1:3">
      <c r="A13" t="s">
        <v>85</v>
      </c>
      <c r="B13" t="s">
        <v>35</v>
      </c>
      <c r="C13" t="s">
        <v>35</v>
      </c>
    </row>
    <row r="14" spans="1:3">
      <c r="A14" t="s">
        <v>85</v>
      </c>
      <c r="B14" t="s">
        <v>45</v>
      </c>
      <c r="C14" t="s">
        <v>45</v>
      </c>
    </row>
    <row r="15" spans="1:3">
      <c r="A15" t="s">
        <v>85</v>
      </c>
      <c r="B15" t="s">
        <v>50</v>
      </c>
      <c r="C15" t="s">
        <v>50</v>
      </c>
    </row>
    <row r="16" spans="1:3">
      <c r="A16" t="s">
        <v>85</v>
      </c>
      <c r="B16" t="s">
        <v>51</v>
      </c>
      <c r="C16" t="s">
        <v>51</v>
      </c>
    </row>
    <row r="17" spans="1:3">
      <c r="A17" t="s">
        <v>85</v>
      </c>
      <c r="B17" t="s">
        <v>46</v>
      </c>
      <c r="C17" t="s">
        <v>46</v>
      </c>
    </row>
    <row r="18" spans="1:3">
      <c r="A18" t="s">
        <v>85</v>
      </c>
      <c r="B18" t="s">
        <v>47</v>
      </c>
      <c r="C18" t="s">
        <v>47</v>
      </c>
    </row>
    <row r="19" spans="1:3">
      <c r="A19" s="12" t="s">
        <v>86</v>
      </c>
      <c r="B19" t="s">
        <v>6</v>
      </c>
      <c r="C19" t="s">
        <v>6</v>
      </c>
    </row>
    <row r="20" spans="1:3">
      <c r="A20" s="12" t="s">
        <v>86</v>
      </c>
      <c r="B20" t="s">
        <v>34</v>
      </c>
      <c r="C20" t="s">
        <v>34</v>
      </c>
    </row>
    <row r="21" spans="1:3">
      <c r="A21" s="12" t="s">
        <v>86</v>
      </c>
      <c r="B21" t="s">
        <v>35</v>
      </c>
      <c r="C21" t="s">
        <v>35</v>
      </c>
    </row>
    <row r="22" spans="1:3">
      <c r="A22" s="12" t="s">
        <v>86</v>
      </c>
      <c r="B22" t="s">
        <v>12</v>
      </c>
      <c r="C22" t="s">
        <v>12</v>
      </c>
    </row>
    <row r="23" spans="1:3">
      <c r="A23" s="12" t="s">
        <v>86</v>
      </c>
      <c r="B23" t="s">
        <v>27</v>
      </c>
      <c r="C23" t="s">
        <v>27</v>
      </c>
    </row>
    <row r="24" spans="1:3">
      <c r="A24" s="12" t="s">
        <v>86</v>
      </c>
      <c r="B24" t="s">
        <v>77</v>
      </c>
      <c r="C24" t="s">
        <v>77</v>
      </c>
    </row>
    <row r="25" spans="1:3">
      <c r="A25" s="12" t="s">
        <v>86</v>
      </c>
      <c r="B25" t="s">
        <v>78</v>
      </c>
      <c r="C25" t="s">
        <v>78</v>
      </c>
    </row>
    <row r="26" spans="1:3">
      <c r="A26" s="12" t="s">
        <v>86</v>
      </c>
      <c r="B26" t="s">
        <v>53</v>
      </c>
      <c r="C26" t="s">
        <v>53</v>
      </c>
    </row>
    <row r="27" spans="1:3">
      <c r="A27" s="12" t="s">
        <v>86</v>
      </c>
      <c r="B27" t="s">
        <v>54</v>
      </c>
      <c r="C27" t="s">
        <v>54</v>
      </c>
    </row>
    <row r="28" spans="1:3">
      <c r="A28" s="12" t="s">
        <v>86</v>
      </c>
      <c r="B28" t="s">
        <v>79</v>
      </c>
      <c r="C28" t="s">
        <v>79</v>
      </c>
    </row>
    <row r="29" spans="1:3">
      <c r="A29" s="12" t="s">
        <v>86</v>
      </c>
      <c r="B29" t="s">
        <v>80</v>
      </c>
      <c r="C29" t="s">
        <v>80</v>
      </c>
    </row>
    <row r="30" spans="1:3">
      <c r="A30" s="12" t="s">
        <v>86</v>
      </c>
      <c r="B30" t="s">
        <v>75</v>
      </c>
      <c r="C30" t="s">
        <v>75</v>
      </c>
    </row>
    <row r="31" spans="1:3">
      <c r="A31" s="12" t="s">
        <v>86</v>
      </c>
      <c r="B31" t="s">
        <v>76</v>
      </c>
      <c r="C31" t="s">
        <v>76</v>
      </c>
    </row>
    <row r="32" spans="1:3">
      <c r="A32" s="13" t="s">
        <v>87</v>
      </c>
      <c r="B32" t="s">
        <v>8</v>
      </c>
      <c r="C32" t="s">
        <v>8</v>
      </c>
    </row>
    <row r="33" spans="1:3">
      <c r="A33" s="13" t="s">
        <v>87</v>
      </c>
      <c r="B33" t="s">
        <v>9</v>
      </c>
      <c r="C33" t="s">
        <v>9</v>
      </c>
    </row>
    <row r="34" spans="1:3">
      <c r="A34" s="13" t="s">
        <v>87</v>
      </c>
      <c r="B34" t="s">
        <v>6</v>
      </c>
      <c r="C34" t="s">
        <v>6</v>
      </c>
    </row>
    <row r="35" spans="1:3">
      <c r="A35" s="13" t="s">
        <v>87</v>
      </c>
      <c r="B35" t="s">
        <v>18</v>
      </c>
      <c r="C35" t="s">
        <v>18</v>
      </c>
    </row>
    <row r="36" spans="1:3">
      <c r="A36" s="13" t="s">
        <v>87</v>
      </c>
      <c r="B36" t="s">
        <v>34</v>
      </c>
      <c r="C36" t="s">
        <v>34</v>
      </c>
    </row>
    <row r="37" spans="1:3">
      <c r="A37" s="13" t="s">
        <v>87</v>
      </c>
      <c r="B37" t="s">
        <v>35</v>
      </c>
      <c r="C37" t="s">
        <v>35</v>
      </c>
    </row>
    <row r="38" spans="1:3">
      <c r="A38" s="13" t="s">
        <v>87</v>
      </c>
      <c r="B38" t="s">
        <v>10</v>
      </c>
      <c r="C38" t="s">
        <v>10</v>
      </c>
    </row>
    <row r="39" spans="1:3">
      <c r="A39" s="13" t="s">
        <v>87</v>
      </c>
      <c r="B39" t="s">
        <v>11</v>
      </c>
      <c r="C39" t="s">
        <v>11</v>
      </c>
    </row>
    <row r="40" spans="1:3">
      <c r="A40" s="13" t="s">
        <v>87</v>
      </c>
      <c r="B40" t="s">
        <v>12</v>
      </c>
      <c r="C40" t="s">
        <v>12</v>
      </c>
    </row>
    <row r="41" spans="1:3">
      <c r="A41" s="13" t="s">
        <v>87</v>
      </c>
      <c r="B41" t="s">
        <v>21</v>
      </c>
      <c r="C41" t="s">
        <v>21</v>
      </c>
    </row>
    <row r="42" spans="1:3">
      <c r="A42" s="13" t="s">
        <v>87</v>
      </c>
      <c r="B42" t="s">
        <v>7</v>
      </c>
      <c r="C42" t="s">
        <v>7</v>
      </c>
    </row>
    <row r="43" spans="1:3">
      <c r="A43" s="13" t="s">
        <v>87</v>
      </c>
      <c r="B43" t="s">
        <v>74</v>
      </c>
      <c r="C43" t="s">
        <v>74</v>
      </c>
    </row>
    <row r="44" spans="1:3">
      <c r="A44" s="13" t="s">
        <v>87</v>
      </c>
      <c r="B44" t="s">
        <v>30</v>
      </c>
      <c r="C44" t="s">
        <v>30</v>
      </c>
    </row>
    <row r="45" spans="1:3">
      <c r="A45" s="13" t="s">
        <v>87</v>
      </c>
      <c r="B45" t="s">
        <v>55</v>
      </c>
      <c r="C45" t="s">
        <v>55</v>
      </c>
    </row>
    <row r="46" spans="1:3">
      <c r="A46" s="13" t="s">
        <v>88</v>
      </c>
      <c r="B46" t="s">
        <v>8</v>
      </c>
      <c r="C46" t="s">
        <v>8</v>
      </c>
    </row>
    <row r="47" spans="1:3">
      <c r="A47" s="13" t="s">
        <v>88</v>
      </c>
      <c r="B47" t="s">
        <v>9</v>
      </c>
      <c r="C47" t="s">
        <v>9</v>
      </c>
    </row>
    <row r="48" spans="1:3">
      <c r="A48" s="13" t="s">
        <v>88</v>
      </c>
      <c r="B48" t="s">
        <v>6</v>
      </c>
      <c r="C48" t="s">
        <v>6</v>
      </c>
    </row>
    <row r="49" spans="1:3">
      <c r="A49" s="13" t="s">
        <v>88</v>
      </c>
      <c r="B49" t="s">
        <v>18</v>
      </c>
      <c r="C49" t="s">
        <v>18</v>
      </c>
    </row>
    <row r="50" spans="1:3">
      <c r="A50" s="13" t="s">
        <v>88</v>
      </c>
      <c r="B50" t="s">
        <v>32</v>
      </c>
      <c r="C50" t="s">
        <v>32</v>
      </c>
    </row>
    <row r="51" spans="1:3">
      <c r="A51" s="13" t="s">
        <v>88</v>
      </c>
      <c r="B51" t="s">
        <v>34</v>
      </c>
      <c r="C51" t="s">
        <v>34</v>
      </c>
    </row>
    <row r="52" spans="1:3">
      <c r="A52" s="13" t="s">
        <v>88</v>
      </c>
      <c r="B52" t="s">
        <v>35</v>
      </c>
      <c r="C52" t="s">
        <v>35</v>
      </c>
    </row>
    <row r="53" spans="1:3">
      <c r="A53" s="13" t="s">
        <v>88</v>
      </c>
      <c r="B53" t="s">
        <v>12</v>
      </c>
      <c r="C53" t="s">
        <v>12</v>
      </c>
    </row>
    <row r="54" spans="1:3">
      <c r="A54" s="13" t="s">
        <v>88</v>
      </c>
      <c r="B54" t="s">
        <v>21</v>
      </c>
      <c r="C54" t="s">
        <v>21</v>
      </c>
    </row>
    <row r="55" spans="1:3">
      <c r="A55" s="13" t="s">
        <v>88</v>
      </c>
      <c r="B55" t="s">
        <v>26</v>
      </c>
      <c r="C55" t="s">
        <v>26</v>
      </c>
    </row>
    <row r="56" spans="1:3">
      <c r="A56" s="13" t="s">
        <v>88</v>
      </c>
      <c r="B56" t="s">
        <v>27</v>
      </c>
      <c r="C56" t="s">
        <v>27</v>
      </c>
    </row>
    <row r="57" spans="1:3">
      <c r="A57" s="13" t="s">
        <v>88</v>
      </c>
      <c r="B57" t="s">
        <v>30</v>
      </c>
      <c r="C57" t="s">
        <v>30</v>
      </c>
    </row>
    <row r="58" spans="1:3">
      <c r="A58" s="13" t="s">
        <v>88</v>
      </c>
      <c r="B58" t="s">
        <v>28</v>
      </c>
      <c r="C58" t="s">
        <v>28</v>
      </c>
    </row>
    <row r="59" spans="1:3">
      <c r="A59" s="13" t="s">
        <v>88</v>
      </c>
      <c r="B59" t="s">
        <v>29</v>
      </c>
      <c r="C59" t="s">
        <v>29</v>
      </c>
    </row>
    <row r="60" spans="1:3">
      <c r="A60" s="13" t="s">
        <v>88</v>
      </c>
      <c r="B60" t="s">
        <v>7</v>
      </c>
      <c r="C60" t="s">
        <v>7</v>
      </c>
    </row>
    <row r="61" spans="1:3">
      <c r="A61" s="13" t="s">
        <v>88</v>
      </c>
      <c r="B61" t="s">
        <v>31</v>
      </c>
      <c r="C61" t="s">
        <v>31</v>
      </c>
    </row>
    <row r="62" spans="1:3">
      <c r="A62" s="13" t="s">
        <v>88</v>
      </c>
      <c r="B62" t="s">
        <v>33</v>
      </c>
      <c r="C62" t="s">
        <v>33</v>
      </c>
    </row>
    <row r="63" spans="1:3">
      <c r="A63" s="13" t="s">
        <v>101</v>
      </c>
      <c r="B63" t="s">
        <v>6</v>
      </c>
      <c r="C63" t="s">
        <v>6</v>
      </c>
    </row>
    <row r="64" spans="1:3">
      <c r="A64" s="13" t="s">
        <v>101</v>
      </c>
      <c r="B64" t="s">
        <v>18</v>
      </c>
      <c r="C64" t="s">
        <v>18</v>
      </c>
    </row>
    <row r="65" spans="1:3">
      <c r="A65" s="13" t="s">
        <v>101</v>
      </c>
      <c r="B65" t="s">
        <v>95</v>
      </c>
      <c r="C65" t="s">
        <v>95</v>
      </c>
    </row>
    <row r="66" spans="1:3">
      <c r="A66" s="13" t="s">
        <v>101</v>
      </c>
      <c r="B66" t="s">
        <v>96</v>
      </c>
      <c r="C66" t="s">
        <v>96</v>
      </c>
    </row>
    <row r="67" spans="1:3">
      <c r="A67" s="13" t="s">
        <v>101</v>
      </c>
      <c r="B67" t="s">
        <v>21</v>
      </c>
      <c r="C67" t="s">
        <v>21</v>
      </c>
    </row>
    <row r="72" spans="1:3">
      <c r="A72" t="s">
        <v>141</v>
      </c>
      <c r="B72" t="s">
        <v>142</v>
      </c>
    </row>
    <row r="73" spans="1:3">
      <c r="A73" t="s">
        <v>143</v>
      </c>
      <c r="B73" t="s">
        <v>140</v>
      </c>
    </row>
    <row r="74" spans="1:3">
      <c r="A74" t="s">
        <v>144</v>
      </c>
      <c r="B74" t="s">
        <v>145</v>
      </c>
    </row>
    <row r="75" spans="1:3">
      <c r="A75" t="s">
        <v>146</v>
      </c>
      <c r="B75" t="s">
        <v>147</v>
      </c>
    </row>
    <row r="76" spans="1:3">
      <c r="A76" t="s">
        <v>148</v>
      </c>
      <c r="B76" t="s">
        <v>4</v>
      </c>
    </row>
    <row r="77" spans="1:3">
      <c r="A77" t="s">
        <v>1556</v>
      </c>
      <c r="B77" t="s">
        <v>1557</v>
      </c>
    </row>
  </sheetData>
  <phoneticPr fontId="6" type="noConversion"/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r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zE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KwAAAB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PwE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wEAAAm3AQAABwAAAAm4AQAAAc4AAADAAAAACbkBAAABAAAAAQAAAAHPAAAAwQAAAD8B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BAAAJtwEAAAcAAAAJvQEAAAHcAAAAwAAAAAm+AQAAAQAAAAEAAAAB3QAAAMEAAABAAQ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QAACbcBAAAHAAAACcIBAAAB6gAAAMAAAAAJwwEAAAEAAAABAAAAAesAAADBAAAANwE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AEAAAmiAQAABwAAAAnHAQAAAfgAAADAAAAACcgBAAABAAAAAQAAAAH5AAAAwQAAADcB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BAAAJogEAAAcAAAAJzAEAAAEGAQAAwAAAAAnNAQAAAQAAAAEAAAABBwEAAMEAAAA3AQ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QAACaIBAAAHAAAACdEBAAABFAEAAMAAAAAJ0gEAAAEAAAABAAAAARUBAADBAAAAPwE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wEAAAm3AQAABwAAAAnWAQAAASIBAADAAAAACdcBAAABAAAAAQAAAAEjAQAAwQAAAD8B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BAAAJtwEAAAcAAAAJ2wEAAAEwAQAAwAAAAAncAQAAAQAAAAEAAAABMQEAAMEAAAA/AQ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QAACbcBAAAHAAAACeABAAABPgEAAMAAAAAJ4QEAAAEAAAABAAAAAT8BAADBAAAANwE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AEAAAmiAQAABwAAAAnlAQAAAUwBAADAAAAACeYBAAABAAAAAQAAAAFNAQAAwQAAAD8B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BAAAJtwEAAAcAAAAJ6gEAAAFaAQAAwAAAAAnrAQAAAAAAAAAAAAABWwEAAMEAAAABAQ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138AAAACe4BAAAHAAAACe8BAAABZwEAAMAAAAAJ8AEAAAAAAAAAAAAAAWgBAADBAAAAKAE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wEAAAnzAQAABwAAAAn0AQAAAXQBAADAAAAACfABAAAAAAAAAAAAAAF1AQAAwQAAACgB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B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DEuMDEuMjAxOCAuLiAwMi4yOC4yMDE4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CFTZXJ2aWNl/////wkwAAAABtsEAAALSW52ZW50VGFibGUJ1wQAAAbdBAAABkl0ZW1JZAoKCQgAAAAJ3wQAAAkIAAAAAXkCAACDAQAAAR/7//84/////////wAG4gQAAAZTdHJpbmcG4wQAAARVbml0CTQAAAABG/v//zb///8CAAAAARr7//8B/v//AQAAAAAACTMAAAAJQQEAAAkIAAAACv////8JMwAAAAoJQQEAAAbsBAAABkl0ZW1JZAbtBAAAC0ludmVudFRhYmxlCgkIAAAACe8EAAAJCAAAAAF8AgAAmAEAAAkzAAAABvIEAAAKTW9kdWxlVHlwZQkIAAAABvQEAAAGSW52ZW50/////wkzAAAACgnyBAAABvcEAAAGSXRlbUlkCgoJCAAAAAn5BAAACQgAAAABfwIAAIMBAAABBfv//zj/////////AAb8BAAABlN0cmluZwb9BAAABFNpdGUJNwAAAAEB+///Nv///wIAAAABAPv//wH+//8BAAAAAAAJNgAAAAn7AAAACQgAAAAK/////wk2AAAACgn7AAAABgYFAAALaW52ZW50RGltSWQGBwUAAAtJbnZlbnRUcmFucwoJCAAAAAkJBQAACQgAAAABggIAAIMBAAAB9fr//zj/////////AAYMBQAABlN0cmluZwYNBQAACVdhcmVob3VzZQk3AAAAAfH6//82////AgAAAAHw+v//Af7//wEAAAAAAAk2AAAACQkBAAAJCAAAAAr/////CTYAAAAKCQkBAAAGFgUAAAtpbnZlbnREaW1JZAYXBQAAC0ludmVudFRyYW5zCgkIAAAACRkFAAAJCAAAAAGrBAAAIQAAAAoAAAAJGwUAABEAAAAJHAUAAASs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FAAAAAAAABK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GzBAAAKQAAAAAAAAAJHgUAAAAA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av3//wYgBQAACEhlbHBUZXh0BiEFAAAyU3BlY2lmeSB0aGUgbW9kdWxlIHRoYXQgZ2VuZXJhdGVkIHRoZSB0cmFuc2FjdGlvbi4B3vr//2r9//8GIwUAAAVMYWJlbAn8AQAAAdv6//9q/f//BiYFAAAEVHlwZQn7AQAAB7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2r9//8JIAUAAAYqBQAANU9yZGVyIG51bWJlciwgcHJvamVjdCBudW1iZXIsIHByb2R1Y3Rpb24gbnVtYmVyLCBldGMuAdX6//9q/f//CSMFAAAJCgIAAAHS+v//av3//wkmBQAACQk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v//av3//wkgBQAABjMFAAAOSWRlbnRpZnkgaXRlbS4BzPr//2r9//8JIwUAAAkYAgAAAcn6//9q/f//CSYFAAAJFw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6//9q/f//CSAFAAAGPAUAABxEYXRlIG9mIHBoeXNpY2FsIHRyYW5zYWN0aW9uAcP6//9q/f//CSMFAAAJJgIAAAHA+v//av3//wkmBQAACSU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v//av3//wkgBQAABkUFAAAdRGF0ZSBvZiBmaW5hbmNpYWwgdHJhbnNhY3Rpb24Buvr//2r9//8JIwUAAAk0AgAAAbf6//9q/f//CSYFAAAJMwIAAAe/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9q/f//CSAFAAAGTgUAACRRdWFudGl0eSBhdHRhY2hlZCB0byB0aGUgdHJhbnNhY3Rpb24Bsfr//2r9//8JIwUAAAlCAgAAAa76//9q/f//CSYFAAAJQQIAA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6//9q/f//CSAFAAAGVwUAAFJTdW1tYXJ5IG51bWJlci9Mb3QgSUQgZm9yIHRyYW5zYWN0aW9ucyBhdHRhY2hlZCB0byB0aGUgc2FtZSBpbnZlbnRvcnkgdHJhbnNhY3Rpb24uAaj6//9q/f//CSMFAAAJUAIAAAGl+v//av3//wkmBQAACU8CAAABwgQAABIAAAAHw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av3//wZfBQAABFR5cGUJMwIAAAGf+v//av3//wZiBQAABUxhYmVsCTQCAAABnPr//2r9//8GZQUAAAhSZWZlcnNUbwZmBQAACz1EYXRlUGVyaW9kB8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r//2r9//8JXwUAAAkXAgAAAZb6//9q/f//CWIFAAAJGAIAAAGT+v//av3//wllBQAABm8FAAALPUl0ZW1OdW1iZXI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GAAAACaIBAAADAAAACXEF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cIEAAADAAAACXMF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GAAAACaIBAAADAAAACXUFAAAE+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106AAAACcIEAAADAAAACXcFAAAEC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GAAAACaIBAAADAAAACXkFAAAEG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GAAAACaIBAAADAAAACXsFAAABGwUAABIAAAAHHAU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Pr//3/+//8GfQUAABhUYWJsZS5JbnZlbnRUcmFucy5JdGVtSWQJiQEAAAGB+v//f/7//waABQAAH1RhYmxlLkludmVudFRyYW5zLkludmVudFRyYW5zSWQJlQEAAAF++v//f/7//waDBQAAG1RhYmxlLkludmVudFRyYW5zLlRyYW5zVHlwZQmDAQAAAXv6//9//v//BoYFAAAcVGFibGUuSW52ZW50VHJhbnMuVHJhbnNSZWZJZAmGAQAAAXj6//9//v//BokFAAAeVGFibGUuSW52ZW50VHJhbnMuRGF0ZVBoeXNpY2FsCYwBAAABdfr//3/+//8GjAUAAB9UYWJsZS5JbnZlbnRUcmFucy5EYXRlRmluYW5jaWFsCY8BAAABcvr//3/+//8GjwUAAB9UYWJsZS5JbnZlbnRUcmFucy5TdGF0dXNSZWNlaXB0CZAFAAABb/r//3/+//8GkgUAAB1UYWJsZS5JbnZlbnRUcmFucy5TdGF0dXNJc3N1ZQmTBQAAAWz6//9//v//BpUFAAAVVGFibGUuSW52ZW50VHJhbnMuUXR5CZIBAAABafr//3/+//8GmAUAACJUYWJsZS5JbnZlbnRUcmFucy5Db3N0QW1vdW50UG9zdGVkCZkFAAABHgUAAIkAAAAHc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+v//av3//wabBQAABUxhYmVsCcgEAAABY/r//2r9//8GngUAAARUeXBlCccE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v//av3//wlfBQAABqIFAAAERW51bQFd+v//av3//wliBQAABqUFAAAJSXRlbSB0eXBlAVr6//9q/f//CWUFAAAGqAUAAAk9SXRlbVR5cGUHd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av3//wmbBQAACeMEAAABVPr//2r9//8JngUAAAniB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2r9//8JXwUAAAaxBQAABEVudW0BTvr//2r9//8JYgUAAAa0BQAAC01vZHVsZSB0eXBlB3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r//2r9//8JmwUAAAn9BAAAAUj6//9q/f//CZ4FAAAJ/AQAAAd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6//9q/f//CZsFAAAJDQUAAAFC+v//av3//wmeBQAACQwFAAABkAUAAIMBAAABP/r//zj/////////AAbCBQAABEVudW0GwwUAAA5SZWNlaXB0IHN0YXR1cwn9AQAAATv6//82////AgAAAAE6+v//Af7//wEAAAAAAAkAAgAABsgFAAANU3RhdHVzUmVjZWlwdAkIAAAACv////8JAAIAAAoJyAUAAAoKCgkIAAAACc0FAAAJCAAAAAGTBQAAgwEAAAEx+v//OP////////8ABtAFAAAERW51bQbRBQAADElzc3VlIHN0YXR1cwn9AQAAAS36//82////AgAAAAEs+v//Af7//wEAAAAAAAkAAgAABtYFAAALU3RhdHVzSXNzdWUJCAAAAAr/////CQACAAAKCdYFAAAKCgoJCAAAAAnbBQAACQgAAAABmQUAAIMBAAABI/r//zj/////////AAbeBQAABFJlYWwG3wUAABVGaW5hbmNpYWwgY29zdCBhbW91bnQJ/QEAAAEf+v//Nv///wIAAAABHvr//wH+//8BAAAAAAAJAAIAAAbkBQAAEENvc3RBbW91bnRQb3N0ZWQJCAAAAAr/////CQACAAAKCeQFAAAKCgoJCAAAAAnpBQAACQgAAAAEz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wFAAAE2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4FAAAE6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fAFAAAH7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v//av3//wkgBQAABvMFAAApU3RhdHVzIG9mIHF1YW50aXR5IGluIHJlbGF0aW9uIHRvIHJlY2VpcHQBDPr//2r9//8JIwUAAAnDBQAAAQn6//9q/f//CSYFAAAJwgU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6//9q/f//CSAFAAAG/AUAAClTdGF0dXMgZm9yIHF1YW50aXR5IGluIHJlbGF0aW9uIHRvIGlzc3VlcwED+v//av3//wkjBQAACdEFAAABAPr//2r9//8JJgUAAAnQBQAAB/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n//2r9//8JIAUAAAYFBgAANUludmVudG9yeSB2YWx1ZSBmb3IgdGhlIGZpbmFuY2lhbGx5IHVwZGF0ZWQgcXVhbnRpdHkuAfr5//9q/f//CSMFAAAJ3wUAAAH3+f//av3//wkmBQAACd4FAAAL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8B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BAAAJ8AAAAAcAAAAJ8QAAAAE0AAAAJgAAAAnyAAAAAQAAAAEAAAABNQAAACcAAAA/AQAACe4AAAAHAAAACfQAAAABNgAAACgAAAA7AQAACfAAAAAHAAAACfYAAAABQgAAACYAAAAJ9wAAAAEAAAABAAAAAUMAAAAnAAAAQAEAAAnuAAAABwAAAAn5AAAAAUQAAAAoAAAAOwEAAAnwAAAABwAAAAn7AAAAAVAAAAAmAAAACfwAAAABAAAAAQAAAAFRAAAAJwAAADcBAAAJ/QAAAAcAAAAJ/gAAAAFSAAAAKAAAADQBAAAJ/wAAAAcAAAAJAAEAAAFeAAAAJgAAAAkBAQAAAQAAAAEAAAABXwAAACcAAAA3AQAACf0AAAAHAAAACQMBAAABYAAAACgAAAA0AQAACf8AAAAHAAAACQUBAAABbAAAACYAAAAJBgEAAAEAAAABAAAAAW0AAAAnAAAANwEAAAn9AAAABwAAAAkIAQAAAW4AAAAoAAAANAEAAAn/AAAABwAAAAkKAQAAAXoAAAAmAAAACQsBAAABAAAAAQAAAAF7AAAAJwAAAD8BAAAJ7gAAAAcAAAAJDQEAAAF8AAAAKAAAADsBAAAJ8AAAAAcAAAAJDwEAAAGIAAAAJgAAAAkQAQAAAQAAAAEAAAABiQAAACcAAAA/AQAACe4AAAAHAAAACRIBAAABigAAACgAAAA7AQAACfAAAAAHAAAACRQBAAABlgAAACYAAAAJFQEAAAEAAAABAAAAAZcAAAAnAAAAPwEAAAnuAAAABwAAAAkXAQAAAZgAAAAoAAAAOwEAAAnwAAAABwAAAAkZAQAAAaQAAAAmAAAACRoBAAABAAAAAQAAAAGlAAAAJwAAADcBAAAJ/QAAAAcAAAAJHAEAAAGmAAAAKAAAADQBAAAJ/wAAAAcAAAAJHgEAAAGyAAAAJgAAAAkfAQAAAQAAAAEAAAABswAAACcAAAA/AQAACe4AAAAHAAAACSEBAAABtAAAACgAAAA7AQAACfAAAAAHAAAACSMBAAABwAAAACYAAAAJJAEAAAAAAAAAAAAAAcEAAAAnAAAAAQEAAAklAQAABwAAAAkmAQAAAcIAAAAoAAAA/AAAAAknAQAABwAAAAkoAQAAAc0AAAAmAAAACSkBAAAAAAAAAAAAAAHOAAAAJwAAACgBAAAJKgEAAAcAAAAJKwEAAAHPAAAAKAAAAB8BAAAJLAEAAAcAAAAJLQEAAAHaAAAAJgAAAAkpAQAAAAAAAAAAAAAB2wAAACcAAAAoAQAACSoBAAAHAAAACTABAAAB3AAAACgAAAAfAQ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AxLjAxLjIwMTggLi4gMDIuMjguMjAxOAHqAAAA6AAAAAAJMwEAAAY6AQAABkl0ZW1JZAY7AQAAASoB6wAAAOgAAAAABjwBAAAqVGFibGUuSW52ZW50VHJhbnMuSXRlbUlkflRhYmxlLkludmVudFRhYmxlBj0BAAAISXRlbVR5cGUGPgEAAAghU2VydmljZQHsAAAA6AAAAAAGPwEAAElUYWJsZS5JbnZlbnRUcmFucy5JdGVtSWR+VGFibGUuSW52ZW50VGFibGUuSXRlbUlkflRhYmxlLkludmVudFRhYmxlTW9kdWxlBkABAAAKTW9kdWxlVHlwZQZBAQAABkludmVudAftAAAAAAEAAAAEAAAABDdHbG9iZVNvZnR3YXJlLkF0bGFzNDAuQXRsYXNDb21tb24uVHlwZS5GaWVsZE91dHB1dEZpZWxkDgAAAAlCAQAADQME7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P7//zJHbG9iZVNvZnR3YXJlLkF0bGFzNDAuQXRsYXNDb21tb24uQ29sdW1uQXR0cmlidXRlcwEAAAAHdmFsdWVfXwAIDgAAABAAAAAGRQEAAAROb25lAbr+//+9/v//Abn+//+8/v//CQAAAAksAAAAAbf+//+9/v//Abb+//+8/v//CwAAAAZLAQAAATABtP7//73+//8Bs/7//7z+//8EAAAABk4BAAAHR2VuZXJhbAGx/v//vf7//wGw/v//vP7//wIAAAAGUQEAAAExAa7+//+9/v//Aa3+//+8/v//AAAAAAZUAQAABTEzLjcxAfAAAAAMAAAAB/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QAACEZvbnRCb2xkBlcBAAAFRmFsc2UBqP7//6v+//8GWQEAAApGb250SXRhbGljCVcBAAABpf7//6v+//8GXAEAAA1Gb250VW5kZXJsaW5lBl0BAAAFLTQxNDIBov7//6v+//8GXwEAAAhGb250TmFtZQZgAQAAB0NhbGlicmkBn/7//6v+//8GYgEAAAlGb250Q29sb3IGYwEAAAEwAZz+//+r/v//BmUBAAAIRm9udFNpemUGZgEAAAIxMQGZ/v//q/7//wZoAQAACUZvbnRTdHlsZQZpAQAAB1JlZ3VsYXIH8gAAAAABAAAABAAAAAQ3R2xvYmVTb2Z0d2FyZS5BdGxhczQwLkF0bGFzQ29tbW9uLlR5cGUuRmllbGRPdXRwdXRGaWVsZA4AAAAJagEAAA0DB/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vf7//wGU/v//vP7//xAAAAAJRQEAAAGS/v//vf7//wGR/v//vP7//wkAAAAJLAAAAAGP/v//vf7//wGO/v//vP7//wsAAAAGcwEAAAExAYz+//+9/v//AYv+//+8/v//BAAAAAZ2AQAAB0dlbmVyYWwBif7//73+//8BiP7//7z+//8CAAAABnkBAAABMQGG/v//vf7//wGF/v//vP7//wAAAAAGfAEAAAUxMC44Ngf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+//+r/v//CVYBAAAJVwEAAAGA/v//q/7//wlZAQAACVcBAAABff7//6v+//8JXAEAAAaFAQAABS00MTQyAXr+//+r/v//CV8BAAAGiAEAAAdDYWxpYnJpAXf+//+r/v//CWIBAAAGiwEAAAEwAXT+//+r/v//CWUBAAAGjgEAAAIxMQFx/v//q/7//wloAQAABpEBAAAHUmVndWxhcgf3AAAAAAEAAAAEAAAABDdHbG9iZVNvZnR3YXJlLkF0bGFzNDAuQXRsYXNDb21tb24uVHlwZS5GaWVsZE91dHB1dEZpZWxkDgAAAAmSAQAADQMH+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3+//+9/v//AWz+//+8/v//BgAAAAaVAQAABVRvdGFsAWr+//+9/v//AWn+//+8/v//EAAAAAlFAQAAAWf+//+9/v//AWb+//+8/v//CQAAAAksAAAAAWT+//+9/v//AWP+//+8/v//CwAAAAaeAQAAATIBYf7//73+//8BYP7//7z+//8EAAAABqEBAAAHR2VuZXJhbAFe/v//vf7//wFd/v//vP7//wIAAAAGpAEAAAExAVv+//+9/v//AVr+//+8/v//AAAAAAanAQAABTEzLjcxB/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6v+//8JVgEAAAlXAQAAAVX+//+r/v//CVkBAAAJVwEAAAFS/v//q/7//wlcAQAABrABAAAFLTQxNDIBT/7//6v+//8JXwEAAAazAQAAB0NhbGlicmkBTP7//6v+//8JYgEAAAa2AQAAATABSf7//6v+//8JZQEAAAa5AQAAAjExAUb+//+r/v//CWgBAAAGvAEAAAdSZWd1bGFyB/wAAAAAAQAAAAQAAAAEN0dsb2JlU29mdHdhcmUuQXRsYXM0MC5BdGxhc0NvbW1vbi5UeXBlLkZpZWxkT3V0cHV0RmllbGQOAAAACb0BAAANAwH9AAAA7gAAAAf+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73+//8BQf7//7z+//8JAAAACSwAAAABP/7//73+//8BPv7//7z+//8LAAAABsMBAAABMwE8/v//vf7//wE7/v//vP7//wQAAAAGxgEAAAdHZW5lcmFsATn+//+9/v//ATj+//+8/v//AgAAAAbJAQAAATEBNv7//73+//8BNf7//7z+//8AAAAABswBAAAFMzQuMTQB/wAAAAwAAAAHA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v//q/7//wlWAQAACVcBAAABMP7//6v+//8JWQEAAAlXAQAAAS3+//+r/v//CVwBAAAG1QEAAAUtNDE0MgEq/v//q/7//wlfAQAABtgBAAAHQ2FsaWJyaQEn/v//q/7//wliAQAABtsBAAABMAEk/v//q/7//wllAQAABt4BAAACMTEBIf7//6v+//8JaAEAAAbhAQAAB1JlZ3VsYXIHAQEAAAABAAAABAAAAAQ3R2xvYmVTb2Z0d2FyZS5BdGxhczQwLkF0bGFzQ29tbW9uLlR5cGUuRmllbGRPdXRwdXRGaWVsZA4AAAAJ4gEAAA0DBw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v//vf7//wEc/v//vP7//wkAAAAJLAAAAAEa/v//vf7//wEZ/v//vP7//wsAAAAG6AEAAAE0ARf+//+9/v//ARb+//+8/v//BAAAAAbrAQAAB0dlbmVyYWwBFP7//73+//8BE/7//7z+//8CAAAABu4BAAABMQER/v//vf7//wEQ/v//vP7//wAAAAAG8QEAAAE2Bw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7//6v+//8JVgEAAAlXAQAAAQv+//+r/v//CVkBAAAJVwEAAAEI/v//q/7//wlcAQAABvoBAAAFLTQxNDIBBf7//6v+//8JXwEAAAb9AQAAB0NhbGlicmkBAv7//6v+//8JYgEAAAYAAgAAATAB//3//6v+//8JZQEAAAYDAgAAAjExAfz9//+r/v//CWgBAAAGBgIAAAdSZWd1bGFyBwYBAAAAAQAAAAQAAAAEN0dsb2JlU29mdHdhcmUuQXRsYXM0MC5BdGxhc0NvbW1vbi5UeXBlLkZpZWxkT3V0cHV0RmllbGQOAAAACQcCAAANAwc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P3//73+//8B9/3//7z+//8JAAAACSwAAAAB9f3//73+//8B9P3//7z+//8LAAAABg0CAAABNQHy/f//vf7//wHx/f//vP7//wQAAAAGEAIAAAdHZW5lcmFsAe/9//+9/v//Ae79//+8/v//AgAAAAYTAgAAATEB7P3//73+//8B6/3//7z+//8AAAAABhYCAAAFMTIuODY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f//q/7//wlWAQAACVcBAAAB5v3//6v+//8JWQEAAAlXAQAAAeP9//+r/v//CVwBAAAGHwIAAAUtNDE0MgHg/f//q/7//wlfAQAABiICAAAHQ2FsaWJyaQHd/f//q/7//wliAQAABiUCAAABMAHa/f//q/7//wllAQAABigCAAACMTEB1/3//6v+//8JaAEAAAYrAgAAB1JlZ3VsYXIHCwEAAAABAAAABAAAAAQ3R2xvYmVTb2Z0d2FyZS5BdGxhczQwLkF0bGFzQ29tbW9uLlR5cGUuRmllbGRPdXRwdXRGaWVsZA4AAAAJLAIAAA0DBw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f//vf7//wHS/f//vP7//xAAAAAJRQEAAAHQ/f//vf7//wHP/f//vP7//wkAAAAJLAAAAAHN/f//vf7//wHM/f//vP7//wsAAAAGNQIAAAE2Acr9//+9/v//Acn9//+8/v//BAAAAAY4AgAACG0vZC95eXl5Acf9//+9/v//Acb9//+8/v//AgAAAAY7AgAAATEBxP3//73+//8Bw/3//7z+//8AAAAABj4CAAAFMTQuMTQ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q/7//wlWAQAACVcBAAABvv3//6v+//8JWQEAAAlXAQAAAbv9//+r/v//CVwBAAAGRwIAAAUtNDE0MgG4/f//q/7//wlfAQAABkoCAAAHQ2FsaWJyaQG1/f//q/7//wliAQAABk0CAAABMAGy/f//q/7//wllAQAABlACAAACMTEBr/3//6v+//8JaAEAAAZTAgAAB1JlZ3VsYXIHEAEAAAABAAAABAAAAAQ3R2xvYmVTb2Z0d2FyZS5BdGxhczQwLkF0bGFzQ29tbW9uLlR5cGUuRmllbGRPdXRwdXRGaWVsZA4AAAAJVAIAAA0DBx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vf7//wGq/f//vP7//xAAAAAJRQEAAAGo/f//vf7//wGn/f//vP7//wkAAAAJLAAAAAGl/f//vf7//wGk/f//vP7//wsAAAAGXQIAAAE3AaL9//+9/v//AaH9//+8/v//BAAAAAZgAgAACG0vZC95eXl5AZ/9//+9/v//AZ79//+8/v//AgAAAAZjAgAAATEBnP3//73+//8Bm/3//7z+//8AAAAABmYCAAACMTUHF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q/7//wlWAQAACVcBAAABlv3//6v+//8JWQEAAAlXAQAAAZP9//+r/v//CVwBAAAGbwIAAAUtNDE0MgGQ/f//q/7//wlfAQAABnICAAAHQ2FsaWJyaQGN/f//q/7//wliAQAABnUCAAABMAGK/f//q/7//wllAQAABngCAAACMTEBh/3//6v+//8JaAEAAAZ7AgAAB1JlZ3VsYXIHFQEAAAABAAAABAAAAAQ3R2xvYmVTb2Z0d2FyZS5BdGxhczQwLkF0bGFzQ29tbW9uLlR5cGUuRmllbGRPdXRwdXRGaWVsZA4AAAAJfAIAAA0DBx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f//vf7//wGC/f//vP7//xAAAAAJRQEAAAGA/f//vf7//wF//f//vP7//wkAAAAJLAAAAAF9/f//vf7//wF8/f//vP7//wsAAAAGhQIAAAE4AXr9//+9/v//AXn9//+8/v//BAAAAAaIAgAAB0dlbmVyYWwBd/3//73+//8Bdv3//7z+//8CAAAABosCAAABMQF0/f//vf7//wFz/f//vP7//wAAAAAGjgIAAAUxMC4yO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9//+r/v//CVYBAAAJVwEAAAFu/f//q/7//wlZAQAACVcBAAABa/3//6v+//8JXAEAAAaXAgAABS00MTQyAWj9//+r/v//CV8BAAAGmgIAAAdDYWxpYnJpAWX9//+r/v//CWIBAAAGnQIAAAEwAWL9//+r/v//CWUBAAAGoAIAAAIxMQFf/f//q/7//wloAQAABqMCAAAHUmVndWxhcgcaAQAAAAEAAAAEAAAABDdHbG9iZVNvZnR3YXJlLkF0bGFzNDAuQXRsYXNDb21tb24uVHlwZS5GaWVsZE91dHB1dEZpZWxkDgAAAAmkAgAADQMHH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9//+9/v//AVr9//+8/v//CQAAAAksAAAAAVj9//+9/v//AVf9//+8/v//CwAAAAaqAgAAATkBVf3//73+//8BVP3//7z+//8EAAAABq0CAAAHR2VuZXJhbAFS/f//vf7//wFR/f//vP7//wIAAAAGsAIAAAExAU/9//+9/v//AU79//+8/v//AAAAAAazAgAABDYuNDM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q/7//wlWAQAACVcBAAABSf3//6v+//8JWQEAAAlXAQAAAUb9//+r/v//CVwBAAAGvAIAAAUtNDE0MgFD/f//q/7//wlfAQAABr8CAAAHQ2FsaWJyaQFA/f//q/7//wliAQAABsICAAABMAE9/f//q/7//wllAQAABsUCAAACMTEBOv3//6v+//8JaAEAAAbIAgAAB1JlZ3VsYXIHHwEAAAABAAAABAAAAAQ3R2xvYmVTb2Z0d2FyZS5BdGxhczQwLkF0bGFzQ29tbW9uLlR5cGUuRmllbGRPdXRwdXRGaWVsZA4AAAAJyQIAAA0DBy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vf7//wE1/f//vP7//xAAAAAJRQEAAAEz/f//vf7//wEy/f//vP7//wkAAAAJLAAAAAEw/f//vf7//wEv/f//vP7//wsAAAAG0gIAAAIxMAEt/f//vf7//wEs/f//vP7//wQAAAAG1QIAAAdHZW5lcmFsASr9//+9/v//ASn9//+8/v//AgAAAAbYAgAAATEBJ/3//73+//8BJv3//7z+//8AAAAABtsCAAAEOS40Mw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9//+r/v//CVYBAAAJVwEAAAEh/f//q/7//wlZAQAACVcBAAABHv3//6v+//8JXAEAAAbkAgAABS00MTQyARv9//+r/v//CV8BAAAG5wIAAAdDYWxpYnJpARj9//+r/v//CWIBAAAG6gIAAAEwARX9//+r/v//CWUBAAAG7QIAAAIxMQES/f//q/7//wloAQAABvACAAAHUmVndWxhcgckAQAAAAEAAAAAAAAABDdHbG9iZVNvZnR3YXJlLkF0bGFzNDAuQXRsYXNDb21tb24uVHlwZS5GaWVsZE91dHB1dEZpZWxkDgAAAAElAQAA7gAAAAc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73+//8BDv3//7z+//8kAAAACcQAAAABDP3//73+//8BC/3//7z+//8LAAAABvYCAAACMTEBCf3//73+//8BCP3//7z+//8EAAAABvkCAAAHR2VuZXJhbAEG/f//vf7//wEF/f//vP7//wIAAAAG/AIAAAExAQP9//+9/v//AQL9//+8/v//AAAAAAb/AgAABTIwLjQzAQD9//+9/v//Af/8//+8/v//AwAAAAYCAwAAnQE9SUYoW0BSZWZlcmVuY2VdPSJQdXJjaGFzZSBvcmRlciIsQXRsYXNUYWJsZSgiVUFUIixEYXRhQXJlYUlkLCJULlZlbmRJbnZvaWNlVHJhbnMiLCIlUmVjSWQiLCIiLCIiLCIiLCIiLCIiLCIiLCJJdGVtSWR8UHVyY2hJRHxJbnZlbnRUcmFuc0lkIiwkQzMsJEIzLCRLMyksIiIpAScBAAAMAAAABy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z//6v+//8GBAMAAAhGb250Qm9sZAlXAQAAAfr8//+r/v//BgcDAAAKRm9udEl0YWxpYwlXAQAAAff8//+r/v//BgoDAAANRm9udFVuZGVybGluZQYLAwAABS00MTQyAfT8//+r/v//Bg0DAAAIRm9udE5hbWUGDgMAAAdDYWxpYnJpAfH8//+r/v//BhADAAAJRm9udENvbG9yBhEDAAABMAHu/P//q/7//wYTAwAACEZvbnRTaXplBhQDAAACMTEB6/z//6v+//8GFgMAAAlGb250U3R5bGUGFwMAAAdSZWd1bGFyBykBAAAAAQAAAAAAAAAEN0dsb2JlU29mdHdhcmUuQXRsYXM0MC5BdGxhc0NvbW1vbi5UeXBlLkZpZWxkT3V0cHV0RmllbGQOAAAAASoBAADuAAAABy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P//vf7//wHn/P//vP7//yQAAAAJ0QAAAAHl/P//vf7//wHk/P//vP7//wsAAAAGHQMAAAIxMgHi/P//vf7//wHh/P//vP7//wQAAAAGIAMAAAdHZW5lcmFsAd/8//+9/v//Ad78//+8/v//AgAAAAYjAwAAATEB3Pz//73+//8B2/z//7z+//8AAAAABiYDAAAFMTAuNDMB2fz//73+//8B2Pz//7z+//8DAAAABikDAACpAT1JRihbQFJlZmVyZW5jZV09IlB1cmNoYXNlIG9yZGVyIixBdGxhc1RhYmxlKCJVQVQiLERhdGFBcmVhSWQsIlQuTWFya3VwVHJhbnMiLCIlQ3VycmVuY3lDb2RlIiwiIiwiIiwiIiwiIiwiIiwiIiwiTWFya3VwQ29kZXxUcmFuc1JlY0lkfFRyYW5zVGFibGVJZCIsIlRQUCIsJEwzLCI0OTIiKSwiIikBLAEAAAwAAAA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q/7//wYrAwAACEZvbnRCb2xkCVcBAAAB0/z//6v+//8GLgMAAApGb250SXRhbGljCVcBAAAB0Pz//6v+//8GMQMAAA1Gb250VW5kZXJsaW5lBjIDAAAFLTQxNDIBzfz//6v+//8GNAMAAAhGb250TmFtZQY1AwAAB0NhbGlicmkByvz//6v+//8GNwMAAAlGb250Q29sb3IGOAMAAAEwAcf8//+r/v//BjoDAAAIRm9udFNpemUGOwMAAAIxMQHE/P//q/7//wY9AwAACUZvbnRTdHlsZQY+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+9/v//AcD8//+8/v//JAAAAAneAAAAAb78//+9/v//Ab38//+8/v//CwAAAAZEAwAAAjEzAbv8//+9/v//Abr8//+8/v//BAAAAAZHAwAAB0dlbmVyYWwBuPz//73+//8Bt/z//7z+//8CAAAABkoDAAABMQG1/P//vf7//wG0/P//vP7//wAAAAAGTQMAAAIyOAGy/P//vf7//wGx/P//vP7//wMAAAAGUAMAAKoBPUlGKFtAUmVmZXJlbmNlXT0iUHVyY2hhc2Ugb3JkZXIiLEF0bGFzQmFsYW5jZSgiVUFUIixEYXRhQXJlYUlkLCJULk1hcmt1cFRyYW5zIiwiU3VtfFBvc3RlZHwwIiwiIiwiIiwiIiwiIiwiIiwiIiwiTWFya3VwQ29kZXxUcmFuc1RhYmxlSWR8VHJhbnNSZWNJZCIsIlRQUCIsIjQ5MiIsJEwzKSwiIik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q/7//wkrAwAACVcBAAABrPz//6v+//8JLgMAAAlXAQAAAan8//+r/v//CTEDAAAGWQMAAAUtNDE0MgGm/P//q/7//wk0AwAABlwDAAAHQ2FsaWJyaQGj/P//q/7//wk3AwAABl8DAAABMAGg/P//q/7//wk6AwAABmIDAAACMTEBnfz//6v+//8JPQMAAAZlAwAAB1JlZ3VsYXIFQ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mvz//9L/////////AAZnAwAABEVudW0GaAMAAAlSZWZlcmVuY2UJaQMAAAGW/P//0P///wIAAAAFlfz//zlHbG9iZVNvZnR3YXJlLkF0bGFzNDAuQXRsYXNDb21tb24uTnVtYmVyU2VxdWVuY2VDb25kaXRpb24BAAAAB3ZhbHVlX18ACA4AAAABAAAAAAAGbAMAABFUYWJsZS5JbnZlbnRUcmFucwkpAAAACSwAAAAK/////wlsAwAACgkpAAAACgoKCSwAAAAJcgMAAAksAAAAAWoBAABCAQAAAYz8///S/////////wAGdQMAAAZTdHJpbmcGdgMAAAZOdW1iZXIJaQMAAAGI/P//0P///wIAAAABh/z//5X8//8BAAAAAAAJbAMAAAk3AAAACSwAAAAK/////wlsAwAACgk3AAAACgoKCSwAAAAJgAMAAAksAAAAAZIBAABCAQAAAX78///S/////////wAGgwMAAAZTdHJpbmcGhAMAAAtJdGVtIG51bWJlcglpAwAAAXr8///Q////AgAAAAF5/P//lfz//wEAAAAAAAlsAwAACUUAAAAJLAAAAAr/////CWwDAAAKCUUAAAAKCgoJLAAAAAmOAwAACSwAAAABvQEAAEIBAAABcPz//9L/////////AAaRAwAABlN0cmluZwaSAwAACUl0ZW0gbmFtZQmTAwAAAWz8///Q////AgAAAAFr/P//lfz//wEAAAAAAAk8AQAACVMAAAAJLAAAAAr/////CTwBAAAKCVMAAAAGmwMAAAZJdGVtSWQGnAMAAAtJbnZlbnRUcmFucwoJLAAAAAmeAwAACSwAAAAB4gEAAEIBAAABYPz//9L/////////AAahAwAABlN0cmluZwaiAwAABFNpdGUJowMAAAFc/P//0P///wIAAAABW/z//5X8//8BAAAAAAAGpgMAAC1UYWJsZS5JbnZlbnRUcmFucy5pbnZlbnREaW1JZH5UYWJsZS5JbnZlbnREaW0JYQAAAAksAAAACv////8JpgMAAAoJYQAAAAarAwAAC2ludmVudERpbUlkBqwDAAALSW52ZW50VHJhbnMKCSwAAAAJrgMAAAksAAAAAQcCAABCAQAAAVD8///S/////////wAGsQMAAAZTdHJpbmcGsgMAAAlXYXJlaG91c2UJowMAAAFM/P//0P///wIAAAABS/z//5X8//8BAAAAAAAJpgMAAAlvAAAACSwAAAAK/////wmmAwAACglvAAAABrsDAAALaW52ZW50RGltSWQGvAMAAAtJbnZlbnRUcmFucwoJLAAAAAm+AwAACSwAAAABLAIAAEIBAAABQPz//9L/////////AAbBAwAABERhdGUGwgMAAA1QaHlzaWNhbCBkYXRlCWkDAAABPPz//9D///8CAAAAATv8//+V/P//AQAAAAAACWwDAAAJfQAAAAksAAAACv////8JbAMAAAoJfQAAAAoKCgksAAAACcwDAAAJLAAAAAFUAgAAQgEAAAEy/P//0v////////8ABs8DAAAERGF0ZQbQAwAADkZpbmFuY2lhbCBkYXRlCWkDAAABLvz//9D///8CAAAAAS38//+V/P//AQAAAAAACWwDAAAJiwAAAAksAAAACv////8JbAMAAAoJiwAAAAoKCgksAAAACdoDAAAJLAAAAAF8AgAAQgEAAAEk/P//0v///wEAAAAABt0DAAAEUmVhbAbeAwAACFF1YW50aXR5CWkDAAABIPz//9D///8CAAAAAR/8//+V/P//AQAAAAAACWwDAAAJmQAAAAksAAAACv////8JbAMAAAoJmQAAAAoKCgksAAAACegDAAAJLAAAAAGkAgAAQgEAAAEW/P//0v////////8ABusDAAAGU3RyaW5nBuwDAAAEVW5pdAntAwAAARL8///Q////AgAAAAER/P//lfz//wEAAAAAAAk/AQAACacAAAAJLAAAAAr/////CT8BAAAKCacAAAAG9QMAAAZJdGVtSWQG9gMAAAtJbnZlbnRUYWJsZQoJLAAAAAn4AwAACSwAAAAByQIAAEIBAAABBvz//9L/////////AAb7AwAABlN0cmluZwb8AwAABkxvdCBJRAlpAwAAAQL8///Q////AgAAAAEB/P//lfz//wEAAAAAAAlsAwAACbUAAAAJLAAAAAr/////CWwDAAAKCbUAAAAKCgoJLAAAAAkGBAAACSwAAAAFa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IBAAAC0ludmVudFRyYW5zBgkEAAAWSW52ZW50b3J5IHRyYW5zYWN0aW9ucwksAAAACSwAAAAJLAAAAAX1+///MEdsb2JlU29mdHdhcmUuQXRsYXM0MC5BdGxhc0NvbW1vbi5EYXRhU291cmNlVHlwZQEAAAAHdmFsdWVfXwAIDgAAAAAAAAAJDAQAAAkNBAAABPL7//8LU3lzdGVtLkd1aWQLAAAAAl9hAl9iAl9jAl9kAl9lAl9mAl9nAl9oAl9pAl9qAl9rAAAAAAAAAAAAAAAIBwcCAgICAgICAv7aE81QoYxHvFB5UBqg0c8JLAAAAAksAAAACRAEAAAJbAMAAAoKCgoKAQAAAAXu+///NEdsb2JlU29mdHdhcmUuQXRsYXM0MC5BdGxhc0NvbW1vbi5EYXRhU291cmNlSm9pbk1vZGUBAAAAB3ZhbHVlX18ACA4AAAAAAAAABe37//81R2xvYmVTb2Z0d2FyZS5BdGxhczQwLkF0bGFzQ29tbW9uLkRhdGFTb3VyY2VGZXRjaE1vZGUBAAAAB3ZhbHVlX18ACA4AAAAAAAAAAAkUBAAAAXIDAAAoAAAAjwAAAAnwAAAAAwAAAAkWBAAAAYADAAAoAAAAjwAAAAnwAAAAAwAAAAkYBAAAAY4DAAAoAAAAjwAAAAnwAAAAAwAAAAkaBAAAAZMDAABpAwAA/////wYbBAAAC0ludmVudFRhYmxlBhwEAAAFSXRlbXMJLAAAAAksAAAACSwAAAAB4vv///X7//8AAAAACR8EAAAJIAQAAAHf+///8vv//wqOWgyyI0xBmFF5xzU0QxwJLAAAAAksAAAACSMEAAAJPAEAAAYlBAAAC0ludmVudFRyYW5zBiYEAAARVGFibGUuSW52ZW50VHJhbnMGJwQAABhUYWJsZS5JbnZlbnRUcmFucy5JdGVtSWQGKAQAAAZJdGVtSWQGKQQAAAZJdGVtSWQBAAAAAdb7///u+///AAAAAAHV+///7fv//wAAAAAACSwEAAABngMAACgAAACGAAAACf8AAAADAAAACS4EAAABowMAAGkDAAD/////Bi8EAAAJSW52ZW50RGltBjAEAAAUSW52ZW50b3J5IGRpbWVuc2lvbnMJLAAAAAksAAAACSwAAAABzvv///X7//8AAAAACTMEAAAJNAQAAAHL+///8vv//5Xzl87Gf89Ag/K4qceVhPYJLAAAAAksAAAACTcEAAAJpgMAAAY5BAAAC0ludmVudFRyYW5zBjoEAAARVGFibGUuSW52ZW50VHJhbnMGOwQAAB1UYWJsZS5JbnZlbnRUcmFucy5pbnZlbnREaW1JZAY8BAAAC2ludmVudERpbUlkBj0EAAALaW52ZW50RGltSWQBAAAAAcL7///u+///AAAAAAHB+///7fv//wAAAAAACUAEAAABrgMAACgAAACGAAAACf8AAAADAAAACUIEAAABvgMAACgAAACGAAAACf8AAAADAAAACUQEAAABzAMAACgAAACPAAAACfAAAAADAAAACUYEAAAB2gMAACgAAACPAAAACfAAAAADAAAACUgEAAAB6AMAACgAAACPAAAACfAAAAADAAAACUoEAAAB7QMAAGkDAAD/////BksEAAARSW52ZW50VGFibGVNb2R1bGUGTAQAABtJbnZlbnRvcnkgbW9kdWxlIHBhcmFtZXRlcnMJLAAAAAksAAAACSwAAAABsvv///X7//8AAAAACU8EAAAJUAQAAAGv+///8vv//4w2O26NI6BAm/jVlJckBqQJLAAAAAksAAAACVMEAAAJPwEAAAZVBAAAC0ludmVudFRhYmxlBlYEAAAqVGFibGUuSW52ZW50VHJhbnMuSXRlbUlkflRhYmxlLkludmVudFRhYmxlBlcEAAAxVGFibGUuSW52ZW50VHJhbnMuSXRlbUlkflRhYmxlLkludmVudFRhYmxlLkl0ZW1JZAZYBAAABkl0ZW1JZAZZBAAABkl0ZW1JZAEAAAABpvv//+77//8AAAAAAaX7///t+///AAAAAAAJXAQAAAH4AwAAKAAAAIYAAAAJ/wAAAAMAAAAJXgQAAAEGBAAAKAAAAI8AAAAJ8AAAAAMAAAAJYAQAAAQM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hBAAAEQAAAAliBAAABA0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QQAAAAAAAAEE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Q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EAAAAAA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v//6v+//8GZgQAAAhIZWxwVGV4dAZnBAAAMlNwZWNpZnkgdGhlIG1vZHVsZSB0aGF0IGdlbmVyYXRlZCB0aGUgdHJhbnNhY3Rpb24uAZj7//+r/v//BmkEAAAFTGFiZWwJaAMAAAGV+///q/7//wZsBAAABFR5cGUJZwMAAAc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7//+r/v//CWYEAAAGcAQAADVPcmRlciBudW1iZXIsIHByb2plY3QgbnVtYmVyLCBwcm9kdWN0aW9uIG51bWJlciwgZXRjLgGP+///q/7//wlpBAAACXYDAAABjPv//6v+//8JbAQAAAl1Aw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v//6v+//8JZgQAAAZ5BAAADklkZW50aWZ5IGl0ZW0uAYb7//+r/v//CWkEAAAJhAMAAAGD+///q/7//wlsBAAACYMDAAABHwQAAAwEAAABAAAACf8AAAADAAAACYEEAAAEI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DBAAABCM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8AAAADAAAACYUEAAABLAQAABQEAAAAAAAACYYEAAAAAAAABy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v//6v+//8GiAQAAAVMYWJlbAmSAwAAAXb7//+r/v//BosEAAAEVHlwZQmRAwAAATMEAAAMBAAAAgAAAAn/AAAAAwAAAAmOBAAAATQEAAANBAAAAAAAAAmCBAAAAAAAAAE3BAAAEAQAAAAAAAAJ/wAAAAAAAAABQAQAABQEAAAAAAAACYYEAAAAAAAAB0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6v+//8JiAQAAAmiAwAAAWv7//+r/v//CYsEAAAJoQMAAAd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7//+r/v//CYgEAAAJsgMAAAFl+///q/7//wmLBAAACbE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q/7//wlmBAAABqAEAAAcRGF0ZSBvZiBwaHlzaWNhbCB0cmFuc2FjdGlvbgFf+///q/7//wlpBAAACcIDAAABXPv//6v+//8JbAQAAAnBAwAAB0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6v+//8JZgQAAAapBAAAHURhdGUgb2YgZmluYW5jaWFsIHRyYW5zYWN0aW9uAVb7//+r/v//CWkEAAAJ0AMAAAFT+///q/7//wlsBAAACc8DAAAHS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///q/7//wlmBAAABrIEAAAkUXVhbnRpdHkgYXR0YWNoZWQgdG8gdGhlIHRyYW5zYWN0aW9uAU37//+r/v//CWkEAAAJ3gMAAAFK+///q/7//wlsBAAACd0DAAABTwQAAAwEAAABAAAACf8AAAADAAAACboEAAAEU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8BAAAAVMEAAAQBAAAAAAAAAn/AAAAAAAAAAFcBAAAFAQAAAAAAAAJhgQAAAAA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q/7//wmIBAAACewDAAABPvv//6v+//8JiwQAAAnrAwAAB2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v+//8JZgQAAAbHBAAAUlN1bW1hcnkgbnVtYmVyL0xvdCBJRCBmb3IgdHJhbnNhY3Rpb25zIGF0dGFjaGVkIHRvIHRoZSBzYW1lIGludmVudG9yeSB0cmFuc2FjdGlvbi4BOPv//6v+//8JaQQAAAn8AwAAATX7//+r/v//CWwEAAAJ+wMAAAFhBAAADAAAAAdi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y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PBAAAGFRhYmxlLkludmVudFRyYW5zLkl0ZW1JZAmSAQAAAS/7//8y+///BtIEAAAfVGFibGUuSW52ZW50VHJhbnMuSW52ZW50VHJhbnNJZAnJAgAAASz7//8y+///BtUEAAAbVGFibGUuSW52ZW50VHJhbnMuVHJhbnNUeXBlCUIBAAABKfv//zL7//8G2AQAABxUYWJsZS5JbnZlbnRUcmFucy5UcmFuc1JlZklkCWoBAAABJvv//zL7//8G2wQAAB5UYWJsZS5JbnZlbnRUcmFucy5EYXRlUGh5c2ljYWwJLAIAAAEj+///Mvv//wbeBAAAH1RhYmxlLkludmVudFRyYW5zLkRhdGVGaW5hbmNpYWwJVAIAAAEg+///Mvv//wbhBAAAH1RhYmxlLkludmVudFRyYW5zLlN0YXR1c1JlY2VpcHQJ4gQAAAEd+///Mvv//wbkBAAAHVRhYmxlLkludmVudFRyYW5zLlN0YXR1c0lzc3VlCeUEAAABGvv//zL7//8G5wQAABVUYWJsZS5JbnZlbnRUcmFucy5RdHkJfAIAAAEX+///Mvv//wbqBAAAIlRhYmxlLkludmVudFRyYW5zLkNvc3RBbW91bnRQb3N0ZWQJ6wQAAARk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g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Pv//zL7//8G7QQAADNUYWJsZS5JbnZlbnRUcmFucy5JdGVtSWR+VGFibGUuSW52ZW50VGFibGUuSXRlbU5hbWUJvQEAAAGCBAAADAAAAAeD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Ef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wBAAAM1RhYmxlLkludmVudFRyYW5zLkl0ZW1JZH5UYWJsZS5JbnZlbnRUYWJsZS5JdGVtVHlwZQnxBAAAB4U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77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T8BAAAJ7QMAAAGGBAAAZAQAAAeO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///Mvv//wb2BAAAOlRhYmxlLkludmVudFRyYW5zLmludmVudERpbUlkflRhYmxlLkludmVudERpbS5JbnZlbnRTaXRlSWQJ4gEAAAEI+///Mvv//wb5BAAAPlRhYmxlLkludmVudFRyYW5zLmludmVudERpbUlkflRhYmxlLkludmVudERpbS5JbnZlbnRMb2NhdGlvbklkCQcCAAAHu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fv//zL7//8G/AQAAFBUYWJsZS5JbnZlbnRUcmFucy5JdGVtSWR+VGFibGUuSW52ZW50VGFibGUuSXRlbUlkflRhYmxlLkludmVudFRhYmxlTW9kdWxlLlVuaXRJZAmkAgAAB7w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C+///Efv//wb/BAAAVFRhYmxlLkludmVudFRyYW5zLkl0ZW1JZH5UYWJsZS5JbnZlbnRUYWJsZS5JdGVtSWR+VGFibGUuSW52ZW50VGFibGVNb2R1bGUuTW9kdWxlVHlwZQkABQAAAeIEAABCAQAAAf/6///S/////////wAGAgUAAARFbnVtBgMFAAAOUmVjZWlwdCBzdGF0dXMJaQMAAAH7+v//0P///wIAAAAB+vr//5X8//8BAAAAAAAJbAMAAAYIBQAADVN0YXR1c1JlY2VpcHQJLAAAAAr/////CWwDAAAKCQgFAAAKCgoJLAAAAAkNBQAACSwAAAAB5QQAAEIBAAAB8fr//9L/////////AAYQBQAABEVudW0GEQUAAAxJc3N1ZSBzdGF0dXMJaQMAAAHt+v//0P///wIAAAAB7Pr//5X8//8BAAAAAAAJbAMAAAYWBQAAC1N0YXR1c0lzc3VlCSwAAAAK/////wlsAwAACgkWBQAACgoKCSwAAAAJGwUAAAksAAAAAesEAABCAQAAAeP6///S/////////wAGHgUAAARSZWFsBh8FAAAVRmluYW5jaWFsIGNvc3QgYW1vdW50CWkDAAAB3/r//9D///8CAAAAAd76//+V/P//AQAAAAAACWwDAAAGJAUAABBDb3N0QW1vdW50UG9zdGVkCSwAAAAK/////wlsAwAACgkkBQAACgoKCSwAAAAJKQUAAAksAAAABfE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8AQAACT0BAAAJLAAAAAk+AQAA/////wk8AQAABjAFAAALSW52ZW50VGFibGUJPQEAAAYyBQAABkl0ZW1JZAoKCSwAAAAJNAUAAAksAAAAAQAFAADxBAAACT8BAAAJQAEAAAksAAAACUEBAAD/////CT8BAAAKCUABAAAGPAUAAAZJdGVtSWQKCgksAAAACT4FAAAJLAAAAAENBQAAKAAAAA8AAAAJ8AAAAAMAAAAJQQUAAAEbBQAAKAAAAA8AAAAJ8AAAAAMAAAAJQwUAAAEpBQAAKAAAAA8AAAAJ8AAAAAMAAAAJRQUAAAE0BQAAKAAAAD4AAAAJRgUAAAMAAAAJRwUAAAE+BQAAKAAAADoAAAAJRgUAAAMAAAAJSQUAAAd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+r/v//CWYEAAAGTAUAAClTdGF0dXMgb2YgcXVhbnRpdHkgaW4gcmVsYXRpb24gdG8gcmVjZWlwdAGz+v//q/7//wlpBAAACQMFAAABsPr//6v+//8JbAQAAAkCBQ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6v+//8JZgQAAAZVBQAAKVN0YXR1cyBmb3IgcXVhbnRpdHkgaW4gcmVsYXRpb24gdG8gaXNzdWVzAar6//+r/v//CWkEAAAJEQUAAAGn+v//q/7//wlsBAAACRAF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+v//q/7//wlmBAAABl4FAAA1SW52ZW50b3J5IHZhbHVlIGZvciB0aGUgZmluYW5jaWFsbHkgdXBkYXRlZCBxdWFudGl0eS4Bofr//6v+//8JaQQAAAkfBQAAAZ76//+r/v//CWwEAAAJHgUAAAFGBQAADAAAAAd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+r/v//BmYFAAAEVHlwZQZnBQAABEVudW0BmPr//6v+//8GaQUAAAVMYWJlbAZqBQAACUl0ZW0gdHlwZQGV+v//q/7//wZsBQAACFJlZmVyc1RvBm0FAAAJPUl0ZW1UeXBlB0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r//6v+//8JZgUAAAZwBQAABEVudW0Bj/r//6v+//8JaQUAAAZzBQAAC01vZHVsZSB0eXBlCw==</Report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s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zE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SsAAAAS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dAQ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QAACfsBAAAHAAAACfwBAAAB0QAAAMMAAAAJ/QEAAAEAAAABAAAAAdIAAADEAAAAHAE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EAAAn7AQAABwAAAAkBAgAAAd8AAADDAAAACQICAAABAAAAAQAAAAHgAAAAxAAAABwB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BAAAJ+wEAAAcAAAAJBgIAAAHtAAAAwwAAAAkHAgAAAQAAAAEAAAAB7gAAAMQAAADq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ecBAAAHAAAACQsCAAAB+wAAAMMAAAAJDAIAAAEAAAABAAAAAfwAAADEAAAAFAE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n7AQAABwAAAAkQAgAAAQkBAADDAAAACRECAAABAAAAAQAAAAEKAQAAxAAAAPg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UAAAAJ5wEAAAcAAAAJFQIAAAEXAQAAwwAAAAkWAgAAAQAAAAEAAAABGAEAAMQAAAD4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ecBAAAHAAAACRoCAAABJQEAAMMAAAAJGwIAAAEAAAABAAAAASYBAADEAAAAHAE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EAAAn7AQAABwAAAAkfAgAAATMBAADDAAAACSACAAABAAAAAQAAAAE0AQAAxAAAAPg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UAAAAJ5wEAAAcAAAAJJAIAAAFBAQAAwwAAAAklAgAAAQAAAAEAAAABQgEAAMQAAAAdAQ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QAACfsBAAAHAAAACSkCAAABTwEAAMMAAAAJKgIAAAEAAAABAAAAAVABAADEAAAAHAE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EAAAn7AQAABwAAAAkuAgAAAV0BAADDAAAACS8CAAABAAAAAQAAAAFeAQAAxAAAABwB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BAAAJ+wEAAAcAAAAJMwIAAAFrAQAAwwAAAAk0AgAAAQAAAAEAAAABbAEAAMQAAAAcAQ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QAACfsBAAAHAAAACTgCAAABeQEAAMMAAAAJOQIAAAEAAAABAAAAAXoBAADEAAAAHAE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EAAAn7AQAABwAAAAk9AgAAAYcBAADDAAAACT4CAAABAAAAAQAAAAGIAQAAxAAAABwB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BAAAJ+wEAAAcAAAAJQgIAAAGVAQAAwwAAAAlDAgAAAQAAAAEAAAABlgEAAMQAAAAcAQ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QAACfsBAAAHAAAACUcCAAABowEAAMMAAAAJSAIAAAEAAAABAAAAAaQBAADEAAAAGAE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DEuMDEuMjAxOCAuLiAwMi4yOC4yMDE4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k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Y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Y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Y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M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HQE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EAAAkgAQAABwAAAAkhAQAAATcAAAApAAAACSIBAAABAAAAAQAAAAE4AAAAKgAAABwBAAAJHgEAAAcAAAAJJAEAAAE5AAAAKwAAABgBAAAJIAEAAAcAAAAJJgEAAAFFAAAAKQAAAAknAQAAAQAAAAEAAAABRgAAACoAAAAcAQAACR4BAAAHAAAACSkBAAABRwAAACsAAAAYAQAACSABAAAHAAAACSsBAAABUwAAACkAAAAJLAEAAAEAAAABAAAAAVQAAAAqAAAA6gAAAAktAQAABwAAAAkuAQAAAVUAAAArAAAA5wAAAAkvAQAABwAAAAkwAQAAAWEAAAApAAAACTEBAAABAAAAAQAAAAFiAAAAKgAAABQBAAAJHgEAAAcAAAAJMwEAAAFjAAAAKwAAABEBAAAJIAEAAAcAAAAJNQEAAAFvAAAAKQAAAAk2AQAAAQAAAAEAAAABcAAAACoAAAD4AAAACS0BAAAHAAAACTgBAAABcQAAACsAAAD1AAAACS8BAAAHAAAACToBAAABfQAAACkAAAAJOwEAAAEAAAABAAAAAX4AAAAqAAAA+AAAAAktAQAABwAAAAk9AQAAAX8AAAArAAAA9QAAAAkvAQAABwAAAAk/AQAAAYsAAAApAAAACUABAAABAAAAAQAAAAGMAAAAKgAAABwBAAAJHgEAAAcAAAAJQgEAAAGNAAAAKwAAABgBAAAJIAEAAAcAAAAJRAEAAAGZAAAAKQAAAAlFAQAAAQAAAAEAAAABmgAAACoAAAD4AAAACS0BAAAHAAAACUcBAAABmwAAACsAAAD1AAAACS8BAAAHAAAACUkBAAABpwAAACkAAAAJSgEAAAEAAAABAAAAAagAAAAqAAAAHQEAAAkeAQAABwAAAAlMAQAAAakAAAArAAAAGAEAAAkgAQAABwAAAAlOAQAAAbUAAAApAAAACU8BAAABAAAAAQAAAAG2AAAAKgAAABwBAAAJHgEAAAcAAAAJUQEAAAG3AAAAKwAAABgBAAAJIAEAAAcAAAAJUwEAAAHDAAAAKQAAAAlUAQAAAQAAAAEAAAABxAAAACoAAAAcAQAACR4BAAAHAAAACVYBAAABxQAAACsAAAAYAQAACSABAAAHAAAACVgBAAAB0QAAACkAAAAJWQEAAAEAAAABAAAAAdIAAAAqAAAAHAEAAAkeAQAABwAAAAlbAQAAAdMAAAArAAAAGAEAAAkgAQAABwAAAAldAQAAAd8AAAApAAAACV4BAAABAAAAAQAAAAHgAAAAKgAAABwBAAAJHgEAAAcAAAAJYAEAAAHhAAAAKwAAABgBAAAJIAEAAAcAAAAJYgEAAAHtAAAAKQAAAAljAQAAAQAAAAEAAAAB7gAAACoAAAAcAQAACR4BAAAHAAAACWUBAAAB7wAAACsAAAAYAQAACSABAAAHAAAACWcBAAAB+wAAACkAAAAJaAEAAAEAAAABAAAAAfwAAAAqAAAAHAEAAAkeAQAABwAAAAlqAQAAAf0AAAArAAAAGAEAAAkgAQAABwAAAAlsAQAAAQkBAAApAAAACW0BAAABAAAAAQAAAAEKAQAAKgAAABgBAAAJHgEAAAcAAAAJbwEAAAELAQAAKwAAABEB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DEuMDEuMjAxOCAuLiAwMi4yOC4yMDE4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eQAAAAkgAQAAAwAAAAkkBQAAAToEAAArAAAAeQAAAAkgAQAAAwAAAAkmBQAAAUgEAAArAAAAeQ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BMAAAACS8BAAADAAAACTwFAAABXQQAACMEAAD/////Bj0FAAAMVFBQVHJhbnNfc3N0Bj4FAAAQVFBQIHRyYW5zYWN0aW9ucwkvAAAACS8AAAAJLwAAAAHA+v//5/r//wAAAAAJQQUAAAlCBQAAAb36///k+v//CfP3hxhf70qh4YtroFWDEwkvAAAACS8AAAAJRQUAAAlgBAAACgoKCgoBAAAAAbn6///g+v//AAAAAAG4+v//3/r//wAAAAAACUkFAAABZgQAACsAAABw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BYAAAACS8BAAADAAAACV8FAAABhgQAACsAAABYAAAACS8BAAADAAAACWEFAAABlAQAACsAAAB5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BYAAAACS8BAAADAAAACXcFAAABsgQAACsAAAB5AAAACSABAAADAAAACXkFAAABwAQAACsAAAB5AAAACSABAAADAAAACXsFAAABzgQAACsAAAB5AAAACSABAAADAAAACX0FAAAB3AQAACsAAAB5AAAACSABAAADAAAACX8FAAAB6gQAACsAAAB5AAAACSABAAADAAAACYEFAAAB+AQAACsAAAB5AAAACSABAAADAAAACYMFAAABBgUAACsAAAB5AAAACSABAAADAAAACYUFAAABFAUAACsAAABw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asF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sF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qwU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AasFAAAMAA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nAAAACasFAAADAAAACV8HAAABKgcAACsAAAASAAAACSABAAADAAAACWEHAAABOAcAACsAAAASAAAACSABAAADAAAACWMHAAABRgcAACsAAAASAAAACSABAAADAAAACWUHAAABTwcAACsAAAAlAAAACSABAAADAAAACWcHAAABWQcAACsAAAAmAAAACasF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5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r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3MQ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rAAAAE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WAQ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ScBAAAHAAAACSgBAAABrgAAAKAAAAAJKQEAAAEAAAABAAAAAa8AAAChAAAADQE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kbAQAABwAAAAktAQAAAbwAAACgAAAACS4BAAABAAAAAQAAAAG9AAAAoQAAAA0B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GwEAAAcAAAAJMgEAAAHKAAAAoAAAAAkzAQAAAQAAAAEAAAABywAAAKEAAAAZAQ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ScBAAAHAAAACTcBAAAB2AAAAKAAAAAJOAEAAAAAAAAAAAAAAdkAAAChAAAABwE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/AAAAAkbAQAABwAAAAk8AQAAAeUAAACgAAAACTgBAAAAAAAAAAAAAAHmAAAAoQAAAAUB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GwEAAAcAAAAJQQEAAAHyAAAAoAAAAAlCAQAAAAAAAAAAAAAB8wAAAKEAAAD0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UUBAAAHAAAACUYBAAAB/wAAAKAAAAAJQgEAAAAAAAAAAAAAAQABAAChAAAA9A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o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o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6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FgE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mTAAAABwAAAAmUAAAAAS4AAAAgAAAACZUAAAABAAAAAQAAAAEvAAAAIQAAAA0BAAAJlgAAAAcAAAAJlwAAAAEwAAAAIgAAAAoBAAAJmAAAAAcAAAAJmQAAAAE8AAAAIAAAAAmaAAAAAQAAAAEAAAABPQAAACEAAAANAQAACZYAAAAHAAAACZwAAAABPgAAACIAAAAKAQAACZgAAAAHAAAACZ4AAAABSgAAACAAAAAJnwAAAAEAAAABAAAAAUsAAAAhAAAAGQEAAAmRAAAABwAAAAmhAAAAAUwAAAAiAAAAEQEAAAmTAAAABwAAAAmjAAAAAVgAAAAgAAAACaQAAAAAAAAAAAAAAAFZAAAAIQAAAAcBAAAJlgAAAAcAAAAJpgAAAAFaAAAAIgAAAPwAAAAJmAAAAAcAAAAJqAAAAAFlAAAAIAAAAAmkAAAAAAAAAAAAAAABZgAAACEAAAAFAQAACZYAAAAHAAAACasAAAABZwAAACIAAAD8AAAACZgAAAAHAAAACa0AAAABcgAAACAAAAAJrgAAAAAAAAAAAAAAAXMAAAAhAAAA9AAAAAmvAAAABwAAAAmwAAAAAXQAAAAiAAAA7gAAAAmxAAAABwAAAAmyAAAAAX8AAAAgAAAACa4AAAAAAAAAAAAAAAGAAAAAIQAAAPQAAAAJrwAAAAcAAAAJtQAAAAGBAAAAIgAAAO4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z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qAAAACZgAAAADAAAACVsCAAABKQIAACIAAABqAAAACZgAAAADAAAACV0CAAABNwIAACIAAABz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W8C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vAgAADAA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7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s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zE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rAAAAE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4B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ZQEAAAcAAAAJcgEAAAGzAAAApQAAAAlzAQAAAQAAAAEAAAABtAAAAKYAAAAGAQ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WUBAAAHAAAACXcBAAABwQAAAKUAAAAJeAEAAAEAAAABAAAAAcIAAACmAAAABgE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llAQAABwAAAAl8AQAAAc8AAAClAAAACX0BAAABAAAAAQAAAAHQAAAApgAAAA4B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ZQEAAAcAAAAJgQEAAAHdAAAApQAAAAmCAQAAAQAAAAEAAAAB3gAAAKYAAAAOAQ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WUBAAAHAAAACYYBAAAB6wAAAKUAAAAJhwEAAAAAAAAAAAAAAewAAACmAAAABQE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/AAAAAllAQAABwAAAAmLAQAAAfgAAAClAAAACYcBAAAAAAAAAAAAAAH5AAAApgAAAAUB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ZQEAAAcAAAAJkAEAAAEFAQAApQAAAAmHAQAAAAAAAAAAAAABBgEAAKYAAAAEAQ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138AAAACWUBAAAHAAAACZUBAAABEgEAAKUAAAAJhwEAAAAAAAAAAAAAARMBAACmAAAABAE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/AAAAAllAQAABwAAAAmaAQAAAR8BAAClAAAACZsBAAAAAAAAAAAAAAEgAQAApgAAAOY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ngEAAAcAAAAJnwEAAAEsAQAApQAAAAmbAQAAAAAAAAAAAAABLQEAAKYAAADm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Z4BAAAHAAAACaQBAAABOQEAAKUAAAAJmwEAAAAAAAAAAAAAAToBAACmAAAA7g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meAQAABwAAAAmpAQAAAUYBAAClAAAACZsBAAAAAAAAAAAAAAFHAQAApgAAAO4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c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89W0BbVFBQIGNvc3QgYW1vdW50XV0tW0BbVFBQIHRyYW5zIGJhY2t3YXJkcyBiYWxhbmNlIChFbmRpbmcpXV0Hr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P//Av7//wlcAwAACQACAAABLfz//wL+//8JXwMAAAkAAgAAASr8//8C/v//CWIDAAAG2AMAAAUtNDE0MgEn/P//Av7//wllAwAABtsDAAAHQ2FsaWJyaQEk/P//Av7//wloAwAABt4DAAABMAEh/P//Av7//wlrAwAABuEDAAACMTEBHvz//wL+//8JbgMAAAbkAwAAB1JlZ3VsYXIBsgEAAA4AAAAFnQAABuUDAAAKVFBQU3VtX3NzdAbmAwAAC1RQUCBzdW1tYXJ5CQgAAAAJCAAAAAkIAAAAARj8///g////AAAAAAnpAwAACeoDAAABFfz//93///9474t5KEGIRJLudDjfptVWCQgAAAAJCAAAAAntAwAACbUBAAAKCgoKCgEAAAABEfz//9n///8AAAAAARD8///Y////AAAAAAAJ8Q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ZQEAAAMAAAAJ8w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ZQEAAAMAAAAJ9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ZQEAAAMAAAAJ9wMAAAT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cAAAAJEgAAAAMAAAAJ+QMAAAHkAQAAVQEAAAEG/P//U/////////8ABvsDAAAGU3RyaW5nBvwDAAAEU2l0ZQkxAAAAAQL8//9R////AgAAAAEB/P//TP7//wEAAAAAAAkwAAAACbYAAAAJCAAAAAr/////CTAAAAAKCbYAAAAGBQQAAAtJbnZlbnREaW1JZAYGBAAAClRQUFN1bV9zc3QKCQgAAAAJCAQAAAkIAAAAAecBAABVAQAAAfb7//9T/////////wAGCwQAAAZTdHJpbmcGDAQAAAlXYXJlaG91c2UJMQAAAAHy+///Uf///wIAAAAB8fv//0z+//8BAAAAAAAJMAAAAAnEAAAACQgAAAAK/////wkwAAAACgnEAAAABhUEAAALSW52ZW50RGltSWQGFgQAAApUUFBTdW1fc3N0CgkIAAAACRgEAAAJCAAAAAHqAQAAXgEAAAkzAAAABhsEAAAISXRlbVR5cGUJCAAAAAYdBAAACCFTZXJ2aWNl/////wkzAAAACgkbBAAABiAEAAAGSXRlbUlkCgoJCAAAAAkiBAAACQgAAAAB6QMAACEAAAAEAAAACSQEAAAHAAAACSUEAAAE6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T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AQAAAAAAAAB8QMAACkAAAAAAAAACScEAAAAAAAAB/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v//wL+//8GKQQAAAhIZWxwVGV4dAYqBAAADklkZW50aWZ5IGl0ZW0uAdX7//8C/v//BiwEAAAFTGFiZWwJsQEAAAHS+///Av7//wYvBAAABFR5cGUJsAEAAAf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7//8C/v//CSkEAAAGMwQAACRRdWFudGl0eSBhdHRhY2hlZCB0byB0aGUgdHJhbnNhY3Rpb24BzPv//wL+//8JLAQAAAm/AQAAAcn7//8C/v//CS8EAAAJvgEAAAf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7//8C/v//CSkEAAAGPAQAABBUUFAgY29zdCBhbW91bnQuAcP7//8C/v//CSwEAAAJzQEAAAHA+///Av7//wkvBAAACcwBAAAH+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///Av7//wZEBAAABFR5cGUJsAEAAAG6+///Av7//wZHBAAABUxhYmVsCbEBAAABt/v//wL+//8GSgQAAAhSZWZlcnNUbwZLBAAACz1JdGVtTnVtYmVyBA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ZAAAAAllAQAAAwAAAAlNBAAABB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ZAAAAAllAQAAAwAAAAlPBAAABC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AAAAkSAAAAAwAAAAlRBAAAASQEAAASAAAAByUE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77//+t/v//BlMEAAAcVGFibGUuVFBQU3VtX3NzdC5JbnZlbnREaW1JZAlUBAAAAav7//+t/v//BlYEAAAXVGFibGUuVFBQU3VtX3NzdC5JdGVtSWQJVQEAAAGo+///rf7//wZZBAAAFFRhYmxlLlRQUFN1bV9zc3QuUXR5CVgBAAABpfv//63+//8GXAQAABtUYWJsZS5UUFBTdW1fc3N0LkNvc3RBbW91bnQJWwEAAAEnBAAAgAAAAAd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7//8C/v//CSwEAAAJ/AMAAAGf+///Av7//wkvBAAACfsDAAAHT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///Av7//wksBAAACQwEAAABmfv//wL+//8JLwQAAAkLBAAAB1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v//wL+//8JRAQAAAZsBAAABEVudW0Bk/v//wL+//8JRwQAAAZvBAAACUl0ZW0gdHlwZQGQ+///Av7//wlKBAAABnIEAAAJPUl0ZW1UeXBlAVQEAABVAQAAAY37//9T/////////wAGdAQAAAZTdHJpbmcGdQQAAA1EaW1lbnNpb24gTm8uCbIBAAABifv//1H///8CAAAAAYj7//9M/v//AQAAAAAACbUBAAAGegQAAAtJbnZlbnREaW1JZAkIAAAACv////8JtQEAAAoJegQAAAoKCgkIAAAACX8EAAAJCAAAAAR/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ZQEAAAMAAAAJggQAAAe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37//8C/v//CSkEAAAGhQQAACpJZGVudGlmaWNhdGlvbiBvZiBkaW1lbnNpb25zIGZvciB0aGUgaXRlbS4Bevv//wL+//8JLAQAAAl1BAAAAXf7//8C/v//CS8EAAAJdAQAAAs=
    <Output>
      <OutputObject name="AtlasReport_4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gE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naAAAABwAAAAnbAAAAATMAAAAlAAAACdwAAAABAAAAAQAAAAE0AAAAJgAAAAYBAAAJ2AAAAAcAAAAJ3gAAAAE1AAAAJwAAAAMBAAAJ2gAAAAcAAAAJ4AAAAAFBAAAAJQAAAAnhAAAAAQAAAAEAAAABQgAAACYAAAAGAQAACdgAAAAHAAAACeMAAAABQwAAACcAAAADAQAACdoAAAAHAAAACeUAAAABTwAAACUAAAAJ5gAAAAEAAAABAAAAAVAAAAAmAAAADgEAAAnYAAAABwAAAAnoAAAAAVEAAAAnAAAACgEAAAnaAAAABwAAAAnqAAAAAV0AAAAlAAAACesAAAABAAAAAQAAAAFeAAAAJgAAAA4BAAAJ2AAAAAcAAAAJ7QAAAAFfAAAAJwAAAAoBAAAJ2gAAAAcAAAAJ7wAAAAFrAAAAJQAAAAnwAAAAAAAAAAAAAAABbAAAACYAAAAFAQAACdgAAAAHAAAACfIAAAABbQAAACcAAAD8AAAACdoAAAAHAAAACfQAAAABeAAAACUAAAAJ8AAAAAAAAAAAAAAAAXkAAAAmAAAABQEAAAnYAAAABwAAAAn3AAAAAXoAAAAnAAAA/AAAAAnaAAAABwAAAAn5AAAAAYUAAAAlAAAACfAAAAAAAAAAAAAAAAGGAAAAJgAAAAQBAAAJ2AAAAAcAAAAJ/AAAAAGHAAAAJwAAAPwAAAAJ2gAAAAcAAAAJ/gAAAAGSAAAAJQAAAAnwAAAAAAAAAAAAAAABkwAAACYAAAAEAQAACdgAAAAHAAAACQEBAAABlAAAACcAAAD8AAAACdoAAAAHAAAACQMBAAABnwAAACUAAAAJBAEAAAAAAAAAAAAAAaAAAAAmAAAA5gAAAAkFAQAABwAAAAkGAQAAAaEAAAAnAAAA4AAAAAkHAQAABwAAAAkIAQAAAawAAAAlAAAACQQBAAAAAAAAAAAAAAGtAAAAJgAAAOYAAAAJBQEAAAcAAAAJCwEAAAGuAAAAJwAAAOAAAAAJBwEAAAcAAAAJDQEAAAG5AAAAJQAAAAkEAQAAAAAAAAAAAAABugAAACYAAADuAAAACQUBAAAHAAAACRABAAABuwAAACcAAADnAAAACQcBAAAHAAAACRIBAAABxgAAACUAAAAJBAEAAAAAAAAAAAAAAccAAAAmAAAA7gAAAAkFAQAABwAAAAkVAQAAAcgAAAAnAAAA5w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Pz1bQFtUUFAgY29zdCBhbW91bnRdXS1bQFtUUFAgdHJhbnMgYmFja3dhcmRzIGJhbGFuY2UgKEVuZGluZyldXQ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8///M/v//CZICAAAJNgEAAAH3/P//zP7//wmVAgAACTYBAAAB9Pz//8z+//8JmAIAAAYOAwAABS00MTQyAfH8///M/v//CZsCAAAGEQMAAAdDYWxpYnJpAe78///M/v//CZ4CAAAGFAMAAAEwAev8///M/v//CaECAAAGFwMAAAIxMQHo/P//zP7//wmkAgAABhoDAAAHUmVndWxhcgUh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l/P//0/////////8ABhwDAAAGU3RyaW5nBh0DAAALSXRlbSBudW1iZXIJHgMAAAHh/P//0f///wIAAAAF4Pz//zlHbG9iZVNvZnR3YXJlLkF0bGFzNDAuQXRsYXNDb21tb24uTnVtYmVyU2VxdWVuY2VDb25kaXRpb24BAAAAB3ZhbHVlX18ACA4AAAABAAAAAAAGIQMAABBUYWJsZS5UUFBTdW1fc3N0CSgAAAAJKwAAAAr/////CSEDAAAKCSgAAAAKCgoJKwAAAAknAwAACSsAAAABSQEAACEBAAAB1/z//9P/////////AAYqAwAABlN0cmluZwYrAwAABFNpdGUJLAMAAAHT/P//0f///wIAAAAB0vz//+D8//8BAAAAAAAGLwMAACxUYWJsZS5UUFBTdW1fc3N0LkludmVudERpbUlkflRhYmxlLkludmVudERpbQk2AAAACSsAAAAK/////wkvAwAACgk2AAAABjQDAAALSW52ZW50RGltSWQGNQMAAApUUFBTdW1fc3N0CgkrAAAACTcDAAAJKwAAAAFuAQAAIQEAAAHH/P//0/////////8ABjoDAAAGU3RyaW5nBjsDAAAJV2FyZWhvdXNlCSwDAAABw/z//9H///8CAAAAAcL8///g/P//AQAAAAAACS8DAAAJRAAAAAkrAAAACv////8JLwMAAAoJRAAAAAZEAwAAC0ludmVudERpbUlkBkUDAAAKVFBQU3VtX3NzdAoJKwAAAAlHAwAACSsAAAABkwEAACEBAAABt/z//9P///8BAAAAAAZKAwAABFJlYWwGSwMAAAhRdWFudGl0eQkeAwAAAbP8///R////AgAAAAGy/P//4Pz//wEAAAAAAAkhAwAACVIAAAAJKwAAAAr/////CSEDAAAKCVIAAAAKCgoJKwAAAAlVAwAACSsAAAABuwEAACEBAAABqfz//9P///8BAAAAAAZYAwAABFJlYWwGWQMAAA9UUFAgY29zdCBhbW91bnQJHgMAAAGl/P//0f///wIAAAABpPz//+D8//8BAAAAAAAJIQMAAAlgAAAACSsAAAAK/////wkhAwAACglgAAAACgoKCSsAAAAJYwMAAAkrAAAABR4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WdAAAGZQMAAApUUFBTdW1fc3N0BmYDAAALVFBQIHN1bW1hcnkJKwAAAAkrAAAACSsAAAAFmPz//zBHbG9iZVNvZnR3YXJlLkF0bGFzNDAuQXRsYXNDb21tb24uRGF0YVNvdXJjZVR5cGUBAAAAB3ZhbHVlX18ACA4AAAAAAAAACWkDAAAJagMAAASV/P//C1N5c3RlbS5HdWlkCwAAAAJfYQJfYgJfYwJfZAJfZQJfZgJfZwJfaAJfaQJfagJfawAAAAAAAAAAAAAACAcHAgICAgICAgJ474t5KEGIRJLudDjfptVWCSsAAAAJKwAAAAltAwAACSEDAAAKCgoKCgEAAAAFkfz//zRHbG9iZVNvZnR3YXJlLkF0bGFzNDAuQXRsYXNDb21tb24uRGF0YVNvdXJjZUpvaW5Nb2RlAQAAAAd2YWx1ZV9fAAgOAAAAAAAAAAWQ/P//NUdsb2JlU29mdHdhcmUuQXRsYXM0MC5BdGxhc0NvbW1vbi5EYXRhU291cmNlRmV0Y2hNb2RlAQAAAAd2YWx1ZV9fAAgOAAAAAAAAAAAJcQMAAAEnAwAAJwAAAG0AAAAJ2gAAAAMAAAAJcwMAAAEsAwAAHgMAAP////8GdAMAAAlJbnZlbnREaW0GdQMAABRJbnZlbnRvcnkgZGltZW5zaW9ucwkrAAAACSsAAAAJKwAAAAGJ/P//mPz//wAAAAAJeAMAAAl5AwAAAYb8//+V/P//OabvUY/mGUuU7DdKKKJolQkrAAAACSsAAAAJfAMAAAkvAwAABn4DAAAKVFBQU3VtX3NzdAZ/AwAAEFRhYmxlLlRQUFN1bV9zc3QGgAMAABxUYWJsZS5UUFBTdW1fc3N0LkludmVudERpbUlkBoEDAAALSW52ZW50RGltSWQGggMAAAtpbnZlbnREaW1JZAEAAAABffz//5H8//8AAAAAAXz8//+Q/P//AAAAAAAJhQMAAAE3AwAAJwAAAGQAAAAJ2gAAAAMAAAAJhwMAAAFHAwAAJwAAAGQAAAAJ2gAAAAMAAAAJiQMAAAFVAwAAJwAAAG0AAAAJ2gAAAAMAAAAJiwMAAAFjAwAAJwAAAG0AAAAJ2gAAAAMAAAAJjQMAAARp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mOAwAABwAAAAmPAwAABG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b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4DAAAAAAAABHE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ZEDAAAAAAAAB3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8z+//8GkwMAAAhIZWxwVGV4dAaUAwAADklkZW50aWZ5IGl0ZW0uAWv8///M/v//BpYDAAAFTGFiZWwJHQMAAAFo/P//zP7//waZAwAABFR5cGUJHAMAAAF4AwAAaQMAAAIAAAAJ2gAAAAMAAAAJnAMAAAF5AwAAagMAAAAAAAAJnQMAAAAAAAABfAMAAG0DAAAAAAAACdoAAAAAAAAAAYUDAABxAwAAAAAAAAmfAwAAAAAAAAe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8///M/v//CZYDAAAJKwMAAAFd/P//zP7//wmZAwAACSoDAAAHi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zP7//wmWAwAACTsDAAABV/z//8z+//8JmQMAAAk6AwAAB4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8z+//8JkwMAAAauAwAAJFF1YW50aXR5IGF0dGFjaGVkIHRvIHRoZSB0cmFuc2FjdGlvbgFR/P//zP7//wmWAwAACUsDAAABTvz//8z+//8JmQMAAAlKAwAAB40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8z+//8JkwMAAAa3AwAAEFRQUCBjb3N0IGFtb3VudC4BSPz//8z+//8JlgMAAAlZAwAAAUX8///M/v//CZkDAAAJWAMAAAGOAwAADAAAAAeP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C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/AwAAHFRhYmxlLlRQUFN1bV9zc3QuSW52ZW50RGltSWQJwAMAAAE//P//Qvz//wbCAwAAF1RhYmxlLlRQUFN1bV9zc3QuSXRlbUlkCSEBAAABPPz//0L8//8GxQMAABRUYWJsZS5UUFBTdW1fc3N0LlF0eQmTAQAAATn8//9C/P//BsgDAAAbVGFibGUuVFBQU3VtX3NzdC5Db3N0QW1vdW50CbsBAAAEk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5w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b8//9C/P//BssDAAA5VGFibGUuVFBQU3VtX3NzdC5JbnZlbnREaW1JZH5UYWJsZS5JbnZlbnREaW0uSW52ZW50U2l0ZUlkCUkBAAABM/z//0L8//8GzgMAAD1UYWJsZS5UUFBTdW1fc3N0LkludmVudERpbUlkflRhYmxlLkludmVudERpbS5JbnZlbnRMb2NhdGlvbklkCW4BAAABnQMAAAwAAAABnwMAAJEDAAABwAMAACEBAAABMPz//9P/////////AAbRAwAABlN0cmluZwbSAwAADURpbWVuc2lvbiBOby4JHgMAAAEs/P//0f///wIAAAABK/z//+D8//8BAAAAAAAJIQMAAAbXAwAAC0ludmVudERpbUlkCSsAAAAK/////wkhAwAACgnXAwAACgoKCSsAAAAJ3AMAAAkrAAAAAdwDAAAnAAAACQAAAAnaAAAAAwAAAAnfAwAAB98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//8z+//8JkwMAAAbiAwAAKklkZW50aWZpY2F0aW9uIG9mIGRpbWVuc2lvbnMgZm9yIHRoZSBpdGVtLgEd/P//zP7//wmWAwAACdIDAAABGvz//8z+//8JmQMAAAnRAwAACw==</Report>
</Atlas>
</file>

<file path=customXml/item9.xml><?xml version="1.0" encoding="utf-8"?>
<Atlas>
  <Query type="ReportList" id="7651b767-e078-4341-af16-f0b4190434b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PAAAAD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JV6QBBotbIRqfQsU+nHi/u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BAAAAAELUdsb2JlU29mdHdhcmUuQXRsYXM0MC5BdGxhc0NvbW1vbi5UeXBlLkNvbHVtbgIAAAAJMgAAAAkzAAAACTQAAAAJNQAAAAk2AAAACTcAAAAJOAAAAAk5AAAACToAAAAJOwAAAAk8AAAACT0AAAAJPgAAAAk/AAAACUAAAAAKERUAAAAEAAAABkEAAAANQXRsYXNSZXBvcnRfN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v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vP///77///8GRQAAABdUYWJsZS5JbnZlbnRUYWJsZU1vZHV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5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j///8+R2xvYmVTb2Z0d2FyZS5BdGxhczQwLkF0bGFzQ29tbW9uLlR5cGUuQXRsYXNRdWVyeUF0dHJpYnV0ZU5hbWUBAAAAB3ZhbHVlX18ACAIAAAACAAAABkkAAAAkNzY1MWI3NjctZTA3OC00MzQxLWFmMTYtZjBiNDE5MDQzNGI5Abb///+5////AbX///+4////AAAAAAZMAAAABHRydWUBs////7n///8Bsv///7j///8LAAAABk8AAAAFSXRlbXMBsP///7n///8Br////7j///8bAAAABlIAAAAEVHJ1ZQGt////uf///wGs////uP///wYAAAAGVQAAAAVGYWxzZQGq////uf///wGp////uP///xwAAAAJUgAAAAGn////uf///wGm////uP///x0AAAAJVQAAAAGk////uf///wGj////uP///yoAAAAJUgAAAAGh////uf///wGg////uP///wEAAAAGYQAAAAMzNzEBnv///7n///8Bnf///7j///8nAAAABmQAAAALPURhdGFBcmVhSWQBm////7n///8Bmv///7j///8ZAAAABmcAAAAPQ2VsbHNWZXJ0aWNhbGx5AZj///+5////AZf///+4////CQAAAAoBlv///7n///8Blf///7j///8oAAAABmwAAAACMTUBk////7n///8Bkv///7j///8rAAAABm8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D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cQAAAAtJbnZlbnRUYWJsZQEAAAABjv///5D///8Gc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4AAAAJdAAAABEAAAAJd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XcAAAABJQAAAAQAAAABAAAACXQAAAADAAAACXk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gAAAAAAAAAHKgAAAAABAAAAAAAAAAQtR2xvYmVTb2Z0d2FyZS5BdGxhczQwLkF0bGFzQ29tbW9uLlR5cGUuQ29sdW1uAgAAAAErAAAAEgAAAAExAAAADgAAAP////8GewAAABFJbnZlbnRUYWJsZU1vZHVsZQZ8AAAAG0ludmVudG9yeSBtb2R1bGUgcGFyYW1ldGVycwkIAAAACQgAAAAJCAAAAAGC////4P///wAAAAAJfwAAAAmAAAAAAX/////d////bBVrjMpB2UG+KhapGbAntQkIAAAACQgAAAAJgwAAAAkwAAAABoUAAAALSW52ZW50VGFibGUGhgAAABFUYWJsZS5JbnZlbnRUYWJsZQaHAAAAGFRhYmxlLkludmVudFRhYmxlLkl0ZW1JZAaIAAAABkl0ZW1JZAaJAAAABkl0ZW1JZAEAAAABdv///9n///8AAAAAAXX////Y////AAAAAAAJj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NAAAACY4AAAAJjwAAAAaQAAAABkl0ZW1JZAaRAAAAC0l0ZW0gbnVtYmVyBpIAAAAGU3RyaW5nCQgAAAAGlAAAACQyNTRiMTdhYS0xZWNmLTQyNWEtOThhYi1iMmRlNjJhZTczNGYFa////y1HbG9iZVNvZnR3YXJlLkF0bGFzNDAuQXRsYXNDb21tb24uQWdncmVnYXRpb24BAAAAB3ZhbHVlX18ACAIAAAD/////AAAAAAVq////LEdsb2JlU29mdHdhcmUuQXRsYXM0MC5BdGxhc0NvbW1vbi5Db2x1bW5UeXBlAQAAAAd2YWx1ZV9fAAgCAAAAAAAAAAVp////K0dsb2JlU29mdHdhcmUuQXRsYXM0MC5BdGxhc0NvbW1vbi5Tb3J0T3JkZXIBAAAAB3ZhbHVlX18ACAIAAAACAAAAAAAAAAAFaP///0BHbG9iZVNvZnR3YXJlLkF0bGFzNDAuQXRsYXNDb21tb24uVHlwZS5Db2x1bW4rQ3Jvc3NUYWJDb2x1bW5UeXBlAQAAAAd2YWx1ZV9fAAgCAAAAAAAAAAoBAAAAAAAAAAAAAAAAAAaZAAAAJGJjOGVmZTc5LTg3MzgtNGE5Mi05YmIxLTdhN2Q2ODk3YWJkMgaaAAAAGFRhYmxlLkludmVudFRhYmxlLkl0ZW1JZAoKCgoBMwAAADIAAAAJmwAAAAmcAAAACZ0AAAAGngAAAAhJdGVtTmFtZQafAAAACUl0ZW0gbmFtZQagAAAABlN0cmluZwkIAAAABqIAAAAkMWI3Mzk0MWYtNWFhMS00MTE0LTk0ZjgtMTI5M2VjODliYzg1AV3///9r/////////wEAAAABXP///2r///8AAAAAAVv///9p////AgAAAAAAAAAAAVr///9o////AAAAAAoBAAAAAAAAAAABAAAAAAanAAAAJDg4OTZjNTdjLWU2MDYtNGQxYS1hNmZmLTFmNGJjZmQ4YzcwNgaoAAAAGlRhYmxlLkludmVudFRhYmxlLkl0ZW1OYW1lCgoKCgE0AAAAMgAAAAmpAAAACaoAAAAJqwAAAAasAAAAC0l0ZW1Hcm91cElkBq0AAAAKSXRlbSBncm91cAauAAAABlN0cmluZwkIAAAABrAAAAAkODU5MzMyNjctMTlkYi00ZTcxLWJkYjUtZjcwNjAwMDJhYzM3AU////9r/////////wIAAAABTv///2r///8AAAAAAU3///9p////AgAAAAAAAAAAAUz///9o////AAAAAAoBAAAAAAAAAAACAAAAAAa1AAAAJDkwNjAyZGFiLWMwNDktNDg0Mi05MjNiLTFiMjE2MTc2Y2UxYwa2AAAAHVRhYmxlLkludmVudFRhYmxlLkl0ZW1Hcm91cElkCgoKCgE1AAAAMgAAAAm3AAAACbgAAAAJuQAAAAa6AAAACEl0ZW1UeXBlBrsAAAAJSXRlbSB0eXBlBrwAAAAERW51bQkIAAAABr4AAAAkNDlmNTBkYjUtN2E5My00Nzk4LTlkODctOGI2OThhMzlmZTE0AUH///9r/////////wMAAAABQP///2r///8AAAAAAT////9p////AgAAAAAAAAAAAT7///9o////AAAAAAoBAAAAAAAAAAADAAAAAAbDAAAAJGZlZjI1NzllLTY1ZDUtNGUzNS05Yzg1LTk3ZjY0OGFjZmFkMQbEAAAAGlRhYmxlLkludmVudFRhYmxlLkl0ZW1UeXBlCgoKCgE2AAAAMgAAAAnFAAAACcYAAAAJxwAAAAbIAAAABlVuaXRJZAbJAAAABFVuaXQGygAAAAZTdHJpbmcJCAAAAAbMAAAAJGZiNzdmZDkxLThkNjctNGNhMy1hODA4LTk0NjdhMmI2MGZmYwEz////a/////////8EAAAAATL///9q////AAAAAAEx////af///wIAAAAAAAAAAAEw////aP///wAAAAAKAQAAAAAAAAAABAAAAAAG0QAAACRiMjkxYThhMy0zYzVjLTRmNWEtYmQwMi0wMzU4MDYzZTQ3ODEG0gAAADdUYWJsZS5JbnZlbnRUYWJsZS5JdGVtSWR+VGFibGUuSW52ZW50VGFibGVNb2R1bGUuVW5pdElkCgoKCgE3AAAAMgAAAAnTAAAACdQAAAAJ1QAAAAbWAAAADERpbWVuc2lvblsxXQbXAAAABkJyYW5jaAbYAAAABlN0cmluZwkIAAAABtoAAAAkYjViNmM5MzQtZDc1Mi00MDRiLTlhMjAtMTM2YWMzMTE0N2FlASX///9r/////////wUAAAABJP///2r///8AAAAAASP///9p////AgAAAAAAAAAAASL///9o////AAAAAAoBAAAAAAAAAAAFAAAAAAbfAAAAJDViZDU5ZmM5LTJhYWMtNGViNi1iODM2LTczZWUxN2ZkODA0OQbgAAAAHlRhYmxlLkludmVudFRhYmxlLkRpbWVuc2lvblsxXQoKCgoBOAAAADIAAAAJ4QAAAAniAAAACeMAAAAG5AAAAAxEaW1lbnNpb25bMl0G5QAAAApEZXBhcnRtZW50CdgAAAAJCAAAAAboAAAAJGJkODllYzQ1LTgwZTMtNGU2MS05ZDA3LWQ1NGIzMjBhNDliYgEX////a/////////8GAAAAARb///9q////AAAAAAEV////af///wIAAAAAAAAAAAEU////aP///wAAAAAKAQAAAAAAAAAABgAAAAAG7QAAACQ3ZTI5NWIyNy1jOTk0LTRiOTctOTE5MC1hMTI5MzliM2I5YjkG7gAAAB5UYWJsZS5JbnZlbnRUYWJsZS5EaW1lbnNpb25bMl0KCgoKATkAAAAyAAAACe8AAAAJ8AAAAAnxAAAABvIAAAAMRGltZW5zaW9uWzNdBvMAAAALQ29zdCBDZW50ZXIJ2AAAAAkIAAAABvYAAAAkOTJmNTAwZmItMGU3My00NzVlLWI0MzAtMzczYmY1Nzg0YTQ4AQn///9r/////////wcAAAABCP///2r///8AAAAAAQf///9p////AgAAAAAAAAAAAQb///9o////AAAAAAoBAAAAAAAAAAAHAAAAAAb7AAAAJGJjZjZmYzcwLTgwODUtNDRhZC05OGJjLWIxOWFkNTFkNDg5ZQb8AAAAHlRhYmxlLkludmVudFRhYmxlLkRpbWVuc2lvblszXQoKCgoBOgAAADIAAAAJ/QAAAAn+AAAACf8AAAAGAAEAAAxEaW1lbnNpb25bNF0GAQEAAAdQdXJwb3NlCdgAAAAJCAAAAAYEAQAAJDM5OGIzNmRmLTFjYTUtNDAxYS04MzBkLTMzNzBmNmNmOWM4ZQH7/v//a/////////8IAAAAAfr+//9q////AAAAAAH5/v//af///wIAAAAAAAAAAAH4/v//aP///wAAAAAKAQAAAAAAAAAACAAAAAAGCQEAACQxYTY3NjlhZi03NjM1LTRkOGUtYTE4NS1mMTU0N2JkZWE5ZGMGCgEAAB5UYWJsZS5JbnZlbnRUYWJsZS5EaW1lbnNpb25bNF0KCgoKATsAAAAyAAAACQsBAAAJDAEAAAkNAQAABg4BAAAMRGltZW5zaW9uWzVdBg8BAAAJVGF4IEdyb3VwCdgAAAAJCAAAAAYSAQAAJDA4ZDE5NzUxLTZmMjgtNDZiOS04ZWFmLTE3MWQ2ZWM2ZDhlZQHt/v//a/////////8JAAAAAez+//9q////AAAAAAHr/v//af///wIAAAAAAAAAAAHq/v//aP///wAAAAAKAQAAAAAAAAAACQAAAAAGFwEAACQ0ZWIxOGZhOC1jYzM5LTRhNjMtYmQ1Zi02NWU3YmEwOTJlMDcGGAEAAB5UYWJsZS5JbnZlbnRUYWJsZS5EaW1lbnNpb25bNV0KCgoKATwAAAAyAAAACRkBAAAJGgEAAAkbAQAABhwBAAAMRGltZW5zaW9uWzZdBh0BAAAHU2VnbWVudAnYAAAACQgAAAAGIAEAACRjZWYxZDg3Ny1iMDgzLTRkYjctODRkYy0xZjNjZTM1M2ZkNjAB3/7//2v/////////CgAAAAHe/v//av///wAAAAAB3f7//2n///8CAAAAAAAAAAAB3P7//2j///8AAAAACgEAAAAAAAAAAAoAAAAABiUBAAAkODA3MjExYTEtYzRhZS00ZjA1LTk3NjgtODM1ZGZkYThiNGQ3BiYBAAAeVGFibGUuSW52ZW50VGFibGUuRGltZW5zaW9uWzZdCgoKCgE9AAAAMgAAAAknAQAACSgBAAAJKQEAAAYqAQAADERpbWVuc2lvbls3XQYrAQAAFU1ham9yIE1hcmtldGluZyBHcm91cAnYAAAACQgAAAAGLgEAACRjODFjYmVkNy0yYzVkLTRhNmMtYjJkNC1mYTViNzg0YmEzYWEB0f7//2v/////////CwAAAAHQ/v//av///wAAAAABz/7//2n///8CAAAAAAAAAAABzv7//2j///8AAAAACgEAAAAAAAAAAAsAAAAABjMBAAAkNTQ1YzZjNzMtMzg0YS00ZTJmLTgzZDUtNTQzOGRlZjMxMjVhBjQBAAAeVGFibGUuSW52ZW50VGFibGUuRGltZW5zaW9uWzddCgoKCgE+AAAAMgAAAAk1AQAACTYBAAAJNwEAAAY4AQAADERpbWVuc2lvbls4XQY5AQAAFkRldGFpbCBNYXJrZXRpbmcgR3JvdXAJ2AAAAAkIAAAABjwBAAAkYmRhNDMzYjMtOTRiNC00OGE3LThiODktOTIxMGIzYmJlNTgyAcP+//9r/////////wwAAAABwv7//2r///8AAAAAAcH+//9p////AgAAAAAAAAAAAcD+//9o////AAAAAAoBAAAAAAAAAAAMAAAAAAZBAQAAJDhjZDBmZTQ1LWI5Y2QtNGJjMi04ZWMwLWY4MjRmYzM5NzQxMgZCAQAAHlRhYmxlLkludmVudFRhYmxlLkRpbWVuc2lvbls4XQoKCgoBPwAAADIAAAAJQwEAAAlEAQAACUUBAAAGRgEAAAxEaW1lbnNpb25bOV0GRwEAAAlTdGF0dXRvcnkJ2AAAAAkIAAAABkoBAAAkMmEwMmY3MWItNmRjZC00NGI0LWIzNDgtZjEwNDY1N2VjNTUwAbX+//9r/////////w0AAAABtP7//2r///8AAAAAAbP+//9p////AgAAAAAAAAAAAbL+//9o////AAAAAAoBAAAAAAAAAAANAAAAAAZPAQAAJDQwNzY3NjNiLTliNGEtNDUwNS05Yjg0LTdmODRhODcyODQ0YQZQAQAAHlRhYmxlLkludmVudFRhYmxlLkRpbWVuc2lvbls5XQoKCgoBQAAAADIAAAAJUQEAAAlSAQAACVMBAAAGVAEAAA1EaW1lbnNpb25bMTBdBlUBAAAHQ2hhbm5lbAnYAAAACQgAAAAGWAEAACRlNzM3ODE1Ny1kOTI3LTQ1YmItOGFhZC04ZmNmOTViNzI1MTkBp/7//2v/////////DgAAAAGm/v//av///wAAAAABpf7//2n///8CAAAAAAAAAAABpP7//2j///8AAAAACgEAAAAAAAAAAA4AAAAABl0BAAAkZDYwYjE5NzctNTk4YS00NjE1LWFlZjQtMDA4ZTZjNjQ2NzdiBl4BAAAfVGFibGUuSW52ZW50VGFibGUuRGltZW5zaW9uWzEwXQoKCgoBdAAAABIAAAAHdQAAAAABAAAAD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AEAABhUYWJsZS5JbnZlbnRUYWJsZS5JdGVtSWQJYQEAAAGe/v//of7//wZjAQAAGlRhYmxlLkludmVudFRhYmxlLkl0ZW1OYW1lCWQBAAABm/7//6H+//8GZgEAAB1UYWJsZS5JbnZlbnRUYWJsZS5JdGVtR3JvdXBJZAlnAQAAAZj+//+h/v//BmkBAAAaVGFibGUuSW52ZW50VGFibGUuSXRlbVR5cGUJagEAAAGV/v//of7//wZsAQAAHlRhYmxlLkludmVudFRhYmxlLkRpbWVuc2lvblsxXQltAQAAAZL+//+h/v//Bm8BAAAeVGFibGUuSW52ZW50VGFibGUuRGltZW5zaW9uWzJdCXABAAABj/7//6H+//8GcgEAAB5UYWJsZS5JbnZlbnRUYWJsZS5EaW1lbnNpb25bM10JcwEAAAGM/v//of7//wZ1AQAAHlRhYmxlLkludmVudFRhYmxlLkRpbWVuc2lvbls0XQl2AQAAAYn+//+h/v//BngBAAAeVGFibGUuSW52ZW50VGFibGUuRGltZW5zaW9uWzVdCXkBAAABhv7//6H+//8GewEAAB5UYWJsZS5JbnZlbnRUYWJsZS5EaW1lbnNpb25bNl0JfAEAAAGD/v//of7//wZ+AQAAHlRhYmxlLkludmVudFRhYmxlLkRpbWVuc2lvbls3XQl/AQAAAYD+//+h/v//BoEBAAAeVGFibGUuSW52ZW50VGFibGUuRGltZW5zaW9uWzhdCYIBAAABff7//6H+//8GhAEAAB5UYWJsZS5JbnZlbnRUYWJsZS5EaW1lbnNpb25bOV0JhQEAAAF6/v//of7//waHAQAAH1RhYmxlLkludmVudFRhYmxlLkRpbWVuc2lvblsxMF0JiAEAAAd3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d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KAQAAGFRhYmxlLkludmVudFRhYmxlLkl0ZW1JZAmLAQAAAXT+//93/v//Bo0BAAAaVGFibGUuSW52ZW50VGFibGUuSXRlbVR5cGUJjgEAAAd5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x/v//1P///wkwAAAACTEAAAAEe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8AAAAhAAAAAQAAAAmSAQAAAwAAAAmTAQAAAYAAAAAiAAAAAQAAAAkSAAAAAwAAAAmVAQAABI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AQAAAAAAAAGMAAAAKQAAAAAAAAAJlwEAAAAAAAA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EAAAEAAAABAAAABI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1wAAAAmZAQAABwAAAAmaAQAABI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mSAQAABwAAAAmcAQAAAZsAAACNAAAACZ0BAAABAAAAAQAAAAGcAAAAjgAAANYAAAAJmQEAAAcAAAAJnwEAAAS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kgEAAAcAAAAJoQEAAAGpAAAAjQAAAAmiAQAAAQAAAAEAAAABqgAAAI4AAADWAAAACZkBAAAHAAAACaQBAAAEq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ZIBAAAHAAAACaYBAAABtwAAAI0AAAAJpwEAAAEAAAABAAAAAbgAAACOAAAA1gAAAAmZAQAABwAAAAmpAQAABL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mSAQAABwAAAAmrAQAAAcUAAACNAAAACawBAAABAAAAAQAAAAHGAAAAjgAAANUAAAAJmQEAAAcAAAAJrgE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kgEAAAcAAAAJsAEAAAHTAAAAjQAAAAmxAQAAAQAAAAEAAAAB1AAAAI4AAAA7AAAACbIBAAAHAAAACbMBAAAE1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bUBAAAB4QAAAI0AAAAJtgEAAAEAAAABAAAAAeIAAACOAAAAOwAAAAmyAQAABwAAAAm4AQAABO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SAAAABwAAAAm6AQAAAe8AAACNAAAACbsBAAABAAAAAQAAAAHwAAAAjgAAADsAAAAJsgEAAAcAAAAJvQEAAAT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EgAAAAcAAAAJvwEAAAH9AAAAjQAAAAnAAQAAAQAAAAEAAAAB/gAAAI4AAAA7AAAACbIBAAAHAAAACcIBAAAE/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cQBAAABCwEAAI0AAAAJxQEAAAEAAAABAAAAAQwBAACOAAAAOwAAAAmyAQAABwAAAAnHAQAABA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SAAAABwAAAAnJAQAAARkBAACNAAAACcoBAAABAAAAAQAAAAEaAQAAjgAAADsAAAAJsgEAAAcAAAAJzAEAAAQb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EgAAAAcAAAAJzgEAAAEnAQAAjQAAAAnPAQAAAQAAAAEAAAABKAEAAI4AAAA7AAAACbIBAAAHAAAACdEBAAAEK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dMBAAABNQEAAI0AAAAJ1AEAAAEAAAABAAAAATYBAACOAAAAOwAAAAmyAQAABwAAAAnWAQAABD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SAAAABwAAAAnYAQAAAUMBAACNAAAACdkBAAABAAAAAQAAAAFEAQAAjgAAADsAAAAJsgEAAAcAAAAJ2wE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EgAAAAcAAAAJ3QEAAAFRAQAAjQAAAAneAQAAAQAAAAEAAAABUgEAAI4AAAA7AAAACbIBAAAHAAAACeABAAAEU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eIBAAAFY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Hf7//2v/////////AAbkAQAABlN0cmluZwblAQAAC0l0ZW0gbnVtYmVyCeYBAAABGf7//2n///8CAAAABRj+//85R2xvYmVTb2Z0d2FyZS5BdGxhczQwLkF0bGFzQ29tbW9uLk51bWJlclNlcXVlbmNlQ29uZGl0aW9uAQAAAAd2YWx1ZV9fAAgCAAAAAQAAAAAABukBAAARVGFibGUuSW52ZW50VGFibGUJkAAAAAkIAAAACv////8J6QEAAAoJkAAAAAoKCgkIAAAACe8BAAAJCAAAAAFkAQAAYQEAAAEP/v//a/////////8ABvIBAAAGU3RyaW5nBvMBAAAJSXRlbSBuYW1lCeYBAAABC/7//2n///8CAAAAAQr+//8Y/v//AQAAAAAACekBAAAJngAAAAkIAAAACv////8J6QEAAAoJngAAAAoKCgkIAAAACf0BAAAJCAAAAAFnAQAAYQEAAAEB/v//a/////////8ABgACAAAGU3RyaW5nBgECAAAKSXRlbSBncm91cAnmAQAAAf39//9p////AgAAAAH8/f//GP7//wEAAAAAAAnpAQAACawAAAAJCAAAAAr/////CekBAAAKCawAAAAKCgoJCAAAAAkLAgAACQgAAAABagEAAGEBAAAB8/3//2v/////////AAYOAgAABEVudW0GDwIAAAlJdGVtIHR5cGUJ5gEAAAHv/f//af///wIAAAAB7v3//xj+//8BAAAAAAAJ6QEAAAm6AAAACQgAAAAK/////wnpAQAACgm6AAAACgoKCQgAAAAJGQIAAAkIAAAAAW0BAABhAQAAAeX9//9r/////////wAGHAIAAAZTdHJpbmcGHQIAAAZCcmFuY2gJHgIAAAHh/f//af///wIAAAAB4P3//xj+//8BAAAAAAAGIQIAABFUYWJsZS5JbnZlbnRUYWJsZQnWAAAACQgAAAAK/////wkhAgAACgnWAAAACgoKCQgAAAAJJwIAAAkIAAAAAXABAABhAQAAAdf9//9r/////////wAJHAIAAAYrAgAACkRlcGFydG1lbnQJHgIAAAHT/f//af///wIAAAAB0v3//xj+//8BAAAAAAAJIQIAAAnkAAAACQgAAAAK/////wkhAgAACgnkAAAACgoKCQgAAAAJNQIAAAkIAAAAAXMBAABhAQAAAcn9//9r/////////wAJHAIAAAY5AgAAC0Nvc3QgQ2VudGVyCR4CAAABxf3//2n///8CAAAAAcT9//8Y/v//AQAAAAAACSECAAAJ8gAAAAkIAAAACv////8JIQIAAAoJ8gAAAAoKCgkIAAAACUMCAAAJCAAAAAF2AQAAYQEAAAG7/f//a/////////8ACRwCAAAGRwIAAAdQdXJwb3NlCR4CAAABt/3//2n///8CAAAAAbb9//8Y/v//AQAAAAAACSECAAAJAAEAAAkIAAAACv////8JIQIAAAoJAAEAAAoKCgkIAAAACVECAAAJCAAAAAF5AQAAYQEAAAGt/f//a/////////8ACRwCAAAGVQIAAAlUYXggR3JvdXAJHgIAAAGp/f//af///wIAAAABqP3//xj+//8BAAAAAAAJIQIAAAkOAQAACQgAAAAK/////wkhAgAACgkOAQAACgoKCQgAAAAJXwIAAAkIAAAAAXwBAABhAQAAAZ/9//9r/////////wAJHAIAAAZjAgAAB1NlZ21lbnQJHgIAAAGb/f//af///wIAAAABmv3//xj+//8BAAAAAAAJIQIAAAkcAQAACQgAAAAK/////wkhAgAACgkcAQAACgoKCQgAAAAJbQIAAAkIAAAAAX8BAABhAQAAAZH9//9r/////////wAJHAIAAAZxAgAAFU1ham9yIE1hcmtldGluZyBHcm91cAkeAgAAAY39//9p////AgAAAAGM/f//GP7//wEAAAAAAAkhAgAACSoBAAAJCAAAAAr/////CSECAAAKCSoBAAAKCgoJCAAAAAl7AgAACQgAAAABggEAAGEBAAABg/3//2v/////////AAkcAgAABn8CAAAWRGV0YWlsIE1hcmtldGluZyBHcm91cAkeAgAAAX/9//9p////AgAAAAF+/f//GP7//wEAAAAAAAkhAgAACTgBAAAJCAAAAAr/////CSECAAAKCTgBAAAKCgoJCAAAAAmJAgAACQgAAAABhQEAAGEBAAABdf3//2v/////////AAkcAgAABo0CAAAJU3RhdHV0b3J5CR4CAAABcf3//2n///8CAAAAAXD9//8Y/v//AQAAAAAACSECAAAJRgEAAAkIAAAACv////8JIQIAAAoJRgEAAAoKCgkIAAAACZcCAAAJCAAAAAGIAQAAYQEAAAFn/f//a/////////8ACRwCAAAGmwIAAAdDaGFubmVsCR4CAAABY/3//2n///8CAAAAAWL9//8Y/v//AQAAAAAACSECAAAJVAEAAAkIAAAACv////8JIQIAAAoJVAEAAAoKCgkIAAAACaUCAAAJCAAAAAWL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pwIAABFUYWJsZS5JbnZlbnRUYWJsZQaoAgAABkl0ZW1JZAkIAAAABqoCAAABKv////8JpwIAAAoJqAIAAAoKCgkIAAAACa4CAAAJCAAAAAGOAQAAiwEAAAmnAgAABrECAAAISXRlbVR5cGUJCAAAAAazAgAACCFTZXJ2aWNl/////wmnAgAACgmxAgAACgoKCQgAAAAJtwIAAAkIAAAAAZIBAAASAAAAB5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f9//+h/v//BroCAAA3VGFibGUuSW52ZW50VGFibGUuSXRlbUlkflRhYmxlLkludmVudFRhYmxlTW9kdWxlLlVuaXRJZAm7AgAAB5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E/f//d/7//wa9AgAAO1RhYmxlLkludmVudFRhYmxlLkl0ZW1JZH5UYWJsZS5JbnZlbnRUYWJsZU1vZHVsZS5Nb2R1bGVUeXBlCb4CAAABlwEAAHoAAAAHmAEAAAABAAAABAAAAAQ3R2xvYmVTb2Z0d2FyZS5BdGxhczQwLkF0bGFzQ29tbW9uLlR5cGUuRmllbGRPdXRwdXRGaWVsZAIAAAAJYQEAAA0DBJ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A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/9//8yR2xvYmVTb2Z0d2FyZS5BdGxhczQwLkF0bGFzQ29tbW9uLkNvbHVtbkF0dHJpYnV0ZXMBAAAAB3ZhbHVlX18ACAIAAAAGAAAABsICAAAFVG90YWwBPf3//0D9//8BPP3//z/9//8QAAAABsUCAAAETm9uZQE6/f//QP3//wE5/f//P/3//wkAAAAJCAAAAAE3/f//QP3//wE2/f//P/3//wsAAAAGywIAAAEwATT9//9A/f//ATP9//8//f//BAAAAAbOAgAAB0dlbmVyYWwBMf3//0D9//8BMP3//z/9//8CAAAABtECAAABMQEu/f//QP3//wEt/f//P/3//wAAAAAG1AIAAAUyMC40Mw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v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1gIAAAhGb250Qm9sZAbXAgAABUZhbHNlASj9//8r/f//BtkCAAAKRm9udEl0YWxpYwnXAgAAASX9//8r/f//BtwCAAANRm9udFVuZGVybGluZQbdAgAABS00MTQyASL9//8r/f//Bt8CAAAIRm9udE5hbWUG4AIAAAdDYWxpYnJpAR/9//8r/f//BuICAAAJRm9udENvbG9yBuMCAAABMAEc/f//K/3//wblAgAACEZvbnRTaXplBuYCAAACMTEBGf3//yv9//8G6AIAAAlGb250U3R5bGUG6QIAAAdSZWd1bGFyB50BAAAAAQAAAAQAAAAEN0dsb2JlU29mdHdhcmUuQXRsYXM0MC5BdGxhc0NvbW1vbi5UeXBlLkZpZWxkT3V0cHV0RmllbGQCAAAACWQBAAANAw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f3//0D9//8BFP3//z/9//8QAAAACcUCAAABEv3//0D9//8BEf3//z/9//8JAAAACQgAAAABD/3//0D9//8BDv3//z/9//8LAAAABvMCAAABMQEM/f//QP3//wEL/f//P/3//wQAAAAG9gIAAAdHZW5lcmFsAQn9//9A/f//AQj9//8//f//AgAAAAb5AgAAATEBBv3//0D9//8BBf3//z/9//8AAAAABvwCAAACNTY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f//K/3//wnWAgAACdcCAAABAP3//yv9//8J2QIAAAnXAgAAAf38//8r/f//CdwCAAAGBQMAAAUtNDE0MgH6/P//K/3//wnfAgAABggDAAAHQ2FsaWJyaQH3/P//K/3//wniAgAABgsDAAABMAH0/P//K/3//wnlAgAABg4DAAACMTEB8fz//yv9//8J6AIAAAYRAwAAB1JlZ3VsYXIHogEAAAABAAAABAAAAAQ3R2xvYmVTb2Z0d2FyZS5BdGxhczQwLkF0bGFzQ29tbW9uLlR5cGUuRmllbGRPdXRwdXRGaWVsZAIAAAAJZwEAAA0DB6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P//QP3//wHs/P//P/3//xAAAAAJxQIAAAHq/P//QP3//wHp/P//P/3//wkAAAAJCAAAAAHn/P//QP3//wHm/P//P/3//wsAAAAGGwMAAAEyAeT8//9A/f//AeP8//8//f//BAAAAAYeAwAAB0dlbmVyYWwB4fz//0D9//8B4Pz//z/9//8CAAAABiEDAAABMQHe/P//QP3//wHd/P//P/3//wAAAAAGJAMAAAUxMi4yOQe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8//8r/f//CdYCAAAJ1wIAAAHY/P//K/3//wnZAgAACdcCAAAB1fz//yv9//8J3AIAAAYtAwAABS00MTQyAdL8//8r/f//Cd8CAAAGMAMAAAdDYWxpYnJpAc/8//8r/f//CeICAAAGMwMAAAEwAcz8//8r/f//CeUCAAAGNgMAAAIxMQHJ/P//K/3//wnoAgAABjkDAAAHUmVndWxhcgenAQAAAAEAAAAEAAAABDdHbG9iZVNvZnR3YXJlLkF0bGFzNDAuQXRsYXNDb21tb24uVHlwZS5GaWVsZE91dHB1dEZpZWxkAgAAAAlqAQAADQMHq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9A/f//AcT8//8//f//EAAAAAnFAgAAAcL8//9A/f//AcH8//8//f//CQAAAAkIAAAAAb/8//9A/f//Ab78//8//f//CwAAAAZDAwAAATMBvPz//0D9//8Bu/z//z/9//8EAAAABkYDAAAHR2VuZXJhbAG5/P//QP3//wG4/P//P/3//wIAAAAGSQMAAAExAbb8//9A/f//AbX8//8//f//AAAAAAZMAwAABTExLjE0B6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yv9//8J1gIAAAnXAgAAAbD8//8r/f//CdkCAAAJ1wIAAAGt/P//K/3//wncAgAABlUDAAAFLTQxNDIBqvz//yv9//8J3wIAAAZYAwAAB0NhbGlicmkBp/z//yv9//8J4gIAAAZbAwAAATABpPz//yv9//8J5QIAAAZeAwAAAjExAaH8//8r/f//CegCAAAGYQMAAAdSZWd1bGFyB6wBAAAAAQAAAAQAAAAEN0dsb2JlU29mdHdhcmUuQXRsYXM0MC5BdGxhc0NvbW1vbi5UeXBlLkZpZWxkT3V0cHV0RmllbGQCAAAACbsCAAANAwe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fz//0D9//8BnPz//z/9//8JAAAACQgAAAABmvz//0D9//8Bmfz//z/9//8LAAAABmgDAAABNAGX/P//QP3//wGW/P//P/3//wQAAAAGawMAAAdHZW5lcmFsAZT8//9A/f//AZP8//8//f//AgAAAAZuAwAAATEBkfz//0D9//8BkPz//z/9//8AAAAABnEDAAAENi40Mwe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78//8r/f//CdYCAAAJ1wIAAAGL/P//K/3//wnZAgAACdcCAAABiPz//yv9//8J3AIAAAZ6AwAABS00MTQyAYX8//8r/f//Cd8CAAAGfQMAAAdDYWxpYnJpAYL8//8r/f//CeICAAAGgAMAAAEwAX/8//8r/f//CeUCAAAGgwMAAAIxMQF8/P//K/3//wnoAgAABoYDAAAHUmVndWxhcgexAQAAAAEAAAAEAAAABDdHbG9iZVNvZnR3YXJlLkF0bGFzNDAuQXRsYXNDb21tb24uVHlwZS5GaWVsZE91dHB1dEZpZWxkAgAAAAltAQAADQMBsgEAAJkBAAAHs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j8//9A/f//AXf8//8//f//CQAAAAkIAAAAAXX8//9A/f//AXT8//8//f//CwAAAAaNAwAAATUBcvz//0D9//8Bcfz//z/9//8EAAAABpADAAAHR2VuZXJhbAFv/P//QP3//wFu/P//P/3//wIAAAAGkwMAAAExAWz8//9A/f//AWv8//8//f//AAAAAAaWAwAABDguNTcHt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K/3//waYAwAACEZvbnRCb2xkCdcCAAABZvz//yv9//8GmwMAAApGb250SXRhbGljCdcCAAABY/z//yv9//8GngMAAA1Gb250VW5kZXJsaW5lBp8DAAAFLTQxNDIBYPz//yv9//8GoQMAAAhGb250TmFtZQaiAwAAB0NhbGlicmkBXfz//yv9//8GpAMAAAlGb250Q29sb3IGpQMAAAEwAVr8//8r/f//BqcDAAAIRm9udFNpemUGqAMAAAIxMQFX/P//K/3//waqAwAACUZvbnRTdHlsZQarAwAAB1JlZ3VsYXIHtgEAAAABAAAABAAAAAQ3R2xvYmVTb2Z0d2FyZS5BdGxhczQwLkF0bGFzQ29tbW9uLlR5cGUuRmllbGRPdXRwdXRGaWVsZAIAAAAJcAEAAA0DB7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QP3//wFS/P//P/3//wkAAAAJCAAAAAFQ/P//QP3//wFP/P//P/3//wsAAAAGsgMAAAE2AU38//9A/f//AUz8//8//f//BAAAAAa1AwAAB0dlbmVyYWwBSvz//0D9//8BSfz//z/9//8CAAAABrgDAAABMQFH/P//QP3//wFG/P//P/3//wAAAAAGuwMAAAUxMy4yOQe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T8//8r/f//CZgDAAAJ1wIAAAFB/P//K/3//wmbAwAACdcCAAABPvz//yv9//8JngMAAAbEAwAABS00MTQyATv8//8r/f//CaEDAAAGxwMAAAdDYWxpYnJpATj8//8r/f//CaQDAAAGygMAAAEwATX8//8r/f//CacDAAAGzQMAAAIxMQEy/P//K/3//wmqAwAABtADAAAHUmVndWxhcge7AQAAAAEAAAAEAAAABDdHbG9iZVNvZnR3YXJlLkF0bGFzNDAuQXRsYXNDb21tb24uVHlwZS5GaWVsZE91dHB1dEZpZWxkAgAAAAlzAQAADQMHv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78//9A/f//AS38//8//f//CQAAAAkIAAAAASv8//9A/f//ASr8//8//f//CwAAAAbXAwAAATcBKPz//0D9//8BJ/z//z/9//8EAAAABtoDAAAHR2VuZXJhbAEl/P//QP3//wEk/P//P/3//wIAAAAG3QMAAAExASL8//9A/f//ASH8//8//f//AAAAAAbgAwAABTEyLjg2B78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yv9//8JmAMAAAnXAgAAARz8//8r/f//CZsDAAAJ1wIAAAEZ/P//K/3//wmeAwAABukDAAAFLTQxNDIBFvz//yv9//8JoQMAAAbsAwAAB0NhbGlicmkBE/z//yv9//8JpAMAAAbvAwAAATABEPz//yv9//8JpwMAAAbyAwAAAjExAQ38//8r/f//CaoDAAAG9QMAAAdSZWd1bGFyB8ABAAAAAQAAAAQAAAAEN0dsb2JlU29mdHdhcmUuQXRsYXM0MC5BdGxhc0NvbW1vbi5UeXBlLkZpZWxkT3V0cHV0RmllbGQCAAAACXYBAAANAwf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0D9//8BCPz//z/9//8JAAAACQgAAAABBvz//0D9//8BBfz//z/9//8LAAAABvwDAAABOAED/P//QP3//wEC/P//P/3//wQAAAAG/wMAAAdHZW5lcmFsAQD8//9A/f//Af/7//8//f//AgAAAAYCBAAAATEB/fv//0D9//8B/Pv//z/9//8AAAAABgUEAAAEOS44NgfE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7//8r/f//CZgDAAAJ1wIAAAH3+///K/3//wmbAwAACdcCAAAB9Pv//yv9//8JngMAAAYOBAAABS00MTQyAfH7//8r/f//CaEDAAAGEQQAAAdDYWxpYnJpAe77//8r/f//CaQDAAAGFAQAAAEwAev7//8r/f//CacDAAAGFwQAAAIxMQHo+///K/3//wmqAwAABhoEAAAHUmVndWxhcgfFAQAAAAEAAAAEAAAABDdHbG9iZVNvZnR3YXJlLkF0bGFzNDAuQXRsYXNDb21tb24uVHlwZS5GaWVsZE91dHB1dEZpZWxkAgAAAAl5AQAADQMHx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7//9A/f//AeP7//8//f//CQAAAAkIAAAAAeH7//9A/f//AeD7//8//f//CwAAAAYhBAAAATkB3vv//0D9//8B3fv//z/9//8EAAAABiQEAAAHR2VuZXJhbAHb+///QP3//wHa+///P/3//wIAAAAGJwQAAAExAdj7//9A/f//Adf7//8//f//AAAAAAYqBAAABTExLjU3B8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v//yv9//8JmAMAAAnXAgAAAdL7//8r/f//CZsDAAAJ1wIAAAHP+///K/3//wmeAwAABjMEAAAFLTQxNDIBzPv//yv9//8JoQMAAAY2BAAAB0NhbGlicmkByfv//yv9//8JpAMAAAY5BAAAATABxvv//yv9//8JpwMAAAY8BAAAAjExAcP7//8r/f//CaoDAAAGPwQAAAdSZWd1bGFyB8oBAAAAAQAAAAQAAAAEN0dsb2JlU29mdHdhcmUuQXRsYXM0MC5BdGxhc0NvbW1vbi5UeXBlLkZpZWxkT3V0cHV0RmllbGQCAAAACXwBAAANAwfM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v//0D9//8Bvvv//z/9//8JAAAACQgAAAABvPv//0D9//8Bu/v//z/9//8LAAAABkYEAAACMTABufv//0D9//8BuPv//z/9//8EAAAABkkEAAAHR2VuZXJhbAG2+///QP3//wG1+///P/3//wIAAAAGTAQAAAExAbP7//9A/f//AbL7//8//f//AAAAAAZPBAAABTEwLjQzB84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v//yv9//8JmAMAAAnXAgAAAa37//8r/f//CZsDAAAJ1wIAAAGq+///K/3//wmeAwAABlgEAAAFLTQxNDIBp/v//yv9//8JoQMAAAZbBAAAB0NhbGlicmkBpPv//yv9//8JpAMAAAZeBAAAATABofv//yv9//8JpwMAAAZhBAAAAjExAZ77//8r/f//CaoDAAAGZAQAAAdSZWd1bGFyB88BAAAAAQAAAAQAAAAEN0dsb2JlU29mdHdhcmUuQXRsYXM0MC5BdGxhc0NvbW1vbi5UeXBlLkZpZWxkT3V0cHV0RmllbGQCAAAACX8BAAANAwfR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vv//0D9//8Bmfv//z/9//8JAAAACQgAAAABl/v//0D9//8Blvv//z/9//8LAAAABmsEAAACMTEBlPv//0D9//8Bk/v//z/9//8EAAAABm4EAAAHR2VuZXJhbAGR+///QP3//wGQ+///P/3//wIAAAAGcQQAAAExAY77//9A/f//AY37//8//f//AAAAAAZ0BAAABTIzLjg2B9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v//yv9//8JmAMAAAnXAgAAAYj7//8r/f//CZsDAAAJ1wIAAAGF+///K/3//wmeAwAABn0EAAAFLTQxNDIBgvv//yv9//8JoQMAAAaABAAAB0NhbGlicmkBf/v//yv9//8JpAMAAAaDBAAAATABfPv//yv9//8JpwMAAAaGBAAAAjExAXn7//8r/f//CaoDAAAGiQQAAAdSZWd1bGFyB9QBAAAAAQAAAAQAAAAEN0dsb2JlU29mdHdhcmUuQXRsYXM0MC5BdGxhc0NvbW1vbi5UeXBlLkZpZWxkT3V0cHV0RmllbGQCAAAACYIBAAANAwfW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fv//0D9//8BdPv//z/9//8JAAAACQgAAAABcvv//0D9//8Bcfv//z/9//8LAAAABpAEAAACMTIBb/v//0D9//8Bbvv//z/9//8EAAAABpMEAAAHR2VuZXJhbAFs+///QP3//wFr+///P/3//wIAAAAGlgQAAAExAWn7//9A/f//AWj7//8//f//AAAAAAaZBAAABTIzLjg2B9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v//yv9//8JmAMAAAnXAgAAAWP7//8r/f//CZsDAAAJ1wIAAAFg+///K/3//wmeAwAABqIEAAAFLTQxNDIBXfv//yv9//8JoQMAAAalBAAAB0NhbGlicmkBWvv//yv9//8JpAMAAAaoBAAAATABV/v//yv9//8JpwMAAAarBAAAAjExAVT7//8r/f//CaoDAAAGrgQAAAdSZWd1bGFyB9kBAAAAAQAAAAQAAAAEN0dsb2JlU29mdHdhcmUuQXRsYXM0MC5BdGxhc0NvbW1vbi5UeXBlLkZpZWxkT3V0cHV0RmllbGQCAAAACYUBAAANAwfb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v//0D9//8BT/v//z/9//8JAAAACQgAAAABTfv//0D9//8BTPv//z/9//8LAAAABrUEAAACMTMBSvv//0D9//8BSfv//z/9//8EAAAABrgEAAAHR2VuZXJhbAFH+///QP3//wFG+///P/3//wIAAAAGuwQAAAExAUT7//9A/f//AUP7//8//f//AAAAAAa+BAAABTEwLjcxB90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yv9//8JmAMAAAnXAgAAAT77//8r/f//CZsDAAAJ1wIAAAE7+///K/3//wmeAwAABscEAAAFLTQxNDIBOPv//yv9//8JoQMAAAbKBAAAB0NhbGlicmkBNfv//yv9//8JpAMAAAbNBAAAATABMvv//yv9//8JpwMAAAbQBAAAAjExAS/7//8r/f//CaoDAAAG0wQAAAdSZWd1bGFyB94BAAAAAQAAAAQAAAAEN0dsb2JlU29mdHdhcmUuQXRsYXM0MC5BdGxhc0NvbW1vbi5UeXBlLkZpZWxkT3V0cHV0RmllbGQCAAAACYgBAAANAwf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v//0D9//8BKvv//z/9//8JAAAACQgAAAABKPv//0D9//8BJ/v//z/9//8LAAAABtoEAAACMTQBJfv//0D9//8BJPv//z/9//8EAAAABt0EAAAHR2VuZXJhbAEi+///QP3//wEh+///P/3//wIAAAAG4AQAAAExAR/7//9A/f//AR77//8//f//AAAAAAbjBAAABDkuODYH4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+///K/3//wmYAwAACdcCAAABGfv//yv9//8JmwMAAAnXAgAAARb7//8r/f//CZ4DAAAG7AQAAAUtNDE0MgET+///K/3//wmhAwAABu8EAAAHQ2FsaWJyaQEQ+///K/3//wmkAwAABvIEAAABMAEN+///K/3//wmnAwAABvUEAAACMTEBCvv//yv9//8JqgMAAAb4BAAAB1JlZ3VsYXIB5gEAAA4AAACvAAAABvkEAAALSW52ZW50VGFibGUG+gQAAAVJdGVtcwkIAAAACQgAAAAJCAAAAAEE+///4P///wAAAAAJ/QQAAAn+BAAAAQH7///d////4kGfOgXEU0iC0ewZNyouAwkIAAAACQgAAAAJAQUAAAnpAQAACgoKCgoBAAAAAf36///Z////AAAAAAH8+v//2P///wAAAAAACQUFAAAE7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ZIBAAADAAAACQcFAAAE/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ZIBAAADAAAACQkFAAAEC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ZIBAAADAAAACQsFAAAEG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ZIBAAADAAAACQ0FAAABHgIAAA4AAAD/////Bg4FAAALSW52ZW50VGFibGUGDwUAAAVJdGVtcwkIAAAACQgAAAAJCAAAAAHv+v//4P///wAAAAAJEgUAAAkTBQAAAez6///d////scQuooJFuEe2SNJ9pzXZ+AkIAAAACQgAAAAJFgUAAAkhAgAACgoKCgoBAAAAAej6///Z////AAAAAAHn+v//2P///wAAAAAACRoFAAAEJ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RwFAAAEN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R4FAAAEQ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AFAAAEU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IFAAAEX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QFAAAEb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YFAAAEe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gFAAAEi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oFAAAEl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wFAAAEp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S4F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S8FAAADAAAACTAFAAAEt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S8FAAADAAAACTIFAAABuwIAAGEBAAABzfr//2v/////////AAY0BQAABlN0cmluZwY1BQAABFVuaXQJMQAAAAHJ+v//af///wIAAAAByPr//xj+//8BAAAAAAAJMAAAAAnIAAAACQgAAAAK/////wkwAAAACgnIAAAABj4FAAAGSXRlbUlkBj8FAAALSW52ZW50VGFibGUKCQgAAAAJQQUAAAkIAAAAAb4CAACLAQAACTAAAAAGRAUAAApNb2R1bGVUeXBlCQgAAAAGRgUAAAZJbnZlbnT/////CTAAAAAKCUQFAAAGSQUAAAZJdGVtSWQKCgkIAAAACUsFAAAJCAAAAAH9BAAAIQAAAAgAAAAJTQUAAAcAAAAJTgUAAAT+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0FAAAAAAAAAQEFAAAEAAAAAQAAAAlNBQAAAwAAAAlQBQAAAQUFAAApAAAAAAAAAAlRBQAAAAAAAAc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76//8r/f//BlMFAAAISGVscFRleHQGVAUAAA5JZGVudGlmeSBpdGVtLgGr+v//K/3//wZWBQAABUxhYmVsCeUBAAABqPr//yv9//8GWQUAAARUeXBlCeQBAAAHC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+v//K/3//wlTBQAABl0FAAAYRGVzY3JpcHRpb24gb2YgdGhlIGl0ZW0uAaL6//8r/f//CVYFAAAJ8wEAAAGf+v//K/3//wlZBQAACfIB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v//K/3//wlTBQAABmYFAAAoSXRlbSBncm91cCB0aGF0IHRoZSBpdGVtIGlzIGF0dGFjaGVkIHRvLgGZ+v//K/3//wlWBQAACQECAAABlvr//yv9//8JWQUAAAkAAgAABw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r//yv9//8JUwUAAAZvBQAALlR5cGUgZGV0ZXJtaW5pbmcgaG93IHRoZSBpdGVtIGlzIGFkbWluaXN0ZXJlZC4BkPr//yv9//8JVgUAAAkPAgAAAY36//8r/f//CVkFAAAJDgIAAAESBQAAIQAAAA4AAAAJdgUAABEAAAAJdwUAAAETBQAAIgAAAAIAAAAJLwUAAAMAAAAJeQUAAAEWBQAABAAAAAEAAAAJdgUAAAMAAAAJewUAAAEaBQAAKQAAAAAAAAAJfAUAAAAAAAAHH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v//K/3//wZ+BQAABUxhYmVsCR0CAAABgPr//yv9//8GgQUAAARUeXBlCRwCAAAHH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v//K/3//wl+BQAACSsCAAABevr//yv9//8JgQUAAAkcAgAAByA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yv9//8JfgUAAAk5AgAAAXT6//8r/f//CYEFAAAJHAIAAAci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6//8r/f//CX4FAAAJRwIAAAFu+v//K/3//wmBBQAACRwCAAAHJ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K/3//wl+BQAACVUCAAABaPr//yv9//8JgQUAAAkcAgAAByY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r//yv9//8JfgUAAAljAgAAAWL6//8r/f//CYEFAAAJHAIAAAc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/6//8r/f//CX4FAAAJcQIAAAFc+v//K/3//wmBBQAACRwCAAAHK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v//K/3//wl+BQAACX8CAAABVvr//yv9//8JgQUAAAkcAgAAByw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r//yv9//8JfgUAAAmNAgAAAVD6//8r/f//CYEFAAAJHAIAAAcu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36//8r/f//CX4FAAAJmwIAAAFK+v//K/3//wmBBQAACRwCAAABLwUAABIA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v//K/3//wa6BQAABFR5cGUJ5AEAAAFE+v//K/3//wa9BQAABUxhYmVsCeUBAAABQfr//yv9//8GwAUAAAhSZWZlcnNUbwbBBQAACz1JdGVtTnVtYmVy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r//yv9//8JugUAAAkOAgAAATv6//8r/f//Cb0FAAAJDwIAAAE4+v//K/3//wnABQAABsoFAAAJPUl0ZW1UeXBlBE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AAAAmSAQAAAwAAAAnMBQAABE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AAAAAkvBQAAAwAAAAnOBQAAAU0FAAASAAAAB04F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6//+h/v//BtAFAAAYVGFibGUuSW52ZW50VGFibGUuSXRlbUlkCWEBAAABLvr//6H+//8G0wUAABpUYWJsZS5JbnZlbnRUYWJsZS5JdGVtTmFtZQlkAQAAASv6//+h/v//BtYFAAAdVGFibGUuSW52ZW50VGFibGUuSXRlbUdyb3VwSWQJZwEAAAEo+v//of7//wbZBQAAGlRhYmxlLkludmVudFRhYmxlLkl0ZW1UeXBlCWoBAAAHUAU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fr//9T///8JMAAAAAkxAAAAAVEFAAB6AAAAAXYFAAASAAAAB3cFAAAAAQAAAA4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6//+h/v//Bt8FAAAYVGFibGUuSW52ZW50VGFibGUuSXRlbUlkCWEBAAABH/r//6H+//8G4gUAABpUYWJsZS5JbnZlbnRUYWJsZS5JdGVtTmFtZQlkAQAAARz6//+h/v//BuUFAAAdVGFibGUuSW52ZW50VGFibGUuSXRlbUdyb3VwSWQJZwEAAAEZ+v//of7//wboBQAAGlRhYmxlLkludmVudFRhYmxlLkl0ZW1UeXBlCWoBAAABFvr//6H+//8G6wUAAB5UYWJsZS5JbnZlbnRUYWJsZS5EaW1lbnNpb25bMV0JbQEAAAET+v//of7//wbuBQAAH1RhYmxlLkludmVudFRhYmxlLkRpbWVuc2lvblsxMF0JiAEAAAEQ+v//of7//wbxBQAAHlRhYmxlLkludmVudFRhYmxlLkRpbWVuc2lvblszXQlzAQAAAQ36//+h/v//BvQFAAAeVGFibGUuSW52ZW50VGFibGUuRGltZW5zaW9uWzJdCXABAAABCvr//6H+//8G9wUAAB5UYWJsZS5JbnZlbnRUYWJsZS5EaW1lbnNpb25bOF0JggEAAAEH+v//of7//wb6BQAAHlRhYmxlLkludmVudFRhYmxlLkRpbWVuc2lvbls3XQl/AQAAAQT6//+h/v//Bv0FAAAeVGFibGUuSW52ZW50VGFibGUuRGltZW5zaW9uWzRdCXYBAAABAfr//6H+//8GAAYAAB5UYWJsZS5JbnZlbnRUYWJsZS5EaW1lbnNpb25bNl0JfAEAAAH++f//of7//wYDBgAAHlRhYmxlLkludmVudFRhYmxlLkRpbWVuc2lvbls5XQmFAQAAAfv5//+h/v//BgYGAAAeVGFibGUuSW52ZW50VGFibGUuRGltZW5zaW9uWzVdCXkBAAAHeQ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j5//93/v//BgkGAAAYVGFibGUuSW52ZW50VGFibGUuSXRlbUlkCYsBAAAB9fn//3f+//8GDAYAABpUYWJsZS5JbnZlbnRUYWJsZS5JdGVtVHlwZQmOAQAAB3sF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L5///U////CTAAAAAJMQAAAAF8BQAAegAAAAf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5//8r/f//CVYFAAAJNQUAAAHs+f//K/3//wlZBQAACTQF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f//K/3//wm6BQAABhkGAAAERW51bQHm+f//K/3//wm9BQAABhwGAAALTW9kdWxlIHR5cGUL
    <Output>
      <OutputObject name="AtlasReport_5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PAAAAD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gwj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MAAAAIAgAAAAYkAAAAFUF0bGFzUmVwb3J0XzVfVGFibGVfMQkl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jAAAACAgJJg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cAAAAJKAAAAAkpAAAABioAAAAGSXRlbUlkBisAAAALSXRlbSBudW1iZXIGLAAAAAZTdHJpbmcGLQAAAAAGLgAAACQyNTRiMTdhYS0xZWNmLTQyNWEtOThhYi1iMmRlNjJhZTczNGYF0f///y1HbG9iZVNvZnR3YXJlLkF0bGFzNDAuQXRsYXNDb21tb24uQWdncmVnYXRpb24BAAAAB3ZhbHVlX18ACA4AAAD/////AAAAAAXQ////LEdsb2JlU29mdHdhcmUuQXRsYXM0MC5BdGxhc0NvbW1vbi5Db2x1bW5UeXBlAQAAAAd2YWx1ZV9fAAgOAAAAAAAAAAXP////K0dsb2JlU29mdHdhcmUuQXRsYXM0MC5BdGxhc0NvbW1vbi5Tb3J0T3JkZXIBAAAAB3ZhbHVlX18ACA4AAAACAAAAAAAAAAAFzv///0BHbG9iZVNvZnR3YXJlLkF0bGFzNDAuQXRsYXNDb21tb24uVHlwZS5Db2x1bW4rQ3Jvc3NUYWJDb2x1bW5UeXBlAQAAAAd2YWx1ZV9fAAgOAAAAAAAAAAoBAAAAAAAAAAAAAAAAAAYzAAAAJGJjOGVmZTc5LTg3MzgtNGE5Mi05YmIxLTdhN2Q2ODk3YWJkMgY0AAAAGFRhYmxlLkludmVudFRhYmxlLkl0ZW1JZAoKCgoBFQAAABQAAAAJNQAAAAk2AAAACTcAAAAGOAAAAAhJdGVtTmFtZQY5AAAACUl0ZW0gbmFtZQY6AAAABlN0cmluZwktAAAABjwAAAAkMWI3Mzk0MWYtNWFhMS00MTE0LTk0ZjgtMTI5M2VjODliYzg1AcP////R/////////wEAAAABwv///9D///8AAAAAAcH////P////AgAAAAAAAAAAAcD////O////AAAAAAoBAAAAAAAAAAABAAAAAAZBAAAAJDg4OTZjNTdjLWU2MDYtNGQxYS1hNmZmLTFmNGJjZmQ4YzcwNgZCAAAAGlRhYmxlLkludmVudFRhYmxlLkl0ZW1OYW1lCgoKCgEWAAAAFAAAAAlDAAAACUQAAAAJRQAAAAZGAAAAC0l0ZW1Hcm91cElkBkcAAAAKSXRlbSBncm91cAZIAAAABlN0cmluZwktAAAABkoAAAAkODU5MzMyNjctMTlkYi00ZTcxLWJkYjUtZjcwNjAwMDJhYzM3AbX////R/////////wIAAAABtP///9D///8AAAAAAbP////P////AgAAAAAAAAAAAbL////O////AAAAAAoBAAAAAAAAAAACAAAAAAZPAAAAJDkwNjAyZGFiLWMwNDktNDg0Mi05MjNiLTFiMjE2MTc2Y2UxYwZQAAAAHVRhYmxlLkludmVudFRhYmxlLkl0ZW1Hcm91cElkCgoKCgEXAAAAFAAAAAlRAAAACVIAAAAJUwAAAAZUAAAACEl0ZW1UeXBlBlUAAAAJSXRlbSB0eXBlBlYAAAAERW51bQktAAAABlgAAAAkNDlmNTBkYjUtN2E5My00Nzk4LTlkODctOGI2OThhMzlmZTE0Aaf////R/////////wMAAAABpv///9D///8AAAAAAaX////P////AgAAAAAAAAAAAaT////O////AAAAAAoBAAAAAAAAAAADAAAAAAZdAAAAJGZlZjI1NzllLTY1ZDUtNGUzNS05Yzg1LTk3ZjY0OGFjZmFkMQZeAAAAGlRhYmxlLkludmVudFRhYmxlLkl0ZW1UeXBlCgoKCgEYAAAAFAAAAAlfAAAACWAAAAAJYQAAAAZiAAAABlVuaXRJZAZjAAAABFVuaXQGZAAAAAZTdHJpbmcJLQAAAAZmAAAAJGZiNzdmZDkxLThkNjctNGNhMy1hODA4LTk0NjdhMmI2MGZmYwGZ////0f////////8EAAAAAZj////Q////AAAAAAGX////z////wIAAAAAAAAAAAGW////zv///wAAAAAKAQAAAAAAAAAABAAAAAAGawAAACRiMjkxYThhMy0zYzVjLTRmNWEtYmQwMi0wMzU4MDYzZTQ3ODEGbAAAADdUYWJsZS5JbnZlbnRUYWJsZS5JdGVtSWR+VGFibGUuSW52ZW50VGFibGVNb2R1bGUuVW5pdElkCgoKCgEZAAAAFAAAAAltAAAACW4AAAAJbwAAAAZwAAAADERpbWVuc2lvblsxXQZxAAAABkJyYW5jaAZyAAAABlN0cmluZwktAAAABnQAAAAkYjViNmM5MzQtZDc1Mi00MDRiLTlhMjAtMTM2YWMzMTE0N2FlAYv////R/////////wUAAAABiv///9D///8AAAAAAYn////P////AgAAAAAAAAAAAYj////O////AAAAAAoBAAAAAAAAAAAFAAAAAAZ5AAAAJDViZDU5ZmM5LTJhYWMtNGViNi1iODM2LTczZWUxN2ZkODA0OQZ6AAAAHlRhYmxlLkludmVudFRhYmxlLkRpbWVuc2lvblsxXQoKCgoBGgAAABQAAAAJewAAAAl8AAAACX0AAAAGfgAAAAxEaW1lbnNpb25bMl0GfwAAAApEZXBhcnRtZW50CXIAAAAJLQAAAAaCAAAAJGJkODllYzQ1LTgwZTMtNGU2MS05ZDA3LWQ1NGIzMjBhNDliYgF9////0f////////8GAAAAAXz////Q////AAAAAAF7////z////wIAAAAAAAAAAAF6////zv///wAAAAAKAQAAAAAAAAAABgAAAAAGhwAAACQ3ZTI5NWIyNy1jOTk0LTRiOTctOTE5MC1hMTI5MzliM2I5YjkGiAAAAB5UYWJsZS5JbnZlbnRUYWJsZS5EaW1lbnNpb25bMl0KCgoKARsAAAAUAAAACYkAAAAJigAAAAmLAAAABowAAAAMRGltZW5zaW9uWzNdBo0AAAALQ29zdCBDZW50ZXIJcgAAAAktAAAABpAAAAAkOTJmNTAwZmItMGU3My00NzVlLWI0MzAtMzczYmY1Nzg0YTQ4AW/////R/////////wcAAAABbv///9D///8AAAAAAW3////P////AgAAAAAAAAAAAWz////O////AAAAAAoBAAAAAAAAAAAHAAAAAAaVAAAAJGJjZjZmYzcwLTgwODUtNDRhZC05OGJjLWIxOWFkNTFkNDg5ZQaWAAAAHlRhYmxlLkludmVudFRhYmxlLkRpbWVuc2lvblszXQoKCgoBHAAAABQAAAAJlwAAAAmYAAAACZkAAAAGmgAAAAxEaW1lbnNpb25bNF0GmwAAAAdQdXJwb3NlCXIAAAAJLQAAAAaeAAAAJDM5OGIzNmRmLTFjYTUtNDAxYS04MzBkLTMzNzBmNmNmOWM4ZQFh////0f////////8IAAAAAWD////Q////AAAAAAFf////z////wIAAAAAAAAAAAFe////zv///wAAAAAKAQAAAAAAAAAACAAAAAAGowAAACQxYTY3NjlhZi03NjM1LTRkOGUtYTE4NS1mMTU0N2JkZWE5ZGMGpAAAAB5UYWJsZS5JbnZlbnRUYWJsZS5EaW1lbnNpb25bNF0KCgoKAR0AAAAUAAAACaUAAAAJpgAAAAmnAAAABqgAAAAMRGltZW5zaW9uWzVdBqkAAAAJVGF4IEdyb3VwCXIAAAAJLQAAAAasAAAAJDA4ZDE5NzUxLTZmMjgtNDZiOS04ZWFmLTE3MWQ2ZWM2ZDhlZQFT////0f////////8JAAAAAVL////Q////AAAAAAFR////z////wIAAAAAAAAAAAFQ////zv///wAAAAAKAQAAAAAAAAAACQAAAAAGsQAAACQ0ZWIxOGZhOC1jYzM5LTRhNjMtYmQ1Zi02NWU3YmEwOTJlMDcGsgAAAB5UYWJsZS5JbnZlbnRUYWJsZS5EaW1lbnNpb25bNV0KCgoKAR4AAAAUAAAACbMAAAAJtAAAAAm1AAAABrYAAAAMRGltZW5zaW9uWzZdBrcAAAAHU2VnbWVudAlyAAAACS0AAAAGugAAACRjZWYxZDg3Ny1iMDgzLTRkYjctODRkYy0xZjNjZTM1M2ZkNjABRf///9H/////////CgAAAAFE////0P///wAAAAABQ////8////8CAAAAAAAAAAABQv///87///8AAAAACgEAAAAAAAAAAAoAAAAABr8AAAAkODA3MjExYTEtYzRhZS00ZjA1LTk3NjgtODM1ZGZkYThiNGQ3BsAAAAAeVGFibGUuSW52ZW50VGFibGUuRGltZW5zaW9uWzZdCgoKCgEfAAAAFAAAAAnBAAAACcIAAAAJwwAAAAbEAAAADERpbWVuc2lvbls3XQbFAAAAFU1ham9yIE1hcmtldGluZyBHcm91cAlyAAAACS0AAAAGyAAAACRjODFjYmVkNy0yYzVkLTRhNmMtYjJkNC1mYTViNzg0YmEzYWEBN////9H/////////CwAAAAE2////0P///wAAAAABNf///8////8CAAAAAAAAAAABNP///87///8AAAAACgEAAAAAAAAAAAsAAAAABs0AAAAkNTQ1YzZjNzMtMzg0YS00ZTJmLTgzZDUtNTQzOGRlZjMxMjVhBs4AAAAeVGFibGUuSW52ZW50VGFibGUuRGltZW5zaW9uWzddCgoKCgEgAAAAFAAAAAnPAAAACdAAAAAJ0QAAAAbSAAAADERpbWVuc2lvbls4XQbTAAAAFkRldGFpbCBNYXJrZXRpbmcgR3JvdXAJcgAAAAktAAAABtYAAAAkYmRhNDMzYjMtOTRiNC00OGE3LThiODktOTIxMGIzYmJlNTgyASn////R/////////wwAAAABKP///9D///8AAAAAASf////P////AgAAAAAAAAAAASb////O////AAAAAAoBAAAAAAAAAAAMAAAAAAbbAAAAJDhjZDBmZTQ1LWI5Y2QtNGJjMi04ZWMwLWY4MjRmYzM5NzQxMgbcAAAAHlRhYmxlLkludmVudFRhYmxlLkRpbWVuc2lvbls4XQoKCgoBIQAAABQAAAAJ3QAAAAneAAAACd8AAAAG4AAAAAxEaW1lbnNpb25bOV0G4QAAAAlTdGF0dXRvcnkJcgAAAAktAAAABuQAAAAkMmEwMmY3MWItNmRjZC00NGI0LWIzNDgtZjEwNDY1N2VjNTUwARv////R/////////w0AAAABGv///9D///8AAAAAARn////P////AgAAAAAAAAAAARj////O////AAAAAAoBAAAAAAAAAAANAAAAAAbpAAAAJDQwNzY3NjNiLTliNGEtNDUwNS05Yjg0LTdmODRhODcyODQ0YQbqAAAAHlRhYmxlLkludmVudFRhYmxlLkRpbWVuc2lvbls5XQoKCgoBIgAAABQAAAAJ6wAAAAnsAAAACe0AAAAG7gAAAA1EaW1lbnNpb25bMTBdBu8AAAAHQ2hhbm5lbAlyAAAACS0AAAAG8gAAACRlNzM3ODE1Ny1kOTI3LTQ1YmItOGFhZC04ZmNmOTViNzI1MTkBDf///9H/////////DgAAAAEM////0P///wAAAAABC////8////8CAAAAAAAAAAABCv///87///8AAAAACgEAAAAAAAAAAA4AAAAABvcAAAAkZDYwYjE5NzctNTk4YS00NjE1LWFlZjQtMDA4ZTZjNjQ2NzdiBvgAAAAfVGFibGUuSW52ZW50VGFibGUuRGltZW5zaW9uWzEwXQoKCgoFJQAAADhHbG9iZVNvZnR3YXJlLkF0bGFzNDAuQXRsYXNDb21tb25DbGllbnQuUmVwb3J0LlJlZmVyZW5jZQEAAAAKX3JlZmVyZW5jZQcIIwAAAAn5AAAAByYAAAAAAQAAAAQAAAAEPEdsb2JlU29mdHdhcmUuQXRsYXM0MC5BdGxhc0NvbW1vbkNsaWVudC5EYXRhU291cmNlRmllbGRWYWx1ZSMAAAAJ+gAAAAn7AAAACfwAAAAJ/QAAAAQn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+AAAAAQAAAAEAAAAEK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XAAAACf8AAAAHAAAACQABAAAEK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QEBAAAHAAAACQIBAAABNQAAACcAAAAJAwEAAAEAAAABAAAAATYAAAAoAAAA1gAAAAn/AAAABwAAAAkFAQAAATcAAAApAAAA0gAAAAkBAQAABwAAAAkHAQAAAUMAAAAnAAAACQgBAAABAAAAAQAAAAFEAAAAKAAAANYAAAAJ/wAAAAcAAAAJCgEAAAFFAAAAKQAAANIAAAAJAQEAAAcAAAAJDAEAAAFRAAAAJwAAAAkNAQAAAQAAAAEAAAABUgAAACgAAADWAAAACf8AAAAHAAAACQ8BAAABUwAAACkAAADSAAAACQEBAAAHAAAACREBAAABXwAAACcAAAAJEgEAAAEAAAABAAAAAWAAAAAoAAAA1QAAAAn/AAAABwAAAAkUAQAAAWEAAAApAAAA0gAAAAkBAQAABwAAAAkWAQAAAW0AAAAnAAAACRcBAAABAAAAAQAAAAFuAAAAKAAAADsAAAAJGAEAAAcAAAAJGQEAAAFvAAAAKQAAADgAAAAJGgEAAAcAAAAJGwEAAAF7AAAAJwAAAAkcAQAAAQAAAAEAAAABfAAAACgAAAA7AAAACRgBAAAHAAAACR4BAAABfQAAACkAAAA4AAAACRoBAAAHAAAACSABAAABiQAAACcAAAAJIQEAAAEAAAABAAAAAYoAAAAoAAAAOwAAAAkYAQAABwAAAAkjAQAAAYsAAAApAAAAOAAAAAkaAQAABwAAAAklAQAAAZcAAAAnAAAACSYBAAABAAAAAQAAAAGYAAAAKAAAADsAAAAJGAEAAAcAAAAJKAEAAAGZAAAAKQAAADgAAAAJGgEAAAcAAAAJKgEAAAGlAAAAJwAAAAkrAQAAAQAAAAEAAAABpgAAACgAAAA7AAAACRgBAAAHAAAACS0BAAABpwAAACkAAAA4AAAACRoBAAAHAAAACS8BAAABswAAACcAAAAJMAEAAAEAAAABAAAAAbQAAAAoAAAAOwAAAAkYAQAABwAAAAkyAQAAAbUAAAApAAAAOAAAAAkaAQAABwAAAAk0AQAAAcEAAAAnAAAACTUBAAABAAAAAQAAAAHCAAAAKAAAADsAAAAJGAEAAAcAAAAJNwEAAAHDAAAAKQAAADgAAAAJGgEAAAcAAAAJOQEAAAHPAAAAJwAAAAk6AQAAAQAAAAEAAAAB0AAAACgAAAA7AAAACRgBAAAHAAAACTwBAAAB0QAAACkAAAA4AAAACRoBAAAHAAAACT4BAAAB3QAAACcAAAAJPwEAAAEAAAABAAAAAd4AAAAoAAAAOwAAAAkYAQAABwAAAAlBAQAAAd8AAAApAAAAOAAAAAkaAQAABwAAAAlDAQAAAesAAAAnAAAACUQBAAABAAAAAQAAAAHsAAAAKAAAADsAAAAJGAEAAAcAAAAJRgEAAAHtAAAAKQAAADgAAAAJGgEAAAcAAAAJSAEAAA/5AAAAAQAAAAgBAAAABfoAAAA8R2xvYmVTb2Z0d2FyZS5BdGxhczQwLkF0bGFzQ29tbW9uQ2xpZW50LkRhdGFTb3VyY2VGaWVsZFZhbHVlBAAAABJfaXNEcmlsbERvd25GaWx0ZXIGX2RzS2V5Cl9maWVsZG5hbWULX2ZpZWxkVmFsdWUAAQEBASMAAAAABkkBAAARVGFibGUuSW52ZW50VGFibGUGSgEAAApEYXRhQXJlYUlkCQYAAAAB+wAAAPoAAAAACUkBAAAGTQEAAAZJdGVtSWQGTgEAAAEqAfwAAAD6AAAAAAlJAQAABlABAAAISXRlbVR5cGUGUQEAAAghU2VydmljZQH9AAAA+gAAAAAGUgEAADBUYWJsZS5JbnZlbnRUYWJsZS5JdGVtSWR+VGFibGUuSW52ZW50VGFibGVNb2R1bGUGUwEAAApNb2R1bGVUeXBlBlQBAAAGSW52ZW50B/4AAAAAAQAAAAQAAAAEN0dsb2JlU29mdHdhcmUuQXRsYXM0MC5BdGxhc0NvbW1vbi5UeXBlLkZpZWxkT3V0cHV0RmllbGQOAAAACVUBAAANAwT/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A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p/v//Mkdsb2JlU29mdHdhcmUuQXRsYXM0MC5BdGxhc0NvbW1vbi5Db2x1bW5BdHRyaWJ1dGVzAQAAAAd2YWx1ZV9fAAgOAAAABgAAAAZYAQAABVRvdGFsAaf+//+q/v//Aab+//+p/v//EAAAAAZbAQAABE5vbmUBpP7//6r+//8Bo/7//6n+//8JAAAACS0AAAABof7//6r+//8BoP7//6n+//8LAAAABmEBAAABMAGe/v//qv7//wGd/v//qf7//wQAAAAGZAEAAAdHZW5lcmFsAZv+//+q/v//AZr+//+p/v//AgAAAAZnAQAAATEBmP7//6r+//8Bl/7//6n+//8AAAAABmoBAAAFMjAuNDM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V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wBAAAIRm9udEJvbGQGbQEAAAVGYWxzZQGS/v//lf7//wZvAQAACkZvbnRJdGFsaWMJbQEAAAGP/v//lf7//wZyAQAADUZvbnRVbmRlcmxpbmUGcwEAAAUtNDE0MgGM/v//lf7//wZ1AQAACEZvbnROYW1lBnYBAAAHQ2FsaWJyaQGJ/v//lf7//wZ4AQAACUZvbnRDb2xvcgZ5AQAAATABhv7//5X+//8GewEAAAhGb250U2l6ZQZ8AQAAAjExAYP+//+V/v//Bn4BAAAJRm9udFN0eWxlBn8BAAAHUmVndWxhcgcDAQAAAAEAAAAEAAAABDdHbG9iZVNvZnR3YXJlLkF0bGFzNDAuQXRsYXNDb21tb24uVHlwZS5GaWVsZE91dHB1dEZpZWxkDgAAAAmAAQAADQM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/+//+q/v//AX7+//+p/v//EAAAAAlbAQAAAXz+//+q/v//AXv+//+p/v//CQAAAAktAAAAAXn+//+q/v//AXj+//+p/v//CwAAAAaJAQAAATEBdv7//6r+//8Bdf7//6n+//8EAAAABowBAAAHR2VuZXJhbAFz/v//qv7//wFy/v//qf7//wIAAAAGjwEAAAExAXD+//+q/v//AW/+//+p/v//AAAAAAaSAQAAAjU2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7//5X+//8JbAEAAAltAQAAAWr+//+V/v//CW8BAAAJbQEAAAFn/v//lf7//wlyAQAABpsBAAAFLTQxNDIBZP7//5X+//8JdQEAAAaeAQAAB0NhbGlicmkBYf7//5X+//8JeAEAAAahAQAAATABXv7//5X+//8JewEAAAakAQAAAjExAVv+//+V/v//CX4BAAAGpwEAAAdSZWd1bGFyBwgBAAAAAQAAAAQAAAAEN0dsb2JlU29mdHdhcmUuQXRsYXM0MC5BdGxhc0NvbW1vbi5UeXBlLkZpZWxkT3V0cHV0RmllbGQOAAAACagB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7//6r+//8BVv7//6n+//8QAAAACVsBAAABVP7//6r+//8BU/7//6n+//8JAAAACS0AAAABUf7//6r+//8BUP7//6n+//8LAAAABrEBAAABMgFO/v//qv7//wFN/v//qf7//wQAAAAGtAEAAAdHZW5lcmFsAUv+//+q/v//AUr+//+p/v//AgAAAAa3AQAAATEBSP7//6r+//8BR/7//6n+//8AAAAABroBAAAFMTIuMjk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lf7//wlsAQAACW0BAAABQv7//5X+//8JbwEAAAltAQAAAT/+//+V/v//CXIBAAAGwwEAAAUtNDE0MgE8/v//lf7//wl1AQAABsYBAAAHQ2FsaWJyaQE5/v//lf7//wl4AQAABskBAAABMAE2/v//lf7//wl7AQAABswBAAACMTEBM/7//5X+//8JfgEAAAbPAQAAB1JlZ3VsYXIHDQEAAAABAAAABAAAAAQ3R2xvYmVTb2Z0d2FyZS5BdGxhczQwLkF0bGFzQ29tbW9uLlR5cGUuRmllbGRPdXRwdXRGaWVsZA4AAAAJ0AEAAA0DBw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v//qv7//wEu/v//qf7//xAAAAAJWwEAAAEs/v//qv7//wEr/v//qf7//wkAAAAJLQAAAAEp/v//qv7//wEo/v//qf7//wsAAAAG2QEAAAEzASb+//+q/v//ASX+//+p/v//BAAAAAbcAQAAB0dlbmVyYWwBI/7//6r+//8BIv7//6n+//8CAAAABt8BAAABMQEg/v//qv7//wEf/v//qf7//wAAAAAG4gEAAAUxMS4xNA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+V/v//CWwBAAAJbQEAAAEa/v//lf7//wlvAQAACW0BAAABF/7//5X+//8JcgEAAAbrAQAABS00MTQyART+//+V/v//CXUBAAAG7gEAAAdDYWxpYnJpARH+//+V/v//CXgBAAAG8QEAAAEwAQ7+//+V/v//CXsBAAAG9AEAAAIxMQEL/v//lf7//wl+AQAABvcBAAAHUmVndWxhcgcSAQAAAAEAAAAEAAAABDdHbG9iZVNvZnR3YXJlLkF0bGFzNDAuQXRsYXNDb21tb24uVHlwZS5GaWVsZE91dHB1dEZpZWxkDgAAAAn4AQAADQM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+q/v//AQb+//+p/v//CQAAAAktAAAAAQT+//+q/v//AQP+//+p/v//CwAAAAb+AQAAATQBAf7//6r+//8BAP7//6n+//8EAAAABgECAAAHR2VuZXJhbAH+/f//qv7//wH9/f//qf7//wIAAAAGBAIAAAExAfv9//+q/v//Afr9//+p/v//AAAAAAYHAgAABDYuNDM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lf7//wlsAQAACW0BAAAB9f3//5X+//8JbwEAAAltAQAAAfL9//+V/v//CXIBAAAGEAIAAAUtNDE0MgHv/f//lf7//wl1AQAABhMCAAAHQ2FsaWJyaQHs/f//lf7//wl4AQAABhYCAAABMAHp/f//lf7//wl7AQAABhkCAAACMTEB5v3//5X+//8JfgEAAAYcAgAAB1JlZ3VsYXIHFwEAAAABAAAABAAAAAQ3R2xvYmVTb2Z0d2FyZS5BdGxhczQwLkF0bGFzQ29tbW9uLlR5cGUuRmllbGRPdXRwdXRGaWVsZA4AAAAJHQIAAA0DARgBAAD/AAAABx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i/f//qv7//wHh/f//qf7//wkAAAAJLQAAAAHf/f//qv7//wHe/f//qf7//wsAAAAGIwIAAAE1Adz9//+q/v//Adv9//+p/v//BAAAAAYmAgAAB0dlbmVyYWwB2f3//6r+//8B2P3//6n+//8CAAAABikCAAABMQHW/f//qv7//wHV/f//qf7//wAAAAAGLAIAAAQ4LjU3ARoBAAAMAAAA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5X+//8GLgIAAAhGb250Qm9sZAltAQAAAdD9//+V/v//BjECAAAKRm9udEl0YWxpYwltAQAAAc39//+V/v//BjQCAAANRm9udFVuZGVybGluZQY1AgAABS00MTQyAcr9//+V/v//BjcCAAAIRm9udE5hbWUGOAIAAAdDYWxpYnJpAcf9//+V/v//BjoCAAAJRm9udENvbG9yBjsCAAABMAHE/f//lf7//wY9AgAACEZvbnRTaXplBj4CAAACMTEBwf3//5X+//8GQAIAAAlGb250U3R5bGUGQQIAAAdSZWd1bGFyBxwBAAAAAQAAAAQAAAAEN0dsb2JlU29mdHdhcmUuQXRsYXM0MC5BdGxhc0NvbW1vbi5UeXBlLkZpZWxkT3V0cHV0RmllbGQOAAAACUICAAANAwc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6r+//8BvP3//6n+//8JAAAACS0AAAABuv3//6r+//8Buf3//6n+//8LAAAABkgCAAABNgG3/f//qv7//wG2/f//qf7//wQAAAAGSwIAAAdHZW5lcmFsAbT9//+q/v//AbP9//+p/v//AgAAAAZOAgAAATEBsf3//6r+//8BsP3//6n+//8AAAAABlECAAAFMTMuMjk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f//lf7//wkuAgAACW0BAAABq/3//5X+//8JMQIAAAltAQAAAaj9//+V/v//CTQCAAAGWgIAAAUtNDE0MgGl/f//lf7//wk3AgAABl0CAAAHQ2FsaWJyaQGi/f//lf7//wk6AgAABmACAAABMAGf/f//lf7//wk9AgAABmMCAAACMTEBnP3//5X+//8JQAIAAAZmAgAAB1JlZ3VsYXIHIQEAAAABAAAABAAAAAQ3R2xvYmVTb2Z0d2FyZS5BdGxhczQwLkF0bGFzQ29tbW9uLlR5cGUuRmllbGRPdXRwdXRGaWVsZA4AAAAJZwIAAA0DBy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qv7//wGX/f//qf7//wkAAAAJLQAAAAGV/f//qv7//wGU/f//qf7//wsAAAAGbQIAAAE3AZL9//+q/v//AZH9//+p/v//BAAAAAZwAgAAB0dlbmVyYWwBj/3//6r+//8Bjv3//6n+//8CAAAABnMCAAABMQGM/f//qv7//wGL/f//qf7//wAAAAAGdgIAAAUxMi44Ng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9//+V/v//CS4CAAAJbQEAAAGG/f//lf7//wkxAgAACW0BAAABg/3//5X+//8JNAIAAAZ/AgAABS00MTQyAYD9//+V/v//CTcCAAAGggIAAAdDYWxpYnJpAX39//+V/v//CToCAAAGhQIAAAEwAXr9//+V/v//CT0CAAAGiAIAAAIxMQF3/f//lf7//wlAAgAABosCAAAHUmVndWxhcgcmAQAAAAEAAAAEAAAABDdHbG9iZVNvZnR3YXJlLkF0bGFzNDAuQXRsYXNDb21tb24uVHlwZS5GaWVsZE91dHB1dEZpZWxkDgAAAAmMAgAADQMHK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9//+q/v//AXL9//+p/v//CQAAAAktAAAAAXD9//+q/v//AW/9//+p/v//CwAAAAaSAgAAATgBbf3//6r+//8BbP3//6n+//8EAAAABpUCAAAHR2VuZXJhbAFq/f//qv7//wFp/f//qf7//wIAAAAGmAIAAAExAWf9//+q/v//AWb9//+p/v//AAAAAAabAgAABDkuODY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lf7//wkuAgAACW0BAAABYf3//5X+//8JMQIAAAltAQAAAV79//+V/v//CTQCAAAGpAIAAAUtNDE0MgFb/f//lf7//wk3AgAABqcCAAAHQ2FsaWJyaQFY/f//lf7//wk6AgAABqoCAAABMAFV/f//lf7//wk9AgAABq0CAAACMTEBUv3//5X+//8JQAIAAAawAgAAB1JlZ3VsYXIHKwEAAAABAAAABAAAAAQ3R2xvYmVTb2Z0d2FyZS5BdGxhczQwLkF0bGFzQ29tbW9uLlR5cGUuRmllbGRPdXRwdXRGaWVsZA4AAAAJsQIAAA0DBy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f//qv7//wFN/f//qf7//wkAAAAJLQAAAAFL/f//qv7//wFK/f//qf7//wsAAAAGtwIAAAE5AUj9//+q/v//AUf9//+p/v//BAAAAAa6AgAAB0dlbmVyYWwBRf3//6r+//8BRP3//6n+//8CAAAABr0CAAABMQFC/f//qv7//wFB/f//qf7//wAAAAAGwAIAAAUxMS41Nwc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9//+V/v//CS4CAAAJbQEAAAE8/f//lf7//wkxAgAACW0BAAABOf3//5X+//8JNAIAAAbJAgAABS00MTQyATb9//+V/v//CTcCAAAGzAIAAAdDYWxpYnJpATP9//+V/v//CToCAAAGzwIAAAEwATD9//+V/v//CT0CAAAG0gIAAAIxMQEt/f//lf7//wlAAgAABtUCAAAHUmVndWxhcgcwAQAAAAEAAAAEAAAABDdHbG9iZVNvZnR3YXJlLkF0bGFzNDAuQXRsYXNDb21tb24uVHlwZS5GaWVsZE91dHB1dEZpZWxkDgAAAAnWAgAADQMHM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9//+q/v//ASj9//+p/v//CQAAAAktAAAAASb9//+q/v//ASX9//+p/v//CwAAAAbcAgAAAjEwASP9//+q/v//ASL9//+p/v//BAAAAAbfAgAAB0dlbmVyYWwBIP3//6r+//8BH/3//6n+//8CAAAABuICAAABMQEd/f//qv7//wEc/f//qf7//wAAAAAG5QIAAAUxMC40Mwc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9//+V/v//CS4CAAAJbQEAAAEX/f//lf7//wkxAgAACW0BAAABFP3//5X+//8JNAIAAAbuAgAABS00MTQyARH9//+V/v//CTcCAAAG8QIAAAdDYWxpYnJpAQ79//+V/v//CToCAAAG9AIAAAEwAQv9//+V/v//CT0CAAAG9wIAAAIxMQEI/f//lf7//wlAAgAABvoCAAAHUmVndWxhcgc1AQAAAAEAAAAEAAAABDdHbG9iZVNvZnR3YXJlLkF0bGFzNDAuQXRsYXNDb21tb24uVHlwZS5GaWVsZE91dHB1dEZpZWxkDgAAAAn7AgAADQMHN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9//+q/v//AQP9//+p/v//CQAAAAktAAAAAQH9//+q/v//AQD9//+p/v//CwAAAAYBAwAAAjExAf78//+q/v//Af38//+p/v//BAAAAAYEAwAAB0dlbmVyYWwB+/z//6r+//8B+vz//6n+//8CAAAABgcDAAABMQH4/P//qv7//wH3/P//qf7//wAAAAAGCgMAAAUyMy44Ngc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8//+V/v//CS4CAAAJbQEAAAHy/P//lf7//wkxAgAACW0BAAAB7/z//5X+//8JNAIAAAYTAwAABS00MTQyAez8//+V/v//CTcCAAAGFgMAAAdDYWxpYnJpAen8//+V/v//CToCAAAGGQMAAAEwAeb8//+V/v//CT0CAAAGHAMAAAIxMQHj/P//lf7//wlAAgAABh8DAAAHUmVndWxhcgc6AQAAAAEAAAAEAAAABDdHbG9iZVNvZnR3YXJlLkF0bGFzNDAuQXRsYXNDb21tb24uVHlwZS5GaWVsZE91dHB1dEZpZWxkDgAAAAkgAwAADQMHP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/8//+q/v//Ad78//+p/v//CQAAAAktAAAAAdz8//+q/v//Adv8//+p/v//CwAAAAYmAwAAAjEyAdn8//+q/v//Adj8//+p/v//BAAAAAYpAwAAB0dlbmVyYWwB1vz//6r+//8B1fz//6n+//8CAAAABiwDAAABMQHT/P//qv7//wHS/P//qf7//wAAAAAGLwMAAAUyMy44Ngc+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8//+V/v//CS4CAAAJbQEAAAHN/P//lf7//wkxAgAACW0BAAAByvz//5X+//8JNAIAAAY4AwAABS00MTQyAcf8//+V/v//CTcCAAAGOwMAAAdDYWxpYnJpAcT8//+V/v//CToCAAAGPgMAAAEwAcH8//+V/v//CT0CAAAGQQMAAAIxMQG+/P//lf7//wlAAgAABkQDAAAHUmVndWxhcgc/AQAAAAEAAAAEAAAABDdHbG9iZVNvZnR3YXJlLkF0bGFzNDAuQXRsYXNDb21tb24uVHlwZS5GaWVsZE91dHB1dEZpZWxkDgAAAAlFAwAADQMHQ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r8//+q/v//Abn8//+p/v//CQAAAAktAAAAAbf8//+q/v//Abb8//+p/v//CwAAAAZLAwAAAjEzAbT8//+q/v//AbP8//+p/v//BAAAAAZOAwAAB0dlbmVyYWwBsfz//6r+//8BsPz//6n+//8CAAAABlEDAAABMQGu/P//qv7//wGt/P//qf7//wAAAAAGVAMAAAUxMC43M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8//+V/v//CS4CAAAJbQEAAAGo/P//lf7//wkxAgAACW0BAAABpfz//5X+//8JNAIAAAZdAwAABS00MTQyAaL8//+V/v//CTcCAAAGYAMAAAdDYWxpYnJpAZ/8//+V/v//CToCAAAGYwMAAAEwAZz8//+V/v//CT0CAAAGZgMAAAIxMQGZ/P//lf7//wlAAgAABmkDAAAHUmVndWxhcgdEAQAAAAEAAAAEAAAABDdHbG9iZVNvZnR3YXJlLkF0bGFzNDAuQXRsYXNDb21tb24uVHlwZS5GaWVsZE91dHB1dEZpZWxkDgAAAAlqAw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8//+q/v//AZT8//+p/v//CQAAAAktAAAAAZL8//+q/v//AZH8//+p/v//CwAAAAZwAwAAAjE0AY/8//+q/v//AY78//+p/v//BAAAAAZzAwAAB0dlbmVyYWwBjPz//6r+//8Bi/z//6n+//8CAAAABnYDAAABMQGJ/P//qv7//wGI/P//qf7//wAAAAAGeQMAAAQ5Ljg2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z//5X+//8JLgIAAAltAQAAAYP8//+V/v//CTECAAAJbQEAAAGA/P//lf7//wk0AgAABoIDAAAFLTQxNDIBffz//5X+//8JNwIAAAaFAwAAB0NhbGlicmkBevz//5X+//8JOgIAAAaIAwAAATABd/z//5X+//8JPQIAAAaLAwAAAjExAXT8//+V/v//CUACAAAGjgMAAAdSZWd1bGFyBV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H8///R/////////wAGkAMAAAZTdHJpbmcGkQMAAAtJdGVtIG51bWJlcgmSAwAAAW38///P////AgAAAAVs/P//OUdsb2JlU29mdHdhcmUuQXRsYXM0MC5BdGxhc0NvbW1vbi5OdW1iZXJTZXF1ZW5jZUNvbmRpdGlvbgEAAAAHdmFsdWVfXwAIDgAAAAEAAAAAAAaVAwAAEVRhYmxlLkludmVudFRhYmxlCSoAAAAJLQAAAAr/////CZUDAAAKCSoAAAAKCgoJLQAAAAmbAwAACS0AAAABgAEAAFUBAAABY/z//9H/////////AAaeAwAABlN0cmluZwafAwAACUl0ZW0gbmFtZQmSAwAAAV/8///P////AgAAAAFe/P//bPz//wEAAAAAAAmVAwAACTgAAAAJLQAAAAr/////CZUDAAAKCTgAAAAKCgoJLQAAAAmpAwAACS0AAAABqAEAAFUBAAABVfz//9H/////////AAasAwAABlN0cmluZwatAwAACkl0ZW0gZ3JvdXAJkgMAAAFR/P//z////wIAAAABUPz//2z8//8BAAAAAAAJlQMAAAlGAAAACS0AAAAK/////wmVAwAACglGAAAACgoKCS0AAAAJtwMAAAktAAAAAdABAABVAQAAAUf8///R/////////wAGugMAAARFbnVtBrsDAAAJSXRlbSB0eXBlCZIDAAABQ/z//8////8CAAAAAUL8//9s/P//AQAAAAAACZUDAAAJVAAAAAktAAAACv////8JlQMAAAoJVAAAAAoKCgktAAAACcUDAAAJLQAAAAH4AQAAVQEAAAE5/P//0f////////8ABsgDAAAGU3RyaW5nBskDAAAEVW5pdAnKAwAAATX8///P////AgAAAAE0/P//bPz//wEAAAAAAAlSAQAACWIAAAAJLQAAAAr/////CVIBAAAKCWIAAAAG0gMAAAZJdGVtSWQG0wMAAAtJbnZlbnRUYWJsZQoJLQAAAAnVAwAACS0AAAABHQIAAFUBAAABKfz//9H/////////AAbYAwAABlN0cmluZwbZAwAABkJyYW5jaAnaAwAAASX8///P////AgAAAAEk/P//bPz//wEAAAAAAAbdAwAAEVRhYmxlLkludmVudFRhYmxlCXAAAAAJLQAAAAr/////Cd0DAAAKCXAAAAAKCgoJLQAAAAnjAwAACS0AAAABQgIAAFUBAAABG/z//9H/////////AAnYAwAABucDAAAKRGVwYXJ0bWVudAnaAwAAARf8///P////AgAAAAEW/P//bPz//wEAAAAAAAndAwAACX4AAAAJLQAAAAr/////Cd0DAAAKCX4AAAAKCgoJLQAAAAnxAwAACS0AAAABZwIAAFUBAAABDfz//9H/////////AAnYAwAABvUDAAALQ29zdCBDZW50ZXIJ2gMAAAEJ/P//z////wIAAAABCPz//2z8//8BAAAAAAAJ3QMAAAmMAAAACS0AAAAK/////wndAwAACgmMAAAACgoKCS0AAAAJ/wMAAAktAAAAAYwCAABVAQAAAf/7///R/////////wAJ2AMAAAYDBAAAB1B1cnBvc2UJ2gMAAAH7+///z////wIAAAAB+vv//2z8//8BAAAAAAAJ3QMAAAmaAAAACS0AAAAK/////wndAwAACgmaAAAACgoKCS0AAAAJDQQAAAktAAAAAbECAABVAQAAAfH7///R/////////wAJ2AMAAAYRBAAACVRheCBHcm91cAnaAwAAAe37///P////AgAAAAHs+///bPz//wEAAAAAAAndAwAACagAAAAJLQAAAAr/////Cd0DAAAKCagAAAAKCgoJLQAAAAkbBAAACS0AAAAB1gIAAFUBAAAB4/v//9H/////////AAnYAwAABh8EAAAHU2VnbWVudAnaAwAAAd/7///P////AgAAAAHe+///bPz//wEAAAAAAAndAwAACbYAAAAJLQAAAAr/////Cd0DAAAKCbYAAAAKCgoJLQAAAAkpBAAACS0AAAAB+wIAAFUBAAAB1fv//9H/////////AAnYAwAABi0EAAAVTWFqb3IgTWFya2V0aW5nIEdyb3VwCdoDAAAB0fv//8////8CAAAAAdD7//9s/P//AQAAAAAACd0DAAAJxAAAAAktAAAACv////8J3QMAAAoJxAAAAAoKCgktAAAACTcEAAAJLQAAAAEgAwAAVQEAAAHH+///0f////////8ACdgDAAAGOwQAABZEZXRhaWwgTWFya2V0aW5nIEdyb3VwCdoDAAABw/v//8////8CAAAAAcL7//9s/P//AQAAAAAACd0DAAAJ0gAAAAktAAAACv////8J3QMAAAoJ0gAAAAoKCgktAAAACUUEAAAJLQAAAAFFAwAAVQEAAAG5+///0f////////8ACdgDAAAGSQQAAAlTdGF0dXRvcnkJ2gMAAAG1+///z////wIAAAABtPv//2z8//8BAAAAAAAJ3QMAAAngAAAACS0AAAAK/////wndAwAACgngAAAACgoKCS0AAAAJUwQAAAktAAAAAWoDAABVAQAAAav7///R/////////wAJ2AMAAAZXBAAAB0NoYW5uZWwJ2gMAAAGn+///z////wIAAAABpvv//2z8//8BAAAAAAAJ3QMAAAnuAAAACS0AAAAK/////wndAwAACgnuAAAACgoKCS0AAAAJYQQAAAktAAAABZI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YwQAAAtJbnZlbnRUYWJsZQZkBAAABUl0ZW1zCS0AAAAJLQAAAAktAAAABZr7//8wR2xvYmVTb2Z0d2FyZS5BdGxhczQwLkF0bGFzQ29tbW9uLkRhdGFTb3VyY2VUeXBlAQAAAAd2YWx1ZV9fAAgOAAAAAAAAAAlnBAAACWgEAAAEl/v//wtTeXN0ZW0uR3VpZAsAAAACX2ECX2ICX2MCX2QCX2UCX2YCX2cCX2gCX2kCX2oCX2sAAAAAAAAAAAAAAAgHBwICAgICAgIC4kGfOgXEU0iC0ewZNyouAwktAAAACS0AAAAJawQAAAmVAwAACgoKCgoBAAAABZP7//80R2xvYmVTb2Z0d2FyZS5BdGxhczQwLkF0bGFzQ29tbW9uLkRhdGFTb3VyY2VKb2luTW9kZQEAAAAHdmFsdWVfXwAIDgAAAAAAAAAFkvv//zVHbG9iZVNvZnR3YXJlLkF0bGFzNDAuQXRsYXNDb21tb24uRGF0YVNvdXJjZUZldGNoTW9kZQEAAAAHdmFsdWVfXwAIDgAAAAAAAAAACW8EAAABmwMAACkAAABNAAAACQEBAAADAAAACXEEAAABqQMAACkAAABNAAAACQEBAAADAAAACXMEAAABtwMAACkAAABNAAAACQEBAAADAAAACXUEAAABxQMAACkAAABNAAAACQEBAAADAAAACXcEAAABygMAAJIDAAD/////BngEAAARSW52ZW50VGFibGVNb2R1bGUGeQQAABtJbnZlbnRvcnkgbW9kdWxlIHBhcmFtZXRlcnMJLQAAAAktAAAACS0AAAABhfv//5r7//8AAAAACXwEAAAJfQQAAAGC+///l/v//2wVa4zKQdlBvioWqRmwJ7UJLQAAAAktAAAACYAEAAAJUgEAAAaCBAAAC0ludmVudFRhYmxlBoMEAAARVGFibGUuSW52ZW50VGFibGUGhAQAABhUYWJsZS5JbnZlbnRUYWJsZS5JdGVtSWQGhQQAAAZJdGVtSWQGhgQAAAZJdGVtSWQBAAAAAXn7//+T+///AAAAAAF4+///kvv//wAAAAAACYkEAAAB1QMAACkAAABKAAAACQEBAAADAAAACYsEAAAB2gMAAJIDAAD/////BowEAAALSW52ZW50VGFibGUGjQQAAAVJdGVtcwktAAAACS0AAAAJLQAAAAFx+///mvv//wAAAAAJkAQAAAmRBAAAAW77//+X+///scQuooJFuEe2SNJ9pzXZ+AktAAAACS0AAAAJlAQAAAndAwAACgoKCgoBAAAAAWr7//+T+///AAAAAAFp+///kvv//wAAAAAACZgEAAAB4wMAACkAAAASAAAACRoBAAADAAAACZoEAAAB8QMAACkAAAASAAAACRoBAAADAAAACZwEAAAB/wMAACkAAAASAAAACRoBAAADAAAACZ4EAAABDQQAACkAAAASAAAACRoBAAADAAAACaAEAAABGwQAACkAAAASAAAACRoBAAADAAAACaIEAAABKQQAACkAAAASAAAACRoBAAADAAAACaQEAAABNwQAACkAAAASAAAACRoBAAADAAAACaYEAAABRQQAACkAAAASAAAACRoBAAADAAAACagEAAABUwQAACkAAAASAAAACRoBAAADAAAACaoEAAABYQQAACkAAAASAAAACRoBAAADAAAACawEAAAEZw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rQQAAAcAAAAJrgQAAARo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0EAAAAAAAABGs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0EAAADAAAACbAEAAAEbwQ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sQQAAAAAAAAHc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lf7//wazBAAACEhlbHBUZXh0BrQEAAAOSWRlbnRpZnkgaXRlbS4BS/v//5X+//8GtgQAAAVMYWJlbAmRAwAAAUj7//+V/v//BrkEAAAEVHlwZQmQAwAAB3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5X+//8JswQAAAa9BAAAGERlc2NyaXB0aW9uIG9mIHRoZSBpdGVtLgFC+///lf7//wm2BAAACZ8DAAABP/v//5X+//8JuQQAAAmeAwAAB3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5X+//8JswQAAAbGBAAAKEl0ZW0gZ3JvdXAgdGhhdCB0aGUgaXRlbSBpcyBhdHRhY2hlZCB0by4BOfv//5X+//8JtgQAAAmtAwAAATb7//+V/v//CbkEAAAJrAMAAAd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P7//+V/v//CbMEAAAGzwQAAC5UeXBlIGRldGVybWluaW5nIGhvdyB0aGUgaXRlbSBpcyBhZG1pbmlzdGVyZWQuATD7//+V/v//CbYEAAAJuwMAAAEt+///lf7//wm5BAAACboDAAABfAQAAGcEAAABAAAACQEBAAADAAAACdcEAAAEfQ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aAQAAAwAAAAnZBAAABI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AQAAAAAAAAGJBAAAbwQAAAAAAAAJ2wQAAAAAAAAHi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///lf7//wm2BAAACckDAAABIfv//5X+//8JuQQAAAnIAwAAAZAEAABnBAAADgAAAAniBAAAEQAAAAnjBAAABJE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5AQAAAMAAAAJ5QQAAAGUBAAAawQAAAEAAAAJ4gQAAAMAAAAJ5wQAAAGYBAAAbwQAAAAAAAAJ6AQAAAAAAAAHm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+///lf7//wbqBAAABUxhYmVsCdkDAAABFPv//5X+//8G7QQAAARUeXBlCdgDAAAHn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///lf7//wnqBAAACecDAAABDvv//5X+//8J7QQAAAnYAwAAB54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5X+//8J6gQAAAn1AwAAAQj7//+V/v//Ce0EAAAJ2AMAAAeg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7//+V/v//CeoEAAAJAwQAAAEC+///lf7//wntBAAACdgDAAAHo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v//lf7//wnqBAAACREEAAAB/Pr//5X+//8J7QQAAAnYAwAAB6Q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r//5X+//8J6gQAAAkfBAAAAfb6//+V/v//Ce0EAAAJ2AMAAAe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P6//+V/v//CeoEAAAJLQQAAAHw+v//lf7//wntBAAACdgDAAAHq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v//lf7//wnqBAAACTsEAAAB6vr//5X+//8J7QQAAAnYAwAAB6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r//5X+//8J6gQAAAlJBAAAAeT6//+V/v//Ce0EAAAJ2AMAAAes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6//+V/v//CeoEAAAJVwQAAAHe+v//lf7//wntBAAACdgDAAABrQQAAAwAAAAHrg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2/r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JgUAABhUYWJsZS5JbnZlbnRUYWJsZS5JdGVtSWQJVQEAAAHY+v//2/r//wYpBQAAGlRhYmxlLkludmVudFRhYmxlLkl0ZW1OYW1lCYABAAAB1fr//9v6//8GLAUAAB1UYWJsZS5JbnZlbnRUYWJsZS5JdGVtR3JvdXBJZAmoAQAAAdL6///b+v//Bi8FAAAaVGFibGUuSW52ZW50VGFibGUuSXRlbVR5cGUJ0AEAAAew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P+v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lSAQAACcoDAAAEsQ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9c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z6///b+v//BjUFAAA3VGFibGUuSW52ZW50VGFibGUuSXRlbUlkflRhYmxlLkludmVudFRhYmxlTW9kdWxlLlVuaXRJZAn4AQAAB9k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J+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jgFAAA7VGFibGUuSW52ZW50VGFibGUuSXRlbUlkflRhYmxlLkludmVudFRhYmxlTW9kdWxlLk1vZHVsZVR5cGUJOQUAAAHbBAAAsQQAAAHiBAAADAAAAAfjBAAAAAEAAAAO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G+v//2/r//wY7BQAAGFRhYmxlLkludmVudFRhYmxlLkl0ZW1JZAlVAQAAAcP6///b+v//Bj4FAAAaVGFibGUuSW52ZW50VGFibGUuSXRlbU5hbWUJgAEAAAHA+v//2/r//wZBBQAAHVRhYmxlLkludmVudFRhYmxlLkl0ZW1Hcm91cElkCagBAAABvfr//9v6//8GRAUAABpUYWJsZS5JbnZlbnRUYWJsZS5JdGVtVHlwZQnQAQAAAbr6///b+v//BkcFAAAeVGFibGUuSW52ZW50VGFibGUuRGltZW5zaW9uWzFdCR0CAAABt/r//9v6//8GSgUAAB9UYWJsZS5JbnZlbnRUYWJsZS5EaW1lbnNpb25bMTBdCWoDAAABtPr//9v6//8GTQUAAB5UYWJsZS5JbnZlbnRUYWJsZS5EaW1lbnNpb25bM10JZwIAAAGx+v//2/r//wZQBQAAHlRhYmxlLkludmVudFRhYmxlLkRpbWVuc2lvblsyXQlCAgAAAa76///b+v//BlMFAAAeVGFibGUuSW52ZW50VGFibGUuRGltZW5zaW9uWzhdCSADAAABq/r//9v6//8GVgUAAB5UYWJsZS5JbnZlbnRUYWJsZS5EaW1lbnNpb25bN10J+wIAAAGo+v//2/r//wZZBQAAHlRhYmxlLkludmVudFRhYmxlLkRpbWVuc2lvbls0XQmMAgAAAaX6///b+v//BlwFAAAeVGFibGUuSW52ZW50VGFibGUuRGltZW5zaW9uWzZdCdYCAAABovr//9v6//8GXwUAAB5UYWJsZS5JbnZlbnRUYWJsZS5EaW1lbnNpb25bOV0JRQMAAAGf+v//2/r//wZiBQAAHlRhYmxlLkludmVudFRhYmxlLkRpbWVuc2lvbls1XQmxAgAAAeQEAAAMAAAAB+UE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c+v//yfr//wZlBQAAGFRhYmxlLkludmVudFRhYmxlLkl0ZW1JZAlmBQAAAZn6///J+v//BmgFAAAaVGFibGUuSW52ZW50VGFibGUuSXRlbVR5cGUJaQUAAAfn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W+v//z/r//wlSAQAACcoDAAAB6AQAALEEAAAFOQU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VIBAAAJUwEAAAktAAAACVQBAAD/////CVIBAAAKCVMBAAAGcwUAAAZJdGVtSWQKCgktAAAACXUFAAAJLQAAAAFmBQAAOQUAAAZ3BQAAEVRhYmxlLkludmVudFRhYmxlCU0BAAAJLQAAAAlOAQAA/////wl3BQAACglNAQAACgoKCS0AAAAJfgUAAAktAAAAAWkFAAA5BQAACXcFAAAJUAEAAAktAAAACVEBAAD/////CXcFAAAKCVABAAAKCgoJLQAAAAmHBQAACS0AAAABdQUAACkAAAAsAAAACeQEAAADAAAACYoFAAABfgUAACkAAAAuAAAACeQEAAADAAAACYwFAAABhwUAACkAAAAuAAAACeQEAAADAAAACY4FAAAHi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lf7//waQBQAABFR5cGUGkQUAAARFbnVtAW76//+V/v//BpMFAAAFTGFiZWwGlAUAAAtNb2R1bGUgdHlwZQe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6//+V/v//CZAFAAAJkAMAAAFo+v//lf7//wmTBQAACZEDAAABZfr//5X+//8GnAUAAAhSZWZlcnNUbwadBQAACz1JdGVtTnVtYmVyB44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r//5X+//8JkAUAAAm6AwAAAV/6//+V/v//CZMFAAAJuwMAAAFc+v//lf7//wmcBQAABqYFAAAJPUl0ZW1UeXBlCw==</Report>
</Atlas>
</file>

<file path=customXml/itemProps1.xml><?xml version="1.0" encoding="utf-8"?>
<ds:datastoreItem xmlns:ds="http://schemas.openxmlformats.org/officeDocument/2006/customXml" ds:itemID="{289052CB-F8A0-41B7-A27F-656782518CFC}">
  <ds:schemaRefs/>
</ds:datastoreItem>
</file>

<file path=customXml/itemProps2.xml><?xml version="1.0" encoding="utf-8"?>
<ds:datastoreItem xmlns:ds="http://schemas.openxmlformats.org/officeDocument/2006/customXml" ds:itemID="{99B74960-810A-4167-9B11-4A71FE10DA9B}">
  <ds:schemaRefs/>
</ds:datastoreItem>
</file>

<file path=customXml/itemProps3.xml><?xml version="1.0" encoding="utf-8"?>
<ds:datastoreItem xmlns:ds="http://schemas.openxmlformats.org/officeDocument/2006/customXml" ds:itemID="{EECF914A-D8FF-432B-BB23-2648971D2D37}">
  <ds:schemaRefs/>
</ds:datastoreItem>
</file>

<file path=customXml/itemProps4.xml><?xml version="1.0" encoding="utf-8"?>
<ds:datastoreItem xmlns:ds="http://schemas.openxmlformats.org/officeDocument/2006/customXml" ds:itemID="{043CD778-1AFB-44D2-A27E-C3574B07AE29}">
  <ds:schemaRefs/>
</ds:datastoreItem>
</file>

<file path=customXml/itemProps5.xml><?xml version="1.0" encoding="utf-8"?>
<ds:datastoreItem xmlns:ds="http://schemas.openxmlformats.org/officeDocument/2006/customXml" ds:itemID="{285AB7E0-08AB-49EC-8C9B-F1C01BCF6C6B}">
  <ds:schemaRefs/>
</ds:datastoreItem>
</file>

<file path=customXml/itemProps6.xml><?xml version="1.0" encoding="utf-8"?>
<ds:datastoreItem xmlns:ds="http://schemas.openxmlformats.org/officeDocument/2006/customXml" ds:itemID="{75B58E79-6CC3-42A4-B259-EE9FCB958756}">
  <ds:schemaRefs/>
</ds:datastoreItem>
</file>

<file path=customXml/itemProps7.xml><?xml version="1.0" encoding="utf-8"?>
<ds:datastoreItem xmlns:ds="http://schemas.openxmlformats.org/officeDocument/2006/customXml" ds:itemID="{F413199A-F33F-402D-B4A8-842A24BA5A66}">
  <ds:schemaRefs/>
</ds:datastoreItem>
</file>

<file path=customXml/itemProps8.xml><?xml version="1.0" encoding="utf-8"?>
<ds:datastoreItem xmlns:ds="http://schemas.openxmlformats.org/officeDocument/2006/customXml" ds:itemID="{D1584C8D-E091-4EAD-8454-F823BA9555CD}">
  <ds:schemaRefs/>
</ds:datastoreItem>
</file>

<file path=customXml/itemProps9.xml><?xml version="1.0" encoding="utf-8"?>
<ds:datastoreItem xmlns:ds="http://schemas.openxmlformats.org/officeDocument/2006/customXml" ds:itemID="{5979AAB6-C9BA-42BF-B857-1C91F00157D9}">
  <ds:schemaRefs/>
</ds:datastoreItem>
</file>

<file path=customXml/itemProps10.xml><?xml version="1.0" encoding="utf-8"?>
<ds:datastoreItem xmlns:ds="http://schemas.openxmlformats.org/officeDocument/2006/customXml" ds:itemID="{459543BF-4F5A-4CC8-A3CE-215B50788E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2018-03-13T09:28:47Z</dcterms:modified>
</cp:coreProperties>
</file>